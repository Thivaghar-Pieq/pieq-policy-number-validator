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Feb\"/>
    </mc:Choice>
  </mc:AlternateContent>
  <xr:revisionPtr revIDLastSave="0" documentId="13_ncr:1_{6C84668C-B6A0-4BD6-A410-87246B81C73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91" i="2" l="1"/>
  <c r="B92" i="2"/>
  <c r="B93" i="2"/>
  <c r="B94" i="2"/>
  <c r="B95" i="2"/>
  <c r="B96" i="2"/>
  <c r="B97" i="2"/>
  <c r="B98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42" i="2"/>
  <c r="B106" i="2"/>
  <c r="B105" i="2"/>
  <c r="B104" i="2"/>
  <c r="B103" i="2"/>
  <c r="B102" i="2"/>
  <c r="B101" i="2"/>
  <c r="B100" i="2"/>
  <c r="B99" i="2"/>
  <c r="B36" i="2"/>
  <c r="B37" i="2"/>
  <c r="B38" i="2"/>
  <c r="B39" i="2"/>
  <c r="B40" i="2"/>
  <c r="B41" i="2"/>
  <c r="B3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2" i="2"/>
</calcChain>
</file>

<file path=xl/sharedStrings.xml><?xml version="1.0" encoding="utf-8"?>
<sst xmlns="http://schemas.openxmlformats.org/spreadsheetml/2006/main" count="1758" uniqueCount="410">
  <si>
    <r>
      <rPr>
        <sz val="9"/>
        <color rgb="FF010101"/>
        <rFont val="Arial"/>
        <family val="2"/>
      </rPr>
      <t>SUMMARY</t>
    </r>
  </si>
  <si>
    <r>
      <rPr>
        <sz val="9"/>
        <color rgb="FF010101"/>
        <rFont val="Arial"/>
        <family val="2"/>
      </rPr>
      <t xml:space="preserve">Amount
</t>
    </r>
    <r>
      <rPr>
        <sz val="9"/>
        <color rgb="FF010101"/>
        <rFont val="Arial"/>
        <family val="2"/>
      </rPr>
      <t>$2</t>
    </r>
    <r>
      <rPr>
        <sz val="9"/>
        <color rgb="FF2B2B2B"/>
        <rFont val="Arial"/>
        <family val="2"/>
      </rPr>
      <t>,</t>
    </r>
    <r>
      <rPr>
        <sz val="9"/>
        <color rgb="FF010101"/>
        <rFont val="Arial"/>
        <family val="2"/>
      </rPr>
      <t>703</t>
    </r>
    <r>
      <rPr>
        <sz val="9"/>
        <color rgb="FF1A1A1A"/>
        <rFont val="Arial"/>
        <family val="2"/>
      </rPr>
      <t>.</t>
    </r>
    <r>
      <rPr>
        <sz val="9"/>
        <color rgb="FF010101"/>
        <rFont val="Arial"/>
        <family val="2"/>
      </rPr>
      <t xml:space="preserve">92
</t>
    </r>
    <r>
      <rPr>
        <sz val="9"/>
        <color rgb="FF010101"/>
        <rFont val="Arial"/>
        <family val="2"/>
      </rPr>
      <t>$56.49</t>
    </r>
  </si>
  <si>
    <r>
      <rPr>
        <sz val="9"/>
        <color rgb="FF010101"/>
        <rFont val="Arial"/>
        <family val="2"/>
      </rPr>
      <t xml:space="preserve">Payable Regular Commissions:
</t>
    </r>
    <r>
      <rPr>
        <sz val="9"/>
        <color rgb="FF010101"/>
        <rFont val="Arial"/>
        <family val="2"/>
      </rPr>
      <t>New Enrollment Commissions Renewal Commissions</t>
    </r>
  </si>
  <si>
    <r>
      <rPr>
        <b/>
        <sz val="9.5"/>
        <color rgb="FF010101"/>
        <rFont val="Arial"/>
        <family val="2"/>
      </rPr>
      <t>Payable Bonus Commissions:</t>
    </r>
  </si>
  <si>
    <r>
      <rPr>
        <sz val="9"/>
        <color rgb="FF010101"/>
        <rFont val="Arial"/>
        <family val="2"/>
      </rPr>
      <t>Regular Commissions Sub-Totals:</t>
    </r>
  </si>
  <si>
    <r>
      <rPr>
        <sz val="9.5"/>
        <color rgb="FF010101"/>
        <rFont val="Arial"/>
        <family val="2"/>
      </rPr>
      <t xml:space="preserve">Administrative Fee 2 (External Brokers)           </t>
    </r>
    <r>
      <rPr>
        <vertAlign val="superscript"/>
        <sz val="9.5"/>
        <color rgb="FF010101"/>
        <rFont val="Arial"/>
        <family val="2"/>
      </rPr>
      <t xml:space="preserve">Corporate Website
</t>
    </r>
    <r>
      <rPr>
        <sz val="9"/>
        <color rgb="FF010101"/>
        <rFont val="Arial"/>
        <family val="2"/>
      </rPr>
      <t>Total Commissions:</t>
    </r>
  </si>
  <si>
    <r>
      <rPr>
        <sz val="9"/>
        <color rgb="FF010101"/>
        <rFont val="Arial"/>
        <family val="2"/>
      </rPr>
      <t>Bonus Sub-Totals</t>
    </r>
    <r>
      <rPr>
        <sz val="9"/>
        <color rgb="FF444444"/>
        <rFont val="Arial"/>
        <family val="2"/>
      </rPr>
      <t>:</t>
    </r>
  </si>
  <si>
    <r>
      <rPr>
        <sz val="9"/>
        <color rgb="FF010101"/>
        <rFont val="Arial"/>
        <family val="2"/>
      </rPr>
      <t>$ 80</t>
    </r>
    <r>
      <rPr>
        <sz val="9"/>
        <color rgb="FF444444"/>
        <rFont val="Arial"/>
        <family val="2"/>
      </rPr>
      <t>.</t>
    </r>
    <r>
      <rPr>
        <sz val="9"/>
        <color rgb="FF010101"/>
        <rFont val="Arial"/>
        <family val="2"/>
      </rPr>
      <t xml:space="preserve">00
</t>
    </r>
    <r>
      <rPr>
        <sz val="9"/>
        <color rgb="FF010101"/>
        <rFont val="Arial"/>
        <family val="2"/>
      </rPr>
      <t xml:space="preserve">$ </t>
    </r>
    <r>
      <rPr>
        <b/>
        <sz val="9"/>
        <color rgb="FF010101"/>
        <rFont val="Arial"/>
        <family val="2"/>
      </rPr>
      <t xml:space="preserve">80.00
</t>
    </r>
    <r>
      <rPr>
        <sz val="9"/>
        <color rgb="FF010101"/>
        <rFont val="Times New Roman"/>
        <family val="1"/>
      </rPr>
      <t>$2,840.41</t>
    </r>
  </si>
  <si>
    <r>
      <rPr>
        <b/>
        <sz val="10.5"/>
        <color rgb="FF010101"/>
        <rFont val="Arial"/>
        <family val="2"/>
      </rPr>
      <t xml:space="preserve">SUMMARY </t>
    </r>
    <r>
      <rPr>
        <sz val="10.5"/>
        <color rgb="FF010101"/>
        <rFont val="Arial"/>
        <family val="2"/>
      </rPr>
      <t>TOTALS</t>
    </r>
  </si>
  <si>
    <r>
      <rPr>
        <sz val="9"/>
        <color rgb="FF010101"/>
        <rFont val="Arial"/>
        <family val="2"/>
      </rPr>
      <t>Beginning Balance Forward:</t>
    </r>
  </si>
  <si>
    <r>
      <rPr>
        <sz val="9"/>
        <color rgb="FF010101"/>
        <rFont val="Arial"/>
        <family val="2"/>
      </rPr>
      <t>Commission Activity:</t>
    </r>
  </si>
  <si>
    <r>
      <rPr>
        <sz val="9"/>
        <color rgb="FF010101"/>
        <rFont val="Arial"/>
        <family val="2"/>
      </rPr>
      <t>Bonuses:</t>
    </r>
  </si>
  <si>
    <r>
      <rPr>
        <sz val="9"/>
        <color rgb="FF010101"/>
        <rFont val="Arial"/>
        <family val="2"/>
      </rPr>
      <t>Manual Adjustments:</t>
    </r>
  </si>
  <si>
    <r>
      <rPr>
        <sz val="9"/>
        <color rgb="FF010101"/>
        <rFont val="Arial"/>
        <family val="2"/>
      </rPr>
      <t>Total Commissions:</t>
    </r>
  </si>
  <si>
    <r>
      <rPr>
        <sz val="9"/>
        <color rgb="FF010101"/>
        <rFont val="Arial"/>
        <family val="2"/>
      </rPr>
      <t>Amount to Pay:</t>
    </r>
  </si>
  <si>
    <r>
      <rPr>
        <sz val="9"/>
        <color rgb="FF010101"/>
        <rFont val="Arial"/>
        <family val="2"/>
      </rPr>
      <t>Ending Balance Forward:</t>
    </r>
  </si>
  <si>
    <r>
      <rPr>
        <b/>
        <sz val="9.5"/>
        <color rgb="FF010101"/>
        <rFont val="Arial"/>
        <family val="2"/>
      </rPr>
      <t xml:space="preserve">Writing Agent                                  </t>
    </r>
    <r>
      <rPr>
        <b/>
        <sz val="10"/>
        <color rgb="FF010101"/>
        <rFont val="Times New Roman"/>
        <family val="1"/>
      </rPr>
      <t xml:space="preserve">8325282                                      </t>
    </r>
    <r>
      <rPr>
        <b/>
        <sz val="9.5"/>
        <color rgb="FF010101"/>
        <rFont val="Arial"/>
        <family val="2"/>
      </rPr>
      <t>Walenga, Dale</t>
    </r>
  </si>
  <si>
    <r>
      <rPr>
        <b/>
        <sz val="9.5"/>
        <color rgb="FF010101"/>
        <rFont val="Arial"/>
        <family val="2"/>
      </rPr>
      <t>New Enrollment</t>
    </r>
  </si>
  <si>
    <r>
      <rPr>
        <b/>
        <sz val="9"/>
        <color rgb="FF010101"/>
        <rFont val="Arial"/>
        <family val="2"/>
      </rPr>
      <t>Member ID</t>
    </r>
  </si>
  <si>
    <r>
      <rPr>
        <b/>
        <sz val="9"/>
        <color rgb="FF010101"/>
        <rFont val="Arial"/>
        <family val="2"/>
      </rPr>
      <t>Writing ID</t>
    </r>
  </si>
  <si>
    <r>
      <rPr>
        <b/>
        <sz val="9"/>
        <color rgb="FF010101"/>
        <rFont val="Arial"/>
        <family val="2"/>
      </rPr>
      <t>Name</t>
    </r>
  </si>
  <si>
    <r>
      <rPr>
        <b/>
        <sz val="9"/>
        <color rgb="FF010101"/>
        <rFont val="Arial"/>
        <family val="2"/>
      </rPr>
      <t>Product</t>
    </r>
  </si>
  <si>
    <r>
      <rPr>
        <b/>
        <sz val="9"/>
        <color rgb="FF010101"/>
        <rFont val="Arial"/>
        <family val="2"/>
      </rPr>
      <t>Policy State</t>
    </r>
  </si>
  <si>
    <r>
      <rPr>
        <b/>
        <sz val="9"/>
        <color rgb="FF010101"/>
        <rFont val="Arial"/>
        <family val="2"/>
      </rPr>
      <t>Effective Date</t>
    </r>
  </si>
  <si>
    <r>
      <rPr>
        <b/>
        <sz val="9"/>
        <color rgb="FF010101"/>
        <rFont val="Arial"/>
        <family val="2"/>
      </rPr>
      <t>Term Date</t>
    </r>
  </si>
  <si>
    <r>
      <rPr>
        <b/>
        <sz val="9"/>
        <color rgb="FF010101"/>
        <rFont val="Arial"/>
        <family val="2"/>
      </rPr>
      <t>Term Code</t>
    </r>
  </si>
  <si>
    <r>
      <rPr>
        <b/>
        <sz val="9"/>
        <color rgb="FF010101"/>
        <rFont val="Arial"/>
        <family val="2"/>
      </rPr>
      <t>Period</t>
    </r>
  </si>
  <si>
    <r>
      <rPr>
        <b/>
        <sz val="9"/>
        <color rgb="FF010101"/>
        <rFont val="Arial"/>
        <family val="2"/>
      </rPr>
      <t>CMS Payment Type</t>
    </r>
  </si>
  <si>
    <r>
      <rPr>
        <b/>
        <sz val="9"/>
        <color rgb="FF010101"/>
        <rFont val="Arial"/>
        <family val="2"/>
      </rPr>
      <t>Retro</t>
    </r>
  </si>
  <si>
    <r>
      <rPr>
        <sz val="8.5"/>
        <color rgb="FF010101"/>
        <rFont val="Arial"/>
        <family val="2"/>
      </rPr>
      <t>Commission Amount</t>
    </r>
  </si>
  <si>
    <r>
      <rPr>
        <sz val="8"/>
        <color rgb="FF010101"/>
        <rFont val="Arial"/>
        <family val="2"/>
      </rPr>
      <t>Attento, Josephine</t>
    </r>
  </si>
  <si>
    <r>
      <rPr>
        <sz val="8"/>
        <color rgb="FF111111"/>
        <rFont val="Arial"/>
        <family val="2"/>
      </rPr>
      <t>MA</t>
    </r>
  </si>
  <si>
    <r>
      <rPr>
        <sz val="8"/>
        <color rgb="FF010101"/>
        <rFont val="Arial"/>
        <family val="2"/>
      </rPr>
      <t>IL</t>
    </r>
  </si>
  <si>
    <r>
      <rPr>
        <sz val="8"/>
        <color rgb="FF010101"/>
        <rFont val="Arial"/>
        <family val="2"/>
      </rPr>
      <t>01/2025</t>
    </r>
  </si>
  <si>
    <r>
      <rPr>
        <sz val="8"/>
        <color rgb="FF111111"/>
        <rFont val="Arial"/>
        <family val="2"/>
      </rPr>
      <t xml:space="preserve">New </t>
    </r>
    <r>
      <rPr>
        <sz val="8"/>
        <color rgb="FF010101"/>
        <rFont val="Arial"/>
        <family val="2"/>
      </rPr>
      <t>to Plan</t>
    </r>
  </si>
  <si>
    <r>
      <rPr>
        <sz val="8.5"/>
        <color rgb="FF111111"/>
        <rFont val="Times New Roman"/>
        <family val="1"/>
      </rPr>
      <t>y</t>
    </r>
  </si>
  <si>
    <r>
      <rPr>
        <sz val="8.5"/>
        <color rgb="FF010101"/>
        <rFont val="Arial"/>
        <family val="2"/>
      </rPr>
      <t xml:space="preserve">Total for New Enrollments:
</t>
    </r>
    <r>
      <rPr>
        <sz val="8.5"/>
        <color rgb="FF010101"/>
        <rFont val="Arial"/>
        <family val="2"/>
      </rPr>
      <t>Walenga, Dale</t>
    </r>
  </si>
  <si>
    <r>
      <rPr>
        <sz val="9"/>
        <color rgb="FFCC0505"/>
        <rFont val="Times New Roman"/>
        <family val="1"/>
      </rPr>
      <t xml:space="preserve">($105.00)
</t>
    </r>
    <r>
      <rPr>
        <sz val="9"/>
        <color rgb="FFCC0505"/>
        <rFont val="Times New Roman"/>
        <family val="1"/>
      </rPr>
      <t>($105.00)</t>
    </r>
  </si>
  <si>
    <r>
      <rPr>
        <sz val="8.5"/>
        <color rgb="FF010101"/>
        <rFont val="Arial"/>
        <family val="2"/>
      </rPr>
      <t xml:space="preserve">Total for Writing Agent       </t>
    </r>
    <r>
      <rPr>
        <sz val="9"/>
        <color rgb="FF010101"/>
        <rFont val="Times New Roman"/>
        <family val="1"/>
      </rPr>
      <t>8325282</t>
    </r>
  </si>
  <si>
    <r>
      <rPr>
        <b/>
        <sz val="8.5"/>
        <color rgb="FF010101"/>
        <rFont val="Arial"/>
        <family val="2"/>
      </rPr>
      <t>Member ID</t>
    </r>
  </si>
  <si>
    <r>
      <rPr>
        <b/>
        <sz val="8.5"/>
        <color rgb="FF010101"/>
        <rFont val="Arial"/>
        <family val="2"/>
      </rPr>
      <t>Writing ID</t>
    </r>
  </si>
  <si>
    <r>
      <rPr>
        <b/>
        <sz val="8.5"/>
        <color rgb="FF010101"/>
        <rFont val="Arial"/>
        <family val="2"/>
      </rPr>
      <t>Name</t>
    </r>
  </si>
  <si>
    <r>
      <rPr>
        <b/>
        <sz val="8.5"/>
        <color rgb="FF010101"/>
        <rFont val="Arial"/>
        <family val="2"/>
      </rPr>
      <t>Product</t>
    </r>
  </si>
  <si>
    <r>
      <rPr>
        <b/>
        <sz val="8.5"/>
        <color rgb="FF010101"/>
        <rFont val="Arial"/>
        <family val="2"/>
      </rPr>
      <t>Policy State</t>
    </r>
  </si>
  <si>
    <r>
      <rPr>
        <b/>
        <sz val="8.5"/>
        <color rgb="FF010101"/>
        <rFont val="Arial"/>
        <family val="2"/>
      </rPr>
      <t>Effective Date</t>
    </r>
  </si>
  <si>
    <r>
      <rPr>
        <b/>
        <sz val="8.5"/>
        <color rgb="FF010101"/>
        <rFont val="Arial"/>
        <family val="2"/>
      </rPr>
      <t>Term Date</t>
    </r>
  </si>
  <si>
    <r>
      <rPr>
        <b/>
        <sz val="8.5"/>
        <color rgb="FF010101"/>
        <rFont val="Arial"/>
        <family val="2"/>
      </rPr>
      <t>Term Code</t>
    </r>
  </si>
  <si>
    <r>
      <rPr>
        <b/>
        <sz val="8.5"/>
        <color rgb="FF010101"/>
        <rFont val="Arial"/>
        <family val="2"/>
      </rPr>
      <t>Period</t>
    </r>
  </si>
  <si>
    <r>
      <rPr>
        <b/>
        <sz val="8.5"/>
        <color rgb="FF010101"/>
        <rFont val="Arial"/>
        <family val="2"/>
      </rPr>
      <t>CMS Payment Type</t>
    </r>
  </si>
  <si>
    <r>
      <rPr>
        <b/>
        <sz val="8.5"/>
        <color rgb="FF010101"/>
        <rFont val="Arial"/>
        <family val="2"/>
      </rPr>
      <t>Retro</t>
    </r>
  </si>
  <si>
    <r>
      <rPr>
        <b/>
        <sz val="8.5"/>
        <color rgb="FF010101"/>
        <rFont val="Arial"/>
        <family val="2"/>
      </rPr>
      <t>Commission Amount</t>
    </r>
  </si>
  <si>
    <r>
      <rPr>
        <sz val="8"/>
        <color rgb="FF010101"/>
        <rFont val="Arial"/>
        <family val="2"/>
      </rPr>
      <t>Bauer</t>
    </r>
    <r>
      <rPr>
        <sz val="8"/>
        <color rgb="FF414141"/>
        <rFont val="Arial"/>
        <family val="2"/>
      </rPr>
      <t xml:space="preserve">, </t>
    </r>
    <r>
      <rPr>
        <sz val="8"/>
        <color rgb="FF010101"/>
        <rFont val="Arial"/>
        <family val="2"/>
      </rPr>
      <t>Dorothy</t>
    </r>
  </si>
  <si>
    <r>
      <rPr>
        <sz val="9"/>
        <color rgb="FF0F0F0F"/>
        <rFont val="Courier New"/>
        <family val="3"/>
      </rPr>
      <t>MA</t>
    </r>
  </si>
  <si>
    <r>
      <rPr>
        <sz val="8"/>
        <color rgb="FF010101"/>
        <rFont val="Times New Roman"/>
        <family val="1"/>
      </rPr>
      <t>02/2025</t>
    </r>
  </si>
  <si>
    <r>
      <rPr>
        <sz val="8"/>
        <color rgb="FF010101"/>
        <rFont val="Arial"/>
        <family val="2"/>
      </rPr>
      <t>Initial</t>
    </r>
  </si>
  <si>
    <r>
      <rPr>
        <sz val="8"/>
        <color rgb="FF010101"/>
        <rFont val="Arial"/>
        <family val="2"/>
      </rPr>
      <t>N</t>
    </r>
  </si>
  <si>
    <r>
      <rPr>
        <sz val="8"/>
        <color rgb="FF010101"/>
        <rFont val="Arial"/>
        <family val="2"/>
      </rPr>
      <t>Bensing</t>
    </r>
    <r>
      <rPr>
        <sz val="8"/>
        <color rgb="FF2D2D2D"/>
        <rFont val="Arial"/>
        <family val="2"/>
      </rPr>
      <t xml:space="preserve">, </t>
    </r>
    <r>
      <rPr>
        <sz val="8"/>
        <color rgb="FF010101"/>
        <rFont val="Arial"/>
        <family val="2"/>
      </rPr>
      <t>Donald</t>
    </r>
  </si>
  <si>
    <r>
      <rPr>
        <sz val="8"/>
        <color rgb="FF010101"/>
        <rFont val="Times New Roman"/>
        <family val="1"/>
      </rPr>
      <t>01/2025</t>
    </r>
  </si>
  <si>
    <r>
      <rPr>
        <sz val="8"/>
        <color rgb="FF0F0F0F"/>
        <rFont val="Arial"/>
        <family val="2"/>
      </rPr>
      <t xml:space="preserve">New </t>
    </r>
    <r>
      <rPr>
        <sz val="8"/>
        <color rgb="FF010101"/>
        <rFont val="Arial"/>
        <family val="2"/>
      </rPr>
      <t>to Plan</t>
    </r>
  </si>
  <si>
    <r>
      <rPr>
        <sz val="7.5"/>
        <color rgb="FF0F0F0F"/>
        <rFont val="Arial"/>
        <family val="2"/>
      </rPr>
      <t>y</t>
    </r>
  </si>
  <si>
    <r>
      <rPr>
        <sz val="8"/>
        <color rgb="FF010101"/>
        <rFont val="Arial"/>
        <family val="2"/>
      </rPr>
      <t>Huget</t>
    </r>
    <r>
      <rPr>
        <sz val="8"/>
        <color rgb="FF414141"/>
        <rFont val="Arial"/>
        <family val="2"/>
      </rPr>
      <t xml:space="preserve">, </t>
    </r>
    <r>
      <rPr>
        <sz val="8"/>
        <color rgb="FF010101"/>
        <rFont val="Arial"/>
        <family val="2"/>
      </rPr>
      <t>Dolores</t>
    </r>
  </si>
  <si>
    <r>
      <rPr>
        <sz val="8"/>
        <color rgb="FF0F0F0F"/>
        <rFont val="Times New Roman"/>
        <family val="1"/>
      </rPr>
      <t>01/2025</t>
    </r>
  </si>
  <si>
    <r>
      <rPr>
        <sz val="8"/>
        <color rgb="FF010101"/>
        <rFont val="Arial"/>
        <family val="2"/>
      </rPr>
      <t>Huget</t>
    </r>
    <r>
      <rPr>
        <sz val="8"/>
        <color rgb="FF2D2D2D"/>
        <rFont val="Arial"/>
        <family val="2"/>
      </rPr>
      <t xml:space="preserve">, </t>
    </r>
    <r>
      <rPr>
        <sz val="8"/>
        <color rgb="FF010101"/>
        <rFont val="Arial"/>
        <family val="2"/>
      </rPr>
      <t>Werner</t>
    </r>
  </si>
  <si>
    <r>
      <rPr>
        <sz val="8"/>
        <color rgb="FF010101"/>
        <rFont val="Arial"/>
        <family val="2"/>
      </rPr>
      <t>New to Plan</t>
    </r>
  </si>
  <si>
    <r>
      <rPr>
        <sz val="8"/>
        <color rgb="FF010101"/>
        <rFont val="Arial"/>
        <family val="2"/>
      </rPr>
      <t xml:space="preserve">Napolitano, </t>
    </r>
    <r>
      <rPr>
        <sz val="8"/>
        <color rgb="FF0F0F0F"/>
        <rFont val="Arial"/>
        <family val="2"/>
      </rPr>
      <t>Vito</t>
    </r>
  </si>
  <si>
    <r>
      <rPr>
        <sz val="8"/>
        <color rgb="FF0F0F0F"/>
        <rFont val="Arial"/>
        <family val="2"/>
      </rPr>
      <t xml:space="preserve">Szela, </t>
    </r>
    <r>
      <rPr>
        <sz val="8"/>
        <color rgb="FF010101"/>
        <rFont val="Arial"/>
        <family val="2"/>
      </rPr>
      <t>Florence</t>
    </r>
  </si>
  <si>
    <r>
      <rPr>
        <sz val="8"/>
        <color rgb="FF0F0F0F"/>
        <rFont val="Arial"/>
        <family val="2"/>
      </rPr>
      <t>IL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</si>
  <si>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  $525.00
</t>
    </r>
    <r>
      <rPr>
        <b/>
        <sz val="8.5"/>
        <color rgb="FF010101"/>
        <rFont val="Arial"/>
        <family val="2"/>
      </rPr>
      <t xml:space="preserve">Total for Writing Agent        2158366         Horn, Jeffrey                                                                                                                                         </t>
    </r>
    <r>
      <rPr>
        <b/>
        <vertAlign val="subscript"/>
        <sz val="8.5"/>
        <color rgb="FF010101"/>
        <rFont val="Arial"/>
        <family val="2"/>
      </rPr>
      <t>$525.00</t>
    </r>
  </si>
  <si>
    <r>
      <rPr>
        <b/>
        <sz val="9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</si>
  <si>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b/>
        <sz val="9"/>
        <color rgb="FF030303"/>
        <rFont val="Arial"/>
        <family val="2"/>
      </rPr>
      <t>Writing ID</t>
    </r>
  </si>
  <si>
    <r>
      <rPr>
        <b/>
        <sz val="9"/>
        <color rgb="FF030303"/>
        <rFont val="Arial"/>
        <family val="2"/>
      </rPr>
      <t>Name</t>
    </r>
  </si>
  <si>
    <r>
      <rPr>
        <b/>
        <sz val="9"/>
        <color rgb="FF030303"/>
        <rFont val="Arial"/>
        <family val="2"/>
      </rPr>
      <t>Product</t>
    </r>
  </si>
  <si>
    <r>
      <rPr>
        <b/>
        <sz val="9"/>
        <color rgb="FF030303"/>
        <rFont val="Arial"/>
        <family val="2"/>
      </rPr>
      <t>Policy State</t>
    </r>
  </si>
  <si>
    <r>
      <rPr>
        <b/>
        <sz val="9"/>
        <color rgb="FF030303"/>
        <rFont val="Arial"/>
        <family val="2"/>
      </rPr>
      <t>Effective Date</t>
    </r>
  </si>
  <si>
    <r>
      <rPr>
        <b/>
        <sz val="9"/>
        <color rgb="FF030303"/>
        <rFont val="Arial"/>
        <family val="2"/>
      </rPr>
      <t>Term Date</t>
    </r>
  </si>
  <si>
    <r>
      <rPr>
        <sz val="8.5"/>
        <color rgb="FF030303"/>
        <rFont val="Arial"/>
        <family val="2"/>
      </rPr>
      <t>Term Code</t>
    </r>
  </si>
  <si>
    <r>
      <rPr>
        <sz val="8.5"/>
        <color rgb="FF030303"/>
        <rFont val="Arial"/>
        <family val="2"/>
      </rPr>
      <t>Period</t>
    </r>
  </si>
  <si>
    <r>
      <rPr>
        <sz val="8.5"/>
        <color rgb="FF030303"/>
        <rFont val="Arial"/>
        <family val="2"/>
      </rPr>
      <t>CMS Payment Type</t>
    </r>
  </si>
  <si>
    <r>
      <rPr>
        <sz val="8.5"/>
        <color rgb="FF030303"/>
        <rFont val="Arial"/>
        <family val="2"/>
      </rPr>
      <t>Retro</t>
    </r>
  </si>
  <si>
    <r>
      <rPr>
        <sz val="8.5"/>
        <color rgb="FF030303"/>
        <rFont val="Arial"/>
        <family val="2"/>
      </rPr>
      <t>Commission Amount</t>
    </r>
  </si>
  <si>
    <r>
      <rPr>
        <sz val="8"/>
        <color rgb="FF030303"/>
        <rFont val="Arial"/>
        <family val="2"/>
      </rPr>
      <t>Hansen</t>
    </r>
    <r>
      <rPr>
        <sz val="8"/>
        <color rgb="FF3D3D3D"/>
        <rFont val="Arial"/>
        <family val="2"/>
      </rPr>
      <t xml:space="preserve">, </t>
    </r>
    <r>
      <rPr>
        <sz val="8"/>
        <color rgb="FF030303"/>
        <rFont val="Arial"/>
        <family val="2"/>
      </rPr>
      <t>Gary</t>
    </r>
  </si>
  <si>
    <r>
      <rPr>
        <sz val="8"/>
        <color rgb="FF030303"/>
        <rFont val="Arial"/>
        <family val="2"/>
      </rPr>
      <t>MA</t>
    </r>
  </si>
  <si>
    <r>
      <rPr>
        <sz val="7.5"/>
        <color rgb="FF030303"/>
        <rFont val="Arial"/>
        <family val="2"/>
      </rPr>
      <t>IL</t>
    </r>
  </si>
  <si>
    <r>
      <rPr>
        <sz val="8"/>
        <color rgb="FF030303"/>
        <rFont val="Times New Roman"/>
        <family val="1"/>
      </rPr>
      <t>01/2025</t>
    </r>
  </si>
  <si>
    <r>
      <rPr>
        <sz val="8"/>
        <color rgb="FF030303"/>
        <rFont val="Arial"/>
        <family val="2"/>
      </rPr>
      <t>New to Plan</t>
    </r>
  </si>
  <si>
    <r>
      <rPr>
        <sz val="8"/>
        <color rgb="FF030303"/>
        <rFont val="Times New Roman"/>
        <family val="1"/>
      </rPr>
      <t>y</t>
    </r>
  </si>
  <si>
    <r>
      <rPr>
        <b/>
        <sz val="9"/>
        <color rgb="FF030303"/>
        <rFont val="Arial"/>
        <family val="2"/>
      </rPr>
      <t>Total for New Enrollments: Taugner, Christian</t>
    </r>
  </si>
  <si>
    <r>
      <rPr>
        <sz val="8.5"/>
        <color rgb="FF030303"/>
        <rFont val="Arial"/>
        <family val="2"/>
      </rPr>
      <t xml:space="preserve">$105.00
</t>
    </r>
    <r>
      <rPr>
        <sz val="8.5"/>
        <color rgb="FF030303"/>
        <rFont val="Arial"/>
        <family val="2"/>
      </rPr>
      <t>$105.00</t>
    </r>
  </si>
  <si>
    <r>
      <rPr>
        <b/>
        <sz val="9"/>
        <color rgb="FF030303"/>
        <rFont val="Arial"/>
        <family val="2"/>
      </rPr>
      <t>Total for Writing Agent</t>
    </r>
  </si>
  <si>
    <r>
      <rPr>
        <b/>
        <sz val="8.5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</si>
  <si>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b/>
        <sz val="8.5"/>
        <color rgb="FF030303"/>
        <rFont val="Arial"/>
        <family val="2"/>
      </rPr>
      <t>Writing ID</t>
    </r>
  </si>
  <si>
    <r>
      <rPr>
        <b/>
        <sz val="8.5"/>
        <color rgb="FF030303"/>
        <rFont val="Arial"/>
        <family val="2"/>
      </rPr>
      <t>Name</t>
    </r>
  </si>
  <si>
    <r>
      <rPr>
        <b/>
        <sz val="8.5"/>
        <color rgb="FF030303"/>
        <rFont val="Arial"/>
        <family val="2"/>
      </rPr>
      <t>Product</t>
    </r>
  </si>
  <si>
    <r>
      <rPr>
        <b/>
        <sz val="8.5"/>
        <color rgb="FF030303"/>
        <rFont val="Arial"/>
        <family val="2"/>
      </rPr>
      <t>Policy State</t>
    </r>
  </si>
  <si>
    <r>
      <rPr>
        <b/>
        <sz val="8.5"/>
        <color rgb="FF030303"/>
        <rFont val="Arial"/>
        <family val="2"/>
      </rPr>
      <t>Effective Date</t>
    </r>
  </si>
  <si>
    <r>
      <rPr>
        <b/>
        <sz val="8.5"/>
        <color rgb="FF030303"/>
        <rFont val="Arial"/>
        <family val="2"/>
      </rPr>
      <t>Term Date</t>
    </r>
  </si>
  <si>
    <r>
      <rPr>
        <b/>
        <sz val="8.5"/>
        <color rgb="FF030303"/>
        <rFont val="Arial"/>
        <family val="2"/>
      </rPr>
      <t>Term Code</t>
    </r>
  </si>
  <si>
    <r>
      <rPr>
        <b/>
        <sz val="8.5"/>
        <color rgb="FF030303"/>
        <rFont val="Arial"/>
        <family val="2"/>
      </rPr>
      <t>Period</t>
    </r>
  </si>
  <si>
    <r>
      <rPr>
        <b/>
        <sz val="8.5"/>
        <color rgb="FF030303"/>
        <rFont val="Arial"/>
        <family val="2"/>
      </rPr>
      <t>CMS Payment Type</t>
    </r>
  </si>
  <si>
    <r>
      <rPr>
        <b/>
        <sz val="8.5"/>
        <color rgb="FF030303"/>
        <rFont val="Arial"/>
        <family val="2"/>
      </rPr>
      <t>Retro</t>
    </r>
  </si>
  <si>
    <r>
      <rPr>
        <b/>
        <sz val="8.5"/>
        <color rgb="FF030303"/>
        <rFont val="Arial"/>
        <family val="2"/>
      </rPr>
      <t>Commission Amount</t>
    </r>
  </si>
  <si>
    <r>
      <rPr>
        <sz val="8"/>
        <color rgb="FF030303"/>
        <rFont val="Arial"/>
        <family val="2"/>
      </rPr>
      <t>Arnouil</t>
    </r>
    <r>
      <rPr>
        <sz val="8"/>
        <color rgb="FF383838"/>
        <rFont val="Arial"/>
        <family val="2"/>
      </rPr>
      <t xml:space="preserve">, </t>
    </r>
    <r>
      <rPr>
        <sz val="8"/>
        <color rgb="FF030303"/>
        <rFont val="Arial"/>
        <family val="2"/>
      </rPr>
      <t>Janet</t>
    </r>
  </si>
  <si>
    <r>
      <rPr>
        <sz val="8"/>
        <color rgb="FF030303"/>
        <rFont val="Arial"/>
        <family val="2"/>
      </rPr>
      <t>Packer, Patricia</t>
    </r>
  </si>
  <si>
    <r>
      <rPr>
        <b/>
        <sz val="8.5"/>
        <color rgb="FF030303"/>
        <rFont val="Arial"/>
        <family val="2"/>
      </rPr>
      <t>Total for New Enrollments: Portugal, Stacey</t>
    </r>
  </si>
  <si>
    <r>
      <rPr>
        <b/>
        <sz val="8.5"/>
        <color rgb="FF030303"/>
        <rFont val="Arial"/>
        <family val="2"/>
      </rPr>
      <t xml:space="preserve">$210.00
</t>
    </r>
    <r>
      <rPr>
        <b/>
        <sz val="8.5"/>
        <color rgb="FF030303"/>
        <rFont val="Arial"/>
        <family val="2"/>
      </rPr>
      <t>$210.00</t>
    </r>
  </si>
  <si>
    <r>
      <rPr>
        <b/>
        <sz val="8.5"/>
        <color rgb="FF030303"/>
        <rFont val="Arial"/>
        <family val="2"/>
      </rPr>
      <t>Total for Writing Agent       19645587</t>
    </r>
  </si>
  <si>
    <r>
      <rPr>
        <b/>
        <sz val="8.5"/>
        <color rgb="FF030303"/>
        <rFont val="Arial"/>
        <family val="2"/>
      </rPr>
      <t>Member ID</t>
    </r>
  </si>
  <si>
    <r>
      <rPr>
        <sz val="8"/>
        <color rgb="FF030303"/>
        <rFont val="Arial"/>
        <family val="2"/>
      </rPr>
      <t>Kritikos</t>
    </r>
    <r>
      <rPr>
        <sz val="8"/>
        <color rgb="FF2D2D2D"/>
        <rFont val="Arial"/>
        <family val="2"/>
      </rPr>
      <t xml:space="preserve">, </t>
    </r>
    <r>
      <rPr>
        <sz val="8"/>
        <color rgb="FF030303"/>
        <rFont val="Arial"/>
        <family val="2"/>
      </rPr>
      <t>Georgios</t>
    </r>
  </si>
  <si>
    <r>
      <rPr>
        <sz val="7.5"/>
        <color rgb="FF030303"/>
        <rFont val="Arial"/>
        <family val="2"/>
      </rPr>
      <t>y</t>
    </r>
  </si>
  <si>
    <r>
      <rPr>
        <sz val="8"/>
        <color rgb="FF030303"/>
        <rFont val="Arial"/>
        <family val="2"/>
      </rPr>
      <t>Kusek, Thomas</t>
    </r>
  </si>
  <si>
    <r>
      <rPr>
        <sz val="8"/>
        <color rgb="FF030303"/>
        <rFont val="Arial"/>
        <family val="2"/>
      </rPr>
      <t>Lopez Cano, Graciela</t>
    </r>
  </si>
  <si>
    <r>
      <rPr>
        <sz val="8"/>
        <color rgb="FF030303"/>
        <rFont val="Times New Roman"/>
        <family val="1"/>
      </rPr>
      <t>02/2025</t>
    </r>
  </si>
  <si>
    <r>
      <rPr>
        <sz val="8"/>
        <color rgb="FF030303"/>
        <rFont val="Arial"/>
        <family val="2"/>
      </rPr>
      <t>N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</si>
  <si>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Wuensch, Richard</t>
    </r>
  </si>
  <si>
    <r>
      <rPr>
        <b/>
        <sz val="8.5"/>
        <color rgb="FF030303"/>
        <rFont val="Arial"/>
        <family val="2"/>
      </rPr>
      <t xml:space="preserve">$420.00
</t>
    </r>
    <r>
      <rPr>
        <b/>
        <sz val="8.5"/>
        <color rgb="FF030303"/>
        <rFont val="Arial"/>
        <family val="2"/>
      </rPr>
      <t>$420.00</t>
    </r>
  </si>
  <si>
    <r>
      <rPr>
        <b/>
        <sz val="8.5"/>
        <color rgb="FF030303"/>
        <rFont val="Arial"/>
        <family val="2"/>
      </rPr>
      <t>Total for Writing Agent</t>
    </r>
  </si>
  <si>
    <r>
      <rPr>
        <sz val="8"/>
        <color rgb="FF030303"/>
        <rFont val="Arial"/>
        <family val="2"/>
      </rPr>
      <t>Mauldin</t>
    </r>
    <r>
      <rPr>
        <sz val="8"/>
        <color rgb="FF343434"/>
        <rFont val="Arial"/>
        <family val="2"/>
      </rPr>
      <t xml:space="preserve">, </t>
    </r>
    <r>
      <rPr>
        <sz val="8"/>
        <color rgb="FF030303"/>
        <rFont val="Arial"/>
        <family val="2"/>
      </rPr>
      <t>Ingrid</t>
    </r>
  </si>
  <si>
    <r>
      <rPr>
        <sz val="8"/>
        <color rgb="FF030303"/>
        <rFont val="Times New Roman"/>
        <family val="1"/>
      </rPr>
      <t>MA</t>
    </r>
  </si>
  <si>
    <r>
      <rPr>
        <sz val="8.5"/>
        <color rgb="FF030303"/>
        <rFont val="Arial"/>
        <family val="2"/>
      </rPr>
      <t>Total for New Enrollments: Werner, Steven</t>
    </r>
  </si>
  <si>
    <r>
      <rPr>
        <b/>
        <sz val="9.5"/>
        <color rgb="FF030303"/>
        <rFont val="Arial"/>
        <family val="2"/>
      </rPr>
      <t>New Enrollment</t>
    </r>
  </si>
  <si>
    <r>
      <rPr>
        <sz val="8.5"/>
        <color rgb="FF030303"/>
        <rFont val="Arial"/>
        <family val="2"/>
      </rPr>
      <t xml:space="preserve">Term </t>
    </r>
    <r>
      <rPr>
        <b/>
        <sz val="8.5"/>
        <color rgb="FF030303"/>
        <rFont val="Arial"/>
        <family val="2"/>
      </rPr>
      <t>Code</t>
    </r>
  </si>
  <si>
    <r>
      <rPr>
        <b/>
        <sz val="8.5"/>
        <color rgb="FF030303"/>
        <rFont val="Arial"/>
        <family val="2"/>
      </rPr>
      <t xml:space="preserve">CMS Payment
</t>
    </r>
    <r>
      <rPr>
        <sz val="8.5"/>
        <color rgb="FF030303"/>
        <rFont val="Arial"/>
        <family val="2"/>
      </rPr>
      <t>Type</t>
    </r>
  </si>
  <si>
    <r>
      <rPr>
        <sz val="8"/>
        <color rgb="FF030303"/>
        <rFont val="Arial"/>
        <family val="2"/>
      </rPr>
      <t>Hendrickson</t>
    </r>
    <r>
      <rPr>
        <sz val="8"/>
        <color rgb="FF444444"/>
        <rFont val="Arial"/>
        <family val="2"/>
      </rPr>
      <t xml:space="preserve">, </t>
    </r>
    <r>
      <rPr>
        <sz val="8"/>
        <color rgb="FF030303"/>
        <rFont val="Arial"/>
        <family val="2"/>
      </rPr>
      <t>Sarah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</si>
  <si>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 xml:space="preserve">Total for Writing Agent       </t>
    </r>
    <r>
      <rPr>
        <b/>
        <sz val="9.5"/>
        <color rgb="FF030303"/>
        <rFont val="Courier New"/>
        <family val="3"/>
      </rPr>
      <t xml:space="preserve">17301495    </t>
    </r>
    <r>
      <rPr>
        <b/>
        <sz val="8.5"/>
        <color rgb="FF030303"/>
        <rFont val="Arial"/>
        <family val="2"/>
      </rPr>
      <t>Herrera-Larsen, Esther</t>
    </r>
  </si>
  <si>
    <r>
      <rPr>
        <sz val="8"/>
        <color rgb="FF030303"/>
        <rFont val="Arial"/>
        <family val="2"/>
      </rPr>
      <t>Boykin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Alma</t>
    </r>
  </si>
  <si>
    <r>
      <rPr>
        <sz val="8"/>
        <color rgb="FF030303"/>
        <rFont val="Arial"/>
        <family val="2"/>
      </rPr>
      <t>IL</t>
    </r>
  </si>
  <si>
    <r>
      <rPr>
        <sz val="8"/>
        <color rgb="FF030303"/>
        <rFont val="Arial"/>
        <family val="2"/>
      </rPr>
      <t>Frick, Kenneth</t>
    </r>
  </si>
  <si>
    <r>
      <rPr>
        <sz val="8"/>
        <color rgb="FF030303"/>
        <rFont val="Arial"/>
        <family val="2"/>
      </rPr>
      <t>Frick, Donna</t>
    </r>
  </si>
  <si>
    <r>
      <rPr>
        <sz val="8"/>
        <color rgb="FF030303"/>
        <rFont val="Arial"/>
        <family val="2"/>
      </rPr>
      <t>Gumbiner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Gail</t>
    </r>
  </si>
  <si>
    <r>
      <rPr>
        <sz val="8"/>
        <color rgb="FF030303"/>
        <rFont val="Arial"/>
        <family val="2"/>
      </rPr>
      <t>Kanter, Corrine</t>
    </r>
  </si>
  <si>
    <r>
      <rPr>
        <sz val="8"/>
        <color rgb="FF030303"/>
        <rFont val="Arial"/>
        <family val="2"/>
      </rPr>
      <t>Kanter, Larry</t>
    </r>
  </si>
  <si>
    <r>
      <rPr>
        <sz val="8"/>
        <color rgb="FF030303"/>
        <rFont val="Arial"/>
        <family val="2"/>
      </rPr>
      <t>Kuenzel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Chrisanne</t>
    </r>
  </si>
  <si>
    <r>
      <rPr>
        <sz val="8"/>
        <color rgb="FF030303"/>
        <rFont val="Arial"/>
        <family val="2"/>
      </rPr>
      <t>Langton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Joyce</t>
    </r>
  </si>
  <si>
    <r>
      <rPr>
        <sz val="8"/>
        <color rgb="FF030303"/>
        <rFont val="Arial"/>
        <family val="2"/>
      </rPr>
      <t>McDonald, Lisa</t>
    </r>
  </si>
  <si>
    <r>
      <rPr>
        <sz val="8"/>
        <color rgb="FF030303"/>
        <rFont val="Arial"/>
        <family val="2"/>
      </rPr>
      <t>Myers, Martin</t>
    </r>
  </si>
  <si>
    <r>
      <rPr>
        <sz val="8"/>
        <color rgb="FF030303"/>
        <rFont val="Arial"/>
        <family val="2"/>
      </rPr>
      <t>Omark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Carl</t>
    </r>
  </si>
  <si>
    <r>
      <rPr>
        <sz val="8"/>
        <color rgb="FF030303"/>
        <rFont val="Arial"/>
        <family val="2"/>
      </rPr>
      <t>Patterson Sebanc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Renay</t>
    </r>
  </si>
  <si>
    <r>
      <rPr>
        <sz val="8"/>
        <color rgb="FF030303"/>
        <rFont val="Arial"/>
        <family val="2"/>
      </rPr>
      <t>Seidell</t>
    </r>
    <r>
      <rPr>
        <sz val="8"/>
        <color rgb="FF464646"/>
        <rFont val="Arial"/>
        <family val="2"/>
      </rPr>
      <t xml:space="preserve">, </t>
    </r>
    <r>
      <rPr>
        <sz val="8"/>
        <color rgb="FF030303"/>
        <rFont val="Arial"/>
        <family val="2"/>
      </rPr>
      <t>Helene</t>
    </r>
  </si>
  <si>
    <r>
      <rPr>
        <sz val="8"/>
        <color rgb="FF030303"/>
        <rFont val="Arial"/>
        <family val="2"/>
      </rPr>
      <t>Silvert, Anita</t>
    </r>
  </si>
  <si>
    <r>
      <rPr>
        <sz val="8"/>
        <color rgb="FF030303"/>
        <rFont val="Arial"/>
        <family val="2"/>
      </rPr>
      <t>Silvert, Donald</t>
    </r>
  </si>
  <si>
    <r>
      <rPr>
        <b/>
        <sz val="8.5"/>
        <color rgb="FF030303"/>
        <rFont val="Arial"/>
        <family val="2"/>
      </rPr>
      <t>Total for New Enrollments:                                                                                                                   $1,365.00</t>
    </r>
  </si>
  <si>
    <r>
      <rPr>
        <b/>
        <sz val="9.5"/>
        <color rgb="FF030303"/>
        <rFont val="Arial"/>
        <family val="2"/>
      </rPr>
      <t>Annual Renewals</t>
    </r>
  </si>
  <si>
    <r>
      <rPr>
        <sz val="8"/>
        <color rgb="FF030303"/>
        <rFont val="Arial"/>
        <family val="2"/>
      </rPr>
      <t>Wyner, Paul</t>
    </r>
  </si>
  <si>
    <r>
      <rPr>
        <sz val="8"/>
        <color rgb="FF030303"/>
        <rFont val="Arial"/>
        <family val="2"/>
      </rPr>
      <t>MO</t>
    </r>
  </si>
  <si>
    <r>
      <rPr>
        <sz val="8"/>
        <color rgb="FF030303"/>
        <rFont val="Arial"/>
        <family val="2"/>
      </rPr>
      <t>Renew</t>
    </r>
  </si>
  <si>
    <r>
      <rPr>
        <sz val="8"/>
        <color rgb="FF030303"/>
        <rFont val="Arial"/>
        <family val="2"/>
      </rPr>
      <t>Wyner</t>
    </r>
    <r>
      <rPr>
        <sz val="8"/>
        <color rgb="FF313131"/>
        <rFont val="Arial"/>
        <family val="2"/>
      </rPr>
      <t xml:space="preserve">, </t>
    </r>
    <r>
      <rPr>
        <sz val="8"/>
        <color rgb="FF030303"/>
        <rFont val="Arial"/>
        <family val="2"/>
      </rPr>
      <t>Paul</t>
    </r>
  </si>
  <si>
    <r>
      <rPr>
        <sz val="10"/>
        <color rgb="FF010101"/>
        <rFont val="Arial"/>
        <family val="2"/>
      </rPr>
      <t>Annual Renewals</t>
    </r>
  </si>
  <si>
    <r>
      <rPr>
        <sz val="8.5"/>
        <color rgb="FF010101"/>
        <rFont val="Arial"/>
        <family val="2"/>
      </rPr>
      <t>Member ID</t>
    </r>
  </si>
  <si>
    <r>
      <rPr>
        <sz val="8.5"/>
        <color rgb="FF010101"/>
        <rFont val="Arial"/>
        <family val="2"/>
      </rPr>
      <t>Writing ID</t>
    </r>
  </si>
  <si>
    <r>
      <rPr>
        <sz val="8.5"/>
        <color rgb="FF010101"/>
        <rFont val="Arial"/>
        <family val="2"/>
      </rPr>
      <t>Name</t>
    </r>
  </si>
  <si>
    <r>
      <rPr>
        <sz val="8.5"/>
        <color rgb="FF010101"/>
        <rFont val="Arial"/>
        <family val="2"/>
      </rPr>
      <t>Product</t>
    </r>
  </si>
  <si>
    <r>
      <rPr>
        <sz val="8.5"/>
        <color rgb="FF010101"/>
        <rFont val="Arial"/>
        <family val="2"/>
      </rPr>
      <t>Policy State</t>
    </r>
  </si>
  <si>
    <r>
      <rPr>
        <sz val="8.5"/>
        <color rgb="FF010101"/>
        <rFont val="Arial"/>
        <family val="2"/>
      </rPr>
      <t>Effective Date</t>
    </r>
  </si>
  <si>
    <r>
      <rPr>
        <sz val="8.5"/>
        <color rgb="FF010101"/>
        <rFont val="Arial"/>
        <family val="2"/>
      </rPr>
      <t>Term Date</t>
    </r>
  </si>
  <si>
    <r>
      <rPr>
        <sz val="8.5"/>
        <color rgb="FF010101"/>
        <rFont val="Arial"/>
        <family val="2"/>
      </rPr>
      <t>Term Code</t>
    </r>
  </si>
  <si>
    <r>
      <rPr>
        <sz val="8.5"/>
        <color rgb="FF010101"/>
        <rFont val="Arial"/>
        <family val="2"/>
      </rPr>
      <t>Period</t>
    </r>
  </si>
  <si>
    <r>
      <rPr>
        <sz val="8.5"/>
        <color rgb="FF010101"/>
        <rFont val="Arial"/>
        <family val="2"/>
      </rPr>
      <t>CMS Payment Type</t>
    </r>
  </si>
  <si>
    <r>
      <rPr>
        <sz val="8.5"/>
        <color rgb="FF010101"/>
        <rFont val="Arial"/>
        <family val="2"/>
      </rPr>
      <t>Retro</t>
    </r>
  </si>
  <si>
    <r>
      <rPr>
        <sz val="8.5"/>
        <color rgb="FF010101"/>
        <rFont val="Arial"/>
        <family val="2"/>
      </rPr>
      <t>Total for  Annual Renewals: Yale, Richard</t>
    </r>
  </si>
  <si>
    <r>
      <rPr>
        <sz val="8.5"/>
        <color rgb="FF010101"/>
        <rFont val="Arial"/>
        <family val="2"/>
      </rPr>
      <t xml:space="preserve">$30.41
</t>
    </r>
    <r>
      <rPr>
        <sz val="8.5"/>
        <color rgb="FF010101"/>
        <rFont val="Arial"/>
        <family val="2"/>
      </rPr>
      <t>$1,395.41</t>
    </r>
  </si>
  <si>
    <r>
      <rPr>
        <sz val="8.5"/>
        <color rgb="FF010101"/>
        <rFont val="Arial"/>
        <family val="2"/>
      </rPr>
      <t>Total for Writing Agent       16633294</t>
    </r>
  </si>
  <si>
    <r>
      <rPr>
        <sz val="7.5"/>
        <color rgb="FF030303"/>
        <rFont val="Arial"/>
        <family val="2"/>
      </rPr>
      <t>Attento</t>
    </r>
    <r>
      <rPr>
        <sz val="7.5"/>
        <color rgb="FF2F2F2F"/>
        <rFont val="Arial"/>
        <family val="2"/>
      </rPr>
      <t xml:space="preserve">, </t>
    </r>
    <r>
      <rPr>
        <sz val="7.5"/>
        <color rgb="FF030303"/>
        <rFont val="Arial"/>
        <family val="2"/>
      </rPr>
      <t>Josephine</t>
    </r>
  </si>
  <si>
    <r>
      <rPr>
        <sz val="7.5"/>
        <color rgb="FF030303"/>
        <rFont val="Arial"/>
        <family val="2"/>
      </rPr>
      <t>MA</t>
    </r>
  </si>
  <si>
    <r>
      <rPr>
        <sz val="7.5"/>
        <color rgb="FF030303"/>
        <rFont val="Arial"/>
        <family val="2"/>
      </rPr>
      <t>01/2025</t>
    </r>
  </si>
  <si>
    <r>
      <rPr>
        <sz val="7.5"/>
        <color rgb="FF030303"/>
        <rFont val="Arial"/>
        <family val="2"/>
      </rPr>
      <t>New to Plan</t>
    </r>
  </si>
  <si>
    <r>
      <rPr>
        <b/>
        <sz val="8.5"/>
        <color rgb="FF030303"/>
        <rFont val="Arial"/>
        <family val="2"/>
      </rPr>
      <t>Total for New Enrollments: Walenga, Dale</t>
    </r>
  </si>
  <si>
    <r>
      <rPr>
        <sz val="8.5"/>
        <color rgb="FFCC0505"/>
        <rFont val="Arial"/>
        <family val="2"/>
      </rPr>
      <t>($313</t>
    </r>
    <r>
      <rPr>
        <sz val="8.5"/>
        <color rgb="FFD42F2F"/>
        <rFont val="Arial"/>
        <family val="2"/>
      </rPr>
      <t>.</t>
    </r>
    <r>
      <rPr>
        <sz val="8.5"/>
        <color rgb="FFCC0505"/>
        <rFont val="Arial"/>
        <family val="2"/>
      </rPr>
      <t xml:space="preserve">00)
</t>
    </r>
    <r>
      <rPr>
        <sz val="8.5"/>
        <color rgb="FFCC0505"/>
        <rFont val="Arial"/>
        <family val="2"/>
      </rPr>
      <t>($313.00)</t>
    </r>
  </si>
  <si>
    <r>
      <rPr>
        <b/>
        <sz val="8.5"/>
        <color rgb="FF030303"/>
        <rFont val="Arial"/>
        <family val="2"/>
      </rPr>
      <t>Total for Writing Agent       8325282</t>
    </r>
  </si>
  <si>
    <r>
      <rPr>
        <sz val="8"/>
        <color rgb="FF010101"/>
        <rFont val="Arial"/>
        <family val="2"/>
      </rPr>
      <t>Huget</t>
    </r>
    <r>
      <rPr>
        <sz val="8"/>
        <color rgb="FF2D2D2D"/>
        <rFont val="Arial"/>
        <family val="2"/>
      </rPr>
      <t xml:space="preserve">, </t>
    </r>
    <r>
      <rPr>
        <sz val="8"/>
        <color rgb="FF010101"/>
        <rFont val="Arial"/>
        <family val="2"/>
      </rPr>
      <t>Dolores</t>
    </r>
  </si>
  <si>
    <r>
      <rPr>
        <sz val="8"/>
        <color rgb="FF010101"/>
        <rFont val="Arial"/>
        <family val="2"/>
      </rPr>
      <t>Huget</t>
    </r>
    <r>
      <rPr>
        <sz val="8"/>
        <color rgb="FF414141"/>
        <rFont val="Arial"/>
        <family val="2"/>
      </rPr>
      <t xml:space="preserve">, </t>
    </r>
    <r>
      <rPr>
        <sz val="8"/>
        <color rgb="FF010101"/>
        <rFont val="Arial"/>
        <family val="2"/>
      </rPr>
      <t>Werner</t>
    </r>
  </si>
  <si>
    <r>
      <rPr>
        <sz val="8"/>
        <color rgb="FF010101"/>
        <rFont val="Arial"/>
        <family val="2"/>
      </rPr>
      <t>Huget</t>
    </r>
    <r>
      <rPr>
        <sz val="8"/>
        <color rgb="FF414141"/>
        <rFont val="Arial"/>
        <family val="2"/>
      </rPr>
      <t xml:space="preserve">, </t>
    </r>
    <r>
      <rPr>
        <sz val="8"/>
        <color rgb="FF0F0F0F"/>
        <rFont val="Arial"/>
        <family val="2"/>
      </rPr>
      <t>Werner</t>
    </r>
  </si>
  <si>
    <r>
      <rPr>
        <sz val="8"/>
        <color rgb="FF0F0F0F"/>
        <rFont val="Arial"/>
        <family val="2"/>
      </rPr>
      <t>N</t>
    </r>
  </si>
  <si>
    <r>
      <rPr>
        <sz val="8"/>
        <color rgb="FF0F0F0F"/>
        <rFont val="Arial"/>
        <family val="2"/>
      </rPr>
      <t>Napolitano</t>
    </r>
    <r>
      <rPr>
        <sz val="8"/>
        <color rgb="FF414141"/>
        <rFont val="Arial"/>
        <family val="2"/>
      </rPr>
      <t xml:space="preserve">, </t>
    </r>
    <r>
      <rPr>
        <sz val="8"/>
        <color rgb="FF0F0F0F"/>
        <rFont val="Arial"/>
        <family val="2"/>
      </rPr>
      <t>Vito</t>
    </r>
  </si>
  <si>
    <r>
      <rPr>
        <sz val="9"/>
        <color rgb="FF010101"/>
        <rFont val="Courier New"/>
        <family val="3"/>
      </rPr>
      <t>MA</t>
    </r>
  </si>
  <si>
    <r>
      <rPr>
        <sz val="8"/>
        <color rgb="FF010101"/>
        <rFont val="Arial"/>
        <family val="2"/>
      </rPr>
      <t>Templin</t>
    </r>
    <r>
      <rPr>
        <sz val="8"/>
        <color rgb="FF2D2D2D"/>
        <rFont val="Arial"/>
        <family val="2"/>
      </rPr>
      <t xml:space="preserve">, </t>
    </r>
    <r>
      <rPr>
        <sz val="8"/>
        <color rgb="FF010101"/>
        <rFont val="Arial"/>
        <family val="2"/>
      </rPr>
      <t>Charles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</si>
  <si>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  $313.00
</t>
    </r>
    <r>
      <rPr>
        <b/>
        <sz val="8.5"/>
        <color rgb="FF010101"/>
        <rFont val="Arial"/>
        <family val="2"/>
      </rPr>
      <t xml:space="preserve">Total for Writing Agent        2158366         Horn, Jeffrey                                                                                                                                         </t>
    </r>
    <r>
      <rPr>
        <b/>
        <vertAlign val="subscript"/>
        <sz val="8.5"/>
        <color rgb="FF010101"/>
        <rFont val="Arial"/>
        <family val="2"/>
      </rPr>
      <t>$313.00</t>
    </r>
  </si>
  <si>
    <r>
      <rPr>
        <sz val="8"/>
        <color rgb="FF030303"/>
        <rFont val="Arial"/>
        <family val="2"/>
      </rPr>
      <t>Hansen</t>
    </r>
    <r>
      <rPr>
        <sz val="8"/>
        <color rgb="FF383838"/>
        <rFont val="Arial"/>
        <family val="2"/>
      </rPr>
      <t xml:space="preserve">, </t>
    </r>
    <r>
      <rPr>
        <sz val="8"/>
        <color rgb="FF030303"/>
        <rFont val="Arial"/>
        <family val="2"/>
      </rPr>
      <t>Gary</t>
    </r>
  </si>
  <si>
    <r>
      <rPr>
        <b/>
        <sz val="8.5"/>
        <color rgb="FF030303"/>
        <rFont val="Arial"/>
        <family val="2"/>
      </rPr>
      <t>Total for New Enrollments: Taugner, Christian</t>
    </r>
  </si>
  <si>
    <r>
      <rPr>
        <b/>
        <sz val="8.5"/>
        <color rgb="FF030303"/>
        <rFont val="Arial"/>
        <family val="2"/>
      </rPr>
      <t xml:space="preserve">$0.00
</t>
    </r>
    <r>
      <rPr>
        <b/>
        <sz val="8.5"/>
        <color rgb="FF030303"/>
        <rFont val="Arial"/>
        <family val="2"/>
      </rPr>
      <t>$0.00</t>
    </r>
  </si>
  <si>
    <r>
      <rPr>
        <b/>
        <sz val="8.5"/>
        <color rgb="FF030303"/>
        <rFont val="Arial"/>
        <family val="2"/>
      </rPr>
      <t>Total for Writing Agent        19681796</t>
    </r>
  </si>
  <si>
    <r>
      <rPr>
        <sz val="7.5"/>
        <color rgb="FF010101"/>
        <rFont val="Arial"/>
        <family val="2"/>
      </rPr>
      <t>Arnouil</t>
    </r>
    <r>
      <rPr>
        <sz val="7.5"/>
        <color rgb="FF2F2F2F"/>
        <rFont val="Arial"/>
        <family val="2"/>
      </rPr>
      <t xml:space="preserve">, </t>
    </r>
    <r>
      <rPr>
        <sz val="7.5"/>
        <color rgb="FF010101"/>
        <rFont val="Arial"/>
        <family val="2"/>
      </rPr>
      <t>Janet</t>
    </r>
  </si>
  <si>
    <r>
      <rPr>
        <sz val="7.5"/>
        <color rgb="FF0F0F0F"/>
        <rFont val="Arial"/>
        <family val="2"/>
      </rPr>
      <t>MA</t>
    </r>
  </si>
  <si>
    <r>
      <rPr>
        <sz val="7.5"/>
        <color rgb="FF010101"/>
        <rFont val="Arial"/>
        <family val="2"/>
      </rPr>
      <t>IL</t>
    </r>
  </si>
  <si>
    <r>
      <rPr>
        <sz val="7.5"/>
        <color rgb="FF010101"/>
        <rFont val="Arial"/>
        <family val="2"/>
      </rPr>
      <t>01/2025</t>
    </r>
  </si>
  <si>
    <r>
      <rPr>
        <sz val="7.5"/>
        <color rgb="FF010101"/>
        <rFont val="Arial"/>
        <family val="2"/>
      </rPr>
      <t>New to Plan</t>
    </r>
  </si>
  <si>
    <r>
      <rPr>
        <sz val="7.5"/>
        <color rgb="FF010101"/>
        <rFont val="Arial"/>
        <family val="2"/>
      </rPr>
      <t>N</t>
    </r>
  </si>
  <si>
    <r>
      <rPr>
        <sz val="7.5"/>
        <color rgb="FF010101"/>
        <rFont val="Arial"/>
        <family val="2"/>
      </rPr>
      <t>Arnouil, Janet</t>
    </r>
  </si>
  <si>
    <r>
      <rPr>
        <sz val="7.5"/>
        <color rgb="FF0F0F0F"/>
        <rFont val="Arial"/>
        <family val="2"/>
      </rPr>
      <t xml:space="preserve">New </t>
    </r>
    <r>
      <rPr>
        <sz val="7.5"/>
        <color rgb="FF010101"/>
        <rFont val="Arial"/>
        <family val="2"/>
      </rPr>
      <t>to Plan</t>
    </r>
  </si>
  <si>
    <r>
      <rPr>
        <sz val="7.5"/>
        <color rgb="FF010101"/>
        <rFont val="Arial"/>
        <family val="2"/>
      </rPr>
      <t>Hamilton</t>
    </r>
    <r>
      <rPr>
        <sz val="7.5"/>
        <color rgb="FF2F2F2F"/>
        <rFont val="Arial"/>
        <family val="2"/>
      </rPr>
      <t xml:space="preserve">, </t>
    </r>
    <r>
      <rPr>
        <sz val="7.5"/>
        <color rgb="FF010101"/>
        <rFont val="Arial"/>
        <family val="2"/>
      </rPr>
      <t>Pamela</t>
    </r>
  </si>
  <si>
    <r>
      <rPr>
        <sz val="7.5"/>
        <color rgb="FF010101"/>
        <rFont val="Arial"/>
        <family val="2"/>
      </rPr>
      <t>IN</t>
    </r>
  </si>
  <si>
    <r>
      <rPr>
        <sz val="7.5"/>
        <color rgb="FF010101"/>
        <rFont val="Arial"/>
        <family val="2"/>
      </rPr>
      <t>Initial</t>
    </r>
  </si>
  <si>
    <r>
      <rPr>
        <sz val="7.5"/>
        <color rgb="FF0F0F0F"/>
        <rFont val="Arial"/>
        <family val="2"/>
      </rPr>
      <t>N</t>
    </r>
  </si>
  <si>
    <r>
      <rPr>
        <sz val="7.5"/>
        <color rgb="FF0F0F0F"/>
        <rFont val="Arial"/>
        <family val="2"/>
      </rPr>
      <t>IN</t>
    </r>
  </si>
  <si>
    <r>
      <rPr>
        <sz val="7.5"/>
        <color rgb="FF0F0F0F"/>
        <rFont val="Arial"/>
        <family val="2"/>
      </rPr>
      <t>Initial</t>
    </r>
  </si>
  <si>
    <r>
      <rPr>
        <sz val="7.5"/>
        <color rgb="FF010101"/>
        <rFont val="Arial"/>
        <family val="2"/>
      </rPr>
      <t>Packer, Patricia</t>
    </r>
  </si>
  <si>
    <r>
      <rPr>
        <sz val="7.5"/>
        <color rgb="FF010101"/>
        <rFont val="Arial"/>
        <family val="2"/>
      </rPr>
      <t>MA</t>
    </r>
  </si>
  <si>
    <r>
      <rPr>
        <sz val="7.5"/>
        <color rgb="FF0F0F0F"/>
        <rFont val="Arial"/>
        <family val="2"/>
      </rPr>
      <t>IL</t>
    </r>
  </si>
  <si>
    <r>
      <rPr>
        <b/>
        <sz val="8.5"/>
        <color rgb="FF010101"/>
        <rFont val="Arial"/>
        <family val="2"/>
      </rPr>
      <t>Total for New Enrollments: Portugal, Stacey</t>
    </r>
  </si>
  <si>
    <r>
      <rPr>
        <b/>
        <sz val="8.5"/>
        <color rgb="FF010101"/>
        <rFont val="Arial"/>
        <family val="2"/>
      </rPr>
      <t xml:space="preserve">$0.00
</t>
    </r>
    <r>
      <rPr>
        <b/>
        <sz val="8.5"/>
        <color rgb="FF010101"/>
        <rFont val="Arial"/>
        <family val="2"/>
      </rPr>
      <t>$0.00</t>
    </r>
  </si>
  <si>
    <r>
      <rPr>
        <b/>
        <sz val="8.5"/>
        <color rgb="FF010101"/>
        <rFont val="Arial"/>
        <family val="2"/>
      </rPr>
      <t>Total for Writing Agent       19645587</t>
    </r>
  </si>
  <si>
    <r>
      <rPr>
        <sz val="8"/>
        <color rgb="FF0F0F0F"/>
        <rFont val="Arial"/>
        <family val="2"/>
      </rPr>
      <t xml:space="preserve">Kritikos, </t>
    </r>
    <r>
      <rPr>
        <sz val="8"/>
        <color rgb="FF010101"/>
        <rFont val="Arial"/>
        <family val="2"/>
      </rPr>
      <t>Georgios</t>
    </r>
  </si>
  <si>
    <r>
      <rPr>
        <sz val="8"/>
        <color rgb="FF010101"/>
        <rFont val="Arial"/>
        <family val="2"/>
      </rPr>
      <t>Kusek, Thomas</t>
    </r>
  </si>
  <si>
    <r>
      <rPr>
        <sz val="8"/>
        <color rgb="FF010101"/>
        <rFont val="Arial"/>
        <family val="2"/>
      </rPr>
      <t>Lopez Cano, Graciela</t>
    </r>
  </si>
  <si>
    <r>
      <rPr>
        <b/>
        <sz val="8.5"/>
        <color rgb="FF010101"/>
        <rFont val="Arial"/>
        <family val="2"/>
      </rPr>
      <t xml:space="preserve">Total for New Enrollments:
</t>
    </r>
    <r>
      <rPr>
        <b/>
        <sz val="8.5"/>
        <color rgb="FF010101"/>
        <rFont val="Arial"/>
        <family val="2"/>
      </rPr>
      <t>Wuensch, Richard</t>
    </r>
  </si>
  <si>
    <r>
      <rPr>
        <b/>
        <sz val="8.5"/>
        <color rgb="FF010101"/>
        <rFont val="Arial"/>
        <family val="2"/>
      </rPr>
      <t xml:space="preserve">$286.92
</t>
    </r>
    <r>
      <rPr>
        <b/>
        <sz val="8.5"/>
        <color rgb="FF010101"/>
        <rFont val="Arial"/>
        <family val="2"/>
      </rPr>
      <t>$286.92</t>
    </r>
  </si>
  <si>
    <r>
      <rPr>
        <b/>
        <sz val="8.5"/>
        <color rgb="FF010101"/>
        <rFont val="Arial"/>
        <family val="2"/>
      </rPr>
      <t>Total for Writing Agent        19615078</t>
    </r>
  </si>
  <si>
    <r>
      <rPr>
        <sz val="8"/>
        <color rgb="FF030303"/>
        <rFont val="Arial"/>
        <family val="2"/>
      </rPr>
      <t>Mauldin, Ingrid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</si>
  <si>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Werner, Steven</t>
    </r>
  </si>
  <si>
    <r>
      <rPr>
        <b/>
        <sz val="8.5"/>
        <color rgb="FF030303"/>
        <rFont val="Arial"/>
        <family val="2"/>
      </rPr>
      <t>Total for Writing Agent        19481808</t>
    </r>
  </si>
  <si>
    <r>
      <rPr>
        <sz val="8"/>
        <color rgb="FF030303"/>
        <rFont val="Arial"/>
        <family val="2"/>
      </rPr>
      <t>Hendrickson, Sarah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</si>
  <si>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Total for Writing Agent       17301495         Herrera-Larsen, Esther</t>
    </r>
  </si>
  <si>
    <r>
      <rPr>
        <sz val="8"/>
        <color rgb="FF030303"/>
        <rFont val="Arial"/>
        <family val="2"/>
      </rPr>
      <t>Campanella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Theodora</t>
    </r>
  </si>
  <si>
    <r>
      <rPr>
        <sz val="8"/>
        <color rgb="FF030303"/>
        <rFont val="Arial"/>
        <family val="2"/>
      </rPr>
      <t>Initial</t>
    </r>
  </si>
  <si>
    <r>
      <rPr>
        <sz val="8"/>
        <color rgb="FF030303"/>
        <rFont val="Arial"/>
        <family val="2"/>
      </rPr>
      <t>Campanella, Theodora</t>
    </r>
  </si>
  <si>
    <r>
      <rPr>
        <sz val="8"/>
        <color rgb="FF030303"/>
        <rFont val="Arial"/>
        <family val="2"/>
      </rPr>
      <t>Chilstrom, Marne</t>
    </r>
  </si>
  <si>
    <r>
      <rPr>
        <sz val="8"/>
        <color rgb="FF030303"/>
        <rFont val="Arial"/>
        <family val="2"/>
      </rPr>
      <t>Fluieras, Maria</t>
    </r>
  </si>
  <si>
    <r>
      <rPr>
        <sz val="8"/>
        <color rgb="FF030303"/>
        <rFont val="Arial"/>
        <family val="2"/>
      </rPr>
      <t>Sisty, Carole</t>
    </r>
  </si>
  <si>
    <r>
      <rPr>
        <b/>
        <sz val="8.5"/>
        <color rgb="FF030303"/>
        <rFont val="Arial"/>
        <family val="2"/>
      </rPr>
      <t xml:space="preserve">Total for New Enrollments:                                                                                                                       $0.00
</t>
    </r>
    <r>
      <rPr>
        <b/>
        <sz val="8.5"/>
        <color rgb="FF030303"/>
        <rFont val="Arial"/>
        <family val="2"/>
      </rPr>
      <t xml:space="preserve">Total for Writing Agent       16912722         Petrungaro, Andrea                                                                                                                                    </t>
    </r>
    <r>
      <rPr>
        <b/>
        <vertAlign val="subscript"/>
        <sz val="8.5"/>
        <color rgb="FF030303"/>
        <rFont val="Arial"/>
        <family val="2"/>
      </rPr>
      <t>$0.00</t>
    </r>
  </si>
  <si>
    <r>
      <rPr>
        <b/>
        <sz val="9.5"/>
        <color rgb="FF050505"/>
        <rFont val="Arial"/>
        <family val="2"/>
      </rPr>
      <t>New Enrollment</t>
    </r>
  </si>
  <si>
    <r>
      <rPr>
        <b/>
        <sz val="8.5"/>
        <color rgb="FF050505"/>
        <rFont val="Arial"/>
        <family val="2"/>
      </rPr>
      <t>Member ID</t>
    </r>
  </si>
  <si>
    <r>
      <rPr>
        <b/>
        <sz val="8.5"/>
        <color rgb="FF050505"/>
        <rFont val="Arial"/>
        <family val="2"/>
      </rPr>
      <t>Writing ID</t>
    </r>
  </si>
  <si>
    <r>
      <rPr>
        <b/>
        <sz val="8.5"/>
        <color rgb="FF050505"/>
        <rFont val="Arial"/>
        <family val="2"/>
      </rPr>
      <t>Name</t>
    </r>
  </si>
  <si>
    <r>
      <rPr>
        <b/>
        <sz val="8.5"/>
        <color rgb="FF050505"/>
        <rFont val="Arial"/>
        <family val="2"/>
      </rPr>
      <t>Product</t>
    </r>
  </si>
  <si>
    <r>
      <rPr>
        <b/>
        <sz val="8.5"/>
        <color rgb="FF050505"/>
        <rFont val="Arial"/>
        <family val="2"/>
      </rPr>
      <t>Policy State</t>
    </r>
  </si>
  <si>
    <r>
      <rPr>
        <b/>
        <sz val="8.5"/>
        <color rgb="FF050505"/>
        <rFont val="Arial"/>
        <family val="2"/>
      </rPr>
      <t>Effective Date</t>
    </r>
  </si>
  <si>
    <r>
      <rPr>
        <b/>
        <sz val="8.5"/>
        <color rgb="FF050505"/>
        <rFont val="Arial"/>
        <family val="2"/>
      </rPr>
      <t>Term Date</t>
    </r>
  </si>
  <si>
    <r>
      <rPr>
        <b/>
        <sz val="8.5"/>
        <color rgb="FF050505"/>
        <rFont val="Arial"/>
        <family val="2"/>
      </rPr>
      <t>Term Code</t>
    </r>
  </si>
  <si>
    <r>
      <rPr>
        <b/>
        <sz val="8.5"/>
        <color rgb="FF050505"/>
        <rFont val="Arial"/>
        <family val="2"/>
      </rPr>
      <t>Period</t>
    </r>
  </si>
  <si>
    <r>
      <rPr>
        <b/>
        <sz val="8.5"/>
        <color rgb="FF050505"/>
        <rFont val="Arial"/>
        <family val="2"/>
      </rPr>
      <t>CMS Payment Type</t>
    </r>
  </si>
  <si>
    <r>
      <rPr>
        <b/>
        <sz val="8.5"/>
        <color rgb="FF050505"/>
        <rFont val="Arial"/>
        <family val="2"/>
      </rPr>
      <t>Retro</t>
    </r>
  </si>
  <si>
    <r>
      <rPr>
        <b/>
        <sz val="8.5"/>
        <color rgb="FF050505"/>
        <rFont val="Arial"/>
        <family val="2"/>
      </rPr>
      <t>Commission Amount</t>
    </r>
  </si>
  <si>
    <r>
      <rPr>
        <sz val="7.5"/>
        <color rgb="FF050505"/>
        <rFont val="Arial"/>
        <family val="2"/>
      </rPr>
      <t>Boykin</t>
    </r>
    <r>
      <rPr>
        <sz val="7.5"/>
        <color rgb="FF363636"/>
        <rFont val="Arial"/>
        <family val="2"/>
      </rPr>
      <t xml:space="preserve">, </t>
    </r>
    <r>
      <rPr>
        <sz val="7.5"/>
        <color rgb="FF050505"/>
        <rFont val="Arial"/>
        <family val="2"/>
      </rPr>
      <t>Alma</t>
    </r>
  </si>
  <si>
    <r>
      <rPr>
        <sz val="7.5"/>
        <color rgb="FF050505"/>
        <rFont val="Arial"/>
        <family val="2"/>
      </rPr>
      <t>MA</t>
    </r>
  </si>
  <si>
    <r>
      <rPr>
        <sz val="7.5"/>
        <color rgb="FF050505"/>
        <rFont val="Arial"/>
        <family val="2"/>
      </rPr>
      <t>IL</t>
    </r>
  </si>
  <si>
    <r>
      <rPr>
        <sz val="7.5"/>
        <color rgb="FF050505"/>
        <rFont val="Arial"/>
        <family val="2"/>
      </rPr>
      <t>01/2025</t>
    </r>
  </si>
  <si>
    <r>
      <rPr>
        <sz val="7.5"/>
        <color rgb="FF050505"/>
        <rFont val="Arial"/>
        <family val="2"/>
      </rPr>
      <t>New to Plan</t>
    </r>
  </si>
  <si>
    <r>
      <rPr>
        <sz val="7.5"/>
        <color rgb="FF050505"/>
        <rFont val="Arial"/>
        <family val="2"/>
      </rPr>
      <t>N</t>
    </r>
  </si>
  <si>
    <r>
      <rPr>
        <sz val="7.5"/>
        <color rgb="FF050505"/>
        <rFont val="Arial"/>
        <family val="2"/>
      </rPr>
      <t>Boykin, Alma</t>
    </r>
  </si>
  <si>
    <r>
      <rPr>
        <sz val="7.5"/>
        <color rgb="FF050505"/>
        <rFont val="Arial"/>
        <family val="2"/>
      </rPr>
      <t>y</t>
    </r>
  </si>
  <si>
    <r>
      <rPr>
        <sz val="7.5"/>
        <color rgb="FF050505"/>
        <rFont val="Arial"/>
        <family val="2"/>
      </rPr>
      <t>Frick, Kenneth</t>
    </r>
  </si>
  <si>
    <r>
      <rPr>
        <sz val="7.5"/>
        <color rgb="FF050505"/>
        <rFont val="Arial"/>
        <family val="2"/>
      </rPr>
      <t>Frick, Donna</t>
    </r>
  </si>
  <si>
    <r>
      <rPr>
        <sz val="7.5"/>
        <color rgb="FF050505"/>
        <rFont val="Arial"/>
        <family val="2"/>
      </rPr>
      <t>Gumbiner</t>
    </r>
    <r>
      <rPr>
        <sz val="7.5"/>
        <color rgb="FF363636"/>
        <rFont val="Arial"/>
        <family val="2"/>
      </rPr>
      <t xml:space="preserve">, </t>
    </r>
    <r>
      <rPr>
        <sz val="7.5"/>
        <color rgb="FF050505"/>
        <rFont val="Arial"/>
        <family val="2"/>
      </rPr>
      <t>Gail</t>
    </r>
  </si>
  <si>
    <r>
      <rPr>
        <sz val="7.5"/>
        <color rgb="FF050505"/>
        <rFont val="Arial"/>
        <family val="2"/>
      </rPr>
      <t>Gumbiner</t>
    </r>
    <r>
      <rPr>
        <sz val="7.5"/>
        <color rgb="FF484848"/>
        <rFont val="Arial"/>
        <family val="2"/>
      </rPr>
      <t xml:space="preserve">, </t>
    </r>
    <r>
      <rPr>
        <sz val="7.5"/>
        <color rgb="FF050505"/>
        <rFont val="Arial"/>
        <family val="2"/>
      </rPr>
      <t>Gail</t>
    </r>
  </si>
  <si>
    <r>
      <rPr>
        <sz val="7.5"/>
        <color rgb="FF050505"/>
        <rFont val="Arial"/>
        <family val="2"/>
      </rPr>
      <t>Kanter, Larry</t>
    </r>
  </si>
  <si>
    <r>
      <rPr>
        <sz val="7.5"/>
        <color rgb="FF050505"/>
        <rFont val="Arial"/>
        <family val="2"/>
      </rPr>
      <t>Kanter, Corrine</t>
    </r>
  </si>
  <si>
    <r>
      <rPr>
        <sz val="7.5"/>
        <color rgb="FF050505"/>
        <rFont val="Arial"/>
        <family val="2"/>
      </rPr>
      <t>Kuenzel</t>
    </r>
    <r>
      <rPr>
        <sz val="7.5"/>
        <color rgb="FF363636"/>
        <rFont val="Arial"/>
        <family val="2"/>
      </rPr>
      <t xml:space="preserve">, </t>
    </r>
    <r>
      <rPr>
        <sz val="7.5"/>
        <color rgb="FF050505"/>
        <rFont val="Arial"/>
        <family val="2"/>
      </rPr>
      <t>Chrisanne</t>
    </r>
  </si>
  <si>
    <r>
      <rPr>
        <sz val="7.5"/>
        <color rgb="FF050505"/>
        <rFont val="Arial"/>
        <family val="2"/>
      </rPr>
      <t>Kuenzel, Chrisanne</t>
    </r>
  </si>
  <si>
    <r>
      <rPr>
        <sz val="7.5"/>
        <color rgb="FF050505"/>
        <rFont val="Arial"/>
        <family val="2"/>
      </rPr>
      <t>Langton, Joyce</t>
    </r>
  </si>
  <si>
    <r>
      <rPr>
        <sz val="7.5"/>
        <color rgb="FF050505"/>
        <rFont val="Arial"/>
        <family val="2"/>
      </rPr>
      <t>Langton</t>
    </r>
    <r>
      <rPr>
        <sz val="7.5"/>
        <color rgb="FF363636"/>
        <rFont val="Arial"/>
        <family val="2"/>
      </rPr>
      <t xml:space="preserve">, </t>
    </r>
    <r>
      <rPr>
        <sz val="7.5"/>
        <color rgb="FF050505"/>
        <rFont val="Arial"/>
        <family val="2"/>
      </rPr>
      <t>Joyce</t>
    </r>
  </si>
  <si>
    <r>
      <rPr>
        <sz val="7.5"/>
        <color rgb="FF050505"/>
        <rFont val="Arial"/>
        <family val="2"/>
      </rPr>
      <t>McDonald, Lisa</t>
    </r>
  </si>
  <si>
    <r>
      <rPr>
        <sz val="7.5"/>
        <color rgb="FF050505"/>
        <rFont val="Arial"/>
        <family val="2"/>
      </rPr>
      <t>Myers</t>
    </r>
    <r>
      <rPr>
        <sz val="7.5"/>
        <color rgb="FF363636"/>
        <rFont val="Arial"/>
        <family val="2"/>
      </rPr>
      <t xml:space="preserve">, </t>
    </r>
    <r>
      <rPr>
        <sz val="7.5"/>
        <color rgb="FF050505"/>
        <rFont val="Arial"/>
        <family val="2"/>
      </rPr>
      <t>Martin</t>
    </r>
  </si>
  <si>
    <r>
      <rPr>
        <sz val="7.5"/>
        <color rgb="FF050505"/>
        <rFont val="Arial"/>
        <family val="2"/>
      </rPr>
      <t>Omark</t>
    </r>
    <r>
      <rPr>
        <sz val="7.5"/>
        <color rgb="FF363636"/>
        <rFont val="Arial"/>
        <family val="2"/>
      </rPr>
      <t xml:space="preserve">, </t>
    </r>
    <r>
      <rPr>
        <sz val="7.5"/>
        <color rgb="FF050505"/>
        <rFont val="Arial"/>
        <family val="2"/>
      </rPr>
      <t>Carl</t>
    </r>
  </si>
  <si>
    <r>
      <rPr>
        <sz val="7.5"/>
        <color rgb="FF050505"/>
        <rFont val="Arial"/>
        <family val="2"/>
      </rPr>
      <t>Omark, Carl</t>
    </r>
  </si>
  <si>
    <r>
      <rPr>
        <sz val="7.5"/>
        <color rgb="FF010101"/>
        <rFont val="Arial"/>
        <family val="2"/>
      </rPr>
      <t xml:space="preserve">Patterson </t>
    </r>
    <r>
      <rPr>
        <sz val="7.5"/>
        <color rgb="FF0F0F0F"/>
        <rFont val="Arial"/>
        <family val="2"/>
      </rPr>
      <t>Sebanc</t>
    </r>
    <r>
      <rPr>
        <sz val="7.5"/>
        <color rgb="FF424242"/>
        <rFont val="Arial"/>
        <family val="2"/>
      </rPr>
      <t xml:space="preserve">, </t>
    </r>
    <r>
      <rPr>
        <sz val="7.5"/>
        <color rgb="FF010101"/>
        <rFont val="Arial"/>
        <family val="2"/>
      </rPr>
      <t>Renay</t>
    </r>
  </si>
  <si>
    <r>
      <rPr>
        <sz val="7.5"/>
        <color rgb="FF010101"/>
        <rFont val="Arial"/>
        <family val="2"/>
      </rPr>
      <t xml:space="preserve">Patterson Sebanc, </t>
    </r>
    <r>
      <rPr>
        <sz val="7.5"/>
        <color rgb="FF0F0F0F"/>
        <rFont val="Arial"/>
        <family val="2"/>
      </rPr>
      <t>Renay</t>
    </r>
  </si>
  <si>
    <r>
      <rPr>
        <sz val="7.5"/>
        <color rgb="FF010101"/>
        <rFont val="Arial"/>
        <family val="2"/>
      </rPr>
      <t>Seidell, Helene</t>
    </r>
  </si>
  <si>
    <r>
      <rPr>
        <sz val="7.5"/>
        <color rgb="FF0F0F0F"/>
        <rFont val="Arial"/>
        <family val="2"/>
      </rPr>
      <t>01/2025</t>
    </r>
  </si>
  <si>
    <r>
      <rPr>
        <sz val="7.5"/>
        <color rgb="FF0F0F0F"/>
        <rFont val="Arial"/>
        <family val="2"/>
      </rPr>
      <t xml:space="preserve">Seidell, </t>
    </r>
    <r>
      <rPr>
        <sz val="7.5"/>
        <color rgb="FF010101"/>
        <rFont val="Arial"/>
        <family val="2"/>
      </rPr>
      <t>Helene</t>
    </r>
  </si>
  <si>
    <r>
      <rPr>
        <sz val="7.5"/>
        <color rgb="FF010101"/>
        <rFont val="Arial"/>
        <family val="2"/>
      </rPr>
      <t>Silver!, Donald</t>
    </r>
  </si>
  <si>
    <r>
      <rPr>
        <sz val="7.5"/>
        <color rgb="FF0F0F0F"/>
        <rFont val="Arial"/>
        <family val="2"/>
      </rPr>
      <t xml:space="preserve">Silvert, </t>
    </r>
    <r>
      <rPr>
        <sz val="7.5"/>
        <color rgb="FF010101"/>
        <rFont val="Arial"/>
        <family val="2"/>
      </rPr>
      <t>Donald</t>
    </r>
  </si>
  <si>
    <r>
      <rPr>
        <sz val="7.5"/>
        <color rgb="FF0F0F0F"/>
        <rFont val="Arial"/>
        <family val="2"/>
      </rPr>
      <t xml:space="preserve">Silver!, </t>
    </r>
    <r>
      <rPr>
        <sz val="7.5"/>
        <color rgb="FF010101"/>
        <rFont val="Arial"/>
        <family val="2"/>
      </rPr>
      <t>Anita</t>
    </r>
  </si>
  <si>
    <r>
      <rPr>
        <sz val="7.5"/>
        <color rgb="FF0F0F0F"/>
        <rFont val="Arial"/>
        <family val="2"/>
      </rPr>
      <t>Weitzman, Kenneth</t>
    </r>
  </si>
  <si>
    <r>
      <rPr>
        <sz val="7.5"/>
        <color rgb="FF010101"/>
        <rFont val="Arial"/>
        <family val="2"/>
      </rPr>
      <t xml:space="preserve">Weitzman, </t>
    </r>
    <r>
      <rPr>
        <sz val="7.5"/>
        <color rgb="FF0F0F0F"/>
        <rFont val="Arial"/>
        <family val="2"/>
      </rPr>
      <t>Kenneth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</si>
  <si>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 </t>
    </r>
    <r>
      <rPr>
        <b/>
        <sz val="8.5"/>
        <color rgb="FFCD0808"/>
        <rFont val="Arial"/>
        <family val="2"/>
      </rPr>
      <t>($313.00)</t>
    </r>
  </si>
  <si>
    <r>
      <rPr>
        <b/>
        <sz val="9.5"/>
        <color rgb="FF010101"/>
        <rFont val="Arial"/>
        <family val="2"/>
      </rPr>
      <t>Annual Renewals</t>
    </r>
  </si>
  <si>
    <r>
      <rPr>
        <sz val="7.5"/>
        <color rgb="FF0F0F0F"/>
        <rFont val="Arial"/>
        <family val="2"/>
      </rPr>
      <t xml:space="preserve">Wyner, </t>
    </r>
    <r>
      <rPr>
        <sz val="7.5"/>
        <color rgb="FF010101"/>
        <rFont val="Arial"/>
        <family val="2"/>
      </rPr>
      <t>Paul</t>
    </r>
  </si>
  <si>
    <r>
      <rPr>
        <sz val="7.5"/>
        <color rgb="FF0F0F0F"/>
        <rFont val="Arial"/>
        <family val="2"/>
      </rPr>
      <t>MO</t>
    </r>
  </si>
  <si>
    <r>
      <rPr>
        <sz val="7.5"/>
        <color rgb="FF010101"/>
        <rFont val="Arial"/>
        <family val="2"/>
      </rPr>
      <t>Renew</t>
    </r>
  </si>
  <si>
    <r>
      <rPr>
        <sz val="7.5"/>
        <color rgb="FF010101"/>
        <rFont val="Arial"/>
        <family val="2"/>
      </rPr>
      <t>Wyner</t>
    </r>
    <r>
      <rPr>
        <sz val="7.5"/>
        <color rgb="FF2A2A2A"/>
        <rFont val="Arial"/>
        <family val="2"/>
      </rPr>
      <t xml:space="preserve">, </t>
    </r>
    <r>
      <rPr>
        <sz val="7.5"/>
        <color rgb="FF010101"/>
        <rFont val="Arial"/>
        <family val="2"/>
      </rPr>
      <t>Paul</t>
    </r>
  </si>
  <si>
    <r>
      <rPr>
        <sz val="7.5"/>
        <color rgb="FF010101"/>
        <rFont val="Arial"/>
        <family val="2"/>
      </rPr>
      <t>Wyner, Paul</t>
    </r>
  </si>
  <si>
    <r>
      <rPr>
        <sz val="7.5"/>
        <color rgb="FF010101"/>
        <rFont val="Arial"/>
        <family val="2"/>
      </rPr>
      <t>02/2025</t>
    </r>
  </si>
  <si>
    <r>
      <rPr>
        <b/>
        <sz val="8.5"/>
        <color rgb="FF010101"/>
        <rFont val="Arial"/>
        <family val="2"/>
      </rPr>
      <t xml:space="preserve">Total for Annual Renewals:
</t>
    </r>
    <r>
      <rPr>
        <b/>
        <sz val="8.5"/>
        <color rgb="FF010101"/>
        <rFont val="Arial"/>
        <family val="2"/>
      </rPr>
      <t>Yale, Richard</t>
    </r>
  </si>
  <si>
    <r>
      <rPr>
        <b/>
        <sz val="8.5"/>
        <color rgb="FFCD0808"/>
        <rFont val="Arial"/>
        <family val="2"/>
      </rPr>
      <t xml:space="preserve">$26.08
</t>
    </r>
    <r>
      <rPr>
        <b/>
        <sz val="8.5"/>
        <color rgb="FFCD0808"/>
        <rFont val="Arial"/>
        <family val="2"/>
      </rPr>
      <t>($286.92)</t>
    </r>
  </si>
  <si>
    <r>
      <rPr>
        <b/>
        <sz val="8.5"/>
        <color rgb="FF010101"/>
        <rFont val="Arial"/>
        <family val="2"/>
      </rPr>
      <t>Total for Writing Agent       16633294</t>
    </r>
  </si>
  <si>
    <r>
      <rPr>
        <b/>
        <sz val="10.5"/>
        <color rgb="FF010101"/>
        <rFont val="Arial"/>
        <family val="2"/>
      </rPr>
      <t xml:space="preserve">Total for Writing Agent       </t>
    </r>
    <r>
      <rPr>
        <b/>
        <sz val="11.5"/>
        <color rgb="FF010101"/>
        <rFont val="Courier New"/>
        <family val="3"/>
      </rPr>
      <t xml:space="preserve">16633294    </t>
    </r>
    <r>
      <rPr>
        <b/>
        <sz val="10.5"/>
        <color rgb="FF010101"/>
        <rFont val="Arial"/>
        <family val="2"/>
      </rPr>
      <t>Yale, Richard</t>
    </r>
  </si>
  <si>
    <t>Dale Walenga</t>
  </si>
  <si>
    <t>Jeffrey Horn</t>
  </si>
  <si>
    <t>Christian Taugner</t>
  </si>
  <si>
    <t>Stacey Portugal</t>
  </si>
  <si>
    <t>Richard Wuensch</t>
  </si>
  <si>
    <t>Steven Werner</t>
  </si>
  <si>
    <t>Esther Herrera-Larsen</t>
  </si>
  <si>
    <t>Andrea Petrungaro</t>
  </si>
  <si>
    <t>Richard Yale</t>
  </si>
  <si>
    <t>Main Line Benefits</t>
  </si>
  <si>
    <r>
      <rPr>
        <b/>
        <sz val="10"/>
        <color rgb="FF010101"/>
        <rFont val="Arial"/>
        <family val="2"/>
      </rPr>
      <t>Member ID</t>
    </r>
  </si>
  <si>
    <r>
      <rPr>
        <b/>
        <sz val="10"/>
        <color rgb="FF010101"/>
        <rFont val="Arial"/>
        <family val="2"/>
      </rPr>
      <t>Writing ID</t>
    </r>
  </si>
  <si>
    <r>
      <rPr>
        <b/>
        <sz val="10"/>
        <color rgb="FF010101"/>
        <rFont val="Arial"/>
        <family val="2"/>
      </rPr>
      <t>Name</t>
    </r>
  </si>
  <si>
    <r>
      <rPr>
        <b/>
        <sz val="10"/>
        <color rgb="FF010101"/>
        <rFont val="Arial"/>
        <family val="2"/>
      </rPr>
      <t>Product</t>
    </r>
  </si>
  <si>
    <r>
      <rPr>
        <b/>
        <sz val="10"/>
        <color rgb="FF010101"/>
        <rFont val="Arial"/>
        <family val="2"/>
      </rPr>
      <t>Policy State</t>
    </r>
  </si>
  <si>
    <r>
      <rPr>
        <b/>
        <sz val="10"/>
        <color rgb="FF010101"/>
        <rFont val="Arial"/>
        <family val="2"/>
      </rPr>
      <t>Effective Date</t>
    </r>
  </si>
  <si>
    <r>
      <rPr>
        <b/>
        <sz val="10"/>
        <color rgb="FF010101"/>
        <rFont val="Arial"/>
        <family val="2"/>
      </rPr>
      <t>Period</t>
    </r>
  </si>
  <si>
    <r>
      <rPr>
        <b/>
        <sz val="10"/>
        <color rgb="FF010101"/>
        <rFont val="Arial"/>
        <family val="2"/>
      </rPr>
      <t>CMS Payment Type</t>
    </r>
  </si>
  <si>
    <r>
      <rPr>
        <sz val="10"/>
        <color rgb="FF010101"/>
        <rFont val="Arial"/>
        <family val="2"/>
      </rPr>
      <t>Commission Amount</t>
    </r>
  </si>
  <si>
    <r>
      <rPr>
        <sz val="10"/>
        <color rgb="FF010101"/>
        <rFont val="Arial"/>
        <family val="2"/>
      </rPr>
      <t>Attento, Josephine</t>
    </r>
  </si>
  <si>
    <r>
      <rPr>
        <sz val="10"/>
        <color rgb="FF111111"/>
        <rFont val="Arial"/>
        <family val="2"/>
      </rPr>
      <t>MA</t>
    </r>
  </si>
  <si>
    <r>
      <rPr>
        <sz val="10"/>
        <color rgb="FF010101"/>
        <rFont val="Arial"/>
        <family val="2"/>
      </rPr>
      <t>IL</t>
    </r>
  </si>
  <si>
    <r>
      <rPr>
        <sz val="10"/>
        <color rgb="FF010101"/>
        <rFont val="Arial"/>
        <family val="2"/>
      </rPr>
      <t>01/2025</t>
    </r>
  </si>
  <si>
    <r>
      <rPr>
        <sz val="10"/>
        <color rgb="FF111111"/>
        <rFont val="Arial"/>
        <family val="2"/>
      </rPr>
      <t xml:space="preserve">New </t>
    </r>
    <r>
      <rPr>
        <sz val="10"/>
        <color rgb="FF010101"/>
        <rFont val="Arial"/>
        <family val="2"/>
      </rPr>
      <t>to Plan</t>
    </r>
  </si>
  <si>
    <r>
      <rPr>
        <sz val="10"/>
        <color rgb="FF010101"/>
        <rFont val="Arial"/>
        <family val="2"/>
      </rPr>
      <t>Bauer</t>
    </r>
    <r>
      <rPr>
        <sz val="10"/>
        <color rgb="FF414141"/>
        <rFont val="Arial"/>
        <family val="2"/>
      </rPr>
      <t xml:space="preserve">, </t>
    </r>
    <r>
      <rPr>
        <sz val="10"/>
        <color rgb="FF010101"/>
        <rFont val="Arial"/>
        <family val="2"/>
      </rPr>
      <t>Dorothy</t>
    </r>
  </si>
  <si>
    <r>
      <rPr>
        <sz val="10"/>
        <color rgb="FF0F0F0F"/>
        <rFont val="Arial"/>
        <family val="2"/>
      </rPr>
      <t>MA</t>
    </r>
  </si>
  <si>
    <r>
      <rPr>
        <sz val="10"/>
        <color rgb="FF010101"/>
        <rFont val="Arial"/>
        <family val="2"/>
      </rPr>
      <t>02/2025</t>
    </r>
  </si>
  <si>
    <r>
      <rPr>
        <sz val="10"/>
        <color rgb="FF010101"/>
        <rFont val="Arial"/>
        <family val="2"/>
      </rPr>
      <t>Initial</t>
    </r>
  </si>
  <si>
    <r>
      <rPr>
        <sz val="10"/>
        <color rgb="FF010101"/>
        <rFont val="Arial"/>
        <family val="2"/>
      </rPr>
      <t>Bensing</t>
    </r>
    <r>
      <rPr>
        <sz val="10"/>
        <color rgb="FF2D2D2D"/>
        <rFont val="Arial"/>
        <family val="2"/>
      </rPr>
      <t xml:space="preserve">, </t>
    </r>
    <r>
      <rPr>
        <sz val="10"/>
        <color rgb="FF010101"/>
        <rFont val="Arial"/>
        <family val="2"/>
      </rPr>
      <t>Donald</t>
    </r>
  </si>
  <si>
    <r>
      <rPr>
        <sz val="10"/>
        <color rgb="FF0F0F0F"/>
        <rFont val="Arial"/>
        <family val="2"/>
      </rPr>
      <t xml:space="preserve">New </t>
    </r>
    <r>
      <rPr>
        <sz val="10"/>
        <color rgb="FF010101"/>
        <rFont val="Arial"/>
        <family val="2"/>
      </rPr>
      <t>to Plan</t>
    </r>
  </si>
  <si>
    <r>
      <rPr>
        <sz val="10"/>
        <color rgb="FF010101"/>
        <rFont val="Arial"/>
        <family val="2"/>
      </rPr>
      <t>Huget</t>
    </r>
    <r>
      <rPr>
        <sz val="10"/>
        <color rgb="FF414141"/>
        <rFont val="Arial"/>
        <family val="2"/>
      </rPr>
      <t xml:space="preserve">, </t>
    </r>
    <r>
      <rPr>
        <sz val="10"/>
        <color rgb="FF010101"/>
        <rFont val="Arial"/>
        <family val="2"/>
      </rPr>
      <t>Dolores</t>
    </r>
  </si>
  <si>
    <r>
      <rPr>
        <sz val="10"/>
        <color rgb="FF0F0F0F"/>
        <rFont val="Arial"/>
        <family val="2"/>
      </rPr>
      <t>01/2025</t>
    </r>
  </si>
  <si>
    <r>
      <rPr>
        <sz val="10"/>
        <color rgb="FF010101"/>
        <rFont val="Arial"/>
        <family val="2"/>
      </rPr>
      <t>Huget</t>
    </r>
    <r>
      <rPr>
        <sz val="10"/>
        <color rgb="FF2D2D2D"/>
        <rFont val="Arial"/>
        <family val="2"/>
      </rPr>
      <t xml:space="preserve">, </t>
    </r>
    <r>
      <rPr>
        <sz val="10"/>
        <color rgb="FF010101"/>
        <rFont val="Arial"/>
        <family val="2"/>
      </rPr>
      <t>Werner</t>
    </r>
  </si>
  <si>
    <r>
      <rPr>
        <sz val="10"/>
        <color rgb="FF010101"/>
        <rFont val="Arial"/>
        <family val="2"/>
      </rPr>
      <t>New to Plan</t>
    </r>
  </si>
  <si>
    <r>
      <rPr>
        <sz val="10"/>
        <color rgb="FF010101"/>
        <rFont val="Arial"/>
        <family val="2"/>
      </rPr>
      <t xml:space="preserve">Napolitano, </t>
    </r>
    <r>
      <rPr>
        <sz val="10"/>
        <color rgb="FF0F0F0F"/>
        <rFont val="Arial"/>
        <family val="2"/>
      </rPr>
      <t>Vito</t>
    </r>
  </si>
  <si>
    <r>
      <rPr>
        <sz val="10"/>
        <color rgb="FF0F0F0F"/>
        <rFont val="Arial"/>
        <family val="2"/>
      </rPr>
      <t xml:space="preserve">Szela, </t>
    </r>
    <r>
      <rPr>
        <sz val="10"/>
        <color rgb="FF010101"/>
        <rFont val="Arial"/>
        <family val="2"/>
      </rPr>
      <t>Florence</t>
    </r>
  </si>
  <si>
    <r>
      <rPr>
        <sz val="10"/>
        <color rgb="FF0F0F0F"/>
        <rFont val="Arial"/>
        <family val="2"/>
      </rPr>
      <t>IL</t>
    </r>
  </si>
  <si>
    <r>
      <rPr>
        <sz val="10"/>
        <color rgb="FF030303"/>
        <rFont val="Arial"/>
        <family val="2"/>
      </rPr>
      <t>Hansen</t>
    </r>
    <r>
      <rPr>
        <sz val="10"/>
        <color rgb="FF3D3D3D"/>
        <rFont val="Arial"/>
        <family val="2"/>
      </rPr>
      <t xml:space="preserve">, </t>
    </r>
    <r>
      <rPr>
        <sz val="10"/>
        <color rgb="FF030303"/>
        <rFont val="Arial"/>
        <family val="2"/>
      </rPr>
      <t>Gary</t>
    </r>
  </si>
  <si>
    <r>
      <rPr>
        <sz val="10"/>
        <color rgb="FF030303"/>
        <rFont val="Arial"/>
        <family val="2"/>
      </rPr>
      <t>MA</t>
    </r>
  </si>
  <si>
    <r>
      <rPr>
        <sz val="10"/>
        <color rgb="FF030303"/>
        <rFont val="Arial"/>
        <family val="2"/>
      </rPr>
      <t>IL</t>
    </r>
  </si>
  <si>
    <r>
      <rPr>
        <sz val="10"/>
        <color rgb="FF030303"/>
        <rFont val="Arial"/>
        <family val="2"/>
      </rPr>
      <t>01/2025</t>
    </r>
  </si>
  <si>
    <r>
      <rPr>
        <sz val="10"/>
        <color rgb="FF030303"/>
        <rFont val="Arial"/>
        <family val="2"/>
      </rPr>
      <t>New to Plan</t>
    </r>
  </si>
  <si>
    <r>
      <rPr>
        <sz val="10"/>
        <color rgb="FF030303"/>
        <rFont val="Arial"/>
        <family val="2"/>
      </rPr>
      <t>Arnouil</t>
    </r>
    <r>
      <rPr>
        <sz val="10"/>
        <color rgb="FF383838"/>
        <rFont val="Arial"/>
        <family val="2"/>
      </rPr>
      <t xml:space="preserve">, </t>
    </r>
    <r>
      <rPr>
        <sz val="10"/>
        <color rgb="FF030303"/>
        <rFont val="Arial"/>
        <family val="2"/>
      </rPr>
      <t>Janet</t>
    </r>
  </si>
  <si>
    <r>
      <rPr>
        <sz val="10"/>
        <color rgb="FF030303"/>
        <rFont val="Arial"/>
        <family val="2"/>
      </rPr>
      <t>Packer, Patricia</t>
    </r>
  </si>
  <si>
    <r>
      <rPr>
        <sz val="10"/>
        <color rgb="FF030303"/>
        <rFont val="Arial"/>
        <family val="2"/>
      </rPr>
      <t>Kritikos</t>
    </r>
    <r>
      <rPr>
        <sz val="10"/>
        <color rgb="FF2D2D2D"/>
        <rFont val="Arial"/>
        <family val="2"/>
      </rPr>
      <t xml:space="preserve">, </t>
    </r>
    <r>
      <rPr>
        <sz val="10"/>
        <color rgb="FF030303"/>
        <rFont val="Arial"/>
        <family val="2"/>
      </rPr>
      <t>Georgios</t>
    </r>
  </si>
  <si>
    <r>
      <rPr>
        <sz val="10"/>
        <color rgb="FF030303"/>
        <rFont val="Arial"/>
        <family val="2"/>
      </rPr>
      <t>Kusek, Thomas</t>
    </r>
  </si>
  <si>
    <r>
      <rPr>
        <sz val="10"/>
        <color rgb="FF030303"/>
        <rFont val="Arial"/>
        <family val="2"/>
      </rPr>
      <t>Lopez Cano, Graciela</t>
    </r>
  </si>
  <si>
    <r>
      <rPr>
        <sz val="10"/>
        <color rgb="FF030303"/>
        <rFont val="Arial"/>
        <family val="2"/>
      </rPr>
      <t>02/2025</t>
    </r>
  </si>
  <si>
    <r>
      <rPr>
        <sz val="10"/>
        <color rgb="FF030303"/>
        <rFont val="Arial"/>
        <family val="2"/>
      </rPr>
      <t>Mauldin</t>
    </r>
    <r>
      <rPr>
        <sz val="10"/>
        <color rgb="FF343434"/>
        <rFont val="Arial"/>
        <family val="2"/>
      </rPr>
      <t xml:space="preserve">, </t>
    </r>
    <r>
      <rPr>
        <sz val="10"/>
        <color rgb="FF030303"/>
        <rFont val="Arial"/>
        <family val="2"/>
      </rPr>
      <t>Ingrid</t>
    </r>
  </si>
  <si>
    <r>
      <rPr>
        <sz val="10"/>
        <color rgb="FF030303"/>
        <rFont val="Arial"/>
        <family val="2"/>
      </rPr>
      <t>Hendrickson</t>
    </r>
    <r>
      <rPr>
        <sz val="10"/>
        <color rgb="FF444444"/>
        <rFont val="Arial"/>
        <family val="2"/>
      </rPr>
      <t xml:space="preserve">, </t>
    </r>
    <r>
      <rPr>
        <sz val="10"/>
        <color rgb="FF030303"/>
        <rFont val="Arial"/>
        <family val="2"/>
      </rPr>
      <t>Sarah</t>
    </r>
  </si>
  <si>
    <r>
      <rPr>
        <sz val="10"/>
        <color rgb="FF030303"/>
        <rFont val="Arial"/>
        <family val="2"/>
      </rPr>
      <t>Boykin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Alma</t>
    </r>
  </si>
  <si>
    <r>
      <rPr>
        <sz val="10"/>
        <color rgb="FF030303"/>
        <rFont val="Arial"/>
        <family val="2"/>
      </rPr>
      <t>Frick, Kenneth</t>
    </r>
  </si>
  <si>
    <r>
      <rPr>
        <sz val="10"/>
        <color rgb="FF030303"/>
        <rFont val="Arial"/>
        <family val="2"/>
      </rPr>
      <t>Frick, Donna</t>
    </r>
  </si>
  <si>
    <r>
      <rPr>
        <sz val="10"/>
        <color rgb="FF030303"/>
        <rFont val="Arial"/>
        <family val="2"/>
      </rPr>
      <t>Gumbiner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Gail</t>
    </r>
  </si>
  <si>
    <r>
      <rPr>
        <sz val="10"/>
        <color rgb="FF030303"/>
        <rFont val="Arial"/>
        <family val="2"/>
      </rPr>
      <t>Kanter, Corrine</t>
    </r>
  </si>
  <si>
    <r>
      <rPr>
        <sz val="10"/>
        <color rgb="FF030303"/>
        <rFont val="Arial"/>
        <family val="2"/>
      </rPr>
      <t>Kanter, Larry</t>
    </r>
  </si>
  <si>
    <r>
      <rPr>
        <sz val="10"/>
        <color rgb="FF030303"/>
        <rFont val="Arial"/>
        <family val="2"/>
      </rPr>
      <t>Kuenzel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Chrisanne</t>
    </r>
  </si>
  <si>
    <r>
      <rPr>
        <sz val="10"/>
        <color rgb="FF030303"/>
        <rFont val="Arial"/>
        <family val="2"/>
      </rPr>
      <t>Langton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Joyce</t>
    </r>
  </si>
  <si>
    <r>
      <rPr>
        <sz val="10"/>
        <color rgb="FF030303"/>
        <rFont val="Arial"/>
        <family val="2"/>
      </rPr>
      <t>McDonald, Lisa</t>
    </r>
  </si>
  <si>
    <r>
      <rPr>
        <sz val="10"/>
        <color rgb="FF030303"/>
        <rFont val="Arial"/>
        <family val="2"/>
      </rPr>
      <t>Myers, Martin</t>
    </r>
  </si>
  <si>
    <r>
      <rPr>
        <sz val="10"/>
        <color rgb="FF030303"/>
        <rFont val="Arial"/>
        <family val="2"/>
      </rPr>
      <t>Omark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Carl</t>
    </r>
  </si>
  <si>
    <r>
      <rPr>
        <sz val="10"/>
        <color rgb="FF030303"/>
        <rFont val="Arial"/>
        <family val="2"/>
      </rPr>
      <t>Patterson Sebanc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Renay</t>
    </r>
  </si>
  <si>
    <r>
      <rPr>
        <sz val="10"/>
        <color rgb="FF030303"/>
        <rFont val="Arial"/>
        <family val="2"/>
      </rPr>
      <t>Seidell</t>
    </r>
    <r>
      <rPr>
        <sz val="10"/>
        <color rgb="FF464646"/>
        <rFont val="Arial"/>
        <family val="2"/>
      </rPr>
      <t xml:space="preserve">, </t>
    </r>
    <r>
      <rPr>
        <sz val="10"/>
        <color rgb="FF030303"/>
        <rFont val="Arial"/>
        <family val="2"/>
      </rPr>
      <t>Helene</t>
    </r>
  </si>
  <si>
    <r>
      <rPr>
        <sz val="10"/>
        <color rgb="FF030303"/>
        <rFont val="Arial"/>
        <family val="2"/>
      </rPr>
      <t>Silvert, Anita</t>
    </r>
  </si>
  <si>
    <r>
      <rPr>
        <sz val="10"/>
        <color rgb="FF030303"/>
        <rFont val="Arial"/>
        <family val="2"/>
      </rPr>
      <t>Silvert, Donald</t>
    </r>
  </si>
  <si>
    <r>
      <rPr>
        <sz val="10"/>
        <color rgb="FF030303"/>
        <rFont val="Arial"/>
        <family val="2"/>
      </rPr>
      <t>Wyner, Paul</t>
    </r>
  </si>
  <si>
    <r>
      <rPr>
        <sz val="10"/>
        <color rgb="FF030303"/>
        <rFont val="Arial"/>
        <family val="2"/>
      </rPr>
      <t>MO</t>
    </r>
  </si>
  <si>
    <r>
      <rPr>
        <sz val="10"/>
        <color rgb="FF030303"/>
        <rFont val="Arial"/>
        <family val="2"/>
      </rPr>
      <t>Renew</t>
    </r>
  </si>
  <si>
    <r>
      <rPr>
        <sz val="10"/>
        <color rgb="FF030303"/>
        <rFont val="Arial"/>
        <family val="2"/>
      </rPr>
      <t>Wyner</t>
    </r>
    <r>
      <rPr>
        <sz val="10"/>
        <color rgb="FF313131"/>
        <rFont val="Arial"/>
        <family val="2"/>
      </rPr>
      <t xml:space="preserve">, </t>
    </r>
    <r>
      <rPr>
        <sz val="10"/>
        <color rgb="FF030303"/>
        <rFont val="Arial"/>
        <family val="2"/>
      </rPr>
      <t>Paul</t>
    </r>
  </si>
  <si>
    <r>
      <rPr>
        <sz val="10"/>
        <color rgb="FF010101"/>
        <rFont val="Arial"/>
        <family val="2"/>
      </rPr>
      <t>Templin</t>
    </r>
    <r>
      <rPr>
        <sz val="10"/>
        <color rgb="FF2D2D2D"/>
        <rFont val="Arial"/>
        <family val="2"/>
      </rPr>
      <t xml:space="preserve">, </t>
    </r>
    <r>
      <rPr>
        <sz val="10"/>
        <color rgb="FF010101"/>
        <rFont val="Arial"/>
        <family val="2"/>
      </rPr>
      <t>Charles</t>
    </r>
  </si>
  <si>
    <r>
      <rPr>
        <sz val="10"/>
        <color rgb="FF010101"/>
        <rFont val="Arial"/>
        <family val="2"/>
      </rPr>
      <t>MA</t>
    </r>
  </si>
  <si>
    <r>
      <rPr>
        <sz val="10"/>
        <color rgb="FF010101"/>
        <rFont val="Arial"/>
        <family val="2"/>
      </rPr>
      <t>Hamilton</t>
    </r>
    <r>
      <rPr>
        <sz val="10"/>
        <color rgb="FF2F2F2F"/>
        <rFont val="Arial"/>
        <family val="2"/>
      </rPr>
      <t xml:space="preserve">, </t>
    </r>
    <r>
      <rPr>
        <sz val="10"/>
        <color rgb="FF010101"/>
        <rFont val="Arial"/>
        <family val="2"/>
      </rPr>
      <t>Pamela</t>
    </r>
  </si>
  <si>
    <r>
      <rPr>
        <sz val="10"/>
        <color rgb="FF0F0F0F"/>
        <rFont val="Arial"/>
        <family val="2"/>
      </rPr>
      <t>IN</t>
    </r>
  </si>
  <si>
    <r>
      <rPr>
        <sz val="10"/>
        <color rgb="FF0F0F0F"/>
        <rFont val="Arial"/>
        <family val="2"/>
      </rPr>
      <t>Initial</t>
    </r>
  </si>
  <si>
    <r>
      <rPr>
        <sz val="10"/>
        <color rgb="FF030303"/>
        <rFont val="Arial"/>
        <family val="2"/>
      </rPr>
      <t>Campanella, Theodora</t>
    </r>
  </si>
  <si>
    <r>
      <rPr>
        <sz val="10"/>
        <color rgb="FF030303"/>
        <rFont val="Arial"/>
        <family val="2"/>
      </rPr>
      <t>Initial</t>
    </r>
  </si>
  <si>
    <r>
      <rPr>
        <sz val="10"/>
        <color rgb="FF030303"/>
        <rFont val="Arial"/>
        <family val="2"/>
      </rPr>
      <t>Chilstrom, Marne</t>
    </r>
  </si>
  <si>
    <r>
      <rPr>
        <sz val="10"/>
        <color rgb="FF030303"/>
        <rFont val="Arial"/>
        <family val="2"/>
      </rPr>
      <t>Fluieras, Maria</t>
    </r>
  </si>
  <si>
    <r>
      <rPr>
        <sz val="10"/>
        <color rgb="FF030303"/>
        <rFont val="Arial"/>
        <family val="2"/>
      </rPr>
      <t>Sisty, Carole</t>
    </r>
  </si>
  <si>
    <r>
      <rPr>
        <sz val="10"/>
        <color rgb="FF010101"/>
        <rFont val="Arial"/>
        <family val="2"/>
      </rPr>
      <t xml:space="preserve">Weitzman, </t>
    </r>
    <r>
      <rPr>
        <sz val="10"/>
        <color rgb="FF0F0F0F"/>
        <rFont val="Arial"/>
        <family val="2"/>
      </rPr>
      <t>Kenneth</t>
    </r>
  </si>
  <si>
    <r>
      <rPr>
        <sz val="10"/>
        <color rgb="FF030303"/>
        <rFont val="Arial"/>
        <family val="2"/>
      </rPr>
      <t>Attento</t>
    </r>
    <r>
      <rPr>
        <sz val="10"/>
        <color rgb="FF2F2F2F"/>
        <rFont val="Arial"/>
        <family val="2"/>
      </rPr>
      <t xml:space="preserve">, </t>
    </r>
    <r>
      <rPr>
        <sz val="10"/>
        <color rgb="FF030303"/>
        <rFont val="Arial"/>
        <family val="2"/>
      </rPr>
      <t>Josephine</t>
    </r>
  </si>
  <si>
    <r>
      <rPr>
        <sz val="10"/>
        <color rgb="FF010101"/>
        <rFont val="Arial"/>
        <family val="2"/>
      </rPr>
      <t>Huget</t>
    </r>
    <r>
      <rPr>
        <sz val="10"/>
        <color rgb="FF414141"/>
        <rFont val="Arial"/>
        <family val="2"/>
      </rPr>
      <t xml:space="preserve">, </t>
    </r>
    <r>
      <rPr>
        <sz val="10"/>
        <color rgb="FF010101"/>
        <rFont val="Arial"/>
        <family val="2"/>
      </rPr>
      <t>Werner</t>
    </r>
  </si>
  <si>
    <r>
      <rPr>
        <sz val="10"/>
        <color rgb="FF0F0F0F"/>
        <rFont val="Arial"/>
        <family val="2"/>
      </rPr>
      <t>Napolitano</t>
    </r>
    <r>
      <rPr>
        <sz val="10"/>
        <color rgb="FF414141"/>
        <rFont val="Arial"/>
        <family val="2"/>
      </rPr>
      <t xml:space="preserve">, </t>
    </r>
    <r>
      <rPr>
        <sz val="10"/>
        <color rgb="FF0F0F0F"/>
        <rFont val="Arial"/>
        <family val="2"/>
      </rPr>
      <t>Vito</t>
    </r>
  </si>
  <si>
    <r>
      <rPr>
        <sz val="10"/>
        <color rgb="FF030303"/>
        <rFont val="Arial"/>
        <family val="2"/>
      </rPr>
      <t>Hansen</t>
    </r>
    <r>
      <rPr>
        <sz val="10"/>
        <color rgb="FF383838"/>
        <rFont val="Arial"/>
        <family val="2"/>
      </rPr>
      <t xml:space="preserve">, </t>
    </r>
    <r>
      <rPr>
        <sz val="10"/>
        <color rgb="FF030303"/>
        <rFont val="Arial"/>
        <family val="2"/>
      </rPr>
      <t>Gary</t>
    </r>
  </si>
  <si>
    <r>
      <rPr>
        <sz val="10"/>
        <color rgb="FF010101"/>
        <rFont val="Arial"/>
        <family val="2"/>
      </rPr>
      <t>Arnouil, Janet</t>
    </r>
  </si>
  <si>
    <r>
      <rPr>
        <sz val="10"/>
        <color rgb="FF010101"/>
        <rFont val="Arial"/>
        <family val="2"/>
      </rPr>
      <t>Packer, Patricia</t>
    </r>
  </si>
  <si>
    <r>
      <rPr>
        <sz val="10"/>
        <color rgb="FF0F0F0F"/>
        <rFont val="Arial"/>
        <family val="2"/>
      </rPr>
      <t xml:space="preserve">Kritikos, </t>
    </r>
    <r>
      <rPr>
        <sz val="10"/>
        <color rgb="FF010101"/>
        <rFont val="Arial"/>
        <family val="2"/>
      </rPr>
      <t>Georgios</t>
    </r>
  </si>
  <si>
    <r>
      <rPr>
        <sz val="10"/>
        <color rgb="FF010101"/>
        <rFont val="Arial"/>
        <family val="2"/>
      </rPr>
      <t>Kusek, Thomas</t>
    </r>
  </si>
  <si>
    <r>
      <rPr>
        <sz val="10"/>
        <color rgb="FF030303"/>
        <rFont val="Arial"/>
        <family val="2"/>
      </rPr>
      <t>Mauldin, Ingrid</t>
    </r>
  </si>
  <si>
    <r>
      <rPr>
        <sz val="10"/>
        <color rgb="FF030303"/>
        <rFont val="Arial"/>
        <family val="2"/>
      </rPr>
      <t>Hendrickson, Sarah</t>
    </r>
  </si>
  <si>
    <r>
      <rPr>
        <sz val="10"/>
        <color rgb="FF050505"/>
        <rFont val="Arial"/>
        <family val="2"/>
      </rPr>
      <t>Boykin, Alma</t>
    </r>
  </si>
  <si>
    <r>
      <rPr>
        <sz val="10"/>
        <color rgb="FF050505"/>
        <rFont val="Arial"/>
        <family val="2"/>
      </rPr>
      <t>MA</t>
    </r>
  </si>
  <si>
    <r>
      <rPr>
        <sz val="10"/>
        <color rgb="FF050505"/>
        <rFont val="Arial"/>
        <family val="2"/>
      </rPr>
      <t>IL</t>
    </r>
  </si>
  <si>
    <r>
      <rPr>
        <sz val="10"/>
        <color rgb="FF050505"/>
        <rFont val="Arial"/>
        <family val="2"/>
      </rPr>
      <t>01/2025</t>
    </r>
  </si>
  <si>
    <r>
      <rPr>
        <sz val="10"/>
        <color rgb="FF050505"/>
        <rFont val="Arial"/>
        <family val="2"/>
      </rPr>
      <t>New to Plan</t>
    </r>
  </si>
  <si>
    <r>
      <rPr>
        <sz val="10"/>
        <color rgb="FF050505"/>
        <rFont val="Arial"/>
        <family val="2"/>
      </rPr>
      <t>Frick, Kenneth</t>
    </r>
  </si>
  <si>
    <r>
      <rPr>
        <sz val="10"/>
        <color rgb="FF050505"/>
        <rFont val="Arial"/>
        <family val="2"/>
      </rPr>
      <t>Frick, Donna</t>
    </r>
  </si>
  <si>
    <r>
      <rPr>
        <sz val="10"/>
        <color rgb="FF050505"/>
        <rFont val="Arial"/>
        <family val="2"/>
      </rPr>
      <t>Gumbiner</t>
    </r>
    <r>
      <rPr>
        <sz val="10"/>
        <color rgb="FF484848"/>
        <rFont val="Arial"/>
        <family val="2"/>
      </rPr>
      <t xml:space="preserve">, </t>
    </r>
    <r>
      <rPr>
        <sz val="10"/>
        <color rgb="FF050505"/>
        <rFont val="Arial"/>
        <family val="2"/>
      </rPr>
      <t>Gail</t>
    </r>
  </si>
  <si>
    <r>
      <rPr>
        <sz val="10"/>
        <color rgb="FF050505"/>
        <rFont val="Arial"/>
        <family val="2"/>
      </rPr>
      <t>Kanter, Larry</t>
    </r>
  </si>
  <si>
    <r>
      <rPr>
        <sz val="10"/>
        <color rgb="FF050505"/>
        <rFont val="Arial"/>
        <family val="2"/>
      </rPr>
      <t>Kanter, Corrine</t>
    </r>
  </si>
  <si>
    <r>
      <rPr>
        <sz val="10"/>
        <color rgb="FF050505"/>
        <rFont val="Arial"/>
        <family val="2"/>
      </rPr>
      <t>Kuenzel, Chrisanne</t>
    </r>
  </si>
  <si>
    <r>
      <rPr>
        <sz val="10"/>
        <color rgb="FF050505"/>
        <rFont val="Arial"/>
        <family val="2"/>
      </rPr>
      <t>Langton</t>
    </r>
    <r>
      <rPr>
        <sz val="10"/>
        <color rgb="FF363636"/>
        <rFont val="Arial"/>
        <family val="2"/>
      </rPr>
      <t xml:space="preserve">, </t>
    </r>
    <r>
      <rPr>
        <sz val="10"/>
        <color rgb="FF050505"/>
        <rFont val="Arial"/>
        <family val="2"/>
      </rPr>
      <t>Joyce</t>
    </r>
  </si>
  <si>
    <r>
      <rPr>
        <sz val="10"/>
        <color rgb="FF050505"/>
        <rFont val="Arial"/>
        <family val="2"/>
      </rPr>
      <t>McDonald, Lisa</t>
    </r>
  </si>
  <si>
    <r>
      <rPr>
        <sz val="10"/>
        <color rgb="FF050505"/>
        <rFont val="Arial"/>
        <family val="2"/>
      </rPr>
      <t>Myers</t>
    </r>
    <r>
      <rPr>
        <sz val="10"/>
        <color rgb="FF363636"/>
        <rFont val="Arial"/>
        <family val="2"/>
      </rPr>
      <t xml:space="preserve">, </t>
    </r>
    <r>
      <rPr>
        <sz val="10"/>
        <color rgb="FF050505"/>
        <rFont val="Arial"/>
        <family val="2"/>
      </rPr>
      <t>Martin</t>
    </r>
  </si>
  <si>
    <r>
      <rPr>
        <sz val="10"/>
        <color rgb="FF050505"/>
        <rFont val="Arial"/>
        <family val="2"/>
      </rPr>
      <t>Omark, Carl</t>
    </r>
  </si>
  <si>
    <r>
      <rPr>
        <sz val="10"/>
        <color rgb="FF010101"/>
        <rFont val="Arial"/>
        <family val="2"/>
      </rPr>
      <t xml:space="preserve">Patterson Sebanc, </t>
    </r>
    <r>
      <rPr>
        <sz val="10"/>
        <color rgb="FF0F0F0F"/>
        <rFont val="Arial"/>
        <family val="2"/>
      </rPr>
      <t>Renay</t>
    </r>
  </si>
  <si>
    <r>
      <rPr>
        <sz val="10"/>
        <color rgb="FF0F0F0F"/>
        <rFont val="Arial"/>
        <family val="2"/>
      </rPr>
      <t xml:space="preserve">Seidell, </t>
    </r>
    <r>
      <rPr>
        <sz val="10"/>
        <color rgb="FF010101"/>
        <rFont val="Arial"/>
        <family val="2"/>
      </rPr>
      <t>Helene</t>
    </r>
  </si>
  <si>
    <r>
      <rPr>
        <sz val="10"/>
        <color rgb="FF0F0F0F"/>
        <rFont val="Arial"/>
        <family val="2"/>
      </rPr>
      <t xml:space="preserve">Silvert, </t>
    </r>
    <r>
      <rPr>
        <sz val="10"/>
        <color rgb="FF010101"/>
        <rFont val="Arial"/>
        <family val="2"/>
      </rPr>
      <t>Donald</t>
    </r>
  </si>
  <si>
    <r>
      <rPr>
        <sz val="10"/>
        <color rgb="FF0F0F0F"/>
        <rFont val="Arial"/>
        <family val="2"/>
      </rPr>
      <t xml:space="preserve">Silver!, </t>
    </r>
    <r>
      <rPr>
        <sz val="10"/>
        <color rgb="FF010101"/>
        <rFont val="Arial"/>
        <family val="2"/>
      </rPr>
      <t>Anita</t>
    </r>
  </si>
  <si>
    <r>
      <rPr>
        <sz val="10"/>
        <color rgb="FF010101"/>
        <rFont val="Arial"/>
        <family val="2"/>
      </rPr>
      <t>Wyner</t>
    </r>
    <r>
      <rPr>
        <sz val="10"/>
        <color rgb="FF2A2A2A"/>
        <rFont val="Arial"/>
        <family val="2"/>
      </rPr>
      <t xml:space="preserve">, </t>
    </r>
    <r>
      <rPr>
        <sz val="10"/>
        <color rgb="FF010101"/>
        <rFont val="Arial"/>
        <family val="2"/>
      </rPr>
      <t>Paul</t>
    </r>
  </si>
  <si>
    <r>
      <rPr>
        <sz val="10"/>
        <color rgb="FF010101"/>
        <rFont val="Arial"/>
        <family val="2"/>
      </rPr>
      <t>Renew</t>
    </r>
  </si>
  <si>
    <r>
      <rPr>
        <sz val="10"/>
        <color rgb="FF0F0F0F"/>
        <rFont val="Arial"/>
        <family val="2"/>
      </rPr>
      <t xml:space="preserve">Wyner, </t>
    </r>
    <r>
      <rPr>
        <sz val="10"/>
        <color rgb="FF010101"/>
        <rFont val="Arial"/>
        <family val="2"/>
      </rPr>
      <t>Paul</t>
    </r>
  </si>
  <si>
    <r>
      <rPr>
        <sz val="10"/>
        <color rgb="FF010101"/>
        <rFont val="Arial"/>
        <family val="2"/>
      </rPr>
      <t>Wyner, Paul</t>
    </r>
  </si>
  <si>
    <r>
      <rPr>
        <sz val="10"/>
        <color rgb="FF010101"/>
        <rFont val="Arial"/>
        <family val="2"/>
      </rPr>
      <t>Lopez Cano, Graciela</t>
    </r>
  </si>
  <si>
    <r>
      <rPr>
        <sz val="10"/>
        <color rgb="FF010101"/>
        <rFont val="Arial"/>
        <family val="2"/>
      </rPr>
      <t>Huget</t>
    </r>
    <r>
      <rPr>
        <sz val="10"/>
        <color rgb="FF2D2D2D"/>
        <rFont val="Arial"/>
        <family val="2"/>
      </rPr>
      <t xml:space="preserve">, </t>
    </r>
    <r>
      <rPr>
        <sz val="10"/>
        <color rgb="FF010101"/>
        <rFont val="Arial"/>
        <family val="2"/>
      </rPr>
      <t>Dolores</t>
    </r>
  </si>
  <si>
    <r>
      <rPr>
        <sz val="10"/>
        <color rgb="FF010101"/>
        <rFont val="Arial"/>
        <family val="2"/>
      </rPr>
      <t>Huget</t>
    </r>
    <r>
      <rPr>
        <sz val="10"/>
        <color rgb="FF414141"/>
        <rFont val="Arial"/>
        <family val="2"/>
      </rPr>
      <t xml:space="preserve">, </t>
    </r>
    <r>
      <rPr>
        <sz val="10"/>
        <color rgb="FF0F0F0F"/>
        <rFont val="Arial"/>
        <family val="2"/>
      </rPr>
      <t>Werner</t>
    </r>
  </si>
  <si>
    <r>
      <rPr>
        <sz val="10"/>
        <color rgb="FF010101"/>
        <rFont val="Arial"/>
        <family val="2"/>
      </rPr>
      <t>Arnouil</t>
    </r>
    <r>
      <rPr>
        <sz val="10"/>
        <color rgb="FF2F2F2F"/>
        <rFont val="Arial"/>
        <family val="2"/>
      </rPr>
      <t xml:space="preserve">, </t>
    </r>
    <r>
      <rPr>
        <sz val="10"/>
        <color rgb="FF010101"/>
        <rFont val="Arial"/>
        <family val="2"/>
      </rPr>
      <t>Janet</t>
    </r>
  </si>
  <si>
    <r>
      <rPr>
        <sz val="10"/>
        <color rgb="FF050505"/>
        <rFont val="Arial"/>
        <family val="2"/>
      </rPr>
      <t>Boykin</t>
    </r>
    <r>
      <rPr>
        <sz val="10"/>
        <color rgb="FF363636"/>
        <rFont val="Arial"/>
        <family val="2"/>
      </rPr>
      <t xml:space="preserve">, </t>
    </r>
    <r>
      <rPr>
        <sz val="10"/>
        <color rgb="FF050505"/>
        <rFont val="Arial"/>
        <family val="2"/>
      </rPr>
      <t>Alma</t>
    </r>
  </si>
  <si>
    <r>
      <rPr>
        <sz val="10"/>
        <color rgb="FF050505"/>
        <rFont val="Arial"/>
        <family val="2"/>
      </rPr>
      <t>Gumbiner</t>
    </r>
    <r>
      <rPr>
        <sz val="10"/>
        <color rgb="FF363636"/>
        <rFont val="Arial"/>
        <family val="2"/>
      </rPr>
      <t xml:space="preserve">, </t>
    </r>
    <r>
      <rPr>
        <sz val="10"/>
        <color rgb="FF050505"/>
        <rFont val="Arial"/>
        <family val="2"/>
      </rPr>
      <t>Gail</t>
    </r>
  </si>
  <si>
    <r>
      <rPr>
        <sz val="10"/>
        <color rgb="FF050505"/>
        <rFont val="Arial"/>
        <family val="2"/>
      </rPr>
      <t>Kuenzel</t>
    </r>
    <r>
      <rPr>
        <sz val="10"/>
        <color rgb="FF363636"/>
        <rFont val="Arial"/>
        <family val="2"/>
      </rPr>
      <t xml:space="preserve">, </t>
    </r>
    <r>
      <rPr>
        <sz val="10"/>
        <color rgb="FF050505"/>
        <rFont val="Arial"/>
        <family val="2"/>
      </rPr>
      <t>Chrisanne</t>
    </r>
  </si>
  <si>
    <r>
      <rPr>
        <sz val="10"/>
        <color rgb="FF050505"/>
        <rFont val="Arial"/>
        <family val="2"/>
      </rPr>
      <t>Langton, Joyce</t>
    </r>
  </si>
  <si>
    <r>
      <rPr>
        <sz val="10"/>
        <color rgb="FF050505"/>
        <rFont val="Arial"/>
        <family val="2"/>
      </rPr>
      <t>Omark</t>
    </r>
    <r>
      <rPr>
        <sz val="10"/>
        <color rgb="FF363636"/>
        <rFont val="Arial"/>
        <family val="2"/>
      </rPr>
      <t xml:space="preserve">, </t>
    </r>
    <r>
      <rPr>
        <sz val="10"/>
        <color rgb="FF050505"/>
        <rFont val="Arial"/>
        <family val="2"/>
      </rPr>
      <t>Carl</t>
    </r>
  </si>
  <si>
    <r>
      <rPr>
        <sz val="10"/>
        <color rgb="FF010101"/>
        <rFont val="Arial"/>
        <family val="2"/>
      </rPr>
      <t xml:space="preserve">Patterson </t>
    </r>
    <r>
      <rPr>
        <sz val="10"/>
        <color rgb="FF0F0F0F"/>
        <rFont val="Arial"/>
        <family val="2"/>
      </rPr>
      <t>Sebanc</t>
    </r>
    <r>
      <rPr>
        <sz val="10"/>
        <color rgb="FF424242"/>
        <rFont val="Arial"/>
        <family val="2"/>
      </rPr>
      <t xml:space="preserve">, </t>
    </r>
    <r>
      <rPr>
        <sz val="10"/>
        <color rgb="FF010101"/>
        <rFont val="Arial"/>
        <family val="2"/>
      </rPr>
      <t>Renay</t>
    </r>
  </si>
  <si>
    <r>
      <rPr>
        <sz val="10"/>
        <color rgb="FF010101"/>
        <rFont val="Arial"/>
        <family val="2"/>
      </rPr>
      <t>Seidell, Helene</t>
    </r>
  </si>
  <si>
    <r>
      <rPr>
        <sz val="10"/>
        <color rgb="FF010101"/>
        <rFont val="Arial"/>
        <family val="2"/>
      </rPr>
      <t>Silver!, Donald</t>
    </r>
  </si>
  <si>
    <r>
      <rPr>
        <sz val="10"/>
        <color rgb="FF010101"/>
        <rFont val="Arial"/>
        <family val="2"/>
      </rPr>
      <t>IN</t>
    </r>
  </si>
  <si>
    <r>
      <rPr>
        <sz val="10"/>
        <color rgb="FF030303"/>
        <rFont val="Arial"/>
        <family val="2"/>
      </rPr>
      <t>Campanella</t>
    </r>
    <r>
      <rPr>
        <sz val="10"/>
        <color rgb="FF3F3F3F"/>
        <rFont val="Arial"/>
        <family val="2"/>
      </rPr>
      <t xml:space="preserve">, </t>
    </r>
    <r>
      <rPr>
        <sz val="10"/>
        <color rgb="FF030303"/>
        <rFont val="Arial"/>
        <family val="2"/>
      </rPr>
      <t>Theodora</t>
    </r>
  </si>
  <si>
    <r>
      <rPr>
        <sz val="10"/>
        <color rgb="FF0F0F0F"/>
        <rFont val="Arial"/>
        <family val="2"/>
      </rPr>
      <t>Weitzman, Kenneth</t>
    </r>
  </si>
  <si>
    <t>Essence MAPD OVR</t>
  </si>
  <si>
    <t>Essence MAPD 2025</t>
  </si>
  <si>
    <t>Essence MAPD 2025*</t>
  </si>
  <si>
    <t>[%/$=313][prorate=1/12]</t>
  </si>
  <si>
    <t>[%/$=313][prorate=11/12]</t>
  </si>
  <si>
    <t>[%/$=313][prorate=12/12]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</si>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</sst>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0.00"/>
    <numFmt numFmtId="166" formatCode="000000000"/>
    <numFmt numFmtId="167" formatCode="mm/dd/yyyy;@"/>
    <numFmt numFmtId="168" formatCode="\$0.00_);\(\$0.00\)"/>
  </numFmts>
  <fonts count="107" x14ac:knownFonts="1">
    <font>
      <sz val="10"/>
      <color rgb="FF000000"/>
      <name val="Times New Roman"/>
      <charset val="204"/>
    </font>
    <font>
      <sz val="9"/>
      <name val="Arial"/>
      <family val="2"/>
    </font>
    <font>
      <b/>
      <sz val="9.5"/>
      <name val="Arial"/>
      <family val="2"/>
    </font>
    <font>
      <sz val="9"/>
      <color rgb="FF010101"/>
      <name val="Times New Roman"/>
      <family val="2"/>
    </font>
    <font>
      <b/>
      <sz val="9"/>
      <name val="Arial"/>
      <family val="2"/>
    </font>
    <font>
      <sz val="8.5"/>
      <name val="Arial"/>
      <family val="2"/>
    </font>
    <font>
      <sz val="8"/>
      <color rgb="FF010101"/>
      <name val="Arial"/>
      <family val="2"/>
    </font>
    <font>
      <sz val="8"/>
      <color rgb="FF111111"/>
      <name val="Arial"/>
      <family val="2"/>
    </font>
    <font>
      <sz val="8"/>
      <name val="Arial"/>
      <family val="2"/>
    </font>
    <font>
      <sz val="8.5"/>
      <name val="Times New Roman"/>
      <family val="1"/>
    </font>
    <font>
      <sz val="8"/>
      <color rgb="FFCC0505"/>
      <name val="Arial"/>
      <family val="2"/>
    </font>
    <font>
      <b/>
      <sz val="8.5"/>
      <name val="Arial"/>
      <family val="2"/>
    </font>
    <font>
      <sz val="8"/>
      <color rgb="FF010101"/>
      <name val="Times New Roman"/>
      <family val="2"/>
    </font>
    <font>
      <sz val="8"/>
      <color rgb="FF0F0F0F"/>
      <name val="Times New Roman"/>
      <family val="2"/>
    </font>
    <font>
      <sz val="9"/>
      <name val="Courier New"/>
      <family val="3"/>
    </font>
    <font>
      <sz val="8"/>
      <name val="Times New Roman"/>
      <family val="1"/>
    </font>
    <font>
      <sz val="7.5"/>
      <name val="Arial"/>
      <family val="2"/>
    </font>
    <font>
      <sz val="8"/>
      <color rgb="FFCD0A0A"/>
      <name val="Times New Roman"/>
      <family val="2"/>
    </font>
    <font>
      <sz val="8"/>
      <color rgb="FF030303"/>
      <name val="Times New Roman"/>
      <family val="2"/>
    </font>
    <font>
      <b/>
      <sz val="9"/>
      <color rgb="FF030303"/>
      <name val="Arial"/>
      <family val="2"/>
    </font>
    <font>
      <b/>
      <sz val="8.5"/>
      <color rgb="FF030303"/>
      <name val="Arial"/>
      <family val="2"/>
    </font>
    <font>
      <b/>
      <sz val="9.5"/>
      <color rgb="FF030303"/>
      <name val="Courier New"/>
      <family val="2"/>
    </font>
    <font>
      <sz val="8"/>
      <color rgb="FFCD0E0E"/>
      <name val="Times New Roman"/>
      <family val="2"/>
    </font>
    <font>
      <sz val="10"/>
      <name val="Arial"/>
      <family val="2"/>
    </font>
    <font>
      <sz val="7.5"/>
      <color rgb="FF030303"/>
      <name val="Arial"/>
      <family val="2"/>
    </font>
    <font>
      <sz val="7.5"/>
      <color rgb="FFCC0505"/>
      <name val="Arial"/>
      <family val="2"/>
    </font>
    <font>
      <sz val="8"/>
      <color rgb="FFCD0C0C"/>
      <name val="Times New Roman"/>
      <family val="2"/>
    </font>
    <font>
      <sz val="7.5"/>
      <color rgb="FF010101"/>
      <name val="Arial"/>
      <family val="2"/>
    </font>
    <font>
      <sz val="7.5"/>
      <color rgb="FF0F0F0F"/>
      <name val="Arial"/>
      <family val="2"/>
    </font>
    <font>
      <sz val="7.5"/>
      <color rgb="FFCD0E0E"/>
      <name val="Arial"/>
      <family val="2"/>
    </font>
    <font>
      <sz val="7.5"/>
      <color rgb="FF050505"/>
      <name val="Arial"/>
      <family val="2"/>
    </font>
    <font>
      <sz val="7.5"/>
      <color rgb="FFCD0808"/>
      <name val="Arial"/>
      <family val="2"/>
    </font>
    <font>
      <b/>
      <sz val="8.5"/>
      <color rgb="FFCD0808"/>
      <name val="Arial"/>
      <family val="2"/>
    </font>
    <font>
      <sz val="9"/>
      <color rgb="FF010101"/>
      <name val="Arial"/>
      <family val="2"/>
    </font>
    <font>
      <sz val="9"/>
      <color rgb="FF2B2B2B"/>
      <name val="Arial"/>
      <family val="2"/>
    </font>
    <font>
      <sz val="9"/>
      <color rgb="FF1A1A1A"/>
      <name val="Arial"/>
      <family val="2"/>
    </font>
    <font>
      <b/>
      <sz val="9.5"/>
      <color rgb="FF010101"/>
      <name val="Arial"/>
      <family val="2"/>
    </font>
    <font>
      <sz val="9.5"/>
      <color rgb="FF010101"/>
      <name val="Arial"/>
      <family val="2"/>
    </font>
    <font>
      <vertAlign val="superscript"/>
      <sz val="9.5"/>
      <color rgb="FF010101"/>
      <name val="Arial"/>
      <family val="2"/>
    </font>
    <font>
      <sz val="9"/>
      <color rgb="FF444444"/>
      <name val="Arial"/>
      <family val="2"/>
    </font>
    <font>
      <b/>
      <sz val="9"/>
      <color rgb="FF010101"/>
      <name val="Arial"/>
      <family val="2"/>
    </font>
    <font>
      <sz val="9"/>
      <color rgb="FF010101"/>
      <name val="Times New Roman"/>
      <family val="1"/>
    </font>
    <font>
      <b/>
      <sz val="10.5"/>
      <color rgb="FF010101"/>
      <name val="Arial"/>
      <family val="2"/>
    </font>
    <font>
      <sz val="10.5"/>
      <color rgb="FF010101"/>
      <name val="Arial"/>
      <family val="2"/>
    </font>
    <font>
      <b/>
      <sz val="10"/>
      <color rgb="FF010101"/>
      <name val="Times New Roman"/>
      <family val="1"/>
    </font>
    <font>
      <sz val="8.5"/>
      <color rgb="FF010101"/>
      <name val="Arial"/>
      <family val="2"/>
    </font>
    <font>
      <sz val="8.5"/>
      <color rgb="FF111111"/>
      <name val="Times New Roman"/>
      <family val="1"/>
    </font>
    <font>
      <sz val="9"/>
      <color rgb="FFCC0505"/>
      <name val="Times New Roman"/>
      <family val="1"/>
    </font>
    <font>
      <b/>
      <sz val="8.5"/>
      <color rgb="FF010101"/>
      <name val="Arial"/>
      <family val="2"/>
    </font>
    <font>
      <sz val="8"/>
      <color rgb="FF414141"/>
      <name val="Arial"/>
      <family val="2"/>
    </font>
    <font>
      <sz val="9"/>
      <color rgb="FF0F0F0F"/>
      <name val="Courier New"/>
      <family val="3"/>
    </font>
    <font>
      <sz val="8"/>
      <color rgb="FF010101"/>
      <name val="Times New Roman"/>
      <family val="1"/>
    </font>
    <font>
      <sz val="8"/>
      <color rgb="FF2D2D2D"/>
      <name val="Arial"/>
      <family val="2"/>
    </font>
    <font>
      <sz val="8"/>
      <color rgb="FF0F0F0F"/>
      <name val="Arial"/>
      <family val="2"/>
    </font>
    <font>
      <sz val="8"/>
      <color rgb="FF0F0F0F"/>
      <name val="Times New Roman"/>
      <family val="1"/>
    </font>
    <font>
      <b/>
      <vertAlign val="subscript"/>
      <sz val="8.5"/>
      <color rgb="FF010101"/>
      <name val="Arial"/>
      <family val="2"/>
    </font>
    <font>
      <sz val="8.5"/>
      <color rgb="FF030303"/>
      <name val="Arial"/>
      <family val="2"/>
    </font>
    <font>
      <sz val="8"/>
      <color rgb="FF030303"/>
      <name val="Arial"/>
      <family val="2"/>
    </font>
    <font>
      <sz val="8"/>
      <color rgb="FF3D3D3D"/>
      <name val="Arial"/>
      <family val="2"/>
    </font>
    <font>
      <sz val="8"/>
      <color rgb="FF030303"/>
      <name val="Times New Roman"/>
      <family val="1"/>
    </font>
    <font>
      <sz val="8"/>
      <color rgb="FF383838"/>
      <name val="Arial"/>
      <family val="2"/>
    </font>
    <font>
      <sz val="8"/>
      <color rgb="FF343434"/>
      <name val="Arial"/>
      <family val="2"/>
    </font>
    <font>
      <b/>
      <sz val="9.5"/>
      <color rgb="FF030303"/>
      <name val="Arial"/>
      <family val="2"/>
    </font>
    <font>
      <sz val="8"/>
      <color rgb="FF444444"/>
      <name val="Arial"/>
      <family val="2"/>
    </font>
    <font>
      <b/>
      <sz val="9.5"/>
      <color rgb="FF030303"/>
      <name val="Courier New"/>
      <family val="3"/>
    </font>
    <font>
      <sz val="8"/>
      <color rgb="FF313131"/>
      <name val="Arial"/>
      <family val="2"/>
    </font>
    <font>
      <sz val="8"/>
      <color rgb="FF464646"/>
      <name val="Arial"/>
      <family val="2"/>
    </font>
    <font>
      <sz val="10"/>
      <color rgb="FF010101"/>
      <name val="Arial"/>
      <family val="2"/>
    </font>
    <font>
      <sz val="7.5"/>
      <color rgb="FF2F2F2F"/>
      <name val="Arial"/>
      <family val="2"/>
    </font>
    <font>
      <sz val="8.5"/>
      <color rgb="FFCC0505"/>
      <name val="Arial"/>
      <family val="2"/>
    </font>
    <font>
      <sz val="8.5"/>
      <color rgb="FFD42F2F"/>
      <name val="Arial"/>
      <family val="2"/>
    </font>
    <font>
      <sz val="9"/>
      <color rgb="FF010101"/>
      <name val="Courier New"/>
      <family val="3"/>
    </font>
    <font>
      <sz val="8"/>
      <color rgb="FF3F3F3F"/>
      <name val="Arial"/>
      <family val="2"/>
    </font>
    <font>
      <b/>
      <vertAlign val="subscript"/>
      <sz val="8.5"/>
      <color rgb="FF030303"/>
      <name val="Arial"/>
      <family val="2"/>
    </font>
    <font>
      <b/>
      <sz val="9.5"/>
      <color rgb="FF050505"/>
      <name val="Arial"/>
      <family val="2"/>
    </font>
    <font>
      <b/>
      <sz val="8.5"/>
      <color rgb="FF050505"/>
      <name val="Arial"/>
      <family val="2"/>
    </font>
    <font>
      <sz val="7.5"/>
      <color rgb="FF363636"/>
      <name val="Arial"/>
      <family val="2"/>
    </font>
    <font>
      <sz val="7.5"/>
      <color rgb="FF484848"/>
      <name val="Arial"/>
      <family val="2"/>
    </font>
    <font>
      <sz val="7.5"/>
      <color rgb="FF424242"/>
      <name val="Arial"/>
      <family val="2"/>
    </font>
    <font>
      <sz val="7.5"/>
      <color rgb="FF2A2A2A"/>
      <name val="Arial"/>
      <family val="2"/>
    </font>
    <font>
      <b/>
      <sz val="11.5"/>
      <color rgb="FF010101"/>
      <name val="Courier New"/>
      <family val="3"/>
    </font>
    <font>
      <b/>
      <sz val="10"/>
      <name val="Arial"/>
      <family val="2"/>
    </font>
    <font>
      <b/>
      <sz val="10"/>
      <color rgb="FF010101"/>
      <name val="Arial"/>
      <family val="2"/>
    </font>
    <font>
      <sz val="10"/>
      <color rgb="FF000000"/>
      <name val="Arial"/>
      <family val="2"/>
    </font>
    <font>
      <sz val="10"/>
      <color rgb="FF111111"/>
      <name val="Arial"/>
      <family val="2"/>
    </font>
    <font>
      <sz val="10"/>
      <color rgb="FFCC0505"/>
      <name val="Arial"/>
      <family val="2"/>
    </font>
    <font>
      <sz val="10"/>
      <color rgb="FF0F0F0F"/>
      <name val="Arial"/>
      <family val="2"/>
    </font>
    <font>
      <sz val="10"/>
      <color rgb="FF414141"/>
      <name val="Arial"/>
      <family val="2"/>
    </font>
    <font>
      <sz val="10"/>
      <color rgb="FF2D2D2D"/>
      <name val="Arial"/>
      <family val="2"/>
    </font>
    <font>
      <sz val="10"/>
      <color rgb="FFCD0A0A"/>
      <name val="Arial"/>
      <family val="2"/>
    </font>
    <font>
      <sz val="10"/>
      <color rgb="FF030303"/>
      <name val="Arial"/>
      <family val="2"/>
    </font>
    <font>
      <sz val="10"/>
      <color rgb="FF3D3D3D"/>
      <name val="Arial"/>
      <family val="2"/>
    </font>
    <font>
      <sz val="10"/>
      <color rgb="FF383838"/>
      <name val="Arial"/>
      <family val="2"/>
    </font>
    <font>
      <sz val="10"/>
      <color rgb="FF343434"/>
      <name val="Arial"/>
      <family val="2"/>
    </font>
    <font>
      <sz val="10"/>
      <color rgb="FF444444"/>
      <name val="Arial"/>
      <family val="2"/>
    </font>
    <font>
      <sz val="10"/>
      <color rgb="FF313131"/>
      <name val="Arial"/>
      <family val="2"/>
    </font>
    <font>
      <sz val="10"/>
      <color rgb="FF464646"/>
      <name val="Arial"/>
      <family val="2"/>
    </font>
    <font>
      <sz val="10"/>
      <color rgb="FFCD0E0E"/>
      <name val="Arial"/>
      <family val="2"/>
    </font>
    <font>
      <sz val="10"/>
      <color rgb="FF2F2F2F"/>
      <name val="Arial"/>
      <family val="2"/>
    </font>
    <font>
      <sz val="10"/>
      <color rgb="FFCD0C0C"/>
      <name val="Arial"/>
      <family val="2"/>
    </font>
    <font>
      <sz val="10"/>
      <color rgb="FFCD0808"/>
      <name val="Arial"/>
      <family val="2"/>
    </font>
    <font>
      <sz val="10"/>
      <color rgb="FF050505"/>
      <name val="Arial"/>
      <family val="2"/>
    </font>
    <font>
      <sz val="10"/>
      <color rgb="FF484848"/>
      <name val="Arial"/>
      <family val="2"/>
    </font>
    <font>
      <sz val="10"/>
      <color rgb="FF363636"/>
      <name val="Arial"/>
      <family val="2"/>
    </font>
    <font>
      <sz val="10"/>
      <color rgb="FF2A2A2A"/>
      <name val="Arial"/>
      <family val="2"/>
    </font>
    <font>
      <sz val="10"/>
      <color rgb="FF424242"/>
      <name val="Arial"/>
      <family val="2"/>
    </font>
    <font>
      <sz val="10"/>
      <color rgb="FF3F3F3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A3EF"/>
      </patternFill>
    </fill>
    <fill>
      <patternFill patternType="solid">
        <fgColor rgb="FFCADBCF"/>
      </patternFill>
    </fill>
    <fill>
      <patternFill patternType="solid">
        <fgColor rgb="FF91AA9C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left" vertical="top" shrinkToFit="1"/>
    </xf>
    <xf numFmtId="0" fontId="8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6" fontId="12" fillId="3" borderId="0" xfId="0" applyNumberFormat="1" applyFont="1" applyFill="1" applyAlignment="1">
      <alignment horizontal="left" vertical="top" shrinkToFit="1"/>
    </xf>
    <xf numFmtId="0" fontId="15" fillId="3" borderId="0" xfId="0" applyFont="1" applyFill="1" applyAlignment="1">
      <alignment horizontal="center" vertical="top" wrapText="1"/>
    </xf>
    <xf numFmtId="166" fontId="12" fillId="0" borderId="0" xfId="0" applyNumberFormat="1" applyFont="1" applyAlignment="1">
      <alignment horizontal="left" vertical="top" shrinkToFit="1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166" fontId="13" fillId="3" borderId="0" xfId="0" applyNumberFormat="1" applyFont="1" applyFill="1" applyAlignment="1">
      <alignment horizontal="left" vertical="top" shrinkToFit="1"/>
    </xf>
    <xf numFmtId="0" fontId="16" fillId="3" borderId="0" xfId="0" applyFont="1" applyFill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  <xf numFmtId="166" fontId="18" fillId="3" borderId="0" xfId="0" applyNumberFormat="1" applyFont="1" applyFill="1" applyAlignment="1">
      <alignment horizontal="left" vertical="top" shrinkToFit="1"/>
    </xf>
    <xf numFmtId="166" fontId="18" fillId="0" borderId="1" xfId="0" applyNumberFormat="1" applyFont="1" applyBorder="1" applyAlignment="1">
      <alignment horizontal="left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166" fontId="18" fillId="0" borderId="0" xfId="0" applyNumberFormat="1" applyFont="1" applyAlignment="1">
      <alignment horizontal="left" vertical="top" shrinkToFit="1"/>
    </xf>
    <xf numFmtId="0" fontId="5" fillId="0" borderId="2" xfId="0" applyFont="1" applyBorder="1" applyAlignment="1">
      <alignment horizontal="left" vertical="center" wrapText="1"/>
    </xf>
    <xf numFmtId="166" fontId="24" fillId="3" borderId="0" xfId="0" applyNumberFormat="1" applyFont="1" applyFill="1" applyAlignment="1">
      <alignment horizontal="left" vertical="top" shrinkToFit="1"/>
    </xf>
    <xf numFmtId="166" fontId="12" fillId="0" borderId="1" xfId="0" applyNumberFormat="1" applyFont="1" applyBorder="1" applyAlignment="1">
      <alignment horizontal="left" vertical="top" shrinkToFit="1"/>
    </xf>
    <xf numFmtId="166" fontId="13" fillId="0" borderId="0" xfId="0" applyNumberFormat="1" applyFont="1" applyAlignment="1">
      <alignment horizontal="left" vertical="top" shrinkToFit="1"/>
    </xf>
    <xf numFmtId="166" fontId="27" fillId="0" borderId="1" xfId="0" applyNumberFormat="1" applyFont="1" applyBorder="1" applyAlignment="1">
      <alignment horizontal="left" vertical="top" shrinkToFit="1"/>
    </xf>
    <xf numFmtId="166" fontId="27" fillId="3" borderId="0" xfId="0" applyNumberFormat="1" applyFont="1" applyFill="1" applyAlignment="1">
      <alignment horizontal="left" vertical="top" shrinkToFit="1"/>
    </xf>
    <xf numFmtId="166" fontId="27" fillId="0" borderId="0" xfId="0" applyNumberFormat="1" applyFont="1" applyAlignment="1">
      <alignment horizontal="left" vertical="top" shrinkToFit="1"/>
    </xf>
    <xf numFmtId="166" fontId="30" fillId="3" borderId="0" xfId="0" applyNumberFormat="1" applyFont="1" applyFill="1" applyAlignment="1">
      <alignment horizontal="left" vertical="top" shrinkToFit="1"/>
    </xf>
    <xf numFmtId="166" fontId="30" fillId="0" borderId="0" xfId="0" applyNumberFormat="1" applyFont="1" applyAlignment="1">
      <alignment horizontal="left" vertical="top" shrinkToFit="1"/>
    </xf>
    <xf numFmtId="166" fontId="28" fillId="3" borderId="0" xfId="0" applyNumberFormat="1" applyFont="1" applyFill="1" applyAlignment="1">
      <alignment horizontal="left" vertical="top" shrinkToFi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12"/>
    </xf>
    <xf numFmtId="164" fontId="32" fillId="0" borderId="0" xfId="0" applyNumberFormat="1" applyFont="1" applyAlignment="1">
      <alignment horizontal="right" vertical="top" indent="4" shrinkToFit="1"/>
    </xf>
    <xf numFmtId="1" fontId="28" fillId="0" borderId="0" xfId="0" applyNumberFormat="1" applyFont="1" applyAlignment="1">
      <alignment horizontal="left" vertical="top" indent="1" shrinkToFit="1"/>
    </xf>
    <xf numFmtId="0" fontId="16" fillId="0" borderId="0" xfId="0" applyFont="1" applyAlignment="1">
      <alignment horizontal="left" vertical="top" wrapText="1" indent="2"/>
    </xf>
    <xf numFmtId="0" fontId="16" fillId="0" borderId="0" xfId="0" applyFont="1" applyAlignment="1">
      <alignment horizontal="left" vertical="top" wrapText="1"/>
    </xf>
    <xf numFmtId="167" fontId="27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center" vertical="top" wrapText="1"/>
    </xf>
    <xf numFmtId="165" fontId="28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1" fillId="0" borderId="0" xfId="0" applyFont="1" applyAlignment="1">
      <alignment horizontal="left" vertical="top" wrapText="1" indent="21"/>
    </xf>
    <xf numFmtId="1" fontId="27" fillId="0" borderId="1" xfId="0" applyNumberFormat="1" applyFont="1" applyBorder="1" applyAlignment="1">
      <alignment horizontal="left" vertical="top" indent="1" shrinkToFit="1"/>
    </xf>
    <xf numFmtId="0" fontId="16" fillId="0" borderId="1" xfId="0" applyFont="1" applyBorder="1" applyAlignment="1">
      <alignment horizontal="left" vertical="top" wrapText="1" indent="2"/>
    </xf>
    <xf numFmtId="0" fontId="16" fillId="0" borderId="1" xfId="0" applyFont="1" applyBorder="1" applyAlignment="1">
      <alignment horizontal="left" vertical="top" wrapText="1"/>
    </xf>
    <xf numFmtId="167" fontId="27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center" vertical="top" wrapText="1"/>
    </xf>
    <xf numFmtId="165" fontId="28" fillId="0" borderId="1" xfId="0" applyNumberFormat="1" applyFont="1" applyBorder="1" applyAlignment="1">
      <alignment horizontal="left" vertical="top" indent="3" shrinkToFit="1"/>
    </xf>
    <xf numFmtId="1" fontId="27" fillId="3" borderId="0" xfId="0" applyNumberFormat="1" applyFont="1" applyFill="1" applyAlignment="1">
      <alignment horizontal="left" vertical="top" indent="1" shrinkToFit="1"/>
    </xf>
    <xf numFmtId="0" fontId="16" fillId="3" borderId="0" xfId="0" applyFont="1" applyFill="1" applyAlignment="1">
      <alignment horizontal="left" vertical="top" wrapText="1" indent="2"/>
    </xf>
    <xf numFmtId="0" fontId="16" fillId="3" borderId="0" xfId="0" applyFont="1" applyFill="1" applyAlignment="1">
      <alignment horizontal="left" vertical="top" wrapText="1"/>
    </xf>
    <xf numFmtId="167" fontId="27" fillId="3" borderId="0" xfId="0" applyNumberFormat="1" applyFont="1" applyFill="1" applyAlignment="1">
      <alignment horizontal="left" vertical="top" indent="1" shrinkToFit="1"/>
    </xf>
    <xf numFmtId="0" fontId="0" fillId="3" borderId="0" xfId="0" applyFill="1" applyAlignment="1">
      <alignment horizontal="left" wrapText="1"/>
    </xf>
    <xf numFmtId="0" fontId="16" fillId="3" borderId="0" xfId="0" applyFont="1" applyFill="1" applyAlignment="1">
      <alignment horizontal="center" vertical="top" wrapText="1"/>
    </xf>
    <xf numFmtId="168" fontId="31" fillId="3" borderId="0" xfId="0" applyNumberFormat="1" applyFont="1" applyFill="1" applyAlignment="1">
      <alignment horizontal="left" vertical="top" indent="3" shrinkToFit="1"/>
    </xf>
    <xf numFmtId="167" fontId="28" fillId="3" borderId="0" xfId="0" applyNumberFormat="1" applyFont="1" applyFill="1" applyAlignment="1">
      <alignment horizontal="left" vertical="top" indent="1" shrinkToFit="1"/>
    </xf>
    <xf numFmtId="168" fontId="31" fillId="3" borderId="0" xfId="0" applyNumberFormat="1" applyFont="1" applyFill="1" applyAlignment="1">
      <alignment horizontal="left" vertical="top" indent="2" shrinkToFit="1"/>
    </xf>
    <xf numFmtId="0" fontId="11" fillId="0" borderId="0" xfId="0" applyFont="1" applyAlignment="1">
      <alignment horizontal="left" vertical="top" wrapText="1" indent="42"/>
    </xf>
    <xf numFmtId="0" fontId="2" fillId="4" borderId="2" xfId="0" applyFont="1" applyFill="1" applyBorder="1" applyAlignment="1">
      <alignment horizontal="center" vertical="top" wrapText="1"/>
    </xf>
    <xf numFmtId="0" fontId="11" fillId="0" borderId="3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2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center" vertical="center" wrapText="1"/>
    </xf>
    <xf numFmtId="1" fontId="27" fillId="3" borderId="0" xfId="0" applyNumberFormat="1" applyFont="1" applyFill="1" applyAlignment="1">
      <alignment horizontal="center" vertical="top" shrinkToFit="1"/>
    </xf>
    <xf numFmtId="1" fontId="28" fillId="3" borderId="0" xfId="0" applyNumberFormat="1" applyFont="1" applyFill="1" applyAlignment="1">
      <alignment horizontal="left" vertical="top" indent="1" shrinkToFit="1"/>
    </xf>
    <xf numFmtId="165" fontId="28" fillId="3" borderId="0" xfId="0" applyNumberFormat="1" applyFont="1" applyFill="1" applyAlignment="1">
      <alignment horizontal="left" vertical="top" indent="3" shrinkToFit="1"/>
    </xf>
    <xf numFmtId="1" fontId="27" fillId="0" borderId="0" xfId="0" applyNumberFormat="1" applyFont="1" applyAlignment="1">
      <alignment horizontal="left" vertical="top" indent="1" shrinkToFit="1"/>
    </xf>
    <xf numFmtId="167" fontId="28" fillId="0" borderId="0" xfId="0" applyNumberFormat="1" applyFont="1" applyAlignment="1">
      <alignment horizontal="left" vertical="top" indent="1" shrinkToFit="1"/>
    </xf>
    <xf numFmtId="168" fontId="31" fillId="0" borderId="0" xfId="0" applyNumberFormat="1" applyFont="1" applyAlignment="1">
      <alignment horizontal="left" vertical="top" indent="2" shrinkToFit="1"/>
    </xf>
    <xf numFmtId="0" fontId="2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center" wrapText="1" indent="2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0" fillId="3" borderId="0" xfId="0" applyNumberFormat="1" applyFont="1" applyFill="1" applyAlignment="1">
      <alignment horizontal="center" vertical="top" shrinkToFit="1"/>
    </xf>
    <xf numFmtId="0" fontId="16" fillId="3" borderId="0" xfId="0" applyFont="1" applyFill="1" applyAlignment="1">
      <alignment horizontal="left" vertical="top" wrapText="1" indent="1"/>
    </xf>
    <xf numFmtId="167" fontId="30" fillId="3" borderId="0" xfId="0" applyNumberFormat="1" applyFont="1" applyFill="1" applyAlignment="1">
      <alignment horizontal="center" vertical="top" shrinkToFit="1"/>
    </xf>
    <xf numFmtId="165" fontId="30" fillId="3" borderId="0" xfId="0" applyNumberFormat="1" applyFont="1" applyFill="1" applyAlignment="1">
      <alignment horizontal="center" vertical="top" shrinkToFit="1"/>
    </xf>
    <xf numFmtId="1" fontId="30" fillId="0" borderId="0" xfId="0" applyNumberFormat="1" applyFont="1" applyAlignment="1">
      <alignment horizontal="center" vertical="top" shrinkToFit="1"/>
    </xf>
    <xf numFmtId="0" fontId="16" fillId="0" borderId="0" xfId="0" applyFont="1" applyAlignment="1">
      <alignment horizontal="left" vertical="top" wrapText="1" indent="1"/>
    </xf>
    <xf numFmtId="167" fontId="30" fillId="0" borderId="0" xfId="0" applyNumberFormat="1" applyFont="1" applyAlignment="1">
      <alignment horizontal="center" vertical="top" shrinkToFit="1"/>
    </xf>
    <xf numFmtId="168" fontId="29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9"/>
    </xf>
    <xf numFmtId="1" fontId="18" fillId="3" borderId="0" xfId="0" applyNumberFormat="1" applyFont="1" applyFill="1" applyAlignment="1">
      <alignment horizontal="left" vertical="top" indent="1" shrinkToFit="1"/>
    </xf>
    <xf numFmtId="0" fontId="8" fillId="3" borderId="0" xfId="0" applyFont="1" applyFill="1" applyAlignment="1">
      <alignment horizontal="left" vertical="top" wrapText="1" indent="1"/>
    </xf>
    <xf numFmtId="0" fontId="8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center" vertical="top" wrapText="1"/>
    </xf>
    <xf numFmtId="167" fontId="18" fillId="3" borderId="0" xfId="0" applyNumberFormat="1" applyFont="1" applyFill="1" applyAlignment="1">
      <alignment horizontal="center" vertical="top" shrinkToFit="1"/>
    </xf>
    <xf numFmtId="165" fontId="18" fillId="3" borderId="0" xfId="0" applyNumberFormat="1" applyFont="1" applyFill="1" applyAlignment="1">
      <alignment horizontal="center" vertical="top" shrinkToFit="1"/>
    </xf>
    <xf numFmtId="1" fontId="18" fillId="0" borderId="0" xfId="0" applyNumberFormat="1" applyFont="1" applyAlignment="1">
      <alignment horizontal="left" vertical="top" indent="1" shrinkToFit="1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167" fontId="18" fillId="0" borderId="0" xfId="0" applyNumberFormat="1" applyFont="1" applyAlignment="1">
      <alignment horizontal="center" vertical="top" shrinkToFit="1"/>
    </xf>
    <xf numFmtId="168" fontId="26" fillId="0" borderId="0" xfId="0" applyNumberFormat="1" applyFont="1" applyAlignment="1">
      <alignment horizontal="center" vertical="top" shrinkToFit="1"/>
    </xf>
    <xf numFmtId="1" fontId="18" fillId="3" borderId="0" xfId="0" applyNumberFormat="1" applyFont="1" applyFill="1" applyAlignment="1">
      <alignment horizontal="center" vertical="top" shrinkToFit="1"/>
    </xf>
    <xf numFmtId="165" fontId="18" fillId="3" borderId="0" xfId="0" applyNumberFormat="1" applyFont="1" applyFill="1" applyAlignment="1">
      <alignment horizontal="left" vertical="top" indent="3" shrinkToFit="1"/>
    </xf>
    <xf numFmtId="1" fontId="18" fillId="0" borderId="0" xfId="0" applyNumberFormat="1" applyFont="1" applyAlignment="1">
      <alignment horizontal="center" vertical="top" shrinkToFit="1"/>
    </xf>
    <xf numFmtId="0" fontId="15" fillId="0" borderId="0" xfId="0" applyFont="1" applyAlignment="1">
      <alignment horizontal="center" vertical="top" wrapText="1"/>
    </xf>
    <xf numFmtId="168" fontId="26" fillId="0" borderId="0" xfId="0" applyNumberFormat="1" applyFont="1" applyAlignment="1">
      <alignment horizontal="left" vertical="top" indent="2" shrinkToFit="1"/>
    </xf>
    <xf numFmtId="0" fontId="11" fillId="0" borderId="0" xfId="0" applyFont="1" applyAlignment="1">
      <alignment horizontal="left" vertical="top" wrapText="1" indent="20"/>
    </xf>
    <xf numFmtId="0" fontId="11" fillId="0" borderId="0" xfId="0" applyFont="1" applyAlignment="1">
      <alignment horizontal="left" vertical="top" wrapText="1" indent="19"/>
    </xf>
    <xf numFmtId="1" fontId="12" fillId="3" borderId="0" xfId="0" applyNumberFormat="1" applyFont="1" applyFill="1" applyAlignment="1">
      <alignment horizontal="center" vertical="top" shrinkToFit="1"/>
    </xf>
    <xf numFmtId="0" fontId="14" fillId="3" borderId="0" xfId="0" applyFont="1" applyFill="1" applyAlignment="1">
      <alignment horizontal="left" vertical="top" wrapText="1"/>
    </xf>
    <xf numFmtId="167" fontId="13" fillId="3" borderId="0" xfId="0" applyNumberFormat="1" applyFont="1" applyFill="1" applyAlignment="1">
      <alignment horizontal="center" vertical="top" shrinkToFit="1"/>
    </xf>
    <xf numFmtId="168" fontId="22" fillId="3" borderId="0" xfId="0" applyNumberFormat="1" applyFont="1" applyFill="1" applyAlignment="1">
      <alignment horizontal="left" vertical="top" indent="2" shrinkToFit="1"/>
    </xf>
    <xf numFmtId="1" fontId="13" fillId="0" borderId="0" xfId="0" applyNumberFormat="1" applyFont="1" applyAlignment="1">
      <alignment horizontal="center" vertical="top" shrinkToFit="1"/>
    </xf>
    <xf numFmtId="0" fontId="14" fillId="0" borderId="0" xfId="0" applyFont="1" applyAlignment="1">
      <alignment horizontal="left" vertical="top" wrapText="1"/>
    </xf>
    <xf numFmtId="167" fontId="12" fillId="0" borderId="0" xfId="0" applyNumberFormat="1" applyFont="1" applyAlignment="1">
      <alignment horizontal="center" vertical="top" shrinkToFit="1"/>
    </xf>
    <xf numFmtId="165" fontId="13" fillId="0" borderId="0" xfId="0" applyNumberFormat="1" applyFont="1" applyAlignment="1">
      <alignment horizontal="left" vertical="top" indent="3" shrinkToFit="1"/>
    </xf>
    <xf numFmtId="1" fontId="12" fillId="0" borderId="0" xfId="0" applyNumberFormat="1" applyFont="1" applyAlignment="1">
      <alignment horizontal="center" vertical="top" shrinkToFit="1"/>
    </xf>
    <xf numFmtId="167" fontId="13" fillId="0" borderId="0" xfId="0" applyNumberFormat="1" applyFont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67" fontId="13" fillId="0" borderId="1" xfId="0" applyNumberFormat="1" applyFont="1" applyBorder="1" applyAlignment="1">
      <alignment horizontal="center" vertical="top" shrinkToFit="1"/>
    </xf>
    <xf numFmtId="165" fontId="13" fillId="0" borderId="1" xfId="0" applyNumberFormat="1" applyFont="1" applyBorder="1" applyAlignment="1">
      <alignment horizontal="left" vertical="top" indent="3" shrinkToFit="1"/>
    </xf>
    <xf numFmtId="167" fontId="28" fillId="3" borderId="0" xfId="0" applyNumberFormat="1" applyFont="1" applyFill="1" applyAlignment="1">
      <alignment horizontal="center" vertical="top" shrinkToFit="1"/>
    </xf>
    <xf numFmtId="168" fontId="29" fillId="3" borderId="0" xfId="0" applyNumberFormat="1" applyFont="1" applyFill="1" applyAlignment="1">
      <alignment horizontal="left" vertical="top" indent="2" shrinkToFit="1"/>
    </xf>
    <xf numFmtId="0" fontId="11" fillId="0" borderId="0" xfId="0" applyFont="1" applyAlignment="1">
      <alignment horizontal="left" vertical="top" wrapText="1"/>
    </xf>
    <xf numFmtId="167" fontId="27" fillId="0" borderId="0" xfId="0" applyNumberFormat="1" applyFont="1" applyAlignment="1">
      <alignment horizontal="center" vertical="top" shrinkToFit="1"/>
    </xf>
    <xf numFmtId="167" fontId="28" fillId="0" borderId="0" xfId="0" applyNumberFormat="1" applyFont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1"/>
    </xf>
    <xf numFmtId="167" fontId="2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167" fontId="18" fillId="0" borderId="1" xfId="0" applyNumberFormat="1" applyFont="1" applyBorder="1" applyAlignment="1">
      <alignment horizontal="center" vertical="top" shrinkToFit="1"/>
    </xf>
    <xf numFmtId="165" fontId="18" fillId="0" borderId="1" xfId="0" applyNumberFormat="1" applyFont="1" applyBorder="1" applyAlignment="1">
      <alignment horizontal="left" vertical="top" indent="3" shrinkToFit="1"/>
    </xf>
    <xf numFmtId="0" fontId="15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center" vertical="top" wrapText="1"/>
    </xf>
    <xf numFmtId="168" fontId="26" fillId="3" borderId="0" xfId="0" applyNumberFormat="1" applyFont="1" applyFill="1" applyAlignment="1">
      <alignment horizontal="left" vertical="top" indent="2" shrinkToFit="1"/>
    </xf>
    <xf numFmtId="1" fontId="13" fillId="3" borderId="0" xfId="0" applyNumberFormat="1" applyFont="1" applyFill="1" applyAlignment="1">
      <alignment horizontal="left" vertical="top" indent="1" shrinkToFit="1"/>
    </xf>
    <xf numFmtId="167" fontId="12" fillId="3" borderId="0" xfId="0" applyNumberFormat="1" applyFont="1" applyFill="1" applyAlignment="1">
      <alignment horizontal="center" vertical="top" shrinkToFit="1"/>
    </xf>
    <xf numFmtId="168" fontId="22" fillId="3" borderId="0" xfId="0" applyNumberFormat="1" applyFont="1" applyFill="1" applyAlignment="1">
      <alignment horizontal="center" vertical="top" shrinkToFit="1"/>
    </xf>
    <xf numFmtId="0" fontId="0" fillId="0" borderId="0" xfId="0" applyAlignment="1">
      <alignment horizontal="left" vertical="top" wrapText="1" indent="21"/>
    </xf>
    <xf numFmtId="1" fontId="13" fillId="0" borderId="0" xfId="0" applyNumberFormat="1" applyFont="1" applyAlignment="1">
      <alignment horizontal="left" vertical="top" indent="1" shrinkToFit="1"/>
    </xf>
    <xf numFmtId="165" fontId="13" fillId="0" borderId="0" xfId="0" applyNumberFormat="1" applyFont="1" applyAlignment="1">
      <alignment horizontal="center" vertical="top" shrinkToFit="1"/>
    </xf>
    <xf numFmtId="165" fontId="13" fillId="3" borderId="0" xfId="0" applyNumberFormat="1" applyFont="1" applyFill="1" applyAlignment="1">
      <alignment horizontal="center" vertical="top" shrinkToFit="1"/>
    </xf>
    <xf numFmtId="168" fontId="22" fillId="0" borderId="0" xfId="0" applyNumberFormat="1" applyFont="1" applyAlignment="1">
      <alignment horizontal="center" vertical="top" shrinkToFit="1"/>
    </xf>
    <xf numFmtId="1" fontId="13" fillId="0" borderId="1" xfId="0" applyNumberFormat="1" applyFont="1" applyBorder="1" applyAlignment="1">
      <alignment horizontal="left" vertical="top" indent="1" shrinkToFit="1"/>
    </xf>
    <xf numFmtId="165" fontId="13" fillId="0" borderId="1" xfId="0" applyNumberFormat="1" applyFont="1" applyBorder="1" applyAlignment="1">
      <alignment horizontal="center" vertical="top" shrinkToFit="1"/>
    </xf>
    <xf numFmtId="1" fontId="24" fillId="3" borderId="0" xfId="0" applyNumberFormat="1" applyFont="1" applyFill="1" applyAlignment="1">
      <alignment horizontal="left" vertical="top" indent="1" shrinkToFit="1"/>
    </xf>
    <xf numFmtId="167" fontId="24" fillId="3" borderId="0" xfId="0" applyNumberFormat="1" applyFont="1" applyFill="1" applyAlignment="1">
      <alignment horizontal="left" vertical="top" indent="1" shrinkToFit="1"/>
    </xf>
    <xf numFmtId="1" fontId="24" fillId="3" borderId="0" xfId="0" applyNumberFormat="1" applyFont="1" applyFill="1" applyAlignment="1">
      <alignment horizontal="center" vertical="top" shrinkToFit="1"/>
    </xf>
    <xf numFmtId="168" fontId="25" fillId="3" borderId="0" xfId="0" applyNumberFormat="1" applyFont="1" applyFill="1" applyAlignment="1">
      <alignment horizontal="left" vertical="top" indent="2" shrinkToFit="1"/>
    </xf>
    <xf numFmtId="0" fontId="5" fillId="0" borderId="2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21"/>
    </xf>
    <xf numFmtId="165" fontId="18" fillId="0" borderId="0" xfId="0" applyNumberFormat="1" applyFont="1" applyAlignment="1">
      <alignment horizontal="center" vertical="top" shrinkToFit="1"/>
    </xf>
    <xf numFmtId="0" fontId="2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165" fontId="18" fillId="0" borderId="1" xfId="0" applyNumberFormat="1" applyFont="1" applyBorder="1" applyAlignment="1">
      <alignment horizontal="center" vertical="top" shrinkToFit="1"/>
    </xf>
    <xf numFmtId="167" fontId="18" fillId="0" borderId="1" xfId="0" applyNumberFormat="1" applyFont="1" applyBorder="1" applyAlignment="1">
      <alignment horizontal="left" vertical="top" indent="1" shrinkToFit="1"/>
    </xf>
    <xf numFmtId="0" fontId="8" fillId="0" borderId="1" xfId="0" applyFont="1" applyBorder="1" applyAlignment="1">
      <alignment horizontal="left" vertical="top" wrapText="1" indent="2"/>
    </xf>
    <xf numFmtId="0" fontId="15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 indent="1"/>
    </xf>
    <xf numFmtId="0" fontId="0" fillId="0" borderId="2" xfId="0" applyBorder="1" applyAlignment="1">
      <alignment horizontal="center" vertical="top" wrapText="1"/>
    </xf>
    <xf numFmtId="167" fontId="18" fillId="3" borderId="0" xfId="0" applyNumberFormat="1" applyFont="1" applyFill="1" applyAlignment="1">
      <alignment horizontal="left" vertical="top" indent="1" shrinkToFit="1"/>
    </xf>
    <xf numFmtId="0" fontId="8" fillId="3" borderId="0" xfId="0" applyFont="1" applyFill="1" applyAlignment="1">
      <alignment horizontal="left" vertical="top" wrapText="1" indent="2"/>
    </xf>
    <xf numFmtId="1" fontId="21" fillId="0" borderId="0" xfId="0" applyNumberFormat="1" applyFont="1" applyAlignment="1">
      <alignment horizontal="left" vertical="top" shrinkToFit="1"/>
    </xf>
    <xf numFmtId="0" fontId="5" fillId="0" borderId="2" xfId="0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left" vertical="top" shrinkToFit="1"/>
    </xf>
    <xf numFmtId="165" fontId="18" fillId="0" borderId="0" xfId="0" applyNumberFormat="1" applyFont="1" applyAlignment="1">
      <alignment horizontal="left" vertical="top" indent="3" shrinkToFit="1"/>
    </xf>
    <xf numFmtId="1" fontId="18" fillId="0" borderId="1" xfId="0" applyNumberFormat="1" applyFont="1" applyBorder="1" applyAlignment="1">
      <alignment horizontal="left" vertical="top" indent="1" shrinkToFi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19"/>
    </xf>
    <xf numFmtId="1" fontId="19" fillId="0" borderId="0" xfId="0" applyNumberFormat="1" applyFont="1" applyAlignment="1">
      <alignment horizontal="left" vertical="top" shrinkToFi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 indent="1"/>
    </xf>
    <xf numFmtId="168" fontId="17" fillId="0" borderId="0" xfId="0" applyNumberFormat="1" applyFont="1" applyAlignment="1">
      <alignment horizontal="center" vertical="top" shrinkToFit="1"/>
    </xf>
    <xf numFmtId="1" fontId="7" fillId="0" borderId="1" xfId="0" applyNumberFormat="1" applyFont="1" applyBorder="1" applyAlignment="1">
      <alignment horizontal="left" vertical="top" indent="1" shrinkToFit="1"/>
    </xf>
    <xf numFmtId="167" fontId="7" fillId="0" borderId="1" xfId="0" applyNumberFormat="1" applyFont="1" applyBorder="1" applyAlignment="1">
      <alignment horizontal="left" vertical="top" indent="1" shrinkToFit="1"/>
    </xf>
    <xf numFmtId="1" fontId="7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68" fontId="10" fillId="0" borderId="1" xfId="0" applyNumberFormat="1" applyFont="1" applyBorder="1" applyAlignment="1">
      <alignment horizontal="left" vertical="top" indent="2" shrinkToFit="1"/>
    </xf>
    <xf numFmtId="0" fontId="1" fillId="3" borderId="0" xfId="0" applyFont="1" applyFill="1" applyAlignment="1">
      <alignment horizontal="left" vertical="top" wrapText="1"/>
    </xf>
    <xf numFmtId="165" fontId="3" fillId="3" borderId="0" xfId="0" applyNumberFormat="1" applyFont="1" applyFill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top" shrinkToFit="1"/>
    </xf>
    <xf numFmtId="0" fontId="0" fillId="2" borderId="0" xfId="0" applyFill="1" applyAlignment="1">
      <alignment horizontal="left" vertical="top" wrapText="1" indent="1"/>
    </xf>
    <xf numFmtId="0" fontId="2" fillId="0" borderId="0" xfId="0" applyFont="1" applyAlignment="1">
      <alignment horizontal="left" wrapText="1" indent="16"/>
    </xf>
    <xf numFmtId="0" fontId="1" fillId="0" borderId="0" xfId="0" applyFont="1" applyAlignment="1">
      <alignment horizontal="left" vertical="top" wrapText="1" indent="6"/>
    </xf>
    <xf numFmtId="164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6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center" vertical="center" wrapText="1"/>
    </xf>
    <xf numFmtId="164" fontId="3" fillId="3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right" vertical="top" wrapText="1" indent="22"/>
    </xf>
    <xf numFmtId="0" fontId="0" fillId="0" borderId="0" xfId="0" applyAlignment="1">
      <alignment horizontal="left" vertical="top" wrapText="1" indent="17"/>
    </xf>
    <xf numFmtId="0" fontId="81" fillId="0" borderId="0" xfId="0" applyFont="1" applyFill="1" applyBorder="1" applyAlignment="1">
      <alignment horizontal="left" vertical="center" wrapText="1"/>
    </xf>
    <xf numFmtId="0" fontId="81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left" vertical="top" wrapText="1"/>
    </xf>
    <xf numFmtId="0" fontId="83" fillId="0" borderId="0" xfId="0" applyFont="1" applyFill="1" applyBorder="1" applyAlignment="1">
      <alignment horizontal="left" vertical="center" wrapText="1"/>
    </xf>
    <xf numFmtId="0" fontId="83" fillId="0" borderId="0" xfId="0" applyFont="1" applyFill="1" applyBorder="1" applyAlignment="1">
      <alignment horizontal="left" vertical="top"/>
    </xf>
    <xf numFmtId="166" fontId="67" fillId="0" borderId="0" xfId="0" applyNumberFormat="1" applyFont="1" applyFill="1" applyBorder="1" applyAlignment="1">
      <alignment horizontal="left" vertical="top" shrinkToFit="1"/>
    </xf>
    <xf numFmtId="1" fontId="84" fillId="0" borderId="0" xfId="0" applyNumberFormat="1" applyFont="1" applyFill="1" applyBorder="1" applyAlignment="1">
      <alignment horizontal="left" vertical="top" shrinkToFit="1"/>
    </xf>
    <xf numFmtId="167" fontId="84" fillId="0" borderId="0" xfId="0" applyNumberFormat="1" applyFont="1" applyFill="1" applyBorder="1" applyAlignment="1">
      <alignment horizontal="left" vertical="top" shrinkToFit="1"/>
    </xf>
    <xf numFmtId="168" fontId="85" fillId="0" borderId="0" xfId="0" applyNumberFormat="1" applyFont="1" applyFill="1" applyBorder="1" applyAlignment="1">
      <alignment horizontal="left" vertical="top" shrinkToFit="1"/>
    </xf>
    <xf numFmtId="1" fontId="86" fillId="0" borderId="0" xfId="0" applyNumberFormat="1" applyFont="1" applyFill="1" applyBorder="1" applyAlignment="1">
      <alignment horizontal="left" vertical="top" shrinkToFit="1"/>
    </xf>
    <xf numFmtId="167" fontId="86" fillId="0" borderId="0" xfId="0" applyNumberFormat="1" applyFont="1" applyFill="1" applyBorder="1" applyAlignment="1">
      <alignment horizontal="left" vertical="top" shrinkToFit="1"/>
    </xf>
    <xf numFmtId="165" fontId="86" fillId="0" borderId="0" xfId="0" applyNumberFormat="1" applyFont="1" applyFill="1" applyBorder="1" applyAlignment="1">
      <alignment horizontal="left" vertical="top" shrinkToFit="1"/>
    </xf>
    <xf numFmtId="167" fontId="67" fillId="0" borderId="0" xfId="0" applyNumberFormat="1" applyFont="1" applyFill="1" applyBorder="1" applyAlignment="1">
      <alignment horizontal="left" vertical="top" shrinkToFit="1"/>
    </xf>
    <xf numFmtId="168" fontId="89" fillId="0" borderId="0" xfId="0" applyNumberFormat="1" applyFont="1" applyFill="1" applyBorder="1" applyAlignment="1">
      <alignment horizontal="left" vertical="top" shrinkToFit="1"/>
    </xf>
    <xf numFmtId="166" fontId="86" fillId="0" borderId="0" xfId="0" applyNumberFormat="1" applyFont="1" applyFill="1" applyBorder="1" applyAlignment="1">
      <alignment horizontal="left" vertical="top" shrinkToFit="1"/>
    </xf>
    <xf numFmtId="166" fontId="67" fillId="0" borderId="0" xfId="0" applyNumberFormat="1" applyFont="1" applyAlignment="1">
      <alignment horizontal="left" vertical="top" shrinkToFit="1"/>
    </xf>
    <xf numFmtId="1" fontId="86" fillId="0" borderId="0" xfId="0" applyNumberFormat="1" applyFont="1" applyAlignment="1">
      <alignment horizontal="left" vertical="top" shrinkToFit="1"/>
    </xf>
    <xf numFmtId="0" fontId="23" fillId="0" borderId="0" xfId="0" applyFont="1" applyAlignment="1">
      <alignment horizontal="left" vertical="top" wrapText="1"/>
    </xf>
    <xf numFmtId="167" fontId="86" fillId="0" borderId="0" xfId="0" applyNumberFormat="1" applyFont="1" applyAlignment="1">
      <alignment horizontal="left" vertical="top" shrinkToFit="1"/>
    </xf>
    <xf numFmtId="165" fontId="86" fillId="0" borderId="0" xfId="0" applyNumberFormat="1" applyFont="1" applyAlignment="1">
      <alignment horizontal="left" vertical="top" shrinkToFit="1"/>
    </xf>
    <xf numFmtId="166" fontId="90" fillId="0" borderId="0" xfId="0" applyNumberFormat="1" applyFont="1" applyFill="1" applyBorder="1" applyAlignment="1">
      <alignment horizontal="left" vertical="top" shrinkToFit="1"/>
    </xf>
    <xf numFmtId="1" fontId="90" fillId="0" borderId="0" xfId="0" applyNumberFormat="1" applyFont="1" applyFill="1" applyBorder="1" applyAlignment="1">
      <alignment horizontal="left" vertical="top" shrinkToFit="1"/>
    </xf>
    <xf numFmtId="167" fontId="90" fillId="0" borderId="0" xfId="0" applyNumberFormat="1" applyFont="1" applyFill="1" applyBorder="1" applyAlignment="1">
      <alignment horizontal="left" vertical="top" shrinkToFit="1"/>
    </xf>
    <xf numFmtId="165" fontId="90" fillId="0" borderId="0" xfId="0" applyNumberFormat="1" applyFont="1" applyFill="1" applyBorder="1" applyAlignment="1">
      <alignment horizontal="left" vertical="top" shrinkToFit="1"/>
    </xf>
    <xf numFmtId="168" fontId="97" fillId="0" borderId="0" xfId="0" applyNumberFormat="1" applyFont="1" applyFill="1" applyBorder="1" applyAlignment="1">
      <alignment horizontal="left" vertical="top" shrinkToFit="1"/>
    </xf>
    <xf numFmtId="1" fontId="67" fillId="0" borderId="0" xfId="0" applyNumberFormat="1" applyFont="1" applyFill="1" applyBorder="1" applyAlignment="1">
      <alignment horizontal="left" vertical="top" shrinkToFit="1"/>
    </xf>
    <xf numFmtId="168" fontId="99" fillId="0" borderId="0" xfId="0" applyNumberFormat="1" applyFont="1" applyFill="1" applyBorder="1" applyAlignment="1">
      <alignment horizontal="left" vertical="top" shrinkToFit="1"/>
    </xf>
    <xf numFmtId="0" fontId="83" fillId="0" borderId="0" xfId="0" applyFont="1" applyFill="1" applyBorder="1" applyAlignment="1">
      <alignment horizontal="left" wrapText="1"/>
    </xf>
    <xf numFmtId="168" fontId="100" fillId="0" borderId="0" xfId="0" applyNumberFormat="1" applyFont="1" applyFill="1" applyBorder="1" applyAlignment="1">
      <alignment horizontal="left" vertical="top" shrinkToFit="1"/>
    </xf>
    <xf numFmtId="166" fontId="101" fillId="0" borderId="0" xfId="0" applyNumberFormat="1" applyFont="1" applyFill="1" applyBorder="1" applyAlignment="1">
      <alignment horizontal="left" vertical="top" shrinkToFit="1"/>
    </xf>
    <xf numFmtId="1" fontId="101" fillId="0" borderId="0" xfId="0" applyNumberFormat="1" applyFont="1" applyFill="1" applyBorder="1" applyAlignment="1">
      <alignment horizontal="left" vertical="top" shrinkToFit="1"/>
    </xf>
    <xf numFmtId="167" fontId="101" fillId="0" borderId="0" xfId="0" applyNumberFormat="1" applyFont="1" applyFill="1" applyBorder="1" applyAlignment="1">
      <alignment horizontal="left" vertical="top" shrinkToFit="1"/>
    </xf>
    <xf numFmtId="165" fontId="101" fillId="0" borderId="0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154019</xdr:colOff>
      <xdr:row>4</xdr:row>
      <xdr:rowOff>116935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29</xdr:col>
      <xdr:colOff>143895</xdr:colOff>
      <xdr:row>5</xdr:row>
      <xdr:rowOff>232505</xdr:rowOff>
    </xdr:from>
    <xdr:ext cx="115824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29</xdr:col>
      <xdr:colOff>143895</xdr:colOff>
      <xdr:row>5</xdr:row>
      <xdr:rowOff>411003</xdr:rowOff>
    </xdr:from>
    <xdr:ext cx="115824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0</xdr:col>
      <xdr:colOff>170</xdr:colOff>
      <xdr:row>60</xdr:row>
      <xdr:rowOff>222758</xdr:rowOff>
    </xdr:from>
    <xdr:ext cx="9662795" cy="1695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70" y="14462633"/>
          <a:ext cx="9662795" cy="169545"/>
          <a:chOff x="0" y="0"/>
          <a:chExt cx="9662795" cy="1695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170</xdr:colOff>
      <xdr:row>84</xdr:row>
      <xdr:rowOff>222757</xdr:rowOff>
    </xdr:from>
    <xdr:ext cx="9662795" cy="169545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70" y="19787107"/>
          <a:ext cx="9662795" cy="169545"/>
          <a:chOff x="0" y="0"/>
          <a:chExt cx="9662795" cy="16954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170</xdr:colOff>
      <xdr:row>159</xdr:row>
      <xdr:rowOff>229109</xdr:rowOff>
    </xdr:from>
    <xdr:ext cx="9662795" cy="169545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70" y="36595559"/>
          <a:ext cx="9662795" cy="169545"/>
          <a:chOff x="0" y="0"/>
          <a:chExt cx="9662795" cy="169545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170</xdr:colOff>
      <xdr:row>184</xdr:row>
      <xdr:rowOff>222759</xdr:rowOff>
    </xdr:from>
    <xdr:ext cx="9662795" cy="169545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70" y="41980359"/>
          <a:ext cx="9662795" cy="169545"/>
          <a:chOff x="0" y="0"/>
          <a:chExt cx="9662795" cy="169545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154019</xdr:colOff>
      <xdr:row>0</xdr:row>
      <xdr:rowOff>0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55C872CB-F146-4FFB-8210-2555E4F34707}"/>
            </a:ext>
          </a:extLst>
        </xdr:cNvPr>
        <xdr:cNvSpPr/>
      </xdr:nvSpPr>
      <xdr:spPr>
        <a:xfrm>
          <a:off x="6935819" y="1050385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7</xdr:col>
      <xdr:colOff>143895</xdr:colOff>
      <xdr:row>0</xdr:row>
      <xdr:rowOff>0</xdr:rowOff>
    </xdr:from>
    <xdr:ext cx="115824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E8E935C-DD96-4C7F-8A56-2CD7BB91601A}"/>
            </a:ext>
          </a:extLst>
        </xdr:cNvPr>
        <xdr:cNvSpPr/>
      </xdr:nvSpPr>
      <xdr:spPr>
        <a:xfrm>
          <a:off x="6925695" y="1680305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7</xdr:col>
      <xdr:colOff>143895</xdr:colOff>
      <xdr:row>0</xdr:row>
      <xdr:rowOff>0</xdr:rowOff>
    </xdr:from>
    <xdr:ext cx="115824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16A2B829-F830-4DB2-8498-651E3D29B3AF}"/>
            </a:ext>
          </a:extLst>
        </xdr:cNvPr>
        <xdr:cNvSpPr/>
      </xdr:nvSpPr>
      <xdr:spPr>
        <a:xfrm>
          <a:off x="6925695" y="1858803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6"/>
  <sheetViews>
    <sheetView tabSelected="1" topLeftCell="A175" workbookViewId="0">
      <selection sqref="A1:AP206"/>
    </sheetView>
  </sheetViews>
  <sheetFormatPr defaultRowHeight="12.75" x14ac:dyDescent="0.2"/>
  <cols>
    <col min="1" max="1" width="14" customWidth="1"/>
    <col min="2" max="2" width="3.33203125" customWidth="1"/>
    <col min="3" max="3" width="6.83203125" customWidth="1"/>
    <col min="4" max="4" width="5.83203125" customWidth="1"/>
    <col min="5" max="5" width="3.33203125" customWidth="1"/>
    <col min="6" max="6" width="2.1640625" customWidth="1"/>
    <col min="7" max="7" width="10.5" customWidth="1"/>
    <col min="8" max="8" width="8" customWidth="1"/>
    <col min="9" max="9" width="1.1640625" customWidth="1"/>
    <col min="10" max="10" width="2.1640625" customWidth="1"/>
    <col min="11" max="13" width="1.1640625" customWidth="1"/>
    <col min="14" max="14" width="4.6640625" customWidth="1"/>
    <col min="15" max="15" width="1.1640625" customWidth="1"/>
    <col min="16" max="16" width="2.1640625" customWidth="1"/>
    <col min="17" max="18" width="1.1640625" customWidth="1"/>
    <col min="19" max="20" width="2.1640625" customWidth="1"/>
    <col min="21" max="21" width="4.6640625" customWidth="1"/>
    <col min="22" max="22" width="3.33203125" customWidth="1"/>
    <col min="23" max="24" width="2.1640625" customWidth="1"/>
    <col min="25" max="25" width="6.83203125" customWidth="1"/>
    <col min="26" max="26" width="4.6640625" customWidth="1"/>
    <col min="27" max="27" width="3.33203125" customWidth="1"/>
    <col min="28" max="28" width="12.6640625" customWidth="1"/>
    <col min="29" max="29" width="3.33203125" customWidth="1"/>
    <col min="30" max="30" width="10.5" customWidth="1"/>
    <col min="31" max="31" width="2.1640625" customWidth="1"/>
    <col min="32" max="32" width="9.33203125" customWidth="1"/>
    <col min="33" max="33" width="6.83203125" customWidth="1"/>
    <col min="34" max="34" width="1.1640625" customWidth="1"/>
    <col min="35" max="35" width="2.1640625" customWidth="1"/>
    <col min="36" max="36" width="1.1640625" customWidth="1"/>
    <col min="37" max="37" width="5.83203125" customWidth="1"/>
    <col min="38" max="38" width="3.33203125" customWidth="1"/>
    <col min="39" max="40" width="2.1640625" customWidth="1"/>
    <col min="41" max="41" width="8" customWidth="1"/>
    <col min="42" max="42" width="4.6640625" customWidth="1"/>
  </cols>
  <sheetData>
    <row r="1" spans="1:42" ht="15" customHeight="1" x14ac:dyDescent="0.2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1"/>
    </row>
    <row r="2" spans="1:42" ht="18.95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1"/>
      <c r="AC2" s="37"/>
      <c r="AD2" s="37"/>
      <c r="AE2" s="37"/>
      <c r="AF2" s="209" t="s">
        <v>1</v>
      </c>
      <c r="AG2" s="209"/>
      <c r="AH2" s="209"/>
      <c r="AI2" s="209"/>
      <c r="AJ2" s="209"/>
      <c r="AK2" s="209"/>
      <c r="AL2" s="209"/>
      <c r="AM2" s="209"/>
      <c r="AN2" s="209"/>
      <c r="AO2" s="209"/>
      <c r="AP2" s="209"/>
    </row>
    <row r="3" spans="1:42" ht="34.5" customHeight="1" x14ac:dyDescent="0.2">
      <c r="A3" s="210" t="s">
        <v>2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44"/>
      <c r="S3" s="44"/>
      <c r="T3" s="44"/>
      <c r="U3" s="44"/>
      <c r="V3" s="44"/>
      <c r="W3" s="44"/>
      <c r="X3" s="44"/>
      <c r="Y3" s="44"/>
      <c r="Z3" s="44"/>
      <c r="AA3" s="44"/>
      <c r="AB3" s="2"/>
      <c r="AC3" s="44"/>
      <c r="AD3" s="44"/>
      <c r="AE3" s="44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</row>
    <row r="4" spans="1:42" ht="5.25" customHeight="1" x14ac:dyDescent="0.2">
      <c r="A4" s="210"/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37"/>
      <c r="S4" s="37"/>
      <c r="T4" s="37"/>
      <c r="U4" s="37"/>
      <c r="V4" s="37"/>
      <c r="W4" s="37"/>
      <c r="X4" s="37"/>
      <c r="Y4" s="37"/>
      <c r="Z4" s="37"/>
      <c r="AA4" s="37"/>
      <c r="AB4" s="1"/>
      <c r="AC4" s="37"/>
      <c r="AD4" s="37"/>
      <c r="AE4" s="37"/>
      <c r="AF4" s="1"/>
      <c r="AG4" s="37"/>
      <c r="AH4" s="37"/>
      <c r="AI4" s="37"/>
      <c r="AJ4" s="37"/>
      <c r="AK4" s="37"/>
      <c r="AL4" s="37"/>
      <c r="AM4" s="37"/>
      <c r="AN4" s="37"/>
      <c r="AO4" s="37"/>
      <c r="AP4" s="1"/>
    </row>
    <row r="5" spans="1:42" ht="40.5" customHeight="1" x14ac:dyDescent="0.2">
      <c r="A5" s="200" t="s">
        <v>3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1" t="s">
        <v>4</v>
      </c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2">
        <v>2760.41</v>
      </c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</row>
    <row r="6" spans="1:42" ht="48" customHeight="1" x14ac:dyDescent="0.2">
      <c r="A6" s="203" t="s">
        <v>5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4" t="s">
        <v>6</v>
      </c>
      <c r="AA6" s="204"/>
      <c r="AB6" s="204"/>
      <c r="AC6" s="205" t="s">
        <v>7</v>
      </c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</row>
    <row r="7" spans="1:42" ht="44.45" customHeight="1" x14ac:dyDescent="0.2">
      <c r="A7" s="206" t="s">
        <v>8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</row>
    <row r="8" spans="1:42" ht="12.95" customHeight="1" x14ac:dyDescent="0.2">
      <c r="A8" s="37"/>
      <c r="B8" s="37"/>
      <c r="C8" s="37"/>
      <c r="D8" s="37"/>
      <c r="E8" s="37"/>
      <c r="F8" s="37"/>
      <c r="G8" s="194" t="s">
        <v>9</v>
      </c>
      <c r="H8" s="194"/>
      <c r="I8" s="194"/>
      <c r="J8" s="194"/>
      <c r="K8" s="194"/>
      <c r="L8" s="194"/>
      <c r="M8" s="194"/>
      <c r="N8" s="194"/>
      <c r="O8" s="194"/>
      <c r="P8" s="198">
        <v>0</v>
      </c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37"/>
      <c r="AH8" s="37"/>
      <c r="AI8" s="37"/>
      <c r="AJ8" s="37"/>
      <c r="AK8" s="37"/>
      <c r="AL8" s="37"/>
      <c r="AM8" s="37"/>
      <c r="AN8" s="37"/>
      <c r="AO8" s="37"/>
      <c r="AP8" s="1"/>
    </row>
    <row r="9" spans="1:42" ht="12.95" customHeight="1" x14ac:dyDescent="0.2">
      <c r="A9" s="37"/>
      <c r="B9" s="37"/>
      <c r="C9" s="37"/>
      <c r="D9" s="37"/>
      <c r="E9" s="37"/>
      <c r="F9" s="37"/>
      <c r="G9" s="192" t="s">
        <v>10</v>
      </c>
      <c r="H9" s="192"/>
      <c r="I9" s="192"/>
      <c r="J9" s="192"/>
      <c r="K9" s="192"/>
      <c r="L9" s="192"/>
      <c r="M9" s="192"/>
      <c r="N9" s="192"/>
      <c r="O9" s="192"/>
      <c r="P9" s="207">
        <v>2760.41</v>
      </c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37"/>
      <c r="AH9" s="37"/>
      <c r="AI9" s="37"/>
      <c r="AJ9" s="37"/>
      <c r="AK9" s="37"/>
      <c r="AL9" s="37"/>
      <c r="AM9" s="37"/>
      <c r="AN9" s="37"/>
      <c r="AO9" s="37"/>
      <c r="AP9" s="1"/>
    </row>
    <row r="10" spans="1:42" ht="12.95" customHeight="1" x14ac:dyDescent="0.2">
      <c r="A10" s="37"/>
      <c r="B10" s="37"/>
      <c r="C10" s="37"/>
      <c r="D10" s="37"/>
      <c r="E10" s="37"/>
      <c r="F10" s="37"/>
      <c r="G10" s="194" t="s">
        <v>11</v>
      </c>
      <c r="H10" s="194"/>
      <c r="I10" s="194"/>
      <c r="J10" s="194"/>
      <c r="K10" s="194"/>
      <c r="L10" s="194"/>
      <c r="M10" s="194"/>
      <c r="N10" s="194"/>
      <c r="O10" s="194"/>
      <c r="P10" s="198">
        <v>80</v>
      </c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37"/>
      <c r="AH10" s="37"/>
      <c r="AI10" s="37"/>
      <c r="AJ10" s="37"/>
      <c r="AK10" s="37"/>
      <c r="AL10" s="37"/>
      <c r="AM10" s="37"/>
      <c r="AN10" s="37"/>
      <c r="AO10" s="37"/>
      <c r="AP10" s="1"/>
    </row>
    <row r="11" spans="1:42" ht="12.95" customHeight="1" x14ac:dyDescent="0.2">
      <c r="A11" s="37"/>
      <c r="B11" s="37"/>
      <c r="C11" s="37"/>
      <c r="D11" s="37"/>
      <c r="E11" s="37"/>
      <c r="F11" s="37"/>
      <c r="G11" s="192" t="s">
        <v>12</v>
      </c>
      <c r="H11" s="192"/>
      <c r="I11" s="192"/>
      <c r="J11" s="192"/>
      <c r="K11" s="192"/>
      <c r="L11" s="192"/>
      <c r="M11" s="192"/>
      <c r="N11" s="192"/>
      <c r="O11" s="192"/>
      <c r="P11" s="193">
        <v>0</v>
      </c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37"/>
      <c r="AH11" s="37"/>
      <c r="AI11" s="37"/>
      <c r="AJ11" s="37"/>
      <c r="AK11" s="37"/>
      <c r="AL11" s="37"/>
      <c r="AM11" s="37"/>
      <c r="AN11" s="37"/>
      <c r="AO11" s="37"/>
      <c r="AP11" s="1"/>
    </row>
    <row r="12" spans="1:42" ht="24" customHeight="1" x14ac:dyDescent="0.2">
      <c r="A12" s="44"/>
      <c r="B12" s="44"/>
      <c r="C12" s="44"/>
      <c r="D12" s="44"/>
      <c r="E12" s="44"/>
      <c r="F12" s="44"/>
      <c r="G12" s="194" t="s">
        <v>13</v>
      </c>
      <c r="H12" s="194"/>
      <c r="I12" s="194"/>
      <c r="J12" s="194"/>
      <c r="K12" s="194"/>
      <c r="L12" s="194"/>
      <c r="M12" s="194"/>
      <c r="N12" s="194"/>
      <c r="O12" s="194"/>
      <c r="P12" s="195">
        <v>2840.41</v>
      </c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44"/>
      <c r="AH12" s="44"/>
      <c r="AI12" s="44"/>
      <c r="AJ12" s="44"/>
      <c r="AK12" s="44"/>
      <c r="AL12" s="44"/>
      <c r="AM12" s="44"/>
      <c r="AN12" s="44"/>
      <c r="AO12" s="44"/>
      <c r="AP12" s="2"/>
    </row>
    <row r="13" spans="1:42" ht="25.5" customHeight="1" x14ac:dyDescent="0.2">
      <c r="A13" s="44"/>
      <c r="B13" s="44"/>
      <c r="C13" s="44"/>
      <c r="D13" s="44"/>
      <c r="E13" s="44"/>
      <c r="F13" s="44"/>
      <c r="G13" s="196" t="s">
        <v>14</v>
      </c>
      <c r="H13" s="196"/>
      <c r="I13" s="196"/>
      <c r="J13" s="196"/>
      <c r="K13" s="196"/>
      <c r="L13" s="196"/>
      <c r="M13" s="196"/>
      <c r="N13" s="196"/>
      <c r="O13" s="196"/>
      <c r="P13" s="197">
        <v>2840.41</v>
      </c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44"/>
      <c r="AH13" s="44"/>
      <c r="AI13" s="44"/>
      <c r="AJ13" s="44"/>
      <c r="AK13" s="44"/>
      <c r="AL13" s="44"/>
      <c r="AM13" s="44"/>
      <c r="AN13" s="44"/>
      <c r="AO13" s="44"/>
      <c r="AP13" s="2"/>
    </row>
    <row r="14" spans="1:42" ht="12.95" customHeight="1" x14ac:dyDescent="0.2">
      <c r="A14" s="37"/>
      <c r="B14" s="37"/>
      <c r="C14" s="37"/>
      <c r="D14" s="37"/>
      <c r="E14" s="37"/>
      <c r="F14" s="37"/>
      <c r="G14" s="194" t="s">
        <v>15</v>
      </c>
      <c r="H14" s="194"/>
      <c r="I14" s="194"/>
      <c r="J14" s="194"/>
      <c r="K14" s="194"/>
      <c r="L14" s="194"/>
      <c r="M14" s="194"/>
      <c r="N14" s="194"/>
      <c r="O14" s="194"/>
      <c r="P14" s="198">
        <v>0</v>
      </c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37"/>
      <c r="AH14" s="37"/>
      <c r="AI14" s="37"/>
      <c r="AJ14" s="37"/>
      <c r="AK14" s="37"/>
      <c r="AL14" s="37"/>
      <c r="AM14" s="37"/>
      <c r="AN14" s="37"/>
      <c r="AO14" s="37"/>
      <c r="AP14" s="1"/>
    </row>
    <row r="15" spans="1:42" ht="17.45" customHeight="1" x14ac:dyDescent="0.2">
      <c r="A15" s="199" t="s">
        <v>16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2"/>
    </row>
    <row r="16" spans="1:42" ht="13.5" customHeight="1" x14ac:dyDescent="0.2">
      <c r="A16" s="67" t="s">
        <v>17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1"/>
    </row>
    <row r="17" spans="1:42" ht="25.5" customHeight="1" x14ac:dyDescent="0.2">
      <c r="A17" s="3" t="s">
        <v>18</v>
      </c>
      <c r="B17" s="183" t="s">
        <v>19</v>
      </c>
      <c r="C17" s="183"/>
      <c r="D17" s="183"/>
      <c r="E17" s="183" t="s">
        <v>20</v>
      </c>
      <c r="F17" s="183"/>
      <c r="G17" s="183"/>
      <c r="H17" s="183"/>
      <c r="I17" s="184" t="s">
        <v>21</v>
      </c>
      <c r="J17" s="184"/>
      <c r="K17" s="184"/>
      <c r="L17" s="184"/>
      <c r="M17" s="184"/>
      <c r="N17" s="184"/>
      <c r="O17" s="184"/>
      <c r="P17" s="185" t="s">
        <v>22</v>
      </c>
      <c r="Q17" s="185"/>
      <c r="R17" s="185"/>
      <c r="S17" s="185"/>
      <c r="T17" s="185"/>
      <c r="U17" s="185" t="s">
        <v>23</v>
      </c>
      <c r="V17" s="185"/>
      <c r="W17" s="185"/>
      <c r="X17" s="185"/>
      <c r="Y17" s="183" t="s">
        <v>24</v>
      </c>
      <c r="Z17" s="183"/>
      <c r="AA17" s="183"/>
      <c r="AB17" s="182" t="s">
        <v>25</v>
      </c>
      <c r="AC17" s="182"/>
      <c r="AD17" s="4" t="s">
        <v>26</v>
      </c>
      <c r="AE17" s="185" t="s">
        <v>27</v>
      </c>
      <c r="AF17" s="185"/>
      <c r="AG17" s="185"/>
      <c r="AH17" s="182" t="s">
        <v>28</v>
      </c>
      <c r="AI17" s="182"/>
      <c r="AJ17" s="182"/>
      <c r="AK17" s="182"/>
      <c r="AL17" s="158" t="s">
        <v>29</v>
      </c>
      <c r="AM17" s="158"/>
      <c r="AN17" s="158"/>
      <c r="AO17" s="158"/>
      <c r="AP17" s="2"/>
    </row>
    <row r="18" spans="1:42" ht="26.1" customHeight="1" x14ac:dyDescent="0.2">
      <c r="A18" s="5">
        <v>445324</v>
      </c>
      <c r="B18" s="187">
        <v>8325282</v>
      </c>
      <c r="C18" s="187"/>
      <c r="D18" s="187"/>
      <c r="E18" s="125" t="s">
        <v>30</v>
      </c>
      <c r="F18" s="125"/>
      <c r="G18" s="125"/>
      <c r="H18" s="125"/>
      <c r="I18" s="165" t="s">
        <v>31</v>
      </c>
      <c r="J18" s="165"/>
      <c r="K18" s="165"/>
      <c r="L18" s="165"/>
      <c r="M18" s="165"/>
      <c r="N18" s="165"/>
      <c r="O18" s="165"/>
      <c r="P18" s="127" t="s">
        <v>32</v>
      </c>
      <c r="Q18" s="127"/>
      <c r="R18" s="127"/>
      <c r="S18" s="127"/>
      <c r="T18" s="127"/>
      <c r="U18" s="188">
        <v>45658</v>
      </c>
      <c r="V18" s="188"/>
      <c r="W18" s="188"/>
      <c r="X18" s="188"/>
      <c r="Y18" s="188">
        <v>45716</v>
      </c>
      <c r="Z18" s="188"/>
      <c r="AA18" s="188"/>
      <c r="AB18" s="189">
        <v>13</v>
      </c>
      <c r="AC18" s="189"/>
      <c r="AD18" s="6" t="s">
        <v>33</v>
      </c>
      <c r="AE18" s="168" t="s">
        <v>34</v>
      </c>
      <c r="AF18" s="168"/>
      <c r="AG18" s="168"/>
      <c r="AH18" s="190" t="s">
        <v>35</v>
      </c>
      <c r="AI18" s="190"/>
      <c r="AJ18" s="190"/>
      <c r="AK18" s="190"/>
      <c r="AL18" s="191">
        <v>-105</v>
      </c>
      <c r="AM18" s="191"/>
      <c r="AN18" s="191"/>
      <c r="AO18" s="191"/>
      <c r="AP18" s="2"/>
    </row>
    <row r="19" spans="1:42" ht="18.600000000000001" customHeight="1" x14ac:dyDescent="0.2">
      <c r="A19" s="2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7" t="s">
        <v>36</v>
      </c>
      <c r="U19" s="47"/>
      <c r="V19" s="47"/>
      <c r="W19" s="47"/>
      <c r="X19" s="47"/>
      <c r="Y19" s="47"/>
      <c r="Z19" s="47"/>
      <c r="AA19" s="2"/>
      <c r="AB19" s="44"/>
      <c r="AC19" s="44"/>
      <c r="AD19" s="2"/>
      <c r="AE19" s="44"/>
      <c r="AF19" s="44"/>
      <c r="AG19" s="44"/>
      <c r="AH19" s="44"/>
      <c r="AI19" s="44"/>
      <c r="AJ19" s="44"/>
      <c r="AK19" s="44"/>
      <c r="AL19" s="2"/>
      <c r="AM19" s="47" t="s">
        <v>37</v>
      </c>
      <c r="AN19" s="47"/>
      <c r="AO19" s="47"/>
      <c r="AP19" s="47"/>
    </row>
    <row r="20" spans="1:42" ht="12.75" customHeight="1" x14ac:dyDescent="0.2">
      <c r="A20" s="147" t="s">
        <v>38</v>
      </c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44"/>
      <c r="S20" s="44"/>
      <c r="T20" s="47"/>
      <c r="U20" s="47"/>
      <c r="V20" s="47"/>
      <c r="W20" s="47"/>
      <c r="X20" s="47"/>
      <c r="Y20" s="47"/>
      <c r="Z20" s="47"/>
      <c r="AA20" s="2"/>
      <c r="AB20" s="44"/>
      <c r="AC20" s="44"/>
      <c r="AD20" s="2"/>
      <c r="AE20" s="44"/>
      <c r="AF20" s="44"/>
      <c r="AG20" s="44"/>
      <c r="AH20" s="44"/>
      <c r="AI20" s="44"/>
      <c r="AJ20" s="44"/>
      <c r="AK20" s="44"/>
      <c r="AL20" s="2"/>
      <c r="AM20" s="47"/>
      <c r="AN20" s="47"/>
      <c r="AO20" s="47"/>
      <c r="AP20" s="47"/>
    </row>
    <row r="21" spans="1:42" ht="6" customHeight="1" x14ac:dyDescent="0.2">
      <c r="A21" s="1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1"/>
      <c r="U21" s="37"/>
      <c r="V21" s="37"/>
      <c r="W21" s="37"/>
      <c r="X21" s="37"/>
      <c r="Y21" s="37"/>
      <c r="Z21" s="37"/>
      <c r="AA21" s="1"/>
      <c r="AB21" s="37"/>
      <c r="AC21" s="37"/>
      <c r="AD21" s="1"/>
      <c r="AE21" s="37"/>
      <c r="AF21" s="37"/>
      <c r="AG21" s="37"/>
      <c r="AH21" s="37"/>
      <c r="AI21" s="37"/>
      <c r="AJ21" s="37"/>
      <c r="AK21" s="37"/>
      <c r="AL21" s="1"/>
      <c r="AM21" s="47"/>
      <c r="AN21" s="47"/>
      <c r="AO21" s="47"/>
      <c r="AP21" s="47"/>
    </row>
    <row r="22" spans="1:42" ht="24" customHeight="1" x14ac:dyDescent="0.2">
      <c r="A22" s="7" t="s">
        <v>39</v>
      </c>
      <c r="B22" s="80" t="s">
        <v>40</v>
      </c>
      <c r="C22" s="80"/>
      <c r="D22" s="80"/>
      <c r="E22" s="80" t="s">
        <v>41</v>
      </c>
      <c r="F22" s="80"/>
      <c r="G22" s="80"/>
      <c r="H22" s="80"/>
      <c r="I22" s="82" t="s">
        <v>42</v>
      </c>
      <c r="J22" s="82"/>
      <c r="K22" s="82"/>
      <c r="L22" s="82"/>
      <c r="M22" s="82"/>
      <c r="N22" s="82"/>
      <c r="O22" s="82"/>
      <c r="P22" s="83" t="s">
        <v>43</v>
      </c>
      <c r="Q22" s="83"/>
      <c r="R22" s="83"/>
      <c r="S22" s="83"/>
      <c r="T22" s="83"/>
      <c r="U22" s="83" t="s">
        <v>44</v>
      </c>
      <c r="V22" s="83"/>
      <c r="W22" s="83"/>
      <c r="X22" s="83"/>
      <c r="Y22" s="84" t="s">
        <v>45</v>
      </c>
      <c r="Z22" s="84"/>
      <c r="AA22" s="84"/>
      <c r="AB22" s="84" t="s">
        <v>46</v>
      </c>
      <c r="AC22" s="84"/>
      <c r="AD22" s="8" t="s">
        <v>47</v>
      </c>
      <c r="AE22" s="83" t="s">
        <v>48</v>
      </c>
      <c r="AF22" s="83"/>
      <c r="AG22" s="83"/>
      <c r="AH22" s="84" t="s">
        <v>49</v>
      </c>
      <c r="AI22" s="84"/>
      <c r="AJ22" s="84"/>
      <c r="AK22" s="84"/>
      <c r="AL22" s="83" t="s">
        <v>50</v>
      </c>
      <c r="AM22" s="83"/>
      <c r="AN22" s="83"/>
      <c r="AO22" s="83"/>
      <c r="AP22" s="2"/>
    </row>
    <row r="23" spans="1:42" ht="5.25" customHeight="1" x14ac:dyDescent="0.2">
      <c r="A23" s="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9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1"/>
    </row>
    <row r="24" spans="1:42" ht="12.75" customHeight="1" x14ac:dyDescent="0.2">
      <c r="A24" s="10">
        <v>448798</v>
      </c>
      <c r="B24" s="144">
        <v>2158366</v>
      </c>
      <c r="C24" s="144"/>
      <c r="D24" s="144"/>
      <c r="E24" s="96" t="s">
        <v>51</v>
      </c>
      <c r="F24" s="96"/>
      <c r="G24" s="96"/>
      <c r="H24" s="96"/>
      <c r="I24" s="115" t="s">
        <v>52</v>
      </c>
      <c r="J24" s="115"/>
      <c r="K24" s="115"/>
      <c r="L24" s="115"/>
      <c r="M24" s="115"/>
      <c r="N24" s="115"/>
      <c r="O24" s="115"/>
      <c r="P24" s="98" t="s">
        <v>32</v>
      </c>
      <c r="Q24" s="98"/>
      <c r="R24" s="98"/>
      <c r="S24" s="98"/>
      <c r="T24" s="98"/>
      <c r="U24" s="116">
        <v>45689</v>
      </c>
      <c r="V24" s="116"/>
      <c r="W24" s="116"/>
      <c r="X24" s="116"/>
      <c r="Y24" s="61"/>
      <c r="Z24" s="61"/>
      <c r="AA24" s="61"/>
      <c r="AB24" s="61"/>
      <c r="AC24" s="61"/>
      <c r="AD24" s="11" t="s">
        <v>53</v>
      </c>
      <c r="AE24" s="98" t="s">
        <v>54</v>
      </c>
      <c r="AF24" s="98"/>
      <c r="AG24" s="98"/>
      <c r="AH24" s="98" t="s">
        <v>55</v>
      </c>
      <c r="AI24" s="98"/>
      <c r="AJ24" s="98"/>
      <c r="AK24" s="98"/>
      <c r="AL24" s="150">
        <v>210</v>
      </c>
      <c r="AM24" s="150"/>
      <c r="AN24" s="150"/>
      <c r="AO24" s="150"/>
      <c r="AP24" s="1"/>
    </row>
    <row r="25" spans="1:42" ht="21.95" customHeight="1" x14ac:dyDescent="0.2">
      <c r="A25" s="12">
        <v>443223</v>
      </c>
      <c r="B25" s="148">
        <v>2158366</v>
      </c>
      <c r="C25" s="148"/>
      <c r="D25" s="148"/>
      <c r="E25" s="102" t="s">
        <v>56</v>
      </c>
      <c r="F25" s="102"/>
      <c r="G25" s="102"/>
      <c r="H25" s="102"/>
      <c r="I25" s="119" t="s">
        <v>52</v>
      </c>
      <c r="J25" s="119"/>
      <c r="K25" s="119"/>
      <c r="L25" s="119"/>
      <c r="M25" s="119"/>
      <c r="N25" s="119"/>
      <c r="O25" s="119"/>
      <c r="P25" s="104" t="s">
        <v>32</v>
      </c>
      <c r="Q25" s="104"/>
      <c r="R25" s="104"/>
      <c r="S25" s="104"/>
      <c r="T25" s="104"/>
      <c r="U25" s="120">
        <v>45658</v>
      </c>
      <c r="V25" s="120"/>
      <c r="W25" s="120"/>
      <c r="X25" s="120"/>
      <c r="Y25" s="120">
        <v>45688</v>
      </c>
      <c r="Z25" s="120"/>
      <c r="AA25" s="120"/>
      <c r="AB25" s="122">
        <v>13</v>
      </c>
      <c r="AC25" s="122"/>
      <c r="AD25" s="13" t="s">
        <v>57</v>
      </c>
      <c r="AE25" s="104" t="s">
        <v>58</v>
      </c>
      <c r="AF25" s="104"/>
      <c r="AG25" s="104"/>
      <c r="AH25" s="45" t="s">
        <v>59</v>
      </c>
      <c r="AI25" s="45"/>
      <c r="AJ25" s="45"/>
      <c r="AK25" s="45"/>
      <c r="AL25" s="186">
        <v>-105</v>
      </c>
      <c r="AM25" s="186"/>
      <c r="AN25" s="186"/>
      <c r="AO25" s="186"/>
      <c r="AP25" s="2"/>
    </row>
    <row r="26" spans="1:42" ht="12.75" customHeight="1" x14ac:dyDescent="0.2">
      <c r="A26" s="15">
        <v>439383</v>
      </c>
      <c r="B26" s="144">
        <v>2158366</v>
      </c>
      <c r="C26" s="144"/>
      <c r="D26" s="144"/>
      <c r="E26" s="96" t="s">
        <v>60</v>
      </c>
      <c r="F26" s="96"/>
      <c r="G26" s="96"/>
      <c r="H26" s="96"/>
      <c r="I26" s="115" t="s">
        <v>52</v>
      </c>
      <c r="J26" s="115"/>
      <c r="K26" s="115"/>
      <c r="L26" s="115"/>
      <c r="M26" s="115"/>
      <c r="N26" s="115"/>
      <c r="O26" s="115"/>
      <c r="P26" s="98" t="s">
        <v>32</v>
      </c>
      <c r="Q26" s="98"/>
      <c r="R26" s="98"/>
      <c r="S26" s="98"/>
      <c r="T26" s="98"/>
      <c r="U26" s="116">
        <v>45658</v>
      </c>
      <c r="V26" s="116"/>
      <c r="W26" s="116"/>
      <c r="X26" s="116"/>
      <c r="Y26" s="61"/>
      <c r="Z26" s="61"/>
      <c r="AA26" s="61"/>
      <c r="AB26" s="61"/>
      <c r="AC26" s="61"/>
      <c r="AD26" s="11" t="s">
        <v>61</v>
      </c>
      <c r="AE26" s="98" t="s">
        <v>58</v>
      </c>
      <c r="AF26" s="98"/>
      <c r="AG26" s="98"/>
      <c r="AH26" s="62" t="s">
        <v>59</v>
      </c>
      <c r="AI26" s="62"/>
      <c r="AJ26" s="62"/>
      <c r="AK26" s="62"/>
      <c r="AL26" s="150">
        <v>105</v>
      </c>
      <c r="AM26" s="150"/>
      <c r="AN26" s="150"/>
      <c r="AO26" s="150"/>
      <c r="AP26" s="1"/>
    </row>
    <row r="27" spans="1:42" ht="21.95" customHeight="1" x14ac:dyDescent="0.2">
      <c r="A27" s="12">
        <v>439384</v>
      </c>
      <c r="B27" s="148">
        <v>2158366</v>
      </c>
      <c r="C27" s="148"/>
      <c r="D27" s="148"/>
      <c r="E27" s="102" t="s">
        <v>62</v>
      </c>
      <c r="F27" s="102"/>
      <c r="G27" s="102"/>
      <c r="H27" s="102"/>
      <c r="I27" s="119" t="s">
        <v>52</v>
      </c>
      <c r="J27" s="119"/>
      <c r="K27" s="119"/>
      <c r="L27" s="119"/>
      <c r="M27" s="119"/>
      <c r="N27" s="119"/>
      <c r="O27" s="119"/>
      <c r="P27" s="104" t="s">
        <v>32</v>
      </c>
      <c r="Q27" s="104"/>
      <c r="R27" s="104"/>
      <c r="S27" s="104"/>
      <c r="T27" s="104"/>
      <c r="U27" s="123">
        <v>45658</v>
      </c>
      <c r="V27" s="123"/>
      <c r="W27" s="123"/>
      <c r="X27" s="123"/>
      <c r="Y27" s="44"/>
      <c r="Z27" s="44"/>
      <c r="AA27" s="44"/>
      <c r="AB27" s="44"/>
      <c r="AC27" s="44"/>
      <c r="AD27" s="13" t="s">
        <v>57</v>
      </c>
      <c r="AE27" s="104" t="s">
        <v>63</v>
      </c>
      <c r="AF27" s="104"/>
      <c r="AG27" s="104"/>
      <c r="AH27" s="45" t="s">
        <v>59</v>
      </c>
      <c r="AI27" s="45"/>
      <c r="AJ27" s="45"/>
      <c r="AK27" s="45"/>
      <c r="AL27" s="149">
        <v>105</v>
      </c>
      <c r="AM27" s="149"/>
      <c r="AN27" s="149"/>
      <c r="AO27" s="149"/>
      <c r="AP27" s="2"/>
    </row>
    <row r="28" spans="1:42" ht="12.75" customHeight="1" x14ac:dyDescent="0.2">
      <c r="A28" s="10">
        <v>444121</v>
      </c>
      <c r="B28" s="144">
        <v>2158366</v>
      </c>
      <c r="C28" s="144"/>
      <c r="D28" s="144"/>
      <c r="E28" s="96" t="s">
        <v>64</v>
      </c>
      <c r="F28" s="96"/>
      <c r="G28" s="96"/>
      <c r="H28" s="96"/>
      <c r="I28" s="115" t="s">
        <v>52</v>
      </c>
      <c r="J28" s="115"/>
      <c r="K28" s="115"/>
      <c r="L28" s="115"/>
      <c r="M28" s="115"/>
      <c r="N28" s="115"/>
      <c r="O28" s="115"/>
      <c r="P28" s="98" t="s">
        <v>32</v>
      </c>
      <c r="Q28" s="98"/>
      <c r="R28" s="98"/>
      <c r="S28" s="98"/>
      <c r="T28" s="98"/>
      <c r="U28" s="145">
        <v>45658</v>
      </c>
      <c r="V28" s="145"/>
      <c r="W28" s="145"/>
      <c r="X28" s="145"/>
      <c r="Y28" s="61"/>
      <c r="Z28" s="61"/>
      <c r="AA28" s="61"/>
      <c r="AB28" s="61"/>
      <c r="AC28" s="61"/>
      <c r="AD28" s="11" t="s">
        <v>57</v>
      </c>
      <c r="AE28" s="98" t="s">
        <v>63</v>
      </c>
      <c r="AF28" s="98"/>
      <c r="AG28" s="98"/>
      <c r="AH28" s="62" t="s">
        <v>59</v>
      </c>
      <c r="AI28" s="62"/>
      <c r="AJ28" s="62"/>
      <c r="AK28" s="62"/>
      <c r="AL28" s="150">
        <v>105</v>
      </c>
      <c r="AM28" s="150"/>
      <c r="AN28" s="150"/>
      <c r="AO28" s="150"/>
      <c r="AP28" s="1"/>
    </row>
    <row r="29" spans="1:42" ht="27.6" customHeight="1" x14ac:dyDescent="0.2">
      <c r="A29" s="12">
        <v>442876</v>
      </c>
      <c r="B29" s="148">
        <v>2158366</v>
      </c>
      <c r="C29" s="148"/>
      <c r="D29" s="148"/>
      <c r="E29" s="102" t="s">
        <v>65</v>
      </c>
      <c r="F29" s="102"/>
      <c r="G29" s="102"/>
      <c r="H29" s="102"/>
      <c r="I29" s="119" t="s">
        <v>52</v>
      </c>
      <c r="J29" s="119"/>
      <c r="K29" s="119"/>
      <c r="L29" s="119"/>
      <c r="M29" s="119"/>
      <c r="N29" s="119"/>
      <c r="O29" s="119"/>
      <c r="P29" s="104" t="s">
        <v>66</v>
      </c>
      <c r="Q29" s="104"/>
      <c r="R29" s="104"/>
      <c r="S29" s="104"/>
      <c r="T29" s="104"/>
      <c r="U29" s="123">
        <v>45658</v>
      </c>
      <c r="V29" s="123"/>
      <c r="W29" s="123"/>
      <c r="X29" s="123"/>
      <c r="Y29" s="44"/>
      <c r="Z29" s="44"/>
      <c r="AA29" s="44"/>
      <c r="AB29" s="44"/>
      <c r="AC29" s="44"/>
      <c r="AD29" s="13" t="s">
        <v>57</v>
      </c>
      <c r="AE29" s="104" t="s">
        <v>58</v>
      </c>
      <c r="AF29" s="104"/>
      <c r="AG29" s="104"/>
      <c r="AH29" s="45" t="s">
        <v>59</v>
      </c>
      <c r="AI29" s="45"/>
      <c r="AJ29" s="45"/>
      <c r="AK29" s="45"/>
      <c r="AL29" s="149">
        <v>105</v>
      </c>
      <c r="AM29" s="149"/>
      <c r="AN29" s="149"/>
      <c r="AO29" s="149"/>
      <c r="AP29" s="2"/>
    </row>
    <row r="30" spans="1:42" ht="32.25" customHeight="1" x14ac:dyDescent="0.2">
      <c r="A30" s="147" t="s">
        <v>67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</row>
    <row r="31" spans="1:42" ht="25.5" customHeight="1" x14ac:dyDescent="0.2">
      <c r="A31" s="17" t="s">
        <v>68</v>
      </c>
      <c r="B31" s="182" t="s">
        <v>69</v>
      </c>
      <c r="C31" s="182"/>
      <c r="D31" s="182"/>
      <c r="E31" s="183" t="s">
        <v>70</v>
      </c>
      <c r="F31" s="183"/>
      <c r="G31" s="183"/>
      <c r="H31" s="183"/>
      <c r="I31" s="184" t="s">
        <v>71</v>
      </c>
      <c r="J31" s="184"/>
      <c r="K31" s="184"/>
      <c r="L31" s="184"/>
      <c r="M31" s="184"/>
      <c r="N31" s="184"/>
      <c r="O31" s="184"/>
      <c r="P31" s="185" t="s">
        <v>72</v>
      </c>
      <c r="Q31" s="185"/>
      <c r="R31" s="185"/>
      <c r="S31" s="185"/>
      <c r="T31" s="185"/>
      <c r="U31" s="185" t="s">
        <v>73</v>
      </c>
      <c r="V31" s="185"/>
      <c r="W31" s="185"/>
      <c r="X31" s="185"/>
      <c r="Y31" s="183" t="s">
        <v>74</v>
      </c>
      <c r="Z31" s="183"/>
      <c r="AA31" s="183"/>
      <c r="AB31" s="163" t="s">
        <v>75</v>
      </c>
      <c r="AC31" s="163"/>
      <c r="AD31" s="19" t="s">
        <v>76</v>
      </c>
      <c r="AE31" s="158" t="s">
        <v>77</v>
      </c>
      <c r="AF31" s="158"/>
      <c r="AG31" s="158"/>
      <c r="AH31" s="175" t="s">
        <v>78</v>
      </c>
      <c r="AI31" s="175"/>
      <c r="AJ31" s="175"/>
      <c r="AK31" s="175"/>
      <c r="AL31" s="158" t="s">
        <v>79</v>
      </c>
      <c r="AM31" s="158"/>
      <c r="AN31" s="158"/>
      <c r="AO31" s="158"/>
      <c r="AP31" s="2"/>
    </row>
    <row r="32" spans="1:42" ht="5.25" customHeight="1" x14ac:dyDescent="0.2">
      <c r="A32" s="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9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1"/>
    </row>
    <row r="33" spans="1:42" ht="13.5" customHeight="1" x14ac:dyDescent="0.2">
      <c r="A33" s="20">
        <v>445359</v>
      </c>
      <c r="B33" s="107">
        <v>19681796</v>
      </c>
      <c r="C33" s="107"/>
      <c r="D33" s="107"/>
      <c r="E33" s="96" t="s">
        <v>80</v>
      </c>
      <c r="F33" s="96"/>
      <c r="G33" s="96"/>
      <c r="H33" s="96"/>
      <c r="I33" s="97" t="s">
        <v>81</v>
      </c>
      <c r="J33" s="97"/>
      <c r="K33" s="97"/>
      <c r="L33" s="97"/>
      <c r="M33" s="97"/>
      <c r="N33" s="97"/>
      <c r="O33" s="97"/>
      <c r="P33" s="62" t="s">
        <v>82</v>
      </c>
      <c r="Q33" s="62"/>
      <c r="R33" s="62"/>
      <c r="S33" s="62"/>
      <c r="T33" s="62"/>
      <c r="U33" s="172">
        <v>45658</v>
      </c>
      <c r="V33" s="172"/>
      <c r="W33" s="172"/>
      <c r="X33" s="172"/>
      <c r="Y33" s="61"/>
      <c r="Z33" s="61"/>
      <c r="AA33" s="61"/>
      <c r="AB33" s="61"/>
      <c r="AC33" s="61"/>
      <c r="AD33" s="11" t="s">
        <v>83</v>
      </c>
      <c r="AE33" s="173" t="s">
        <v>84</v>
      </c>
      <c r="AF33" s="173"/>
      <c r="AG33" s="173"/>
      <c r="AH33" s="142" t="s">
        <v>85</v>
      </c>
      <c r="AI33" s="142"/>
      <c r="AJ33" s="142"/>
      <c r="AK33" s="142"/>
      <c r="AL33" s="108">
        <v>105</v>
      </c>
      <c r="AM33" s="108"/>
      <c r="AN33" s="108"/>
      <c r="AO33" s="108"/>
      <c r="AP33" s="1"/>
    </row>
    <row r="34" spans="1:42" ht="26.85" customHeight="1" x14ac:dyDescent="0.2">
      <c r="A34" s="2"/>
      <c r="B34" s="44"/>
      <c r="C34" s="44"/>
      <c r="D34" s="44"/>
      <c r="E34" s="44"/>
      <c r="F34" s="44"/>
      <c r="G34" s="44"/>
      <c r="H34" s="44"/>
      <c r="I34" s="2"/>
      <c r="J34" s="44"/>
      <c r="K34" s="44"/>
      <c r="L34" s="44"/>
      <c r="M34" s="44"/>
      <c r="N34" s="44"/>
      <c r="O34" s="44"/>
      <c r="P34" s="2"/>
      <c r="Q34" s="44"/>
      <c r="R34" s="44"/>
      <c r="S34" s="44"/>
      <c r="T34" s="179" t="s">
        <v>86</v>
      </c>
      <c r="U34" s="179"/>
      <c r="V34" s="179"/>
      <c r="W34" s="179"/>
      <c r="X34" s="179"/>
      <c r="Y34" s="179"/>
      <c r="Z34" s="179"/>
      <c r="AA34" s="2"/>
      <c r="AB34" s="44"/>
      <c r="AC34" s="44"/>
      <c r="AD34" s="2"/>
      <c r="AE34" s="44"/>
      <c r="AF34" s="44"/>
      <c r="AG34" s="44"/>
      <c r="AH34" s="44"/>
      <c r="AI34" s="44"/>
      <c r="AJ34" s="44"/>
      <c r="AK34" s="44"/>
      <c r="AL34" s="2"/>
      <c r="AM34" s="47" t="s">
        <v>87</v>
      </c>
      <c r="AN34" s="47"/>
      <c r="AO34" s="47"/>
      <c r="AP34" s="47"/>
    </row>
    <row r="35" spans="1:42" ht="12.75" customHeight="1" x14ac:dyDescent="0.2">
      <c r="A35" s="180" t="s">
        <v>88</v>
      </c>
      <c r="B35" s="180"/>
      <c r="C35" s="180"/>
      <c r="D35" s="180"/>
      <c r="E35" s="180"/>
      <c r="F35" s="180"/>
      <c r="G35" s="180"/>
      <c r="H35" s="180"/>
      <c r="I35" s="180"/>
      <c r="J35" s="44"/>
      <c r="K35" s="44"/>
      <c r="L35" s="44"/>
      <c r="M35" s="181">
        <v>19681796</v>
      </c>
      <c r="N35" s="181"/>
      <c r="O35" s="181"/>
      <c r="P35" s="181"/>
      <c r="Q35" s="44"/>
      <c r="R35" s="44"/>
      <c r="S35" s="44"/>
      <c r="T35" s="179"/>
      <c r="U35" s="179"/>
      <c r="V35" s="179"/>
      <c r="W35" s="179"/>
      <c r="X35" s="179"/>
      <c r="Y35" s="179"/>
      <c r="Z35" s="179"/>
      <c r="AA35" s="2"/>
      <c r="AB35" s="44"/>
      <c r="AC35" s="44"/>
      <c r="AD35" s="2"/>
      <c r="AE35" s="44"/>
      <c r="AF35" s="44"/>
      <c r="AG35" s="44"/>
      <c r="AH35" s="44"/>
      <c r="AI35" s="44"/>
      <c r="AJ35" s="44"/>
      <c r="AK35" s="44"/>
      <c r="AL35" s="2"/>
      <c r="AM35" s="47"/>
      <c r="AN35" s="47"/>
      <c r="AO35" s="47"/>
      <c r="AP35" s="47"/>
    </row>
    <row r="36" spans="1:42" ht="5.45" customHeight="1" x14ac:dyDescent="0.2">
      <c r="A36" s="1"/>
      <c r="B36" s="37"/>
      <c r="C36" s="37"/>
      <c r="D36" s="37"/>
      <c r="E36" s="37"/>
      <c r="F36" s="37"/>
      <c r="G36" s="37"/>
      <c r="H36" s="37"/>
      <c r="I36" s="1"/>
      <c r="J36" s="37"/>
      <c r="K36" s="37"/>
      <c r="L36" s="37"/>
      <c r="M36" s="37"/>
      <c r="N36" s="37"/>
      <c r="O36" s="37"/>
      <c r="P36" s="1"/>
      <c r="Q36" s="37"/>
      <c r="R36" s="37"/>
      <c r="S36" s="37"/>
      <c r="T36" s="1"/>
      <c r="U36" s="37"/>
      <c r="V36" s="37"/>
      <c r="W36" s="37"/>
      <c r="X36" s="37"/>
      <c r="Y36" s="37"/>
      <c r="Z36" s="37"/>
      <c r="AA36" s="1"/>
      <c r="AB36" s="37"/>
      <c r="AC36" s="37"/>
      <c r="AD36" s="1"/>
      <c r="AE36" s="37"/>
      <c r="AF36" s="37"/>
      <c r="AG36" s="37"/>
      <c r="AH36" s="37"/>
      <c r="AI36" s="37"/>
      <c r="AJ36" s="37"/>
      <c r="AK36" s="37"/>
      <c r="AL36" s="1"/>
      <c r="AM36" s="47"/>
      <c r="AN36" s="47"/>
      <c r="AO36" s="47"/>
      <c r="AP36" s="47"/>
    </row>
    <row r="37" spans="1:42" ht="24" customHeight="1" x14ac:dyDescent="0.2">
      <c r="A37" s="17" t="s">
        <v>89</v>
      </c>
      <c r="B37" s="80" t="s">
        <v>90</v>
      </c>
      <c r="C37" s="80"/>
      <c r="D37" s="80"/>
      <c r="E37" s="80" t="s">
        <v>91</v>
      </c>
      <c r="F37" s="80"/>
      <c r="G37" s="80"/>
      <c r="H37" s="80"/>
      <c r="I37" s="82" t="s">
        <v>92</v>
      </c>
      <c r="J37" s="82"/>
      <c r="K37" s="82"/>
      <c r="L37" s="82"/>
      <c r="M37" s="82"/>
      <c r="N37" s="82"/>
      <c r="O37" s="82"/>
      <c r="P37" s="83" t="s">
        <v>93</v>
      </c>
      <c r="Q37" s="83"/>
      <c r="R37" s="83"/>
      <c r="S37" s="83"/>
      <c r="T37" s="83"/>
      <c r="U37" s="83" t="s">
        <v>94</v>
      </c>
      <c r="V37" s="83"/>
      <c r="W37" s="83"/>
      <c r="X37" s="83"/>
      <c r="Y37" s="80" t="s">
        <v>95</v>
      </c>
      <c r="Z37" s="80"/>
      <c r="AA37" s="80"/>
      <c r="AB37" s="80" t="s">
        <v>96</v>
      </c>
      <c r="AC37" s="80"/>
      <c r="AD37" s="8" t="s">
        <v>97</v>
      </c>
      <c r="AE37" s="83" t="s">
        <v>98</v>
      </c>
      <c r="AF37" s="83"/>
      <c r="AG37" s="83"/>
      <c r="AH37" s="84" t="s">
        <v>99</v>
      </c>
      <c r="AI37" s="84"/>
      <c r="AJ37" s="84"/>
      <c r="AK37" s="84"/>
      <c r="AL37" s="83" t="s">
        <v>100</v>
      </c>
      <c r="AM37" s="83"/>
      <c r="AN37" s="83"/>
      <c r="AO37" s="83"/>
      <c r="AP37" s="2"/>
    </row>
    <row r="38" spans="1:42" ht="21" customHeight="1" x14ac:dyDescent="0.2">
      <c r="A38" s="21">
        <v>445779</v>
      </c>
      <c r="B38" s="178">
        <v>19645587</v>
      </c>
      <c r="C38" s="178"/>
      <c r="D38" s="178"/>
      <c r="E38" s="125" t="s">
        <v>101</v>
      </c>
      <c r="F38" s="125"/>
      <c r="G38" s="125"/>
      <c r="H38" s="125"/>
      <c r="I38" s="165" t="s">
        <v>81</v>
      </c>
      <c r="J38" s="165"/>
      <c r="K38" s="165"/>
      <c r="L38" s="165"/>
      <c r="M38" s="165"/>
      <c r="N38" s="165"/>
      <c r="O38" s="165"/>
      <c r="P38" s="55" t="s">
        <v>82</v>
      </c>
      <c r="Q38" s="55"/>
      <c r="R38" s="55"/>
      <c r="S38" s="55"/>
      <c r="T38" s="55"/>
      <c r="U38" s="139">
        <v>45658</v>
      </c>
      <c r="V38" s="139"/>
      <c r="W38" s="139"/>
      <c r="X38" s="139"/>
      <c r="Y38" s="54"/>
      <c r="Z38" s="54"/>
      <c r="AA38" s="54"/>
      <c r="AB38" s="54"/>
      <c r="AC38" s="54"/>
      <c r="AD38" s="23" t="s">
        <v>83</v>
      </c>
      <c r="AE38" s="127" t="s">
        <v>84</v>
      </c>
      <c r="AF38" s="127"/>
      <c r="AG38" s="127"/>
      <c r="AH38" s="169" t="s">
        <v>85</v>
      </c>
      <c r="AI38" s="169"/>
      <c r="AJ38" s="169"/>
      <c r="AK38" s="169"/>
      <c r="AL38" s="140">
        <v>105</v>
      </c>
      <c r="AM38" s="140"/>
      <c r="AN38" s="140"/>
      <c r="AO38" s="140"/>
      <c r="AP38" s="2"/>
    </row>
    <row r="39" spans="1:42" ht="13.5" customHeight="1" x14ac:dyDescent="0.2">
      <c r="A39" s="20">
        <v>439914</v>
      </c>
      <c r="B39" s="95">
        <v>19645587</v>
      </c>
      <c r="C39" s="95"/>
      <c r="D39" s="95"/>
      <c r="E39" s="96" t="s">
        <v>102</v>
      </c>
      <c r="F39" s="96"/>
      <c r="G39" s="96"/>
      <c r="H39" s="96"/>
      <c r="I39" s="97" t="s">
        <v>81</v>
      </c>
      <c r="J39" s="97"/>
      <c r="K39" s="97"/>
      <c r="L39" s="97"/>
      <c r="M39" s="97"/>
      <c r="N39" s="97"/>
      <c r="O39" s="97"/>
      <c r="P39" s="62" t="s">
        <v>82</v>
      </c>
      <c r="Q39" s="62"/>
      <c r="R39" s="62"/>
      <c r="S39" s="62"/>
      <c r="T39" s="62"/>
      <c r="U39" s="99">
        <v>45658</v>
      </c>
      <c r="V39" s="99"/>
      <c r="W39" s="99"/>
      <c r="X39" s="99"/>
      <c r="Y39" s="61"/>
      <c r="Z39" s="61"/>
      <c r="AA39" s="61"/>
      <c r="AB39" s="61"/>
      <c r="AC39" s="61"/>
      <c r="AD39" s="11" t="s">
        <v>83</v>
      </c>
      <c r="AE39" s="98" t="s">
        <v>84</v>
      </c>
      <c r="AF39" s="98"/>
      <c r="AG39" s="98"/>
      <c r="AH39" s="142" t="s">
        <v>85</v>
      </c>
      <c r="AI39" s="142"/>
      <c r="AJ39" s="142"/>
      <c r="AK39" s="142"/>
      <c r="AL39" s="108">
        <v>105</v>
      </c>
      <c r="AM39" s="108"/>
      <c r="AN39" s="108"/>
      <c r="AO39" s="108"/>
      <c r="AP39" s="1"/>
    </row>
    <row r="40" spans="1:42" ht="26.85" customHeight="1" x14ac:dyDescent="0.2">
      <c r="A40" s="2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132" t="s">
        <v>103</v>
      </c>
      <c r="U40" s="132"/>
      <c r="V40" s="132"/>
      <c r="W40" s="132"/>
      <c r="X40" s="132"/>
      <c r="Y40" s="132"/>
      <c r="Z40" s="132"/>
      <c r="AA40" s="2"/>
      <c r="AB40" s="44"/>
      <c r="AC40" s="44"/>
      <c r="AD40" s="2"/>
      <c r="AE40" s="44"/>
      <c r="AF40" s="44"/>
      <c r="AG40" s="44"/>
      <c r="AH40" s="44"/>
      <c r="AI40" s="44"/>
      <c r="AJ40" s="44"/>
      <c r="AK40" s="44"/>
      <c r="AL40" s="2"/>
      <c r="AM40" s="47" t="s">
        <v>104</v>
      </c>
      <c r="AN40" s="47"/>
      <c r="AO40" s="47"/>
      <c r="AP40" s="47"/>
    </row>
    <row r="41" spans="1:42" ht="12" customHeight="1" x14ac:dyDescent="0.2">
      <c r="A41" s="112" t="s">
        <v>105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37"/>
      <c r="S41" s="37"/>
      <c r="T41" s="132"/>
      <c r="U41" s="132"/>
      <c r="V41" s="132"/>
      <c r="W41" s="132"/>
      <c r="X41" s="132"/>
      <c r="Y41" s="132"/>
      <c r="Z41" s="132"/>
      <c r="AA41" s="1"/>
      <c r="AB41" s="37"/>
      <c r="AC41" s="37"/>
      <c r="AD41" s="1"/>
      <c r="AE41" s="37"/>
      <c r="AF41" s="37"/>
      <c r="AG41" s="37"/>
      <c r="AH41" s="37"/>
      <c r="AI41" s="37"/>
      <c r="AJ41" s="37"/>
      <c r="AK41" s="37"/>
      <c r="AL41" s="1"/>
      <c r="AM41" s="47"/>
      <c r="AN41" s="47"/>
      <c r="AO41" s="47"/>
      <c r="AP41" s="47"/>
    </row>
    <row r="42" spans="1:42" ht="6" customHeight="1" x14ac:dyDescent="0.2">
      <c r="A42" s="1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1"/>
      <c r="U42" s="37"/>
      <c r="V42" s="37"/>
      <c r="W42" s="37"/>
      <c r="X42" s="37"/>
      <c r="Y42" s="37"/>
      <c r="Z42" s="37"/>
      <c r="AA42" s="1"/>
      <c r="AB42" s="37"/>
      <c r="AC42" s="37"/>
      <c r="AD42" s="1"/>
      <c r="AE42" s="37"/>
      <c r="AF42" s="37"/>
      <c r="AG42" s="37"/>
      <c r="AH42" s="37"/>
      <c r="AI42" s="37"/>
      <c r="AJ42" s="37"/>
      <c r="AK42" s="37"/>
      <c r="AL42" s="1"/>
      <c r="AM42" s="47"/>
      <c r="AN42" s="47"/>
      <c r="AO42" s="47"/>
      <c r="AP42" s="47"/>
    </row>
    <row r="43" spans="1:42" ht="24" customHeight="1" x14ac:dyDescent="0.2">
      <c r="A43" s="7" t="s">
        <v>106</v>
      </c>
      <c r="B43" s="84" t="s">
        <v>90</v>
      </c>
      <c r="C43" s="84"/>
      <c r="D43" s="84"/>
      <c r="E43" s="80" t="s">
        <v>91</v>
      </c>
      <c r="F43" s="80"/>
      <c r="G43" s="80"/>
      <c r="H43" s="80"/>
      <c r="I43" s="82" t="s">
        <v>92</v>
      </c>
      <c r="J43" s="82"/>
      <c r="K43" s="82"/>
      <c r="L43" s="82"/>
      <c r="M43" s="82"/>
      <c r="N43" s="82"/>
      <c r="O43" s="82"/>
      <c r="P43" s="83" t="s">
        <v>93</v>
      </c>
      <c r="Q43" s="83"/>
      <c r="R43" s="83"/>
      <c r="S43" s="83"/>
      <c r="T43" s="83"/>
      <c r="U43" s="83" t="s">
        <v>94</v>
      </c>
      <c r="V43" s="83"/>
      <c r="W43" s="83"/>
      <c r="X43" s="83"/>
      <c r="Y43" s="80" t="s">
        <v>95</v>
      </c>
      <c r="Z43" s="80"/>
      <c r="AA43" s="80"/>
      <c r="AB43" s="80" t="s">
        <v>96</v>
      </c>
      <c r="AC43" s="80"/>
      <c r="AD43" s="8" t="s">
        <v>97</v>
      </c>
      <c r="AE43" s="83" t="s">
        <v>98</v>
      </c>
      <c r="AF43" s="83"/>
      <c r="AG43" s="83"/>
      <c r="AH43" s="84" t="s">
        <v>99</v>
      </c>
      <c r="AI43" s="84"/>
      <c r="AJ43" s="84"/>
      <c r="AK43" s="84"/>
      <c r="AL43" s="83" t="s">
        <v>100</v>
      </c>
      <c r="AM43" s="83"/>
      <c r="AN43" s="83"/>
      <c r="AO43" s="83"/>
      <c r="AP43" s="2"/>
    </row>
    <row r="44" spans="1:42" ht="21.95" customHeight="1" x14ac:dyDescent="0.2">
      <c r="A44" s="21">
        <v>444055</v>
      </c>
      <c r="B44" s="137">
        <v>19615078</v>
      </c>
      <c r="C44" s="137"/>
      <c r="D44" s="137"/>
      <c r="E44" s="125" t="s">
        <v>107</v>
      </c>
      <c r="F44" s="125"/>
      <c r="G44" s="125"/>
      <c r="H44" s="125"/>
      <c r="I44" s="165" t="s">
        <v>81</v>
      </c>
      <c r="J44" s="165"/>
      <c r="K44" s="165"/>
      <c r="L44" s="165"/>
      <c r="M44" s="165"/>
      <c r="N44" s="165"/>
      <c r="O44" s="165"/>
      <c r="P44" s="55" t="s">
        <v>82</v>
      </c>
      <c r="Q44" s="55"/>
      <c r="R44" s="55"/>
      <c r="S44" s="55"/>
      <c r="T44" s="55"/>
      <c r="U44" s="139">
        <v>45658</v>
      </c>
      <c r="V44" s="139"/>
      <c r="W44" s="139"/>
      <c r="X44" s="139"/>
      <c r="Y44" s="54"/>
      <c r="Z44" s="54"/>
      <c r="AA44" s="54"/>
      <c r="AB44" s="54"/>
      <c r="AC44" s="54"/>
      <c r="AD44" s="23" t="s">
        <v>83</v>
      </c>
      <c r="AE44" s="127" t="s">
        <v>84</v>
      </c>
      <c r="AF44" s="127"/>
      <c r="AG44" s="127"/>
      <c r="AH44" s="55" t="s">
        <v>108</v>
      </c>
      <c r="AI44" s="55"/>
      <c r="AJ44" s="55"/>
      <c r="AK44" s="55"/>
      <c r="AL44" s="140">
        <v>105</v>
      </c>
      <c r="AM44" s="140"/>
      <c r="AN44" s="140"/>
      <c r="AO44" s="140"/>
      <c r="AP44" s="2"/>
    </row>
    <row r="45" spans="1:42" ht="12" customHeight="1" x14ac:dyDescent="0.2">
      <c r="A45" s="20">
        <v>445830</v>
      </c>
      <c r="B45" s="107">
        <v>19615078</v>
      </c>
      <c r="C45" s="107"/>
      <c r="D45" s="107"/>
      <c r="E45" s="96" t="s">
        <v>109</v>
      </c>
      <c r="F45" s="96"/>
      <c r="G45" s="96"/>
      <c r="H45" s="96"/>
      <c r="I45" s="97" t="s">
        <v>81</v>
      </c>
      <c r="J45" s="97"/>
      <c r="K45" s="97"/>
      <c r="L45" s="97"/>
      <c r="M45" s="97"/>
      <c r="N45" s="97"/>
      <c r="O45" s="97"/>
      <c r="P45" s="62" t="s">
        <v>82</v>
      </c>
      <c r="Q45" s="62"/>
      <c r="R45" s="62"/>
      <c r="S45" s="62"/>
      <c r="T45" s="62"/>
      <c r="U45" s="99">
        <v>45658</v>
      </c>
      <c r="V45" s="99"/>
      <c r="W45" s="99"/>
      <c r="X45" s="99"/>
      <c r="Y45" s="61"/>
      <c r="Z45" s="61"/>
      <c r="AA45" s="61"/>
      <c r="AB45" s="61"/>
      <c r="AC45" s="61"/>
      <c r="AD45" s="11" t="s">
        <v>83</v>
      </c>
      <c r="AE45" s="98" t="s">
        <v>84</v>
      </c>
      <c r="AF45" s="98"/>
      <c r="AG45" s="98"/>
      <c r="AH45" s="62" t="s">
        <v>108</v>
      </c>
      <c r="AI45" s="62"/>
      <c r="AJ45" s="62"/>
      <c r="AK45" s="62"/>
      <c r="AL45" s="108">
        <v>105</v>
      </c>
      <c r="AM45" s="108"/>
      <c r="AN45" s="108"/>
      <c r="AO45" s="108"/>
      <c r="AP45" s="1"/>
    </row>
    <row r="46" spans="1:42" ht="27" customHeight="1" x14ac:dyDescent="0.2">
      <c r="A46" s="24">
        <v>444931</v>
      </c>
      <c r="B46" s="109">
        <v>19615078</v>
      </c>
      <c r="C46" s="109"/>
      <c r="D46" s="109"/>
      <c r="E46" s="102" t="s">
        <v>110</v>
      </c>
      <c r="F46" s="102"/>
      <c r="G46" s="102"/>
      <c r="H46" s="102"/>
      <c r="I46" s="103" t="s">
        <v>81</v>
      </c>
      <c r="J46" s="103"/>
      <c r="K46" s="103"/>
      <c r="L46" s="103"/>
      <c r="M46" s="103"/>
      <c r="N46" s="103"/>
      <c r="O46" s="103"/>
      <c r="P46" s="45" t="s">
        <v>82</v>
      </c>
      <c r="Q46" s="45"/>
      <c r="R46" s="45"/>
      <c r="S46" s="45"/>
      <c r="T46" s="45"/>
      <c r="U46" s="105">
        <v>45689</v>
      </c>
      <c r="V46" s="105"/>
      <c r="W46" s="105"/>
      <c r="X46" s="105"/>
      <c r="Y46" s="44"/>
      <c r="Z46" s="44"/>
      <c r="AA46" s="44"/>
      <c r="AB46" s="44"/>
      <c r="AC46" s="44"/>
      <c r="AD46" s="13" t="s">
        <v>111</v>
      </c>
      <c r="AE46" s="104" t="s">
        <v>84</v>
      </c>
      <c r="AF46" s="104"/>
      <c r="AG46" s="104"/>
      <c r="AH46" s="104" t="s">
        <v>112</v>
      </c>
      <c r="AI46" s="104"/>
      <c r="AJ46" s="104"/>
      <c r="AK46" s="104"/>
      <c r="AL46" s="177">
        <v>210</v>
      </c>
      <c r="AM46" s="177"/>
      <c r="AN46" s="177"/>
      <c r="AO46" s="177"/>
      <c r="AP46" s="2"/>
    </row>
    <row r="47" spans="1:42" ht="18.600000000000001" customHeight="1" x14ac:dyDescent="0.2">
      <c r="A47" s="2"/>
      <c r="B47" s="44"/>
      <c r="C47" s="44"/>
      <c r="D47" s="44"/>
      <c r="E47" s="44"/>
      <c r="F47" s="44"/>
      <c r="G47" s="44"/>
      <c r="H47" s="44"/>
      <c r="I47" s="2"/>
      <c r="J47" s="44"/>
      <c r="K47" s="44"/>
      <c r="L47" s="44"/>
      <c r="M47" s="44"/>
      <c r="N47" s="44"/>
      <c r="O47" s="44"/>
      <c r="P47" s="2"/>
      <c r="Q47" s="44"/>
      <c r="R47" s="44"/>
      <c r="S47" s="44"/>
      <c r="T47" s="47" t="s">
        <v>113</v>
      </c>
      <c r="U47" s="47"/>
      <c r="V47" s="47"/>
      <c r="W47" s="47"/>
      <c r="X47" s="47"/>
      <c r="Y47" s="47"/>
      <c r="Z47" s="47"/>
      <c r="AA47" s="2"/>
      <c r="AB47" s="44"/>
      <c r="AC47" s="44"/>
      <c r="AD47" s="2"/>
      <c r="AE47" s="44"/>
      <c r="AF47" s="44"/>
      <c r="AG47" s="44"/>
      <c r="AH47" s="44"/>
      <c r="AI47" s="44"/>
      <c r="AJ47" s="44"/>
      <c r="AK47" s="44"/>
      <c r="AL47" s="2"/>
      <c r="AM47" s="47" t="s">
        <v>114</v>
      </c>
      <c r="AN47" s="47"/>
      <c r="AO47" s="47"/>
      <c r="AP47" s="47"/>
    </row>
    <row r="48" spans="1:42" ht="12" customHeight="1" x14ac:dyDescent="0.2">
      <c r="A48" s="113" t="s">
        <v>115</v>
      </c>
      <c r="B48" s="113"/>
      <c r="C48" s="113"/>
      <c r="D48" s="113"/>
      <c r="E48" s="113"/>
      <c r="F48" s="113"/>
      <c r="G48" s="113"/>
      <c r="H48" s="113"/>
      <c r="I48" s="113"/>
      <c r="J48" s="37"/>
      <c r="K48" s="37"/>
      <c r="L48" s="37"/>
      <c r="M48" s="176">
        <v>19615078</v>
      </c>
      <c r="N48" s="176"/>
      <c r="O48" s="176"/>
      <c r="P48" s="176"/>
      <c r="Q48" s="37"/>
      <c r="R48" s="37"/>
      <c r="S48" s="37"/>
      <c r="T48" s="47"/>
      <c r="U48" s="47"/>
      <c r="V48" s="47"/>
      <c r="W48" s="47"/>
      <c r="X48" s="47"/>
      <c r="Y48" s="47"/>
      <c r="Z48" s="47"/>
      <c r="AA48" s="1"/>
      <c r="AB48" s="37"/>
      <c r="AC48" s="37"/>
      <c r="AD48" s="1"/>
      <c r="AE48" s="37"/>
      <c r="AF48" s="37"/>
      <c r="AG48" s="37"/>
      <c r="AH48" s="37"/>
      <c r="AI48" s="37"/>
      <c r="AJ48" s="37"/>
      <c r="AK48" s="37"/>
      <c r="AL48" s="1"/>
      <c r="AM48" s="47"/>
      <c r="AN48" s="47"/>
      <c r="AO48" s="47"/>
      <c r="AP48" s="47"/>
    </row>
    <row r="49" spans="1:42" ht="6" customHeight="1" x14ac:dyDescent="0.2">
      <c r="A49" s="1"/>
      <c r="B49" s="37"/>
      <c r="C49" s="37"/>
      <c r="D49" s="37"/>
      <c r="E49" s="37"/>
      <c r="F49" s="37"/>
      <c r="G49" s="37"/>
      <c r="H49" s="37"/>
      <c r="I49" s="1"/>
      <c r="J49" s="37"/>
      <c r="K49" s="37"/>
      <c r="L49" s="37"/>
      <c r="M49" s="37"/>
      <c r="N49" s="37"/>
      <c r="O49" s="37"/>
      <c r="P49" s="1"/>
      <c r="Q49" s="37"/>
      <c r="R49" s="37"/>
      <c r="S49" s="37"/>
      <c r="T49" s="1"/>
      <c r="U49" s="37"/>
      <c r="V49" s="37"/>
      <c r="W49" s="37"/>
      <c r="X49" s="37"/>
      <c r="Y49" s="37"/>
      <c r="Z49" s="37"/>
      <c r="AA49" s="1"/>
      <c r="AB49" s="37"/>
      <c r="AC49" s="37"/>
      <c r="AD49" s="1"/>
      <c r="AE49" s="37"/>
      <c r="AF49" s="37"/>
      <c r="AG49" s="37"/>
      <c r="AH49" s="37"/>
      <c r="AI49" s="37"/>
      <c r="AJ49" s="37"/>
      <c r="AK49" s="37"/>
      <c r="AL49" s="1"/>
      <c r="AM49" s="47"/>
      <c r="AN49" s="47"/>
      <c r="AO49" s="47"/>
      <c r="AP49" s="47"/>
    </row>
    <row r="50" spans="1:42" ht="24" customHeight="1" x14ac:dyDescent="0.2">
      <c r="A50" s="17" t="s">
        <v>89</v>
      </c>
      <c r="B50" s="84" t="s">
        <v>90</v>
      </c>
      <c r="C50" s="84"/>
      <c r="D50" s="84"/>
      <c r="E50" s="80" t="s">
        <v>91</v>
      </c>
      <c r="F50" s="80"/>
      <c r="G50" s="80"/>
      <c r="H50" s="80"/>
      <c r="I50" s="82" t="s">
        <v>92</v>
      </c>
      <c r="J50" s="82"/>
      <c r="K50" s="82"/>
      <c r="L50" s="82"/>
      <c r="M50" s="82"/>
      <c r="N50" s="82"/>
      <c r="O50" s="82"/>
      <c r="P50" s="83" t="s">
        <v>93</v>
      </c>
      <c r="Q50" s="83"/>
      <c r="R50" s="83"/>
      <c r="S50" s="83"/>
      <c r="T50" s="83"/>
      <c r="U50" s="83" t="s">
        <v>94</v>
      </c>
      <c r="V50" s="83"/>
      <c r="W50" s="83"/>
      <c r="X50" s="83"/>
      <c r="Y50" s="80" t="s">
        <v>95</v>
      </c>
      <c r="Z50" s="80"/>
      <c r="AA50" s="80"/>
      <c r="AB50" s="163" t="s">
        <v>75</v>
      </c>
      <c r="AC50" s="163"/>
      <c r="AD50" s="19" t="s">
        <v>76</v>
      </c>
      <c r="AE50" s="158" t="s">
        <v>77</v>
      </c>
      <c r="AF50" s="158"/>
      <c r="AG50" s="158"/>
      <c r="AH50" s="175" t="s">
        <v>78</v>
      </c>
      <c r="AI50" s="175"/>
      <c r="AJ50" s="175"/>
      <c r="AK50" s="175"/>
      <c r="AL50" s="158" t="s">
        <v>79</v>
      </c>
      <c r="AM50" s="158"/>
      <c r="AN50" s="158"/>
      <c r="AO50" s="158"/>
      <c r="AP50" s="2"/>
    </row>
    <row r="51" spans="1:42" ht="5.25" customHeight="1" x14ac:dyDescent="0.2">
      <c r="A51" s="9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9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1"/>
    </row>
    <row r="52" spans="1:42" ht="13.5" customHeight="1" x14ac:dyDescent="0.2">
      <c r="A52" s="20">
        <v>443966</v>
      </c>
      <c r="B52" s="107">
        <v>19481808</v>
      </c>
      <c r="C52" s="107"/>
      <c r="D52" s="107"/>
      <c r="E52" s="96" t="s">
        <v>116</v>
      </c>
      <c r="F52" s="96"/>
      <c r="G52" s="96"/>
      <c r="H52" s="96"/>
      <c r="I52" s="141" t="s">
        <v>117</v>
      </c>
      <c r="J52" s="141"/>
      <c r="K52" s="141"/>
      <c r="L52" s="141"/>
      <c r="M52" s="141"/>
      <c r="N52" s="141"/>
      <c r="O52" s="141"/>
      <c r="P52" s="62" t="s">
        <v>82</v>
      </c>
      <c r="Q52" s="62"/>
      <c r="R52" s="62"/>
      <c r="S52" s="62"/>
      <c r="T52" s="62"/>
      <c r="U52" s="172">
        <v>45658</v>
      </c>
      <c r="V52" s="172"/>
      <c r="W52" s="172"/>
      <c r="X52" s="172"/>
      <c r="Y52" s="61"/>
      <c r="Z52" s="61"/>
      <c r="AA52" s="61"/>
      <c r="AB52" s="61"/>
      <c r="AC52" s="61"/>
      <c r="AD52" s="11" t="s">
        <v>83</v>
      </c>
      <c r="AE52" s="173" t="s">
        <v>84</v>
      </c>
      <c r="AF52" s="173"/>
      <c r="AG52" s="173"/>
      <c r="AH52" s="142" t="s">
        <v>85</v>
      </c>
      <c r="AI52" s="142"/>
      <c r="AJ52" s="142"/>
      <c r="AK52" s="142"/>
      <c r="AL52" s="108">
        <v>105</v>
      </c>
      <c r="AM52" s="108"/>
      <c r="AN52" s="108"/>
      <c r="AO52" s="108"/>
      <c r="AP52" s="1"/>
    </row>
    <row r="53" spans="1:42" ht="26.85" customHeight="1" x14ac:dyDescent="0.2">
      <c r="A53" s="2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159" t="s">
        <v>118</v>
      </c>
      <c r="U53" s="159"/>
      <c r="V53" s="159"/>
      <c r="W53" s="159"/>
      <c r="X53" s="159"/>
      <c r="Y53" s="159"/>
      <c r="Z53" s="159"/>
      <c r="AA53" s="2"/>
      <c r="AB53" s="44"/>
      <c r="AC53" s="44"/>
      <c r="AD53" s="2"/>
      <c r="AE53" s="44"/>
      <c r="AF53" s="44"/>
      <c r="AG53" s="44"/>
      <c r="AH53" s="44"/>
      <c r="AI53" s="44"/>
      <c r="AJ53" s="44"/>
      <c r="AK53" s="44"/>
      <c r="AL53" s="2"/>
      <c r="AM53" s="47" t="s">
        <v>87</v>
      </c>
      <c r="AN53" s="47"/>
      <c r="AO53" s="47"/>
      <c r="AP53" s="47"/>
    </row>
    <row r="54" spans="1:42" ht="13.5" customHeight="1" x14ac:dyDescent="0.2">
      <c r="A54" s="112" t="s">
        <v>115</v>
      </c>
      <c r="B54" s="112"/>
      <c r="C54" s="112"/>
      <c r="D54" s="112"/>
      <c r="E54" s="112"/>
      <c r="F54" s="112"/>
      <c r="G54" s="112"/>
      <c r="H54" s="112"/>
      <c r="I54" s="112"/>
      <c r="J54" s="112"/>
      <c r="K54" s="44"/>
      <c r="L54" s="44"/>
      <c r="M54" s="44"/>
      <c r="N54" s="174">
        <v>19481808</v>
      </c>
      <c r="O54" s="174"/>
      <c r="P54" s="174"/>
      <c r="Q54" s="174"/>
      <c r="R54" s="44"/>
      <c r="S54" s="44"/>
      <c r="T54" s="159"/>
      <c r="U54" s="159"/>
      <c r="V54" s="159"/>
      <c r="W54" s="159"/>
      <c r="X54" s="159"/>
      <c r="Y54" s="159"/>
      <c r="Z54" s="159"/>
      <c r="AA54" s="2"/>
      <c r="AB54" s="44"/>
      <c r="AC54" s="44"/>
      <c r="AD54" s="2"/>
      <c r="AE54" s="44"/>
      <c r="AF54" s="44"/>
      <c r="AG54" s="44"/>
      <c r="AH54" s="44"/>
      <c r="AI54" s="44"/>
      <c r="AJ54" s="44"/>
      <c r="AK54" s="44"/>
      <c r="AL54" s="2"/>
      <c r="AM54" s="47"/>
      <c r="AN54" s="47"/>
      <c r="AO54" s="47"/>
      <c r="AP54" s="47"/>
    </row>
    <row r="55" spans="1:42" ht="5.25" customHeight="1" x14ac:dyDescent="0.2">
      <c r="A55" s="1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1"/>
      <c r="U55" s="37"/>
      <c r="V55" s="37"/>
      <c r="W55" s="37"/>
      <c r="X55" s="37"/>
      <c r="Y55" s="37"/>
      <c r="Z55" s="37"/>
      <c r="AA55" s="1"/>
      <c r="AB55" s="37"/>
      <c r="AC55" s="37"/>
      <c r="AD55" s="1"/>
      <c r="AE55" s="37"/>
      <c r="AF55" s="37"/>
      <c r="AG55" s="37"/>
      <c r="AH55" s="37"/>
      <c r="AI55" s="37"/>
      <c r="AJ55" s="37"/>
      <c r="AK55" s="37"/>
      <c r="AL55" s="1"/>
      <c r="AM55" s="47"/>
      <c r="AN55" s="47"/>
      <c r="AO55" s="47"/>
      <c r="AP55" s="47"/>
    </row>
    <row r="56" spans="1:42" ht="30.6" customHeight="1" x14ac:dyDescent="0.2">
      <c r="A56" s="79" t="s">
        <v>119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2"/>
    </row>
    <row r="57" spans="1:42" ht="24" customHeight="1" x14ac:dyDescent="0.2">
      <c r="A57" s="17" t="s">
        <v>89</v>
      </c>
      <c r="B57" s="84" t="s">
        <v>90</v>
      </c>
      <c r="C57" s="84"/>
      <c r="D57" s="84"/>
      <c r="E57" s="80" t="s">
        <v>91</v>
      </c>
      <c r="F57" s="80"/>
      <c r="G57" s="80"/>
      <c r="H57" s="80"/>
      <c r="I57" s="82" t="s">
        <v>92</v>
      </c>
      <c r="J57" s="82"/>
      <c r="K57" s="82"/>
      <c r="L57" s="82"/>
      <c r="M57" s="82"/>
      <c r="N57" s="82"/>
      <c r="O57" s="82"/>
      <c r="P57" s="83" t="s">
        <v>93</v>
      </c>
      <c r="Q57" s="83"/>
      <c r="R57" s="83"/>
      <c r="S57" s="83"/>
      <c r="T57" s="83"/>
      <c r="U57" s="83" t="s">
        <v>94</v>
      </c>
      <c r="V57" s="83"/>
      <c r="W57" s="83"/>
      <c r="X57" s="83"/>
      <c r="Y57" s="80" t="s">
        <v>95</v>
      </c>
      <c r="Z57" s="80"/>
      <c r="AA57" s="80"/>
      <c r="AB57" s="170" t="s">
        <v>120</v>
      </c>
      <c r="AC57" s="170"/>
      <c r="AD57" s="8" t="s">
        <v>97</v>
      </c>
      <c r="AE57" s="171" t="s">
        <v>121</v>
      </c>
      <c r="AF57" s="171"/>
      <c r="AG57" s="171"/>
      <c r="AH57" s="84" t="s">
        <v>99</v>
      </c>
      <c r="AI57" s="84"/>
      <c r="AJ57" s="84"/>
      <c r="AK57" s="84"/>
      <c r="AL57" s="158" t="s">
        <v>79</v>
      </c>
      <c r="AM57" s="158"/>
      <c r="AN57" s="158"/>
      <c r="AO57" s="158"/>
      <c r="AP57" s="2"/>
    </row>
    <row r="58" spans="1:42" ht="26.1" customHeight="1" x14ac:dyDescent="0.2">
      <c r="A58" s="21">
        <v>446535</v>
      </c>
      <c r="B58" s="137">
        <v>17301495</v>
      </c>
      <c r="C58" s="137"/>
      <c r="D58" s="137"/>
      <c r="E58" s="125" t="s">
        <v>122</v>
      </c>
      <c r="F58" s="125"/>
      <c r="G58" s="125"/>
      <c r="H58" s="125"/>
      <c r="I58" s="165" t="s">
        <v>81</v>
      </c>
      <c r="J58" s="165"/>
      <c r="K58" s="165"/>
      <c r="L58" s="165"/>
      <c r="M58" s="165"/>
      <c r="N58" s="165"/>
      <c r="O58" s="165"/>
      <c r="P58" s="55" t="s">
        <v>82</v>
      </c>
      <c r="Q58" s="55"/>
      <c r="R58" s="55"/>
      <c r="S58" s="55"/>
      <c r="T58" s="55"/>
      <c r="U58" s="167">
        <v>45658</v>
      </c>
      <c r="V58" s="167"/>
      <c r="W58" s="167"/>
      <c r="X58" s="167"/>
      <c r="Y58" s="54"/>
      <c r="Z58" s="54"/>
      <c r="AA58" s="54"/>
      <c r="AB58" s="54"/>
      <c r="AC58" s="54"/>
      <c r="AD58" s="23" t="s">
        <v>83</v>
      </c>
      <c r="AE58" s="168" t="s">
        <v>84</v>
      </c>
      <c r="AF58" s="168"/>
      <c r="AG58" s="168"/>
      <c r="AH58" s="169" t="s">
        <v>85</v>
      </c>
      <c r="AI58" s="169"/>
      <c r="AJ58" s="169"/>
      <c r="AK58" s="169"/>
      <c r="AL58" s="140">
        <v>105</v>
      </c>
      <c r="AM58" s="140"/>
      <c r="AN58" s="140"/>
      <c r="AO58" s="140"/>
      <c r="AP58" s="2"/>
    </row>
    <row r="59" spans="1:42" ht="29.1" customHeight="1" x14ac:dyDescent="0.2">
      <c r="A59" s="47" t="s">
        <v>123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2"/>
      <c r="AB59" s="44"/>
      <c r="AC59" s="44"/>
      <c r="AD59" s="2"/>
      <c r="AE59" s="44"/>
      <c r="AF59" s="44"/>
      <c r="AG59" s="44"/>
      <c r="AH59" s="44"/>
      <c r="AI59" s="44"/>
      <c r="AJ59" s="44"/>
      <c r="AK59" s="44"/>
      <c r="AL59" s="2"/>
      <c r="AM59" s="47" t="s">
        <v>87</v>
      </c>
      <c r="AN59" s="47"/>
      <c r="AO59" s="47"/>
      <c r="AP59" s="47"/>
    </row>
    <row r="60" spans="1:42" ht="5.25" customHeight="1" x14ac:dyDescent="0.2">
      <c r="A60" s="1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1"/>
      <c r="AB60" s="37"/>
      <c r="AC60" s="37"/>
      <c r="AD60" s="1"/>
      <c r="AE60" s="37"/>
      <c r="AF60" s="37"/>
      <c r="AG60" s="37"/>
      <c r="AH60" s="37"/>
      <c r="AI60" s="37"/>
      <c r="AJ60" s="37"/>
      <c r="AK60" s="37"/>
      <c r="AL60" s="1"/>
      <c r="AM60" s="47"/>
      <c r="AN60" s="47"/>
      <c r="AO60" s="47"/>
      <c r="AP60" s="47"/>
    </row>
    <row r="61" spans="1:42" ht="30.6" customHeight="1" x14ac:dyDescent="0.2">
      <c r="A61" s="79" t="s">
        <v>119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2"/>
    </row>
    <row r="62" spans="1:42" ht="24" customHeight="1" x14ac:dyDescent="0.2">
      <c r="A62" s="7" t="s">
        <v>106</v>
      </c>
      <c r="B62" s="84" t="s">
        <v>90</v>
      </c>
      <c r="C62" s="84"/>
      <c r="D62" s="84"/>
      <c r="E62" s="80" t="s">
        <v>91</v>
      </c>
      <c r="F62" s="80"/>
      <c r="G62" s="80"/>
      <c r="H62" s="80"/>
      <c r="I62" s="82" t="s">
        <v>92</v>
      </c>
      <c r="J62" s="82"/>
      <c r="K62" s="82"/>
      <c r="L62" s="82"/>
      <c r="M62" s="82"/>
      <c r="N62" s="82"/>
      <c r="O62" s="82"/>
      <c r="P62" s="83" t="s">
        <v>93</v>
      </c>
      <c r="Q62" s="83"/>
      <c r="R62" s="83"/>
      <c r="S62" s="83"/>
      <c r="T62" s="83"/>
      <c r="U62" s="83" t="s">
        <v>94</v>
      </c>
      <c r="V62" s="83"/>
      <c r="W62" s="83"/>
      <c r="X62" s="83"/>
      <c r="Y62" s="84" t="s">
        <v>95</v>
      </c>
      <c r="Z62" s="84"/>
      <c r="AA62" s="84"/>
      <c r="AB62" s="84" t="s">
        <v>96</v>
      </c>
      <c r="AC62" s="84"/>
      <c r="AD62" s="8" t="s">
        <v>97</v>
      </c>
      <c r="AE62" s="83" t="s">
        <v>98</v>
      </c>
      <c r="AF62" s="83"/>
      <c r="AG62" s="83"/>
      <c r="AH62" s="84" t="s">
        <v>99</v>
      </c>
      <c r="AI62" s="84"/>
      <c r="AJ62" s="84"/>
      <c r="AK62" s="84"/>
      <c r="AL62" s="83" t="s">
        <v>100</v>
      </c>
      <c r="AM62" s="83"/>
      <c r="AN62" s="83"/>
      <c r="AO62" s="83"/>
      <c r="AP62" s="2"/>
    </row>
    <row r="63" spans="1:42" ht="5.25" customHeight="1" x14ac:dyDescent="0.2">
      <c r="A63" s="9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9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1"/>
    </row>
    <row r="64" spans="1:42" ht="12" customHeight="1" x14ac:dyDescent="0.2">
      <c r="A64" s="20">
        <v>445336</v>
      </c>
      <c r="B64" s="107">
        <v>16633294</v>
      </c>
      <c r="C64" s="107"/>
      <c r="D64" s="107"/>
      <c r="E64" s="96" t="s">
        <v>124</v>
      </c>
      <c r="F64" s="96"/>
      <c r="G64" s="96"/>
      <c r="H64" s="96"/>
      <c r="I64" s="97" t="s">
        <v>81</v>
      </c>
      <c r="J64" s="97"/>
      <c r="K64" s="97"/>
      <c r="L64" s="97"/>
      <c r="M64" s="97"/>
      <c r="N64" s="97"/>
      <c r="O64" s="97"/>
      <c r="P64" s="98" t="s">
        <v>125</v>
      </c>
      <c r="Q64" s="98"/>
      <c r="R64" s="98"/>
      <c r="S64" s="98"/>
      <c r="T64" s="98"/>
      <c r="U64" s="99">
        <v>45658</v>
      </c>
      <c r="V64" s="99"/>
      <c r="W64" s="99"/>
      <c r="X64" s="99"/>
      <c r="Y64" s="61"/>
      <c r="Z64" s="61"/>
      <c r="AA64" s="61"/>
      <c r="AB64" s="61"/>
      <c r="AC64" s="61"/>
      <c r="AD64" s="11" t="s">
        <v>83</v>
      </c>
      <c r="AE64" s="98" t="s">
        <v>84</v>
      </c>
      <c r="AF64" s="98"/>
      <c r="AG64" s="98"/>
      <c r="AH64" s="62" t="s">
        <v>108</v>
      </c>
      <c r="AI64" s="62"/>
      <c r="AJ64" s="62"/>
      <c r="AK64" s="62"/>
      <c r="AL64" s="100">
        <v>105</v>
      </c>
      <c r="AM64" s="100"/>
      <c r="AN64" s="100"/>
      <c r="AO64" s="100"/>
      <c r="AP64" s="1"/>
    </row>
    <row r="65" spans="1:42" ht="21.95" customHeight="1" x14ac:dyDescent="0.2">
      <c r="A65" s="24">
        <v>445462</v>
      </c>
      <c r="B65" s="109">
        <v>16633294</v>
      </c>
      <c r="C65" s="109"/>
      <c r="D65" s="109"/>
      <c r="E65" s="102" t="s">
        <v>126</v>
      </c>
      <c r="F65" s="102"/>
      <c r="G65" s="102"/>
      <c r="H65" s="102"/>
      <c r="I65" s="103" t="s">
        <v>81</v>
      </c>
      <c r="J65" s="103"/>
      <c r="K65" s="103"/>
      <c r="L65" s="103"/>
      <c r="M65" s="103"/>
      <c r="N65" s="103"/>
      <c r="O65" s="103"/>
      <c r="P65" s="104" t="s">
        <v>125</v>
      </c>
      <c r="Q65" s="104"/>
      <c r="R65" s="104"/>
      <c r="S65" s="104"/>
      <c r="T65" s="104"/>
      <c r="U65" s="105">
        <v>45658</v>
      </c>
      <c r="V65" s="105"/>
      <c r="W65" s="105"/>
      <c r="X65" s="105"/>
      <c r="Y65" s="44"/>
      <c r="Z65" s="44"/>
      <c r="AA65" s="44"/>
      <c r="AB65" s="44"/>
      <c r="AC65" s="44"/>
      <c r="AD65" s="13" t="s">
        <v>83</v>
      </c>
      <c r="AE65" s="104" t="s">
        <v>84</v>
      </c>
      <c r="AF65" s="104"/>
      <c r="AG65" s="104"/>
      <c r="AH65" s="45" t="s">
        <v>108</v>
      </c>
      <c r="AI65" s="45"/>
      <c r="AJ65" s="45"/>
      <c r="AK65" s="45"/>
      <c r="AL65" s="161">
        <v>105</v>
      </c>
      <c r="AM65" s="161"/>
      <c r="AN65" s="161"/>
      <c r="AO65" s="161"/>
      <c r="AP65" s="2"/>
    </row>
    <row r="66" spans="1:42" ht="12" customHeight="1" x14ac:dyDescent="0.2">
      <c r="A66" s="20">
        <v>445463</v>
      </c>
      <c r="B66" s="107">
        <v>16633294</v>
      </c>
      <c r="C66" s="107"/>
      <c r="D66" s="107"/>
      <c r="E66" s="96" t="s">
        <v>127</v>
      </c>
      <c r="F66" s="96"/>
      <c r="G66" s="96"/>
      <c r="H66" s="96"/>
      <c r="I66" s="97" t="s">
        <v>81</v>
      </c>
      <c r="J66" s="97"/>
      <c r="K66" s="97"/>
      <c r="L66" s="97"/>
      <c r="M66" s="97"/>
      <c r="N66" s="97"/>
      <c r="O66" s="97"/>
      <c r="P66" s="98" t="s">
        <v>125</v>
      </c>
      <c r="Q66" s="98"/>
      <c r="R66" s="98"/>
      <c r="S66" s="98"/>
      <c r="T66" s="98"/>
      <c r="U66" s="99">
        <v>45658</v>
      </c>
      <c r="V66" s="99"/>
      <c r="W66" s="99"/>
      <c r="X66" s="99"/>
      <c r="Y66" s="61"/>
      <c r="Z66" s="61"/>
      <c r="AA66" s="61"/>
      <c r="AB66" s="61"/>
      <c r="AC66" s="61"/>
      <c r="AD66" s="11" t="s">
        <v>83</v>
      </c>
      <c r="AE66" s="98" t="s">
        <v>84</v>
      </c>
      <c r="AF66" s="98"/>
      <c r="AG66" s="98"/>
      <c r="AH66" s="62" t="s">
        <v>108</v>
      </c>
      <c r="AI66" s="62"/>
      <c r="AJ66" s="62"/>
      <c r="AK66" s="62"/>
      <c r="AL66" s="100">
        <v>105</v>
      </c>
      <c r="AM66" s="100"/>
      <c r="AN66" s="100"/>
      <c r="AO66" s="100"/>
      <c r="AP66" s="1"/>
    </row>
    <row r="67" spans="1:42" ht="21.95" customHeight="1" x14ac:dyDescent="0.2">
      <c r="A67" s="24">
        <v>446217</v>
      </c>
      <c r="B67" s="109">
        <v>16633294</v>
      </c>
      <c r="C67" s="109"/>
      <c r="D67" s="109"/>
      <c r="E67" s="102" t="s">
        <v>128</v>
      </c>
      <c r="F67" s="102"/>
      <c r="G67" s="102"/>
      <c r="H67" s="102"/>
      <c r="I67" s="103" t="s">
        <v>81</v>
      </c>
      <c r="J67" s="103"/>
      <c r="K67" s="103"/>
      <c r="L67" s="103"/>
      <c r="M67" s="103"/>
      <c r="N67" s="103"/>
      <c r="O67" s="103"/>
      <c r="P67" s="104" t="s">
        <v>125</v>
      </c>
      <c r="Q67" s="104"/>
      <c r="R67" s="104"/>
      <c r="S67" s="104"/>
      <c r="T67" s="104"/>
      <c r="U67" s="105">
        <v>45658</v>
      </c>
      <c r="V67" s="105"/>
      <c r="W67" s="105"/>
      <c r="X67" s="105"/>
      <c r="Y67" s="44"/>
      <c r="Z67" s="44"/>
      <c r="AA67" s="44"/>
      <c r="AB67" s="44"/>
      <c r="AC67" s="44"/>
      <c r="AD67" s="13" t="s">
        <v>83</v>
      </c>
      <c r="AE67" s="104" t="s">
        <v>84</v>
      </c>
      <c r="AF67" s="104"/>
      <c r="AG67" s="104"/>
      <c r="AH67" s="45" t="s">
        <v>108</v>
      </c>
      <c r="AI67" s="45"/>
      <c r="AJ67" s="45"/>
      <c r="AK67" s="45"/>
      <c r="AL67" s="161">
        <v>105</v>
      </c>
      <c r="AM67" s="161"/>
      <c r="AN67" s="161"/>
      <c r="AO67" s="161"/>
      <c r="AP67" s="2"/>
    </row>
    <row r="68" spans="1:42" ht="12" customHeight="1" x14ac:dyDescent="0.2">
      <c r="A68" s="20">
        <v>443286</v>
      </c>
      <c r="B68" s="107">
        <v>16633294</v>
      </c>
      <c r="C68" s="107"/>
      <c r="D68" s="107"/>
      <c r="E68" s="96" t="s">
        <v>129</v>
      </c>
      <c r="F68" s="96"/>
      <c r="G68" s="96"/>
      <c r="H68" s="96"/>
      <c r="I68" s="97" t="s">
        <v>81</v>
      </c>
      <c r="J68" s="97"/>
      <c r="K68" s="97"/>
      <c r="L68" s="97"/>
      <c r="M68" s="97"/>
      <c r="N68" s="97"/>
      <c r="O68" s="97"/>
      <c r="P68" s="98" t="s">
        <v>125</v>
      </c>
      <c r="Q68" s="98"/>
      <c r="R68" s="98"/>
      <c r="S68" s="98"/>
      <c r="T68" s="98"/>
      <c r="U68" s="99">
        <v>45658</v>
      </c>
      <c r="V68" s="99"/>
      <c r="W68" s="99"/>
      <c r="X68" s="99"/>
      <c r="Y68" s="61"/>
      <c r="Z68" s="61"/>
      <c r="AA68" s="61"/>
      <c r="AB68" s="61"/>
      <c r="AC68" s="61"/>
      <c r="AD68" s="11" t="s">
        <v>83</v>
      </c>
      <c r="AE68" s="98" t="s">
        <v>84</v>
      </c>
      <c r="AF68" s="98"/>
      <c r="AG68" s="98"/>
      <c r="AH68" s="62" t="s">
        <v>108</v>
      </c>
      <c r="AI68" s="62"/>
      <c r="AJ68" s="62"/>
      <c r="AK68" s="62"/>
      <c r="AL68" s="100">
        <v>105</v>
      </c>
      <c r="AM68" s="100"/>
      <c r="AN68" s="100"/>
      <c r="AO68" s="100"/>
      <c r="AP68" s="1"/>
    </row>
    <row r="69" spans="1:42" ht="21.95" customHeight="1" x14ac:dyDescent="0.2">
      <c r="A69" s="24">
        <v>443292</v>
      </c>
      <c r="B69" s="109">
        <v>16633294</v>
      </c>
      <c r="C69" s="109"/>
      <c r="D69" s="109"/>
      <c r="E69" s="102" t="s">
        <v>130</v>
      </c>
      <c r="F69" s="102"/>
      <c r="G69" s="102"/>
      <c r="H69" s="102"/>
      <c r="I69" s="103" t="s">
        <v>81</v>
      </c>
      <c r="J69" s="103"/>
      <c r="K69" s="103"/>
      <c r="L69" s="103"/>
      <c r="M69" s="103"/>
      <c r="N69" s="103"/>
      <c r="O69" s="103"/>
      <c r="P69" s="104" t="s">
        <v>125</v>
      </c>
      <c r="Q69" s="104"/>
      <c r="R69" s="104"/>
      <c r="S69" s="104"/>
      <c r="T69" s="104"/>
      <c r="U69" s="105">
        <v>45658</v>
      </c>
      <c r="V69" s="105"/>
      <c r="W69" s="105"/>
      <c r="X69" s="105"/>
      <c r="Y69" s="44"/>
      <c r="Z69" s="44"/>
      <c r="AA69" s="44"/>
      <c r="AB69" s="44"/>
      <c r="AC69" s="44"/>
      <c r="AD69" s="13" t="s">
        <v>83</v>
      </c>
      <c r="AE69" s="104" t="s">
        <v>84</v>
      </c>
      <c r="AF69" s="104"/>
      <c r="AG69" s="104"/>
      <c r="AH69" s="45" t="s">
        <v>108</v>
      </c>
      <c r="AI69" s="45"/>
      <c r="AJ69" s="45"/>
      <c r="AK69" s="45"/>
      <c r="AL69" s="161">
        <v>105</v>
      </c>
      <c r="AM69" s="161"/>
      <c r="AN69" s="161"/>
      <c r="AO69" s="161"/>
      <c r="AP69" s="2"/>
    </row>
    <row r="70" spans="1:42" ht="12" customHeight="1" x14ac:dyDescent="0.2">
      <c r="A70" s="20">
        <v>444212</v>
      </c>
      <c r="B70" s="107">
        <v>16633294</v>
      </c>
      <c r="C70" s="107"/>
      <c r="D70" s="107"/>
      <c r="E70" s="96" t="s">
        <v>131</v>
      </c>
      <c r="F70" s="96"/>
      <c r="G70" s="96"/>
      <c r="H70" s="96"/>
      <c r="I70" s="97" t="s">
        <v>81</v>
      </c>
      <c r="J70" s="97"/>
      <c r="K70" s="97"/>
      <c r="L70" s="97"/>
      <c r="M70" s="97"/>
      <c r="N70" s="97"/>
      <c r="O70" s="97"/>
      <c r="P70" s="98" t="s">
        <v>125</v>
      </c>
      <c r="Q70" s="98"/>
      <c r="R70" s="98"/>
      <c r="S70" s="98"/>
      <c r="T70" s="98"/>
      <c r="U70" s="99">
        <v>45658</v>
      </c>
      <c r="V70" s="99"/>
      <c r="W70" s="99"/>
      <c r="X70" s="99"/>
      <c r="Y70" s="61"/>
      <c r="Z70" s="61"/>
      <c r="AA70" s="61"/>
      <c r="AB70" s="61"/>
      <c r="AC70" s="61"/>
      <c r="AD70" s="11" t="s">
        <v>83</v>
      </c>
      <c r="AE70" s="98" t="s">
        <v>84</v>
      </c>
      <c r="AF70" s="98"/>
      <c r="AG70" s="98"/>
      <c r="AH70" s="62" t="s">
        <v>108</v>
      </c>
      <c r="AI70" s="62"/>
      <c r="AJ70" s="62"/>
      <c r="AK70" s="62"/>
      <c r="AL70" s="100">
        <v>105</v>
      </c>
      <c r="AM70" s="100"/>
      <c r="AN70" s="100"/>
      <c r="AO70" s="100"/>
      <c r="AP70" s="1"/>
    </row>
    <row r="71" spans="1:42" ht="21.95" customHeight="1" x14ac:dyDescent="0.2">
      <c r="A71" s="24">
        <v>443209</v>
      </c>
      <c r="B71" s="109">
        <v>16633294</v>
      </c>
      <c r="C71" s="109"/>
      <c r="D71" s="109"/>
      <c r="E71" s="102" t="s">
        <v>132</v>
      </c>
      <c r="F71" s="102"/>
      <c r="G71" s="102"/>
      <c r="H71" s="102"/>
      <c r="I71" s="103" t="s">
        <v>81</v>
      </c>
      <c r="J71" s="103"/>
      <c r="K71" s="103"/>
      <c r="L71" s="103"/>
      <c r="M71" s="103"/>
      <c r="N71" s="103"/>
      <c r="O71" s="103"/>
      <c r="P71" s="104" t="s">
        <v>125</v>
      </c>
      <c r="Q71" s="104"/>
      <c r="R71" s="104"/>
      <c r="S71" s="104"/>
      <c r="T71" s="104"/>
      <c r="U71" s="105">
        <v>45658</v>
      </c>
      <c r="V71" s="105"/>
      <c r="W71" s="105"/>
      <c r="X71" s="105"/>
      <c r="Y71" s="44"/>
      <c r="Z71" s="44"/>
      <c r="AA71" s="44"/>
      <c r="AB71" s="44"/>
      <c r="AC71" s="44"/>
      <c r="AD71" s="13" t="s">
        <v>83</v>
      </c>
      <c r="AE71" s="104" t="s">
        <v>84</v>
      </c>
      <c r="AF71" s="104"/>
      <c r="AG71" s="104"/>
      <c r="AH71" s="45" t="s">
        <v>108</v>
      </c>
      <c r="AI71" s="45"/>
      <c r="AJ71" s="45"/>
      <c r="AK71" s="45"/>
      <c r="AL71" s="161">
        <v>105</v>
      </c>
      <c r="AM71" s="161"/>
      <c r="AN71" s="161"/>
      <c r="AO71" s="161"/>
      <c r="AP71" s="2"/>
    </row>
    <row r="72" spans="1:42" ht="12" customHeight="1" x14ac:dyDescent="0.2">
      <c r="A72" s="20">
        <v>440990</v>
      </c>
      <c r="B72" s="107">
        <v>16633294</v>
      </c>
      <c r="C72" s="107"/>
      <c r="D72" s="107"/>
      <c r="E72" s="96" t="s">
        <v>133</v>
      </c>
      <c r="F72" s="96"/>
      <c r="G72" s="96"/>
      <c r="H72" s="96"/>
      <c r="I72" s="97" t="s">
        <v>81</v>
      </c>
      <c r="J72" s="97"/>
      <c r="K72" s="97"/>
      <c r="L72" s="97"/>
      <c r="M72" s="97"/>
      <c r="N72" s="97"/>
      <c r="O72" s="97"/>
      <c r="P72" s="98" t="s">
        <v>125</v>
      </c>
      <c r="Q72" s="98"/>
      <c r="R72" s="98"/>
      <c r="S72" s="98"/>
      <c r="T72" s="98"/>
      <c r="U72" s="99">
        <v>45658</v>
      </c>
      <c r="V72" s="99"/>
      <c r="W72" s="99"/>
      <c r="X72" s="99"/>
      <c r="Y72" s="61"/>
      <c r="Z72" s="61"/>
      <c r="AA72" s="61"/>
      <c r="AB72" s="61"/>
      <c r="AC72" s="61"/>
      <c r="AD72" s="11" t="s">
        <v>83</v>
      </c>
      <c r="AE72" s="98" t="s">
        <v>84</v>
      </c>
      <c r="AF72" s="98"/>
      <c r="AG72" s="98"/>
      <c r="AH72" s="62" t="s">
        <v>108</v>
      </c>
      <c r="AI72" s="62"/>
      <c r="AJ72" s="62"/>
      <c r="AK72" s="62"/>
      <c r="AL72" s="100">
        <v>105</v>
      </c>
      <c r="AM72" s="100"/>
      <c r="AN72" s="100"/>
      <c r="AO72" s="100"/>
      <c r="AP72" s="1"/>
    </row>
    <row r="73" spans="1:42" ht="21.95" customHeight="1" x14ac:dyDescent="0.2">
      <c r="A73" s="24">
        <v>445753</v>
      </c>
      <c r="B73" s="109">
        <v>16633294</v>
      </c>
      <c r="C73" s="109"/>
      <c r="D73" s="109"/>
      <c r="E73" s="102" t="s">
        <v>134</v>
      </c>
      <c r="F73" s="102"/>
      <c r="G73" s="102"/>
      <c r="H73" s="102"/>
      <c r="I73" s="103" t="s">
        <v>81</v>
      </c>
      <c r="J73" s="103"/>
      <c r="K73" s="103"/>
      <c r="L73" s="103"/>
      <c r="M73" s="103"/>
      <c r="N73" s="103"/>
      <c r="O73" s="103"/>
      <c r="P73" s="104" t="s">
        <v>125</v>
      </c>
      <c r="Q73" s="104"/>
      <c r="R73" s="104"/>
      <c r="S73" s="104"/>
      <c r="T73" s="104"/>
      <c r="U73" s="105">
        <v>45658</v>
      </c>
      <c r="V73" s="105"/>
      <c r="W73" s="105"/>
      <c r="X73" s="105"/>
      <c r="Y73" s="44"/>
      <c r="Z73" s="44"/>
      <c r="AA73" s="44"/>
      <c r="AB73" s="44"/>
      <c r="AC73" s="44"/>
      <c r="AD73" s="13" t="s">
        <v>83</v>
      </c>
      <c r="AE73" s="104" t="s">
        <v>84</v>
      </c>
      <c r="AF73" s="104"/>
      <c r="AG73" s="104"/>
      <c r="AH73" s="45" t="s">
        <v>108</v>
      </c>
      <c r="AI73" s="45"/>
      <c r="AJ73" s="45"/>
      <c r="AK73" s="45"/>
      <c r="AL73" s="161">
        <v>105</v>
      </c>
      <c r="AM73" s="161"/>
      <c r="AN73" s="161"/>
      <c r="AO73" s="161"/>
      <c r="AP73" s="2"/>
    </row>
    <row r="74" spans="1:42" ht="12" customHeight="1" x14ac:dyDescent="0.2">
      <c r="A74" s="20">
        <v>446673</v>
      </c>
      <c r="B74" s="107">
        <v>16633294</v>
      </c>
      <c r="C74" s="107"/>
      <c r="D74" s="107"/>
      <c r="E74" s="96" t="s">
        <v>135</v>
      </c>
      <c r="F74" s="96"/>
      <c r="G74" s="96"/>
      <c r="H74" s="96"/>
      <c r="I74" s="97" t="s">
        <v>81</v>
      </c>
      <c r="J74" s="97"/>
      <c r="K74" s="97"/>
      <c r="L74" s="97"/>
      <c r="M74" s="97"/>
      <c r="N74" s="97"/>
      <c r="O74" s="97"/>
      <c r="P74" s="98" t="s">
        <v>125</v>
      </c>
      <c r="Q74" s="98"/>
      <c r="R74" s="98"/>
      <c r="S74" s="98"/>
      <c r="T74" s="98"/>
      <c r="U74" s="99">
        <v>45658</v>
      </c>
      <c r="V74" s="99"/>
      <c r="W74" s="99"/>
      <c r="X74" s="99"/>
      <c r="Y74" s="61"/>
      <c r="Z74" s="61"/>
      <c r="AA74" s="61"/>
      <c r="AB74" s="61"/>
      <c r="AC74" s="61"/>
      <c r="AD74" s="11" t="s">
        <v>83</v>
      </c>
      <c r="AE74" s="98" t="s">
        <v>84</v>
      </c>
      <c r="AF74" s="98"/>
      <c r="AG74" s="98"/>
      <c r="AH74" s="62" t="s">
        <v>108</v>
      </c>
      <c r="AI74" s="62"/>
      <c r="AJ74" s="62"/>
      <c r="AK74" s="62"/>
      <c r="AL74" s="100">
        <v>105</v>
      </c>
      <c r="AM74" s="100"/>
      <c r="AN74" s="100"/>
      <c r="AO74" s="100"/>
      <c r="AP74" s="1"/>
    </row>
    <row r="75" spans="1:42" ht="21.95" customHeight="1" x14ac:dyDescent="0.2">
      <c r="A75" s="24">
        <v>446121</v>
      </c>
      <c r="B75" s="109">
        <v>16633294</v>
      </c>
      <c r="C75" s="109"/>
      <c r="D75" s="109"/>
      <c r="E75" s="102" t="s">
        <v>136</v>
      </c>
      <c r="F75" s="102"/>
      <c r="G75" s="102"/>
      <c r="H75" s="102"/>
      <c r="I75" s="103" t="s">
        <v>81</v>
      </c>
      <c r="J75" s="103"/>
      <c r="K75" s="103"/>
      <c r="L75" s="103"/>
      <c r="M75" s="103"/>
      <c r="N75" s="103"/>
      <c r="O75" s="103"/>
      <c r="P75" s="104" t="s">
        <v>125</v>
      </c>
      <c r="Q75" s="104"/>
      <c r="R75" s="104"/>
      <c r="S75" s="104"/>
      <c r="T75" s="104"/>
      <c r="U75" s="105">
        <v>45658</v>
      </c>
      <c r="V75" s="105"/>
      <c r="W75" s="105"/>
      <c r="X75" s="105"/>
      <c r="Y75" s="44"/>
      <c r="Z75" s="44"/>
      <c r="AA75" s="44"/>
      <c r="AB75" s="44"/>
      <c r="AC75" s="44"/>
      <c r="AD75" s="13" t="s">
        <v>83</v>
      </c>
      <c r="AE75" s="104" t="s">
        <v>84</v>
      </c>
      <c r="AF75" s="104"/>
      <c r="AG75" s="104"/>
      <c r="AH75" s="45" t="s">
        <v>108</v>
      </c>
      <c r="AI75" s="45"/>
      <c r="AJ75" s="45"/>
      <c r="AK75" s="45"/>
      <c r="AL75" s="161">
        <v>105</v>
      </c>
      <c r="AM75" s="161"/>
      <c r="AN75" s="161"/>
      <c r="AO75" s="161"/>
      <c r="AP75" s="2"/>
    </row>
    <row r="76" spans="1:42" ht="12.95" customHeight="1" x14ac:dyDescent="0.2">
      <c r="A76" s="20">
        <v>447931</v>
      </c>
      <c r="B76" s="107">
        <v>16633294</v>
      </c>
      <c r="C76" s="107"/>
      <c r="D76" s="107"/>
      <c r="E76" s="96" t="s">
        <v>137</v>
      </c>
      <c r="F76" s="96"/>
      <c r="G76" s="96"/>
      <c r="H76" s="96"/>
      <c r="I76" s="97" t="s">
        <v>81</v>
      </c>
      <c r="J76" s="97"/>
      <c r="K76" s="97"/>
      <c r="L76" s="97"/>
      <c r="M76" s="97"/>
      <c r="N76" s="97"/>
      <c r="O76" s="97"/>
      <c r="P76" s="98" t="s">
        <v>125</v>
      </c>
      <c r="Q76" s="98"/>
      <c r="R76" s="98"/>
      <c r="S76" s="98"/>
      <c r="T76" s="98"/>
      <c r="U76" s="99">
        <v>45658</v>
      </c>
      <c r="V76" s="99"/>
      <c r="W76" s="99"/>
      <c r="X76" s="99"/>
      <c r="Y76" s="61"/>
      <c r="Z76" s="61"/>
      <c r="AA76" s="61"/>
      <c r="AB76" s="61"/>
      <c r="AC76" s="61"/>
      <c r="AD76" s="11" t="s">
        <v>83</v>
      </c>
      <c r="AE76" s="98" t="s">
        <v>84</v>
      </c>
      <c r="AF76" s="98"/>
      <c r="AG76" s="98"/>
      <c r="AH76" s="62" t="s">
        <v>108</v>
      </c>
      <c r="AI76" s="62"/>
      <c r="AJ76" s="62"/>
      <c r="AK76" s="62"/>
      <c r="AL76" s="100">
        <v>105</v>
      </c>
      <c r="AM76" s="100"/>
      <c r="AN76" s="100"/>
      <c r="AO76" s="100"/>
      <c r="AP76" s="1"/>
    </row>
    <row r="77" spans="1:42" ht="21" customHeight="1" x14ac:dyDescent="0.2">
      <c r="A77" s="24">
        <v>443227</v>
      </c>
      <c r="B77" s="109">
        <v>16633294</v>
      </c>
      <c r="C77" s="109"/>
      <c r="D77" s="109"/>
      <c r="E77" s="102" t="s">
        <v>138</v>
      </c>
      <c r="F77" s="102"/>
      <c r="G77" s="102"/>
      <c r="H77" s="102"/>
      <c r="I77" s="103" t="s">
        <v>81</v>
      </c>
      <c r="J77" s="103"/>
      <c r="K77" s="103"/>
      <c r="L77" s="103"/>
      <c r="M77" s="103"/>
      <c r="N77" s="103"/>
      <c r="O77" s="103"/>
      <c r="P77" s="104" t="s">
        <v>125</v>
      </c>
      <c r="Q77" s="104"/>
      <c r="R77" s="104"/>
      <c r="S77" s="104"/>
      <c r="T77" s="104"/>
      <c r="U77" s="105">
        <v>45658</v>
      </c>
      <c r="V77" s="105"/>
      <c r="W77" s="105"/>
      <c r="X77" s="105"/>
      <c r="Y77" s="105">
        <v>45688</v>
      </c>
      <c r="Z77" s="105"/>
      <c r="AA77" s="105"/>
      <c r="AB77" s="109">
        <v>13</v>
      </c>
      <c r="AC77" s="109"/>
      <c r="AD77" s="13" t="s">
        <v>83</v>
      </c>
      <c r="AE77" s="104" t="s">
        <v>84</v>
      </c>
      <c r="AF77" s="104"/>
      <c r="AG77" s="104"/>
      <c r="AH77" s="45" t="s">
        <v>108</v>
      </c>
      <c r="AI77" s="45"/>
      <c r="AJ77" s="45"/>
      <c r="AK77" s="45"/>
      <c r="AL77" s="151">
        <v>-105</v>
      </c>
      <c r="AM77" s="151"/>
      <c r="AN77" s="151"/>
      <c r="AO77" s="151"/>
      <c r="AP77" s="2"/>
    </row>
    <row r="78" spans="1:42" ht="13.35" customHeight="1" x14ac:dyDescent="0.2">
      <c r="A78" s="20">
        <v>443229</v>
      </c>
      <c r="B78" s="107">
        <v>16633294</v>
      </c>
      <c r="C78" s="107"/>
      <c r="D78" s="107"/>
      <c r="E78" s="96" t="s">
        <v>139</v>
      </c>
      <c r="F78" s="96"/>
      <c r="G78" s="96"/>
      <c r="H78" s="96"/>
      <c r="I78" s="97" t="s">
        <v>81</v>
      </c>
      <c r="J78" s="97"/>
      <c r="K78" s="97"/>
      <c r="L78" s="97"/>
      <c r="M78" s="97"/>
      <c r="N78" s="97"/>
      <c r="O78" s="97"/>
      <c r="P78" s="98" t="s">
        <v>125</v>
      </c>
      <c r="Q78" s="98"/>
      <c r="R78" s="98"/>
      <c r="S78" s="98"/>
      <c r="T78" s="98"/>
      <c r="U78" s="99">
        <v>45658</v>
      </c>
      <c r="V78" s="99"/>
      <c r="W78" s="99"/>
      <c r="X78" s="99"/>
      <c r="Y78" s="61"/>
      <c r="Z78" s="61"/>
      <c r="AA78" s="61"/>
      <c r="AB78" s="61"/>
      <c r="AC78" s="61"/>
      <c r="AD78" s="11" t="s">
        <v>83</v>
      </c>
      <c r="AE78" s="98" t="s">
        <v>84</v>
      </c>
      <c r="AF78" s="98"/>
      <c r="AG78" s="98"/>
      <c r="AH78" s="62" t="s">
        <v>108</v>
      </c>
      <c r="AI78" s="62"/>
      <c r="AJ78" s="62"/>
      <c r="AK78" s="62"/>
      <c r="AL78" s="100">
        <v>105</v>
      </c>
      <c r="AM78" s="100"/>
      <c r="AN78" s="100"/>
      <c r="AO78" s="100"/>
      <c r="AP78" s="1"/>
    </row>
    <row r="79" spans="1:42" ht="24.75" customHeight="1" x14ac:dyDescent="0.2">
      <c r="A79" s="66" t="s">
        <v>140</v>
      </c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</row>
    <row r="80" spans="1:42" ht="13.5" customHeight="1" x14ac:dyDescent="0.2">
      <c r="A80" s="67" t="s">
        <v>141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1"/>
    </row>
    <row r="81" spans="1:42" ht="24.2" customHeight="1" x14ac:dyDescent="0.2">
      <c r="A81" s="7" t="s">
        <v>106</v>
      </c>
      <c r="B81" s="84" t="s">
        <v>90</v>
      </c>
      <c r="C81" s="84"/>
      <c r="D81" s="84"/>
      <c r="E81" s="80" t="s">
        <v>91</v>
      </c>
      <c r="F81" s="80"/>
      <c r="G81" s="80"/>
      <c r="H81" s="80"/>
      <c r="I81" s="82" t="s">
        <v>92</v>
      </c>
      <c r="J81" s="82"/>
      <c r="K81" s="82"/>
      <c r="L81" s="82"/>
      <c r="M81" s="82"/>
      <c r="N81" s="82"/>
      <c r="O81" s="82"/>
      <c r="P81" s="83" t="s">
        <v>93</v>
      </c>
      <c r="Q81" s="83"/>
      <c r="R81" s="83"/>
      <c r="S81" s="83"/>
      <c r="T81" s="83"/>
      <c r="U81" s="83" t="s">
        <v>94</v>
      </c>
      <c r="V81" s="83"/>
      <c r="W81" s="83"/>
      <c r="X81" s="83"/>
      <c r="Y81" s="84" t="s">
        <v>95</v>
      </c>
      <c r="Z81" s="84"/>
      <c r="AA81" s="84"/>
      <c r="AB81" s="84" t="s">
        <v>96</v>
      </c>
      <c r="AC81" s="84"/>
      <c r="AD81" s="8" t="s">
        <v>97</v>
      </c>
      <c r="AE81" s="83" t="s">
        <v>98</v>
      </c>
      <c r="AF81" s="83"/>
      <c r="AG81" s="83"/>
      <c r="AH81" s="84" t="s">
        <v>99</v>
      </c>
      <c r="AI81" s="84"/>
      <c r="AJ81" s="84"/>
      <c r="AK81" s="84"/>
      <c r="AL81" s="83" t="s">
        <v>100</v>
      </c>
      <c r="AM81" s="83"/>
      <c r="AN81" s="83"/>
      <c r="AO81" s="83"/>
      <c r="AP81" s="2"/>
    </row>
    <row r="82" spans="1:42" ht="21.95" customHeight="1" x14ac:dyDescent="0.2">
      <c r="A82" s="21">
        <v>439729</v>
      </c>
      <c r="B82" s="137">
        <v>16633294</v>
      </c>
      <c r="C82" s="137"/>
      <c r="D82" s="137"/>
      <c r="E82" s="125" t="s">
        <v>142</v>
      </c>
      <c r="F82" s="125"/>
      <c r="G82" s="125"/>
      <c r="H82" s="125"/>
      <c r="I82" s="165" t="s">
        <v>81</v>
      </c>
      <c r="J82" s="165"/>
      <c r="K82" s="165"/>
      <c r="L82" s="165"/>
      <c r="M82" s="165"/>
      <c r="N82" s="165"/>
      <c r="O82" s="165"/>
      <c r="P82" s="127" t="s">
        <v>143</v>
      </c>
      <c r="Q82" s="127"/>
      <c r="R82" s="127"/>
      <c r="S82" s="127"/>
      <c r="T82" s="127"/>
      <c r="U82" s="139">
        <v>45597</v>
      </c>
      <c r="V82" s="139"/>
      <c r="W82" s="139"/>
      <c r="X82" s="139"/>
      <c r="Y82" s="54"/>
      <c r="Z82" s="54"/>
      <c r="AA82" s="54"/>
      <c r="AB82" s="54"/>
      <c r="AC82" s="54"/>
      <c r="AD82" s="23" t="s">
        <v>83</v>
      </c>
      <c r="AE82" s="127" t="s">
        <v>144</v>
      </c>
      <c r="AF82" s="127"/>
      <c r="AG82" s="127"/>
      <c r="AH82" s="127" t="s">
        <v>112</v>
      </c>
      <c r="AI82" s="127"/>
      <c r="AJ82" s="127"/>
      <c r="AK82" s="127"/>
      <c r="AL82" s="166">
        <v>19.579999999999998</v>
      </c>
      <c r="AM82" s="166"/>
      <c r="AN82" s="166"/>
      <c r="AO82" s="166"/>
      <c r="AP82" s="2"/>
    </row>
    <row r="83" spans="1:42" ht="12" customHeight="1" x14ac:dyDescent="0.2">
      <c r="A83" s="20">
        <v>439729</v>
      </c>
      <c r="B83" s="107">
        <v>16633294</v>
      </c>
      <c r="C83" s="107"/>
      <c r="D83" s="107"/>
      <c r="E83" s="96" t="s">
        <v>145</v>
      </c>
      <c r="F83" s="96"/>
      <c r="G83" s="96"/>
      <c r="H83" s="96"/>
      <c r="I83" s="97" t="s">
        <v>81</v>
      </c>
      <c r="J83" s="97"/>
      <c r="K83" s="97"/>
      <c r="L83" s="97"/>
      <c r="M83" s="97"/>
      <c r="N83" s="97"/>
      <c r="O83" s="97"/>
      <c r="P83" s="98" t="s">
        <v>143</v>
      </c>
      <c r="Q83" s="98"/>
      <c r="R83" s="98"/>
      <c r="S83" s="98"/>
      <c r="T83" s="98"/>
      <c r="U83" s="99">
        <v>45597</v>
      </c>
      <c r="V83" s="99"/>
      <c r="W83" s="99"/>
      <c r="X83" s="99"/>
      <c r="Y83" s="61"/>
      <c r="Z83" s="61"/>
      <c r="AA83" s="61"/>
      <c r="AB83" s="61"/>
      <c r="AC83" s="61"/>
      <c r="AD83" s="11" t="s">
        <v>83</v>
      </c>
      <c r="AE83" s="98" t="s">
        <v>144</v>
      </c>
      <c r="AF83" s="98"/>
      <c r="AG83" s="98"/>
      <c r="AH83" s="62" t="s">
        <v>108</v>
      </c>
      <c r="AI83" s="62"/>
      <c r="AJ83" s="62"/>
      <c r="AK83" s="62"/>
      <c r="AL83" s="146">
        <v>-8.75</v>
      </c>
      <c r="AM83" s="146"/>
      <c r="AN83" s="146"/>
      <c r="AO83" s="146"/>
      <c r="AP83" s="1"/>
    </row>
    <row r="84" spans="1:42" ht="15.2" customHeight="1" x14ac:dyDescent="0.2">
      <c r="A84" s="24">
        <v>439729</v>
      </c>
      <c r="B84" s="109">
        <v>16633294</v>
      </c>
      <c r="C84" s="109"/>
      <c r="D84" s="109"/>
      <c r="E84" s="102" t="s">
        <v>145</v>
      </c>
      <c r="F84" s="102"/>
      <c r="G84" s="102"/>
      <c r="H84" s="102"/>
      <c r="I84" s="103" t="s">
        <v>81</v>
      </c>
      <c r="J84" s="103"/>
      <c r="K84" s="103"/>
      <c r="L84" s="103"/>
      <c r="M84" s="103"/>
      <c r="N84" s="103"/>
      <c r="O84" s="103"/>
      <c r="P84" s="104" t="s">
        <v>143</v>
      </c>
      <c r="Q84" s="104"/>
      <c r="R84" s="104"/>
      <c r="S84" s="104"/>
      <c r="T84" s="104"/>
      <c r="U84" s="105">
        <v>45597</v>
      </c>
      <c r="V84" s="105"/>
      <c r="W84" s="105"/>
      <c r="X84" s="105"/>
      <c r="Y84" s="37"/>
      <c r="Z84" s="37"/>
      <c r="AA84" s="37"/>
      <c r="AB84" s="37"/>
      <c r="AC84" s="37"/>
      <c r="AD84" s="13" t="s">
        <v>111</v>
      </c>
      <c r="AE84" s="104" t="s">
        <v>144</v>
      </c>
      <c r="AF84" s="104"/>
      <c r="AG84" s="104"/>
      <c r="AH84" s="104" t="s">
        <v>112</v>
      </c>
      <c r="AI84" s="104"/>
      <c r="AJ84" s="104"/>
      <c r="AK84" s="104"/>
      <c r="AL84" s="161">
        <v>19.579999999999998</v>
      </c>
      <c r="AM84" s="161"/>
      <c r="AN84" s="161"/>
      <c r="AO84" s="161"/>
      <c r="AP84" s="1"/>
    </row>
    <row r="85" spans="1:42" ht="30.6" customHeight="1" x14ac:dyDescent="0.2">
      <c r="A85" s="162" t="s">
        <v>146</v>
      </c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2"/>
    </row>
    <row r="86" spans="1:42" ht="24.6" customHeight="1" x14ac:dyDescent="0.2">
      <c r="A86" s="25" t="s">
        <v>147</v>
      </c>
      <c r="B86" s="163" t="s">
        <v>148</v>
      </c>
      <c r="C86" s="163"/>
      <c r="D86" s="163"/>
      <c r="E86" s="163" t="s">
        <v>149</v>
      </c>
      <c r="F86" s="163"/>
      <c r="G86" s="163"/>
      <c r="H86" s="163"/>
      <c r="I86" s="164" t="s">
        <v>150</v>
      </c>
      <c r="J86" s="164"/>
      <c r="K86" s="164"/>
      <c r="L86" s="164"/>
      <c r="M86" s="164"/>
      <c r="N86" s="164"/>
      <c r="O86" s="164"/>
      <c r="P86" s="158" t="s">
        <v>151</v>
      </c>
      <c r="Q86" s="158"/>
      <c r="R86" s="158"/>
      <c r="S86" s="158"/>
      <c r="T86" s="158"/>
      <c r="U86" s="158" t="s">
        <v>152</v>
      </c>
      <c r="V86" s="158"/>
      <c r="W86" s="158"/>
      <c r="X86" s="158"/>
      <c r="Y86" s="163" t="s">
        <v>153</v>
      </c>
      <c r="Z86" s="163"/>
      <c r="AA86" s="163"/>
      <c r="AB86" s="163" t="s">
        <v>154</v>
      </c>
      <c r="AC86" s="163"/>
      <c r="AD86" s="18" t="s">
        <v>155</v>
      </c>
      <c r="AE86" s="158" t="s">
        <v>156</v>
      </c>
      <c r="AF86" s="158"/>
      <c r="AG86" s="158"/>
      <c r="AH86" s="163" t="s">
        <v>157</v>
      </c>
      <c r="AI86" s="163"/>
      <c r="AJ86" s="163"/>
      <c r="AK86" s="163"/>
      <c r="AL86" s="158" t="s">
        <v>29</v>
      </c>
      <c r="AM86" s="158"/>
      <c r="AN86" s="158"/>
      <c r="AO86" s="158"/>
      <c r="AP86" s="2"/>
    </row>
    <row r="87" spans="1:42" ht="27.75" customHeight="1" x14ac:dyDescent="0.2">
      <c r="A87" s="2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2"/>
      <c r="T87" s="159" t="s">
        <v>158</v>
      </c>
      <c r="U87" s="159"/>
      <c r="V87" s="159"/>
      <c r="W87" s="159"/>
      <c r="X87" s="159"/>
      <c r="Y87" s="159"/>
      <c r="Z87" s="159"/>
      <c r="AA87" s="2"/>
      <c r="AB87" s="44"/>
      <c r="AC87" s="44"/>
      <c r="AD87" s="2"/>
      <c r="AE87" s="44"/>
      <c r="AF87" s="44"/>
      <c r="AG87" s="44"/>
      <c r="AH87" s="44"/>
      <c r="AI87" s="44"/>
      <c r="AJ87" s="44"/>
      <c r="AK87" s="44"/>
      <c r="AL87" s="2"/>
      <c r="AM87" s="48" t="s">
        <v>159</v>
      </c>
      <c r="AN87" s="48"/>
      <c r="AO87" s="48"/>
      <c r="AP87" s="48"/>
    </row>
    <row r="88" spans="1:42" ht="12" customHeight="1" x14ac:dyDescent="0.2">
      <c r="A88" s="160" t="s">
        <v>160</v>
      </c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"/>
      <c r="T88" s="159"/>
      <c r="U88" s="159"/>
      <c r="V88" s="159"/>
      <c r="W88" s="159"/>
      <c r="X88" s="159"/>
      <c r="Y88" s="159"/>
      <c r="Z88" s="159"/>
      <c r="AA88" s="1"/>
      <c r="AB88" s="37"/>
      <c r="AC88" s="37"/>
      <c r="AD88" s="1"/>
      <c r="AE88" s="37"/>
      <c r="AF88" s="37"/>
      <c r="AG88" s="37"/>
      <c r="AH88" s="37"/>
      <c r="AI88" s="37"/>
      <c r="AJ88" s="37"/>
      <c r="AK88" s="37"/>
      <c r="AL88" s="1"/>
      <c r="AM88" s="48"/>
      <c r="AN88" s="48"/>
      <c r="AO88" s="48"/>
      <c r="AP88" s="48"/>
    </row>
    <row r="89" spans="1:42" ht="5.25" customHeight="1" x14ac:dyDescent="0.2">
      <c r="A89" s="1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1"/>
      <c r="T89" s="1"/>
      <c r="U89" s="37"/>
      <c r="V89" s="37"/>
      <c r="W89" s="37"/>
      <c r="X89" s="37"/>
      <c r="Y89" s="37"/>
      <c r="Z89" s="37"/>
      <c r="AA89" s="1"/>
      <c r="AB89" s="37"/>
      <c r="AC89" s="37"/>
      <c r="AD89" s="1"/>
      <c r="AE89" s="37"/>
      <c r="AF89" s="37"/>
      <c r="AG89" s="37"/>
      <c r="AH89" s="37"/>
      <c r="AI89" s="37"/>
      <c r="AJ89" s="37"/>
      <c r="AK89" s="37"/>
      <c r="AL89" s="1"/>
      <c r="AM89" s="48"/>
      <c r="AN89" s="48"/>
      <c r="AO89" s="48"/>
      <c r="AP89" s="48"/>
    </row>
    <row r="90" spans="1:42" ht="24" customHeight="1" x14ac:dyDescent="0.2">
      <c r="A90" s="17" t="s">
        <v>89</v>
      </c>
      <c r="B90" s="80" t="s">
        <v>90</v>
      </c>
      <c r="C90" s="80"/>
      <c r="D90" s="80"/>
      <c r="E90" s="80" t="s">
        <v>91</v>
      </c>
      <c r="F90" s="80"/>
      <c r="G90" s="80"/>
      <c r="H90" s="80"/>
      <c r="I90" s="82" t="s">
        <v>92</v>
      </c>
      <c r="J90" s="82"/>
      <c r="K90" s="82"/>
      <c r="L90" s="82"/>
      <c r="M90" s="82"/>
      <c r="N90" s="82"/>
      <c r="O90" s="82"/>
      <c r="P90" s="83" t="s">
        <v>93</v>
      </c>
      <c r="Q90" s="83"/>
      <c r="R90" s="83"/>
      <c r="S90" s="83"/>
      <c r="T90" s="83"/>
      <c r="U90" s="83" t="s">
        <v>94</v>
      </c>
      <c r="V90" s="83"/>
      <c r="W90" s="83"/>
      <c r="X90" s="83"/>
      <c r="Y90" s="80" t="s">
        <v>95</v>
      </c>
      <c r="Z90" s="80"/>
      <c r="AA90" s="80"/>
      <c r="AB90" s="84" t="s">
        <v>96</v>
      </c>
      <c r="AC90" s="84"/>
      <c r="AD90" s="8" t="s">
        <v>97</v>
      </c>
      <c r="AE90" s="83" t="s">
        <v>98</v>
      </c>
      <c r="AF90" s="83"/>
      <c r="AG90" s="83"/>
      <c r="AH90" s="84" t="s">
        <v>99</v>
      </c>
      <c r="AI90" s="84"/>
      <c r="AJ90" s="84"/>
      <c r="AK90" s="84"/>
      <c r="AL90" s="158" t="s">
        <v>79</v>
      </c>
      <c r="AM90" s="158"/>
      <c r="AN90" s="158"/>
      <c r="AO90" s="158"/>
      <c r="AP90" s="2"/>
    </row>
    <row r="91" spans="1:42" ht="5.25" customHeight="1" x14ac:dyDescent="0.2">
      <c r="A91" s="9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9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1"/>
    </row>
    <row r="92" spans="1:42" ht="13.5" customHeight="1" x14ac:dyDescent="0.2">
      <c r="A92" s="26">
        <v>445324</v>
      </c>
      <c r="B92" s="154">
        <v>8325282</v>
      </c>
      <c r="C92" s="154"/>
      <c r="D92" s="154"/>
      <c r="E92" s="87" t="s">
        <v>161</v>
      </c>
      <c r="F92" s="87"/>
      <c r="G92" s="87"/>
      <c r="H92" s="87"/>
      <c r="I92" s="59" t="s">
        <v>162</v>
      </c>
      <c r="J92" s="59"/>
      <c r="K92" s="59"/>
      <c r="L92" s="59"/>
      <c r="M92" s="59"/>
      <c r="N92" s="59"/>
      <c r="O92" s="59"/>
      <c r="P92" s="62" t="s">
        <v>82</v>
      </c>
      <c r="Q92" s="62"/>
      <c r="R92" s="62"/>
      <c r="S92" s="62"/>
      <c r="T92" s="62"/>
      <c r="U92" s="155">
        <v>45658</v>
      </c>
      <c r="V92" s="155"/>
      <c r="W92" s="155"/>
      <c r="X92" s="155"/>
      <c r="Y92" s="155">
        <v>45716</v>
      </c>
      <c r="Z92" s="155"/>
      <c r="AA92" s="155"/>
      <c r="AB92" s="156">
        <v>13</v>
      </c>
      <c r="AC92" s="156"/>
      <c r="AD92" s="16" t="s">
        <v>163</v>
      </c>
      <c r="AE92" s="58" t="s">
        <v>164</v>
      </c>
      <c r="AF92" s="58"/>
      <c r="AG92" s="58"/>
      <c r="AH92" s="142" t="s">
        <v>85</v>
      </c>
      <c r="AI92" s="142"/>
      <c r="AJ92" s="142"/>
      <c r="AK92" s="142"/>
      <c r="AL92" s="157">
        <v>-313</v>
      </c>
      <c r="AM92" s="157"/>
      <c r="AN92" s="157"/>
      <c r="AO92" s="157"/>
      <c r="AP92" s="1"/>
    </row>
    <row r="93" spans="1:42" ht="26.85" customHeight="1" x14ac:dyDescent="0.2">
      <c r="A93" s="2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132" t="s">
        <v>165</v>
      </c>
      <c r="U93" s="132"/>
      <c r="V93" s="132"/>
      <c r="W93" s="132"/>
      <c r="X93" s="132"/>
      <c r="Y93" s="132"/>
      <c r="Z93" s="132"/>
      <c r="AA93" s="2"/>
      <c r="AB93" s="44"/>
      <c r="AC93" s="44"/>
      <c r="AD93" s="2"/>
      <c r="AE93" s="44"/>
      <c r="AF93" s="44"/>
      <c r="AG93" s="44"/>
      <c r="AH93" s="44"/>
      <c r="AI93" s="44"/>
      <c r="AJ93" s="44"/>
      <c r="AK93" s="44"/>
      <c r="AL93" s="2"/>
      <c r="AM93" s="47" t="s">
        <v>166</v>
      </c>
      <c r="AN93" s="47"/>
      <c r="AO93" s="47"/>
      <c r="AP93" s="47"/>
    </row>
    <row r="94" spans="1:42" ht="12" customHeight="1" x14ac:dyDescent="0.2">
      <c r="A94" s="49" t="s">
        <v>167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37"/>
      <c r="S94" s="37"/>
      <c r="T94" s="132"/>
      <c r="U94" s="132"/>
      <c r="V94" s="132"/>
      <c r="W94" s="132"/>
      <c r="X94" s="132"/>
      <c r="Y94" s="132"/>
      <c r="Z94" s="132"/>
      <c r="AA94" s="1"/>
      <c r="AB94" s="37"/>
      <c r="AC94" s="37"/>
      <c r="AD94" s="1"/>
      <c r="AE94" s="37"/>
      <c r="AF94" s="37"/>
      <c r="AG94" s="37"/>
      <c r="AH94" s="37"/>
      <c r="AI94" s="37"/>
      <c r="AJ94" s="37"/>
      <c r="AK94" s="37"/>
      <c r="AL94" s="1"/>
      <c r="AM94" s="47"/>
      <c r="AN94" s="47"/>
      <c r="AO94" s="47"/>
      <c r="AP94" s="47"/>
    </row>
    <row r="95" spans="1:42" ht="5.45" customHeight="1" x14ac:dyDescent="0.2">
      <c r="A95" s="1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1"/>
      <c r="U95" s="37"/>
      <c r="V95" s="37"/>
      <c r="W95" s="37"/>
      <c r="X95" s="37"/>
      <c r="Y95" s="37"/>
      <c r="Z95" s="37"/>
      <c r="AA95" s="1"/>
      <c r="AB95" s="37"/>
      <c r="AC95" s="37"/>
      <c r="AD95" s="1"/>
      <c r="AE95" s="37"/>
      <c r="AF95" s="37"/>
      <c r="AG95" s="37"/>
      <c r="AH95" s="37"/>
      <c r="AI95" s="37"/>
      <c r="AJ95" s="37"/>
      <c r="AK95" s="37"/>
      <c r="AL95" s="1"/>
      <c r="AM95" s="47"/>
      <c r="AN95" s="47"/>
      <c r="AO95" s="47"/>
      <c r="AP95" s="47"/>
    </row>
    <row r="96" spans="1:42" ht="24" customHeight="1" x14ac:dyDescent="0.2">
      <c r="A96" s="7" t="s">
        <v>39</v>
      </c>
      <c r="B96" s="80" t="s">
        <v>40</v>
      </c>
      <c r="C96" s="80"/>
      <c r="D96" s="80"/>
      <c r="E96" s="80" t="s">
        <v>41</v>
      </c>
      <c r="F96" s="80"/>
      <c r="G96" s="80"/>
      <c r="H96" s="80"/>
      <c r="I96" s="82" t="s">
        <v>42</v>
      </c>
      <c r="J96" s="82"/>
      <c r="K96" s="82"/>
      <c r="L96" s="82"/>
      <c r="M96" s="82"/>
      <c r="N96" s="82"/>
      <c r="O96" s="82"/>
      <c r="P96" s="83" t="s">
        <v>43</v>
      </c>
      <c r="Q96" s="83"/>
      <c r="R96" s="83"/>
      <c r="S96" s="83"/>
      <c r="T96" s="83"/>
      <c r="U96" s="83" t="s">
        <v>44</v>
      </c>
      <c r="V96" s="83"/>
      <c r="W96" s="83"/>
      <c r="X96" s="83"/>
      <c r="Y96" s="84" t="s">
        <v>45</v>
      </c>
      <c r="Z96" s="84"/>
      <c r="AA96" s="84"/>
      <c r="AB96" s="84" t="s">
        <v>46</v>
      </c>
      <c r="AC96" s="84"/>
      <c r="AD96" s="8" t="s">
        <v>47</v>
      </c>
      <c r="AE96" s="83" t="s">
        <v>48</v>
      </c>
      <c r="AF96" s="83"/>
      <c r="AG96" s="83"/>
      <c r="AH96" s="84" t="s">
        <v>49</v>
      </c>
      <c r="AI96" s="84"/>
      <c r="AJ96" s="84"/>
      <c r="AK96" s="84"/>
      <c r="AL96" s="83" t="s">
        <v>50</v>
      </c>
      <c r="AM96" s="83"/>
      <c r="AN96" s="83"/>
      <c r="AO96" s="83"/>
      <c r="AP96" s="2"/>
    </row>
    <row r="97" spans="1:42" ht="21.95" customHeight="1" x14ac:dyDescent="0.2">
      <c r="A97" s="27">
        <v>448798</v>
      </c>
      <c r="B97" s="152">
        <v>2158366</v>
      </c>
      <c r="C97" s="152"/>
      <c r="D97" s="152"/>
      <c r="E97" s="125" t="s">
        <v>51</v>
      </c>
      <c r="F97" s="125"/>
      <c r="G97" s="125"/>
      <c r="H97" s="125"/>
      <c r="I97" s="126" t="s">
        <v>52</v>
      </c>
      <c r="J97" s="126"/>
      <c r="K97" s="126"/>
      <c r="L97" s="126"/>
      <c r="M97" s="126"/>
      <c r="N97" s="126"/>
      <c r="O97" s="126"/>
      <c r="P97" s="127" t="s">
        <v>32</v>
      </c>
      <c r="Q97" s="127"/>
      <c r="R97" s="127"/>
      <c r="S97" s="127"/>
      <c r="T97" s="127"/>
      <c r="U97" s="128">
        <v>45689</v>
      </c>
      <c r="V97" s="128"/>
      <c r="W97" s="128"/>
      <c r="X97" s="128"/>
      <c r="Y97" s="54"/>
      <c r="Z97" s="54"/>
      <c r="AA97" s="54"/>
      <c r="AB97" s="54"/>
      <c r="AC97" s="54"/>
      <c r="AD97" s="23" t="s">
        <v>53</v>
      </c>
      <c r="AE97" s="127" t="s">
        <v>54</v>
      </c>
      <c r="AF97" s="127"/>
      <c r="AG97" s="127"/>
      <c r="AH97" s="127" t="s">
        <v>55</v>
      </c>
      <c r="AI97" s="127"/>
      <c r="AJ97" s="127"/>
      <c r="AK97" s="127"/>
      <c r="AL97" s="153">
        <v>626</v>
      </c>
      <c r="AM97" s="153"/>
      <c r="AN97" s="153"/>
      <c r="AO97" s="153"/>
      <c r="AP97" s="2"/>
    </row>
    <row r="98" spans="1:42" ht="12.75" customHeight="1" x14ac:dyDescent="0.2">
      <c r="A98" s="10">
        <v>443223</v>
      </c>
      <c r="B98" s="144">
        <v>2158366</v>
      </c>
      <c r="C98" s="144"/>
      <c r="D98" s="144"/>
      <c r="E98" s="96" t="s">
        <v>56</v>
      </c>
      <c r="F98" s="96"/>
      <c r="G98" s="96"/>
      <c r="H98" s="96"/>
      <c r="I98" s="115" t="s">
        <v>52</v>
      </c>
      <c r="J98" s="115"/>
      <c r="K98" s="115"/>
      <c r="L98" s="115"/>
      <c r="M98" s="115"/>
      <c r="N98" s="115"/>
      <c r="O98" s="115"/>
      <c r="P98" s="98" t="s">
        <v>32</v>
      </c>
      <c r="Q98" s="98"/>
      <c r="R98" s="98"/>
      <c r="S98" s="98"/>
      <c r="T98" s="98"/>
      <c r="U98" s="116">
        <v>45658</v>
      </c>
      <c r="V98" s="116"/>
      <c r="W98" s="116"/>
      <c r="X98" s="116"/>
      <c r="Y98" s="145">
        <v>45688</v>
      </c>
      <c r="Z98" s="145"/>
      <c r="AA98" s="145"/>
      <c r="AB98" s="114">
        <v>13</v>
      </c>
      <c r="AC98" s="114"/>
      <c r="AD98" s="11" t="s">
        <v>57</v>
      </c>
      <c r="AE98" s="98" t="s">
        <v>58</v>
      </c>
      <c r="AF98" s="98"/>
      <c r="AG98" s="98"/>
      <c r="AH98" s="62" t="s">
        <v>59</v>
      </c>
      <c r="AI98" s="62"/>
      <c r="AJ98" s="62"/>
      <c r="AK98" s="62"/>
      <c r="AL98" s="146">
        <v>-313</v>
      </c>
      <c r="AM98" s="146"/>
      <c r="AN98" s="146"/>
      <c r="AO98" s="146"/>
      <c r="AP98" s="1"/>
    </row>
    <row r="99" spans="1:42" ht="21.95" customHeight="1" x14ac:dyDescent="0.2">
      <c r="A99" s="28">
        <v>439383</v>
      </c>
      <c r="B99" s="148">
        <v>2158366</v>
      </c>
      <c r="C99" s="148"/>
      <c r="D99" s="148"/>
      <c r="E99" s="102" t="s">
        <v>60</v>
      </c>
      <c r="F99" s="102"/>
      <c r="G99" s="102"/>
      <c r="H99" s="102"/>
      <c r="I99" s="119" t="s">
        <v>52</v>
      </c>
      <c r="J99" s="119"/>
      <c r="K99" s="119"/>
      <c r="L99" s="119"/>
      <c r="M99" s="119"/>
      <c r="N99" s="119"/>
      <c r="O99" s="119"/>
      <c r="P99" s="104" t="s">
        <v>32</v>
      </c>
      <c r="Q99" s="104"/>
      <c r="R99" s="104"/>
      <c r="S99" s="104"/>
      <c r="T99" s="104"/>
      <c r="U99" s="123">
        <v>45658</v>
      </c>
      <c r="V99" s="123"/>
      <c r="W99" s="123"/>
      <c r="X99" s="123"/>
      <c r="Y99" s="44"/>
      <c r="Z99" s="44"/>
      <c r="AA99" s="44"/>
      <c r="AB99" s="44"/>
      <c r="AC99" s="44"/>
      <c r="AD99" s="13" t="s">
        <v>61</v>
      </c>
      <c r="AE99" s="104" t="s">
        <v>58</v>
      </c>
      <c r="AF99" s="104"/>
      <c r="AG99" s="104"/>
      <c r="AH99" s="45" t="s">
        <v>59</v>
      </c>
      <c r="AI99" s="45"/>
      <c r="AJ99" s="45"/>
      <c r="AK99" s="45"/>
      <c r="AL99" s="151">
        <v>-313</v>
      </c>
      <c r="AM99" s="151"/>
      <c r="AN99" s="151"/>
      <c r="AO99" s="151"/>
      <c r="AP99" s="2"/>
    </row>
    <row r="100" spans="1:42" ht="12.75" customHeight="1" x14ac:dyDescent="0.2">
      <c r="A100" s="10">
        <v>439383</v>
      </c>
      <c r="B100" s="144">
        <v>2158366</v>
      </c>
      <c r="C100" s="144"/>
      <c r="D100" s="144"/>
      <c r="E100" s="96" t="s">
        <v>168</v>
      </c>
      <c r="F100" s="96"/>
      <c r="G100" s="96"/>
      <c r="H100" s="96"/>
      <c r="I100" s="115" t="s">
        <v>52</v>
      </c>
      <c r="J100" s="115"/>
      <c r="K100" s="115"/>
      <c r="L100" s="115"/>
      <c r="M100" s="115"/>
      <c r="N100" s="115"/>
      <c r="O100" s="115"/>
      <c r="P100" s="98" t="s">
        <v>32</v>
      </c>
      <c r="Q100" s="98"/>
      <c r="R100" s="98"/>
      <c r="S100" s="98"/>
      <c r="T100" s="98"/>
      <c r="U100" s="116">
        <v>45658</v>
      </c>
      <c r="V100" s="116"/>
      <c r="W100" s="116"/>
      <c r="X100" s="116"/>
      <c r="Y100" s="61"/>
      <c r="Z100" s="61"/>
      <c r="AA100" s="61"/>
      <c r="AB100" s="61"/>
      <c r="AC100" s="61"/>
      <c r="AD100" s="11" t="s">
        <v>57</v>
      </c>
      <c r="AE100" s="98" t="s">
        <v>63</v>
      </c>
      <c r="AF100" s="98"/>
      <c r="AG100" s="98"/>
      <c r="AH100" s="98" t="s">
        <v>55</v>
      </c>
      <c r="AI100" s="98"/>
      <c r="AJ100" s="98"/>
      <c r="AK100" s="98"/>
      <c r="AL100" s="150">
        <v>313</v>
      </c>
      <c r="AM100" s="150"/>
      <c r="AN100" s="150"/>
      <c r="AO100" s="150"/>
      <c r="AP100" s="1"/>
    </row>
    <row r="101" spans="1:42" ht="21.95" customHeight="1" x14ac:dyDescent="0.2">
      <c r="A101" s="12">
        <v>439384</v>
      </c>
      <c r="B101" s="148">
        <v>2158366</v>
      </c>
      <c r="C101" s="148"/>
      <c r="D101" s="148"/>
      <c r="E101" s="102" t="s">
        <v>169</v>
      </c>
      <c r="F101" s="102"/>
      <c r="G101" s="102"/>
      <c r="H101" s="102"/>
      <c r="I101" s="119" t="s">
        <v>52</v>
      </c>
      <c r="J101" s="119"/>
      <c r="K101" s="119"/>
      <c r="L101" s="119"/>
      <c r="M101" s="119"/>
      <c r="N101" s="119"/>
      <c r="O101" s="119"/>
      <c r="P101" s="104" t="s">
        <v>32</v>
      </c>
      <c r="Q101" s="104"/>
      <c r="R101" s="104"/>
      <c r="S101" s="104"/>
      <c r="T101" s="104"/>
      <c r="U101" s="120">
        <v>45658</v>
      </c>
      <c r="V101" s="120"/>
      <c r="W101" s="120"/>
      <c r="X101" s="120"/>
      <c r="Y101" s="44"/>
      <c r="Z101" s="44"/>
      <c r="AA101" s="44"/>
      <c r="AB101" s="44"/>
      <c r="AC101" s="44"/>
      <c r="AD101" s="13" t="s">
        <v>57</v>
      </c>
      <c r="AE101" s="104" t="s">
        <v>63</v>
      </c>
      <c r="AF101" s="104"/>
      <c r="AG101" s="104"/>
      <c r="AH101" s="45" t="s">
        <v>59</v>
      </c>
      <c r="AI101" s="45"/>
      <c r="AJ101" s="45"/>
      <c r="AK101" s="45"/>
      <c r="AL101" s="151">
        <v>-313</v>
      </c>
      <c r="AM101" s="151"/>
      <c r="AN101" s="151"/>
      <c r="AO101" s="151"/>
      <c r="AP101" s="2"/>
    </row>
    <row r="102" spans="1:42" ht="12.75" customHeight="1" x14ac:dyDescent="0.2">
      <c r="A102" s="10">
        <v>439384</v>
      </c>
      <c r="B102" s="144">
        <v>2158366</v>
      </c>
      <c r="C102" s="144"/>
      <c r="D102" s="144"/>
      <c r="E102" s="96" t="s">
        <v>170</v>
      </c>
      <c r="F102" s="96"/>
      <c r="G102" s="96"/>
      <c r="H102" s="96"/>
      <c r="I102" s="115" t="s">
        <v>52</v>
      </c>
      <c r="J102" s="115"/>
      <c r="K102" s="115"/>
      <c r="L102" s="115"/>
      <c r="M102" s="115"/>
      <c r="N102" s="115"/>
      <c r="O102" s="115"/>
      <c r="P102" s="98" t="s">
        <v>66</v>
      </c>
      <c r="Q102" s="98"/>
      <c r="R102" s="98"/>
      <c r="S102" s="98"/>
      <c r="T102" s="98"/>
      <c r="U102" s="116">
        <v>45658</v>
      </c>
      <c r="V102" s="116"/>
      <c r="W102" s="116"/>
      <c r="X102" s="116"/>
      <c r="Y102" s="61"/>
      <c r="Z102" s="61"/>
      <c r="AA102" s="61"/>
      <c r="AB102" s="61"/>
      <c r="AC102" s="61"/>
      <c r="AD102" s="11" t="s">
        <v>57</v>
      </c>
      <c r="AE102" s="98" t="s">
        <v>58</v>
      </c>
      <c r="AF102" s="98"/>
      <c r="AG102" s="98"/>
      <c r="AH102" s="98" t="s">
        <v>171</v>
      </c>
      <c r="AI102" s="98"/>
      <c r="AJ102" s="98"/>
      <c r="AK102" s="98"/>
      <c r="AL102" s="150">
        <v>313</v>
      </c>
      <c r="AM102" s="150"/>
      <c r="AN102" s="150"/>
      <c r="AO102" s="150"/>
      <c r="AP102" s="1"/>
    </row>
    <row r="103" spans="1:42" ht="21.95" customHeight="1" x14ac:dyDescent="0.2">
      <c r="A103" s="12">
        <v>444121</v>
      </c>
      <c r="B103" s="148">
        <v>2158366</v>
      </c>
      <c r="C103" s="148"/>
      <c r="D103" s="148"/>
      <c r="E103" s="102" t="s">
        <v>172</v>
      </c>
      <c r="F103" s="102"/>
      <c r="G103" s="102"/>
      <c r="H103" s="102"/>
      <c r="I103" s="119" t="s">
        <v>52</v>
      </c>
      <c r="J103" s="119"/>
      <c r="K103" s="119"/>
      <c r="L103" s="119"/>
      <c r="M103" s="119"/>
      <c r="N103" s="119"/>
      <c r="O103" s="119"/>
      <c r="P103" s="104" t="s">
        <v>32</v>
      </c>
      <c r="Q103" s="104"/>
      <c r="R103" s="104"/>
      <c r="S103" s="104"/>
      <c r="T103" s="104"/>
      <c r="U103" s="120">
        <v>45658</v>
      </c>
      <c r="V103" s="120"/>
      <c r="W103" s="120"/>
      <c r="X103" s="120"/>
      <c r="Y103" s="44"/>
      <c r="Z103" s="44"/>
      <c r="AA103" s="44"/>
      <c r="AB103" s="44"/>
      <c r="AC103" s="44"/>
      <c r="AD103" s="13" t="s">
        <v>57</v>
      </c>
      <c r="AE103" s="104" t="s">
        <v>63</v>
      </c>
      <c r="AF103" s="104"/>
      <c r="AG103" s="104"/>
      <c r="AH103" s="104" t="s">
        <v>171</v>
      </c>
      <c r="AI103" s="104"/>
      <c r="AJ103" s="104"/>
      <c r="AK103" s="104"/>
      <c r="AL103" s="149">
        <v>313</v>
      </c>
      <c r="AM103" s="149"/>
      <c r="AN103" s="149"/>
      <c r="AO103" s="149"/>
      <c r="AP103" s="2"/>
    </row>
    <row r="104" spans="1:42" ht="12.75" customHeight="1" x14ac:dyDescent="0.2">
      <c r="A104" s="10">
        <v>444121</v>
      </c>
      <c r="B104" s="144">
        <v>2158366</v>
      </c>
      <c r="C104" s="144"/>
      <c r="D104" s="144"/>
      <c r="E104" s="96" t="s">
        <v>172</v>
      </c>
      <c r="F104" s="96"/>
      <c r="G104" s="96"/>
      <c r="H104" s="96"/>
      <c r="I104" s="115" t="s">
        <v>52</v>
      </c>
      <c r="J104" s="115"/>
      <c r="K104" s="115"/>
      <c r="L104" s="115"/>
      <c r="M104" s="115"/>
      <c r="N104" s="115"/>
      <c r="O104" s="115"/>
      <c r="P104" s="98" t="s">
        <v>32</v>
      </c>
      <c r="Q104" s="98"/>
      <c r="R104" s="98"/>
      <c r="S104" s="98"/>
      <c r="T104" s="98"/>
      <c r="U104" s="145">
        <v>45658</v>
      </c>
      <c r="V104" s="145"/>
      <c r="W104" s="145"/>
      <c r="X104" s="145"/>
      <c r="Y104" s="61"/>
      <c r="Z104" s="61"/>
      <c r="AA104" s="61"/>
      <c r="AB104" s="61"/>
      <c r="AC104" s="61"/>
      <c r="AD104" s="11" t="s">
        <v>57</v>
      </c>
      <c r="AE104" s="98" t="s">
        <v>63</v>
      </c>
      <c r="AF104" s="98"/>
      <c r="AG104" s="98"/>
      <c r="AH104" s="62" t="s">
        <v>59</v>
      </c>
      <c r="AI104" s="62"/>
      <c r="AJ104" s="62"/>
      <c r="AK104" s="62"/>
      <c r="AL104" s="146">
        <v>-313</v>
      </c>
      <c r="AM104" s="146"/>
      <c r="AN104" s="146"/>
      <c r="AO104" s="146"/>
      <c r="AP104" s="1"/>
    </row>
    <row r="105" spans="1:42" ht="21.95" customHeight="1" x14ac:dyDescent="0.2">
      <c r="A105" s="12">
        <v>442876</v>
      </c>
      <c r="B105" s="148">
        <v>2158366</v>
      </c>
      <c r="C105" s="148"/>
      <c r="D105" s="148"/>
      <c r="E105" s="102" t="s">
        <v>65</v>
      </c>
      <c r="F105" s="102"/>
      <c r="G105" s="102"/>
      <c r="H105" s="102"/>
      <c r="I105" s="119" t="s">
        <v>173</v>
      </c>
      <c r="J105" s="119"/>
      <c r="K105" s="119"/>
      <c r="L105" s="119"/>
      <c r="M105" s="119"/>
      <c r="N105" s="119"/>
      <c r="O105" s="119"/>
      <c r="P105" s="104" t="s">
        <v>32</v>
      </c>
      <c r="Q105" s="104"/>
      <c r="R105" s="104"/>
      <c r="S105" s="104"/>
      <c r="T105" s="104"/>
      <c r="U105" s="123">
        <v>45658</v>
      </c>
      <c r="V105" s="123"/>
      <c r="W105" s="123"/>
      <c r="X105" s="123"/>
      <c r="Y105" s="44"/>
      <c r="Z105" s="44"/>
      <c r="AA105" s="44"/>
      <c r="AB105" s="44"/>
      <c r="AC105" s="44"/>
      <c r="AD105" s="13" t="s">
        <v>57</v>
      </c>
      <c r="AE105" s="104" t="s">
        <v>63</v>
      </c>
      <c r="AF105" s="104"/>
      <c r="AG105" s="104"/>
      <c r="AH105" s="104" t="s">
        <v>55</v>
      </c>
      <c r="AI105" s="104"/>
      <c r="AJ105" s="104"/>
      <c r="AK105" s="104"/>
      <c r="AL105" s="149">
        <v>313</v>
      </c>
      <c r="AM105" s="149"/>
      <c r="AN105" s="149"/>
      <c r="AO105" s="149"/>
      <c r="AP105" s="2"/>
    </row>
    <row r="106" spans="1:42" ht="12.95" customHeight="1" x14ac:dyDescent="0.2">
      <c r="A106" s="10">
        <v>442876</v>
      </c>
      <c r="B106" s="144">
        <v>2158366</v>
      </c>
      <c r="C106" s="144"/>
      <c r="D106" s="144"/>
      <c r="E106" s="96" t="s">
        <v>65</v>
      </c>
      <c r="F106" s="96"/>
      <c r="G106" s="96"/>
      <c r="H106" s="96"/>
      <c r="I106" s="115" t="s">
        <v>173</v>
      </c>
      <c r="J106" s="115"/>
      <c r="K106" s="115"/>
      <c r="L106" s="115"/>
      <c r="M106" s="115"/>
      <c r="N106" s="115"/>
      <c r="O106" s="115"/>
      <c r="P106" s="98" t="s">
        <v>32</v>
      </c>
      <c r="Q106" s="98"/>
      <c r="R106" s="98"/>
      <c r="S106" s="98"/>
      <c r="T106" s="98"/>
      <c r="U106" s="145">
        <v>45658</v>
      </c>
      <c r="V106" s="145"/>
      <c r="W106" s="145"/>
      <c r="X106" s="145"/>
      <c r="Y106" s="61"/>
      <c r="Z106" s="61"/>
      <c r="AA106" s="61"/>
      <c r="AB106" s="61"/>
      <c r="AC106" s="61"/>
      <c r="AD106" s="11" t="s">
        <v>57</v>
      </c>
      <c r="AE106" s="98" t="s">
        <v>63</v>
      </c>
      <c r="AF106" s="98"/>
      <c r="AG106" s="98"/>
      <c r="AH106" s="62" t="s">
        <v>59</v>
      </c>
      <c r="AI106" s="62"/>
      <c r="AJ106" s="62"/>
      <c r="AK106" s="62"/>
      <c r="AL106" s="146">
        <v>-313</v>
      </c>
      <c r="AM106" s="146"/>
      <c r="AN106" s="146"/>
      <c r="AO106" s="146"/>
      <c r="AP106" s="1"/>
    </row>
    <row r="107" spans="1:42" ht="21" customHeight="1" x14ac:dyDescent="0.2">
      <c r="A107" s="28">
        <v>445341</v>
      </c>
      <c r="B107" s="148">
        <v>2158366</v>
      </c>
      <c r="C107" s="148"/>
      <c r="D107" s="148"/>
      <c r="E107" s="102" t="s">
        <v>174</v>
      </c>
      <c r="F107" s="102"/>
      <c r="G107" s="102"/>
      <c r="H107" s="102"/>
      <c r="I107" s="119" t="s">
        <v>52</v>
      </c>
      <c r="J107" s="119"/>
      <c r="K107" s="119"/>
      <c r="L107" s="119"/>
      <c r="M107" s="119"/>
      <c r="N107" s="119"/>
      <c r="O107" s="119"/>
      <c r="P107" s="104" t="s">
        <v>32</v>
      </c>
      <c r="Q107" s="104"/>
      <c r="R107" s="104"/>
      <c r="S107" s="104"/>
      <c r="T107" s="104"/>
      <c r="U107" s="120">
        <v>45658</v>
      </c>
      <c r="V107" s="120"/>
      <c r="W107" s="120"/>
      <c r="X107" s="120"/>
      <c r="Y107" s="44"/>
      <c r="Z107" s="44"/>
      <c r="AA107" s="44"/>
      <c r="AB107" s="44"/>
      <c r="AC107" s="44"/>
      <c r="AD107" s="13" t="s">
        <v>61</v>
      </c>
      <c r="AE107" s="104" t="s">
        <v>54</v>
      </c>
      <c r="AF107" s="104"/>
      <c r="AG107" s="104"/>
      <c r="AH107" s="104" t="s">
        <v>171</v>
      </c>
      <c r="AI107" s="104"/>
      <c r="AJ107" s="104"/>
      <c r="AK107" s="104"/>
      <c r="AL107" s="149">
        <v>626</v>
      </c>
      <c r="AM107" s="149"/>
      <c r="AN107" s="149"/>
      <c r="AO107" s="149"/>
      <c r="AP107" s="2"/>
    </row>
    <row r="108" spans="1:42" ht="12.75" customHeight="1" x14ac:dyDescent="0.2">
      <c r="A108" s="10">
        <v>445341</v>
      </c>
      <c r="B108" s="144">
        <v>2158366</v>
      </c>
      <c r="C108" s="144"/>
      <c r="D108" s="144"/>
      <c r="E108" s="96" t="s">
        <v>174</v>
      </c>
      <c r="F108" s="96"/>
      <c r="G108" s="96"/>
      <c r="H108" s="96"/>
      <c r="I108" s="115" t="s">
        <v>173</v>
      </c>
      <c r="J108" s="115"/>
      <c r="K108" s="115"/>
      <c r="L108" s="115"/>
      <c r="M108" s="115"/>
      <c r="N108" s="115"/>
      <c r="O108" s="115"/>
      <c r="P108" s="98" t="s">
        <v>32</v>
      </c>
      <c r="Q108" s="98"/>
      <c r="R108" s="98"/>
      <c r="S108" s="98"/>
      <c r="T108" s="98"/>
      <c r="U108" s="145">
        <v>45658</v>
      </c>
      <c r="V108" s="145"/>
      <c r="W108" s="145"/>
      <c r="X108" s="145"/>
      <c r="Y108" s="61"/>
      <c r="Z108" s="61"/>
      <c r="AA108" s="61"/>
      <c r="AB108" s="61"/>
      <c r="AC108" s="61"/>
      <c r="AD108" s="11" t="s">
        <v>57</v>
      </c>
      <c r="AE108" s="98" t="s">
        <v>54</v>
      </c>
      <c r="AF108" s="98"/>
      <c r="AG108" s="98"/>
      <c r="AH108" s="62" t="s">
        <v>59</v>
      </c>
      <c r="AI108" s="62"/>
      <c r="AJ108" s="62"/>
      <c r="AK108" s="62"/>
      <c r="AL108" s="146">
        <v>-626</v>
      </c>
      <c r="AM108" s="146"/>
      <c r="AN108" s="146"/>
      <c r="AO108" s="146"/>
      <c r="AP108" s="1"/>
    </row>
    <row r="109" spans="1:42" ht="42.2" customHeight="1" x14ac:dyDescent="0.2">
      <c r="A109" s="147" t="s">
        <v>175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</row>
    <row r="110" spans="1:42" ht="24" customHeight="1" x14ac:dyDescent="0.2">
      <c r="A110" s="17" t="s">
        <v>89</v>
      </c>
      <c r="B110" s="84" t="s">
        <v>90</v>
      </c>
      <c r="C110" s="84"/>
      <c r="D110" s="84"/>
      <c r="E110" s="80" t="s">
        <v>91</v>
      </c>
      <c r="F110" s="80"/>
      <c r="G110" s="80"/>
      <c r="H110" s="80"/>
      <c r="I110" s="82" t="s">
        <v>92</v>
      </c>
      <c r="J110" s="82"/>
      <c r="K110" s="82"/>
      <c r="L110" s="82"/>
      <c r="M110" s="82"/>
      <c r="N110" s="82"/>
      <c r="O110" s="82"/>
      <c r="P110" s="83" t="s">
        <v>93</v>
      </c>
      <c r="Q110" s="83"/>
      <c r="R110" s="83"/>
      <c r="S110" s="83"/>
      <c r="T110" s="83"/>
      <c r="U110" s="83" t="s">
        <v>94</v>
      </c>
      <c r="V110" s="83"/>
      <c r="W110" s="83"/>
      <c r="X110" s="83"/>
      <c r="Y110" s="80" t="s">
        <v>95</v>
      </c>
      <c r="Z110" s="80"/>
      <c r="AA110" s="80"/>
      <c r="AB110" s="80" t="s">
        <v>96</v>
      </c>
      <c r="AC110" s="80"/>
      <c r="AD110" s="8" t="s">
        <v>97</v>
      </c>
      <c r="AE110" s="83" t="s">
        <v>98</v>
      </c>
      <c r="AF110" s="83"/>
      <c r="AG110" s="83"/>
      <c r="AH110" s="84" t="s">
        <v>99</v>
      </c>
      <c r="AI110" s="84"/>
      <c r="AJ110" s="84"/>
      <c r="AK110" s="84"/>
      <c r="AL110" s="83" t="s">
        <v>100</v>
      </c>
      <c r="AM110" s="83"/>
      <c r="AN110" s="83"/>
      <c r="AO110" s="83"/>
      <c r="AP110" s="2"/>
    </row>
    <row r="111" spans="1:42" ht="21" customHeight="1" x14ac:dyDescent="0.2">
      <c r="A111" s="21">
        <v>445359</v>
      </c>
      <c r="B111" s="137">
        <v>19681796</v>
      </c>
      <c r="C111" s="137"/>
      <c r="D111" s="137"/>
      <c r="E111" s="125" t="s">
        <v>176</v>
      </c>
      <c r="F111" s="125"/>
      <c r="G111" s="125"/>
      <c r="H111" s="125"/>
      <c r="I111" s="138" t="s">
        <v>117</v>
      </c>
      <c r="J111" s="138"/>
      <c r="K111" s="138"/>
      <c r="L111" s="138"/>
      <c r="M111" s="138"/>
      <c r="N111" s="138"/>
      <c r="O111" s="138"/>
      <c r="P111" s="55" t="s">
        <v>82</v>
      </c>
      <c r="Q111" s="55"/>
      <c r="R111" s="55"/>
      <c r="S111" s="55"/>
      <c r="T111" s="55"/>
      <c r="U111" s="139">
        <v>45658</v>
      </c>
      <c r="V111" s="139"/>
      <c r="W111" s="139"/>
      <c r="X111" s="139"/>
      <c r="Y111" s="54"/>
      <c r="Z111" s="54"/>
      <c r="AA111" s="54"/>
      <c r="AB111" s="54"/>
      <c r="AC111" s="54"/>
      <c r="AD111" s="23" t="s">
        <v>83</v>
      </c>
      <c r="AE111" s="127" t="s">
        <v>84</v>
      </c>
      <c r="AF111" s="127"/>
      <c r="AG111" s="127"/>
      <c r="AH111" s="127" t="s">
        <v>112</v>
      </c>
      <c r="AI111" s="127"/>
      <c r="AJ111" s="127"/>
      <c r="AK111" s="127"/>
      <c r="AL111" s="140">
        <v>313</v>
      </c>
      <c r="AM111" s="140"/>
      <c r="AN111" s="140"/>
      <c r="AO111" s="140"/>
      <c r="AP111" s="2"/>
    </row>
    <row r="112" spans="1:42" ht="13.5" customHeight="1" x14ac:dyDescent="0.2">
      <c r="A112" s="20">
        <v>445359</v>
      </c>
      <c r="B112" s="107">
        <v>19681796</v>
      </c>
      <c r="C112" s="107"/>
      <c r="D112" s="107"/>
      <c r="E112" s="96" t="s">
        <v>176</v>
      </c>
      <c r="F112" s="96"/>
      <c r="G112" s="96"/>
      <c r="H112" s="96"/>
      <c r="I112" s="141" t="s">
        <v>117</v>
      </c>
      <c r="J112" s="141"/>
      <c r="K112" s="141"/>
      <c r="L112" s="141"/>
      <c r="M112" s="141"/>
      <c r="N112" s="141"/>
      <c r="O112" s="141"/>
      <c r="P112" s="62" t="s">
        <v>82</v>
      </c>
      <c r="Q112" s="62"/>
      <c r="R112" s="62"/>
      <c r="S112" s="62"/>
      <c r="T112" s="62"/>
      <c r="U112" s="99">
        <v>45658</v>
      </c>
      <c r="V112" s="99"/>
      <c r="W112" s="99"/>
      <c r="X112" s="99"/>
      <c r="Y112" s="61"/>
      <c r="Z112" s="61"/>
      <c r="AA112" s="61"/>
      <c r="AB112" s="61"/>
      <c r="AC112" s="61"/>
      <c r="AD112" s="11" t="s">
        <v>83</v>
      </c>
      <c r="AE112" s="98" t="s">
        <v>84</v>
      </c>
      <c r="AF112" s="98"/>
      <c r="AG112" s="98"/>
      <c r="AH112" s="142" t="s">
        <v>85</v>
      </c>
      <c r="AI112" s="142"/>
      <c r="AJ112" s="142"/>
      <c r="AK112" s="142"/>
      <c r="AL112" s="143">
        <v>-313</v>
      </c>
      <c r="AM112" s="143"/>
      <c r="AN112" s="143"/>
      <c r="AO112" s="143"/>
      <c r="AP112" s="1"/>
    </row>
    <row r="113" spans="1:42" ht="26.85" customHeight="1" x14ac:dyDescent="0.2">
      <c r="A113" s="2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2"/>
      <c r="Q113" s="44"/>
      <c r="R113" s="44"/>
      <c r="S113" s="44"/>
      <c r="T113" s="132" t="s">
        <v>177</v>
      </c>
      <c r="U113" s="132"/>
      <c r="V113" s="132"/>
      <c r="W113" s="132"/>
      <c r="X113" s="132"/>
      <c r="Y113" s="132"/>
      <c r="Z113" s="132"/>
      <c r="AA113" s="2"/>
      <c r="AB113" s="44"/>
      <c r="AC113" s="44"/>
      <c r="AD113" s="2"/>
      <c r="AE113" s="44"/>
      <c r="AF113" s="44"/>
      <c r="AG113" s="44"/>
      <c r="AH113" s="44"/>
      <c r="AI113" s="44"/>
      <c r="AJ113" s="44"/>
      <c r="AK113" s="44"/>
      <c r="AL113" s="44"/>
      <c r="AM113" s="44"/>
      <c r="AN113" s="47" t="s">
        <v>178</v>
      </c>
      <c r="AO113" s="47"/>
      <c r="AP113" s="47"/>
    </row>
    <row r="114" spans="1:42" ht="12" customHeight="1" x14ac:dyDescent="0.2">
      <c r="A114" s="113" t="s">
        <v>179</v>
      </c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37"/>
      <c r="R114" s="37"/>
      <c r="S114" s="37"/>
      <c r="T114" s="132"/>
      <c r="U114" s="132"/>
      <c r="V114" s="132"/>
      <c r="W114" s="132"/>
      <c r="X114" s="132"/>
      <c r="Y114" s="132"/>
      <c r="Z114" s="132"/>
      <c r="AA114" s="1"/>
      <c r="AB114" s="37"/>
      <c r="AC114" s="37"/>
      <c r="AD114" s="1"/>
      <c r="AE114" s="37"/>
      <c r="AF114" s="37"/>
      <c r="AG114" s="37"/>
      <c r="AH114" s="37"/>
      <c r="AI114" s="37"/>
      <c r="AJ114" s="37"/>
      <c r="AK114" s="37"/>
      <c r="AL114" s="37"/>
      <c r="AM114" s="37"/>
      <c r="AN114" s="47"/>
      <c r="AO114" s="47"/>
      <c r="AP114" s="47"/>
    </row>
    <row r="115" spans="1:42" ht="6" customHeight="1" x14ac:dyDescent="0.2">
      <c r="A115" s="1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1"/>
      <c r="Q115" s="37"/>
      <c r="R115" s="37"/>
      <c r="S115" s="37"/>
      <c r="T115" s="1"/>
      <c r="U115" s="37"/>
      <c r="V115" s="37"/>
      <c r="W115" s="37"/>
      <c r="X115" s="37"/>
      <c r="Y115" s="37"/>
      <c r="Z115" s="37"/>
      <c r="AA115" s="1"/>
      <c r="AB115" s="37"/>
      <c r="AC115" s="37"/>
      <c r="AD115" s="1"/>
      <c r="AE115" s="37"/>
      <c r="AF115" s="37"/>
      <c r="AG115" s="37"/>
      <c r="AH115" s="37"/>
      <c r="AI115" s="37"/>
      <c r="AJ115" s="37"/>
      <c r="AK115" s="37"/>
      <c r="AL115" s="37"/>
      <c r="AM115" s="37"/>
      <c r="AN115" s="47"/>
      <c r="AO115" s="47"/>
      <c r="AP115" s="47"/>
    </row>
    <row r="116" spans="1:42" ht="24" customHeight="1" x14ac:dyDescent="0.2">
      <c r="A116" s="7" t="s">
        <v>39</v>
      </c>
      <c r="B116" s="80" t="s">
        <v>40</v>
      </c>
      <c r="C116" s="80"/>
      <c r="D116" s="80"/>
      <c r="E116" s="80" t="s">
        <v>41</v>
      </c>
      <c r="F116" s="80"/>
      <c r="G116" s="80"/>
      <c r="H116" s="80"/>
      <c r="I116" s="82" t="s">
        <v>42</v>
      </c>
      <c r="J116" s="82"/>
      <c r="K116" s="82"/>
      <c r="L116" s="82"/>
      <c r="M116" s="82"/>
      <c r="N116" s="82"/>
      <c r="O116" s="82"/>
      <c r="P116" s="83" t="s">
        <v>43</v>
      </c>
      <c r="Q116" s="83"/>
      <c r="R116" s="83"/>
      <c r="S116" s="83"/>
      <c r="T116" s="83"/>
      <c r="U116" s="83" t="s">
        <v>44</v>
      </c>
      <c r="V116" s="83"/>
      <c r="W116" s="83"/>
      <c r="X116" s="83"/>
      <c r="Y116" s="80" t="s">
        <v>45</v>
      </c>
      <c r="Z116" s="80"/>
      <c r="AA116" s="80"/>
      <c r="AB116" s="80" t="s">
        <v>46</v>
      </c>
      <c r="AC116" s="80"/>
      <c r="AD116" s="8" t="s">
        <v>47</v>
      </c>
      <c r="AE116" s="83" t="s">
        <v>48</v>
      </c>
      <c r="AF116" s="83"/>
      <c r="AG116" s="83"/>
      <c r="AH116" s="84" t="s">
        <v>49</v>
      </c>
      <c r="AI116" s="84"/>
      <c r="AJ116" s="84"/>
      <c r="AK116" s="84"/>
      <c r="AL116" s="83" t="s">
        <v>50</v>
      </c>
      <c r="AM116" s="83"/>
      <c r="AN116" s="83"/>
      <c r="AO116" s="83"/>
      <c r="AP116" s="2"/>
    </row>
    <row r="117" spans="1:42" ht="21.95" customHeight="1" x14ac:dyDescent="0.2">
      <c r="A117" s="29">
        <v>445779</v>
      </c>
      <c r="B117" s="50">
        <v>19645587</v>
      </c>
      <c r="C117" s="50"/>
      <c r="D117" s="50"/>
      <c r="E117" s="135" t="s">
        <v>180</v>
      </c>
      <c r="F117" s="135"/>
      <c r="G117" s="135"/>
      <c r="H117" s="135"/>
      <c r="I117" s="52" t="s">
        <v>181</v>
      </c>
      <c r="J117" s="52"/>
      <c r="K117" s="52"/>
      <c r="L117" s="52"/>
      <c r="M117" s="52"/>
      <c r="N117" s="52"/>
      <c r="O117" s="52"/>
      <c r="P117" s="55" t="s">
        <v>182</v>
      </c>
      <c r="Q117" s="55"/>
      <c r="R117" s="55"/>
      <c r="S117" s="55"/>
      <c r="T117" s="55"/>
      <c r="U117" s="136">
        <v>45658</v>
      </c>
      <c r="V117" s="136"/>
      <c r="W117" s="136"/>
      <c r="X117" s="136"/>
      <c r="Y117" s="54"/>
      <c r="Z117" s="54"/>
      <c r="AA117" s="54"/>
      <c r="AB117" s="54"/>
      <c r="AC117" s="54"/>
      <c r="AD117" s="22" t="s">
        <v>183</v>
      </c>
      <c r="AE117" s="55" t="s">
        <v>184</v>
      </c>
      <c r="AF117" s="55"/>
      <c r="AG117" s="55"/>
      <c r="AH117" s="55" t="s">
        <v>185</v>
      </c>
      <c r="AI117" s="55"/>
      <c r="AJ117" s="55"/>
      <c r="AK117" s="55"/>
      <c r="AL117" s="56">
        <v>313</v>
      </c>
      <c r="AM117" s="56"/>
      <c r="AN117" s="56"/>
      <c r="AO117" s="56"/>
      <c r="AP117" s="2"/>
    </row>
    <row r="118" spans="1:42" ht="12" customHeight="1" x14ac:dyDescent="0.2">
      <c r="A118" s="30">
        <v>445779</v>
      </c>
      <c r="B118" s="57">
        <v>19645587</v>
      </c>
      <c r="C118" s="57"/>
      <c r="D118" s="57"/>
      <c r="E118" s="87" t="s">
        <v>186</v>
      </c>
      <c r="F118" s="87"/>
      <c r="G118" s="87"/>
      <c r="H118" s="87"/>
      <c r="I118" s="59" t="s">
        <v>181</v>
      </c>
      <c r="J118" s="59"/>
      <c r="K118" s="59"/>
      <c r="L118" s="59"/>
      <c r="M118" s="59"/>
      <c r="N118" s="59"/>
      <c r="O118" s="59"/>
      <c r="P118" s="62" t="s">
        <v>182</v>
      </c>
      <c r="Q118" s="62"/>
      <c r="R118" s="62"/>
      <c r="S118" s="62"/>
      <c r="T118" s="62"/>
      <c r="U118" s="130">
        <v>45658</v>
      </c>
      <c r="V118" s="130"/>
      <c r="W118" s="130"/>
      <c r="X118" s="130"/>
      <c r="Y118" s="61"/>
      <c r="Z118" s="61"/>
      <c r="AA118" s="61"/>
      <c r="AB118" s="61"/>
      <c r="AC118" s="61"/>
      <c r="AD118" s="16" t="s">
        <v>183</v>
      </c>
      <c r="AE118" s="62" t="s">
        <v>187</v>
      </c>
      <c r="AF118" s="62"/>
      <c r="AG118" s="62"/>
      <c r="AH118" s="62" t="s">
        <v>59</v>
      </c>
      <c r="AI118" s="62"/>
      <c r="AJ118" s="62"/>
      <c r="AK118" s="62"/>
      <c r="AL118" s="131">
        <v>-313</v>
      </c>
      <c r="AM118" s="131"/>
      <c r="AN118" s="131"/>
      <c r="AO118" s="131"/>
      <c r="AP118" s="1"/>
    </row>
    <row r="119" spans="1:42" ht="21.95" customHeight="1" x14ac:dyDescent="0.2">
      <c r="A119" s="31">
        <v>448295</v>
      </c>
      <c r="B119" s="76">
        <v>19645587</v>
      </c>
      <c r="C119" s="76"/>
      <c r="D119" s="76"/>
      <c r="E119" s="91" t="s">
        <v>188</v>
      </c>
      <c r="F119" s="91"/>
      <c r="G119" s="91"/>
      <c r="H119" s="91"/>
      <c r="I119" s="42" t="s">
        <v>181</v>
      </c>
      <c r="J119" s="42"/>
      <c r="K119" s="42"/>
      <c r="L119" s="42"/>
      <c r="M119" s="42"/>
      <c r="N119" s="42"/>
      <c r="O119" s="42"/>
      <c r="P119" s="45" t="s">
        <v>189</v>
      </c>
      <c r="Q119" s="45"/>
      <c r="R119" s="45"/>
      <c r="S119" s="45"/>
      <c r="T119" s="45"/>
      <c r="U119" s="134">
        <v>45658</v>
      </c>
      <c r="V119" s="134"/>
      <c r="W119" s="134"/>
      <c r="X119" s="134"/>
      <c r="Y119" s="44"/>
      <c r="Z119" s="44"/>
      <c r="AA119" s="44"/>
      <c r="AB119" s="44"/>
      <c r="AC119" s="44"/>
      <c r="AD119" s="14" t="s">
        <v>183</v>
      </c>
      <c r="AE119" s="45" t="s">
        <v>190</v>
      </c>
      <c r="AF119" s="45"/>
      <c r="AG119" s="45"/>
      <c r="AH119" s="45" t="s">
        <v>191</v>
      </c>
      <c r="AI119" s="45"/>
      <c r="AJ119" s="45"/>
      <c r="AK119" s="45"/>
      <c r="AL119" s="46">
        <v>626</v>
      </c>
      <c r="AM119" s="46"/>
      <c r="AN119" s="46"/>
      <c r="AO119" s="46"/>
      <c r="AP119" s="2"/>
    </row>
    <row r="120" spans="1:42" ht="12" customHeight="1" x14ac:dyDescent="0.2">
      <c r="A120" s="30">
        <v>448295</v>
      </c>
      <c r="B120" s="57">
        <v>19645587</v>
      </c>
      <c r="C120" s="57"/>
      <c r="D120" s="57"/>
      <c r="E120" s="87" t="s">
        <v>188</v>
      </c>
      <c r="F120" s="87"/>
      <c r="G120" s="87"/>
      <c r="H120" s="87"/>
      <c r="I120" s="59" t="s">
        <v>181</v>
      </c>
      <c r="J120" s="59"/>
      <c r="K120" s="59"/>
      <c r="L120" s="59"/>
      <c r="M120" s="59"/>
      <c r="N120" s="59"/>
      <c r="O120" s="59"/>
      <c r="P120" s="62" t="s">
        <v>192</v>
      </c>
      <c r="Q120" s="62"/>
      <c r="R120" s="62"/>
      <c r="S120" s="62"/>
      <c r="T120" s="62"/>
      <c r="U120" s="130">
        <v>45658</v>
      </c>
      <c r="V120" s="130"/>
      <c r="W120" s="130"/>
      <c r="X120" s="130"/>
      <c r="Y120" s="61"/>
      <c r="Z120" s="61"/>
      <c r="AA120" s="61"/>
      <c r="AB120" s="61"/>
      <c r="AC120" s="61"/>
      <c r="AD120" s="16" t="s">
        <v>183</v>
      </c>
      <c r="AE120" s="62" t="s">
        <v>193</v>
      </c>
      <c r="AF120" s="62"/>
      <c r="AG120" s="62"/>
      <c r="AH120" s="62" t="s">
        <v>59</v>
      </c>
      <c r="AI120" s="62"/>
      <c r="AJ120" s="62"/>
      <c r="AK120" s="62"/>
      <c r="AL120" s="131">
        <v>-626</v>
      </c>
      <c r="AM120" s="131"/>
      <c r="AN120" s="131"/>
      <c r="AO120" s="131"/>
      <c r="AP120" s="1"/>
    </row>
    <row r="121" spans="1:42" ht="21.95" customHeight="1" x14ac:dyDescent="0.2">
      <c r="A121" s="31">
        <v>439914</v>
      </c>
      <c r="B121" s="40">
        <v>19645587</v>
      </c>
      <c r="C121" s="40"/>
      <c r="D121" s="40"/>
      <c r="E121" s="91" t="s">
        <v>194</v>
      </c>
      <c r="F121" s="91"/>
      <c r="G121" s="91"/>
      <c r="H121" s="91"/>
      <c r="I121" s="42" t="s">
        <v>181</v>
      </c>
      <c r="J121" s="42"/>
      <c r="K121" s="42"/>
      <c r="L121" s="42"/>
      <c r="M121" s="42"/>
      <c r="N121" s="42"/>
      <c r="O121" s="42"/>
      <c r="P121" s="45" t="s">
        <v>182</v>
      </c>
      <c r="Q121" s="45"/>
      <c r="R121" s="45"/>
      <c r="S121" s="45"/>
      <c r="T121" s="45"/>
      <c r="U121" s="133">
        <v>45658</v>
      </c>
      <c r="V121" s="133"/>
      <c r="W121" s="133"/>
      <c r="X121" s="133"/>
      <c r="Y121" s="44"/>
      <c r="Z121" s="44"/>
      <c r="AA121" s="44"/>
      <c r="AB121" s="44"/>
      <c r="AC121" s="44"/>
      <c r="AD121" s="14" t="s">
        <v>183</v>
      </c>
      <c r="AE121" s="45" t="s">
        <v>184</v>
      </c>
      <c r="AF121" s="45"/>
      <c r="AG121" s="45"/>
      <c r="AH121" s="45" t="s">
        <v>185</v>
      </c>
      <c r="AI121" s="45"/>
      <c r="AJ121" s="45"/>
      <c r="AK121" s="45"/>
      <c r="AL121" s="46">
        <v>313</v>
      </c>
      <c r="AM121" s="46"/>
      <c r="AN121" s="46"/>
      <c r="AO121" s="46"/>
      <c r="AP121" s="2"/>
    </row>
    <row r="122" spans="1:42" ht="12.75" customHeight="1" x14ac:dyDescent="0.2">
      <c r="A122" s="30">
        <v>439914</v>
      </c>
      <c r="B122" s="74">
        <v>19645587</v>
      </c>
      <c r="C122" s="74"/>
      <c r="D122" s="74"/>
      <c r="E122" s="87" t="s">
        <v>194</v>
      </c>
      <c r="F122" s="87"/>
      <c r="G122" s="87"/>
      <c r="H122" s="87"/>
      <c r="I122" s="59" t="s">
        <v>195</v>
      </c>
      <c r="J122" s="59"/>
      <c r="K122" s="59"/>
      <c r="L122" s="59"/>
      <c r="M122" s="59"/>
      <c r="N122" s="59"/>
      <c r="O122" s="59"/>
      <c r="P122" s="62" t="s">
        <v>196</v>
      </c>
      <c r="Q122" s="62"/>
      <c r="R122" s="62"/>
      <c r="S122" s="62"/>
      <c r="T122" s="62"/>
      <c r="U122" s="130">
        <v>45658</v>
      </c>
      <c r="V122" s="130"/>
      <c r="W122" s="130"/>
      <c r="X122" s="130"/>
      <c r="Y122" s="61"/>
      <c r="Z122" s="61"/>
      <c r="AA122" s="61"/>
      <c r="AB122" s="61"/>
      <c r="AC122" s="61"/>
      <c r="AD122" s="16" t="s">
        <v>183</v>
      </c>
      <c r="AE122" s="62" t="s">
        <v>184</v>
      </c>
      <c r="AF122" s="62"/>
      <c r="AG122" s="62"/>
      <c r="AH122" s="62" t="s">
        <v>59</v>
      </c>
      <c r="AI122" s="62"/>
      <c r="AJ122" s="62"/>
      <c r="AK122" s="62"/>
      <c r="AL122" s="131">
        <v>-313</v>
      </c>
      <c r="AM122" s="131"/>
      <c r="AN122" s="131"/>
      <c r="AO122" s="131"/>
      <c r="AP122" s="1"/>
    </row>
    <row r="123" spans="1:42" ht="27.75" customHeight="1" x14ac:dyDescent="0.2">
      <c r="A123" s="2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132" t="s">
        <v>197</v>
      </c>
      <c r="U123" s="132"/>
      <c r="V123" s="132"/>
      <c r="W123" s="132"/>
      <c r="X123" s="132"/>
      <c r="Y123" s="132"/>
      <c r="Z123" s="132"/>
      <c r="AA123" s="2"/>
      <c r="AB123" s="44"/>
      <c r="AC123" s="44"/>
      <c r="AD123" s="2"/>
      <c r="AE123" s="44"/>
      <c r="AF123" s="44"/>
      <c r="AG123" s="44"/>
      <c r="AH123" s="44"/>
      <c r="AI123" s="44"/>
      <c r="AJ123" s="44"/>
      <c r="AK123" s="44"/>
      <c r="AL123" s="44"/>
      <c r="AM123" s="44"/>
      <c r="AN123" s="47" t="s">
        <v>198</v>
      </c>
      <c r="AO123" s="47"/>
      <c r="AP123" s="47"/>
    </row>
    <row r="124" spans="1:42" ht="12" customHeight="1" x14ac:dyDescent="0.2">
      <c r="A124" s="112" t="s">
        <v>199</v>
      </c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37"/>
      <c r="S124" s="37"/>
      <c r="T124" s="132"/>
      <c r="U124" s="132"/>
      <c r="V124" s="132"/>
      <c r="W124" s="132"/>
      <c r="X124" s="132"/>
      <c r="Y124" s="132"/>
      <c r="Z124" s="132"/>
      <c r="AA124" s="1"/>
      <c r="AB124" s="37"/>
      <c r="AC124" s="37"/>
      <c r="AD124" s="1"/>
      <c r="AE124" s="37"/>
      <c r="AF124" s="37"/>
      <c r="AG124" s="37"/>
      <c r="AH124" s="37"/>
      <c r="AI124" s="37"/>
      <c r="AJ124" s="37"/>
      <c r="AK124" s="37"/>
      <c r="AL124" s="37"/>
      <c r="AM124" s="37"/>
      <c r="AN124" s="47"/>
      <c r="AO124" s="47"/>
      <c r="AP124" s="47"/>
    </row>
    <row r="125" spans="1:42" ht="6" customHeight="1" x14ac:dyDescent="0.2">
      <c r="A125" s="1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1"/>
      <c r="U125" s="37"/>
      <c r="V125" s="37"/>
      <c r="W125" s="37"/>
      <c r="X125" s="37"/>
      <c r="Y125" s="37"/>
      <c r="Z125" s="37"/>
      <c r="AA125" s="1"/>
      <c r="AB125" s="37"/>
      <c r="AC125" s="37"/>
      <c r="AD125" s="1"/>
      <c r="AE125" s="37"/>
      <c r="AF125" s="37"/>
      <c r="AG125" s="37"/>
      <c r="AH125" s="37"/>
      <c r="AI125" s="37"/>
      <c r="AJ125" s="37"/>
      <c r="AK125" s="37"/>
      <c r="AL125" s="37"/>
      <c r="AM125" s="37"/>
      <c r="AN125" s="47"/>
      <c r="AO125" s="47"/>
      <c r="AP125" s="47"/>
    </row>
    <row r="126" spans="1:42" ht="24" customHeight="1" x14ac:dyDescent="0.2">
      <c r="A126" s="7" t="s">
        <v>39</v>
      </c>
      <c r="B126" s="84" t="s">
        <v>40</v>
      </c>
      <c r="C126" s="84"/>
      <c r="D126" s="84"/>
      <c r="E126" s="80" t="s">
        <v>41</v>
      </c>
      <c r="F126" s="80"/>
      <c r="G126" s="80"/>
      <c r="H126" s="80"/>
      <c r="I126" s="82" t="s">
        <v>42</v>
      </c>
      <c r="J126" s="82"/>
      <c r="K126" s="82"/>
      <c r="L126" s="82"/>
      <c r="M126" s="82"/>
      <c r="N126" s="82"/>
      <c r="O126" s="82"/>
      <c r="P126" s="83" t="s">
        <v>43</v>
      </c>
      <c r="Q126" s="83"/>
      <c r="R126" s="83"/>
      <c r="S126" s="83"/>
      <c r="T126" s="83"/>
      <c r="U126" s="83" t="s">
        <v>44</v>
      </c>
      <c r="V126" s="83"/>
      <c r="W126" s="83"/>
      <c r="X126" s="83"/>
      <c r="Y126" s="80" t="s">
        <v>45</v>
      </c>
      <c r="Z126" s="80"/>
      <c r="AA126" s="80"/>
      <c r="AB126" s="80" t="s">
        <v>46</v>
      </c>
      <c r="AC126" s="80"/>
      <c r="AD126" s="8" t="s">
        <v>47</v>
      </c>
      <c r="AE126" s="83" t="s">
        <v>48</v>
      </c>
      <c r="AF126" s="83"/>
      <c r="AG126" s="83"/>
      <c r="AH126" s="84" t="s">
        <v>49</v>
      </c>
      <c r="AI126" s="84"/>
      <c r="AJ126" s="84"/>
      <c r="AK126" s="84"/>
      <c r="AL126" s="83" t="s">
        <v>50</v>
      </c>
      <c r="AM126" s="83"/>
      <c r="AN126" s="83"/>
      <c r="AO126" s="83"/>
      <c r="AP126" s="2"/>
    </row>
    <row r="127" spans="1:42" ht="21.95" customHeight="1" x14ac:dyDescent="0.2">
      <c r="A127" s="27">
        <v>444055</v>
      </c>
      <c r="B127" s="124">
        <v>19615078</v>
      </c>
      <c r="C127" s="124"/>
      <c r="D127" s="124"/>
      <c r="E127" s="125" t="s">
        <v>200</v>
      </c>
      <c r="F127" s="125"/>
      <c r="G127" s="125"/>
      <c r="H127" s="125"/>
      <c r="I127" s="126" t="s">
        <v>52</v>
      </c>
      <c r="J127" s="126"/>
      <c r="K127" s="126"/>
      <c r="L127" s="126"/>
      <c r="M127" s="126"/>
      <c r="N127" s="126"/>
      <c r="O127" s="126"/>
      <c r="P127" s="127" t="s">
        <v>32</v>
      </c>
      <c r="Q127" s="127"/>
      <c r="R127" s="127"/>
      <c r="S127" s="127"/>
      <c r="T127" s="127"/>
      <c r="U127" s="128">
        <v>45658</v>
      </c>
      <c r="V127" s="128"/>
      <c r="W127" s="128"/>
      <c r="X127" s="128"/>
      <c r="Y127" s="54"/>
      <c r="Z127" s="54"/>
      <c r="AA127" s="54"/>
      <c r="AB127" s="54"/>
      <c r="AC127" s="54"/>
      <c r="AD127" s="23" t="s">
        <v>57</v>
      </c>
      <c r="AE127" s="127" t="s">
        <v>63</v>
      </c>
      <c r="AF127" s="127"/>
      <c r="AG127" s="127"/>
      <c r="AH127" s="127" t="s">
        <v>55</v>
      </c>
      <c r="AI127" s="127"/>
      <c r="AJ127" s="127"/>
      <c r="AK127" s="127"/>
      <c r="AL127" s="129">
        <v>313</v>
      </c>
      <c r="AM127" s="129"/>
      <c r="AN127" s="129"/>
      <c r="AO127" s="129"/>
      <c r="AP127" s="2"/>
    </row>
    <row r="128" spans="1:42" ht="12.75" customHeight="1" x14ac:dyDescent="0.2">
      <c r="A128" s="10">
        <v>444055</v>
      </c>
      <c r="B128" s="114">
        <v>19615078</v>
      </c>
      <c r="C128" s="114"/>
      <c r="D128" s="114"/>
      <c r="E128" s="96" t="s">
        <v>200</v>
      </c>
      <c r="F128" s="96"/>
      <c r="G128" s="96"/>
      <c r="H128" s="96"/>
      <c r="I128" s="115" t="s">
        <v>52</v>
      </c>
      <c r="J128" s="115"/>
      <c r="K128" s="115"/>
      <c r="L128" s="115"/>
      <c r="M128" s="115"/>
      <c r="N128" s="115"/>
      <c r="O128" s="115"/>
      <c r="P128" s="98" t="s">
        <v>32</v>
      </c>
      <c r="Q128" s="98"/>
      <c r="R128" s="98"/>
      <c r="S128" s="98"/>
      <c r="T128" s="98"/>
      <c r="U128" s="116">
        <v>45658</v>
      </c>
      <c r="V128" s="116"/>
      <c r="W128" s="116"/>
      <c r="X128" s="116"/>
      <c r="Y128" s="61"/>
      <c r="Z128" s="61"/>
      <c r="AA128" s="61"/>
      <c r="AB128" s="61"/>
      <c r="AC128" s="61"/>
      <c r="AD128" s="11" t="s">
        <v>57</v>
      </c>
      <c r="AE128" s="98" t="s">
        <v>58</v>
      </c>
      <c r="AF128" s="98"/>
      <c r="AG128" s="98"/>
      <c r="AH128" s="62" t="s">
        <v>59</v>
      </c>
      <c r="AI128" s="62"/>
      <c r="AJ128" s="62"/>
      <c r="AK128" s="62"/>
      <c r="AL128" s="117">
        <v>-313</v>
      </c>
      <c r="AM128" s="117"/>
      <c r="AN128" s="117"/>
      <c r="AO128" s="117"/>
      <c r="AP128" s="1"/>
    </row>
    <row r="129" spans="1:42" ht="21.95" customHeight="1" x14ac:dyDescent="0.2">
      <c r="A129" s="12">
        <v>445830</v>
      </c>
      <c r="B129" s="122">
        <v>19615078</v>
      </c>
      <c r="C129" s="122"/>
      <c r="D129" s="122"/>
      <c r="E129" s="102" t="s">
        <v>201</v>
      </c>
      <c r="F129" s="102"/>
      <c r="G129" s="102"/>
      <c r="H129" s="102"/>
      <c r="I129" s="119" t="s">
        <v>52</v>
      </c>
      <c r="J129" s="119"/>
      <c r="K129" s="119"/>
      <c r="L129" s="119"/>
      <c r="M129" s="119"/>
      <c r="N129" s="119"/>
      <c r="O129" s="119"/>
      <c r="P129" s="104" t="s">
        <v>32</v>
      </c>
      <c r="Q129" s="104"/>
      <c r="R129" s="104"/>
      <c r="S129" s="104"/>
      <c r="T129" s="104"/>
      <c r="U129" s="123">
        <v>45658</v>
      </c>
      <c r="V129" s="123"/>
      <c r="W129" s="123"/>
      <c r="X129" s="123"/>
      <c r="Y129" s="44"/>
      <c r="Z129" s="44"/>
      <c r="AA129" s="44"/>
      <c r="AB129" s="44"/>
      <c r="AC129" s="44"/>
      <c r="AD129" s="13" t="s">
        <v>61</v>
      </c>
      <c r="AE129" s="104" t="s">
        <v>58</v>
      </c>
      <c r="AF129" s="104"/>
      <c r="AG129" s="104"/>
      <c r="AH129" s="104" t="s">
        <v>171</v>
      </c>
      <c r="AI129" s="104"/>
      <c r="AJ129" s="104"/>
      <c r="AK129" s="104"/>
      <c r="AL129" s="121">
        <v>313</v>
      </c>
      <c r="AM129" s="121"/>
      <c r="AN129" s="121"/>
      <c r="AO129" s="121"/>
      <c r="AP129" s="2"/>
    </row>
    <row r="130" spans="1:42" ht="12.75" customHeight="1" x14ac:dyDescent="0.2">
      <c r="A130" s="10">
        <v>445830</v>
      </c>
      <c r="B130" s="114">
        <v>19615078</v>
      </c>
      <c r="C130" s="114"/>
      <c r="D130" s="114"/>
      <c r="E130" s="96" t="s">
        <v>201</v>
      </c>
      <c r="F130" s="96"/>
      <c r="G130" s="96"/>
      <c r="H130" s="96"/>
      <c r="I130" s="115" t="s">
        <v>52</v>
      </c>
      <c r="J130" s="115"/>
      <c r="K130" s="115"/>
      <c r="L130" s="115"/>
      <c r="M130" s="115"/>
      <c r="N130" s="115"/>
      <c r="O130" s="115"/>
      <c r="P130" s="98" t="s">
        <v>32</v>
      </c>
      <c r="Q130" s="98"/>
      <c r="R130" s="98"/>
      <c r="S130" s="98"/>
      <c r="T130" s="98"/>
      <c r="U130" s="116">
        <v>45658</v>
      </c>
      <c r="V130" s="116"/>
      <c r="W130" s="116"/>
      <c r="X130" s="116"/>
      <c r="Y130" s="61"/>
      <c r="Z130" s="61"/>
      <c r="AA130" s="61"/>
      <c r="AB130" s="61"/>
      <c r="AC130" s="61"/>
      <c r="AD130" s="11" t="s">
        <v>57</v>
      </c>
      <c r="AE130" s="98" t="s">
        <v>63</v>
      </c>
      <c r="AF130" s="98"/>
      <c r="AG130" s="98"/>
      <c r="AH130" s="62" t="s">
        <v>59</v>
      </c>
      <c r="AI130" s="62"/>
      <c r="AJ130" s="62"/>
      <c r="AK130" s="62"/>
      <c r="AL130" s="117">
        <v>-313</v>
      </c>
      <c r="AM130" s="117"/>
      <c r="AN130" s="117"/>
      <c r="AO130" s="117"/>
      <c r="AP130" s="1"/>
    </row>
    <row r="131" spans="1:42" ht="27" customHeight="1" x14ac:dyDescent="0.2">
      <c r="A131" s="12">
        <v>444931</v>
      </c>
      <c r="B131" s="118">
        <v>19615078</v>
      </c>
      <c r="C131" s="118"/>
      <c r="D131" s="118"/>
      <c r="E131" s="102" t="s">
        <v>202</v>
      </c>
      <c r="F131" s="102"/>
      <c r="G131" s="102"/>
      <c r="H131" s="102"/>
      <c r="I131" s="119" t="s">
        <v>52</v>
      </c>
      <c r="J131" s="119"/>
      <c r="K131" s="119"/>
      <c r="L131" s="119"/>
      <c r="M131" s="119"/>
      <c r="N131" s="119"/>
      <c r="O131" s="119"/>
      <c r="P131" s="104" t="s">
        <v>32</v>
      </c>
      <c r="Q131" s="104"/>
      <c r="R131" s="104"/>
      <c r="S131" s="104"/>
      <c r="T131" s="104"/>
      <c r="U131" s="120">
        <v>45689</v>
      </c>
      <c r="V131" s="120"/>
      <c r="W131" s="120"/>
      <c r="X131" s="120"/>
      <c r="Y131" s="44"/>
      <c r="Z131" s="44"/>
      <c r="AA131" s="44"/>
      <c r="AB131" s="44"/>
      <c r="AC131" s="44"/>
      <c r="AD131" s="13" t="s">
        <v>53</v>
      </c>
      <c r="AE131" s="104" t="s">
        <v>63</v>
      </c>
      <c r="AF131" s="104"/>
      <c r="AG131" s="104"/>
      <c r="AH131" s="104" t="s">
        <v>55</v>
      </c>
      <c r="AI131" s="104"/>
      <c r="AJ131" s="104"/>
      <c r="AK131" s="104"/>
      <c r="AL131" s="121">
        <v>286.92</v>
      </c>
      <c r="AM131" s="121"/>
      <c r="AN131" s="121"/>
      <c r="AO131" s="121"/>
      <c r="AP131" s="2"/>
    </row>
    <row r="132" spans="1:42" ht="18.600000000000001" customHeight="1" x14ac:dyDescent="0.2">
      <c r="A132" s="2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2"/>
      <c r="Q132" s="44"/>
      <c r="R132" s="44"/>
      <c r="S132" s="44"/>
      <c r="T132" s="47" t="s">
        <v>203</v>
      </c>
      <c r="U132" s="47"/>
      <c r="V132" s="47"/>
      <c r="W132" s="47"/>
      <c r="X132" s="47"/>
      <c r="Y132" s="47"/>
      <c r="Z132" s="47"/>
      <c r="AA132" s="2"/>
      <c r="AB132" s="44"/>
      <c r="AC132" s="44"/>
      <c r="AD132" s="2"/>
      <c r="AE132" s="44"/>
      <c r="AF132" s="44"/>
      <c r="AG132" s="44"/>
      <c r="AH132" s="44"/>
      <c r="AI132" s="44"/>
      <c r="AJ132" s="44"/>
      <c r="AK132" s="44"/>
      <c r="AL132" s="2"/>
      <c r="AM132" s="47" t="s">
        <v>204</v>
      </c>
      <c r="AN132" s="47"/>
      <c r="AO132" s="47"/>
      <c r="AP132" s="47"/>
    </row>
    <row r="133" spans="1:42" ht="12" customHeight="1" x14ac:dyDescent="0.2">
      <c r="A133" s="113" t="s">
        <v>205</v>
      </c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37"/>
      <c r="R133" s="37"/>
      <c r="S133" s="37"/>
      <c r="T133" s="47"/>
      <c r="U133" s="47"/>
      <c r="V133" s="47"/>
      <c r="W133" s="47"/>
      <c r="X133" s="47"/>
      <c r="Y133" s="47"/>
      <c r="Z133" s="47"/>
      <c r="AA133" s="1"/>
      <c r="AB133" s="37"/>
      <c r="AC133" s="37"/>
      <c r="AD133" s="1"/>
      <c r="AE133" s="37"/>
      <c r="AF133" s="37"/>
      <c r="AG133" s="37"/>
      <c r="AH133" s="37"/>
      <c r="AI133" s="37"/>
      <c r="AJ133" s="37"/>
      <c r="AK133" s="37"/>
      <c r="AL133" s="1"/>
      <c r="AM133" s="47"/>
      <c r="AN133" s="47"/>
      <c r="AO133" s="47"/>
      <c r="AP133" s="47"/>
    </row>
    <row r="134" spans="1:42" ht="6" customHeight="1" x14ac:dyDescent="0.2">
      <c r="A134" s="1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1"/>
      <c r="Q134" s="37"/>
      <c r="R134" s="37"/>
      <c r="S134" s="37"/>
      <c r="T134" s="1"/>
      <c r="U134" s="37"/>
      <c r="V134" s="37"/>
      <c r="W134" s="37"/>
      <c r="X134" s="37"/>
      <c r="Y134" s="37"/>
      <c r="Z134" s="37"/>
      <c r="AA134" s="1"/>
      <c r="AB134" s="37"/>
      <c r="AC134" s="37"/>
      <c r="AD134" s="1"/>
      <c r="AE134" s="37"/>
      <c r="AF134" s="37"/>
      <c r="AG134" s="37"/>
      <c r="AH134" s="37"/>
      <c r="AI134" s="37"/>
      <c r="AJ134" s="37"/>
      <c r="AK134" s="37"/>
      <c r="AL134" s="1"/>
      <c r="AM134" s="47"/>
      <c r="AN134" s="47"/>
      <c r="AO134" s="47"/>
      <c r="AP134" s="47"/>
    </row>
    <row r="135" spans="1:42" ht="24" customHeight="1" x14ac:dyDescent="0.2">
      <c r="A135" s="17" t="s">
        <v>89</v>
      </c>
      <c r="B135" s="84" t="s">
        <v>90</v>
      </c>
      <c r="C135" s="84"/>
      <c r="D135" s="84"/>
      <c r="E135" s="80" t="s">
        <v>91</v>
      </c>
      <c r="F135" s="80"/>
      <c r="G135" s="80"/>
      <c r="H135" s="80"/>
      <c r="I135" s="82" t="s">
        <v>92</v>
      </c>
      <c r="J135" s="82"/>
      <c r="K135" s="82"/>
      <c r="L135" s="82"/>
      <c r="M135" s="82"/>
      <c r="N135" s="82"/>
      <c r="O135" s="82"/>
      <c r="P135" s="83" t="s">
        <v>93</v>
      </c>
      <c r="Q135" s="83"/>
      <c r="R135" s="83"/>
      <c r="S135" s="83"/>
      <c r="T135" s="83"/>
      <c r="U135" s="83" t="s">
        <v>94</v>
      </c>
      <c r="V135" s="83"/>
      <c r="W135" s="83"/>
      <c r="X135" s="83"/>
      <c r="Y135" s="80" t="s">
        <v>95</v>
      </c>
      <c r="Z135" s="80"/>
      <c r="AA135" s="80"/>
      <c r="AB135" s="80" t="s">
        <v>96</v>
      </c>
      <c r="AC135" s="80"/>
      <c r="AD135" s="8" t="s">
        <v>97</v>
      </c>
      <c r="AE135" s="83" t="s">
        <v>98</v>
      </c>
      <c r="AF135" s="83"/>
      <c r="AG135" s="83"/>
      <c r="AH135" s="84" t="s">
        <v>99</v>
      </c>
      <c r="AI135" s="84"/>
      <c r="AJ135" s="84"/>
      <c r="AK135" s="84"/>
      <c r="AL135" s="83" t="s">
        <v>100</v>
      </c>
      <c r="AM135" s="83"/>
      <c r="AN135" s="83"/>
      <c r="AO135" s="83"/>
      <c r="AP135" s="2"/>
    </row>
    <row r="136" spans="1:42" ht="5.25" customHeight="1" x14ac:dyDescent="0.2">
      <c r="A136" s="9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9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1"/>
    </row>
    <row r="137" spans="1:42" ht="12" customHeight="1" x14ac:dyDescent="0.2">
      <c r="A137" s="20">
        <v>443966</v>
      </c>
      <c r="B137" s="107">
        <v>19481808</v>
      </c>
      <c r="C137" s="107"/>
      <c r="D137" s="107"/>
      <c r="E137" s="96" t="s">
        <v>116</v>
      </c>
      <c r="F137" s="96"/>
      <c r="G137" s="96"/>
      <c r="H137" s="96"/>
      <c r="I137" s="97" t="s">
        <v>81</v>
      </c>
      <c r="J137" s="97"/>
      <c r="K137" s="97"/>
      <c r="L137" s="97"/>
      <c r="M137" s="97"/>
      <c r="N137" s="97"/>
      <c r="O137" s="97"/>
      <c r="P137" s="98" t="s">
        <v>125</v>
      </c>
      <c r="Q137" s="98"/>
      <c r="R137" s="98"/>
      <c r="S137" s="98"/>
      <c r="T137" s="98"/>
      <c r="U137" s="99">
        <v>45658</v>
      </c>
      <c r="V137" s="99"/>
      <c r="W137" s="99"/>
      <c r="X137" s="99"/>
      <c r="Y137" s="61"/>
      <c r="Z137" s="61"/>
      <c r="AA137" s="61"/>
      <c r="AB137" s="61"/>
      <c r="AC137" s="61"/>
      <c r="AD137" s="11" t="s">
        <v>83</v>
      </c>
      <c r="AE137" s="98" t="s">
        <v>84</v>
      </c>
      <c r="AF137" s="98"/>
      <c r="AG137" s="98"/>
      <c r="AH137" s="98" t="s">
        <v>112</v>
      </c>
      <c r="AI137" s="98"/>
      <c r="AJ137" s="98"/>
      <c r="AK137" s="98"/>
      <c r="AL137" s="108">
        <v>313</v>
      </c>
      <c r="AM137" s="108"/>
      <c r="AN137" s="108"/>
      <c r="AO137" s="108"/>
      <c r="AP137" s="1"/>
    </row>
    <row r="138" spans="1:42" ht="26.1" customHeight="1" x14ac:dyDescent="0.2">
      <c r="A138" s="24">
        <v>443966</v>
      </c>
      <c r="B138" s="109">
        <v>19481808</v>
      </c>
      <c r="C138" s="109"/>
      <c r="D138" s="109"/>
      <c r="E138" s="102" t="s">
        <v>206</v>
      </c>
      <c r="F138" s="102"/>
      <c r="G138" s="102"/>
      <c r="H138" s="102"/>
      <c r="I138" s="103" t="s">
        <v>81</v>
      </c>
      <c r="J138" s="103"/>
      <c r="K138" s="103"/>
      <c r="L138" s="103"/>
      <c r="M138" s="103"/>
      <c r="N138" s="103"/>
      <c r="O138" s="103"/>
      <c r="P138" s="104" t="s">
        <v>125</v>
      </c>
      <c r="Q138" s="104"/>
      <c r="R138" s="104"/>
      <c r="S138" s="104"/>
      <c r="T138" s="104"/>
      <c r="U138" s="105">
        <v>45658</v>
      </c>
      <c r="V138" s="105"/>
      <c r="W138" s="105"/>
      <c r="X138" s="105"/>
      <c r="Y138" s="44"/>
      <c r="Z138" s="44"/>
      <c r="AA138" s="44"/>
      <c r="AB138" s="44"/>
      <c r="AC138" s="44"/>
      <c r="AD138" s="13" t="s">
        <v>83</v>
      </c>
      <c r="AE138" s="104" t="s">
        <v>84</v>
      </c>
      <c r="AF138" s="104"/>
      <c r="AG138" s="104"/>
      <c r="AH138" s="110" t="s">
        <v>85</v>
      </c>
      <c r="AI138" s="110"/>
      <c r="AJ138" s="110"/>
      <c r="AK138" s="110"/>
      <c r="AL138" s="111">
        <v>-313</v>
      </c>
      <c r="AM138" s="111"/>
      <c r="AN138" s="111"/>
      <c r="AO138" s="111"/>
      <c r="AP138" s="2"/>
    </row>
    <row r="139" spans="1:42" ht="18.600000000000001" customHeight="1" x14ac:dyDescent="0.2">
      <c r="A139" s="2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7" t="s">
        <v>207</v>
      </c>
      <c r="U139" s="47"/>
      <c r="V139" s="47"/>
      <c r="W139" s="47"/>
      <c r="X139" s="47"/>
      <c r="Y139" s="47"/>
      <c r="Z139" s="47"/>
      <c r="AA139" s="2"/>
      <c r="AB139" s="44"/>
      <c r="AC139" s="44"/>
      <c r="AD139" s="2"/>
      <c r="AE139" s="44"/>
      <c r="AF139" s="44"/>
      <c r="AG139" s="44"/>
      <c r="AH139" s="44"/>
      <c r="AI139" s="44"/>
      <c r="AJ139" s="44"/>
      <c r="AK139" s="44"/>
      <c r="AL139" s="44"/>
      <c r="AM139" s="44"/>
      <c r="AN139" s="47" t="s">
        <v>178</v>
      </c>
      <c r="AO139" s="47"/>
      <c r="AP139" s="47"/>
    </row>
    <row r="140" spans="1:42" ht="12" customHeight="1" x14ac:dyDescent="0.2">
      <c r="A140" s="112" t="s">
        <v>208</v>
      </c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37"/>
      <c r="S140" s="37"/>
      <c r="T140" s="47"/>
      <c r="U140" s="47"/>
      <c r="V140" s="47"/>
      <c r="W140" s="47"/>
      <c r="X140" s="47"/>
      <c r="Y140" s="47"/>
      <c r="Z140" s="47"/>
      <c r="AA140" s="1"/>
      <c r="AB140" s="37"/>
      <c r="AC140" s="37"/>
      <c r="AD140" s="1"/>
      <c r="AE140" s="37"/>
      <c r="AF140" s="37"/>
      <c r="AG140" s="37"/>
      <c r="AH140" s="37"/>
      <c r="AI140" s="37"/>
      <c r="AJ140" s="37"/>
      <c r="AK140" s="37"/>
      <c r="AL140" s="37"/>
      <c r="AM140" s="37"/>
      <c r="AN140" s="47"/>
      <c r="AO140" s="47"/>
      <c r="AP140" s="47"/>
    </row>
    <row r="141" spans="1:42" ht="6" customHeight="1" x14ac:dyDescent="0.2">
      <c r="A141" s="1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1"/>
      <c r="U141" s="37"/>
      <c r="V141" s="37"/>
      <c r="W141" s="37"/>
      <c r="X141" s="37"/>
      <c r="Y141" s="37"/>
      <c r="Z141" s="37"/>
      <c r="AA141" s="1"/>
      <c r="AB141" s="37"/>
      <c r="AC141" s="37"/>
      <c r="AD141" s="1"/>
      <c r="AE141" s="37"/>
      <c r="AF141" s="37"/>
      <c r="AG141" s="37"/>
      <c r="AH141" s="37"/>
      <c r="AI141" s="37"/>
      <c r="AJ141" s="37"/>
      <c r="AK141" s="37"/>
      <c r="AL141" s="37"/>
      <c r="AM141" s="37"/>
      <c r="AN141" s="47"/>
      <c r="AO141" s="47"/>
      <c r="AP141" s="47"/>
    </row>
    <row r="142" spans="1:42" ht="24" customHeight="1" x14ac:dyDescent="0.2">
      <c r="A142" s="17" t="s">
        <v>89</v>
      </c>
      <c r="B142" s="84" t="s">
        <v>90</v>
      </c>
      <c r="C142" s="84"/>
      <c r="D142" s="84"/>
      <c r="E142" s="80" t="s">
        <v>91</v>
      </c>
      <c r="F142" s="80"/>
      <c r="G142" s="80"/>
      <c r="H142" s="80"/>
      <c r="I142" s="82" t="s">
        <v>92</v>
      </c>
      <c r="J142" s="82"/>
      <c r="K142" s="82"/>
      <c r="L142" s="82"/>
      <c r="M142" s="82"/>
      <c r="N142" s="82"/>
      <c r="O142" s="82"/>
      <c r="P142" s="83" t="s">
        <v>93</v>
      </c>
      <c r="Q142" s="83"/>
      <c r="R142" s="83"/>
      <c r="S142" s="83"/>
      <c r="T142" s="83"/>
      <c r="U142" s="83" t="s">
        <v>94</v>
      </c>
      <c r="V142" s="83"/>
      <c r="W142" s="83"/>
      <c r="X142" s="83"/>
      <c r="Y142" s="80" t="s">
        <v>95</v>
      </c>
      <c r="Z142" s="80"/>
      <c r="AA142" s="80"/>
      <c r="AB142" s="80" t="s">
        <v>96</v>
      </c>
      <c r="AC142" s="80"/>
      <c r="AD142" s="8" t="s">
        <v>97</v>
      </c>
      <c r="AE142" s="83" t="s">
        <v>98</v>
      </c>
      <c r="AF142" s="83"/>
      <c r="AG142" s="83"/>
      <c r="AH142" s="84" t="s">
        <v>99</v>
      </c>
      <c r="AI142" s="84"/>
      <c r="AJ142" s="84"/>
      <c r="AK142" s="84"/>
      <c r="AL142" s="83" t="s">
        <v>100</v>
      </c>
      <c r="AM142" s="83"/>
      <c r="AN142" s="83"/>
      <c r="AO142" s="83"/>
      <c r="AP142" s="2"/>
    </row>
    <row r="143" spans="1:42" ht="5.25" customHeight="1" x14ac:dyDescent="0.2">
      <c r="A143" s="9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9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1"/>
    </row>
    <row r="144" spans="1:42" ht="12" customHeight="1" x14ac:dyDescent="0.2">
      <c r="A144" s="20">
        <v>446535</v>
      </c>
      <c r="B144" s="107">
        <v>17301495</v>
      </c>
      <c r="C144" s="107"/>
      <c r="D144" s="107"/>
      <c r="E144" s="96" t="s">
        <v>122</v>
      </c>
      <c r="F144" s="96"/>
      <c r="G144" s="96"/>
      <c r="H144" s="96"/>
      <c r="I144" s="97" t="s">
        <v>81</v>
      </c>
      <c r="J144" s="97"/>
      <c r="K144" s="97"/>
      <c r="L144" s="97"/>
      <c r="M144" s="97"/>
      <c r="N144" s="97"/>
      <c r="O144" s="97"/>
      <c r="P144" s="62" t="s">
        <v>82</v>
      </c>
      <c r="Q144" s="62"/>
      <c r="R144" s="62"/>
      <c r="S144" s="62"/>
      <c r="T144" s="62"/>
      <c r="U144" s="99">
        <v>45658</v>
      </c>
      <c r="V144" s="99"/>
      <c r="W144" s="99"/>
      <c r="X144" s="99"/>
      <c r="Y144" s="61"/>
      <c r="Z144" s="61"/>
      <c r="AA144" s="61"/>
      <c r="AB144" s="61"/>
      <c r="AC144" s="61"/>
      <c r="AD144" s="11" t="s">
        <v>83</v>
      </c>
      <c r="AE144" s="98" t="s">
        <v>84</v>
      </c>
      <c r="AF144" s="98"/>
      <c r="AG144" s="98"/>
      <c r="AH144" s="98" t="s">
        <v>112</v>
      </c>
      <c r="AI144" s="98"/>
      <c r="AJ144" s="98"/>
      <c r="AK144" s="98"/>
      <c r="AL144" s="108">
        <v>313</v>
      </c>
      <c r="AM144" s="108"/>
      <c r="AN144" s="108"/>
      <c r="AO144" s="108"/>
      <c r="AP144" s="1"/>
    </row>
    <row r="145" spans="1:42" ht="26.1" customHeight="1" x14ac:dyDescent="0.2">
      <c r="A145" s="24">
        <v>446535</v>
      </c>
      <c r="B145" s="109">
        <v>17301495</v>
      </c>
      <c r="C145" s="109"/>
      <c r="D145" s="109"/>
      <c r="E145" s="102" t="s">
        <v>209</v>
      </c>
      <c r="F145" s="102"/>
      <c r="G145" s="102"/>
      <c r="H145" s="102"/>
      <c r="I145" s="103" t="s">
        <v>81</v>
      </c>
      <c r="J145" s="103"/>
      <c r="K145" s="103"/>
      <c r="L145" s="103"/>
      <c r="M145" s="103"/>
      <c r="N145" s="103"/>
      <c r="O145" s="103"/>
      <c r="P145" s="45" t="s">
        <v>82</v>
      </c>
      <c r="Q145" s="45"/>
      <c r="R145" s="45"/>
      <c r="S145" s="45"/>
      <c r="T145" s="45"/>
      <c r="U145" s="105">
        <v>45658</v>
      </c>
      <c r="V145" s="105"/>
      <c r="W145" s="105"/>
      <c r="X145" s="105"/>
      <c r="Y145" s="44"/>
      <c r="Z145" s="44"/>
      <c r="AA145" s="44"/>
      <c r="AB145" s="44"/>
      <c r="AC145" s="44"/>
      <c r="AD145" s="13" t="s">
        <v>83</v>
      </c>
      <c r="AE145" s="104" t="s">
        <v>84</v>
      </c>
      <c r="AF145" s="104"/>
      <c r="AG145" s="104"/>
      <c r="AH145" s="110" t="s">
        <v>85</v>
      </c>
      <c r="AI145" s="110"/>
      <c r="AJ145" s="110"/>
      <c r="AK145" s="110"/>
      <c r="AL145" s="111">
        <v>-313</v>
      </c>
      <c r="AM145" s="111"/>
      <c r="AN145" s="111"/>
      <c r="AO145" s="111"/>
      <c r="AP145" s="2"/>
    </row>
    <row r="146" spans="1:42" ht="27.95" customHeight="1" x14ac:dyDescent="0.2">
      <c r="A146" s="47" t="s">
        <v>210</v>
      </c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2"/>
      <c r="AB146" s="44"/>
      <c r="AC146" s="44"/>
      <c r="AD146" s="2"/>
      <c r="AE146" s="44"/>
      <c r="AF146" s="44"/>
      <c r="AG146" s="44"/>
      <c r="AH146" s="44"/>
      <c r="AI146" s="44"/>
      <c r="AJ146" s="44"/>
      <c r="AK146" s="44"/>
      <c r="AL146" s="44"/>
      <c r="AM146" s="44"/>
      <c r="AN146" s="47" t="s">
        <v>178</v>
      </c>
      <c r="AO146" s="47"/>
      <c r="AP146" s="47"/>
    </row>
    <row r="147" spans="1:42" ht="6" customHeight="1" x14ac:dyDescent="0.2">
      <c r="A147" s="1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1"/>
      <c r="AB147" s="37"/>
      <c r="AC147" s="37"/>
      <c r="AD147" s="1"/>
      <c r="AE147" s="37"/>
      <c r="AF147" s="37"/>
      <c r="AG147" s="37"/>
      <c r="AH147" s="37"/>
      <c r="AI147" s="37"/>
      <c r="AJ147" s="37"/>
      <c r="AK147" s="37"/>
      <c r="AL147" s="37"/>
      <c r="AM147" s="37"/>
      <c r="AN147" s="47"/>
      <c r="AO147" s="47"/>
      <c r="AP147" s="47"/>
    </row>
    <row r="148" spans="1:42" ht="30.6" customHeight="1" x14ac:dyDescent="0.2">
      <c r="A148" s="79" t="s">
        <v>119</v>
      </c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2"/>
    </row>
    <row r="149" spans="1:42" ht="24" customHeight="1" x14ac:dyDescent="0.2">
      <c r="A149" s="7" t="s">
        <v>106</v>
      </c>
      <c r="B149" s="80" t="s">
        <v>90</v>
      </c>
      <c r="C149" s="80"/>
      <c r="D149" s="80"/>
      <c r="E149" s="80" t="s">
        <v>91</v>
      </c>
      <c r="F149" s="80"/>
      <c r="G149" s="80"/>
      <c r="H149" s="80"/>
      <c r="I149" s="82" t="s">
        <v>92</v>
      </c>
      <c r="J149" s="82"/>
      <c r="K149" s="82"/>
      <c r="L149" s="82"/>
      <c r="M149" s="82"/>
      <c r="N149" s="82"/>
      <c r="O149" s="82"/>
      <c r="P149" s="83" t="s">
        <v>93</v>
      </c>
      <c r="Q149" s="83"/>
      <c r="R149" s="83"/>
      <c r="S149" s="83"/>
      <c r="T149" s="83"/>
      <c r="U149" s="83" t="s">
        <v>94</v>
      </c>
      <c r="V149" s="83"/>
      <c r="W149" s="83"/>
      <c r="X149" s="83"/>
      <c r="Y149" s="80" t="s">
        <v>95</v>
      </c>
      <c r="Z149" s="80"/>
      <c r="AA149" s="80"/>
      <c r="AB149" s="80" t="s">
        <v>96</v>
      </c>
      <c r="AC149" s="80"/>
      <c r="AD149" s="8" t="s">
        <v>97</v>
      </c>
      <c r="AE149" s="83" t="s">
        <v>98</v>
      </c>
      <c r="AF149" s="83"/>
      <c r="AG149" s="83"/>
      <c r="AH149" s="84" t="s">
        <v>99</v>
      </c>
      <c r="AI149" s="84"/>
      <c r="AJ149" s="84"/>
      <c r="AK149" s="84"/>
      <c r="AL149" s="83" t="s">
        <v>100</v>
      </c>
      <c r="AM149" s="83"/>
      <c r="AN149" s="83"/>
      <c r="AO149" s="83"/>
      <c r="AP149" s="2"/>
    </row>
    <row r="150" spans="1:42" ht="5.25" customHeight="1" x14ac:dyDescent="0.2">
      <c r="A150" s="9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9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1"/>
    </row>
    <row r="151" spans="1:42" ht="12" customHeight="1" x14ac:dyDescent="0.2">
      <c r="A151" s="20">
        <v>447954</v>
      </c>
      <c r="B151" s="95">
        <v>16912722</v>
      </c>
      <c r="C151" s="95"/>
      <c r="D151" s="95"/>
      <c r="E151" s="96" t="s">
        <v>211</v>
      </c>
      <c r="F151" s="96"/>
      <c r="G151" s="96"/>
      <c r="H151" s="96"/>
      <c r="I151" s="97" t="s">
        <v>81</v>
      </c>
      <c r="J151" s="97"/>
      <c r="K151" s="97"/>
      <c r="L151" s="97"/>
      <c r="M151" s="97"/>
      <c r="N151" s="97"/>
      <c r="O151" s="97"/>
      <c r="P151" s="98" t="s">
        <v>125</v>
      </c>
      <c r="Q151" s="98"/>
      <c r="R151" s="98"/>
      <c r="S151" s="98"/>
      <c r="T151" s="98"/>
      <c r="U151" s="99">
        <v>45658</v>
      </c>
      <c r="V151" s="99"/>
      <c r="W151" s="99"/>
      <c r="X151" s="99"/>
      <c r="Y151" s="61"/>
      <c r="Z151" s="61"/>
      <c r="AA151" s="61"/>
      <c r="AB151" s="61"/>
      <c r="AC151" s="61"/>
      <c r="AD151" s="11" t="s">
        <v>83</v>
      </c>
      <c r="AE151" s="98" t="s">
        <v>212</v>
      </c>
      <c r="AF151" s="98"/>
      <c r="AG151" s="98"/>
      <c r="AH151" s="98" t="s">
        <v>112</v>
      </c>
      <c r="AI151" s="98"/>
      <c r="AJ151" s="98"/>
      <c r="AK151" s="98"/>
      <c r="AL151" s="100">
        <v>626</v>
      </c>
      <c r="AM151" s="100"/>
      <c r="AN151" s="100"/>
      <c r="AO151" s="100"/>
      <c r="AP151" s="1"/>
    </row>
    <row r="152" spans="1:42" ht="21.95" customHeight="1" x14ac:dyDescent="0.2">
      <c r="A152" s="24">
        <v>447954</v>
      </c>
      <c r="B152" s="101">
        <v>16912722</v>
      </c>
      <c r="C152" s="101"/>
      <c r="D152" s="101"/>
      <c r="E152" s="102" t="s">
        <v>213</v>
      </c>
      <c r="F152" s="102"/>
      <c r="G152" s="102"/>
      <c r="H152" s="102"/>
      <c r="I152" s="103" t="s">
        <v>81</v>
      </c>
      <c r="J152" s="103"/>
      <c r="K152" s="103"/>
      <c r="L152" s="103"/>
      <c r="M152" s="103"/>
      <c r="N152" s="103"/>
      <c r="O152" s="103"/>
      <c r="P152" s="104" t="s">
        <v>125</v>
      </c>
      <c r="Q152" s="104"/>
      <c r="R152" s="104"/>
      <c r="S152" s="104"/>
      <c r="T152" s="104"/>
      <c r="U152" s="105">
        <v>45658</v>
      </c>
      <c r="V152" s="105"/>
      <c r="W152" s="105"/>
      <c r="X152" s="105"/>
      <c r="Y152" s="44"/>
      <c r="Z152" s="44"/>
      <c r="AA152" s="44"/>
      <c r="AB152" s="44"/>
      <c r="AC152" s="44"/>
      <c r="AD152" s="13" t="s">
        <v>83</v>
      </c>
      <c r="AE152" s="104" t="s">
        <v>212</v>
      </c>
      <c r="AF152" s="104"/>
      <c r="AG152" s="104"/>
      <c r="AH152" s="45" t="s">
        <v>108</v>
      </c>
      <c r="AI152" s="45"/>
      <c r="AJ152" s="45"/>
      <c r="AK152" s="45"/>
      <c r="AL152" s="106">
        <v>-626</v>
      </c>
      <c r="AM152" s="106"/>
      <c r="AN152" s="106"/>
      <c r="AO152" s="106"/>
      <c r="AP152" s="2"/>
    </row>
    <row r="153" spans="1:42" ht="12" customHeight="1" x14ac:dyDescent="0.2">
      <c r="A153" s="20">
        <v>447955</v>
      </c>
      <c r="B153" s="95">
        <v>16912722</v>
      </c>
      <c r="C153" s="95"/>
      <c r="D153" s="95"/>
      <c r="E153" s="96" t="s">
        <v>214</v>
      </c>
      <c r="F153" s="96"/>
      <c r="G153" s="96"/>
      <c r="H153" s="96"/>
      <c r="I153" s="97" t="s">
        <v>81</v>
      </c>
      <c r="J153" s="97"/>
      <c r="K153" s="97"/>
      <c r="L153" s="97"/>
      <c r="M153" s="97"/>
      <c r="N153" s="97"/>
      <c r="O153" s="97"/>
      <c r="P153" s="98" t="s">
        <v>125</v>
      </c>
      <c r="Q153" s="98"/>
      <c r="R153" s="98"/>
      <c r="S153" s="98"/>
      <c r="T153" s="98"/>
      <c r="U153" s="99">
        <v>45658</v>
      </c>
      <c r="V153" s="99"/>
      <c r="W153" s="99"/>
      <c r="X153" s="99"/>
      <c r="Y153" s="61"/>
      <c r="Z153" s="61"/>
      <c r="AA153" s="61"/>
      <c r="AB153" s="61"/>
      <c r="AC153" s="61"/>
      <c r="AD153" s="11" t="s">
        <v>83</v>
      </c>
      <c r="AE153" s="98" t="s">
        <v>212</v>
      </c>
      <c r="AF153" s="98"/>
      <c r="AG153" s="98"/>
      <c r="AH153" s="98" t="s">
        <v>112</v>
      </c>
      <c r="AI153" s="98"/>
      <c r="AJ153" s="98"/>
      <c r="AK153" s="98"/>
      <c r="AL153" s="100">
        <v>626</v>
      </c>
      <c r="AM153" s="100"/>
      <c r="AN153" s="100"/>
      <c r="AO153" s="100"/>
      <c r="AP153" s="1"/>
    </row>
    <row r="154" spans="1:42" ht="21.95" customHeight="1" x14ac:dyDescent="0.2">
      <c r="A154" s="24">
        <v>447955</v>
      </c>
      <c r="B154" s="101">
        <v>16912722</v>
      </c>
      <c r="C154" s="101"/>
      <c r="D154" s="101"/>
      <c r="E154" s="102" t="s">
        <v>214</v>
      </c>
      <c r="F154" s="102"/>
      <c r="G154" s="102"/>
      <c r="H154" s="102"/>
      <c r="I154" s="103" t="s">
        <v>81</v>
      </c>
      <c r="J154" s="103"/>
      <c r="K154" s="103"/>
      <c r="L154" s="103"/>
      <c r="M154" s="103"/>
      <c r="N154" s="103"/>
      <c r="O154" s="103"/>
      <c r="P154" s="104" t="s">
        <v>125</v>
      </c>
      <c r="Q154" s="104"/>
      <c r="R154" s="104"/>
      <c r="S154" s="104"/>
      <c r="T154" s="104"/>
      <c r="U154" s="105">
        <v>45658</v>
      </c>
      <c r="V154" s="105"/>
      <c r="W154" s="105"/>
      <c r="X154" s="105"/>
      <c r="Y154" s="44"/>
      <c r="Z154" s="44"/>
      <c r="AA154" s="44"/>
      <c r="AB154" s="44"/>
      <c r="AC154" s="44"/>
      <c r="AD154" s="13" t="s">
        <v>83</v>
      </c>
      <c r="AE154" s="104" t="s">
        <v>212</v>
      </c>
      <c r="AF154" s="104"/>
      <c r="AG154" s="104"/>
      <c r="AH154" s="45" t="s">
        <v>108</v>
      </c>
      <c r="AI154" s="45"/>
      <c r="AJ154" s="45"/>
      <c r="AK154" s="45"/>
      <c r="AL154" s="106">
        <v>-626</v>
      </c>
      <c r="AM154" s="106"/>
      <c r="AN154" s="106"/>
      <c r="AO154" s="106"/>
      <c r="AP154" s="2"/>
    </row>
    <row r="155" spans="1:42" ht="12" customHeight="1" x14ac:dyDescent="0.2">
      <c r="A155" s="20">
        <v>448034</v>
      </c>
      <c r="B155" s="95">
        <v>16912722</v>
      </c>
      <c r="C155" s="95"/>
      <c r="D155" s="95"/>
      <c r="E155" s="96" t="s">
        <v>215</v>
      </c>
      <c r="F155" s="96"/>
      <c r="G155" s="96"/>
      <c r="H155" s="96"/>
      <c r="I155" s="97" t="s">
        <v>81</v>
      </c>
      <c r="J155" s="97"/>
      <c r="K155" s="97"/>
      <c r="L155" s="97"/>
      <c r="M155" s="97"/>
      <c r="N155" s="97"/>
      <c r="O155" s="97"/>
      <c r="P155" s="98" t="s">
        <v>125</v>
      </c>
      <c r="Q155" s="98"/>
      <c r="R155" s="98"/>
      <c r="S155" s="98"/>
      <c r="T155" s="98"/>
      <c r="U155" s="99">
        <v>45658</v>
      </c>
      <c r="V155" s="99"/>
      <c r="W155" s="99"/>
      <c r="X155" s="99"/>
      <c r="Y155" s="61"/>
      <c r="Z155" s="61"/>
      <c r="AA155" s="61"/>
      <c r="AB155" s="61"/>
      <c r="AC155" s="61"/>
      <c r="AD155" s="11" t="s">
        <v>83</v>
      </c>
      <c r="AE155" s="98" t="s">
        <v>212</v>
      </c>
      <c r="AF155" s="98"/>
      <c r="AG155" s="98"/>
      <c r="AH155" s="98" t="s">
        <v>112</v>
      </c>
      <c r="AI155" s="98"/>
      <c r="AJ155" s="98"/>
      <c r="AK155" s="98"/>
      <c r="AL155" s="100">
        <v>626</v>
      </c>
      <c r="AM155" s="100"/>
      <c r="AN155" s="100"/>
      <c r="AO155" s="100"/>
      <c r="AP155" s="1"/>
    </row>
    <row r="156" spans="1:42" ht="21.95" customHeight="1" x14ac:dyDescent="0.2">
      <c r="A156" s="24">
        <v>448034</v>
      </c>
      <c r="B156" s="101">
        <v>16912722</v>
      </c>
      <c r="C156" s="101"/>
      <c r="D156" s="101"/>
      <c r="E156" s="102" t="s">
        <v>215</v>
      </c>
      <c r="F156" s="102"/>
      <c r="G156" s="102"/>
      <c r="H156" s="102"/>
      <c r="I156" s="103" t="s">
        <v>81</v>
      </c>
      <c r="J156" s="103"/>
      <c r="K156" s="103"/>
      <c r="L156" s="103"/>
      <c r="M156" s="103"/>
      <c r="N156" s="103"/>
      <c r="O156" s="103"/>
      <c r="P156" s="104" t="s">
        <v>125</v>
      </c>
      <c r="Q156" s="104"/>
      <c r="R156" s="104"/>
      <c r="S156" s="104"/>
      <c r="T156" s="104"/>
      <c r="U156" s="105">
        <v>45658</v>
      </c>
      <c r="V156" s="105"/>
      <c r="W156" s="105"/>
      <c r="X156" s="105"/>
      <c r="Y156" s="44"/>
      <c r="Z156" s="44"/>
      <c r="AA156" s="44"/>
      <c r="AB156" s="44"/>
      <c r="AC156" s="44"/>
      <c r="AD156" s="13" t="s">
        <v>83</v>
      </c>
      <c r="AE156" s="104" t="s">
        <v>212</v>
      </c>
      <c r="AF156" s="104"/>
      <c r="AG156" s="104"/>
      <c r="AH156" s="45" t="s">
        <v>108</v>
      </c>
      <c r="AI156" s="45"/>
      <c r="AJ156" s="45"/>
      <c r="AK156" s="45"/>
      <c r="AL156" s="106">
        <v>-626</v>
      </c>
      <c r="AM156" s="106"/>
      <c r="AN156" s="106"/>
      <c r="AO156" s="106"/>
      <c r="AP156" s="2"/>
    </row>
    <row r="157" spans="1:42" ht="12" customHeight="1" x14ac:dyDescent="0.2">
      <c r="A157" s="20">
        <v>447701</v>
      </c>
      <c r="B157" s="95">
        <v>16912722</v>
      </c>
      <c r="C157" s="95"/>
      <c r="D157" s="95"/>
      <c r="E157" s="96" t="s">
        <v>216</v>
      </c>
      <c r="F157" s="96"/>
      <c r="G157" s="96"/>
      <c r="H157" s="96"/>
      <c r="I157" s="97" t="s">
        <v>81</v>
      </c>
      <c r="J157" s="97"/>
      <c r="K157" s="97"/>
      <c r="L157" s="97"/>
      <c r="M157" s="97"/>
      <c r="N157" s="97"/>
      <c r="O157" s="97"/>
      <c r="P157" s="98" t="s">
        <v>125</v>
      </c>
      <c r="Q157" s="98"/>
      <c r="R157" s="98"/>
      <c r="S157" s="98"/>
      <c r="T157" s="98"/>
      <c r="U157" s="99">
        <v>45658</v>
      </c>
      <c r="V157" s="99"/>
      <c r="W157" s="99"/>
      <c r="X157" s="99"/>
      <c r="Y157" s="61"/>
      <c r="Z157" s="61"/>
      <c r="AA157" s="61"/>
      <c r="AB157" s="61"/>
      <c r="AC157" s="61"/>
      <c r="AD157" s="11" t="s">
        <v>83</v>
      </c>
      <c r="AE157" s="98" t="s">
        <v>212</v>
      </c>
      <c r="AF157" s="98"/>
      <c r="AG157" s="98"/>
      <c r="AH157" s="98" t="s">
        <v>112</v>
      </c>
      <c r="AI157" s="98"/>
      <c r="AJ157" s="98"/>
      <c r="AK157" s="98"/>
      <c r="AL157" s="100">
        <v>626</v>
      </c>
      <c r="AM157" s="100"/>
      <c r="AN157" s="100"/>
      <c r="AO157" s="100"/>
      <c r="AP157" s="1"/>
    </row>
    <row r="158" spans="1:42" ht="27.6" customHeight="1" x14ac:dyDescent="0.2">
      <c r="A158" s="24">
        <v>447701</v>
      </c>
      <c r="B158" s="101">
        <v>16912722</v>
      </c>
      <c r="C158" s="101"/>
      <c r="D158" s="101"/>
      <c r="E158" s="102" t="s">
        <v>216</v>
      </c>
      <c r="F158" s="102"/>
      <c r="G158" s="102"/>
      <c r="H158" s="102"/>
      <c r="I158" s="103" t="s">
        <v>81</v>
      </c>
      <c r="J158" s="103"/>
      <c r="K158" s="103"/>
      <c r="L158" s="103"/>
      <c r="M158" s="103"/>
      <c r="N158" s="103"/>
      <c r="O158" s="103"/>
      <c r="P158" s="104" t="s">
        <v>125</v>
      </c>
      <c r="Q158" s="104"/>
      <c r="R158" s="104"/>
      <c r="S158" s="104"/>
      <c r="T158" s="104"/>
      <c r="U158" s="105">
        <v>45658</v>
      </c>
      <c r="V158" s="105"/>
      <c r="W158" s="105"/>
      <c r="X158" s="105"/>
      <c r="Y158" s="44"/>
      <c r="Z158" s="44"/>
      <c r="AA158" s="44"/>
      <c r="AB158" s="44"/>
      <c r="AC158" s="44"/>
      <c r="AD158" s="13" t="s">
        <v>83</v>
      </c>
      <c r="AE158" s="104" t="s">
        <v>212</v>
      </c>
      <c r="AF158" s="104"/>
      <c r="AG158" s="104"/>
      <c r="AH158" s="45" t="s">
        <v>108</v>
      </c>
      <c r="AI158" s="45"/>
      <c r="AJ158" s="45"/>
      <c r="AK158" s="45"/>
      <c r="AL158" s="106">
        <v>-626</v>
      </c>
      <c r="AM158" s="106"/>
      <c r="AN158" s="106"/>
      <c r="AO158" s="106"/>
      <c r="AP158" s="2"/>
    </row>
    <row r="159" spans="1:42" ht="32.25" customHeight="1" x14ac:dyDescent="0.2">
      <c r="A159" s="94" t="s">
        <v>217</v>
      </c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</row>
    <row r="160" spans="1:42" ht="30.95" customHeight="1" x14ac:dyDescent="0.2">
      <c r="A160" s="79" t="s">
        <v>218</v>
      </c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</row>
    <row r="161" spans="1:41" ht="24" customHeight="1" x14ac:dyDescent="0.2">
      <c r="A161" s="7" t="s">
        <v>219</v>
      </c>
      <c r="B161" s="84" t="s">
        <v>220</v>
      </c>
      <c r="C161" s="84"/>
      <c r="D161" s="84"/>
      <c r="E161" s="80" t="s">
        <v>221</v>
      </c>
      <c r="F161" s="80"/>
      <c r="G161" s="80"/>
      <c r="H161" s="80"/>
      <c r="I161" s="82" t="s">
        <v>222</v>
      </c>
      <c r="J161" s="82"/>
      <c r="K161" s="82"/>
      <c r="L161" s="82"/>
      <c r="M161" s="82"/>
      <c r="N161" s="82"/>
      <c r="O161" s="82"/>
      <c r="P161" s="83" t="s">
        <v>223</v>
      </c>
      <c r="Q161" s="83"/>
      <c r="R161" s="83"/>
      <c r="S161" s="83"/>
      <c r="T161" s="83"/>
      <c r="U161" s="83" t="s">
        <v>224</v>
      </c>
      <c r="V161" s="83"/>
      <c r="W161" s="83"/>
      <c r="X161" s="83"/>
      <c r="Y161" s="80" t="s">
        <v>225</v>
      </c>
      <c r="Z161" s="80"/>
      <c r="AA161" s="80"/>
      <c r="AB161" s="80" t="s">
        <v>226</v>
      </c>
      <c r="AC161" s="80"/>
      <c r="AD161" s="8" t="s">
        <v>227</v>
      </c>
      <c r="AE161" s="83" t="s">
        <v>228</v>
      </c>
      <c r="AF161" s="83"/>
      <c r="AG161" s="83"/>
      <c r="AH161" s="84" t="s">
        <v>229</v>
      </c>
      <c r="AI161" s="84"/>
      <c r="AJ161" s="84"/>
      <c r="AK161" s="84"/>
      <c r="AL161" s="83" t="s">
        <v>230</v>
      </c>
      <c r="AM161" s="83"/>
      <c r="AN161" s="83"/>
      <c r="AO161" s="83"/>
    </row>
    <row r="162" spans="1:41" ht="5.25" customHeight="1" x14ac:dyDescent="0.2">
      <c r="A162" s="9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9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</row>
    <row r="163" spans="1:41" ht="12" customHeight="1" x14ac:dyDescent="0.2">
      <c r="A163" s="32">
        <v>445336</v>
      </c>
      <c r="B163" s="86">
        <v>16633294</v>
      </c>
      <c r="C163" s="86"/>
      <c r="D163" s="86"/>
      <c r="E163" s="87" t="s">
        <v>231</v>
      </c>
      <c r="F163" s="87"/>
      <c r="G163" s="87"/>
      <c r="H163" s="87"/>
      <c r="I163" s="59" t="s">
        <v>232</v>
      </c>
      <c r="J163" s="59"/>
      <c r="K163" s="59"/>
      <c r="L163" s="59"/>
      <c r="M163" s="59"/>
      <c r="N163" s="59"/>
      <c r="O163" s="59"/>
      <c r="P163" s="62" t="s">
        <v>233</v>
      </c>
      <c r="Q163" s="62"/>
      <c r="R163" s="62"/>
      <c r="S163" s="62"/>
      <c r="T163" s="62"/>
      <c r="U163" s="88">
        <v>45658</v>
      </c>
      <c r="V163" s="88"/>
      <c r="W163" s="88"/>
      <c r="X163" s="88"/>
      <c r="Y163" s="61"/>
      <c r="Z163" s="61"/>
      <c r="AA163" s="61"/>
      <c r="AB163" s="61"/>
      <c r="AC163" s="61"/>
      <c r="AD163" s="16" t="s">
        <v>234</v>
      </c>
      <c r="AE163" s="62" t="s">
        <v>235</v>
      </c>
      <c r="AF163" s="62"/>
      <c r="AG163" s="62"/>
      <c r="AH163" s="62" t="s">
        <v>236</v>
      </c>
      <c r="AI163" s="62"/>
      <c r="AJ163" s="62"/>
      <c r="AK163" s="62"/>
      <c r="AL163" s="89">
        <v>313</v>
      </c>
      <c r="AM163" s="89"/>
      <c r="AN163" s="89"/>
      <c r="AO163" s="89"/>
    </row>
    <row r="164" spans="1:41" ht="21.95" customHeight="1" x14ac:dyDescent="0.2">
      <c r="A164" s="33">
        <v>445336</v>
      </c>
      <c r="B164" s="90">
        <v>16633294</v>
      </c>
      <c r="C164" s="90"/>
      <c r="D164" s="90"/>
      <c r="E164" s="91" t="s">
        <v>237</v>
      </c>
      <c r="F164" s="91"/>
      <c r="G164" s="91"/>
      <c r="H164" s="91"/>
      <c r="I164" s="42" t="s">
        <v>232</v>
      </c>
      <c r="J164" s="42"/>
      <c r="K164" s="42"/>
      <c r="L164" s="42"/>
      <c r="M164" s="42"/>
      <c r="N164" s="42"/>
      <c r="O164" s="42"/>
      <c r="P164" s="45" t="s">
        <v>233</v>
      </c>
      <c r="Q164" s="45"/>
      <c r="R164" s="45"/>
      <c r="S164" s="45"/>
      <c r="T164" s="45"/>
      <c r="U164" s="92">
        <v>45658</v>
      </c>
      <c r="V164" s="92"/>
      <c r="W164" s="92"/>
      <c r="X164" s="92"/>
      <c r="Y164" s="44"/>
      <c r="Z164" s="44"/>
      <c r="AA164" s="44"/>
      <c r="AB164" s="44"/>
      <c r="AC164" s="44"/>
      <c r="AD164" s="14" t="s">
        <v>234</v>
      </c>
      <c r="AE164" s="45" t="s">
        <v>235</v>
      </c>
      <c r="AF164" s="45"/>
      <c r="AG164" s="45"/>
      <c r="AH164" s="45" t="s">
        <v>238</v>
      </c>
      <c r="AI164" s="45"/>
      <c r="AJ164" s="45"/>
      <c r="AK164" s="45"/>
      <c r="AL164" s="93">
        <v>-313</v>
      </c>
      <c r="AM164" s="93"/>
      <c r="AN164" s="93"/>
      <c r="AO164" s="93"/>
    </row>
    <row r="165" spans="1:41" ht="12" customHeight="1" x14ac:dyDescent="0.2">
      <c r="A165" s="32">
        <v>445462</v>
      </c>
      <c r="B165" s="86">
        <v>16633294</v>
      </c>
      <c r="C165" s="86"/>
      <c r="D165" s="86"/>
      <c r="E165" s="87" t="s">
        <v>239</v>
      </c>
      <c r="F165" s="87"/>
      <c r="G165" s="87"/>
      <c r="H165" s="87"/>
      <c r="I165" s="59" t="s">
        <v>232</v>
      </c>
      <c r="J165" s="59"/>
      <c r="K165" s="59"/>
      <c r="L165" s="59"/>
      <c r="M165" s="59"/>
      <c r="N165" s="59"/>
      <c r="O165" s="59"/>
      <c r="P165" s="62" t="s">
        <v>233</v>
      </c>
      <c r="Q165" s="62"/>
      <c r="R165" s="62"/>
      <c r="S165" s="62"/>
      <c r="T165" s="62"/>
      <c r="U165" s="88">
        <v>45658</v>
      </c>
      <c r="V165" s="88"/>
      <c r="W165" s="88"/>
      <c r="X165" s="88"/>
      <c r="Y165" s="61"/>
      <c r="Z165" s="61"/>
      <c r="AA165" s="61"/>
      <c r="AB165" s="61"/>
      <c r="AC165" s="61"/>
      <c r="AD165" s="16" t="s">
        <v>234</v>
      </c>
      <c r="AE165" s="62" t="s">
        <v>235</v>
      </c>
      <c r="AF165" s="62"/>
      <c r="AG165" s="62"/>
      <c r="AH165" s="62" t="s">
        <v>236</v>
      </c>
      <c r="AI165" s="62"/>
      <c r="AJ165" s="62"/>
      <c r="AK165" s="62"/>
      <c r="AL165" s="89">
        <v>313</v>
      </c>
      <c r="AM165" s="89"/>
      <c r="AN165" s="89"/>
      <c r="AO165" s="89"/>
    </row>
    <row r="166" spans="1:41" ht="21.95" customHeight="1" x14ac:dyDescent="0.2">
      <c r="A166" s="33">
        <v>445462</v>
      </c>
      <c r="B166" s="90">
        <v>16633294</v>
      </c>
      <c r="C166" s="90"/>
      <c r="D166" s="90"/>
      <c r="E166" s="91" t="s">
        <v>239</v>
      </c>
      <c r="F166" s="91"/>
      <c r="G166" s="91"/>
      <c r="H166" s="91"/>
      <c r="I166" s="42" t="s">
        <v>232</v>
      </c>
      <c r="J166" s="42"/>
      <c r="K166" s="42"/>
      <c r="L166" s="42"/>
      <c r="M166" s="42"/>
      <c r="N166" s="42"/>
      <c r="O166" s="42"/>
      <c r="P166" s="45" t="s">
        <v>233</v>
      </c>
      <c r="Q166" s="45"/>
      <c r="R166" s="45"/>
      <c r="S166" s="45"/>
      <c r="T166" s="45"/>
      <c r="U166" s="92">
        <v>45658</v>
      </c>
      <c r="V166" s="92"/>
      <c r="W166" s="92"/>
      <c r="X166" s="92"/>
      <c r="Y166" s="44"/>
      <c r="Z166" s="44"/>
      <c r="AA166" s="44"/>
      <c r="AB166" s="44"/>
      <c r="AC166" s="44"/>
      <c r="AD166" s="14" t="s">
        <v>234</v>
      </c>
      <c r="AE166" s="45" t="s">
        <v>235</v>
      </c>
      <c r="AF166" s="45"/>
      <c r="AG166" s="45"/>
      <c r="AH166" s="45" t="s">
        <v>238</v>
      </c>
      <c r="AI166" s="45"/>
      <c r="AJ166" s="45"/>
      <c r="AK166" s="45"/>
      <c r="AL166" s="93">
        <v>-313</v>
      </c>
      <c r="AM166" s="93"/>
      <c r="AN166" s="93"/>
      <c r="AO166" s="93"/>
    </row>
    <row r="167" spans="1:41" ht="12" customHeight="1" x14ac:dyDescent="0.2">
      <c r="A167" s="32">
        <v>445463</v>
      </c>
      <c r="B167" s="86">
        <v>16633294</v>
      </c>
      <c r="C167" s="86"/>
      <c r="D167" s="86"/>
      <c r="E167" s="87" t="s">
        <v>240</v>
      </c>
      <c r="F167" s="87"/>
      <c r="G167" s="87"/>
      <c r="H167" s="87"/>
      <c r="I167" s="59" t="s">
        <v>232</v>
      </c>
      <c r="J167" s="59"/>
      <c r="K167" s="59"/>
      <c r="L167" s="59"/>
      <c r="M167" s="59"/>
      <c r="N167" s="59"/>
      <c r="O167" s="59"/>
      <c r="P167" s="62" t="s">
        <v>233</v>
      </c>
      <c r="Q167" s="62"/>
      <c r="R167" s="62"/>
      <c r="S167" s="62"/>
      <c r="T167" s="62"/>
      <c r="U167" s="88">
        <v>45658</v>
      </c>
      <c r="V167" s="88"/>
      <c r="W167" s="88"/>
      <c r="X167" s="88"/>
      <c r="Y167" s="61"/>
      <c r="Z167" s="61"/>
      <c r="AA167" s="61"/>
      <c r="AB167" s="61"/>
      <c r="AC167" s="61"/>
      <c r="AD167" s="16" t="s">
        <v>234</v>
      </c>
      <c r="AE167" s="62" t="s">
        <v>235</v>
      </c>
      <c r="AF167" s="62"/>
      <c r="AG167" s="62"/>
      <c r="AH167" s="62" t="s">
        <v>236</v>
      </c>
      <c r="AI167" s="62"/>
      <c r="AJ167" s="62"/>
      <c r="AK167" s="62"/>
      <c r="AL167" s="89">
        <v>313</v>
      </c>
      <c r="AM167" s="89"/>
      <c r="AN167" s="89"/>
      <c r="AO167" s="89"/>
    </row>
    <row r="168" spans="1:41" ht="21.95" customHeight="1" x14ac:dyDescent="0.2">
      <c r="A168" s="33">
        <v>445463</v>
      </c>
      <c r="B168" s="90">
        <v>16633294</v>
      </c>
      <c r="C168" s="90"/>
      <c r="D168" s="90"/>
      <c r="E168" s="91" t="s">
        <v>240</v>
      </c>
      <c r="F168" s="91"/>
      <c r="G168" s="91"/>
      <c r="H168" s="91"/>
      <c r="I168" s="42" t="s">
        <v>232</v>
      </c>
      <c r="J168" s="42"/>
      <c r="K168" s="42"/>
      <c r="L168" s="42"/>
      <c r="M168" s="42"/>
      <c r="N168" s="42"/>
      <c r="O168" s="42"/>
      <c r="P168" s="45" t="s">
        <v>233</v>
      </c>
      <c r="Q168" s="45"/>
      <c r="R168" s="45"/>
      <c r="S168" s="45"/>
      <c r="T168" s="45"/>
      <c r="U168" s="92">
        <v>45658</v>
      </c>
      <c r="V168" s="92"/>
      <c r="W168" s="92"/>
      <c r="X168" s="92"/>
      <c r="Y168" s="44"/>
      <c r="Z168" s="44"/>
      <c r="AA168" s="44"/>
      <c r="AB168" s="44"/>
      <c r="AC168" s="44"/>
      <c r="AD168" s="14" t="s">
        <v>234</v>
      </c>
      <c r="AE168" s="45" t="s">
        <v>235</v>
      </c>
      <c r="AF168" s="45"/>
      <c r="AG168" s="45"/>
      <c r="AH168" s="45" t="s">
        <v>238</v>
      </c>
      <c r="AI168" s="45"/>
      <c r="AJ168" s="45"/>
      <c r="AK168" s="45"/>
      <c r="AL168" s="93">
        <v>-313</v>
      </c>
      <c r="AM168" s="93"/>
      <c r="AN168" s="93"/>
      <c r="AO168" s="93"/>
    </row>
    <row r="169" spans="1:41" ht="12" customHeight="1" x14ac:dyDescent="0.2">
      <c r="A169" s="32">
        <v>446217</v>
      </c>
      <c r="B169" s="86">
        <v>16633294</v>
      </c>
      <c r="C169" s="86"/>
      <c r="D169" s="86"/>
      <c r="E169" s="87" t="s">
        <v>241</v>
      </c>
      <c r="F169" s="87"/>
      <c r="G169" s="87"/>
      <c r="H169" s="87"/>
      <c r="I169" s="59" t="s">
        <v>232</v>
      </c>
      <c r="J169" s="59"/>
      <c r="K169" s="59"/>
      <c r="L169" s="59"/>
      <c r="M169" s="59"/>
      <c r="N169" s="59"/>
      <c r="O169" s="59"/>
      <c r="P169" s="62" t="s">
        <v>233</v>
      </c>
      <c r="Q169" s="62"/>
      <c r="R169" s="62"/>
      <c r="S169" s="62"/>
      <c r="T169" s="62"/>
      <c r="U169" s="88">
        <v>45658</v>
      </c>
      <c r="V169" s="88"/>
      <c r="W169" s="88"/>
      <c r="X169" s="88"/>
      <c r="Y169" s="61"/>
      <c r="Z169" s="61"/>
      <c r="AA169" s="61"/>
      <c r="AB169" s="61"/>
      <c r="AC169" s="61"/>
      <c r="AD169" s="16" t="s">
        <v>234</v>
      </c>
      <c r="AE169" s="62" t="s">
        <v>235</v>
      </c>
      <c r="AF169" s="62"/>
      <c r="AG169" s="62"/>
      <c r="AH169" s="62" t="s">
        <v>236</v>
      </c>
      <c r="AI169" s="62"/>
      <c r="AJ169" s="62"/>
      <c r="AK169" s="62"/>
      <c r="AL169" s="89">
        <v>313</v>
      </c>
      <c r="AM169" s="89"/>
      <c r="AN169" s="89"/>
      <c r="AO169" s="89"/>
    </row>
    <row r="170" spans="1:41" ht="21.95" customHeight="1" x14ac:dyDescent="0.2">
      <c r="A170" s="33">
        <v>446217</v>
      </c>
      <c r="B170" s="90">
        <v>16633294</v>
      </c>
      <c r="C170" s="90"/>
      <c r="D170" s="90"/>
      <c r="E170" s="91" t="s">
        <v>242</v>
      </c>
      <c r="F170" s="91"/>
      <c r="G170" s="91"/>
      <c r="H170" s="91"/>
      <c r="I170" s="42" t="s">
        <v>232</v>
      </c>
      <c r="J170" s="42"/>
      <c r="K170" s="42"/>
      <c r="L170" s="42"/>
      <c r="M170" s="42"/>
      <c r="N170" s="42"/>
      <c r="O170" s="42"/>
      <c r="P170" s="45" t="s">
        <v>233</v>
      </c>
      <c r="Q170" s="45"/>
      <c r="R170" s="45"/>
      <c r="S170" s="45"/>
      <c r="T170" s="45"/>
      <c r="U170" s="92">
        <v>45658</v>
      </c>
      <c r="V170" s="92"/>
      <c r="W170" s="92"/>
      <c r="X170" s="92"/>
      <c r="Y170" s="44"/>
      <c r="Z170" s="44"/>
      <c r="AA170" s="44"/>
      <c r="AB170" s="44"/>
      <c r="AC170" s="44"/>
      <c r="AD170" s="14" t="s">
        <v>234</v>
      </c>
      <c r="AE170" s="45" t="s">
        <v>235</v>
      </c>
      <c r="AF170" s="45"/>
      <c r="AG170" s="45"/>
      <c r="AH170" s="45" t="s">
        <v>238</v>
      </c>
      <c r="AI170" s="45"/>
      <c r="AJ170" s="45"/>
      <c r="AK170" s="45"/>
      <c r="AL170" s="93">
        <v>-313</v>
      </c>
      <c r="AM170" s="93"/>
      <c r="AN170" s="93"/>
      <c r="AO170" s="93"/>
    </row>
    <row r="171" spans="1:41" ht="12" customHeight="1" x14ac:dyDescent="0.2">
      <c r="A171" s="32">
        <v>443292</v>
      </c>
      <c r="B171" s="86">
        <v>16633294</v>
      </c>
      <c r="C171" s="86"/>
      <c r="D171" s="86"/>
      <c r="E171" s="87" t="s">
        <v>243</v>
      </c>
      <c r="F171" s="87"/>
      <c r="G171" s="87"/>
      <c r="H171" s="87"/>
      <c r="I171" s="59" t="s">
        <v>232</v>
      </c>
      <c r="J171" s="59"/>
      <c r="K171" s="59"/>
      <c r="L171" s="59"/>
      <c r="M171" s="59"/>
      <c r="N171" s="59"/>
      <c r="O171" s="59"/>
      <c r="P171" s="62" t="s">
        <v>233</v>
      </c>
      <c r="Q171" s="62"/>
      <c r="R171" s="62"/>
      <c r="S171" s="62"/>
      <c r="T171" s="62"/>
      <c r="U171" s="88">
        <v>45658</v>
      </c>
      <c r="V171" s="88"/>
      <c r="W171" s="88"/>
      <c r="X171" s="88"/>
      <c r="Y171" s="61"/>
      <c r="Z171" s="61"/>
      <c r="AA171" s="61"/>
      <c r="AB171" s="61"/>
      <c r="AC171" s="61"/>
      <c r="AD171" s="16" t="s">
        <v>234</v>
      </c>
      <c r="AE171" s="62" t="s">
        <v>235</v>
      </c>
      <c r="AF171" s="62"/>
      <c r="AG171" s="62"/>
      <c r="AH171" s="62" t="s">
        <v>236</v>
      </c>
      <c r="AI171" s="62"/>
      <c r="AJ171" s="62"/>
      <c r="AK171" s="62"/>
      <c r="AL171" s="89">
        <v>313</v>
      </c>
      <c r="AM171" s="89"/>
      <c r="AN171" s="89"/>
      <c r="AO171" s="89"/>
    </row>
    <row r="172" spans="1:41" ht="21.95" customHeight="1" x14ac:dyDescent="0.2">
      <c r="A172" s="33">
        <v>443292</v>
      </c>
      <c r="B172" s="90">
        <v>16633294</v>
      </c>
      <c r="C172" s="90"/>
      <c r="D172" s="90"/>
      <c r="E172" s="91" t="s">
        <v>243</v>
      </c>
      <c r="F172" s="91"/>
      <c r="G172" s="91"/>
      <c r="H172" s="91"/>
      <c r="I172" s="42" t="s">
        <v>232</v>
      </c>
      <c r="J172" s="42"/>
      <c r="K172" s="42"/>
      <c r="L172" s="42"/>
      <c r="M172" s="42"/>
      <c r="N172" s="42"/>
      <c r="O172" s="42"/>
      <c r="P172" s="45" t="s">
        <v>233</v>
      </c>
      <c r="Q172" s="45"/>
      <c r="R172" s="45"/>
      <c r="S172" s="45"/>
      <c r="T172" s="45"/>
      <c r="U172" s="92">
        <v>45658</v>
      </c>
      <c r="V172" s="92"/>
      <c r="W172" s="92"/>
      <c r="X172" s="92"/>
      <c r="Y172" s="44"/>
      <c r="Z172" s="44"/>
      <c r="AA172" s="44"/>
      <c r="AB172" s="44"/>
      <c r="AC172" s="44"/>
      <c r="AD172" s="14" t="s">
        <v>234</v>
      </c>
      <c r="AE172" s="45" t="s">
        <v>235</v>
      </c>
      <c r="AF172" s="45"/>
      <c r="AG172" s="45"/>
      <c r="AH172" s="45" t="s">
        <v>238</v>
      </c>
      <c r="AI172" s="45"/>
      <c r="AJ172" s="45"/>
      <c r="AK172" s="45"/>
      <c r="AL172" s="93">
        <v>-313</v>
      </c>
      <c r="AM172" s="93"/>
      <c r="AN172" s="93"/>
      <c r="AO172" s="93"/>
    </row>
    <row r="173" spans="1:41" ht="12" customHeight="1" x14ac:dyDescent="0.2">
      <c r="A173" s="32">
        <v>443286</v>
      </c>
      <c r="B173" s="86">
        <v>16633294</v>
      </c>
      <c r="C173" s="86"/>
      <c r="D173" s="86"/>
      <c r="E173" s="87" t="s">
        <v>244</v>
      </c>
      <c r="F173" s="87"/>
      <c r="G173" s="87"/>
      <c r="H173" s="87"/>
      <c r="I173" s="59" t="s">
        <v>232</v>
      </c>
      <c r="J173" s="59"/>
      <c r="K173" s="59"/>
      <c r="L173" s="59"/>
      <c r="M173" s="59"/>
      <c r="N173" s="59"/>
      <c r="O173" s="59"/>
      <c r="P173" s="62" t="s">
        <v>233</v>
      </c>
      <c r="Q173" s="62"/>
      <c r="R173" s="62"/>
      <c r="S173" s="62"/>
      <c r="T173" s="62"/>
      <c r="U173" s="88">
        <v>45658</v>
      </c>
      <c r="V173" s="88"/>
      <c r="W173" s="88"/>
      <c r="X173" s="88"/>
      <c r="Y173" s="61"/>
      <c r="Z173" s="61"/>
      <c r="AA173" s="61"/>
      <c r="AB173" s="61"/>
      <c r="AC173" s="61"/>
      <c r="AD173" s="16" t="s">
        <v>234</v>
      </c>
      <c r="AE173" s="62" t="s">
        <v>235</v>
      </c>
      <c r="AF173" s="62"/>
      <c r="AG173" s="62"/>
      <c r="AH173" s="62" t="s">
        <v>236</v>
      </c>
      <c r="AI173" s="62"/>
      <c r="AJ173" s="62"/>
      <c r="AK173" s="62"/>
      <c r="AL173" s="89">
        <v>313</v>
      </c>
      <c r="AM173" s="89"/>
      <c r="AN173" s="89"/>
      <c r="AO173" s="89"/>
    </row>
    <row r="174" spans="1:41" ht="23.1" customHeight="1" x14ac:dyDescent="0.2">
      <c r="A174" s="33">
        <v>443286</v>
      </c>
      <c r="B174" s="90">
        <v>16633294</v>
      </c>
      <c r="C174" s="90"/>
      <c r="D174" s="90"/>
      <c r="E174" s="91" t="s">
        <v>244</v>
      </c>
      <c r="F174" s="91"/>
      <c r="G174" s="91"/>
      <c r="H174" s="91"/>
      <c r="I174" s="42" t="s">
        <v>232</v>
      </c>
      <c r="J174" s="42"/>
      <c r="K174" s="42"/>
      <c r="L174" s="42"/>
      <c r="M174" s="42"/>
      <c r="N174" s="42"/>
      <c r="O174" s="42"/>
      <c r="P174" s="45" t="s">
        <v>233</v>
      </c>
      <c r="Q174" s="45"/>
      <c r="R174" s="45"/>
      <c r="S174" s="45"/>
      <c r="T174" s="45"/>
      <c r="U174" s="92">
        <v>45658</v>
      </c>
      <c r="V174" s="92"/>
      <c r="W174" s="92"/>
      <c r="X174" s="92"/>
      <c r="Y174" s="44"/>
      <c r="Z174" s="44"/>
      <c r="AA174" s="44"/>
      <c r="AB174" s="44"/>
      <c r="AC174" s="44"/>
      <c r="AD174" s="14" t="s">
        <v>234</v>
      </c>
      <c r="AE174" s="45" t="s">
        <v>235</v>
      </c>
      <c r="AF174" s="45"/>
      <c r="AG174" s="45"/>
      <c r="AH174" s="45" t="s">
        <v>238</v>
      </c>
      <c r="AI174" s="45"/>
      <c r="AJ174" s="45"/>
      <c r="AK174" s="45"/>
      <c r="AL174" s="93">
        <v>-313</v>
      </c>
      <c r="AM174" s="93"/>
      <c r="AN174" s="93"/>
      <c r="AO174" s="93"/>
    </row>
    <row r="175" spans="1:41" ht="12" customHeight="1" x14ac:dyDescent="0.2">
      <c r="A175" s="32">
        <v>444212</v>
      </c>
      <c r="B175" s="86">
        <v>16633294</v>
      </c>
      <c r="C175" s="86"/>
      <c r="D175" s="86"/>
      <c r="E175" s="87" t="s">
        <v>245</v>
      </c>
      <c r="F175" s="87"/>
      <c r="G175" s="87"/>
      <c r="H175" s="87"/>
      <c r="I175" s="59" t="s">
        <v>232</v>
      </c>
      <c r="J175" s="59"/>
      <c r="K175" s="59"/>
      <c r="L175" s="59"/>
      <c r="M175" s="59"/>
      <c r="N175" s="59"/>
      <c r="O175" s="59"/>
      <c r="P175" s="62" t="s">
        <v>233</v>
      </c>
      <c r="Q175" s="62"/>
      <c r="R175" s="62"/>
      <c r="S175" s="62"/>
      <c r="T175" s="62"/>
      <c r="U175" s="88">
        <v>45658</v>
      </c>
      <c r="V175" s="88"/>
      <c r="W175" s="88"/>
      <c r="X175" s="88"/>
      <c r="Y175" s="61"/>
      <c r="Z175" s="61"/>
      <c r="AA175" s="61"/>
      <c r="AB175" s="61"/>
      <c r="AC175" s="61"/>
      <c r="AD175" s="16" t="s">
        <v>234</v>
      </c>
      <c r="AE175" s="62" t="s">
        <v>235</v>
      </c>
      <c r="AF175" s="62"/>
      <c r="AG175" s="62"/>
      <c r="AH175" s="62" t="s">
        <v>236</v>
      </c>
      <c r="AI175" s="62"/>
      <c r="AJ175" s="62"/>
      <c r="AK175" s="62"/>
      <c r="AL175" s="89">
        <v>313</v>
      </c>
      <c r="AM175" s="89"/>
      <c r="AN175" s="89"/>
      <c r="AO175" s="89"/>
    </row>
    <row r="176" spans="1:41" ht="21" customHeight="1" x14ac:dyDescent="0.2">
      <c r="A176" s="33">
        <v>444212</v>
      </c>
      <c r="B176" s="90">
        <v>16633294</v>
      </c>
      <c r="C176" s="90"/>
      <c r="D176" s="90"/>
      <c r="E176" s="91" t="s">
        <v>246</v>
      </c>
      <c r="F176" s="91"/>
      <c r="G176" s="91"/>
      <c r="H176" s="91"/>
      <c r="I176" s="42" t="s">
        <v>232</v>
      </c>
      <c r="J176" s="42"/>
      <c r="K176" s="42"/>
      <c r="L176" s="42"/>
      <c r="M176" s="42"/>
      <c r="N176" s="42"/>
      <c r="O176" s="42"/>
      <c r="P176" s="45" t="s">
        <v>233</v>
      </c>
      <c r="Q176" s="45"/>
      <c r="R176" s="45"/>
      <c r="S176" s="45"/>
      <c r="T176" s="45"/>
      <c r="U176" s="92">
        <v>45658</v>
      </c>
      <c r="V176" s="92"/>
      <c r="W176" s="92"/>
      <c r="X176" s="92"/>
      <c r="Y176" s="44"/>
      <c r="Z176" s="44"/>
      <c r="AA176" s="44"/>
      <c r="AB176" s="44"/>
      <c r="AC176" s="44"/>
      <c r="AD176" s="14" t="s">
        <v>234</v>
      </c>
      <c r="AE176" s="45" t="s">
        <v>235</v>
      </c>
      <c r="AF176" s="45"/>
      <c r="AG176" s="45"/>
      <c r="AH176" s="45" t="s">
        <v>238</v>
      </c>
      <c r="AI176" s="45"/>
      <c r="AJ176" s="45"/>
      <c r="AK176" s="45"/>
      <c r="AL176" s="93">
        <v>-313</v>
      </c>
      <c r="AM176" s="93"/>
      <c r="AN176" s="93"/>
      <c r="AO176" s="93"/>
    </row>
    <row r="177" spans="1:42" ht="12.95" customHeight="1" x14ac:dyDescent="0.2">
      <c r="A177" s="32">
        <v>443209</v>
      </c>
      <c r="B177" s="86">
        <v>16633294</v>
      </c>
      <c r="C177" s="86"/>
      <c r="D177" s="86"/>
      <c r="E177" s="87" t="s">
        <v>247</v>
      </c>
      <c r="F177" s="87"/>
      <c r="G177" s="87"/>
      <c r="H177" s="87"/>
      <c r="I177" s="59" t="s">
        <v>232</v>
      </c>
      <c r="J177" s="59"/>
      <c r="K177" s="59"/>
      <c r="L177" s="59"/>
      <c r="M177" s="59"/>
      <c r="N177" s="59"/>
      <c r="O177" s="59"/>
      <c r="P177" s="62" t="s">
        <v>233</v>
      </c>
      <c r="Q177" s="62"/>
      <c r="R177" s="62"/>
      <c r="S177" s="62"/>
      <c r="T177" s="62"/>
      <c r="U177" s="88">
        <v>45658</v>
      </c>
      <c r="V177" s="88"/>
      <c r="W177" s="88"/>
      <c r="X177" s="88"/>
      <c r="Y177" s="61"/>
      <c r="Z177" s="61"/>
      <c r="AA177" s="61"/>
      <c r="AB177" s="61"/>
      <c r="AC177" s="61"/>
      <c r="AD177" s="16" t="s">
        <v>234</v>
      </c>
      <c r="AE177" s="62" t="s">
        <v>235</v>
      </c>
      <c r="AF177" s="62"/>
      <c r="AG177" s="62"/>
      <c r="AH177" s="62" t="s">
        <v>236</v>
      </c>
      <c r="AI177" s="62"/>
      <c r="AJ177" s="62"/>
      <c r="AK177" s="62"/>
      <c r="AL177" s="89">
        <v>313</v>
      </c>
      <c r="AM177" s="89"/>
      <c r="AN177" s="89"/>
      <c r="AO177" s="89"/>
    </row>
    <row r="178" spans="1:42" ht="21.95" customHeight="1" x14ac:dyDescent="0.2">
      <c r="A178" s="33">
        <v>443209</v>
      </c>
      <c r="B178" s="90">
        <v>16633294</v>
      </c>
      <c r="C178" s="90"/>
      <c r="D178" s="90"/>
      <c r="E178" s="91" t="s">
        <v>248</v>
      </c>
      <c r="F178" s="91"/>
      <c r="G178" s="91"/>
      <c r="H178" s="91"/>
      <c r="I178" s="42" t="s">
        <v>232</v>
      </c>
      <c r="J178" s="42"/>
      <c r="K178" s="42"/>
      <c r="L178" s="42"/>
      <c r="M178" s="42"/>
      <c r="N178" s="42"/>
      <c r="O178" s="42"/>
      <c r="P178" s="45" t="s">
        <v>233</v>
      </c>
      <c r="Q178" s="45"/>
      <c r="R178" s="45"/>
      <c r="S178" s="45"/>
      <c r="T178" s="45"/>
      <c r="U178" s="92">
        <v>45658</v>
      </c>
      <c r="V178" s="92"/>
      <c r="W178" s="92"/>
      <c r="X178" s="92"/>
      <c r="Y178" s="44"/>
      <c r="Z178" s="44"/>
      <c r="AA178" s="44"/>
      <c r="AB178" s="44"/>
      <c r="AC178" s="44"/>
      <c r="AD178" s="14" t="s">
        <v>234</v>
      </c>
      <c r="AE178" s="45" t="s">
        <v>235</v>
      </c>
      <c r="AF178" s="45"/>
      <c r="AG178" s="45"/>
      <c r="AH178" s="45" t="s">
        <v>238</v>
      </c>
      <c r="AI178" s="45"/>
      <c r="AJ178" s="45"/>
      <c r="AK178" s="45"/>
      <c r="AL178" s="93">
        <v>-313</v>
      </c>
      <c r="AM178" s="93"/>
      <c r="AN178" s="93"/>
      <c r="AO178" s="93"/>
    </row>
    <row r="179" spans="1:42" ht="12" customHeight="1" x14ac:dyDescent="0.2">
      <c r="A179" s="32">
        <v>440990</v>
      </c>
      <c r="B179" s="86">
        <v>16633294</v>
      </c>
      <c r="C179" s="86"/>
      <c r="D179" s="86"/>
      <c r="E179" s="87" t="s">
        <v>249</v>
      </c>
      <c r="F179" s="87"/>
      <c r="G179" s="87"/>
      <c r="H179" s="87"/>
      <c r="I179" s="59" t="s">
        <v>232</v>
      </c>
      <c r="J179" s="59"/>
      <c r="K179" s="59"/>
      <c r="L179" s="59"/>
      <c r="M179" s="59"/>
      <c r="N179" s="59"/>
      <c r="O179" s="59"/>
      <c r="P179" s="62" t="s">
        <v>233</v>
      </c>
      <c r="Q179" s="62"/>
      <c r="R179" s="62"/>
      <c r="S179" s="62"/>
      <c r="T179" s="62"/>
      <c r="U179" s="88">
        <v>45658</v>
      </c>
      <c r="V179" s="88"/>
      <c r="W179" s="88"/>
      <c r="X179" s="88"/>
      <c r="Y179" s="61"/>
      <c r="Z179" s="61"/>
      <c r="AA179" s="61"/>
      <c r="AB179" s="61"/>
      <c r="AC179" s="61"/>
      <c r="AD179" s="16" t="s">
        <v>234</v>
      </c>
      <c r="AE179" s="62" t="s">
        <v>235</v>
      </c>
      <c r="AF179" s="62"/>
      <c r="AG179" s="62"/>
      <c r="AH179" s="62" t="s">
        <v>236</v>
      </c>
      <c r="AI179" s="62"/>
      <c r="AJ179" s="62"/>
      <c r="AK179" s="62"/>
      <c r="AL179" s="89">
        <v>313</v>
      </c>
      <c r="AM179" s="89"/>
      <c r="AN179" s="89"/>
      <c r="AO179" s="89"/>
    </row>
    <row r="180" spans="1:42" ht="21.95" customHeight="1" x14ac:dyDescent="0.2">
      <c r="A180" s="33">
        <v>440990</v>
      </c>
      <c r="B180" s="90">
        <v>16633294</v>
      </c>
      <c r="C180" s="90"/>
      <c r="D180" s="90"/>
      <c r="E180" s="91" t="s">
        <v>249</v>
      </c>
      <c r="F180" s="91"/>
      <c r="G180" s="91"/>
      <c r="H180" s="91"/>
      <c r="I180" s="42" t="s">
        <v>232</v>
      </c>
      <c r="J180" s="42"/>
      <c r="K180" s="42"/>
      <c r="L180" s="42"/>
      <c r="M180" s="42"/>
      <c r="N180" s="42"/>
      <c r="O180" s="42"/>
      <c r="P180" s="45" t="s">
        <v>233</v>
      </c>
      <c r="Q180" s="45"/>
      <c r="R180" s="45"/>
      <c r="S180" s="45"/>
      <c r="T180" s="45"/>
      <c r="U180" s="92">
        <v>45658</v>
      </c>
      <c r="V180" s="92"/>
      <c r="W180" s="92"/>
      <c r="X180" s="92"/>
      <c r="Y180" s="44"/>
      <c r="Z180" s="44"/>
      <c r="AA180" s="44"/>
      <c r="AB180" s="44"/>
      <c r="AC180" s="44"/>
      <c r="AD180" s="14" t="s">
        <v>234</v>
      </c>
      <c r="AE180" s="45" t="s">
        <v>235</v>
      </c>
      <c r="AF180" s="45"/>
      <c r="AG180" s="45"/>
      <c r="AH180" s="45" t="s">
        <v>238</v>
      </c>
      <c r="AI180" s="45"/>
      <c r="AJ180" s="45"/>
      <c r="AK180" s="45"/>
      <c r="AL180" s="93">
        <v>-313</v>
      </c>
      <c r="AM180" s="93"/>
      <c r="AN180" s="93"/>
      <c r="AO180" s="93"/>
    </row>
    <row r="181" spans="1:42" ht="12" customHeight="1" x14ac:dyDescent="0.2">
      <c r="A181" s="32">
        <v>445753</v>
      </c>
      <c r="B181" s="86">
        <v>16633294</v>
      </c>
      <c r="C181" s="86"/>
      <c r="D181" s="86"/>
      <c r="E181" s="87" t="s">
        <v>250</v>
      </c>
      <c r="F181" s="87"/>
      <c r="G181" s="87"/>
      <c r="H181" s="87"/>
      <c r="I181" s="59" t="s">
        <v>232</v>
      </c>
      <c r="J181" s="59"/>
      <c r="K181" s="59"/>
      <c r="L181" s="59"/>
      <c r="M181" s="59"/>
      <c r="N181" s="59"/>
      <c r="O181" s="59"/>
      <c r="P181" s="62" t="s">
        <v>233</v>
      </c>
      <c r="Q181" s="62"/>
      <c r="R181" s="62"/>
      <c r="S181" s="62"/>
      <c r="T181" s="62"/>
      <c r="U181" s="88">
        <v>45658</v>
      </c>
      <c r="V181" s="88"/>
      <c r="W181" s="88"/>
      <c r="X181" s="88"/>
      <c r="Y181" s="61"/>
      <c r="Z181" s="61"/>
      <c r="AA181" s="61"/>
      <c r="AB181" s="61"/>
      <c r="AC181" s="61"/>
      <c r="AD181" s="16" t="s">
        <v>234</v>
      </c>
      <c r="AE181" s="62" t="s">
        <v>235</v>
      </c>
      <c r="AF181" s="62"/>
      <c r="AG181" s="62"/>
      <c r="AH181" s="62" t="s">
        <v>236</v>
      </c>
      <c r="AI181" s="62"/>
      <c r="AJ181" s="62"/>
      <c r="AK181" s="62"/>
      <c r="AL181" s="89">
        <v>313</v>
      </c>
      <c r="AM181" s="89"/>
      <c r="AN181" s="89"/>
      <c r="AO181" s="89"/>
    </row>
    <row r="182" spans="1:42" ht="21.95" customHeight="1" x14ac:dyDescent="0.2">
      <c r="A182" s="33">
        <v>445753</v>
      </c>
      <c r="B182" s="90">
        <v>16633294</v>
      </c>
      <c r="C182" s="90"/>
      <c r="D182" s="90"/>
      <c r="E182" s="91" t="s">
        <v>250</v>
      </c>
      <c r="F182" s="91"/>
      <c r="G182" s="91"/>
      <c r="H182" s="91"/>
      <c r="I182" s="42" t="s">
        <v>232</v>
      </c>
      <c r="J182" s="42"/>
      <c r="K182" s="42"/>
      <c r="L182" s="42"/>
      <c r="M182" s="42"/>
      <c r="N182" s="42"/>
      <c r="O182" s="42"/>
      <c r="P182" s="45" t="s">
        <v>233</v>
      </c>
      <c r="Q182" s="45"/>
      <c r="R182" s="45"/>
      <c r="S182" s="45"/>
      <c r="T182" s="45"/>
      <c r="U182" s="92">
        <v>45658</v>
      </c>
      <c r="V182" s="92"/>
      <c r="W182" s="92"/>
      <c r="X182" s="92"/>
      <c r="Y182" s="44"/>
      <c r="Z182" s="44"/>
      <c r="AA182" s="44"/>
      <c r="AB182" s="44"/>
      <c r="AC182" s="44"/>
      <c r="AD182" s="14" t="s">
        <v>234</v>
      </c>
      <c r="AE182" s="45" t="s">
        <v>235</v>
      </c>
      <c r="AF182" s="45"/>
      <c r="AG182" s="45"/>
      <c r="AH182" s="45" t="s">
        <v>238</v>
      </c>
      <c r="AI182" s="45"/>
      <c r="AJ182" s="45"/>
      <c r="AK182" s="45"/>
      <c r="AL182" s="93">
        <v>-313</v>
      </c>
      <c r="AM182" s="93"/>
      <c r="AN182" s="93"/>
      <c r="AO182" s="93"/>
    </row>
    <row r="183" spans="1:42" ht="12" customHeight="1" x14ac:dyDescent="0.2">
      <c r="A183" s="32">
        <v>446673</v>
      </c>
      <c r="B183" s="86">
        <v>16633294</v>
      </c>
      <c r="C183" s="86"/>
      <c r="D183" s="86"/>
      <c r="E183" s="87" t="s">
        <v>251</v>
      </c>
      <c r="F183" s="87"/>
      <c r="G183" s="87"/>
      <c r="H183" s="87"/>
      <c r="I183" s="59" t="s">
        <v>232</v>
      </c>
      <c r="J183" s="59"/>
      <c r="K183" s="59"/>
      <c r="L183" s="59"/>
      <c r="M183" s="59"/>
      <c r="N183" s="59"/>
      <c r="O183" s="59"/>
      <c r="P183" s="62" t="s">
        <v>233</v>
      </c>
      <c r="Q183" s="62"/>
      <c r="R183" s="62"/>
      <c r="S183" s="62"/>
      <c r="T183" s="62"/>
      <c r="U183" s="88">
        <v>45658</v>
      </c>
      <c r="V183" s="88"/>
      <c r="W183" s="88"/>
      <c r="X183" s="88"/>
      <c r="Y183" s="61"/>
      <c r="Z183" s="61"/>
      <c r="AA183" s="61"/>
      <c r="AB183" s="61"/>
      <c r="AC183" s="61"/>
      <c r="AD183" s="16" t="s">
        <v>234</v>
      </c>
      <c r="AE183" s="62" t="s">
        <v>235</v>
      </c>
      <c r="AF183" s="62"/>
      <c r="AG183" s="62"/>
      <c r="AH183" s="62" t="s">
        <v>236</v>
      </c>
      <c r="AI183" s="62"/>
      <c r="AJ183" s="62"/>
      <c r="AK183" s="62"/>
      <c r="AL183" s="89">
        <v>313</v>
      </c>
      <c r="AM183" s="89"/>
      <c r="AN183" s="89"/>
      <c r="AO183" s="89"/>
    </row>
    <row r="184" spans="1:42" ht="14.45" customHeight="1" x14ac:dyDescent="0.2">
      <c r="A184" s="33">
        <v>446673</v>
      </c>
      <c r="B184" s="90">
        <v>16633294</v>
      </c>
      <c r="C184" s="90"/>
      <c r="D184" s="90"/>
      <c r="E184" s="91" t="s">
        <v>252</v>
      </c>
      <c r="F184" s="91"/>
      <c r="G184" s="91"/>
      <c r="H184" s="91"/>
      <c r="I184" s="42" t="s">
        <v>232</v>
      </c>
      <c r="J184" s="42"/>
      <c r="K184" s="42"/>
      <c r="L184" s="42"/>
      <c r="M184" s="42"/>
      <c r="N184" s="42"/>
      <c r="O184" s="42"/>
      <c r="P184" s="45" t="s">
        <v>233</v>
      </c>
      <c r="Q184" s="45"/>
      <c r="R184" s="45"/>
      <c r="S184" s="45"/>
      <c r="T184" s="45"/>
      <c r="U184" s="92">
        <v>45658</v>
      </c>
      <c r="V184" s="92"/>
      <c r="W184" s="92"/>
      <c r="X184" s="92"/>
      <c r="Y184" s="44"/>
      <c r="Z184" s="44"/>
      <c r="AA184" s="44"/>
      <c r="AB184" s="44"/>
      <c r="AC184" s="44"/>
      <c r="AD184" s="14" t="s">
        <v>234</v>
      </c>
      <c r="AE184" s="45" t="s">
        <v>235</v>
      </c>
      <c r="AF184" s="45"/>
      <c r="AG184" s="45"/>
      <c r="AH184" s="45" t="s">
        <v>238</v>
      </c>
      <c r="AI184" s="45"/>
      <c r="AJ184" s="45"/>
      <c r="AK184" s="45"/>
      <c r="AL184" s="93">
        <v>-313</v>
      </c>
      <c r="AM184" s="93"/>
      <c r="AN184" s="93"/>
      <c r="AO184" s="93"/>
    </row>
    <row r="185" spans="1:42" ht="30.6" customHeight="1" x14ac:dyDescent="0.2">
      <c r="A185" s="79" t="s">
        <v>17</v>
      </c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2"/>
    </row>
    <row r="186" spans="1:42" ht="24" customHeight="1" x14ac:dyDescent="0.2">
      <c r="A186" s="7" t="s">
        <v>39</v>
      </c>
      <c r="B186" s="80" t="s">
        <v>40</v>
      </c>
      <c r="C186" s="80"/>
      <c r="D186" s="80"/>
      <c r="E186" s="81" t="s">
        <v>41</v>
      </c>
      <c r="F186" s="81"/>
      <c r="G186" s="81"/>
      <c r="H186" s="81"/>
      <c r="I186" s="82" t="s">
        <v>42</v>
      </c>
      <c r="J186" s="82"/>
      <c r="K186" s="82"/>
      <c r="L186" s="82"/>
      <c r="M186" s="82"/>
      <c r="N186" s="82"/>
      <c r="O186" s="83" t="s">
        <v>43</v>
      </c>
      <c r="P186" s="83"/>
      <c r="Q186" s="83"/>
      <c r="R186" s="83"/>
      <c r="S186" s="83"/>
      <c r="T186" s="83"/>
      <c r="U186" s="83" t="s">
        <v>44</v>
      </c>
      <c r="V186" s="83"/>
      <c r="W186" s="83"/>
      <c r="X186" s="83"/>
      <c r="Y186" s="80" t="s">
        <v>45</v>
      </c>
      <c r="Z186" s="80"/>
      <c r="AA186" s="80"/>
      <c r="AB186" s="84" t="s">
        <v>46</v>
      </c>
      <c r="AC186" s="84"/>
      <c r="AD186" s="8" t="s">
        <v>47</v>
      </c>
      <c r="AE186" s="83" t="s">
        <v>48</v>
      </c>
      <c r="AF186" s="83"/>
      <c r="AG186" s="83"/>
      <c r="AH186" s="80" t="s">
        <v>49</v>
      </c>
      <c r="AI186" s="80"/>
      <c r="AJ186" s="80"/>
      <c r="AK186" s="80"/>
      <c r="AL186" s="83" t="s">
        <v>50</v>
      </c>
      <c r="AM186" s="83"/>
      <c r="AN186" s="83"/>
      <c r="AO186" s="83"/>
      <c r="AP186" s="2"/>
    </row>
    <row r="187" spans="1:42" ht="5.25" customHeight="1" x14ac:dyDescent="0.2">
      <c r="A187" s="9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9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1"/>
    </row>
    <row r="188" spans="1:42" ht="12" customHeight="1" x14ac:dyDescent="0.2">
      <c r="A188" s="30">
        <v>446121</v>
      </c>
      <c r="B188" s="57">
        <v>16633294</v>
      </c>
      <c r="C188" s="57"/>
      <c r="D188" s="57"/>
      <c r="E188" s="58" t="s">
        <v>253</v>
      </c>
      <c r="F188" s="58"/>
      <c r="G188" s="58"/>
      <c r="H188" s="58"/>
      <c r="I188" s="59" t="s">
        <v>181</v>
      </c>
      <c r="J188" s="59"/>
      <c r="K188" s="59"/>
      <c r="L188" s="59"/>
      <c r="M188" s="59"/>
      <c r="N188" s="59"/>
      <c r="O188" s="62" t="s">
        <v>182</v>
      </c>
      <c r="P188" s="62"/>
      <c r="Q188" s="62"/>
      <c r="R188" s="62"/>
      <c r="S188" s="62"/>
      <c r="T188" s="62"/>
      <c r="U188" s="64">
        <v>45658</v>
      </c>
      <c r="V188" s="64"/>
      <c r="W188" s="64"/>
      <c r="X188" s="64"/>
      <c r="Y188" s="61"/>
      <c r="Z188" s="61"/>
      <c r="AA188" s="61"/>
      <c r="AB188" s="61"/>
      <c r="AC188" s="61"/>
      <c r="AD188" s="16" t="s">
        <v>183</v>
      </c>
      <c r="AE188" s="62" t="s">
        <v>184</v>
      </c>
      <c r="AF188" s="62"/>
      <c r="AG188" s="62"/>
      <c r="AH188" s="62" t="s">
        <v>185</v>
      </c>
      <c r="AI188" s="62"/>
      <c r="AJ188" s="62"/>
      <c r="AK188" s="62"/>
      <c r="AL188" s="75">
        <v>313</v>
      </c>
      <c r="AM188" s="75"/>
      <c r="AN188" s="75"/>
      <c r="AO188" s="75"/>
      <c r="AP188" s="1"/>
    </row>
    <row r="189" spans="1:42" ht="21.95" customHeight="1" x14ac:dyDescent="0.2">
      <c r="A189" s="31">
        <v>446121</v>
      </c>
      <c r="B189" s="76">
        <v>16633294</v>
      </c>
      <c r="C189" s="76"/>
      <c r="D189" s="76"/>
      <c r="E189" s="41" t="s">
        <v>254</v>
      </c>
      <c r="F189" s="41"/>
      <c r="G189" s="41"/>
      <c r="H189" s="41"/>
      <c r="I189" s="42" t="s">
        <v>181</v>
      </c>
      <c r="J189" s="42"/>
      <c r="K189" s="42"/>
      <c r="L189" s="42"/>
      <c r="M189" s="42"/>
      <c r="N189" s="42"/>
      <c r="O189" s="45" t="s">
        <v>182</v>
      </c>
      <c r="P189" s="45"/>
      <c r="Q189" s="45"/>
      <c r="R189" s="45"/>
      <c r="S189" s="45"/>
      <c r="T189" s="45"/>
      <c r="U189" s="77">
        <v>45658</v>
      </c>
      <c r="V189" s="77"/>
      <c r="W189" s="77"/>
      <c r="X189" s="77"/>
      <c r="Y189" s="44"/>
      <c r="Z189" s="44"/>
      <c r="AA189" s="44"/>
      <c r="AB189" s="44"/>
      <c r="AC189" s="44"/>
      <c r="AD189" s="14" t="s">
        <v>183</v>
      </c>
      <c r="AE189" s="45" t="s">
        <v>187</v>
      </c>
      <c r="AF189" s="45"/>
      <c r="AG189" s="45"/>
      <c r="AH189" s="45" t="s">
        <v>59</v>
      </c>
      <c r="AI189" s="45"/>
      <c r="AJ189" s="45"/>
      <c r="AK189" s="45"/>
      <c r="AL189" s="78">
        <v>-313</v>
      </c>
      <c r="AM189" s="78"/>
      <c r="AN189" s="78"/>
      <c r="AO189" s="78"/>
      <c r="AP189" s="2"/>
    </row>
    <row r="190" spans="1:42" ht="12" customHeight="1" x14ac:dyDescent="0.2">
      <c r="A190" s="34">
        <v>447931</v>
      </c>
      <c r="B190" s="74">
        <v>16633294</v>
      </c>
      <c r="C190" s="74"/>
      <c r="D190" s="74"/>
      <c r="E190" s="58" t="s">
        <v>255</v>
      </c>
      <c r="F190" s="58"/>
      <c r="G190" s="58"/>
      <c r="H190" s="58"/>
      <c r="I190" s="59" t="s">
        <v>181</v>
      </c>
      <c r="J190" s="59"/>
      <c r="K190" s="59"/>
      <c r="L190" s="59"/>
      <c r="M190" s="59"/>
      <c r="N190" s="59"/>
      <c r="O190" s="62" t="s">
        <v>182</v>
      </c>
      <c r="P190" s="62"/>
      <c r="Q190" s="62"/>
      <c r="R190" s="62"/>
      <c r="S190" s="62"/>
      <c r="T190" s="62"/>
      <c r="U190" s="64">
        <v>45658</v>
      </c>
      <c r="V190" s="64"/>
      <c r="W190" s="64"/>
      <c r="X190" s="64"/>
      <c r="Y190" s="61"/>
      <c r="Z190" s="61"/>
      <c r="AA190" s="61"/>
      <c r="AB190" s="61"/>
      <c r="AC190" s="61"/>
      <c r="AD190" s="16" t="s">
        <v>256</v>
      </c>
      <c r="AE190" s="62" t="s">
        <v>187</v>
      </c>
      <c r="AF190" s="62"/>
      <c r="AG190" s="62"/>
      <c r="AH190" s="62" t="s">
        <v>191</v>
      </c>
      <c r="AI190" s="62"/>
      <c r="AJ190" s="62"/>
      <c r="AK190" s="62"/>
      <c r="AL190" s="75">
        <v>313</v>
      </c>
      <c r="AM190" s="75"/>
      <c r="AN190" s="75"/>
      <c r="AO190" s="75"/>
      <c r="AP190" s="1"/>
    </row>
    <row r="191" spans="1:42" ht="21.95" customHeight="1" x14ac:dyDescent="0.2">
      <c r="A191" s="31">
        <v>447931</v>
      </c>
      <c r="B191" s="76">
        <v>16633294</v>
      </c>
      <c r="C191" s="76"/>
      <c r="D191" s="76"/>
      <c r="E191" s="41" t="s">
        <v>257</v>
      </c>
      <c r="F191" s="41"/>
      <c r="G191" s="41"/>
      <c r="H191" s="41"/>
      <c r="I191" s="42" t="s">
        <v>181</v>
      </c>
      <c r="J191" s="42"/>
      <c r="K191" s="42"/>
      <c r="L191" s="42"/>
      <c r="M191" s="42"/>
      <c r="N191" s="42"/>
      <c r="O191" s="45" t="s">
        <v>182</v>
      </c>
      <c r="P191" s="45"/>
      <c r="Q191" s="45"/>
      <c r="R191" s="45"/>
      <c r="S191" s="45"/>
      <c r="T191" s="45"/>
      <c r="U191" s="77">
        <v>45658</v>
      </c>
      <c r="V191" s="77"/>
      <c r="W191" s="77"/>
      <c r="X191" s="77"/>
      <c r="Y191" s="44"/>
      <c r="Z191" s="44"/>
      <c r="AA191" s="44"/>
      <c r="AB191" s="44"/>
      <c r="AC191" s="44"/>
      <c r="AD191" s="14" t="s">
        <v>183</v>
      </c>
      <c r="AE191" s="45" t="s">
        <v>184</v>
      </c>
      <c r="AF191" s="45"/>
      <c r="AG191" s="45"/>
      <c r="AH191" s="45" t="s">
        <v>59</v>
      </c>
      <c r="AI191" s="45"/>
      <c r="AJ191" s="45"/>
      <c r="AK191" s="45"/>
      <c r="AL191" s="78">
        <v>-313</v>
      </c>
      <c r="AM191" s="78"/>
      <c r="AN191" s="78"/>
      <c r="AO191" s="78"/>
      <c r="AP191" s="2"/>
    </row>
    <row r="192" spans="1:42" ht="12" customHeight="1" x14ac:dyDescent="0.2">
      <c r="A192" s="30">
        <v>443229</v>
      </c>
      <c r="B192" s="74">
        <v>16633294</v>
      </c>
      <c r="C192" s="74"/>
      <c r="D192" s="74"/>
      <c r="E192" s="58" t="s">
        <v>258</v>
      </c>
      <c r="F192" s="58"/>
      <c r="G192" s="58"/>
      <c r="H192" s="58"/>
      <c r="I192" s="59" t="s">
        <v>181</v>
      </c>
      <c r="J192" s="59"/>
      <c r="K192" s="59"/>
      <c r="L192" s="59"/>
      <c r="M192" s="59"/>
      <c r="N192" s="59"/>
      <c r="O192" s="62" t="s">
        <v>182</v>
      </c>
      <c r="P192" s="62"/>
      <c r="Q192" s="62"/>
      <c r="R192" s="62"/>
      <c r="S192" s="62"/>
      <c r="T192" s="62"/>
      <c r="U192" s="60">
        <v>45658</v>
      </c>
      <c r="V192" s="60"/>
      <c r="W192" s="60"/>
      <c r="X192" s="60"/>
      <c r="Y192" s="61"/>
      <c r="Z192" s="61"/>
      <c r="AA192" s="61"/>
      <c r="AB192" s="61"/>
      <c r="AC192" s="61"/>
      <c r="AD192" s="16" t="s">
        <v>183</v>
      </c>
      <c r="AE192" s="62" t="s">
        <v>184</v>
      </c>
      <c r="AF192" s="62"/>
      <c r="AG192" s="62"/>
      <c r="AH192" s="62" t="s">
        <v>185</v>
      </c>
      <c r="AI192" s="62"/>
      <c r="AJ192" s="62"/>
      <c r="AK192" s="62"/>
      <c r="AL192" s="75">
        <v>313</v>
      </c>
      <c r="AM192" s="75"/>
      <c r="AN192" s="75"/>
      <c r="AO192" s="75"/>
      <c r="AP192" s="1"/>
    </row>
    <row r="193" spans="1:42" ht="21.95" customHeight="1" x14ac:dyDescent="0.2">
      <c r="A193" s="31">
        <v>443229</v>
      </c>
      <c r="B193" s="76">
        <v>16633294</v>
      </c>
      <c r="C193" s="76"/>
      <c r="D193" s="76"/>
      <c r="E193" s="41" t="s">
        <v>259</v>
      </c>
      <c r="F193" s="41"/>
      <c r="G193" s="41"/>
      <c r="H193" s="41"/>
      <c r="I193" s="42" t="s">
        <v>181</v>
      </c>
      <c r="J193" s="42"/>
      <c r="K193" s="42"/>
      <c r="L193" s="42"/>
      <c r="M193" s="42"/>
      <c r="N193" s="42"/>
      <c r="O193" s="45" t="s">
        <v>196</v>
      </c>
      <c r="P193" s="45"/>
      <c r="Q193" s="45"/>
      <c r="R193" s="45"/>
      <c r="S193" s="45"/>
      <c r="T193" s="45"/>
      <c r="U193" s="77">
        <v>45658</v>
      </c>
      <c r="V193" s="77"/>
      <c r="W193" s="77"/>
      <c r="X193" s="77"/>
      <c r="Y193" s="44"/>
      <c r="Z193" s="44"/>
      <c r="AA193" s="44"/>
      <c r="AB193" s="44"/>
      <c r="AC193" s="44"/>
      <c r="AD193" s="14" t="s">
        <v>183</v>
      </c>
      <c r="AE193" s="45" t="s">
        <v>184</v>
      </c>
      <c r="AF193" s="45"/>
      <c r="AG193" s="45"/>
      <c r="AH193" s="45" t="s">
        <v>59</v>
      </c>
      <c r="AI193" s="45"/>
      <c r="AJ193" s="45"/>
      <c r="AK193" s="45"/>
      <c r="AL193" s="78">
        <v>-313</v>
      </c>
      <c r="AM193" s="78"/>
      <c r="AN193" s="78"/>
      <c r="AO193" s="78"/>
      <c r="AP193" s="2"/>
    </row>
    <row r="194" spans="1:42" ht="12" customHeight="1" x14ac:dyDescent="0.2">
      <c r="A194" s="30">
        <v>443227</v>
      </c>
      <c r="B194" s="57">
        <v>16633294</v>
      </c>
      <c r="C194" s="57"/>
      <c r="D194" s="57"/>
      <c r="E194" s="58" t="s">
        <v>260</v>
      </c>
      <c r="F194" s="58"/>
      <c r="G194" s="58"/>
      <c r="H194" s="58"/>
      <c r="I194" s="59" t="s">
        <v>181</v>
      </c>
      <c r="J194" s="59"/>
      <c r="K194" s="59"/>
      <c r="L194" s="59"/>
      <c r="M194" s="59"/>
      <c r="N194" s="59"/>
      <c r="O194" s="62" t="s">
        <v>182</v>
      </c>
      <c r="P194" s="62"/>
      <c r="Q194" s="62"/>
      <c r="R194" s="62"/>
      <c r="S194" s="62"/>
      <c r="T194" s="62"/>
      <c r="U194" s="60">
        <v>45658</v>
      </c>
      <c r="V194" s="60"/>
      <c r="W194" s="60"/>
      <c r="X194" s="60"/>
      <c r="Y194" s="60">
        <v>45688</v>
      </c>
      <c r="Z194" s="60"/>
      <c r="AA194" s="60"/>
      <c r="AB194" s="73">
        <v>13</v>
      </c>
      <c r="AC194" s="73"/>
      <c r="AD194" s="16" t="s">
        <v>183</v>
      </c>
      <c r="AE194" s="62" t="s">
        <v>184</v>
      </c>
      <c r="AF194" s="62"/>
      <c r="AG194" s="62"/>
      <c r="AH194" s="62" t="s">
        <v>59</v>
      </c>
      <c r="AI194" s="62"/>
      <c r="AJ194" s="62"/>
      <c r="AK194" s="62"/>
      <c r="AL194" s="65">
        <v>-313</v>
      </c>
      <c r="AM194" s="65"/>
      <c r="AN194" s="65"/>
      <c r="AO194" s="65"/>
      <c r="AP194" s="1"/>
    </row>
    <row r="195" spans="1:42" ht="21.95" customHeight="1" x14ac:dyDescent="0.2">
      <c r="A195" s="31">
        <v>448301</v>
      </c>
      <c r="B195" s="40">
        <v>16633294</v>
      </c>
      <c r="C195" s="40"/>
      <c r="D195" s="40"/>
      <c r="E195" s="41" t="s">
        <v>261</v>
      </c>
      <c r="F195" s="41"/>
      <c r="G195" s="41"/>
      <c r="H195" s="41"/>
      <c r="I195" s="42" t="s">
        <v>181</v>
      </c>
      <c r="J195" s="42"/>
      <c r="K195" s="42"/>
      <c r="L195" s="42"/>
      <c r="M195" s="42"/>
      <c r="N195" s="42"/>
      <c r="O195" s="45" t="s">
        <v>182</v>
      </c>
      <c r="P195" s="45"/>
      <c r="Q195" s="45"/>
      <c r="R195" s="45"/>
      <c r="S195" s="45"/>
      <c r="T195" s="45"/>
      <c r="U195" s="43">
        <v>45658</v>
      </c>
      <c r="V195" s="43"/>
      <c r="W195" s="43"/>
      <c r="X195" s="43"/>
      <c r="Y195" s="44"/>
      <c r="Z195" s="44"/>
      <c r="AA195" s="44"/>
      <c r="AB195" s="44"/>
      <c r="AC195" s="44"/>
      <c r="AD195" s="14" t="s">
        <v>183</v>
      </c>
      <c r="AE195" s="45" t="s">
        <v>193</v>
      </c>
      <c r="AF195" s="45"/>
      <c r="AG195" s="45"/>
      <c r="AH195" s="45" t="s">
        <v>191</v>
      </c>
      <c r="AI195" s="45"/>
      <c r="AJ195" s="45"/>
      <c r="AK195" s="45"/>
      <c r="AL195" s="46">
        <v>626</v>
      </c>
      <c r="AM195" s="46"/>
      <c r="AN195" s="46"/>
      <c r="AO195" s="46"/>
      <c r="AP195" s="2"/>
    </row>
    <row r="196" spans="1:42" ht="12" customHeight="1" x14ac:dyDescent="0.2">
      <c r="A196" s="30">
        <v>448301</v>
      </c>
      <c r="B196" s="57">
        <v>16633294</v>
      </c>
      <c r="C196" s="57"/>
      <c r="D196" s="57"/>
      <c r="E196" s="58" t="s">
        <v>262</v>
      </c>
      <c r="F196" s="58"/>
      <c r="G196" s="58"/>
      <c r="H196" s="58"/>
      <c r="I196" s="59" t="s">
        <v>195</v>
      </c>
      <c r="J196" s="59"/>
      <c r="K196" s="59"/>
      <c r="L196" s="59"/>
      <c r="M196" s="59"/>
      <c r="N196" s="59"/>
      <c r="O196" s="62" t="s">
        <v>182</v>
      </c>
      <c r="P196" s="62"/>
      <c r="Q196" s="62"/>
      <c r="R196" s="62"/>
      <c r="S196" s="62"/>
      <c r="T196" s="62"/>
      <c r="U196" s="64">
        <v>45658</v>
      </c>
      <c r="V196" s="64"/>
      <c r="W196" s="64"/>
      <c r="X196" s="64"/>
      <c r="Y196" s="61"/>
      <c r="Z196" s="61"/>
      <c r="AA196" s="61"/>
      <c r="AB196" s="61"/>
      <c r="AC196" s="61"/>
      <c r="AD196" s="16" t="s">
        <v>183</v>
      </c>
      <c r="AE196" s="62" t="s">
        <v>190</v>
      </c>
      <c r="AF196" s="62"/>
      <c r="AG196" s="62"/>
      <c r="AH196" s="62" t="s">
        <v>59</v>
      </c>
      <c r="AI196" s="62"/>
      <c r="AJ196" s="62"/>
      <c r="AK196" s="62"/>
      <c r="AL196" s="65">
        <v>-626</v>
      </c>
      <c r="AM196" s="65"/>
      <c r="AN196" s="65"/>
      <c r="AO196" s="65"/>
      <c r="AP196" s="1"/>
    </row>
    <row r="197" spans="1:42" ht="24.95" customHeight="1" x14ac:dyDescent="0.2">
      <c r="A197" s="66" t="s">
        <v>263</v>
      </c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2"/>
    </row>
    <row r="198" spans="1:42" ht="13.5" customHeight="1" x14ac:dyDescent="0.2">
      <c r="A198" s="67" t="s">
        <v>264</v>
      </c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1"/>
    </row>
    <row r="199" spans="1:42" ht="24.95" customHeight="1" x14ac:dyDescent="0.2">
      <c r="A199" s="35" t="s">
        <v>39</v>
      </c>
      <c r="B199" s="68" t="s">
        <v>40</v>
      </c>
      <c r="C199" s="68"/>
      <c r="D199" s="68"/>
      <c r="E199" s="69" t="s">
        <v>41</v>
      </c>
      <c r="F199" s="69"/>
      <c r="G199" s="69"/>
      <c r="H199" s="69"/>
      <c r="I199" s="70" t="s">
        <v>42</v>
      </c>
      <c r="J199" s="70"/>
      <c r="K199" s="70"/>
      <c r="L199" s="70"/>
      <c r="M199" s="70"/>
      <c r="N199" s="70"/>
      <c r="O199" s="71" t="s">
        <v>43</v>
      </c>
      <c r="P199" s="71"/>
      <c r="Q199" s="71"/>
      <c r="R199" s="71"/>
      <c r="S199" s="71"/>
      <c r="T199" s="71"/>
      <c r="U199" s="71" t="s">
        <v>44</v>
      </c>
      <c r="V199" s="71"/>
      <c r="W199" s="71"/>
      <c r="X199" s="71"/>
      <c r="Y199" s="68" t="s">
        <v>45</v>
      </c>
      <c r="Z199" s="68"/>
      <c r="AA199" s="68"/>
      <c r="AB199" s="72" t="s">
        <v>46</v>
      </c>
      <c r="AC199" s="72"/>
      <c r="AD199" s="36" t="s">
        <v>47</v>
      </c>
      <c r="AE199" s="71" t="s">
        <v>48</v>
      </c>
      <c r="AF199" s="71"/>
      <c r="AG199" s="71"/>
      <c r="AH199" s="68" t="s">
        <v>49</v>
      </c>
      <c r="AI199" s="68"/>
      <c r="AJ199" s="68"/>
      <c r="AK199" s="68"/>
      <c r="AL199" s="71" t="s">
        <v>50</v>
      </c>
      <c r="AM199" s="71"/>
      <c r="AN199" s="71"/>
      <c r="AO199" s="71"/>
      <c r="AP199" s="2"/>
    </row>
    <row r="200" spans="1:42" ht="21" customHeight="1" x14ac:dyDescent="0.2">
      <c r="A200" s="29">
        <v>439729</v>
      </c>
      <c r="B200" s="50">
        <v>16633294</v>
      </c>
      <c r="C200" s="50"/>
      <c r="D200" s="50"/>
      <c r="E200" s="51" t="s">
        <v>265</v>
      </c>
      <c r="F200" s="51"/>
      <c r="G200" s="51"/>
      <c r="H200" s="51"/>
      <c r="I200" s="52" t="s">
        <v>181</v>
      </c>
      <c r="J200" s="52"/>
      <c r="K200" s="52"/>
      <c r="L200" s="52"/>
      <c r="M200" s="52"/>
      <c r="N200" s="52"/>
      <c r="O200" s="51" t="s">
        <v>266</v>
      </c>
      <c r="P200" s="51"/>
      <c r="Q200" s="51"/>
      <c r="R200" s="51"/>
      <c r="S200" s="51"/>
      <c r="T200" s="51"/>
      <c r="U200" s="53">
        <v>45597</v>
      </c>
      <c r="V200" s="53"/>
      <c r="W200" s="53"/>
      <c r="X200" s="53"/>
      <c r="Y200" s="54"/>
      <c r="Z200" s="54"/>
      <c r="AA200" s="54"/>
      <c r="AB200" s="54"/>
      <c r="AC200" s="54"/>
      <c r="AD200" s="22" t="s">
        <v>183</v>
      </c>
      <c r="AE200" s="55" t="s">
        <v>267</v>
      </c>
      <c r="AF200" s="55"/>
      <c r="AG200" s="55"/>
      <c r="AH200" s="55" t="s">
        <v>185</v>
      </c>
      <c r="AI200" s="55"/>
      <c r="AJ200" s="55"/>
      <c r="AK200" s="55"/>
      <c r="AL200" s="56">
        <v>26.08</v>
      </c>
      <c r="AM200" s="56"/>
      <c r="AN200" s="56"/>
      <c r="AO200" s="56"/>
      <c r="AP200" s="2"/>
    </row>
    <row r="201" spans="1:42" ht="12" customHeight="1" x14ac:dyDescent="0.2">
      <c r="A201" s="30">
        <v>439729</v>
      </c>
      <c r="B201" s="57">
        <v>16633294</v>
      </c>
      <c r="C201" s="57"/>
      <c r="D201" s="57"/>
      <c r="E201" s="58" t="s">
        <v>268</v>
      </c>
      <c r="F201" s="58"/>
      <c r="G201" s="58"/>
      <c r="H201" s="58"/>
      <c r="I201" s="59" t="s">
        <v>181</v>
      </c>
      <c r="J201" s="59"/>
      <c r="K201" s="59"/>
      <c r="L201" s="59"/>
      <c r="M201" s="59"/>
      <c r="N201" s="59"/>
      <c r="O201" s="58" t="s">
        <v>266</v>
      </c>
      <c r="P201" s="58"/>
      <c r="Q201" s="58"/>
      <c r="R201" s="58"/>
      <c r="S201" s="58"/>
      <c r="T201" s="58"/>
      <c r="U201" s="60">
        <v>45597</v>
      </c>
      <c r="V201" s="60"/>
      <c r="W201" s="60"/>
      <c r="X201" s="60"/>
      <c r="Y201" s="61"/>
      <c r="Z201" s="61"/>
      <c r="AA201" s="61"/>
      <c r="AB201" s="61"/>
      <c r="AC201" s="61"/>
      <c r="AD201" s="16" t="s">
        <v>183</v>
      </c>
      <c r="AE201" s="62" t="s">
        <v>267</v>
      </c>
      <c r="AF201" s="62"/>
      <c r="AG201" s="62"/>
      <c r="AH201" s="62" t="s">
        <v>59</v>
      </c>
      <c r="AI201" s="62"/>
      <c r="AJ201" s="62"/>
      <c r="AK201" s="62"/>
      <c r="AL201" s="63">
        <v>-26.08</v>
      </c>
      <c r="AM201" s="63"/>
      <c r="AN201" s="63"/>
      <c r="AO201" s="63"/>
      <c r="AP201" s="1"/>
    </row>
    <row r="202" spans="1:42" ht="27" customHeight="1" x14ac:dyDescent="0.2">
      <c r="A202" s="31">
        <v>439729</v>
      </c>
      <c r="B202" s="40">
        <v>16633294</v>
      </c>
      <c r="C202" s="40"/>
      <c r="D202" s="40"/>
      <c r="E202" s="41" t="s">
        <v>269</v>
      </c>
      <c r="F202" s="41"/>
      <c r="G202" s="41"/>
      <c r="H202" s="41"/>
      <c r="I202" s="42" t="s">
        <v>181</v>
      </c>
      <c r="J202" s="42"/>
      <c r="K202" s="42"/>
      <c r="L202" s="42"/>
      <c r="M202" s="42"/>
      <c r="N202" s="42"/>
      <c r="O202" s="41" t="s">
        <v>266</v>
      </c>
      <c r="P202" s="41"/>
      <c r="Q202" s="41"/>
      <c r="R202" s="41"/>
      <c r="S202" s="41"/>
      <c r="T202" s="41"/>
      <c r="U202" s="43">
        <v>45597</v>
      </c>
      <c r="V202" s="43"/>
      <c r="W202" s="43"/>
      <c r="X202" s="43"/>
      <c r="Y202" s="44"/>
      <c r="Z202" s="44"/>
      <c r="AA202" s="44"/>
      <c r="AB202" s="44"/>
      <c r="AC202" s="44"/>
      <c r="AD202" s="14" t="s">
        <v>270</v>
      </c>
      <c r="AE202" s="45" t="s">
        <v>267</v>
      </c>
      <c r="AF202" s="45"/>
      <c r="AG202" s="45"/>
      <c r="AH202" s="45" t="s">
        <v>185</v>
      </c>
      <c r="AI202" s="45"/>
      <c r="AJ202" s="45"/>
      <c r="AK202" s="45"/>
      <c r="AL202" s="46">
        <v>26.08</v>
      </c>
      <c r="AM202" s="46"/>
      <c r="AN202" s="46"/>
      <c r="AO202" s="46"/>
      <c r="AP202" s="2"/>
    </row>
    <row r="203" spans="1:42" ht="18.600000000000001" customHeight="1" x14ac:dyDescent="0.2">
      <c r="A203" s="2"/>
      <c r="B203" s="2"/>
      <c r="C203" s="2"/>
      <c r="D203" s="2"/>
      <c r="E203" s="2"/>
      <c r="F203" s="44"/>
      <c r="G203" s="44"/>
      <c r="H203" s="2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2"/>
      <c r="T203" s="47" t="s">
        <v>271</v>
      </c>
      <c r="U203" s="47"/>
      <c r="V203" s="47"/>
      <c r="W203" s="47"/>
      <c r="X203" s="47"/>
      <c r="Y203" s="47"/>
      <c r="Z203" s="47"/>
      <c r="AA203" s="2"/>
      <c r="AB203" s="44"/>
      <c r="AC203" s="44"/>
      <c r="AD203" s="2"/>
      <c r="AE203" s="44"/>
      <c r="AF203" s="44"/>
      <c r="AG203" s="44"/>
      <c r="AH203" s="44"/>
      <c r="AI203" s="44"/>
      <c r="AJ203" s="44"/>
      <c r="AK203" s="2"/>
      <c r="AL203" s="2"/>
      <c r="AM203" s="48" t="s">
        <v>272</v>
      </c>
      <c r="AN203" s="48"/>
      <c r="AO203" s="48"/>
      <c r="AP203" s="48"/>
    </row>
    <row r="204" spans="1:42" ht="12" customHeight="1" x14ac:dyDescent="0.2">
      <c r="A204" s="49" t="s">
        <v>273</v>
      </c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1"/>
      <c r="T204" s="47"/>
      <c r="U204" s="47"/>
      <c r="V204" s="47"/>
      <c r="W204" s="47"/>
      <c r="X204" s="47"/>
      <c r="Y204" s="47"/>
      <c r="Z204" s="47"/>
      <c r="AA204" s="1"/>
      <c r="AB204" s="37"/>
      <c r="AC204" s="37"/>
      <c r="AD204" s="1"/>
      <c r="AE204" s="37"/>
      <c r="AF204" s="37"/>
      <c r="AG204" s="37"/>
      <c r="AH204" s="37"/>
      <c r="AI204" s="37"/>
      <c r="AJ204" s="37"/>
      <c r="AK204" s="1"/>
      <c r="AL204" s="1"/>
      <c r="AM204" s="48"/>
      <c r="AN204" s="48"/>
      <c r="AO204" s="48"/>
      <c r="AP204" s="48"/>
    </row>
    <row r="205" spans="1:42" ht="5.45" customHeight="1" x14ac:dyDescent="0.2">
      <c r="A205" s="1"/>
      <c r="B205" s="1"/>
      <c r="C205" s="1"/>
      <c r="D205" s="1"/>
      <c r="E205" s="1"/>
      <c r="F205" s="37"/>
      <c r="G205" s="37"/>
      <c r="H205" s="1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1"/>
      <c r="T205" s="1"/>
      <c r="U205" s="37"/>
      <c r="V205" s="37"/>
      <c r="W205" s="1"/>
      <c r="X205" s="1"/>
      <c r="Y205" s="37"/>
      <c r="Z205" s="37"/>
      <c r="AA205" s="1"/>
      <c r="AB205" s="37"/>
      <c r="AC205" s="37"/>
      <c r="AD205" s="1"/>
      <c r="AE205" s="37"/>
      <c r="AF205" s="37"/>
      <c r="AG205" s="37"/>
      <c r="AH205" s="37"/>
      <c r="AI205" s="37"/>
      <c r="AJ205" s="37"/>
      <c r="AK205" s="1"/>
      <c r="AL205" s="1"/>
      <c r="AM205" s="48"/>
      <c r="AN205" s="48"/>
      <c r="AO205" s="48"/>
      <c r="AP205" s="48"/>
    </row>
    <row r="206" spans="1:42" ht="25.5" customHeight="1" x14ac:dyDescent="0.2">
      <c r="A206" s="38" t="s">
        <v>274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9">
        <v>2760.41</v>
      </c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</row>
  </sheetData>
  <mergeCells count="1770">
    <mergeCell ref="A1:AO1"/>
    <mergeCell ref="A2:F2"/>
    <mergeCell ref="G2:K2"/>
    <mergeCell ref="L2:O2"/>
    <mergeCell ref="P2:Q2"/>
    <mergeCell ref="R2:Y2"/>
    <mergeCell ref="Z2:AA2"/>
    <mergeCell ref="AC2:AE2"/>
    <mergeCell ref="AF2:AP3"/>
    <mergeCell ref="A3:Q4"/>
    <mergeCell ref="R3:Y3"/>
    <mergeCell ref="Z3:AA3"/>
    <mergeCell ref="AC3:AE3"/>
    <mergeCell ref="R4:Y4"/>
    <mergeCell ref="Z4:AA4"/>
    <mergeCell ref="AC4:AE4"/>
    <mergeCell ref="AG4:AO4"/>
    <mergeCell ref="A5:K5"/>
    <mergeCell ref="L5:AA5"/>
    <mergeCell ref="AB5:AP5"/>
    <mergeCell ref="A6:Y6"/>
    <mergeCell ref="Z6:AB6"/>
    <mergeCell ref="AC6:AP6"/>
    <mergeCell ref="A7:AP7"/>
    <mergeCell ref="A8:F8"/>
    <mergeCell ref="G8:O8"/>
    <mergeCell ref="P8:AF8"/>
    <mergeCell ref="AG8:AO8"/>
    <mergeCell ref="A9:F9"/>
    <mergeCell ref="G9:O9"/>
    <mergeCell ref="P9:AF9"/>
    <mergeCell ref="AG9:AO9"/>
    <mergeCell ref="A10:F10"/>
    <mergeCell ref="G10:O10"/>
    <mergeCell ref="P10:AF10"/>
    <mergeCell ref="AG10:AO10"/>
    <mergeCell ref="A11:F11"/>
    <mergeCell ref="G11:O11"/>
    <mergeCell ref="P11:AF11"/>
    <mergeCell ref="AG11:AO11"/>
    <mergeCell ref="A12:F12"/>
    <mergeCell ref="G12:O12"/>
    <mergeCell ref="P12:AF12"/>
    <mergeCell ref="AG12:AO12"/>
    <mergeCell ref="A13:F13"/>
    <mergeCell ref="G13:O13"/>
    <mergeCell ref="P13:AF13"/>
    <mergeCell ref="AG13:AO13"/>
    <mergeCell ref="A14:F14"/>
    <mergeCell ref="G14:O14"/>
    <mergeCell ref="P14:AF14"/>
    <mergeCell ref="AG14:AO14"/>
    <mergeCell ref="A15:AO15"/>
    <mergeCell ref="A16:AO16"/>
    <mergeCell ref="B17:D17"/>
    <mergeCell ref="E17:H17"/>
    <mergeCell ref="I17:O17"/>
    <mergeCell ref="P17:T17"/>
    <mergeCell ref="U17:X17"/>
    <mergeCell ref="Y17:AA17"/>
    <mergeCell ref="AB17:AC17"/>
    <mergeCell ref="AE17:AG17"/>
    <mergeCell ref="AH17:AK17"/>
    <mergeCell ref="AL17:AO17"/>
    <mergeCell ref="B18:D18"/>
    <mergeCell ref="E18:H18"/>
    <mergeCell ref="I18:O18"/>
    <mergeCell ref="P18:T18"/>
    <mergeCell ref="U18:X18"/>
    <mergeCell ref="Y18:AA18"/>
    <mergeCell ref="AB18:AC18"/>
    <mergeCell ref="AE18:AG18"/>
    <mergeCell ref="AH18:AK18"/>
    <mergeCell ref="AL18:AO18"/>
    <mergeCell ref="B19:D19"/>
    <mergeCell ref="E19:H19"/>
    <mergeCell ref="I19:O19"/>
    <mergeCell ref="P19:Q19"/>
    <mergeCell ref="R19:S19"/>
    <mergeCell ref="T19:Z20"/>
    <mergeCell ref="AB19:AC19"/>
    <mergeCell ref="AE19:AG19"/>
    <mergeCell ref="AH19:AK19"/>
    <mergeCell ref="AM19:AP21"/>
    <mergeCell ref="A20:Q20"/>
    <mergeCell ref="R20:S20"/>
    <mergeCell ref="AB20:AC20"/>
    <mergeCell ref="AE20:AG20"/>
    <mergeCell ref="AH20:AK20"/>
    <mergeCell ref="B21:D21"/>
    <mergeCell ref="E21:H21"/>
    <mergeCell ref="I21:O21"/>
    <mergeCell ref="P21:Q21"/>
    <mergeCell ref="R21:S21"/>
    <mergeCell ref="U21:X21"/>
    <mergeCell ref="Y21:Z21"/>
    <mergeCell ref="AB21:AC21"/>
    <mergeCell ref="AE21:AG21"/>
    <mergeCell ref="AH21:AK21"/>
    <mergeCell ref="B22:D22"/>
    <mergeCell ref="E22:H22"/>
    <mergeCell ref="I22:O22"/>
    <mergeCell ref="P22:T22"/>
    <mergeCell ref="U22:X22"/>
    <mergeCell ref="Y22:AA22"/>
    <mergeCell ref="AB22:AC22"/>
    <mergeCell ref="AE22:AG22"/>
    <mergeCell ref="AH22:AK22"/>
    <mergeCell ref="AL22:AO22"/>
    <mergeCell ref="B23:D23"/>
    <mergeCell ref="E23:H23"/>
    <mergeCell ref="I23:O23"/>
    <mergeCell ref="P23:T23"/>
    <mergeCell ref="U23:X23"/>
    <mergeCell ref="Y23:AA23"/>
    <mergeCell ref="AB23:AC23"/>
    <mergeCell ref="AE23:AG23"/>
    <mergeCell ref="AH23:AK23"/>
    <mergeCell ref="AL23:AO23"/>
    <mergeCell ref="B24:D24"/>
    <mergeCell ref="E24:H24"/>
    <mergeCell ref="I24:O24"/>
    <mergeCell ref="P24:T24"/>
    <mergeCell ref="U24:X24"/>
    <mergeCell ref="Y24:AA24"/>
    <mergeCell ref="AB24:AC24"/>
    <mergeCell ref="AE24:AG24"/>
    <mergeCell ref="AH24:AK24"/>
    <mergeCell ref="AL24:AO24"/>
    <mergeCell ref="B25:D25"/>
    <mergeCell ref="E25:H25"/>
    <mergeCell ref="I25:O25"/>
    <mergeCell ref="P25:T25"/>
    <mergeCell ref="U25:X25"/>
    <mergeCell ref="Y25:AA25"/>
    <mergeCell ref="AB25:AC25"/>
    <mergeCell ref="AE25:AG25"/>
    <mergeCell ref="AH25:AK25"/>
    <mergeCell ref="AL25:AO25"/>
    <mergeCell ref="B26:D26"/>
    <mergeCell ref="E26:H26"/>
    <mergeCell ref="I26:O26"/>
    <mergeCell ref="P26:T26"/>
    <mergeCell ref="U26:X26"/>
    <mergeCell ref="Y26:AA26"/>
    <mergeCell ref="AB26:AC26"/>
    <mergeCell ref="AE26:AG26"/>
    <mergeCell ref="AH26:AK26"/>
    <mergeCell ref="AL26:AO26"/>
    <mergeCell ref="B27:D27"/>
    <mergeCell ref="E27:H27"/>
    <mergeCell ref="I27:O27"/>
    <mergeCell ref="P27:T27"/>
    <mergeCell ref="U27:X27"/>
    <mergeCell ref="Y27:AA27"/>
    <mergeCell ref="AB27:AC27"/>
    <mergeCell ref="AE27:AG27"/>
    <mergeCell ref="AH27:AK27"/>
    <mergeCell ref="AL27:AO27"/>
    <mergeCell ref="B28:D28"/>
    <mergeCell ref="E28:H28"/>
    <mergeCell ref="I28:O28"/>
    <mergeCell ref="P28:T28"/>
    <mergeCell ref="U28:X28"/>
    <mergeCell ref="Y28:AA28"/>
    <mergeCell ref="AB28:AC28"/>
    <mergeCell ref="AE28:AG28"/>
    <mergeCell ref="AH28:AK28"/>
    <mergeCell ref="AL28:AO28"/>
    <mergeCell ref="B29:D29"/>
    <mergeCell ref="E29:H29"/>
    <mergeCell ref="I29:O29"/>
    <mergeCell ref="P29:T29"/>
    <mergeCell ref="U29:X29"/>
    <mergeCell ref="Y29:AA29"/>
    <mergeCell ref="AB29:AC29"/>
    <mergeCell ref="AE29:AG29"/>
    <mergeCell ref="AH29:AK29"/>
    <mergeCell ref="AL29:AO29"/>
    <mergeCell ref="A30:AP30"/>
    <mergeCell ref="B31:D31"/>
    <mergeCell ref="E31:H31"/>
    <mergeCell ref="I31:O31"/>
    <mergeCell ref="P31:T31"/>
    <mergeCell ref="U31:X31"/>
    <mergeCell ref="Y31:AA31"/>
    <mergeCell ref="AB31:AC31"/>
    <mergeCell ref="AE31:AG31"/>
    <mergeCell ref="AH31:AK31"/>
    <mergeCell ref="AL31:AO31"/>
    <mergeCell ref="B32:D32"/>
    <mergeCell ref="E32:H32"/>
    <mergeCell ref="I32:O32"/>
    <mergeCell ref="P32:T32"/>
    <mergeCell ref="U32:X32"/>
    <mergeCell ref="Y32:AA32"/>
    <mergeCell ref="AB32:AC32"/>
    <mergeCell ref="AE32:AG32"/>
    <mergeCell ref="AH32:AK32"/>
    <mergeCell ref="AL32:AO32"/>
    <mergeCell ref="B33:D33"/>
    <mergeCell ref="E33:H33"/>
    <mergeCell ref="I33:O33"/>
    <mergeCell ref="P33:T33"/>
    <mergeCell ref="U33:X33"/>
    <mergeCell ref="Y33:AA33"/>
    <mergeCell ref="AB33:AC33"/>
    <mergeCell ref="AE33:AG33"/>
    <mergeCell ref="AH33:AK33"/>
    <mergeCell ref="AL33:AO33"/>
    <mergeCell ref="B34:D34"/>
    <mergeCell ref="E34:H34"/>
    <mergeCell ref="J34:L34"/>
    <mergeCell ref="M34:O34"/>
    <mergeCell ref="Q34:S34"/>
    <mergeCell ref="T34:Z35"/>
    <mergeCell ref="AB34:AC34"/>
    <mergeCell ref="AE34:AG34"/>
    <mergeCell ref="AH34:AK34"/>
    <mergeCell ref="AM34:AP36"/>
    <mergeCell ref="A35:I35"/>
    <mergeCell ref="J35:L35"/>
    <mergeCell ref="M35:P35"/>
    <mergeCell ref="Q35:S35"/>
    <mergeCell ref="AB35:AC35"/>
    <mergeCell ref="AE35:AG35"/>
    <mergeCell ref="AH35:AK35"/>
    <mergeCell ref="B36:D36"/>
    <mergeCell ref="E36:H36"/>
    <mergeCell ref="J36:L36"/>
    <mergeCell ref="M36:O36"/>
    <mergeCell ref="Q36:S36"/>
    <mergeCell ref="U36:X36"/>
    <mergeCell ref="Y36:Z36"/>
    <mergeCell ref="AB36:AC36"/>
    <mergeCell ref="AE36:AG36"/>
    <mergeCell ref="AH36:AK36"/>
    <mergeCell ref="B37:D37"/>
    <mergeCell ref="E37:H37"/>
    <mergeCell ref="I37:O37"/>
    <mergeCell ref="P37:T37"/>
    <mergeCell ref="U37:X37"/>
    <mergeCell ref="Y37:AA37"/>
    <mergeCell ref="AB37:AC37"/>
    <mergeCell ref="AE37:AG37"/>
    <mergeCell ref="AH37:AK37"/>
    <mergeCell ref="AL37:AO37"/>
    <mergeCell ref="B38:D38"/>
    <mergeCell ref="E38:H38"/>
    <mergeCell ref="I38:O38"/>
    <mergeCell ref="P38:T38"/>
    <mergeCell ref="U38:X38"/>
    <mergeCell ref="Y38:AA38"/>
    <mergeCell ref="AB38:AC38"/>
    <mergeCell ref="AE38:AG38"/>
    <mergeCell ref="AH38:AK38"/>
    <mergeCell ref="AL38:AO38"/>
    <mergeCell ref="B39:D39"/>
    <mergeCell ref="E39:H39"/>
    <mergeCell ref="I39:O39"/>
    <mergeCell ref="P39:T39"/>
    <mergeCell ref="U39:X39"/>
    <mergeCell ref="Y39:AA39"/>
    <mergeCell ref="AB39:AC39"/>
    <mergeCell ref="AE39:AG39"/>
    <mergeCell ref="AH39:AK39"/>
    <mergeCell ref="AL39:AO39"/>
    <mergeCell ref="B40:D40"/>
    <mergeCell ref="E40:H40"/>
    <mergeCell ref="I40:O40"/>
    <mergeCell ref="P40:Q40"/>
    <mergeCell ref="R40:S40"/>
    <mergeCell ref="T40:Z41"/>
    <mergeCell ref="AB40:AC40"/>
    <mergeCell ref="AE40:AG40"/>
    <mergeCell ref="AH40:AK40"/>
    <mergeCell ref="AM40:AP42"/>
    <mergeCell ref="A41:Q41"/>
    <mergeCell ref="R41:S41"/>
    <mergeCell ref="AB41:AC41"/>
    <mergeCell ref="AE41:AG41"/>
    <mergeCell ref="AH41:AK41"/>
    <mergeCell ref="B42:D42"/>
    <mergeCell ref="E42:H42"/>
    <mergeCell ref="I42:O42"/>
    <mergeCell ref="P42:Q42"/>
    <mergeCell ref="R42:S42"/>
    <mergeCell ref="U42:X42"/>
    <mergeCell ref="Y42:Z42"/>
    <mergeCell ref="AB42:AC42"/>
    <mergeCell ref="AE42:AG42"/>
    <mergeCell ref="AH42:AK42"/>
    <mergeCell ref="B43:D43"/>
    <mergeCell ref="E43:H43"/>
    <mergeCell ref="I43:O43"/>
    <mergeCell ref="P43:T43"/>
    <mergeCell ref="U43:X43"/>
    <mergeCell ref="Y43:AA43"/>
    <mergeCell ref="AB43:AC43"/>
    <mergeCell ref="AE43:AG43"/>
    <mergeCell ref="AH43:AK43"/>
    <mergeCell ref="AL43:AO43"/>
    <mergeCell ref="B44:D44"/>
    <mergeCell ref="E44:H44"/>
    <mergeCell ref="I44:O44"/>
    <mergeCell ref="P44:T44"/>
    <mergeCell ref="U44:X44"/>
    <mergeCell ref="Y44:AA44"/>
    <mergeCell ref="AB44:AC44"/>
    <mergeCell ref="AE44:AG44"/>
    <mergeCell ref="AH44:AK44"/>
    <mergeCell ref="AL44:AO44"/>
    <mergeCell ref="B45:D45"/>
    <mergeCell ref="E45:H45"/>
    <mergeCell ref="I45:O45"/>
    <mergeCell ref="P45:T45"/>
    <mergeCell ref="U45:X45"/>
    <mergeCell ref="Y45:AA45"/>
    <mergeCell ref="AB45:AC45"/>
    <mergeCell ref="AE45:AG45"/>
    <mergeCell ref="AH45:AK45"/>
    <mergeCell ref="AL45:AO45"/>
    <mergeCell ref="B46:D46"/>
    <mergeCell ref="E46:H46"/>
    <mergeCell ref="I46:O46"/>
    <mergeCell ref="P46:T46"/>
    <mergeCell ref="U46:X46"/>
    <mergeCell ref="Y46:AA46"/>
    <mergeCell ref="AB46:AC46"/>
    <mergeCell ref="AE46:AG46"/>
    <mergeCell ref="AH46:AK46"/>
    <mergeCell ref="AL46:AO46"/>
    <mergeCell ref="B47:D47"/>
    <mergeCell ref="E47:H47"/>
    <mergeCell ref="J47:L47"/>
    <mergeCell ref="M47:O47"/>
    <mergeCell ref="Q47:S47"/>
    <mergeCell ref="T47:Z48"/>
    <mergeCell ref="AB47:AC47"/>
    <mergeCell ref="AE47:AG47"/>
    <mergeCell ref="AH47:AK47"/>
    <mergeCell ref="AM47:AP49"/>
    <mergeCell ref="A48:I48"/>
    <mergeCell ref="J48:L48"/>
    <mergeCell ref="M48:P48"/>
    <mergeCell ref="Q48:S48"/>
    <mergeCell ref="AB48:AC48"/>
    <mergeCell ref="AE48:AG48"/>
    <mergeCell ref="AH48:AK48"/>
    <mergeCell ref="B49:D49"/>
    <mergeCell ref="E49:H49"/>
    <mergeCell ref="J49:L49"/>
    <mergeCell ref="M49:O49"/>
    <mergeCell ref="Q49:S49"/>
    <mergeCell ref="U49:X49"/>
    <mergeCell ref="Y49:Z49"/>
    <mergeCell ref="AB49:AC49"/>
    <mergeCell ref="AE49:AG49"/>
    <mergeCell ref="AH49:AK49"/>
    <mergeCell ref="B50:D50"/>
    <mergeCell ref="E50:H50"/>
    <mergeCell ref="I50:O50"/>
    <mergeCell ref="P50:T50"/>
    <mergeCell ref="U50:X50"/>
    <mergeCell ref="Y50:AA50"/>
    <mergeCell ref="AB50:AC50"/>
    <mergeCell ref="AE50:AG50"/>
    <mergeCell ref="AH50:AK50"/>
    <mergeCell ref="AL50:AO50"/>
    <mergeCell ref="B51:D51"/>
    <mergeCell ref="E51:H51"/>
    <mergeCell ref="I51:O51"/>
    <mergeCell ref="P51:T51"/>
    <mergeCell ref="U51:X51"/>
    <mergeCell ref="Y51:AA51"/>
    <mergeCell ref="AB51:AC51"/>
    <mergeCell ref="AE51:AG51"/>
    <mergeCell ref="AH51:AK51"/>
    <mergeCell ref="AL51:AO51"/>
    <mergeCell ref="B52:D52"/>
    <mergeCell ref="E52:H52"/>
    <mergeCell ref="I52:O52"/>
    <mergeCell ref="P52:T52"/>
    <mergeCell ref="U52:X52"/>
    <mergeCell ref="Y52:AA52"/>
    <mergeCell ref="AB52:AC52"/>
    <mergeCell ref="AE52:AG52"/>
    <mergeCell ref="AH52:AK52"/>
    <mergeCell ref="AL52:AO52"/>
    <mergeCell ref="B53:D53"/>
    <mergeCell ref="E53:H53"/>
    <mergeCell ref="I53:J53"/>
    <mergeCell ref="K53:M53"/>
    <mergeCell ref="N53:O53"/>
    <mergeCell ref="P53:Q53"/>
    <mergeCell ref="R53:S53"/>
    <mergeCell ref="T53:Z54"/>
    <mergeCell ref="AB53:AC53"/>
    <mergeCell ref="AE53:AG53"/>
    <mergeCell ref="AH53:AK53"/>
    <mergeCell ref="AM53:AP55"/>
    <mergeCell ref="A54:J54"/>
    <mergeCell ref="K54:M54"/>
    <mergeCell ref="N54:Q54"/>
    <mergeCell ref="R54:S54"/>
    <mergeCell ref="AB54:AC54"/>
    <mergeCell ref="AE54:AG54"/>
    <mergeCell ref="AH54:AK54"/>
    <mergeCell ref="B55:D55"/>
    <mergeCell ref="E55:H55"/>
    <mergeCell ref="I55:J55"/>
    <mergeCell ref="K55:M55"/>
    <mergeCell ref="N55:O55"/>
    <mergeCell ref="P55:Q55"/>
    <mergeCell ref="R55:S55"/>
    <mergeCell ref="U55:X55"/>
    <mergeCell ref="Y55:Z55"/>
    <mergeCell ref="AB55:AC55"/>
    <mergeCell ref="AE55:AG55"/>
    <mergeCell ref="AH55:AK55"/>
    <mergeCell ref="A56:AO56"/>
    <mergeCell ref="B57:D57"/>
    <mergeCell ref="E57:H57"/>
    <mergeCell ref="I57:O57"/>
    <mergeCell ref="P57:T57"/>
    <mergeCell ref="U57:X57"/>
    <mergeCell ref="Y57:AA57"/>
    <mergeCell ref="AB57:AC57"/>
    <mergeCell ref="AE57:AG57"/>
    <mergeCell ref="AH57:AK57"/>
    <mergeCell ref="AL57:AO57"/>
    <mergeCell ref="B58:D58"/>
    <mergeCell ref="E58:H58"/>
    <mergeCell ref="I58:O58"/>
    <mergeCell ref="P58:T58"/>
    <mergeCell ref="U58:X58"/>
    <mergeCell ref="Y58:AA58"/>
    <mergeCell ref="AB58:AC58"/>
    <mergeCell ref="AE58:AG58"/>
    <mergeCell ref="AH58:AK58"/>
    <mergeCell ref="AL58:AO58"/>
    <mergeCell ref="A59:Z59"/>
    <mergeCell ref="AB59:AC59"/>
    <mergeCell ref="AE59:AG59"/>
    <mergeCell ref="AH59:AK59"/>
    <mergeCell ref="AM59:AP60"/>
    <mergeCell ref="B60:D60"/>
    <mergeCell ref="E60:H60"/>
    <mergeCell ref="I60:O60"/>
    <mergeCell ref="P60:T60"/>
    <mergeCell ref="U60:X60"/>
    <mergeCell ref="Y60:Z60"/>
    <mergeCell ref="AB60:AC60"/>
    <mergeCell ref="AE60:AG60"/>
    <mergeCell ref="AH60:AK60"/>
    <mergeCell ref="A61:AO61"/>
    <mergeCell ref="B62:D62"/>
    <mergeCell ref="E62:H62"/>
    <mergeCell ref="I62:O62"/>
    <mergeCell ref="P62:T62"/>
    <mergeCell ref="U62:X62"/>
    <mergeCell ref="Y62:AA62"/>
    <mergeCell ref="AB62:AC62"/>
    <mergeCell ref="AE62:AG62"/>
    <mergeCell ref="AH62:AK62"/>
    <mergeCell ref="AL62:AO62"/>
    <mergeCell ref="B63:D63"/>
    <mergeCell ref="E63:H63"/>
    <mergeCell ref="I63:O63"/>
    <mergeCell ref="P63:T63"/>
    <mergeCell ref="U63:X63"/>
    <mergeCell ref="Y63:AA63"/>
    <mergeCell ref="AB63:AC63"/>
    <mergeCell ref="AE63:AG63"/>
    <mergeCell ref="AH63:AK63"/>
    <mergeCell ref="AL63:AO63"/>
    <mergeCell ref="B64:D64"/>
    <mergeCell ref="E64:H64"/>
    <mergeCell ref="I64:O64"/>
    <mergeCell ref="P64:T64"/>
    <mergeCell ref="U64:X64"/>
    <mergeCell ref="Y64:AA64"/>
    <mergeCell ref="AB64:AC64"/>
    <mergeCell ref="AE64:AG64"/>
    <mergeCell ref="AH64:AK64"/>
    <mergeCell ref="AL64:AO64"/>
    <mergeCell ref="B65:D65"/>
    <mergeCell ref="E65:H65"/>
    <mergeCell ref="I65:O65"/>
    <mergeCell ref="P65:T65"/>
    <mergeCell ref="U65:X65"/>
    <mergeCell ref="Y65:AA65"/>
    <mergeCell ref="AB65:AC65"/>
    <mergeCell ref="AE65:AG65"/>
    <mergeCell ref="AH65:AK65"/>
    <mergeCell ref="AL65:AO65"/>
    <mergeCell ref="B66:D66"/>
    <mergeCell ref="E66:H66"/>
    <mergeCell ref="I66:O66"/>
    <mergeCell ref="P66:T66"/>
    <mergeCell ref="U66:X66"/>
    <mergeCell ref="Y66:AA66"/>
    <mergeCell ref="AB66:AC66"/>
    <mergeCell ref="AE66:AG66"/>
    <mergeCell ref="AH66:AK66"/>
    <mergeCell ref="AL66:AO66"/>
    <mergeCell ref="B67:D67"/>
    <mergeCell ref="E67:H67"/>
    <mergeCell ref="I67:O67"/>
    <mergeCell ref="P67:T67"/>
    <mergeCell ref="U67:X67"/>
    <mergeCell ref="Y67:AA67"/>
    <mergeCell ref="AB67:AC67"/>
    <mergeCell ref="AE67:AG67"/>
    <mergeCell ref="AH67:AK67"/>
    <mergeCell ref="AL67:AO67"/>
    <mergeCell ref="B68:D68"/>
    <mergeCell ref="E68:H68"/>
    <mergeCell ref="I68:O68"/>
    <mergeCell ref="P68:T68"/>
    <mergeCell ref="U68:X68"/>
    <mergeCell ref="Y68:AA68"/>
    <mergeCell ref="AB68:AC68"/>
    <mergeCell ref="AE68:AG68"/>
    <mergeCell ref="AH68:AK68"/>
    <mergeCell ref="AL68:AO68"/>
    <mergeCell ref="B69:D69"/>
    <mergeCell ref="E69:H69"/>
    <mergeCell ref="I69:O69"/>
    <mergeCell ref="P69:T69"/>
    <mergeCell ref="U69:X69"/>
    <mergeCell ref="Y69:AA69"/>
    <mergeCell ref="AB69:AC69"/>
    <mergeCell ref="AE69:AG69"/>
    <mergeCell ref="AH69:AK69"/>
    <mergeCell ref="AL69:AO69"/>
    <mergeCell ref="B70:D70"/>
    <mergeCell ref="E70:H70"/>
    <mergeCell ref="I70:O70"/>
    <mergeCell ref="P70:T70"/>
    <mergeCell ref="U70:X70"/>
    <mergeCell ref="Y70:AA70"/>
    <mergeCell ref="AB70:AC70"/>
    <mergeCell ref="AE70:AG70"/>
    <mergeCell ref="AH70:AK70"/>
    <mergeCell ref="AL70:AO70"/>
    <mergeCell ref="B71:D71"/>
    <mergeCell ref="E71:H71"/>
    <mergeCell ref="I71:O71"/>
    <mergeCell ref="P71:T71"/>
    <mergeCell ref="U71:X71"/>
    <mergeCell ref="Y71:AA71"/>
    <mergeCell ref="AB71:AC71"/>
    <mergeCell ref="AE71:AG71"/>
    <mergeCell ref="AH71:AK71"/>
    <mergeCell ref="AL71:AO71"/>
    <mergeCell ref="B72:D72"/>
    <mergeCell ref="E72:H72"/>
    <mergeCell ref="I72:O72"/>
    <mergeCell ref="P72:T72"/>
    <mergeCell ref="U72:X72"/>
    <mergeCell ref="Y72:AA72"/>
    <mergeCell ref="AB72:AC72"/>
    <mergeCell ref="AE72:AG72"/>
    <mergeCell ref="AH72:AK72"/>
    <mergeCell ref="AL72:AO72"/>
    <mergeCell ref="B73:D73"/>
    <mergeCell ref="E73:H73"/>
    <mergeCell ref="I73:O73"/>
    <mergeCell ref="P73:T73"/>
    <mergeCell ref="U73:X73"/>
    <mergeCell ref="Y73:AA73"/>
    <mergeCell ref="AB73:AC73"/>
    <mergeCell ref="AE73:AG73"/>
    <mergeCell ref="AH73:AK73"/>
    <mergeCell ref="AL73:AO73"/>
    <mergeCell ref="B74:D74"/>
    <mergeCell ref="E74:H74"/>
    <mergeCell ref="I74:O74"/>
    <mergeCell ref="P74:T74"/>
    <mergeCell ref="U74:X74"/>
    <mergeCell ref="Y74:AA74"/>
    <mergeCell ref="AB74:AC74"/>
    <mergeCell ref="AE74:AG74"/>
    <mergeCell ref="AH74:AK74"/>
    <mergeCell ref="AL74:AO74"/>
    <mergeCell ref="B75:D75"/>
    <mergeCell ref="E75:H75"/>
    <mergeCell ref="I75:O75"/>
    <mergeCell ref="P75:T75"/>
    <mergeCell ref="U75:X75"/>
    <mergeCell ref="Y75:AA75"/>
    <mergeCell ref="AB75:AC75"/>
    <mergeCell ref="AE75:AG75"/>
    <mergeCell ref="AH75:AK75"/>
    <mergeCell ref="AL75:AO75"/>
    <mergeCell ref="B76:D76"/>
    <mergeCell ref="E76:H76"/>
    <mergeCell ref="I76:O76"/>
    <mergeCell ref="P76:T76"/>
    <mergeCell ref="U76:X76"/>
    <mergeCell ref="Y76:AA76"/>
    <mergeCell ref="AB76:AC76"/>
    <mergeCell ref="AE76:AG76"/>
    <mergeCell ref="AH76:AK76"/>
    <mergeCell ref="AL76:AO76"/>
    <mergeCell ref="B77:D77"/>
    <mergeCell ref="E77:H77"/>
    <mergeCell ref="I77:O77"/>
    <mergeCell ref="P77:T77"/>
    <mergeCell ref="U77:X77"/>
    <mergeCell ref="Y77:AA77"/>
    <mergeCell ref="AB77:AC77"/>
    <mergeCell ref="AE77:AG77"/>
    <mergeCell ref="AH77:AK77"/>
    <mergeCell ref="AL77:AO77"/>
    <mergeCell ref="B78:D78"/>
    <mergeCell ref="E78:H78"/>
    <mergeCell ref="I78:O78"/>
    <mergeCell ref="P78:T78"/>
    <mergeCell ref="U78:X78"/>
    <mergeCell ref="Y78:AA78"/>
    <mergeCell ref="AB78:AC78"/>
    <mergeCell ref="AE78:AG78"/>
    <mergeCell ref="AH78:AK78"/>
    <mergeCell ref="AL78:AO78"/>
    <mergeCell ref="A79:AP79"/>
    <mergeCell ref="A80:AO80"/>
    <mergeCell ref="B81:D81"/>
    <mergeCell ref="E81:H81"/>
    <mergeCell ref="I81:O81"/>
    <mergeCell ref="P81:T81"/>
    <mergeCell ref="U81:X81"/>
    <mergeCell ref="Y81:AA81"/>
    <mergeCell ref="AB81:AC81"/>
    <mergeCell ref="AE81:AG81"/>
    <mergeCell ref="AH81:AK81"/>
    <mergeCell ref="AL81:AO81"/>
    <mergeCell ref="B82:D82"/>
    <mergeCell ref="E82:H82"/>
    <mergeCell ref="I82:O82"/>
    <mergeCell ref="P82:T82"/>
    <mergeCell ref="U82:X82"/>
    <mergeCell ref="Y82:AA82"/>
    <mergeCell ref="AB82:AC82"/>
    <mergeCell ref="AE82:AG82"/>
    <mergeCell ref="AH82:AK82"/>
    <mergeCell ref="AL82:AO82"/>
    <mergeCell ref="B83:D83"/>
    <mergeCell ref="E83:H83"/>
    <mergeCell ref="I83:O83"/>
    <mergeCell ref="P83:T83"/>
    <mergeCell ref="U83:X83"/>
    <mergeCell ref="Y83:AA83"/>
    <mergeCell ref="AB83:AC83"/>
    <mergeCell ref="AE83:AG83"/>
    <mergeCell ref="AH83:AK83"/>
    <mergeCell ref="AL83:AO83"/>
    <mergeCell ref="B84:D84"/>
    <mergeCell ref="E84:H84"/>
    <mergeCell ref="I84:O84"/>
    <mergeCell ref="P84:T84"/>
    <mergeCell ref="U84:X84"/>
    <mergeCell ref="Y84:AA84"/>
    <mergeCell ref="AB84:AC84"/>
    <mergeCell ref="AE84:AG84"/>
    <mergeCell ref="AH84:AK84"/>
    <mergeCell ref="AL84:AO84"/>
    <mergeCell ref="A85:AO85"/>
    <mergeCell ref="B86:D86"/>
    <mergeCell ref="E86:H86"/>
    <mergeCell ref="I86:O86"/>
    <mergeCell ref="P86:T86"/>
    <mergeCell ref="U86:X86"/>
    <mergeCell ref="Y86:AA86"/>
    <mergeCell ref="AB86:AC86"/>
    <mergeCell ref="AE86:AG86"/>
    <mergeCell ref="AH86:AK86"/>
    <mergeCell ref="AL86:AO86"/>
    <mergeCell ref="B87:D87"/>
    <mergeCell ref="E87:H87"/>
    <mergeCell ref="I87:O87"/>
    <mergeCell ref="P87:R87"/>
    <mergeCell ref="T87:Z88"/>
    <mergeCell ref="AB87:AC87"/>
    <mergeCell ref="AE87:AG87"/>
    <mergeCell ref="AH87:AK87"/>
    <mergeCell ref="AM87:AP89"/>
    <mergeCell ref="A88:R88"/>
    <mergeCell ref="AB88:AC88"/>
    <mergeCell ref="AE88:AG88"/>
    <mergeCell ref="AH88:AK88"/>
    <mergeCell ref="B89:D89"/>
    <mergeCell ref="E89:H89"/>
    <mergeCell ref="I89:O89"/>
    <mergeCell ref="P89:R89"/>
    <mergeCell ref="U89:X89"/>
    <mergeCell ref="Y89:Z89"/>
    <mergeCell ref="AB89:AC89"/>
    <mergeCell ref="AE89:AG89"/>
    <mergeCell ref="AH89:AK89"/>
    <mergeCell ref="B90:D90"/>
    <mergeCell ref="E90:H90"/>
    <mergeCell ref="I90:O90"/>
    <mergeCell ref="P90:T90"/>
    <mergeCell ref="U90:X90"/>
    <mergeCell ref="Y90:AA90"/>
    <mergeCell ref="AB90:AC90"/>
    <mergeCell ref="AE90:AG90"/>
    <mergeCell ref="AH90:AK90"/>
    <mergeCell ref="AL90:AO90"/>
    <mergeCell ref="B91:D91"/>
    <mergeCell ref="E91:H91"/>
    <mergeCell ref="I91:O91"/>
    <mergeCell ref="P91:T91"/>
    <mergeCell ref="U91:X91"/>
    <mergeCell ref="Y91:AA91"/>
    <mergeCell ref="AB91:AC91"/>
    <mergeCell ref="AE91:AG91"/>
    <mergeCell ref="AH91:AK91"/>
    <mergeCell ref="AL91:AO91"/>
    <mergeCell ref="B92:D92"/>
    <mergeCell ref="E92:H92"/>
    <mergeCell ref="I92:O92"/>
    <mergeCell ref="P92:T92"/>
    <mergeCell ref="U92:X92"/>
    <mergeCell ref="Y92:AA92"/>
    <mergeCell ref="AB92:AC92"/>
    <mergeCell ref="AE92:AG92"/>
    <mergeCell ref="AH92:AK92"/>
    <mergeCell ref="AL92:AO92"/>
    <mergeCell ref="B93:D93"/>
    <mergeCell ref="E93:H93"/>
    <mergeCell ref="I93:O93"/>
    <mergeCell ref="P93:Q93"/>
    <mergeCell ref="R93:S93"/>
    <mergeCell ref="T93:Z94"/>
    <mergeCell ref="AB93:AC93"/>
    <mergeCell ref="AE93:AG93"/>
    <mergeCell ref="AH93:AK93"/>
    <mergeCell ref="AM93:AP95"/>
    <mergeCell ref="A94:Q94"/>
    <mergeCell ref="R94:S94"/>
    <mergeCell ref="AB94:AC94"/>
    <mergeCell ref="AE94:AG94"/>
    <mergeCell ref="AH94:AK94"/>
    <mergeCell ref="B95:D95"/>
    <mergeCell ref="E95:H95"/>
    <mergeCell ref="I95:O95"/>
    <mergeCell ref="P95:Q95"/>
    <mergeCell ref="R95:S95"/>
    <mergeCell ref="U95:X95"/>
    <mergeCell ref="Y95:Z95"/>
    <mergeCell ref="AB95:AC95"/>
    <mergeCell ref="AE95:AG95"/>
    <mergeCell ref="AH95:AK95"/>
    <mergeCell ref="B96:D96"/>
    <mergeCell ref="E96:H96"/>
    <mergeCell ref="I96:O96"/>
    <mergeCell ref="P96:T96"/>
    <mergeCell ref="U96:X96"/>
    <mergeCell ref="Y96:AA96"/>
    <mergeCell ref="AB96:AC96"/>
    <mergeCell ref="AE96:AG96"/>
    <mergeCell ref="AH96:AK96"/>
    <mergeCell ref="AL96:AO96"/>
    <mergeCell ref="B97:D97"/>
    <mergeCell ref="E97:H97"/>
    <mergeCell ref="I97:O97"/>
    <mergeCell ref="P97:T97"/>
    <mergeCell ref="U97:X97"/>
    <mergeCell ref="Y97:AA97"/>
    <mergeCell ref="AB97:AC97"/>
    <mergeCell ref="AE97:AG97"/>
    <mergeCell ref="AH97:AK97"/>
    <mergeCell ref="AL97:AO97"/>
    <mergeCell ref="B98:D98"/>
    <mergeCell ref="E98:H98"/>
    <mergeCell ref="I98:O98"/>
    <mergeCell ref="P98:T98"/>
    <mergeCell ref="U98:X98"/>
    <mergeCell ref="Y98:AA98"/>
    <mergeCell ref="AB98:AC98"/>
    <mergeCell ref="AE98:AG98"/>
    <mergeCell ref="AH98:AK98"/>
    <mergeCell ref="AL98:AO98"/>
    <mergeCell ref="B99:D99"/>
    <mergeCell ref="E99:H99"/>
    <mergeCell ref="I99:O99"/>
    <mergeCell ref="P99:T99"/>
    <mergeCell ref="U99:X99"/>
    <mergeCell ref="Y99:AA99"/>
    <mergeCell ref="AB99:AC99"/>
    <mergeCell ref="AE99:AG99"/>
    <mergeCell ref="AH99:AK99"/>
    <mergeCell ref="AL99:AO99"/>
    <mergeCell ref="B100:D100"/>
    <mergeCell ref="E100:H100"/>
    <mergeCell ref="I100:O100"/>
    <mergeCell ref="P100:T100"/>
    <mergeCell ref="U100:X100"/>
    <mergeCell ref="Y100:AA100"/>
    <mergeCell ref="AB100:AC100"/>
    <mergeCell ref="AE100:AG100"/>
    <mergeCell ref="AH100:AK100"/>
    <mergeCell ref="AL100:AO100"/>
    <mergeCell ref="B101:D101"/>
    <mergeCell ref="E101:H101"/>
    <mergeCell ref="I101:O101"/>
    <mergeCell ref="P101:T101"/>
    <mergeCell ref="U101:X101"/>
    <mergeCell ref="Y101:AA101"/>
    <mergeCell ref="AB101:AC101"/>
    <mergeCell ref="AE101:AG101"/>
    <mergeCell ref="AH101:AK101"/>
    <mergeCell ref="AL101:AO101"/>
    <mergeCell ref="B102:D102"/>
    <mergeCell ref="E102:H102"/>
    <mergeCell ref="I102:O102"/>
    <mergeCell ref="P102:T102"/>
    <mergeCell ref="U102:X102"/>
    <mergeCell ref="Y102:AA102"/>
    <mergeCell ref="AB102:AC102"/>
    <mergeCell ref="AE102:AG102"/>
    <mergeCell ref="AH102:AK102"/>
    <mergeCell ref="AL102:AO102"/>
    <mergeCell ref="B103:D103"/>
    <mergeCell ref="E103:H103"/>
    <mergeCell ref="I103:O103"/>
    <mergeCell ref="P103:T103"/>
    <mergeCell ref="U103:X103"/>
    <mergeCell ref="Y103:AA103"/>
    <mergeCell ref="AB103:AC103"/>
    <mergeCell ref="AE103:AG103"/>
    <mergeCell ref="AH103:AK103"/>
    <mergeCell ref="AL103:AO103"/>
    <mergeCell ref="B104:D104"/>
    <mergeCell ref="E104:H104"/>
    <mergeCell ref="I104:O104"/>
    <mergeCell ref="P104:T104"/>
    <mergeCell ref="U104:X104"/>
    <mergeCell ref="Y104:AA104"/>
    <mergeCell ref="AB104:AC104"/>
    <mergeCell ref="AE104:AG104"/>
    <mergeCell ref="AH104:AK104"/>
    <mergeCell ref="AL104:AO104"/>
    <mergeCell ref="B105:D105"/>
    <mergeCell ref="E105:H105"/>
    <mergeCell ref="I105:O105"/>
    <mergeCell ref="P105:T105"/>
    <mergeCell ref="U105:X105"/>
    <mergeCell ref="Y105:AA105"/>
    <mergeCell ref="AB105:AC105"/>
    <mergeCell ref="AE105:AG105"/>
    <mergeCell ref="AH105:AK105"/>
    <mergeCell ref="AL105:AO105"/>
    <mergeCell ref="B106:D106"/>
    <mergeCell ref="E106:H106"/>
    <mergeCell ref="I106:O106"/>
    <mergeCell ref="P106:T106"/>
    <mergeCell ref="U106:X106"/>
    <mergeCell ref="Y106:AA106"/>
    <mergeCell ref="AB106:AC106"/>
    <mergeCell ref="AE106:AG106"/>
    <mergeCell ref="AH106:AK106"/>
    <mergeCell ref="AL106:AO106"/>
    <mergeCell ref="B107:D107"/>
    <mergeCell ref="E107:H107"/>
    <mergeCell ref="I107:O107"/>
    <mergeCell ref="P107:T107"/>
    <mergeCell ref="U107:X107"/>
    <mergeCell ref="Y107:AA107"/>
    <mergeCell ref="AB107:AC107"/>
    <mergeCell ref="AE107:AG107"/>
    <mergeCell ref="AH107:AK107"/>
    <mergeCell ref="AL107:AO107"/>
    <mergeCell ref="B108:D108"/>
    <mergeCell ref="E108:H108"/>
    <mergeCell ref="I108:O108"/>
    <mergeCell ref="P108:T108"/>
    <mergeCell ref="U108:X108"/>
    <mergeCell ref="Y108:AA108"/>
    <mergeCell ref="AB108:AC108"/>
    <mergeCell ref="AE108:AG108"/>
    <mergeCell ref="AH108:AK108"/>
    <mergeCell ref="AL108:AO108"/>
    <mergeCell ref="A109:AP109"/>
    <mergeCell ref="B110:D110"/>
    <mergeCell ref="E110:H110"/>
    <mergeCell ref="I110:O110"/>
    <mergeCell ref="P110:T110"/>
    <mergeCell ref="U110:X110"/>
    <mergeCell ref="Y110:AA110"/>
    <mergeCell ref="AB110:AC110"/>
    <mergeCell ref="AE110:AG110"/>
    <mergeCell ref="AH110:AK110"/>
    <mergeCell ref="AL110:AO110"/>
    <mergeCell ref="B111:D111"/>
    <mergeCell ref="E111:H111"/>
    <mergeCell ref="I111:O111"/>
    <mergeCell ref="P111:T111"/>
    <mergeCell ref="U111:X111"/>
    <mergeCell ref="Y111:AA111"/>
    <mergeCell ref="AB111:AC111"/>
    <mergeCell ref="AE111:AG111"/>
    <mergeCell ref="AH111:AK111"/>
    <mergeCell ref="AL111:AO111"/>
    <mergeCell ref="B112:D112"/>
    <mergeCell ref="E112:H112"/>
    <mergeCell ref="I112:O112"/>
    <mergeCell ref="P112:T112"/>
    <mergeCell ref="U112:X112"/>
    <mergeCell ref="Y112:AA112"/>
    <mergeCell ref="AB112:AC112"/>
    <mergeCell ref="AE112:AG112"/>
    <mergeCell ref="AH112:AK112"/>
    <mergeCell ref="AL112:AO112"/>
    <mergeCell ref="B113:D113"/>
    <mergeCell ref="E113:H113"/>
    <mergeCell ref="I113:O113"/>
    <mergeCell ref="Q113:S113"/>
    <mergeCell ref="T113:Z114"/>
    <mergeCell ref="AB113:AC113"/>
    <mergeCell ref="AE113:AG113"/>
    <mergeCell ref="AH113:AK113"/>
    <mergeCell ref="AL113:AM113"/>
    <mergeCell ref="AN113:AP115"/>
    <mergeCell ref="A114:P114"/>
    <mergeCell ref="Q114:S114"/>
    <mergeCell ref="AB114:AC114"/>
    <mergeCell ref="AE114:AG114"/>
    <mergeCell ref="AH114:AK114"/>
    <mergeCell ref="AL114:AM114"/>
    <mergeCell ref="B115:D115"/>
    <mergeCell ref="E115:H115"/>
    <mergeCell ref="I115:O115"/>
    <mergeCell ref="Q115:S115"/>
    <mergeCell ref="U115:X115"/>
    <mergeCell ref="Y115:Z115"/>
    <mergeCell ref="AB115:AC115"/>
    <mergeCell ref="AE115:AG115"/>
    <mergeCell ref="AH115:AK115"/>
    <mergeCell ref="AL115:AM115"/>
    <mergeCell ref="B116:D116"/>
    <mergeCell ref="E116:H116"/>
    <mergeCell ref="I116:O116"/>
    <mergeCell ref="P116:T116"/>
    <mergeCell ref="U116:X116"/>
    <mergeCell ref="Y116:AA116"/>
    <mergeCell ref="AB116:AC116"/>
    <mergeCell ref="AE116:AG116"/>
    <mergeCell ref="AH116:AK116"/>
    <mergeCell ref="AL116:AO116"/>
    <mergeCell ref="B117:D117"/>
    <mergeCell ref="E117:H117"/>
    <mergeCell ref="I117:O117"/>
    <mergeCell ref="P117:T117"/>
    <mergeCell ref="U117:X117"/>
    <mergeCell ref="Y117:AA117"/>
    <mergeCell ref="AB117:AC117"/>
    <mergeCell ref="AE117:AG117"/>
    <mergeCell ref="AH117:AK117"/>
    <mergeCell ref="AL117:AO117"/>
    <mergeCell ref="B118:D118"/>
    <mergeCell ref="E118:H118"/>
    <mergeCell ref="I118:O118"/>
    <mergeCell ref="P118:T118"/>
    <mergeCell ref="U118:X118"/>
    <mergeCell ref="Y118:AA118"/>
    <mergeCell ref="AB118:AC118"/>
    <mergeCell ref="AE118:AG118"/>
    <mergeCell ref="AH118:AK118"/>
    <mergeCell ref="AL118:AO118"/>
    <mergeCell ref="B119:D119"/>
    <mergeCell ref="E119:H119"/>
    <mergeCell ref="I119:O119"/>
    <mergeCell ref="P119:T119"/>
    <mergeCell ref="U119:X119"/>
    <mergeCell ref="Y119:AA119"/>
    <mergeCell ref="AB119:AC119"/>
    <mergeCell ref="AE119:AG119"/>
    <mergeCell ref="AH119:AK119"/>
    <mergeCell ref="AL119:AO119"/>
    <mergeCell ref="B120:D120"/>
    <mergeCell ref="E120:H120"/>
    <mergeCell ref="I120:O120"/>
    <mergeCell ref="P120:T120"/>
    <mergeCell ref="U120:X120"/>
    <mergeCell ref="Y120:AA120"/>
    <mergeCell ref="AB120:AC120"/>
    <mergeCell ref="AE120:AG120"/>
    <mergeCell ref="AH120:AK120"/>
    <mergeCell ref="AL120:AO120"/>
    <mergeCell ref="B121:D121"/>
    <mergeCell ref="E121:H121"/>
    <mergeCell ref="I121:O121"/>
    <mergeCell ref="P121:T121"/>
    <mergeCell ref="U121:X121"/>
    <mergeCell ref="Y121:AA121"/>
    <mergeCell ref="AB121:AC121"/>
    <mergeCell ref="AE121:AG121"/>
    <mergeCell ref="AH121:AK121"/>
    <mergeCell ref="AL121:AO121"/>
    <mergeCell ref="B122:D122"/>
    <mergeCell ref="E122:H122"/>
    <mergeCell ref="I122:O122"/>
    <mergeCell ref="P122:T122"/>
    <mergeCell ref="U122:X122"/>
    <mergeCell ref="Y122:AA122"/>
    <mergeCell ref="AB122:AC122"/>
    <mergeCell ref="AE122:AG122"/>
    <mergeCell ref="AH122:AK122"/>
    <mergeCell ref="AL122:AO122"/>
    <mergeCell ref="B123:D123"/>
    <mergeCell ref="E123:H123"/>
    <mergeCell ref="I123:O123"/>
    <mergeCell ref="P123:Q123"/>
    <mergeCell ref="R123:S123"/>
    <mergeCell ref="T123:Z124"/>
    <mergeCell ref="AB123:AC123"/>
    <mergeCell ref="AE123:AG123"/>
    <mergeCell ref="AH123:AK123"/>
    <mergeCell ref="AL123:AM123"/>
    <mergeCell ref="AN123:AP125"/>
    <mergeCell ref="A124:Q124"/>
    <mergeCell ref="R124:S124"/>
    <mergeCell ref="AB124:AC124"/>
    <mergeCell ref="AE124:AG124"/>
    <mergeCell ref="AH124:AK124"/>
    <mergeCell ref="AL124:AM124"/>
    <mergeCell ref="B125:D125"/>
    <mergeCell ref="E125:H125"/>
    <mergeCell ref="I125:O125"/>
    <mergeCell ref="P125:Q125"/>
    <mergeCell ref="R125:S125"/>
    <mergeCell ref="U125:X125"/>
    <mergeCell ref="Y125:Z125"/>
    <mergeCell ref="AB125:AC125"/>
    <mergeCell ref="AE125:AG125"/>
    <mergeCell ref="AH125:AK125"/>
    <mergeCell ref="AL125:AM125"/>
    <mergeCell ref="B126:D126"/>
    <mergeCell ref="E126:H126"/>
    <mergeCell ref="I126:O126"/>
    <mergeCell ref="P126:T126"/>
    <mergeCell ref="U126:X126"/>
    <mergeCell ref="Y126:AA126"/>
    <mergeCell ref="AB126:AC126"/>
    <mergeCell ref="AE126:AG126"/>
    <mergeCell ref="AH126:AK126"/>
    <mergeCell ref="AL126:AO126"/>
    <mergeCell ref="B127:D127"/>
    <mergeCell ref="E127:H127"/>
    <mergeCell ref="I127:O127"/>
    <mergeCell ref="P127:T127"/>
    <mergeCell ref="U127:X127"/>
    <mergeCell ref="Y127:AA127"/>
    <mergeCell ref="AB127:AC127"/>
    <mergeCell ref="AE127:AG127"/>
    <mergeCell ref="AH127:AK127"/>
    <mergeCell ref="AL127:AO127"/>
    <mergeCell ref="B128:D128"/>
    <mergeCell ref="E128:H128"/>
    <mergeCell ref="I128:O128"/>
    <mergeCell ref="P128:T128"/>
    <mergeCell ref="U128:X128"/>
    <mergeCell ref="Y128:AA128"/>
    <mergeCell ref="AB128:AC128"/>
    <mergeCell ref="AE128:AG128"/>
    <mergeCell ref="AH128:AK128"/>
    <mergeCell ref="AL128:AO128"/>
    <mergeCell ref="B129:D129"/>
    <mergeCell ref="E129:H129"/>
    <mergeCell ref="I129:O129"/>
    <mergeCell ref="P129:T129"/>
    <mergeCell ref="U129:X129"/>
    <mergeCell ref="Y129:AA129"/>
    <mergeCell ref="AB129:AC129"/>
    <mergeCell ref="AE129:AG129"/>
    <mergeCell ref="AH129:AK129"/>
    <mergeCell ref="AL129:AO129"/>
    <mergeCell ref="B130:D130"/>
    <mergeCell ref="E130:H130"/>
    <mergeCell ref="I130:O130"/>
    <mergeCell ref="P130:T130"/>
    <mergeCell ref="U130:X130"/>
    <mergeCell ref="Y130:AA130"/>
    <mergeCell ref="AB130:AC130"/>
    <mergeCell ref="AE130:AG130"/>
    <mergeCell ref="AH130:AK130"/>
    <mergeCell ref="AL130:AO130"/>
    <mergeCell ref="B131:D131"/>
    <mergeCell ref="E131:H131"/>
    <mergeCell ref="I131:O131"/>
    <mergeCell ref="P131:T131"/>
    <mergeCell ref="U131:X131"/>
    <mergeCell ref="Y131:AA131"/>
    <mergeCell ref="AB131:AC131"/>
    <mergeCell ref="AE131:AG131"/>
    <mergeCell ref="AH131:AK131"/>
    <mergeCell ref="AL131:AO131"/>
    <mergeCell ref="B132:D132"/>
    <mergeCell ref="E132:H132"/>
    <mergeCell ref="I132:O132"/>
    <mergeCell ref="Q132:S132"/>
    <mergeCell ref="T132:Z133"/>
    <mergeCell ref="AB132:AC132"/>
    <mergeCell ref="AE132:AG132"/>
    <mergeCell ref="AH132:AK132"/>
    <mergeCell ref="AM132:AP134"/>
    <mergeCell ref="A133:P133"/>
    <mergeCell ref="Q133:S133"/>
    <mergeCell ref="AB133:AC133"/>
    <mergeCell ref="AE133:AG133"/>
    <mergeCell ref="AH133:AK133"/>
    <mergeCell ref="B134:D134"/>
    <mergeCell ref="E134:H134"/>
    <mergeCell ref="I134:O134"/>
    <mergeCell ref="Q134:S134"/>
    <mergeCell ref="U134:X134"/>
    <mergeCell ref="Y134:Z134"/>
    <mergeCell ref="AB134:AC134"/>
    <mergeCell ref="AE134:AG134"/>
    <mergeCell ref="AH134:AK134"/>
    <mergeCell ref="B135:D135"/>
    <mergeCell ref="E135:H135"/>
    <mergeCell ref="I135:O135"/>
    <mergeCell ref="P135:T135"/>
    <mergeCell ref="U135:X135"/>
    <mergeCell ref="Y135:AA135"/>
    <mergeCell ref="AB135:AC135"/>
    <mergeCell ref="AE135:AG135"/>
    <mergeCell ref="AH135:AK135"/>
    <mergeCell ref="AL135:AO135"/>
    <mergeCell ref="B136:D136"/>
    <mergeCell ref="E136:H136"/>
    <mergeCell ref="I136:O136"/>
    <mergeCell ref="P136:T136"/>
    <mergeCell ref="U136:X136"/>
    <mergeCell ref="Y136:AA136"/>
    <mergeCell ref="AB136:AC136"/>
    <mergeCell ref="AE136:AG136"/>
    <mergeCell ref="AH136:AK136"/>
    <mergeCell ref="AL136:AO136"/>
    <mergeCell ref="B137:D137"/>
    <mergeCell ref="E137:H137"/>
    <mergeCell ref="I137:O137"/>
    <mergeCell ref="P137:T137"/>
    <mergeCell ref="U137:X137"/>
    <mergeCell ref="Y137:AA137"/>
    <mergeCell ref="AB137:AC137"/>
    <mergeCell ref="AE137:AG137"/>
    <mergeCell ref="AH137:AK137"/>
    <mergeCell ref="AL137:AO137"/>
    <mergeCell ref="B138:D138"/>
    <mergeCell ref="E138:H138"/>
    <mergeCell ref="I138:O138"/>
    <mergeCell ref="P138:T138"/>
    <mergeCell ref="U138:X138"/>
    <mergeCell ref="Y138:AA138"/>
    <mergeCell ref="AB138:AC138"/>
    <mergeCell ref="AE138:AG138"/>
    <mergeCell ref="AH138:AK138"/>
    <mergeCell ref="AL138:AO138"/>
    <mergeCell ref="B139:D139"/>
    <mergeCell ref="E139:H139"/>
    <mergeCell ref="I139:O139"/>
    <mergeCell ref="P139:Q139"/>
    <mergeCell ref="R139:S139"/>
    <mergeCell ref="T139:Z140"/>
    <mergeCell ref="AB139:AC139"/>
    <mergeCell ref="AE139:AG139"/>
    <mergeCell ref="AH139:AK139"/>
    <mergeCell ref="AL139:AM139"/>
    <mergeCell ref="AN139:AP141"/>
    <mergeCell ref="A140:Q140"/>
    <mergeCell ref="R140:S140"/>
    <mergeCell ref="AB140:AC140"/>
    <mergeCell ref="AE140:AG140"/>
    <mergeCell ref="AH140:AK140"/>
    <mergeCell ref="AL140:AM140"/>
    <mergeCell ref="B141:D141"/>
    <mergeCell ref="E141:H141"/>
    <mergeCell ref="I141:O141"/>
    <mergeCell ref="P141:Q141"/>
    <mergeCell ref="R141:S141"/>
    <mergeCell ref="U141:X141"/>
    <mergeCell ref="Y141:Z141"/>
    <mergeCell ref="AB141:AC141"/>
    <mergeCell ref="AE141:AG141"/>
    <mergeCell ref="AH141:AK141"/>
    <mergeCell ref="AL141:AM141"/>
    <mergeCell ref="B142:D142"/>
    <mergeCell ref="E142:H142"/>
    <mergeCell ref="I142:O142"/>
    <mergeCell ref="P142:T142"/>
    <mergeCell ref="U142:X142"/>
    <mergeCell ref="Y142:AA142"/>
    <mergeCell ref="AB142:AC142"/>
    <mergeCell ref="AE142:AG142"/>
    <mergeCell ref="AH142:AK142"/>
    <mergeCell ref="AL142:AO142"/>
    <mergeCell ref="B143:D143"/>
    <mergeCell ref="E143:H143"/>
    <mergeCell ref="I143:O143"/>
    <mergeCell ref="P143:T143"/>
    <mergeCell ref="U143:X143"/>
    <mergeCell ref="Y143:AA143"/>
    <mergeCell ref="AB143:AC143"/>
    <mergeCell ref="AE143:AG143"/>
    <mergeCell ref="AH143:AK143"/>
    <mergeCell ref="AL143:AO143"/>
    <mergeCell ref="B144:D144"/>
    <mergeCell ref="E144:H144"/>
    <mergeCell ref="I144:O144"/>
    <mergeCell ref="P144:T144"/>
    <mergeCell ref="U144:X144"/>
    <mergeCell ref="Y144:AA144"/>
    <mergeCell ref="AB144:AC144"/>
    <mergeCell ref="AE144:AG144"/>
    <mergeCell ref="AH144:AK144"/>
    <mergeCell ref="AL144:AO144"/>
    <mergeCell ref="B145:D145"/>
    <mergeCell ref="E145:H145"/>
    <mergeCell ref="I145:O145"/>
    <mergeCell ref="P145:T145"/>
    <mergeCell ref="U145:X145"/>
    <mergeCell ref="Y145:AA145"/>
    <mergeCell ref="AB145:AC145"/>
    <mergeCell ref="AE145:AG145"/>
    <mergeCell ref="AH145:AK145"/>
    <mergeCell ref="AL145:AO145"/>
    <mergeCell ref="A146:Z146"/>
    <mergeCell ref="AB146:AC146"/>
    <mergeCell ref="AE146:AG146"/>
    <mergeCell ref="AH146:AK146"/>
    <mergeCell ref="AL146:AM146"/>
    <mergeCell ref="AN146:AP147"/>
    <mergeCell ref="B147:D147"/>
    <mergeCell ref="E147:H147"/>
    <mergeCell ref="I147:O147"/>
    <mergeCell ref="P147:T147"/>
    <mergeCell ref="U147:X147"/>
    <mergeCell ref="Y147:Z147"/>
    <mergeCell ref="AB147:AC147"/>
    <mergeCell ref="AE147:AG147"/>
    <mergeCell ref="AH147:AK147"/>
    <mergeCell ref="AL147:AM147"/>
    <mergeCell ref="A148:AO148"/>
    <mergeCell ref="B149:D149"/>
    <mergeCell ref="E149:H149"/>
    <mergeCell ref="I149:O149"/>
    <mergeCell ref="P149:T149"/>
    <mergeCell ref="U149:X149"/>
    <mergeCell ref="Y149:AA149"/>
    <mergeCell ref="AB149:AC149"/>
    <mergeCell ref="AE149:AG149"/>
    <mergeCell ref="AH149:AK149"/>
    <mergeCell ref="AL149:AO149"/>
    <mergeCell ref="B150:D150"/>
    <mergeCell ref="E150:H150"/>
    <mergeCell ref="I150:O150"/>
    <mergeCell ref="P150:T150"/>
    <mergeCell ref="U150:X150"/>
    <mergeCell ref="Y150:AA150"/>
    <mergeCell ref="AB150:AC150"/>
    <mergeCell ref="AE150:AG150"/>
    <mergeCell ref="AH150:AK150"/>
    <mergeCell ref="AL150:AO150"/>
    <mergeCell ref="B151:D151"/>
    <mergeCell ref="E151:H151"/>
    <mergeCell ref="I151:O151"/>
    <mergeCell ref="P151:T151"/>
    <mergeCell ref="U151:X151"/>
    <mergeCell ref="Y151:AA151"/>
    <mergeCell ref="AB151:AC151"/>
    <mergeCell ref="AE151:AG151"/>
    <mergeCell ref="AH151:AK151"/>
    <mergeCell ref="AL151:AO151"/>
    <mergeCell ref="B152:D152"/>
    <mergeCell ref="E152:H152"/>
    <mergeCell ref="I152:O152"/>
    <mergeCell ref="P152:T152"/>
    <mergeCell ref="U152:X152"/>
    <mergeCell ref="Y152:AA152"/>
    <mergeCell ref="AB152:AC152"/>
    <mergeCell ref="AE152:AG152"/>
    <mergeCell ref="AH152:AK152"/>
    <mergeCell ref="AL152:AO152"/>
    <mergeCell ref="B153:D153"/>
    <mergeCell ref="E153:H153"/>
    <mergeCell ref="I153:O153"/>
    <mergeCell ref="P153:T153"/>
    <mergeCell ref="U153:X153"/>
    <mergeCell ref="Y153:AA153"/>
    <mergeCell ref="AB153:AC153"/>
    <mergeCell ref="AE153:AG153"/>
    <mergeCell ref="AH153:AK153"/>
    <mergeCell ref="AL153:AO153"/>
    <mergeCell ref="B154:D154"/>
    <mergeCell ref="E154:H154"/>
    <mergeCell ref="I154:O154"/>
    <mergeCell ref="P154:T154"/>
    <mergeCell ref="U154:X154"/>
    <mergeCell ref="Y154:AA154"/>
    <mergeCell ref="AB154:AC154"/>
    <mergeCell ref="AE154:AG154"/>
    <mergeCell ref="AH154:AK154"/>
    <mergeCell ref="AL154:AO154"/>
    <mergeCell ref="B155:D155"/>
    <mergeCell ref="E155:H155"/>
    <mergeCell ref="I155:O155"/>
    <mergeCell ref="P155:T155"/>
    <mergeCell ref="U155:X155"/>
    <mergeCell ref="Y155:AA155"/>
    <mergeCell ref="AB155:AC155"/>
    <mergeCell ref="AE155:AG155"/>
    <mergeCell ref="AH155:AK155"/>
    <mergeCell ref="AL155:AO155"/>
    <mergeCell ref="B156:D156"/>
    <mergeCell ref="E156:H156"/>
    <mergeCell ref="I156:O156"/>
    <mergeCell ref="P156:T156"/>
    <mergeCell ref="U156:X156"/>
    <mergeCell ref="Y156:AA156"/>
    <mergeCell ref="AB156:AC156"/>
    <mergeCell ref="AE156:AG156"/>
    <mergeCell ref="AH156:AK156"/>
    <mergeCell ref="AL156:AO156"/>
    <mergeCell ref="B157:D157"/>
    <mergeCell ref="E157:H157"/>
    <mergeCell ref="I157:O157"/>
    <mergeCell ref="P157:T157"/>
    <mergeCell ref="U157:X157"/>
    <mergeCell ref="Y157:AA157"/>
    <mergeCell ref="AB157:AC157"/>
    <mergeCell ref="AE157:AG157"/>
    <mergeCell ref="AH157:AK157"/>
    <mergeCell ref="AL157:AO157"/>
    <mergeCell ref="B158:D158"/>
    <mergeCell ref="E158:H158"/>
    <mergeCell ref="I158:O158"/>
    <mergeCell ref="P158:T158"/>
    <mergeCell ref="U158:X158"/>
    <mergeCell ref="Y158:AA158"/>
    <mergeCell ref="AB158:AC158"/>
    <mergeCell ref="AE158:AG158"/>
    <mergeCell ref="AH158:AK158"/>
    <mergeCell ref="AL158:AO158"/>
    <mergeCell ref="A159:AP159"/>
    <mergeCell ref="A160:AO160"/>
    <mergeCell ref="B161:D161"/>
    <mergeCell ref="E161:H161"/>
    <mergeCell ref="I161:O161"/>
    <mergeCell ref="P161:T161"/>
    <mergeCell ref="U161:X161"/>
    <mergeCell ref="Y161:AA161"/>
    <mergeCell ref="AB161:AC161"/>
    <mergeCell ref="AE161:AG161"/>
    <mergeCell ref="AH161:AK161"/>
    <mergeCell ref="AL161:AO161"/>
    <mergeCell ref="B162:D162"/>
    <mergeCell ref="E162:H162"/>
    <mergeCell ref="I162:O162"/>
    <mergeCell ref="P162:T162"/>
    <mergeCell ref="U162:X162"/>
    <mergeCell ref="Y162:AA162"/>
    <mergeCell ref="AB162:AC162"/>
    <mergeCell ref="AE162:AG162"/>
    <mergeCell ref="AH162:AK162"/>
    <mergeCell ref="AL162:AO162"/>
    <mergeCell ref="B163:D163"/>
    <mergeCell ref="E163:H163"/>
    <mergeCell ref="I163:O163"/>
    <mergeCell ref="P163:T163"/>
    <mergeCell ref="U163:X163"/>
    <mergeCell ref="Y163:AA163"/>
    <mergeCell ref="AB163:AC163"/>
    <mergeCell ref="AE163:AG163"/>
    <mergeCell ref="AH163:AK163"/>
    <mergeCell ref="AL163:AO163"/>
    <mergeCell ref="B164:D164"/>
    <mergeCell ref="E164:H164"/>
    <mergeCell ref="I164:O164"/>
    <mergeCell ref="P164:T164"/>
    <mergeCell ref="U164:X164"/>
    <mergeCell ref="Y164:AA164"/>
    <mergeCell ref="AB164:AC164"/>
    <mergeCell ref="AE164:AG164"/>
    <mergeCell ref="AH164:AK164"/>
    <mergeCell ref="AL164:AO164"/>
    <mergeCell ref="B165:D165"/>
    <mergeCell ref="E165:H165"/>
    <mergeCell ref="I165:O165"/>
    <mergeCell ref="P165:T165"/>
    <mergeCell ref="U165:X165"/>
    <mergeCell ref="Y165:AA165"/>
    <mergeCell ref="AB165:AC165"/>
    <mergeCell ref="AE165:AG165"/>
    <mergeCell ref="AH165:AK165"/>
    <mergeCell ref="AL165:AO165"/>
    <mergeCell ref="B166:D166"/>
    <mergeCell ref="E166:H166"/>
    <mergeCell ref="I166:O166"/>
    <mergeCell ref="P166:T166"/>
    <mergeCell ref="U166:X166"/>
    <mergeCell ref="Y166:AA166"/>
    <mergeCell ref="AB166:AC166"/>
    <mergeCell ref="AE166:AG166"/>
    <mergeCell ref="AH166:AK166"/>
    <mergeCell ref="AL166:AO166"/>
    <mergeCell ref="B167:D167"/>
    <mergeCell ref="E167:H167"/>
    <mergeCell ref="I167:O167"/>
    <mergeCell ref="P167:T167"/>
    <mergeCell ref="U167:X167"/>
    <mergeCell ref="Y167:AA167"/>
    <mergeCell ref="AB167:AC167"/>
    <mergeCell ref="AE167:AG167"/>
    <mergeCell ref="AH167:AK167"/>
    <mergeCell ref="AL167:AO167"/>
    <mergeCell ref="B168:D168"/>
    <mergeCell ref="E168:H168"/>
    <mergeCell ref="I168:O168"/>
    <mergeCell ref="P168:T168"/>
    <mergeCell ref="U168:X168"/>
    <mergeCell ref="Y168:AA168"/>
    <mergeCell ref="AB168:AC168"/>
    <mergeCell ref="AE168:AG168"/>
    <mergeCell ref="AH168:AK168"/>
    <mergeCell ref="AL168:AO168"/>
    <mergeCell ref="B169:D169"/>
    <mergeCell ref="E169:H169"/>
    <mergeCell ref="I169:O169"/>
    <mergeCell ref="P169:T169"/>
    <mergeCell ref="U169:X169"/>
    <mergeCell ref="Y169:AA169"/>
    <mergeCell ref="AB169:AC169"/>
    <mergeCell ref="AE169:AG169"/>
    <mergeCell ref="AH169:AK169"/>
    <mergeCell ref="AL169:AO169"/>
    <mergeCell ref="B170:D170"/>
    <mergeCell ref="E170:H170"/>
    <mergeCell ref="I170:O170"/>
    <mergeCell ref="P170:T170"/>
    <mergeCell ref="U170:X170"/>
    <mergeCell ref="Y170:AA170"/>
    <mergeCell ref="AB170:AC170"/>
    <mergeCell ref="AE170:AG170"/>
    <mergeCell ref="AH170:AK170"/>
    <mergeCell ref="AL170:AO170"/>
    <mergeCell ref="B171:D171"/>
    <mergeCell ref="E171:H171"/>
    <mergeCell ref="I171:O171"/>
    <mergeCell ref="P171:T171"/>
    <mergeCell ref="U171:X171"/>
    <mergeCell ref="Y171:AA171"/>
    <mergeCell ref="AB171:AC171"/>
    <mergeCell ref="AE171:AG171"/>
    <mergeCell ref="AH171:AK171"/>
    <mergeCell ref="AL171:AO171"/>
    <mergeCell ref="B172:D172"/>
    <mergeCell ref="E172:H172"/>
    <mergeCell ref="I172:O172"/>
    <mergeCell ref="P172:T172"/>
    <mergeCell ref="U172:X172"/>
    <mergeCell ref="Y172:AA172"/>
    <mergeCell ref="AB172:AC172"/>
    <mergeCell ref="AE172:AG172"/>
    <mergeCell ref="AH172:AK172"/>
    <mergeCell ref="AL172:AO172"/>
    <mergeCell ref="B173:D173"/>
    <mergeCell ref="E173:H173"/>
    <mergeCell ref="I173:O173"/>
    <mergeCell ref="P173:T173"/>
    <mergeCell ref="U173:X173"/>
    <mergeCell ref="Y173:AA173"/>
    <mergeCell ref="AB173:AC173"/>
    <mergeCell ref="AE173:AG173"/>
    <mergeCell ref="AH173:AK173"/>
    <mergeCell ref="AL173:AO173"/>
    <mergeCell ref="B174:D174"/>
    <mergeCell ref="E174:H174"/>
    <mergeCell ref="I174:O174"/>
    <mergeCell ref="P174:T174"/>
    <mergeCell ref="U174:X174"/>
    <mergeCell ref="Y174:AA174"/>
    <mergeCell ref="AB174:AC174"/>
    <mergeCell ref="AE174:AG174"/>
    <mergeCell ref="AH174:AK174"/>
    <mergeCell ref="AL174:AO174"/>
    <mergeCell ref="B175:D175"/>
    <mergeCell ref="E175:H175"/>
    <mergeCell ref="I175:O175"/>
    <mergeCell ref="P175:T175"/>
    <mergeCell ref="U175:X175"/>
    <mergeCell ref="Y175:AA175"/>
    <mergeCell ref="AB175:AC175"/>
    <mergeCell ref="AE175:AG175"/>
    <mergeCell ref="AH175:AK175"/>
    <mergeCell ref="AL175:AO175"/>
    <mergeCell ref="B176:D176"/>
    <mergeCell ref="E176:H176"/>
    <mergeCell ref="I176:O176"/>
    <mergeCell ref="P176:T176"/>
    <mergeCell ref="U176:X176"/>
    <mergeCell ref="Y176:AA176"/>
    <mergeCell ref="AB176:AC176"/>
    <mergeCell ref="AE176:AG176"/>
    <mergeCell ref="AH176:AK176"/>
    <mergeCell ref="AL176:AO176"/>
    <mergeCell ref="B177:D177"/>
    <mergeCell ref="E177:H177"/>
    <mergeCell ref="I177:O177"/>
    <mergeCell ref="P177:T177"/>
    <mergeCell ref="U177:X177"/>
    <mergeCell ref="Y177:AA177"/>
    <mergeCell ref="AB177:AC177"/>
    <mergeCell ref="AE177:AG177"/>
    <mergeCell ref="AH177:AK177"/>
    <mergeCell ref="AL177:AO177"/>
    <mergeCell ref="B178:D178"/>
    <mergeCell ref="E178:H178"/>
    <mergeCell ref="I178:O178"/>
    <mergeCell ref="P178:T178"/>
    <mergeCell ref="U178:X178"/>
    <mergeCell ref="Y178:AA178"/>
    <mergeCell ref="AB178:AC178"/>
    <mergeCell ref="AE178:AG178"/>
    <mergeCell ref="AH178:AK178"/>
    <mergeCell ref="AL178:AO178"/>
    <mergeCell ref="B179:D179"/>
    <mergeCell ref="E179:H179"/>
    <mergeCell ref="I179:O179"/>
    <mergeCell ref="P179:T179"/>
    <mergeCell ref="U179:X179"/>
    <mergeCell ref="Y179:AA179"/>
    <mergeCell ref="AB179:AC179"/>
    <mergeCell ref="AE179:AG179"/>
    <mergeCell ref="AH179:AK179"/>
    <mergeCell ref="AL179:AO179"/>
    <mergeCell ref="B180:D180"/>
    <mergeCell ref="E180:H180"/>
    <mergeCell ref="I180:O180"/>
    <mergeCell ref="P180:T180"/>
    <mergeCell ref="U180:X180"/>
    <mergeCell ref="Y180:AA180"/>
    <mergeCell ref="AB180:AC180"/>
    <mergeCell ref="AE180:AG180"/>
    <mergeCell ref="AH180:AK180"/>
    <mergeCell ref="AL180:AO180"/>
    <mergeCell ref="B181:D181"/>
    <mergeCell ref="E181:H181"/>
    <mergeCell ref="I181:O181"/>
    <mergeCell ref="P181:T181"/>
    <mergeCell ref="U181:X181"/>
    <mergeCell ref="Y181:AA181"/>
    <mergeCell ref="AB181:AC181"/>
    <mergeCell ref="AE181:AG181"/>
    <mergeCell ref="AH181:AK181"/>
    <mergeCell ref="AL181:AO181"/>
    <mergeCell ref="B182:D182"/>
    <mergeCell ref="E182:H182"/>
    <mergeCell ref="I182:O182"/>
    <mergeCell ref="P182:T182"/>
    <mergeCell ref="U182:X182"/>
    <mergeCell ref="Y182:AA182"/>
    <mergeCell ref="AB182:AC182"/>
    <mergeCell ref="AE182:AG182"/>
    <mergeCell ref="AH182:AK182"/>
    <mergeCell ref="AL182:AO182"/>
    <mergeCell ref="B183:D183"/>
    <mergeCell ref="E183:H183"/>
    <mergeCell ref="I183:O183"/>
    <mergeCell ref="P183:T183"/>
    <mergeCell ref="U183:X183"/>
    <mergeCell ref="Y183:AA183"/>
    <mergeCell ref="AB183:AC183"/>
    <mergeCell ref="AE183:AG183"/>
    <mergeCell ref="AH183:AK183"/>
    <mergeCell ref="AL183:AO183"/>
    <mergeCell ref="B184:D184"/>
    <mergeCell ref="E184:H184"/>
    <mergeCell ref="I184:O184"/>
    <mergeCell ref="P184:T184"/>
    <mergeCell ref="U184:X184"/>
    <mergeCell ref="Y184:AA184"/>
    <mergeCell ref="AB184:AC184"/>
    <mergeCell ref="AE184:AG184"/>
    <mergeCell ref="AH184:AK184"/>
    <mergeCell ref="AL184:AO184"/>
    <mergeCell ref="A185:AO185"/>
    <mergeCell ref="B186:D186"/>
    <mergeCell ref="E186:H186"/>
    <mergeCell ref="I186:N186"/>
    <mergeCell ref="O186:T186"/>
    <mergeCell ref="U186:X186"/>
    <mergeCell ref="Y186:AA186"/>
    <mergeCell ref="AB186:AC186"/>
    <mergeCell ref="AE186:AG186"/>
    <mergeCell ref="AH186:AK186"/>
    <mergeCell ref="AL186:AO186"/>
    <mergeCell ref="B187:D187"/>
    <mergeCell ref="E187:H187"/>
    <mergeCell ref="I187:N187"/>
    <mergeCell ref="O187:T187"/>
    <mergeCell ref="U187:X187"/>
    <mergeCell ref="Y187:AA187"/>
    <mergeCell ref="AB187:AC187"/>
    <mergeCell ref="AE187:AG187"/>
    <mergeCell ref="AH187:AK187"/>
    <mergeCell ref="AL187:AO187"/>
    <mergeCell ref="B188:D188"/>
    <mergeCell ref="E188:H188"/>
    <mergeCell ref="I188:N188"/>
    <mergeCell ref="O188:T188"/>
    <mergeCell ref="U188:X188"/>
    <mergeCell ref="Y188:AA188"/>
    <mergeCell ref="AB188:AC188"/>
    <mergeCell ref="AE188:AG188"/>
    <mergeCell ref="AH188:AK188"/>
    <mergeCell ref="AL188:AO188"/>
    <mergeCell ref="B189:D189"/>
    <mergeCell ref="E189:H189"/>
    <mergeCell ref="I189:N189"/>
    <mergeCell ref="O189:T189"/>
    <mergeCell ref="U189:X189"/>
    <mergeCell ref="Y189:AA189"/>
    <mergeCell ref="AB189:AC189"/>
    <mergeCell ref="AE189:AG189"/>
    <mergeCell ref="AH189:AK189"/>
    <mergeCell ref="AL189:AO189"/>
    <mergeCell ref="B190:D190"/>
    <mergeCell ref="E190:H190"/>
    <mergeCell ref="I190:N190"/>
    <mergeCell ref="O190:T190"/>
    <mergeCell ref="U190:X190"/>
    <mergeCell ref="Y190:AA190"/>
    <mergeCell ref="AB190:AC190"/>
    <mergeCell ref="AE190:AG190"/>
    <mergeCell ref="AH190:AK190"/>
    <mergeCell ref="AL190:AO190"/>
    <mergeCell ref="B191:D191"/>
    <mergeCell ref="E191:H191"/>
    <mergeCell ref="I191:N191"/>
    <mergeCell ref="O191:T191"/>
    <mergeCell ref="U191:X191"/>
    <mergeCell ref="Y191:AA191"/>
    <mergeCell ref="AB191:AC191"/>
    <mergeCell ref="AE191:AG191"/>
    <mergeCell ref="AH191:AK191"/>
    <mergeCell ref="AL191:AO191"/>
    <mergeCell ref="B192:D192"/>
    <mergeCell ref="E192:H192"/>
    <mergeCell ref="I192:N192"/>
    <mergeCell ref="O192:T192"/>
    <mergeCell ref="U192:X192"/>
    <mergeCell ref="Y192:AA192"/>
    <mergeCell ref="AB192:AC192"/>
    <mergeCell ref="AE192:AG192"/>
    <mergeCell ref="AH192:AK192"/>
    <mergeCell ref="AL192:AO192"/>
    <mergeCell ref="B193:D193"/>
    <mergeCell ref="E193:H193"/>
    <mergeCell ref="I193:N193"/>
    <mergeCell ref="O193:T193"/>
    <mergeCell ref="U193:X193"/>
    <mergeCell ref="Y193:AA193"/>
    <mergeCell ref="AB193:AC193"/>
    <mergeCell ref="AE193:AG193"/>
    <mergeCell ref="AH193:AK193"/>
    <mergeCell ref="AL193:AO193"/>
    <mergeCell ref="B194:D194"/>
    <mergeCell ref="E194:H194"/>
    <mergeCell ref="I194:N194"/>
    <mergeCell ref="O194:T194"/>
    <mergeCell ref="U194:X194"/>
    <mergeCell ref="Y194:AA194"/>
    <mergeCell ref="AB194:AC194"/>
    <mergeCell ref="AE194:AG194"/>
    <mergeCell ref="AH194:AK194"/>
    <mergeCell ref="AL194:AO194"/>
    <mergeCell ref="B195:D195"/>
    <mergeCell ref="E195:H195"/>
    <mergeCell ref="I195:N195"/>
    <mergeCell ref="O195:T195"/>
    <mergeCell ref="U195:X195"/>
    <mergeCell ref="Y195:AA195"/>
    <mergeCell ref="AB195:AC195"/>
    <mergeCell ref="AE195:AG195"/>
    <mergeCell ref="AH195:AK195"/>
    <mergeCell ref="AL195:AO195"/>
    <mergeCell ref="B196:D196"/>
    <mergeCell ref="E196:H196"/>
    <mergeCell ref="I196:N196"/>
    <mergeCell ref="O196:T196"/>
    <mergeCell ref="U196:X196"/>
    <mergeCell ref="Y196:AA196"/>
    <mergeCell ref="AB196:AC196"/>
    <mergeCell ref="AE196:AG196"/>
    <mergeCell ref="AH196:AK196"/>
    <mergeCell ref="AL196:AO196"/>
    <mergeCell ref="A197:AO197"/>
    <mergeCell ref="A198:AO198"/>
    <mergeCell ref="B199:D199"/>
    <mergeCell ref="E199:H199"/>
    <mergeCell ref="I199:N199"/>
    <mergeCell ref="O199:T199"/>
    <mergeCell ref="U199:X199"/>
    <mergeCell ref="Y199:AA199"/>
    <mergeCell ref="AB199:AC199"/>
    <mergeCell ref="AE199:AG199"/>
    <mergeCell ref="AH199:AK199"/>
    <mergeCell ref="AL199:AO199"/>
    <mergeCell ref="Q205:R205"/>
    <mergeCell ref="U205:V205"/>
    <mergeCell ref="Y205:Z205"/>
    <mergeCell ref="AB205:AC205"/>
    <mergeCell ref="B200:D200"/>
    <mergeCell ref="E200:H200"/>
    <mergeCell ref="I200:N200"/>
    <mergeCell ref="O200:T200"/>
    <mergeCell ref="U200:X200"/>
    <mergeCell ref="Y200:AA200"/>
    <mergeCell ref="AB200:AC200"/>
    <mergeCell ref="AE200:AG200"/>
    <mergeCell ref="AH200:AK200"/>
    <mergeCell ref="AL200:AO200"/>
    <mergeCell ref="B201:D201"/>
    <mergeCell ref="E201:H201"/>
    <mergeCell ref="I201:N201"/>
    <mergeCell ref="O201:T201"/>
    <mergeCell ref="U201:X201"/>
    <mergeCell ref="Y201:AA201"/>
    <mergeCell ref="AB201:AC201"/>
    <mergeCell ref="AE201:AG201"/>
    <mergeCell ref="AH201:AK201"/>
    <mergeCell ref="AL201:AO201"/>
    <mergeCell ref="AE205:AG205"/>
    <mergeCell ref="AH205:AJ205"/>
    <mergeCell ref="A206:W206"/>
    <mergeCell ref="X206:AP206"/>
    <mergeCell ref="B202:D202"/>
    <mergeCell ref="E202:H202"/>
    <mergeCell ref="I202:N202"/>
    <mergeCell ref="O202:T202"/>
    <mergeCell ref="U202:X202"/>
    <mergeCell ref="Y202:AA202"/>
    <mergeCell ref="AB202:AC202"/>
    <mergeCell ref="AE202:AG202"/>
    <mergeCell ref="AH202:AK202"/>
    <mergeCell ref="AL202:AO202"/>
    <mergeCell ref="F203:G203"/>
    <mergeCell ref="I203:L203"/>
    <mergeCell ref="M203:N203"/>
    <mergeCell ref="O203:P203"/>
    <mergeCell ref="Q203:R203"/>
    <mergeCell ref="T203:Z204"/>
    <mergeCell ref="AB203:AC203"/>
    <mergeCell ref="AE203:AG203"/>
    <mergeCell ref="AH203:AJ203"/>
    <mergeCell ref="AM203:AP205"/>
    <mergeCell ref="A204:R204"/>
    <mergeCell ref="AB204:AC204"/>
    <mergeCell ref="AE204:AG204"/>
    <mergeCell ref="AH204:AJ204"/>
    <mergeCell ref="F205:G205"/>
    <mergeCell ref="I205:L205"/>
    <mergeCell ref="M205:N205"/>
    <mergeCell ref="O205:P2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19BB-A1B1-44D8-87C8-1F6FBCC0FC15}">
  <dimension ref="A1:N106"/>
  <sheetViews>
    <sheetView topLeftCell="A67" workbookViewId="0">
      <selection activeCell="N2" sqref="N2:N106"/>
    </sheetView>
  </sheetViews>
  <sheetFormatPr defaultColWidth="10.83203125" defaultRowHeight="15" customHeight="1" x14ac:dyDescent="0.2"/>
  <cols>
    <col min="1" max="2" width="18.33203125" style="215" customWidth="1"/>
    <col min="3" max="3" width="13.1640625" style="215" customWidth="1"/>
    <col min="4" max="4" width="18.83203125" style="215" customWidth="1"/>
    <col min="5" max="10" width="10.83203125" style="215"/>
    <col min="11" max="11" width="25.1640625" style="215" customWidth="1"/>
    <col min="12" max="12" width="10.83203125" style="215"/>
    <col min="13" max="13" width="23.33203125" style="215" bestFit="1" customWidth="1"/>
    <col min="14" max="16384" width="10.83203125" style="215"/>
  </cols>
  <sheetData>
    <row r="1" spans="1:13" ht="15" customHeight="1" x14ac:dyDescent="0.2">
      <c r="A1" s="211" t="s">
        <v>285</v>
      </c>
      <c r="B1" s="211"/>
      <c r="C1" s="211" t="s">
        <v>286</v>
      </c>
      <c r="D1" s="211" t="s">
        <v>287</v>
      </c>
      <c r="E1" s="211" t="s">
        <v>288</v>
      </c>
      <c r="F1" s="212" t="s">
        <v>289</v>
      </c>
      <c r="G1" s="212" t="s">
        <v>290</v>
      </c>
      <c r="H1" s="211" t="s">
        <v>291</v>
      </c>
      <c r="I1" s="212" t="s">
        <v>292</v>
      </c>
      <c r="J1" s="213" t="s">
        <v>293</v>
      </c>
      <c r="K1" s="214"/>
    </row>
    <row r="2" spans="1:13" ht="15" customHeight="1" x14ac:dyDescent="0.2">
      <c r="A2" s="216">
        <v>445324</v>
      </c>
      <c r="B2" s="216" t="str">
        <f>CONCATENATE(A2,1)</f>
        <v>4453241</v>
      </c>
      <c r="C2" s="217">
        <v>8325282</v>
      </c>
      <c r="D2" s="213" t="s">
        <v>294</v>
      </c>
      <c r="E2" s="213" t="s">
        <v>295</v>
      </c>
      <c r="F2" s="213" t="s">
        <v>296</v>
      </c>
      <c r="G2" s="218">
        <v>45658</v>
      </c>
      <c r="H2" s="213" t="s">
        <v>297</v>
      </c>
      <c r="I2" s="213" t="s">
        <v>298</v>
      </c>
      <c r="J2" s="219">
        <v>-105</v>
      </c>
      <c r="K2" s="214" t="s">
        <v>284</v>
      </c>
      <c r="L2" s="215">
        <v>20411454</v>
      </c>
      <c r="M2" s="215" t="s">
        <v>403</v>
      </c>
    </row>
    <row r="3" spans="1:13" ht="15" customHeight="1" x14ac:dyDescent="0.2">
      <c r="A3" s="216">
        <v>448798</v>
      </c>
      <c r="B3" s="216" t="str">
        <f t="shared" ref="B3:B35" si="0">CONCATENATE(A3,1)</f>
        <v>4487981</v>
      </c>
      <c r="C3" s="220">
        <v>2158366</v>
      </c>
      <c r="D3" s="213" t="s">
        <v>299</v>
      </c>
      <c r="E3" s="213" t="s">
        <v>300</v>
      </c>
      <c r="F3" s="213" t="s">
        <v>296</v>
      </c>
      <c r="G3" s="221">
        <v>45689</v>
      </c>
      <c r="H3" s="213" t="s">
        <v>301</v>
      </c>
      <c r="I3" s="213" t="s">
        <v>302</v>
      </c>
      <c r="J3" s="222">
        <v>210</v>
      </c>
      <c r="K3" s="214" t="s">
        <v>284</v>
      </c>
      <c r="L3" s="215">
        <v>20411454</v>
      </c>
      <c r="M3" s="215" t="s">
        <v>403</v>
      </c>
    </row>
    <row r="4" spans="1:13" ht="15" customHeight="1" x14ac:dyDescent="0.2">
      <c r="A4" s="216">
        <v>443223</v>
      </c>
      <c r="B4" s="216" t="str">
        <f t="shared" si="0"/>
        <v>4432231</v>
      </c>
      <c r="C4" s="220">
        <v>2158366</v>
      </c>
      <c r="D4" s="213" t="s">
        <v>303</v>
      </c>
      <c r="E4" s="213" t="s">
        <v>300</v>
      </c>
      <c r="F4" s="213" t="s">
        <v>296</v>
      </c>
      <c r="G4" s="223">
        <v>45658</v>
      </c>
      <c r="H4" s="213" t="s">
        <v>297</v>
      </c>
      <c r="I4" s="213" t="s">
        <v>304</v>
      </c>
      <c r="J4" s="224">
        <v>-105</v>
      </c>
      <c r="K4" s="214" t="s">
        <v>284</v>
      </c>
      <c r="L4" s="215">
        <v>20411454</v>
      </c>
      <c r="M4" s="215" t="s">
        <v>403</v>
      </c>
    </row>
    <row r="5" spans="1:13" ht="15" customHeight="1" x14ac:dyDescent="0.2">
      <c r="A5" s="225">
        <v>439383</v>
      </c>
      <c r="B5" s="216" t="str">
        <f t="shared" si="0"/>
        <v>4393831</v>
      </c>
      <c r="C5" s="220">
        <v>2158366</v>
      </c>
      <c r="D5" s="213" t="s">
        <v>305</v>
      </c>
      <c r="E5" s="213" t="s">
        <v>300</v>
      </c>
      <c r="F5" s="213" t="s">
        <v>296</v>
      </c>
      <c r="G5" s="221">
        <v>45658</v>
      </c>
      <c r="H5" s="213" t="s">
        <v>306</v>
      </c>
      <c r="I5" s="213" t="s">
        <v>304</v>
      </c>
      <c r="J5" s="222">
        <v>105</v>
      </c>
      <c r="K5" s="214" t="s">
        <v>284</v>
      </c>
      <c r="L5" s="215">
        <v>20411454</v>
      </c>
      <c r="M5" s="215" t="s">
        <v>403</v>
      </c>
    </row>
    <row r="6" spans="1:13" ht="15" customHeight="1" x14ac:dyDescent="0.2">
      <c r="A6" s="216">
        <v>439384</v>
      </c>
      <c r="B6" s="216" t="str">
        <f t="shared" si="0"/>
        <v>4393841</v>
      </c>
      <c r="C6" s="220">
        <v>2158366</v>
      </c>
      <c r="D6" s="213" t="s">
        <v>307</v>
      </c>
      <c r="E6" s="213" t="s">
        <v>300</v>
      </c>
      <c r="F6" s="213" t="s">
        <v>296</v>
      </c>
      <c r="G6" s="221">
        <v>45658</v>
      </c>
      <c r="H6" s="213" t="s">
        <v>297</v>
      </c>
      <c r="I6" s="213" t="s">
        <v>308</v>
      </c>
      <c r="J6" s="222">
        <v>105</v>
      </c>
      <c r="K6" s="214" t="s">
        <v>284</v>
      </c>
      <c r="L6" s="215">
        <v>20411454</v>
      </c>
      <c r="M6" s="215" t="s">
        <v>403</v>
      </c>
    </row>
    <row r="7" spans="1:13" ht="15" customHeight="1" x14ac:dyDescent="0.2">
      <c r="A7" s="216">
        <v>444121</v>
      </c>
      <c r="B7" s="216" t="str">
        <f t="shared" si="0"/>
        <v>4441211</v>
      </c>
      <c r="C7" s="220">
        <v>2158366</v>
      </c>
      <c r="D7" s="213" t="s">
        <v>309</v>
      </c>
      <c r="E7" s="213" t="s">
        <v>300</v>
      </c>
      <c r="F7" s="213" t="s">
        <v>296</v>
      </c>
      <c r="G7" s="223">
        <v>45658</v>
      </c>
      <c r="H7" s="213" t="s">
        <v>297</v>
      </c>
      <c r="I7" s="213" t="s">
        <v>308</v>
      </c>
      <c r="J7" s="222">
        <v>105</v>
      </c>
      <c r="K7" s="214" t="s">
        <v>284</v>
      </c>
      <c r="L7" s="215">
        <v>20411454</v>
      </c>
      <c r="M7" s="215" t="s">
        <v>403</v>
      </c>
    </row>
    <row r="8" spans="1:13" ht="15" customHeight="1" x14ac:dyDescent="0.2">
      <c r="A8" s="226">
        <v>442876</v>
      </c>
      <c r="B8" s="216" t="str">
        <f t="shared" si="0"/>
        <v>4428761</v>
      </c>
      <c r="C8" s="227">
        <v>2158366</v>
      </c>
      <c r="D8" s="228" t="s">
        <v>310</v>
      </c>
      <c r="E8" s="228" t="s">
        <v>300</v>
      </c>
      <c r="F8" s="228" t="s">
        <v>311</v>
      </c>
      <c r="G8" s="229">
        <v>45658</v>
      </c>
      <c r="H8" s="228" t="s">
        <v>297</v>
      </c>
      <c r="I8" s="228" t="s">
        <v>304</v>
      </c>
      <c r="J8" s="230">
        <v>105</v>
      </c>
      <c r="K8" s="214" t="s">
        <v>284</v>
      </c>
      <c r="L8" s="215">
        <v>20411455</v>
      </c>
      <c r="M8" s="215" t="s">
        <v>403</v>
      </c>
    </row>
    <row r="9" spans="1:13" ht="15" customHeight="1" x14ac:dyDescent="0.2">
      <c r="A9" s="231">
        <v>445359</v>
      </c>
      <c r="B9" s="216" t="str">
        <f t="shared" si="0"/>
        <v>4453591</v>
      </c>
      <c r="C9" s="232">
        <v>19681796</v>
      </c>
      <c r="D9" s="213" t="s">
        <v>312</v>
      </c>
      <c r="E9" s="213" t="s">
        <v>313</v>
      </c>
      <c r="F9" s="213" t="s">
        <v>314</v>
      </c>
      <c r="G9" s="233">
        <v>45658</v>
      </c>
      <c r="H9" s="213" t="s">
        <v>315</v>
      </c>
      <c r="I9" s="213" t="s">
        <v>316</v>
      </c>
      <c r="J9" s="234">
        <v>105</v>
      </c>
      <c r="K9" s="214" t="s">
        <v>284</v>
      </c>
      <c r="L9" s="215">
        <v>20411454</v>
      </c>
      <c r="M9" s="215" t="s">
        <v>403</v>
      </c>
    </row>
    <row r="10" spans="1:13" ht="15" customHeight="1" x14ac:dyDescent="0.2">
      <c r="A10" s="231">
        <v>445779</v>
      </c>
      <c r="B10" s="216" t="str">
        <f t="shared" si="0"/>
        <v>4457791</v>
      </c>
      <c r="C10" s="232">
        <v>19645587</v>
      </c>
      <c r="D10" s="213" t="s">
        <v>317</v>
      </c>
      <c r="E10" s="213" t="s">
        <v>313</v>
      </c>
      <c r="F10" s="213" t="s">
        <v>314</v>
      </c>
      <c r="G10" s="233">
        <v>45658</v>
      </c>
      <c r="H10" s="213" t="s">
        <v>315</v>
      </c>
      <c r="I10" s="213" t="s">
        <v>316</v>
      </c>
      <c r="J10" s="234">
        <v>105</v>
      </c>
      <c r="K10" s="214" t="s">
        <v>284</v>
      </c>
      <c r="L10" s="215">
        <v>20411454</v>
      </c>
      <c r="M10" s="215" t="s">
        <v>403</v>
      </c>
    </row>
    <row r="11" spans="1:13" ht="15" customHeight="1" x14ac:dyDescent="0.2">
      <c r="A11" s="231">
        <v>439914</v>
      </c>
      <c r="B11" s="216" t="str">
        <f t="shared" si="0"/>
        <v>4399141</v>
      </c>
      <c r="C11" s="232">
        <v>19645587</v>
      </c>
      <c r="D11" s="213" t="s">
        <v>318</v>
      </c>
      <c r="E11" s="213" t="s">
        <v>313</v>
      </c>
      <c r="F11" s="213" t="s">
        <v>314</v>
      </c>
      <c r="G11" s="233">
        <v>45658</v>
      </c>
      <c r="H11" s="213" t="s">
        <v>315</v>
      </c>
      <c r="I11" s="213" t="s">
        <v>316</v>
      </c>
      <c r="J11" s="234">
        <v>105</v>
      </c>
      <c r="K11" s="214" t="s">
        <v>284</v>
      </c>
      <c r="L11" s="215">
        <v>20411454</v>
      </c>
      <c r="M11" s="215" t="s">
        <v>403</v>
      </c>
    </row>
    <row r="12" spans="1:13" ht="15" customHeight="1" x14ac:dyDescent="0.2">
      <c r="A12" s="231">
        <v>444055</v>
      </c>
      <c r="B12" s="216" t="str">
        <f t="shared" si="0"/>
        <v>4440551</v>
      </c>
      <c r="C12" s="232">
        <v>19615078</v>
      </c>
      <c r="D12" s="213" t="s">
        <v>319</v>
      </c>
      <c r="E12" s="213" t="s">
        <v>313</v>
      </c>
      <c r="F12" s="213" t="s">
        <v>314</v>
      </c>
      <c r="G12" s="233">
        <v>45658</v>
      </c>
      <c r="H12" s="213" t="s">
        <v>315</v>
      </c>
      <c r="I12" s="213" t="s">
        <v>316</v>
      </c>
      <c r="J12" s="234">
        <v>105</v>
      </c>
      <c r="K12" s="214" t="s">
        <v>284</v>
      </c>
      <c r="L12" s="215">
        <v>20411454</v>
      </c>
      <c r="M12" s="215" t="s">
        <v>403</v>
      </c>
    </row>
    <row r="13" spans="1:13" ht="15" customHeight="1" x14ac:dyDescent="0.2">
      <c r="A13" s="231">
        <v>445830</v>
      </c>
      <c r="B13" s="216" t="str">
        <f t="shared" si="0"/>
        <v>4458301</v>
      </c>
      <c r="C13" s="232">
        <v>19615078</v>
      </c>
      <c r="D13" s="213" t="s">
        <v>320</v>
      </c>
      <c r="E13" s="213" t="s">
        <v>313</v>
      </c>
      <c r="F13" s="213" t="s">
        <v>314</v>
      </c>
      <c r="G13" s="233">
        <v>45658</v>
      </c>
      <c r="H13" s="213" t="s">
        <v>315</v>
      </c>
      <c r="I13" s="213" t="s">
        <v>316</v>
      </c>
      <c r="J13" s="234">
        <v>105</v>
      </c>
      <c r="K13" s="214" t="s">
        <v>284</v>
      </c>
      <c r="L13" s="215">
        <v>20411454</v>
      </c>
      <c r="M13" s="215" t="s">
        <v>403</v>
      </c>
    </row>
    <row r="14" spans="1:13" ht="15" customHeight="1" x14ac:dyDescent="0.2">
      <c r="A14" s="231">
        <v>444931</v>
      </c>
      <c r="B14" s="216" t="str">
        <f t="shared" si="0"/>
        <v>4449311</v>
      </c>
      <c r="C14" s="232">
        <v>19615078</v>
      </c>
      <c r="D14" s="213" t="s">
        <v>321</v>
      </c>
      <c r="E14" s="213" t="s">
        <v>313</v>
      </c>
      <c r="F14" s="213" t="s">
        <v>314</v>
      </c>
      <c r="G14" s="233">
        <v>45689</v>
      </c>
      <c r="H14" s="213" t="s">
        <v>322</v>
      </c>
      <c r="I14" s="213" t="s">
        <v>316</v>
      </c>
      <c r="J14" s="234">
        <v>210</v>
      </c>
      <c r="K14" s="214" t="s">
        <v>284</v>
      </c>
      <c r="L14" s="215">
        <v>20411454</v>
      </c>
      <c r="M14" s="215" t="s">
        <v>403</v>
      </c>
    </row>
    <row r="15" spans="1:13" ht="15" customHeight="1" x14ac:dyDescent="0.2">
      <c r="A15" s="231">
        <v>443966</v>
      </c>
      <c r="B15" s="216" t="str">
        <f t="shared" si="0"/>
        <v>4439661</v>
      </c>
      <c r="C15" s="232">
        <v>19481808</v>
      </c>
      <c r="D15" s="213" t="s">
        <v>323</v>
      </c>
      <c r="E15" s="213" t="s">
        <v>313</v>
      </c>
      <c r="F15" s="213" t="s">
        <v>314</v>
      </c>
      <c r="G15" s="233">
        <v>45658</v>
      </c>
      <c r="H15" s="213" t="s">
        <v>315</v>
      </c>
      <c r="I15" s="213" t="s">
        <v>316</v>
      </c>
      <c r="J15" s="234">
        <v>105</v>
      </c>
      <c r="K15" s="214" t="s">
        <v>284</v>
      </c>
      <c r="L15" s="215">
        <v>20411454</v>
      </c>
      <c r="M15" s="215" t="s">
        <v>403</v>
      </c>
    </row>
    <row r="16" spans="1:13" ht="15" customHeight="1" x14ac:dyDescent="0.2">
      <c r="A16" s="231">
        <v>446535</v>
      </c>
      <c r="B16" s="216" t="str">
        <f t="shared" si="0"/>
        <v>4465351</v>
      </c>
      <c r="C16" s="232">
        <v>17301495</v>
      </c>
      <c r="D16" s="213" t="s">
        <v>324</v>
      </c>
      <c r="E16" s="213" t="s">
        <v>313</v>
      </c>
      <c r="F16" s="213" t="s">
        <v>314</v>
      </c>
      <c r="G16" s="233">
        <v>45658</v>
      </c>
      <c r="H16" s="213" t="s">
        <v>315</v>
      </c>
      <c r="I16" s="213" t="s">
        <v>316</v>
      </c>
      <c r="J16" s="234">
        <v>105</v>
      </c>
      <c r="K16" s="214" t="s">
        <v>284</v>
      </c>
      <c r="L16" s="215">
        <v>20411454</v>
      </c>
      <c r="M16" s="215" t="s">
        <v>403</v>
      </c>
    </row>
    <row r="17" spans="1:13" ht="15" customHeight="1" x14ac:dyDescent="0.2">
      <c r="A17" s="231">
        <v>445336</v>
      </c>
      <c r="B17" s="216" t="str">
        <f t="shared" si="0"/>
        <v>4453361</v>
      </c>
      <c r="C17" s="232">
        <v>16633294</v>
      </c>
      <c r="D17" s="213" t="s">
        <v>325</v>
      </c>
      <c r="E17" s="213" t="s">
        <v>313</v>
      </c>
      <c r="F17" s="213" t="s">
        <v>314</v>
      </c>
      <c r="G17" s="233">
        <v>45658</v>
      </c>
      <c r="H17" s="213" t="s">
        <v>315</v>
      </c>
      <c r="I17" s="213" t="s">
        <v>316</v>
      </c>
      <c r="J17" s="234">
        <v>105</v>
      </c>
      <c r="K17" s="214" t="s">
        <v>284</v>
      </c>
      <c r="L17" s="215">
        <v>20411454</v>
      </c>
      <c r="M17" s="215" t="s">
        <v>403</v>
      </c>
    </row>
    <row r="18" spans="1:13" ht="15" customHeight="1" x14ac:dyDescent="0.2">
      <c r="A18" s="231">
        <v>445462</v>
      </c>
      <c r="B18" s="216" t="str">
        <f t="shared" si="0"/>
        <v>4454621</v>
      </c>
      <c r="C18" s="232">
        <v>16633294</v>
      </c>
      <c r="D18" s="213" t="s">
        <v>326</v>
      </c>
      <c r="E18" s="213" t="s">
        <v>313</v>
      </c>
      <c r="F18" s="213" t="s">
        <v>314</v>
      </c>
      <c r="G18" s="233">
        <v>45658</v>
      </c>
      <c r="H18" s="213" t="s">
        <v>315</v>
      </c>
      <c r="I18" s="213" t="s">
        <v>316</v>
      </c>
      <c r="J18" s="234">
        <v>105</v>
      </c>
      <c r="K18" s="214" t="s">
        <v>284</v>
      </c>
      <c r="L18" s="215">
        <v>20411454</v>
      </c>
      <c r="M18" s="215" t="s">
        <v>403</v>
      </c>
    </row>
    <row r="19" spans="1:13" ht="15" customHeight="1" x14ac:dyDescent="0.2">
      <c r="A19" s="231">
        <v>445463</v>
      </c>
      <c r="B19" s="216" t="str">
        <f t="shared" si="0"/>
        <v>4454631</v>
      </c>
      <c r="C19" s="232">
        <v>16633294</v>
      </c>
      <c r="D19" s="213" t="s">
        <v>327</v>
      </c>
      <c r="E19" s="213" t="s">
        <v>313</v>
      </c>
      <c r="F19" s="213" t="s">
        <v>314</v>
      </c>
      <c r="G19" s="233">
        <v>45658</v>
      </c>
      <c r="H19" s="213" t="s">
        <v>315</v>
      </c>
      <c r="I19" s="213" t="s">
        <v>316</v>
      </c>
      <c r="J19" s="234">
        <v>105</v>
      </c>
      <c r="K19" s="214" t="s">
        <v>284</v>
      </c>
      <c r="L19" s="215">
        <v>20411454</v>
      </c>
      <c r="M19" s="215" t="s">
        <v>403</v>
      </c>
    </row>
    <row r="20" spans="1:13" ht="15" customHeight="1" x14ac:dyDescent="0.2">
      <c r="A20" s="231">
        <v>446217</v>
      </c>
      <c r="B20" s="216" t="str">
        <f t="shared" si="0"/>
        <v>4462171</v>
      </c>
      <c r="C20" s="232">
        <v>16633294</v>
      </c>
      <c r="D20" s="213" t="s">
        <v>328</v>
      </c>
      <c r="E20" s="213" t="s">
        <v>313</v>
      </c>
      <c r="F20" s="213" t="s">
        <v>314</v>
      </c>
      <c r="G20" s="233">
        <v>45658</v>
      </c>
      <c r="H20" s="213" t="s">
        <v>315</v>
      </c>
      <c r="I20" s="213" t="s">
        <v>316</v>
      </c>
      <c r="J20" s="234">
        <v>105</v>
      </c>
      <c r="K20" s="214" t="s">
        <v>284</v>
      </c>
      <c r="L20" s="215">
        <v>20411454</v>
      </c>
      <c r="M20" s="215" t="s">
        <v>403</v>
      </c>
    </row>
    <row r="21" spans="1:13" ht="15" customHeight="1" x14ac:dyDescent="0.2">
      <c r="A21" s="231">
        <v>443286</v>
      </c>
      <c r="B21" s="216" t="str">
        <f t="shared" si="0"/>
        <v>4432861</v>
      </c>
      <c r="C21" s="232">
        <v>16633294</v>
      </c>
      <c r="D21" s="213" t="s">
        <v>329</v>
      </c>
      <c r="E21" s="213" t="s">
        <v>313</v>
      </c>
      <c r="F21" s="213" t="s">
        <v>314</v>
      </c>
      <c r="G21" s="233">
        <v>45658</v>
      </c>
      <c r="H21" s="213" t="s">
        <v>315</v>
      </c>
      <c r="I21" s="213" t="s">
        <v>316</v>
      </c>
      <c r="J21" s="234">
        <v>105</v>
      </c>
      <c r="K21" s="214" t="s">
        <v>284</v>
      </c>
      <c r="L21" s="215">
        <v>20411454</v>
      </c>
      <c r="M21" s="215" t="s">
        <v>403</v>
      </c>
    </row>
    <row r="22" spans="1:13" ht="15" customHeight="1" x14ac:dyDescent="0.2">
      <c r="A22" s="231">
        <v>443292</v>
      </c>
      <c r="B22" s="216" t="str">
        <f t="shared" si="0"/>
        <v>4432921</v>
      </c>
      <c r="C22" s="232">
        <v>16633294</v>
      </c>
      <c r="D22" s="213" t="s">
        <v>330</v>
      </c>
      <c r="E22" s="213" t="s">
        <v>313</v>
      </c>
      <c r="F22" s="213" t="s">
        <v>314</v>
      </c>
      <c r="G22" s="233">
        <v>45658</v>
      </c>
      <c r="H22" s="213" t="s">
        <v>315</v>
      </c>
      <c r="I22" s="213" t="s">
        <v>316</v>
      </c>
      <c r="J22" s="234">
        <v>105</v>
      </c>
      <c r="K22" s="214" t="s">
        <v>284</v>
      </c>
      <c r="L22" s="215">
        <v>20411454</v>
      </c>
      <c r="M22" s="215" t="s">
        <v>403</v>
      </c>
    </row>
    <row r="23" spans="1:13" ht="15" customHeight="1" x14ac:dyDescent="0.2">
      <c r="A23" s="231">
        <v>444212</v>
      </c>
      <c r="B23" s="216" t="str">
        <f t="shared" si="0"/>
        <v>4442121</v>
      </c>
      <c r="C23" s="232">
        <v>16633294</v>
      </c>
      <c r="D23" s="213" t="s">
        <v>331</v>
      </c>
      <c r="E23" s="213" t="s">
        <v>313</v>
      </c>
      <c r="F23" s="213" t="s">
        <v>314</v>
      </c>
      <c r="G23" s="233">
        <v>45658</v>
      </c>
      <c r="H23" s="213" t="s">
        <v>315</v>
      </c>
      <c r="I23" s="213" t="s">
        <v>316</v>
      </c>
      <c r="J23" s="234">
        <v>105</v>
      </c>
      <c r="K23" s="214" t="s">
        <v>284</v>
      </c>
      <c r="L23" s="215">
        <v>20411454</v>
      </c>
      <c r="M23" s="215" t="s">
        <v>403</v>
      </c>
    </row>
    <row r="24" spans="1:13" ht="15" customHeight="1" x14ac:dyDescent="0.2">
      <c r="A24" s="231">
        <v>443209</v>
      </c>
      <c r="B24" s="216" t="str">
        <f t="shared" si="0"/>
        <v>4432091</v>
      </c>
      <c r="C24" s="232">
        <v>16633294</v>
      </c>
      <c r="D24" s="213" t="s">
        <v>332</v>
      </c>
      <c r="E24" s="213" t="s">
        <v>313</v>
      </c>
      <c r="F24" s="213" t="s">
        <v>314</v>
      </c>
      <c r="G24" s="233">
        <v>45658</v>
      </c>
      <c r="H24" s="213" t="s">
        <v>315</v>
      </c>
      <c r="I24" s="213" t="s">
        <v>316</v>
      </c>
      <c r="J24" s="234">
        <v>105</v>
      </c>
      <c r="K24" s="214" t="s">
        <v>284</v>
      </c>
      <c r="L24" s="215">
        <v>20411454</v>
      </c>
      <c r="M24" s="215" t="s">
        <v>403</v>
      </c>
    </row>
    <row r="25" spans="1:13" ht="15" customHeight="1" x14ac:dyDescent="0.2">
      <c r="A25" s="231">
        <v>440990</v>
      </c>
      <c r="B25" s="216" t="str">
        <f t="shared" si="0"/>
        <v>4409901</v>
      </c>
      <c r="C25" s="232">
        <v>16633294</v>
      </c>
      <c r="D25" s="213" t="s">
        <v>333</v>
      </c>
      <c r="E25" s="213" t="s">
        <v>313</v>
      </c>
      <c r="F25" s="213" t="s">
        <v>314</v>
      </c>
      <c r="G25" s="233">
        <v>45658</v>
      </c>
      <c r="H25" s="213" t="s">
        <v>315</v>
      </c>
      <c r="I25" s="213" t="s">
        <v>316</v>
      </c>
      <c r="J25" s="234">
        <v>105</v>
      </c>
      <c r="K25" s="214" t="s">
        <v>284</v>
      </c>
      <c r="L25" s="215">
        <v>20411454</v>
      </c>
      <c r="M25" s="215" t="s">
        <v>403</v>
      </c>
    </row>
    <row r="26" spans="1:13" ht="15" customHeight="1" x14ac:dyDescent="0.2">
      <c r="A26" s="231">
        <v>445753</v>
      </c>
      <c r="B26" s="216" t="str">
        <f t="shared" si="0"/>
        <v>4457531</v>
      </c>
      <c r="C26" s="232">
        <v>16633294</v>
      </c>
      <c r="D26" s="213" t="s">
        <v>334</v>
      </c>
      <c r="E26" s="213" t="s">
        <v>313</v>
      </c>
      <c r="F26" s="213" t="s">
        <v>314</v>
      </c>
      <c r="G26" s="233">
        <v>45658</v>
      </c>
      <c r="H26" s="213" t="s">
        <v>315</v>
      </c>
      <c r="I26" s="213" t="s">
        <v>316</v>
      </c>
      <c r="J26" s="234">
        <v>105</v>
      </c>
      <c r="K26" s="214" t="s">
        <v>284</v>
      </c>
      <c r="L26" s="215">
        <v>20411454</v>
      </c>
      <c r="M26" s="215" t="s">
        <v>403</v>
      </c>
    </row>
    <row r="27" spans="1:13" ht="15" customHeight="1" x14ac:dyDescent="0.2">
      <c r="A27" s="231">
        <v>446673</v>
      </c>
      <c r="B27" s="216" t="str">
        <f t="shared" si="0"/>
        <v>4466731</v>
      </c>
      <c r="C27" s="232">
        <v>16633294</v>
      </c>
      <c r="D27" s="213" t="s">
        <v>335</v>
      </c>
      <c r="E27" s="213" t="s">
        <v>313</v>
      </c>
      <c r="F27" s="213" t="s">
        <v>314</v>
      </c>
      <c r="G27" s="233">
        <v>45658</v>
      </c>
      <c r="H27" s="213" t="s">
        <v>315</v>
      </c>
      <c r="I27" s="213" t="s">
        <v>316</v>
      </c>
      <c r="J27" s="234">
        <v>105</v>
      </c>
      <c r="K27" s="214" t="s">
        <v>284</v>
      </c>
      <c r="L27" s="215">
        <v>20411454</v>
      </c>
      <c r="M27" s="215" t="s">
        <v>403</v>
      </c>
    </row>
    <row r="28" spans="1:13" ht="15" customHeight="1" x14ac:dyDescent="0.2">
      <c r="A28" s="231">
        <v>446121</v>
      </c>
      <c r="B28" s="216" t="str">
        <f t="shared" si="0"/>
        <v>4461211</v>
      </c>
      <c r="C28" s="232">
        <v>16633294</v>
      </c>
      <c r="D28" s="213" t="s">
        <v>336</v>
      </c>
      <c r="E28" s="213" t="s">
        <v>313</v>
      </c>
      <c r="F28" s="213" t="s">
        <v>314</v>
      </c>
      <c r="G28" s="233">
        <v>45658</v>
      </c>
      <c r="H28" s="213" t="s">
        <v>315</v>
      </c>
      <c r="I28" s="213" t="s">
        <v>316</v>
      </c>
      <c r="J28" s="234">
        <v>105</v>
      </c>
      <c r="K28" s="214" t="s">
        <v>284</v>
      </c>
      <c r="L28" s="215">
        <v>20411454</v>
      </c>
      <c r="M28" s="215" t="s">
        <v>403</v>
      </c>
    </row>
    <row r="29" spans="1:13" ht="15" customHeight="1" x14ac:dyDescent="0.2">
      <c r="A29" s="231">
        <v>447931</v>
      </c>
      <c r="B29" s="216" t="str">
        <f t="shared" si="0"/>
        <v>4479311</v>
      </c>
      <c r="C29" s="232">
        <v>16633294</v>
      </c>
      <c r="D29" s="213" t="s">
        <v>337</v>
      </c>
      <c r="E29" s="213" t="s">
        <v>313</v>
      </c>
      <c r="F29" s="213" t="s">
        <v>314</v>
      </c>
      <c r="G29" s="233">
        <v>45658</v>
      </c>
      <c r="H29" s="213" t="s">
        <v>315</v>
      </c>
      <c r="I29" s="213" t="s">
        <v>316</v>
      </c>
      <c r="J29" s="234">
        <v>105</v>
      </c>
      <c r="K29" s="214" t="s">
        <v>284</v>
      </c>
      <c r="L29" s="215">
        <v>20411454</v>
      </c>
      <c r="M29" s="215" t="s">
        <v>403</v>
      </c>
    </row>
    <row r="30" spans="1:13" ht="15" customHeight="1" x14ac:dyDescent="0.2">
      <c r="A30" s="231">
        <v>443227</v>
      </c>
      <c r="B30" s="216" t="str">
        <f t="shared" si="0"/>
        <v>4432271</v>
      </c>
      <c r="C30" s="232">
        <v>16633294</v>
      </c>
      <c r="D30" s="213" t="s">
        <v>338</v>
      </c>
      <c r="E30" s="213" t="s">
        <v>313</v>
      </c>
      <c r="F30" s="213" t="s">
        <v>314</v>
      </c>
      <c r="G30" s="233">
        <v>45658</v>
      </c>
      <c r="H30" s="213" t="s">
        <v>315</v>
      </c>
      <c r="I30" s="213" t="s">
        <v>316</v>
      </c>
      <c r="J30" s="235">
        <v>-105</v>
      </c>
      <c r="K30" s="214" t="s">
        <v>284</v>
      </c>
      <c r="L30" s="215">
        <v>20411454</v>
      </c>
      <c r="M30" s="215" t="s">
        <v>403</v>
      </c>
    </row>
    <row r="31" spans="1:13" ht="15" customHeight="1" x14ac:dyDescent="0.2">
      <c r="A31" s="231">
        <v>443229</v>
      </c>
      <c r="B31" s="216" t="str">
        <f t="shared" si="0"/>
        <v>4432291</v>
      </c>
      <c r="C31" s="232">
        <v>16633294</v>
      </c>
      <c r="D31" s="213" t="s">
        <v>339</v>
      </c>
      <c r="E31" s="213" t="s">
        <v>313</v>
      </c>
      <c r="F31" s="213" t="s">
        <v>314</v>
      </c>
      <c r="G31" s="233">
        <v>45658</v>
      </c>
      <c r="H31" s="213" t="s">
        <v>315</v>
      </c>
      <c r="I31" s="213" t="s">
        <v>316</v>
      </c>
      <c r="J31" s="234">
        <v>105</v>
      </c>
      <c r="K31" s="214" t="s">
        <v>284</v>
      </c>
      <c r="L31" s="215">
        <v>20411454</v>
      </c>
      <c r="M31" s="215" t="s">
        <v>403</v>
      </c>
    </row>
    <row r="32" spans="1:13" ht="15" customHeight="1" x14ac:dyDescent="0.2">
      <c r="A32" s="231">
        <v>439729</v>
      </c>
      <c r="B32" s="216" t="str">
        <f t="shared" si="0"/>
        <v>4397291</v>
      </c>
      <c r="C32" s="232">
        <v>16633294</v>
      </c>
      <c r="D32" s="213" t="s">
        <v>340</v>
      </c>
      <c r="E32" s="213" t="s">
        <v>313</v>
      </c>
      <c r="F32" s="213" t="s">
        <v>341</v>
      </c>
      <c r="G32" s="233">
        <v>45597</v>
      </c>
      <c r="H32" s="213" t="s">
        <v>315</v>
      </c>
      <c r="I32" s="213" t="s">
        <v>342</v>
      </c>
      <c r="J32" s="234">
        <v>19.579999999999998</v>
      </c>
      <c r="K32" s="214" t="s">
        <v>284</v>
      </c>
      <c r="L32" s="215">
        <v>20411454</v>
      </c>
      <c r="M32" s="215" t="s">
        <v>403</v>
      </c>
    </row>
    <row r="33" spans="1:14" ht="15" customHeight="1" x14ac:dyDescent="0.2">
      <c r="A33" s="231">
        <v>439729</v>
      </c>
      <c r="B33" s="216" t="str">
        <f t="shared" si="0"/>
        <v>4397291</v>
      </c>
      <c r="C33" s="232">
        <v>16633294</v>
      </c>
      <c r="D33" s="213" t="s">
        <v>343</v>
      </c>
      <c r="E33" s="213" t="s">
        <v>313</v>
      </c>
      <c r="F33" s="213" t="s">
        <v>341</v>
      </c>
      <c r="G33" s="233">
        <v>45597</v>
      </c>
      <c r="H33" s="213" t="s">
        <v>315</v>
      </c>
      <c r="I33" s="213" t="s">
        <v>342</v>
      </c>
      <c r="J33" s="235">
        <v>-8.75</v>
      </c>
      <c r="K33" s="214" t="s">
        <v>284</v>
      </c>
      <c r="L33" s="215">
        <v>20411454</v>
      </c>
      <c r="M33" s="215" t="s">
        <v>403</v>
      </c>
    </row>
    <row r="34" spans="1:14" ht="15" customHeight="1" x14ac:dyDescent="0.2">
      <c r="A34" s="231">
        <v>439729</v>
      </c>
      <c r="B34" s="216" t="str">
        <f t="shared" si="0"/>
        <v>4397291</v>
      </c>
      <c r="C34" s="232">
        <v>16633294</v>
      </c>
      <c r="D34" s="213" t="s">
        <v>343</v>
      </c>
      <c r="E34" s="213" t="s">
        <v>313</v>
      </c>
      <c r="F34" s="213" t="s">
        <v>341</v>
      </c>
      <c r="G34" s="233">
        <v>45597</v>
      </c>
      <c r="H34" s="213" t="s">
        <v>322</v>
      </c>
      <c r="I34" s="213" t="s">
        <v>342</v>
      </c>
      <c r="J34" s="234">
        <v>19.579999999999998</v>
      </c>
      <c r="K34" s="214" t="s">
        <v>284</v>
      </c>
      <c r="L34" s="215">
        <v>20411454</v>
      </c>
      <c r="M34" s="215" t="s">
        <v>403</v>
      </c>
    </row>
    <row r="35" spans="1:14" ht="15" customHeight="1" x14ac:dyDescent="0.2">
      <c r="A35" s="216">
        <v>445341</v>
      </c>
      <c r="B35" s="216" t="str">
        <f>CONCATENATE(A35,3)</f>
        <v>4453413</v>
      </c>
      <c r="C35" s="220">
        <v>2158366</v>
      </c>
      <c r="D35" s="213" t="s">
        <v>344</v>
      </c>
      <c r="E35" s="213" t="s">
        <v>345</v>
      </c>
      <c r="F35" s="213" t="s">
        <v>296</v>
      </c>
      <c r="G35" s="223">
        <v>45658</v>
      </c>
      <c r="H35" s="213" t="s">
        <v>297</v>
      </c>
      <c r="I35" s="213" t="s">
        <v>302</v>
      </c>
      <c r="J35" s="235">
        <v>-626</v>
      </c>
      <c r="K35" s="214" t="s">
        <v>276</v>
      </c>
      <c r="L35" s="215">
        <v>2158366</v>
      </c>
      <c r="M35" s="215" t="s">
        <v>404</v>
      </c>
      <c r="N35" s="215" t="s">
        <v>409</v>
      </c>
    </row>
    <row r="36" spans="1:14" ht="15" customHeight="1" x14ac:dyDescent="0.2">
      <c r="A36" s="216">
        <v>448295</v>
      </c>
      <c r="B36" s="216" t="str">
        <f t="shared" ref="B36:B42" si="1">CONCATENATE(A36,3)</f>
        <v>4482953</v>
      </c>
      <c r="C36" s="236">
        <v>19645587</v>
      </c>
      <c r="D36" s="213" t="s">
        <v>346</v>
      </c>
      <c r="E36" s="213" t="s">
        <v>300</v>
      </c>
      <c r="F36" s="213" t="s">
        <v>347</v>
      </c>
      <c r="G36" s="221">
        <v>45658</v>
      </c>
      <c r="H36" s="213" t="s">
        <v>297</v>
      </c>
      <c r="I36" s="213" t="s">
        <v>348</v>
      </c>
      <c r="J36" s="235">
        <v>-626</v>
      </c>
      <c r="K36" s="214" t="s">
        <v>278</v>
      </c>
      <c r="L36" s="215">
        <v>19645587</v>
      </c>
      <c r="M36" s="215" t="s">
        <v>404</v>
      </c>
      <c r="N36" s="215" t="s">
        <v>409</v>
      </c>
    </row>
    <row r="37" spans="1:14" ht="15" customHeight="1" x14ac:dyDescent="0.2">
      <c r="A37" s="231">
        <v>447954</v>
      </c>
      <c r="B37" s="216" t="str">
        <f t="shared" si="1"/>
        <v>4479543</v>
      </c>
      <c r="C37" s="232">
        <v>16912722</v>
      </c>
      <c r="D37" s="213" t="s">
        <v>349</v>
      </c>
      <c r="E37" s="213" t="s">
        <v>313</v>
      </c>
      <c r="F37" s="213" t="s">
        <v>314</v>
      </c>
      <c r="G37" s="233">
        <v>45658</v>
      </c>
      <c r="H37" s="213" t="s">
        <v>315</v>
      </c>
      <c r="I37" s="213" t="s">
        <v>350</v>
      </c>
      <c r="J37" s="237">
        <v>-626</v>
      </c>
      <c r="K37" s="238" t="s">
        <v>282</v>
      </c>
      <c r="L37" s="215">
        <v>16912722</v>
      </c>
      <c r="M37" s="215" t="s">
        <v>404</v>
      </c>
      <c r="N37" s="215" t="s">
        <v>409</v>
      </c>
    </row>
    <row r="38" spans="1:14" ht="15" customHeight="1" x14ac:dyDescent="0.2">
      <c r="A38" s="231">
        <v>447955</v>
      </c>
      <c r="B38" s="216" t="str">
        <f t="shared" si="1"/>
        <v>4479553</v>
      </c>
      <c r="C38" s="232">
        <v>16912722</v>
      </c>
      <c r="D38" s="213" t="s">
        <v>351</v>
      </c>
      <c r="E38" s="213" t="s">
        <v>313</v>
      </c>
      <c r="F38" s="213" t="s">
        <v>314</v>
      </c>
      <c r="G38" s="233">
        <v>45658</v>
      </c>
      <c r="H38" s="213" t="s">
        <v>315</v>
      </c>
      <c r="I38" s="213" t="s">
        <v>350</v>
      </c>
      <c r="J38" s="237">
        <v>-626</v>
      </c>
      <c r="K38" s="238" t="s">
        <v>282</v>
      </c>
      <c r="L38" s="215">
        <v>16912722</v>
      </c>
      <c r="M38" s="215" t="s">
        <v>404</v>
      </c>
      <c r="N38" s="215" t="s">
        <v>409</v>
      </c>
    </row>
    <row r="39" spans="1:14" ht="15" customHeight="1" x14ac:dyDescent="0.2">
      <c r="A39" s="231">
        <v>448034</v>
      </c>
      <c r="B39" s="216" t="str">
        <f t="shared" si="1"/>
        <v>4480343</v>
      </c>
      <c r="C39" s="232">
        <v>16912722</v>
      </c>
      <c r="D39" s="213" t="s">
        <v>352</v>
      </c>
      <c r="E39" s="213" t="s">
        <v>313</v>
      </c>
      <c r="F39" s="213" t="s">
        <v>314</v>
      </c>
      <c r="G39" s="233">
        <v>45658</v>
      </c>
      <c r="H39" s="213" t="s">
        <v>315</v>
      </c>
      <c r="I39" s="213" t="s">
        <v>350</v>
      </c>
      <c r="J39" s="237">
        <v>-626</v>
      </c>
      <c r="K39" s="238" t="s">
        <v>282</v>
      </c>
      <c r="L39" s="215">
        <v>16912722</v>
      </c>
      <c r="M39" s="215" t="s">
        <v>404</v>
      </c>
      <c r="N39" s="215" t="s">
        <v>409</v>
      </c>
    </row>
    <row r="40" spans="1:14" ht="15" customHeight="1" x14ac:dyDescent="0.2">
      <c r="A40" s="231">
        <v>447701</v>
      </c>
      <c r="B40" s="216" t="str">
        <f t="shared" si="1"/>
        <v>4477013</v>
      </c>
      <c r="C40" s="232">
        <v>16912722</v>
      </c>
      <c r="D40" s="213" t="s">
        <v>353</v>
      </c>
      <c r="E40" s="213" t="s">
        <v>313</v>
      </c>
      <c r="F40" s="213" t="s">
        <v>314</v>
      </c>
      <c r="G40" s="233">
        <v>45658</v>
      </c>
      <c r="H40" s="213" t="s">
        <v>315</v>
      </c>
      <c r="I40" s="213" t="s">
        <v>350</v>
      </c>
      <c r="J40" s="237">
        <v>-626</v>
      </c>
      <c r="K40" s="238" t="s">
        <v>282</v>
      </c>
      <c r="L40" s="215">
        <v>16912722</v>
      </c>
      <c r="M40" s="215" t="s">
        <v>404</v>
      </c>
      <c r="N40" s="215" t="s">
        <v>409</v>
      </c>
    </row>
    <row r="41" spans="1:14" ht="15" customHeight="1" x14ac:dyDescent="0.2">
      <c r="A41" s="216">
        <v>448301</v>
      </c>
      <c r="B41" s="216" t="str">
        <f t="shared" si="1"/>
        <v>4483013</v>
      </c>
      <c r="C41" s="236">
        <v>16633294</v>
      </c>
      <c r="D41" s="213" t="s">
        <v>354</v>
      </c>
      <c r="E41" s="213" t="s">
        <v>345</v>
      </c>
      <c r="F41" s="213"/>
      <c r="G41" s="221">
        <v>45658</v>
      </c>
      <c r="H41" s="213" t="s">
        <v>297</v>
      </c>
      <c r="I41" s="213" t="s">
        <v>302</v>
      </c>
      <c r="J41" s="239">
        <v>-626</v>
      </c>
      <c r="K41" s="215" t="s">
        <v>283</v>
      </c>
      <c r="L41" s="215">
        <v>16633294</v>
      </c>
      <c r="M41" s="215" t="s">
        <v>404</v>
      </c>
      <c r="N41" s="215" t="s">
        <v>409</v>
      </c>
    </row>
    <row r="42" spans="1:14" ht="15" customHeight="1" x14ac:dyDescent="0.2">
      <c r="A42" s="231">
        <v>445324</v>
      </c>
      <c r="B42" s="216" t="str">
        <f>CONCATENATE(A42,2)</f>
        <v>4453242</v>
      </c>
      <c r="C42" s="232">
        <v>8325282</v>
      </c>
      <c r="D42" s="213" t="s">
        <v>355</v>
      </c>
      <c r="E42" s="213" t="s">
        <v>313</v>
      </c>
      <c r="F42" s="213" t="s">
        <v>314</v>
      </c>
      <c r="G42" s="233">
        <v>45658</v>
      </c>
      <c r="H42" s="213" t="s">
        <v>315</v>
      </c>
      <c r="I42" s="213" t="s">
        <v>316</v>
      </c>
      <c r="J42" s="219">
        <v>-313</v>
      </c>
      <c r="K42" s="238" t="s">
        <v>275</v>
      </c>
      <c r="L42" s="215">
        <v>8325282</v>
      </c>
      <c r="M42" s="215" t="s">
        <v>405</v>
      </c>
      <c r="N42" s="215" t="s">
        <v>408</v>
      </c>
    </row>
    <row r="43" spans="1:14" ht="15" customHeight="1" x14ac:dyDescent="0.2">
      <c r="A43" s="216">
        <v>443223</v>
      </c>
      <c r="B43" s="216" t="str">
        <f t="shared" ref="B43:B98" si="2">CONCATENATE(A43,2)</f>
        <v>4432232</v>
      </c>
      <c r="C43" s="220">
        <v>2158366</v>
      </c>
      <c r="D43" s="213" t="s">
        <v>303</v>
      </c>
      <c r="E43" s="213" t="s">
        <v>300</v>
      </c>
      <c r="F43" s="213" t="s">
        <v>296</v>
      </c>
      <c r="G43" s="221">
        <v>45658</v>
      </c>
      <c r="H43" s="213" t="s">
        <v>297</v>
      </c>
      <c r="I43" s="213" t="s">
        <v>304</v>
      </c>
      <c r="J43" s="235">
        <v>-313</v>
      </c>
      <c r="K43" s="214" t="s">
        <v>276</v>
      </c>
      <c r="L43" s="215">
        <v>2158366</v>
      </c>
      <c r="M43" s="215" t="s">
        <v>405</v>
      </c>
      <c r="N43" s="215" t="s">
        <v>408</v>
      </c>
    </row>
    <row r="44" spans="1:14" ht="15" customHeight="1" x14ac:dyDescent="0.2">
      <c r="A44" s="225">
        <v>439383</v>
      </c>
      <c r="B44" s="216" t="str">
        <f t="shared" si="2"/>
        <v>4393832</v>
      </c>
      <c r="C44" s="220">
        <v>2158366</v>
      </c>
      <c r="D44" s="213" t="s">
        <v>305</v>
      </c>
      <c r="E44" s="213" t="s">
        <v>300</v>
      </c>
      <c r="F44" s="213" t="s">
        <v>296</v>
      </c>
      <c r="G44" s="221">
        <v>45658</v>
      </c>
      <c r="H44" s="213" t="s">
        <v>306</v>
      </c>
      <c r="I44" s="213" t="s">
        <v>304</v>
      </c>
      <c r="J44" s="235">
        <v>-313</v>
      </c>
      <c r="K44" s="214" t="s">
        <v>276</v>
      </c>
      <c r="L44" s="215">
        <v>2158366</v>
      </c>
      <c r="M44" s="215" t="s">
        <v>405</v>
      </c>
      <c r="N44" s="215" t="s">
        <v>408</v>
      </c>
    </row>
    <row r="45" spans="1:14" ht="15" customHeight="1" x14ac:dyDescent="0.2">
      <c r="A45" s="216">
        <v>439384</v>
      </c>
      <c r="B45" s="216" t="str">
        <f t="shared" si="2"/>
        <v>4393842</v>
      </c>
      <c r="C45" s="220">
        <v>2158366</v>
      </c>
      <c r="D45" s="213" t="s">
        <v>356</v>
      </c>
      <c r="E45" s="213" t="s">
        <v>300</v>
      </c>
      <c r="F45" s="213" t="s">
        <v>296</v>
      </c>
      <c r="G45" s="223">
        <v>45658</v>
      </c>
      <c r="H45" s="213" t="s">
        <v>297</v>
      </c>
      <c r="I45" s="213" t="s">
        <v>308</v>
      </c>
      <c r="J45" s="235">
        <v>-313</v>
      </c>
      <c r="K45" s="214" t="s">
        <v>276</v>
      </c>
      <c r="L45" s="215">
        <v>2158366</v>
      </c>
      <c r="M45" s="215" t="s">
        <v>405</v>
      </c>
      <c r="N45" s="215" t="s">
        <v>408</v>
      </c>
    </row>
    <row r="46" spans="1:14" ht="15" customHeight="1" x14ac:dyDescent="0.2">
      <c r="A46" s="216">
        <v>444121</v>
      </c>
      <c r="B46" s="216" t="str">
        <f t="shared" si="2"/>
        <v>4441212</v>
      </c>
      <c r="C46" s="220">
        <v>2158366</v>
      </c>
      <c r="D46" s="213" t="s">
        <v>357</v>
      </c>
      <c r="E46" s="213" t="s">
        <v>300</v>
      </c>
      <c r="F46" s="213" t="s">
        <v>296</v>
      </c>
      <c r="G46" s="223">
        <v>45658</v>
      </c>
      <c r="H46" s="213" t="s">
        <v>297</v>
      </c>
      <c r="I46" s="213" t="s">
        <v>308</v>
      </c>
      <c r="J46" s="235">
        <v>-313</v>
      </c>
      <c r="K46" s="214" t="s">
        <v>276</v>
      </c>
      <c r="L46" s="215">
        <v>2158366</v>
      </c>
      <c r="M46" s="215" t="s">
        <v>405</v>
      </c>
      <c r="N46" s="215" t="s">
        <v>408</v>
      </c>
    </row>
    <row r="47" spans="1:14" ht="15" customHeight="1" x14ac:dyDescent="0.2">
      <c r="A47" s="216">
        <v>442876</v>
      </c>
      <c r="B47" s="216" t="str">
        <f t="shared" si="2"/>
        <v>4428762</v>
      </c>
      <c r="C47" s="220">
        <v>2158366</v>
      </c>
      <c r="D47" s="213" t="s">
        <v>310</v>
      </c>
      <c r="E47" s="213" t="s">
        <v>345</v>
      </c>
      <c r="F47" s="213" t="s">
        <v>296</v>
      </c>
      <c r="G47" s="223">
        <v>45658</v>
      </c>
      <c r="H47" s="213" t="s">
        <v>297</v>
      </c>
      <c r="I47" s="213" t="s">
        <v>308</v>
      </c>
      <c r="J47" s="235">
        <v>-313</v>
      </c>
      <c r="K47" s="214" t="s">
        <v>276</v>
      </c>
      <c r="L47" s="215">
        <v>2158366</v>
      </c>
      <c r="M47" s="215" t="s">
        <v>405</v>
      </c>
      <c r="N47" s="215" t="s">
        <v>408</v>
      </c>
    </row>
    <row r="48" spans="1:14" ht="15" customHeight="1" x14ac:dyDescent="0.2">
      <c r="A48" s="231">
        <v>445359</v>
      </c>
      <c r="B48" s="216" t="str">
        <f t="shared" si="2"/>
        <v>4453592</v>
      </c>
      <c r="C48" s="232">
        <v>19681796</v>
      </c>
      <c r="D48" s="213" t="s">
        <v>358</v>
      </c>
      <c r="E48" s="213" t="s">
        <v>313</v>
      </c>
      <c r="F48" s="213" t="s">
        <v>314</v>
      </c>
      <c r="G48" s="233">
        <v>45658</v>
      </c>
      <c r="H48" s="213" t="s">
        <v>315</v>
      </c>
      <c r="I48" s="213" t="s">
        <v>316</v>
      </c>
      <c r="J48" s="237">
        <v>-313</v>
      </c>
      <c r="K48" s="214" t="s">
        <v>277</v>
      </c>
      <c r="L48" s="215">
        <v>19681796</v>
      </c>
      <c r="M48" s="215" t="s">
        <v>405</v>
      </c>
      <c r="N48" s="215" t="s">
        <v>408</v>
      </c>
    </row>
    <row r="49" spans="1:14" ht="15" customHeight="1" x14ac:dyDescent="0.2">
      <c r="A49" s="216">
        <v>445779</v>
      </c>
      <c r="B49" s="216" t="str">
        <f t="shared" si="2"/>
        <v>4457792</v>
      </c>
      <c r="C49" s="236">
        <v>19645587</v>
      </c>
      <c r="D49" s="213" t="s">
        <v>359</v>
      </c>
      <c r="E49" s="213" t="s">
        <v>300</v>
      </c>
      <c r="F49" s="213" t="s">
        <v>296</v>
      </c>
      <c r="G49" s="221">
        <v>45658</v>
      </c>
      <c r="H49" s="213" t="s">
        <v>297</v>
      </c>
      <c r="I49" s="213" t="s">
        <v>304</v>
      </c>
      <c r="J49" s="235">
        <v>-313</v>
      </c>
      <c r="K49" s="214" t="s">
        <v>278</v>
      </c>
      <c r="L49" s="215">
        <v>19645587</v>
      </c>
      <c r="M49" s="215" t="s">
        <v>405</v>
      </c>
      <c r="N49" s="215" t="s">
        <v>408</v>
      </c>
    </row>
    <row r="50" spans="1:14" ht="15" customHeight="1" x14ac:dyDescent="0.2">
      <c r="A50" s="216">
        <v>439914</v>
      </c>
      <c r="B50" s="216" t="str">
        <f t="shared" si="2"/>
        <v>4399142</v>
      </c>
      <c r="C50" s="220">
        <v>19645587</v>
      </c>
      <c r="D50" s="213" t="s">
        <v>360</v>
      </c>
      <c r="E50" s="213" t="s">
        <v>345</v>
      </c>
      <c r="F50" s="213" t="s">
        <v>311</v>
      </c>
      <c r="G50" s="221">
        <v>45658</v>
      </c>
      <c r="H50" s="213" t="s">
        <v>297</v>
      </c>
      <c r="I50" s="213" t="s">
        <v>308</v>
      </c>
      <c r="J50" s="235">
        <v>-313</v>
      </c>
      <c r="K50" s="214" t="s">
        <v>278</v>
      </c>
      <c r="L50" s="215">
        <v>19645587</v>
      </c>
      <c r="M50" s="215" t="s">
        <v>405</v>
      </c>
      <c r="N50" s="215" t="s">
        <v>408</v>
      </c>
    </row>
    <row r="51" spans="1:14" ht="15" customHeight="1" x14ac:dyDescent="0.2">
      <c r="A51" s="216">
        <v>444055</v>
      </c>
      <c r="B51" s="216" t="str">
        <f t="shared" si="2"/>
        <v>4440552</v>
      </c>
      <c r="C51" s="236">
        <v>19615078</v>
      </c>
      <c r="D51" s="213" t="s">
        <v>361</v>
      </c>
      <c r="E51" s="213" t="s">
        <v>300</v>
      </c>
      <c r="F51" s="213" t="s">
        <v>296</v>
      </c>
      <c r="G51" s="221">
        <v>45658</v>
      </c>
      <c r="H51" s="213" t="s">
        <v>297</v>
      </c>
      <c r="I51" s="213" t="s">
        <v>304</v>
      </c>
      <c r="J51" s="235">
        <v>-313</v>
      </c>
      <c r="K51" s="214" t="s">
        <v>279</v>
      </c>
      <c r="L51" s="215">
        <v>19615078</v>
      </c>
      <c r="M51" s="215" t="s">
        <v>405</v>
      </c>
      <c r="N51" s="215" t="s">
        <v>408</v>
      </c>
    </row>
    <row r="52" spans="1:14" ht="15" customHeight="1" x14ac:dyDescent="0.2">
      <c r="A52" s="216">
        <v>445830</v>
      </c>
      <c r="B52" s="216" t="str">
        <f t="shared" si="2"/>
        <v>4458302</v>
      </c>
      <c r="C52" s="236">
        <v>19615078</v>
      </c>
      <c r="D52" s="213" t="s">
        <v>362</v>
      </c>
      <c r="E52" s="213" t="s">
        <v>300</v>
      </c>
      <c r="F52" s="213" t="s">
        <v>296</v>
      </c>
      <c r="G52" s="221">
        <v>45658</v>
      </c>
      <c r="H52" s="213" t="s">
        <v>297</v>
      </c>
      <c r="I52" s="213" t="s">
        <v>308</v>
      </c>
      <c r="J52" s="235">
        <v>-313</v>
      </c>
      <c r="K52" s="214" t="s">
        <v>279</v>
      </c>
      <c r="L52" s="215">
        <v>19615078</v>
      </c>
      <c r="M52" s="215" t="s">
        <v>405</v>
      </c>
      <c r="N52" s="215" t="s">
        <v>408</v>
      </c>
    </row>
    <row r="53" spans="1:14" ht="15" customHeight="1" x14ac:dyDescent="0.2">
      <c r="A53" s="231">
        <v>443966</v>
      </c>
      <c r="B53" s="216" t="str">
        <f t="shared" si="2"/>
        <v>4439662</v>
      </c>
      <c r="C53" s="232">
        <v>19481808</v>
      </c>
      <c r="D53" s="213" t="s">
        <v>363</v>
      </c>
      <c r="E53" s="213" t="s">
        <v>313</v>
      </c>
      <c r="F53" s="213" t="s">
        <v>314</v>
      </c>
      <c r="G53" s="233">
        <v>45658</v>
      </c>
      <c r="H53" s="213" t="s">
        <v>315</v>
      </c>
      <c r="I53" s="213" t="s">
        <v>316</v>
      </c>
      <c r="J53" s="237">
        <v>-313</v>
      </c>
      <c r="K53" s="238" t="s">
        <v>280</v>
      </c>
      <c r="L53" s="215">
        <v>19481808</v>
      </c>
      <c r="M53" s="215" t="s">
        <v>405</v>
      </c>
      <c r="N53" s="215" t="s">
        <v>408</v>
      </c>
    </row>
    <row r="54" spans="1:14" ht="15" customHeight="1" x14ac:dyDescent="0.2">
      <c r="A54" s="231">
        <v>446535</v>
      </c>
      <c r="B54" s="216" t="str">
        <f t="shared" si="2"/>
        <v>4465352</v>
      </c>
      <c r="C54" s="232">
        <v>17301495</v>
      </c>
      <c r="D54" s="213" t="s">
        <v>364</v>
      </c>
      <c r="E54" s="213" t="s">
        <v>313</v>
      </c>
      <c r="F54" s="213" t="s">
        <v>314</v>
      </c>
      <c r="G54" s="233">
        <v>45658</v>
      </c>
      <c r="H54" s="213" t="s">
        <v>315</v>
      </c>
      <c r="I54" s="213" t="s">
        <v>316</v>
      </c>
      <c r="J54" s="237">
        <v>-313</v>
      </c>
      <c r="K54" s="238" t="s">
        <v>281</v>
      </c>
      <c r="L54" s="215">
        <v>17301495</v>
      </c>
      <c r="M54" s="215" t="s">
        <v>405</v>
      </c>
      <c r="N54" s="215" t="s">
        <v>408</v>
      </c>
    </row>
    <row r="55" spans="1:14" ht="15" customHeight="1" x14ac:dyDescent="0.2">
      <c r="A55" s="240">
        <v>445336</v>
      </c>
      <c r="B55" s="216" t="str">
        <f t="shared" si="2"/>
        <v>4453362</v>
      </c>
      <c r="C55" s="241">
        <v>16633294</v>
      </c>
      <c r="D55" s="213" t="s">
        <v>365</v>
      </c>
      <c r="E55" s="213" t="s">
        <v>366</v>
      </c>
      <c r="F55" s="213" t="s">
        <v>367</v>
      </c>
      <c r="G55" s="242">
        <v>45658</v>
      </c>
      <c r="H55" s="213" t="s">
        <v>368</v>
      </c>
      <c r="I55" s="213" t="s">
        <v>369</v>
      </c>
      <c r="J55" s="235">
        <v>-313</v>
      </c>
      <c r="K55" s="215" t="s">
        <v>283</v>
      </c>
      <c r="L55" s="215">
        <v>16633294</v>
      </c>
      <c r="M55" s="215" t="s">
        <v>405</v>
      </c>
      <c r="N55" s="215" t="s">
        <v>408</v>
      </c>
    </row>
    <row r="56" spans="1:14" ht="15" customHeight="1" x14ac:dyDescent="0.2">
      <c r="A56" s="240">
        <v>445462</v>
      </c>
      <c r="B56" s="216" t="str">
        <f t="shared" si="2"/>
        <v>4454622</v>
      </c>
      <c r="C56" s="241">
        <v>16633294</v>
      </c>
      <c r="D56" s="213" t="s">
        <v>370</v>
      </c>
      <c r="E56" s="213" t="s">
        <v>366</v>
      </c>
      <c r="F56" s="213" t="s">
        <v>367</v>
      </c>
      <c r="G56" s="242">
        <v>45658</v>
      </c>
      <c r="H56" s="213" t="s">
        <v>368</v>
      </c>
      <c r="I56" s="213" t="s">
        <v>369</v>
      </c>
      <c r="J56" s="235">
        <v>-313</v>
      </c>
      <c r="K56" s="215" t="s">
        <v>283</v>
      </c>
      <c r="L56" s="215">
        <v>16633294</v>
      </c>
      <c r="M56" s="215" t="s">
        <v>405</v>
      </c>
      <c r="N56" s="215" t="s">
        <v>408</v>
      </c>
    </row>
    <row r="57" spans="1:14" ht="15" customHeight="1" x14ac:dyDescent="0.2">
      <c r="A57" s="240">
        <v>445463</v>
      </c>
      <c r="B57" s="216" t="str">
        <f t="shared" si="2"/>
        <v>4454632</v>
      </c>
      <c r="C57" s="241">
        <v>16633294</v>
      </c>
      <c r="D57" s="213" t="s">
        <v>371</v>
      </c>
      <c r="E57" s="213" t="s">
        <v>366</v>
      </c>
      <c r="F57" s="213" t="s">
        <v>367</v>
      </c>
      <c r="G57" s="242">
        <v>45658</v>
      </c>
      <c r="H57" s="213" t="s">
        <v>368</v>
      </c>
      <c r="I57" s="213" t="s">
        <v>369</v>
      </c>
      <c r="J57" s="235">
        <v>-313</v>
      </c>
      <c r="K57" s="215" t="s">
        <v>283</v>
      </c>
      <c r="L57" s="215">
        <v>16633294</v>
      </c>
      <c r="M57" s="215" t="s">
        <v>405</v>
      </c>
      <c r="N57" s="215" t="s">
        <v>408</v>
      </c>
    </row>
    <row r="58" spans="1:14" ht="15" customHeight="1" x14ac:dyDescent="0.2">
      <c r="A58" s="240">
        <v>446217</v>
      </c>
      <c r="B58" s="216" t="str">
        <f t="shared" si="2"/>
        <v>4462172</v>
      </c>
      <c r="C58" s="241">
        <v>16633294</v>
      </c>
      <c r="D58" s="213" t="s">
        <v>372</v>
      </c>
      <c r="E58" s="213" t="s">
        <v>366</v>
      </c>
      <c r="F58" s="213" t="s">
        <v>367</v>
      </c>
      <c r="G58" s="242">
        <v>45658</v>
      </c>
      <c r="H58" s="213" t="s">
        <v>368</v>
      </c>
      <c r="I58" s="213" t="s">
        <v>369</v>
      </c>
      <c r="J58" s="235">
        <v>-313</v>
      </c>
      <c r="K58" s="215" t="s">
        <v>283</v>
      </c>
      <c r="L58" s="215">
        <v>16633294</v>
      </c>
      <c r="M58" s="215" t="s">
        <v>405</v>
      </c>
      <c r="N58" s="215" t="s">
        <v>408</v>
      </c>
    </row>
    <row r="59" spans="1:14" ht="15" customHeight="1" x14ac:dyDescent="0.2">
      <c r="A59" s="240">
        <v>443292</v>
      </c>
      <c r="B59" s="216" t="str">
        <f t="shared" si="2"/>
        <v>4432922</v>
      </c>
      <c r="C59" s="241">
        <v>16633294</v>
      </c>
      <c r="D59" s="213" t="s">
        <v>373</v>
      </c>
      <c r="E59" s="213" t="s">
        <v>366</v>
      </c>
      <c r="F59" s="213" t="s">
        <v>367</v>
      </c>
      <c r="G59" s="242">
        <v>45658</v>
      </c>
      <c r="H59" s="213" t="s">
        <v>368</v>
      </c>
      <c r="I59" s="213" t="s">
        <v>369</v>
      </c>
      <c r="J59" s="235">
        <v>-313</v>
      </c>
      <c r="K59" s="215" t="s">
        <v>283</v>
      </c>
      <c r="L59" s="215">
        <v>16633294</v>
      </c>
      <c r="M59" s="215" t="s">
        <v>405</v>
      </c>
      <c r="N59" s="215" t="s">
        <v>408</v>
      </c>
    </row>
    <row r="60" spans="1:14" ht="15" customHeight="1" x14ac:dyDescent="0.2">
      <c r="A60" s="240">
        <v>443286</v>
      </c>
      <c r="B60" s="216" t="str">
        <f t="shared" si="2"/>
        <v>4432862</v>
      </c>
      <c r="C60" s="241">
        <v>16633294</v>
      </c>
      <c r="D60" s="213" t="s">
        <v>374</v>
      </c>
      <c r="E60" s="213" t="s">
        <v>366</v>
      </c>
      <c r="F60" s="213" t="s">
        <v>367</v>
      </c>
      <c r="G60" s="242">
        <v>45658</v>
      </c>
      <c r="H60" s="213" t="s">
        <v>368</v>
      </c>
      <c r="I60" s="213" t="s">
        <v>369</v>
      </c>
      <c r="J60" s="235">
        <v>-313</v>
      </c>
      <c r="K60" s="215" t="s">
        <v>283</v>
      </c>
      <c r="L60" s="215">
        <v>16633294</v>
      </c>
      <c r="M60" s="215" t="s">
        <v>405</v>
      </c>
      <c r="N60" s="215" t="s">
        <v>408</v>
      </c>
    </row>
    <row r="61" spans="1:14" ht="15" customHeight="1" x14ac:dyDescent="0.2">
      <c r="A61" s="240">
        <v>444212</v>
      </c>
      <c r="B61" s="216" t="str">
        <f t="shared" si="2"/>
        <v>4442122</v>
      </c>
      <c r="C61" s="241">
        <v>16633294</v>
      </c>
      <c r="D61" s="213" t="s">
        <v>375</v>
      </c>
      <c r="E61" s="213" t="s">
        <v>366</v>
      </c>
      <c r="F61" s="213" t="s">
        <v>367</v>
      </c>
      <c r="G61" s="242">
        <v>45658</v>
      </c>
      <c r="H61" s="213" t="s">
        <v>368</v>
      </c>
      <c r="I61" s="213" t="s">
        <v>369</v>
      </c>
      <c r="J61" s="235">
        <v>-313</v>
      </c>
      <c r="K61" s="215" t="s">
        <v>283</v>
      </c>
      <c r="L61" s="215">
        <v>16633294</v>
      </c>
      <c r="M61" s="215" t="s">
        <v>405</v>
      </c>
      <c r="N61" s="215" t="s">
        <v>408</v>
      </c>
    </row>
    <row r="62" spans="1:14" ht="15" customHeight="1" x14ac:dyDescent="0.2">
      <c r="A62" s="240">
        <v>443209</v>
      </c>
      <c r="B62" s="216" t="str">
        <f t="shared" si="2"/>
        <v>4432092</v>
      </c>
      <c r="C62" s="241">
        <v>16633294</v>
      </c>
      <c r="D62" s="213" t="s">
        <v>376</v>
      </c>
      <c r="E62" s="213" t="s">
        <v>366</v>
      </c>
      <c r="F62" s="213" t="s">
        <v>367</v>
      </c>
      <c r="G62" s="242">
        <v>45658</v>
      </c>
      <c r="H62" s="213" t="s">
        <v>368</v>
      </c>
      <c r="I62" s="213" t="s">
        <v>369</v>
      </c>
      <c r="J62" s="235">
        <v>-313</v>
      </c>
      <c r="K62" s="215" t="s">
        <v>283</v>
      </c>
      <c r="L62" s="215">
        <v>16633294</v>
      </c>
      <c r="M62" s="215" t="s">
        <v>405</v>
      </c>
      <c r="N62" s="215" t="s">
        <v>408</v>
      </c>
    </row>
    <row r="63" spans="1:14" ht="15" customHeight="1" x14ac:dyDescent="0.2">
      <c r="A63" s="240">
        <v>440990</v>
      </c>
      <c r="B63" s="216" t="str">
        <f t="shared" si="2"/>
        <v>4409902</v>
      </c>
      <c r="C63" s="241">
        <v>16633294</v>
      </c>
      <c r="D63" s="213" t="s">
        <v>377</v>
      </c>
      <c r="E63" s="213" t="s">
        <v>366</v>
      </c>
      <c r="F63" s="213" t="s">
        <v>367</v>
      </c>
      <c r="G63" s="242">
        <v>45658</v>
      </c>
      <c r="H63" s="213" t="s">
        <v>368</v>
      </c>
      <c r="I63" s="213" t="s">
        <v>369</v>
      </c>
      <c r="J63" s="235">
        <v>-313</v>
      </c>
      <c r="K63" s="215" t="s">
        <v>283</v>
      </c>
      <c r="L63" s="215">
        <v>16633294</v>
      </c>
      <c r="M63" s="215" t="s">
        <v>405</v>
      </c>
      <c r="N63" s="215" t="s">
        <v>408</v>
      </c>
    </row>
    <row r="64" spans="1:14" ht="15" customHeight="1" x14ac:dyDescent="0.2">
      <c r="A64" s="240">
        <v>445753</v>
      </c>
      <c r="B64" s="216" t="str">
        <f t="shared" si="2"/>
        <v>4457532</v>
      </c>
      <c r="C64" s="241">
        <v>16633294</v>
      </c>
      <c r="D64" s="213" t="s">
        <v>378</v>
      </c>
      <c r="E64" s="213" t="s">
        <v>366</v>
      </c>
      <c r="F64" s="213" t="s">
        <v>367</v>
      </c>
      <c r="G64" s="242">
        <v>45658</v>
      </c>
      <c r="H64" s="213" t="s">
        <v>368</v>
      </c>
      <c r="I64" s="213" t="s">
        <v>369</v>
      </c>
      <c r="J64" s="235">
        <v>-313</v>
      </c>
      <c r="K64" s="215" t="s">
        <v>283</v>
      </c>
      <c r="L64" s="215">
        <v>16633294</v>
      </c>
      <c r="M64" s="215" t="s">
        <v>405</v>
      </c>
      <c r="N64" s="215" t="s">
        <v>408</v>
      </c>
    </row>
    <row r="65" spans="1:14" ht="15" customHeight="1" x14ac:dyDescent="0.2">
      <c r="A65" s="240">
        <v>446673</v>
      </c>
      <c r="B65" s="216" t="str">
        <f t="shared" si="2"/>
        <v>4466732</v>
      </c>
      <c r="C65" s="241">
        <v>16633294</v>
      </c>
      <c r="D65" s="213" t="s">
        <v>379</v>
      </c>
      <c r="E65" s="213" t="s">
        <v>366</v>
      </c>
      <c r="F65" s="213" t="s">
        <v>367</v>
      </c>
      <c r="G65" s="242">
        <v>45658</v>
      </c>
      <c r="H65" s="213" t="s">
        <v>368</v>
      </c>
      <c r="I65" s="213" t="s">
        <v>369</v>
      </c>
      <c r="J65" s="235">
        <v>-313</v>
      </c>
      <c r="K65" s="215" t="s">
        <v>283</v>
      </c>
      <c r="L65" s="215">
        <v>16633294</v>
      </c>
      <c r="M65" s="215" t="s">
        <v>405</v>
      </c>
      <c r="N65" s="215" t="s">
        <v>408</v>
      </c>
    </row>
    <row r="66" spans="1:14" ht="15" customHeight="1" x14ac:dyDescent="0.2">
      <c r="A66" s="216">
        <v>446121</v>
      </c>
      <c r="B66" s="216" t="str">
        <f t="shared" si="2"/>
        <v>4461212</v>
      </c>
      <c r="C66" s="236">
        <v>16633294</v>
      </c>
      <c r="D66" s="213" t="s">
        <v>380</v>
      </c>
      <c r="E66" s="213" t="s">
        <v>300</v>
      </c>
      <c r="F66" s="213"/>
      <c r="G66" s="221">
        <v>45658</v>
      </c>
      <c r="H66" s="213" t="s">
        <v>297</v>
      </c>
      <c r="I66" s="213" t="s">
        <v>304</v>
      </c>
      <c r="J66" s="239">
        <v>-313</v>
      </c>
      <c r="K66" s="215" t="s">
        <v>283</v>
      </c>
      <c r="L66" s="215">
        <v>16633294</v>
      </c>
      <c r="M66" s="215" t="s">
        <v>405</v>
      </c>
      <c r="N66" s="215" t="s">
        <v>408</v>
      </c>
    </row>
    <row r="67" spans="1:14" ht="15" customHeight="1" x14ac:dyDescent="0.2">
      <c r="A67" s="216">
        <v>447931</v>
      </c>
      <c r="B67" s="216" t="str">
        <f t="shared" si="2"/>
        <v>4479312</v>
      </c>
      <c r="C67" s="236">
        <v>16633294</v>
      </c>
      <c r="D67" s="213" t="s">
        <v>381</v>
      </c>
      <c r="E67" s="213" t="s">
        <v>300</v>
      </c>
      <c r="F67" s="213"/>
      <c r="G67" s="221">
        <v>45658</v>
      </c>
      <c r="H67" s="213" t="s">
        <v>297</v>
      </c>
      <c r="I67" s="213" t="s">
        <v>308</v>
      </c>
      <c r="J67" s="239">
        <v>-313</v>
      </c>
      <c r="K67" s="215" t="s">
        <v>283</v>
      </c>
      <c r="L67" s="215">
        <v>16633294</v>
      </c>
      <c r="M67" s="215" t="s">
        <v>405</v>
      </c>
      <c r="N67" s="215" t="s">
        <v>408</v>
      </c>
    </row>
    <row r="68" spans="1:14" ht="15" customHeight="1" x14ac:dyDescent="0.2">
      <c r="A68" s="216">
        <v>443229</v>
      </c>
      <c r="B68" s="216" t="str">
        <f t="shared" si="2"/>
        <v>4432292</v>
      </c>
      <c r="C68" s="236">
        <v>16633294</v>
      </c>
      <c r="D68" s="213" t="s">
        <v>382</v>
      </c>
      <c r="E68" s="213" t="s">
        <v>300</v>
      </c>
      <c r="F68" s="213"/>
      <c r="G68" s="221">
        <v>45658</v>
      </c>
      <c r="H68" s="213" t="s">
        <v>297</v>
      </c>
      <c r="I68" s="213" t="s">
        <v>308</v>
      </c>
      <c r="J68" s="239">
        <v>-313</v>
      </c>
      <c r="K68" s="215" t="s">
        <v>283</v>
      </c>
      <c r="L68" s="215">
        <v>16633294</v>
      </c>
      <c r="M68" s="215" t="s">
        <v>405</v>
      </c>
      <c r="N68" s="215" t="s">
        <v>408</v>
      </c>
    </row>
    <row r="69" spans="1:14" ht="15" customHeight="1" x14ac:dyDescent="0.2">
      <c r="A69" s="216">
        <v>443227</v>
      </c>
      <c r="B69" s="216" t="str">
        <f t="shared" si="2"/>
        <v>4432272</v>
      </c>
      <c r="C69" s="236">
        <v>16633294</v>
      </c>
      <c r="D69" s="213" t="s">
        <v>383</v>
      </c>
      <c r="E69" s="213" t="s">
        <v>300</v>
      </c>
      <c r="F69" s="213"/>
      <c r="G69" s="223">
        <v>45658</v>
      </c>
      <c r="H69" s="213" t="s">
        <v>297</v>
      </c>
      <c r="I69" s="213" t="s">
        <v>308</v>
      </c>
      <c r="J69" s="239">
        <v>-313</v>
      </c>
      <c r="K69" s="215" t="s">
        <v>283</v>
      </c>
      <c r="L69" s="215">
        <v>16633294</v>
      </c>
      <c r="M69" s="215" t="s">
        <v>405</v>
      </c>
      <c r="N69" s="215" t="s">
        <v>408</v>
      </c>
    </row>
    <row r="70" spans="1:14" ht="15" customHeight="1" x14ac:dyDescent="0.2">
      <c r="A70" s="216">
        <v>439729</v>
      </c>
      <c r="B70" s="216" t="str">
        <f>CONCATENATE(A70,2)</f>
        <v>4397292</v>
      </c>
      <c r="C70" s="236">
        <v>16633294</v>
      </c>
      <c r="D70" s="213" t="s">
        <v>384</v>
      </c>
      <c r="E70" s="213" t="s">
        <v>300</v>
      </c>
      <c r="F70" s="213"/>
      <c r="G70" s="223">
        <v>45597</v>
      </c>
      <c r="H70" s="213" t="s">
        <v>297</v>
      </c>
      <c r="I70" s="213" t="s">
        <v>385</v>
      </c>
      <c r="J70" s="239">
        <v>-26.08</v>
      </c>
      <c r="K70" s="215" t="s">
        <v>283</v>
      </c>
      <c r="L70" s="215">
        <v>16633294</v>
      </c>
      <c r="M70" s="215" t="s">
        <v>405</v>
      </c>
      <c r="N70" s="215" t="s">
        <v>406</v>
      </c>
    </row>
    <row r="71" spans="1:14" ht="15" customHeight="1" x14ac:dyDescent="0.2">
      <c r="A71" s="216">
        <v>439729</v>
      </c>
      <c r="B71" s="216" t="str">
        <f t="shared" si="2"/>
        <v>4397292</v>
      </c>
      <c r="C71" s="236">
        <v>16633294</v>
      </c>
      <c r="D71" s="213" t="s">
        <v>386</v>
      </c>
      <c r="E71" s="213" t="s">
        <v>300</v>
      </c>
      <c r="F71" s="213"/>
      <c r="G71" s="223">
        <v>45597</v>
      </c>
      <c r="H71" s="213" t="s">
        <v>297</v>
      </c>
      <c r="I71" s="213" t="s">
        <v>385</v>
      </c>
      <c r="J71" s="222">
        <v>26.08</v>
      </c>
      <c r="K71" s="215" t="s">
        <v>283</v>
      </c>
      <c r="L71" s="215">
        <v>16633294</v>
      </c>
      <c r="M71" s="215" t="s">
        <v>405</v>
      </c>
      <c r="N71" s="215" t="s">
        <v>406</v>
      </c>
    </row>
    <row r="72" spans="1:14" ht="15" customHeight="1" x14ac:dyDescent="0.2">
      <c r="A72" s="216">
        <v>439729</v>
      </c>
      <c r="B72" s="216" t="str">
        <f t="shared" si="2"/>
        <v>4397292</v>
      </c>
      <c r="C72" s="220">
        <v>16633294</v>
      </c>
      <c r="D72" s="213" t="s">
        <v>387</v>
      </c>
      <c r="E72" s="213" t="s">
        <v>300</v>
      </c>
      <c r="F72" s="213"/>
      <c r="G72" s="223">
        <v>45597</v>
      </c>
      <c r="H72" s="213" t="s">
        <v>301</v>
      </c>
      <c r="I72" s="213" t="s">
        <v>385</v>
      </c>
      <c r="J72" s="222">
        <v>26.08</v>
      </c>
      <c r="K72" s="215" t="s">
        <v>283</v>
      </c>
      <c r="L72" s="215">
        <v>16633294</v>
      </c>
      <c r="M72" s="215" t="s">
        <v>405</v>
      </c>
      <c r="N72" s="215" t="s">
        <v>406</v>
      </c>
    </row>
    <row r="73" spans="1:14" ht="15" customHeight="1" x14ac:dyDescent="0.2">
      <c r="A73" s="216">
        <v>444931</v>
      </c>
      <c r="B73" s="216" t="str">
        <f t="shared" si="2"/>
        <v>4449312</v>
      </c>
      <c r="C73" s="220">
        <v>19615078</v>
      </c>
      <c r="D73" s="213" t="s">
        <v>388</v>
      </c>
      <c r="E73" s="213" t="s">
        <v>300</v>
      </c>
      <c r="F73" s="213" t="s">
        <v>296</v>
      </c>
      <c r="G73" s="223">
        <v>45689</v>
      </c>
      <c r="H73" s="213" t="s">
        <v>301</v>
      </c>
      <c r="I73" s="213" t="s">
        <v>308</v>
      </c>
      <c r="J73" s="222">
        <v>286.92</v>
      </c>
      <c r="K73" s="214" t="s">
        <v>279</v>
      </c>
      <c r="L73" s="215">
        <v>19615078</v>
      </c>
      <c r="M73" s="215" t="s">
        <v>405</v>
      </c>
      <c r="N73" s="215" t="s">
        <v>407</v>
      </c>
    </row>
    <row r="74" spans="1:14" ht="15" customHeight="1" x14ac:dyDescent="0.2">
      <c r="A74" s="216">
        <v>439383</v>
      </c>
      <c r="B74" s="216" t="str">
        <f t="shared" si="2"/>
        <v>4393832</v>
      </c>
      <c r="C74" s="220">
        <v>2158366</v>
      </c>
      <c r="D74" s="213" t="s">
        <v>389</v>
      </c>
      <c r="E74" s="213" t="s">
        <v>300</v>
      </c>
      <c r="F74" s="213" t="s">
        <v>296</v>
      </c>
      <c r="G74" s="221">
        <v>45658</v>
      </c>
      <c r="H74" s="213" t="s">
        <v>297</v>
      </c>
      <c r="I74" s="213" t="s">
        <v>308</v>
      </c>
      <c r="J74" s="222">
        <v>313</v>
      </c>
      <c r="K74" s="214" t="s">
        <v>276</v>
      </c>
      <c r="L74" s="215">
        <v>2158366</v>
      </c>
      <c r="M74" s="215" t="s">
        <v>405</v>
      </c>
      <c r="N74" s="215" t="s">
        <v>408</v>
      </c>
    </row>
    <row r="75" spans="1:14" ht="15" customHeight="1" x14ac:dyDescent="0.2">
      <c r="A75" s="216">
        <v>439384</v>
      </c>
      <c r="B75" s="216" t="str">
        <f t="shared" si="2"/>
        <v>4393842</v>
      </c>
      <c r="C75" s="220">
        <v>2158366</v>
      </c>
      <c r="D75" s="213" t="s">
        <v>390</v>
      </c>
      <c r="E75" s="213" t="s">
        <v>300</v>
      </c>
      <c r="F75" s="213" t="s">
        <v>311</v>
      </c>
      <c r="G75" s="221">
        <v>45658</v>
      </c>
      <c r="H75" s="213" t="s">
        <v>297</v>
      </c>
      <c r="I75" s="213" t="s">
        <v>304</v>
      </c>
      <c r="J75" s="222">
        <v>313</v>
      </c>
      <c r="K75" s="214" t="s">
        <v>276</v>
      </c>
      <c r="L75" s="215">
        <v>2158366</v>
      </c>
      <c r="M75" s="215" t="s">
        <v>405</v>
      </c>
      <c r="N75" s="215" t="s">
        <v>408</v>
      </c>
    </row>
    <row r="76" spans="1:14" ht="15" customHeight="1" x14ac:dyDescent="0.2">
      <c r="A76" s="216">
        <v>444121</v>
      </c>
      <c r="B76" s="216" t="str">
        <f t="shared" si="2"/>
        <v>4441212</v>
      </c>
      <c r="C76" s="220">
        <v>2158366</v>
      </c>
      <c r="D76" s="213" t="s">
        <v>357</v>
      </c>
      <c r="E76" s="213" t="s">
        <v>300</v>
      </c>
      <c r="F76" s="213" t="s">
        <v>296</v>
      </c>
      <c r="G76" s="223">
        <v>45658</v>
      </c>
      <c r="H76" s="213" t="s">
        <v>297</v>
      </c>
      <c r="I76" s="213" t="s">
        <v>308</v>
      </c>
      <c r="J76" s="222">
        <v>313</v>
      </c>
      <c r="K76" s="214" t="s">
        <v>276</v>
      </c>
      <c r="L76" s="215">
        <v>2158366</v>
      </c>
      <c r="M76" s="215" t="s">
        <v>405</v>
      </c>
      <c r="N76" s="215" t="s">
        <v>408</v>
      </c>
    </row>
    <row r="77" spans="1:14" ht="15" customHeight="1" x14ac:dyDescent="0.2">
      <c r="A77" s="216">
        <v>442876</v>
      </c>
      <c r="B77" s="216" t="str">
        <f t="shared" si="2"/>
        <v>4428762</v>
      </c>
      <c r="C77" s="220">
        <v>2158366</v>
      </c>
      <c r="D77" s="213" t="s">
        <v>310</v>
      </c>
      <c r="E77" s="213" t="s">
        <v>345</v>
      </c>
      <c r="F77" s="213" t="s">
        <v>296</v>
      </c>
      <c r="G77" s="221">
        <v>45658</v>
      </c>
      <c r="H77" s="213" t="s">
        <v>297</v>
      </c>
      <c r="I77" s="213" t="s">
        <v>308</v>
      </c>
      <c r="J77" s="222">
        <v>313</v>
      </c>
      <c r="K77" s="214" t="s">
        <v>276</v>
      </c>
      <c r="L77" s="215">
        <v>2158366</v>
      </c>
      <c r="M77" s="215" t="s">
        <v>405</v>
      </c>
      <c r="N77" s="215" t="s">
        <v>408</v>
      </c>
    </row>
    <row r="78" spans="1:14" ht="15" customHeight="1" x14ac:dyDescent="0.2">
      <c r="A78" s="231">
        <v>445359</v>
      </c>
      <c r="B78" s="216" t="str">
        <f t="shared" si="2"/>
        <v>4453592</v>
      </c>
      <c r="C78" s="232">
        <v>19681796</v>
      </c>
      <c r="D78" s="213" t="s">
        <v>358</v>
      </c>
      <c r="E78" s="213" t="s">
        <v>313</v>
      </c>
      <c r="F78" s="213" t="s">
        <v>314</v>
      </c>
      <c r="G78" s="233">
        <v>45658</v>
      </c>
      <c r="H78" s="213" t="s">
        <v>315</v>
      </c>
      <c r="I78" s="213" t="s">
        <v>316</v>
      </c>
      <c r="J78" s="234">
        <v>313</v>
      </c>
      <c r="K78" s="214" t="s">
        <v>277</v>
      </c>
      <c r="L78" s="215">
        <v>19681796</v>
      </c>
      <c r="M78" s="215" t="s">
        <v>405</v>
      </c>
      <c r="N78" s="215" t="s">
        <v>408</v>
      </c>
    </row>
    <row r="79" spans="1:14" ht="15" customHeight="1" x14ac:dyDescent="0.2">
      <c r="A79" s="216">
        <v>445779</v>
      </c>
      <c r="B79" s="216" t="str">
        <f t="shared" si="2"/>
        <v>4457792</v>
      </c>
      <c r="C79" s="236">
        <v>19645587</v>
      </c>
      <c r="D79" s="213" t="s">
        <v>391</v>
      </c>
      <c r="E79" s="213" t="s">
        <v>300</v>
      </c>
      <c r="F79" s="213" t="s">
        <v>296</v>
      </c>
      <c r="G79" s="221">
        <v>45658</v>
      </c>
      <c r="H79" s="213" t="s">
        <v>297</v>
      </c>
      <c r="I79" s="213" t="s">
        <v>308</v>
      </c>
      <c r="J79" s="222">
        <v>313</v>
      </c>
      <c r="K79" s="214" t="s">
        <v>278</v>
      </c>
      <c r="L79" s="215">
        <v>19645587</v>
      </c>
      <c r="M79" s="215" t="s">
        <v>405</v>
      </c>
      <c r="N79" s="215" t="s">
        <v>408</v>
      </c>
    </row>
    <row r="80" spans="1:14" ht="15" customHeight="1" x14ac:dyDescent="0.2">
      <c r="A80" s="216">
        <v>439914</v>
      </c>
      <c r="B80" s="216" t="str">
        <f t="shared" si="2"/>
        <v>4399142</v>
      </c>
      <c r="C80" s="220">
        <v>19645587</v>
      </c>
      <c r="D80" s="213" t="s">
        <v>360</v>
      </c>
      <c r="E80" s="213" t="s">
        <v>300</v>
      </c>
      <c r="F80" s="213" t="s">
        <v>296</v>
      </c>
      <c r="G80" s="223">
        <v>45658</v>
      </c>
      <c r="H80" s="213" t="s">
        <v>297</v>
      </c>
      <c r="I80" s="213" t="s">
        <v>308</v>
      </c>
      <c r="J80" s="222">
        <v>313</v>
      </c>
      <c r="K80" s="214" t="s">
        <v>278</v>
      </c>
      <c r="L80" s="215">
        <v>19645587</v>
      </c>
      <c r="M80" s="215" t="s">
        <v>405</v>
      </c>
      <c r="N80" s="215" t="s">
        <v>408</v>
      </c>
    </row>
    <row r="81" spans="1:14" ht="15" customHeight="1" x14ac:dyDescent="0.2">
      <c r="A81" s="216">
        <v>444055</v>
      </c>
      <c r="B81" s="216" t="str">
        <f t="shared" si="2"/>
        <v>4440552</v>
      </c>
      <c r="C81" s="236">
        <v>19615078</v>
      </c>
      <c r="D81" s="213" t="s">
        <v>361</v>
      </c>
      <c r="E81" s="213" t="s">
        <v>300</v>
      </c>
      <c r="F81" s="213" t="s">
        <v>296</v>
      </c>
      <c r="G81" s="221">
        <v>45658</v>
      </c>
      <c r="H81" s="213" t="s">
        <v>297</v>
      </c>
      <c r="I81" s="213" t="s">
        <v>308</v>
      </c>
      <c r="J81" s="222">
        <v>313</v>
      </c>
      <c r="K81" s="214" t="s">
        <v>279</v>
      </c>
      <c r="L81" s="215">
        <v>19615078</v>
      </c>
      <c r="M81" s="215" t="s">
        <v>405</v>
      </c>
      <c r="N81" s="215" t="s">
        <v>408</v>
      </c>
    </row>
    <row r="82" spans="1:14" ht="15" customHeight="1" x14ac:dyDescent="0.2">
      <c r="A82" s="216">
        <v>445830</v>
      </c>
      <c r="B82" s="216" t="str">
        <f t="shared" si="2"/>
        <v>4458302</v>
      </c>
      <c r="C82" s="236">
        <v>19615078</v>
      </c>
      <c r="D82" s="213" t="s">
        <v>362</v>
      </c>
      <c r="E82" s="213" t="s">
        <v>300</v>
      </c>
      <c r="F82" s="213" t="s">
        <v>296</v>
      </c>
      <c r="G82" s="221">
        <v>45658</v>
      </c>
      <c r="H82" s="213" t="s">
        <v>306</v>
      </c>
      <c r="I82" s="213" t="s">
        <v>304</v>
      </c>
      <c r="J82" s="222">
        <v>313</v>
      </c>
      <c r="K82" s="214" t="s">
        <v>279</v>
      </c>
      <c r="L82" s="215">
        <v>19615078</v>
      </c>
      <c r="M82" s="215" t="s">
        <v>405</v>
      </c>
      <c r="N82" s="215" t="s">
        <v>408</v>
      </c>
    </row>
    <row r="83" spans="1:14" ht="15" customHeight="1" x14ac:dyDescent="0.2">
      <c r="A83" s="231">
        <v>443966</v>
      </c>
      <c r="B83" s="216" t="str">
        <f t="shared" si="2"/>
        <v>4439662</v>
      </c>
      <c r="C83" s="232">
        <v>19481808</v>
      </c>
      <c r="D83" s="213" t="s">
        <v>323</v>
      </c>
      <c r="E83" s="213" t="s">
        <v>313</v>
      </c>
      <c r="F83" s="213" t="s">
        <v>314</v>
      </c>
      <c r="G83" s="233">
        <v>45658</v>
      </c>
      <c r="H83" s="213" t="s">
        <v>315</v>
      </c>
      <c r="I83" s="213" t="s">
        <v>316</v>
      </c>
      <c r="J83" s="234">
        <v>313</v>
      </c>
      <c r="K83" s="238" t="s">
        <v>280</v>
      </c>
      <c r="L83" s="215">
        <v>19481808</v>
      </c>
      <c r="M83" s="215" t="s">
        <v>405</v>
      </c>
      <c r="N83" s="215" t="s">
        <v>408</v>
      </c>
    </row>
    <row r="84" spans="1:14" ht="15" customHeight="1" x14ac:dyDescent="0.2">
      <c r="A84" s="231">
        <v>446535</v>
      </c>
      <c r="B84" s="216" t="str">
        <f t="shared" si="2"/>
        <v>4465352</v>
      </c>
      <c r="C84" s="232">
        <v>17301495</v>
      </c>
      <c r="D84" s="213" t="s">
        <v>324</v>
      </c>
      <c r="E84" s="213" t="s">
        <v>313</v>
      </c>
      <c r="F84" s="213" t="s">
        <v>314</v>
      </c>
      <c r="G84" s="233">
        <v>45658</v>
      </c>
      <c r="H84" s="213" t="s">
        <v>315</v>
      </c>
      <c r="I84" s="213" t="s">
        <v>316</v>
      </c>
      <c r="J84" s="234">
        <v>313</v>
      </c>
      <c r="K84" s="238" t="s">
        <v>281</v>
      </c>
      <c r="L84" s="215">
        <v>17301495</v>
      </c>
      <c r="M84" s="215" t="s">
        <v>405</v>
      </c>
      <c r="N84" s="215" t="s">
        <v>408</v>
      </c>
    </row>
    <row r="85" spans="1:14" ht="15" customHeight="1" x14ac:dyDescent="0.2">
      <c r="A85" s="240">
        <v>445336</v>
      </c>
      <c r="B85" s="216" t="str">
        <f t="shared" si="2"/>
        <v>4453362</v>
      </c>
      <c r="C85" s="241">
        <v>16633294</v>
      </c>
      <c r="D85" s="213" t="s">
        <v>392</v>
      </c>
      <c r="E85" s="213" t="s">
        <v>366</v>
      </c>
      <c r="F85" s="213" t="s">
        <v>367</v>
      </c>
      <c r="G85" s="242">
        <v>45658</v>
      </c>
      <c r="H85" s="213" t="s">
        <v>368</v>
      </c>
      <c r="I85" s="213" t="s">
        <v>369</v>
      </c>
      <c r="J85" s="243">
        <v>313</v>
      </c>
      <c r="K85" s="215" t="s">
        <v>283</v>
      </c>
      <c r="L85" s="215">
        <v>16633294</v>
      </c>
      <c r="M85" s="215" t="s">
        <v>405</v>
      </c>
      <c r="N85" s="215" t="s">
        <v>408</v>
      </c>
    </row>
    <row r="86" spans="1:14" ht="15" customHeight="1" x14ac:dyDescent="0.2">
      <c r="A86" s="240">
        <v>445462</v>
      </c>
      <c r="B86" s="216" t="str">
        <f t="shared" si="2"/>
        <v>4454622</v>
      </c>
      <c r="C86" s="241">
        <v>16633294</v>
      </c>
      <c r="D86" s="213" t="s">
        <v>370</v>
      </c>
      <c r="E86" s="213" t="s">
        <v>366</v>
      </c>
      <c r="F86" s="213" t="s">
        <v>367</v>
      </c>
      <c r="G86" s="242">
        <v>45658</v>
      </c>
      <c r="H86" s="213" t="s">
        <v>368</v>
      </c>
      <c r="I86" s="213" t="s">
        <v>369</v>
      </c>
      <c r="J86" s="243">
        <v>313</v>
      </c>
      <c r="K86" s="215" t="s">
        <v>283</v>
      </c>
      <c r="L86" s="215">
        <v>16633294</v>
      </c>
      <c r="M86" s="215" t="s">
        <v>405</v>
      </c>
      <c r="N86" s="215" t="s">
        <v>408</v>
      </c>
    </row>
    <row r="87" spans="1:14" ht="15" customHeight="1" x14ac:dyDescent="0.2">
      <c r="A87" s="240">
        <v>445463</v>
      </c>
      <c r="B87" s="216" t="str">
        <f t="shared" si="2"/>
        <v>4454632</v>
      </c>
      <c r="C87" s="241">
        <v>16633294</v>
      </c>
      <c r="D87" s="213" t="s">
        <v>371</v>
      </c>
      <c r="E87" s="213" t="s">
        <v>366</v>
      </c>
      <c r="F87" s="213" t="s">
        <v>367</v>
      </c>
      <c r="G87" s="242">
        <v>45658</v>
      </c>
      <c r="H87" s="213" t="s">
        <v>368</v>
      </c>
      <c r="I87" s="213" t="s">
        <v>369</v>
      </c>
      <c r="J87" s="243">
        <v>313</v>
      </c>
      <c r="K87" s="215" t="s">
        <v>283</v>
      </c>
      <c r="L87" s="215">
        <v>16633294</v>
      </c>
      <c r="M87" s="215" t="s">
        <v>405</v>
      </c>
      <c r="N87" s="215" t="s">
        <v>408</v>
      </c>
    </row>
    <row r="88" spans="1:14" ht="15" customHeight="1" x14ac:dyDescent="0.2">
      <c r="A88" s="240">
        <v>446217</v>
      </c>
      <c r="B88" s="216" t="str">
        <f t="shared" si="2"/>
        <v>4462172</v>
      </c>
      <c r="C88" s="241">
        <v>16633294</v>
      </c>
      <c r="D88" s="213" t="s">
        <v>393</v>
      </c>
      <c r="E88" s="213" t="s">
        <v>366</v>
      </c>
      <c r="F88" s="213" t="s">
        <v>367</v>
      </c>
      <c r="G88" s="242">
        <v>45658</v>
      </c>
      <c r="H88" s="213" t="s">
        <v>368</v>
      </c>
      <c r="I88" s="213" t="s">
        <v>369</v>
      </c>
      <c r="J88" s="243">
        <v>313</v>
      </c>
      <c r="K88" s="215" t="s">
        <v>283</v>
      </c>
      <c r="L88" s="215">
        <v>16633294</v>
      </c>
      <c r="M88" s="215" t="s">
        <v>405</v>
      </c>
      <c r="N88" s="215" t="s">
        <v>408</v>
      </c>
    </row>
    <row r="89" spans="1:14" ht="15" customHeight="1" x14ac:dyDescent="0.2">
      <c r="A89" s="240">
        <v>443292</v>
      </c>
      <c r="B89" s="216" t="str">
        <f t="shared" si="2"/>
        <v>4432922</v>
      </c>
      <c r="C89" s="241">
        <v>16633294</v>
      </c>
      <c r="D89" s="213" t="s">
        <v>373</v>
      </c>
      <c r="E89" s="213" t="s">
        <v>366</v>
      </c>
      <c r="F89" s="213" t="s">
        <v>367</v>
      </c>
      <c r="G89" s="242">
        <v>45658</v>
      </c>
      <c r="H89" s="213" t="s">
        <v>368</v>
      </c>
      <c r="I89" s="213" t="s">
        <v>369</v>
      </c>
      <c r="J89" s="243">
        <v>313</v>
      </c>
      <c r="K89" s="215" t="s">
        <v>283</v>
      </c>
      <c r="L89" s="215">
        <v>16633294</v>
      </c>
      <c r="M89" s="215" t="s">
        <v>405</v>
      </c>
      <c r="N89" s="215" t="s">
        <v>408</v>
      </c>
    </row>
    <row r="90" spans="1:14" ht="15" customHeight="1" x14ac:dyDescent="0.2">
      <c r="A90" s="240">
        <v>443286</v>
      </c>
      <c r="B90" s="216" t="str">
        <f t="shared" si="2"/>
        <v>4432862</v>
      </c>
      <c r="C90" s="241">
        <v>16633294</v>
      </c>
      <c r="D90" s="213" t="s">
        <v>374</v>
      </c>
      <c r="E90" s="213" t="s">
        <v>366</v>
      </c>
      <c r="F90" s="213" t="s">
        <v>367</v>
      </c>
      <c r="G90" s="242">
        <v>45658</v>
      </c>
      <c r="H90" s="213" t="s">
        <v>368</v>
      </c>
      <c r="I90" s="213" t="s">
        <v>369</v>
      </c>
      <c r="J90" s="243">
        <v>313</v>
      </c>
      <c r="K90" s="215" t="s">
        <v>283</v>
      </c>
      <c r="L90" s="215">
        <v>16633294</v>
      </c>
      <c r="M90" s="215" t="s">
        <v>405</v>
      </c>
      <c r="N90" s="215" t="s">
        <v>408</v>
      </c>
    </row>
    <row r="91" spans="1:14" ht="15" customHeight="1" x14ac:dyDescent="0.2">
      <c r="A91" s="240">
        <v>444212</v>
      </c>
      <c r="B91" s="216" t="str">
        <f>CONCATENATE(A91,2)</f>
        <v>4442122</v>
      </c>
      <c r="C91" s="241">
        <v>16633294</v>
      </c>
      <c r="D91" s="213" t="s">
        <v>394</v>
      </c>
      <c r="E91" s="213" t="s">
        <v>366</v>
      </c>
      <c r="F91" s="213" t="s">
        <v>367</v>
      </c>
      <c r="G91" s="242">
        <v>45658</v>
      </c>
      <c r="H91" s="213" t="s">
        <v>368</v>
      </c>
      <c r="I91" s="213" t="s">
        <v>369</v>
      </c>
      <c r="J91" s="243">
        <v>313</v>
      </c>
      <c r="K91" s="215" t="s">
        <v>283</v>
      </c>
      <c r="L91" s="215">
        <v>16633294</v>
      </c>
      <c r="M91" s="215" t="s">
        <v>405</v>
      </c>
      <c r="N91" s="215" t="s">
        <v>408</v>
      </c>
    </row>
    <row r="92" spans="1:14" ht="15" customHeight="1" x14ac:dyDescent="0.2">
      <c r="A92" s="240">
        <v>443209</v>
      </c>
      <c r="B92" s="216" t="str">
        <f t="shared" si="2"/>
        <v>4432092</v>
      </c>
      <c r="C92" s="241">
        <v>16633294</v>
      </c>
      <c r="D92" s="213" t="s">
        <v>395</v>
      </c>
      <c r="E92" s="213" t="s">
        <v>366</v>
      </c>
      <c r="F92" s="213" t="s">
        <v>367</v>
      </c>
      <c r="G92" s="242">
        <v>45658</v>
      </c>
      <c r="H92" s="213" t="s">
        <v>368</v>
      </c>
      <c r="I92" s="213" t="s">
        <v>369</v>
      </c>
      <c r="J92" s="243">
        <v>313</v>
      </c>
      <c r="K92" s="215" t="s">
        <v>283</v>
      </c>
      <c r="L92" s="215">
        <v>16633294</v>
      </c>
      <c r="M92" s="215" t="s">
        <v>405</v>
      </c>
      <c r="N92" s="215" t="s">
        <v>408</v>
      </c>
    </row>
    <row r="93" spans="1:14" ht="15" customHeight="1" x14ac:dyDescent="0.2">
      <c r="A93" s="240">
        <v>440990</v>
      </c>
      <c r="B93" s="216" t="str">
        <f t="shared" si="2"/>
        <v>4409902</v>
      </c>
      <c r="C93" s="241">
        <v>16633294</v>
      </c>
      <c r="D93" s="213" t="s">
        <v>377</v>
      </c>
      <c r="E93" s="213" t="s">
        <v>366</v>
      </c>
      <c r="F93" s="213" t="s">
        <v>367</v>
      </c>
      <c r="G93" s="242">
        <v>45658</v>
      </c>
      <c r="H93" s="213" t="s">
        <v>368</v>
      </c>
      <c r="I93" s="213" t="s">
        <v>369</v>
      </c>
      <c r="J93" s="243">
        <v>313</v>
      </c>
      <c r="K93" s="215" t="s">
        <v>283</v>
      </c>
      <c r="L93" s="215">
        <v>16633294</v>
      </c>
      <c r="M93" s="215" t="s">
        <v>405</v>
      </c>
      <c r="N93" s="215" t="s">
        <v>408</v>
      </c>
    </row>
    <row r="94" spans="1:14" ht="15" customHeight="1" x14ac:dyDescent="0.2">
      <c r="A94" s="240">
        <v>445753</v>
      </c>
      <c r="B94" s="216" t="str">
        <f t="shared" si="2"/>
        <v>4457532</v>
      </c>
      <c r="C94" s="241">
        <v>16633294</v>
      </c>
      <c r="D94" s="213" t="s">
        <v>378</v>
      </c>
      <c r="E94" s="213" t="s">
        <v>366</v>
      </c>
      <c r="F94" s="213" t="s">
        <v>367</v>
      </c>
      <c r="G94" s="242">
        <v>45658</v>
      </c>
      <c r="H94" s="213" t="s">
        <v>368</v>
      </c>
      <c r="I94" s="213" t="s">
        <v>369</v>
      </c>
      <c r="J94" s="243">
        <v>313</v>
      </c>
      <c r="K94" s="215" t="s">
        <v>283</v>
      </c>
      <c r="L94" s="215">
        <v>16633294</v>
      </c>
      <c r="M94" s="215" t="s">
        <v>405</v>
      </c>
      <c r="N94" s="215" t="s">
        <v>408</v>
      </c>
    </row>
    <row r="95" spans="1:14" ht="15" customHeight="1" x14ac:dyDescent="0.2">
      <c r="A95" s="240">
        <v>446673</v>
      </c>
      <c r="B95" s="216" t="str">
        <f t="shared" si="2"/>
        <v>4466732</v>
      </c>
      <c r="C95" s="241">
        <v>16633294</v>
      </c>
      <c r="D95" s="213" t="s">
        <v>396</v>
      </c>
      <c r="E95" s="213" t="s">
        <v>366</v>
      </c>
      <c r="F95" s="213" t="s">
        <v>367</v>
      </c>
      <c r="G95" s="242">
        <v>45658</v>
      </c>
      <c r="H95" s="213" t="s">
        <v>368</v>
      </c>
      <c r="I95" s="213" t="s">
        <v>369</v>
      </c>
      <c r="J95" s="243">
        <v>313</v>
      </c>
      <c r="K95" s="215" t="s">
        <v>283</v>
      </c>
      <c r="L95" s="215">
        <v>16633294</v>
      </c>
      <c r="M95" s="215" t="s">
        <v>405</v>
      </c>
      <c r="N95" s="215" t="s">
        <v>408</v>
      </c>
    </row>
    <row r="96" spans="1:14" ht="15" customHeight="1" x14ac:dyDescent="0.2">
      <c r="A96" s="216">
        <v>446121</v>
      </c>
      <c r="B96" s="216" t="str">
        <f t="shared" si="2"/>
        <v>4461212</v>
      </c>
      <c r="C96" s="236">
        <v>16633294</v>
      </c>
      <c r="D96" s="213" t="s">
        <v>397</v>
      </c>
      <c r="E96" s="213" t="s">
        <v>300</v>
      </c>
      <c r="F96" s="213"/>
      <c r="G96" s="221">
        <v>45658</v>
      </c>
      <c r="H96" s="213" t="s">
        <v>297</v>
      </c>
      <c r="I96" s="213" t="s">
        <v>308</v>
      </c>
      <c r="J96" s="222">
        <v>313</v>
      </c>
      <c r="K96" s="215" t="s">
        <v>283</v>
      </c>
      <c r="L96" s="215">
        <v>16633294</v>
      </c>
      <c r="M96" s="215" t="s">
        <v>405</v>
      </c>
      <c r="N96" s="215" t="s">
        <v>408</v>
      </c>
    </row>
    <row r="97" spans="1:14" ht="15" customHeight="1" x14ac:dyDescent="0.2">
      <c r="A97" s="225">
        <v>447931</v>
      </c>
      <c r="B97" s="216" t="str">
        <f t="shared" si="2"/>
        <v>4479312</v>
      </c>
      <c r="C97" s="220">
        <v>16633294</v>
      </c>
      <c r="D97" s="213" t="s">
        <v>398</v>
      </c>
      <c r="E97" s="213" t="s">
        <v>300</v>
      </c>
      <c r="F97" s="213"/>
      <c r="G97" s="221">
        <v>45658</v>
      </c>
      <c r="H97" s="213" t="s">
        <v>306</v>
      </c>
      <c r="I97" s="213" t="s">
        <v>304</v>
      </c>
      <c r="J97" s="222">
        <v>313</v>
      </c>
      <c r="K97" s="215" t="s">
        <v>283</v>
      </c>
      <c r="L97" s="215">
        <v>16633294</v>
      </c>
      <c r="M97" s="215" t="s">
        <v>405</v>
      </c>
      <c r="N97" s="215" t="s">
        <v>408</v>
      </c>
    </row>
    <row r="98" spans="1:14" ht="15" customHeight="1" x14ac:dyDescent="0.2">
      <c r="A98" s="216">
        <v>443229</v>
      </c>
      <c r="B98" s="216" t="str">
        <f t="shared" si="2"/>
        <v>4432292</v>
      </c>
      <c r="C98" s="220">
        <v>16633294</v>
      </c>
      <c r="D98" s="213" t="s">
        <v>399</v>
      </c>
      <c r="E98" s="213" t="s">
        <v>300</v>
      </c>
      <c r="F98" s="213"/>
      <c r="G98" s="223">
        <v>45658</v>
      </c>
      <c r="H98" s="213" t="s">
        <v>297</v>
      </c>
      <c r="I98" s="213" t="s">
        <v>308</v>
      </c>
      <c r="J98" s="222">
        <v>313</v>
      </c>
      <c r="K98" s="215" t="s">
        <v>283</v>
      </c>
      <c r="L98" s="215">
        <v>16633294</v>
      </c>
      <c r="M98" s="215" t="s">
        <v>405</v>
      </c>
      <c r="N98" s="215" t="s">
        <v>408</v>
      </c>
    </row>
    <row r="99" spans="1:14" ht="15" customHeight="1" x14ac:dyDescent="0.2">
      <c r="A99" s="216">
        <v>448798</v>
      </c>
      <c r="B99" s="216" t="str">
        <f t="shared" ref="B99:B106" si="3">CONCATENATE(A99,3)</f>
        <v>4487983</v>
      </c>
      <c r="C99" s="220">
        <v>2158366</v>
      </c>
      <c r="D99" s="213" t="s">
        <v>299</v>
      </c>
      <c r="E99" s="213" t="s">
        <v>300</v>
      </c>
      <c r="F99" s="213" t="s">
        <v>296</v>
      </c>
      <c r="G99" s="221">
        <v>45689</v>
      </c>
      <c r="H99" s="213" t="s">
        <v>301</v>
      </c>
      <c r="I99" s="213" t="s">
        <v>302</v>
      </c>
      <c r="J99" s="222">
        <v>626</v>
      </c>
      <c r="K99" s="214" t="s">
        <v>276</v>
      </c>
      <c r="L99" s="215">
        <v>2158366</v>
      </c>
      <c r="M99" s="215" t="s">
        <v>404</v>
      </c>
      <c r="N99" s="215" t="s">
        <v>409</v>
      </c>
    </row>
    <row r="100" spans="1:14" ht="15" customHeight="1" x14ac:dyDescent="0.2">
      <c r="A100" s="225">
        <v>445341</v>
      </c>
      <c r="B100" s="216" t="str">
        <f t="shared" si="3"/>
        <v>4453413</v>
      </c>
      <c r="C100" s="220">
        <v>2158366</v>
      </c>
      <c r="D100" s="213" t="s">
        <v>344</v>
      </c>
      <c r="E100" s="213" t="s">
        <v>300</v>
      </c>
      <c r="F100" s="213" t="s">
        <v>296</v>
      </c>
      <c r="G100" s="223">
        <v>45658</v>
      </c>
      <c r="H100" s="213" t="s">
        <v>306</v>
      </c>
      <c r="I100" s="213" t="s">
        <v>302</v>
      </c>
      <c r="J100" s="222">
        <v>626</v>
      </c>
      <c r="K100" s="214" t="s">
        <v>276</v>
      </c>
      <c r="L100" s="215">
        <v>2158366</v>
      </c>
      <c r="M100" s="215" t="s">
        <v>404</v>
      </c>
      <c r="N100" s="215" t="s">
        <v>409</v>
      </c>
    </row>
    <row r="101" spans="1:14" ht="15" customHeight="1" x14ac:dyDescent="0.2">
      <c r="A101" s="216">
        <v>448295</v>
      </c>
      <c r="B101" s="216" t="str">
        <f t="shared" si="3"/>
        <v>4482953</v>
      </c>
      <c r="C101" s="236">
        <v>19645587</v>
      </c>
      <c r="D101" s="213" t="s">
        <v>346</v>
      </c>
      <c r="E101" s="213" t="s">
        <v>300</v>
      </c>
      <c r="F101" s="213" t="s">
        <v>400</v>
      </c>
      <c r="G101" s="221">
        <v>45658</v>
      </c>
      <c r="H101" s="213" t="s">
        <v>297</v>
      </c>
      <c r="I101" s="213" t="s">
        <v>302</v>
      </c>
      <c r="J101" s="222">
        <v>626</v>
      </c>
      <c r="K101" s="214" t="s">
        <v>278</v>
      </c>
      <c r="L101" s="215">
        <v>19645587</v>
      </c>
      <c r="M101" s="215" t="s">
        <v>404</v>
      </c>
      <c r="N101" s="215" t="s">
        <v>409</v>
      </c>
    </row>
    <row r="102" spans="1:14" ht="15" customHeight="1" x14ac:dyDescent="0.2">
      <c r="A102" s="231">
        <v>447954</v>
      </c>
      <c r="B102" s="216" t="str">
        <f t="shared" si="3"/>
        <v>4479543</v>
      </c>
      <c r="C102" s="232">
        <v>16912722</v>
      </c>
      <c r="D102" s="213" t="s">
        <v>401</v>
      </c>
      <c r="E102" s="213" t="s">
        <v>313</v>
      </c>
      <c r="F102" s="213" t="s">
        <v>314</v>
      </c>
      <c r="G102" s="233">
        <v>45658</v>
      </c>
      <c r="H102" s="213" t="s">
        <v>315</v>
      </c>
      <c r="I102" s="213" t="s">
        <v>350</v>
      </c>
      <c r="J102" s="234">
        <v>626</v>
      </c>
      <c r="K102" s="238" t="s">
        <v>282</v>
      </c>
      <c r="L102" s="215">
        <v>16912722</v>
      </c>
      <c r="M102" s="215" t="s">
        <v>404</v>
      </c>
      <c r="N102" s="215" t="s">
        <v>409</v>
      </c>
    </row>
    <row r="103" spans="1:14" ht="15" customHeight="1" x14ac:dyDescent="0.2">
      <c r="A103" s="231">
        <v>447955</v>
      </c>
      <c r="B103" s="216" t="str">
        <f t="shared" si="3"/>
        <v>4479553</v>
      </c>
      <c r="C103" s="232">
        <v>16912722</v>
      </c>
      <c r="D103" s="213" t="s">
        <v>351</v>
      </c>
      <c r="E103" s="213" t="s">
        <v>313</v>
      </c>
      <c r="F103" s="213" t="s">
        <v>314</v>
      </c>
      <c r="G103" s="233">
        <v>45658</v>
      </c>
      <c r="H103" s="213" t="s">
        <v>315</v>
      </c>
      <c r="I103" s="213" t="s">
        <v>350</v>
      </c>
      <c r="J103" s="234">
        <v>626</v>
      </c>
      <c r="K103" s="238" t="s">
        <v>282</v>
      </c>
      <c r="L103" s="215">
        <v>16912722</v>
      </c>
      <c r="M103" s="215" t="s">
        <v>404</v>
      </c>
      <c r="N103" s="215" t="s">
        <v>409</v>
      </c>
    </row>
    <row r="104" spans="1:14" ht="15" customHeight="1" x14ac:dyDescent="0.2">
      <c r="A104" s="231">
        <v>448034</v>
      </c>
      <c r="B104" s="216" t="str">
        <f t="shared" si="3"/>
        <v>4480343</v>
      </c>
      <c r="C104" s="232">
        <v>16912722</v>
      </c>
      <c r="D104" s="213" t="s">
        <v>352</v>
      </c>
      <c r="E104" s="213" t="s">
        <v>313</v>
      </c>
      <c r="F104" s="213" t="s">
        <v>314</v>
      </c>
      <c r="G104" s="233">
        <v>45658</v>
      </c>
      <c r="H104" s="213" t="s">
        <v>315</v>
      </c>
      <c r="I104" s="213" t="s">
        <v>350</v>
      </c>
      <c r="J104" s="234">
        <v>626</v>
      </c>
      <c r="K104" s="238" t="s">
        <v>282</v>
      </c>
      <c r="L104" s="215">
        <v>16912722</v>
      </c>
      <c r="M104" s="215" t="s">
        <v>404</v>
      </c>
      <c r="N104" s="215" t="s">
        <v>409</v>
      </c>
    </row>
    <row r="105" spans="1:14" ht="15" customHeight="1" x14ac:dyDescent="0.2">
      <c r="A105" s="231">
        <v>447701</v>
      </c>
      <c r="B105" s="216" t="str">
        <f t="shared" si="3"/>
        <v>4477013</v>
      </c>
      <c r="C105" s="232">
        <v>16912722</v>
      </c>
      <c r="D105" s="213" t="s">
        <v>353</v>
      </c>
      <c r="E105" s="213" t="s">
        <v>313</v>
      </c>
      <c r="F105" s="213" t="s">
        <v>314</v>
      </c>
      <c r="G105" s="233">
        <v>45658</v>
      </c>
      <c r="H105" s="213" t="s">
        <v>315</v>
      </c>
      <c r="I105" s="213" t="s">
        <v>350</v>
      </c>
      <c r="J105" s="234">
        <v>626</v>
      </c>
      <c r="K105" s="238" t="s">
        <v>282</v>
      </c>
      <c r="L105" s="215">
        <v>16912722</v>
      </c>
      <c r="M105" s="215" t="s">
        <v>404</v>
      </c>
      <c r="N105" s="215" t="s">
        <v>409</v>
      </c>
    </row>
    <row r="106" spans="1:14" ht="15" customHeight="1" x14ac:dyDescent="0.2">
      <c r="A106" s="216">
        <v>448301</v>
      </c>
      <c r="B106" s="216" t="str">
        <f t="shared" si="3"/>
        <v>4483013</v>
      </c>
      <c r="C106" s="220">
        <v>16633294</v>
      </c>
      <c r="D106" s="213" t="s">
        <v>402</v>
      </c>
      <c r="E106" s="213" t="s">
        <v>300</v>
      </c>
      <c r="F106" s="213"/>
      <c r="G106" s="223">
        <v>45658</v>
      </c>
      <c r="H106" s="213" t="s">
        <v>297</v>
      </c>
      <c r="I106" s="213" t="s">
        <v>348</v>
      </c>
      <c r="J106" s="222">
        <v>626</v>
      </c>
      <c r="K106" s="215" t="s">
        <v>283</v>
      </c>
      <c r="L106" s="215">
        <v>16633294</v>
      </c>
      <c r="M106" s="215" t="s">
        <v>404</v>
      </c>
      <c r="N106" s="215" t="s">
        <v>409</v>
      </c>
    </row>
  </sheetData>
  <sortState xmlns:xlrd2="http://schemas.microsoft.com/office/spreadsheetml/2017/richdata2" ref="A35:AQ106">
    <sortCondition ref="J35:J1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FormActionServlet</dc:title>
  <cp:lastModifiedBy>Cabel, Denisse Raeka</cp:lastModifiedBy>
  <dcterms:created xsi:type="dcterms:W3CDTF">2025-03-20T15:56:00Z</dcterms:created>
  <dcterms:modified xsi:type="dcterms:W3CDTF">2025-03-26T14:57:45Z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Microsoft: Print To PDF</vt:lpwstr>
  </property>
</Properties>
</file>