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Essence\March\"/>
    </mc:Choice>
  </mc:AlternateContent>
  <xr:revisionPtr revIDLastSave="0" documentId="13_ncr:1_{03BE7AD1-9D13-4A69-98E9-A6F38C821A21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Table 1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B7" i="2" l="1"/>
  <c r="B6" i="2"/>
  <c r="B5" i="2"/>
  <c r="B3" i="2"/>
  <c r="B4" i="2"/>
  <c r="B2" i="2"/>
</calcChain>
</file>

<file path=xl/sharedStrings.xml><?xml version="1.0" encoding="utf-8"?>
<sst xmlns="http://schemas.openxmlformats.org/spreadsheetml/2006/main" count="165" uniqueCount="96">
  <si>
    <r>
      <rPr>
        <sz val="9"/>
        <color rgb="FF010101"/>
        <rFont val="Arial"/>
        <family val="2"/>
      </rPr>
      <t>SUMMARY</t>
    </r>
  </si>
  <si>
    <r>
      <rPr>
        <sz val="8.5"/>
        <color rgb="FF010101"/>
        <rFont val="Arial"/>
        <family val="2"/>
      </rPr>
      <t xml:space="preserve">Amount
</t>
    </r>
    <r>
      <rPr>
        <sz val="8.5"/>
        <color rgb="FF010101"/>
        <rFont val="Arial"/>
        <family val="2"/>
      </rPr>
      <t>($662</t>
    </r>
    <r>
      <rPr>
        <sz val="8.5"/>
        <color rgb="FF5D5D5D"/>
        <rFont val="Arial"/>
        <family val="2"/>
      </rPr>
      <t>.</t>
    </r>
    <r>
      <rPr>
        <sz val="8.5"/>
        <color rgb="FF010101"/>
        <rFont val="Arial"/>
        <family val="2"/>
      </rPr>
      <t xml:space="preserve">33)
</t>
    </r>
    <r>
      <rPr>
        <sz val="8.5"/>
        <color rgb="FF010101"/>
        <rFont val="Arial"/>
        <family val="2"/>
      </rPr>
      <t>$0.00</t>
    </r>
  </si>
  <si>
    <r>
      <rPr>
        <sz val="8.5"/>
        <color rgb="FF010101"/>
        <rFont val="Arial"/>
        <family val="2"/>
      </rPr>
      <t xml:space="preserve">Payable Regular Commissions:
</t>
    </r>
    <r>
      <rPr>
        <sz val="8.5"/>
        <color rgb="FF010101"/>
        <rFont val="Arial"/>
        <family val="2"/>
      </rPr>
      <t>New Enrollment Commissions Renewal Commissions</t>
    </r>
  </si>
  <si>
    <r>
      <rPr>
        <sz val="8.5"/>
        <color rgb="FF010101"/>
        <rFont val="Arial"/>
        <family val="2"/>
      </rPr>
      <t>Regular Commissions Sub-Totals:</t>
    </r>
  </si>
  <si>
    <r>
      <rPr>
        <sz val="8.5"/>
        <color rgb="FF010101"/>
        <rFont val="Arial"/>
        <family val="2"/>
      </rPr>
      <t xml:space="preserve">Total Commissions:                                                                                                       </t>
    </r>
    <r>
      <rPr>
        <vertAlign val="subscript"/>
        <sz val="8.5"/>
        <color rgb="FF010101"/>
        <rFont val="Arial"/>
        <family val="2"/>
      </rPr>
      <t xml:space="preserve">($662.33)
</t>
    </r>
    <r>
      <rPr>
        <b/>
        <sz val="10"/>
        <color rgb="FF010101"/>
        <rFont val="Arial"/>
        <family val="2"/>
      </rPr>
      <t xml:space="preserve">SUMMARY  </t>
    </r>
    <r>
      <rPr>
        <sz val="10"/>
        <color rgb="FF010101"/>
        <rFont val="Arial"/>
        <family val="2"/>
      </rPr>
      <t>TOTALS</t>
    </r>
  </si>
  <si>
    <r>
      <rPr>
        <sz val="8.5"/>
        <color rgb="FF010101"/>
        <rFont val="Arial"/>
        <family val="2"/>
      </rPr>
      <t>Beginning Balance Forward:</t>
    </r>
  </si>
  <si>
    <r>
      <rPr>
        <sz val="8.5"/>
        <color rgb="FF010101"/>
        <rFont val="Arial"/>
        <family val="2"/>
      </rPr>
      <t>Commission  Activity:</t>
    </r>
  </si>
  <si>
    <r>
      <rPr>
        <sz val="8.5"/>
        <color rgb="FF010101"/>
        <rFont val="Arial"/>
        <family val="2"/>
      </rPr>
      <t>Bonuses:</t>
    </r>
  </si>
  <si>
    <r>
      <rPr>
        <sz val="8.5"/>
        <color rgb="FF010101"/>
        <rFont val="Arial"/>
        <family val="2"/>
      </rPr>
      <t>Manual Adjustments:</t>
    </r>
  </si>
  <si>
    <r>
      <rPr>
        <sz val="8.5"/>
        <color rgb="FF010101"/>
        <rFont val="Arial"/>
        <family val="2"/>
      </rPr>
      <t>Total Commissions:</t>
    </r>
  </si>
  <si>
    <r>
      <rPr>
        <sz val="8.5"/>
        <color rgb="FF010101"/>
        <rFont val="Arial"/>
        <family val="2"/>
      </rPr>
      <t>Amount to Pay:</t>
    </r>
  </si>
  <si>
    <r>
      <rPr>
        <sz val="8.5"/>
        <color rgb="FF010101"/>
        <rFont val="Arial"/>
        <family val="2"/>
      </rPr>
      <t>Ending Balance Forward:</t>
    </r>
  </si>
  <si>
    <r>
      <rPr>
        <b/>
        <sz val="9.5"/>
        <color rgb="FF010101"/>
        <rFont val="Arial"/>
        <family val="2"/>
      </rPr>
      <t xml:space="preserve">Writing Agent                                   </t>
    </r>
    <r>
      <rPr>
        <b/>
        <sz val="10"/>
        <color rgb="FF010101"/>
        <rFont val="Times New Roman"/>
        <family val="1"/>
      </rPr>
      <t xml:space="preserve">2158366                                      </t>
    </r>
    <r>
      <rPr>
        <b/>
        <sz val="9.5"/>
        <color rgb="FF010101"/>
        <rFont val="Arial"/>
        <family val="2"/>
      </rPr>
      <t>Horn, Jeffrey</t>
    </r>
  </si>
  <si>
    <r>
      <rPr>
        <b/>
        <sz val="9.5"/>
        <color rgb="FF010101"/>
        <rFont val="Arial"/>
        <family val="2"/>
      </rPr>
      <t>New Enrollment</t>
    </r>
  </si>
  <si>
    <r>
      <rPr>
        <b/>
        <sz val="8.5"/>
        <color rgb="FF010101"/>
        <rFont val="Arial"/>
        <family val="2"/>
      </rPr>
      <t>Member ID</t>
    </r>
  </si>
  <si>
    <r>
      <rPr>
        <b/>
        <sz val="8.5"/>
        <color rgb="FF010101"/>
        <rFont val="Arial"/>
        <family val="2"/>
      </rPr>
      <t>Writing ID</t>
    </r>
  </si>
  <si>
    <r>
      <rPr>
        <b/>
        <sz val="8.5"/>
        <color rgb="FF010101"/>
        <rFont val="Arial"/>
        <family val="2"/>
      </rPr>
      <t>Name</t>
    </r>
  </si>
  <si>
    <r>
      <rPr>
        <b/>
        <sz val="8.5"/>
        <color rgb="FF010101"/>
        <rFont val="Arial"/>
        <family val="2"/>
      </rPr>
      <t>Product</t>
    </r>
  </si>
  <si>
    <r>
      <rPr>
        <b/>
        <sz val="8.5"/>
        <color rgb="FF010101"/>
        <rFont val="Arial"/>
        <family val="2"/>
      </rPr>
      <t>Policy State</t>
    </r>
  </si>
  <si>
    <r>
      <rPr>
        <b/>
        <sz val="8.5"/>
        <color rgb="FF010101"/>
        <rFont val="Arial"/>
        <family val="2"/>
      </rPr>
      <t>Effective Date</t>
    </r>
  </si>
  <si>
    <r>
      <rPr>
        <b/>
        <sz val="8.5"/>
        <color rgb="FF010101"/>
        <rFont val="Arial"/>
        <family val="2"/>
      </rPr>
      <t>Term Date</t>
    </r>
  </si>
  <si>
    <r>
      <rPr>
        <b/>
        <sz val="8.5"/>
        <color rgb="FF010101"/>
        <rFont val="Arial"/>
        <family val="2"/>
      </rPr>
      <t>Term Code</t>
    </r>
  </si>
  <si>
    <r>
      <rPr>
        <b/>
        <sz val="8.5"/>
        <color rgb="FF010101"/>
        <rFont val="Arial"/>
        <family val="2"/>
      </rPr>
      <t>Period</t>
    </r>
  </si>
  <si>
    <r>
      <rPr>
        <b/>
        <sz val="8.5"/>
        <color rgb="FF010101"/>
        <rFont val="Arial"/>
        <family val="2"/>
      </rPr>
      <t>CMS Payment Type</t>
    </r>
  </si>
  <si>
    <r>
      <rPr>
        <b/>
        <sz val="8.5"/>
        <color rgb="FF010101"/>
        <rFont val="Arial"/>
        <family val="2"/>
      </rPr>
      <t>Retro</t>
    </r>
  </si>
  <si>
    <r>
      <rPr>
        <b/>
        <sz val="8.5"/>
        <color rgb="FF010101"/>
        <rFont val="Arial"/>
        <family val="2"/>
      </rPr>
      <t>Commission Amount</t>
    </r>
  </si>
  <si>
    <r>
      <rPr>
        <sz val="7.5"/>
        <color rgb="FF010101"/>
        <rFont val="Arial"/>
        <family val="2"/>
      </rPr>
      <t>Bauer, Dorothy</t>
    </r>
  </si>
  <si>
    <r>
      <rPr>
        <sz val="7.5"/>
        <color rgb="FF0F0F0F"/>
        <rFont val="Arial"/>
        <family val="2"/>
      </rPr>
      <t>MA</t>
    </r>
  </si>
  <si>
    <r>
      <rPr>
        <sz val="7.5"/>
        <color rgb="FF010101"/>
        <rFont val="Arial"/>
        <family val="2"/>
      </rPr>
      <t>IL</t>
    </r>
  </si>
  <si>
    <r>
      <rPr>
        <sz val="7.5"/>
        <color rgb="FF010101"/>
        <rFont val="Arial"/>
        <family val="2"/>
      </rPr>
      <t>02/2025</t>
    </r>
  </si>
  <si>
    <r>
      <rPr>
        <sz val="7.5"/>
        <color rgb="FF0F0F0F"/>
        <rFont val="Arial"/>
        <family val="2"/>
      </rPr>
      <t>Initial</t>
    </r>
  </si>
  <si>
    <r>
      <rPr>
        <sz val="8.5"/>
        <color rgb="FF0F0F0F"/>
        <rFont val="Times New Roman"/>
        <family val="1"/>
      </rPr>
      <t>y</t>
    </r>
  </si>
  <si>
    <r>
      <rPr>
        <sz val="7.5"/>
        <color rgb="FF010101"/>
        <rFont val="Arial"/>
        <family val="2"/>
      </rPr>
      <t>Bauer</t>
    </r>
    <r>
      <rPr>
        <sz val="7.5"/>
        <color rgb="FF363636"/>
        <rFont val="Arial"/>
        <family val="2"/>
      </rPr>
      <t xml:space="preserve">, </t>
    </r>
    <r>
      <rPr>
        <sz val="7.5"/>
        <color rgb="FF010101"/>
        <rFont val="Arial"/>
        <family val="2"/>
      </rPr>
      <t>Dorothy</t>
    </r>
  </si>
  <si>
    <r>
      <rPr>
        <sz val="7.5"/>
        <color rgb="FF010101"/>
        <rFont val="Arial"/>
        <family val="2"/>
      </rPr>
      <t>03/2025</t>
    </r>
  </si>
  <si>
    <r>
      <rPr>
        <sz val="7.5"/>
        <color rgb="FF010101"/>
        <rFont val="Arial"/>
        <family val="2"/>
      </rPr>
      <t>Initial</t>
    </r>
  </si>
  <si>
    <r>
      <rPr>
        <sz val="7.5"/>
        <color rgb="FF0F0F0F"/>
        <rFont val="Arial"/>
        <family val="2"/>
      </rPr>
      <t>N</t>
    </r>
  </si>
  <si>
    <r>
      <rPr>
        <b/>
        <sz val="8.5"/>
        <color rgb="FF010101"/>
        <rFont val="Arial"/>
        <family val="2"/>
      </rPr>
      <t>Total for New Enrollments: Horn, Jeffrey</t>
    </r>
  </si>
  <si>
    <r>
      <rPr>
        <b/>
        <sz val="8.5"/>
        <color rgb="FFCD0707"/>
        <rFont val="Arial"/>
        <family val="2"/>
      </rPr>
      <t xml:space="preserve">($35.00)
</t>
    </r>
    <r>
      <rPr>
        <b/>
        <sz val="8.5"/>
        <color rgb="FFCD0707"/>
        <rFont val="Arial"/>
        <family val="2"/>
      </rPr>
      <t>($35.00)</t>
    </r>
  </si>
  <si>
    <r>
      <rPr>
        <b/>
        <sz val="8.5"/>
        <color rgb="FF010101"/>
        <rFont val="Arial"/>
        <family val="2"/>
      </rPr>
      <t>Total for Writing Agent        2158366</t>
    </r>
  </si>
  <si>
    <r>
      <rPr>
        <sz val="8.5"/>
        <color rgb="FF030303"/>
        <rFont val="Arial"/>
        <family val="2"/>
      </rPr>
      <t>Member ID</t>
    </r>
  </si>
  <si>
    <r>
      <rPr>
        <sz val="8.5"/>
        <color rgb="FF030303"/>
        <rFont val="Arial"/>
        <family val="2"/>
      </rPr>
      <t>Writing ID</t>
    </r>
  </si>
  <si>
    <r>
      <rPr>
        <sz val="8.5"/>
        <color rgb="FF030303"/>
        <rFont val="Arial"/>
        <family val="2"/>
      </rPr>
      <t>Name</t>
    </r>
  </si>
  <si>
    <r>
      <rPr>
        <sz val="8.5"/>
        <color rgb="FF030303"/>
        <rFont val="Arial"/>
        <family val="2"/>
      </rPr>
      <t>Product</t>
    </r>
  </si>
  <si>
    <r>
      <rPr>
        <sz val="8.5"/>
        <color rgb="FF030303"/>
        <rFont val="Arial"/>
        <family val="2"/>
      </rPr>
      <t xml:space="preserve">Policy
</t>
    </r>
    <r>
      <rPr>
        <sz val="8.5"/>
        <color rgb="FF030303"/>
        <rFont val="Arial"/>
        <family val="2"/>
      </rPr>
      <t>State</t>
    </r>
  </si>
  <si>
    <r>
      <rPr>
        <sz val="8.5"/>
        <color rgb="FF030303"/>
        <rFont val="Arial"/>
        <family val="2"/>
      </rPr>
      <t xml:space="preserve">Effective
</t>
    </r>
    <r>
      <rPr>
        <sz val="8.5"/>
        <color rgb="FF030303"/>
        <rFont val="Arial"/>
        <family val="2"/>
      </rPr>
      <t>Date</t>
    </r>
  </si>
  <si>
    <r>
      <rPr>
        <sz val="8.5"/>
        <color rgb="FF030303"/>
        <rFont val="Arial"/>
        <family val="2"/>
      </rPr>
      <t>Term Date</t>
    </r>
  </si>
  <si>
    <r>
      <rPr>
        <sz val="8.5"/>
        <color rgb="FF030303"/>
        <rFont val="Arial"/>
        <family val="2"/>
      </rPr>
      <t>Term Code</t>
    </r>
  </si>
  <si>
    <r>
      <rPr>
        <sz val="8.5"/>
        <color rgb="FF030303"/>
        <rFont val="Arial"/>
        <family val="2"/>
      </rPr>
      <t>Period</t>
    </r>
  </si>
  <si>
    <r>
      <rPr>
        <sz val="8.5"/>
        <color rgb="FF030303"/>
        <rFont val="Arial"/>
        <family val="2"/>
      </rPr>
      <t xml:space="preserve">CMS Payment
</t>
    </r>
    <r>
      <rPr>
        <sz val="8.5"/>
        <color rgb="FF030303"/>
        <rFont val="Arial"/>
        <family val="2"/>
      </rPr>
      <t>Type</t>
    </r>
  </si>
  <si>
    <r>
      <rPr>
        <sz val="8.5"/>
        <color rgb="FF030303"/>
        <rFont val="Arial"/>
        <family val="2"/>
      </rPr>
      <t>Retro</t>
    </r>
  </si>
  <si>
    <r>
      <rPr>
        <sz val="8.5"/>
        <color rgb="FF030303"/>
        <rFont val="Arial"/>
        <family val="2"/>
      </rPr>
      <t xml:space="preserve">Commission
</t>
    </r>
    <r>
      <rPr>
        <sz val="8.5"/>
        <color rgb="FF030303"/>
        <rFont val="Arial"/>
        <family val="2"/>
      </rPr>
      <t>Amount</t>
    </r>
  </si>
  <si>
    <r>
      <rPr>
        <sz val="7.5"/>
        <color rgb="FF030303"/>
        <rFont val="Arial"/>
        <family val="2"/>
      </rPr>
      <t>Arnouil</t>
    </r>
    <r>
      <rPr>
        <sz val="7.5"/>
        <color rgb="FF383838"/>
        <rFont val="Arial"/>
        <family val="2"/>
      </rPr>
      <t xml:space="preserve">, </t>
    </r>
    <r>
      <rPr>
        <sz val="7.5"/>
        <color rgb="FF030303"/>
        <rFont val="Arial"/>
        <family val="2"/>
      </rPr>
      <t>Janet</t>
    </r>
  </si>
  <si>
    <r>
      <rPr>
        <sz val="7.5"/>
        <color rgb="FF030303"/>
        <rFont val="Arial"/>
        <family val="2"/>
      </rPr>
      <t>MA</t>
    </r>
  </si>
  <si>
    <r>
      <rPr>
        <sz val="7.5"/>
        <color rgb="FF030303"/>
        <rFont val="Arial"/>
        <family val="2"/>
      </rPr>
      <t>IL</t>
    </r>
  </si>
  <si>
    <r>
      <rPr>
        <sz val="7.5"/>
        <color rgb="FF030303"/>
        <rFont val="Arial"/>
        <family val="2"/>
      </rPr>
      <t>01/2025</t>
    </r>
  </si>
  <si>
    <r>
      <rPr>
        <sz val="7.5"/>
        <color rgb="FF030303"/>
        <rFont val="Arial"/>
        <family val="2"/>
      </rPr>
      <t>New to Plan</t>
    </r>
  </si>
  <si>
    <r>
      <rPr>
        <sz val="8"/>
        <color rgb="FF030303"/>
        <rFont val="Times New Roman"/>
        <family val="1"/>
      </rPr>
      <t>y</t>
    </r>
  </si>
  <si>
    <r>
      <rPr>
        <sz val="8.5"/>
        <color rgb="FF030303"/>
        <rFont val="Arial"/>
        <family val="2"/>
      </rPr>
      <t xml:space="preserve">Total for New Enrollments:
</t>
    </r>
    <r>
      <rPr>
        <sz val="8.5"/>
        <color rgb="FF030303"/>
        <rFont val="Arial"/>
        <family val="2"/>
      </rPr>
      <t>Portugal, Stacey</t>
    </r>
  </si>
  <si>
    <r>
      <rPr>
        <sz val="8.5"/>
        <color rgb="FFCC0505"/>
        <rFont val="Arial"/>
        <family val="2"/>
      </rPr>
      <t>($210</t>
    </r>
    <r>
      <rPr>
        <sz val="8.5"/>
        <color rgb="FFD42F2F"/>
        <rFont val="Arial"/>
        <family val="2"/>
      </rPr>
      <t>.</t>
    </r>
    <r>
      <rPr>
        <sz val="8.5"/>
        <color rgb="FFCC0505"/>
        <rFont val="Arial"/>
        <family val="2"/>
      </rPr>
      <t xml:space="preserve">00)
</t>
    </r>
    <r>
      <rPr>
        <sz val="8.5"/>
        <color rgb="FFCC0505"/>
        <rFont val="Arial"/>
        <family val="2"/>
      </rPr>
      <t>($210.00)</t>
    </r>
  </si>
  <si>
    <r>
      <rPr>
        <sz val="8.5"/>
        <color rgb="FF030303"/>
        <rFont val="Arial"/>
        <family val="2"/>
      </rPr>
      <t>Total for Writing Agent       19645587</t>
    </r>
  </si>
  <si>
    <r>
      <rPr>
        <b/>
        <sz val="8.5"/>
        <color rgb="FF030303"/>
        <rFont val="Arial"/>
        <family val="2"/>
      </rPr>
      <t xml:space="preserve">Member </t>
    </r>
    <r>
      <rPr>
        <sz val="8.5"/>
        <color rgb="FF030303"/>
        <rFont val="Arial"/>
        <family val="2"/>
      </rPr>
      <t>ID</t>
    </r>
  </si>
  <si>
    <r>
      <rPr>
        <b/>
        <sz val="8.5"/>
        <color rgb="FF030303"/>
        <rFont val="Arial"/>
        <family val="2"/>
      </rPr>
      <t>Writing ID</t>
    </r>
  </si>
  <si>
    <r>
      <rPr>
        <b/>
        <sz val="8.5"/>
        <color rgb="FF030303"/>
        <rFont val="Arial"/>
        <family val="2"/>
      </rPr>
      <t>Name</t>
    </r>
  </si>
  <si>
    <r>
      <rPr>
        <b/>
        <sz val="8.5"/>
        <color rgb="FF030303"/>
        <rFont val="Arial"/>
        <family val="2"/>
      </rPr>
      <t>Product</t>
    </r>
  </si>
  <si>
    <r>
      <rPr>
        <b/>
        <sz val="8.5"/>
        <color rgb="FF030303"/>
        <rFont val="Arial"/>
        <family val="2"/>
      </rPr>
      <t>Policy State</t>
    </r>
  </si>
  <si>
    <r>
      <rPr>
        <b/>
        <sz val="8.5"/>
        <color rgb="FF030303"/>
        <rFont val="Arial"/>
        <family val="2"/>
      </rPr>
      <t>Effective Date</t>
    </r>
  </si>
  <si>
    <r>
      <rPr>
        <b/>
        <sz val="8.5"/>
        <color rgb="FF030303"/>
        <rFont val="Arial"/>
        <family val="2"/>
      </rPr>
      <t>Term Date</t>
    </r>
  </si>
  <si>
    <r>
      <rPr>
        <b/>
        <sz val="8.5"/>
        <color rgb="FF030303"/>
        <rFont val="Arial"/>
        <family val="2"/>
      </rPr>
      <t>Term Code</t>
    </r>
  </si>
  <si>
    <r>
      <rPr>
        <b/>
        <sz val="8.5"/>
        <color rgb="FF030303"/>
        <rFont val="Arial"/>
        <family val="2"/>
      </rPr>
      <t>Period</t>
    </r>
  </si>
  <si>
    <r>
      <rPr>
        <b/>
        <sz val="8.5"/>
        <color rgb="FF030303"/>
        <rFont val="Arial"/>
        <family val="2"/>
      </rPr>
      <t>CMS Payment Type</t>
    </r>
  </si>
  <si>
    <r>
      <rPr>
        <b/>
        <sz val="8.5"/>
        <color rgb="FF030303"/>
        <rFont val="Arial"/>
        <family val="2"/>
      </rPr>
      <t>Retro</t>
    </r>
  </si>
  <si>
    <r>
      <rPr>
        <b/>
        <sz val="8.5"/>
        <color rgb="FF030303"/>
        <rFont val="Arial"/>
        <family val="2"/>
      </rPr>
      <t>Commission Amount</t>
    </r>
  </si>
  <si>
    <r>
      <rPr>
        <sz val="7.5"/>
        <color rgb="FF030303"/>
        <rFont val="Arial"/>
        <family val="2"/>
      </rPr>
      <t>Bauer</t>
    </r>
    <r>
      <rPr>
        <sz val="7.5"/>
        <color rgb="FF3B3B3B"/>
        <rFont val="Arial"/>
        <family val="2"/>
      </rPr>
      <t xml:space="preserve">, </t>
    </r>
    <r>
      <rPr>
        <sz val="7.5"/>
        <color rgb="FF030303"/>
        <rFont val="Arial"/>
        <family val="2"/>
      </rPr>
      <t>Dorothy</t>
    </r>
  </si>
  <si>
    <r>
      <rPr>
        <sz val="7.5"/>
        <color rgb="FF030303"/>
        <rFont val="Arial"/>
        <family val="2"/>
      </rPr>
      <t>02/2025</t>
    </r>
  </si>
  <si>
    <r>
      <rPr>
        <sz val="7.5"/>
        <color rgb="FF030303"/>
        <rFont val="Arial"/>
        <family val="2"/>
      </rPr>
      <t>Initial</t>
    </r>
  </si>
  <si>
    <r>
      <rPr>
        <sz val="7.5"/>
        <color rgb="FF030303"/>
        <rFont val="Arial"/>
        <family val="2"/>
      </rPr>
      <t>03/2025</t>
    </r>
  </si>
  <si>
    <r>
      <rPr>
        <sz val="7.5"/>
        <color rgb="FF030303"/>
        <rFont val="Arial"/>
        <family val="2"/>
      </rPr>
      <t>N</t>
    </r>
  </si>
  <si>
    <r>
      <rPr>
        <b/>
        <sz val="8.5"/>
        <color rgb="FF030303"/>
        <rFont val="Arial"/>
        <family val="2"/>
      </rPr>
      <t xml:space="preserve">Total for New Enrollments:
</t>
    </r>
    <r>
      <rPr>
        <b/>
        <sz val="8.5"/>
        <color rgb="FF030303"/>
        <rFont val="Arial"/>
        <family val="2"/>
      </rPr>
      <t>Horn, Jeffrey</t>
    </r>
  </si>
  <si>
    <r>
      <rPr>
        <b/>
        <sz val="8.5"/>
        <color rgb="FFCC0505"/>
        <rFont val="Arial"/>
        <family val="2"/>
      </rPr>
      <t>($104</t>
    </r>
    <r>
      <rPr>
        <b/>
        <sz val="8.5"/>
        <color rgb="FFD32626"/>
        <rFont val="Arial"/>
        <family val="2"/>
      </rPr>
      <t>.</t>
    </r>
    <r>
      <rPr>
        <b/>
        <sz val="8.5"/>
        <color rgb="FFCC0505"/>
        <rFont val="Arial"/>
        <family val="2"/>
      </rPr>
      <t xml:space="preserve">33)
</t>
    </r>
    <r>
      <rPr>
        <b/>
        <sz val="8.5"/>
        <color rgb="FFCC0505"/>
        <rFont val="Arial"/>
        <family val="2"/>
      </rPr>
      <t>($104</t>
    </r>
    <r>
      <rPr>
        <b/>
        <sz val="8.5"/>
        <color rgb="FFD32626"/>
        <rFont val="Arial"/>
        <family val="2"/>
      </rPr>
      <t>.</t>
    </r>
    <r>
      <rPr>
        <b/>
        <sz val="8.5"/>
        <color rgb="FFCC0505"/>
        <rFont val="Arial"/>
        <family val="2"/>
      </rPr>
      <t>33)</t>
    </r>
  </si>
  <si>
    <r>
      <rPr>
        <b/>
        <sz val="8.5"/>
        <color rgb="FF030303"/>
        <rFont val="Arial"/>
        <family val="2"/>
      </rPr>
      <t>Total for Writing Agent        2158366</t>
    </r>
  </si>
  <si>
    <r>
      <rPr>
        <sz val="8.5"/>
        <color rgb="FF030303"/>
        <rFont val="Arial"/>
        <family val="2"/>
      </rPr>
      <t>Policy State</t>
    </r>
  </si>
  <si>
    <r>
      <rPr>
        <sz val="8.5"/>
        <color rgb="FF030303"/>
        <rFont val="Arial"/>
        <family val="2"/>
      </rPr>
      <t>Effective Date</t>
    </r>
  </si>
  <si>
    <r>
      <rPr>
        <sz val="8.5"/>
        <color rgb="FF030303"/>
        <rFont val="Arial"/>
        <family val="2"/>
      </rPr>
      <t>CMS Payment Type</t>
    </r>
  </si>
  <si>
    <r>
      <rPr>
        <sz val="8.5"/>
        <color rgb="FF030303"/>
        <rFont val="Arial"/>
        <family val="2"/>
      </rPr>
      <t>Commission Amount</t>
    </r>
  </si>
  <si>
    <r>
      <rPr>
        <sz val="8.5"/>
        <color rgb="FF030303"/>
        <rFont val="Arial"/>
        <family val="2"/>
      </rPr>
      <t>Total for New Enrollments: Portugal, Stacey</t>
    </r>
  </si>
  <si>
    <r>
      <rPr>
        <sz val="8.5"/>
        <color rgb="FFCC0505"/>
        <rFont val="Arial"/>
        <family val="2"/>
      </rPr>
      <t>($313</t>
    </r>
    <r>
      <rPr>
        <sz val="8.5"/>
        <color rgb="FFD42F2F"/>
        <rFont val="Arial"/>
        <family val="2"/>
      </rPr>
      <t>.</t>
    </r>
    <r>
      <rPr>
        <sz val="8.5"/>
        <color rgb="FFCC0505"/>
        <rFont val="Arial"/>
        <family val="2"/>
      </rPr>
      <t xml:space="preserve">00)
</t>
    </r>
    <r>
      <rPr>
        <sz val="8.5"/>
        <color rgb="FFCC0505"/>
        <rFont val="Arial"/>
        <family val="2"/>
      </rPr>
      <t>($313.00)</t>
    </r>
  </si>
  <si>
    <r>
      <rPr>
        <sz val="11"/>
        <color rgb="FF030303"/>
        <rFont val="Arial"/>
        <family val="2"/>
      </rPr>
      <t xml:space="preserve">Total for Writing Agent       </t>
    </r>
    <r>
      <rPr>
        <sz val="11"/>
        <color rgb="FF030303"/>
        <rFont val="Courier New"/>
        <family val="3"/>
      </rPr>
      <t xml:space="preserve">19645587    </t>
    </r>
    <r>
      <rPr>
        <sz val="11"/>
        <color rgb="FF030303"/>
        <rFont val="Arial"/>
        <family val="2"/>
      </rPr>
      <t>Portugal, Stacey</t>
    </r>
  </si>
  <si>
    <t>Jeffrey Horn</t>
  </si>
  <si>
    <t>Stacey Portugal</t>
  </si>
  <si>
    <t>Main Line Benefits</t>
  </si>
  <si>
    <t>Essence MAPD OVR</t>
  </si>
  <si>
    <t>Essence MAPD 2025</t>
  </si>
  <si>
    <t>Essence MAPD 2025*</t>
  </si>
  <si>
    <t>[%/$=626]</t>
  </si>
  <si>
    <t>[%/$=313][prorate=12/12]</t>
  </si>
  <si>
    <t>[%/$=626][prorate=10/12]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</si>
</sst>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0.00_);\(\$0.00\)"/>
    <numFmt numFmtId="165" formatCode="\$0.00"/>
    <numFmt numFmtId="166" formatCode="000000000"/>
    <numFmt numFmtId="167" formatCode="mm/dd/yyyy;@"/>
  </numFmts>
  <fonts count="38" x14ac:knownFonts="1">
    <font>
      <sz val="10"/>
      <color rgb="FF000000"/>
      <name val="Times New Roman"/>
      <charset val="204"/>
    </font>
    <font>
      <sz val="9"/>
      <name val="Arial"/>
      <family val="2"/>
    </font>
    <font>
      <sz val="8.5"/>
      <name val="Arial"/>
      <family val="2"/>
    </font>
    <font>
      <sz val="8.5"/>
      <color rgb="FF010101"/>
      <name val="Arial"/>
      <family val="2"/>
    </font>
    <font>
      <sz val="8.5"/>
      <color rgb="FFFF0101"/>
      <name val="Arial"/>
      <family val="2"/>
    </font>
    <font>
      <b/>
      <sz val="9.5"/>
      <name val="Arial"/>
      <family val="2"/>
    </font>
    <font>
      <b/>
      <sz val="8.5"/>
      <name val="Arial"/>
      <family val="2"/>
    </font>
    <font>
      <sz val="7.5"/>
      <color rgb="FF010101"/>
      <name val="Arial"/>
      <family val="2"/>
    </font>
    <font>
      <sz val="7.5"/>
      <color rgb="FF0F0F0F"/>
      <name val="Arial"/>
      <family val="2"/>
    </font>
    <font>
      <sz val="7.5"/>
      <name val="Arial"/>
      <family val="2"/>
    </font>
    <font>
      <sz val="8.5"/>
      <name val="Times New Roman"/>
      <family val="1"/>
    </font>
    <font>
      <sz val="7.5"/>
      <color rgb="FFCD0707"/>
      <name val="Arial"/>
      <family val="2"/>
    </font>
    <font>
      <sz val="7.5"/>
      <color rgb="FF030303"/>
      <name val="Arial"/>
      <family val="2"/>
    </font>
    <font>
      <sz val="8"/>
      <name val="Times New Roman"/>
      <family val="1"/>
    </font>
    <font>
      <sz val="7.5"/>
      <color rgb="FFCC0505"/>
      <name val="Arial"/>
      <family val="2"/>
    </font>
    <font>
      <sz val="8.5"/>
      <color rgb="FFCC0505"/>
      <name val="Arial"/>
      <family val="2"/>
    </font>
    <font>
      <sz val="9"/>
      <color rgb="FF010101"/>
      <name val="Arial"/>
      <family val="2"/>
    </font>
    <font>
      <sz val="8.5"/>
      <color rgb="FF5D5D5D"/>
      <name val="Arial"/>
      <family val="2"/>
    </font>
    <font>
      <vertAlign val="subscript"/>
      <sz val="8.5"/>
      <color rgb="FF010101"/>
      <name val="Arial"/>
      <family val="2"/>
    </font>
    <font>
      <b/>
      <sz val="10"/>
      <color rgb="FF010101"/>
      <name val="Arial"/>
      <family val="2"/>
    </font>
    <font>
      <sz val="10"/>
      <color rgb="FF010101"/>
      <name val="Arial"/>
      <family val="2"/>
    </font>
    <font>
      <b/>
      <sz val="9.5"/>
      <color rgb="FF010101"/>
      <name val="Arial"/>
      <family val="2"/>
    </font>
    <font>
      <b/>
      <sz val="10"/>
      <color rgb="FF010101"/>
      <name val="Times New Roman"/>
      <family val="1"/>
    </font>
    <font>
      <b/>
      <sz val="8.5"/>
      <color rgb="FF010101"/>
      <name val="Arial"/>
      <family val="2"/>
    </font>
    <font>
      <sz val="8.5"/>
      <color rgb="FF0F0F0F"/>
      <name val="Times New Roman"/>
      <family val="1"/>
    </font>
    <font>
      <sz val="7.5"/>
      <color rgb="FF363636"/>
      <name val="Arial"/>
      <family val="2"/>
    </font>
    <font>
      <b/>
      <sz val="8.5"/>
      <color rgb="FFCD0707"/>
      <name val="Arial"/>
      <family val="2"/>
    </font>
    <font>
      <sz val="8.5"/>
      <color rgb="FF030303"/>
      <name val="Arial"/>
      <family val="2"/>
    </font>
    <font>
      <sz val="7.5"/>
      <color rgb="FF383838"/>
      <name val="Arial"/>
      <family val="2"/>
    </font>
    <font>
      <sz val="8"/>
      <color rgb="FF030303"/>
      <name val="Times New Roman"/>
      <family val="1"/>
    </font>
    <font>
      <sz val="8.5"/>
      <color rgb="FFD42F2F"/>
      <name val="Arial"/>
      <family val="2"/>
    </font>
    <font>
      <b/>
      <sz val="8.5"/>
      <color rgb="FF030303"/>
      <name val="Arial"/>
      <family val="2"/>
    </font>
    <font>
      <sz val="7.5"/>
      <color rgb="FF3B3B3B"/>
      <name val="Arial"/>
      <family val="2"/>
    </font>
    <font>
      <b/>
      <sz val="8.5"/>
      <color rgb="FFCC0505"/>
      <name val="Arial"/>
      <family val="2"/>
    </font>
    <font>
      <b/>
      <sz val="8.5"/>
      <color rgb="FFD32626"/>
      <name val="Arial"/>
      <family val="2"/>
    </font>
    <font>
      <sz val="11"/>
      <color rgb="FF030303"/>
      <name val="Arial"/>
      <family val="2"/>
    </font>
    <font>
      <sz val="11"/>
      <color rgb="FF030303"/>
      <name val="Courier New"/>
      <family val="3"/>
    </font>
    <font>
      <sz val="10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5BA3EF"/>
      </patternFill>
    </fill>
    <fill>
      <patternFill patternType="solid">
        <fgColor rgb="FFCADBCF"/>
      </patternFill>
    </fill>
    <fill>
      <patternFill patternType="solid">
        <fgColor rgb="FF91AA9C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7">
    <xf numFmtId="0" fontId="0" fillId="0" borderId="0" xfId="0" applyAlignment="1">
      <alignment horizontal="left" vertical="top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 indent="1"/>
    </xf>
    <xf numFmtId="0" fontId="6" fillId="0" borderId="2" xfId="0" applyFont="1" applyBorder="1" applyAlignment="1">
      <alignment horizontal="left" vertical="center" wrapText="1" indent="3"/>
    </xf>
    <xf numFmtId="0" fontId="6" fillId="0" borderId="2" xfId="0" applyFont="1" applyBorder="1" applyAlignment="1">
      <alignment horizontal="left" vertical="top" wrapText="1" indent="1"/>
    </xf>
    <xf numFmtId="0" fontId="6" fillId="0" borderId="2" xfId="0" applyFont="1" applyBorder="1" applyAlignment="1">
      <alignment horizontal="center" vertical="center" wrapText="1"/>
    </xf>
    <xf numFmtId="166" fontId="7" fillId="0" borderId="1" xfId="0" applyNumberFormat="1" applyFont="1" applyBorder="1" applyAlignment="1">
      <alignment horizontal="left" vertical="top" shrinkToFit="1"/>
    </xf>
    <xf numFmtId="1" fontId="8" fillId="0" borderId="1" xfId="0" applyNumberFormat="1" applyFont="1" applyBorder="1" applyAlignment="1">
      <alignment horizontal="left" vertical="top" indent="1" shrinkToFit="1"/>
    </xf>
    <xf numFmtId="0" fontId="9" fillId="0" borderId="1" xfId="0" applyFont="1" applyBorder="1" applyAlignment="1">
      <alignment horizontal="left" vertical="top" wrapText="1" indent="3"/>
    </xf>
    <xf numFmtId="0" fontId="9" fillId="0" borderId="1" xfId="0" applyFont="1" applyBorder="1" applyAlignment="1">
      <alignment horizontal="center" vertical="top" wrapText="1"/>
    </xf>
    <xf numFmtId="167" fontId="8" fillId="0" borderId="1" xfId="0" applyNumberFormat="1" applyFont="1" applyBorder="1" applyAlignment="1">
      <alignment horizontal="center" vertical="top" shrinkToFit="1"/>
    </xf>
    <xf numFmtId="1" fontId="8" fillId="0" borderId="1" xfId="0" applyNumberFormat="1" applyFont="1" applyBorder="1" applyAlignment="1">
      <alignment horizontal="center" vertical="top" shrinkToFit="1"/>
    </xf>
    <xf numFmtId="0" fontId="10" fillId="0" borderId="1" xfId="0" applyFont="1" applyBorder="1" applyAlignment="1">
      <alignment horizontal="center" vertical="top" wrapText="1"/>
    </xf>
    <xf numFmtId="166" fontId="7" fillId="3" borderId="0" xfId="0" applyNumberFormat="1" applyFont="1" applyFill="1" applyAlignment="1">
      <alignment horizontal="left" vertical="top" shrinkToFit="1"/>
    </xf>
    <xf numFmtId="1" fontId="8" fillId="3" borderId="0" xfId="0" applyNumberFormat="1" applyFont="1" applyFill="1" applyAlignment="1">
      <alignment horizontal="left" vertical="top" indent="1" shrinkToFit="1"/>
    </xf>
    <xf numFmtId="0" fontId="9" fillId="3" borderId="0" xfId="0" applyFont="1" applyFill="1" applyAlignment="1">
      <alignment horizontal="left" vertical="top" wrapText="1" indent="3"/>
    </xf>
    <xf numFmtId="0" fontId="9" fillId="3" borderId="0" xfId="0" applyFont="1" applyFill="1" applyAlignment="1">
      <alignment horizontal="center" vertical="top" wrapText="1"/>
    </xf>
    <xf numFmtId="167" fontId="7" fillId="3" borderId="0" xfId="0" applyNumberFormat="1" applyFont="1" applyFill="1" applyAlignment="1">
      <alignment horizontal="center" vertical="top" shrinkToFit="1"/>
    </xf>
    <xf numFmtId="0" fontId="0" fillId="3" borderId="0" xfId="0" applyFill="1" applyAlignment="1">
      <alignment horizontal="left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 indent="1"/>
    </xf>
    <xf numFmtId="0" fontId="2" fillId="0" borderId="2" xfId="0" applyFont="1" applyBorder="1" applyAlignment="1">
      <alignment horizontal="left" vertical="center" wrapText="1" indent="3"/>
    </xf>
    <xf numFmtId="0" fontId="0" fillId="0" borderId="2" xfId="0" applyBorder="1" applyAlignment="1">
      <alignment horizontal="center" vertical="top" wrapText="1"/>
    </xf>
    <xf numFmtId="0" fontId="2" fillId="0" borderId="2" xfId="0" applyFont="1" applyBorder="1" applyAlignment="1">
      <alignment horizontal="center" vertical="center" wrapText="1"/>
    </xf>
    <xf numFmtId="166" fontId="12" fillId="0" borderId="1" xfId="0" applyNumberFormat="1" applyFont="1" applyBorder="1" applyAlignment="1">
      <alignment horizontal="left" vertical="top" shrinkToFit="1"/>
    </xf>
    <xf numFmtId="1" fontId="12" fillId="0" borderId="1" xfId="0" applyNumberFormat="1" applyFont="1" applyBorder="1" applyAlignment="1">
      <alignment horizontal="left" vertical="top" indent="1" shrinkToFit="1"/>
    </xf>
    <xf numFmtId="167" fontId="12" fillId="0" borderId="1" xfId="0" applyNumberFormat="1" applyFont="1" applyBorder="1" applyAlignment="1">
      <alignment horizontal="left" vertical="top" indent="1" shrinkToFit="1"/>
    </xf>
    <xf numFmtId="1" fontId="12" fillId="0" borderId="1" xfId="0" applyNumberFormat="1" applyFont="1" applyBorder="1" applyAlignment="1">
      <alignment horizontal="center" vertical="top" shrinkToFit="1"/>
    </xf>
    <xf numFmtId="0" fontId="13" fillId="0" borderId="1" xfId="0" applyFont="1" applyBorder="1" applyAlignment="1">
      <alignment horizontal="center" vertical="top" wrapText="1"/>
    </xf>
    <xf numFmtId="0" fontId="0" fillId="0" borderId="2" xfId="0" applyBorder="1" applyAlignment="1">
      <alignment horizontal="left" vertical="center" wrapText="1"/>
    </xf>
    <xf numFmtId="0" fontId="0" fillId="0" borderId="1" xfId="0" applyBorder="1" applyAlignment="1">
      <alignment horizontal="left" wrapText="1"/>
    </xf>
    <xf numFmtId="166" fontId="12" fillId="3" borderId="0" xfId="0" applyNumberFormat="1" applyFont="1" applyFill="1" applyAlignment="1">
      <alignment horizontal="left" vertical="top" shrinkToFit="1"/>
    </xf>
    <xf numFmtId="1" fontId="12" fillId="3" borderId="0" xfId="0" applyNumberFormat="1" applyFont="1" applyFill="1" applyAlignment="1">
      <alignment horizontal="left" vertical="top" indent="1" shrinkToFit="1"/>
    </xf>
    <xf numFmtId="167" fontId="12" fillId="3" borderId="0" xfId="0" applyNumberFormat="1" applyFont="1" applyFill="1" applyAlignment="1">
      <alignment horizontal="center" vertical="top" shrinkToFit="1"/>
    </xf>
    <xf numFmtId="167" fontId="12" fillId="3" borderId="0" xfId="0" applyNumberFormat="1" applyFont="1" applyFill="1" applyAlignment="1">
      <alignment horizontal="left" vertical="top" indent="1" shrinkToFit="1"/>
    </xf>
    <xf numFmtId="1" fontId="12" fillId="3" borderId="0" xfId="0" applyNumberFormat="1" applyFont="1" applyFill="1" applyAlignment="1">
      <alignment horizontal="center" vertical="top" shrinkToFit="1"/>
    </xf>
    <xf numFmtId="0" fontId="13" fillId="3" borderId="0" xfId="0" applyFont="1" applyFill="1" applyAlignment="1">
      <alignment horizontal="center" vertical="top" wrapText="1"/>
    </xf>
    <xf numFmtId="166" fontId="12" fillId="0" borderId="0" xfId="0" applyNumberFormat="1" applyFont="1" applyAlignment="1">
      <alignment horizontal="left" vertical="top" shrinkToFit="1"/>
    </xf>
    <xf numFmtId="1" fontId="12" fillId="0" borderId="0" xfId="0" applyNumberFormat="1" applyFont="1" applyAlignment="1">
      <alignment horizontal="left" vertical="top" indent="1" shrinkToFit="1"/>
    </xf>
    <xf numFmtId="0" fontId="9" fillId="0" borderId="0" xfId="0" applyFont="1" applyAlignment="1">
      <alignment horizontal="left" vertical="top" wrapText="1" indent="3"/>
    </xf>
    <xf numFmtId="0" fontId="9" fillId="0" borderId="0" xfId="0" applyFont="1" applyAlignment="1">
      <alignment horizontal="center" vertical="top" wrapText="1"/>
    </xf>
    <xf numFmtId="167" fontId="12" fillId="0" borderId="0" xfId="0" applyNumberFormat="1" applyFont="1" applyAlignment="1">
      <alignment horizontal="center" vertical="top" shrinkToFit="1"/>
    </xf>
    <xf numFmtId="0" fontId="2" fillId="0" borderId="2" xfId="0" applyFont="1" applyBorder="1" applyAlignment="1">
      <alignment horizontal="left" vertical="top" wrapText="1" indent="1"/>
    </xf>
    <xf numFmtId="0" fontId="1" fillId="2" borderId="0" xfId="0" applyFont="1" applyFill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right" vertical="top" wrapText="1" indent="22"/>
    </xf>
    <xf numFmtId="0" fontId="0" fillId="0" borderId="0" xfId="0" applyAlignment="1">
      <alignment horizontal="left" vertical="top" wrapText="1" indent="17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  <xf numFmtId="0" fontId="2" fillId="0" borderId="0" xfId="0" applyFont="1" applyAlignment="1">
      <alignment horizontal="right" vertical="top" wrapText="1"/>
    </xf>
    <xf numFmtId="164" fontId="3" fillId="0" borderId="0" xfId="0" applyNumberFormat="1" applyFont="1" applyAlignment="1">
      <alignment horizontal="left" vertical="top" shrinkToFit="1"/>
    </xf>
    <xf numFmtId="0" fontId="0" fillId="0" borderId="0" xfId="0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165" fontId="3" fillId="0" borderId="0" xfId="0" applyNumberFormat="1" applyFont="1" applyAlignment="1">
      <alignment horizontal="right" vertical="top" shrinkToFit="1"/>
    </xf>
    <xf numFmtId="0" fontId="2" fillId="3" borderId="0" xfId="0" applyFont="1" applyFill="1" applyAlignment="1">
      <alignment horizontal="left" vertical="top" wrapText="1"/>
    </xf>
    <xf numFmtId="164" fontId="3" fillId="3" borderId="0" xfId="0" applyNumberFormat="1" applyFont="1" applyFill="1" applyAlignment="1">
      <alignment horizontal="right" vertical="top" shrinkToFit="1"/>
    </xf>
    <xf numFmtId="165" fontId="3" fillId="3" borderId="0" xfId="0" applyNumberFormat="1" applyFont="1" applyFill="1" applyAlignment="1">
      <alignment horizontal="right" vertical="top" shrinkToFit="1"/>
    </xf>
    <xf numFmtId="164" fontId="3" fillId="0" borderId="1" xfId="0" applyNumberFormat="1" applyFont="1" applyBorder="1" applyAlignment="1">
      <alignment horizontal="right" vertical="top" shrinkToFit="1"/>
    </xf>
    <xf numFmtId="0" fontId="2" fillId="0" borderId="0" xfId="0" applyFont="1" applyAlignment="1">
      <alignment horizontal="left" vertical="center" wrapText="1"/>
    </xf>
    <xf numFmtId="165" fontId="4" fillId="0" borderId="0" xfId="0" applyNumberFormat="1" applyFont="1" applyAlignment="1">
      <alignment horizontal="right" vertical="center" shrinkToFit="1"/>
    </xf>
    <xf numFmtId="164" fontId="4" fillId="0" borderId="0" xfId="0" applyNumberFormat="1" applyFont="1" applyAlignment="1">
      <alignment horizontal="right" vertical="top" shrinkToFit="1"/>
    </xf>
    <xf numFmtId="0" fontId="0" fillId="2" borderId="0" xfId="0" applyFill="1" applyAlignment="1">
      <alignment horizontal="left" vertical="top" wrapText="1" indent="1"/>
    </xf>
    <xf numFmtId="0" fontId="5" fillId="4" borderId="2" xfId="0" applyFont="1" applyFill="1" applyBorder="1" applyAlignment="1">
      <alignment horizontal="center" vertical="top" wrapText="1"/>
    </xf>
    <xf numFmtId="0" fontId="6" fillId="0" borderId="2" xfId="0" applyFont="1" applyBorder="1" applyAlignment="1">
      <alignment horizontal="left" vertical="center" wrapText="1" indent="1"/>
    </xf>
    <xf numFmtId="0" fontId="6" fillId="0" borderId="2" xfId="0" applyFont="1" applyBorder="1" applyAlignment="1">
      <alignment horizontal="left" vertical="top" wrapText="1" indent="1"/>
    </xf>
    <xf numFmtId="0" fontId="9" fillId="0" borderId="1" xfId="0" applyFont="1" applyBorder="1" applyAlignment="1">
      <alignment horizontal="left" vertical="top" wrapText="1" indent="1"/>
    </xf>
    <xf numFmtId="0" fontId="9" fillId="0" borderId="1" xfId="0" applyFont="1" applyBorder="1" applyAlignment="1">
      <alignment horizontal="center" vertical="top" wrapText="1"/>
    </xf>
    <xf numFmtId="167" fontId="8" fillId="0" borderId="1" xfId="0" applyNumberFormat="1" applyFont="1" applyBorder="1" applyAlignment="1">
      <alignment horizontal="left" vertical="top" indent="1" shrinkToFit="1"/>
    </xf>
    <xf numFmtId="164" fontId="11" fillId="0" borderId="1" xfId="0" applyNumberFormat="1" applyFont="1" applyBorder="1" applyAlignment="1">
      <alignment horizontal="left" vertical="top" indent="2" shrinkToFit="1"/>
    </xf>
    <xf numFmtId="0" fontId="9" fillId="3" borderId="0" xfId="0" applyFont="1" applyFill="1" applyAlignment="1">
      <alignment horizontal="left" vertical="top" wrapText="1" indent="1"/>
    </xf>
    <xf numFmtId="0" fontId="9" fillId="3" borderId="0" xfId="0" applyFont="1" applyFill="1" applyAlignment="1">
      <alignment horizontal="center" vertical="top" wrapText="1"/>
    </xf>
    <xf numFmtId="0" fontId="0" fillId="3" borderId="0" xfId="0" applyFill="1" applyAlignment="1">
      <alignment horizontal="left" wrapText="1"/>
    </xf>
    <xf numFmtId="165" fontId="8" fillId="3" borderId="0" xfId="0" applyNumberFormat="1" applyFont="1" applyFill="1" applyAlignment="1">
      <alignment horizontal="left" vertical="top" indent="3" shrinkToFit="1"/>
    </xf>
    <xf numFmtId="0" fontId="6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 indent="21"/>
    </xf>
    <xf numFmtId="0" fontId="2" fillId="0" borderId="2" xfId="0" applyFont="1" applyBorder="1" applyAlignment="1">
      <alignment horizontal="left" vertical="center" wrapText="1" indent="1"/>
    </xf>
    <xf numFmtId="0" fontId="0" fillId="0" borderId="2" xfId="0" applyBorder="1" applyAlignment="1">
      <alignment horizontal="left" vertical="top" wrapText="1" indent="1"/>
    </xf>
    <xf numFmtId="0" fontId="0" fillId="0" borderId="2" xfId="0" applyBorder="1" applyAlignment="1">
      <alignment horizontal="center" vertical="top" wrapText="1"/>
    </xf>
    <xf numFmtId="167" fontId="12" fillId="0" borderId="1" xfId="0" applyNumberFormat="1" applyFont="1" applyBorder="1" applyAlignment="1">
      <alignment horizontal="left" vertical="top" indent="1" shrinkToFit="1"/>
    </xf>
    <xf numFmtId="0" fontId="9" fillId="0" borderId="1" xfId="0" applyFont="1" applyBorder="1" applyAlignment="1">
      <alignment horizontal="left" vertical="top" wrapText="1" indent="2"/>
    </xf>
    <xf numFmtId="164" fontId="14" fillId="0" borderId="1" xfId="0" applyNumberFormat="1" applyFont="1" applyBorder="1" applyAlignment="1">
      <alignment horizontal="left" vertical="top" indent="2" shrinkToFit="1"/>
    </xf>
    <xf numFmtId="0" fontId="2" fillId="0" borderId="0" xfId="0" applyFont="1" applyAlignment="1">
      <alignment horizontal="left" vertical="top" wrapText="1" indent="20"/>
    </xf>
    <xf numFmtId="0" fontId="0" fillId="0" borderId="1" xfId="0" applyBorder="1" applyAlignment="1">
      <alignment horizontal="left" wrapText="1"/>
    </xf>
    <xf numFmtId="167" fontId="12" fillId="3" borderId="0" xfId="0" applyNumberFormat="1" applyFont="1" applyFill="1" applyAlignment="1">
      <alignment horizontal="left" vertical="top" indent="1" shrinkToFit="1"/>
    </xf>
    <xf numFmtId="164" fontId="14" fillId="3" borderId="0" xfId="0" applyNumberFormat="1" applyFont="1" applyFill="1" applyAlignment="1">
      <alignment horizontal="left" vertical="top" indent="2" shrinkToFit="1"/>
    </xf>
    <xf numFmtId="0" fontId="9" fillId="0" borderId="0" xfId="0" applyFont="1" applyAlignment="1">
      <alignment horizontal="left" vertical="top" wrapText="1" indent="1"/>
    </xf>
    <xf numFmtId="0" fontId="9" fillId="0" borderId="0" xfId="0" applyFont="1" applyAlignment="1">
      <alignment horizontal="center" vertical="top" wrapText="1"/>
    </xf>
    <xf numFmtId="165" fontId="12" fillId="0" borderId="0" xfId="0" applyNumberFormat="1" applyFont="1" applyAlignment="1">
      <alignment horizontal="left" vertical="top" indent="3" shrinkToFit="1"/>
    </xf>
    <xf numFmtId="0" fontId="2" fillId="0" borderId="2" xfId="0" applyFont="1" applyBorder="1" applyAlignment="1">
      <alignment horizontal="left" vertical="top" wrapText="1" indent="1"/>
    </xf>
    <xf numFmtId="167" fontId="12" fillId="3" borderId="0" xfId="0" applyNumberFormat="1" applyFont="1" applyFill="1" applyAlignment="1">
      <alignment horizontal="left" vertical="top" indent="2" shrinkToFit="1"/>
    </xf>
    <xf numFmtId="0" fontId="9" fillId="3" borderId="0" xfId="0" applyFont="1" applyFill="1" applyAlignment="1">
      <alignment horizontal="left" vertical="top" wrapText="1" indent="2"/>
    </xf>
    <xf numFmtId="0" fontId="0" fillId="0" borderId="0" xfId="0" applyAlignment="1">
      <alignment horizontal="left" vertical="top" wrapText="1" indent="11"/>
    </xf>
    <xf numFmtId="164" fontId="15" fillId="0" borderId="0" xfId="0" applyNumberFormat="1" applyFont="1" applyAlignment="1">
      <alignment horizontal="right" vertical="top" indent="5" shrinkToFit="1"/>
    </xf>
    <xf numFmtId="0" fontId="0" fillId="0" borderId="0" xfId="0"/>
    <xf numFmtId="0" fontId="6" fillId="0" borderId="0" xfId="0" applyFont="1" applyFill="1" applyBorder="1" applyAlignment="1">
      <alignment vertical="center" wrapText="1"/>
    </xf>
    <xf numFmtId="0" fontId="6" fillId="0" borderId="0" xfId="0" applyFont="1" applyFill="1" applyBorder="1" applyAlignment="1">
      <alignment vertical="top" wrapText="1"/>
    </xf>
    <xf numFmtId="0" fontId="0" fillId="0" borderId="0" xfId="0" applyFill="1" applyBorder="1" applyAlignment="1">
      <alignment horizontal="left" vertical="center" wrapText="1"/>
    </xf>
    <xf numFmtId="0" fontId="0" fillId="0" borderId="0" xfId="0" applyFill="1" applyBorder="1" applyAlignment="1">
      <alignment horizontal="left" vertical="top"/>
    </xf>
    <xf numFmtId="166" fontId="7" fillId="0" borderId="0" xfId="0" applyNumberFormat="1" applyFont="1" applyFill="1" applyBorder="1" applyAlignment="1">
      <alignment vertical="top" shrinkToFit="1"/>
    </xf>
    <xf numFmtId="1" fontId="8" fillId="0" borderId="0" xfId="0" applyNumberFormat="1" applyFont="1" applyFill="1" applyBorder="1" applyAlignment="1">
      <alignment vertical="top" shrinkToFit="1"/>
    </xf>
    <xf numFmtId="0" fontId="9" fillId="0" borderId="0" xfId="0" applyFont="1" applyFill="1" applyBorder="1" applyAlignment="1">
      <alignment vertical="top" wrapText="1"/>
    </xf>
    <xf numFmtId="167" fontId="8" fillId="0" borderId="0" xfId="0" applyNumberFormat="1" applyFont="1" applyFill="1" applyBorder="1" applyAlignment="1">
      <alignment vertical="top" shrinkToFit="1"/>
    </xf>
    <xf numFmtId="164" fontId="11" fillId="0" borderId="0" xfId="0" applyNumberFormat="1" applyFont="1" applyFill="1" applyBorder="1" applyAlignment="1">
      <alignment vertical="top" shrinkToFit="1"/>
    </xf>
    <xf numFmtId="0" fontId="37" fillId="0" borderId="0" xfId="0" applyFont="1" applyFill="1" applyBorder="1" applyAlignment="1">
      <alignment vertical="center" wrapText="1"/>
    </xf>
    <xf numFmtId="0" fontId="0" fillId="0" borderId="0" xfId="0" applyFill="1" applyBorder="1"/>
    <xf numFmtId="167" fontId="7" fillId="0" borderId="0" xfId="0" applyNumberFormat="1" applyFont="1" applyFill="1" applyBorder="1" applyAlignment="1">
      <alignment vertical="top" shrinkToFit="1"/>
    </xf>
    <xf numFmtId="165" fontId="8" fillId="0" borderId="0" xfId="0" applyNumberFormat="1" applyFont="1" applyFill="1" applyBorder="1" applyAlignment="1">
      <alignment vertical="top" shrinkToFit="1"/>
    </xf>
    <xf numFmtId="166" fontId="12" fillId="0" borderId="0" xfId="0" applyNumberFormat="1" applyFont="1" applyFill="1" applyBorder="1" applyAlignment="1">
      <alignment vertical="top" shrinkToFit="1"/>
    </xf>
    <xf numFmtId="1" fontId="12" fillId="0" borderId="0" xfId="0" applyNumberFormat="1" applyFont="1" applyFill="1" applyBorder="1" applyAlignment="1">
      <alignment vertical="top" shrinkToFit="1"/>
    </xf>
    <xf numFmtId="167" fontId="12" fillId="0" borderId="0" xfId="0" applyNumberFormat="1" applyFont="1" applyFill="1" applyBorder="1" applyAlignment="1">
      <alignment vertical="top" shrinkToFit="1"/>
    </xf>
    <xf numFmtId="164" fontId="14" fillId="0" borderId="0" xfId="0" applyNumberFormat="1" applyFont="1" applyFill="1" applyBorder="1" applyAlignment="1">
      <alignment vertical="top" shrinkToFit="1"/>
    </xf>
    <xf numFmtId="0" fontId="37" fillId="0" borderId="0" xfId="0" applyFont="1" applyFill="1" applyBorder="1" applyAlignment="1">
      <alignment wrapText="1"/>
    </xf>
    <xf numFmtId="165" fontId="12" fillId="0" borderId="0" xfId="0" applyNumberFormat="1" applyFont="1" applyFill="1" applyBorder="1" applyAlignment="1">
      <alignment vertical="top" shrinkToFit="1"/>
    </xf>
    <xf numFmtId="0" fontId="37" fillId="0" borderId="0" xfId="0" applyFont="1" applyFill="1" applyBorder="1"/>
    <xf numFmtId="0" fontId="0" fillId="0" borderId="0" xfId="0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149637</xdr:colOff>
      <xdr:row>3</xdr:row>
      <xdr:rowOff>155035</xdr:rowOff>
    </xdr:from>
    <xdr:ext cx="1080135" cy="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1080135" cy="0"/>
        </a:xfrm>
        <a:custGeom>
          <a:avLst/>
          <a:gdLst/>
          <a:ahLst/>
          <a:cxnLst/>
          <a:rect l="0" t="0" r="0" b="0"/>
          <a:pathLst>
            <a:path w="1080135">
              <a:moveTo>
                <a:pt x="0" y="0"/>
              </a:moveTo>
              <a:lnTo>
                <a:pt x="1080039" y="0"/>
              </a:lnTo>
            </a:path>
          </a:pathLst>
        </a:custGeom>
        <a:ln w="7629">
          <a:solidFill>
            <a:srgbClr val="000000"/>
          </a:solidFill>
        </a:ln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149637</xdr:colOff>
      <xdr:row>0</xdr:row>
      <xdr:rowOff>0</xdr:rowOff>
    </xdr:from>
    <xdr:ext cx="1080135" cy="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9CC3C962-C598-44DA-8121-335FE0D5E720}"/>
            </a:ext>
          </a:extLst>
        </xdr:cNvPr>
        <xdr:cNvSpPr/>
      </xdr:nvSpPr>
      <xdr:spPr>
        <a:xfrm>
          <a:off x="7017162" y="1021810"/>
          <a:ext cx="1080135" cy="0"/>
        </a:xfrm>
        <a:custGeom>
          <a:avLst/>
          <a:gdLst/>
          <a:ahLst/>
          <a:cxnLst/>
          <a:rect l="0" t="0" r="0" b="0"/>
          <a:pathLst>
            <a:path w="1080135">
              <a:moveTo>
                <a:pt x="0" y="0"/>
              </a:moveTo>
              <a:lnTo>
                <a:pt x="1080039" y="0"/>
              </a:lnTo>
            </a:path>
          </a:pathLst>
        </a:custGeom>
        <a:ln w="7629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0"/>
  <sheetViews>
    <sheetView tabSelected="1" workbookViewId="0">
      <selection activeCell="Q11" sqref="Q11:T11"/>
    </sheetView>
  </sheetViews>
  <sheetFormatPr defaultRowHeight="12.75" x14ac:dyDescent="0.2"/>
  <cols>
    <col min="1" max="1" width="14" customWidth="1"/>
    <col min="2" max="2" width="16.1640625" customWidth="1"/>
    <col min="3" max="3" width="5.83203125" customWidth="1"/>
    <col min="4" max="4" width="14" customWidth="1"/>
    <col min="5" max="5" width="17.33203125" customWidth="1"/>
    <col min="6" max="6" width="3.33203125" customWidth="1"/>
    <col min="7" max="7" width="1.1640625" customWidth="1"/>
    <col min="8" max="9" width="2.1640625" customWidth="1"/>
    <col min="10" max="10" width="12.6640625" customWidth="1"/>
    <col min="11" max="11" width="10.5" customWidth="1"/>
    <col min="12" max="12" width="4.6640625" customWidth="1"/>
    <col min="13" max="13" width="16.1640625" customWidth="1"/>
    <col min="14" max="14" width="10.5" customWidth="1"/>
    <col min="15" max="15" width="3.33203125" customWidth="1"/>
    <col min="16" max="16" width="8" customWidth="1"/>
    <col min="17" max="17" width="6.83203125" customWidth="1"/>
    <col min="18" max="18" width="10.5" customWidth="1"/>
    <col min="19" max="19" width="3.33203125" customWidth="1"/>
    <col min="20" max="20" width="12.6640625" customWidth="1"/>
    <col min="21" max="21" width="4.6640625" customWidth="1"/>
  </cols>
  <sheetData>
    <row r="1" spans="1:21" ht="15" customHeight="1" x14ac:dyDescent="0.2">
      <c r="A1" s="45" t="s">
        <v>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1"/>
    </row>
    <row r="2" spans="1:21" ht="18.95" customHeight="1" x14ac:dyDescent="0.2">
      <c r="A2" s="46"/>
      <c r="B2" s="46"/>
      <c r="C2" s="46"/>
      <c r="D2" s="46"/>
      <c r="E2" s="46"/>
      <c r="F2" s="2"/>
      <c r="G2" s="46"/>
      <c r="H2" s="46"/>
      <c r="I2" s="46"/>
      <c r="J2" s="46"/>
      <c r="K2" s="46"/>
      <c r="L2" s="46"/>
      <c r="M2" s="46"/>
      <c r="N2" s="46"/>
      <c r="O2" s="46"/>
      <c r="P2" s="47" t="s">
        <v>1</v>
      </c>
      <c r="Q2" s="47"/>
      <c r="R2" s="47"/>
      <c r="S2" s="47"/>
      <c r="T2" s="47"/>
      <c r="U2" s="47"/>
    </row>
    <row r="3" spans="1:21" ht="34.5" customHeight="1" x14ac:dyDescent="0.2">
      <c r="A3" s="48" t="s">
        <v>2</v>
      </c>
      <c r="B3" s="48"/>
      <c r="C3" s="48"/>
      <c r="D3" s="48"/>
      <c r="E3" s="48"/>
      <c r="F3" s="48"/>
      <c r="G3" s="49"/>
      <c r="H3" s="49"/>
      <c r="I3" s="49"/>
      <c r="J3" s="49"/>
      <c r="K3" s="49"/>
      <c r="L3" s="49"/>
      <c r="M3" s="49"/>
      <c r="N3" s="49"/>
      <c r="O3" s="49"/>
      <c r="P3" s="47"/>
      <c r="Q3" s="47"/>
      <c r="R3" s="47"/>
      <c r="S3" s="47"/>
      <c r="T3" s="47"/>
      <c r="U3" s="47"/>
    </row>
    <row r="4" spans="1:21" ht="12.95" customHeight="1" x14ac:dyDescent="0.2">
      <c r="A4" s="48"/>
      <c r="B4" s="48"/>
      <c r="C4" s="48"/>
      <c r="D4" s="48"/>
      <c r="E4" s="48"/>
      <c r="F4" s="48"/>
      <c r="G4" s="50"/>
      <c r="H4" s="50"/>
      <c r="I4" s="50"/>
      <c r="J4" s="50"/>
      <c r="K4" s="50"/>
      <c r="L4" s="50"/>
      <c r="M4" s="50"/>
      <c r="N4" s="50"/>
      <c r="O4" s="50"/>
      <c r="P4" s="1"/>
      <c r="Q4" s="50"/>
      <c r="R4" s="50"/>
      <c r="S4" s="50"/>
      <c r="T4" s="50"/>
      <c r="U4" s="1"/>
    </row>
    <row r="5" spans="1:21" ht="12" customHeight="1" x14ac:dyDescent="0.2">
      <c r="A5" s="51" t="s">
        <v>3</v>
      </c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50"/>
      <c r="N5" s="50"/>
      <c r="O5" s="50"/>
      <c r="P5" s="52">
        <v>-662.33</v>
      </c>
      <c r="Q5" s="52"/>
      <c r="R5" s="52"/>
      <c r="S5" s="52"/>
      <c r="T5" s="52"/>
      <c r="U5" s="52"/>
    </row>
    <row r="6" spans="1:21" ht="75.599999999999994" customHeight="1" x14ac:dyDescent="0.2">
      <c r="A6" s="53" t="s">
        <v>4</v>
      </c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</row>
    <row r="7" spans="1:21" ht="12.95" customHeight="1" x14ac:dyDescent="0.2">
      <c r="A7" s="50"/>
      <c r="B7" s="50"/>
      <c r="C7" s="50"/>
      <c r="D7" s="54" t="s">
        <v>5</v>
      </c>
      <c r="E7" s="54"/>
      <c r="F7" s="55">
        <v>0</v>
      </c>
      <c r="G7" s="55"/>
      <c r="H7" s="55"/>
      <c r="I7" s="55"/>
      <c r="J7" s="55"/>
      <c r="K7" s="55"/>
      <c r="L7" s="55"/>
      <c r="M7" s="55"/>
      <c r="N7" s="55"/>
      <c r="O7" s="55"/>
      <c r="P7" s="55"/>
      <c r="Q7" s="50"/>
      <c r="R7" s="50"/>
      <c r="S7" s="50"/>
      <c r="T7" s="50"/>
      <c r="U7" s="1"/>
    </row>
    <row r="8" spans="1:21" ht="12.95" customHeight="1" x14ac:dyDescent="0.2">
      <c r="A8" s="50"/>
      <c r="B8" s="50"/>
      <c r="C8" s="50"/>
      <c r="D8" s="56" t="s">
        <v>6</v>
      </c>
      <c r="E8" s="56"/>
      <c r="F8" s="57">
        <v>-662.33</v>
      </c>
      <c r="G8" s="57"/>
      <c r="H8" s="57"/>
      <c r="I8" s="57"/>
      <c r="J8" s="57"/>
      <c r="K8" s="57"/>
      <c r="L8" s="57"/>
      <c r="M8" s="57"/>
      <c r="N8" s="57"/>
      <c r="O8" s="57"/>
      <c r="P8" s="57"/>
      <c r="Q8" s="50"/>
      <c r="R8" s="50"/>
      <c r="S8" s="50"/>
      <c r="T8" s="50"/>
      <c r="U8" s="1"/>
    </row>
    <row r="9" spans="1:21" ht="12.95" customHeight="1" x14ac:dyDescent="0.2">
      <c r="A9" s="50"/>
      <c r="B9" s="50"/>
      <c r="C9" s="50"/>
      <c r="D9" s="54" t="s">
        <v>7</v>
      </c>
      <c r="E9" s="54"/>
      <c r="F9" s="55">
        <v>0</v>
      </c>
      <c r="G9" s="55"/>
      <c r="H9" s="55"/>
      <c r="I9" s="55"/>
      <c r="J9" s="55"/>
      <c r="K9" s="55"/>
      <c r="L9" s="55"/>
      <c r="M9" s="55"/>
      <c r="N9" s="55"/>
      <c r="O9" s="55"/>
      <c r="P9" s="55"/>
      <c r="Q9" s="50"/>
      <c r="R9" s="50"/>
      <c r="S9" s="50"/>
      <c r="T9" s="50"/>
      <c r="U9" s="1"/>
    </row>
    <row r="10" spans="1:21" ht="12.95" customHeight="1" x14ac:dyDescent="0.2">
      <c r="A10" s="50"/>
      <c r="B10" s="50"/>
      <c r="C10" s="50"/>
      <c r="D10" s="56" t="s">
        <v>8</v>
      </c>
      <c r="E10" s="56"/>
      <c r="F10" s="58">
        <v>0</v>
      </c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0"/>
      <c r="R10" s="50"/>
      <c r="S10" s="50"/>
      <c r="T10" s="50"/>
      <c r="U10" s="1"/>
    </row>
    <row r="11" spans="1:21" ht="24" customHeight="1" x14ac:dyDescent="0.2">
      <c r="A11" s="46"/>
      <c r="B11" s="46"/>
      <c r="C11" s="46"/>
      <c r="D11" s="54" t="s">
        <v>9</v>
      </c>
      <c r="E11" s="54"/>
      <c r="F11" s="59">
        <v>-662.33</v>
      </c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46"/>
      <c r="R11" s="46"/>
      <c r="S11" s="46"/>
      <c r="T11" s="46"/>
      <c r="U11" s="2"/>
    </row>
    <row r="12" spans="1:21" ht="24" customHeight="1" x14ac:dyDescent="0.2">
      <c r="A12" s="46"/>
      <c r="B12" s="46"/>
      <c r="C12" s="46"/>
      <c r="D12" s="60" t="s">
        <v>10</v>
      </c>
      <c r="E12" s="60"/>
      <c r="F12" s="61">
        <v>0</v>
      </c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46"/>
      <c r="R12" s="46"/>
      <c r="S12" s="46"/>
      <c r="T12" s="46"/>
      <c r="U12" s="2"/>
    </row>
    <row r="13" spans="1:21" ht="12.75" customHeight="1" x14ac:dyDescent="0.2">
      <c r="A13" s="50"/>
      <c r="B13" s="50"/>
      <c r="C13" s="50"/>
      <c r="D13" s="54" t="s">
        <v>11</v>
      </c>
      <c r="E13" s="54"/>
      <c r="F13" s="62">
        <v>-662.33</v>
      </c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50"/>
      <c r="R13" s="50"/>
      <c r="S13" s="50"/>
      <c r="T13" s="50"/>
      <c r="U13" s="1"/>
    </row>
    <row r="14" spans="1:21" ht="17.45" customHeight="1" x14ac:dyDescent="0.2">
      <c r="A14" s="63" t="s">
        <v>12</v>
      </c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2"/>
    </row>
    <row r="15" spans="1:21" ht="13.5" customHeight="1" x14ac:dyDescent="0.2">
      <c r="A15" s="64" t="s">
        <v>13</v>
      </c>
      <c r="B15" s="64"/>
      <c r="C15" s="64"/>
      <c r="D15" s="64"/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1"/>
    </row>
    <row r="16" spans="1:21" ht="24" customHeight="1" x14ac:dyDescent="0.2">
      <c r="A16" s="3" t="s">
        <v>14</v>
      </c>
      <c r="B16" s="4" t="s">
        <v>15</v>
      </c>
      <c r="C16" s="65" t="s">
        <v>16</v>
      </c>
      <c r="D16" s="65"/>
      <c r="E16" s="5" t="s">
        <v>17</v>
      </c>
      <c r="F16" s="66" t="s">
        <v>18</v>
      </c>
      <c r="G16" s="66"/>
      <c r="H16" s="66"/>
      <c r="I16" s="66"/>
      <c r="J16" s="6" t="s">
        <v>19</v>
      </c>
      <c r="K16" s="65" t="s">
        <v>20</v>
      </c>
      <c r="L16" s="65"/>
      <c r="M16" s="7" t="s">
        <v>21</v>
      </c>
      <c r="N16" s="7" t="s">
        <v>22</v>
      </c>
      <c r="O16" s="66" t="s">
        <v>23</v>
      </c>
      <c r="P16" s="66"/>
      <c r="Q16" s="66"/>
      <c r="R16" s="7" t="s">
        <v>24</v>
      </c>
      <c r="S16" s="66" t="s">
        <v>25</v>
      </c>
      <c r="T16" s="66"/>
      <c r="U16" s="2"/>
    </row>
    <row r="17" spans="1:21" ht="21.95" customHeight="1" x14ac:dyDescent="0.2">
      <c r="A17" s="8">
        <v>448798</v>
      </c>
      <c r="B17" s="9">
        <v>2158366</v>
      </c>
      <c r="C17" s="67" t="s">
        <v>26</v>
      </c>
      <c r="D17" s="67"/>
      <c r="E17" s="10" t="s">
        <v>27</v>
      </c>
      <c r="F17" s="68" t="s">
        <v>28</v>
      </c>
      <c r="G17" s="68"/>
      <c r="H17" s="68"/>
      <c r="I17" s="68"/>
      <c r="J17" s="12">
        <v>45689</v>
      </c>
      <c r="K17" s="69">
        <v>45716</v>
      </c>
      <c r="L17" s="69"/>
      <c r="M17" s="13">
        <v>13</v>
      </c>
      <c r="N17" s="11" t="s">
        <v>29</v>
      </c>
      <c r="O17" s="68" t="s">
        <v>30</v>
      </c>
      <c r="P17" s="68"/>
      <c r="Q17" s="68"/>
      <c r="R17" s="14" t="s">
        <v>31</v>
      </c>
      <c r="S17" s="70">
        <v>-210</v>
      </c>
      <c r="T17" s="70"/>
      <c r="U17" s="2"/>
    </row>
    <row r="18" spans="1:21" ht="12.6" customHeight="1" x14ac:dyDescent="0.2">
      <c r="A18" s="15">
        <v>449350</v>
      </c>
      <c r="B18" s="16">
        <v>2158366</v>
      </c>
      <c r="C18" s="71" t="s">
        <v>32</v>
      </c>
      <c r="D18" s="71"/>
      <c r="E18" s="17" t="s">
        <v>27</v>
      </c>
      <c r="F18" s="72" t="s">
        <v>28</v>
      </c>
      <c r="G18" s="72"/>
      <c r="H18" s="72"/>
      <c r="I18" s="72"/>
      <c r="J18" s="19">
        <v>45717</v>
      </c>
      <c r="K18" s="73"/>
      <c r="L18" s="73"/>
      <c r="M18" s="20"/>
      <c r="N18" s="18" t="s">
        <v>33</v>
      </c>
      <c r="O18" s="72" t="s">
        <v>34</v>
      </c>
      <c r="P18" s="72"/>
      <c r="Q18" s="72"/>
      <c r="R18" s="18" t="s">
        <v>35</v>
      </c>
      <c r="S18" s="74">
        <v>175</v>
      </c>
      <c r="T18" s="74"/>
      <c r="U18" s="1"/>
    </row>
    <row r="19" spans="1:21" ht="27.75" customHeight="1" x14ac:dyDescent="0.2">
      <c r="A19" s="2"/>
      <c r="B19" s="2"/>
      <c r="C19" s="46"/>
      <c r="D19" s="46"/>
      <c r="E19" s="2"/>
      <c r="F19" s="46"/>
      <c r="G19" s="46"/>
      <c r="H19" s="2"/>
      <c r="I19" s="75" t="s">
        <v>36</v>
      </c>
      <c r="J19" s="75"/>
      <c r="K19" s="75"/>
      <c r="L19" s="2"/>
      <c r="M19" s="2"/>
      <c r="N19" s="2"/>
      <c r="O19" s="46"/>
      <c r="P19" s="46"/>
      <c r="Q19" s="46"/>
      <c r="R19" s="2"/>
      <c r="S19" s="2"/>
      <c r="T19" s="49" t="s">
        <v>37</v>
      </c>
      <c r="U19" s="49"/>
    </row>
    <row r="20" spans="1:21" ht="12" customHeight="1" x14ac:dyDescent="0.2">
      <c r="A20" s="76" t="s">
        <v>38</v>
      </c>
      <c r="B20" s="76"/>
      <c r="C20" s="76"/>
      <c r="D20" s="76"/>
      <c r="E20" s="76"/>
      <c r="F20" s="76"/>
      <c r="G20" s="76"/>
      <c r="H20" s="1"/>
      <c r="I20" s="75"/>
      <c r="J20" s="75"/>
      <c r="K20" s="75"/>
      <c r="L20" s="1"/>
      <c r="M20" s="1"/>
      <c r="N20" s="1"/>
      <c r="O20" s="50"/>
      <c r="P20" s="50"/>
      <c r="Q20" s="50"/>
      <c r="R20" s="1"/>
      <c r="S20" s="1"/>
      <c r="T20" s="49"/>
      <c r="U20" s="49"/>
    </row>
    <row r="21" spans="1:21" ht="6" customHeight="1" x14ac:dyDescent="0.2">
      <c r="A21" s="1"/>
      <c r="B21" s="1"/>
      <c r="C21" s="50"/>
      <c r="D21" s="50"/>
      <c r="E21" s="1"/>
      <c r="F21" s="50"/>
      <c r="G21" s="50"/>
      <c r="H21" s="1"/>
      <c r="I21" s="1"/>
      <c r="J21" s="1"/>
      <c r="K21" s="1"/>
      <c r="L21" s="1"/>
      <c r="M21" s="1"/>
      <c r="N21" s="1"/>
      <c r="O21" s="50"/>
      <c r="P21" s="50"/>
      <c r="Q21" s="50"/>
      <c r="R21" s="1"/>
      <c r="S21" s="1"/>
      <c r="T21" s="49"/>
      <c r="U21" s="49"/>
    </row>
    <row r="22" spans="1:21" ht="24" customHeight="1" x14ac:dyDescent="0.2">
      <c r="A22" s="21" t="s">
        <v>39</v>
      </c>
      <c r="B22" s="22" t="s">
        <v>40</v>
      </c>
      <c r="C22" s="77" t="s">
        <v>41</v>
      </c>
      <c r="D22" s="77"/>
      <c r="E22" s="23" t="s">
        <v>42</v>
      </c>
      <c r="F22" s="78" t="s">
        <v>43</v>
      </c>
      <c r="G22" s="78"/>
      <c r="H22" s="78"/>
      <c r="I22" s="78"/>
      <c r="J22" s="24" t="s">
        <v>44</v>
      </c>
      <c r="K22" s="77" t="s">
        <v>45</v>
      </c>
      <c r="L22" s="77"/>
      <c r="M22" s="25" t="s">
        <v>46</v>
      </c>
      <c r="N22" s="25" t="s">
        <v>47</v>
      </c>
      <c r="O22" s="79" t="s">
        <v>48</v>
      </c>
      <c r="P22" s="79"/>
      <c r="Q22" s="79"/>
      <c r="R22" s="25" t="s">
        <v>49</v>
      </c>
      <c r="S22" s="79" t="s">
        <v>50</v>
      </c>
      <c r="T22" s="79"/>
      <c r="U22" s="2"/>
    </row>
    <row r="23" spans="1:21" ht="26.1" customHeight="1" x14ac:dyDescent="0.2">
      <c r="A23" s="26">
        <v>445779</v>
      </c>
      <c r="B23" s="27">
        <v>19645587</v>
      </c>
      <c r="C23" s="67" t="s">
        <v>51</v>
      </c>
      <c r="D23" s="67"/>
      <c r="E23" s="10" t="s">
        <v>52</v>
      </c>
      <c r="F23" s="68" t="s">
        <v>53</v>
      </c>
      <c r="G23" s="68"/>
      <c r="H23" s="68"/>
      <c r="I23" s="68"/>
      <c r="J23" s="28">
        <v>45658</v>
      </c>
      <c r="K23" s="80">
        <v>45747</v>
      </c>
      <c r="L23" s="80"/>
      <c r="M23" s="29">
        <v>13</v>
      </c>
      <c r="N23" s="11" t="s">
        <v>54</v>
      </c>
      <c r="O23" s="81" t="s">
        <v>55</v>
      </c>
      <c r="P23" s="81"/>
      <c r="Q23" s="81"/>
      <c r="R23" s="30" t="s">
        <v>56</v>
      </c>
      <c r="S23" s="82">
        <v>-210</v>
      </c>
      <c r="T23" s="82"/>
      <c r="U23" s="2"/>
    </row>
    <row r="24" spans="1:21" ht="18.600000000000001" customHeight="1" x14ac:dyDescent="0.2">
      <c r="A24" s="2"/>
      <c r="B24" s="2"/>
      <c r="C24" s="46"/>
      <c r="D24" s="46"/>
      <c r="E24" s="2"/>
      <c r="F24" s="2"/>
      <c r="G24" s="46"/>
      <c r="H24" s="46"/>
      <c r="I24" s="49" t="s">
        <v>57</v>
      </c>
      <c r="J24" s="49"/>
      <c r="K24" s="49"/>
      <c r="L24" s="2"/>
      <c r="M24" s="2"/>
      <c r="N24" s="2"/>
      <c r="O24" s="46"/>
      <c r="P24" s="46"/>
      <c r="Q24" s="46"/>
      <c r="R24" s="2"/>
      <c r="S24" s="2"/>
      <c r="T24" s="49" t="s">
        <v>58</v>
      </c>
      <c r="U24" s="49"/>
    </row>
    <row r="25" spans="1:21" ht="12" customHeight="1" x14ac:dyDescent="0.2">
      <c r="A25" s="83" t="s">
        <v>59</v>
      </c>
      <c r="B25" s="83"/>
      <c r="C25" s="83"/>
      <c r="D25" s="83"/>
      <c r="E25" s="83"/>
      <c r="F25" s="83"/>
      <c r="G25" s="50"/>
      <c r="H25" s="50"/>
      <c r="I25" s="49"/>
      <c r="J25" s="49"/>
      <c r="K25" s="49"/>
      <c r="L25" s="1"/>
      <c r="M25" s="1"/>
      <c r="N25" s="1"/>
      <c r="O25" s="50"/>
      <c r="P25" s="50"/>
      <c r="Q25" s="50"/>
      <c r="R25" s="1"/>
      <c r="S25" s="1"/>
      <c r="T25" s="49"/>
      <c r="U25" s="49"/>
    </row>
    <row r="26" spans="1:21" ht="5.45" customHeight="1" x14ac:dyDescent="0.2">
      <c r="A26" s="1"/>
      <c r="B26" s="1"/>
      <c r="C26" s="50"/>
      <c r="D26" s="50"/>
      <c r="E26" s="1"/>
      <c r="F26" s="1"/>
      <c r="G26" s="50"/>
      <c r="H26" s="50"/>
      <c r="I26" s="1"/>
      <c r="J26" s="1"/>
      <c r="K26" s="1"/>
      <c r="L26" s="1"/>
      <c r="M26" s="1"/>
      <c r="N26" s="1"/>
      <c r="O26" s="50"/>
      <c r="P26" s="50"/>
      <c r="Q26" s="50"/>
      <c r="R26" s="1"/>
      <c r="S26" s="1"/>
      <c r="T26" s="49"/>
      <c r="U26" s="49"/>
    </row>
    <row r="27" spans="1:21" ht="24" customHeight="1" x14ac:dyDescent="0.2">
      <c r="A27" s="31" t="s">
        <v>60</v>
      </c>
      <c r="B27" s="4" t="s">
        <v>61</v>
      </c>
      <c r="C27" s="65" t="s">
        <v>62</v>
      </c>
      <c r="D27" s="65"/>
      <c r="E27" s="5" t="s">
        <v>63</v>
      </c>
      <c r="F27" s="66" t="s">
        <v>64</v>
      </c>
      <c r="G27" s="66"/>
      <c r="H27" s="66"/>
      <c r="I27" s="66"/>
      <c r="J27" s="6" t="s">
        <v>65</v>
      </c>
      <c r="K27" s="65" t="s">
        <v>66</v>
      </c>
      <c r="L27" s="65"/>
      <c r="M27" s="7" t="s">
        <v>67</v>
      </c>
      <c r="N27" s="7" t="s">
        <v>68</v>
      </c>
      <c r="O27" s="66" t="s">
        <v>69</v>
      </c>
      <c r="P27" s="66"/>
      <c r="Q27" s="66"/>
      <c r="R27" s="7" t="s">
        <v>70</v>
      </c>
      <c r="S27" s="66" t="s">
        <v>71</v>
      </c>
      <c r="T27" s="66"/>
      <c r="U27" s="2"/>
    </row>
    <row r="28" spans="1:21" ht="5.25" customHeight="1" x14ac:dyDescent="0.2">
      <c r="A28" s="32"/>
      <c r="B28" s="32"/>
      <c r="C28" s="84"/>
      <c r="D28" s="84"/>
      <c r="E28" s="32"/>
      <c r="F28" s="84"/>
      <c r="G28" s="84"/>
      <c r="H28" s="84"/>
      <c r="I28" s="84"/>
      <c r="J28" s="32"/>
      <c r="K28" s="84"/>
      <c r="L28" s="84"/>
      <c r="M28" s="32"/>
      <c r="N28" s="32"/>
      <c r="O28" s="84"/>
      <c r="P28" s="84"/>
      <c r="Q28" s="84"/>
      <c r="R28" s="32"/>
      <c r="S28" s="84"/>
      <c r="T28" s="84"/>
      <c r="U28" s="1"/>
    </row>
    <row r="29" spans="1:21" ht="12.95" customHeight="1" x14ac:dyDescent="0.2">
      <c r="A29" s="33">
        <v>448798</v>
      </c>
      <c r="B29" s="34">
        <v>2158366</v>
      </c>
      <c r="C29" s="71" t="s">
        <v>72</v>
      </c>
      <c r="D29" s="71"/>
      <c r="E29" s="17" t="s">
        <v>52</v>
      </c>
      <c r="F29" s="72" t="s">
        <v>53</v>
      </c>
      <c r="G29" s="72"/>
      <c r="H29" s="72"/>
      <c r="I29" s="72"/>
      <c r="J29" s="35">
        <v>45689</v>
      </c>
      <c r="K29" s="85">
        <v>45716</v>
      </c>
      <c r="L29" s="85"/>
      <c r="M29" s="37">
        <v>13</v>
      </c>
      <c r="N29" s="18" t="s">
        <v>73</v>
      </c>
      <c r="O29" s="72" t="s">
        <v>74</v>
      </c>
      <c r="P29" s="72"/>
      <c r="Q29" s="72"/>
      <c r="R29" s="38" t="s">
        <v>56</v>
      </c>
      <c r="S29" s="86">
        <v>-626</v>
      </c>
      <c r="T29" s="86"/>
      <c r="U29" s="1"/>
    </row>
    <row r="30" spans="1:21" ht="26.1" customHeight="1" x14ac:dyDescent="0.2">
      <c r="A30" s="39">
        <v>449350</v>
      </c>
      <c r="B30" s="40">
        <v>2158366</v>
      </c>
      <c r="C30" s="87" t="s">
        <v>72</v>
      </c>
      <c r="D30" s="87"/>
      <c r="E30" s="41" t="s">
        <v>52</v>
      </c>
      <c r="F30" s="88" t="s">
        <v>53</v>
      </c>
      <c r="G30" s="88"/>
      <c r="H30" s="88"/>
      <c r="I30" s="88"/>
      <c r="J30" s="43">
        <v>45717</v>
      </c>
      <c r="K30" s="46"/>
      <c r="L30" s="46"/>
      <c r="M30" s="2"/>
      <c r="N30" s="42" t="s">
        <v>75</v>
      </c>
      <c r="O30" s="88" t="s">
        <v>74</v>
      </c>
      <c r="P30" s="88"/>
      <c r="Q30" s="88"/>
      <c r="R30" s="42" t="s">
        <v>76</v>
      </c>
      <c r="S30" s="89">
        <v>521.66999999999996</v>
      </c>
      <c r="T30" s="89"/>
      <c r="U30" s="2"/>
    </row>
    <row r="31" spans="1:21" ht="18.600000000000001" customHeight="1" x14ac:dyDescent="0.2">
      <c r="A31" s="2"/>
      <c r="B31" s="2"/>
      <c r="C31" s="46"/>
      <c r="D31" s="46"/>
      <c r="E31" s="2"/>
      <c r="F31" s="46"/>
      <c r="G31" s="46"/>
      <c r="H31" s="2"/>
      <c r="I31" s="49" t="s">
        <v>77</v>
      </c>
      <c r="J31" s="49"/>
      <c r="K31" s="49"/>
      <c r="L31" s="2"/>
      <c r="M31" s="2"/>
      <c r="N31" s="2"/>
      <c r="O31" s="46"/>
      <c r="P31" s="46"/>
      <c r="Q31" s="46"/>
      <c r="R31" s="2"/>
      <c r="S31" s="2"/>
      <c r="T31" s="49" t="s">
        <v>78</v>
      </c>
      <c r="U31" s="49"/>
    </row>
    <row r="32" spans="1:21" ht="12" customHeight="1" x14ac:dyDescent="0.2">
      <c r="A32" s="76" t="s">
        <v>79</v>
      </c>
      <c r="B32" s="76"/>
      <c r="C32" s="76"/>
      <c r="D32" s="76"/>
      <c r="E32" s="76"/>
      <c r="F32" s="76"/>
      <c r="G32" s="76"/>
      <c r="H32" s="1"/>
      <c r="I32" s="49"/>
      <c r="J32" s="49"/>
      <c r="K32" s="49"/>
      <c r="L32" s="1"/>
      <c r="M32" s="1"/>
      <c r="N32" s="1"/>
      <c r="O32" s="50"/>
      <c r="P32" s="50"/>
      <c r="Q32" s="50"/>
      <c r="R32" s="1"/>
      <c r="S32" s="1"/>
      <c r="T32" s="49"/>
      <c r="U32" s="49"/>
    </row>
    <row r="33" spans="1:21" ht="6" customHeight="1" x14ac:dyDescent="0.2">
      <c r="A33" s="1"/>
      <c r="B33" s="1"/>
      <c r="C33" s="50"/>
      <c r="D33" s="50"/>
      <c r="E33" s="1"/>
      <c r="F33" s="50"/>
      <c r="G33" s="50"/>
      <c r="H33" s="1"/>
      <c r="I33" s="1"/>
      <c r="J33" s="1"/>
      <c r="K33" s="1"/>
      <c r="L33" s="1"/>
      <c r="M33" s="1"/>
      <c r="N33" s="1"/>
      <c r="O33" s="50"/>
      <c r="P33" s="50"/>
      <c r="Q33" s="50"/>
      <c r="R33" s="1"/>
      <c r="S33" s="1"/>
      <c r="T33" s="49"/>
      <c r="U33" s="49"/>
    </row>
    <row r="34" spans="1:21" ht="24" customHeight="1" x14ac:dyDescent="0.2">
      <c r="A34" s="21" t="s">
        <v>39</v>
      </c>
      <c r="B34" s="22" t="s">
        <v>40</v>
      </c>
      <c r="C34" s="77" t="s">
        <v>41</v>
      </c>
      <c r="D34" s="77"/>
      <c r="E34" s="23" t="s">
        <v>42</v>
      </c>
      <c r="F34" s="90" t="s">
        <v>80</v>
      </c>
      <c r="G34" s="90"/>
      <c r="H34" s="90"/>
      <c r="I34" s="90"/>
      <c r="J34" s="44" t="s">
        <v>81</v>
      </c>
      <c r="K34" s="77" t="s">
        <v>45</v>
      </c>
      <c r="L34" s="77"/>
      <c r="M34" s="25" t="s">
        <v>46</v>
      </c>
      <c r="N34" s="25" t="s">
        <v>47</v>
      </c>
      <c r="O34" s="90" t="s">
        <v>82</v>
      </c>
      <c r="P34" s="90"/>
      <c r="Q34" s="90"/>
      <c r="R34" s="25" t="s">
        <v>49</v>
      </c>
      <c r="S34" s="90" t="s">
        <v>83</v>
      </c>
      <c r="T34" s="90"/>
      <c r="U34" s="2"/>
    </row>
    <row r="35" spans="1:21" ht="5.25" customHeight="1" x14ac:dyDescent="0.2">
      <c r="A35" s="32"/>
      <c r="B35" s="32"/>
      <c r="C35" s="84"/>
      <c r="D35" s="84"/>
      <c r="E35" s="32"/>
      <c r="F35" s="84"/>
      <c r="G35" s="84"/>
      <c r="H35" s="84"/>
      <c r="I35" s="84"/>
      <c r="J35" s="32"/>
      <c r="K35" s="84"/>
      <c r="L35" s="84"/>
      <c r="M35" s="32"/>
      <c r="N35" s="32"/>
      <c r="O35" s="84"/>
      <c r="P35" s="84"/>
      <c r="Q35" s="84"/>
      <c r="R35" s="32"/>
      <c r="S35" s="84"/>
      <c r="T35" s="84"/>
      <c r="U35" s="1"/>
    </row>
    <row r="36" spans="1:21" ht="13.5" customHeight="1" x14ac:dyDescent="0.2">
      <c r="A36" s="33">
        <v>445779</v>
      </c>
      <c r="B36" s="34">
        <v>19645587</v>
      </c>
      <c r="C36" s="71" t="s">
        <v>51</v>
      </c>
      <c r="D36" s="71"/>
      <c r="E36" s="17" t="s">
        <v>52</v>
      </c>
      <c r="F36" s="72" t="s">
        <v>53</v>
      </c>
      <c r="G36" s="72"/>
      <c r="H36" s="72"/>
      <c r="I36" s="72"/>
      <c r="J36" s="36">
        <v>45658</v>
      </c>
      <c r="K36" s="91">
        <v>45747</v>
      </c>
      <c r="L36" s="91"/>
      <c r="M36" s="37">
        <v>13</v>
      </c>
      <c r="N36" s="18" t="s">
        <v>54</v>
      </c>
      <c r="O36" s="92" t="s">
        <v>55</v>
      </c>
      <c r="P36" s="92"/>
      <c r="Q36" s="92"/>
      <c r="R36" s="38" t="s">
        <v>56</v>
      </c>
      <c r="S36" s="86">
        <v>-313</v>
      </c>
      <c r="T36" s="86"/>
      <c r="U36" s="1"/>
    </row>
    <row r="37" spans="1:21" ht="26.85" customHeight="1" x14ac:dyDescent="0.2">
      <c r="A37" s="2"/>
      <c r="B37" s="2"/>
      <c r="C37" s="46"/>
      <c r="D37" s="46"/>
      <c r="E37" s="2"/>
      <c r="F37" s="2"/>
      <c r="G37" s="46"/>
      <c r="H37" s="46"/>
      <c r="I37" s="54" t="s">
        <v>84</v>
      </c>
      <c r="J37" s="54"/>
      <c r="K37" s="54"/>
      <c r="L37" s="2"/>
      <c r="M37" s="2"/>
      <c r="N37" s="2"/>
      <c r="O37" s="46"/>
      <c r="P37" s="46"/>
      <c r="Q37" s="46"/>
      <c r="R37" s="2"/>
      <c r="S37" s="2"/>
      <c r="T37" s="49" t="s">
        <v>85</v>
      </c>
      <c r="U37" s="49"/>
    </row>
    <row r="38" spans="1:21" ht="12" customHeight="1" x14ac:dyDescent="0.2">
      <c r="A38" s="83" t="s">
        <v>59</v>
      </c>
      <c r="B38" s="83"/>
      <c r="C38" s="83"/>
      <c r="D38" s="83"/>
      <c r="E38" s="83"/>
      <c r="F38" s="83"/>
      <c r="G38" s="50"/>
      <c r="H38" s="50"/>
      <c r="I38" s="54"/>
      <c r="J38" s="54"/>
      <c r="K38" s="54"/>
      <c r="L38" s="1"/>
      <c r="M38" s="1"/>
      <c r="N38" s="1"/>
      <c r="O38" s="50"/>
      <c r="P38" s="50"/>
      <c r="Q38" s="50"/>
      <c r="R38" s="1"/>
      <c r="S38" s="1"/>
      <c r="T38" s="49"/>
      <c r="U38" s="49"/>
    </row>
    <row r="39" spans="1:21" ht="5.45" customHeight="1" x14ac:dyDescent="0.2">
      <c r="A39" s="1"/>
      <c r="B39" s="1"/>
      <c r="C39" s="50"/>
      <c r="D39" s="50"/>
      <c r="E39" s="1"/>
      <c r="F39" s="1"/>
      <c r="G39" s="50"/>
      <c r="H39" s="50"/>
      <c r="I39" s="1"/>
      <c r="J39" s="1"/>
      <c r="K39" s="1"/>
      <c r="L39" s="1"/>
      <c r="M39" s="1"/>
      <c r="N39" s="1"/>
      <c r="O39" s="50"/>
      <c r="P39" s="50"/>
      <c r="Q39" s="50"/>
      <c r="R39" s="1"/>
      <c r="S39" s="1"/>
      <c r="T39" s="49"/>
      <c r="U39" s="49"/>
    </row>
    <row r="40" spans="1:21" ht="15.95" customHeight="1" x14ac:dyDescent="0.2">
      <c r="A40" s="93" t="s">
        <v>86</v>
      </c>
      <c r="B40" s="93"/>
      <c r="C40" s="93"/>
      <c r="D40" s="93"/>
      <c r="E40" s="93"/>
      <c r="F40" s="93"/>
      <c r="G40" s="93"/>
      <c r="H40" s="93"/>
      <c r="I40" s="93"/>
      <c r="J40" s="93"/>
      <c r="K40" s="94">
        <v>-662.33</v>
      </c>
      <c r="L40" s="94"/>
      <c r="M40" s="94"/>
      <c r="N40" s="94"/>
      <c r="O40" s="94"/>
      <c r="P40" s="94"/>
      <c r="Q40" s="94"/>
      <c r="R40" s="94"/>
      <c r="S40" s="94"/>
      <c r="T40" s="94"/>
      <c r="U40" s="94"/>
    </row>
  </sheetData>
  <mergeCells count="150">
    <mergeCell ref="A40:J40"/>
    <mergeCell ref="K40:U40"/>
    <mergeCell ref="C36:D36"/>
    <mergeCell ref="F36:I36"/>
    <mergeCell ref="K36:L36"/>
    <mergeCell ref="O36:Q36"/>
    <mergeCell ref="S36:T36"/>
    <mergeCell ref="C37:D37"/>
    <mergeCell ref="G37:H37"/>
    <mergeCell ref="I37:K38"/>
    <mergeCell ref="O37:Q37"/>
    <mergeCell ref="T37:U39"/>
    <mergeCell ref="A38:F38"/>
    <mergeCell ref="G38:H38"/>
    <mergeCell ref="O38:Q38"/>
    <mergeCell ref="C39:D39"/>
    <mergeCell ref="G39:H39"/>
    <mergeCell ref="O39:Q39"/>
    <mergeCell ref="C34:D34"/>
    <mergeCell ref="F34:I34"/>
    <mergeCell ref="K34:L34"/>
    <mergeCell ref="O34:Q34"/>
    <mergeCell ref="S34:T34"/>
    <mergeCell ref="C35:D35"/>
    <mergeCell ref="F35:I35"/>
    <mergeCell ref="K35:L35"/>
    <mergeCell ref="O35:Q35"/>
    <mergeCell ref="S35:T35"/>
    <mergeCell ref="C31:D31"/>
    <mergeCell ref="F31:G31"/>
    <mergeCell ref="I31:K32"/>
    <mergeCell ref="O31:Q31"/>
    <mergeCell ref="T31:U33"/>
    <mergeCell ref="A32:G32"/>
    <mergeCell ref="O32:Q32"/>
    <mergeCell ref="C33:D33"/>
    <mergeCell ref="F33:G33"/>
    <mergeCell ref="O33:Q33"/>
    <mergeCell ref="C29:D29"/>
    <mergeCell ref="F29:I29"/>
    <mergeCell ref="K29:L29"/>
    <mergeCell ref="O29:Q29"/>
    <mergeCell ref="S29:T29"/>
    <mergeCell ref="C30:D30"/>
    <mergeCell ref="F30:I30"/>
    <mergeCell ref="K30:L30"/>
    <mergeCell ref="O30:Q30"/>
    <mergeCell ref="S30:T30"/>
    <mergeCell ref="C27:D27"/>
    <mergeCell ref="F27:I27"/>
    <mergeCell ref="K27:L27"/>
    <mergeCell ref="O27:Q27"/>
    <mergeCell ref="S27:T27"/>
    <mergeCell ref="C28:D28"/>
    <mergeCell ref="F28:I28"/>
    <mergeCell ref="K28:L28"/>
    <mergeCell ref="O28:Q28"/>
    <mergeCell ref="S28:T28"/>
    <mergeCell ref="C24:D24"/>
    <mergeCell ref="G24:H24"/>
    <mergeCell ref="I24:K25"/>
    <mergeCell ref="O24:Q24"/>
    <mergeCell ref="T24:U26"/>
    <mergeCell ref="A25:F25"/>
    <mergeCell ref="G25:H25"/>
    <mergeCell ref="O25:Q25"/>
    <mergeCell ref="C26:D26"/>
    <mergeCell ref="G26:H26"/>
    <mergeCell ref="O26:Q26"/>
    <mergeCell ref="C22:D22"/>
    <mergeCell ref="F22:I22"/>
    <mergeCell ref="K22:L22"/>
    <mergeCell ref="O22:Q22"/>
    <mergeCell ref="S22:T22"/>
    <mergeCell ref="C23:D23"/>
    <mergeCell ref="F23:I23"/>
    <mergeCell ref="K23:L23"/>
    <mergeCell ref="O23:Q23"/>
    <mergeCell ref="S23:T23"/>
    <mergeCell ref="C18:D18"/>
    <mergeCell ref="F18:I18"/>
    <mergeCell ref="K18:L18"/>
    <mergeCell ref="O18:Q18"/>
    <mergeCell ref="S18:T18"/>
    <mergeCell ref="C19:D19"/>
    <mergeCell ref="F19:G19"/>
    <mergeCell ref="I19:K20"/>
    <mergeCell ref="O19:Q19"/>
    <mergeCell ref="T19:U21"/>
    <mergeCell ref="A20:G20"/>
    <mergeCell ref="O20:Q20"/>
    <mergeCell ref="C21:D21"/>
    <mergeCell ref="F21:G21"/>
    <mergeCell ref="O21:Q21"/>
    <mergeCell ref="A15:T15"/>
    <mergeCell ref="C16:D16"/>
    <mergeCell ref="F16:I16"/>
    <mergeCell ref="K16:L16"/>
    <mergeCell ref="O16:Q16"/>
    <mergeCell ref="S16:T16"/>
    <mergeCell ref="C17:D17"/>
    <mergeCell ref="F17:I17"/>
    <mergeCell ref="K17:L17"/>
    <mergeCell ref="O17:Q17"/>
    <mergeCell ref="S17:T17"/>
    <mergeCell ref="A12:C12"/>
    <mergeCell ref="D12:E12"/>
    <mergeCell ref="F12:P12"/>
    <mergeCell ref="Q12:T12"/>
    <mergeCell ref="A13:C13"/>
    <mergeCell ref="D13:E13"/>
    <mergeCell ref="F13:P13"/>
    <mergeCell ref="Q13:T13"/>
    <mergeCell ref="A14:T14"/>
    <mergeCell ref="A9:C9"/>
    <mergeCell ref="D9:E9"/>
    <mergeCell ref="F9:P9"/>
    <mergeCell ref="Q9:T9"/>
    <mergeCell ref="A10:C10"/>
    <mergeCell ref="D10:E10"/>
    <mergeCell ref="F10:P10"/>
    <mergeCell ref="Q10:T10"/>
    <mergeCell ref="A11:C11"/>
    <mergeCell ref="D11:E11"/>
    <mergeCell ref="F11:P11"/>
    <mergeCell ref="Q11:T11"/>
    <mergeCell ref="A5:L5"/>
    <mergeCell ref="M5:O5"/>
    <mergeCell ref="P5:U5"/>
    <mergeCell ref="A6:U6"/>
    <mergeCell ref="A7:C7"/>
    <mergeCell ref="D7:E7"/>
    <mergeCell ref="F7:P7"/>
    <mergeCell ref="Q7:T7"/>
    <mergeCell ref="A8:C8"/>
    <mergeCell ref="D8:E8"/>
    <mergeCell ref="F8:P8"/>
    <mergeCell ref="Q8:T8"/>
    <mergeCell ref="A1:T1"/>
    <mergeCell ref="A2:C2"/>
    <mergeCell ref="D2:E2"/>
    <mergeCell ref="G2:L2"/>
    <mergeCell ref="M2:O2"/>
    <mergeCell ref="P2:U3"/>
    <mergeCell ref="A3:F4"/>
    <mergeCell ref="G3:L3"/>
    <mergeCell ref="M3:O3"/>
    <mergeCell ref="G4:L4"/>
    <mergeCell ref="M4:O4"/>
    <mergeCell ref="Q4:T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9FE2F-9962-484E-9350-16CBD5BDFE9A}">
  <dimension ref="A1:N13"/>
  <sheetViews>
    <sheetView topLeftCell="D1" workbookViewId="0">
      <selection activeCell="N2" sqref="N2:N7"/>
    </sheetView>
  </sheetViews>
  <sheetFormatPr defaultColWidth="17" defaultRowHeight="15" customHeight="1" x14ac:dyDescent="0.2"/>
  <cols>
    <col min="1" max="10" width="17" style="99"/>
    <col min="11" max="11" width="18.33203125" style="99" bestFit="1" customWidth="1"/>
    <col min="12" max="12" width="18.33203125" style="99" customWidth="1"/>
    <col min="13" max="16384" width="17" style="99"/>
  </cols>
  <sheetData>
    <row r="1" spans="1:14" ht="15" customHeight="1" x14ac:dyDescent="0.2">
      <c r="A1" s="96" t="s">
        <v>14</v>
      </c>
      <c r="B1" s="96"/>
      <c r="C1" s="96" t="s">
        <v>15</v>
      </c>
      <c r="D1" s="96" t="s">
        <v>16</v>
      </c>
      <c r="E1" s="96" t="s">
        <v>17</v>
      </c>
      <c r="F1" s="97" t="s">
        <v>18</v>
      </c>
      <c r="G1" s="97" t="s">
        <v>19</v>
      </c>
      <c r="H1" s="96" t="s">
        <v>22</v>
      </c>
      <c r="I1" s="97" t="s">
        <v>23</v>
      </c>
      <c r="J1" s="97" t="s">
        <v>25</v>
      </c>
      <c r="K1" s="98"/>
      <c r="L1" s="98"/>
    </row>
    <row r="2" spans="1:14" ht="15" customHeight="1" x14ac:dyDescent="0.2">
      <c r="A2" s="100">
        <v>448798</v>
      </c>
      <c r="B2" s="100" t="str">
        <f>CONCATENATE(A2,1)</f>
        <v>4487981</v>
      </c>
      <c r="C2" s="101">
        <v>2158366</v>
      </c>
      <c r="D2" s="102" t="s">
        <v>26</v>
      </c>
      <c r="E2" s="102" t="s">
        <v>27</v>
      </c>
      <c r="F2" s="102" t="s">
        <v>28</v>
      </c>
      <c r="G2" s="103">
        <v>45689</v>
      </c>
      <c r="H2" s="102" t="s">
        <v>29</v>
      </c>
      <c r="I2" s="102" t="s">
        <v>30</v>
      </c>
      <c r="J2" s="104">
        <v>-210</v>
      </c>
      <c r="K2" s="105" t="s">
        <v>89</v>
      </c>
      <c r="L2" s="95">
        <v>20411454</v>
      </c>
      <c r="M2" s="106" t="s">
        <v>90</v>
      </c>
    </row>
    <row r="3" spans="1:14" ht="15" customHeight="1" x14ac:dyDescent="0.2">
      <c r="A3" s="100">
        <v>449350</v>
      </c>
      <c r="B3" s="100" t="str">
        <f t="shared" ref="B3:B4" si="0">CONCATENATE(A3,1)</f>
        <v>4493501</v>
      </c>
      <c r="C3" s="101">
        <v>2158366</v>
      </c>
      <c r="D3" s="102" t="s">
        <v>32</v>
      </c>
      <c r="E3" s="102" t="s">
        <v>27</v>
      </c>
      <c r="F3" s="102" t="s">
        <v>28</v>
      </c>
      <c r="G3" s="107">
        <v>45717</v>
      </c>
      <c r="H3" s="102" t="s">
        <v>33</v>
      </c>
      <c r="I3" s="102" t="s">
        <v>34</v>
      </c>
      <c r="J3" s="108">
        <v>175</v>
      </c>
      <c r="K3" s="105" t="s">
        <v>89</v>
      </c>
      <c r="L3" s="95">
        <v>20411454</v>
      </c>
      <c r="M3" s="106" t="s">
        <v>90</v>
      </c>
    </row>
    <row r="4" spans="1:14" ht="15" customHeight="1" x14ac:dyDescent="0.2">
      <c r="A4" s="109">
        <v>445779</v>
      </c>
      <c r="B4" s="100" t="str">
        <f t="shared" si="0"/>
        <v>4457791</v>
      </c>
      <c r="C4" s="110">
        <v>19645587</v>
      </c>
      <c r="D4" s="102" t="s">
        <v>51</v>
      </c>
      <c r="E4" s="102" t="s">
        <v>52</v>
      </c>
      <c r="F4" s="102" t="s">
        <v>53</v>
      </c>
      <c r="G4" s="111">
        <v>45658</v>
      </c>
      <c r="H4" s="102" t="s">
        <v>54</v>
      </c>
      <c r="I4" s="102" t="s">
        <v>55</v>
      </c>
      <c r="J4" s="112">
        <v>-210</v>
      </c>
      <c r="K4" s="105" t="s">
        <v>89</v>
      </c>
      <c r="L4" s="95">
        <v>20411454</v>
      </c>
      <c r="M4" s="106" t="s">
        <v>90</v>
      </c>
    </row>
    <row r="5" spans="1:14" ht="15" customHeight="1" x14ac:dyDescent="0.2">
      <c r="A5" s="109">
        <v>448798</v>
      </c>
      <c r="B5" s="100" t="str">
        <f>CONCATENATE(A5,3)</f>
        <v>4487983</v>
      </c>
      <c r="C5" s="110">
        <v>2158366</v>
      </c>
      <c r="D5" s="102" t="s">
        <v>72</v>
      </c>
      <c r="E5" s="102" t="s">
        <v>52</v>
      </c>
      <c r="F5" s="102" t="s">
        <v>53</v>
      </c>
      <c r="G5" s="111">
        <v>45689</v>
      </c>
      <c r="H5" s="102" t="s">
        <v>73</v>
      </c>
      <c r="I5" s="102" t="s">
        <v>74</v>
      </c>
      <c r="J5" s="112">
        <v>-626</v>
      </c>
      <c r="K5" s="113" t="s">
        <v>87</v>
      </c>
      <c r="L5" s="95">
        <v>2158366</v>
      </c>
      <c r="M5" s="106" t="s">
        <v>91</v>
      </c>
      <c r="N5" s="106" t="s">
        <v>93</v>
      </c>
    </row>
    <row r="6" spans="1:14" ht="15" customHeight="1" x14ac:dyDescent="0.2">
      <c r="A6" s="109">
        <v>449350</v>
      </c>
      <c r="B6" s="100" t="str">
        <f>CONCATENATE(A6,3)</f>
        <v>4493503</v>
      </c>
      <c r="C6" s="110">
        <v>2158366</v>
      </c>
      <c r="D6" s="102" t="s">
        <v>72</v>
      </c>
      <c r="E6" s="102" t="s">
        <v>52</v>
      </c>
      <c r="F6" s="102" t="s">
        <v>53</v>
      </c>
      <c r="G6" s="111">
        <v>45717</v>
      </c>
      <c r="H6" s="102" t="s">
        <v>75</v>
      </c>
      <c r="I6" s="102" t="s">
        <v>74</v>
      </c>
      <c r="J6" s="114">
        <v>521.66999999999996</v>
      </c>
      <c r="K6" s="113" t="s">
        <v>87</v>
      </c>
      <c r="L6" s="95">
        <v>2158366</v>
      </c>
      <c r="M6" s="106" t="s">
        <v>91</v>
      </c>
      <c r="N6" s="115" t="s">
        <v>95</v>
      </c>
    </row>
    <row r="7" spans="1:14" ht="15" customHeight="1" x14ac:dyDescent="0.2">
      <c r="A7" s="109">
        <v>445779</v>
      </c>
      <c r="B7" s="100" t="str">
        <f>CONCATENATE(A7,2)</f>
        <v>4457792</v>
      </c>
      <c r="C7" s="110">
        <v>19645587</v>
      </c>
      <c r="D7" s="102" t="s">
        <v>51</v>
      </c>
      <c r="E7" s="102" t="s">
        <v>52</v>
      </c>
      <c r="F7" s="102" t="s">
        <v>53</v>
      </c>
      <c r="G7" s="111">
        <v>45658</v>
      </c>
      <c r="H7" s="102" t="s">
        <v>54</v>
      </c>
      <c r="I7" s="102" t="s">
        <v>55</v>
      </c>
      <c r="J7" s="112">
        <v>-313</v>
      </c>
      <c r="K7" s="113" t="s">
        <v>88</v>
      </c>
      <c r="L7" s="95">
        <v>19645587</v>
      </c>
      <c r="M7" s="106" t="s">
        <v>92</v>
      </c>
      <c r="N7" s="106" t="s">
        <v>94</v>
      </c>
    </row>
    <row r="8" spans="1:14" ht="15" customHeight="1" x14ac:dyDescent="0.2">
      <c r="A8" s="116"/>
      <c r="B8" s="116"/>
      <c r="C8" s="116"/>
      <c r="D8" s="116"/>
      <c r="E8" s="116"/>
      <c r="F8" s="116"/>
      <c r="G8" s="116"/>
      <c r="H8" s="116"/>
      <c r="I8" s="116"/>
      <c r="J8" s="116"/>
      <c r="K8" s="116"/>
      <c r="L8" s="116"/>
    </row>
    <row r="9" spans="1:14" ht="15" customHeight="1" x14ac:dyDescent="0.2">
      <c r="A9" s="116"/>
      <c r="B9" s="116"/>
      <c r="C9" s="116"/>
      <c r="D9" s="116"/>
      <c r="E9" s="116"/>
      <c r="F9" s="116"/>
      <c r="G9" s="116"/>
      <c r="H9" s="116"/>
      <c r="I9" s="116"/>
      <c r="J9" s="116"/>
      <c r="K9" s="116"/>
      <c r="L9" s="116"/>
    </row>
    <row r="10" spans="1:14" ht="15" customHeight="1" x14ac:dyDescent="0.2">
      <c r="A10" s="116"/>
      <c r="B10" s="116"/>
      <c r="C10" s="116"/>
      <c r="D10" s="116"/>
      <c r="E10" s="116"/>
      <c r="F10" s="116"/>
      <c r="G10" s="116"/>
      <c r="H10" s="116"/>
      <c r="I10" s="116"/>
      <c r="J10" s="116"/>
      <c r="K10" s="116"/>
      <c r="L10" s="116"/>
    </row>
    <row r="11" spans="1:14" ht="15" customHeight="1" x14ac:dyDescent="0.2">
      <c r="A11" s="116"/>
      <c r="B11" s="116"/>
      <c r="C11" s="116"/>
      <c r="D11" s="116"/>
      <c r="E11" s="116"/>
      <c r="F11" s="116"/>
      <c r="G11" s="116"/>
      <c r="H11" s="116"/>
      <c r="I11" s="116"/>
      <c r="J11" s="116"/>
      <c r="K11" s="116"/>
      <c r="L11" s="116"/>
    </row>
    <row r="12" spans="1:14" ht="15" customHeight="1" x14ac:dyDescent="0.2">
      <c r="A12" s="116"/>
      <c r="B12" s="116"/>
      <c r="C12" s="116"/>
      <c r="D12" s="116"/>
      <c r="E12" s="116"/>
      <c r="F12" s="116"/>
      <c r="G12" s="116"/>
      <c r="H12" s="116"/>
      <c r="I12" s="116"/>
      <c r="J12" s="116"/>
    </row>
    <row r="13" spans="1:14" ht="15" customHeight="1" x14ac:dyDescent="0.2">
      <c r="A13" s="116"/>
      <c r="B13" s="116"/>
      <c r="C13" s="116"/>
      <c r="D13" s="116"/>
      <c r="E13" s="116"/>
      <c r="F13" s="116"/>
      <c r="G13" s="116"/>
      <c r="H13" s="116"/>
      <c r="I13" s="116"/>
      <c r="J13" s="116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FormActionServlet</dc:title>
  <cp:lastModifiedBy>Cabel, Denisse Raeka</cp:lastModifiedBy>
  <dcterms:created xsi:type="dcterms:W3CDTF">2025-03-20T15:54:56Z</dcterms:created>
  <dcterms:modified xsi:type="dcterms:W3CDTF">2025-03-26T14:57:37Z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2025-03-20T00:00:00Z</vt:filetime>
  </property>
  <property fmtid="{D5CDD505-2E9C-101B-9397-08002B2CF9AE}" pid="3" name="LastSaved">
    <vt:filetime>2025-03-20T00:00:00Z</vt:filetime>
  </property>
  <property fmtid="{D5CDD505-2E9C-101B-9397-08002B2CF9AE}" pid="4" name="Producer">
    <vt:lpwstr>Microsoft: Print To PDF</vt:lpwstr>
  </property>
</Properties>
</file>