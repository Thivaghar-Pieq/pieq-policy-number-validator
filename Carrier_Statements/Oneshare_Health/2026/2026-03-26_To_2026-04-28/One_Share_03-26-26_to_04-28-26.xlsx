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s-all-export-2026_04_" sheetId="1" r:id="rId4"/>
    <sheet state="visible" name="Sheet1" sheetId="2" r:id="rId5"/>
    <sheet state="visible" name="Sheet2" sheetId="3" r:id="rId6"/>
  </sheets>
  <definedNames/>
  <calcPr/>
  <extLst>
    <ext uri="GoogleSheetsCustomDataVersion2">
      <go:sheetsCustomData xmlns:go="http://customooxmlschemas.google.com/" r:id="rId7" roundtripDataChecksum="GrY50QZ7EYgllBTVtJcnVDnfFtj0ri4VFal8J26t8Og="/>
    </ext>
  </extLst>
</workbook>
</file>

<file path=xl/sharedStrings.xml><?xml version="1.0" encoding="utf-8"?>
<sst xmlns="http://schemas.openxmlformats.org/spreadsheetml/2006/main" count="1103" uniqueCount="129">
  <si>
    <t>Pay to Producer</t>
  </si>
  <si>
    <t>Writing Producer</t>
  </si>
  <si>
    <t>Member</t>
  </si>
  <si>
    <t>Member ID</t>
  </si>
  <si>
    <t>Member Status</t>
  </si>
  <si>
    <t>Member Active Date</t>
  </si>
  <si>
    <t>Member Payment Date</t>
  </si>
  <si>
    <t>Member Payment Type</t>
  </si>
  <si>
    <t>Program Name</t>
  </si>
  <si>
    <t>Monthly Contribution Amount</t>
  </si>
  <si>
    <t>Commissionable Amount</t>
  </si>
  <si>
    <t>Commission Rate</t>
  </si>
  <si>
    <t>Commission Paid</t>
  </si>
  <si>
    <t>Status</t>
  </si>
  <si>
    <t>Commission Payment Date</t>
  </si>
  <si>
    <t>Notes</t>
  </si>
  <si>
    <t>Main Line Benefits, LLC</t>
  </si>
  <si>
    <t>Victor Fuentes [mFtIAL]</t>
  </si>
  <si>
    <t>Ramon Solorio Naranjo</t>
  </si>
  <si>
    <t>Inactive</t>
  </si>
  <si>
    <t>Charge</t>
  </si>
  <si>
    <t>OneShare Classic - Crown</t>
  </si>
  <si>
    <t>Unpaid</t>
  </si>
  <si>
    <t>Jose Torres [WKoIAN]</t>
  </si>
  <si>
    <t>Herminia Gomez</t>
  </si>
  <si>
    <t>OneShare Classic - Enhanced</t>
  </si>
  <si>
    <t>Paid</t>
  </si>
  <si>
    <t>Maria Ruano</t>
  </si>
  <si>
    <t>OneShare Classic - Basic</t>
  </si>
  <si>
    <t>Heather Geske [x0rIAD]</t>
  </si>
  <si>
    <t>Christopher Kelly</t>
  </si>
  <si>
    <t>Active</t>
  </si>
  <si>
    <t>Matthew John Sherman [jkJYAR]</t>
  </si>
  <si>
    <t>Susan Stafford</t>
  </si>
  <si>
    <t>Brian Strohman [KHZIA3]</t>
  </si>
  <si>
    <t>Keith Thomson</t>
  </si>
  <si>
    <t>OneShare Catastrophic - $150,000/$300,000</t>
  </si>
  <si>
    <t>Phillip Beehler</t>
  </si>
  <si>
    <t>Stephen Milton</t>
  </si>
  <si>
    <t>Zachariah Heath</t>
  </si>
  <si>
    <t>Pamela Deaton [cnhIAB]</t>
  </si>
  <si>
    <t>Susan Casey</t>
  </si>
  <si>
    <t>Robley Johnson</t>
  </si>
  <si>
    <t>OneShare Catastrophic365 - $150,000/$300,000</t>
  </si>
  <si>
    <t>Angela McIntyre</t>
  </si>
  <si>
    <t>OneShare Catastrophic365 - $250,000/$500,000</t>
  </si>
  <si>
    <t>Sean Whobrey</t>
  </si>
  <si>
    <t>Dustin Essig</t>
  </si>
  <si>
    <t>Marc Wells</t>
  </si>
  <si>
    <t>Michael Dunavant [tH7IAK]</t>
  </si>
  <si>
    <t>Mark Powell</t>
  </si>
  <si>
    <t>OneShare Catastrophic365 - $500,000/$1,000,000</t>
  </si>
  <si>
    <t>Andrew Rector III</t>
  </si>
  <si>
    <t>James Quaid</t>
  </si>
  <si>
    <t>Susan Kelley</t>
  </si>
  <si>
    <t>Sara Huddleston</t>
  </si>
  <si>
    <t>John Harris</t>
  </si>
  <si>
    <t>Josiah Chya</t>
  </si>
  <si>
    <t>Robin Fewell</t>
  </si>
  <si>
    <t>Jacob Yale [2a1IAD]</t>
  </si>
  <si>
    <t>ADRIANA ROJO</t>
  </si>
  <si>
    <t>Marie Berthoumieux</t>
  </si>
  <si>
    <t>Sophie Muir</t>
  </si>
  <si>
    <t>Lynda Nagl</t>
  </si>
  <si>
    <t>Angie Waters</t>
  </si>
  <si>
    <t>Roxanne Hartrich</t>
  </si>
  <si>
    <t>Everett Maaks</t>
  </si>
  <si>
    <t>Diana Moon</t>
  </si>
  <si>
    <t>Cristina Ortega Henderson</t>
  </si>
  <si>
    <t>JOSEPH HUNTZICKER</t>
  </si>
  <si>
    <t>Anthony Kloster</t>
  </si>
  <si>
    <t>Antoinette Bonacci-Miller</t>
  </si>
  <si>
    <t>Deanna Sutak</t>
  </si>
  <si>
    <t>Jonathan Aloff [StdIAF]</t>
  </si>
  <si>
    <t>Jonathan Aloff</t>
  </si>
  <si>
    <t>Raci Evans</t>
  </si>
  <si>
    <t>Hannah Minton</t>
  </si>
  <si>
    <t>Gary Portugal [M8zIAH]</t>
  </si>
  <si>
    <t>Mary Yunker</t>
  </si>
  <si>
    <t>Rebecca Byrd</t>
  </si>
  <si>
    <t>Brian Riley</t>
  </si>
  <si>
    <t>Robyn Reinmann</t>
  </si>
  <si>
    <t>Parker Meskimen</t>
  </si>
  <si>
    <t>Randy Tornquist</t>
  </si>
  <si>
    <t>Bradley Moreland</t>
  </si>
  <si>
    <t>Wesley Blanchard</t>
  </si>
  <si>
    <t>Kurt Tjardis</t>
  </si>
  <si>
    <t>Kurt Vissering</t>
  </si>
  <si>
    <t>Jackson Carson</t>
  </si>
  <si>
    <t>OneShare Catastrophic - $500,000/$1,000,000</t>
  </si>
  <si>
    <t>Joseph Weisenfelder</t>
  </si>
  <si>
    <t>Carin Weiss-Krolikowski</t>
  </si>
  <si>
    <t>Lori McGowan</t>
  </si>
  <si>
    <t>Donald Bounds</t>
  </si>
  <si>
    <t>Kelli Maquet</t>
  </si>
  <si>
    <t>Matthew Eich</t>
  </si>
  <si>
    <t>Alex Diekhoff</t>
  </si>
  <si>
    <t>Tobi McBride</t>
  </si>
  <si>
    <t>Barry Brenner [kPiIAJ]</t>
  </si>
  <si>
    <t>Jose Chuya</t>
  </si>
  <si>
    <t>WILLIAM BATKA</t>
  </si>
  <si>
    <t>Daniel Carranza</t>
  </si>
  <si>
    <t>Rhonda George</t>
  </si>
  <si>
    <t>Matthew Runyan</t>
  </si>
  <si>
    <t>Marta Rhyner</t>
  </si>
  <si>
    <t>Roman Prunczak</t>
  </si>
  <si>
    <t>Cynthia Schneider</t>
  </si>
  <si>
    <t>Kylie Lenschow</t>
  </si>
  <si>
    <t>Neal Fridrich</t>
  </si>
  <si>
    <t>Janice Garriott</t>
  </si>
  <si>
    <t>Danette Weber</t>
  </si>
  <si>
    <t>Ronald Fryman</t>
  </si>
  <si>
    <t>Thomas Kucan [OEjIAN]</t>
  </si>
  <si>
    <t>Tracy Macdonald</t>
  </si>
  <si>
    <t>Linda Massa</t>
  </si>
  <si>
    <t>Agent Name</t>
  </si>
  <si>
    <t>eACID</t>
  </si>
  <si>
    <t>Barry Brenner</t>
  </si>
  <si>
    <t>21348299old</t>
  </si>
  <si>
    <t>Brian Strohman</t>
  </si>
  <si>
    <t>Gary Portugal</t>
  </si>
  <si>
    <t>Heather Geske</t>
  </si>
  <si>
    <t>Jacob Yale</t>
  </si>
  <si>
    <t>Matthew John Sherman</t>
  </si>
  <si>
    <t>Jose Torres</t>
  </si>
  <si>
    <t>Michael Dunavant</t>
  </si>
  <si>
    <t>Pamela Deaton</t>
  </si>
  <si>
    <t>Thomas Kucan</t>
  </si>
  <si>
    <t>Victor Fuentes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</si>
</sst>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2" fontId="2" numFmtId="14" xfId="0" applyFont="1" applyNumberFormat="1"/>
    <xf borderId="0" fillId="2" fontId="2" numFmtId="164" xfId="0" applyFont="1" applyNumberFormat="1"/>
    <xf borderId="0" fillId="0" fontId="2" numFmtId="14" xfId="0" applyFont="1" applyNumberFormat="1"/>
    <xf borderId="0" fillId="0" fontId="2" numFmtId="164" xfId="0" applyFont="1" applyNumberFormat="1"/>
    <xf borderId="0" fillId="0" fontId="2" numFmtId="9" xfId="0" applyFont="1" applyNumberFormat="1"/>
    <xf borderId="0" fillId="0" fontId="1" numFmtId="4" xfId="0" applyFont="1" applyNumberFormat="1"/>
    <xf borderId="0" fillId="0" fontId="2" numFmtId="2" xfId="0" applyFont="1" applyNumberFormat="1"/>
    <xf borderId="0" fillId="0" fontId="2" numFmtId="4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71"/>
    <col customWidth="1" min="2" max="2" width="47.0"/>
    <col customWidth="1" min="3" max="3" width="24.71"/>
    <col customWidth="1" min="4" max="4" width="10.86"/>
    <col customWidth="1" min="5" max="5" width="14.57"/>
    <col customWidth="1" min="6" max="6" width="19.43"/>
    <col customWidth="1" min="7" max="7" width="21.86"/>
    <col customWidth="1" min="8" max="8" width="22.0"/>
    <col customWidth="1" min="9" max="9" width="44.43"/>
    <col customWidth="1" min="10" max="10" width="28.29"/>
    <col customWidth="1" min="11" max="11" width="23.71"/>
    <col customWidth="1" min="12" max="12" width="16.43"/>
    <col customWidth="1" min="13" max="13" width="16.29"/>
    <col customWidth="1" min="14" max="14" width="7.29"/>
    <col customWidth="1" min="15" max="15" width="25.14"/>
    <col customWidth="1" min="16" max="16" width="24.0"/>
    <col customWidth="1" min="1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>
        <v>2.61877275E8</v>
      </c>
      <c r="E2" s="2" t="s">
        <v>19</v>
      </c>
      <c r="F2" s="3">
        <v>46143.0</v>
      </c>
      <c r="G2" s="3">
        <v>46137.0</v>
      </c>
      <c r="H2" s="2" t="s">
        <v>20</v>
      </c>
      <c r="I2" s="2" t="s">
        <v>21</v>
      </c>
      <c r="J2" s="4">
        <v>695.0</v>
      </c>
      <c r="K2" s="4">
        <v>695.0</v>
      </c>
      <c r="L2" s="4">
        <v>100.0</v>
      </c>
      <c r="M2" s="4">
        <v>100.0</v>
      </c>
      <c r="N2" s="2" t="s">
        <v>22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16</v>
      </c>
      <c r="B3" s="2" t="s">
        <v>23</v>
      </c>
      <c r="C3" s="2" t="s">
        <v>24</v>
      </c>
      <c r="D3" s="2">
        <v>2.61875106E8</v>
      </c>
      <c r="E3" s="2" t="s">
        <v>19</v>
      </c>
      <c r="F3" s="3">
        <v>46160.0</v>
      </c>
      <c r="G3" s="3">
        <v>46131.0</v>
      </c>
      <c r="H3" s="2" t="s">
        <v>20</v>
      </c>
      <c r="I3" s="2" t="s">
        <v>25</v>
      </c>
      <c r="J3" s="4">
        <v>660.0</v>
      </c>
      <c r="K3" s="4">
        <v>660.0</v>
      </c>
      <c r="L3" s="4">
        <v>100.0</v>
      </c>
      <c r="M3" s="4">
        <v>100.0</v>
      </c>
      <c r="N3" s="2" t="s">
        <v>26</v>
      </c>
      <c r="O3" s="3">
        <v>46136.0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16</v>
      </c>
      <c r="B4" s="2" t="s">
        <v>23</v>
      </c>
      <c r="C4" s="2" t="s">
        <v>27</v>
      </c>
      <c r="D4" s="2">
        <v>2.61874861E8</v>
      </c>
      <c r="E4" s="2" t="s">
        <v>19</v>
      </c>
      <c r="F4" s="3">
        <v>46159.0</v>
      </c>
      <c r="G4" s="3">
        <v>46130.0</v>
      </c>
      <c r="H4" s="2" t="s">
        <v>20</v>
      </c>
      <c r="I4" s="2" t="s">
        <v>28</v>
      </c>
      <c r="J4" s="4">
        <v>155.0</v>
      </c>
      <c r="K4" s="4">
        <v>155.0</v>
      </c>
      <c r="L4" s="4">
        <v>100.0</v>
      </c>
      <c r="M4" s="4">
        <v>100.0</v>
      </c>
      <c r="N4" s="2" t="s">
        <v>26</v>
      </c>
      <c r="O4" s="3">
        <v>46136.0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16</v>
      </c>
      <c r="B5" s="2" t="s">
        <v>29</v>
      </c>
      <c r="C5" s="2" t="s">
        <v>30</v>
      </c>
      <c r="D5" s="2">
        <v>2.61873502E8</v>
      </c>
      <c r="E5" s="2" t="s">
        <v>31</v>
      </c>
      <c r="F5" s="3">
        <v>46127.0</v>
      </c>
      <c r="G5" s="3">
        <v>46127.0</v>
      </c>
      <c r="H5" s="2" t="s">
        <v>20</v>
      </c>
      <c r="I5" s="2" t="s">
        <v>21</v>
      </c>
      <c r="J5" s="4">
        <v>395.0</v>
      </c>
      <c r="K5" s="4">
        <v>395.0</v>
      </c>
      <c r="L5" s="4">
        <v>100.0</v>
      </c>
      <c r="M5" s="4">
        <v>100.0</v>
      </c>
      <c r="N5" s="2" t="s">
        <v>26</v>
      </c>
      <c r="O5" s="3">
        <v>46136.0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16</v>
      </c>
      <c r="B6" s="2" t="s">
        <v>32</v>
      </c>
      <c r="C6" s="2" t="s">
        <v>33</v>
      </c>
      <c r="D6" s="2">
        <v>2.61873176E8</v>
      </c>
      <c r="E6" s="2" t="s">
        <v>31</v>
      </c>
      <c r="F6" s="3">
        <v>46126.0</v>
      </c>
      <c r="G6" s="3">
        <v>46126.0</v>
      </c>
      <c r="H6" s="2" t="s">
        <v>20</v>
      </c>
      <c r="I6" s="2" t="s">
        <v>21</v>
      </c>
      <c r="J6" s="4">
        <v>1160.0</v>
      </c>
      <c r="K6" s="4">
        <v>1160.0</v>
      </c>
      <c r="L6" s="4">
        <v>100.0</v>
      </c>
      <c r="M6" s="4">
        <v>100.0</v>
      </c>
      <c r="N6" s="2" t="s">
        <v>26</v>
      </c>
      <c r="O6" s="3">
        <v>46136.0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16</v>
      </c>
      <c r="B7" s="2" t="s">
        <v>34</v>
      </c>
      <c r="C7" s="2" t="s">
        <v>35</v>
      </c>
      <c r="D7" s="2">
        <v>2.61870697E8</v>
      </c>
      <c r="E7" s="2" t="s">
        <v>31</v>
      </c>
      <c r="F7" s="3">
        <v>46115.0</v>
      </c>
      <c r="G7" s="3">
        <v>46115.0</v>
      </c>
      <c r="H7" s="2" t="s">
        <v>20</v>
      </c>
      <c r="I7" s="2" t="s">
        <v>36</v>
      </c>
      <c r="J7" s="4">
        <v>175.0</v>
      </c>
      <c r="K7" s="4">
        <v>175.0</v>
      </c>
      <c r="L7" s="4">
        <v>100.0</v>
      </c>
      <c r="M7" s="4">
        <v>100.0</v>
      </c>
      <c r="N7" s="2" t="s">
        <v>26</v>
      </c>
      <c r="O7" s="3">
        <v>46122.0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16</v>
      </c>
      <c r="B8" s="2" t="s">
        <v>29</v>
      </c>
      <c r="C8" s="2" t="s">
        <v>37</v>
      </c>
      <c r="D8" s="2">
        <v>2.61866598E8</v>
      </c>
      <c r="E8" s="2" t="s">
        <v>31</v>
      </c>
      <c r="F8" s="3">
        <v>46113.0</v>
      </c>
      <c r="G8" s="3">
        <v>46109.0</v>
      </c>
      <c r="H8" s="2" t="s">
        <v>20</v>
      </c>
      <c r="I8" s="2" t="s">
        <v>21</v>
      </c>
      <c r="J8" s="4">
        <v>440.0</v>
      </c>
      <c r="K8" s="4">
        <v>440.0</v>
      </c>
      <c r="L8" s="4">
        <v>100.0</v>
      </c>
      <c r="M8" s="4">
        <v>100.0</v>
      </c>
      <c r="N8" s="2" t="s">
        <v>26</v>
      </c>
      <c r="O8" s="3">
        <v>46114.0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16</v>
      </c>
      <c r="B9" s="2" t="s">
        <v>29</v>
      </c>
      <c r="C9" s="2" t="s">
        <v>38</v>
      </c>
      <c r="D9" s="2">
        <v>2.6186856E8</v>
      </c>
      <c r="E9" s="2" t="s">
        <v>31</v>
      </c>
      <c r="F9" s="3">
        <v>46113.0</v>
      </c>
      <c r="G9" s="3">
        <v>46108.0</v>
      </c>
      <c r="H9" s="2" t="s">
        <v>20</v>
      </c>
      <c r="I9" s="2" t="s">
        <v>28</v>
      </c>
      <c r="J9" s="4">
        <v>315.0</v>
      </c>
      <c r="K9" s="4">
        <v>315.0</v>
      </c>
      <c r="L9" s="4">
        <v>100.0</v>
      </c>
      <c r="M9" s="4">
        <v>100.0</v>
      </c>
      <c r="N9" s="2" t="s">
        <v>26</v>
      </c>
      <c r="O9" s="3">
        <v>46114.0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16</v>
      </c>
      <c r="B10" s="2" t="s">
        <v>32</v>
      </c>
      <c r="C10" s="2" t="s">
        <v>39</v>
      </c>
      <c r="D10" s="2">
        <v>2.61868422E8</v>
      </c>
      <c r="E10" s="2" t="s">
        <v>31</v>
      </c>
      <c r="F10" s="3">
        <v>46113.0</v>
      </c>
      <c r="G10" s="3">
        <v>46108.0</v>
      </c>
      <c r="H10" s="2" t="s">
        <v>20</v>
      </c>
      <c r="I10" s="2" t="s">
        <v>21</v>
      </c>
      <c r="J10" s="4">
        <v>520.0</v>
      </c>
      <c r="K10" s="4">
        <v>520.0</v>
      </c>
      <c r="L10" s="4">
        <v>100.0</v>
      </c>
      <c r="M10" s="4">
        <v>100.0</v>
      </c>
      <c r="N10" s="2" t="s">
        <v>26</v>
      </c>
      <c r="O10" s="3">
        <v>46114.0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16</v>
      </c>
      <c r="B11" s="2" t="s">
        <v>40</v>
      </c>
      <c r="C11" s="2" t="s">
        <v>41</v>
      </c>
      <c r="D11" s="2">
        <v>2.61868471E8</v>
      </c>
      <c r="E11" s="2" t="s">
        <v>31</v>
      </c>
      <c r="F11" s="3">
        <v>46113.0</v>
      </c>
      <c r="G11" s="3">
        <v>46108.0</v>
      </c>
      <c r="H11" s="2" t="s">
        <v>20</v>
      </c>
      <c r="I11" s="2" t="s">
        <v>25</v>
      </c>
      <c r="J11" s="4">
        <v>405.0</v>
      </c>
      <c r="K11" s="4">
        <v>405.0</v>
      </c>
      <c r="L11" s="4">
        <v>100.0</v>
      </c>
      <c r="M11" s="4">
        <v>100.0</v>
      </c>
      <c r="N11" s="2" t="s">
        <v>26</v>
      </c>
      <c r="O11" s="3">
        <v>46114.0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16</v>
      </c>
      <c r="B12" s="1" t="s">
        <v>32</v>
      </c>
      <c r="C12" s="1" t="s">
        <v>39</v>
      </c>
      <c r="D12" s="1">
        <v>2.61868422E8</v>
      </c>
      <c r="E12" s="1" t="s">
        <v>31</v>
      </c>
      <c r="F12" s="5">
        <v>46113.0</v>
      </c>
      <c r="G12" s="5">
        <v>46140.0</v>
      </c>
      <c r="H12" s="1" t="s">
        <v>20</v>
      </c>
      <c r="I12" s="1" t="s">
        <v>21</v>
      </c>
      <c r="J12" s="6">
        <v>520.0</v>
      </c>
      <c r="K12" s="6">
        <v>500.0</v>
      </c>
      <c r="L12" s="7">
        <v>0.25</v>
      </c>
      <c r="M12" s="6">
        <v>125.0</v>
      </c>
      <c r="N12" s="1" t="s">
        <v>22</v>
      </c>
    </row>
    <row r="13">
      <c r="A13" s="1" t="s">
        <v>16</v>
      </c>
      <c r="B13" s="1" t="s">
        <v>32</v>
      </c>
      <c r="C13" s="1" t="s">
        <v>42</v>
      </c>
      <c r="D13" s="1">
        <v>2.61864421E8</v>
      </c>
      <c r="E13" s="1" t="s">
        <v>31</v>
      </c>
      <c r="F13" s="5">
        <v>46113.0</v>
      </c>
      <c r="G13" s="5">
        <v>46140.0</v>
      </c>
      <c r="H13" s="1" t="s">
        <v>20</v>
      </c>
      <c r="I13" s="1" t="s">
        <v>43</v>
      </c>
      <c r="J13" s="6">
        <v>195.0</v>
      </c>
      <c r="K13" s="6">
        <v>185.0</v>
      </c>
      <c r="L13" s="7">
        <v>0.25</v>
      </c>
      <c r="M13" s="6">
        <v>46.25</v>
      </c>
      <c r="N13" s="1" t="s">
        <v>22</v>
      </c>
    </row>
    <row r="14">
      <c r="A14" s="1" t="s">
        <v>16</v>
      </c>
      <c r="B14" s="1" t="s">
        <v>32</v>
      </c>
      <c r="C14" s="1" t="s">
        <v>44</v>
      </c>
      <c r="D14" s="1">
        <v>2.61864331E8</v>
      </c>
      <c r="E14" s="1" t="s">
        <v>31</v>
      </c>
      <c r="F14" s="5">
        <v>46113.0</v>
      </c>
      <c r="G14" s="5">
        <v>46140.0</v>
      </c>
      <c r="H14" s="1" t="s">
        <v>20</v>
      </c>
      <c r="I14" s="1" t="s">
        <v>45</v>
      </c>
      <c r="J14" s="6">
        <v>255.0</v>
      </c>
      <c r="K14" s="6">
        <v>245.0</v>
      </c>
      <c r="L14" s="7">
        <v>0.25</v>
      </c>
      <c r="M14" s="6">
        <v>61.25</v>
      </c>
      <c r="N14" s="1" t="s">
        <v>22</v>
      </c>
    </row>
    <row r="15">
      <c r="A15" s="1" t="s">
        <v>16</v>
      </c>
      <c r="B15" s="1" t="s">
        <v>32</v>
      </c>
      <c r="C15" s="1" t="s">
        <v>46</v>
      </c>
      <c r="D15" s="1">
        <v>2.61860347E8</v>
      </c>
      <c r="E15" s="1" t="s">
        <v>31</v>
      </c>
      <c r="F15" s="5">
        <v>46082.0</v>
      </c>
      <c r="G15" s="5">
        <v>46140.0</v>
      </c>
      <c r="H15" s="1" t="s">
        <v>20</v>
      </c>
      <c r="I15" s="1" t="s">
        <v>45</v>
      </c>
      <c r="J15" s="6">
        <v>365.0</v>
      </c>
      <c r="K15" s="6">
        <v>355.0</v>
      </c>
      <c r="L15" s="7">
        <v>0.25</v>
      </c>
      <c r="M15" s="6">
        <v>88.75</v>
      </c>
      <c r="N15" s="1" t="s">
        <v>22</v>
      </c>
    </row>
    <row r="16">
      <c r="A16" s="1" t="s">
        <v>16</v>
      </c>
      <c r="B16" s="1" t="s">
        <v>32</v>
      </c>
      <c r="C16" s="1" t="s">
        <v>47</v>
      </c>
      <c r="D16" s="1">
        <v>2.61859489E8</v>
      </c>
      <c r="E16" s="1" t="s">
        <v>31</v>
      </c>
      <c r="F16" s="5">
        <v>46082.0</v>
      </c>
      <c r="G16" s="5">
        <v>46140.0</v>
      </c>
      <c r="H16" s="1" t="s">
        <v>20</v>
      </c>
      <c r="I16" s="1" t="s">
        <v>21</v>
      </c>
      <c r="J16" s="6">
        <v>510.0</v>
      </c>
      <c r="K16" s="6">
        <v>490.0</v>
      </c>
      <c r="L16" s="7">
        <v>0.25</v>
      </c>
      <c r="M16" s="6">
        <v>122.5</v>
      </c>
      <c r="N16" s="1" t="s">
        <v>22</v>
      </c>
    </row>
    <row r="17">
      <c r="A17" s="1" t="s">
        <v>16</v>
      </c>
      <c r="B17" s="1" t="s">
        <v>32</v>
      </c>
      <c r="C17" s="1" t="s">
        <v>48</v>
      </c>
      <c r="D17" s="1">
        <v>2.6185866E8</v>
      </c>
      <c r="E17" s="1" t="s">
        <v>31</v>
      </c>
      <c r="F17" s="5">
        <v>46082.0</v>
      </c>
      <c r="G17" s="5">
        <v>46140.0</v>
      </c>
      <c r="H17" s="1" t="s">
        <v>20</v>
      </c>
      <c r="I17" s="1" t="s">
        <v>21</v>
      </c>
      <c r="J17" s="6">
        <v>510.0</v>
      </c>
      <c r="K17" s="6">
        <v>490.0</v>
      </c>
      <c r="L17" s="7">
        <v>0.25</v>
      </c>
      <c r="M17" s="6">
        <v>122.5</v>
      </c>
      <c r="N17" s="1" t="s">
        <v>22</v>
      </c>
    </row>
    <row r="18">
      <c r="A18" s="1" t="s">
        <v>16</v>
      </c>
      <c r="B18" s="1" t="s">
        <v>49</v>
      </c>
      <c r="C18" s="1" t="s">
        <v>50</v>
      </c>
      <c r="D18" s="1">
        <v>2.51834487E8</v>
      </c>
      <c r="E18" s="1" t="s">
        <v>31</v>
      </c>
      <c r="F18" s="5">
        <v>46023.0</v>
      </c>
      <c r="G18" s="5">
        <v>46140.0</v>
      </c>
      <c r="H18" s="1" t="s">
        <v>20</v>
      </c>
      <c r="I18" s="1" t="s">
        <v>51</v>
      </c>
      <c r="J18" s="6">
        <v>670.0</v>
      </c>
      <c r="K18" s="6">
        <v>660.0</v>
      </c>
      <c r="L18" s="7">
        <v>0.25</v>
      </c>
      <c r="M18" s="6">
        <v>165.0</v>
      </c>
      <c r="N18" s="1" t="s">
        <v>22</v>
      </c>
    </row>
    <row r="19">
      <c r="A19" s="1" t="s">
        <v>16</v>
      </c>
      <c r="B19" s="1" t="s">
        <v>49</v>
      </c>
      <c r="C19" s="1" t="s">
        <v>52</v>
      </c>
      <c r="D19" s="1">
        <v>2.51834363E8</v>
      </c>
      <c r="E19" s="1" t="s">
        <v>31</v>
      </c>
      <c r="F19" s="5">
        <v>46023.0</v>
      </c>
      <c r="G19" s="5">
        <v>46140.0</v>
      </c>
      <c r="H19" s="1" t="s">
        <v>20</v>
      </c>
      <c r="I19" s="1" t="s">
        <v>21</v>
      </c>
      <c r="J19" s="6">
        <v>625.0</v>
      </c>
      <c r="K19" s="6">
        <v>605.0</v>
      </c>
      <c r="L19" s="7">
        <v>0.25</v>
      </c>
      <c r="M19" s="6">
        <v>151.25</v>
      </c>
      <c r="N19" s="1" t="s">
        <v>22</v>
      </c>
    </row>
    <row r="20">
      <c r="A20" s="1" t="s">
        <v>16</v>
      </c>
      <c r="B20" s="1" t="s">
        <v>49</v>
      </c>
      <c r="C20" s="1" t="s">
        <v>53</v>
      </c>
      <c r="D20" s="1">
        <v>2.51823603E8</v>
      </c>
      <c r="E20" s="1" t="s">
        <v>31</v>
      </c>
      <c r="F20" s="5">
        <v>46023.0</v>
      </c>
      <c r="G20" s="5">
        <v>46140.0</v>
      </c>
      <c r="H20" s="1" t="s">
        <v>20</v>
      </c>
      <c r="I20" s="1" t="s">
        <v>21</v>
      </c>
      <c r="J20" s="6">
        <v>595.0</v>
      </c>
      <c r="K20" s="6">
        <v>575.0</v>
      </c>
      <c r="L20" s="7">
        <v>0.25</v>
      </c>
      <c r="M20" s="6">
        <v>143.75</v>
      </c>
      <c r="N20" s="1" t="s">
        <v>22</v>
      </c>
    </row>
    <row r="21" ht="15.75" customHeight="1">
      <c r="A21" s="1" t="s">
        <v>16</v>
      </c>
      <c r="B21" s="1" t="s">
        <v>49</v>
      </c>
      <c r="C21" s="1" t="s">
        <v>54</v>
      </c>
      <c r="D21" s="1">
        <v>2.51811126E8</v>
      </c>
      <c r="E21" s="1" t="s">
        <v>31</v>
      </c>
      <c r="F21" s="5">
        <v>46023.0</v>
      </c>
      <c r="G21" s="5">
        <v>46140.0</v>
      </c>
      <c r="H21" s="1" t="s">
        <v>20</v>
      </c>
      <c r="I21" s="1" t="s">
        <v>25</v>
      </c>
      <c r="J21" s="6">
        <v>530.0</v>
      </c>
      <c r="K21" s="6">
        <v>510.0</v>
      </c>
      <c r="L21" s="7">
        <v>0.25</v>
      </c>
      <c r="M21" s="6">
        <v>127.5</v>
      </c>
      <c r="N21" s="1" t="s">
        <v>22</v>
      </c>
    </row>
    <row r="22" ht="15.75" customHeight="1">
      <c r="A22" s="1" t="s">
        <v>16</v>
      </c>
      <c r="B22" s="1" t="s">
        <v>40</v>
      </c>
      <c r="C22" s="1" t="s">
        <v>55</v>
      </c>
      <c r="D22" s="1">
        <v>2.51807518E8</v>
      </c>
      <c r="E22" s="1" t="s">
        <v>31</v>
      </c>
      <c r="F22" s="5">
        <v>46023.0</v>
      </c>
      <c r="G22" s="5">
        <v>46140.0</v>
      </c>
      <c r="H22" s="1" t="s">
        <v>20</v>
      </c>
      <c r="I22" s="1" t="s">
        <v>25</v>
      </c>
      <c r="J22" s="6">
        <v>530.0</v>
      </c>
      <c r="K22" s="6">
        <v>510.0</v>
      </c>
      <c r="L22" s="7">
        <v>0.25</v>
      </c>
      <c r="M22" s="6">
        <v>127.5</v>
      </c>
      <c r="N22" s="1" t="s">
        <v>22</v>
      </c>
    </row>
    <row r="23" ht="15.75" customHeight="1">
      <c r="A23" s="1" t="s">
        <v>16</v>
      </c>
      <c r="B23" s="1" t="s">
        <v>49</v>
      </c>
      <c r="C23" s="1" t="s">
        <v>56</v>
      </c>
      <c r="D23" s="1">
        <v>2.51804065E8</v>
      </c>
      <c r="E23" s="1" t="s">
        <v>31</v>
      </c>
      <c r="F23" s="5">
        <v>46023.0</v>
      </c>
      <c r="G23" s="5">
        <v>46140.0</v>
      </c>
      <c r="H23" s="1" t="s">
        <v>20</v>
      </c>
      <c r="I23" s="1" t="s">
        <v>25</v>
      </c>
      <c r="J23" s="6">
        <v>465.0</v>
      </c>
      <c r="K23" s="6">
        <v>445.0</v>
      </c>
      <c r="L23" s="7">
        <v>0.25</v>
      </c>
      <c r="M23" s="6">
        <v>111.25</v>
      </c>
      <c r="N23" s="1" t="s">
        <v>22</v>
      </c>
    </row>
    <row r="24" ht="15.75" customHeight="1">
      <c r="A24" s="1" t="s">
        <v>16</v>
      </c>
      <c r="B24" s="1" t="s">
        <v>49</v>
      </c>
      <c r="C24" s="1" t="s">
        <v>57</v>
      </c>
      <c r="D24" s="1">
        <v>2.51802495E8</v>
      </c>
      <c r="E24" s="1" t="s">
        <v>31</v>
      </c>
      <c r="F24" s="5">
        <v>46023.0</v>
      </c>
      <c r="G24" s="5">
        <v>46140.0</v>
      </c>
      <c r="H24" s="1" t="s">
        <v>20</v>
      </c>
      <c r="I24" s="1" t="s">
        <v>21</v>
      </c>
      <c r="J24" s="6">
        <v>235.0</v>
      </c>
      <c r="K24" s="6">
        <v>215.0</v>
      </c>
      <c r="L24" s="7">
        <v>0.25</v>
      </c>
      <c r="M24" s="6">
        <v>53.75</v>
      </c>
      <c r="N24" s="1" t="s">
        <v>22</v>
      </c>
    </row>
    <row r="25" ht="15.75" customHeight="1">
      <c r="A25" s="1" t="s">
        <v>16</v>
      </c>
      <c r="B25" s="1" t="s">
        <v>49</v>
      </c>
      <c r="C25" s="1" t="s">
        <v>58</v>
      </c>
      <c r="D25" s="1">
        <v>2.51800554E8</v>
      </c>
      <c r="E25" s="1" t="s">
        <v>31</v>
      </c>
      <c r="F25" s="5">
        <v>46023.0</v>
      </c>
      <c r="G25" s="5">
        <v>46140.0</v>
      </c>
      <c r="H25" s="1" t="s">
        <v>20</v>
      </c>
      <c r="I25" s="1" t="s">
        <v>21</v>
      </c>
      <c r="J25" s="6">
        <v>595.0</v>
      </c>
      <c r="K25" s="6">
        <v>575.0</v>
      </c>
      <c r="L25" s="7">
        <v>0.25</v>
      </c>
      <c r="M25" s="6">
        <v>143.75</v>
      </c>
      <c r="N25" s="1" t="s">
        <v>22</v>
      </c>
    </row>
    <row r="26" ht="15.75" customHeight="1">
      <c r="A26" s="1" t="s">
        <v>16</v>
      </c>
      <c r="B26" s="1" t="s">
        <v>59</v>
      </c>
      <c r="C26" s="1" t="s">
        <v>60</v>
      </c>
      <c r="D26" s="1">
        <v>1076165.0</v>
      </c>
      <c r="E26" s="1" t="s">
        <v>31</v>
      </c>
      <c r="F26" s="5">
        <v>45563.0</v>
      </c>
      <c r="G26" s="5">
        <v>46139.0</v>
      </c>
      <c r="H26" s="1" t="s">
        <v>20</v>
      </c>
      <c r="I26" s="1" t="s">
        <v>36</v>
      </c>
      <c r="J26" s="6">
        <v>155.0</v>
      </c>
      <c r="K26" s="6">
        <v>145.0</v>
      </c>
      <c r="L26" s="7">
        <v>0.25</v>
      </c>
      <c r="M26" s="6">
        <v>36.25</v>
      </c>
      <c r="N26" s="1" t="s">
        <v>22</v>
      </c>
    </row>
    <row r="27" ht="15.75" customHeight="1">
      <c r="A27" s="1" t="s">
        <v>16</v>
      </c>
      <c r="B27" s="1" t="s">
        <v>32</v>
      </c>
      <c r="C27" s="1" t="s">
        <v>61</v>
      </c>
      <c r="D27" s="1">
        <v>2.51839313E8</v>
      </c>
      <c r="E27" s="1" t="s">
        <v>31</v>
      </c>
      <c r="F27" s="5">
        <v>46023.0</v>
      </c>
      <c r="G27" s="5">
        <v>46139.0</v>
      </c>
      <c r="H27" s="1" t="s">
        <v>20</v>
      </c>
      <c r="I27" s="1" t="s">
        <v>21</v>
      </c>
      <c r="J27" s="6">
        <v>510.0</v>
      </c>
      <c r="K27" s="6">
        <v>490.0</v>
      </c>
      <c r="L27" s="7">
        <v>0.25</v>
      </c>
      <c r="M27" s="6">
        <v>122.5</v>
      </c>
      <c r="N27" s="1" t="s">
        <v>22</v>
      </c>
    </row>
    <row r="28" ht="15.75" customHeight="1">
      <c r="A28" s="1" t="s">
        <v>16</v>
      </c>
      <c r="B28" s="1" t="s">
        <v>29</v>
      </c>
      <c r="C28" s="1" t="s">
        <v>38</v>
      </c>
      <c r="D28" s="1">
        <v>2.6186856E8</v>
      </c>
      <c r="E28" s="1" t="s">
        <v>31</v>
      </c>
      <c r="F28" s="5">
        <v>46113.0</v>
      </c>
      <c r="G28" s="5">
        <v>46138.0</v>
      </c>
      <c r="H28" s="1" t="s">
        <v>20</v>
      </c>
      <c r="I28" s="1" t="s">
        <v>28</v>
      </c>
      <c r="J28" s="6">
        <v>315.0</v>
      </c>
      <c r="K28" s="6">
        <v>295.0</v>
      </c>
      <c r="L28" s="7">
        <v>0.25</v>
      </c>
      <c r="M28" s="6">
        <v>73.75</v>
      </c>
      <c r="N28" s="1" t="s">
        <v>22</v>
      </c>
    </row>
    <row r="29" ht="15.75" customHeight="1">
      <c r="A29" s="1" t="s">
        <v>16</v>
      </c>
      <c r="B29" s="1" t="s">
        <v>29</v>
      </c>
      <c r="C29" s="1" t="s">
        <v>62</v>
      </c>
      <c r="D29" s="1">
        <v>2.51817599E8</v>
      </c>
      <c r="E29" s="1" t="s">
        <v>31</v>
      </c>
      <c r="F29" s="5">
        <v>46023.0</v>
      </c>
      <c r="G29" s="5">
        <v>46138.0</v>
      </c>
      <c r="H29" s="1" t="s">
        <v>20</v>
      </c>
      <c r="I29" s="1" t="s">
        <v>21</v>
      </c>
      <c r="J29" s="6">
        <v>620.0</v>
      </c>
      <c r="K29" s="6">
        <v>600.0</v>
      </c>
      <c r="L29" s="7">
        <v>0.25</v>
      </c>
      <c r="M29" s="6">
        <v>150.0</v>
      </c>
      <c r="N29" s="1" t="s">
        <v>22</v>
      </c>
    </row>
    <row r="30" ht="15.75" customHeight="1">
      <c r="A30" s="1" t="s">
        <v>16</v>
      </c>
      <c r="B30" s="1" t="s">
        <v>29</v>
      </c>
      <c r="C30" s="1" t="s">
        <v>63</v>
      </c>
      <c r="D30" s="1">
        <v>2.51815732E8</v>
      </c>
      <c r="E30" s="1" t="s">
        <v>31</v>
      </c>
      <c r="F30" s="5">
        <v>46023.0</v>
      </c>
      <c r="G30" s="5">
        <v>46138.0</v>
      </c>
      <c r="H30" s="1" t="s">
        <v>20</v>
      </c>
      <c r="I30" s="1" t="s">
        <v>25</v>
      </c>
      <c r="J30" s="6">
        <v>450.0</v>
      </c>
      <c r="K30" s="6">
        <v>430.0</v>
      </c>
      <c r="L30" s="7">
        <v>0.25</v>
      </c>
      <c r="M30" s="6">
        <v>107.5</v>
      </c>
      <c r="N30" s="1" t="s">
        <v>22</v>
      </c>
    </row>
    <row r="31" ht="15.75" customHeight="1">
      <c r="A31" s="1" t="s">
        <v>16</v>
      </c>
      <c r="B31" s="1" t="s">
        <v>29</v>
      </c>
      <c r="C31" s="1" t="s">
        <v>64</v>
      </c>
      <c r="D31" s="1">
        <v>2.51811175E8</v>
      </c>
      <c r="E31" s="1" t="s">
        <v>31</v>
      </c>
      <c r="F31" s="5">
        <v>46023.0</v>
      </c>
      <c r="G31" s="5">
        <v>46138.0</v>
      </c>
      <c r="H31" s="1" t="s">
        <v>20</v>
      </c>
      <c r="I31" s="1" t="s">
        <v>21</v>
      </c>
      <c r="J31" s="6">
        <v>345.0</v>
      </c>
      <c r="K31" s="6">
        <v>325.0</v>
      </c>
      <c r="L31" s="7">
        <v>0.25</v>
      </c>
      <c r="M31" s="6">
        <v>81.25</v>
      </c>
      <c r="N31" s="1" t="s">
        <v>22</v>
      </c>
    </row>
    <row r="32" ht="15.75" customHeight="1">
      <c r="A32" s="1" t="s">
        <v>16</v>
      </c>
      <c r="B32" s="1" t="s">
        <v>17</v>
      </c>
      <c r="C32" s="1" t="s">
        <v>18</v>
      </c>
      <c r="D32" s="1">
        <v>2.61877275E8</v>
      </c>
      <c r="E32" s="1" t="s">
        <v>19</v>
      </c>
      <c r="F32" s="5">
        <v>46143.0</v>
      </c>
      <c r="G32" s="5">
        <v>46137.0</v>
      </c>
      <c r="H32" s="1" t="s">
        <v>20</v>
      </c>
      <c r="I32" s="1" t="s">
        <v>21</v>
      </c>
      <c r="J32" s="6">
        <v>695.0</v>
      </c>
      <c r="K32" s="6">
        <v>675.0</v>
      </c>
      <c r="L32" s="7">
        <v>0.25</v>
      </c>
      <c r="M32" s="6">
        <v>168.75</v>
      </c>
      <c r="N32" s="1" t="s">
        <v>22</v>
      </c>
    </row>
    <row r="33" ht="15.75" customHeight="1">
      <c r="A33" s="1" t="s">
        <v>16</v>
      </c>
      <c r="B33" s="1" t="s">
        <v>40</v>
      </c>
      <c r="C33" s="1" t="s">
        <v>65</v>
      </c>
      <c r="D33" s="1">
        <v>2.61847853E8</v>
      </c>
      <c r="E33" s="1" t="s">
        <v>31</v>
      </c>
      <c r="F33" s="5">
        <v>46045.0</v>
      </c>
      <c r="G33" s="5">
        <v>46134.0</v>
      </c>
      <c r="H33" s="1" t="s">
        <v>20</v>
      </c>
      <c r="I33" s="1" t="s">
        <v>25</v>
      </c>
      <c r="J33" s="6">
        <v>685.0</v>
      </c>
      <c r="K33" s="6">
        <v>665.0</v>
      </c>
      <c r="L33" s="7">
        <v>0.25</v>
      </c>
      <c r="M33" s="6">
        <v>166.25</v>
      </c>
      <c r="N33" s="1" t="s">
        <v>22</v>
      </c>
    </row>
    <row r="34" ht="15.75" customHeight="1">
      <c r="A34" s="1" t="s">
        <v>16</v>
      </c>
      <c r="B34" s="1" t="s">
        <v>49</v>
      </c>
      <c r="C34" s="1" t="s">
        <v>66</v>
      </c>
      <c r="D34" s="1">
        <v>2.61843705E8</v>
      </c>
      <c r="E34" s="1" t="s">
        <v>31</v>
      </c>
      <c r="F34" s="5">
        <v>46045.0</v>
      </c>
      <c r="G34" s="5">
        <v>46134.0</v>
      </c>
      <c r="H34" s="1" t="s">
        <v>20</v>
      </c>
      <c r="I34" s="1" t="s">
        <v>43</v>
      </c>
      <c r="J34" s="6">
        <v>75.0</v>
      </c>
      <c r="K34" s="6">
        <v>65.0</v>
      </c>
      <c r="L34" s="7">
        <v>0.25</v>
      </c>
      <c r="M34" s="6">
        <v>16.25</v>
      </c>
      <c r="N34" s="1" t="s">
        <v>22</v>
      </c>
    </row>
    <row r="35" ht="15.75" customHeight="1">
      <c r="A35" s="1" t="s">
        <v>16</v>
      </c>
      <c r="B35" s="1" t="s">
        <v>23</v>
      </c>
      <c r="C35" s="1" t="s">
        <v>24</v>
      </c>
      <c r="D35" s="1">
        <v>2.61875106E8</v>
      </c>
      <c r="E35" s="1" t="s">
        <v>19</v>
      </c>
      <c r="F35" s="5">
        <v>46160.0</v>
      </c>
      <c r="G35" s="5">
        <v>46131.0</v>
      </c>
      <c r="H35" s="1" t="s">
        <v>20</v>
      </c>
      <c r="I35" s="1" t="s">
        <v>25</v>
      </c>
      <c r="J35" s="6">
        <v>660.0</v>
      </c>
      <c r="K35" s="6">
        <v>640.0</v>
      </c>
      <c r="L35" s="7">
        <v>0.25</v>
      </c>
      <c r="M35" s="6">
        <v>160.0</v>
      </c>
      <c r="N35" s="1" t="s">
        <v>26</v>
      </c>
      <c r="O35" s="5">
        <v>46136.0</v>
      </c>
    </row>
    <row r="36" ht="15.75" customHeight="1">
      <c r="A36" s="1" t="s">
        <v>16</v>
      </c>
      <c r="B36" s="1" t="s">
        <v>23</v>
      </c>
      <c r="C36" s="1" t="s">
        <v>27</v>
      </c>
      <c r="D36" s="1">
        <v>2.61874861E8</v>
      </c>
      <c r="E36" s="1" t="s">
        <v>19</v>
      </c>
      <c r="F36" s="5">
        <v>46159.0</v>
      </c>
      <c r="G36" s="5">
        <v>46130.0</v>
      </c>
      <c r="H36" s="1" t="s">
        <v>20</v>
      </c>
      <c r="I36" s="1" t="s">
        <v>28</v>
      </c>
      <c r="J36" s="6">
        <v>155.0</v>
      </c>
      <c r="K36" s="6">
        <v>135.0</v>
      </c>
      <c r="L36" s="7">
        <v>0.25</v>
      </c>
      <c r="M36" s="6">
        <v>33.75</v>
      </c>
      <c r="N36" s="1" t="s">
        <v>26</v>
      </c>
      <c r="O36" s="5">
        <v>46136.0</v>
      </c>
    </row>
    <row r="37" ht="15.75" customHeight="1">
      <c r="A37" s="1" t="s">
        <v>16</v>
      </c>
      <c r="B37" s="1" t="s">
        <v>32</v>
      </c>
      <c r="C37" s="1" t="s">
        <v>67</v>
      </c>
      <c r="D37" s="1">
        <v>2.5182573E8</v>
      </c>
      <c r="E37" s="1" t="s">
        <v>31</v>
      </c>
      <c r="F37" s="5">
        <v>46023.0</v>
      </c>
      <c r="G37" s="5">
        <v>46130.0</v>
      </c>
      <c r="H37" s="1" t="s">
        <v>20</v>
      </c>
      <c r="I37" s="1" t="s">
        <v>21</v>
      </c>
      <c r="J37" s="6">
        <v>760.0</v>
      </c>
      <c r="K37" s="6">
        <v>740.0</v>
      </c>
      <c r="L37" s="7">
        <v>0.25</v>
      </c>
      <c r="M37" s="6">
        <v>185.0</v>
      </c>
      <c r="N37" s="1" t="s">
        <v>26</v>
      </c>
      <c r="O37" s="5">
        <v>46136.0</v>
      </c>
    </row>
    <row r="38" ht="15.75" customHeight="1">
      <c r="A38" s="1" t="s">
        <v>16</v>
      </c>
      <c r="B38" s="1" t="s">
        <v>32</v>
      </c>
      <c r="C38" s="1" t="s">
        <v>68</v>
      </c>
      <c r="D38" s="1">
        <v>2.61857287E8</v>
      </c>
      <c r="E38" s="1" t="s">
        <v>31</v>
      </c>
      <c r="F38" s="5">
        <v>46071.0</v>
      </c>
      <c r="G38" s="5">
        <v>46129.0</v>
      </c>
      <c r="H38" s="1" t="s">
        <v>20</v>
      </c>
      <c r="I38" s="1" t="s">
        <v>21</v>
      </c>
      <c r="J38" s="6">
        <v>810.0</v>
      </c>
      <c r="K38" s="6">
        <v>790.0</v>
      </c>
      <c r="L38" s="7">
        <v>0.25</v>
      </c>
      <c r="M38" s="6">
        <v>197.5</v>
      </c>
      <c r="N38" s="1" t="s">
        <v>26</v>
      </c>
      <c r="O38" s="5">
        <v>46136.0</v>
      </c>
    </row>
    <row r="39" ht="15.75" customHeight="1">
      <c r="A39" s="1" t="s">
        <v>16</v>
      </c>
      <c r="B39" s="1" t="s">
        <v>29</v>
      </c>
      <c r="C39" s="1" t="s">
        <v>30</v>
      </c>
      <c r="D39" s="1">
        <v>2.61873502E8</v>
      </c>
      <c r="E39" s="1" t="s">
        <v>31</v>
      </c>
      <c r="F39" s="5">
        <v>46127.0</v>
      </c>
      <c r="G39" s="5">
        <v>46127.0</v>
      </c>
      <c r="H39" s="1" t="s">
        <v>20</v>
      </c>
      <c r="I39" s="1" t="s">
        <v>21</v>
      </c>
      <c r="J39" s="6">
        <v>395.0</v>
      </c>
      <c r="K39" s="6">
        <v>375.0</v>
      </c>
      <c r="L39" s="7">
        <v>0.25</v>
      </c>
      <c r="M39" s="6">
        <v>93.75</v>
      </c>
      <c r="N39" s="1" t="s">
        <v>26</v>
      </c>
      <c r="O39" s="5">
        <v>46136.0</v>
      </c>
    </row>
    <row r="40" ht="15.75" customHeight="1">
      <c r="A40" s="1" t="s">
        <v>16</v>
      </c>
      <c r="B40" s="1" t="s">
        <v>34</v>
      </c>
      <c r="C40" s="1" t="s">
        <v>35</v>
      </c>
      <c r="D40" s="1">
        <v>2.61870697E8</v>
      </c>
      <c r="E40" s="1" t="s">
        <v>31</v>
      </c>
      <c r="F40" s="5">
        <v>46115.0</v>
      </c>
      <c r="G40" s="5">
        <v>46127.0</v>
      </c>
      <c r="H40" s="1" t="s">
        <v>20</v>
      </c>
      <c r="I40" s="1" t="s">
        <v>36</v>
      </c>
      <c r="J40" s="6">
        <v>175.0</v>
      </c>
      <c r="K40" s="6">
        <v>165.0</v>
      </c>
      <c r="L40" s="7">
        <v>0.25</v>
      </c>
      <c r="M40" s="6">
        <v>41.25</v>
      </c>
      <c r="N40" s="1" t="s">
        <v>26</v>
      </c>
      <c r="O40" s="5">
        <v>46136.0</v>
      </c>
    </row>
    <row r="41" ht="15.75" customHeight="1">
      <c r="A41" s="1" t="s">
        <v>16</v>
      </c>
      <c r="B41" s="1" t="s">
        <v>29</v>
      </c>
      <c r="C41" s="1" t="s">
        <v>69</v>
      </c>
      <c r="D41" s="1">
        <v>1084508.0</v>
      </c>
      <c r="E41" s="1" t="s">
        <v>31</v>
      </c>
      <c r="F41" s="5">
        <v>45641.0</v>
      </c>
      <c r="G41" s="5">
        <v>46126.0</v>
      </c>
      <c r="H41" s="1" t="s">
        <v>20</v>
      </c>
      <c r="I41" s="1" t="s">
        <v>25</v>
      </c>
      <c r="J41" s="6">
        <v>285.0</v>
      </c>
      <c r="K41" s="6">
        <v>265.0</v>
      </c>
      <c r="L41" s="7">
        <v>0.25</v>
      </c>
      <c r="M41" s="6">
        <v>66.25</v>
      </c>
      <c r="N41" s="1" t="s">
        <v>26</v>
      </c>
      <c r="O41" s="5">
        <v>46136.0</v>
      </c>
    </row>
    <row r="42" ht="15.75" customHeight="1">
      <c r="A42" s="1" t="s">
        <v>16</v>
      </c>
      <c r="B42" s="1" t="s">
        <v>32</v>
      </c>
      <c r="C42" s="1" t="s">
        <v>33</v>
      </c>
      <c r="D42" s="1">
        <v>2.61873176E8</v>
      </c>
      <c r="E42" s="1" t="s">
        <v>31</v>
      </c>
      <c r="F42" s="5">
        <v>46126.0</v>
      </c>
      <c r="G42" s="5">
        <v>46126.0</v>
      </c>
      <c r="H42" s="1" t="s">
        <v>20</v>
      </c>
      <c r="I42" s="1" t="s">
        <v>21</v>
      </c>
      <c r="J42" s="6">
        <v>1160.0</v>
      </c>
      <c r="K42" s="6">
        <v>1140.0</v>
      </c>
      <c r="L42" s="7">
        <v>0.25</v>
      </c>
      <c r="M42" s="6">
        <v>285.0</v>
      </c>
      <c r="N42" s="1" t="s">
        <v>26</v>
      </c>
      <c r="O42" s="5">
        <v>46136.0</v>
      </c>
    </row>
    <row r="43" ht="15.75" customHeight="1">
      <c r="A43" s="1" t="s">
        <v>16</v>
      </c>
      <c r="B43" s="1" t="s">
        <v>40</v>
      </c>
      <c r="C43" s="1" t="s">
        <v>41</v>
      </c>
      <c r="D43" s="1">
        <v>2.61868471E8</v>
      </c>
      <c r="E43" s="1" t="s">
        <v>31</v>
      </c>
      <c r="F43" s="5">
        <v>46113.0</v>
      </c>
      <c r="G43" s="5">
        <v>46123.0</v>
      </c>
      <c r="H43" s="1" t="s">
        <v>20</v>
      </c>
      <c r="I43" s="1" t="s">
        <v>25</v>
      </c>
      <c r="J43" s="6">
        <v>405.0</v>
      </c>
      <c r="K43" s="6">
        <v>385.0</v>
      </c>
      <c r="L43" s="7">
        <v>0.25</v>
      </c>
      <c r="M43" s="6">
        <v>96.25</v>
      </c>
      <c r="N43" s="1" t="s">
        <v>26</v>
      </c>
      <c r="O43" s="5">
        <v>46129.0</v>
      </c>
    </row>
    <row r="44" ht="15.75" customHeight="1">
      <c r="A44" s="1" t="s">
        <v>16</v>
      </c>
      <c r="B44" s="1" t="s">
        <v>49</v>
      </c>
      <c r="C44" s="1" t="s">
        <v>70</v>
      </c>
      <c r="D44" s="1">
        <v>2.61867701E8</v>
      </c>
      <c r="E44" s="1" t="s">
        <v>31</v>
      </c>
      <c r="F44" s="5">
        <v>46113.0</v>
      </c>
      <c r="G44" s="5">
        <v>46123.0</v>
      </c>
      <c r="H44" s="1" t="s">
        <v>20</v>
      </c>
      <c r="I44" s="1" t="s">
        <v>21</v>
      </c>
      <c r="J44" s="6">
        <v>360.0</v>
      </c>
      <c r="K44" s="6">
        <v>340.0</v>
      </c>
      <c r="L44" s="7">
        <v>0.25</v>
      </c>
      <c r="M44" s="6">
        <v>85.0</v>
      </c>
      <c r="N44" s="1" t="s">
        <v>26</v>
      </c>
      <c r="O44" s="5">
        <v>46129.0</v>
      </c>
    </row>
    <row r="45" ht="15.75" customHeight="1">
      <c r="A45" s="1" t="s">
        <v>16</v>
      </c>
      <c r="B45" s="1" t="s">
        <v>29</v>
      </c>
      <c r="C45" s="1" t="s">
        <v>37</v>
      </c>
      <c r="D45" s="1">
        <v>2.61866598E8</v>
      </c>
      <c r="E45" s="1" t="s">
        <v>31</v>
      </c>
      <c r="F45" s="5">
        <v>46113.0</v>
      </c>
      <c r="G45" s="5">
        <v>46123.0</v>
      </c>
      <c r="H45" s="1" t="s">
        <v>20</v>
      </c>
      <c r="I45" s="1" t="s">
        <v>21</v>
      </c>
      <c r="J45" s="6">
        <v>440.0</v>
      </c>
      <c r="K45" s="6">
        <v>420.0</v>
      </c>
      <c r="L45" s="7">
        <v>0.25</v>
      </c>
      <c r="M45" s="6">
        <v>105.0</v>
      </c>
      <c r="N45" s="1" t="s">
        <v>26</v>
      </c>
      <c r="O45" s="5">
        <v>46129.0</v>
      </c>
    </row>
    <row r="46" ht="15.75" customHeight="1">
      <c r="A46" s="1" t="s">
        <v>16</v>
      </c>
      <c r="B46" s="1" t="s">
        <v>29</v>
      </c>
      <c r="C46" s="1" t="s">
        <v>71</v>
      </c>
      <c r="D46" s="1">
        <v>2.61851665E8</v>
      </c>
      <c r="E46" s="1" t="s">
        <v>31</v>
      </c>
      <c r="F46" s="5">
        <v>46054.0</v>
      </c>
      <c r="G46" s="5">
        <v>46123.0</v>
      </c>
      <c r="H46" s="1" t="s">
        <v>20</v>
      </c>
      <c r="I46" s="1" t="s">
        <v>21</v>
      </c>
      <c r="J46" s="6">
        <v>490.0</v>
      </c>
      <c r="K46" s="6">
        <v>470.0</v>
      </c>
      <c r="L46" s="7">
        <v>0.25</v>
      </c>
      <c r="M46" s="6">
        <v>117.5</v>
      </c>
      <c r="N46" s="1" t="s">
        <v>26</v>
      </c>
      <c r="O46" s="5">
        <v>46129.0</v>
      </c>
    </row>
    <row r="47" ht="15.75" customHeight="1">
      <c r="A47" s="1" t="s">
        <v>16</v>
      </c>
      <c r="B47" s="1" t="s">
        <v>29</v>
      </c>
      <c r="C47" s="1" t="s">
        <v>72</v>
      </c>
      <c r="D47" s="1">
        <v>2.51815119E8</v>
      </c>
      <c r="E47" s="1" t="s">
        <v>31</v>
      </c>
      <c r="F47" s="5">
        <v>46054.0</v>
      </c>
      <c r="G47" s="5">
        <v>46123.0</v>
      </c>
      <c r="H47" s="1" t="s">
        <v>20</v>
      </c>
      <c r="I47" s="1" t="s">
        <v>21</v>
      </c>
      <c r="J47" s="6">
        <v>455.0</v>
      </c>
      <c r="K47" s="6">
        <v>435.0</v>
      </c>
      <c r="L47" s="7">
        <v>0.25</v>
      </c>
      <c r="M47" s="6">
        <v>108.75</v>
      </c>
      <c r="N47" s="1" t="s">
        <v>26</v>
      </c>
      <c r="O47" s="5">
        <v>46129.0</v>
      </c>
    </row>
    <row r="48" ht="15.75" customHeight="1">
      <c r="A48" s="1" t="s">
        <v>16</v>
      </c>
      <c r="B48" s="1" t="s">
        <v>73</v>
      </c>
      <c r="C48" s="1" t="s">
        <v>74</v>
      </c>
      <c r="D48" s="1">
        <v>2.518278E8</v>
      </c>
      <c r="E48" s="1" t="s">
        <v>31</v>
      </c>
      <c r="F48" s="5">
        <v>46023.0</v>
      </c>
      <c r="G48" s="5">
        <v>46123.0</v>
      </c>
      <c r="H48" s="1" t="s">
        <v>20</v>
      </c>
      <c r="I48" s="1" t="s">
        <v>28</v>
      </c>
      <c r="J48" s="6">
        <v>190.0</v>
      </c>
      <c r="K48" s="6">
        <v>170.0</v>
      </c>
      <c r="L48" s="7">
        <v>0.25</v>
      </c>
      <c r="M48" s="6">
        <v>42.5</v>
      </c>
      <c r="N48" s="1" t="s">
        <v>26</v>
      </c>
      <c r="O48" s="5">
        <v>46129.0</v>
      </c>
    </row>
    <row r="49" ht="15.75" customHeight="1">
      <c r="A49" s="1" t="s">
        <v>16</v>
      </c>
      <c r="B49" s="1" t="s">
        <v>32</v>
      </c>
      <c r="C49" s="1" t="s">
        <v>75</v>
      </c>
      <c r="D49" s="1">
        <v>2.51826288E8</v>
      </c>
      <c r="E49" s="1" t="s">
        <v>31</v>
      </c>
      <c r="F49" s="5">
        <v>46023.0</v>
      </c>
      <c r="G49" s="5">
        <v>46123.0</v>
      </c>
      <c r="H49" s="1" t="s">
        <v>20</v>
      </c>
      <c r="I49" s="1" t="s">
        <v>21</v>
      </c>
      <c r="J49" s="6">
        <v>440.0</v>
      </c>
      <c r="K49" s="6">
        <v>420.0</v>
      </c>
      <c r="L49" s="7">
        <v>0.25</v>
      </c>
      <c r="M49" s="6">
        <v>105.0</v>
      </c>
      <c r="N49" s="1" t="s">
        <v>26</v>
      </c>
      <c r="O49" s="5">
        <v>46129.0</v>
      </c>
    </row>
    <row r="50" ht="15.75" customHeight="1">
      <c r="A50" s="1" t="s">
        <v>16</v>
      </c>
      <c r="B50" s="1" t="s">
        <v>32</v>
      </c>
      <c r="C50" s="1" t="s">
        <v>76</v>
      </c>
      <c r="D50" s="1">
        <v>2.51825133E8</v>
      </c>
      <c r="E50" s="1" t="s">
        <v>31</v>
      </c>
      <c r="F50" s="5">
        <v>46023.0</v>
      </c>
      <c r="G50" s="5">
        <v>46123.0</v>
      </c>
      <c r="H50" s="1" t="s">
        <v>20</v>
      </c>
      <c r="I50" s="1" t="s">
        <v>21</v>
      </c>
      <c r="J50" s="6">
        <v>235.0</v>
      </c>
      <c r="K50" s="6">
        <v>215.0</v>
      </c>
      <c r="L50" s="7">
        <v>0.25</v>
      </c>
      <c r="M50" s="6">
        <v>53.75</v>
      </c>
      <c r="N50" s="1" t="s">
        <v>26</v>
      </c>
      <c r="O50" s="5">
        <v>46129.0</v>
      </c>
    </row>
    <row r="51" ht="15.75" customHeight="1">
      <c r="A51" s="1" t="s">
        <v>16</v>
      </c>
      <c r="B51" s="1" t="s">
        <v>77</v>
      </c>
      <c r="C51" s="1" t="s">
        <v>78</v>
      </c>
      <c r="D51" s="1">
        <v>2.51824128E8</v>
      </c>
      <c r="E51" s="1" t="s">
        <v>31</v>
      </c>
      <c r="F51" s="5">
        <v>46023.0</v>
      </c>
      <c r="G51" s="5">
        <v>46123.0</v>
      </c>
      <c r="H51" s="1" t="s">
        <v>20</v>
      </c>
      <c r="I51" s="1" t="s">
        <v>21</v>
      </c>
      <c r="J51" s="6">
        <v>595.0</v>
      </c>
      <c r="K51" s="6">
        <v>575.0</v>
      </c>
      <c r="L51" s="7">
        <v>0.25</v>
      </c>
      <c r="M51" s="6">
        <v>143.75</v>
      </c>
      <c r="N51" s="1" t="s">
        <v>26</v>
      </c>
      <c r="O51" s="5">
        <v>46129.0</v>
      </c>
    </row>
    <row r="52" ht="15.75" customHeight="1">
      <c r="A52" s="1" t="s">
        <v>16</v>
      </c>
      <c r="B52" s="1" t="s">
        <v>32</v>
      </c>
      <c r="C52" s="1" t="s">
        <v>79</v>
      </c>
      <c r="D52" s="1">
        <v>2.51822171E8</v>
      </c>
      <c r="E52" s="1" t="s">
        <v>31</v>
      </c>
      <c r="F52" s="5">
        <v>46023.0</v>
      </c>
      <c r="G52" s="5">
        <v>46123.0</v>
      </c>
      <c r="H52" s="1" t="s">
        <v>20</v>
      </c>
      <c r="I52" s="1" t="s">
        <v>21</v>
      </c>
      <c r="J52" s="6">
        <v>1590.0</v>
      </c>
      <c r="K52" s="6">
        <v>1570.0</v>
      </c>
      <c r="L52" s="7">
        <v>0.25</v>
      </c>
      <c r="M52" s="6">
        <v>392.5</v>
      </c>
      <c r="N52" s="1" t="s">
        <v>26</v>
      </c>
      <c r="O52" s="5">
        <v>46129.0</v>
      </c>
    </row>
    <row r="53" ht="15.75" customHeight="1">
      <c r="A53" s="1" t="s">
        <v>16</v>
      </c>
      <c r="B53" s="1" t="s">
        <v>32</v>
      </c>
      <c r="C53" s="1" t="s">
        <v>80</v>
      </c>
      <c r="D53" s="1">
        <v>2.51819791E8</v>
      </c>
      <c r="E53" s="1" t="s">
        <v>31</v>
      </c>
      <c r="F53" s="5">
        <v>46023.0</v>
      </c>
      <c r="G53" s="5">
        <v>46123.0</v>
      </c>
      <c r="H53" s="1" t="s">
        <v>20</v>
      </c>
      <c r="I53" s="1" t="s">
        <v>25</v>
      </c>
      <c r="J53" s="6">
        <v>685.0</v>
      </c>
      <c r="K53" s="6">
        <v>665.0</v>
      </c>
      <c r="L53" s="7">
        <v>0.25</v>
      </c>
      <c r="M53" s="6">
        <v>166.25</v>
      </c>
      <c r="N53" s="1" t="s">
        <v>26</v>
      </c>
      <c r="O53" s="5">
        <v>46129.0</v>
      </c>
    </row>
    <row r="54" ht="15.75" customHeight="1">
      <c r="A54" s="1" t="s">
        <v>16</v>
      </c>
      <c r="B54" s="1" t="s">
        <v>49</v>
      </c>
      <c r="C54" s="1" t="s">
        <v>81</v>
      </c>
      <c r="D54" s="1">
        <v>2.51819685E8</v>
      </c>
      <c r="E54" s="1" t="s">
        <v>31</v>
      </c>
      <c r="F54" s="5">
        <v>46023.0</v>
      </c>
      <c r="G54" s="5">
        <v>46123.0</v>
      </c>
      <c r="H54" s="1" t="s">
        <v>20</v>
      </c>
      <c r="I54" s="1" t="s">
        <v>21</v>
      </c>
      <c r="J54" s="6">
        <v>625.0</v>
      </c>
      <c r="K54" s="6">
        <v>605.0</v>
      </c>
      <c r="L54" s="7">
        <v>0.25</v>
      </c>
      <c r="M54" s="6">
        <v>151.25</v>
      </c>
      <c r="N54" s="1" t="s">
        <v>26</v>
      </c>
      <c r="O54" s="5">
        <v>46129.0</v>
      </c>
    </row>
    <row r="55" ht="15.75" customHeight="1">
      <c r="A55" s="1" t="s">
        <v>16</v>
      </c>
      <c r="B55" s="1" t="s">
        <v>32</v>
      </c>
      <c r="C55" s="1" t="s">
        <v>82</v>
      </c>
      <c r="D55" s="1">
        <v>2.51818441E8</v>
      </c>
      <c r="E55" s="1" t="s">
        <v>31</v>
      </c>
      <c r="F55" s="5">
        <v>46023.0</v>
      </c>
      <c r="G55" s="5">
        <v>46123.0</v>
      </c>
      <c r="H55" s="1" t="s">
        <v>20</v>
      </c>
      <c r="I55" s="1" t="s">
        <v>21</v>
      </c>
      <c r="J55" s="6">
        <v>760.0</v>
      </c>
      <c r="K55" s="6">
        <v>740.0</v>
      </c>
      <c r="L55" s="7">
        <v>0.25</v>
      </c>
      <c r="M55" s="6">
        <v>185.0</v>
      </c>
      <c r="N55" s="1" t="s">
        <v>26</v>
      </c>
      <c r="O55" s="5">
        <v>46129.0</v>
      </c>
    </row>
    <row r="56" ht="15.75" customHeight="1">
      <c r="A56" s="1" t="s">
        <v>16</v>
      </c>
      <c r="B56" s="1" t="s">
        <v>32</v>
      </c>
      <c r="C56" s="1" t="s">
        <v>83</v>
      </c>
      <c r="D56" s="1">
        <v>2.518165E8</v>
      </c>
      <c r="E56" s="1" t="s">
        <v>31</v>
      </c>
      <c r="F56" s="5">
        <v>46023.0</v>
      </c>
      <c r="G56" s="5">
        <v>46123.0</v>
      </c>
      <c r="H56" s="1" t="s">
        <v>20</v>
      </c>
      <c r="I56" s="1" t="s">
        <v>21</v>
      </c>
      <c r="J56" s="6">
        <v>510.0</v>
      </c>
      <c r="K56" s="6">
        <v>490.0</v>
      </c>
      <c r="L56" s="7">
        <v>0.25</v>
      </c>
      <c r="M56" s="6">
        <v>122.5</v>
      </c>
      <c r="N56" s="1" t="s">
        <v>26</v>
      </c>
      <c r="O56" s="5">
        <v>46129.0</v>
      </c>
    </row>
    <row r="57" ht="15.75" customHeight="1">
      <c r="A57" s="1" t="s">
        <v>16</v>
      </c>
      <c r="B57" s="1" t="s">
        <v>32</v>
      </c>
      <c r="C57" s="1" t="s">
        <v>84</v>
      </c>
      <c r="D57" s="1">
        <v>2.51815217E8</v>
      </c>
      <c r="E57" s="1" t="s">
        <v>31</v>
      </c>
      <c r="F57" s="5">
        <v>46023.0</v>
      </c>
      <c r="G57" s="5">
        <v>46123.0</v>
      </c>
      <c r="H57" s="1" t="s">
        <v>20</v>
      </c>
      <c r="I57" s="1" t="s">
        <v>21</v>
      </c>
      <c r="J57" s="6">
        <v>595.0</v>
      </c>
      <c r="K57" s="6">
        <v>575.0</v>
      </c>
      <c r="L57" s="7">
        <v>0.25</v>
      </c>
      <c r="M57" s="6">
        <v>143.75</v>
      </c>
      <c r="N57" s="1" t="s">
        <v>26</v>
      </c>
      <c r="O57" s="5">
        <v>46129.0</v>
      </c>
    </row>
    <row r="58" ht="15.75" customHeight="1">
      <c r="A58" s="1" t="s">
        <v>16</v>
      </c>
      <c r="B58" s="1" t="s">
        <v>32</v>
      </c>
      <c r="C58" s="1" t="s">
        <v>85</v>
      </c>
      <c r="D58" s="1">
        <v>2.51815168E8</v>
      </c>
      <c r="E58" s="1" t="s">
        <v>31</v>
      </c>
      <c r="F58" s="5">
        <v>46023.0</v>
      </c>
      <c r="G58" s="5">
        <v>46123.0</v>
      </c>
      <c r="H58" s="1" t="s">
        <v>20</v>
      </c>
      <c r="I58" s="1" t="s">
        <v>36</v>
      </c>
      <c r="J58" s="6">
        <v>215.0</v>
      </c>
      <c r="K58" s="6">
        <v>205.0</v>
      </c>
      <c r="L58" s="7">
        <v>0.25</v>
      </c>
      <c r="M58" s="6">
        <v>51.25</v>
      </c>
      <c r="N58" s="1" t="s">
        <v>26</v>
      </c>
      <c r="O58" s="5">
        <v>46129.0</v>
      </c>
    </row>
    <row r="59" ht="15.75" customHeight="1">
      <c r="A59" s="1" t="s">
        <v>16</v>
      </c>
      <c r="B59" s="1" t="s">
        <v>32</v>
      </c>
      <c r="C59" s="1" t="s">
        <v>86</v>
      </c>
      <c r="D59" s="1">
        <v>2.51814743E8</v>
      </c>
      <c r="E59" s="1" t="s">
        <v>31</v>
      </c>
      <c r="F59" s="5">
        <v>46023.0</v>
      </c>
      <c r="G59" s="5">
        <v>46123.0</v>
      </c>
      <c r="H59" s="1" t="s">
        <v>20</v>
      </c>
      <c r="I59" s="1" t="s">
        <v>21</v>
      </c>
      <c r="J59" s="6">
        <v>510.0</v>
      </c>
      <c r="K59" s="6">
        <v>490.0</v>
      </c>
      <c r="L59" s="7">
        <v>0.25</v>
      </c>
      <c r="M59" s="6">
        <v>122.5</v>
      </c>
      <c r="N59" s="1" t="s">
        <v>26</v>
      </c>
      <c r="O59" s="5">
        <v>46129.0</v>
      </c>
    </row>
    <row r="60" ht="15.75" customHeight="1">
      <c r="A60" s="1" t="s">
        <v>16</v>
      </c>
      <c r="B60" s="1" t="s">
        <v>40</v>
      </c>
      <c r="C60" s="1" t="s">
        <v>87</v>
      </c>
      <c r="D60" s="1">
        <v>2.51814089E8</v>
      </c>
      <c r="E60" s="1" t="s">
        <v>31</v>
      </c>
      <c r="F60" s="5">
        <v>46023.0</v>
      </c>
      <c r="G60" s="5">
        <v>46123.0</v>
      </c>
      <c r="H60" s="1" t="s">
        <v>20</v>
      </c>
      <c r="I60" s="1" t="s">
        <v>43</v>
      </c>
      <c r="J60" s="6">
        <v>90.0</v>
      </c>
      <c r="K60" s="6">
        <v>80.0</v>
      </c>
      <c r="L60" s="7">
        <v>0.25</v>
      </c>
      <c r="M60" s="6">
        <v>20.0</v>
      </c>
      <c r="N60" s="1" t="s">
        <v>26</v>
      </c>
      <c r="O60" s="5">
        <v>46129.0</v>
      </c>
    </row>
    <row r="61" ht="15.75" customHeight="1">
      <c r="A61" s="1" t="s">
        <v>16</v>
      </c>
      <c r="B61" s="1" t="s">
        <v>29</v>
      </c>
      <c r="C61" s="1" t="s">
        <v>88</v>
      </c>
      <c r="D61" s="1">
        <v>2.5181178E8</v>
      </c>
      <c r="E61" s="1" t="s">
        <v>31</v>
      </c>
      <c r="F61" s="5">
        <v>46023.0</v>
      </c>
      <c r="G61" s="5">
        <v>46123.0</v>
      </c>
      <c r="H61" s="1" t="s">
        <v>20</v>
      </c>
      <c r="I61" s="1" t="s">
        <v>89</v>
      </c>
      <c r="J61" s="6">
        <v>510.0</v>
      </c>
      <c r="K61" s="6">
        <v>500.0</v>
      </c>
      <c r="L61" s="7">
        <v>0.25</v>
      </c>
      <c r="M61" s="6">
        <v>125.0</v>
      </c>
      <c r="N61" s="1" t="s">
        <v>26</v>
      </c>
      <c r="O61" s="5">
        <v>46129.0</v>
      </c>
    </row>
    <row r="62" ht="15.75" customHeight="1">
      <c r="A62" s="1" t="s">
        <v>16</v>
      </c>
      <c r="B62" s="1" t="s">
        <v>40</v>
      </c>
      <c r="C62" s="1" t="s">
        <v>90</v>
      </c>
      <c r="D62" s="1">
        <v>2.51808885E8</v>
      </c>
      <c r="E62" s="1" t="s">
        <v>31</v>
      </c>
      <c r="F62" s="5">
        <v>46023.0</v>
      </c>
      <c r="G62" s="5">
        <v>46123.0</v>
      </c>
      <c r="H62" s="1" t="s">
        <v>20</v>
      </c>
      <c r="I62" s="1" t="s">
        <v>43</v>
      </c>
      <c r="J62" s="6">
        <v>195.0</v>
      </c>
      <c r="K62" s="6">
        <v>185.0</v>
      </c>
      <c r="L62" s="7">
        <v>0.25</v>
      </c>
      <c r="M62" s="6">
        <v>46.25</v>
      </c>
      <c r="N62" s="1" t="s">
        <v>26</v>
      </c>
      <c r="O62" s="5">
        <v>46129.0</v>
      </c>
    </row>
    <row r="63" ht="15.75" customHeight="1">
      <c r="A63" s="1" t="s">
        <v>16</v>
      </c>
      <c r="B63" s="1" t="s">
        <v>40</v>
      </c>
      <c r="C63" s="1" t="s">
        <v>91</v>
      </c>
      <c r="D63" s="1">
        <v>2.51806799E8</v>
      </c>
      <c r="E63" s="1" t="s">
        <v>31</v>
      </c>
      <c r="F63" s="5">
        <v>46023.0</v>
      </c>
      <c r="G63" s="5">
        <v>46123.0</v>
      </c>
      <c r="H63" s="1" t="s">
        <v>20</v>
      </c>
      <c r="I63" s="1" t="s">
        <v>45</v>
      </c>
      <c r="J63" s="6">
        <v>365.0</v>
      </c>
      <c r="K63" s="6">
        <v>355.0</v>
      </c>
      <c r="L63" s="7">
        <v>0.25</v>
      </c>
      <c r="M63" s="6">
        <v>88.75</v>
      </c>
      <c r="N63" s="1" t="s">
        <v>26</v>
      </c>
      <c r="O63" s="5">
        <v>46129.0</v>
      </c>
    </row>
    <row r="64" ht="15.75" customHeight="1">
      <c r="A64" s="1" t="s">
        <v>16</v>
      </c>
      <c r="B64" s="1" t="s">
        <v>40</v>
      </c>
      <c r="C64" s="1" t="s">
        <v>92</v>
      </c>
      <c r="D64" s="1">
        <v>2.51805309E8</v>
      </c>
      <c r="E64" s="1" t="s">
        <v>31</v>
      </c>
      <c r="F64" s="5">
        <v>46023.0</v>
      </c>
      <c r="G64" s="5">
        <v>46123.0</v>
      </c>
      <c r="H64" s="1" t="s">
        <v>20</v>
      </c>
      <c r="I64" s="1" t="s">
        <v>21</v>
      </c>
      <c r="J64" s="6">
        <v>595.0</v>
      </c>
      <c r="K64" s="6">
        <v>575.0</v>
      </c>
      <c r="L64" s="7">
        <v>0.25</v>
      </c>
      <c r="M64" s="6">
        <v>143.75</v>
      </c>
      <c r="N64" s="1" t="s">
        <v>26</v>
      </c>
      <c r="O64" s="5">
        <v>46129.0</v>
      </c>
    </row>
    <row r="65" ht="15.75" customHeight="1">
      <c r="A65" s="1" t="s">
        <v>16</v>
      </c>
      <c r="B65" s="1" t="s">
        <v>40</v>
      </c>
      <c r="C65" s="1" t="s">
        <v>93</v>
      </c>
      <c r="D65" s="1">
        <v>2.51803713E8</v>
      </c>
      <c r="E65" s="1" t="s">
        <v>31</v>
      </c>
      <c r="F65" s="5">
        <v>46023.0</v>
      </c>
      <c r="G65" s="5">
        <v>46123.0</v>
      </c>
      <c r="H65" s="1" t="s">
        <v>20</v>
      </c>
      <c r="I65" s="1" t="s">
        <v>51</v>
      </c>
      <c r="J65" s="6">
        <v>320.0</v>
      </c>
      <c r="K65" s="6">
        <v>310.0</v>
      </c>
      <c r="L65" s="7">
        <v>0.25</v>
      </c>
      <c r="M65" s="6">
        <v>77.5</v>
      </c>
      <c r="N65" s="1" t="s">
        <v>26</v>
      </c>
      <c r="O65" s="5">
        <v>46129.0</v>
      </c>
    </row>
    <row r="66" ht="15.75" customHeight="1">
      <c r="A66" s="1" t="s">
        <v>16</v>
      </c>
      <c r="B66" s="1" t="s">
        <v>49</v>
      </c>
      <c r="C66" s="1" t="s">
        <v>94</v>
      </c>
      <c r="D66" s="1">
        <v>2.51802446E8</v>
      </c>
      <c r="E66" s="1" t="s">
        <v>31</v>
      </c>
      <c r="F66" s="5">
        <v>46023.0</v>
      </c>
      <c r="G66" s="5">
        <v>46123.0</v>
      </c>
      <c r="H66" s="1" t="s">
        <v>20</v>
      </c>
      <c r="I66" s="1" t="s">
        <v>21</v>
      </c>
      <c r="J66" s="6">
        <v>510.0</v>
      </c>
      <c r="K66" s="6">
        <v>490.0</v>
      </c>
      <c r="L66" s="7">
        <v>0.25</v>
      </c>
      <c r="M66" s="6">
        <v>122.5</v>
      </c>
      <c r="N66" s="1" t="s">
        <v>26</v>
      </c>
      <c r="O66" s="5">
        <v>46129.0</v>
      </c>
    </row>
    <row r="67" ht="15.75" customHeight="1">
      <c r="A67" s="1" t="s">
        <v>16</v>
      </c>
      <c r="B67" s="1" t="s">
        <v>40</v>
      </c>
      <c r="C67" s="1" t="s">
        <v>95</v>
      </c>
      <c r="D67" s="1">
        <v>2.51801849E8</v>
      </c>
      <c r="E67" s="1" t="s">
        <v>31</v>
      </c>
      <c r="F67" s="5">
        <v>46023.0</v>
      </c>
      <c r="G67" s="5">
        <v>46123.0</v>
      </c>
      <c r="H67" s="1" t="s">
        <v>20</v>
      </c>
      <c r="I67" s="1" t="s">
        <v>21</v>
      </c>
      <c r="J67" s="6">
        <v>360.0</v>
      </c>
      <c r="K67" s="6">
        <v>340.0</v>
      </c>
      <c r="L67" s="7">
        <v>0.25</v>
      </c>
      <c r="M67" s="6">
        <v>85.0</v>
      </c>
      <c r="N67" s="1" t="s">
        <v>26</v>
      </c>
      <c r="O67" s="5">
        <v>46129.0</v>
      </c>
    </row>
    <row r="68" ht="15.75" customHeight="1">
      <c r="A68" s="1" t="s">
        <v>16</v>
      </c>
      <c r="B68" s="1" t="s">
        <v>40</v>
      </c>
      <c r="C68" s="1" t="s">
        <v>96</v>
      </c>
      <c r="D68" s="1">
        <v>2.51800611E8</v>
      </c>
      <c r="E68" s="1" t="s">
        <v>31</v>
      </c>
      <c r="F68" s="5">
        <v>46023.0</v>
      </c>
      <c r="G68" s="5">
        <v>46123.0</v>
      </c>
      <c r="H68" s="1" t="s">
        <v>20</v>
      </c>
      <c r="I68" s="1" t="s">
        <v>36</v>
      </c>
      <c r="J68" s="6">
        <v>145.0</v>
      </c>
      <c r="K68" s="6">
        <v>135.0</v>
      </c>
      <c r="L68" s="7">
        <v>0.25</v>
      </c>
      <c r="M68" s="6">
        <v>33.75</v>
      </c>
      <c r="N68" s="1" t="s">
        <v>26</v>
      </c>
      <c r="O68" s="5">
        <v>46129.0</v>
      </c>
    </row>
    <row r="69" ht="15.75" customHeight="1">
      <c r="A69" s="1" t="s">
        <v>16</v>
      </c>
      <c r="B69" s="1" t="s">
        <v>49</v>
      </c>
      <c r="C69" s="1" t="s">
        <v>97</v>
      </c>
      <c r="D69" s="1">
        <v>2.51800097E8</v>
      </c>
      <c r="E69" s="1" t="s">
        <v>31</v>
      </c>
      <c r="F69" s="5">
        <v>46023.0</v>
      </c>
      <c r="G69" s="5">
        <v>46123.0</v>
      </c>
      <c r="H69" s="1" t="s">
        <v>20</v>
      </c>
      <c r="I69" s="1" t="s">
        <v>21</v>
      </c>
      <c r="J69" s="6">
        <v>510.0</v>
      </c>
      <c r="K69" s="6">
        <v>490.0</v>
      </c>
      <c r="L69" s="7">
        <v>0.25</v>
      </c>
      <c r="M69" s="6">
        <v>122.5</v>
      </c>
      <c r="N69" s="1" t="s">
        <v>26</v>
      </c>
      <c r="O69" s="5">
        <v>46129.0</v>
      </c>
    </row>
    <row r="70" ht="15.75" customHeight="1">
      <c r="A70" s="1" t="s">
        <v>16</v>
      </c>
      <c r="B70" s="1" t="s">
        <v>98</v>
      </c>
      <c r="C70" s="1" t="s">
        <v>99</v>
      </c>
      <c r="D70" s="1">
        <v>2.51754149E8</v>
      </c>
      <c r="E70" s="1" t="s">
        <v>31</v>
      </c>
      <c r="F70" s="5">
        <v>45881.0</v>
      </c>
      <c r="G70" s="5">
        <v>46120.0</v>
      </c>
      <c r="H70" s="1" t="s">
        <v>20</v>
      </c>
      <c r="I70" s="1" t="s">
        <v>43</v>
      </c>
      <c r="J70" s="6">
        <v>75.0</v>
      </c>
      <c r="K70" s="6">
        <v>65.0</v>
      </c>
      <c r="L70" s="7">
        <v>0.25</v>
      </c>
      <c r="M70" s="6">
        <v>16.25</v>
      </c>
      <c r="N70" s="1" t="s">
        <v>26</v>
      </c>
      <c r="O70" s="5">
        <v>46129.0</v>
      </c>
    </row>
    <row r="71" ht="15.75" customHeight="1">
      <c r="A71" s="1" t="s">
        <v>16</v>
      </c>
      <c r="B71" s="1" t="s">
        <v>77</v>
      </c>
      <c r="C71" s="1" t="s">
        <v>100</v>
      </c>
      <c r="D71" s="1">
        <v>1095314.0</v>
      </c>
      <c r="E71" s="1" t="s">
        <v>31</v>
      </c>
      <c r="F71" s="5">
        <v>45770.0</v>
      </c>
      <c r="G71" s="5">
        <v>46118.0</v>
      </c>
      <c r="H71" s="1" t="s">
        <v>20</v>
      </c>
      <c r="I71" s="1" t="s">
        <v>25</v>
      </c>
      <c r="J71" s="6">
        <v>185.77</v>
      </c>
      <c r="K71" s="6">
        <v>165.77</v>
      </c>
      <c r="L71" s="7">
        <v>0.25</v>
      </c>
      <c r="M71" s="6">
        <v>41.44</v>
      </c>
      <c r="N71" s="1" t="s">
        <v>26</v>
      </c>
      <c r="O71" s="5">
        <v>46122.0</v>
      </c>
    </row>
    <row r="72" ht="15.75" customHeight="1">
      <c r="A72" s="1" t="s">
        <v>16</v>
      </c>
      <c r="B72" s="1" t="s">
        <v>34</v>
      </c>
      <c r="C72" s="1" t="s">
        <v>35</v>
      </c>
      <c r="D72" s="1">
        <v>2.61870697E8</v>
      </c>
      <c r="E72" s="1" t="s">
        <v>31</v>
      </c>
      <c r="F72" s="5">
        <v>46115.0</v>
      </c>
      <c r="G72" s="5">
        <v>46115.0</v>
      </c>
      <c r="H72" s="1" t="s">
        <v>20</v>
      </c>
      <c r="I72" s="1" t="s">
        <v>36</v>
      </c>
      <c r="J72" s="6">
        <v>175.0</v>
      </c>
      <c r="K72" s="6">
        <v>165.0</v>
      </c>
      <c r="L72" s="7">
        <v>0.25</v>
      </c>
      <c r="M72" s="6">
        <v>41.25</v>
      </c>
      <c r="N72" s="1" t="s">
        <v>26</v>
      </c>
      <c r="O72" s="5">
        <v>46122.0</v>
      </c>
    </row>
    <row r="73" ht="15.75" customHeight="1">
      <c r="A73" s="1" t="s">
        <v>16</v>
      </c>
      <c r="B73" s="1" t="s">
        <v>40</v>
      </c>
      <c r="C73" s="1" t="s">
        <v>101</v>
      </c>
      <c r="D73" s="1">
        <v>2.61853245E8</v>
      </c>
      <c r="E73" s="1" t="s">
        <v>31</v>
      </c>
      <c r="F73" s="5">
        <v>46083.0</v>
      </c>
      <c r="G73" s="5">
        <v>46113.0</v>
      </c>
      <c r="H73" s="1" t="s">
        <v>20</v>
      </c>
      <c r="I73" s="1" t="s">
        <v>36</v>
      </c>
      <c r="J73" s="6">
        <v>245.0</v>
      </c>
      <c r="K73" s="6">
        <v>235.0</v>
      </c>
      <c r="L73" s="7">
        <v>0.25</v>
      </c>
      <c r="M73" s="6">
        <v>58.75</v>
      </c>
      <c r="N73" s="1" t="s">
        <v>26</v>
      </c>
      <c r="O73" s="5">
        <v>46122.0</v>
      </c>
    </row>
    <row r="74" ht="15.75" customHeight="1">
      <c r="A74" s="1" t="s">
        <v>16</v>
      </c>
      <c r="B74" s="1" t="s">
        <v>77</v>
      </c>
      <c r="C74" s="1" t="s">
        <v>102</v>
      </c>
      <c r="D74" s="1">
        <v>2.61845602E8</v>
      </c>
      <c r="E74" s="1" t="s">
        <v>31</v>
      </c>
      <c r="F74" s="5">
        <v>46038.0</v>
      </c>
      <c r="G74" s="5">
        <v>46113.0</v>
      </c>
      <c r="H74" s="1" t="s">
        <v>20</v>
      </c>
      <c r="I74" s="1" t="s">
        <v>28</v>
      </c>
      <c r="J74" s="6">
        <v>280.0</v>
      </c>
      <c r="K74" s="6">
        <v>260.0</v>
      </c>
      <c r="L74" s="7">
        <v>0.25</v>
      </c>
      <c r="M74" s="6">
        <v>65.0</v>
      </c>
      <c r="N74" s="1" t="s">
        <v>26</v>
      </c>
      <c r="O74" s="5">
        <v>46122.0</v>
      </c>
    </row>
    <row r="75" ht="15.75" customHeight="1">
      <c r="A75" s="1" t="s">
        <v>16</v>
      </c>
      <c r="B75" s="1" t="s">
        <v>40</v>
      </c>
      <c r="C75" s="1" t="s">
        <v>103</v>
      </c>
      <c r="D75" s="1">
        <v>2.61843935E8</v>
      </c>
      <c r="E75" s="1" t="s">
        <v>31</v>
      </c>
      <c r="F75" s="5">
        <v>46035.0</v>
      </c>
      <c r="G75" s="5">
        <v>46113.0</v>
      </c>
      <c r="H75" s="1" t="s">
        <v>20</v>
      </c>
      <c r="I75" s="1" t="s">
        <v>45</v>
      </c>
      <c r="J75" s="6">
        <v>210.0</v>
      </c>
      <c r="K75" s="6">
        <v>200.0</v>
      </c>
      <c r="L75" s="7">
        <v>0.25</v>
      </c>
      <c r="M75" s="6">
        <v>50.0</v>
      </c>
      <c r="N75" s="1" t="s">
        <v>26</v>
      </c>
      <c r="O75" s="5">
        <v>46122.0</v>
      </c>
    </row>
    <row r="76" ht="15.75" customHeight="1">
      <c r="A76" s="1" t="s">
        <v>16</v>
      </c>
      <c r="B76" s="1" t="s">
        <v>77</v>
      </c>
      <c r="C76" s="1" t="s">
        <v>104</v>
      </c>
      <c r="D76" s="1">
        <v>2.51821747E8</v>
      </c>
      <c r="E76" s="1" t="s">
        <v>31</v>
      </c>
      <c r="F76" s="5">
        <v>46023.0</v>
      </c>
      <c r="G76" s="5">
        <v>46113.0</v>
      </c>
      <c r="H76" s="1" t="s">
        <v>20</v>
      </c>
      <c r="I76" s="1" t="s">
        <v>21</v>
      </c>
      <c r="J76" s="6">
        <v>1590.0</v>
      </c>
      <c r="K76" s="6">
        <v>1570.0</v>
      </c>
      <c r="L76" s="7">
        <v>0.25</v>
      </c>
      <c r="M76" s="6">
        <v>392.5</v>
      </c>
      <c r="N76" s="1" t="s">
        <v>26</v>
      </c>
      <c r="O76" s="5">
        <v>46122.0</v>
      </c>
    </row>
    <row r="77" ht="15.75" customHeight="1">
      <c r="A77" s="1" t="s">
        <v>16</v>
      </c>
      <c r="B77" s="1" t="s">
        <v>77</v>
      </c>
      <c r="C77" s="1" t="s">
        <v>105</v>
      </c>
      <c r="D77" s="1">
        <v>2.51819194E8</v>
      </c>
      <c r="E77" s="1" t="s">
        <v>31</v>
      </c>
      <c r="F77" s="5">
        <v>46024.0</v>
      </c>
      <c r="G77" s="5">
        <v>46113.0</v>
      </c>
      <c r="H77" s="1" t="s">
        <v>20</v>
      </c>
      <c r="I77" s="1" t="s">
        <v>21</v>
      </c>
      <c r="J77" s="6">
        <v>595.0</v>
      </c>
      <c r="K77" s="6">
        <v>575.0</v>
      </c>
      <c r="L77" s="7">
        <v>0.25</v>
      </c>
      <c r="M77" s="6">
        <v>143.75</v>
      </c>
      <c r="N77" s="1" t="s">
        <v>26</v>
      </c>
      <c r="O77" s="5">
        <v>46122.0</v>
      </c>
    </row>
    <row r="78" ht="15.75" customHeight="1">
      <c r="A78" s="1" t="s">
        <v>16</v>
      </c>
      <c r="B78" s="1" t="s">
        <v>40</v>
      </c>
      <c r="C78" s="1" t="s">
        <v>106</v>
      </c>
      <c r="D78" s="1">
        <v>2.51818343E8</v>
      </c>
      <c r="E78" s="1" t="s">
        <v>31</v>
      </c>
      <c r="F78" s="5">
        <v>46029.0</v>
      </c>
      <c r="G78" s="5">
        <v>46113.0</v>
      </c>
      <c r="H78" s="1" t="s">
        <v>20</v>
      </c>
      <c r="I78" s="1" t="s">
        <v>51</v>
      </c>
      <c r="J78" s="6">
        <v>440.0</v>
      </c>
      <c r="K78" s="6">
        <v>430.0</v>
      </c>
      <c r="L78" s="7">
        <v>0.25</v>
      </c>
      <c r="M78" s="6">
        <v>107.5</v>
      </c>
      <c r="N78" s="1" t="s">
        <v>26</v>
      </c>
      <c r="O78" s="5">
        <v>46122.0</v>
      </c>
    </row>
    <row r="79" ht="15.75" customHeight="1">
      <c r="A79" s="1" t="s">
        <v>16</v>
      </c>
      <c r="B79" s="1" t="s">
        <v>40</v>
      </c>
      <c r="C79" s="1" t="s">
        <v>107</v>
      </c>
      <c r="D79" s="1">
        <v>2.51815536E8</v>
      </c>
      <c r="E79" s="1" t="s">
        <v>31</v>
      </c>
      <c r="F79" s="5">
        <v>46025.0</v>
      </c>
      <c r="G79" s="5">
        <v>46113.0</v>
      </c>
      <c r="H79" s="1" t="s">
        <v>20</v>
      </c>
      <c r="I79" s="1" t="s">
        <v>21</v>
      </c>
      <c r="J79" s="6">
        <v>235.0</v>
      </c>
      <c r="K79" s="6">
        <v>215.0</v>
      </c>
      <c r="L79" s="7">
        <v>0.25</v>
      </c>
      <c r="M79" s="6">
        <v>53.75</v>
      </c>
      <c r="N79" s="1" t="s">
        <v>26</v>
      </c>
      <c r="O79" s="5">
        <v>46122.0</v>
      </c>
    </row>
    <row r="80" ht="15.75" customHeight="1">
      <c r="A80" s="1" t="s">
        <v>16</v>
      </c>
      <c r="B80" s="1" t="s">
        <v>40</v>
      </c>
      <c r="C80" s="1" t="s">
        <v>108</v>
      </c>
      <c r="D80" s="1">
        <v>2.51814964E8</v>
      </c>
      <c r="E80" s="1" t="s">
        <v>31</v>
      </c>
      <c r="F80" s="5">
        <v>46024.0</v>
      </c>
      <c r="G80" s="5">
        <v>46113.0</v>
      </c>
      <c r="H80" s="1" t="s">
        <v>20</v>
      </c>
      <c r="I80" s="1" t="s">
        <v>45</v>
      </c>
      <c r="J80" s="6">
        <v>235.0</v>
      </c>
      <c r="K80" s="6">
        <v>225.0</v>
      </c>
      <c r="L80" s="7">
        <v>0.25</v>
      </c>
      <c r="M80" s="6">
        <v>56.25</v>
      </c>
      <c r="N80" s="1" t="s">
        <v>26</v>
      </c>
      <c r="O80" s="5">
        <v>46122.0</v>
      </c>
    </row>
    <row r="81" ht="15.75" customHeight="1">
      <c r="A81" s="1" t="s">
        <v>16</v>
      </c>
      <c r="B81" s="1" t="s">
        <v>40</v>
      </c>
      <c r="C81" s="1" t="s">
        <v>109</v>
      </c>
      <c r="D81" s="1">
        <v>2.51814202E8</v>
      </c>
      <c r="E81" s="1" t="s">
        <v>31</v>
      </c>
      <c r="F81" s="5">
        <v>46024.0</v>
      </c>
      <c r="G81" s="5">
        <v>46113.0</v>
      </c>
      <c r="H81" s="1" t="s">
        <v>20</v>
      </c>
      <c r="I81" s="1" t="s">
        <v>45</v>
      </c>
      <c r="J81" s="6">
        <v>365.0</v>
      </c>
      <c r="K81" s="6">
        <v>355.0</v>
      </c>
      <c r="L81" s="7">
        <v>0.25</v>
      </c>
      <c r="M81" s="6">
        <v>88.75</v>
      </c>
      <c r="N81" s="1" t="s">
        <v>26</v>
      </c>
      <c r="O81" s="5">
        <v>46122.0</v>
      </c>
    </row>
    <row r="82" ht="15.75" customHeight="1">
      <c r="A82" s="1" t="s">
        <v>16</v>
      </c>
      <c r="B82" s="1" t="s">
        <v>40</v>
      </c>
      <c r="C82" s="1" t="s">
        <v>110</v>
      </c>
      <c r="D82" s="1">
        <v>2.51800809E8</v>
      </c>
      <c r="E82" s="1" t="s">
        <v>31</v>
      </c>
      <c r="F82" s="5">
        <v>46024.0</v>
      </c>
      <c r="G82" s="5">
        <v>46113.0</v>
      </c>
      <c r="H82" s="1" t="s">
        <v>20</v>
      </c>
      <c r="I82" s="1" t="s">
        <v>21</v>
      </c>
      <c r="J82" s="6">
        <v>595.0</v>
      </c>
      <c r="K82" s="6">
        <v>575.0</v>
      </c>
      <c r="L82" s="7">
        <v>0.25</v>
      </c>
      <c r="M82" s="6">
        <v>143.75</v>
      </c>
      <c r="N82" s="1" t="s">
        <v>26</v>
      </c>
      <c r="O82" s="5">
        <v>46122.0</v>
      </c>
    </row>
    <row r="83" ht="15.75" customHeight="1">
      <c r="A83" s="1" t="s">
        <v>16</v>
      </c>
      <c r="B83" s="1" t="s">
        <v>49</v>
      </c>
      <c r="C83" s="1" t="s">
        <v>111</v>
      </c>
      <c r="D83" s="1">
        <v>2.51799402E8</v>
      </c>
      <c r="E83" s="1" t="s">
        <v>31</v>
      </c>
      <c r="F83" s="5">
        <v>46023.0</v>
      </c>
      <c r="G83" s="5">
        <v>46113.0</v>
      </c>
      <c r="H83" s="1" t="s">
        <v>20</v>
      </c>
      <c r="I83" s="1" t="s">
        <v>21</v>
      </c>
      <c r="J83" s="6">
        <v>595.0</v>
      </c>
      <c r="K83" s="6">
        <v>575.0</v>
      </c>
      <c r="L83" s="7">
        <v>0.25</v>
      </c>
      <c r="M83" s="6">
        <v>143.75</v>
      </c>
      <c r="N83" s="1" t="s">
        <v>26</v>
      </c>
      <c r="O83" s="5">
        <v>46122.0</v>
      </c>
    </row>
    <row r="84" ht="15.75" customHeight="1">
      <c r="A84" s="1" t="s">
        <v>16</v>
      </c>
      <c r="B84" s="1" t="s">
        <v>112</v>
      </c>
      <c r="C84" s="1" t="s">
        <v>113</v>
      </c>
      <c r="D84" s="1">
        <v>2.51787776E8</v>
      </c>
      <c r="E84" s="1" t="s">
        <v>31</v>
      </c>
      <c r="F84" s="5">
        <v>45931.0</v>
      </c>
      <c r="G84" s="5">
        <v>46109.0</v>
      </c>
      <c r="H84" s="1" t="s">
        <v>20</v>
      </c>
      <c r="I84" s="1" t="s">
        <v>28</v>
      </c>
      <c r="J84" s="6">
        <v>225.0</v>
      </c>
      <c r="K84" s="6">
        <v>205.0</v>
      </c>
      <c r="L84" s="7">
        <v>0.25</v>
      </c>
      <c r="M84" s="6">
        <v>51.25</v>
      </c>
      <c r="N84" s="1" t="s">
        <v>26</v>
      </c>
      <c r="O84" s="5">
        <v>46114.0</v>
      </c>
    </row>
    <row r="85" ht="15.75" customHeight="1">
      <c r="A85" s="1" t="s">
        <v>16</v>
      </c>
      <c r="B85" s="1" t="s">
        <v>29</v>
      </c>
      <c r="C85" s="1" t="s">
        <v>37</v>
      </c>
      <c r="D85" s="1">
        <v>2.61866598E8</v>
      </c>
      <c r="E85" s="1" t="s">
        <v>31</v>
      </c>
      <c r="F85" s="5">
        <v>46113.0</v>
      </c>
      <c r="G85" s="5">
        <v>46109.0</v>
      </c>
      <c r="H85" s="1" t="s">
        <v>20</v>
      </c>
      <c r="I85" s="1" t="s">
        <v>21</v>
      </c>
      <c r="J85" s="6">
        <v>440.0</v>
      </c>
      <c r="K85" s="6">
        <v>420.0</v>
      </c>
      <c r="L85" s="7">
        <v>0.25</v>
      </c>
      <c r="M85" s="6">
        <v>105.0</v>
      </c>
      <c r="N85" s="1" t="s">
        <v>26</v>
      </c>
      <c r="O85" s="5">
        <v>46114.0</v>
      </c>
    </row>
    <row r="86" ht="15.75" customHeight="1">
      <c r="A86" s="1" t="s">
        <v>16</v>
      </c>
      <c r="B86" s="1" t="s">
        <v>32</v>
      </c>
      <c r="C86" s="1" t="s">
        <v>46</v>
      </c>
      <c r="D86" s="1">
        <v>2.61860347E8</v>
      </c>
      <c r="E86" s="1" t="s">
        <v>31</v>
      </c>
      <c r="F86" s="5">
        <v>46082.0</v>
      </c>
      <c r="G86" s="5">
        <v>46109.0</v>
      </c>
      <c r="H86" s="1" t="s">
        <v>20</v>
      </c>
      <c r="I86" s="1" t="s">
        <v>45</v>
      </c>
      <c r="J86" s="6">
        <v>365.0</v>
      </c>
      <c r="K86" s="6">
        <v>355.0</v>
      </c>
      <c r="L86" s="7">
        <v>0.25</v>
      </c>
      <c r="M86" s="6">
        <v>88.75</v>
      </c>
      <c r="N86" s="1" t="s">
        <v>26</v>
      </c>
      <c r="O86" s="5">
        <v>46114.0</v>
      </c>
    </row>
    <row r="87" ht="15.75" customHeight="1">
      <c r="A87" s="1" t="s">
        <v>16</v>
      </c>
      <c r="B87" s="1" t="s">
        <v>32</v>
      </c>
      <c r="C87" s="1" t="s">
        <v>47</v>
      </c>
      <c r="D87" s="1">
        <v>2.61859489E8</v>
      </c>
      <c r="E87" s="1" t="s">
        <v>31</v>
      </c>
      <c r="F87" s="5">
        <v>46082.0</v>
      </c>
      <c r="G87" s="5">
        <v>46109.0</v>
      </c>
      <c r="H87" s="1" t="s">
        <v>20</v>
      </c>
      <c r="I87" s="1" t="s">
        <v>21</v>
      </c>
      <c r="J87" s="6">
        <v>510.0</v>
      </c>
      <c r="K87" s="6">
        <v>490.0</v>
      </c>
      <c r="L87" s="7">
        <v>0.25</v>
      </c>
      <c r="M87" s="6">
        <v>122.5</v>
      </c>
      <c r="N87" s="1" t="s">
        <v>26</v>
      </c>
      <c r="O87" s="5">
        <v>46114.0</v>
      </c>
    </row>
    <row r="88" ht="15.75" customHeight="1">
      <c r="A88" s="1" t="s">
        <v>16</v>
      </c>
      <c r="B88" s="1" t="s">
        <v>32</v>
      </c>
      <c r="C88" s="1" t="s">
        <v>48</v>
      </c>
      <c r="D88" s="1">
        <v>2.6185866E8</v>
      </c>
      <c r="E88" s="1" t="s">
        <v>31</v>
      </c>
      <c r="F88" s="5">
        <v>46082.0</v>
      </c>
      <c r="G88" s="5">
        <v>46109.0</v>
      </c>
      <c r="H88" s="1" t="s">
        <v>20</v>
      </c>
      <c r="I88" s="1" t="s">
        <v>21</v>
      </c>
      <c r="J88" s="6">
        <v>510.0</v>
      </c>
      <c r="K88" s="6">
        <v>490.0</v>
      </c>
      <c r="L88" s="7">
        <v>0.25</v>
      </c>
      <c r="M88" s="6">
        <v>122.5</v>
      </c>
      <c r="N88" s="1" t="s">
        <v>26</v>
      </c>
      <c r="O88" s="5">
        <v>46114.0</v>
      </c>
    </row>
    <row r="89" ht="15.75" customHeight="1">
      <c r="A89" s="1" t="s">
        <v>16</v>
      </c>
      <c r="B89" s="1" t="s">
        <v>49</v>
      </c>
      <c r="C89" s="1" t="s">
        <v>50</v>
      </c>
      <c r="D89" s="1">
        <v>2.51834487E8</v>
      </c>
      <c r="E89" s="1" t="s">
        <v>31</v>
      </c>
      <c r="F89" s="5">
        <v>46023.0</v>
      </c>
      <c r="G89" s="5">
        <v>46109.0</v>
      </c>
      <c r="H89" s="1" t="s">
        <v>20</v>
      </c>
      <c r="I89" s="1" t="s">
        <v>51</v>
      </c>
      <c r="J89" s="6">
        <v>670.0</v>
      </c>
      <c r="K89" s="6">
        <v>660.0</v>
      </c>
      <c r="L89" s="7">
        <v>0.25</v>
      </c>
      <c r="M89" s="6">
        <v>165.0</v>
      </c>
      <c r="N89" s="1" t="s">
        <v>26</v>
      </c>
      <c r="O89" s="5">
        <v>46114.0</v>
      </c>
    </row>
    <row r="90" ht="15.75" customHeight="1">
      <c r="A90" s="1" t="s">
        <v>16</v>
      </c>
      <c r="B90" s="1" t="s">
        <v>49</v>
      </c>
      <c r="C90" s="1" t="s">
        <v>52</v>
      </c>
      <c r="D90" s="1">
        <v>2.51834363E8</v>
      </c>
      <c r="E90" s="1" t="s">
        <v>31</v>
      </c>
      <c r="F90" s="5">
        <v>46023.0</v>
      </c>
      <c r="G90" s="5">
        <v>46109.0</v>
      </c>
      <c r="H90" s="1" t="s">
        <v>20</v>
      </c>
      <c r="I90" s="1" t="s">
        <v>21</v>
      </c>
      <c r="J90" s="6">
        <v>625.0</v>
      </c>
      <c r="K90" s="6">
        <v>605.0</v>
      </c>
      <c r="L90" s="7">
        <v>0.25</v>
      </c>
      <c r="M90" s="6">
        <v>151.25</v>
      </c>
      <c r="N90" s="1" t="s">
        <v>26</v>
      </c>
      <c r="O90" s="5">
        <v>46114.0</v>
      </c>
    </row>
    <row r="91" ht="15.75" customHeight="1">
      <c r="A91" s="1" t="s">
        <v>16</v>
      </c>
      <c r="B91" s="1" t="s">
        <v>17</v>
      </c>
      <c r="C91" s="1" t="s">
        <v>114</v>
      </c>
      <c r="D91" s="1">
        <v>2.51823686E8</v>
      </c>
      <c r="E91" s="1" t="s">
        <v>31</v>
      </c>
      <c r="F91" s="5">
        <v>46023.0</v>
      </c>
      <c r="G91" s="5">
        <v>46109.0</v>
      </c>
      <c r="H91" s="1" t="s">
        <v>20</v>
      </c>
      <c r="I91" s="1" t="s">
        <v>28</v>
      </c>
      <c r="J91" s="6">
        <v>370.0</v>
      </c>
      <c r="K91" s="6">
        <v>350.0</v>
      </c>
      <c r="L91" s="7">
        <v>0.25</v>
      </c>
      <c r="M91" s="6">
        <v>87.5</v>
      </c>
      <c r="N91" s="1" t="s">
        <v>26</v>
      </c>
      <c r="O91" s="5">
        <v>46114.0</v>
      </c>
    </row>
    <row r="92" ht="15.75" customHeight="1">
      <c r="A92" s="1" t="s">
        <v>16</v>
      </c>
      <c r="B92" s="1" t="s">
        <v>49</v>
      </c>
      <c r="C92" s="1" t="s">
        <v>53</v>
      </c>
      <c r="D92" s="1">
        <v>2.51823603E8</v>
      </c>
      <c r="E92" s="1" t="s">
        <v>31</v>
      </c>
      <c r="F92" s="5">
        <v>46023.0</v>
      </c>
      <c r="G92" s="5">
        <v>46109.0</v>
      </c>
      <c r="H92" s="1" t="s">
        <v>20</v>
      </c>
      <c r="I92" s="1" t="s">
        <v>21</v>
      </c>
      <c r="J92" s="6">
        <v>595.0</v>
      </c>
      <c r="K92" s="6">
        <v>575.0</v>
      </c>
      <c r="L92" s="7">
        <v>0.25</v>
      </c>
      <c r="M92" s="6">
        <v>143.75</v>
      </c>
      <c r="N92" s="1" t="s">
        <v>26</v>
      </c>
      <c r="O92" s="5">
        <v>46114.0</v>
      </c>
    </row>
    <row r="93" ht="15.75" customHeight="1">
      <c r="A93" s="1" t="s">
        <v>16</v>
      </c>
      <c r="B93" s="1" t="s">
        <v>49</v>
      </c>
      <c r="C93" s="1" t="s">
        <v>54</v>
      </c>
      <c r="D93" s="1">
        <v>2.51811126E8</v>
      </c>
      <c r="E93" s="1" t="s">
        <v>31</v>
      </c>
      <c r="F93" s="5">
        <v>46023.0</v>
      </c>
      <c r="G93" s="5">
        <v>46109.0</v>
      </c>
      <c r="H93" s="1" t="s">
        <v>20</v>
      </c>
      <c r="I93" s="1" t="s">
        <v>25</v>
      </c>
      <c r="J93" s="6">
        <v>530.0</v>
      </c>
      <c r="K93" s="6">
        <v>510.0</v>
      </c>
      <c r="L93" s="7">
        <v>0.25</v>
      </c>
      <c r="M93" s="6">
        <v>127.5</v>
      </c>
      <c r="N93" s="1" t="s">
        <v>26</v>
      </c>
      <c r="O93" s="5">
        <v>46114.0</v>
      </c>
    </row>
    <row r="94" ht="15.75" customHeight="1">
      <c r="A94" s="1" t="s">
        <v>16</v>
      </c>
      <c r="B94" s="1" t="s">
        <v>40</v>
      </c>
      <c r="C94" s="1" t="s">
        <v>55</v>
      </c>
      <c r="D94" s="1">
        <v>2.51807518E8</v>
      </c>
      <c r="E94" s="1" t="s">
        <v>31</v>
      </c>
      <c r="F94" s="5">
        <v>46023.0</v>
      </c>
      <c r="G94" s="5">
        <v>46109.0</v>
      </c>
      <c r="H94" s="1" t="s">
        <v>20</v>
      </c>
      <c r="I94" s="1" t="s">
        <v>25</v>
      </c>
      <c r="J94" s="6">
        <v>530.0</v>
      </c>
      <c r="K94" s="6">
        <v>510.0</v>
      </c>
      <c r="L94" s="7">
        <v>0.25</v>
      </c>
      <c r="M94" s="6">
        <v>127.5</v>
      </c>
      <c r="N94" s="1" t="s">
        <v>26</v>
      </c>
      <c r="O94" s="5">
        <v>46114.0</v>
      </c>
    </row>
    <row r="95" ht="15.75" customHeight="1">
      <c r="A95" s="1" t="s">
        <v>16</v>
      </c>
      <c r="B95" s="1" t="s">
        <v>49</v>
      </c>
      <c r="C95" s="1" t="s">
        <v>56</v>
      </c>
      <c r="D95" s="1">
        <v>2.51804065E8</v>
      </c>
      <c r="E95" s="1" t="s">
        <v>31</v>
      </c>
      <c r="F95" s="5">
        <v>46023.0</v>
      </c>
      <c r="G95" s="5">
        <v>46109.0</v>
      </c>
      <c r="H95" s="1" t="s">
        <v>20</v>
      </c>
      <c r="I95" s="1" t="s">
        <v>25</v>
      </c>
      <c r="J95" s="6">
        <v>465.0</v>
      </c>
      <c r="K95" s="6">
        <v>445.0</v>
      </c>
      <c r="L95" s="7">
        <v>0.25</v>
      </c>
      <c r="M95" s="6">
        <v>111.25</v>
      </c>
      <c r="N95" s="1" t="s">
        <v>26</v>
      </c>
      <c r="O95" s="5">
        <v>46114.0</v>
      </c>
    </row>
    <row r="96" ht="15.75" customHeight="1">
      <c r="A96" s="1" t="s">
        <v>16</v>
      </c>
      <c r="B96" s="1" t="s">
        <v>49</v>
      </c>
      <c r="C96" s="1" t="s">
        <v>57</v>
      </c>
      <c r="D96" s="1">
        <v>2.51802495E8</v>
      </c>
      <c r="E96" s="1" t="s">
        <v>31</v>
      </c>
      <c r="F96" s="5">
        <v>46023.0</v>
      </c>
      <c r="G96" s="5">
        <v>46109.0</v>
      </c>
      <c r="H96" s="1" t="s">
        <v>20</v>
      </c>
      <c r="I96" s="1" t="s">
        <v>21</v>
      </c>
      <c r="J96" s="6">
        <v>235.0</v>
      </c>
      <c r="K96" s="6">
        <v>215.0</v>
      </c>
      <c r="L96" s="7">
        <v>0.25</v>
      </c>
      <c r="M96" s="6">
        <v>53.75</v>
      </c>
      <c r="N96" s="1" t="s">
        <v>26</v>
      </c>
      <c r="O96" s="5">
        <v>46114.0</v>
      </c>
    </row>
    <row r="97" ht="15.75" customHeight="1">
      <c r="A97" s="1" t="s">
        <v>16</v>
      </c>
      <c r="B97" s="1" t="s">
        <v>49</v>
      </c>
      <c r="C97" s="1" t="s">
        <v>58</v>
      </c>
      <c r="D97" s="1">
        <v>2.51800554E8</v>
      </c>
      <c r="E97" s="1" t="s">
        <v>31</v>
      </c>
      <c r="F97" s="5">
        <v>46023.0</v>
      </c>
      <c r="G97" s="5">
        <v>46109.0</v>
      </c>
      <c r="H97" s="1" t="s">
        <v>20</v>
      </c>
      <c r="I97" s="1" t="s">
        <v>21</v>
      </c>
      <c r="J97" s="6">
        <v>595.0</v>
      </c>
      <c r="K97" s="6">
        <v>575.0</v>
      </c>
      <c r="L97" s="7">
        <v>0.25</v>
      </c>
      <c r="M97" s="6">
        <v>143.75</v>
      </c>
      <c r="N97" s="1" t="s">
        <v>26</v>
      </c>
      <c r="O97" s="5">
        <v>46114.0</v>
      </c>
    </row>
    <row r="98" ht="15.75" customHeight="1">
      <c r="A98" s="1" t="s">
        <v>16</v>
      </c>
      <c r="B98" s="1" t="s">
        <v>59</v>
      </c>
      <c r="C98" s="1" t="s">
        <v>60</v>
      </c>
      <c r="D98" s="1">
        <v>1076165.0</v>
      </c>
      <c r="E98" s="1" t="s">
        <v>31</v>
      </c>
      <c r="F98" s="5">
        <v>45563.0</v>
      </c>
      <c r="G98" s="5">
        <v>46108.0</v>
      </c>
      <c r="H98" s="1" t="s">
        <v>20</v>
      </c>
      <c r="I98" s="1" t="s">
        <v>36</v>
      </c>
      <c r="J98" s="6">
        <v>145.59</v>
      </c>
      <c r="K98" s="6">
        <v>135.59</v>
      </c>
      <c r="L98" s="7">
        <v>0.25</v>
      </c>
      <c r="M98" s="6">
        <v>33.9</v>
      </c>
      <c r="N98" s="1" t="s">
        <v>26</v>
      </c>
      <c r="O98" s="5">
        <v>46114.0</v>
      </c>
    </row>
    <row r="99" ht="15.75" customHeight="1">
      <c r="A99" s="1" t="s">
        <v>16</v>
      </c>
      <c r="B99" s="1" t="s">
        <v>29</v>
      </c>
      <c r="C99" s="1" t="s">
        <v>38</v>
      </c>
      <c r="D99" s="1">
        <v>2.6186856E8</v>
      </c>
      <c r="E99" s="1" t="s">
        <v>31</v>
      </c>
      <c r="F99" s="5">
        <v>46113.0</v>
      </c>
      <c r="G99" s="5">
        <v>46108.0</v>
      </c>
      <c r="H99" s="1" t="s">
        <v>20</v>
      </c>
      <c r="I99" s="1" t="s">
        <v>28</v>
      </c>
      <c r="J99" s="6">
        <v>315.0</v>
      </c>
      <c r="K99" s="6">
        <v>295.0</v>
      </c>
      <c r="L99" s="7">
        <v>0.25</v>
      </c>
      <c r="M99" s="6">
        <v>73.75</v>
      </c>
      <c r="N99" s="1" t="s">
        <v>26</v>
      </c>
      <c r="O99" s="5">
        <v>46114.0</v>
      </c>
    </row>
    <row r="100" ht="15.75" customHeight="1">
      <c r="A100" s="1" t="s">
        <v>16</v>
      </c>
      <c r="B100" s="1" t="s">
        <v>40</v>
      </c>
      <c r="C100" s="1" t="s">
        <v>41</v>
      </c>
      <c r="D100" s="1">
        <v>2.61868471E8</v>
      </c>
      <c r="E100" s="1" t="s">
        <v>31</v>
      </c>
      <c r="F100" s="5">
        <v>46113.0</v>
      </c>
      <c r="G100" s="5">
        <v>46108.0</v>
      </c>
      <c r="H100" s="1" t="s">
        <v>20</v>
      </c>
      <c r="I100" s="1" t="s">
        <v>25</v>
      </c>
      <c r="J100" s="6">
        <v>405.0</v>
      </c>
      <c r="K100" s="6">
        <v>385.0</v>
      </c>
      <c r="L100" s="7">
        <v>0.25</v>
      </c>
      <c r="M100" s="6">
        <v>96.25</v>
      </c>
      <c r="N100" s="1" t="s">
        <v>26</v>
      </c>
      <c r="O100" s="5">
        <v>46114.0</v>
      </c>
    </row>
    <row r="101" ht="15.75" customHeight="1">
      <c r="A101" s="1" t="s">
        <v>16</v>
      </c>
      <c r="B101" s="1" t="s">
        <v>32</v>
      </c>
      <c r="C101" s="1" t="s">
        <v>39</v>
      </c>
      <c r="D101" s="1">
        <v>2.61868422E8</v>
      </c>
      <c r="E101" s="1" t="s">
        <v>31</v>
      </c>
      <c r="F101" s="5">
        <v>46113.0</v>
      </c>
      <c r="G101" s="5">
        <v>46108.0</v>
      </c>
      <c r="H101" s="1" t="s">
        <v>20</v>
      </c>
      <c r="I101" s="1" t="s">
        <v>21</v>
      </c>
      <c r="J101" s="6">
        <v>520.0</v>
      </c>
      <c r="K101" s="6">
        <v>500.0</v>
      </c>
      <c r="L101" s="7">
        <v>0.25</v>
      </c>
      <c r="M101" s="6">
        <v>125.0</v>
      </c>
      <c r="N101" s="1" t="s">
        <v>26</v>
      </c>
      <c r="O101" s="5">
        <v>46114.0</v>
      </c>
    </row>
    <row r="102" ht="15.75" customHeight="1">
      <c r="A102" s="1" t="s">
        <v>16</v>
      </c>
      <c r="B102" s="1" t="s">
        <v>32</v>
      </c>
      <c r="C102" s="1" t="s">
        <v>61</v>
      </c>
      <c r="D102" s="1">
        <v>2.51839313E8</v>
      </c>
      <c r="E102" s="1" t="s">
        <v>31</v>
      </c>
      <c r="F102" s="5">
        <v>46023.0</v>
      </c>
      <c r="G102" s="5">
        <v>46108.0</v>
      </c>
      <c r="H102" s="1" t="s">
        <v>20</v>
      </c>
      <c r="I102" s="1" t="s">
        <v>21</v>
      </c>
      <c r="J102" s="6">
        <v>510.0</v>
      </c>
      <c r="K102" s="6">
        <v>490.0</v>
      </c>
      <c r="L102" s="7">
        <v>0.25</v>
      </c>
      <c r="M102" s="6">
        <v>122.5</v>
      </c>
      <c r="N102" s="1" t="s">
        <v>26</v>
      </c>
      <c r="O102" s="5">
        <v>46114.0</v>
      </c>
    </row>
    <row r="103" ht="15.75" customHeight="1">
      <c r="A103" s="1" t="s">
        <v>16</v>
      </c>
      <c r="B103" s="1" t="s">
        <v>29</v>
      </c>
      <c r="C103" s="1" t="s">
        <v>62</v>
      </c>
      <c r="D103" s="1">
        <v>2.51817599E8</v>
      </c>
      <c r="E103" s="1" t="s">
        <v>31</v>
      </c>
      <c r="F103" s="5">
        <v>46023.0</v>
      </c>
      <c r="G103" s="5">
        <v>46107.0</v>
      </c>
      <c r="H103" s="1" t="s">
        <v>20</v>
      </c>
      <c r="I103" s="1" t="s">
        <v>21</v>
      </c>
      <c r="J103" s="6">
        <v>620.0</v>
      </c>
      <c r="K103" s="6">
        <v>600.0</v>
      </c>
      <c r="L103" s="7">
        <v>0.25</v>
      </c>
      <c r="M103" s="6">
        <v>150.0</v>
      </c>
      <c r="N103" s="1" t="s">
        <v>26</v>
      </c>
      <c r="O103" s="5">
        <v>46114.0</v>
      </c>
    </row>
    <row r="104" ht="15.75" customHeight="1">
      <c r="A104" s="1" t="s">
        <v>16</v>
      </c>
      <c r="B104" s="1" t="s">
        <v>29</v>
      </c>
      <c r="C104" s="1" t="s">
        <v>63</v>
      </c>
      <c r="D104" s="1">
        <v>2.51815732E8</v>
      </c>
      <c r="E104" s="1" t="s">
        <v>31</v>
      </c>
      <c r="F104" s="5">
        <v>46023.0</v>
      </c>
      <c r="G104" s="5">
        <v>46107.0</v>
      </c>
      <c r="H104" s="1" t="s">
        <v>20</v>
      </c>
      <c r="I104" s="1" t="s">
        <v>25</v>
      </c>
      <c r="J104" s="6">
        <v>450.0</v>
      </c>
      <c r="K104" s="6">
        <v>430.0</v>
      </c>
      <c r="L104" s="7">
        <v>0.25</v>
      </c>
      <c r="M104" s="6">
        <v>107.5</v>
      </c>
      <c r="N104" s="1" t="s">
        <v>26</v>
      </c>
      <c r="O104" s="5">
        <v>46114.0</v>
      </c>
    </row>
    <row r="105" ht="15.75" customHeight="1">
      <c r="A105" s="1" t="s">
        <v>16</v>
      </c>
      <c r="B105" s="1" t="s">
        <v>29</v>
      </c>
      <c r="C105" s="1" t="s">
        <v>64</v>
      </c>
      <c r="D105" s="1">
        <v>2.51811175E8</v>
      </c>
      <c r="E105" s="1" t="s">
        <v>31</v>
      </c>
      <c r="F105" s="5">
        <v>46023.0</v>
      </c>
      <c r="G105" s="5">
        <v>46107.0</v>
      </c>
      <c r="H105" s="1" t="s">
        <v>20</v>
      </c>
      <c r="I105" s="1" t="s">
        <v>21</v>
      </c>
      <c r="J105" s="6">
        <v>345.0</v>
      </c>
      <c r="K105" s="6">
        <v>325.0</v>
      </c>
      <c r="L105" s="7">
        <v>0.25</v>
      </c>
      <c r="M105" s="6">
        <v>81.25</v>
      </c>
      <c r="N105" s="1" t="s">
        <v>26</v>
      </c>
      <c r="O105" s="5">
        <v>46114.0</v>
      </c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43"/>
    <col customWidth="1" min="2" max="2" width="21.43"/>
    <col customWidth="1" min="3" max="3" width="23.57"/>
    <col customWidth="1" min="4" max="4" width="10.86"/>
    <col customWidth="1" min="5" max="5" width="18.71"/>
    <col customWidth="1" min="6" max="6" width="22.43"/>
    <col customWidth="1" min="7" max="7" width="15.86"/>
    <col customWidth="1" min="8" max="8" width="15.57"/>
    <col customWidth="1" min="9" max="9" width="6.14"/>
  </cols>
  <sheetData>
    <row r="1">
      <c r="A1" s="1" t="s">
        <v>1</v>
      </c>
      <c r="C1" s="1" t="s">
        <v>2</v>
      </c>
      <c r="D1" s="1" t="s">
        <v>3</v>
      </c>
      <c r="E1" s="1" t="s">
        <v>5</v>
      </c>
      <c r="F1" s="8" t="s">
        <v>10</v>
      </c>
      <c r="G1" s="1" t="s">
        <v>11</v>
      </c>
      <c r="H1" s="8" t="s">
        <v>12</v>
      </c>
      <c r="I1" s="1" t="s">
        <v>15</v>
      </c>
    </row>
    <row r="2">
      <c r="A2" s="1" t="s">
        <v>32</v>
      </c>
      <c r="B2" s="1" t="str">
        <f t="shared" ref="B2:B95" si="1">TRIM(LEFT(A2, FIND("[", A2) - 1))</f>
        <v>Matthew John Sherman</v>
      </c>
      <c r="C2" s="1" t="s">
        <v>39</v>
      </c>
      <c r="D2" s="1">
        <v>2.61868422E8</v>
      </c>
      <c r="E2" s="5">
        <v>46113.0</v>
      </c>
      <c r="F2" s="9">
        <v>500.0</v>
      </c>
      <c r="G2" s="7">
        <v>0.25</v>
      </c>
      <c r="H2" s="10">
        <v>125.0</v>
      </c>
    </row>
    <row r="3">
      <c r="A3" s="1" t="s">
        <v>32</v>
      </c>
      <c r="B3" s="1" t="str">
        <f t="shared" si="1"/>
        <v>Matthew John Sherman</v>
      </c>
      <c r="C3" s="1" t="s">
        <v>42</v>
      </c>
      <c r="D3" s="1">
        <v>2.61864421E8</v>
      </c>
      <c r="E3" s="5">
        <v>46113.0</v>
      </c>
      <c r="F3" s="9">
        <v>185.0</v>
      </c>
      <c r="G3" s="7">
        <v>0.25</v>
      </c>
      <c r="H3" s="10">
        <v>46.25</v>
      </c>
    </row>
    <row r="4">
      <c r="A4" s="1" t="s">
        <v>32</v>
      </c>
      <c r="B4" s="1" t="str">
        <f t="shared" si="1"/>
        <v>Matthew John Sherman</v>
      </c>
      <c r="C4" s="1" t="s">
        <v>44</v>
      </c>
      <c r="D4" s="1">
        <v>2.61864331E8</v>
      </c>
      <c r="E4" s="5">
        <v>46113.0</v>
      </c>
      <c r="F4" s="9">
        <v>245.0</v>
      </c>
      <c r="G4" s="7">
        <v>0.25</v>
      </c>
      <c r="H4" s="10">
        <v>61.25</v>
      </c>
    </row>
    <row r="5">
      <c r="A5" s="1" t="s">
        <v>32</v>
      </c>
      <c r="B5" s="1" t="str">
        <f t="shared" si="1"/>
        <v>Matthew John Sherman</v>
      </c>
      <c r="C5" s="1" t="s">
        <v>46</v>
      </c>
      <c r="D5" s="1">
        <v>2.61860347E8</v>
      </c>
      <c r="E5" s="5">
        <v>46082.0</v>
      </c>
      <c r="F5" s="9">
        <v>355.0</v>
      </c>
      <c r="G5" s="7">
        <v>0.25</v>
      </c>
      <c r="H5" s="10">
        <v>88.75</v>
      </c>
    </row>
    <row r="6">
      <c r="A6" s="1" t="s">
        <v>32</v>
      </c>
      <c r="B6" s="1" t="str">
        <f t="shared" si="1"/>
        <v>Matthew John Sherman</v>
      </c>
      <c r="C6" s="1" t="s">
        <v>47</v>
      </c>
      <c r="D6" s="1">
        <v>2.61859489E8</v>
      </c>
      <c r="E6" s="5">
        <v>46082.0</v>
      </c>
      <c r="F6" s="9">
        <v>490.0</v>
      </c>
      <c r="G6" s="7">
        <v>0.25</v>
      </c>
      <c r="H6" s="10">
        <v>122.5</v>
      </c>
    </row>
    <row r="7">
      <c r="A7" s="1" t="s">
        <v>32</v>
      </c>
      <c r="B7" s="1" t="str">
        <f t="shared" si="1"/>
        <v>Matthew John Sherman</v>
      </c>
      <c r="C7" s="1" t="s">
        <v>48</v>
      </c>
      <c r="D7" s="1">
        <v>2.6185866E8</v>
      </c>
      <c r="E7" s="5">
        <v>46082.0</v>
      </c>
      <c r="F7" s="9">
        <v>490.0</v>
      </c>
      <c r="G7" s="7">
        <v>0.25</v>
      </c>
      <c r="H7" s="10">
        <v>122.5</v>
      </c>
    </row>
    <row r="8">
      <c r="A8" s="1" t="s">
        <v>49</v>
      </c>
      <c r="B8" s="1" t="str">
        <f t="shared" si="1"/>
        <v>Michael Dunavant</v>
      </c>
      <c r="C8" s="1" t="s">
        <v>50</v>
      </c>
      <c r="D8" s="1">
        <v>2.51834487E8</v>
      </c>
      <c r="E8" s="5">
        <v>46023.0</v>
      </c>
      <c r="F8" s="9">
        <v>660.0</v>
      </c>
      <c r="G8" s="7">
        <v>0.25</v>
      </c>
      <c r="H8" s="10">
        <v>165.0</v>
      </c>
    </row>
    <row r="9">
      <c r="A9" s="1" t="s">
        <v>49</v>
      </c>
      <c r="B9" s="1" t="str">
        <f t="shared" si="1"/>
        <v>Michael Dunavant</v>
      </c>
      <c r="C9" s="1" t="s">
        <v>52</v>
      </c>
      <c r="D9" s="1">
        <v>2.51834363E8</v>
      </c>
      <c r="E9" s="5">
        <v>46023.0</v>
      </c>
      <c r="F9" s="9">
        <v>605.0</v>
      </c>
      <c r="G9" s="7">
        <v>0.25</v>
      </c>
      <c r="H9" s="10">
        <v>151.25</v>
      </c>
    </row>
    <row r="10">
      <c r="A10" s="1" t="s">
        <v>49</v>
      </c>
      <c r="B10" s="1" t="str">
        <f t="shared" si="1"/>
        <v>Michael Dunavant</v>
      </c>
      <c r="C10" s="1" t="s">
        <v>53</v>
      </c>
      <c r="D10" s="1">
        <v>2.51823603E8</v>
      </c>
      <c r="E10" s="5">
        <v>46023.0</v>
      </c>
      <c r="F10" s="9">
        <v>575.0</v>
      </c>
      <c r="G10" s="7">
        <v>0.25</v>
      </c>
      <c r="H10" s="10">
        <v>143.75</v>
      </c>
    </row>
    <row r="11" ht="15.75" customHeight="1">
      <c r="A11" s="1" t="s">
        <v>49</v>
      </c>
      <c r="B11" s="1" t="str">
        <f t="shared" si="1"/>
        <v>Michael Dunavant</v>
      </c>
      <c r="C11" s="1" t="s">
        <v>54</v>
      </c>
      <c r="D11" s="1">
        <v>2.51811126E8</v>
      </c>
      <c r="E11" s="5">
        <v>46023.0</v>
      </c>
      <c r="F11" s="9">
        <v>510.0</v>
      </c>
      <c r="G11" s="7">
        <v>0.25</v>
      </c>
      <c r="H11" s="10">
        <v>127.5</v>
      </c>
    </row>
    <row r="12" ht="15.75" customHeight="1">
      <c r="A12" s="1" t="s">
        <v>40</v>
      </c>
      <c r="B12" s="1" t="str">
        <f t="shared" si="1"/>
        <v>Pamela Deaton</v>
      </c>
      <c r="C12" s="1" t="s">
        <v>55</v>
      </c>
      <c r="D12" s="1">
        <v>2.51807518E8</v>
      </c>
      <c r="E12" s="5">
        <v>46023.0</v>
      </c>
      <c r="F12" s="9">
        <v>510.0</v>
      </c>
      <c r="G12" s="7">
        <v>0.25</v>
      </c>
      <c r="H12" s="10">
        <v>127.5</v>
      </c>
    </row>
    <row r="13" ht="15.75" customHeight="1">
      <c r="A13" s="1" t="s">
        <v>49</v>
      </c>
      <c r="B13" s="1" t="str">
        <f t="shared" si="1"/>
        <v>Michael Dunavant</v>
      </c>
      <c r="C13" s="1" t="s">
        <v>56</v>
      </c>
      <c r="D13" s="1">
        <v>2.51804065E8</v>
      </c>
      <c r="E13" s="5">
        <v>46023.0</v>
      </c>
      <c r="F13" s="9">
        <v>445.0</v>
      </c>
      <c r="G13" s="7">
        <v>0.25</v>
      </c>
      <c r="H13" s="10">
        <v>111.25</v>
      </c>
    </row>
    <row r="14" ht="15.75" customHeight="1">
      <c r="A14" s="1" t="s">
        <v>49</v>
      </c>
      <c r="B14" s="1" t="str">
        <f t="shared" si="1"/>
        <v>Michael Dunavant</v>
      </c>
      <c r="C14" s="1" t="s">
        <v>57</v>
      </c>
      <c r="D14" s="1">
        <v>2.51802495E8</v>
      </c>
      <c r="E14" s="5">
        <v>46023.0</v>
      </c>
      <c r="F14" s="9">
        <v>215.0</v>
      </c>
      <c r="G14" s="7">
        <v>0.25</v>
      </c>
      <c r="H14" s="10">
        <v>53.75</v>
      </c>
    </row>
    <row r="15" ht="15.75" customHeight="1">
      <c r="A15" s="1" t="s">
        <v>49</v>
      </c>
      <c r="B15" s="1" t="str">
        <f t="shared" si="1"/>
        <v>Michael Dunavant</v>
      </c>
      <c r="C15" s="1" t="s">
        <v>58</v>
      </c>
      <c r="D15" s="1">
        <v>2.51800554E8</v>
      </c>
      <c r="E15" s="5">
        <v>46023.0</v>
      </c>
      <c r="F15" s="9">
        <v>575.0</v>
      </c>
      <c r="G15" s="7">
        <v>0.25</v>
      </c>
      <c r="H15" s="10">
        <v>143.75</v>
      </c>
    </row>
    <row r="16" ht="15.75" customHeight="1">
      <c r="A16" s="1" t="s">
        <v>59</v>
      </c>
      <c r="B16" s="1" t="str">
        <f t="shared" si="1"/>
        <v>Jacob Yale</v>
      </c>
      <c r="C16" s="1" t="s">
        <v>60</v>
      </c>
      <c r="D16" s="1">
        <v>1076165.0</v>
      </c>
      <c r="E16" s="5">
        <v>45563.0</v>
      </c>
      <c r="F16" s="9">
        <v>145.0</v>
      </c>
      <c r="G16" s="7">
        <v>0.25</v>
      </c>
      <c r="H16" s="10">
        <v>36.25</v>
      </c>
    </row>
    <row r="17" ht="15.75" customHeight="1">
      <c r="A17" s="1" t="s">
        <v>32</v>
      </c>
      <c r="B17" s="1" t="str">
        <f t="shared" si="1"/>
        <v>Matthew John Sherman</v>
      </c>
      <c r="C17" s="1" t="s">
        <v>61</v>
      </c>
      <c r="D17" s="1">
        <v>2.51839313E8</v>
      </c>
      <c r="E17" s="5">
        <v>46023.0</v>
      </c>
      <c r="F17" s="9">
        <v>490.0</v>
      </c>
      <c r="G17" s="7">
        <v>0.25</v>
      </c>
      <c r="H17" s="10">
        <v>122.5</v>
      </c>
    </row>
    <row r="18" ht="15.75" customHeight="1">
      <c r="A18" s="1" t="s">
        <v>29</v>
      </c>
      <c r="B18" s="1" t="str">
        <f t="shared" si="1"/>
        <v>Heather Geske</v>
      </c>
      <c r="C18" s="1" t="s">
        <v>38</v>
      </c>
      <c r="D18" s="1">
        <v>2.6186856E8</v>
      </c>
      <c r="E18" s="5">
        <v>46113.0</v>
      </c>
      <c r="F18" s="9">
        <v>295.0</v>
      </c>
      <c r="G18" s="7">
        <v>0.25</v>
      </c>
      <c r="H18" s="10">
        <v>73.75</v>
      </c>
    </row>
    <row r="19" ht="15.75" customHeight="1">
      <c r="A19" s="1" t="s">
        <v>29</v>
      </c>
      <c r="B19" s="1" t="str">
        <f t="shared" si="1"/>
        <v>Heather Geske</v>
      </c>
      <c r="C19" s="1" t="s">
        <v>62</v>
      </c>
      <c r="D19" s="1">
        <v>2.51817599E8</v>
      </c>
      <c r="E19" s="5">
        <v>46023.0</v>
      </c>
      <c r="F19" s="9">
        <v>600.0</v>
      </c>
      <c r="G19" s="7">
        <v>0.25</v>
      </c>
      <c r="H19" s="10">
        <v>150.0</v>
      </c>
    </row>
    <row r="20" ht="15.75" customHeight="1">
      <c r="A20" s="1" t="s">
        <v>29</v>
      </c>
      <c r="B20" s="1" t="str">
        <f t="shared" si="1"/>
        <v>Heather Geske</v>
      </c>
      <c r="C20" s="1" t="s">
        <v>63</v>
      </c>
      <c r="D20" s="1">
        <v>2.51815732E8</v>
      </c>
      <c r="E20" s="5">
        <v>46023.0</v>
      </c>
      <c r="F20" s="9">
        <v>430.0</v>
      </c>
      <c r="G20" s="7">
        <v>0.25</v>
      </c>
      <c r="H20" s="10">
        <v>107.5</v>
      </c>
    </row>
    <row r="21" ht="15.75" customHeight="1">
      <c r="A21" s="1" t="s">
        <v>29</v>
      </c>
      <c r="B21" s="1" t="str">
        <f t="shared" si="1"/>
        <v>Heather Geske</v>
      </c>
      <c r="C21" s="1" t="s">
        <v>64</v>
      </c>
      <c r="D21" s="1">
        <v>2.51811175E8</v>
      </c>
      <c r="E21" s="5">
        <v>46023.0</v>
      </c>
      <c r="F21" s="9">
        <v>325.0</v>
      </c>
      <c r="G21" s="7">
        <v>0.25</v>
      </c>
      <c r="H21" s="10">
        <v>81.25</v>
      </c>
    </row>
    <row r="22" ht="15.75" customHeight="1">
      <c r="A22" s="1" t="s">
        <v>17</v>
      </c>
      <c r="B22" s="1" t="str">
        <f t="shared" si="1"/>
        <v>Victor Fuentes</v>
      </c>
      <c r="C22" s="1" t="s">
        <v>18</v>
      </c>
      <c r="D22" s="1">
        <v>2.61877275E8</v>
      </c>
      <c r="E22" s="5">
        <v>46143.0</v>
      </c>
      <c r="F22" s="9">
        <v>675.0</v>
      </c>
      <c r="G22" s="7">
        <v>0.25</v>
      </c>
      <c r="H22" s="10">
        <v>168.75</v>
      </c>
    </row>
    <row r="23" ht="15.75" customHeight="1">
      <c r="A23" s="1" t="s">
        <v>40</v>
      </c>
      <c r="B23" s="1" t="str">
        <f t="shared" si="1"/>
        <v>Pamela Deaton</v>
      </c>
      <c r="C23" s="1" t="s">
        <v>65</v>
      </c>
      <c r="D23" s="1">
        <v>2.61847853E8</v>
      </c>
      <c r="E23" s="5">
        <v>46045.0</v>
      </c>
      <c r="F23" s="9">
        <v>665.0</v>
      </c>
      <c r="G23" s="7">
        <v>0.25</v>
      </c>
      <c r="H23" s="10">
        <v>166.25</v>
      </c>
    </row>
    <row r="24" ht="15.75" customHeight="1">
      <c r="A24" s="1" t="s">
        <v>49</v>
      </c>
      <c r="B24" s="1" t="str">
        <f t="shared" si="1"/>
        <v>Michael Dunavant</v>
      </c>
      <c r="C24" s="1" t="s">
        <v>66</v>
      </c>
      <c r="D24" s="1">
        <v>2.61843705E8</v>
      </c>
      <c r="E24" s="5">
        <v>46045.0</v>
      </c>
      <c r="F24" s="9">
        <v>65.0</v>
      </c>
      <c r="G24" s="7">
        <v>0.25</v>
      </c>
      <c r="H24" s="10">
        <v>16.25</v>
      </c>
    </row>
    <row r="25" ht="15.75" customHeight="1">
      <c r="A25" s="1" t="s">
        <v>23</v>
      </c>
      <c r="B25" s="1" t="str">
        <f t="shared" si="1"/>
        <v>Jose Torres</v>
      </c>
      <c r="C25" s="1" t="s">
        <v>24</v>
      </c>
      <c r="D25" s="1">
        <v>2.61875106E8</v>
      </c>
      <c r="E25" s="5">
        <v>46160.0</v>
      </c>
      <c r="F25" s="9">
        <v>640.0</v>
      </c>
      <c r="G25" s="7">
        <v>0.25</v>
      </c>
      <c r="H25" s="10">
        <v>160.0</v>
      </c>
    </row>
    <row r="26" ht="15.75" customHeight="1">
      <c r="A26" s="1" t="s">
        <v>23</v>
      </c>
      <c r="B26" s="1" t="str">
        <f t="shared" si="1"/>
        <v>Jose Torres</v>
      </c>
      <c r="C26" s="1" t="s">
        <v>27</v>
      </c>
      <c r="D26" s="1">
        <v>2.61874861E8</v>
      </c>
      <c r="E26" s="5">
        <v>46159.0</v>
      </c>
      <c r="F26" s="9">
        <v>135.0</v>
      </c>
      <c r="G26" s="7">
        <v>0.25</v>
      </c>
      <c r="H26" s="10">
        <v>33.75</v>
      </c>
    </row>
    <row r="27" ht="15.75" customHeight="1">
      <c r="A27" s="1" t="s">
        <v>32</v>
      </c>
      <c r="B27" s="1" t="str">
        <f t="shared" si="1"/>
        <v>Matthew John Sherman</v>
      </c>
      <c r="C27" s="1" t="s">
        <v>67</v>
      </c>
      <c r="D27" s="1">
        <v>2.5182573E8</v>
      </c>
      <c r="E27" s="5">
        <v>46023.0</v>
      </c>
      <c r="F27" s="9">
        <v>740.0</v>
      </c>
      <c r="G27" s="7">
        <v>0.25</v>
      </c>
      <c r="H27" s="10">
        <v>185.0</v>
      </c>
    </row>
    <row r="28" ht="15.75" customHeight="1">
      <c r="A28" s="1" t="s">
        <v>32</v>
      </c>
      <c r="B28" s="1" t="str">
        <f t="shared" si="1"/>
        <v>Matthew John Sherman</v>
      </c>
      <c r="C28" s="1" t="s">
        <v>68</v>
      </c>
      <c r="D28" s="1">
        <v>2.61857287E8</v>
      </c>
      <c r="E28" s="5">
        <v>46071.0</v>
      </c>
      <c r="F28" s="9">
        <v>790.0</v>
      </c>
      <c r="G28" s="7">
        <v>0.25</v>
      </c>
      <c r="H28" s="10">
        <v>197.5</v>
      </c>
    </row>
    <row r="29" ht="15.75" customHeight="1">
      <c r="A29" s="1" t="s">
        <v>29</v>
      </c>
      <c r="B29" s="1" t="str">
        <f t="shared" si="1"/>
        <v>Heather Geske</v>
      </c>
      <c r="C29" s="1" t="s">
        <v>30</v>
      </c>
      <c r="D29" s="1">
        <v>2.61873502E8</v>
      </c>
      <c r="E29" s="5">
        <v>46127.0</v>
      </c>
      <c r="F29" s="9">
        <v>375.0</v>
      </c>
      <c r="G29" s="7">
        <v>0.25</v>
      </c>
      <c r="H29" s="10">
        <v>93.75</v>
      </c>
    </row>
    <row r="30" ht="15.75" customHeight="1">
      <c r="A30" s="1" t="s">
        <v>34</v>
      </c>
      <c r="B30" s="1" t="str">
        <f t="shared" si="1"/>
        <v>Brian Strohman</v>
      </c>
      <c r="C30" s="1" t="s">
        <v>35</v>
      </c>
      <c r="D30" s="1">
        <v>2.61870697E8</v>
      </c>
      <c r="E30" s="5">
        <v>46115.0</v>
      </c>
      <c r="F30" s="9">
        <v>165.0</v>
      </c>
      <c r="G30" s="7">
        <v>0.25</v>
      </c>
      <c r="H30" s="10">
        <v>41.25</v>
      </c>
    </row>
    <row r="31" ht="15.75" customHeight="1">
      <c r="A31" s="1" t="s">
        <v>29</v>
      </c>
      <c r="B31" s="1" t="str">
        <f t="shared" si="1"/>
        <v>Heather Geske</v>
      </c>
      <c r="C31" s="1" t="s">
        <v>69</v>
      </c>
      <c r="D31" s="1">
        <v>1084508.0</v>
      </c>
      <c r="E31" s="5">
        <v>45641.0</v>
      </c>
      <c r="F31" s="9">
        <v>265.0</v>
      </c>
      <c r="G31" s="7">
        <v>0.25</v>
      </c>
      <c r="H31" s="10">
        <v>66.25</v>
      </c>
    </row>
    <row r="32" ht="15.75" customHeight="1">
      <c r="A32" s="1" t="s">
        <v>32</v>
      </c>
      <c r="B32" s="1" t="str">
        <f t="shared" si="1"/>
        <v>Matthew John Sherman</v>
      </c>
      <c r="C32" s="1" t="s">
        <v>33</v>
      </c>
      <c r="D32" s="1">
        <v>2.61873176E8</v>
      </c>
      <c r="E32" s="5">
        <v>46126.0</v>
      </c>
      <c r="F32" s="9">
        <v>1140.0</v>
      </c>
      <c r="G32" s="7">
        <v>0.25</v>
      </c>
      <c r="H32" s="10">
        <v>285.0</v>
      </c>
    </row>
    <row r="33" ht="15.75" customHeight="1">
      <c r="A33" s="1" t="s">
        <v>40</v>
      </c>
      <c r="B33" s="1" t="str">
        <f t="shared" si="1"/>
        <v>Pamela Deaton</v>
      </c>
      <c r="C33" s="1" t="s">
        <v>41</v>
      </c>
      <c r="D33" s="1">
        <v>2.61868471E8</v>
      </c>
      <c r="E33" s="5">
        <v>46113.0</v>
      </c>
      <c r="F33" s="9">
        <v>385.0</v>
      </c>
      <c r="G33" s="7">
        <v>0.25</v>
      </c>
      <c r="H33" s="10">
        <v>96.25</v>
      </c>
    </row>
    <row r="34" ht="15.75" customHeight="1">
      <c r="A34" s="1" t="s">
        <v>49</v>
      </c>
      <c r="B34" s="1" t="str">
        <f t="shared" si="1"/>
        <v>Michael Dunavant</v>
      </c>
      <c r="C34" s="1" t="s">
        <v>70</v>
      </c>
      <c r="D34" s="1">
        <v>2.61867701E8</v>
      </c>
      <c r="E34" s="5">
        <v>46113.0</v>
      </c>
      <c r="F34" s="9">
        <v>340.0</v>
      </c>
      <c r="G34" s="7">
        <v>0.25</v>
      </c>
      <c r="H34" s="10">
        <v>85.0</v>
      </c>
    </row>
    <row r="35" ht="15.75" customHeight="1">
      <c r="A35" s="1" t="s">
        <v>29</v>
      </c>
      <c r="B35" s="1" t="str">
        <f t="shared" si="1"/>
        <v>Heather Geske</v>
      </c>
      <c r="C35" s="1" t="s">
        <v>37</v>
      </c>
      <c r="D35" s="1">
        <v>2.61866598E8</v>
      </c>
      <c r="E35" s="5">
        <v>46113.0</v>
      </c>
      <c r="F35" s="9">
        <v>420.0</v>
      </c>
      <c r="G35" s="7">
        <v>0.25</v>
      </c>
      <c r="H35" s="10">
        <v>105.0</v>
      </c>
    </row>
    <row r="36" ht="15.75" customHeight="1">
      <c r="A36" s="1" t="s">
        <v>29</v>
      </c>
      <c r="B36" s="1" t="str">
        <f t="shared" si="1"/>
        <v>Heather Geske</v>
      </c>
      <c r="C36" s="1" t="s">
        <v>71</v>
      </c>
      <c r="D36" s="1">
        <v>2.61851665E8</v>
      </c>
      <c r="E36" s="5">
        <v>46054.0</v>
      </c>
      <c r="F36" s="9">
        <v>470.0</v>
      </c>
      <c r="G36" s="7">
        <v>0.25</v>
      </c>
      <c r="H36" s="10">
        <v>117.5</v>
      </c>
    </row>
    <row r="37" ht="15.75" customHeight="1">
      <c r="A37" s="1" t="s">
        <v>29</v>
      </c>
      <c r="B37" s="1" t="str">
        <f t="shared" si="1"/>
        <v>Heather Geske</v>
      </c>
      <c r="C37" s="1" t="s">
        <v>72</v>
      </c>
      <c r="D37" s="1">
        <v>2.51815119E8</v>
      </c>
      <c r="E37" s="5">
        <v>46054.0</v>
      </c>
      <c r="F37" s="9">
        <v>435.0</v>
      </c>
      <c r="G37" s="7">
        <v>0.25</v>
      </c>
      <c r="H37" s="10">
        <v>108.75</v>
      </c>
    </row>
    <row r="38" ht="15.75" customHeight="1">
      <c r="A38" s="1" t="s">
        <v>73</v>
      </c>
      <c r="B38" s="1" t="str">
        <f t="shared" si="1"/>
        <v>Jonathan Aloff</v>
      </c>
      <c r="C38" s="1" t="s">
        <v>74</v>
      </c>
      <c r="D38" s="1">
        <v>2.518278E8</v>
      </c>
      <c r="E38" s="5">
        <v>46023.0</v>
      </c>
      <c r="F38" s="9">
        <v>170.0</v>
      </c>
      <c r="G38" s="7">
        <v>0.25</v>
      </c>
      <c r="H38" s="10">
        <v>42.5</v>
      </c>
    </row>
    <row r="39" ht="15.75" customHeight="1">
      <c r="A39" s="1" t="s">
        <v>32</v>
      </c>
      <c r="B39" s="1" t="str">
        <f t="shared" si="1"/>
        <v>Matthew John Sherman</v>
      </c>
      <c r="C39" s="1" t="s">
        <v>75</v>
      </c>
      <c r="D39" s="1">
        <v>2.51826288E8</v>
      </c>
      <c r="E39" s="5">
        <v>46023.0</v>
      </c>
      <c r="F39" s="9">
        <v>420.0</v>
      </c>
      <c r="G39" s="7">
        <v>0.25</v>
      </c>
      <c r="H39" s="10">
        <v>105.0</v>
      </c>
    </row>
    <row r="40" ht="15.75" customHeight="1">
      <c r="A40" s="1" t="s">
        <v>32</v>
      </c>
      <c r="B40" s="1" t="str">
        <f t="shared" si="1"/>
        <v>Matthew John Sherman</v>
      </c>
      <c r="C40" s="1" t="s">
        <v>76</v>
      </c>
      <c r="D40" s="1">
        <v>2.51825133E8</v>
      </c>
      <c r="E40" s="5">
        <v>46023.0</v>
      </c>
      <c r="F40" s="9">
        <v>215.0</v>
      </c>
      <c r="G40" s="7">
        <v>0.25</v>
      </c>
      <c r="H40" s="10">
        <v>53.75</v>
      </c>
    </row>
    <row r="41" ht="15.75" customHeight="1">
      <c r="A41" s="1" t="s">
        <v>77</v>
      </c>
      <c r="B41" s="1" t="str">
        <f t="shared" si="1"/>
        <v>Gary Portugal</v>
      </c>
      <c r="C41" s="1" t="s">
        <v>78</v>
      </c>
      <c r="D41" s="1">
        <v>2.51824128E8</v>
      </c>
      <c r="E41" s="5">
        <v>46023.0</v>
      </c>
      <c r="F41" s="9">
        <v>575.0</v>
      </c>
      <c r="G41" s="7">
        <v>0.25</v>
      </c>
      <c r="H41" s="10">
        <v>143.75</v>
      </c>
    </row>
    <row r="42" ht="15.75" customHeight="1">
      <c r="A42" s="1" t="s">
        <v>32</v>
      </c>
      <c r="B42" s="1" t="str">
        <f t="shared" si="1"/>
        <v>Matthew John Sherman</v>
      </c>
      <c r="C42" s="1" t="s">
        <v>79</v>
      </c>
      <c r="D42" s="1">
        <v>2.51822171E8</v>
      </c>
      <c r="E42" s="5">
        <v>46023.0</v>
      </c>
      <c r="F42" s="9">
        <v>1570.0</v>
      </c>
      <c r="G42" s="7">
        <v>0.25</v>
      </c>
      <c r="H42" s="10">
        <v>392.5</v>
      </c>
    </row>
    <row r="43" ht="15.75" customHeight="1">
      <c r="A43" s="1" t="s">
        <v>32</v>
      </c>
      <c r="B43" s="1" t="str">
        <f t="shared" si="1"/>
        <v>Matthew John Sherman</v>
      </c>
      <c r="C43" s="1" t="s">
        <v>80</v>
      </c>
      <c r="D43" s="1">
        <v>2.51819791E8</v>
      </c>
      <c r="E43" s="5">
        <v>46023.0</v>
      </c>
      <c r="F43" s="9">
        <v>665.0</v>
      </c>
      <c r="G43" s="7">
        <v>0.25</v>
      </c>
      <c r="H43" s="10">
        <v>166.25</v>
      </c>
    </row>
    <row r="44" ht="15.75" customHeight="1">
      <c r="A44" s="1" t="s">
        <v>49</v>
      </c>
      <c r="B44" s="1" t="str">
        <f t="shared" si="1"/>
        <v>Michael Dunavant</v>
      </c>
      <c r="C44" s="1" t="s">
        <v>81</v>
      </c>
      <c r="D44" s="1">
        <v>2.51819685E8</v>
      </c>
      <c r="E44" s="5">
        <v>46023.0</v>
      </c>
      <c r="F44" s="9">
        <v>605.0</v>
      </c>
      <c r="G44" s="7">
        <v>0.25</v>
      </c>
      <c r="H44" s="10">
        <v>151.25</v>
      </c>
    </row>
    <row r="45" ht="15.75" customHeight="1">
      <c r="A45" s="1" t="s">
        <v>32</v>
      </c>
      <c r="B45" s="1" t="str">
        <f t="shared" si="1"/>
        <v>Matthew John Sherman</v>
      </c>
      <c r="C45" s="1" t="s">
        <v>82</v>
      </c>
      <c r="D45" s="1">
        <v>2.51818441E8</v>
      </c>
      <c r="E45" s="5">
        <v>46023.0</v>
      </c>
      <c r="F45" s="9">
        <v>740.0</v>
      </c>
      <c r="G45" s="7">
        <v>0.25</v>
      </c>
      <c r="H45" s="10">
        <v>185.0</v>
      </c>
    </row>
    <row r="46" ht="15.75" customHeight="1">
      <c r="A46" s="1" t="s">
        <v>32</v>
      </c>
      <c r="B46" s="1" t="str">
        <f t="shared" si="1"/>
        <v>Matthew John Sherman</v>
      </c>
      <c r="C46" s="1" t="s">
        <v>83</v>
      </c>
      <c r="D46" s="1">
        <v>2.518165E8</v>
      </c>
      <c r="E46" s="5">
        <v>46023.0</v>
      </c>
      <c r="F46" s="9">
        <v>490.0</v>
      </c>
      <c r="G46" s="7">
        <v>0.25</v>
      </c>
      <c r="H46" s="10">
        <v>122.5</v>
      </c>
    </row>
    <row r="47" ht="15.75" customHeight="1">
      <c r="A47" s="1" t="s">
        <v>32</v>
      </c>
      <c r="B47" s="1" t="str">
        <f t="shared" si="1"/>
        <v>Matthew John Sherman</v>
      </c>
      <c r="C47" s="1" t="s">
        <v>84</v>
      </c>
      <c r="D47" s="1">
        <v>2.51815217E8</v>
      </c>
      <c r="E47" s="5">
        <v>46023.0</v>
      </c>
      <c r="F47" s="9">
        <v>575.0</v>
      </c>
      <c r="G47" s="7">
        <v>0.25</v>
      </c>
      <c r="H47" s="10">
        <v>143.75</v>
      </c>
    </row>
    <row r="48" ht="15.75" customHeight="1">
      <c r="A48" s="1" t="s">
        <v>32</v>
      </c>
      <c r="B48" s="1" t="str">
        <f t="shared" si="1"/>
        <v>Matthew John Sherman</v>
      </c>
      <c r="C48" s="1" t="s">
        <v>85</v>
      </c>
      <c r="D48" s="1">
        <v>2.51815168E8</v>
      </c>
      <c r="E48" s="5">
        <v>46023.0</v>
      </c>
      <c r="F48" s="9">
        <v>205.0</v>
      </c>
      <c r="G48" s="7">
        <v>0.25</v>
      </c>
      <c r="H48" s="10">
        <v>51.25</v>
      </c>
    </row>
    <row r="49" ht="15.75" customHeight="1">
      <c r="A49" s="1" t="s">
        <v>32</v>
      </c>
      <c r="B49" s="1" t="str">
        <f t="shared" si="1"/>
        <v>Matthew John Sherman</v>
      </c>
      <c r="C49" s="1" t="s">
        <v>86</v>
      </c>
      <c r="D49" s="1">
        <v>2.51814743E8</v>
      </c>
      <c r="E49" s="5">
        <v>46023.0</v>
      </c>
      <c r="F49" s="9">
        <v>490.0</v>
      </c>
      <c r="G49" s="7">
        <v>0.25</v>
      </c>
      <c r="H49" s="10">
        <v>122.5</v>
      </c>
    </row>
    <row r="50" ht="15.75" customHeight="1">
      <c r="A50" s="1" t="s">
        <v>40</v>
      </c>
      <c r="B50" s="1" t="str">
        <f t="shared" si="1"/>
        <v>Pamela Deaton</v>
      </c>
      <c r="C50" s="1" t="s">
        <v>87</v>
      </c>
      <c r="D50" s="1">
        <v>2.51814089E8</v>
      </c>
      <c r="E50" s="5">
        <v>46023.0</v>
      </c>
      <c r="F50" s="9">
        <v>80.0</v>
      </c>
      <c r="G50" s="7">
        <v>0.25</v>
      </c>
      <c r="H50" s="10">
        <v>20.0</v>
      </c>
    </row>
    <row r="51" ht="15.75" customHeight="1">
      <c r="A51" s="1" t="s">
        <v>29</v>
      </c>
      <c r="B51" s="1" t="str">
        <f t="shared" si="1"/>
        <v>Heather Geske</v>
      </c>
      <c r="C51" s="1" t="s">
        <v>88</v>
      </c>
      <c r="D51" s="1">
        <v>2.5181178E8</v>
      </c>
      <c r="E51" s="5">
        <v>46023.0</v>
      </c>
      <c r="F51" s="9">
        <v>500.0</v>
      </c>
      <c r="G51" s="7">
        <v>0.25</v>
      </c>
      <c r="H51" s="10">
        <v>125.0</v>
      </c>
    </row>
    <row r="52" ht="15.75" customHeight="1">
      <c r="A52" s="1" t="s">
        <v>40</v>
      </c>
      <c r="B52" s="1" t="str">
        <f t="shared" si="1"/>
        <v>Pamela Deaton</v>
      </c>
      <c r="C52" s="1" t="s">
        <v>90</v>
      </c>
      <c r="D52" s="1">
        <v>2.51808885E8</v>
      </c>
      <c r="E52" s="5">
        <v>46023.0</v>
      </c>
      <c r="F52" s="9">
        <v>185.0</v>
      </c>
      <c r="G52" s="7">
        <v>0.25</v>
      </c>
      <c r="H52" s="10">
        <v>46.25</v>
      </c>
    </row>
    <row r="53" ht="15.75" customHeight="1">
      <c r="A53" s="1" t="s">
        <v>40</v>
      </c>
      <c r="B53" s="1" t="str">
        <f t="shared" si="1"/>
        <v>Pamela Deaton</v>
      </c>
      <c r="C53" s="1" t="s">
        <v>91</v>
      </c>
      <c r="D53" s="1">
        <v>2.51806799E8</v>
      </c>
      <c r="E53" s="5">
        <v>46023.0</v>
      </c>
      <c r="F53" s="9">
        <v>355.0</v>
      </c>
      <c r="G53" s="7">
        <v>0.25</v>
      </c>
      <c r="H53" s="10">
        <v>88.75</v>
      </c>
    </row>
    <row r="54" ht="15.75" customHeight="1">
      <c r="A54" s="1" t="s">
        <v>40</v>
      </c>
      <c r="B54" s="1" t="str">
        <f t="shared" si="1"/>
        <v>Pamela Deaton</v>
      </c>
      <c r="C54" s="1" t="s">
        <v>92</v>
      </c>
      <c r="D54" s="1">
        <v>2.51805309E8</v>
      </c>
      <c r="E54" s="5">
        <v>46023.0</v>
      </c>
      <c r="F54" s="9">
        <v>575.0</v>
      </c>
      <c r="G54" s="7">
        <v>0.25</v>
      </c>
      <c r="H54" s="10">
        <v>143.75</v>
      </c>
    </row>
    <row r="55" ht="15.75" customHeight="1">
      <c r="A55" s="1" t="s">
        <v>40</v>
      </c>
      <c r="B55" s="1" t="str">
        <f t="shared" si="1"/>
        <v>Pamela Deaton</v>
      </c>
      <c r="C55" s="1" t="s">
        <v>93</v>
      </c>
      <c r="D55" s="1">
        <v>2.51803713E8</v>
      </c>
      <c r="E55" s="5">
        <v>46023.0</v>
      </c>
      <c r="F55" s="9">
        <v>310.0</v>
      </c>
      <c r="G55" s="7">
        <v>0.25</v>
      </c>
      <c r="H55" s="10">
        <v>77.5</v>
      </c>
    </row>
    <row r="56" ht="15.75" customHeight="1">
      <c r="A56" s="1" t="s">
        <v>49</v>
      </c>
      <c r="B56" s="1" t="str">
        <f t="shared" si="1"/>
        <v>Michael Dunavant</v>
      </c>
      <c r="C56" s="1" t="s">
        <v>94</v>
      </c>
      <c r="D56" s="1">
        <v>2.51802446E8</v>
      </c>
      <c r="E56" s="5">
        <v>46023.0</v>
      </c>
      <c r="F56" s="9">
        <v>490.0</v>
      </c>
      <c r="G56" s="7">
        <v>0.25</v>
      </c>
      <c r="H56" s="10">
        <v>122.5</v>
      </c>
    </row>
    <row r="57" ht="15.75" customHeight="1">
      <c r="A57" s="1" t="s">
        <v>40</v>
      </c>
      <c r="B57" s="1" t="str">
        <f t="shared" si="1"/>
        <v>Pamela Deaton</v>
      </c>
      <c r="C57" s="1" t="s">
        <v>95</v>
      </c>
      <c r="D57" s="1">
        <v>2.51801849E8</v>
      </c>
      <c r="E57" s="5">
        <v>46023.0</v>
      </c>
      <c r="F57" s="9">
        <v>340.0</v>
      </c>
      <c r="G57" s="7">
        <v>0.25</v>
      </c>
      <c r="H57" s="10">
        <v>85.0</v>
      </c>
    </row>
    <row r="58" ht="15.75" customHeight="1">
      <c r="A58" s="1" t="s">
        <v>40</v>
      </c>
      <c r="B58" s="1" t="str">
        <f t="shared" si="1"/>
        <v>Pamela Deaton</v>
      </c>
      <c r="C58" s="1" t="s">
        <v>96</v>
      </c>
      <c r="D58" s="1">
        <v>2.51800611E8</v>
      </c>
      <c r="E58" s="5">
        <v>46023.0</v>
      </c>
      <c r="F58" s="9">
        <v>135.0</v>
      </c>
      <c r="G58" s="7">
        <v>0.25</v>
      </c>
      <c r="H58" s="10">
        <v>33.75</v>
      </c>
    </row>
    <row r="59" ht="15.75" customHeight="1">
      <c r="A59" s="1" t="s">
        <v>49</v>
      </c>
      <c r="B59" s="1" t="str">
        <f t="shared" si="1"/>
        <v>Michael Dunavant</v>
      </c>
      <c r="C59" s="1" t="s">
        <v>97</v>
      </c>
      <c r="D59" s="1">
        <v>2.51800097E8</v>
      </c>
      <c r="E59" s="5">
        <v>46023.0</v>
      </c>
      <c r="F59" s="9">
        <v>490.0</v>
      </c>
      <c r="G59" s="7">
        <v>0.25</v>
      </c>
      <c r="H59" s="10">
        <v>122.5</v>
      </c>
    </row>
    <row r="60" ht="15.75" customHeight="1">
      <c r="A60" s="1" t="s">
        <v>98</v>
      </c>
      <c r="B60" s="1" t="str">
        <f t="shared" si="1"/>
        <v>Barry Brenner</v>
      </c>
      <c r="C60" s="1" t="s">
        <v>99</v>
      </c>
      <c r="D60" s="1">
        <v>2.51754149E8</v>
      </c>
      <c r="E60" s="5">
        <v>45881.0</v>
      </c>
      <c r="F60" s="9">
        <v>65.0</v>
      </c>
      <c r="G60" s="7">
        <v>0.25</v>
      </c>
      <c r="H60" s="10">
        <v>16.25</v>
      </c>
    </row>
    <row r="61" ht="15.75" customHeight="1">
      <c r="A61" s="1" t="s">
        <v>77</v>
      </c>
      <c r="B61" s="1" t="str">
        <f t="shared" si="1"/>
        <v>Gary Portugal</v>
      </c>
      <c r="C61" s="1" t="s">
        <v>100</v>
      </c>
      <c r="D61" s="1">
        <v>1095314.0</v>
      </c>
      <c r="E61" s="5">
        <v>45770.0</v>
      </c>
      <c r="F61" s="9">
        <v>165.77</v>
      </c>
      <c r="G61" s="7">
        <v>0.25</v>
      </c>
      <c r="H61" s="10">
        <v>41.44</v>
      </c>
    </row>
    <row r="62" ht="15.75" customHeight="1">
      <c r="A62" s="1" t="s">
        <v>34</v>
      </c>
      <c r="B62" s="1" t="str">
        <f t="shared" si="1"/>
        <v>Brian Strohman</v>
      </c>
      <c r="C62" s="1" t="s">
        <v>35</v>
      </c>
      <c r="D62" s="1">
        <v>2.61870697E8</v>
      </c>
      <c r="E62" s="5">
        <v>46115.0</v>
      </c>
      <c r="F62" s="9">
        <v>165.0</v>
      </c>
      <c r="G62" s="7">
        <v>0.25</v>
      </c>
      <c r="H62" s="10">
        <v>41.25</v>
      </c>
    </row>
    <row r="63" ht="15.75" customHeight="1">
      <c r="A63" s="1" t="s">
        <v>40</v>
      </c>
      <c r="B63" s="1" t="str">
        <f t="shared" si="1"/>
        <v>Pamela Deaton</v>
      </c>
      <c r="C63" s="1" t="s">
        <v>101</v>
      </c>
      <c r="D63" s="1">
        <v>2.61853245E8</v>
      </c>
      <c r="E63" s="5">
        <v>46083.0</v>
      </c>
      <c r="F63" s="9">
        <v>235.0</v>
      </c>
      <c r="G63" s="7">
        <v>0.25</v>
      </c>
      <c r="H63" s="10">
        <v>58.75</v>
      </c>
    </row>
    <row r="64" ht="15.75" customHeight="1">
      <c r="A64" s="1" t="s">
        <v>77</v>
      </c>
      <c r="B64" s="1" t="str">
        <f t="shared" si="1"/>
        <v>Gary Portugal</v>
      </c>
      <c r="C64" s="1" t="s">
        <v>102</v>
      </c>
      <c r="D64" s="1">
        <v>2.61845602E8</v>
      </c>
      <c r="E64" s="5">
        <v>46038.0</v>
      </c>
      <c r="F64" s="9">
        <v>260.0</v>
      </c>
      <c r="G64" s="7">
        <v>0.25</v>
      </c>
      <c r="H64" s="10">
        <v>65.0</v>
      </c>
    </row>
    <row r="65" ht="15.75" customHeight="1">
      <c r="A65" s="1" t="s">
        <v>40</v>
      </c>
      <c r="B65" s="1" t="str">
        <f t="shared" si="1"/>
        <v>Pamela Deaton</v>
      </c>
      <c r="C65" s="1" t="s">
        <v>103</v>
      </c>
      <c r="D65" s="1">
        <v>2.61843935E8</v>
      </c>
      <c r="E65" s="5">
        <v>46035.0</v>
      </c>
      <c r="F65" s="9">
        <v>200.0</v>
      </c>
      <c r="G65" s="7">
        <v>0.25</v>
      </c>
      <c r="H65" s="10">
        <v>50.0</v>
      </c>
    </row>
    <row r="66" ht="15.75" customHeight="1">
      <c r="A66" s="1" t="s">
        <v>77</v>
      </c>
      <c r="B66" s="1" t="str">
        <f t="shared" si="1"/>
        <v>Gary Portugal</v>
      </c>
      <c r="C66" s="1" t="s">
        <v>104</v>
      </c>
      <c r="D66" s="1">
        <v>2.51821747E8</v>
      </c>
      <c r="E66" s="5">
        <v>46023.0</v>
      </c>
      <c r="F66" s="9">
        <v>1570.0</v>
      </c>
      <c r="G66" s="7">
        <v>0.25</v>
      </c>
      <c r="H66" s="10">
        <v>392.5</v>
      </c>
    </row>
    <row r="67" ht="15.75" customHeight="1">
      <c r="A67" s="1" t="s">
        <v>77</v>
      </c>
      <c r="B67" s="1" t="str">
        <f t="shared" si="1"/>
        <v>Gary Portugal</v>
      </c>
      <c r="C67" s="1" t="s">
        <v>105</v>
      </c>
      <c r="D67" s="1">
        <v>2.51819194E8</v>
      </c>
      <c r="E67" s="5">
        <v>46024.0</v>
      </c>
      <c r="F67" s="9">
        <v>575.0</v>
      </c>
      <c r="G67" s="7">
        <v>0.25</v>
      </c>
      <c r="H67" s="10">
        <v>143.75</v>
      </c>
    </row>
    <row r="68" ht="15.75" customHeight="1">
      <c r="A68" s="1" t="s">
        <v>40</v>
      </c>
      <c r="B68" s="1" t="str">
        <f t="shared" si="1"/>
        <v>Pamela Deaton</v>
      </c>
      <c r="C68" s="1" t="s">
        <v>106</v>
      </c>
      <c r="D68" s="1">
        <v>2.51818343E8</v>
      </c>
      <c r="E68" s="5">
        <v>46029.0</v>
      </c>
      <c r="F68" s="9">
        <v>430.0</v>
      </c>
      <c r="G68" s="7">
        <v>0.25</v>
      </c>
      <c r="H68" s="10">
        <v>107.5</v>
      </c>
    </row>
    <row r="69" ht="15.75" customHeight="1">
      <c r="A69" s="1" t="s">
        <v>40</v>
      </c>
      <c r="B69" s="1" t="str">
        <f t="shared" si="1"/>
        <v>Pamela Deaton</v>
      </c>
      <c r="C69" s="1" t="s">
        <v>107</v>
      </c>
      <c r="D69" s="1">
        <v>2.51815536E8</v>
      </c>
      <c r="E69" s="5">
        <v>46025.0</v>
      </c>
      <c r="F69" s="9">
        <v>215.0</v>
      </c>
      <c r="G69" s="7">
        <v>0.25</v>
      </c>
      <c r="H69" s="10">
        <v>53.75</v>
      </c>
    </row>
    <row r="70" ht="15.75" customHeight="1">
      <c r="A70" s="1" t="s">
        <v>40</v>
      </c>
      <c r="B70" s="1" t="str">
        <f t="shared" si="1"/>
        <v>Pamela Deaton</v>
      </c>
      <c r="C70" s="1" t="s">
        <v>108</v>
      </c>
      <c r="D70" s="1">
        <v>2.51814964E8</v>
      </c>
      <c r="E70" s="5">
        <v>46024.0</v>
      </c>
      <c r="F70" s="9">
        <v>225.0</v>
      </c>
      <c r="G70" s="7">
        <v>0.25</v>
      </c>
      <c r="H70" s="10">
        <v>56.25</v>
      </c>
    </row>
    <row r="71" ht="15.75" customHeight="1">
      <c r="A71" s="1" t="s">
        <v>40</v>
      </c>
      <c r="B71" s="1" t="str">
        <f t="shared" si="1"/>
        <v>Pamela Deaton</v>
      </c>
      <c r="C71" s="1" t="s">
        <v>109</v>
      </c>
      <c r="D71" s="1">
        <v>2.51814202E8</v>
      </c>
      <c r="E71" s="5">
        <v>46024.0</v>
      </c>
      <c r="F71" s="9">
        <v>355.0</v>
      </c>
      <c r="G71" s="7">
        <v>0.25</v>
      </c>
      <c r="H71" s="10">
        <v>88.75</v>
      </c>
    </row>
    <row r="72" ht="15.75" customHeight="1">
      <c r="A72" s="1" t="s">
        <v>40</v>
      </c>
      <c r="B72" s="1" t="str">
        <f t="shared" si="1"/>
        <v>Pamela Deaton</v>
      </c>
      <c r="C72" s="1" t="s">
        <v>110</v>
      </c>
      <c r="D72" s="1">
        <v>2.51800809E8</v>
      </c>
      <c r="E72" s="5">
        <v>46024.0</v>
      </c>
      <c r="F72" s="9">
        <v>575.0</v>
      </c>
      <c r="G72" s="7">
        <v>0.25</v>
      </c>
      <c r="H72" s="10">
        <v>143.75</v>
      </c>
    </row>
    <row r="73" ht="15.75" customHeight="1">
      <c r="A73" s="1" t="s">
        <v>49</v>
      </c>
      <c r="B73" s="1" t="str">
        <f t="shared" si="1"/>
        <v>Michael Dunavant</v>
      </c>
      <c r="C73" s="1" t="s">
        <v>111</v>
      </c>
      <c r="D73" s="1">
        <v>2.51799402E8</v>
      </c>
      <c r="E73" s="5">
        <v>46023.0</v>
      </c>
      <c r="F73" s="9">
        <v>575.0</v>
      </c>
      <c r="G73" s="7">
        <v>0.25</v>
      </c>
      <c r="H73" s="10">
        <v>143.75</v>
      </c>
    </row>
    <row r="74" ht="15.75" customHeight="1">
      <c r="A74" s="1" t="s">
        <v>112</v>
      </c>
      <c r="B74" s="1" t="str">
        <f t="shared" si="1"/>
        <v>Thomas Kucan</v>
      </c>
      <c r="C74" s="1" t="s">
        <v>113</v>
      </c>
      <c r="D74" s="1">
        <v>2.51787776E8</v>
      </c>
      <c r="E74" s="5">
        <v>45931.0</v>
      </c>
      <c r="F74" s="9">
        <v>205.0</v>
      </c>
      <c r="G74" s="7">
        <v>0.25</v>
      </c>
      <c r="H74" s="10">
        <v>51.25</v>
      </c>
    </row>
    <row r="75" ht="15.75" customHeight="1">
      <c r="A75" s="1" t="s">
        <v>29</v>
      </c>
      <c r="B75" s="1" t="str">
        <f t="shared" si="1"/>
        <v>Heather Geske</v>
      </c>
      <c r="C75" s="1" t="s">
        <v>37</v>
      </c>
      <c r="D75" s="1">
        <v>2.61866598E8</v>
      </c>
      <c r="E75" s="5">
        <v>46113.0</v>
      </c>
      <c r="F75" s="9">
        <v>420.0</v>
      </c>
      <c r="G75" s="7">
        <v>0.25</v>
      </c>
      <c r="H75" s="10">
        <v>105.0</v>
      </c>
    </row>
    <row r="76" ht="15.75" customHeight="1">
      <c r="A76" s="1" t="s">
        <v>32</v>
      </c>
      <c r="B76" s="1" t="str">
        <f t="shared" si="1"/>
        <v>Matthew John Sherman</v>
      </c>
      <c r="C76" s="1" t="s">
        <v>46</v>
      </c>
      <c r="D76" s="1">
        <v>2.61860347E8</v>
      </c>
      <c r="E76" s="5">
        <v>46082.0</v>
      </c>
      <c r="F76" s="9">
        <v>355.0</v>
      </c>
      <c r="G76" s="7">
        <v>0.25</v>
      </c>
      <c r="H76" s="10">
        <v>88.75</v>
      </c>
    </row>
    <row r="77" ht="15.75" customHeight="1">
      <c r="A77" s="1" t="s">
        <v>32</v>
      </c>
      <c r="B77" s="1" t="str">
        <f t="shared" si="1"/>
        <v>Matthew John Sherman</v>
      </c>
      <c r="C77" s="1" t="s">
        <v>47</v>
      </c>
      <c r="D77" s="1">
        <v>2.61859489E8</v>
      </c>
      <c r="E77" s="5">
        <v>46082.0</v>
      </c>
      <c r="F77" s="9">
        <v>490.0</v>
      </c>
      <c r="G77" s="7">
        <v>0.25</v>
      </c>
      <c r="H77" s="10">
        <v>122.5</v>
      </c>
    </row>
    <row r="78" ht="15.75" customHeight="1">
      <c r="A78" s="1" t="s">
        <v>32</v>
      </c>
      <c r="B78" s="1" t="str">
        <f t="shared" si="1"/>
        <v>Matthew John Sherman</v>
      </c>
      <c r="C78" s="1" t="s">
        <v>48</v>
      </c>
      <c r="D78" s="1">
        <v>2.6185866E8</v>
      </c>
      <c r="E78" s="5">
        <v>46082.0</v>
      </c>
      <c r="F78" s="9">
        <v>490.0</v>
      </c>
      <c r="G78" s="7">
        <v>0.25</v>
      </c>
      <c r="H78" s="10">
        <v>122.5</v>
      </c>
    </row>
    <row r="79" ht="15.75" customHeight="1">
      <c r="A79" s="1" t="s">
        <v>49</v>
      </c>
      <c r="B79" s="1" t="str">
        <f t="shared" si="1"/>
        <v>Michael Dunavant</v>
      </c>
      <c r="C79" s="1" t="s">
        <v>50</v>
      </c>
      <c r="D79" s="1">
        <v>2.51834487E8</v>
      </c>
      <c r="E79" s="5">
        <v>46023.0</v>
      </c>
      <c r="F79" s="9">
        <v>660.0</v>
      </c>
      <c r="G79" s="7">
        <v>0.25</v>
      </c>
      <c r="H79" s="10">
        <v>165.0</v>
      </c>
    </row>
    <row r="80" ht="15.75" customHeight="1">
      <c r="A80" s="1" t="s">
        <v>49</v>
      </c>
      <c r="B80" s="1" t="str">
        <f t="shared" si="1"/>
        <v>Michael Dunavant</v>
      </c>
      <c r="C80" s="1" t="s">
        <v>52</v>
      </c>
      <c r="D80" s="1">
        <v>2.51834363E8</v>
      </c>
      <c r="E80" s="5">
        <v>46023.0</v>
      </c>
      <c r="F80" s="9">
        <v>605.0</v>
      </c>
      <c r="G80" s="7">
        <v>0.25</v>
      </c>
      <c r="H80" s="10">
        <v>151.25</v>
      </c>
    </row>
    <row r="81" ht="15.75" customHeight="1">
      <c r="A81" s="1" t="s">
        <v>17</v>
      </c>
      <c r="B81" s="1" t="str">
        <f t="shared" si="1"/>
        <v>Victor Fuentes</v>
      </c>
      <c r="C81" s="1" t="s">
        <v>114</v>
      </c>
      <c r="D81" s="1">
        <v>2.51823686E8</v>
      </c>
      <c r="E81" s="5">
        <v>46023.0</v>
      </c>
      <c r="F81" s="9">
        <v>350.0</v>
      </c>
      <c r="G81" s="7">
        <v>0.25</v>
      </c>
      <c r="H81" s="10">
        <v>87.5</v>
      </c>
    </row>
    <row r="82" ht="15.75" customHeight="1">
      <c r="A82" s="1" t="s">
        <v>49</v>
      </c>
      <c r="B82" s="1" t="str">
        <f t="shared" si="1"/>
        <v>Michael Dunavant</v>
      </c>
      <c r="C82" s="1" t="s">
        <v>53</v>
      </c>
      <c r="D82" s="1">
        <v>2.51823603E8</v>
      </c>
      <c r="E82" s="5">
        <v>46023.0</v>
      </c>
      <c r="F82" s="9">
        <v>575.0</v>
      </c>
      <c r="G82" s="7">
        <v>0.25</v>
      </c>
      <c r="H82" s="10">
        <v>143.75</v>
      </c>
    </row>
    <row r="83" ht="15.75" customHeight="1">
      <c r="A83" s="1" t="s">
        <v>49</v>
      </c>
      <c r="B83" s="1" t="str">
        <f t="shared" si="1"/>
        <v>Michael Dunavant</v>
      </c>
      <c r="C83" s="1" t="s">
        <v>54</v>
      </c>
      <c r="D83" s="1">
        <v>2.51811126E8</v>
      </c>
      <c r="E83" s="5">
        <v>46023.0</v>
      </c>
      <c r="F83" s="9">
        <v>510.0</v>
      </c>
      <c r="G83" s="7">
        <v>0.25</v>
      </c>
      <c r="H83" s="10">
        <v>127.5</v>
      </c>
    </row>
    <row r="84" ht="15.75" customHeight="1">
      <c r="A84" s="1" t="s">
        <v>40</v>
      </c>
      <c r="B84" s="1" t="str">
        <f t="shared" si="1"/>
        <v>Pamela Deaton</v>
      </c>
      <c r="C84" s="1" t="s">
        <v>55</v>
      </c>
      <c r="D84" s="1">
        <v>2.51807518E8</v>
      </c>
      <c r="E84" s="5">
        <v>46023.0</v>
      </c>
      <c r="F84" s="9">
        <v>510.0</v>
      </c>
      <c r="G84" s="7">
        <v>0.25</v>
      </c>
      <c r="H84" s="10">
        <v>127.5</v>
      </c>
    </row>
    <row r="85" ht="15.75" customHeight="1">
      <c r="A85" s="1" t="s">
        <v>49</v>
      </c>
      <c r="B85" s="1" t="str">
        <f t="shared" si="1"/>
        <v>Michael Dunavant</v>
      </c>
      <c r="C85" s="1" t="s">
        <v>56</v>
      </c>
      <c r="D85" s="1">
        <v>2.51804065E8</v>
      </c>
      <c r="E85" s="5">
        <v>46023.0</v>
      </c>
      <c r="F85" s="9">
        <v>445.0</v>
      </c>
      <c r="G85" s="7">
        <v>0.25</v>
      </c>
      <c r="H85" s="10">
        <v>111.25</v>
      </c>
    </row>
    <row r="86" ht="15.75" customHeight="1">
      <c r="A86" s="1" t="s">
        <v>49</v>
      </c>
      <c r="B86" s="1" t="str">
        <f t="shared" si="1"/>
        <v>Michael Dunavant</v>
      </c>
      <c r="C86" s="1" t="s">
        <v>57</v>
      </c>
      <c r="D86" s="1">
        <v>2.51802495E8</v>
      </c>
      <c r="E86" s="5">
        <v>46023.0</v>
      </c>
      <c r="F86" s="9">
        <v>215.0</v>
      </c>
      <c r="G86" s="7">
        <v>0.25</v>
      </c>
      <c r="H86" s="10">
        <v>53.75</v>
      </c>
    </row>
    <row r="87" ht="15.75" customHeight="1">
      <c r="A87" s="1" t="s">
        <v>49</v>
      </c>
      <c r="B87" s="1" t="str">
        <f t="shared" si="1"/>
        <v>Michael Dunavant</v>
      </c>
      <c r="C87" s="1" t="s">
        <v>58</v>
      </c>
      <c r="D87" s="1">
        <v>2.51800554E8</v>
      </c>
      <c r="E87" s="5">
        <v>46023.0</v>
      </c>
      <c r="F87" s="9">
        <v>575.0</v>
      </c>
      <c r="G87" s="7">
        <v>0.25</v>
      </c>
      <c r="H87" s="10">
        <v>143.75</v>
      </c>
    </row>
    <row r="88" ht="15.75" customHeight="1">
      <c r="A88" s="1" t="s">
        <v>59</v>
      </c>
      <c r="B88" s="1" t="str">
        <f t="shared" si="1"/>
        <v>Jacob Yale</v>
      </c>
      <c r="C88" s="1" t="s">
        <v>60</v>
      </c>
      <c r="D88" s="1">
        <v>1076165.0</v>
      </c>
      <c r="E88" s="5">
        <v>45563.0</v>
      </c>
      <c r="F88" s="9">
        <v>135.59</v>
      </c>
      <c r="G88" s="7">
        <v>0.25</v>
      </c>
      <c r="H88" s="10">
        <v>33.9</v>
      </c>
    </row>
    <row r="89" ht="15.75" customHeight="1">
      <c r="A89" s="1" t="s">
        <v>29</v>
      </c>
      <c r="B89" s="1" t="str">
        <f t="shared" si="1"/>
        <v>Heather Geske</v>
      </c>
      <c r="C89" s="1" t="s">
        <v>38</v>
      </c>
      <c r="D89" s="1">
        <v>2.6186856E8</v>
      </c>
      <c r="E89" s="5">
        <v>46113.0</v>
      </c>
      <c r="F89" s="9">
        <v>295.0</v>
      </c>
      <c r="G89" s="7">
        <v>0.25</v>
      </c>
      <c r="H89" s="10">
        <v>73.75</v>
      </c>
    </row>
    <row r="90" ht="15.75" customHeight="1">
      <c r="A90" s="1" t="s">
        <v>40</v>
      </c>
      <c r="B90" s="1" t="str">
        <f t="shared" si="1"/>
        <v>Pamela Deaton</v>
      </c>
      <c r="C90" s="1" t="s">
        <v>41</v>
      </c>
      <c r="D90" s="1">
        <v>2.61868471E8</v>
      </c>
      <c r="E90" s="5">
        <v>46113.0</v>
      </c>
      <c r="F90" s="9">
        <v>385.0</v>
      </c>
      <c r="G90" s="7">
        <v>0.25</v>
      </c>
      <c r="H90" s="10">
        <v>96.25</v>
      </c>
    </row>
    <row r="91" ht="15.75" customHeight="1">
      <c r="A91" s="1" t="s">
        <v>32</v>
      </c>
      <c r="B91" s="1" t="str">
        <f t="shared" si="1"/>
        <v>Matthew John Sherman</v>
      </c>
      <c r="C91" s="1" t="s">
        <v>39</v>
      </c>
      <c r="D91" s="1">
        <v>2.61868422E8</v>
      </c>
      <c r="E91" s="5">
        <v>46113.0</v>
      </c>
      <c r="F91" s="9">
        <v>500.0</v>
      </c>
      <c r="G91" s="7">
        <v>0.25</v>
      </c>
      <c r="H91" s="10">
        <v>125.0</v>
      </c>
    </row>
    <row r="92" ht="15.75" customHeight="1">
      <c r="A92" s="1" t="s">
        <v>32</v>
      </c>
      <c r="B92" s="1" t="str">
        <f t="shared" si="1"/>
        <v>Matthew John Sherman</v>
      </c>
      <c r="C92" s="1" t="s">
        <v>61</v>
      </c>
      <c r="D92" s="1">
        <v>2.51839313E8</v>
      </c>
      <c r="E92" s="5">
        <v>46023.0</v>
      </c>
      <c r="F92" s="9">
        <v>490.0</v>
      </c>
      <c r="G92" s="7">
        <v>0.25</v>
      </c>
      <c r="H92" s="10">
        <v>122.5</v>
      </c>
    </row>
    <row r="93" ht="15.75" customHeight="1">
      <c r="A93" s="1" t="s">
        <v>29</v>
      </c>
      <c r="B93" s="1" t="str">
        <f t="shared" si="1"/>
        <v>Heather Geske</v>
      </c>
      <c r="C93" s="1" t="s">
        <v>62</v>
      </c>
      <c r="D93" s="1">
        <v>2.51817599E8</v>
      </c>
      <c r="E93" s="5">
        <v>46023.0</v>
      </c>
      <c r="F93" s="9">
        <v>600.0</v>
      </c>
      <c r="G93" s="7">
        <v>0.25</v>
      </c>
      <c r="H93" s="10">
        <v>150.0</v>
      </c>
    </row>
    <row r="94" ht="15.75" customHeight="1">
      <c r="A94" s="1" t="s">
        <v>29</v>
      </c>
      <c r="B94" s="1" t="str">
        <f t="shared" si="1"/>
        <v>Heather Geske</v>
      </c>
      <c r="C94" s="1" t="s">
        <v>63</v>
      </c>
      <c r="D94" s="1">
        <v>2.51815732E8</v>
      </c>
      <c r="E94" s="5">
        <v>46023.0</v>
      </c>
      <c r="F94" s="9">
        <v>430.0</v>
      </c>
      <c r="G94" s="7">
        <v>0.25</v>
      </c>
      <c r="H94" s="10">
        <v>107.5</v>
      </c>
    </row>
    <row r="95" ht="15.75" customHeight="1">
      <c r="A95" s="1" t="s">
        <v>29</v>
      </c>
      <c r="B95" s="1" t="str">
        <f t="shared" si="1"/>
        <v>Heather Geske</v>
      </c>
      <c r="C95" s="1" t="s">
        <v>64</v>
      </c>
      <c r="D95" s="1">
        <v>2.51811175E8</v>
      </c>
      <c r="E95" s="5">
        <v>46023.0</v>
      </c>
      <c r="F95" s="9">
        <v>325.0</v>
      </c>
      <c r="G95" s="7">
        <v>0.25</v>
      </c>
      <c r="H95" s="10">
        <v>81.25</v>
      </c>
    </row>
    <row r="96">
      <c r="F96" s="8"/>
      <c r="H96" s="8"/>
    </row>
    <row r="97">
      <c r="F97" s="8"/>
      <c r="H97" s="8"/>
    </row>
    <row r="98">
      <c r="F98" s="8"/>
      <c r="H98" s="8"/>
    </row>
    <row r="99">
      <c r="F99" s="8"/>
      <c r="H99" s="8"/>
    </row>
    <row r="100">
      <c r="F100" s="8"/>
      <c r="H100" s="8"/>
    </row>
    <row r="101">
      <c r="F101" s="8"/>
      <c r="H101" s="8"/>
    </row>
    <row r="102">
      <c r="F102" s="8"/>
      <c r="H102" s="8"/>
    </row>
    <row r="103">
      <c r="F103" s="8"/>
      <c r="H103" s="8"/>
    </row>
    <row r="104">
      <c r="F104" s="8"/>
      <c r="H104" s="8"/>
    </row>
    <row r="105">
      <c r="F105" s="8"/>
      <c r="H105" s="8"/>
    </row>
    <row r="106">
      <c r="F106" s="8"/>
      <c r="H106" s="8"/>
    </row>
    <row r="107">
      <c r="F107" s="8"/>
      <c r="H107" s="8"/>
    </row>
    <row r="108">
      <c r="F108" s="8"/>
      <c r="H108" s="8"/>
    </row>
    <row r="109">
      <c r="F109" s="8"/>
      <c r="H109" s="8"/>
    </row>
    <row r="110">
      <c r="F110" s="8"/>
      <c r="H110" s="8"/>
    </row>
    <row r="111">
      <c r="F111" s="8"/>
      <c r="H111" s="8"/>
    </row>
    <row r="112">
      <c r="F112" s="8"/>
      <c r="H112" s="8"/>
    </row>
    <row r="113">
      <c r="F113" s="8"/>
      <c r="H113" s="8"/>
    </row>
    <row r="114">
      <c r="F114" s="8"/>
      <c r="H114" s="8"/>
    </row>
    <row r="115">
      <c r="F115" s="8"/>
      <c r="H115" s="8"/>
    </row>
    <row r="116">
      <c r="F116" s="8"/>
      <c r="H116" s="8"/>
    </row>
    <row r="117">
      <c r="F117" s="8"/>
      <c r="H117" s="8"/>
    </row>
    <row r="118">
      <c r="F118" s="8"/>
      <c r="H118" s="8"/>
    </row>
    <row r="119">
      <c r="F119" s="8"/>
      <c r="H119" s="8"/>
    </row>
    <row r="120">
      <c r="F120" s="8"/>
      <c r="H120" s="8"/>
    </row>
    <row r="121">
      <c r="F121" s="8"/>
      <c r="H121" s="8"/>
    </row>
    <row r="122">
      <c r="F122" s="8"/>
      <c r="H122" s="8"/>
    </row>
    <row r="123">
      <c r="F123" s="8"/>
      <c r="H123" s="8"/>
    </row>
    <row r="124">
      <c r="F124" s="8"/>
      <c r="H124" s="8"/>
    </row>
    <row r="125">
      <c r="F125" s="8"/>
      <c r="H125" s="8"/>
    </row>
    <row r="126">
      <c r="F126" s="8"/>
      <c r="H126" s="8"/>
    </row>
    <row r="127">
      <c r="F127" s="8"/>
      <c r="H127" s="8"/>
    </row>
    <row r="128">
      <c r="F128" s="8"/>
      <c r="H128" s="8"/>
    </row>
    <row r="129">
      <c r="F129" s="8"/>
      <c r="H129" s="8"/>
    </row>
    <row r="130">
      <c r="F130" s="8"/>
      <c r="H130" s="8"/>
    </row>
    <row r="131">
      <c r="F131" s="8"/>
      <c r="H131" s="8"/>
    </row>
    <row r="132">
      <c r="F132" s="8"/>
      <c r="H132" s="8"/>
    </row>
    <row r="133">
      <c r="F133" s="8"/>
      <c r="H133" s="8"/>
    </row>
    <row r="134">
      <c r="F134" s="8"/>
      <c r="H134" s="8"/>
    </row>
    <row r="135">
      <c r="F135" s="8"/>
      <c r="H135" s="8"/>
    </row>
    <row r="136">
      <c r="F136" s="8"/>
      <c r="H136" s="8"/>
    </row>
    <row r="137">
      <c r="F137" s="8"/>
      <c r="H137" s="8"/>
    </row>
    <row r="138">
      <c r="F138" s="8"/>
      <c r="H138" s="8"/>
    </row>
    <row r="139">
      <c r="F139" s="8"/>
      <c r="H139" s="8"/>
    </row>
    <row r="140">
      <c r="F140" s="8"/>
      <c r="H140" s="8"/>
    </row>
    <row r="141">
      <c r="F141" s="8"/>
      <c r="H141" s="8"/>
    </row>
    <row r="142">
      <c r="F142" s="8"/>
      <c r="H142" s="8"/>
    </row>
    <row r="143">
      <c r="F143" s="8"/>
      <c r="H143" s="8"/>
    </row>
    <row r="144">
      <c r="F144" s="8"/>
      <c r="H144" s="8"/>
    </row>
    <row r="145">
      <c r="F145" s="8"/>
      <c r="H145" s="8"/>
    </row>
    <row r="146">
      <c r="F146" s="8"/>
      <c r="H146" s="8"/>
    </row>
    <row r="147">
      <c r="F147" s="8"/>
      <c r="H147" s="8"/>
    </row>
    <row r="148">
      <c r="F148" s="8"/>
      <c r="H148" s="8"/>
    </row>
    <row r="149">
      <c r="F149" s="8"/>
      <c r="H149" s="8"/>
    </row>
    <row r="150">
      <c r="F150" s="8"/>
      <c r="H150" s="8"/>
    </row>
    <row r="151">
      <c r="F151" s="8"/>
      <c r="H151" s="8"/>
    </row>
    <row r="152">
      <c r="F152" s="8"/>
      <c r="H152" s="8"/>
    </row>
    <row r="153">
      <c r="F153" s="8"/>
      <c r="H153" s="8"/>
    </row>
    <row r="154">
      <c r="F154" s="8"/>
      <c r="H154" s="8"/>
    </row>
    <row r="155">
      <c r="F155" s="8"/>
      <c r="H155" s="8"/>
    </row>
    <row r="156">
      <c r="F156" s="8"/>
      <c r="H156" s="8"/>
    </row>
    <row r="157">
      <c r="F157" s="8"/>
      <c r="H157" s="8"/>
    </row>
    <row r="158">
      <c r="F158" s="8"/>
      <c r="H158" s="8"/>
    </row>
    <row r="159">
      <c r="F159" s="8"/>
      <c r="H159" s="8"/>
    </row>
    <row r="160">
      <c r="F160" s="8"/>
      <c r="H160" s="8"/>
    </row>
    <row r="161">
      <c r="F161" s="8"/>
      <c r="H161" s="8"/>
    </row>
    <row r="162">
      <c r="F162" s="8"/>
      <c r="H162" s="8"/>
    </row>
    <row r="163">
      <c r="F163" s="8"/>
      <c r="H163" s="8"/>
    </row>
    <row r="164">
      <c r="F164" s="8"/>
      <c r="H164" s="8"/>
    </row>
    <row r="165">
      <c r="F165" s="8"/>
      <c r="H165" s="8"/>
    </row>
    <row r="166">
      <c r="F166" s="8"/>
      <c r="H166" s="8"/>
    </row>
    <row r="167">
      <c r="F167" s="8"/>
      <c r="H167" s="8"/>
    </row>
    <row r="168">
      <c r="F168" s="8"/>
      <c r="H168" s="8"/>
    </row>
    <row r="169">
      <c r="F169" s="8"/>
      <c r="H169" s="8"/>
    </row>
    <row r="170">
      <c r="F170" s="8"/>
      <c r="H170" s="8"/>
    </row>
    <row r="171">
      <c r="F171" s="8"/>
      <c r="H171" s="8"/>
    </row>
    <row r="172">
      <c r="F172" s="8"/>
      <c r="H172" s="8"/>
    </row>
    <row r="173">
      <c r="F173" s="8"/>
      <c r="H173" s="8"/>
    </row>
    <row r="174">
      <c r="F174" s="8"/>
      <c r="H174" s="8"/>
    </row>
    <row r="175">
      <c r="F175" s="8"/>
      <c r="H175" s="8"/>
    </row>
    <row r="176">
      <c r="F176" s="8"/>
      <c r="H176" s="8"/>
    </row>
    <row r="177">
      <c r="F177" s="8"/>
      <c r="H177" s="8"/>
    </row>
    <row r="178">
      <c r="F178" s="8"/>
      <c r="H178" s="8"/>
    </row>
    <row r="179">
      <c r="F179" s="8"/>
      <c r="H179" s="8"/>
    </row>
    <row r="180">
      <c r="F180" s="8"/>
      <c r="H180" s="8"/>
    </row>
    <row r="181">
      <c r="F181" s="8"/>
      <c r="H181" s="8"/>
    </row>
    <row r="182">
      <c r="F182" s="8"/>
      <c r="H182" s="8"/>
    </row>
    <row r="183">
      <c r="F183" s="8"/>
      <c r="H183" s="8"/>
    </row>
    <row r="184">
      <c r="F184" s="8"/>
      <c r="H184" s="8"/>
    </row>
    <row r="185">
      <c r="F185" s="8"/>
      <c r="H185" s="8"/>
    </row>
    <row r="186">
      <c r="F186" s="8"/>
      <c r="H186" s="8"/>
    </row>
    <row r="187">
      <c r="F187" s="8"/>
      <c r="H187" s="8"/>
    </row>
    <row r="188">
      <c r="F188" s="8"/>
      <c r="H188" s="8"/>
    </row>
    <row r="189">
      <c r="F189" s="8"/>
      <c r="H189" s="8"/>
    </row>
    <row r="190">
      <c r="F190" s="8"/>
      <c r="H190" s="8"/>
    </row>
    <row r="191">
      <c r="F191" s="8"/>
      <c r="H191" s="8"/>
    </row>
    <row r="192">
      <c r="F192" s="8"/>
      <c r="H192" s="8"/>
    </row>
    <row r="193">
      <c r="F193" s="8"/>
      <c r="H193" s="8"/>
    </row>
    <row r="194">
      <c r="F194" s="8"/>
      <c r="H194" s="8"/>
    </row>
    <row r="195">
      <c r="F195" s="8"/>
      <c r="H195" s="8"/>
    </row>
    <row r="196">
      <c r="F196" s="8"/>
      <c r="H196" s="8"/>
    </row>
    <row r="197">
      <c r="F197" s="8"/>
      <c r="H197" s="8"/>
    </row>
    <row r="198">
      <c r="F198" s="8"/>
      <c r="H198" s="8"/>
    </row>
    <row r="199">
      <c r="F199" s="8"/>
      <c r="H199" s="8"/>
    </row>
    <row r="200">
      <c r="F200" s="8"/>
      <c r="H200" s="8"/>
    </row>
    <row r="201">
      <c r="F201" s="8"/>
      <c r="H201" s="8"/>
    </row>
    <row r="202">
      <c r="F202" s="8"/>
      <c r="H202" s="8"/>
    </row>
    <row r="203">
      <c r="F203" s="8"/>
      <c r="H203" s="8"/>
    </row>
    <row r="204">
      <c r="F204" s="8"/>
      <c r="H204" s="8"/>
    </row>
    <row r="205">
      <c r="F205" s="8"/>
      <c r="H205" s="8"/>
    </row>
    <row r="206">
      <c r="F206" s="8"/>
      <c r="H206" s="8"/>
    </row>
    <row r="207">
      <c r="F207" s="8"/>
      <c r="H207" s="8"/>
    </row>
    <row r="208">
      <c r="F208" s="8"/>
      <c r="H208" s="8"/>
    </row>
    <row r="209">
      <c r="F209" s="8"/>
      <c r="H209" s="8"/>
    </row>
    <row r="210">
      <c r="F210" s="8"/>
      <c r="H210" s="8"/>
    </row>
    <row r="211">
      <c r="F211" s="8"/>
      <c r="H211" s="8"/>
    </row>
    <row r="212">
      <c r="F212" s="8"/>
      <c r="H212" s="8"/>
    </row>
    <row r="213">
      <c r="F213" s="8"/>
      <c r="H213" s="8"/>
    </row>
    <row r="214">
      <c r="F214" s="8"/>
      <c r="H214" s="8"/>
    </row>
    <row r="215">
      <c r="F215" s="8"/>
      <c r="H215" s="8"/>
    </row>
    <row r="216">
      <c r="F216" s="8"/>
      <c r="H216" s="8"/>
    </row>
    <row r="217">
      <c r="F217" s="8"/>
      <c r="H217" s="8"/>
    </row>
    <row r="218">
      <c r="F218" s="8"/>
      <c r="H218" s="8"/>
    </row>
    <row r="219">
      <c r="F219" s="8"/>
      <c r="H219" s="8"/>
    </row>
    <row r="220">
      <c r="F220" s="8"/>
      <c r="H220" s="8"/>
    </row>
    <row r="221">
      <c r="F221" s="8"/>
      <c r="H221" s="8"/>
    </row>
    <row r="222">
      <c r="F222" s="8"/>
      <c r="H222" s="8"/>
    </row>
    <row r="223">
      <c r="F223" s="8"/>
      <c r="H223" s="8"/>
    </row>
    <row r="224">
      <c r="F224" s="8"/>
      <c r="H224" s="8"/>
    </row>
    <row r="225">
      <c r="F225" s="8"/>
      <c r="H225" s="8"/>
    </row>
    <row r="226">
      <c r="F226" s="8"/>
      <c r="H226" s="8"/>
    </row>
    <row r="227">
      <c r="F227" s="8"/>
      <c r="H227" s="8"/>
    </row>
    <row r="228">
      <c r="F228" s="8"/>
      <c r="H228" s="8"/>
    </row>
    <row r="229">
      <c r="F229" s="8"/>
      <c r="H229" s="8"/>
    </row>
    <row r="230">
      <c r="F230" s="8"/>
      <c r="H230" s="8"/>
    </row>
    <row r="231">
      <c r="F231" s="8"/>
      <c r="H231" s="8"/>
    </row>
    <row r="232">
      <c r="F232" s="8"/>
      <c r="H232" s="8"/>
    </row>
    <row r="233">
      <c r="F233" s="8"/>
      <c r="H233" s="8"/>
    </row>
    <row r="234">
      <c r="F234" s="8"/>
      <c r="H234" s="8"/>
    </row>
    <row r="235">
      <c r="F235" s="8"/>
      <c r="H235" s="8"/>
    </row>
    <row r="236">
      <c r="F236" s="8"/>
      <c r="H236" s="8"/>
    </row>
    <row r="237">
      <c r="F237" s="8"/>
      <c r="H237" s="8"/>
    </row>
    <row r="238">
      <c r="F238" s="8"/>
      <c r="H238" s="8"/>
    </row>
    <row r="239">
      <c r="F239" s="8"/>
      <c r="H239" s="8"/>
    </row>
    <row r="240">
      <c r="F240" s="8"/>
      <c r="H240" s="8"/>
    </row>
    <row r="241">
      <c r="F241" s="8"/>
      <c r="H241" s="8"/>
    </row>
    <row r="242">
      <c r="F242" s="8"/>
      <c r="H242" s="8"/>
    </row>
    <row r="243">
      <c r="F243" s="8"/>
      <c r="H243" s="8"/>
    </row>
    <row r="244">
      <c r="F244" s="8"/>
      <c r="H244" s="8"/>
    </row>
    <row r="245">
      <c r="F245" s="8"/>
      <c r="H245" s="8"/>
    </row>
    <row r="246">
      <c r="F246" s="8"/>
      <c r="H246" s="8"/>
    </row>
    <row r="247">
      <c r="F247" s="8"/>
      <c r="H247" s="8"/>
    </row>
    <row r="248">
      <c r="F248" s="8"/>
      <c r="H248" s="8"/>
    </row>
    <row r="249">
      <c r="F249" s="8"/>
      <c r="H249" s="8"/>
    </row>
    <row r="250">
      <c r="F250" s="8"/>
      <c r="H250" s="8"/>
    </row>
    <row r="251">
      <c r="F251" s="8"/>
      <c r="H251" s="8"/>
    </row>
    <row r="252">
      <c r="F252" s="8"/>
      <c r="H252" s="8"/>
    </row>
    <row r="253">
      <c r="F253" s="8"/>
      <c r="H253" s="8"/>
    </row>
    <row r="254">
      <c r="F254" s="8"/>
      <c r="H254" s="8"/>
    </row>
    <row r="255">
      <c r="F255" s="8"/>
      <c r="H255" s="8"/>
    </row>
    <row r="256">
      <c r="F256" s="8"/>
      <c r="H256" s="8"/>
    </row>
    <row r="257">
      <c r="F257" s="8"/>
      <c r="H257" s="8"/>
    </row>
    <row r="258">
      <c r="F258" s="8"/>
      <c r="H258" s="8"/>
    </row>
    <row r="259">
      <c r="F259" s="8"/>
      <c r="H259" s="8"/>
    </row>
    <row r="260">
      <c r="F260" s="8"/>
      <c r="H260" s="8"/>
    </row>
    <row r="261">
      <c r="F261" s="8"/>
      <c r="H261" s="8"/>
    </row>
    <row r="262">
      <c r="F262" s="8"/>
      <c r="H262" s="8"/>
    </row>
    <row r="263">
      <c r="F263" s="8"/>
      <c r="H263" s="8"/>
    </row>
    <row r="264">
      <c r="F264" s="8"/>
      <c r="H264" s="8"/>
    </row>
    <row r="265">
      <c r="F265" s="8"/>
      <c r="H265" s="8"/>
    </row>
    <row r="266">
      <c r="F266" s="8"/>
      <c r="H266" s="8"/>
    </row>
    <row r="267">
      <c r="F267" s="8"/>
      <c r="H267" s="8"/>
    </row>
    <row r="268">
      <c r="F268" s="8"/>
      <c r="H268" s="8"/>
    </row>
    <row r="269">
      <c r="F269" s="8"/>
      <c r="H269" s="8"/>
    </row>
    <row r="270">
      <c r="F270" s="8"/>
      <c r="H270" s="8"/>
    </row>
    <row r="271">
      <c r="F271" s="8"/>
      <c r="H271" s="8"/>
    </row>
    <row r="272">
      <c r="F272" s="8"/>
      <c r="H272" s="8"/>
    </row>
    <row r="273">
      <c r="F273" s="8"/>
      <c r="H273" s="8"/>
    </row>
    <row r="274">
      <c r="F274" s="8"/>
      <c r="H274" s="8"/>
    </row>
    <row r="275">
      <c r="F275" s="8"/>
      <c r="H275" s="8"/>
    </row>
    <row r="276">
      <c r="F276" s="8"/>
      <c r="H276" s="8"/>
    </row>
    <row r="277">
      <c r="F277" s="8"/>
      <c r="H277" s="8"/>
    </row>
    <row r="278">
      <c r="F278" s="8"/>
      <c r="H278" s="8"/>
    </row>
    <row r="279">
      <c r="F279" s="8"/>
      <c r="H279" s="8"/>
    </row>
    <row r="280">
      <c r="F280" s="8"/>
      <c r="H280" s="8"/>
    </row>
    <row r="281">
      <c r="F281" s="8"/>
      <c r="H281" s="8"/>
    </row>
    <row r="282">
      <c r="F282" s="8"/>
      <c r="H282" s="8"/>
    </row>
    <row r="283">
      <c r="F283" s="8"/>
      <c r="H283" s="8"/>
    </row>
    <row r="284">
      <c r="F284" s="8"/>
      <c r="H284" s="8"/>
    </row>
    <row r="285">
      <c r="F285" s="8"/>
      <c r="H285" s="8"/>
    </row>
    <row r="286">
      <c r="F286" s="8"/>
      <c r="H286" s="8"/>
    </row>
    <row r="287">
      <c r="F287" s="8"/>
      <c r="H287" s="8"/>
    </row>
    <row r="288">
      <c r="F288" s="8"/>
      <c r="H288" s="8"/>
    </row>
    <row r="289">
      <c r="F289" s="8"/>
      <c r="H289" s="8"/>
    </row>
    <row r="290">
      <c r="F290" s="8"/>
      <c r="H290" s="8"/>
    </row>
    <row r="291">
      <c r="F291" s="8"/>
      <c r="H291" s="8"/>
    </row>
    <row r="292">
      <c r="F292" s="8"/>
      <c r="H292" s="8"/>
    </row>
    <row r="293">
      <c r="F293" s="8"/>
      <c r="H293" s="8"/>
    </row>
    <row r="294">
      <c r="F294" s="8"/>
      <c r="H294" s="8"/>
    </row>
    <row r="295">
      <c r="F295" s="8"/>
      <c r="H295" s="8"/>
    </row>
    <row r="296">
      <c r="F296" s="8"/>
      <c r="H296" s="8"/>
    </row>
    <row r="297">
      <c r="F297" s="8"/>
      <c r="H297" s="8"/>
    </row>
    <row r="298">
      <c r="F298" s="8"/>
      <c r="H298" s="8"/>
    </row>
    <row r="299">
      <c r="F299" s="8"/>
      <c r="H299" s="8"/>
    </row>
    <row r="300">
      <c r="F300" s="8"/>
      <c r="H300" s="8"/>
    </row>
    <row r="301">
      <c r="F301" s="8"/>
      <c r="H301" s="8"/>
    </row>
    <row r="302">
      <c r="F302" s="8"/>
      <c r="H302" s="8"/>
    </row>
    <row r="303">
      <c r="F303" s="8"/>
      <c r="H303" s="8"/>
    </row>
    <row r="304">
      <c r="F304" s="8"/>
      <c r="H304" s="8"/>
    </row>
    <row r="305">
      <c r="F305" s="8"/>
      <c r="H305" s="8"/>
    </row>
    <row r="306">
      <c r="F306" s="8"/>
      <c r="H306" s="8"/>
    </row>
    <row r="307">
      <c r="F307" s="8"/>
      <c r="H307" s="8"/>
    </row>
    <row r="308">
      <c r="F308" s="8"/>
      <c r="H308" s="8"/>
    </row>
    <row r="309">
      <c r="F309" s="8"/>
      <c r="H309" s="8"/>
    </row>
    <row r="310">
      <c r="F310" s="8"/>
      <c r="H310" s="8"/>
    </row>
    <row r="311">
      <c r="F311" s="8"/>
      <c r="H311" s="8"/>
    </row>
    <row r="312">
      <c r="F312" s="8"/>
      <c r="H312" s="8"/>
    </row>
    <row r="313">
      <c r="F313" s="8"/>
      <c r="H313" s="8"/>
    </row>
    <row r="314">
      <c r="F314" s="8"/>
      <c r="H314" s="8"/>
    </row>
    <row r="315">
      <c r="F315" s="8"/>
      <c r="H315" s="8"/>
    </row>
    <row r="316">
      <c r="F316" s="8"/>
      <c r="H316" s="8"/>
    </row>
    <row r="317">
      <c r="F317" s="8"/>
      <c r="H317" s="8"/>
    </row>
    <row r="318">
      <c r="F318" s="8"/>
      <c r="H318" s="8"/>
    </row>
    <row r="319">
      <c r="F319" s="8"/>
      <c r="H319" s="8"/>
    </row>
    <row r="320">
      <c r="F320" s="8"/>
      <c r="H320" s="8"/>
    </row>
    <row r="321">
      <c r="F321" s="8"/>
      <c r="H321" s="8"/>
    </row>
    <row r="322">
      <c r="F322" s="8"/>
      <c r="H322" s="8"/>
    </row>
    <row r="323">
      <c r="F323" s="8"/>
      <c r="H323" s="8"/>
    </row>
    <row r="324">
      <c r="F324" s="8"/>
      <c r="H324" s="8"/>
    </row>
    <row r="325">
      <c r="F325" s="8"/>
      <c r="H325" s="8"/>
    </row>
    <row r="326">
      <c r="F326" s="8"/>
      <c r="H326" s="8"/>
    </row>
    <row r="327">
      <c r="F327" s="8"/>
      <c r="H327" s="8"/>
    </row>
    <row r="328">
      <c r="F328" s="8"/>
      <c r="H328" s="8"/>
    </row>
    <row r="329">
      <c r="F329" s="8"/>
      <c r="H329" s="8"/>
    </row>
    <row r="330">
      <c r="F330" s="8"/>
      <c r="H330" s="8"/>
    </row>
    <row r="331">
      <c r="F331" s="8"/>
      <c r="H331" s="8"/>
    </row>
    <row r="332">
      <c r="F332" s="8"/>
      <c r="H332" s="8"/>
    </row>
    <row r="333">
      <c r="F333" s="8"/>
      <c r="H333" s="8"/>
    </row>
    <row r="334">
      <c r="F334" s="8"/>
      <c r="H334" s="8"/>
    </row>
    <row r="335">
      <c r="F335" s="8"/>
      <c r="H335" s="8"/>
    </row>
    <row r="336">
      <c r="F336" s="8"/>
      <c r="H336" s="8"/>
    </row>
    <row r="337">
      <c r="F337" s="8"/>
      <c r="H337" s="8"/>
    </row>
    <row r="338">
      <c r="F338" s="8"/>
      <c r="H338" s="8"/>
    </row>
    <row r="339">
      <c r="F339" s="8"/>
      <c r="H339" s="8"/>
    </row>
    <row r="340">
      <c r="F340" s="8"/>
      <c r="H340" s="8"/>
    </row>
    <row r="341">
      <c r="F341" s="8"/>
      <c r="H341" s="8"/>
    </row>
    <row r="342">
      <c r="F342" s="8"/>
      <c r="H342" s="8"/>
    </row>
    <row r="343">
      <c r="F343" s="8"/>
      <c r="H343" s="8"/>
    </row>
    <row r="344">
      <c r="F344" s="8"/>
      <c r="H344" s="8"/>
    </row>
    <row r="345">
      <c r="F345" s="8"/>
      <c r="H345" s="8"/>
    </row>
    <row r="346">
      <c r="F346" s="8"/>
      <c r="H346" s="8"/>
    </row>
    <row r="347">
      <c r="F347" s="8"/>
      <c r="H347" s="8"/>
    </row>
    <row r="348">
      <c r="F348" s="8"/>
      <c r="H348" s="8"/>
    </row>
    <row r="349">
      <c r="F349" s="8"/>
      <c r="H349" s="8"/>
    </row>
    <row r="350">
      <c r="F350" s="8"/>
      <c r="H350" s="8"/>
    </row>
    <row r="351">
      <c r="F351" s="8"/>
      <c r="H351" s="8"/>
    </row>
    <row r="352">
      <c r="F352" s="8"/>
      <c r="H352" s="8"/>
    </row>
    <row r="353">
      <c r="F353" s="8"/>
      <c r="H353" s="8"/>
    </row>
    <row r="354">
      <c r="F354" s="8"/>
      <c r="H354" s="8"/>
    </row>
    <row r="355">
      <c r="F355" s="8"/>
      <c r="H355" s="8"/>
    </row>
    <row r="356">
      <c r="F356" s="8"/>
      <c r="H356" s="8"/>
    </row>
    <row r="357">
      <c r="F357" s="8"/>
      <c r="H357" s="8"/>
    </row>
    <row r="358">
      <c r="F358" s="8"/>
      <c r="H358" s="8"/>
    </row>
    <row r="359">
      <c r="F359" s="8"/>
      <c r="H359" s="8"/>
    </row>
    <row r="360">
      <c r="F360" s="8"/>
      <c r="H360" s="8"/>
    </row>
    <row r="361">
      <c r="F361" s="8"/>
      <c r="H361" s="8"/>
    </row>
    <row r="362">
      <c r="F362" s="8"/>
      <c r="H362" s="8"/>
    </row>
    <row r="363">
      <c r="F363" s="8"/>
      <c r="H363" s="8"/>
    </row>
    <row r="364">
      <c r="F364" s="8"/>
      <c r="H364" s="8"/>
    </row>
    <row r="365">
      <c r="F365" s="8"/>
      <c r="H365" s="8"/>
    </row>
    <row r="366">
      <c r="F366" s="8"/>
      <c r="H366" s="8"/>
    </row>
    <row r="367">
      <c r="F367" s="8"/>
      <c r="H367" s="8"/>
    </row>
    <row r="368">
      <c r="F368" s="8"/>
      <c r="H368" s="8"/>
    </row>
    <row r="369">
      <c r="F369" s="8"/>
      <c r="H369" s="8"/>
    </row>
    <row r="370">
      <c r="F370" s="8"/>
      <c r="H370" s="8"/>
    </row>
    <row r="371">
      <c r="F371" s="8"/>
      <c r="H371" s="8"/>
    </row>
    <row r="372">
      <c r="F372" s="8"/>
      <c r="H372" s="8"/>
    </row>
    <row r="373">
      <c r="F373" s="8"/>
      <c r="H373" s="8"/>
    </row>
    <row r="374">
      <c r="F374" s="8"/>
      <c r="H374" s="8"/>
    </row>
    <row r="375">
      <c r="F375" s="8"/>
      <c r="H375" s="8"/>
    </row>
    <row r="376">
      <c r="F376" s="8"/>
      <c r="H376" s="8"/>
    </row>
    <row r="377">
      <c r="F377" s="8"/>
      <c r="H377" s="8"/>
    </row>
    <row r="378">
      <c r="F378" s="8"/>
      <c r="H378" s="8"/>
    </row>
    <row r="379">
      <c r="F379" s="8"/>
      <c r="H379" s="8"/>
    </row>
    <row r="380">
      <c r="F380" s="8"/>
      <c r="H380" s="8"/>
    </row>
    <row r="381">
      <c r="F381" s="8"/>
      <c r="H381" s="8"/>
    </row>
    <row r="382">
      <c r="F382" s="8"/>
      <c r="H382" s="8"/>
    </row>
    <row r="383">
      <c r="F383" s="8"/>
      <c r="H383" s="8"/>
    </row>
    <row r="384">
      <c r="F384" s="8"/>
      <c r="H384" s="8"/>
    </row>
    <row r="385">
      <c r="F385" s="8"/>
      <c r="H385" s="8"/>
    </row>
    <row r="386">
      <c r="F386" s="8"/>
      <c r="H386" s="8"/>
    </row>
    <row r="387">
      <c r="F387" s="8"/>
      <c r="H387" s="8"/>
    </row>
    <row r="388">
      <c r="F388" s="8"/>
      <c r="H388" s="8"/>
    </row>
    <row r="389">
      <c r="F389" s="8"/>
      <c r="H389" s="8"/>
    </row>
    <row r="390">
      <c r="F390" s="8"/>
      <c r="H390" s="8"/>
    </row>
    <row r="391">
      <c r="F391" s="8"/>
      <c r="H391" s="8"/>
    </row>
    <row r="392">
      <c r="F392" s="8"/>
      <c r="H392" s="8"/>
    </row>
    <row r="393">
      <c r="F393" s="8"/>
      <c r="H393" s="8"/>
    </row>
    <row r="394">
      <c r="F394" s="8"/>
      <c r="H394" s="8"/>
    </row>
    <row r="395">
      <c r="F395" s="8"/>
      <c r="H395" s="8"/>
    </row>
    <row r="396">
      <c r="F396" s="8"/>
      <c r="H396" s="8"/>
    </row>
    <row r="397">
      <c r="F397" s="8"/>
      <c r="H397" s="8"/>
    </row>
    <row r="398">
      <c r="F398" s="8"/>
      <c r="H398" s="8"/>
    </row>
    <row r="399">
      <c r="F399" s="8"/>
      <c r="H399" s="8"/>
    </row>
    <row r="400">
      <c r="F400" s="8"/>
      <c r="H400" s="8"/>
    </row>
    <row r="401">
      <c r="F401" s="8"/>
      <c r="H401" s="8"/>
    </row>
    <row r="402">
      <c r="F402" s="8"/>
      <c r="H402" s="8"/>
    </row>
    <row r="403">
      <c r="F403" s="8"/>
      <c r="H403" s="8"/>
    </row>
    <row r="404">
      <c r="F404" s="8"/>
      <c r="H404" s="8"/>
    </row>
    <row r="405">
      <c r="F405" s="8"/>
      <c r="H405" s="8"/>
    </row>
    <row r="406">
      <c r="F406" s="8"/>
      <c r="H406" s="8"/>
    </row>
    <row r="407">
      <c r="F407" s="8"/>
      <c r="H407" s="8"/>
    </row>
    <row r="408">
      <c r="F408" s="8"/>
      <c r="H408" s="8"/>
    </row>
    <row r="409">
      <c r="F409" s="8"/>
      <c r="H409" s="8"/>
    </row>
    <row r="410">
      <c r="F410" s="8"/>
      <c r="H410" s="8"/>
    </row>
    <row r="411">
      <c r="F411" s="8"/>
      <c r="H411" s="8"/>
    </row>
    <row r="412">
      <c r="F412" s="8"/>
      <c r="H412" s="8"/>
    </row>
    <row r="413">
      <c r="F413" s="8"/>
      <c r="H413" s="8"/>
    </row>
    <row r="414">
      <c r="F414" s="8"/>
      <c r="H414" s="8"/>
    </row>
    <row r="415">
      <c r="F415" s="8"/>
      <c r="H415" s="8"/>
    </row>
    <row r="416">
      <c r="F416" s="8"/>
      <c r="H416" s="8"/>
    </row>
    <row r="417">
      <c r="F417" s="8"/>
      <c r="H417" s="8"/>
    </row>
    <row r="418">
      <c r="F418" s="8"/>
      <c r="H418" s="8"/>
    </row>
    <row r="419">
      <c r="F419" s="8"/>
      <c r="H419" s="8"/>
    </row>
    <row r="420">
      <c r="F420" s="8"/>
      <c r="H420" s="8"/>
    </row>
    <row r="421">
      <c r="F421" s="8"/>
      <c r="H421" s="8"/>
    </row>
    <row r="422">
      <c r="F422" s="8"/>
      <c r="H422" s="8"/>
    </row>
    <row r="423">
      <c r="F423" s="8"/>
      <c r="H423" s="8"/>
    </row>
    <row r="424">
      <c r="F424" s="8"/>
      <c r="H424" s="8"/>
    </row>
    <row r="425">
      <c r="F425" s="8"/>
      <c r="H425" s="8"/>
    </row>
    <row r="426">
      <c r="F426" s="8"/>
      <c r="H426" s="8"/>
    </row>
    <row r="427">
      <c r="F427" s="8"/>
      <c r="H427" s="8"/>
    </row>
    <row r="428">
      <c r="F428" s="8"/>
      <c r="H428" s="8"/>
    </row>
    <row r="429">
      <c r="F429" s="8"/>
      <c r="H429" s="8"/>
    </row>
    <row r="430">
      <c r="F430" s="8"/>
      <c r="H430" s="8"/>
    </row>
    <row r="431">
      <c r="F431" s="8"/>
      <c r="H431" s="8"/>
    </row>
    <row r="432">
      <c r="F432" s="8"/>
      <c r="H432" s="8"/>
    </row>
    <row r="433">
      <c r="F433" s="8"/>
      <c r="H433" s="8"/>
    </row>
    <row r="434">
      <c r="F434" s="8"/>
      <c r="H434" s="8"/>
    </row>
    <row r="435">
      <c r="F435" s="8"/>
      <c r="H435" s="8"/>
    </row>
    <row r="436">
      <c r="F436" s="8"/>
      <c r="H436" s="8"/>
    </row>
    <row r="437">
      <c r="F437" s="8"/>
      <c r="H437" s="8"/>
    </row>
    <row r="438">
      <c r="F438" s="8"/>
      <c r="H438" s="8"/>
    </row>
    <row r="439">
      <c r="F439" s="8"/>
      <c r="H439" s="8"/>
    </row>
    <row r="440">
      <c r="F440" s="8"/>
      <c r="H440" s="8"/>
    </row>
    <row r="441">
      <c r="F441" s="8"/>
      <c r="H441" s="8"/>
    </row>
    <row r="442">
      <c r="F442" s="8"/>
      <c r="H442" s="8"/>
    </row>
    <row r="443">
      <c r="F443" s="8"/>
      <c r="H443" s="8"/>
    </row>
    <row r="444">
      <c r="F444" s="8"/>
      <c r="H444" s="8"/>
    </row>
    <row r="445">
      <c r="F445" s="8"/>
      <c r="H445" s="8"/>
    </row>
    <row r="446">
      <c r="F446" s="8"/>
      <c r="H446" s="8"/>
    </row>
    <row r="447">
      <c r="F447" s="8"/>
      <c r="H447" s="8"/>
    </row>
    <row r="448">
      <c r="F448" s="8"/>
      <c r="H448" s="8"/>
    </row>
    <row r="449">
      <c r="F449" s="8"/>
      <c r="H449" s="8"/>
    </row>
    <row r="450">
      <c r="F450" s="8"/>
      <c r="H450" s="8"/>
    </row>
    <row r="451">
      <c r="F451" s="8"/>
      <c r="H451" s="8"/>
    </row>
    <row r="452">
      <c r="F452" s="8"/>
      <c r="H452" s="8"/>
    </row>
    <row r="453">
      <c r="F453" s="8"/>
      <c r="H453" s="8"/>
    </row>
    <row r="454">
      <c r="F454" s="8"/>
      <c r="H454" s="8"/>
    </row>
    <row r="455">
      <c r="F455" s="8"/>
      <c r="H455" s="8"/>
    </row>
    <row r="456">
      <c r="F456" s="8"/>
      <c r="H456" s="8"/>
    </row>
    <row r="457">
      <c r="F457" s="8"/>
      <c r="H457" s="8"/>
    </row>
    <row r="458">
      <c r="F458" s="8"/>
      <c r="H458" s="8"/>
    </row>
    <row r="459">
      <c r="F459" s="8"/>
      <c r="H459" s="8"/>
    </row>
    <row r="460">
      <c r="F460" s="8"/>
      <c r="H460" s="8"/>
    </row>
    <row r="461">
      <c r="F461" s="8"/>
      <c r="H461" s="8"/>
    </row>
    <row r="462">
      <c r="F462" s="8"/>
      <c r="H462" s="8"/>
    </row>
    <row r="463">
      <c r="F463" s="8"/>
      <c r="H463" s="8"/>
    </row>
    <row r="464">
      <c r="F464" s="8"/>
      <c r="H464" s="8"/>
    </row>
    <row r="465">
      <c r="F465" s="8"/>
      <c r="H465" s="8"/>
    </row>
    <row r="466">
      <c r="F466" s="8"/>
      <c r="H466" s="8"/>
    </row>
    <row r="467">
      <c r="F467" s="8"/>
      <c r="H467" s="8"/>
    </row>
    <row r="468">
      <c r="F468" s="8"/>
      <c r="H468" s="8"/>
    </row>
    <row r="469">
      <c r="F469" s="8"/>
      <c r="H469" s="8"/>
    </row>
    <row r="470">
      <c r="F470" s="8"/>
      <c r="H470" s="8"/>
    </row>
    <row r="471">
      <c r="F471" s="8"/>
      <c r="H471" s="8"/>
    </row>
    <row r="472">
      <c r="F472" s="8"/>
      <c r="H472" s="8"/>
    </row>
    <row r="473">
      <c r="F473" s="8"/>
      <c r="H473" s="8"/>
    </row>
    <row r="474">
      <c r="F474" s="8"/>
      <c r="H474" s="8"/>
    </row>
    <row r="475">
      <c r="F475" s="8"/>
      <c r="H475" s="8"/>
    </row>
    <row r="476">
      <c r="F476" s="8"/>
      <c r="H476" s="8"/>
    </row>
    <row r="477">
      <c r="F477" s="8"/>
      <c r="H477" s="8"/>
    </row>
    <row r="478">
      <c r="F478" s="8"/>
      <c r="H478" s="8"/>
    </row>
    <row r="479">
      <c r="F479" s="8"/>
      <c r="H479" s="8"/>
    </row>
    <row r="480">
      <c r="F480" s="8"/>
      <c r="H480" s="8"/>
    </row>
    <row r="481">
      <c r="F481" s="8"/>
      <c r="H481" s="8"/>
    </row>
    <row r="482">
      <c r="F482" s="8"/>
      <c r="H482" s="8"/>
    </row>
    <row r="483">
      <c r="F483" s="8"/>
      <c r="H483" s="8"/>
    </row>
    <row r="484">
      <c r="F484" s="8"/>
      <c r="H484" s="8"/>
    </row>
    <row r="485">
      <c r="F485" s="8"/>
      <c r="H485" s="8"/>
    </row>
    <row r="486">
      <c r="F486" s="8"/>
      <c r="H486" s="8"/>
    </row>
    <row r="487">
      <c r="F487" s="8"/>
      <c r="H487" s="8"/>
    </row>
    <row r="488">
      <c r="F488" s="8"/>
      <c r="H488" s="8"/>
    </row>
    <row r="489">
      <c r="F489" s="8"/>
      <c r="H489" s="8"/>
    </row>
    <row r="490">
      <c r="F490" s="8"/>
      <c r="H490" s="8"/>
    </row>
    <row r="491">
      <c r="F491" s="8"/>
      <c r="H491" s="8"/>
    </row>
    <row r="492">
      <c r="F492" s="8"/>
      <c r="H492" s="8"/>
    </row>
    <row r="493">
      <c r="F493" s="8"/>
      <c r="H493" s="8"/>
    </row>
    <row r="494">
      <c r="F494" s="8"/>
      <c r="H494" s="8"/>
    </row>
    <row r="495">
      <c r="F495" s="8"/>
      <c r="H495" s="8"/>
    </row>
    <row r="496">
      <c r="F496" s="8"/>
      <c r="H496" s="8"/>
    </row>
    <row r="497">
      <c r="F497" s="8"/>
      <c r="H497" s="8"/>
    </row>
    <row r="498">
      <c r="F498" s="8"/>
      <c r="H498" s="8"/>
    </row>
    <row r="499">
      <c r="F499" s="8"/>
      <c r="H499" s="8"/>
    </row>
    <row r="500">
      <c r="F500" s="8"/>
      <c r="H500" s="8"/>
    </row>
    <row r="501">
      <c r="F501" s="8"/>
      <c r="H501" s="8"/>
    </row>
    <row r="502">
      <c r="F502" s="8"/>
      <c r="H502" s="8"/>
    </row>
    <row r="503">
      <c r="F503" s="8"/>
      <c r="H503" s="8"/>
    </row>
    <row r="504">
      <c r="F504" s="8"/>
      <c r="H504" s="8"/>
    </row>
    <row r="505">
      <c r="F505" s="8"/>
      <c r="H505" s="8"/>
    </row>
    <row r="506">
      <c r="F506" s="8"/>
      <c r="H506" s="8"/>
    </row>
    <row r="507">
      <c r="F507" s="8"/>
      <c r="H507" s="8"/>
    </row>
    <row r="508">
      <c r="F508" s="8"/>
      <c r="H508" s="8"/>
    </row>
    <row r="509">
      <c r="F509" s="8"/>
      <c r="H509" s="8"/>
    </row>
    <row r="510">
      <c r="F510" s="8"/>
      <c r="H510" s="8"/>
    </row>
    <row r="511">
      <c r="F511" s="8"/>
      <c r="H511" s="8"/>
    </row>
    <row r="512">
      <c r="F512" s="8"/>
      <c r="H512" s="8"/>
    </row>
    <row r="513">
      <c r="F513" s="8"/>
      <c r="H513" s="8"/>
    </row>
    <row r="514">
      <c r="F514" s="8"/>
      <c r="H514" s="8"/>
    </row>
    <row r="515">
      <c r="F515" s="8"/>
      <c r="H515" s="8"/>
    </row>
    <row r="516">
      <c r="F516" s="8"/>
      <c r="H516" s="8"/>
    </row>
    <row r="517">
      <c r="F517" s="8"/>
      <c r="H517" s="8"/>
    </row>
    <row r="518">
      <c r="F518" s="8"/>
      <c r="H518" s="8"/>
    </row>
    <row r="519">
      <c r="F519" s="8"/>
      <c r="H519" s="8"/>
    </row>
    <row r="520">
      <c r="F520" s="8"/>
      <c r="H520" s="8"/>
    </row>
    <row r="521">
      <c r="F521" s="8"/>
      <c r="H521" s="8"/>
    </row>
    <row r="522">
      <c r="F522" s="8"/>
      <c r="H522" s="8"/>
    </row>
    <row r="523">
      <c r="F523" s="8"/>
      <c r="H523" s="8"/>
    </row>
    <row r="524">
      <c r="F524" s="8"/>
      <c r="H524" s="8"/>
    </row>
    <row r="525">
      <c r="F525" s="8"/>
      <c r="H525" s="8"/>
    </row>
    <row r="526">
      <c r="F526" s="8"/>
      <c r="H526" s="8"/>
    </row>
    <row r="527">
      <c r="F527" s="8"/>
      <c r="H527" s="8"/>
    </row>
    <row r="528">
      <c r="F528" s="8"/>
      <c r="H528" s="8"/>
    </row>
    <row r="529">
      <c r="F529" s="8"/>
      <c r="H529" s="8"/>
    </row>
    <row r="530">
      <c r="F530" s="8"/>
      <c r="H530" s="8"/>
    </row>
    <row r="531">
      <c r="F531" s="8"/>
      <c r="H531" s="8"/>
    </row>
    <row r="532">
      <c r="F532" s="8"/>
      <c r="H532" s="8"/>
    </row>
    <row r="533">
      <c r="F533" s="8"/>
      <c r="H533" s="8"/>
    </row>
    <row r="534">
      <c r="F534" s="8"/>
      <c r="H534" s="8"/>
    </row>
    <row r="535">
      <c r="F535" s="8"/>
      <c r="H535" s="8"/>
    </row>
    <row r="536">
      <c r="F536" s="8"/>
      <c r="H536" s="8"/>
    </row>
    <row r="537">
      <c r="F537" s="8"/>
      <c r="H537" s="8"/>
    </row>
    <row r="538">
      <c r="F538" s="8"/>
      <c r="H538" s="8"/>
    </row>
    <row r="539">
      <c r="F539" s="8"/>
      <c r="H539" s="8"/>
    </row>
    <row r="540">
      <c r="F540" s="8"/>
      <c r="H540" s="8"/>
    </row>
    <row r="541">
      <c r="F541" s="8"/>
      <c r="H541" s="8"/>
    </row>
    <row r="542">
      <c r="F542" s="8"/>
      <c r="H542" s="8"/>
    </row>
    <row r="543">
      <c r="F543" s="8"/>
      <c r="H543" s="8"/>
    </row>
    <row r="544">
      <c r="F544" s="8"/>
      <c r="H544" s="8"/>
    </row>
    <row r="545">
      <c r="F545" s="8"/>
      <c r="H545" s="8"/>
    </row>
    <row r="546">
      <c r="F546" s="8"/>
      <c r="H546" s="8"/>
    </row>
    <row r="547">
      <c r="F547" s="8"/>
      <c r="H547" s="8"/>
    </row>
    <row r="548">
      <c r="F548" s="8"/>
      <c r="H548" s="8"/>
    </row>
    <row r="549">
      <c r="F549" s="8"/>
      <c r="H549" s="8"/>
    </row>
    <row r="550">
      <c r="F550" s="8"/>
      <c r="H550" s="8"/>
    </row>
    <row r="551">
      <c r="F551" s="8"/>
      <c r="H551" s="8"/>
    </row>
    <row r="552">
      <c r="F552" s="8"/>
      <c r="H552" s="8"/>
    </row>
    <row r="553">
      <c r="F553" s="8"/>
      <c r="H553" s="8"/>
    </row>
    <row r="554">
      <c r="F554" s="8"/>
      <c r="H554" s="8"/>
    </row>
    <row r="555">
      <c r="F555" s="8"/>
      <c r="H555" s="8"/>
    </row>
    <row r="556">
      <c r="F556" s="8"/>
      <c r="H556" s="8"/>
    </row>
    <row r="557">
      <c r="F557" s="8"/>
      <c r="H557" s="8"/>
    </row>
    <row r="558">
      <c r="F558" s="8"/>
      <c r="H558" s="8"/>
    </row>
    <row r="559">
      <c r="F559" s="8"/>
      <c r="H559" s="8"/>
    </row>
    <row r="560">
      <c r="F560" s="8"/>
      <c r="H560" s="8"/>
    </row>
    <row r="561">
      <c r="F561" s="8"/>
      <c r="H561" s="8"/>
    </row>
    <row r="562">
      <c r="F562" s="8"/>
      <c r="H562" s="8"/>
    </row>
    <row r="563">
      <c r="F563" s="8"/>
      <c r="H563" s="8"/>
    </row>
    <row r="564">
      <c r="F564" s="8"/>
      <c r="H564" s="8"/>
    </row>
    <row r="565">
      <c r="F565" s="8"/>
      <c r="H565" s="8"/>
    </row>
    <row r="566">
      <c r="F566" s="8"/>
      <c r="H566" s="8"/>
    </row>
    <row r="567">
      <c r="F567" s="8"/>
      <c r="H567" s="8"/>
    </row>
    <row r="568">
      <c r="F568" s="8"/>
      <c r="H568" s="8"/>
    </row>
    <row r="569">
      <c r="F569" s="8"/>
      <c r="H569" s="8"/>
    </row>
    <row r="570">
      <c r="F570" s="8"/>
      <c r="H570" s="8"/>
    </row>
    <row r="571">
      <c r="F571" s="8"/>
      <c r="H571" s="8"/>
    </row>
    <row r="572">
      <c r="F572" s="8"/>
      <c r="H572" s="8"/>
    </row>
    <row r="573">
      <c r="F573" s="8"/>
      <c r="H573" s="8"/>
    </row>
    <row r="574">
      <c r="F574" s="8"/>
      <c r="H574" s="8"/>
    </row>
    <row r="575">
      <c r="F575" s="8"/>
      <c r="H575" s="8"/>
    </row>
    <row r="576">
      <c r="F576" s="8"/>
      <c r="H576" s="8"/>
    </row>
    <row r="577">
      <c r="F577" s="8"/>
      <c r="H577" s="8"/>
    </row>
    <row r="578">
      <c r="F578" s="8"/>
      <c r="H578" s="8"/>
    </row>
    <row r="579">
      <c r="F579" s="8"/>
      <c r="H579" s="8"/>
    </row>
    <row r="580">
      <c r="F580" s="8"/>
      <c r="H580" s="8"/>
    </row>
    <row r="581">
      <c r="F581" s="8"/>
      <c r="H581" s="8"/>
    </row>
    <row r="582">
      <c r="F582" s="8"/>
      <c r="H582" s="8"/>
    </row>
    <row r="583">
      <c r="F583" s="8"/>
      <c r="H583" s="8"/>
    </row>
    <row r="584">
      <c r="F584" s="8"/>
      <c r="H584" s="8"/>
    </row>
    <row r="585">
      <c r="F585" s="8"/>
      <c r="H585" s="8"/>
    </row>
    <row r="586">
      <c r="F586" s="8"/>
      <c r="H586" s="8"/>
    </row>
    <row r="587">
      <c r="F587" s="8"/>
      <c r="H587" s="8"/>
    </row>
    <row r="588">
      <c r="F588" s="8"/>
      <c r="H588" s="8"/>
    </row>
    <row r="589">
      <c r="F589" s="8"/>
      <c r="H589" s="8"/>
    </row>
    <row r="590">
      <c r="F590" s="8"/>
      <c r="H590" s="8"/>
    </row>
    <row r="591">
      <c r="F591" s="8"/>
      <c r="H591" s="8"/>
    </row>
    <row r="592">
      <c r="F592" s="8"/>
      <c r="H592" s="8"/>
    </row>
    <row r="593">
      <c r="F593" s="8"/>
      <c r="H593" s="8"/>
    </row>
    <row r="594">
      <c r="F594" s="8"/>
      <c r="H594" s="8"/>
    </row>
    <row r="595">
      <c r="F595" s="8"/>
      <c r="H595" s="8"/>
    </row>
    <row r="596">
      <c r="F596" s="8"/>
      <c r="H596" s="8"/>
    </row>
    <row r="597">
      <c r="F597" s="8"/>
      <c r="H597" s="8"/>
    </row>
    <row r="598">
      <c r="F598" s="8"/>
      <c r="H598" s="8"/>
    </row>
    <row r="599">
      <c r="F599" s="8"/>
      <c r="H599" s="8"/>
    </row>
    <row r="600">
      <c r="F600" s="8"/>
      <c r="H600" s="8"/>
    </row>
    <row r="601">
      <c r="F601" s="8"/>
      <c r="H601" s="8"/>
    </row>
    <row r="602">
      <c r="F602" s="8"/>
      <c r="H602" s="8"/>
    </row>
    <row r="603">
      <c r="F603" s="8"/>
      <c r="H603" s="8"/>
    </row>
    <row r="604">
      <c r="F604" s="8"/>
      <c r="H604" s="8"/>
    </row>
    <row r="605">
      <c r="F605" s="8"/>
      <c r="H605" s="8"/>
    </row>
    <row r="606">
      <c r="F606" s="8"/>
      <c r="H606" s="8"/>
    </row>
    <row r="607">
      <c r="F607" s="8"/>
      <c r="H607" s="8"/>
    </row>
    <row r="608">
      <c r="F608" s="8"/>
      <c r="H608" s="8"/>
    </row>
    <row r="609">
      <c r="F609" s="8"/>
      <c r="H609" s="8"/>
    </row>
    <row r="610">
      <c r="F610" s="8"/>
      <c r="H610" s="8"/>
    </row>
    <row r="611">
      <c r="F611" s="8"/>
      <c r="H611" s="8"/>
    </row>
    <row r="612">
      <c r="F612" s="8"/>
      <c r="H612" s="8"/>
    </row>
    <row r="613">
      <c r="F613" s="8"/>
      <c r="H613" s="8"/>
    </row>
    <row r="614">
      <c r="F614" s="8"/>
      <c r="H614" s="8"/>
    </row>
    <row r="615">
      <c r="F615" s="8"/>
      <c r="H615" s="8"/>
    </row>
    <row r="616">
      <c r="F616" s="8"/>
      <c r="H616" s="8"/>
    </row>
    <row r="617">
      <c r="F617" s="8"/>
      <c r="H617" s="8"/>
    </row>
    <row r="618">
      <c r="F618" s="8"/>
      <c r="H618" s="8"/>
    </row>
    <row r="619">
      <c r="F619" s="8"/>
      <c r="H619" s="8"/>
    </row>
    <row r="620">
      <c r="F620" s="8"/>
      <c r="H620" s="8"/>
    </row>
    <row r="621">
      <c r="F621" s="8"/>
      <c r="H621" s="8"/>
    </row>
    <row r="622">
      <c r="F622" s="8"/>
      <c r="H622" s="8"/>
    </row>
    <row r="623">
      <c r="F623" s="8"/>
      <c r="H623" s="8"/>
    </row>
    <row r="624">
      <c r="F624" s="8"/>
      <c r="H624" s="8"/>
    </row>
    <row r="625">
      <c r="F625" s="8"/>
      <c r="H625" s="8"/>
    </row>
    <row r="626">
      <c r="F626" s="8"/>
      <c r="H626" s="8"/>
    </row>
    <row r="627">
      <c r="F627" s="8"/>
      <c r="H627" s="8"/>
    </row>
    <row r="628">
      <c r="F628" s="8"/>
      <c r="H628" s="8"/>
    </row>
    <row r="629">
      <c r="F629" s="8"/>
      <c r="H629" s="8"/>
    </row>
    <row r="630">
      <c r="F630" s="8"/>
      <c r="H630" s="8"/>
    </row>
    <row r="631">
      <c r="F631" s="8"/>
      <c r="H631" s="8"/>
    </row>
    <row r="632">
      <c r="F632" s="8"/>
      <c r="H632" s="8"/>
    </row>
    <row r="633">
      <c r="F633" s="8"/>
      <c r="H633" s="8"/>
    </row>
    <row r="634">
      <c r="F634" s="8"/>
      <c r="H634" s="8"/>
    </row>
    <row r="635">
      <c r="F635" s="8"/>
      <c r="H635" s="8"/>
    </row>
    <row r="636">
      <c r="F636" s="8"/>
      <c r="H636" s="8"/>
    </row>
    <row r="637">
      <c r="F637" s="8"/>
      <c r="H637" s="8"/>
    </row>
    <row r="638">
      <c r="F638" s="8"/>
      <c r="H638" s="8"/>
    </row>
    <row r="639">
      <c r="F639" s="8"/>
      <c r="H639" s="8"/>
    </row>
    <row r="640">
      <c r="F640" s="8"/>
      <c r="H640" s="8"/>
    </row>
    <row r="641">
      <c r="F641" s="8"/>
      <c r="H641" s="8"/>
    </row>
    <row r="642">
      <c r="F642" s="8"/>
      <c r="H642" s="8"/>
    </row>
    <row r="643">
      <c r="F643" s="8"/>
      <c r="H643" s="8"/>
    </row>
    <row r="644">
      <c r="F644" s="8"/>
      <c r="H644" s="8"/>
    </row>
    <row r="645">
      <c r="F645" s="8"/>
      <c r="H645" s="8"/>
    </row>
    <row r="646">
      <c r="F646" s="8"/>
      <c r="H646" s="8"/>
    </row>
    <row r="647">
      <c r="F647" s="8"/>
      <c r="H647" s="8"/>
    </row>
    <row r="648">
      <c r="F648" s="8"/>
      <c r="H648" s="8"/>
    </row>
    <row r="649">
      <c r="F649" s="8"/>
      <c r="H649" s="8"/>
    </row>
    <row r="650">
      <c r="F650" s="8"/>
      <c r="H650" s="8"/>
    </row>
    <row r="651">
      <c r="F651" s="8"/>
      <c r="H651" s="8"/>
    </row>
    <row r="652">
      <c r="F652" s="8"/>
      <c r="H652" s="8"/>
    </row>
    <row r="653">
      <c r="F653" s="8"/>
      <c r="H653" s="8"/>
    </row>
    <row r="654">
      <c r="F654" s="8"/>
      <c r="H654" s="8"/>
    </row>
    <row r="655">
      <c r="F655" s="8"/>
      <c r="H655" s="8"/>
    </row>
    <row r="656">
      <c r="F656" s="8"/>
      <c r="H656" s="8"/>
    </row>
    <row r="657">
      <c r="F657" s="8"/>
      <c r="H657" s="8"/>
    </row>
    <row r="658">
      <c r="F658" s="8"/>
      <c r="H658" s="8"/>
    </row>
    <row r="659">
      <c r="F659" s="8"/>
      <c r="H659" s="8"/>
    </row>
    <row r="660">
      <c r="F660" s="8"/>
      <c r="H660" s="8"/>
    </row>
    <row r="661">
      <c r="F661" s="8"/>
      <c r="H661" s="8"/>
    </row>
    <row r="662">
      <c r="F662" s="8"/>
      <c r="H662" s="8"/>
    </row>
    <row r="663">
      <c r="F663" s="8"/>
      <c r="H663" s="8"/>
    </row>
    <row r="664">
      <c r="F664" s="8"/>
      <c r="H664" s="8"/>
    </row>
    <row r="665">
      <c r="F665" s="8"/>
      <c r="H665" s="8"/>
    </row>
    <row r="666">
      <c r="F666" s="8"/>
      <c r="H666" s="8"/>
    </row>
    <row r="667">
      <c r="F667" s="8"/>
      <c r="H667" s="8"/>
    </row>
    <row r="668">
      <c r="F668" s="8"/>
      <c r="H668" s="8"/>
    </row>
    <row r="669">
      <c r="F669" s="8"/>
      <c r="H669" s="8"/>
    </row>
    <row r="670">
      <c r="F670" s="8"/>
      <c r="H670" s="8"/>
    </row>
    <row r="671">
      <c r="F671" s="8"/>
      <c r="H671" s="8"/>
    </row>
    <row r="672">
      <c r="F672" s="8"/>
      <c r="H672" s="8"/>
    </row>
    <row r="673">
      <c r="F673" s="8"/>
      <c r="H673" s="8"/>
    </row>
    <row r="674">
      <c r="F674" s="8"/>
      <c r="H674" s="8"/>
    </row>
    <row r="675">
      <c r="F675" s="8"/>
      <c r="H675" s="8"/>
    </row>
    <row r="676">
      <c r="F676" s="8"/>
      <c r="H676" s="8"/>
    </row>
    <row r="677">
      <c r="F677" s="8"/>
      <c r="H677" s="8"/>
    </row>
    <row r="678">
      <c r="F678" s="8"/>
      <c r="H678" s="8"/>
    </row>
    <row r="679">
      <c r="F679" s="8"/>
      <c r="H679" s="8"/>
    </row>
    <row r="680">
      <c r="F680" s="8"/>
      <c r="H680" s="8"/>
    </row>
    <row r="681">
      <c r="F681" s="8"/>
      <c r="H681" s="8"/>
    </row>
    <row r="682">
      <c r="F682" s="8"/>
      <c r="H682" s="8"/>
    </row>
    <row r="683">
      <c r="F683" s="8"/>
      <c r="H683" s="8"/>
    </row>
    <row r="684">
      <c r="F684" s="8"/>
      <c r="H684" s="8"/>
    </row>
    <row r="685">
      <c r="F685" s="8"/>
      <c r="H685" s="8"/>
    </row>
    <row r="686">
      <c r="F686" s="8"/>
      <c r="H686" s="8"/>
    </row>
    <row r="687">
      <c r="F687" s="8"/>
      <c r="H687" s="8"/>
    </row>
    <row r="688">
      <c r="F688" s="8"/>
      <c r="H688" s="8"/>
    </row>
    <row r="689">
      <c r="F689" s="8"/>
      <c r="H689" s="8"/>
    </row>
    <row r="690">
      <c r="F690" s="8"/>
      <c r="H690" s="8"/>
    </row>
    <row r="691">
      <c r="F691" s="8"/>
      <c r="H691" s="8"/>
    </row>
    <row r="692">
      <c r="F692" s="8"/>
      <c r="H692" s="8"/>
    </row>
    <row r="693">
      <c r="F693" s="8"/>
      <c r="H693" s="8"/>
    </row>
    <row r="694">
      <c r="F694" s="8"/>
      <c r="H694" s="8"/>
    </row>
    <row r="695">
      <c r="F695" s="8"/>
      <c r="H695" s="8"/>
    </row>
    <row r="696">
      <c r="F696" s="8"/>
      <c r="H696" s="8"/>
    </row>
    <row r="697">
      <c r="F697" s="8"/>
      <c r="H697" s="8"/>
    </row>
    <row r="698">
      <c r="F698" s="8"/>
      <c r="H698" s="8"/>
    </row>
    <row r="699">
      <c r="F699" s="8"/>
      <c r="H699" s="8"/>
    </row>
    <row r="700">
      <c r="F700" s="8"/>
      <c r="H700" s="8"/>
    </row>
    <row r="701">
      <c r="F701" s="8"/>
      <c r="H701" s="8"/>
    </row>
    <row r="702">
      <c r="F702" s="8"/>
      <c r="H702" s="8"/>
    </row>
    <row r="703">
      <c r="F703" s="8"/>
      <c r="H703" s="8"/>
    </row>
    <row r="704">
      <c r="F704" s="8"/>
      <c r="H704" s="8"/>
    </row>
    <row r="705">
      <c r="F705" s="8"/>
      <c r="H705" s="8"/>
    </row>
    <row r="706">
      <c r="F706" s="8"/>
      <c r="H706" s="8"/>
    </row>
    <row r="707">
      <c r="F707" s="8"/>
      <c r="H707" s="8"/>
    </row>
    <row r="708">
      <c r="F708" s="8"/>
      <c r="H708" s="8"/>
    </row>
    <row r="709">
      <c r="F709" s="8"/>
      <c r="H709" s="8"/>
    </row>
    <row r="710">
      <c r="F710" s="8"/>
      <c r="H710" s="8"/>
    </row>
    <row r="711">
      <c r="F711" s="8"/>
      <c r="H711" s="8"/>
    </row>
    <row r="712">
      <c r="F712" s="8"/>
      <c r="H712" s="8"/>
    </row>
    <row r="713">
      <c r="F713" s="8"/>
      <c r="H713" s="8"/>
    </row>
    <row r="714">
      <c r="F714" s="8"/>
      <c r="H714" s="8"/>
    </row>
    <row r="715">
      <c r="F715" s="8"/>
      <c r="H715" s="8"/>
    </row>
    <row r="716">
      <c r="F716" s="8"/>
      <c r="H716" s="8"/>
    </row>
    <row r="717">
      <c r="F717" s="8"/>
      <c r="H717" s="8"/>
    </row>
    <row r="718">
      <c r="F718" s="8"/>
      <c r="H718" s="8"/>
    </row>
    <row r="719">
      <c r="F719" s="8"/>
      <c r="H719" s="8"/>
    </row>
    <row r="720">
      <c r="F720" s="8"/>
      <c r="H720" s="8"/>
    </row>
    <row r="721">
      <c r="F721" s="8"/>
      <c r="H721" s="8"/>
    </row>
    <row r="722">
      <c r="F722" s="8"/>
      <c r="H722" s="8"/>
    </row>
    <row r="723">
      <c r="F723" s="8"/>
      <c r="H723" s="8"/>
    </row>
    <row r="724">
      <c r="F724" s="8"/>
      <c r="H724" s="8"/>
    </row>
    <row r="725">
      <c r="F725" s="8"/>
      <c r="H725" s="8"/>
    </row>
    <row r="726">
      <c r="F726" s="8"/>
      <c r="H726" s="8"/>
    </row>
    <row r="727">
      <c r="F727" s="8"/>
      <c r="H727" s="8"/>
    </row>
    <row r="728">
      <c r="F728" s="8"/>
      <c r="H728" s="8"/>
    </row>
    <row r="729">
      <c r="F729" s="8"/>
      <c r="H729" s="8"/>
    </row>
    <row r="730">
      <c r="F730" s="8"/>
      <c r="H730" s="8"/>
    </row>
    <row r="731">
      <c r="F731" s="8"/>
      <c r="H731" s="8"/>
    </row>
    <row r="732">
      <c r="F732" s="8"/>
      <c r="H732" s="8"/>
    </row>
    <row r="733">
      <c r="F733" s="8"/>
      <c r="H733" s="8"/>
    </row>
    <row r="734">
      <c r="F734" s="8"/>
      <c r="H734" s="8"/>
    </row>
    <row r="735">
      <c r="F735" s="8"/>
      <c r="H735" s="8"/>
    </row>
    <row r="736">
      <c r="F736" s="8"/>
      <c r="H736" s="8"/>
    </row>
    <row r="737">
      <c r="F737" s="8"/>
      <c r="H737" s="8"/>
    </row>
    <row r="738">
      <c r="F738" s="8"/>
      <c r="H738" s="8"/>
    </row>
    <row r="739">
      <c r="F739" s="8"/>
      <c r="H739" s="8"/>
    </row>
    <row r="740">
      <c r="F740" s="8"/>
      <c r="H740" s="8"/>
    </row>
    <row r="741">
      <c r="F741" s="8"/>
      <c r="H741" s="8"/>
    </row>
    <row r="742">
      <c r="F742" s="8"/>
      <c r="H742" s="8"/>
    </row>
    <row r="743">
      <c r="F743" s="8"/>
      <c r="H743" s="8"/>
    </row>
    <row r="744">
      <c r="F744" s="8"/>
      <c r="H744" s="8"/>
    </row>
    <row r="745">
      <c r="F745" s="8"/>
      <c r="H745" s="8"/>
    </row>
    <row r="746">
      <c r="F746" s="8"/>
      <c r="H746" s="8"/>
    </row>
    <row r="747">
      <c r="F747" s="8"/>
      <c r="H747" s="8"/>
    </row>
    <row r="748">
      <c r="F748" s="8"/>
      <c r="H748" s="8"/>
    </row>
    <row r="749">
      <c r="F749" s="8"/>
      <c r="H749" s="8"/>
    </row>
    <row r="750">
      <c r="F750" s="8"/>
      <c r="H750" s="8"/>
    </row>
    <row r="751">
      <c r="F751" s="8"/>
      <c r="H751" s="8"/>
    </row>
    <row r="752">
      <c r="F752" s="8"/>
      <c r="H752" s="8"/>
    </row>
    <row r="753">
      <c r="F753" s="8"/>
      <c r="H753" s="8"/>
    </row>
    <row r="754">
      <c r="F754" s="8"/>
      <c r="H754" s="8"/>
    </row>
    <row r="755">
      <c r="F755" s="8"/>
      <c r="H755" s="8"/>
    </row>
    <row r="756">
      <c r="F756" s="8"/>
      <c r="H756" s="8"/>
    </row>
    <row r="757">
      <c r="F757" s="8"/>
      <c r="H757" s="8"/>
    </row>
    <row r="758">
      <c r="F758" s="8"/>
      <c r="H758" s="8"/>
    </row>
    <row r="759">
      <c r="F759" s="8"/>
      <c r="H759" s="8"/>
    </row>
    <row r="760">
      <c r="F760" s="8"/>
      <c r="H760" s="8"/>
    </row>
    <row r="761">
      <c r="F761" s="8"/>
      <c r="H761" s="8"/>
    </row>
    <row r="762">
      <c r="F762" s="8"/>
      <c r="H762" s="8"/>
    </row>
    <row r="763">
      <c r="F763" s="8"/>
      <c r="H763" s="8"/>
    </row>
    <row r="764">
      <c r="F764" s="8"/>
      <c r="H764" s="8"/>
    </row>
    <row r="765">
      <c r="F765" s="8"/>
      <c r="H765" s="8"/>
    </row>
    <row r="766">
      <c r="F766" s="8"/>
      <c r="H766" s="8"/>
    </row>
    <row r="767">
      <c r="F767" s="8"/>
      <c r="H767" s="8"/>
    </row>
    <row r="768">
      <c r="F768" s="8"/>
      <c r="H768" s="8"/>
    </row>
    <row r="769">
      <c r="F769" s="8"/>
      <c r="H769" s="8"/>
    </row>
    <row r="770">
      <c r="F770" s="8"/>
      <c r="H770" s="8"/>
    </row>
    <row r="771">
      <c r="F771" s="8"/>
      <c r="H771" s="8"/>
    </row>
    <row r="772">
      <c r="F772" s="8"/>
      <c r="H772" s="8"/>
    </row>
    <row r="773">
      <c r="F773" s="8"/>
      <c r="H773" s="8"/>
    </row>
    <row r="774">
      <c r="F774" s="8"/>
      <c r="H774" s="8"/>
    </row>
    <row r="775">
      <c r="F775" s="8"/>
      <c r="H775" s="8"/>
    </row>
    <row r="776">
      <c r="F776" s="8"/>
      <c r="H776" s="8"/>
    </row>
    <row r="777">
      <c r="F777" s="8"/>
      <c r="H777" s="8"/>
    </row>
    <row r="778">
      <c r="F778" s="8"/>
      <c r="H778" s="8"/>
    </row>
    <row r="779">
      <c r="F779" s="8"/>
      <c r="H779" s="8"/>
    </row>
    <row r="780">
      <c r="F780" s="8"/>
      <c r="H780" s="8"/>
    </row>
    <row r="781">
      <c r="F781" s="8"/>
      <c r="H781" s="8"/>
    </row>
    <row r="782">
      <c r="F782" s="8"/>
      <c r="H782" s="8"/>
    </row>
    <row r="783">
      <c r="F783" s="8"/>
      <c r="H783" s="8"/>
    </row>
    <row r="784">
      <c r="F784" s="8"/>
      <c r="H784" s="8"/>
    </row>
    <row r="785">
      <c r="F785" s="8"/>
      <c r="H785" s="8"/>
    </row>
    <row r="786">
      <c r="F786" s="8"/>
      <c r="H786" s="8"/>
    </row>
    <row r="787">
      <c r="F787" s="8"/>
      <c r="H787" s="8"/>
    </row>
    <row r="788">
      <c r="F788" s="8"/>
      <c r="H788" s="8"/>
    </row>
    <row r="789">
      <c r="F789" s="8"/>
      <c r="H789" s="8"/>
    </row>
    <row r="790">
      <c r="F790" s="8"/>
      <c r="H790" s="8"/>
    </row>
    <row r="791">
      <c r="F791" s="8"/>
      <c r="H791" s="8"/>
    </row>
    <row r="792">
      <c r="F792" s="8"/>
      <c r="H792" s="8"/>
    </row>
    <row r="793">
      <c r="F793" s="8"/>
      <c r="H793" s="8"/>
    </row>
    <row r="794">
      <c r="F794" s="8"/>
      <c r="H794" s="8"/>
    </row>
    <row r="795">
      <c r="F795" s="8"/>
      <c r="H795" s="8"/>
    </row>
    <row r="796">
      <c r="F796" s="8"/>
      <c r="H796" s="8"/>
    </row>
    <row r="797">
      <c r="F797" s="8"/>
      <c r="H797" s="8"/>
    </row>
    <row r="798">
      <c r="F798" s="8"/>
      <c r="H798" s="8"/>
    </row>
    <row r="799">
      <c r="F799" s="8"/>
      <c r="H799" s="8"/>
    </row>
    <row r="800">
      <c r="F800" s="8"/>
      <c r="H800" s="8"/>
    </row>
    <row r="801">
      <c r="F801" s="8"/>
      <c r="H801" s="8"/>
    </row>
    <row r="802">
      <c r="F802" s="8"/>
      <c r="H802" s="8"/>
    </row>
    <row r="803">
      <c r="F803" s="8"/>
      <c r="H803" s="8"/>
    </row>
    <row r="804">
      <c r="F804" s="8"/>
      <c r="H804" s="8"/>
    </row>
    <row r="805">
      <c r="F805" s="8"/>
      <c r="H805" s="8"/>
    </row>
    <row r="806">
      <c r="F806" s="8"/>
      <c r="H806" s="8"/>
    </row>
    <row r="807">
      <c r="F807" s="8"/>
      <c r="H807" s="8"/>
    </row>
    <row r="808">
      <c r="F808" s="8"/>
      <c r="H808" s="8"/>
    </row>
    <row r="809">
      <c r="F809" s="8"/>
      <c r="H809" s="8"/>
    </row>
    <row r="810">
      <c r="F810" s="8"/>
      <c r="H810" s="8"/>
    </row>
    <row r="811">
      <c r="F811" s="8"/>
      <c r="H811" s="8"/>
    </row>
    <row r="812">
      <c r="F812" s="8"/>
      <c r="H812" s="8"/>
    </row>
    <row r="813">
      <c r="F813" s="8"/>
      <c r="H813" s="8"/>
    </row>
    <row r="814">
      <c r="F814" s="8"/>
      <c r="H814" s="8"/>
    </row>
    <row r="815">
      <c r="F815" s="8"/>
      <c r="H815" s="8"/>
    </row>
    <row r="816">
      <c r="F816" s="8"/>
      <c r="H816" s="8"/>
    </row>
    <row r="817">
      <c r="F817" s="8"/>
      <c r="H817" s="8"/>
    </row>
    <row r="818">
      <c r="F818" s="8"/>
      <c r="H818" s="8"/>
    </row>
    <row r="819">
      <c r="F819" s="8"/>
      <c r="H819" s="8"/>
    </row>
    <row r="820">
      <c r="F820" s="8"/>
      <c r="H820" s="8"/>
    </row>
    <row r="821">
      <c r="F821" s="8"/>
      <c r="H821" s="8"/>
    </row>
    <row r="822">
      <c r="F822" s="8"/>
      <c r="H822" s="8"/>
    </row>
    <row r="823">
      <c r="F823" s="8"/>
      <c r="H823" s="8"/>
    </row>
    <row r="824">
      <c r="F824" s="8"/>
      <c r="H824" s="8"/>
    </row>
    <row r="825">
      <c r="F825" s="8"/>
      <c r="H825" s="8"/>
    </row>
    <row r="826">
      <c r="F826" s="8"/>
      <c r="H826" s="8"/>
    </row>
    <row r="827">
      <c r="F827" s="8"/>
      <c r="H827" s="8"/>
    </row>
    <row r="828">
      <c r="F828" s="8"/>
      <c r="H828" s="8"/>
    </row>
    <row r="829">
      <c r="F829" s="8"/>
      <c r="H829" s="8"/>
    </row>
    <row r="830">
      <c r="F830" s="8"/>
      <c r="H830" s="8"/>
    </row>
    <row r="831">
      <c r="F831" s="8"/>
      <c r="H831" s="8"/>
    </row>
    <row r="832">
      <c r="F832" s="8"/>
      <c r="H832" s="8"/>
    </row>
    <row r="833">
      <c r="F833" s="8"/>
      <c r="H833" s="8"/>
    </row>
    <row r="834">
      <c r="F834" s="8"/>
      <c r="H834" s="8"/>
    </row>
    <row r="835">
      <c r="F835" s="8"/>
      <c r="H835" s="8"/>
    </row>
    <row r="836">
      <c r="F836" s="8"/>
      <c r="H836" s="8"/>
    </row>
    <row r="837">
      <c r="F837" s="8"/>
      <c r="H837" s="8"/>
    </row>
    <row r="838">
      <c r="F838" s="8"/>
      <c r="H838" s="8"/>
    </row>
    <row r="839">
      <c r="F839" s="8"/>
      <c r="H839" s="8"/>
    </row>
    <row r="840">
      <c r="F840" s="8"/>
      <c r="H840" s="8"/>
    </row>
    <row r="841">
      <c r="F841" s="8"/>
      <c r="H841" s="8"/>
    </row>
    <row r="842">
      <c r="F842" s="8"/>
      <c r="H842" s="8"/>
    </row>
    <row r="843">
      <c r="F843" s="8"/>
      <c r="H843" s="8"/>
    </row>
    <row r="844">
      <c r="F844" s="8"/>
      <c r="H844" s="8"/>
    </row>
    <row r="845">
      <c r="F845" s="8"/>
      <c r="H845" s="8"/>
    </row>
    <row r="846">
      <c r="F846" s="8"/>
      <c r="H846" s="8"/>
    </row>
    <row r="847">
      <c r="F847" s="8"/>
      <c r="H847" s="8"/>
    </row>
    <row r="848">
      <c r="F848" s="8"/>
      <c r="H848" s="8"/>
    </row>
    <row r="849">
      <c r="F849" s="8"/>
      <c r="H849" s="8"/>
    </row>
    <row r="850">
      <c r="F850" s="8"/>
      <c r="H850" s="8"/>
    </row>
    <row r="851">
      <c r="F851" s="8"/>
      <c r="H851" s="8"/>
    </row>
    <row r="852">
      <c r="F852" s="8"/>
      <c r="H852" s="8"/>
    </row>
    <row r="853">
      <c r="F853" s="8"/>
      <c r="H853" s="8"/>
    </row>
    <row r="854">
      <c r="F854" s="8"/>
      <c r="H854" s="8"/>
    </row>
    <row r="855">
      <c r="F855" s="8"/>
      <c r="H855" s="8"/>
    </row>
    <row r="856">
      <c r="F856" s="8"/>
      <c r="H856" s="8"/>
    </row>
    <row r="857">
      <c r="F857" s="8"/>
      <c r="H857" s="8"/>
    </row>
    <row r="858">
      <c r="F858" s="8"/>
      <c r="H858" s="8"/>
    </row>
    <row r="859">
      <c r="F859" s="8"/>
      <c r="H859" s="8"/>
    </row>
    <row r="860">
      <c r="F860" s="8"/>
      <c r="H860" s="8"/>
    </row>
    <row r="861">
      <c r="F861" s="8"/>
      <c r="H861" s="8"/>
    </row>
    <row r="862">
      <c r="F862" s="8"/>
      <c r="H862" s="8"/>
    </row>
    <row r="863">
      <c r="F863" s="8"/>
      <c r="H863" s="8"/>
    </row>
    <row r="864">
      <c r="F864" s="8"/>
      <c r="H864" s="8"/>
    </row>
    <row r="865">
      <c r="F865" s="8"/>
      <c r="H865" s="8"/>
    </row>
    <row r="866">
      <c r="F866" s="8"/>
      <c r="H866" s="8"/>
    </row>
    <row r="867">
      <c r="F867" s="8"/>
      <c r="H867" s="8"/>
    </row>
    <row r="868">
      <c r="F868" s="8"/>
      <c r="H868" s="8"/>
    </row>
    <row r="869">
      <c r="F869" s="8"/>
      <c r="H869" s="8"/>
    </row>
    <row r="870">
      <c r="F870" s="8"/>
      <c r="H870" s="8"/>
    </row>
    <row r="871">
      <c r="F871" s="8"/>
      <c r="H871" s="8"/>
    </row>
    <row r="872">
      <c r="F872" s="8"/>
      <c r="H872" s="8"/>
    </row>
    <row r="873">
      <c r="F873" s="8"/>
      <c r="H873" s="8"/>
    </row>
    <row r="874">
      <c r="F874" s="8"/>
      <c r="H874" s="8"/>
    </row>
    <row r="875">
      <c r="F875" s="8"/>
      <c r="H875" s="8"/>
    </row>
    <row r="876">
      <c r="F876" s="8"/>
      <c r="H876" s="8"/>
    </row>
    <row r="877">
      <c r="F877" s="8"/>
      <c r="H877" s="8"/>
    </row>
    <row r="878">
      <c r="F878" s="8"/>
      <c r="H878" s="8"/>
    </row>
    <row r="879">
      <c r="F879" s="8"/>
      <c r="H879" s="8"/>
    </row>
    <row r="880">
      <c r="F880" s="8"/>
      <c r="H880" s="8"/>
    </row>
    <row r="881">
      <c r="F881" s="8"/>
      <c r="H881" s="8"/>
    </row>
    <row r="882">
      <c r="F882" s="8"/>
      <c r="H882" s="8"/>
    </row>
    <row r="883">
      <c r="F883" s="8"/>
      <c r="H883" s="8"/>
    </row>
    <row r="884">
      <c r="F884" s="8"/>
      <c r="H884" s="8"/>
    </row>
    <row r="885">
      <c r="F885" s="8"/>
      <c r="H885" s="8"/>
    </row>
    <row r="886">
      <c r="F886" s="8"/>
      <c r="H886" s="8"/>
    </row>
    <row r="887">
      <c r="F887" s="8"/>
      <c r="H887" s="8"/>
    </row>
    <row r="888">
      <c r="F888" s="8"/>
      <c r="H888" s="8"/>
    </row>
    <row r="889">
      <c r="F889" s="8"/>
      <c r="H889" s="8"/>
    </row>
    <row r="890">
      <c r="F890" s="8"/>
      <c r="H890" s="8"/>
    </row>
    <row r="891">
      <c r="F891" s="8"/>
      <c r="H891" s="8"/>
    </row>
    <row r="892">
      <c r="F892" s="8"/>
      <c r="H892" s="8"/>
    </row>
    <row r="893">
      <c r="F893" s="8"/>
      <c r="H893" s="8"/>
    </row>
    <row r="894">
      <c r="F894" s="8"/>
      <c r="H894" s="8"/>
    </row>
    <row r="895">
      <c r="F895" s="8"/>
      <c r="H895" s="8"/>
    </row>
    <row r="896">
      <c r="F896" s="8"/>
      <c r="H896" s="8"/>
    </row>
    <row r="897">
      <c r="F897" s="8"/>
      <c r="H897" s="8"/>
    </row>
    <row r="898">
      <c r="F898" s="8"/>
      <c r="H898" s="8"/>
    </row>
    <row r="899">
      <c r="F899" s="8"/>
      <c r="H899" s="8"/>
    </row>
    <row r="900">
      <c r="F900" s="8"/>
      <c r="H900" s="8"/>
    </row>
    <row r="901">
      <c r="F901" s="8"/>
      <c r="H901" s="8"/>
    </row>
    <row r="902">
      <c r="F902" s="8"/>
      <c r="H902" s="8"/>
    </row>
    <row r="903">
      <c r="F903" s="8"/>
      <c r="H903" s="8"/>
    </row>
    <row r="904">
      <c r="F904" s="8"/>
      <c r="H904" s="8"/>
    </row>
    <row r="905">
      <c r="F905" s="8"/>
      <c r="H905" s="8"/>
    </row>
    <row r="906">
      <c r="F906" s="8"/>
      <c r="H906" s="8"/>
    </row>
    <row r="907">
      <c r="F907" s="8"/>
      <c r="H907" s="8"/>
    </row>
    <row r="908">
      <c r="F908" s="8"/>
      <c r="H908" s="8"/>
    </row>
    <row r="909">
      <c r="F909" s="8"/>
      <c r="H909" s="8"/>
    </row>
    <row r="910">
      <c r="F910" s="8"/>
      <c r="H910" s="8"/>
    </row>
    <row r="911">
      <c r="F911" s="8"/>
      <c r="H911" s="8"/>
    </row>
    <row r="912">
      <c r="F912" s="8"/>
      <c r="H912" s="8"/>
    </row>
    <row r="913">
      <c r="F913" s="8"/>
      <c r="H913" s="8"/>
    </row>
    <row r="914">
      <c r="F914" s="8"/>
      <c r="H914" s="8"/>
    </row>
    <row r="915">
      <c r="F915" s="8"/>
      <c r="H915" s="8"/>
    </row>
    <row r="916">
      <c r="F916" s="8"/>
      <c r="H916" s="8"/>
    </row>
    <row r="917">
      <c r="F917" s="8"/>
      <c r="H917" s="8"/>
    </row>
    <row r="918">
      <c r="F918" s="8"/>
      <c r="H918" s="8"/>
    </row>
    <row r="919">
      <c r="F919" s="8"/>
      <c r="H919" s="8"/>
    </row>
    <row r="920">
      <c r="F920" s="8"/>
      <c r="H920" s="8"/>
    </row>
    <row r="921">
      <c r="F921" s="8"/>
      <c r="H921" s="8"/>
    </row>
    <row r="922">
      <c r="F922" s="8"/>
      <c r="H922" s="8"/>
    </row>
    <row r="923">
      <c r="F923" s="8"/>
      <c r="H923" s="8"/>
    </row>
    <row r="924">
      <c r="F924" s="8"/>
      <c r="H924" s="8"/>
    </row>
    <row r="925">
      <c r="F925" s="8"/>
      <c r="H925" s="8"/>
    </row>
    <row r="926">
      <c r="F926" s="8"/>
      <c r="H926" s="8"/>
    </row>
    <row r="927">
      <c r="F927" s="8"/>
      <c r="H927" s="8"/>
    </row>
    <row r="928">
      <c r="F928" s="8"/>
      <c r="H928" s="8"/>
    </row>
    <row r="929">
      <c r="F929" s="8"/>
      <c r="H929" s="8"/>
    </row>
    <row r="930">
      <c r="F930" s="8"/>
      <c r="H930" s="8"/>
    </row>
    <row r="931">
      <c r="F931" s="8"/>
      <c r="H931" s="8"/>
    </row>
    <row r="932">
      <c r="F932" s="8"/>
      <c r="H932" s="8"/>
    </row>
    <row r="933">
      <c r="F933" s="8"/>
      <c r="H933" s="8"/>
    </row>
    <row r="934">
      <c r="F934" s="8"/>
      <c r="H934" s="8"/>
    </row>
    <row r="935">
      <c r="F935" s="8"/>
      <c r="H935" s="8"/>
    </row>
    <row r="936">
      <c r="F936" s="8"/>
      <c r="H936" s="8"/>
    </row>
    <row r="937">
      <c r="F937" s="8"/>
      <c r="H937" s="8"/>
    </row>
    <row r="938">
      <c r="F938" s="8"/>
      <c r="H938" s="8"/>
    </row>
    <row r="939">
      <c r="F939" s="8"/>
      <c r="H939" s="8"/>
    </row>
    <row r="940">
      <c r="F940" s="8"/>
      <c r="H940" s="8"/>
    </row>
    <row r="941">
      <c r="F941" s="8"/>
      <c r="H941" s="8"/>
    </row>
    <row r="942">
      <c r="F942" s="8"/>
      <c r="H942" s="8"/>
    </row>
    <row r="943">
      <c r="F943" s="8"/>
      <c r="H943" s="8"/>
    </row>
    <row r="944">
      <c r="F944" s="8"/>
      <c r="H944" s="8"/>
    </row>
    <row r="945">
      <c r="F945" s="8"/>
      <c r="H945" s="8"/>
    </row>
    <row r="946">
      <c r="F946" s="8"/>
      <c r="H946" s="8"/>
    </row>
    <row r="947">
      <c r="F947" s="8"/>
      <c r="H947" s="8"/>
    </row>
    <row r="948">
      <c r="F948" s="8"/>
      <c r="H948" s="8"/>
    </row>
    <row r="949">
      <c r="F949" s="8"/>
      <c r="H949" s="8"/>
    </row>
    <row r="950">
      <c r="F950" s="8"/>
      <c r="H950" s="8"/>
    </row>
    <row r="951">
      <c r="F951" s="8"/>
      <c r="H951" s="8"/>
    </row>
    <row r="952">
      <c r="F952" s="8"/>
      <c r="H952" s="8"/>
    </row>
    <row r="953">
      <c r="F953" s="8"/>
      <c r="H953" s="8"/>
    </row>
    <row r="954">
      <c r="F954" s="8"/>
      <c r="H954" s="8"/>
    </row>
    <row r="955">
      <c r="F955" s="8"/>
      <c r="H955" s="8"/>
    </row>
    <row r="956">
      <c r="F956" s="8"/>
      <c r="H956" s="8"/>
    </row>
    <row r="957">
      <c r="F957" s="8"/>
      <c r="H957" s="8"/>
    </row>
    <row r="958">
      <c r="F958" s="8"/>
      <c r="H958" s="8"/>
    </row>
    <row r="959">
      <c r="F959" s="8"/>
      <c r="H959" s="8"/>
    </row>
    <row r="960">
      <c r="F960" s="8"/>
      <c r="H960" s="8"/>
    </row>
    <row r="961">
      <c r="F961" s="8"/>
      <c r="H961" s="8"/>
    </row>
    <row r="962">
      <c r="F962" s="8"/>
      <c r="H962" s="8"/>
    </row>
    <row r="963">
      <c r="F963" s="8"/>
      <c r="H963" s="8"/>
    </row>
    <row r="964">
      <c r="F964" s="8"/>
      <c r="H964" s="8"/>
    </row>
    <row r="965">
      <c r="F965" s="8"/>
      <c r="H965" s="8"/>
    </row>
    <row r="966">
      <c r="F966" s="8"/>
      <c r="H966" s="8"/>
    </row>
    <row r="967">
      <c r="F967" s="8"/>
      <c r="H967" s="8"/>
    </row>
    <row r="968">
      <c r="F968" s="8"/>
      <c r="H968" s="8"/>
    </row>
    <row r="969">
      <c r="F969" s="8"/>
      <c r="H969" s="8"/>
    </row>
    <row r="970">
      <c r="F970" s="8"/>
      <c r="H970" s="8"/>
    </row>
    <row r="971">
      <c r="F971" s="8"/>
      <c r="H971" s="8"/>
    </row>
    <row r="972">
      <c r="F972" s="8"/>
      <c r="H972" s="8"/>
    </row>
    <row r="973">
      <c r="F973" s="8"/>
      <c r="H973" s="8"/>
    </row>
    <row r="974">
      <c r="F974" s="8"/>
      <c r="H974" s="8"/>
    </row>
    <row r="975">
      <c r="F975" s="8"/>
      <c r="H975" s="8"/>
    </row>
    <row r="976">
      <c r="F976" s="8"/>
      <c r="H976" s="8"/>
    </row>
    <row r="977">
      <c r="F977" s="8"/>
      <c r="H977" s="8"/>
    </row>
    <row r="978">
      <c r="F978" s="8"/>
      <c r="H978" s="8"/>
    </row>
    <row r="979">
      <c r="F979" s="8"/>
      <c r="H979" s="8"/>
    </row>
    <row r="980">
      <c r="F980" s="8"/>
      <c r="H980" s="8"/>
    </row>
    <row r="981">
      <c r="F981" s="8"/>
      <c r="H981" s="8"/>
    </row>
    <row r="982">
      <c r="F982" s="8"/>
      <c r="H982" s="8"/>
    </row>
    <row r="983">
      <c r="F983" s="8"/>
      <c r="H983" s="8"/>
    </row>
    <row r="984">
      <c r="F984" s="8"/>
      <c r="H984" s="8"/>
    </row>
    <row r="985">
      <c r="F985" s="8"/>
      <c r="H985" s="8"/>
    </row>
    <row r="986">
      <c r="F986" s="8"/>
      <c r="H986" s="8"/>
    </row>
    <row r="987">
      <c r="F987" s="8"/>
      <c r="H987" s="8"/>
    </row>
    <row r="988">
      <c r="F988" s="8"/>
      <c r="H988" s="8"/>
    </row>
    <row r="989">
      <c r="F989" s="8"/>
      <c r="H989" s="8"/>
    </row>
    <row r="990">
      <c r="F990" s="8"/>
      <c r="H990" s="8"/>
    </row>
    <row r="991">
      <c r="F991" s="8"/>
      <c r="H991" s="8"/>
    </row>
    <row r="992">
      <c r="F992" s="8"/>
      <c r="H992" s="8"/>
    </row>
    <row r="993">
      <c r="F993" s="8"/>
      <c r="H993" s="8"/>
    </row>
    <row r="994">
      <c r="F994" s="8"/>
      <c r="H994" s="8"/>
    </row>
    <row r="995">
      <c r="F995" s="8"/>
      <c r="H995" s="8"/>
    </row>
    <row r="996">
      <c r="F996" s="8"/>
      <c r="H996" s="8"/>
    </row>
    <row r="997">
      <c r="F997" s="8"/>
      <c r="H997" s="8"/>
    </row>
    <row r="998">
      <c r="F998" s="8"/>
      <c r="H998" s="8"/>
    </row>
    <row r="999">
      <c r="F999" s="8"/>
      <c r="H999" s="8"/>
    </row>
    <row r="1000">
      <c r="F1000" s="8"/>
      <c r="H1000" s="8"/>
    </row>
    <row r="1001">
      <c r="F1001" s="8"/>
      <c r="H1001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12.29"/>
  </cols>
  <sheetData>
    <row r="1">
      <c r="A1" s="11" t="s">
        <v>115</v>
      </c>
      <c r="C1" s="11" t="s">
        <v>115</v>
      </c>
      <c r="D1" s="11" t="s">
        <v>116</v>
      </c>
    </row>
    <row r="2">
      <c r="A2" s="11" t="s">
        <v>117</v>
      </c>
      <c r="B2" s="1" t="str">
        <f>vlookup(A2,C:D,2,false)</f>
        <v>21348299old</v>
      </c>
      <c r="C2" s="11" t="s">
        <v>117</v>
      </c>
      <c r="D2" s="11" t="s">
        <v>118</v>
      </c>
    </row>
    <row r="3">
      <c r="A3" s="11" t="s">
        <v>119</v>
      </c>
      <c r="B3" s="11">
        <v>2.1104854E7</v>
      </c>
      <c r="C3" s="11" t="s">
        <v>120</v>
      </c>
      <c r="D3" s="11">
        <v>9213293.0</v>
      </c>
    </row>
    <row r="4">
      <c r="A4" s="11" t="s">
        <v>119</v>
      </c>
      <c r="B4" s="11">
        <v>2.1104854E7</v>
      </c>
      <c r="C4" s="11" t="s">
        <v>120</v>
      </c>
      <c r="D4" s="11">
        <v>9213293.0</v>
      </c>
    </row>
    <row r="5">
      <c r="A5" s="11" t="s">
        <v>120</v>
      </c>
      <c r="B5" s="1">
        <f t="shared" ref="B5:B27" si="1">vlookup(A5,C:D,2,false)</f>
        <v>9213293</v>
      </c>
      <c r="C5" s="11" t="s">
        <v>120</v>
      </c>
      <c r="D5" s="11">
        <v>9213293.0</v>
      </c>
    </row>
    <row r="6">
      <c r="A6" s="11" t="s">
        <v>120</v>
      </c>
      <c r="B6" s="1">
        <f t="shared" si="1"/>
        <v>9213293</v>
      </c>
      <c r="C6" s="11" t="s">
        <v>120</v>
      </c>
      <c r="D6" s="11">
        <v>9213293.0</v>
      </c>
    </row>
    <row r="7">
      <c r="A7" s="11" t="s">
        <v>120</v>
      </c>
      <c r="B7" s="1">
        <f t="shared" si="1"/>
        <v>9213293</v>
      </c>
      <c r="C7" s="11" t="s">
        <v>120</v>
      </c>
      <c r="D7" s="11">
        <v>9213293.0</v>
      </c>
    </row>
    <row r="8">
      <c r="A8" s="11" t="s">
        <v>120</v>
      </c>
      <c r="B8" s="1">
        <f t="shared" si="1"/>
        <v>9213293</v>
      </c>
      <c r="C8" s="11" t="s">
        <v>120</v>
      </c>
      <c r="D8" s="11">
        <v>9213293.0</v>
      </c>
    </row>
    <row r="9">
      <c r="A9" s="11" t="s">
        <v>120</v>
      </c>
      <c r="B9" s="1">
        <f t="shared" si="1"/>
        <v>9213293</v>
      </c>
      <c r="C9" s="11" t="s">
        <v>120</v>
      </c>
      <c r="D9" s="11">
        <v>9213293.0</v>
      </c>
    </row>
    <row r="10">
      <c r="A10" s="11" t="s">
        <v>121</v>
      </c>
      <c r="B10" s="1">
        <f t="shared" si="1"/>
        <v>16865615</v>
      </c>
      <c r="C10" s="11" t="s">
        <v>120</v>
      </c>
      <c r="D10" s="11">
        <v>9213293.0</v>
      </c>
    </row>
    <row r="11">
      <c r="A11" s="11" t="s">
        <v>121</v>
      </c>
      <c r="B11" s="1">
        <f t="shared" si="1"/>
        <v>16865615</v>
      </c>
      <c r="C11" s="11" t="s">
        <v>121</v>
      </c>
      <c r="D11" s="11">
        <v>1.6865615E7</v>
      </c>
    </row>
    <row r="12">
      <c r="A12" s="11" t="s">
        <v>121</v>
      </c>
      <c r="B12" s="1">
        <f t="shared" si="1"/>
        <v>16865615</v>
      </c>
      <c r="C12" s="11" t="s">
        <v>121</v>
      </c>
      <c r="D12" s="11">
        <v>1.6865615E7</v>
      </c>
    </row>
    <row r="13">
      <c r="A13" s="11" t="s">
        <v>121</v>
      </c>
      <c r="B13" s="1">
        <f t="shared" si="1"/>
        <v>16865615</v>
      </c>
      <c r="C13" s="11" t="s">
        <v>121</v>
      </c>
      <c r="D13" s="11">
        <v>1.6865615E7</v>
      </c>
    </row>
    <row r="14">
      <c r="A14" s="11" t="s">
        <v>121</v>
      </c>
      <c r="B14" s="1">
        <f t="shared" si="1"/>
        <v>16865615</v>
      </c>
      <c r="C14" s="11" t="s">
        <v>121</v>
      </c>
      <c r="D14" s="11">
        <v>1.6865615E7</v>
      </c>
    </row>
    <row r="15">
      <c r="A15" s="11" t="s">
        <v>121</v>
      </c>
      <c r="B15" s="1">
        <f t="shared" si="1"/>
        <v>16865615</v>
      </c>
      <c r="C15" s="11" t="s">
        <v>121</v>
      </c>
      <c r="D15" s="11">
        <v>1.6865615E7</v>
      </c>
    </row>
    <row r="16">
      <c r="A16" s="11" t="s">
        <v>121</v>
      </c>
      <c r="B16" s="1">
        <f t="shared" si="1"/>
        <v>16865615</v>
      </c>
      <c r="C16" s="11" t="s">
        <v>122</v>
      </c>
      <c r="D16" s="11">
        <v>1.8754354E7</v>
      </c>
    </row>
    <row r="17">
      <c r="A17" s="11" t="s">
        <v>121</v>
      </c>
      <c r="B17" s="1">
        <f t="shared" si="1"/>
        <v>16865615</v>
      </c>
      <c r="C17" s="11" t="s">
        <v>74</v>
      </c>
      <c r="D17" s="11">
        <v>1.6683808E7</v>
      </c>
    </row>
    <row r="18">
      <c r="A18" s="11" t="s">
        <v>121</v>
      </c>
      <c r="B18" s="1">
        <f t="shared" si="1"/>
        <v>16865615</v>
      </c>
      <c r="C18" s="11" t="s">
        <v>123</v>
      </c>
      <c r="D18" s="11">
        <v>8812322.0</v>
      </c>
    </row>
    <row r="19">
      <c r="A19" s="11" t="s">
        <v>121</v>
      </c>
      <c r="B19" s="1">
        <f t="shared" si="1"/>
        <v>16865615</v>
      </c>
      <c r="C19" s="11" t="s">
        <v>123</v>
      </c>
      <c r="D19" s="11">
        <v>8812322.0</v>
      </c>
    </row>
    <row r="20">
      <c r="A20" s="11" t="s">
        <v>121</v>
      </c>
      <c r="B20" s="1">
        <f t="shared" si="1"/>
        <v>16865615</v>
      </c>
      <c r="C20" s="11" t="s">
        <v>123</v>
      </c>
      <c r="D20" s="11">
        <v>8812322.0</v>
      </c>
    </row>
    <row r="21">
      <c r="A21" s="11" t="s">
        <v>121</v>
      </c>
      <c r="B21" s="1">
        <f t="shared" si="1"/>
        <v>16865615</v>
      </c>
      <c r="C21" s="11" t="s">
        <v>123</v>
      </c>
      <c r="D21" s="11">
        <v>8812322.0</v>
      </c>
    </row>
    <row r="22">
      <c r="A22" s="11" t="s">
        <v>121</v>
      </c>
      <c r="B22" s="1">
        <f t="shared" si="1"/>
        <v>16865615</v>
      </c>
      <c r="C22" s="11" t="s">
        <v>123</v>
      </c>
      <c r="D22" s="11">
        <v>8812322.0</v>
      </c>
    </row>
    <row r="23">
      <c r="A23" s="11" t="s">
        <v>121</v>
      </c>
      <c r="B23" s="1">
        <f t="shared" si="1"/>
        <v>16865615</v>
      </c>
      <c r="C23" s="11" t="s">
        <v>123</v>
      </c>
      <c r="D23" s="11">
        <v>8812322.0</v>
      </c>
    </row>
    <row r="24">
      <c r="A24" s="11" t="s">
        <v>121</v>
      </c>
      <c r="B24" s="1">
        <f t="shared" si="1"/>
        <v>16865615</v>
      </c>
      <c r="C24" s="11" t="s">
        <v>123</v>
      </c>
      <c r="D24" s="11">
        <v>8812322.0</v>
      </c>
    </row>
    <row r="25">
      <c r="A25" s="11" t="s">
        <v>122</v>
      </c>
      <c r="B25" s="1">
        <f t="shared" si="1"/>
        <v>18754354</v>
      </c>
      <c r="C25" s="11" t="s">
        <v>123</v>
      </c>
      <c r="D25" s="11">
        <v>8812322.0</v>
      </c>
    </row>
    <row r="26">
      <c r="A26" s="11" t="s">
        <v>122</v>
      </c>
      <c r="B26" s="1">
        <f t="shared" si="1"/>
        <v>18754354</v>
      </c>
      <c r="C26" s="11" t="s">
        <v>123</v>
      </c>
      <c r="D26" s="11">
        <v>8812322.0</v>
      </c>
    </row>
    <row r="27">
      <c r="A27" s="11" t="s">
        <v>74</v>
      </c>
      <c r="B27" s="1">
        <f t="shared" si="1"/>
        <v>16683808</v>
      </c>
      <c r="C27" s="11" t="s">
        <v>123</v>
      </c>
      <c r="D27" s="11">
        <v>8812322.0</v>
      </c>
    </row>
    <row r="28">
      <c r="A28" s="11" t="s">
        <v>124</v>
      </c>
      <c r="B28" s="11">
        <v>2.0212926E7</v>
      </c>
      <c r="C28" s="11" t="s">
        <v>123</v>
      </c>
      <c r="D28" s="11">
        <v>8812322.0</v>
      </c>
    </row>
    <row r="29">
      <c r="A29" s="11" t="s">
        <v>124</v>
      </c>
      <c r="B29" s="11">
        <v>2.0212926E7</v>
      </c>
      <c r="C29" s="11" t="s">
        <v>123</v>
      </c>
      <c r="D29" s="11">
        <v>8812322.0</v>
      </c>
    </row>
    <row r="30">
      <c r="A30" s="11" t="s">
        <v>123</v>
      </c>
      <c r="B30" s="1">
        <f t="shared" ref="B30:B95" si="2">vlookup(A30,C:D,2,false)</f>
        <v>8812322</v>
      </c>
      <c r="C30" s="11" t="s">
        <v>123</v>
      </c>
      <c r="D30" s="11">
        <v>8812322.0</v>
      </c>
    </row>
    <row r="31">
      <c r="A31" s="11" t="s">
        <v>123</v>
      </c>
      <c r="B31" s="1">
        <f t="shared" si="2"/>
        <v>8812322</v>
      </c>
      <c r="C31" s="11" t="s">
        <v>123</v>
      </c>
      <c r="D31" s="11">
        <v>8812322.0</v>
      </c>
    </row>
    <row r="32">
      <c r="A32" s="11" t="s">
        <v>123</v>
      </c>
      <c r="B32" s="1">
        <f t="shared" si="2"/>
        <v>8812322</v>
      </c>
      <c r="C32" s="11" t="s">
        <v>123</v>
      </c>
      <c r="D32" s="11">
        <v>8812322.0</v>
      </c>
    </row>
    <row r="33">
      <c r="A33" s="11" t="s">
        <v>123</v>
      </c>
      <c r="B33" s="1">
        <f t="shared" si="2"/>
        <v>8812322</v>
      </c>
      <c r="C33" s="11" t="s">
        <v>123</v>
      </c>
      <c r="D33" s="11">
        <v>8812322.0</v>
      </c>
    </row>
    <row r="34">
      <c r="A34" s="11" t="s">
        <v>123</v>
      </c>
      <c r="B34" s="1">
        <f t="shared" si="2"/>
        <v>8812322</v>
      </c>
      <c r="C34" s="11" t="s">
        <v>125</v>
      </c>
      <c r="D34" s="11">
        <v>1.8828278E7</v>
      </c>
    </row>
    <row r="35">
      <c r="A35" s="11" t="s">
        <v>123</v>
      </c>
      <c r="B35" s="1">
        <f t="shared" si="2"/>
        <v>8812322</v>
      </c>
      <c r="C35" s="11" t="s">
        <v>125</v>
      </c>
      <c r="D35" s="11">
        <v>1.8828278E7</v>
      </c>
    </row>
    <row r="36">
      <c r="A36" s="11" t="s">
        <v>123</v>
      </c>
      <c r="B36" s="1">
        <f t="shared" si="2"/>
        <v>8812322</v>
      </c>
      <c r="C36" s="11" t="s">
        <v>125</v>
      </c>
      <c r="D36" s="11">
        <v>1.8828278E7</v>
      </c>
    </row>
    <row r="37">
      <c r="A37" s="11" t="s">
        <v>123</v>
      </c>
      <c r="B37" s="1">
        <f t="shared" si="2"/>
        <v>8812322</v>
      </c>
      <c r="C37" s="11" t="s">
        <v>125</v>
      </c>
      <c r="D37" s="11">
        <v>1.8828278E7</v>
      </c>
    </row>
    <row r="38">
      <c r="A38" s="11" t="s">
        <v>123</v>
      </c>
      <c r="B38" s="1">
        <f t="shared" si="2"/>
        <v>8812322</v>
      </c>
      <c r="C38" s="11" t="s">
        <v>125</v>
      </c>
      <c r="D38" s="11">
        <v>1.8828278E7</v>
      </c>
    </row>
    <row r="39">
      <c r="A39" s="11" t="s">
        <v>123</v>
      </c>
      <c r="B39" s="1">
        <f t="shared" si="2"/>
        <v>8812322</v>
      </c>
      <c r="C39" s="11" t="s">
        <v>125</v>
      </c>
      <c r="D39" s="11">
        <v>1.8828278E7</v>
      </c>
    </row>
    <row r="40">
      <c r="A40" s="11" t="s">
        <v>123</v>
      </c>
      <c r="B40" s="1">
        <f t="shared" si="2"/>
        <v>8812322</v>
      </c>
      <c r="C40" s="11" t="s">
        <v>125</v>
      </c>
      <c r="D40" s="11">
        <v>1.8828278E7</v>
      </c>
    </row>
    <row r="41">
      <c r="A41" s="11" t="s">
        <v>123</v>
      </c>
      <c r="B41" s="1">
        <f t="shared" si="2"/>
        <v>8812322</v>
      </c>
      <c r="C41" s="11" t="s">
        <v>125</v>
      </c>
      <c r="D41" s="11">
        <v>1.8828278E7</v>
      </c>
    </row>
    <row r="42">
      <c r="A42" s="11" t="s">
        <v>123</v>
      </c>
      <c r="B42" s="1">
        <f t="shared" si="2"/>
        <v>8812322</v>
      </c>
      <c r="C42" s="11" t="s">
        <v>125</v>
      </c>
      <c r="D42" s="11">
        <v>1.8828278E7</v>
      </c>
    </row>
    <row r="43">
      <c r="A43" s="11" t="s">
        <v>123</v>
      </c>
      <c r="B43" s="1">
        <f t="shared" si="2"/>
        <v>8812322</v>
      </c>
      <c r="C43" s="11" t="s">
        <v>125</v>
      </c>
      <c r="D43" s="11">
        <v>1.8828278E7</v>
      </c>
    </row>
    <row r="44">
      <c r="A44" s="11" t="s">
        <v>123</v>
      </c>
      <c r="B44" s="1">
        <f t="shared" si="2"/>
        <v>8812322</v>
      </c>
      <c r="C44" s="11" t="s">
        <v>125</v>
      </c>
      <c r="D44" s="11">
        <v>1.8828278E7</v>
      </c>
    </row>
    <row r="45">
      <c r="A45" s="11" t="s">
        <v>123</v>
      </c>
      <c r="B45" s="1">
        <f t="shared" si="2"/>
        <v>8812322</v>
      </c>
      <c r="C45" s="11" t="s">
        <v>125</v>
      </c>
      <c r="D45" s="11">
        <v>1.8828278E7</v>
      </c>
    </row>
    <row r="46">
      <c r="A46" s="11" t="s">
        <v>123</v>
      </c>
      <c r="B46" s="1">
        <f t="shared" si="2"/>
        <v>8812322</v>
      </c>
      <c r="C46" s="11" t="s">
        <v>125</v>
      </c>
      <c r="D46" s="11">
        <v>1.8828278E7</v>
      </c>
    </row>
    <row r="47">
      <c r="A47" s="11" t="s">
        <v>123</v>
      </c>
      <c r="B47" s="1">
        <f t="shared" si="2"/>
        <v>8812322</v>
      </c>
      <c r="C47" s="11" t="s">
        <v>126</v>
      </c>
      <c r="D47" s="11">
        <v>8244481.0</v>
      </c>
    </row>
    <row r="48">
      <c r="A48" s="11" t="s">
        <v>123</v>
      </c>
      <c r="B48" s="1">
        <f t="shared" si="2"/>
        <v>8812322</v>
      </c>
      <c r="C48" s="11" t="s">
        <v>126</v>
      </c>
      <c r="D48" s="11">
        <v>8244481.0</v>
      </c>
    </row>
    <row r="49">
      <c r="A49" s="11" t="s">
        <v>123</v>
      </c>
      <c r="B49" s="1">
        <f t="shared" si="2"/>
        <v>8812322</v>
      </c>
      <c r="C49" s="11" t="s">
        <v>126</v>
      </c>
      <c r="D49" s="11">
        <v>8244481.0</v>
      </c>
    </row>
    <row r="50">
      <c r="A50" s="11" t="s">
        <v>123</v>
      </c>
      <c r="B50" s="1">
        <f t="shared" si="2"/>
        <v>8812322</v>
      </c>
      <c r="C50" s="11" t="s">
        <v>126</v>
      </c>
      <c r="D50" s="11">
        <v>8244481.0</v>
      </c>
    </row>
    <row r="51">
      <c r="A51" s="11" t="s">
        <v>123</v>
      </c>
      <c r="B51" s="1">
        <f t="shared" si="2"/>
        <v>8812322</v>
      </c>
      <c r="C51" s="11" t="s">
        <v>126</v>
      </c>
      <c r="D51" s="11">
        <v>8244481.0</v>
      </c>
    </row>
    <row r="52">
      <c r="A52" s="11" t="s">
        <v>123</v>
      </c>
      <c r="B52" s="1">
        <f t="shared" si="2"/>
        <v>8812322</v>
      </c>
      <c r="C52" s="11" t="s">
        <v>126</v>
      </c>
      <c r="D52" s="11">
        <v>8244481.0</v>
      </c>
    </row>
    <row r="53">
      <c r="A53" s="11" t="s">
        <v>123</v>
      </c>
      <c r="B53" s="1">
        <f t="shared" si="2"/>
        <v>8812322</v>
      </c>
      <c r="C53" s="11" t="s">
        <v>126</v>
      </c>
      <c r="D53" s="11">
        <v>8244481.0</v>
      </c>
    </row>
    <row r="54">
      <c r="A54" s="11" t="s">
        <v>125</v>
      </c>
      <c r="B54" s="1">
        <f t="shared" si="2"/>
        <v>18828278</v>
      </c>
      <c r="C54" s="11" t="s">
        <v>126</v>
      </c>
      <c r="D54" s="11">
        <v>8244481.0</v>
      </c>
    </row>
    <row r="55">
      <c r="A55" s="11" t="s">
        <v>125</v>
      </c>
      <c r="B55" s="1">
        <f t="shared" si="2"/>
        <v>18828278</v>
      </c>
      <c r="C55" s="11" t="s">
        <v>126</v>
      </c>
      <c r="D55" s="11">
        <v>8244481.0</v>
      </c>
    </row>
    <row r="56">
      <c r="A56" s="11" t="s">
        <v>125</v>
      </c>
      <c r="B56" s="1">
        <f t="shared" si="2"/>
        <v>18828278</v>
      </c>
      <c r="C56" s="11" t="s">
        <v>126</v>
      </c>
      <c r="D56" s="11">
        <v>8244481.0</v>
      </c>
    </row>
    <row r="57">
      <c r="A57" s="11" t="s">
        <v>125</v>
      </c>
      <c r="B57" s="1">
        <f t="shared" si="2"/>
        <v>18828278</v>
      </c>
      <c r="C57" s="11" t="s">
        <v>126</v>
      </c>
      <c r="D57" s="11">
        <v>8244481.0</v>
      </c>
    </row>
    <row r="58">
      <c r="A58" s="11" t="s">
        <v>125</v>
      </c>
      <c r="B58" s="1">
        <f t="shared" si="2"/>
        <v>18828278</v>
      </c>
      <c r="C58" s="11" t="s">
        <v>126</v>
      </c>
      <c r="D58" s="11">
        <v>8244481.0</v>
      </c>
    </row>
    <row r="59">
      <c r="A59" s="11" t="s">
        <v>125</v>
      </c>
      <c r="B59" s="1">
        <f t="shared" si="2"/>
        <v>18828278</v>
      </c>
      <c r="C59" s="11" t="s">
        <v>126</v>
      </c>
      <c r="D59" s="11">
        <v>8244481.0</v>
      </c>
    </row>
    <row r="60">
      <c r="A60" s="11" t="s">
        <v>125</v>
      </c>
      <c r="B60" s="1">
        <f t="shared" si="2"/>
        <v>18828278</v>
      </c>
      <c r="C60" s="11" t="s">
        <v>126</v>
      </c>
      <c r="D60" s="11">
        <v>8244481.0</v>
      </c>
    </row>
    <row r="61">
      <c r="A61" s="11" t="s">
        <v>125</v>
      </c>
      <c r="B61" s="1">
        <f t="shared" si="2"/>
        <v>18828278</v>
      </c>
      <c r="C61" s="11" t="s">
        <v>126</v>
      </c>
      <c r="D61" s="11">
        <v>8244481.0</v>
      </c>
    </row>
    <row r="62">
      <c r="A62" s="11" t="s">
        <v>125</v>
      </c>
      <c r="B62" s="1">
        <f t="shared" si="2"/>
        <v>18828278</v>
      </c>
      <c r="C62" s="11" t="s">
        <v>126</v>
      </c>
      <c r="D62" s="11">
        <v>8244481.0</v>
      </c>
    </row>
    <row r="63">
      <c r="A63" s="11" t="s">
        <v>125</v>
      </c>
      <c r="B63" s="1">
        <f t="shared" si="2"/>
        <v>18828278</v>
      </c>
      <c r="C63" s="11" t="s">
        <v>126</v>
      </c>
      <c r="D63" s="11">
        <v>8244481.0</v>
      </c>
    </row>
    <row r="64">
      <c r="A64" s="11" t="s">
        <v>125</v>
      </c>
      <c r="B64" s="1">
        <f t="shared" si="2"/>
        <v>18828278</v>
      </c>
      <c r="C64" s="11" t="s">
        <v>126</v>
      </c>
      <c r="D64" s="11">
        <v>8244481.0</v>
      </c>
    </row>
    <row r="65">
      <c r="A65" s="11" t="s">
        <v>125</v>
      </c>
      <c r="B65" s="1">
        <f t="shared" si="2"/>
        <v>18828278</v>
      </c>
      <c r="C65" s="11" t="s">
        <v>127</v>
      </c>
      <c r="D65" s="11">
        <v>1.6202925E7</v>
      </c>
    </row>
    <row r="66">
      <c r="A66" s="11" t="s">
        <v>125</v>
      </c>
      <c r="B66" s="1">
        <f t="shared" si="2"/>
        <v>18828278</v>
      </c>
      <c r="C66" s="11" t="s">
        <v>128</v>
      </c>
      <c r="D66" s="11">
        <v>2.1283956E7</v>
      </c>
    </row>
    <row r="67">
      <c r="A67" s="11" t="s">
        <v>125</v>
      </c>
      <c r="B67" s="1">
        <f t="shared" si="2"/>
        <v>18828278</v>
      </c>
    </row>
    <row r="68">
      <c r="A68" s="11" t="s">
        <v>125</v>
      </c>
      <c r="B68" s="1">
        <f t="shared" si="2"/>
        <v>18828278</v>
      </c>
    </row>
    <row r="69">
      <c r="A69" s="11" t="s">
        <v>125</v>
      </c>
      <c r="B69" s="1">
        <f t="shared" si="2"/>
        <v>18828278</v>
      </c>
    </row>
    <row r="70">
      <c r="A70" s="11" t="s">
        <v>125</v>
      </c>
      <c r="B70" s="1">
        <f t="shared" si="2"/>
        <v>18828278</v>
      </c>
    </row>
    <row r="71">
      <c r="A71" s="11" t="s">
        <v>125</v>
      </c>
      <c r="B71" s="1">
        <f t="shared" si="2"/>
        <v>18828278</v>
      </c>
    </row>
    <row r="72">
      <c r="A72" s="11" t="s">
        <v>125</v>
      </c>
      <c r="B72" s="1">
        <f t="shared" si="2"/>
        <v>18828278</v>
      </c>
    </row>
    <row r="73">
      <c r="A73" s="11" t="s">
        <v>125</v>
      </c>
      <c r="B73" s="1">
        <f t="shared" si="2"/>
        <v>18828278</v>
      </c>
    </row>
    <row r="74">
      <c r="A74" s="11" t="s">
        <v>126</v>
      </c>
      <c r="B74" s="1">
        <f t="shared" si="2"/>
        <v>8244481</v>
      </c>
    </row>
    <row r="75">
      <c r="A75" s="11" t="s">
        <v>126</v>
      </c>
      <c r="B75" s="1">
        <f t="shared" si="2"/>
        <v>8244481</v>
      </c>
    </row>
    <row r="76">
      <c r="A76" s="11" t="s">
        <v>126</v>
      </c>
      <c r="B76" s="1">
        <f t="shared" si="2"/>
        <v>8244481</v>
      </c>
    </row>
    <row r="77">
      <c r="A77" s="11" t="s">
        <v>126</v>
      </c>
      <c r="B77" s="1">
        <f t="shared" si="2"/>
        <v>8244481</v>
      </c>
    </row>
    <row r="78">
      <c r="A78" s="11" t="s">
        <v>126</v>
      </c>
      <c r="B78" s="1">
        <f t="shared" si="2"/>
        <v>8244481</v>
      </c>
    </row>
    <row r="79">
      <c r="A79" s="11" t="s">
        <v>126</v>
      </c>
      <c r="B79" s="1">
        <f t="shared" si="2"/>
        <v>8244481</v>
      </c>
    </row>
    <row r="80">
      <c r="A80" s="11" t="s">
        <v>126</v>
      </c>
      <c r="B80" s="1">
        <f t="shared" si="2"/>
        <v>8244481</v>
      </c>
    </row>
    <row r="81">
      <c r="A81" s="11" t="s">
        <v>126</v>
      </c>
      <c r="B81" s="1">
        <f t="shared" si="2"/>
        <v>8244481</v>
      </c>
    </row>
    <row r="82">
      <c r="A82" s="11" t="s">
        <v>126</v>
      </c>
      <c r="B82" s="1">
        <f t="shared" si="2"/>
        <v>8244481</v>
      </c>
    </row>
    <row r="83">
      <c r="A83" s="11" t="s">
        <v>126</v>
      </c>
      <c r="B83" s="1">
        <f t="shared" si="2"/>
        <v>8244481</v>
      </c>
    </row>
    <row r="84">
      <c r="A84" s="11" t="s">
        <v>126</v>
      </c>
      <c r="B84" s="1">
        <f t="shared" si="2"/>
        <v>8244481</v>
      </c>
    </row>
    <row r="85">
      <c r="A85" s="11" t="s">
        <v>126</v>
      </c>
      <c r="B85" s="1">
        <f t="shared" si="2"/>
        <v>8244481</v>
      </c>
    </row>
    <row r="86">
      <c r="A86" s="11" t="s">
        <v>126</v>
      </c>
      <c r="B86" s="1">
        <f t="shared" si="2"/>
        <v>8244481</v>
      </c>
    </row>
    <row r="87">
      <c r="A87" s="11" t="s">
        <v>126</v>
      </c>
      <c r="B87" s="1">
        <f t="shared" si="2"/>
        <v>8244481</v>
      </c>
    </row>
    <row r="88">
      <c r="A88" s="11" t="s">
        <v>126</v>
      </c>
      <c r="B88" s="1">
        <f t="shared" si="2"/>
        <v>8244481</v>
      </c>
    </row>
    <row r="89">
      <c r="A89" s="11" t="s">
        <v>126</v>
      </c>
      <c r="B89" s="1">
        <f t="shared" si="2"/>
        <v>8244481</v>
      </c>
    </row>
    <row r="90">
      <c r="A90" s="11" t="s">
        <v>126</v>
      </c>
      <c r="B90" s="1">
        <f t="shared" si="2"/>
        <v>8244481</v>
      </c>
    </row>
    <row r="91">
      <c r="A91" s="11" t="s">
        <v>126</v>
      </c>
      <c r="B91" s="1">
        <f t="shared" si="2"/>
        <v>8244481</v>
      </c>
    </row>
    <row r="92">
      <c r="A92" s="11" t="s">
        <v>126</v>
      </c>
      <c r="B92" s="1">
        <f t="shared" si="2"/>
        <v>8244481</v>
      </c>
    </row>
    <row r="93">
      <c r="A93" s="11" t="s">
        <v>127</v>
      </c>
      <c r="B93" s="1">
        <f t="shared" si="2"/>
        <v>16202925</v>
      </c>
    </row>
    <row r="94">
      <c r="A94" s="11" t="s">
        <v>128</v>
      </c>
      <c r="B94" s="1">
        <f t="shared" si="2"/>
        <v>21283956</v>
      </c>
    </row>
    <row r="95">
      <c r="A95" s="11" t="s">
        <v>128</v>
      </c>
      <c r="B95" s="1">
        <f t="shared" si="2"/>
        <v>21283956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2026-04-29T07:04:56Z</dcterms:created>
  <dc:creator>JB Infotech</dc:creator>
</cp:coreProperties>
</file>