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Sheet1!$A$1:$P$73</definedName>
  </definedNames>
  <calcPr/>
  <extLst>
    <ext uri="GoogleSheetsCustomDataVersion2">
      <go:sheetsCustomData xmlns:go="http://customooxmlschemas.google.com/" r:id="rId6" roundtripDataChecksum="5MgC4WS9m1CbYvOTDxMXRg2iYGoPLaRQ4NGKpq/n4xI="/>
    </ext>
  </extLst>
</workbook>
</file>

<file path=xl/sharedStrings.xml><?xml version="1.0" encoding="utf-8"?>
<sst xmlns="http://schemas.openxmlformats.org/spreadsheetml/2006/main" count="981" uniqueCount="108">
  <si>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</si>
  <si>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</si>
  <si>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</si>
  <si>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</si>
  <si>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</si>
  <si>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</si>
  <si>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</si>
  <si>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</si>
  <si>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</si>
  <si>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</si>
  <si>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</si>
  <si>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</si>
  <si>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</si>
  <si>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</si>
  <si>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</si>
  <si>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</si>
  <si>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</si>
  <si>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Pamela Deaton [cnhIAB]</t>
  </si>
  <si>
    <t>Daniel Carranza</t>
  </si>
  <si>
    <t>Active</t>
  </si>
  <si>
    <t>Charge</t>
  </si>
  <si>
    <t>OneShare Catastrophic - $150,000/$300,000</t>
  </si>
  <si>
    <t>Paid</t>
  </si>
  <si>
    <t>Gary Portugal [M8zIAH]</t>
  </si>
  <si>
    <t>Rhonda George</t>
  </si>
  <si>
    <t>OneShare Classic - Basic</t>
  </si>
  <si>
    <t>Matthew Runyan</t>
  </si>
  <si>
    <t>OneShare Catastrophic365 - $250,000/$500,000</t>
  </si>
  <si>
    <t>Marta Rhyner</t>
  </si>
  <si>
    <t>OneShare Classic - Crown</t>
  </si>
  <si>
    <t>Roman Prunczak</t>
  </si>
  <si>
    <t>Cynthia Schneider</t>
  </si>
  <si>
    <t>OneShare Catastrophic365 - $500,000/$1,000,000</t>
  </si>
  <si>
    <t>Neal Fridrich</t>
  </si>
  <si>
    <t>Janice Garriott</t>
  </si>
  <si>
    <t>Danette Weber</t>
  </si>
  <si>
    <t>Michael Dunavant [tH7IAK]</t>
  </si>
  <si>
    <t>Ronald Fryman</t>
  </si>
  <si>
    <t>Giovanni Eremo</t>
  </si>
  <si>
    <t>OneShare Classic - Enhanced</t>
  </si>
  <si>
    <t>Barry Brenner [kPiIAJ]</t>
  </si>
  <si>
    <t>Jose Chuya</t>
  </si>
  <si>
    <t>OneShare Catastrophic365 - $150,000/$300,000</t>
  </si>
  <si>
    <t>Jose Torres [WKoIAN]</t>
  </si>
  <si>
    <t>Daniela Hernandez</t>
  </si>
  <si>
    <t>Inactive</t>
  </si>
  <si>
    <t>WILLIAM BATKA</t>
  </si>
  <si>
    <t>Matthew John Sherman [jkJYAR]</t>
  </si>
  <si>
    <t>Deborah Zenger</t>
  </si>
  <si>
    <t>Maria Galicia Salas</t>
  </si>
  <si>
    <t>Mirna Nelli</t>
  </si>
  <si>
    <t>Victor Fuentes [mFtIAL]</t>
  </si>
  <si>
    <t>Ramon Solorio Naranjo</t>
  </si>
  <si>
    <t>Refund</t>
  </si>
  <si>
    <t>Chargeback or Refund</t>
  </si>
  <si>
    <t>Susan Casey</t>
  </si>
  <si>
    <t>Anthony Kloster</t>
  </si>
  <si>
    <t>Heather Geske [x0rIAD]</t>
  </si>
  <si>
    <t>Phillip Beehler</t>
  </si>
  <si>
    <t>Antoinette Bonacci-Miller</t>
  </si>
  <si>
    <t>Deanna Sutak</t>
  </si>
  <si>
    <t>Jonathan Aloff [StdIAF]</t>
  </si>
  <si>
    <t>Jonathan Aloff</t>
  </si>
  <si>
    <t>Raci Evans</t>
  </si>
  <si>
    <t>Hannah Minton</t>
  </si>
  <si>
    <t>Mary Yunker</t>
  </si>
  <si>
    <t>Rebecca Byrd</t>
  </si>
  <si>
    <t>Brian Riley</t>
  </si>
  <si>
    <t>Robyn Reinmann</t>
  </si>
  <si>
    <t>Parker Meskimen</t>
  </si>
  <si>
    <t>Randy Tornquist</t>
  </si>
  <si>
    <t>Bradley Moreland</t>
  </si>
  <si>
    <t>Wesley Blanchard</t>
  </si>
  <si>
    <t>Kurt Tjardis</t>
  </si>
  <si>
    <t>Kurt Vissering</t>
  </si>
  <si>
    <t>Jackson Carson</t>
  </si>
  <si>
    <t>OneShare Catastrophic - $500,000/$1,000,000</t>
  </si>
  <si>
    <t>Joseph Weisenfelder</t>
  </si>
  <si>
    <t>Carin Weiss-Krolikowski</t>
  </si>
  <si>
    <t>Lori McGowan</t>
  </si>
  <si>
    <t>Kelli Maquet</t>
  </si>
  <si>
    <t>Matthew Eich</t>
  </si>
  <si>
    <t>Alex Diekhoff</t>
  </si>
  <si>
    <t>Tobi McBride</t>
  </si>
  <si>
    <t>Susan Stafford</t>
  </si>
  <si>
    <t>JOSEPH HUNTZICKER</t>
  </si>
  <si>
    <t>Joel Lee [32xYAA]</t>
  </si>
  <si>
    <t>Emlyn Williams</t>
  </si>
  <si>
    <t>Lynn Olsen</t>
  </si>
  <si>
    <t>Cristina Ortega Henderson</t>
  </si>
  <si>
    <t>Brian Strohman [KHZIA3]</t>
  </si>
  <si>
    <t>Keith Thomson</t>
  </si>
  <si>
    <t>Diana Moon</t>
  </si>
  <si>
    <t>Unpaid</t>
  </si>
  <si>
    <t>Chargeback or Refund TRX-000834627</t>
  </si>
  <si>
    <t>Roxanne Hartrich</t>
  </si>
  <si>
    <t>Everett Maaks</t>
  </si>
  <si>
    <t>Teegan Joseph</t>
  </si>
  <si>
    <t>Julie Hoffman</t>
  </si>
  <si>
    <t>OneShare Catastrophic - $250,000/$500,000</t>
  </si>
  <si>
    <t>Stephen Milton</t>
  </si>
  <si>
    <t>Sophie Muir</t>
  </si>
  <si>
    <t>Lynda Nagl</t>
  </si>
  <si>
    <t>Angie Waters</t>
  </si>
  <si>
    <t>William Wagoner</t>
  </si>
  <si>
    <t>Jacob Yale [2a1IAD]</t>
  </si>
  <si>
    <t>ADRIANA ROJO</t>
  </si>
  <si>
    <t>Marie Berthoumieux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</si>
</sst>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1" numFmtId="14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horizontal="right"/>
    </xf>
    <xf borderId="1" fillId="0" fontId="1" numFmtId="9" xfId="0" applyAlignment="1" applyBorder="1" applyFont="1" applyNumberFormat="1">
      <alignment horizontal="right"/>
    </xf>
    <xf borderId="1" fillId="0" fontId="2" numFmtId="0" xfId="0" applyBorder="1" applyFont="1"/>
    <xf borderId="0" fillId="2" fontId="3" numFmtId="0" xfId="0" applyFill="1" applyFont="1"/>
    <xf borderId="1" fillId="2" fontId="1" numFmtId="0" xfId="0" applyBorder="1" applyFont="1"/>
    <xf borderId="1" fillId="2" fontId="1" numFmtId="0" xfId="0" applyAlignment="1" applyBorder="1" applyFont="1">
      <alignment horizontal="right"/>
    </xf>
    <xf borderId="1" fillId="2" fontId="1" numFmtId="14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right"/>
    </xf>
    <xf borderId="1" fillId="2" fontId="2" numFmtId="0" xfId="0" applyBorder="1" applyFont="1"/>
    <xf borderId="1" fillId="0" fontId="4" numFmtId="164" xfId="0" applyAlignment="1" applyBorder="1" applyFont="1" applyNumberFormat="1">
      <alignment horizontal="right"/>
    </xf>
    <xf borderId="1" fillId="3" fontId="1" numFmtId="0" xfId="0" applyBorder="1" applyFill="1" applyFont="1"/>
    <xf borderId="1" fillId="3" fontId="1" numFmtId="4" xfId="0" applyBorder="1" applyFont="1" applyNumberFormat="1"/>
    <xf borderId="0" fillId="3" fontId="3" numFmtId="0" xfId="0" applyFont="1"/>
    <xf borderId="1" fillId="3" fontId="1" numFmtId="0" xfId="0" applyAlignment="1" applyBorder="1" applyFont="1">
      <alignment horizontal="right"/>
    </xf>
    <xf borderId="1" fillId="3" fontId="1" numFmtId="14" xfId="0" applyAlignment="1" applyBorder="1" applyFont="1" applyNumberFormat="1">
      <alignment horizontal="right"/>
    </xf>
    <xf borderId="1" fillId="3" fontId="1" numFmtId="164" xfId="0" applyAlignment="1" applyBorder="1" applyFont="1" applyNumberFormat="1">
      <alignment horizontal="right"/>
    </xf>
    <xf borderId="1" fillId="3" fontId="1" numFmtId="4" xfId="0" applyAlignment="1" applyBorder="1" applyFont="1" applyNumberFormat="1">
      <alignment horizontal="right"/>
    </xf>
    <xf borderId="1" fillId="3" fontId="1" numFmtId="9" xfId="0" applyAlignment="1" applyBorder="1" applyFont="1" applyNumberFormat="1">
      <alignment horizontal="right"/>
    </xf>
    <xf borderId="1" fillId="3" fontId="2" numFmtId="0" xfId="0" applyBorder="1" applyFont="1"/>
    <xf borderId="1" fillId="3" fontId="4" numFmtId="4" xfId="0" applyAlignment="1" applyBorder="1" applyFont="1" applyNumberFormat="1">
      <alignment horizontal="right"/>
    </xf>
    <xf borderId="0" fillId="3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0.14"/>
    <col customWidth="1" min="3" max="3" width="24.71"/>
    <col customWidth="1" min="4" max="4" width="10.86"/>
    <col customWidth="1" min="5" max="5" width="14.57"/>
    <col customWidth="1" min="6" max="6" width="19.43"/>
    <col customWidth="1" min="7" max="7" width="21.86"/>
    <col customWidth="1" min="8" max="8" width="22.0"/>
    <col customWidth="1" min="9" max="9" width="44.43"/>
    <col customWidth="1" min="10" max="10" width="28.29"/>
    <col customWidth="1" min="11" max="11" width="23.71"/>
    <col customWidth="1" min="12" max="12" width="19.14"/>
    <col customWidth="1" min="13" max="13" width="16.29"/>
    <col customWidth="1" min="14" max="14" width="7.29"/>
    <col customWidth="1" min="15" max="15" width="25.14"/>
    <col customWidth="1" min="16" max="16" width="34.57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2">
        <v>2.61853245E8</v>
      </c>
      <c r="E2" s="1" t="s">
        <v>19</v>
      </c>
      <c r="F2" s="3">
        <v>46083.0</v>
      </c>
      <c r="G2" s="3">
        <v>46143.0</v>
      </c>
      <c r="H2" s="1" t="s">
        <v>20</v>
      </c>
      <c r="I2" s="1" t="s">
        <v>21</v>
      </c>
      <c r="J2" s="4">
        <v>245.0</v>
      </c>
      <c r="K2" s="4">
        <v>235.0</v>
      </c>
      <c r="L2" s="5">
        <v>0.25</v>
      </c>
      <c r="M2" s="4">
        <v>58.75</v>
      </c>
      <c r="N2" s="1" t="s">
        <v>22</v>
      </c>
      <c r="O2" s="3">
        <v>46150.0</v>
      </c>
      <c r="P2" s="6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16</v>
      </c>
      <c r="B3" s="1" t="s">
        <v>23</v>
      </c>
      <c r="C3" s="1" t="s">
        <v>24</v>
      </c>
      <c r="D3" s="2">
        <v>2.61845602E8</v>
      </c>
      <c r="E3" s="1" t="s">
        <v>19</v>
      </c>
      <c r="F3" s="3">
        <v>46038.0</v>
      </c>
      <c r="G3" s="3">
        <v>46143.0</v>
      </c>
      <c r="H3" s="1" t="s">
        <v>20</v>
      </c>
      <c r="I3" s="1" t="s">
        <v>25</v>
      </c>
      <c r="J3" s="4">
        <v>280.0</v>
      </c>
      <c r="K3" s="4">
        <v>260.0</v>
      </c>
      <c r="L3" s="5">
        <v>0.25</v>
      </c>
      <c r="M3" s="4">
        <v>65.0</v>
      </c>
      <c r="N3" s="1" t="s">
        <v>22</v>
      </c>
      <c r="O3" s="3">
        <v>46150.0</v>
      </c>
      <c r="P3" s="6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16</v>
      </c>
      <c r="B4" s="1" t="s">
        <v>17</v>
      </c>
      <c r="C4" s="1" t="s">
        <v>26</v>
      </c>
      <c r="D4" s="2">
        <v>2.61843935E8</v>
      </c>
      <c r="E4" s="1" t="s">
        <v>19</v>
      </c>
      <c r="F4" s="3">
        <v>46035.0</v>
      </c>
      <c r="G4" s="3">
        <v>46143.0</v>
      </c>
      <c r="H4" s="1" t="s">
        <v>20</v>
      </c>
      <c r="I4" s="1" t="s">
        <v>27</v>
      </c>
      <c r="J4" s="4">
        <v>210.0</v>
      </c>
      <c r="K4" s="4">
        <v>200.0</v>
      </c>
      <c r="L4" s="5">
        <v>0.25</v>
      </c>
      <c r="M4" s="4">
        <v>50.0</v>
      </c>
      <c r="N4" s="1" t="s">
        <v>22</v>
      </c>
      <c r="O4" s="3">
        <v>46150.0</v>
      </c>
      <c r="P4" s="6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16</v>
      </c>
      <c r="B5" s="1" t="s">
        <v>23</v>
      </c>
      <c r="C5" s="1" t="s">
        <v>28</v>
      </c>
      <c r="D5" s="2">
        <v>2.51821747E8</v>
      </c>
      <c r="E5" s="1" t="s">
        <v>19</v>
      </c>
      <c r="F5" s="3">
        <v>46023.0</v>
      </c>
      <c r="G5" s="3">
        <v>46143.0</v>
      </c>
      <c r="H5" s="1" t="s">
        <v>20</v>
      </c>
      <c r="I5" s="1" t="s">
        <v>29</v>
      </c>
      <c r="J5" s="4">
        <v>1590.0</v>
      </c>
      <c r="K5" s="4">
        <v>1570.0</v>
      </c>
      <c r="L5" s="5">
        <v>0.25</v>
      </c>
      <c r="M5" s="4">
        <v>392.5</v>
      </c>
      <c r="N5" s="1" t="s">
        <v>22</v>
      </c>
      <c r="O5" s="3">
        <v>46150.0</v>
      </c>
      <c r="P5" s="6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16</v>
      </c>
      <c r="B6" s="1" t="s">
        <v>23</v>
      </c>
      <c r="C6" s="1" t="s">
        <v>30</v>
      </c>
      <c r="D6" s="2">
        <v>2.51819194E8</v>
      </c>
      <c r="E6" s="1" t="s">
        <v>19</v>
      </c>
      <c r="F6" s="3">
        <v>46024.0</v>
      </c>
      <c r="G6" s="3">
        <v>46143.0</v>
      </c>
      <c r="H6" s="1" t="s">
        <v>20</v>
      </c>
      <c r="I6" s="1" t="s">
        <v>29</v>
      </c>
      <c r="J6" s="4">
        <v>595.0</v>
      </c>
      <c r="K6" s="4">
        <v>575.0</v>
      </c>
      <c r="L6" s="5">
        <v>0.25</v>
      </c>
      <c r="M6" s="4">
        <v>143.75</v>
      </c>
      <c r="N6" s="1" t="s">
        <v>22</v>
      </c>
      <c r="O6" s="3">
        <v>46150.0</v>
      </c>
      <c r="P6" s="6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" t="s">
        <v>16</v>
      </c>
      <c r="B7" s="1" t="s">
        <v>17</v>
      </c>
      <c r="C7" s="1" t="s">
        <v>31</v>
      </c>
      <c r="D7" s="2">
        <v>2.51818343E8</v>
      </c>
      <c r="E7" s="1" t="s">
        <v>19</v>
      </c>
      <c r="F7" s="3">
        <v>46029.0</v>
      </c>
      <c r="G7" s="3">
        <v>46143.0</v>
      </c>
      <c r="H7" s="1" t="s">
        <v>20</v>
      </c>
      <c r="I7" s="1" t="s">
        <v>32</v>
      </c>
      <c r="J7" s="4">
        <v>440.0</v>
      </c>
      <c r="K7" s="4">
        <v>430.0</v>
      </c>
      <c r="L7" s="5">
        <v>0.25</v>
      </c>
      <c r="M7" s="4">
        <v>107.5</v>
      </c>
      <c r="N7" s="1" t="s">
        <v>22</v>
      </c>
      <c r="O7" s="3">
        <v>46150.0</v>
      </c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" t="s">
        <v>16</v>
      </c>
      <c r="B8" s="1" t="s">
        <v>17</v>
      </c>
      <c r="C8" s="1" t="s">
        <v>33</v>
      </c>
      <c r="D8" s="2">
        <v>2.51814964E8</v>
      </c>
      <c r="E8" s="1" t="s">
        <v>19</v>
      </c>
      <c r="F8" s="3">
        <v>46024.0</v>
      </c>
      <c r="G8" s="3">
        <v>46143.0</v>
      </c>
      <c r="H8" s="1" t="s">
        <v>20</v>
      </c>
      <c r="I8" s="1" t="s">
        <v>27</v>
      </c>
      <c r="J8" s="4">
        <v>235.0</v>
      </c>
      <c r="K8" s="4">
        <v>225.0</v>
      </c>
      <c r="L8" s="5">
        <v>0.25</v>
      </c>
      <c r="M8" s="4">
        <v>56.25</v>
      </c>
      <c r="N8" s="1" t="s">
        <v>22</v>
      </c>
      <c r="O8" s="3">
        <v>46150.0</v>
      </c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" t="s">
        <v>16</v>
      </c>
      <c r="B9" s="1" t="s">
        <v>17</v>
      </c>
      <c r="C9" s="1" t="s">
        <v>34</v>
      </c>
      <c r="D9" s="2">
        <v>2.51814202E8</v>
      </c>
      <c r="E9" s="1" t="s">
        <v>19</v>
      </c>
      <c r="F9" s="3">
        <v>46024.0</v>
      </c>
      <c r="G9" s="3">
        <v>46143.0</v>
      </c>
      <c r="H9" s="1" t="s">
        <v>20</v>
      </c>
      <c r="I9" s="1" t="s">
        <v>27</v>
      </c>
      <c r="J9" s="4">
        <v>365.0</v>
      </c>
      <c r="K9" s="4">
        <v>355.0</v>
      </c>
      <c r="L9" s="5">
        <v>0.25</v>
      </c>
      <c r="M9" s="4">
        <v>88.75</v>
      </c>
      <c r="N9" s="1" t="s">
        <v>22</v>
      </c>
      <c r="O9" s="3">
        <v>46150.0</v>
      </c>
      <c r="P9" s="6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" t="s">
        <v>16</v>
      </c>
      <c r="B10" s="1" t="s">
        <v>17</v>
      </c>
      <c r="C10" s="1" t="s">
        <v>35</v>
      </c>
      <c r="D10" s="2">
        <v>2.51800809E8</v>
      </c>
      <c r="E10" s="1" t="s">
        <v>19</v>
      </c>
      <c r="F10" s="3">
        <v>46024.0</v>
      </c>
      <c r="G10" s="3">
        <v>46143.0</v>
      </c>
      <c r="H10" s="1" t="s">
        <v>20</v>
      </c>
      <c r="I10" s="1" t="s">
        <v>29</v>
      </c>
      <c r="J10" s="4">
        <v>595.0</v>
      </c>
      <c r="K10" s="4">
        <v>575.0</v>
      </c>
      <c r="L10" s="5">
        <v>0.25</v>
      </c>
      <c r="M10" s="4">
        <v>143.75</v>
      </c>
      <c r="N10" s="1" t="s">
        <v>22</v>
      </c>
      <c r="O10" s="3">
        <v>46150.0</v>
      </c>
      <c r="P10" s="6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 t="s">
        <v>16</v>
      </c>
      <c r="B11" s="1" t="s">
        <v>36</v>
      </c>
      <c r="C11" s="1" t="s">
        <v>37</v>
      </c>
      <c r="D11" s="2">
        <v>2.51799402E8</v>
      </c>
      <c r="E11" s="1" t="s">
        <v>19</v>
      </c>
      <c r="F11" s="3">
        <v>46023.0</v>
      </c>
      <c r="G11" s="3">
        <v>46143.0</v>
      </c>
      <c r="H11" s="1" t="s">
        <v>20</v>
      </c>
      <c r="I11" s="1" t="s">
        <v>29</v>
      </c>
      <c r="J11" s="4">
        <v>595.0</v>
      </c>
      <c r="K11" s="4">
        <v>575.0</v>
      </c>
      <c r="L11" s="5">
        <v>0.25</v>
      </c>
      <c r="M11" s="4">
        <v>143.75</v>
      </c>
      <c r="N11" s="1" t="s">
        <v>22</v>
      </c>
      <c r="O11" s="3">
        <v>46150.0</v>
      </c>
      <c r="P11" s="6"/>
    </row>
    <row r="12">
      <c r="A12" s="1" t="s">
        <v>16</v>
      </c>
      <c r="B12" s="1" t="s">
        <v>23</v>
      </c>
      <c r="C12" s="1" t="s">
        <v>38</v>
      </c>
      <c r="D12" s="2">
        <v>2.51835311E8</v>
      </c>
      <c r="E12" s="1" t="s">
        <v>19</v>
      </c>
      <c r="F12" s="3">
        <v>46023.0</v>
      </c>
      <c r="G12" s="3">
        <v>46147.0</v>
      </c>
      <c r="H12" s="1" t="s">
        <v>20</v>
      </c>
      <c r="I12" s="1" t="s">
        <v>39</v>
      </c>
      <c r="J12" s="4">
        <v>165.0</v>
      </c>
      <c r="K12" s="4">
        <v>145.0</v>
      </c>
      <c r="L12" s="5">
        <v>0.25</v>
      </c>
      <c r="M12" s="4">
        <v>36.25</v>
      </c>
      <c r="N12" s="1" t="s">
        <v>22</v>
      </c>
      <c r="O12" s="3">
        <v>46157.0</v>
      </c>
      <c r="P12" s="6"/>
    </row>
    <row r="13">
      <c r="A13" s="1" t="s">
        <v>16</v>
      </c>
      <c r="B13" s="1" t="s">
        <v>40</v>
      </c>
      <c r="C13" s="1" t="s">
        <v>41</v>
      </c>
      <c r="D13" s="2">
        <v>2.51754149E8</v>
      </c>
      <c r="E13" s="1" t="s">
        <v>19</v>
      </c>
      <c r="F13" s="3">
        <v>45881.0</v>
      </c>
      <c r="G13" s="3">
        <v>46147.0</v>
      </c>
      <c r="H13" s="1" t="s">
        <v>20</v>
      </c>
      <c r="I13" s="1" t="s">
        <v>42</v>
      </c>
      <c r="J13" s="4">
        <v>75.0</v>
      </c>
      <c r="K13" s="4">
        <v>65.0</v>
      </c>
      <c r="L13" s="5">
        <v>0.25</v>
      </c>
      <c r="M13" s="4">
        <v>16.25</v>
      </c>
      <c r="N13" s="1" t="s">
        <v>22</v>
      </c>
      <c r="O13" s="3">
        <v>46157.0</v>
      </c>
      <c r="P13" s="6"/>
    </row>
    <row r="14">
      <c r="A14" s="8" t="s">
        <v>16</v>
      </c>
      <c r="B14" s="8" t="s">
        <v>43</v>
      </c>
      <c r="C14" s="8" t="s">
        <v>44</v>
      </c>
      <c r="D14" s="9">
        <v>2.61880744E8</v>
      </c>
      <c r="E14" s="8" t="s">
        <v>45</v>
      </c>
      <c r="F14" s="10">
        <v>46177.0</v>
      </c>
      <c r="G14" s="10">
        <v>46148.0</v>
      </c>
      <c r="H14" s="8" t="s">
        <v>20</v>
      </c>
      <c r="I14" s="8" t="s">
        <v>25</v>
      </c>
      <c r="J14" s="11">
        <v>125.0</v>
      </c>
      <c r="K14" s="11">
        <v>125.0</v>
      </c>
      <c r="L14" s="11">
        <v>100.0</v>
      </c>
      <c r="M14" s="11">
        <v>100.0</v>
      </c>
      <c r="N14" s="8" t="s">
        <v>22</v>
      </c>
      <c r="O14" s="10">
        <v>46157.0</v>
      </c>
      <c r="P14" s="12"/>
    </row>
    <row r="15">
      <c r="A15" s="1" t="s">
        <v>16</v>
      </c>
      <c r="B15" s="1" t="s">
        <v>23</v>
      </c>
      <c r="C15" s="1" t="s">
        <v>46</v>
      </c>
      <c r="D15" s="2">
        <v>1095314.0</v>
      </c>
      <c r="E15" s="1" t="s">
        <v>19</v>
      </c>
      <c r="F15" s="3">
        <v>45770.0</v>
      </c>
      <c r="G15" s="3">
        <v>46148.0</v>
      </c>
      <c r="H15" s="1" t="s">
        <v>20</v>
      </c>
      <c r="I15" s="1" t="s">
        <v>39</v>
      </c>
      <c r="J15" s="4">
        <v>185.77</v>
      </c>
      <c r="K15" s="4">
        <v>165.77</v>
      </c>
      <c r="L15" s="5">
        <v>0.25</v>
      </c>
      <c r="M15" s="4">
        <v>41.44</v>
      </c>
      <c r="N15" s="1" t="s">
        <v>22</v>
      </c>
      <c r="O15" s="3">
        <v>46157.0</v>
      </c>
      <c r="P15" s="6"/>
    </row>
    <row r="16">
      <c r="A16" s="1" t="s">
        <v>16</v>
      </c>
      <c r="B16" s="1" t="s">
        <v>43</v>
      </c>
      <c r="C16" s="1" t="s">
        <v>44</v>
      </c>
      <c r="D16" s="2">
        <v>2.61880744E8</v>
      </c>
      <c r="E16" s="1" t="s">
        <v>45</v>
      </c>
      <c r="F16" s="3">
        <v>46177.0</v>
      </c>
      <c r="G16" s="3">
        <v>46148.0</v>
      </c>
      <c r="H16" s="1" t="s">
        <v>20</v>
      </c>
      <c r="I16" s="1" t="s">
        <v>25</v>
      </c>
      <c r="J16" s="4">
        <v>125.0</v>
      </c>
      <c r="K16" s="4">
        <v>105.0</v>
      </c>
      <c r="L16" s="5">
        <v>0.25</v>
      </c>
      <c r="M16" s="4">
        <v>26.25</v>
      </c>
      <c r="N16" s="1" t="s">
        <v>22</v>
      </c>
      <c r="O16" s="3">
        <v>46157.0</v>
      </c>
      <c r="P16" s="6"/>
    </row>
    <row r="17">
      <c r="A17" s="8" t="s">
        <v>16</v>
      </c>
      <c r="B17" s="8" t="s">
        <v>47</v>
      </c>
      <c r="C17" s="8" t="s">
        <v>48</v>
      </c>
      <c r="D17" s="9">
        <v>2.61882094E8</v>
      </c>
      <c r="E17" s="8" t="s">
        <v>45</v>
      </c>
      <c r="F17" s="10">
        <v>46174.0</v>
      </c>
      <c r="G17" s="10">
        <v>46151.0</v>
      </c>
      <c r="H17" s="8" t="s">
        <v>20</v>
      </c>
      <c r="I17" s="8" t="s">
        <v>21</v>
      </c>
      <c r="J17" s="11">
        <v>245.0</v>
      </c>
      <c r="K17" s="11">
        <v>245.0</v>
      </c>
      <c r="L17" s="11">
        <v>100.0</v>
      </c>
      <c r="M17" s="11">
        <v>100.0</v>
      </c>
      <c r="N17" s="8" t="s">
        <v>22</v>
      </c>
      <c r="O17" s="10">
        <v>46157.0</v>
      </c>
      <c r="P17" s="12"/>
    </row>
    <row r="18">
      <c r="A18" s="8" t="s">
        <v>16</v>
      </c>
      <c r="B18" s="8" t="s">
        <v>23</v>
      </c>
      <c r="C18" s="8" t="s">
        <v>49</v>
      </c>
      <c r="D18" s="9">
        <v>2.61882037E8</v>
      </c>
      <c r="E18" s="8" t="s">
        <v>19</v>
      </c>
      <c r="F18" s="10">
        <v>46153.0</v>
      </c>
      <c r="G18" s="10">
        <v>46151.0</v>
      </c>
      <c r="H18" s="8" t="s">
        <v>20</v>
      </c>
      <c r="I18" s="8" t="s">
        <v>29</v>
      </c>
      <c r="J18" s="11">
        <v>560.0</v>
      </c>
      <c r="K18" s="11">
        <v>560.0</v>
      </c>
      <c r="L18" s="11">
        <v>100.0</v>
      </c>
      <c r="M18" s="11">
        <v>100.0</v>
      </c>
      <c r="N18" s="8" t="s">
        <v>22</v>
      </c>
      <c r="O18" s="10">
        <v>46157.0</v>
      </c>
      <c r="P18" s="12"/>
    </row>
    <row r="19">
      <c r="A19" s="1" t="s">
        <v>16</v>
      </c>
      <c r="B19" s="1" t="s">
        <v>47</v>
      </c>
      <c r="C19" s="1" t="s">
        <v>48</v>
      </c>
      <c r="D19" s="2">
        <v>2.61882094E8</v>
      </c>
      <c r="E19" s="1" t="s">
        <v>45</v>
      </c>
      <c r="F19" s="3">
        <v>46174.0</v>
      </c>
      <c r="G19" s="3">
        <v>46151.0</v>
      </c>
      <c r="H19" s="1" t="s">
        <v>20</v>
      </c>
      <c r="I19" s="1" t="s">
        <v>21</v>
      </c>
      <c r="J19" s="4">
        <v>245.0</v>
      </c>
      <c r="K19" s="4">
        <v>235.0</v>
      </c>
      <c r="L19" s="5">
        <v>0.25</v>
      </c>
      <c r="M19" s="4">
        <v>58.75</v>
      </c>
      <c r="N19" s="1" t="s">
        <v>22</v>
      </c>
      <c r="O19" s="3">
        <v>46157.0</v>
      </c>
      <c r="P19" s="6"/>
    </row>
    <row r="20">
      <c r="A20" s="1" t="s">
        <v>16</v>
      </c>
      <c r="B20" s="1" t="s">
        <v>23</v>
      </c>
      <c r="C20" s="1" t="s">
        <v>49</v>
      </c>
      <c r="D20" s="2">
        <v>2.61882037E8</v>
      </c>
      <c r="E20" s="1" t="s">
        <v>19</v>
      </c>
      <c r="F20" s="3">
        <v>46153.0</v>
      </c>
      <c r="G20" s="3">
        <v>46151.0</v>
      </c>
      <c r="H20" s="1" t="s">
        <v>20</v>
      </c>
      <c r="I20" s="1" t="s">
        <v>29</v>
      </c>
      <c r="J20" s="4">
        <v>560.0</v>
      </c>
      <c r="K20" s="4">
        <v>540.0</v>
      </c>
      <c r="L20" s="5">
        <v>0.25</v>
      </c>
      <c r="M20" s="4">
        <v>135.0</v>
      </c>
      <c r="N20" s="1" t="s">
        <v>22</v>
      </c>
      <c r="O20" s="3">
        <v>46157.0</v>
      </c>
      <c r="P20" s="6"/>
    </row>
    <row r="21" ht="15.75" customHeight="1">
      <c r="A21" s="8" t="s">
        <v>16</v>
      </c>
      <c r="B21" s="8" t="s">
        <v>43</v>
      </c>
      <c r="C21" s="8" t="s">
        <v>50</v>
      </c>
      <c r="D21" s="9">
        <v>2.61882282E8</v>
      </c>
      <c r="E21" s="8" t="s">
        <v>45</v>
      </c>
      <c r="F21" s="10">
        <v>46181.0</v>
      </c>
      <c r="G21" s="10">
        <v>46152.0</v>
      </c>
      <c r="H21" s="8" t="s">
        <v>20</v>
      </c>
      <c r="I21" s="8" t="s">
        <v>21</v>
      </c>
      <c r="J21" s="11">
        <v>325.0</v>
      </c>
      <c r="K21" s="11">
        <v>325.0</v>
      </c>
      <c r="L21" s="11">
        <v>100.0</v>
      </c>
      <c r="M21" s="11">
        <v>100.0</v>
      </c>
      <c r="N21" s="8" t="s">
        <v>22</v>
      </c>
      <c r="O21" s="10">
        <v>46157.0</v>
      </c>
      <c r="P21" s="12"/>
    </row>
    <row r="22" ht="15.75" customHeight="1">
      <c r="A22" s="1" t="s">
        <v>16</v>
      </c>
      <c r="B22" s="1" t="s">
        <v>43</v>
      </c>
      <c r="C22" s="1" t="s">
        <v>50</v>
      </c>
      <c r="D22" s="2">
        <v>2.61882282E8</v>
      </c>
      <c r="E22" s="1" t="s">
        <v>45</v>
      </c>
      <c r="F22" s="3">
        <v>46181.0</v>
      </c>
      <c r="G22" s="3">
        <v>46152.0</v>
      </c>
      <c r="H22" s="1" t="s">
        <v>20</v>
      </c>
      <c r="I22" s="1" t="s">
        <v>21</v>
      </c>
      <c r="J22" s="4">
        <v>325.0</v>
      </c>
      <c r="K22" s="4">
        <v>315.0</v>
      </c>
      <c r="L22" s="5">
        <v>0.25</v>
      </c>
      <c r="M22" s="4">
        <v>78.75</v>
      </c>
      <c r="N22" s="1" t="s">
        <v>22</v>
      </c>
      <c r="O22" s="3">
        <v>46157.0</v>
      </c>
      <c r="P22" s="6"/>
    </row>
    <row r="23" ht="15.75" customHeight="1">
      <c r="A23" s="1" t="s">
        <v>16</v>
      </c>
      <c r="B23" s="1" t="s">
        <v>51</v>
      </c>
      <c r="C23" s="1" t="s">
        <v>52</v>
      </c>
      <c r="D23" s="2">
        <v>2.61877275E8</v>
      </c>
      <c r="E23" s="1" t="s">
        <v>45</v>
      </c>
      <c r="F23" s="3">
        <v>46143.0</v>
      </c>
      <c r="G23" s="3">
        <v>46153.0</v>
      </c>
      <c r="H23" s="1" t="s">
        <v>53</v>
      </c>
      <c r="I23" s="1" t="s">
        <v>29</v>
      </c>
      <c r="J23" s="4">
        <v>695.0</v>
      </c>
      <c r="K23" s="4">
        <v>675.0</v>
      </c>
      <c r="L23" s="5">
        <v>0.25</v>
      </c>
      <c r="M23" s="13">
        <v>-168.75</v>
      </c>
      <c r="N23" s="1" t="s">
        <v>22</v>
      </c>
      <c r="O23" s="3">
        <v>46157.0</v>
      </c>
      <c r="P23" s="1" t="s">
        <v>54</v>
      </c>
    </row>
    <row r="24" ht="15.75" customHeight="1">
      <c r="A24" s="1" t="s">
        <v>16</v>
      </c>
      <c r="B24" s="1" t="s">
        <v>17</v>
      </c>
      <c r="C24" s="1" t="s">
        <v>55</v>
      </c>
      <c r="D24" s="2">
        <v>2.61868471E8</v>
      </c>
      <c r="E24" s="1" t="s">
        <v>19</v>
      </c>
      <c r="F24" s="3">
        <v>46113.0</v>
      </c>
      <c r="G24" s="3">
        <v>46153.0</v>
      </c>
      <c r="H24" s="1" t="s">
        <v>20</v>
      </c>
      <c r="I24" s="1" t="s">
        <v>39</v>
      </c>
      <c r="J24" s="4">
        <v>405.0</v>
      </c>
      <c r="K24" s="4">
        <v>385.0</v>
      </c>
      <c r="L24" s="5">
        <v>0.25</v>
      </c>
      <c r="M24" s="4">
        <v>96.25</v>
      </c>
      <c r="N24" s="1" t="s">
        <v>22</v>
      </c>
      <c r="O24" s="3">
        <v>46157.0</v>
      </c>
      <c r="P24" s="6"/>
    </row>
    <row r="25" ht="15.75" customHeight="1">
      <c r="A25" s="1" t="s">
        <v>16</v>
      </c>
      <c r="B25" s="1" t="s">
        <v>36</v>
      </c>
      <c r="C25" s="1" t="s">
        <v>56</v>
      </c>
      <c r="D25" s="2">
        <v>2.61867701E8</v>
      </c>
      <c r="E25" s="1" t="s">
        <v>19</v>
      </c>
      <c r="F25" s="3">
        <v>46113.0</v>
      </c>
      <c r="G25" s="3">
        <v>46153.0</v>
      </c>
      <c r="H25" s="1" t="s">
        <v>20</v>
      </c>
      <c r="I25" s="1" t="s">
        <v>29</v>
      </c>
      <c r="J25" s="4">
        <v>360.0</v>
      </c>
      <c r="K25" s="4">
        <v>340.0</v>
      </c>
      <c r="L25" s="5">
        <v>0.25</v>
      </c>
      <c r="M25" s="4">
        <v>85.0</v>
      </c>
      <c r="N25" s="1" t="s">
        <v>22</v>
      </c>
      <c r="O25" s="3">
        <v>46157.0</v>
      </c>
      <c r="P25" s="6"/>
    </row>
    <row r="26" ht="15.75" customHeight="1">
      <c r="A26" s="1" t="s">
        <v>16</v>
      </c>
      <c r="B26" s="1" t="s">
        <v>57</v>
      </c>
      <c r="C26" s="1" t="s">
        <v>58</v>
      </c>
      <c r="D26" s="2">
        <v>2.61866598E8</v>
      </c>
      <c r="E26" s="1" t="s">
        <v>19</v>
      </c>
      <c r="F26" s="3">
        <v>46113.0</v>
      </c>
      <c r="G26" s="3">
        <v>46153.0</v>
      </c>
      <c r="H26" s="1" t="s">
        <v>20</v>
      </c>
      <c r="I26" s="1" t="s">
        <v>29</v>
      </c>
      <c r="J26" s="4">
        <v>440.0</v>
      </c>
      <c r="K26" s="4">
        <v>420.0</v>
      </c>
      <c r="L26" s="5">
        <v>0.25</v>
      </c>
      <c r="M26" s="4">
        <v>105.0</v>
      </c>
      <c r="N26" s="1" t="s">
        <v>22</v>
      </c>
      <c r="O26" s="3">
        <v>46157.0</v>
      </c>
      <c r="P26" s="6"/>
    </row>
    <row r="27" ht="15.75" customHeight="1">
      <c r="A27" s="1" t="s">
        <v>16</v>
      </c>
      <c r="B27" s="1" t="s">
        <v>57</v>
      </c>
      <c r="C27" s="1" t="s">
        <v>59</v>
      </c>
      <c r="D27" s="2">
        <v>2.61851665E8</v>
      </c>
      <c r="E27" s="1" t="s">
        <v>19</v>
      </c>
      <c r="F27" s="3">
        <v>46054.0</v>
      </c>
      <c r="G27" s="3">
        <v>46153.0</v>
      </c>
      <c r="H27" s="1" t="s">
        <v>20</v>
      </c>
      <c r="I27" s="1" t="s">
        <v>29</v>
      </c>
      <c r="J27" s="4">
        <v>490.0</v>
      </c>
      <c r="K27" s="4">
        <v>470.0</v>
      </c>
      <c r="L27" s="5">
        <v>0.25</v>
      </c>
      <c r="M27" s="4">
        <v>117.5</v>
      </c>
      <c r="N27" s="1" t="s">
        <v>22</v>
      </c>
      <c r="O27" s="3">
        <v>46157.0</v>
      </c>
      <c r="P27" s="6"/>
    </row>
    <row r="28" ht="15.75" customHeight="1">
      <c r="A28" s="1" t="s">
        <v>16</v>
      </c>
      <c r="B28" s="1" t="s">
        <v>57</v>
      </c>
      <c r="C28" s="1" t="s">
        <v>60</v>
      </c>
      <c r="D28" s="2">
        <v>2.51815119E8</v>
      </c>
      <c r="E28" s="1" t="s">
        <v>19</v>
      </c>
      <c r="F28" s="3">
        <v>46054.0</v>
      </c>
      <c r="G28" s="3">
        <v>46153.0</v>
      </c>
      <c r="H28" s="1" t="s">
        <v>20</v>
      </c>
      <c r="I28" s="1" t="s">
        <v>29</v>
      </c>
      <c r="J28" s="4">
        <v>455.0</v>
      </c>
      <c r="K28" s="4">
        <v>435.0</v>
      </c>
      <c r="L28" s="5">
        <v>0.25</v>
      </c>
      <c r="M28" s="4">
        <v>108.75</v>
      </c>
      <c r="N28" s="1" t="s">
        <v>22</v>
      </c>
      <c r="O28" s="3">
        <v>46157.0</v>
      </c>
      <c r="P28" s="6"/>
    </row>
    <row r="29" ht="15.75" customHeight="1">
      <c r="A29" s="1" t="s">
        <v>16</v>
      </c>
      <c r="B29" s="1" t="s">
        <v>61</v>
      </c>
      <c r="C29" s="1" t="s">
        <v>62</v>
      </c>
      <c r="D29" s="2">
        <v>2.518278E8</v>
      </c>
      <c r="E29" s="1" t="s">
        <v>19</v>
      </c>
      <c r="F29" s="3">
        <v>46023.0</v>
      </c>
      <c r="G29" s="3">
        <v>46153.0</v>
      </c>
      <c r="H29" s="1" t="s">
        <v>20</v>
      </c>
      <c r="I29" s="1" t="s">
        <v>25</v>
      </c>
      <c r="J29" s="4">
        <v>190.0</v>
      </c>
      <c r="K29" s="4">
        <v>170.0</v>
      </c>
      <c r="L29" s="5">
        <v>0.25</v>
      </c>
      <c r="M29" s="4">
        <v>42.5</v>
      </c>
      <c r="N29" s="1" t="s">
        <v>22</v>
      </c>
      <c r="O29" s="3">
        <v>46157.0</v>
      </c>
      <c r="P29" s="6"/>
    </row>
    <row r="30" ht="15.75" customHeight="1">
      <c r="A30" s="1" t="s">
        <v>16</v>
      </c>
      <c r="B30" s="1" t="s">
        <v>47</v>
      </c>
      <c r="C30" s="1" t="s">
        <v>63</v>
      </c>
      <c r="D30" s="2">
        <v>2.51826288E8</v>
      </c>
      <c r="E30" s="1" t="s">
        <v>19</v>
      </c>
      <c r="F30" s="3">
        <v>46023.0</v>
      </c>
      <c r="G30" s="3">
        <v>46153.0</v>
      </c>
      <c r="H30" s="1" t="s">
        <v>20</v>
      </c>
      <c r="I30" s="1" t="s">
        <v>29</v>
      </c>
      <c r="J30" s="4">
        <v>440.0</v>
      </c>
      <c r="K30" s="4">
        <v>420.0</v>
      </c>
      <c r="L30" s="5">
        <v>0.25</v>
      </c>
      <c r="M30" s="4">
        <v>105.0</v>
      </c>
      <c r="N30" s="1" t="s">
        <v>22</v>
      </c>
      <c r="O30" s="3">
        <v>46157.0</v>
      </c>
      <c r="P30" s="6"/>
    </row>
    <row r="31" ht="15.75" customHeight="1">
      <c r="A31" s="1" t="s">
        <v>16</v>
      </c>
      <c r="B31" s="1" t="s">
        <v>47</v>
      </c>
      <c r="C31" s="1" t="s">
        <v>64</v>
      </c>
      <c r="D31" s="2">
        <v>2.51825133E8</v>
      </c>
      <c r="E31" s="1" t="s">
        <v>19</v>
      </c>
      <c r="F31" s="3">
        <v>46023.0</v>
      </c>
      <c r="G31" s="3">
        <v>46153.0</v>
      </c>
      <c r="H31" s="1" t="s">
        <v>20</v>
      </c>
      <c r="I31" s="1" t="s">
        <v>29</v>
      </c>
      <c r="J31" s="4">
        <v>235.0</v>
      </c>
      <c r="K31" s="4">
        <v>215.0</v>
      </c>
      <c r="L31" s="5">
        <v>0.25</v>
      </c>
      <c r="M31" s="4">
        <v>53.75</v>
      </c>
      <c r="N31" s="1" t="s">
        <v>22</v>
      </c>
      <c r="O31" s="3">
        <v>46157.0</v>
      </c>
      <c r="P31" s="6"/>
    </row>
    <row r="32" ht="15.75" customHeight="1">
      <c r="A32" s="1" t="s">
        <v>16</v>
      </c>
      <c r="B32" s="1" t="s">
        <v>23</v>
      </c>
      <c r="C32" s="1" t="s">
        <v>65</v>
      </c>
      <c r="D32" s="2">
        <v>2.51824128E8</v>
      </c>
      <c r="E32" s="1" t="s">
        <v>19</v>
      </c>
      <c r="F32" s="3">
        <v>46023.0</v>
      </c>
      <c r="G32" s="3">
        <v>46153.0</v>
      </c>
      <c r="H32" s="1" t="s">
        <v>20</v>
      </c>
      <c r="I32" s="1" t="s">
        <v>29</v>
      </c>
      <c r="J32" s="4">
        <v>595.0</v>
      </c>
      <c r="K32" s="4">
        <v>575.0</v>
      </c>
      <c r="L32" s="5">
        <v>0.25</v>
      </c>
      <c r="M32" s="4">
        <v>143.75</v>
      </c>
      <c r="N32" s="1" t="s">
        <v>22</v>
      </c>
      <c r="O32" s="3">
        <v>46157.0</v>
      </c>
      <c r="P32" s="6"/>
    </row>
    <row r="33" ht="15.75" customHeight="1">
      <c r="A33" s="1" t="s">
        <v>16</v>
      </c>
      <c r="B33" s="1" t="s">
        <v>47</v>
      </c>
      <c r="C33" s="1" t="s">
        <v>66</v>
      </c>
      <c r="D33" s="2">
        <v>2.51822171E8</v>
      </c>
      <c r="E33" s="1" t="s">
        <v>19</v>
      </c>
      <c r="F33" s="3">
        <v>46023.0</v>
      </c>
      <c r="G33" s="3">
        <v>46153.0</v>
      </c>
      <c r="H33" s="1" t="s">
        <v>20</v>
      </c>
      <c r="I33" s="1" t="s">
        <v>29</v>
      </c>
      <c r="J33" s="4">
        <v>1590.0</v>
      </c>
      <c r="K33" s="4">
        <v>1570.0</v>
      </c>
      <c r="L33" s="5">
        <v>0.25</v>
      </c>
      <c r="M33" s="4">
        <v>392.5</v>
      </c>
      <c r="N33" s="1" t="s">
        <v>22</v>
      </c>
      <c r="O33" s="3">
        <v>46157.0</v>
      </c>
      <c r="P33" s="6"/>
    </row>
    <row r="34" ht="15.75" customHeight="1">
      <c r="A34" s="1" t="s">
        <v>16</v>
      </c>
      <c r="B34" s="1" t="s">
        <v>47</v>
      </c>
      <c r="C34" s="1" t="s">
        <v>67</v>
      </c>
      <c r="D34" s="2">
        <v>2.51819791E8</v>
      </c>
      <c r="E34" s="1" t="s">
        <v>19</v>
      </c>
      <c r="F34" s="3">
        <v>46023.0</v>
      </c>
      <c r="G34" s="3">
        <v>46153.0</v>
      </c>
      <c r="H34" s="1" t="s">
        <v>20</v>
      </c>
      <c r="I34" s="1" t="s">
        <v>39</v>
      </c>
      <c r="J34" s="4">
        <v>685.0</v>
      </c>
      <c r="K34" s="4">
        <v>665.0</v>
      </c>
      <c r="L34" s="5">
        <v>0.25</v>
      </c>
      <c r="M34" s="4">
        <v>166.25</v>
      </c>
      <c r="N34" s="1" t="s">
        <v>22</v>
      </c>
      <c r="O34" s="3">
        <v>46157.0</v>
      </c>
      <c r="P34" s="6"/>
    </row>
    <row r="35" ht="15.75" customHeight="1">
      <c r="A35" s="1" t="s">
        <v>16</v>
      </c>
      <c r="B35" s="1" t="s">
        <v>36</v>
      </c>
      <c r="C35" s="1" t="s">
        <v>68</v>
      </c>
      <c r="D35" s="2">
        <v>2.51819685E8</v>
      </c>
      <c r="E35" s="1" t="s">
        <v>19</v>
      </c>
      <c r="F35" s="3">
        <v>46023.0</v>
      </c>
      <c r="G35" s="3">
        <v>46153.0</v>
      </c>
      <c r="H35" s="1" t="s">
        <v>20</v>
      </c>
      <c r="I35" s="1" t="s">
        <v>29</v>
      </c>
      <c r="J35" s="4">
        <v>625.0</v>
      </c>
      <c r="K35" s="4">
        <v>605.0</v>
      </c>
      <c r="L35" s="5">
        <v>0.25</v>
      </c>
      <c r="M35" s="4">
        <v>151.25</v>
      </c>
      <c r="N35" s="1" t="s">
        <v>22</v>
      </c>
      <c r="O35" s="3">
        <v>46157.0</v>
      </c>
      <c r="P35" s="6"/>
    </row>
    <row r="36" ht="15.75" customHeight="1">
      <c r="A36" s="1" t="s">
        <v>16</v>
      </c>
      <c r="B36" s="1" t="s">
        <v>47</v>
      </c>
      <c r="C36" s="1" t="s">
        <v>69</v>
      </c>
      <c r="D36" s="2">
        <v>2.51818441E8</v>
      </c>
      <c r="E36" s="1" t="s">
        <v>19</v>
      </c>
      <c r="F36" s="3">
        <v>46023.0</v>
      </c>
      <c r="G36" s="3">
        <v>46153.0</v>
      </c>
      <c r="H36" s="1" t="s">
        <v>20</v>
      </c>
      <c r="I36" s="1" t="s">
        <v>29</v>
      </c>
      <c r="J36" s="4">
        <v>760.0</v>
      </c>
      <c r="K36" s="4">
        <v>740.0</v>
      </c>
      <c r="L36" s="5">
        <v>0.25</v>
      </c>
      <c r="M36" s="4">
        <v>185.0</v>
      </c>
      <c r="N36" s="1" t="s">
        <v>22</v>
      </c>
      <c r="O36" s="3">
        <v>46157.0</v>
      </c>
      <c r="P36" s="6"/>
    </row>
    <row r="37" ht="15.75" customHeight="1">
      <c r="A37" s="1" t="s">
        <v>16</v>
      </c>
      <c r="B37" s="1" t="s">
        <v>47</v>
      </c>
      <c r="C37" s="1" t="s">
        <v>70</v>
      </c>
      <c r="D37" s="2">
        <v>2.518165E8</v>
      </c>
      <c r="E37" s="1" t="s">
        <v>19</v>
      </c>
      <c r="F37" s="3">
        <v>46023.0</v>
      </c>
      <c r="G37" s="3">
        <v>46153.0</v>
      </c>
      <c r="H37" s="1" t="s">
        <v>20</v>
      </c>
      <c r="I37" s="1" t="s">
        <v>29</v>
      </c>
      <c r="J37" s="4">
        <v>510.0</v>
      </c>
      <c r="K37" s="4">
        <v>490.0</v>
      </c>
      <c r="L37" s="5">
        <v>0.25</v>
      </c>
      <c r="M37" s="4">
        <v>122.5</v>
      </c>
      <c r="N37" s="1" t="s">
        <v>22</v>
      </c>
      <c r="O37" s="3">
        <v>46157.0</v>
      </c>
      <c r="P37" s="6"/>
    </row>
    <row r="38" ht="15.75" customHeight="1">
      <c r="A38" s="1" t="s">
        <v>16</v>
      </c>
      <c r="B38" s="1" t="s">
        <v>47</v>
      </c>
      <c r="C38" s="1" t="s">
        <v>71</v>
      </c>
      <c r="D38" s="2">
        <v>2.51815217E8</v>
      </c>
      <c r="E38" s="1" t="s">
        <v>19</v>
      </c>
      <c r="F38" s="3">
        <v>46023.0</v>
      </c>
      <c r="G38" s="3">
        <v>46153.0</v>
      </c>
      <c r="H38" s="1" t="s">
        <v>20</v>
      </c>
      <c r="I38" s="1" t="s">
        <v>29</v>
      </c>
      <c r="J38" s="4">
        <v>595.0</v>
      </c>
      <c r="K38" s="4">
        <v>575.0</v>
      </c>
      <c r="L38" s="5">
        <v>0.25</v>
      </c>
      <c r="M38" s="4">
        <v>143.75</v>
      </c>
      <c r="N38" s="1" t="s">
        <v>22</v>
      </c>
      <c r="O38" s="3">
        <v>46157.0</v>
      </c>
      <c r="P38" s="6"/>
    </row>
    <row r="39" ht="15.75" customHeight="1">
      <c r="A39" s="1" t="s">
        <v>16</v>
      </c>
      <c r="B39" s="1" t="s">
        <v>47</v>
      </c>
      <c r="C39" s="1" t="s">
        <v>72</v>
      </c>
      <c r="D39" s="2">
        <v>2.51815168E8</v>
      </c>
      <c r="E39" s="1" t="s">
        <v>19</v>
      </c>
      <c r="F39" s="3">
        <v>46023.0</v>
      </c>
      <c r="G39" s="3">
        <v>46153.0</v>
      </c>
      <c r="H39" s="1" t="s">
        <v>20</v>
      </c>
      <c r="I39" s="1" t="s">
        <v>21</v>
      </c>
      <c r="J39" s="4">
        <v>215.0</v>
      </c>
      <c r="K39" s="4">
        <v>205.0</v>
      </c>
      <c r="L39" s="5">
        <v>0.25</v>
      </c>
      <c r="M39" s="4">
        <v>51.25</v>
      </c>
      <c r="N39" s="1" t="s">
        <v>22</v>
      </c>
      <c r="O39" s="3">
        <v>46157.0</v>
      </c>
      <c r="P39" s="6"/>
    </row>
    <row r="40" ht="15.75" customHeight="1">
      <c r="A40" s="1" t="s">
        <v>16</v>
      </c>
      <c r="B40" s="1" t="s">
        <v>47</v>
      </c>
      <c r="C40" s="1" t="s">
        <v>73</v>
      </c>
      <c r="D40" s="2">
        <v>2.51814743E8</v>
      </c>
      <c r="E40" s="1" t="s">
        <v>19</v>
      </c>
      <c r="F40" s="3">
        <v>46023.0</v>
      </c>
      <c r="G40" s="3">
        <v>46153.0</v>
      </c>
      <c r="H40" s="1" t="s">
        <v>20</v>
      </c>
      <c r="I40" s="1" t="s">
        <v>29</v>
      </c>
      <c r="J40" s="4">
        <v>510.0</v>
      </c>
      <c r="K40" s="4">
        <v>490.0</v>
      </c>
      <c r="L40" s="5">
        <v>0.25</v>
      </c>
      <c r="M40" s="4">
        <v>122.5</v>
      </c>
      <c r="N40" s="1" t="s">
        <v>22</v>
      </c>
      <c r="O40" s="3">
        <v>46157.0</v>
      </c>
      <c r="P40" s="6"/>
    </row>
    <row r="41" ht="15.75" customHeight="1">
      <c r="A41" s="1" t="s">
        <v>16</v>
      </c>
      <c r="B41" s="1" t="s">
        <v>17</v>
      </c>
      <c r="C41" s="1" t="s">
        <v>74</v>
      </c>
      <c r="D41" s="2">
        <v>2.51814089E8</v>
      </c>
      <c r="E41" s="1" t="s">
        <v>19</v>
      </c>
      <c r="F41" s="3">
        <v>46023.0</v>
      </c>
      <c r="G41" s="3">
        <v>46153.0</v>
      </c>
      <c r="H41" s="1" t="s">
        <v>20</v>
      </c>
      <c r="I41" s="1" t="s">
        <v>42</v>
      </c>
      <c r="J41" s="4">
        <v>90.0</v>
      </c>
      <c r="K41" s="4">
        <v>80.0</v>
      </c>
      <c r="L41" s="5">
        <v>0.25</v>
      </c>
      <c r="M41" s="4">
        <v>20.0</v>
      </c>
      <c r="N41" s="1" t="s">
        <v>22</v>
      </c>
      <c r="O41" s="3">
        <v>46157.0</v>
      </c>
      <c r="P41" s="6"/>
    </row>
    <row r="42" ht="15.75" customHeight="1">
      <c r="A42" s="1" t="s">
        <v>16</v>
      </c>
      <c r="B42" s="1" t="s">
        <v>57</v>
      </c>
      <c r="C42" s="1" t="s">
        <v>75</v>
      </c>
      <c r="D42" s="2">
        <v>2.5181178E8</v>
      </c>
      <c r="E42" s="1" t="s">
        <v>19</v>
      </c>
      <c r="F42" s="3">
        <v>46023.0</v>
      </c>
      <c r="G42" s="3">
        <v>46153.0</v>
      </c>
      <c r="H42" s="1" t="s">
        <v>20</v>
      </c>
      <c r="I42" s="1" t="s">
        <v>76</v>
      </c>
      <c r="J42" s="4">
        <v>510.0</v>
      </c>
      <c r="K42" s="4">
        <v>500.0</v>
      </c>
      <c r="L42" s="5">
        <v>0.25</v>
      </c>
      <c r="M42" s="4">
        <v>125.0</v>
      </c>
      <c r="N42" s="1" t="s">
        <v>22</v>
      </c>
      <c r="O42" s="3">
        <v>46157.0</v>
      </c>
      <c r="P42" s="6"/>
    </row>
    <row r="43" ht="15.75" customHeight="1">
      <c r="A43" s="1" t="s">
        <v>16</v>
      </c>
      <c r="B43" s="1" t="s">
        <v>17</v>
      </c>
      <c r="C43" s="1" t="s">
        <v>77</v>
      </c>
      <c r="D43" s="2">
        <v>2.51808885E8</v>
      </c>
      <c r="E43" s="1" t="s">
        <v>19</v>
      </c>
      <c r="F43" s="3">
        <v>46023.0</v>
      </c>
      <c r="G43" s="3">
        <v>46153.0</v>
      </c>
      <c r="H43" s="1" t="s">
        <v>20</v>
      </c>
      <c r="I43" s="1" t="s">
        <v>42</v>
      </c>
      <c r="J43" s="4">
        <v>195.0</v>
      </c>
      <c r="K43" s="4">
        <v>185.0</v>
      </c>
      <c r="L43" s="5">
        <v>0.25</v>
      </c>
      <c r="M43" s="4">
        <v>46.25</v>
      </c>
      <c r="N43" s="1" t="s">
        <v>22</v>
      </c>
      <c r="O43" s="3">
        <v>46157.0</v>
      </c>
      <c r="P43" s="6"/>
    </row>
    <row r="44" ht="15.75" customHeight="1">
      <c r="A44" s="1" t="s">
        <v>16</v>
      </c>
      <c r="B44" s="1" t="s">
        <v>17</v>
      </c>
      <c r="C44" s="1" t="s">
        <v>78</v>
      </c>
      <c r="D44" s="2">
        <v>2.51806799E8</v>
      </c>
      <c r="E44" s="1" t="s">
        <v>19</v>
      </c>
      <c r="F44" s="3">
        <v>46023.0</v>
      </c>
      <c r="G44" s="3">
        <v>46153.0</v>
      </c>
      <c r="H44" s="1" t="s">
        <v>20</v>
      </c>
      <c r="I44" s="1" t="s">
        <v>27</v>
      </c>
      <c r="J44" s="4">
        <v>365.0</v>
      </c>
      <c r="K44" s="4">
        <v>355.0</v>
      </c>
      <c r="L44" s="5">
        <v>0.25</v>
      </c>
      <c r="M44" s="4">
        <v>88.75</v>
      </c>
      <c r="N44" s="1" t="s">
        <v>22</v>
      </c>
      <c r="O44" s="3">
        <v>46157.0</v>
      </c>
      <c r="P44" s="6"/>
    </row>
    <row r="45" ht="15.75" customHeight="1">
      <c r="A45" s="1" t="s">
        <v>16</v>
      </c>
      <c r="B45" s="1" t="s">
        <v>17</v>
      </c>
      <c r="C45" s="1" t="s">
        <v>79</v>
      </c>
      <c r="D45" s="2">
        <v>2.51805309E8</v>
      </c>
      <c r="E45" s="1" t="s">
        <v>19</v>
      </c>
      <c r="F45" s="3">
        <v>46023.0</v>
      </c>
      <c r="G45" s="3">
        <v>46153.0</v>
      </c>
      <c r="H45" s="1" t="s">
        <v>20</v>
      </c>
      <c r="I45" s="1" t="s">
        <v>29</v>
      </c>
      <c r="J45" s="4">
        <v>595.0</v>
      </c>
      <c r="K45" s="4">
        <v>575.0</v>
      </c>
      <c r="L45" s="5">
        <v>0.25</v>
      </c>
      <c r="M45" s="4">
        <v>143.75</v>
      </c>
      <c r="N45" s="1" t="s">
        <v>22</v>
      </c>
      <c r="O45" s="3">
        <v>46157.0</v>
      </c>
      <c r="P45" s="6"/>
    </row>
    <row r="46" ht="15.75" customHeight="1">
      <c r="A46" s="1" t="s">
        <v>16</v>
      </c>
      <c r="B46" s="1" t="s">
        <v>36</v>
      </c>
      <c r="C46" s="1" t="s">
        <v>80</v>
      </c>
      <c r="D46" s="2">
        <v>2.51802446E8</v>
      </c>
      <c r="E46" s="1" t="s">
        <v>19</v>
      </c>
      <c r="F46" s="3">
        <v>46023.0</v>
      </c>
      <c r="G46" s="3">
        <v>46153.0</v>
      </c>
      <c r="H46" s="1" t="s">
        <v>20</v>
      </c>
      <c r="I46" s="1" t="s">
        <v>29</v>
      </c>
      <c r="J46" s="4">
        <v>510.0</v>
      </c>
      <c r="K46" s="4">
        <v>490.0</v>
      </c>
      <c r="L46" s="5">
        <v>0.25</v>
      </c>
      <c r="M46" s="4">
        <v>122.5</v>
      </c>
      <c r="N46" s="1" t="s">
        <v>22</v>
      </c>
      <c r="O46" s="3">
        <v>46157.0</v>
      </c>
      <c r="P46" s="6"/>
    </row>
    <row r="47" ht="15.75" customHeight="1">
      <c r="A47" s="1" t="s">
        <v>16</v>
      </c>
      <c r="B47" s="1" t="s">
        <v>17</v>
      </c>
      <c r="C47" s="1" t="s">
        <v>81</v>
      </c>
      <c r="D47" s="2">
        <v>2.51801849E8</v>
      </c>
      <c r="E47" s="1" t="s">
        <v>19</v>
      </c>
      <c r="F47" s="3">
        <v>46023.0</v>
      </c>
      <c r="G47" s="3">
        <v>46153.0</v>
      </c>
      <c r="H47" s="1" t="s">
        <v>20</v>
      </c>
      <c r="I47" s="1" t="s">
        <v>29</v>
      </c>
      <c r="J47" s="4">
        <v>360.0</v>
      </c>
      <c r="K47" s="4">
        <v>340.0</v>
      </c>
      <c r="L47" s="5">
        <v>0.25</v>
      </c>
      <c r="M47" s="4">
        <v>85.0</v>
      </c>
      <c r="N47" s="1" t="s">
        <v>22</v>
      </c>
      <c r="O47" s="3">
        <v>46157.0</v>
      </c>
      <c r="P47" s="6"/>
    </row>
    <row r="48" ht="15.75" customHeight="1">
      <c r="A48" s="1" t="s">
        <v>16</v>
      </c>
      <c r="B48" s="1" t="s">
        <v>17</v>
      </c>
      <c r="C48" s="1" t="s">
        <v>82</v>
      </c>
      <c r="D48" s="2">
        <v>2.51800611E8</v>
      </c>
      <c r="E48" s="1" t="s">
        <v>19</v>
      </c>
      <c r="F48" s="3">
        <v>46023.0</v>
      </c>
      <c r="G48" s="3">
        <v>46153.0</v>
      </c>
      <c r="H48" s="1" t="s">
        <v>20</v>
      </c>
      <c r="I48" s="1" t="s">
        <v>21</v>
      </c>
      <c r="J48" s="4">
        <v>145.0</v>
      </c>
      <c r="K48" s="4">
        <v>135.0</v>
      </c>
      <c r="L48" s="5">
        <v>0.25</v>
      </c>
      <c r="M48" s="4">
        <v>33.75</v>
      </c>
      <c r="N48" s="1" t="s">
        <v>22</v>
      </c>
      <c r="O48" s="3">
        <v>46157.0</v>
      </c>
      <c r="P48" s="6"/>
    </row>
    <row r="49" ht="15.75" customHeight="1">
      <c r="A49" s="1" t="s">
        <v>16</v>
      </c>
      <c r="B49" s="1" t="s">
        <v>36</v>
      </c>
      <c r="C49" s="1" t="s">
        <v>83</v>
      </c>
      <c r="D49" s="2">
        <v>2.51800097E8</v>
      </c>
      <c r="E49" s="1" t="s">
        <v>19</v>
      </c>
      <c r="F49" s="3">
        <v>46023.0</v>
      </c>
      <c r="G49" s="3">
        <v>46153.0</v>
      </c>
      <c r="H49" s="1" t="s">
        <v>20</v>
      </c>
      <c r="I49" s="1" t="s">
        <v>29</v>
      </c>
      <c r="J49" s="4">
        <v>510.0</v>
      </c>
      <c r="K49" s="4">
        <v>490.0</v>
      </c>
      <c r="L49" s="5">
        <v>0.25</v>
      </c>
      <c r="M49" s="4">
        <v>122.5</v>
      </c>
      <c r="N49" s="1" t="s">
        <v>22</v>
      </c>
      <c r="O49" s="3">
        <v>46157.0</v>
      </c>
      <c r="P49" s="6"/>
    </row>
    <row r="50" ht="15.75" customHeight="1">
      <c r="A50" s="1" t="s">
        <v>16</v>
      </c>
      <c r="B50" s="1" t="s">
        <v>47</v>
      </c>
      <c r="C50" s="1" t="s">
        <v>84</v>
      </c>
      <c r="D50" s="2">
        <v>2.61873176E8</v>
      </c>
      <c r="E50" s="1" t="s">
        <v>19</v>
      </c>
      <c r="F50" s="3">
        <v>46126.0</v>
      </c>
      <c r="G50" s="3">
        <v>46155.0</v>
      </c>
      <c r="H50" s="1" t="s">
        <v>20</v>
      </c>
      <c r="I50" s="1" t="s">
        <v>29</v>
      </c>
      <c r="J50" s="4">
        <v>1160.0</v>
      </c>
      <c r="K50" s="4">
        <v>1140.0</v>
      </c>
      <c r="L50" s="5">
        <v>0.25</v>
      </c>
      <c r="M50" s="4">
        <v>285.0</v>
      </c>
      <c r="N50" s="1" t="s">
        <v>22</v>
      </c>
      <c r="O50" s="3">
        <v>46164.0</v>
      </c>
      <c r="P50" s="6"/>
    </row>
    <row r="51" ht="15.75" customHeight="1">
      <c r="A51" s="1" t="s">
        <v>16</v>
      </c>
      <c r="B51" s="1" t="s">
        <v>57</v>
      </c>
      <c r="C51" s="1" t="s">
        <v>85</v>
      </c>
      <c r="D51" s="2">
        <v>1084508.0</v>
      </c>
      <c r="E51" s="1" t="s">
        <v>19</v>
      </c>
      <c r="F51" s="3">
        <v>45641.0</v>
      </c>
      <c r="G51" s="3">
        <v>46156.0</v>
      </c>
      <c r="H51" s="1" t="s">
        <v>20</v>
      </c>
      <c r="I51" s="1" t="s">
        <v>39</v>
      </c>
      <c r="J51" s="4">
        <v>285.0</v>
      </c>
      <c r="K51" s="4">
        <v>265.0</v>
      </c>
      <c r="L51" s="5">
        <v>0.25</v>
      </c>
      <c r="M51" s="4">
        <v>66.25</v>
      </c>
      <c r="N51" s="1" t="s">
        <v>22</v>
      </c>
      <c r="O51" s="3">
        <v>46164.0</v>
      </c>
      <c r="P51" s="6"/>
    </row>
    <row r="52" ht="15.75" customHeight="1">
      <c r="A52" s="8" t="s">
        <v>16</v>
      </c>
      <c r="B52" s="8" t="s">
        <v>86</v>
      </c>
      <c r="C52" s="8" t="s">
        <v>87</v>
      </c>
      <c r="D52" s="9">
        <v>2.61883478E8</v>
      </c>
      <c r="E52" s="8" t="s">
        <v>45</v>
      </c>
      <c r="F52" s="10">
        <v>46186.0</v>
      </c>
      <c r="G52" s="10">
        <v>46157.0</v>
      </c>
      <c r="H52" s="8" t="s">
        <v>20</v>
      </c>
      <c r="I52" s="8" t="s">
        <v>21</v>
      </c>
      <c r="J52" s="11">
        <v>215.0</v>
      </c>
      <c r="K52" s="11">
        <v>215.0</v>
      </c>
      <c r="L52" s="11">
        <v>100.0</v>
      </c>
      <c r="M52" s="11">
        <v>100.0</v>
      </c>
      <c r="N52" s="8" t="s">
        <v>22</v>
      </c>
      <c r="O52" s="10">
        <v>46164.0</v>
      </c>
      <c r="P52" s="12"/>
    </row>
    <row r="53" ht="15.75" customHeight="1">
      <c r="A53" s="1" t="s">
        <v>16</v>
      </c>
      <c r="B53" s="1" t="s">
        <v>86</v>
      </c>
      <c r="C53" s="1" t="s">
        <v>87</v>
      </c>
      <c r="D53" s="2">
        <v>2.61883478E8</v>
      </c>
      <c r="E53" s="1" t="s">
        <v>45</v>
      </c>
      <c r="F53" s="3">
        <v>46186.0</v>
      </c>
      <c r="G53" s="3">
        <v>46157.0</v>
      </c>
      <c r="H53" s="1" t="s">
        <v>20</v>
      </c>
      <c r="I53" s="1" t="s">
        <v>21</v>
      </c>
      <c r="J53" s="4">
        <v>215.0</v>
      </c>
      <c r="K53" s="4">
        <v>205.0</v>
      </c>
      <c r="L53" s="5">
        <v>0.25</v>
      </c>
      <c r="M53" s="4">
        <v>51.25</v>
      </c>
      <c r="N53" s="1" t="s">
        <v>22</v>
      </c>
      <c r="O53" s="3">
        <v>46164.0</v>
      </c>
      <c r="P53" s="6"/>
    </row>
    <row r="54" ht="15.75" customHeight="1">
      <c r="A54" s="8" t="s">
        <v>16</v>
      </c>
      <c r="B54" s="8" t="s">
        <v>23</v>
      </c>
      <c r="C54" s="8" t="s">
        <v>88</v>
      </c>
      <c r="D54" s="9">
        <v>2.61883846E8</v>
      </c>
      <c r="E54" s="8" t="s">
        <v>45</v>
      </c>
      <c r="F54" s="10">
        <v>46174.0</v>
      </c>
      <c r="G54" s="10">
        <v>46158.0</v>
      </c>
      <c r="H54" s="8" t="s">
        <v>20</v>
      </c>
      <c r="I54" s="8" t="s">
        <v>29</v>
      </c>
      <c r="J54" s="11">
        <v>445.0</v>
      </c>
      <c r="K54" s="11">
        <v>445.0</v>
      </c>
      <c r="L54" s="11">
        <v>100.0</v>
      </c>
      <c r="M54" s="11">
        <v>100.0</v>
      </c>
      <c r="N54" s="8" t="s">
        <v>22</v>
      </c>
      <c r="O54" s="10">
        <v>46164.0</v>
      </c>
      <c r="P54" s="12"/>
    </row>
    <row r="55" ht="15.75" customHeight="1">
      <c r="A55" s="1" t="s">
        <v>16</v>
      </c>
      <c r="B55" s="1" t="s">
        <v>23</v>
      </c>
      <c r="C55" s="1" t="s">
        <v>88</v>
      </c>
      <c r="D55" s="2">
        <v>2.61883846E8</v>
      </c>
      <c r="E55" s="1" t="s">
        <v>45</v>
      </c>
      <c r="F55" s="3">
        <v>46174.0</v>
      </c>
      <c r="G55" s="3">
        <v>46158.0</v>
      </c>
      <c r="H55" s="1" t="s">
        <v>20</v>
      </c>
      <c r="I55" s="1" t="s">
        <v>29</v>
      </c>
      <c r="J55" s="4">
        <v>445.0</v>
      </c>
      <c r="K55" s="4">
        <v>425.0</v>
      </c>
      <c r="L55" s="5">
        <v>0.25</v>
      </c>
      <c r="M55" s="4">
        <v>106.25</v>
      </c>
      <c r="N55" s="1" t="s">
        <v>22</v>
      </c>
      <c r="O55" s="3">
        <v>46164.0</v>
      </c>
      <c r="P55" s="6"/>
    </row>
    <row r="56" ht="15.75" customHeight="1">
      <c r="A56" s="1" t="s">
        <v>16</v>
      </c>
      <c r="B56" s="1" t="s">
        <v>47</v>
      </c>
      <c r="C56" s="1" t="s">
        <v>89</v>
      </c>
      <c r="D56" s="2">
        <v>2.61857287E8</v>
      </c>
      <c r="E56" s="1" t="s">
        <v>19</v>
      </c>
      <c r="F56" s="3">
        <v>46071.0</v>
      </c>
      <c r="G56" s="3">
        <v>46159.0</v>
      </c>
      <c r="H56" s="1" t="s">
        <v>20</v>
      </c>
      <c r="I56" s="1" t="s">
        <v>29</v>
      </c>
      <c r="J56" s="4">
        <v>810.0</v>
      </c>
      <c r="K56" s="4">
        <v>790.0</v>
      </c>
      <c r="L56" s="5">
        <v>0.25</v>
      </c>
      <c r="M56" s="4">
        <v>197.5</v>
      </c>
      <c r="N56" s="1" t="s">
        <v>22</v>
      </c>
      <c r="O56" s="3">
        <v>46164.0</v>
      </c>
      <c r="P56" s="6"/>
    </row>
    <row r="57" ht="15.75" customHeight="1">
      <c r="A57" s="1" t="s">
        <v>16</v>
      </c>
      <c r="B57" s="1" t="s">
        <v>90</v>
      </c>
      <c r="C57" s="1" t="s">
        <v>91</v>
      </c>
      <c r="D57" s="2">
        <v>2.61870697E8</v>
      </c>
      <c r="E57" s="1" t="s">
        <v>19</v>
      </c>
      <c r="F57" s="3">
        <v>46115.0</v>
      </c>
      <c r="G57" s="3">
        <v>46160.0</v>
      </c>
      <c r="H57" s="1" t="s">
        <v>20</v>
      </c>
      <c r="I57" s="1" t="s">
        <v>21</v>
      </c>
      <c r="J57" s="4">
        <v>175.0</v>
      </c>
      <c r="K57" s="4">
        <v>165.0</v>
      </c>
      <c r="L57" s="5">
        <v>0.25</v>
      </c>
      <c r="M57" s="4">
        <v>41.25</v>
      </c>
      <c r="N57" s="1" t="s">
        <v>22</v>
      </c>
      <c r="O57" s="3">
        <v>46164.0</v>
      </c>
      <c r="P57" s="6"/>
    </row>
    <row r="58" ht="15.75" customHeight="1">
      <c r="A58" s="1" t="s">
        <v>16</v>
      </c>
      <c r="B58" s="1" t="s">
        <v>47</v>
      </c>
      <c r="C58" s="1" t="s">
        <v>92</v>
      </c>
      <c r="D58" s="2">
        <v>2.5182573E8</v>
      </c>
      <c r="E58" s="1" t="s">
        <v>19</v>
      </c>
      <c r="F58" s="3">
        <v>46023.0</v>
      </c>
      <c r="G58" s="3">
        <v>46160.0</v>
      </c>
      <c r="H58" s="1" t="s">
        <v>20</v>
      </c>
      <c r="I58" s="1" t="s">
        <v>29</v>
      </c>
      <c r="J58" s="4">
        <v>760.0</v>
      </c>
      <c r="K58" s="4">
        <v>740.0</v>
      </c>
      <c r="L58" s="5">
        <v>0.25</v>
      </c>
      <c r="M58" s="4">
        <v>185.0</v>
      </c>
      <c r="N58" s="1" t="s">
        <v>22</v>
      </c>
      <c r="O58" s="3">
        <v>46164.0</v>
      </c>
      <c r="P58" s="6"/>
    </row>
    <row r="59" ht="15.75" customHeight="1">
      <c r="A59" s="1" t="s">
        <v>16</v>
      </c>
      <c r="B59" s="1" t="s">
        <v>57</v>
      </c>
      <c r="C59" s="1" t="s">
        <v>58</v>
      </c>
      <c r="D59" s="2">
        <v>2.61866598E8</v>
      </c>
      <c r="E59" s="1" t="s">
        <v>19</v>
      </c>
      <c r="F59" s="3">
        <v>46113.0</v>
      </c>
      <c r="G59" s="3">
        <v>46163.0</v>
      </c>
      <c r="H59" s="1" t="s">
        <v>53</v>
      </c>
      <c r="I59" s="1" t="s">
        <v>29</v>
      </c>
      <c r="J59" s="4">
        <v>440.0</v>
      </c>
      <c r="K59" s="4">
        <v>420.0</v>
      </c>
      <c r="L59" s="5">
        <v>0.25</v>
      </c>
      <c r="M59" s="13">
        <v>-105.0</v>
      </c>
      <c r="N59" s="1" t="s">
        <v>93</v>
      </c>
      <c r="O59" s="6"/>
      <c r="P59" s="1" t="s">
        <v>94</v>
      </c>
    </row>
    <row r="60" ht="15.75" customHeight="1">
      <c r="A60" s="1" t="s">
        <v>16</v>
      </c>
      <c r="B60" s="1" t="s">
        <v>17</v>
      </c>
      <c r="C60" s="1" t="s">
        <v>95</v>
      </c>
      <c r="D60" s="2">
        <v>2.61847853E8</v>
      </c>
      <c r="E60" s="1" t="s">
        <v>19</v>
      </c>
      <c r="F60" s="3">
        <v>46045.0</v>
      </c>
      <c r="G60" s="3">
        <v>46164.0</v>
      </c>
      <c r="H60" s="1" t="s">
        <v>20</v>
      </c>
      <c r="I60" s="1" t="s">
        <v>39</v>
      </c>
      <c r="J60" s="4">
        <v>685.0</v>
      </c>
      <c r="K60" s="4">
        <v>665.0</v>
      </c>
      <c r="L60" s="5">
        <v>0.25</v>
      </c>
      <c r="M60" s="4">
        <v>166.25</v>
      </c>
      <c r="N60" s="1" t="s">
        <v>93</v>
      </c>
      <c r="O60" s="6"/>
      <c r="P60" s="6"/>
    </row>
    <row r="61" ht="15.75" customHeight="1">
      <c r="A61" s="1" t="s">
        <v>16</v>
      </c>
      <c r="B61" s="1" t="s">
        <v>36</v>
      </c>
      <c r="C61" s="1" t="s">
        <v>96</v>
      </c>
      <c r="D61" s="2">
        <v>2.61843705E8</v>
      </c>
      <c r="E61" s="1" t="s">
        <v>19</v>
      </c>
      <c r="F61" s="3">
        <v>46045.0</v>
      </c>
      <c r="G61" s="3">
        <v>46164.0</v>
      </c>
      <c r="H61" s="1" t="s">
        <v>20</v>
      </c>
      <c r="I61" s="1" t="s">
        <v>42</v>
      </c>
      <c r="J61" s="4">
        <v>75.0</v>
      </c>
      <c r="K61" s="4">
        <v>65.0</v>
      </c>
      <c r="L61" s="5">
        <v>0.25</v>
      </c>
      <c r="M61" s="4">
        <v>16.25</v>
      </c>
      <c r="N61" s="1" t="s">
        <v>93</v>
      </c>
      <c r="O61" s="6"/>
      <c r="P61" s="6"/>
    </row>
    <row r="62" ht="15.75" customHeight="1">
      <c r="A62" s="8" t="s">
        <v>16</v>
      </c>
      <c r="B62" s="8" t="s">
        <v>17</v>
      </c>
      <c r="C62" s="8" t="s">
        <v>97</v>
      </c>
      <c r="D62" s="9">
        <v>2.61886275E8</v>
      </c>
      <c r="E62" s="8" t="s">
        <v>19</v>
      </c>
      <c r="F62" s="10">
        <v>46167.0</v>
      </c>
      <c r="G62" s="10">
        <v>46166.0</v>
      </c>
      <c r="H62" s="8" t="s">
        <v>20</v>
      </c>
      <c r="I62" s="8" t="s">
        <v>21</v>
      </c>
      <c r="J62" s="11">
        <v>105.0</v>
      </c>
      <c r="K62" s="11">
        <v>105.0</v>
      </c>
      <c r="L62" s="11">
        <v>100.0</v>
      </c>
      <c r="M62" s="11">
        <v>100.0</v>
      </c>
      <c r="N62" s="8" t="s">
        <v>93</v>
      </c>
      <c r="O62" s="12"/>
      <c r="P62" s="12"/>
    </row>
    <row r="63" ht="15.75" customHeight="1">
      <c r="A63" s="8" t="s">
        <v>16</v>
      </c>
      <c r="B63" s="8" t="s">
        <v>47</v>
      </c>
      <c r="C63" s="8" t="s">
        <v>98</v>
      </c>
      <c r="D63" s="9">
        <v>2.61886267E8</v>
      </c>
      <c r="E63" s="8" t="s">
        <v>45</v>
      </c>
      <c r="F63" s="10">
        <v>46174.0</v>
      </c>
      <c r="G63" s="10">
        <v>46166.0</v>
      </c>
      <c r="H63" s="8" t="s">
        <v>20</v>
      </c>
      <c r="I63" s="8" t="s">
        <v>99</v>
      </c>
      <c r="J63" s="11">
        <v>455.0</v>
      </c>
      <c r="K63" s="11">
        <v>455.0</v>
      </c>
      <c r="L63" s="11">
        <v>100.0</v>
      </c>
      <c r="M63" s="11">
        <v>100.0</v>
      </c>
      <c r="N63" s="8" t="s">
        <v>93</v>
      </c>
      <c r="O63" s="12"/>
      <c r="P63" s="12"/>
    </row>
    <row r="64" ht="15.75" customHeight="1">
      <c r="A64" s="1" t="s">
        <v>16</v>
      </c>
      <c r="B64" s="1" t="s">
        <v>17</v>
      </c>
      <c r="C64" s="1" t="s">
        <v>97</v>
      </c>
      <c r="D64" s="2">
        <v>2.61886275E8</v>
      </c>
      <c r="E64" s="1" t="s">
        <v>19</v>
      </c>
      <c r="F64" s="3">
        <v>46167.0</v>
      </c>
      <c r="G64" s="3">
        <v>46166.0</v>
      </c>
      <c r="H64" s="1" t="s">
        <v>20</v>
      </c>
      <c r="I64" s="1" t="s">
        <v>21</v>
      </c>
      <c r="J64" s="4">
        <v>105.0</v>
      </c>
      <c r="K64" s="4">
        <v>95.0</v>
      </c>
      <c r="L64" s="5">
        <v>0.25</v>
      </c>
      <c r="M64" s="4">
        <v>23.75</v>
      </c>
      <c r="N64" s="1" t="s">
        <v>93</v>
      </c>
      <c r="O64" s="6"/>
      <c r="P64" s="6"/>
    </row>
    <row r="65" ht="15.75" customHeight="1">
      <c r="A65" s="1" t="s">
        <v>16</v>
      </c>
      <c r="B65" s="1" t="s">
        <v>47</v>
      </c>
      <c r="C65" s="1" t="s">
        <v>98</v>
      </c>
      <c r="D65" s="2">
        <v>2.61886267E8</v>
      </c>
      <c r="E65" s="1" t="s">
        <v>45</v>
      </c>
      <c r="F65" s="3">
        <v>46174.0</v>
      </c>
      <c r="G65" s="3">
        <v>46166.0</v>
      </c>
      <c r="H65" s="1" t="s">
        <v>20</v>
      </c>
      <c r="I65" s="1" t="s">
        <v>99</v>
      </c>
      <c r="J65" s="4">
        <v>455.0</v>
      </c>
      <c r="K65" s="4">
        <v>445.0</v>
      </c>
      <c r="L65" s="5">
        <v>0.25</v>
      </c>
      <c r="M65" s="4">
        <v>111.25</v>
      </c>
      <c r="N65" s="1" t="s">
        <v>93</v>
      </c>
      <c r="O65" s="6"/>
      <c r="P65" s="6"/>
    </row>
    <row r="66" ht="15.75" customHeight="1">
      <c r="A66" s="1" t="s">
        <v>16</v>
      </c>
      <c r="B66" s="1" t="s">
        <v>57</v>
      </c>
      <c r="C66" s="1" t="s">
        <v>100</v>
      </c>
      <c r="D66" s="2">
        <v>2.6186856E8</v>
      </c>
      <c r="E66" s="1" t="s">
        <v>19</v>
      </c>
      <c r="F66" s="3">
        <v>46113.0</v>
      </c>
      <c r="G66" s="3">
        <v>46168.0</v>
      </c>
      <c r="H66" s="1" t="s">
        <v>20</v>
      </c>
      <c r="I66" s="1" t="s">
        <v>25</v>
      </c>
      <c r="J66" s="4">
        <v>315.0</v>
      </c>
      <c r="K66" s="4">
        <v>295.0</v>
      </c>
      <c r="L66" s="5">
        <v>0.25</v>
      </c>
      <c r="M66" s="4">
        <v>73.75</v>
      </c>
      <c r="N66" s="1" t="s">
        <v>93</v>
      </c>
      <c r="O66" s="6"/>
      <c r="P66" s="6"/>
    </row>
    <row r="67" ht="15.75" customHeight="1">
      <c r="A67" s="1" t="s">
        <v>16</v>
      </c>
      <c r="B67" s="1" t="s">
        <v>57</v>
      </c>
      <c r="C67" s="1" t="s">
        <v>101</v>
      </c>
      <c r="D67" s="2">
        <v>2.51817599E8</v>
      </c>
      <c r="E67" s="1" t="s">
        <v>19</v>
      </c>
      <c r="F67" s="3">
        <v>46023.0</v>
      </c>
      <c r="G67" s="3">
        <v>46168.0</v>
      </c>
      <c r="H67" s="1" t="s">
        <v>20</v>
      </c>
      <c r="I67" s="1" t="s">
        <v>29</v>
      </c>
      <c r="J67" s="4">
        <v>620.0</v>
      </c>
      <c r="K67" s="4">
        <v>600.0</v>
      </c>
      <c r="L67" s="5">
        <v>0.25</v>
      </c>
      <c r="M67" s="4">
        <v>150.0</v>
      </c>
      <c r="N67" s="1" t="s">
        <v>93</v>
      </c>
      <c r="O67" s="6"/>
      <c r="P67" s="6"/>
    </row>
    <row r="68" ht="15.75" customHeight="1">
      <c r="A68" s="1" t="s">
        <v>16</v>
      </c>
      <c r="B68" s="1" t="s">
        <v>57</v>
      </c>
      <c r="C68" s="1" t="s">
        <v>102</v>
      </c>
      <c r="D68" s="2">
        <v>2.51815732E8</v>
      </c>
      <c r="E68" s="1" t="s">
        <v>19</v>
      </c>
      <c r="F68" s="3">
        <v>46023.0</v>
      </c>
      <c r="G68" s="3">
        <v>46168.0</v>
      </c>
      <c r="H68" s="1" t="s">
        <v>20</v>
      </c>
      <c r="I68" s="1" t="s">
        <v>39</v>
      </c>
      <c r="J68" s="4">
        <v>450.0</v>
      </c>
      <c r="K68" s="4">
        <v>430.0</v>
      </c>
      <c r="L68" s="5">
        <v>0.25</v>
      </c>
      <c r="M68" s="4">
        <v>107.5</v>
      </c>
      <c r="N68" s="1" t="s">
        <v>93</v>
      </c>
      <c r="O68" s="6"/>
      <c r="P68" s="6"/>
    </row>
    <row r="69" ht="15.75" customHeight="1">
      <c r="A69" s="1" t="s">
        <v>16</v>
      </c>
      <c r="B69" s="1" t="s">
        <v>57</v>
      </c>
      <c r="C69" s="1" t="s">
        <v>103</v>
      </c>
      <c r="D69" s="2">
        <v>2.51811175E8</v>
      </c>
      <c r="E69" s="1" t="s">
        <v>19</v>
      </c>
      <c r="F69" s="3">
        <v>46023.0</v>
      </c>
      <c r="G69" s="3">
        <v>46168.0</v>
      </c>
      <c r="H69" s="1" t="s">
        <v>20</v>
      </c>
      <c r="I69" s="1" t="s">
        <v>29</v>
      </c>
      <c r="J69" s="4">
        <v>345.0</v>
      </c>
      <c r="K69" s="4">
        <v>325.0</v>
      </c>
      <c r="L69" s="5">
        <v>0.25</v>
      </c>
      <c r="M69" s="4">
        <v>81.25</v>
      </c>
      <c r="N69" s="1" t="s">
        <v>93</v>
      </c>
      <c r="O69" s="6"/>
      <c r="P69" s="6"/>
    </row>
    <row r="70" ht="15.75" customHeight="1">
      <c r="A70" s="8" t="s">
        <v>16</v>
      </c>
      <c r="B70" s="8" t="s">
        <v>17</v>
      </c>
      <c r="C70" s="8" t="s">
        <v>104</v>
      </c>
      <c r="D70" s="9">
        <v>2.61886717E8</v>
      </c>
      <c r="E70" s="8" t="s">
        <v>45</v>
      </c>
      <c r="F70" s="10">
        <v>46204.0</v>
      </c>
      <c r="G70" s="10">
        <v>46169.0</v>
      </c>
      <c r="H70" s="8" t="s">
        <v>20</v>
      </c>
      <c r="I70" s="8" t="s">
        <v>21</v>
      </c>
      <c r="J70" s="11">
        <v>245.0</v>
      </c>
      <c r="K70" s="11">
        <v>245.0</v>
      </c>
      <c r="L70" s="11">
        <v>100.0</v>
      </c>
      <c r="M70" s="11">
        <v>100.0</v>
      </c>
      <c r="N70" s="8" t="s">
        <v>93</v>
      </c>
      <c r="O70" s="12"/>
      <c r="P70" s="12"/>
    </row>
    <row r="71" ht="15.75" customHeight="1">
      <c r="A71" s="1" t="s">
        <v>16</v>
      </c>
      <c r="B71" s="1" t="s">
        <v>105</v>
      </c>
      <c r="C71" s="1" t="s">
        <v>106</v>
      </c>
      <c r="D71" s="2">
        <v>1076165.0</v>
      </c>
      <c r="E71" s="1" t="s">
        <v>19</v>
      </c>
      <c r="F71" s="3">
        <v>45563.0</v>
      </c>
      <c r="G71" s="3">
        <v>46169.0</v>
      </c>
      <c r="H71" s="1" t="s">
        <v>20</v>
      </c>
      <c r="I71" s="1" t="s">
        <v>21</v>
      </c>
      <c r="J71" s="4">
        <v>155.0</v>
      </c>
      <c r="K71" s="4">
        <v>145.0</v>
      </c>
      <c r="L71" s="5">
        <v>0.25</v>
      </c>
      <c r="M71" s="4">
        <v>36.25</v>
      </c>
      <c r="N71" s="1" t="s">
        <v>93</v>
      </c>
      <c r="O71" s="6"/>
      <c r="P71" s="6"/>
    </row>
    <row r="72" ht="15.75" customHeight="1">
      <c r="A72" s="1" t="s">
        <v>16</v>
      </c>
      <c r="B72" s="1" t="s">
        <v>17</v>
      </c>
      <c r="C72" s="1" t="s">
        <v>104</v>
      </c>
      <c r="D72" s="2">
        <v>2.61886717E8</v>
      </c>
      <c r="E72" s="1" t="s">
        <v>45</v>
      </c>
      <c r="F72" s="3">
        <v>46204.0</v>
      </c>
      <c r="G72" s="3">
        <v>46169.0</v>
      </c>
      <c r="H72" s="1" t="s">
        <v>20</v>
      </c>
      <c r="I72" s="1" t="s">
        <v>21</v>
      </c>
      <c r="J72" s="4">
        <v>245.0</v>
      </c>
      <c r="K72" s="4">
        <v>235.0</v>
      </c>
      <c r="L72" s="5">
        <v>0.25</v>
      </c>
      <c r="M72" s="4">
        <v>58.75</v>
      </c>
      <c r="N72" s="1" t="s">
        <v>93</v>
      </c>
      <c r="O72" s="6"/>
      <c r="P72" s="6"/>
    </row>
    <row r="73" ht="15.75" customHeight="1">
      <c r="A73" s="1" t="s">
        <v>16</v>
      </c>
      <c r="B73" s="1" t="s">
        <v>47</v>
      </c>
      <c r="C73" s="1" t="s">
        <v>107</v>
      </c>
      <c r="D73" s="2">
        <v>2.51839313E8</v>
      </c>
      <c r="E73" s="1" t="s">
        <v>19</v>
      </c>
      <c r="F73" s="3">
        <v>46023.0</v>
      </c>
      <c r="G73" s="3">
        <v>46169.0</v>
      </c>
      <c r="H73" s="1" t="s">
        <v>20</v>
      </c>
      <c r="I73" s="1" t="s">
        <v>29</v>
      </c>
      <c r="J73" s="4">
        <v>510.0</v>
      </c>
      <c r="K73" s="4">
        <v>490.0</v>
      </c>
      <c r="L73" s="5">
        <v>0.25</v>
      </c>
      <c r="M73" s="4">
        <v>122.5</v>
      </c>
      <c r="N73" s="1" t="s">
        <v>93</v>
      </c>
      <c r="O73" s="6"/>
      <c r="P73" s="6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73">
    <sortState ref="A1:P73">
      <sortCondition ref="G1:G73"/>
      <sortCondition descending="1" ref="L1:L73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  <col customWidth="1" min="2" max="3" width="30.14"/>
    <col customWidth="1" min="4" max="4" width="24.71"/>
    <col customWidth="1" min="5" max="5" width="10.86"/>
    <col customWidth="1" min="6" max="6" width="14.57"/>
    <col customWidth="1" min="7" max="7" width="19.43"/>
    <col customWidth="1" min="8" max="8" width="21.86"/>
    <col customWidth="1" min="9" max="9" width="22.0"/>
    <col customWidth="1" min="10" max="10" width="44.43"/>
    <col customWidth="1" min="11" max="11" width="28.29"/>
    <col customWidth="1" min="12" max="12" width="23.71"/>
    <col customWidth="1" min="13" max="13" width="19.14"/>
    <col customWidth="1" min="14" max="14" width="16.29"/>
    <col customWidth="1" min="15" max="15" width="7.29"/>
    <col customWidth="1" min="16" max="16" width="25.14"/>
    <col customWidth="1" min="17" max="17" width="34.57"/>
  </cols>
  <sheetData>
    <row r="1">
      <c r="A1" s="14" t="s">
        <v>0</v>
      </c>
      <c r="B1" s="14" t="s">
        <v>1</v>
      </c>
      <c r="C1" s="14"/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5" t="s">
        <v>10</v>
      </c>
      <c r="M1" s="14" t="s">
        <v>11</v>
      </c>
      <c r="N1" s="15" t="s">
        <v>12</v>
      </c>
      <c r="O1" s="14" t="s">
        <v>13</v>
      </c>
      <c r="P1" s="14" t="s">
        <v>14</v>
      </c>
      <c r="Q1" s="14" t="s">
        <v>15</v>
      </c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4" t="s">
        <v>16</v>
      </c>
      <c r="B2" s="14" t="s">
        <v>105</v>
      </c>
      <c r="C2" s="14" t="str">
        <f t="shared" ref="C2:C64" si="1">TRIM(LEFT(B2, FIND("[", B2) - 1))</f>
        <v>Jacob Yale</v>
      </c>
      <c r="D2" s="14" t="s">
        <v>106</v>
      </c>
      <c r="E2" s="17">
        <v>1076165.0</v>
      </c>
      <c r="F2" s="14" t="s">
        <v>19</v>
      </c>
      <c r="G2" s="18">
        <v>45563.0</v>
      </c>
      <c r="H2" s="18">
        <v>46169.0</v>
      </c>
      <c r="I2" s="14" t="s">
        <v>20</v>
      </c>
      <c r="J2" s="14" t="s">
        <v>21</v>
      </c>
      <c r="K2" s="19">
        <v>155.0</v>
      </c>
      <c r="L2" s="20">
        <v>145.0</v>
      </c>
      <c r="M2" s="21">
        <v>0.25</v>
      </c>
      <c r="N2" s="20">
        <v>36.25</v>
      </c>
      <c r="O2" s="14" t="s">
        <v>93</v>
      </c>
      <c r="P2" s="22"/>
      <c r="Q2" s="22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4" t="s">
        <v>16</v>
      </c>
      <c r="B3" s="14" t="s">
        <v>17</v>
      </c>
      <c r="C3" s="14" t="str">
        <f t="shared" si="1"/>
        <v>Pamela Deaton</v>
      </c>
      <c r="D3" s="14" t="s">
        <v>104</v>
      </c>
      <c r="E3" s="17">
        <v>2.61886717E8</v>
      </c>
      <c r="F3" s="14" t="s">
        <v>45</v>
      </c>
      <c r="G3" s="18">
        <v>46204.0</v>
      </c>
      <c r="H3" s="18">
        <v>46169.0</v>
      </c>
      <c r="I3" s="14" t="s">
        <v>20</v>
      </c>
      <c r="J3" s="14" t="s">
        <v>21</v>
      </c>
      <c r="K3" s="19">
        <v>245.0</v>
      </c>
      <c r="L3" s="20">
        <v>235.0</v>
      </c>
      <c r="M3" s="21">
        <v>0.25</v>
      </c>
      <c r="N3" s="20">
        <v>58.75</v>
      </c>
      <c r="O3" s="14" t="s">
        <v>93</v>
      </c>
      <c r="P3" s="22"/>
      <c r="Q3" s="22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4" t="s">
        <v>16</v>
      </c>
      <c r="B4" s="14" t="s">
        <v>47</v>
      </c>
      <c r="C4" s="14" t="str">
        <f t="shared" si="1"/>
        <v>Matthew John Sherman</v>
      </c>
      <c r="D4" s="14" t="s">
        <v>107</v>
      </c>
      <c r="E4" s="17">
        <v>2.51839313E8</v>
      </c>
      <c r="F4" s="14" t="s">
        <v>19</v>
      </c>
      <c r="G4" s="18">
        <v>46023.0</v>
      </c>
      <c r="H4" s="18">
        <v>46169.0</v>
      </c>
      <c r="I4" s="14" t="s">
        <v>20</v>
      </c>
      <c r="J4" s="14" t="s">
        <v>29</v>
      </c>
      <c r="K4" s="19">
        <v>510.0</v>
      </c>
      <c r="L4" s="20">
        <v>490.0</v>
      </c>
      <c r="M4" s="21">
        <v>0.25</v>
      </c>
      <c r="N4" s="20">
        <v>122.5</v>
      </c>
      <c r="O4" s="14" t="s">
        <v>93</v>
      </c>
      <c r="P4" s="22"/>
      <c r="Q4" s="22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4" t="s">
        <v>16</v>
      </c>
      <c r="B5" s="14" t="s">
        <v>57</v>
      </c>
      <c r="C5" s="14" t="str">
        <f t="shared" si="1"/>
        <v>Heather Geske</v>
      </c>
      <c r="D5" s="14" t="s">
        <v>100</v>
      </c>
      <c r="E5" s="17">
        <v>2.6186856E8</v>
      </c>
      <c r="F5" s="14" t="s">
        <v>19</v>
      </c>
      <c r="G5" s="18">
        <v>46113.0</v>
      </c>
      <c r="H5" s="18">
        <v>46168.0</v>
      </c>
      <c r="I5" s="14" t="s">
        <v>20</v>
      </c>
      <c r="J5" s="14" t="s">
        <v>25</v>
      </c>
      <c r="K5" s="19">
        <v>315.0</v>
      </c>
      <c r="L5" s="20">
        <v>295.0</v>
      </c>
      <c r="M5" s="21">
        <v>0.25</v>
      </c>
      <c r="N5" s="20">
        <v>73.75</v>
      </c>
      <c r="O5" s="14" t="s">
        <v>93</v>
      </c>
      <c r="P5" s="22"/>
      <c r="Q5" s="22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4" t="s">
        <v>16</v>
      </c>
      <c r="B6" s="14" t="s">
        <v>57</v>
      </c>
      <c r="C6" s="14" t="str">
        <f t="shared" si="1"/>
        <v>Heather Geske</v>
      </c>
      <c r="D6" s="14" t="s">
        <v>101</v>
      </c>
      <c r="E6" s="17">
        <v>2.51817599E8</v>
      </c>
      <c r="F6" s="14" t="s">
        <v>19</v>
      </c>
      <c r="G6" s="18">
        <v>46023.0</v>
      </c>
      <c r="H6" s="18">
        <v>46168.0</v>
      </c>
      <c r="I6" s="14" t="s">
        <v>20</v>
      </c>
      <c r="J6" s="14" t="s">
        <v>29</v>
      </c>
      <c r="K6" s="19">
        <v>620.0</v>
      </c>
      <c r="L6" s="20">
        <v>600.0</v>
      </c>
      <c r="M6" s="21">
        <v>0.25</v>
      </c>
      <c r="N6" s="20">
        <v>150.0</v>
      </c>
      <c r="O6" s="14" t="s">
        <v>93</v>
      </c>
      <c r="P6" s="22"/>
      <c r="Q6" s="22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4" t="s">
        <v>16</v>
      </c>
      <c r="B7" s="14" t="s">
        <v>57</v>
      </c>
      <c r="C7" s="14" t="str">
        <f t="shared" si="1"/>
        <v>Heather Geske</v>
      </c>
      <c r="D7" s="14" t="s">
        <v>102</v>
      </c>
      <c r="E7" s="17">
        <v>2.51815732E8</v>
      </c>
      <c r="F7" s="14" t="s">
        <v>19</v>
      </c>
      <c r="G7" s="18">
        <v>46023.0</v>
      </c>
      <c r="H7" s="18">
        <v>46168.0</v>
      </c>
      <c r="I7" s="14" t="s">
        <v>20</v>
      </c>
      <c r="J7" s="14" t="s">
        <v>39</v>
      </c>
      <c r="K7" s="19">
        <v>450.0</v>
      </c>
      <c r="L7" s="20">
        <v>430.0</v>
      </c>
      <c r="M7" s="21">
        <v>0.25</v>
      </c>
      <c r="N7" s="20">
        <v>107.5</v>
      </c>
      <c r="O7" s="14" t="s">
        <v>93</v>
      </c>
      <c r="P7" s="22"/>
      <c r="Q7" s="22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4" t="s">
        <v>16</v>
      </c>
      <c r="B8" s="14" t="s">
        <v>57</v>
      </c>
      <c r="C8" s="14" t="str">
        <f t="shared" si="1"/>
        <v>Heather Geske</v>
      </c>
      <c r="D8" s="14" t="s">
        <v>103</v>
      </c>
      <c r="E8" s="17">
        <v>2.51811175E8</v>
      </c>
      <c r="F8" s="14" t="s">
        <v>19</v>
      </c>
      <c r="G8" s="18">
        <v>46023.0</v>
      </c>
      <c r="H8" s="18">
        <v>46168.0</v>
      </c>
      <c r="I8" s="14" t="s">
        <v>20</v>
      </c>
      <c r="J8" s="14" t="s">
        <v>29</v>
      </c>
      <c r="K8" s="19">
        <v>345.0</v>
      </c>
      <c r="L8" s="20">
        <v>325.0</v>
      </c>
      <c r="M8" s="21">
        <v>0.25</v>
      </c>
      <c r="N8" s="20">
        <v>81.25</v>
      </c>
      <c r="O8" s="14" t="s">
        <v>93</v>
      </c>
      <c r="P8" s="22"/>
      <c r="Q8" s="22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4" t="s">
        <v>16</v>
      </c>
      <c r="B9" s="14" t="s">
        <v>17</v>
      </c>
      <c r="C9" s="14" t="str">
        <f t="shared" si="1"/>
        <v>Pamela Deaton</v>
      </c>
      <c r="D9" s="14" t="s">
        <v>97</v>
      </c>
      <c r="E9" s="17">
        <v>2.61886275E8</v>
      </c>
      <c r="F9" s="14" t="s">
        <v>19</v>
      </c>
      <c r="G9" s="18">
        <v>46167.0</v>
      </c>
      <c r="H9" s="18">
        <v>46166.0</v>
      </c>
      <c r="I9" s="14" t="s">
        <v>20</v>
      </c>
      <c r="J9" s="14" t="s">
        <v>21</v>
      </c>
      <c r="K9" s="19">
        <v>105.0</v>
      </c>
      <c r="L9" s="20">
        <v>95.0</v>
      </c>
      <c r="M9" s="21">
        <v>0.25</v>
      </c>
      <c r="N9" s="20">
        <v>23.75</v>
      </c>
      <c r="O9" s="14" t="s">
        <v>93</v>
      </c>
      <c r="P9" s="22"/>
      <c r="Q9" s="22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4" t="s">
        <v>16</v>
      </c>
      <c r="B10" s="14" t="s">
        <v>47</v>
      </c>
      <c r="C10" s="14" t="str">
        <f t="shared" si="1"/>
        <v>Matthew John Sherman</v>
      </c>
      <c r="D10" s="14" t="s">
        <v>98</v>
      </c>
      <c r="E10" s="17">
        <v>2.61886267E8</v>
      </c>
      <c r="F10" s="14" t="s">
        <v>45</v>
      </c>
      <c r="G10" s="18">
        <v>46174.0</v>
      </c>
      <c r="H10" s="18">
        <v>46166.0</v>
      </c>
      <c r="I10" s="14" t="s">
        <v>20</v>
      </c>
      <c r="J10" s="14" t="s">
        <v>99</v>
      </c>
      <c r="K10" s="19">
        <v>455.0</v>
      </c>
      <c r="L10" s="20">
        <v>445.0</v>
      </c>
      <c r="M10" s="21">
        <v>0.25</v>
      </c>
      <c r="N10" s="20">
        <v>111.25</v>
      </c>
      <c r="O10" s="14" t="s">
        <v>93</v>
      </c>
      <c r="P10" s="22"/>
      <c r="Q10" s="22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4" t="s">
        <v>16</v>
      </c>
      <c r="B11" s="14" t="s">
        <v>17</v>
      </c>
      <c r="C11" s="14" t="str">
        <f t="shared" si="1"/>
        <v>Pamela Deaton</v>
      </c>
      <c r="D11" s="14" t="s">
        <v>95</v>
      </c>
      <c r="E11" s="17">
        <v>2.61847853E8</v>
      </c>
      <c r="F11" s="14" t="s">
        <v>19</v>
      </c>
      <c r="G11" s="18">
        <v>46045.0</v>
      </c>
      <c r="H11" s="18">
        <v>46164.0</v>
      </c>
      <c r="I11" s="14" t="s">
        <v>20</v>
      </c>
      <c r="J11" s="14" t="s">
        <v>39</v>
      </c>
      <c r="K11" s="19">
        <v>685.0</v>
      </c>
      <c r="L11" s="20">
        <v>665.0</v>
      </c>
      <c r="M11" s="21">
        <v>0.25</v>
      </c>
      <c r="N11" s="20">
        <v>166.25</v>
      </c>
      <c r="O11" s="14" t="s">
        <v>93</v>
      </c>
      <c r="P11" s="22"/>
      <c r="Q11" s="22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4" t="s">
        <v>16</v>
      </c>
      <c r="B12" s="14" t="s">
        <v>36</v>
      </c>
      <c r="C12" s="14" t="str">
        <f t="shared" si="1"/>
        <v>Michael Dunavant</v>
      </c>
      <c r="D12" s="14" t="s">
        <v>96</v>
      </c>
      <c r="E12" s="17">
        <v>2.61843705E8</v>
      </c>
      <c r="F12" s="14" t="s">
        <v>19</v>
      </c>
      <c r="G12" s="18">
        <v>46045.0</v>
      </c>
      <c r="H12" s="18">
        <v>46164.0</v>
      </c>
      <c r="I12" s="14" t="s">
        <v>20</v>
      </c>
      <c r="J12" s="14" t="s">
        <v>42</v>
      </c>
      <c r="K12" s="19">
        <v>75.0</v>
      </c>
      <c r="L12" s="20">
        <v>65.0</v>
      </c>
      <c r="M12" s="21">
        <v>0.25</v>
      </c>
      <c r="N12" s="20">
        <v>16.25</v>
      </c>
      <c r="O12" s="14" t="s">
        <v>93</v>
      </c>
      <c r="P12" s="22"/>
      <c r="Q12" s="22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4" t="s">
        <v>16</v>
      </c>
      <c r="B13" s="14" t="s">
        <v>57</v>
      </c>
      <c r="C13" s="14" t="str">
        <f t="shared" si="1"/>
        <v>Heather Geske</v>
      </c>
      <c r="D13" s="14" t="s">
        <v>58</v>
      </c>
      <c r="E13" s="17">
        <v>2.61866598E8</v>
      </c>
      <c r="F13" s="14" t="s">
        <v>19</v>
      </c>
      <c r="G13" s="18">
        <v>46113.0</v>
      </c>
      <c r="H13" s="18">
        <v>46163.0</v>
      </c>
      <c r="I13" s="14" t="s">
        <v>53</v>
      </c>
      <c r="J13" s="14" t="s">
        <v>29</v>
      </c>
      <c r="K13" s="19">
        <v>440.0</v>
      </c>
      <c r="L13" s="20">
        <v>420.0</v>
      </c>
      <c r="M13" s="21">
        <v>0.25</v>
      </c>
      <c r="N13" s="23">
        <v>-105.0</v>
      </c>
      <c r="O13" s="14" t="s">
        <v>93</v>
      </c>
      <c r="P13" s="22"/>
      <c r="Q13" s="14" t="s">
        <v>94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4" t="s">
        <v>16</v>
      </c>
      <c r="B14" s="14" t="s">
        <v>90</v>
      </c>
      <c r="C14" s="14" t="str">
        <f t="shared" si="1"/>
        <v>Brian Strohman</v>
      </c>
      <c r="D14" s="14" t="s">
        <v>91</v>
      </c>
      <c r="E14" s="17">
        <v>2.61870697E8</v>
      </c>
      <c r="F14" s="14" t="s">
        <v>19</v>
      </c>
      <c r="G14" s="18">
        <v>46115.0</v>
      </c>
      <c r="H14" s="18">
        <v>46160.0</v>
      </c>
      <c r="I14" s="14" t="s">
        <v>20</v>
      </c>
      <c r="J14" s="14" t="s">
        <v>21</v>
      </c>
      <c r="K14" s="19">
        <v>175.0</v>
      </c>
      <c r="L14" s="20">
        <v>165.0</v>
      </c>
      <c r="M14" s="21">
        <v>0.25</v>
      </c>
      <c r="N14" s="20">
        <v>41.25</v>
      </c>
      <c r="O14" s="14" t="s">
        <v>22</v>
      </c>
      <c r="P14" s="18">
        <v>46164.0</v>
      </c>
      <c r="Q14" s="22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4" t="s">
        <v>16</v>
      </c>
      <c r="B15" s="14" t="s">
        <v>47</v>
      </c>
      <c r="C15" s="14" t="str">
        <f t="shared" si="1"/>
        <v>Matthew John Sherman</v>
      </c>
      <c r="D15" s="14" t="s">
        <v>92</v>
      </c>
      <c r="E15" s="17">
        <v>2.5182573E8</v>
      </c>
      <c r="F15" s="14" t="s">
        <v>19</v>
      </c>
      <c r="G15" s="18">
        <v>46023.0</v>
      </c>
      <c r="H15" s="18">
        <v>46160.0</v>
      </c>
      <c r="I15" s="14" t="s">
        <v>20</v>
      </c>
      <c r="J15" s="14" t="s">
        <v>29</v>
      </c>
      <c r="K15" s="19">
        <v>760.0</v>
      </c>
      <c r="L15" s="20">
        <v>740.0</v>
      </c>
      <c r="M15" s="21">
        <v>0.25</v>
      </c>
      <c r="N15" s="20">
        <v>185.0</v>
      </c>
      <c r="O15" s="14" t="s">
        <v>22</v>
      </c>
      <c r="P15" s="18">
        <v>46164.0</v>
      </c>
      <c r="Q15" s="22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4" t="s">
        <v>16</v>
      </c>
      <c r="B16" s="14" t="s">
        <v>47</v>
      </c>
      <c r="C16" s="14" t="str">
        <f t="shared" si="1"/>
        <v>Matthew John Sherman</v>
      </c>
      <c r="D16" s="14" t="s">
        <v>89</v>
      </c>
      <c r="E16" s="17">
        <v>2.61857287E8</v>
      </c>
      <c r="F16" s="14" t="s">
        <v>19</v>
      </c>
      <c r="G16" s="18">
        <v>46071.0</v>
      </c>
      <c r="H16" s="18">
        <v>46159.0</v>
      </c>
      <c r="I16" s="14" t="s">
        <v>20</v>
      </c>
      <c r="J16" s="14" t="s">
        <v>29</v>
      </c>
      <c r="K16" s="19">
        <v>810.0</v>
      </c>
      <c r="L16" s="20">
        <v>790.0</v>
      </c>
      <c r="M16" s="21">
        <v>0.25</v>
      </c>
      <c r="N16" s="20">
        <v>197.5</v>
      </c>
      <c r="O16" s="14" t="s">
        <v>22</v>
      </c>
      <c r="P16" s="18">
        <v>46164.0</v>
      </c>
      <c r="Q16" s="22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4" t="s">
        <v>16</v>
      </c>
      <c r="B17" s="14" t="s">
        <v>23</v>
      </c>
      <c r="C17" s="14" t="str">
        <f t="shared" si="1"/>
        <v>Gary Portugal</v>
      </c>
      <c r="D17" s="14" t="s">
        <v>88</v>
      </c>
      <c r="E17" s="17">
        <v>2.61883846E8</v>
      </c>
      <c r="F17" s="14" t="s">
        <v>45</v>
      </c>
      <c r="G17" s="18">
        <v>46174.0</v>
      </c>
      <c r="H17" s="18">
        <v>46158.0</v>
      </c>
      <c r="I17" s="14" t="s">
        <v>20</v>
      </c>
      <c r="J17" s="14" t="s">
        <v>29</v>
      </c>
      <c r="K17" s="19">
        <v>445.0</v>
      </c>
      <c r="L17" s="20">
        <v>425.0</v>
      </c>
      <c r="M17" s="21">
        <v>0.25</v>
      </c>
      <c r="N17" s="20">
        <v>106.25</v>
      </c>
      <c r="O17" s="14" t="s">
        <v>22</v>
      </c>
      <c r="P17" s="18">
        <v>46164.0</v>
      </c>
      <c r="Q17" s="22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4" t="s">
        <v>16</v>
      </c>
      <c r="B18" s="14" t="s">
        <v>86</v>
      </c>
      <c r="C18" s="14" t="str">
        <f t="shared" si="1"/>
        <v>Joel Lee</v>
      </c>
      <c r="D18" s="14" t="s">
        <v>87</v>
      </c>
      <c r="E18" s="17">
        <v>2.61883478E8</v>
      </c>
      <c r="F18" s="14" t="s">
        <v>45</v>
      </c>
      <c r="G18" s="18">
        <v>46186.0</v>
      </c>
      <c r="H18" s="18">
        <v>46157.0</v>
      </c>
      <c r="I18" s="14" t="s">
        <v>20</v>
      </c>
      <c r="J18" s="14" t="s">
        <v>21</v>
      </c>
      <c r="K18" s="19">
        <v>215.0</v>
      </c>
      <c r="L18" s="20">
        <v>205.0</v>
      </c>
      <c r="M18" s="21">
        <v>0.25</v>
      </c>
      <c r="N18" s="20">
        <v>51.25</v>
      </c>
      <c r="O18" s="14" t="s">
        <v>22</v>
      </c>
      <c r="P18" s="18">
        <v>46164.0</v>
      </c>
      <c r="Q18" s="22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4" t="s">
        <v>16</v>
      </c>
      <c r="B19" s="14" t="s">
        <v>57</v>
      </c>
      <c r="C19" s="14" t="str">
        <f t="shared" si="1"/>
        <v>Heather Geske</v>
      </c>
      <c r="D19" s="14" t="s">
        <v>85</v>
      </c>
      <c r="E19" s="17">
        <v>1084508.0</v>
      </c>
      <c r="F19" s="14" t="s">
        <v>19</v>
      </c>
      <c r="G19" s="18">
        <v>45641.0</v>
      </c>
      <c r="H19" s="18">
        <v>46156.0</v>
      </c>
      <c r="I19" s="14" t="s">
        <v>20</v>
      </c>
      <c r="J19" s="14" t="s">
        <v>39</v>
      </c>
      <c r="K19" s="19">
        <v>285.0</v>
      </c>
      <c r="L19" s="20">
        <v>265.0</v>
      </c>
      <c r="M19" s="21">
        <v>0.25</v>
      </c>
      <c r="N19" s="20">
        <v>66.25</v>
      </c>
      <c r="O19" s="14" t="s">
        <v>22</v>
      </c>
      <c r="P19" s="18">
        <v>46164.0</v>
      </c>
      <c r="Q19" s="22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4" t="s">
        <v>16</v>
      </c>
      <c r="B20" s="14" t="s">
        <v>47</v>
      </c>
      <c r="C20" s="14" t="str">
        <f t="shared" si="1"/>
        <v>Matthew John Sherman</v>
      </c>
      <c r="D20" s="14" t="s">
        <v>84</v>
      </c>
      <c r="E20" s="17">
        <v>2.61873176E8</v>
      </c>
      <c r="F20" s="14" t="s">
        <v>19</v>
      </c>
      <c r="G20" s="18">
        <v>46126.0</v>
      </c>
      <c r="H20" s="18">
        <v>46155.0</v>
      </c>
      <c r="I20" s="14" t="s">
        <v>20</v>
      </c>
      <c r="J20" s="14" t="s">
        <v>29</v>
      </c>
      <c r="K20" s="19">
        <v>1160.0</v>
      </c>
      <c r="L20" s="20">
        <v>1140.0</v>
      </c>
      <c r="M20" s="21">
        <v>0.25</v>
      </c>
      <c r="N20" s="20">
        <v>285.0</v>
      </c>
      <c r="O20" s="14" t="s">
        <v>22</v>
      </c>
      <c r="P20" s="18">
        <v>46164.0</v>
      </c>
      <c r="Q20" s="22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4" t="s">
        <v>16</v>
      </c>
      <c r="B21" s="14" t="s">
        <v>51</v>
      </c>
      <c r="C21" s="14" t="str">
        <f t="shared" si="1"/>
        <v>Victor Fuentes</v>
      </c>
      <c r="D21" s="14" t="s">
        <v>52</v>
      </c>
      <c r="E21" s="17">
        <v>2.61877275E8</v>
      </c>
      <c r="F21" s="14" t="s">
        <v>45</v>
      </c>
      <c r="G21" s="18">
        <v>46143.0</v>
      </c>
      <c r="H21" s="18">
        <v>46153.0</v>
      </c>
      <c r="I21" s="14" t="s">
        <v>53</v>
      </c>
      <c r="J21" s="14" t="s">
        <v>29</v>
      </c>
      <c r="K21" s="19">
        <v>695.0</v>
      </c>
      <c r="L21" s="20">
        <v>675.0</v>
      </c>
      <c r="M21" s="21">
        <v>0.25</v>
      </c>
      <c r="N21" s="23">
        <v>-168.75</v>
      </c>
      <c r="O21" s="14" t="s">
        <v>22</v>
      </c>
      <c r="P21" s="18">
        <v>46157.0</v>
      </c>
      <c r="Q21" s="14" t="s">
        <v>54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4" t="s">
        <v>16</v>
      </c>
      <c r="B22" s="14" t="s">
        <v>17</v>
      </c>
      <c r="C22" s="14" t="str">
        <f t="shared" si="1"/>
        <v>Pamela Deaton</v>
      </c>
      <c r="D22" s="14" t="s">
        <v>55</v>
      </c>
      <c r="E22" s="17">
        <v>2.61868471E8</v>
      </c>
      <c r="F22" s="14" t="s">
        <v>19</v>
      </c>
      <c r="G22" s="18">
        <v>46113.0</v>
      </c>
      <c r="H22" s="18">
        <v>46153.0</v>
      </c>
      <c r="I22" s="14" t="s">
        <v>20</v>
      </c>
      <c r="J22" s="14" t="s">
        <v>39</v>
      </c>
      <c r="K22" s="19">
        <v>405.0</v>
      </c>
      <c r="L22" s="20">
        <v>385.0</v>
      </c>
      <c r="M22" s="21">
        <v>0.25</v>
      </c>
      <c r="N22" s="20">
        <v>96.25</v>
      </c>
      <c r="O22" s="14" t="s">
        <v>22</v>
      </c>
      <c r="P22" s="18">
        <v>46157.0</v>
      </c>
      <c r="Q22" s="22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4" t="s">
        <v>16</v>
      </c>
      <c r="B23" s="14" t="s">
        <v>36</v>
      </c>
      <c r="C23" s="14" t="str">
        <f t="shared" si="1"/>
        <v>Michael Dunavant</v>
      </c>
      <c r="D23" s="14" t="s">
        <v>56</v>
      </c>
      <c r="E23" s="17">
        <v>2.61867701E8</v>
      </c>
      <c r="F23" s="14" t="s">
        <v>19</v>
      </c>
      <c r="G23" s="18">
        <v>46113.0</v>
      </c>
      <c r="H23" s="18">
        <v>46153.0</v>
      </c>
      <c r="I23" s="14" t="s">
        <v>20</v>
      </c>
      <c r="J23" s="14" t="s">
        <v>29</v>
      </c>
      <c r="K23" s="19">
        <v>360.0</v>
      </c>
      <c r="L23" s="20">
        <v>340.0</v>
      </c>
      <c r="M23" s="21">
        <v>0.25</v>
      </c>
      <c r="N23" s="20">
        <v>85.0</v>
      </c>
      <c r="O23" s="14" t="s">
        <v>22</v>
      </c>
      <c r="P23" s="18">
        <v>46157.0</v>
      </c>
      <c r="Q23" s="22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4" t="s">
        <v>16</v>
      </c>
      <c r="B24" s="14" t="s">
        <v>57</v>
      </c>
      <c r="C24" s="14" t="str">
        <f t="shared" si="1"/>
        <v>Heather Geske</v>
      </c>
      <c r="D24" s="14" t="s">
        <v>58</v>
      </c>
      <c r="E24" s="17">
        <v>2.61866598E8</v>
      </c>
      <c r="F24" s="14" t="s">
        <v>19</v>
      </c>
      <c r="G24" s="18">
        <v>46113.0</v>
      </c>
      <c r="H24" s="18">
        <v>46153.0</v>
      </c>
      <c r="I24" s="14" t="s">
        <v>20</v>
      </c>
      <c r="J24" s="14" t="s">
        <v>29</v>
      </c>
      <c r="K24" s="19">
        <v>440.0</v>
      </c>
      <c r="L24" s="20">
        <v>420.0</v>
      </c>
      <c r="M24" s="21">
        <v>0.25</v>
      </c>
      <c r="N24" s="20">
        <v>105.0</v>
      </c>
      <c r="O24" s="14" t="s">
        <v>22</v>
      </c>
      <c r="P24" s="18">
        <v>46157.0</v>
      </c>
      <c r="Q24" s="22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4" t="s">
        <v>16</v>
      </c>
      <c r="B25" s="14" t="s">
        <v>57</v>
      </c>
      <c r="C25" s="14" t="str">
        <f t="shared" si="1"/>
        <v>Heather Geske</v>
      </c>
      <c r="D25" s="14" t="s">
        <v>59</v>
      </c>
      <c r="E25" s="17">
        <v>2.61851665E8</v>
      </c>
      <c r="F25" s="14" t="s">
        <v>19</v>
      </c>
      <c r="G25" s="18">
        <v>46054.0</v>
      </c>
      <c r="H25" s="18">
        <v>46153.0</v>
      </c>
      <c r="I25" s="14" t="s">
        <v>20</v>
      </c>
      <c r="J25" s="14" t="s">
        <v>29</v>
      </c>
      <c r="K25" s="19">
        <v>490.0</v>
      </c>
      <c r="L25" s="20">
        <v>470.0</v>
      </c>
      <c r="M25" s="21">
        <v>0.25</v>
      </c>
      <c r="N25" s="20">
        <v>117.5</v>
      </c>
      <c r="O25" s="14" t="s">
        <v>22</v>
      </c>
      <c r="P25" s="18">
        <v>46157.0</v>
      </c>
      <c r="Q25" s="22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4" t="s">
        <v>16</v>
      </c>
      <c r="B26" s="14" t="s">
        <v>57</v>
      </c>
      <c r="C26" s="14" t="str">
        <f t="shared" si="1"/>
        <v>Heather Geske</v>
      </c>
      <c r="D26" s="14" t="s">
        <v>60</v>
      </c>
      <c r="E26" s="17">
        <v>2.51815119E8</v>
      </c>
      <c r="F26" s="14" t="s">
        <v>19</v>
      </c>
      <c r="G26" s="18">
        <v>46054.0</v>
      </c>
      <c r="H26" s="18">
        <v>46153.0</v>
      </c>
      <c r="I26" s="14" t="s">
        <v>20</v>
      </c>
      <c r="J26" s="14" t="s">
        <v>29</v>
      </c>
      <c r="K26" s="19">
        <v>455.0</v>
      </c>
      <c r="L26" s="20">
        <v>435.0</v>
      </c>
      <c r="M26" s="21">
        <v>0.25</v>
      </c>
      <c r="N26" s="20">
        <v>108.75</v>
      </c>
      <c r="O26" s="14" t="s">
        <v>22</v>
      </c>
      <c r="P26" s="18">
        <v>46157.0</v>
      </c>
      <c r="Q26" s="22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4" t="s">
        <v>16</v>
      </c>
      <c r="B27" s="14" t="s">
        <v>61</v>
      </c>
      <c r="C27" s="14" t="str">
        <f t="shared" si="1"/>
        <v>Jonathan Aloff</v>
      </c>
      <c r="D27" s="14" t="s">
        <v>62</v>
      </c>
      <c r="E27" s="17">
        <v>2.518278E8</v>
      </c>
      <c r="F27" s="14" t="s">
        <v>19</v>
      </c>
      <c r="G27" s="18">
        <v>46023.0</v>
      </c>
      <c r="H27" s="18">
        <v>46153.0</v>
      </c>
      <c r="I27" s="14" t="s">
        <v>20</v>
      </c>
      <c r="J27" s="14" t="s">
        <v>25</v>
      </c>
      <c r="K27" s="19">
        <v>190.0</v>
      </c>
      <c r="L27" s="20">
        <v>170.0</v>
      </c>
      <c r="M27" s="21">
        <v>0.25</v>
      </c>
      <c r="N27" s="20">
        <v>42.5</v>
      </c>
      <c r="O27" s="14" t="s">
        <v>22</v>
      </c>
      <c r="P27" s="18">
        <v>46157.0</v>
      </c>
      <c r="Q27" s="22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4" t="s">
        <v>16</v>
      </c>
      <c r="B28" s="14" t="s">
        <v>47</v>
      </c>
      <c r="C28" s="14" t="str">
        <f t="shared" si="1"/>
        <v>Matthew John Sherman</v>
      </c>
      <c r="D28" s="14" t="s">
        <v>63</v>
      </c>
      <c r="E28" s="17">
        <v>2.51826288E8</v>
      </c>
      <c r="F28" s="14" t="s">
        <v>19</v>
      </c>
      <c r="G28" s="18">
        <v>46023.0</v>
      </c>
      <c r="H28" s="18">
        <v>46153.0</v>
      </c>
      <c r="I28" s="14" t="s">
        <v>20</v>
      </c>
      <c r="J28" s="14" t="s">
        <v>29</v>
      </c>
      <c r="K28" s="19">
        <v>440.0</v>
      </c>
      <c r="L28" s="20">
        <v>420.0</v>
      </c>
      <c r="M28" s="21">
        <v>0.25</v>
      </c>
      <c r="N28" s="20">
        <v>105.0</v>
      </c>
      <c r="O28" s="14" t="s">
        <v>22</v>
      </c>
      <c r="P28" s="18">
        <v>46157.0</v>
      </c>
      <c r="Q28" s="22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4" t="s">
        <v>16</v>
      </c>
      <c r="B29" s="14" t="s">
        <v>47</v>
      </c>
      <c r="C29" s="14" t="str">
        <f t="shared" si="1"/>
        <v>Matthew John Sherman</v>
      </c>
      <c r="D29" s="14" t="s">
        <v>64</v>
      </c>
      <c r="E29" s="17">
        <v>2.51825133E8</v>
      </c>
      <c r="F29" s="14" t="s">
        <v>19</v>
      </c>
      <c r="G29" s="18">
        <v>46023.0</v>
      </c>
      <c r="H29" s="18">
        <v>46153.0</v>
      </c>
      <c r="I29" s="14" t="s">
        <v>20</v>
      </c>
      <c r="J29" s="14" t="s">
        <v>29</v>
      </c>
      <c r="K29" s="19">
        <v>235.0</v>
      </c>
      <c r="L29" s="20">
        <v>215.0</v>
      </c>
      <c r="M29" s="21">
        <v>0.25</v>
      </c>
      <c r="N29" s="20">
        <v>53.75</v>
      </c>
      <c r="O29" s="14" t="s">
        <v>22</v>
      </c>
      <c r="P29" s="18">
        <v>46157.0</v>
      </c>
      <c r="Q29" s="22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4" t="s">
        <v>16</v>
      </c>
      <c r="B30" s="14" t="s">
        <v>23</v>
      </c>
      <c r="C30" s="14" t="str">
        <f t="shared" si="1"/>
        <v>Gary Portugal</v>
      </c>
      <c r="D30" s="14" t="s">
        <v>65</v>
      </c>
      <c r="E30" s="17">
        <v>2.51824128E8</v>
      </c>
      <c r="F30" s="14" t="s">
        <v>19</v>
      </c>
      <c r="G30" s="18">
        <v>46023.0</v>
      </c>
      <c r="H30" s="18">
        <v>46153.0</v>
      </c>
      <c r="I30" s="14" t="s">
        <v>20</v>
      </c>
      <c r="J30" s="14" t="s">
        <v>29</v>
      </c>
      <c r="K30" s="19">
        <v>595.0</v>
      </c>
      <c r="L30" s="20">
        <v>575.0</v>
      </c>
      <c r="M30" s="21">
        <v>0.25</v>
      </c>
      <c r="N30" s="20">
        <v>143.75</v>
      </c>
      <c r="O30" s="14" t="s">
        <v>22</v>
      </c>
      <c r="P30" s="18">
        <v>46157.0</v>
      </c>
      <c r="Q30" s="22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4" t="s">
        <v>16</v>
      </c>
      <c r="B31" s="14" t="s">
        <v>47</v>
      </c>
      <c r="C31" s="14" t="str">
        <f t="shared" si="1"/>
        <v>Matthew John Sherman</v>
      </c>
      <c r="D31" s="14" t="s">
        <v>66</v>
      </c>
      <c r="E31" s="17">
        <v>2.51822171E8</v>
      </c>
      <c r="F31" s="14" t="s">
        <v>19</v>
      </c>
      <c r="G31" s="18">
        <v>46023.0</v>
      </c>
      <c r="H31" s="18">
        <v>46153.0</v>
      </c>
      <c r="I31" s="14" t="s">
        <v>20</v>
      </c>
      <c r="J31" s="14" t="s">
        <v>29</v>
      </c>
      <c r="K31" s="19">
        <v>1590.0</v>
      </c>
      <c r="L31" s="20">
        <v>1570.0</v>
      </c>
      <c r="M31" s="21">
        <v>0.25</v>
      </c>
      <c r="N31" s="20">
        <v>392.5</v>
      </c>
      <c r="O31" s="14" t="s">
        <v>22</v>
      </c>
      <c r="P31" s="18">
        <v>46157.0</v>
      </c>
      <c r="Q31" s="22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4" t="s">
        <v>16</v>
      </c>
      <c r="B32" s="14" t="s">
        <v>47</v>
      </c>
      <c r="C32" s="14" t="str">
        <f t="shared" si="1"/>
        <v>Matthew John Sherman</v>
      </c>
      <c r="D32" s="14" t="s">
        <v>67</v>
      </c>
      <c r="E32" s="17">
        <v>2.51819791E8</v>
      </c>
      <c r="F32" s="14" t="s">
        <v>19</v>
      </c>
      <c r="G32" s="18">
        <v>46023.0</v>
      </c>
      <c r="H32" s="18">
        <v>46153.0</v>
      </c>
      <c r="I32" s="14" t="s">
        <v>20</v>
      </c>
      <c r="J32" s="14" t="s">
        <v>39</v>
      </c>
      <c r="K32" s="19">
        <v>685.0</v>
      </c>
      <c r="L32" s="20">
        <v>665.0</v>
      </c>
      <c r="M32" s="21">
        <v>0.25</v>
      </c>
      <c r="N32" s="20">
        <v>166.25</v>
      </c>
      <c r="O32" s="14" t="s">
        <v>22</v>
      </c>
      <c r="P32" s="18">
        <v>46157.0</v>
      </c>
      <c r="Q32" s="22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4" t="s">
        <v>16</v>
      </c>
      <c r="B33" s="14" t="s">
        <v>36</v>
      </c>
      <c r="C33" s="14" t="str">
        <f t="shared" si="1"/>
        <v>Michael Dunavant</v>
      </c>
      <c r="D33" s="14" t="s">
        <v>68</v>
      </c>
      <c r="E33" s="17">
        <v>2.51819685E8</v>
      </c>
      <c r="F33" s="14" t="s">
        <v>19</v>
      </c>
      <c r="G33" s="18">
        <v>46023.0</v>
      </c>
      <c r="H33" s="18">
        <v>46153.0</v>
      </c>
      <c r="I33" s="14" t="s">
        <v>20</v>
      </c>
      <c r="J33" s="14" t="s">
        <v>29</v>
      </c>
      <c r="K33" s="19">
        <v>625.0</v>
      </c>
      <c r="L33" s="20">
        <v>605.0</v>
      </c>
      <c r="M33" s="21">
        <v>0.25</v>
      </c>
      <c r="N33" s="20">
        <v>151.25</v>
      </c>
      <c r="O33" s="14" t="s">
        <v>22</v>
      </c>
      <c r="P33" s="18">
        <v>46157.0</v>
      </c>
      <c r="Q33" s="22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4" t="s">
        <v>16</v>
      </c>
      <c r="B34" s="14" t="s">
        <v>47</v>
      </c>
      <c r="C34" s="14" t="str">
        <f t="shared" si="1"/>
        <v>Matthew John Sherman</v>
      </c>
      <c r="D34" s="14" t="s">
        <v>69</v>
      </c>
      <c r="E34" s="17">
        <v>2.51818441E8</v>
      </c>
      <c r="F34" s="14" t="s">
        <v>19</v>
      </c>
      <c r="G34" s="18">
        <v>46023.0</v>
      </c>
      <c r="H34" s="18">
        <v>46153.0</v>
      </c>
      <c r="I34" s="14" t="s">
        <v>20</v>
      </c>
      <c r="J34" s="14" t="s">
        <v>29</v>
      </c>
      <c r="K34" s="19">
        <v>760.0</v>
      </c>
      <c r="L34" s="20">
        <v>740.0</v>
      </c>
      <c r="M34" s="21">
        <v>0.25</v>
      </c>
      <c r="N34" s="20">
        <v>185.0</v>
      </c>
      <c r="O34" s="14" t="s">
        <v>22</v>
      </c>
      <c r="P34" s="18">
        <v>46157.0</v>
      </c>
      <c r="Q34" s="22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4" t="s">
        <v>16</v>
      </c>
      <c r="B35" s="14" t="s">
        <v>47</v>
      </c>
      <c r="C35" s="14" t="str">
        <f t="shared" si="1"/>
        <v>Matthew John Sherman</v>
      </c>
      <c r="D35" s="14" t="s">
        <v>70</v>
      </c>
      <c r="E35" s="17">
        <v>2.518165E8</v>
      </c>
      <c r="F35" s="14" t="s">
        <v>19</v>
      </c>
      <c r="G35" s="18">
        <v>46023.0</v>
      </c>
      <c r="H35" s="18">
        <v>46153.0</v>
      </c>
      <c r="I35" s="14" t="s">
        <v>20</v>
      </c>
      <c r="J35" s="14" t="s">
        <v>29</v>
      </c>
      <c r="K35" s="19">
        <v>510.0</v>
      </c>
      <c r="L35" s="20">
        <v>490.0</v>
      </c>
      <c r="M35" s="21">
        <v>0.25</v>
      </c>
      <c r="N35" s="20">
        <v>122.5</v>
      </c>
      <c r="O35" s="14" t="s">
        <v>22</v>
      </c>
      <c r="P35" s="18">
        <v>46157.0</v>
      </c>
      <c r="Q35" s="22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4" t="s">
        <v>16</v>
      </c>
      <c r="B36" s="14" t="s">
        <v>47</v>
      </c>
      <c r="C36" s="14" t="str">
        <f t="shared" si="1"/>
        <v>Matthew John Sherman</v>
      </c>
      <c r="D36" s="14" t="s">
        <v>71</v>
      </c>
      <c r="E36" s="17">
        <v>2.51815217E8</v>
      </c>
      <c r="F36" s="14" t="s">
        <v>19</v>
      </c>
      <c r="G36" s="18">
        <v>46023.0</v>
      </c>
      <c r="H36" s="18">
        <v>46153.0</v>
      </c>
      <c r="I36" s="14" t="s">
        <v>20</v>
      </c>
      <c r="J36" s="14" t="s">
        <v>29</v>
      </c>
      <c r="K36" s="19">
        <v>595.0</v>
      </c>
      <c r="L36" s="20">
        <v>575.0</v>
      </c>
      <c r="M36" s="21">
        <v>0.25</v>
      </c>
      <c r="N36" s="20">
        <v>143.75</v>
      </c>
      <c r="O36" s="14" t="s">
        <v>22</v>
      </c>
      <c r="P36" s="18">
        <v>46157.0</v>
      </c>
      <c r="Q36" s="22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4" t="s">
        <v>16</v>
      </c>
      <c r="B37" s="14" t="s">
        <v>47</v>
      </c>
      <c r="C37" s="14" t="str">
        <f t="shared" si="1"/>
        <v>Matthew John Sherman</v>
      </c>
      <c r="D37" s="14" t="s">
        <v>72</v>
      </c>
      <c r="E37" s="17">
        <v>2.51815168E8</v>
      </c>
      <c r="F37" s="14" t="s">
        <v>19</v>
      </c>
      <c r="G37" s="18">
        <v>46023.0</v>
      </c>
      <c r="H37" s="18">
        <v>46153.0</v>
      </c>
      <c r="I37" s="14" t="s">
        <v>20</v>
      </c>
      <c r="J37" s="14" t="s">
        <v>21</v>
      </c>
      <c r="K37" s="19">
        <v>215.0</v>
      </c>
      <c r="L37" s="20">
        <v>205.0</v>
      </c>
      <c r="M37" s="21">
        <v>0.25</v>
      </c>
      <c r="N37" s="20">
        <v>51.25</v>
      </c>
      <c r="O37" s="14" t="s">
        <v>22</v>
      </c>
      <c r="P37" s="18">
        <v>46157.0</v>
      </c>
      <c r="Q37" s="22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4" t="s">
        <v>16</v>
      </c>
      <c r="B38" s="14" t="s">
        <v>47</v>
      </c>
      <c r="C38" s="14" t="str">
        <f t="shared" si="1"/>
        <v>Matthew John Sherman</v>
      </c>
      <c r="D38" s="14" t="s">
        <v>73</v>
      </c>
      <c r="E38" s="17">
        <v>2.51814743E8</v>
      </c>
      <c r="F38" s="14" t="s">
        <v>19</v>
      </c>
      <c r="G38" s="18">
        <v>46023.0</v>
      </c>
      <c r="H38" s="18">
        <v>46153.0</v>
      </c>
      <c r="I38" s="14" t="s">
        <v>20</v>
      </c>
      <c r="J38" s="14" t="s">
        <v>29</v>
      </c>
      <c r="K38" s="19">
        <v>510.0</v>
      </c>
      <c r="L38" s="20">
        <v>490.0</v>
      </c>
      <c r="M38" s="21">
        <v>0.25</v>
      </c>
      <c r="N38" s="20">
        <v>122.5</v>
      </c>
      <c r="O38" s="14" t="s">
        <v>22</v>
      </c>
      <c r="P38" s="18">
        <v>46157.0</v>
      </c>
      <c r="Q38" s="22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4" t="s">
        <v>16</v>
      </c>
      <c r="B39" s="14" t="s">
        <v>17</v>
      </c>
      <c r="C39" s="14" t="str">
        <f t="shared" si="1"/>
        <v>Pamela Deaton</v>
      </c>
      <c r="D39" s="14" t="s">
        <v>74</v>
      </c>
      <c r="E39" s="17">
        <v>2.51814089E8</v>
      </c>
      <c r="F39" s="14" t="s">
        <v>19</v>
      </c>
      <c r="G39" s="18">
        <v>46023.0</v>
      </c>
      <c r="H39" s="18">
        <v>46153.0</v>
      </c>
      <c r="I39" s="14" t="s">
        <v>20</v>
      </c>
      <c r="J39" s="14" t="s">
        <v>42</v>
      </c>
      <c r="K39" s="19">
        <v>90.0</v>
      </c>
      <c r="L39" s="20">
        <v>80.0</v>
      </c>
      <c r="M39" s="21">
        <v>0.25</v>
      </c>
      <c r="N39" s="20">
        <v>20.0</v>
      </c>
      <c r="O39" s="14" t="s">
        <v>22</v>
      </c>
      <c r="P39" s="18">
        <v>46157.0</v>
      </c>
      <c r="Q39" s="22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4" t="s">
        <v>16</v>
      </c>
      <c r="B40" s="14" t="s">
        <v>57</v>
      </c>
      <c r="C40" s="14" t="str">
        <f t="shared" si="1"/>
        <v>Heather Geske</v>
      </c>
      <c r="D40" s="14" t="s">
        <v>75</v>
      </c>
      <c r="E40" s="17">
        <v>2.5181178E8</v>
      </c>
      <c r="F40" s="14" t="s">
        <v>19</v>
      </c>
      <c r="G40" s="18">
        <v>46023.0</v>
      </c>
      <c r="H40" s="18">
        <v>46153.0</v>
      </c>
      <c r="I40" s="14" t="s">
        <v>20</v>
      </c>
      <c r="J40" s="14" t="s">
        <v>76</v>
      </c>
      <c r="K40" s="19">
        <v>510.0</v>
      </c>
      <c r="L40" s="20">
        <v>500.0</v>
      </c>
      <c r="M40" s="21">
        <v>0.25</v>
      </c>
      <c r="N40" s="20">
        <v>125.0</v>
      </c>
      <c r="O40" s="14" t="s">
        <v>22</v>
      </c>
      <c r="P40" s="18">
        <v>46157.0</v>
      </c>
      <c r="Q40" s="22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4" t="s">
        <v>16</v>
      </c>
      <c r="B41" s="14" t="s">
        <v>17</v>
      </c>
      <c r="C41" s="14" t="str">
        <f t="shared" si="1"/>
        <v>Pamela Deaton</v>
      </c>
      <c r="D41" s="14" t="s">
        <v>77</v>
      </c>
      <c r="E41" s="17">
        <v>2.51808885E8</v>
      </c>
      <c r="F41" s="14" t="s">
        <v>19</v>
      </c>
      <c r="G41" s="18">
        <v>46023.0</v>
      </c>
      <c r="H41" s="18">
        <v>46153.0</v>
      </c>
      <c r="I41" s="14" t="s">
        <v>20</v>
      </c>
      <c r="J41" s="14" t="s">
        <v>42</v>
      </c>
      <c r="K41" s="19">
        <v>195.0</v>
      </c>
      <c r="L41" s="20">
        <v>185.0</v>
      </c>
      <c r="M41" s="21">
        <v>0.25</v>
      </c>
      <c r="N41" s="20">
        <v>46.25</v>
      </c>
      <c r="O41" s="14" t="s">
        <v>22</v>
      </c>
      <c r="P41" s="18">
        <v>46157.0</v>
      </c>
      <c r="Q41" s="22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4" t="s">
        <v>16</v>
      </c>
      <c r="B42" s="14" t="s">
        <v>17</v>
      </c>
      <c r="C42" s="14" t="str">
        <f t="shared" si="1"/>
        <v>Pamela Deaton</v>
      </c>
      <c r="D42" s="14" t="s">
        <v>78</v>
      </c>
      <c r="E42" s="17">
        <v>2.51806799E8</v>
      </c>
      <c r="F42" s="14" t="s">
        <v>19</v>
      </c>
      <c r="G42" s="18">
        <v>46023.0</v>
      </c>
      <c r="H42" s="18">
        <v>46153.0</v>
      </c>
      <c r="I42" s="14" t="s">
        <v>20</v>
      </c>
      <c r="J42" s="14" t="s">
        <v>27</v>
      </c>
      <c r="K42" s="19">
        <v>365.0</v>
      </c>
      <c r="L42" s="20">
        <v>355.0</v>
      </c>
      <c r="M42" s="21">
        <v>0.25</v>
      </c>
      <c r="N42" s="20">
        <v>88.75</v>
      </c>
      <c r="O42" s="14" t="s">
        <v>22</v>
      </c>
      <c r="P42" s="18">
        <v>46157.0</v>
      </c>
      <c r="Q42" s="22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4" t="s">
        <v>16</v>
      </c>
      <c r="B43" s="14" t="s">
        <v>17</v>
      </c>
      <c r="C43" s="14" t="str">
        <f t="shared" si="1"/>
        <v>Pamela Deaton</v>
      </c>
      <c r="D43" s="14" t="s">
        <v>79</v>
      </c>
      <c r="E43" s="17">
        <v>2.51805309E8</v>
      </c>
      <c r="F43" s="14" t="s">
        <v>19</v>
      </c>
      <c r="G43" s="18">
        <v>46023.0</v>
      </c>
      <c r="H43" s="18">
        <v>46153.0</v>
      </c>
      <c r="I43" s="14" t="s">
        <v>20</v>
      </c>
      <c r="J43" s="14" t="s">
        <v>29</v>
      </c>
      <c r="K43" s="19">
        <v>595.0</v>
      </c>
      <c r="L43" s="20">
        <v>575.0</v>
      </c>
      <c r="M43" s="21">
        <v>0.25</v>
      </c>
      <c r="N43" s="20">
        <v>143.75</v>
      </c>
      <c r="O43" s="14" t="s">
        <v>22</v>
      </c>
      <c r="P43" s="18">
        <v>46157.0</v>
      </c>
      <c r="Q43" s="22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4" t="s">
        <v>16</v>
      </c>
      <c r="B44" s="14" t="s">
        <v>36</v>
      </c>
      <c r="C44" s="14" t="str">
        <f t="shared" si="1"/>
        <v>Michael Dunavant</v>
      </c>
      <c r="D44" s="14" t="s">
        <v>80</v>
      </c>
      <c r="E44" s="17">
        <v>2.51802446E8</v>
      </c>
      <c r="F44" s="14" t="s">
        <v>19</v>
      </c>
      <c r="G44" s="18">
        <v>46023.0</v>
      </c>
      <c r="H44" s="18">
        <v>46153.0</v>
      </c>
      <c r="I44" s="14" t="s">
        <v>20</v>
      </c>
      <c r="J44" s="14" t="s">
        <v>29</v>
      </c>
      <c r="K44" s="19">
        <v>510.0</v>
      </c>
      <c r="L44" s="20">
        <v>490.0</v>
      </c>
      <c r="M44" s="21">
        <v>0.25</v>
      </c>
      <c r="N44" s="20">
        <v>122.5</v>
      </c>
      <c r="O44" s="14" t="s">
        <v>22</v>
      </c>
      <c r="P44" s="18">
        <v>46157.0</v>
      </c>
      <c r="Q44" s="22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4" t="s">
        <v>16</v>
      </c>
      <c r="B45" s="14" t="s">
        <v>17</v>
      </c>
      <c r="C45" s="14" t="str">
        <f t="shared" si="1"/>
        <v>Pamela Deaton</v>
      </c>
      <c r="D45" s="14" t="s">
        <v>81</v>
      </c>
      <c r="E45" s="17">
        <v>2.51801849E8</v>
      </c>
      <c r="F45" s="14" t="s">
        <v>19</v>
      </c>
      <c r="G45" s="18">
        <v>46023.0</v>
      </c>
      <c r="H45" s="18">
        <v>46153.0</v>
      </c>
      <c r="I45" s="14" t="s">
        <v>20</v>
      </c>
      <c r="J45" s="14" t="s">
        <v>29</v>
      </c>
      <c r="K45" s="19">
        <v>360.0</v>
      </c>
      <c r="L45" s="20">
        <v>340.0</v>
      </c>
      <c r="M45" s="21">
        <v>0.25</v>
      </c>
      <c r="N45" s="20">
        <v>85.0</v>
      </c>
      <c r="O45" s="14" t="s">
        <v>22</v>
      </c>
      <c r="P45" s="18">
        <v>46157.0</v>
      </c>
      <c r="Q45" s="22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4" t="s">
        <v>16</v>
      </c>
      <c r="B46" s="14" t="s">
        <v>17</v>
      </c>
      <c r="C46" s="14" t="str">
        <f t="shared" si="1"/>
        <v>Pamela Deaton</v>
      </c>
      <c r="D46" s="14" t="s">
        <v>82</v>
      </c>
      <c r="E46" s="17">
        <v>2.51800611E8</v>
      </c>
      <c r="F46" s="14" t="s">
        <v>19</v>
      </c>
      <c r="G46" s="18">
        <v>46023.0</v>
      </c>
      <c r="H46" s="18">
        <v>46153.0</v>
      </c>
      <c r="I46" s="14" t="s">
        <v>20</v>
      </c>
      <c r="J46" s="14" t="s">
        <v>21</v>
      </c>
      <c r="K46" s="19">
        <v>145.0</v>
      </c>
      <c r="L46" s="20">
        <v>135.0</v>
      </c>
      <c r="M46" s="21">
        <v>0.25</v>
      </c>
      <c r="N46" s="20">
        <v>33.75</v>
      </c>
      <c r="O46" s="14" t="s">
        <v>22</v>
      </c>
      <c r="P46" s="18">
        <v>46157.0</v>
      </c>
      <c r="Q46" s="22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4" t="s">
        <v>16</v>
      </c>
      <c r="B47" s="14" t="s">
        <v>36</v>
      </c>
      <c r="C47" s="14" t="str">
        <f t="shared" si="1"/>
        <v>Michael Dunavant</v>
      </c>
      <c r="D47" s="14" t="s">
        <v>83</v>
      </c>
      <c r="E47" s="17">
        <v>2.51800097E8</v>
      </c>
      <c r="F47" s="14" t="s">
        <v>19</v>
      </c>
      <c r="G47" s="18">
        <v>46023.0</v>
      </c>
      <c r="H47" s="18">
        <v>46153.0</v>
      </c>
      <c r="I47" s="14" t="s">
        <v>20</v>
      </c>
      <c r="J47" s="14" t="s">
        <v>29</v>
      </c>
      <c r="K47" s="19">
        <v>510.0</v>
      </c>
      <c r="L47" s="20">
        <v>490.0</v>
      </c>
      <c r="M47" s="21">
        <v>0.25</v>
      </c>
      <c r="N47" s="20">
        <v>122.5</v>
      </c>
      <c r="O47" s="14" t="s">
        <v>22</v>
      </c>
      <c r="P47" s="18">
        <v>46157.0</v>
      </c>
      <c r="Q47" s="22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4" t="s">
        <v>16</v>
      </c>
      <c r="B48" s="14" t="s">
        <v>43</v>
      </c>
      <c r="C48" s="14" t="str">
        <f t="shared" si="1"/>
        <v>Jose Torres</v>
      </c>
      <c r="D48" s="14" t="s">
        <v>50</v>
      </c>
      <c r="E48" s="17">
        <v>2.61882282E8</v>
      </c>
      <c r="F48" s="14" t="s">
        <v>45</v>
      </c>
      <c r="G48" s="18">
        <v>46181.0</v>
      </c>
      <c r="H48" s="18">
        <v>46152.0</v>
      </c>
      <c r="I48" s="14" t="s">
        <v>20</v>
      </c>
      <c r="J48" s="14" t="s">
        <v>21</v>
      </c>
      <c r="K48" s="19">
        <v>325.0</v>
      </c>
      <c r="L48" s="20">
        <v>315.0</v>
      </c>
      <c r="M48" s="21">
        <v>0.25</v>
      </c>
      <c r="N48" s="20">
        <v>78.75</v>
      </c>
      <c r="O48" s="14" t="s">
        <v>22</v>
      </c>
      <c r="P48" s="18">
        <v>46157.0</v>
      </c>
      <c r="Q48" s="22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4" t="s">
        <v>16</v>
      </c>
      <c r="B49" s="14" t="s">
        <v>47</v>
      </c>
      <c r="C49" s="14" t="str">
        <f t="shared" si="1"/>
        <v>Matthew John Sherman</v>
      </c>
      <c r="D49" s="14" t="s">
        <v>48</v>
      </c>
      <c r="E49" s="17">
        <v>2.61882094E8</v>
      </c>
      <c r="F49" s="14" t="s">
        <v>45</v>
      </c>
      <c r="G49" s="18">
        <v>46174.0</v>
      </c>
      <c r="H49" s="18">
        <v>46151.0</v>
      </c>
      <c r="I49" s="14" t="s">
        <v>20</v>
      </c>
      <c r="J49" s="14" t="s">
        <v>21</v>
      </c>
      <c r="K49" s="19">
        <v>245.0</v>
      </c>
      <c r="L49" s="20">
        <v>235.0</v>
      </c>
      <c r="M49" s="21">
        <v>0.25</v>
      </c>
      <c r="N49" s="20">
        <v>58.75</v>
      </c>
      <c r="O49" s="14" t="s">
        <v>22</v>
      </c>
      <c r="P49" s="18">
        <v>46157.0</v>
      </c>
      <c r="Q49" s="22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4" t="s">
        <v>16</v>
      </c>
      <c r="B50" s="14" t="s">
        <v>23</v>
      </c>
      <c r="C50" s="14" t="str">
        <f t="shared" si="1"/>
        <v>Gary Portugal</v>
      </c>
      <c r="D50" s="14" t="s">
        <v>49</v>
      </c>
      <c r="E50" s="17">
        <v>2.61882037E8</v>
      </c>
      <c r="F50" s="14" t="s">
        <v>19</v>
      </c>
      <c r="G50" s="18">
        <v>46153.0</v>
      </c>
      <c r="H50" s="18">
        <v>46151.0</v>
      </c>
      <c r="I50" s="14" t="s">
        <v>20</v>
      </c>
      <c r="J50" s="14" t="s">
        <v>29</v>
      </c>
      <c r="K50" s="19">
        <v>560.0</v>
      </c>
      <c r="L50" s="20">
        <v>540.0</v>
      </c>
      <c r="M50" s="21">
        <v>0.25</v>
      </c>
      <c r="N50" s="20">
        <v>135.0</v>
      </c>
      <c r="O50" s="14" t="s">
        <v>22</v>
      </c>
      <c r="P50" s="18">
        <v>46157.0</v>
      </c>
      <c r="Q50" s="22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4" t="s">
        <v>16</v>
      </c>
      <c r="B51" s="14" t="s">
        <v>23</v>
      </c>
      <c r="C51" s="14" t="str">
        <f t="shared" si="1"/>
        <v>Gary Portugal</v>
      </c>
      <c r="D51" s="14" t="s">
        <v>46</v>
      </c>
      <c r="E51" s="17">
        <v>1095314.0</v>
      </c>
      <c r="F51" s="14" t="s">
        <v>19</v>
      </c>
      <c r="G51" s="18">
        <v>45770.0</v>
      </c>
      <c r="H51" s="18">
        <v>46148.0</v>
      </c>
      <c r="I51" s="14" t="s">
        <v>20</v>
      </c>
      <c r="J51" s="14" t="s">
        <v>39</v>
      </c>
      <c r="K51" s="19">
        <v>185.77</v>
      </c>
      <c r="L51" s="20">
        <v>165.77</v>
      </c>
      <c r="M51" s="21">
        <v>0.25</v>
      </c>
      <c r="N51" s="20">
        <v>41.44</v>
      </c>
      <c r="O51" s="14" t="s">
        <v>22</v>
      </c>
      <c r="P51" s="18">
        <v>46157.0</v>
      </c>
      <c r="Q51" s="22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4" t="s">
        <v>16</v>
      </c>
      <c r="B52" s="14" t="s">
        <v>43</v>
      </c>
      <c r="C52" s="14" t="str">
        <f t="shared" si="1"/>
        <v>Jose Torres</v>
      </c>
      <c r="D52" s="14" t="s">
        <v>44</v>
      </c>
      <c r="E52" s="17">
        <v>2.61880744E8</v>
      </c>
      <c r="F52" s="14" t="s">
        <v>45</v>
      </c>
      <c r="G52" s="18">
        <v>46177.0</v>
      </c>
      <c r="H52" s="18">
        <v>46148.0</v>
      </c>
      <c r="I52" s="14" t="s">
        <v>20</v>
      </c>
      <c r="J52" s="14" t="s">
        <v>25</v>
      </c>
      <c r="K52" s="19">
        <v>125.0</v>
      </c>
      <c r="L52" s="20">
        <v>105.0</v>
      </c>
      <c r="M52" s="21">
        <v>0.25</v>
      </c>
      <c r="N52" s="20">
        <v>26.25</v>
      </c>
      <c r="O52" s="14" t="s">
        <v>22</v>
      </c>
      <c r="P52" s="18">
        <v>46157.0</v>
      </c>
      <c r="Q52" s="22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4" t="s">
        <v>16</v>
      </c>
      <c r="B53" s="14" t="s">
        <v>23</v>
      </c>
      <c r="C53" s="14" t="str">
        <f t="shared" si="1"/>
        <v>Gary Portugal</v>
      </c>
      <c r="D53" s="14" t="s">
        <v>38</v>
      </c>
      <c r="E53" s="17">
        <v>2.51835311E8</v>
      </c>
      <c r="F53" s="14" t="s">
        <v>19</v>
      </c>
      <c r="G53" s="18">
        <v>46023.0</v>
      </c>
      <c r="H53" s="18">
        <v>46147.0</v>
      </c>
      <c r="I53" s="14" t="s">
        <v>20</v>
      </c>
      <c r="J53" s="14" t="s">
        <v>39</v>
      </c>
      <c r="K53" s="19">
        <v>165.0</v>
      </c>
      <c r="L53" s="20">
        <v>145.0</v>
      </c>
      <c r="M53" s="21">
        <v>0.25</v>
      </c>
      <c r="N53" s="20">
        <v>36.25</v>
      </c>
      <c r="O53" s="14" t="s">
        <v>22</v>
      </c>
      <c r="P53" s="18">
        <v>46157.0</v>
      </c>
      <c r="Q53" s="22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4" t="s">
        <v>16</v>
      </c>
      <c r="B54" s="14" t="s">
        <v>40</v>
      </c>
      <c r="C54" s="14" t="str">
        <f t="shared" si="1"/>
        <v>Barry Brenner</v>
      </c>
      <c r="D54" s="14" t="s">
        <v>41</v>
      </c>
      <c r="E54" s="17">
        <v>2.51754149E8</v>
      </c>
      <c r="F54" s="14" t="s">
        <v>19</v>
      </c>
      <c r="G54" s="18">
        <v>45881.0</v>
      </c>
      <c r="H54" s="18">
        <v>46147.0</v>
      </c>
      <c r="I54" s="14" t="s">
        <v>20</v>
      </c>
      <c r="J54" s="14" t="s">
        <v>42</v>
      </c>
      <c r="K54" s="19">
        <v>75.0</v>
      </c>
      <c r="L54" s="20">
        <v>65.0</v>
      </c>
      <c r="M54" s="21">
        <v>0.25</v>
      </c>
      <c r="N54" s="20">
        <v>16.25</v>
      </c>
      <c r="O54" s="14" t="s">
        <v>22</v>
      </c>
      <c r="P54" s="18">
        <v>46157.0</v>
      </c>
      <c r="Q54" s="22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4" t="s">
        <v>16</v>
      </c>
      <c r="B55" s="14" t="s">
        <v>17</v>
      </c>
      <c r="C55" s="14" t="str">
        <f t="shared" si="1"/>
        <v>Pamela Deaton</v>
      </c>
      <c r="D55" s="14" t="s">
        <v>18</v>
      </c>
      <c r="E55" s="17">
        <v>2.61853245E8</v>
      </c>
      <c r="F55" s="14" t="s">
        <v>19</v>
      </c>
      <c r="G55" s="18">
        <v>46083.0</v>
      </c>
      <c r="H55" s="18">
        <v>46143.0</v>
      </c>
      <c r="I55" s="14" t="s">
        <v>20</v>
      </c>
      <c r="J55" s="14" t="s">
        <v>21</v>
      </c>
      <c r="K55" s="19">
        <v>245.0</v>
      </c>
      <c r="L55" s="20">
        <v>235.0</v>
      </c>
      <c r="M55" s="21">
        <v>0.25</v>
      </c>
      <c r="N55" s="20">
        <v>58.75</v>
      </c>
      <c r="O55" s="14" t="s">
        <v>22</v>
      </c>
      <c r="P55" s="18">
        <v>46150.0</v>
      </c>
      <c r="Q55" s="22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4" t="s">
        <v>16</v>
      </c>
      <c r="B56" s="14" t="s">
        <v>23</v>
      </c>
      <c r="C56" s="14" t="str">
        <f t="shared" si="1"/>
        <v>Gary Portugal</v>
      </c>
      <c r="D56" s="14" t="s">
        <v>24</v>
      </c>
      <c r="E56" s="17">
        <v>2.61845602E8</v>
      </c>
      <c r="F56" s="14" t="s">
        <v>19</v>
      </c>
      <c r="G56" s="18">
        <v>46038.0</v>
      </c>
      <c r="H56" s="18">
        <v>46143.0</v>
      </c>
      <c r="I56" s="14" t="s">
        <v>20</v>
      </c>
      <c r="J56" s="14" t="s">
        <v>25</v>
      </c>
      <c r="K56" s="19">
        <v>280.0</v>
      </c>
      <c r="L56" s="20">
        <v>260.0</v>
      </c>
      <c r="M56" s="21">
        <v>0.25</v>
      </c>
      <c r="N56" s="20">
        <v>65.0</v>
      </c>
      <c r="O56" s="14" t="s">
        <v>22</v>
      </c>
      <c r="P56" s="18">
        <v>46150.0</v>
      </c>
      <c r="Q56" s="22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4" t="s">
        <v>16</v>
      </c>
      <c r="B57" s="14" t="s">
        <v>17</v>
      </c>
      <c r="C57" s="14" t="str">
        <f t="shared" si="1"/>
        <v>Pamela Deaton</v>
      </c>
      <c r="D57" s="14" t="s">
        <v>26</v>
      </c>
      <c r="E57" s="17">
        <v>2.61843935E8</v>
      </c>
      <c r="F57" s="14" t="s">
        <v>19</v>
      </c>
      <c r="G57" s="18">
        <v>46035.0</v>
      </c>
      <c r="H57" s="18">
        <v>46143.0</v>
      </c>
      <c r="I57" s="14" t="s">
        <v>20</v>
      </c>
      <c r="J57" s="14" t="s">
        <v>27</v>
      </c>
      <c r="K57" s="19">
        <v>210.0</v>
      </c>
      <c r="L57" s="20">
        <v>200.0</v>
      </c>
      <c r="M57" s="21">
        <v>0.25</v>
      </c>
      <c r="N57" s="20">
        <v>50.0</v>
      </c>
      <c r="O57" s="14" t="s">
        <v>22</v>
      </c>
      <c r="P57" s="18">
        <v>46150.0</v>
      </c>
      <c r="Q57" s="22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4" t="s">
        <v>16</v>
      </c>
      <c r="B58" s="14" t="s">
        <v>23</v>
      </c>
      <c r="C58" s="14" t="str">
        <f t="shared" si="1"/>
        <v>Gary Portugal</v>
      </c>
      <c r="D58" s="14" t="s">
        <v>28</v>
      </c>
      <c r="E58" s="17">
        <v>2.51821747E8</v>
      </c>
      <c r="F58" s="14" t="s">
        <v>19</v>
      </c>
      <c r="G58" s="18">
        <v>46023.0</v>
      </c>
      <c r="H58" s="18">
        <v>46143.0</v>
      </c>
      <c r="I58" s="14" t="s">
        <v>20</v>
      </c>
      <c r="J58" s="14" t="s">
        <v>29</v>
      </c>
      <c r="K58" s="19">
        <v>1590.0</v>
      </c>
      <c r="L58" s="20">
        <v>1570.0</v>
      </c>
      <c r="M58" s="21">
        <v>0.25</v>
      </c>
      <c r="N58" s="20">
        <v>392.5</v>
      </c>
      <c r="O58" s="14" t="s">
        <v>22</v>
      </c>
      <c r="P58" s="18">
        <v>46150.0</v>
      </c>
      <c r="Q58" s="22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4" t="s">
        <v>16</v>
      </c>
      <c r="B59" s="14" t="s">
        <v>23</v>
      </c>
      <c r="C59" s="14" t="str">
        <f t="shared" si="1"/>
        <v>Gary Portugal</v>
      </c>
      <c r="D59" s="14" t="s">
        <v>30</v>
      </c>
      <c r="E59" s="17">
        <v>2.51819194E8</v>
      </c>
      <c r="F59" s="14" t="s">
        <v>19</v>
      </c>
      <c r="G59" s="18">
        <v>46024.0</v>
      </c>
      <c r="H59" s="18">
        <v>46143.0</v>
      </c>
      <c r="I59" s="14" t="s">
        <v>20</v>
      </c>
      <c r="J59" s="14" t="s">
        <v>29</v>
      </c>
      <c r="K59" s="19">
        <v>595.0</v>
      </c>
      <c r="L59" s="20">
        <v>575.0</v>
      </c>
      <c r="M59" s="21">
        <v>0.25</v>
      </c>
      <c r="N59" s="20">
        <v>143.75</v>
      </c>
      <c r="O59" s="14" t="s">
        <v>22</v>
      </c>
      <c r="P59" s="18">
        <v>46150.0</v>
      </c>
      <c r="Q59" s="22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4" t="s">
        <v>16</v>
      </c>
      <c r="B60" s="14" t="s">
        <v>17</v>
      </c>
      <c r="C60" s="14" t="str">
        <f t="shared" si="1"/>
        <v>Pamela Deaton</v>
      </c>
      <c r="D60" s="14" t="s">
        <v>31</v>
      </c>
      <c r="E60" s="17">
        <v>2.51818343E8</v>
      </c>
      <c r="F60" s="14" t="s">
        <v>19</v>
      </c>
      <c r="G60" s="18">
        <v>46029.0</v>
      </c>
      <c r="H60" s="18">
        <v>46143.0</v>
      </c>
      <c r="I60" s="14" t="s">
        <v>20</v>
      </c>
      <c r="J60" s="14" t="s">
        <v>32</v>
      </c>
      <c r="K60" s="19">
        <v>440.0</v>
      </c>
      <c r="L60" s="20">
        <v>430.0</v>
      </c>
      <c r="M60" s="21">
        <v>0.25</v>
      </c>
      <c r="N60" s="20">
        <v>107.5</v>
      </c>
      <c r="O60" s="14" t="s">
        <v>22</v>
      </c>
      <c r="P60" s="18">
        <v>46150.0</v>
      </c>
      <c r="Q60" s="22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4" t="s">
        <v>16</v>
      </c>
      <c r="B61" s="14" t="s">
        <v>17</v>
      </c>
      <c r="C61" s="14" t="str">
        <f t="shared" si="1"/>
        <v>Pamela Deaton</v>
      </c>
      <c r="D61" s="14" t="s">
        <v>33</v>
      </c>
      <c r="E61" s="17">
        <v>2.51814964E8</v>
      </c>
      <c r="F61" s="14" t="s">
        <v>19</v>
      </c>
      <c r="G61" s="18">
        <v>46024.0</v>
      </c>
      <c r="H61" s="18">
        <v>46143.0</v>
      </c>
      <c r="I61" s="14" t="s">
        <v>20</v>
      </c>
      <c r="J61" s="14" t="s">
        <v>27</v>
      </c>
      <c r="K61" s="19">
        <v>235.0</v>
      </c>
      <c r="L61" s="20">
        <v>225.0</v>
      </c>
      <c r="M61" s="21">
        <v>0.25</v>
      </c>
      <c r="N61" s="20">
        <v>56.25</v>
      </c>
      <c r="O61" s="14" t="s">
        <v>22</v>
      </c>
      <c r="P61" s="18">
        <v>46150.0</v>
      </c>
      <c r="Q61" s="22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4" t="s">
        <v>16</v>
      </c>
      <c r="B62" s="14" t="s">
        <v>17</v>
      </c>
      <c r="C62" s="14" t="str">
        <f t="shared" si="1"/>
        <v>Pamela Deaton</v>
      </c>
      <c r="D62" s="14" t="s">
        <v>34</v>
      </c>
      <c r="E62" s="17">
        <v>2.51814202E8</v>
      </c>
      <c r="F62" s="14" t="s">
        <v>19</v>
      </c>
      <c r="G62" s="18">
        <v>46024.0</v>
      </c>
      <c r="H62" s="18">
        <v>46143.0</v>
      </c>
      <c r="I62" s="14" t="s">
        <v>20</v>
      </c>
      <c r="J62" s="14" t="s">
        <v>27</v>
      </c>
      <c r="K62" s="19">
        <v>365.0</v>
      </c>
      <c r="L62" s="20">
        <v>355.0</v>
      </c>
      <c r="M62" s="21">
        <v>0.25</v>
      </c>
      <c r="N62" s="20">
        <v>88.75</v>
      </c>
      <c r="O62" s="14" t="s">
        <v>22</v>
      </c>
      <c r="P62" s="18">
        <v>46150.0</v>
      </c>
      <c r="Q62" s="22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4" t="s">
        <v>16</v>
      </c>
      <c r="B63" s="14" t="s">
        <v>17</v>
      </c>
      <c r="C63" s="14" t="str">
        <f t="shared" si="1"/>
        <v>Pamela Deaton</v>
      </c>
      <c r="D63" s="14" t="s">
        <v>35</v>
      </c>
      <c r="E63" s="17">
        <v>2.51800809E8</v>
      </c>
      <c r="F63" s="14" t="s">
        <v>19</v>
      </c>
      <c r="G63" s="18">
        <v>46024.0</v>
      </c>
      <c r="H63" s="18">
        <v>46143.0</v>
      </c>
      <c r="I63" s="14" t="s">
        <v>20</v>
      </c>
      <c r="J63" s="14" t="s">
        <v>29</v>
      </c>
      <c r="K63" s="19">
        <v>595.0</v>
      </c>
      <c r="L63" s="20">
        <v>575.0</v>
      </c>
      <c r="M63" s="21">
        <v>0.25</v>
      </c>
      <c r="N63" s="20">
        <v>143.75</v>
      </c>
      <c r="O63" s="14" t="s">
        <v>22</v>
      </c>
      <c r="P63" s="18">
        <v>46150.0</v>
      </c>
      <c r="Q63" s="22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4" t="s">
        <v>16</v>
      </c>
      <c r="B64" s="14" t="s">
        <v>36</v>
      </c>
      <c r="C64" s="14" t="str">
        <f t="shared" si="1"/>
        <v>Michael Dunavant</v>
      </c>
      <c r="D64" s="14" t="s">
        <v>37</v>
      </c>
      <c r="E64" s="17">
        <v>2.51799402E8</v>
      </c>
      <c r="F64" s="14" t="s">
        <v>19</v>
      </c>
      <c r="G64" s="18">
        <v>46023.0</v>
      </c>
      <c r="H64" s="18">
        <v>46143.0</v>
      </c>
      <c r="I64" s="14" t="s">
        <v>20</v>
      </c>
      <c r="J64" s="14" t="s">
        <v>29</v>
      </c>
      <c r="K64" s="19">
        <v>595.0</v>
      </c>
      <c r="L64" s="20">
        <v>575.0</v>
      </c>
      <c r="M64" s="21">
        <v>0.25</v>
      </c>
      <c r="N64" s="20">
        <v>143.75</v>
      </c>
      <c r="O64" s="14" t="s">
        <v>22</v>
      </c>
      <c r="P64" s="18">
        <v>46150.0</v>
      </c>
      <c r="Q64" s="22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24"/>
      <c r="M65" s="16"/>
      <c r="N65" s="24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24"/>
      <c r="M66" s="16"/>
      <c r="N66" s="24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24"/>
      <c r="M67" s="16"/>
      <c r="N67" s="24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24"/>
      <c r="M68" s="16"/>
      <c r="N68" s="24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24"/>
      <c r="M69" s="16"/>
      <c r="N69" s="24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24"/>
      <c r="M70" s="16"/>
      <c r="N70" s="24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24"/>
      <c r="M71" s="16"/>
      <c r="N71" s="24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24"/>
      <c r="M72" s="16"/>
      <c r="N72" s="24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24"/>
      <c r="M73" s="16"/>
      <c r="N73" s="24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24"/>
      <c r="M74" s="16"/>
      <c r="N74" s="24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24"/>
      <c r="M75" s="16"/>
      <c r="N75" s="24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24"/>
      <c r="M76" s="16"/>
      <c r="N76" s="24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24"/>
      <c r="M77" s="16"/>
      <c r="N77" s="24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24"/>
      <c r="M78" s="16"/>
      <c r="N78" s="24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24"/>
      <c r="M79" s="16"/>
      <c r="N79" s="24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24"/>
      <c r="M80" s="16"/>
      <c r="N80" s="24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24"/>
      <c r="M81" s="16"/>
      <c r="N81" s="24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24"/>
      <c r="M82" s="16"/>
      <c r="N82" s="24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24"/>
      <c r="M83" s="16"/>
      <c r="N83" s="24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24"/>
      <c r="M84" s="16"/>
      <c r="N84" s="24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24"/>
      <c r="M85" s="16"/>
      <c r="N85" s="24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24"/>
      <c r="M86" s="16"/>
      <c r="N86" s="24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24"/>
      <c r="M87" s="16"/>
      <c r="N87" s="24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24"/>
      <c r="M88" s="16"/>
      <c r="N88" s="24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24"/>
      <c r="M89" s="16"/>
      <c r="N89" s="24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24"/>
      <c r="M90" s="16"/>
      <c r="N90" s="24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24"/>
      <c r="M91" s="16"/>
      <c r="N91" s="24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24"/>
      <c r="M92" s="16"/>
      <c r="N92" s="24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24"/>
      <c r="M93" s="16"/>
      <c r="N93" s="24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24"/>
      <c r="M94" s="16"/>
      <c r="N94" s="24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24"/>
      <c r="M95" s="16"/>
      <c r="N95" s="24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24"/>
      <c r="M96" s="16"/>
      <c r="N96" s="24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24"/>
      <c r="M97" s="16"/>
      <c r="N97" s="24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24"/>
      <c r="M98" s="16"/>
      <c r="N98" s="24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24"/>
      <c r="M99" s="16"/>
      <c r="N99" s="24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24"/>
      <c r="M100" s="16"/>
      <c r="N100" s="24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24"/>
      <c r="M101" s="16"/>
      <c r="N101" s="24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24"/>
      <c r="M102" s="16"/>
      <c r="N102" s="24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24"/>
      <c r="M103" s="16"/>
      <c r="N103" s="24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24"/>
      <c r="M104" s="16"/>
      <c r="N104" s="24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24"/>
      <c r="M105" s="16"/>
      <c r="N105" s="24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24"/>
      <c r="M106" s="16"/>
      <c r="N106" s="24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24"/>
      <c r="M107" s="16"/>
      <c r="N107" s="24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24"/>
      <c r="M108" s="16"/>
      <c r="N108" s="24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24"/>
      <c r="M109" s="16"/>
      <c r="N109" s="24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24"/>
      <c r="M110" s="16"/>
      <c r="N110" s="24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24"/>
      <c r="M111" s="16"/>
      <c r="N111" s="24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24"/>
      <c r="M112" s="16"/>
      <c r="N112" s="24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24"/>
      <c r="M113" s="16"/>
      <c r="N113" s="24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24"/>
      <c r="M114" s="16"/>
      <c r="N114" s="24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24"/>
      <c r="M115" s="16"/>
      <c r="N115" s="24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24"/>
      <c r="M116" s="16"/>
      <c r="N116" s="24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24"/>
      <c r="M117" s="16"/>
      <c r="N117" s="24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24"/>
      <c r="M118" s="16"/>
      <c r="N118" s="24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24"/>
      <c r="M119" s="16"/>
      <c r="N119" s="24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24"/>
      <c r="M120" s="16"/>
      <c r="N120" s="24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24"/>
      <c r="M121" s="16"/>
      <c r="N121" s="24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24"/>
      <c r="M122" s="16"/>
      <c r="N122" s="24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24"/>
      <c r="M123" s="16"/>
      <c r="N123" s="24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24"/>
      <c r="M124" s="16"/>
      <c r="N124" s="24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24"/>
      <c r="M125" s="16"/>
      <c r="N125" s="24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24"/>
      <c r="M126" s="16"/>
      <c r="N126" s="24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24"/>
      <c r="M127" s="16"/>
      <c r="N127" s="24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24"/>
      <c r="M128" s="16"/>
      <c r="N128" s="24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24"/>
      <c r="M129" s="16"/>
      <c r="N129" s="24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24"/>
      <c r="M130" s="16"/>
      <c r="N130" s="24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24"/>
      <c r="M131" s="16"/>
      <c r="N131" s="24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24"/>
      <c r="M132" s="16"/>
      <c r="N132" s="24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24"/>
      <c r="M133" s="16"/>
      <c r="N133" s="24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24"/>
      <c r="M134" s="16"/>
      <c r="N134" s="24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24"/>
      <c r="M135" s="16"/>
      <c r="N135" s="24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24"/>
      <c r="M136" s="16"/>
      <c r="N136" s="24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24"/>
      <c r="M137" s="16"/>
      <c r="N137" s="24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24"/>
      <c r="M138" s="16"/>
      <c r="N138" s="24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24"/>
      <c r="M139" s="16"/>
      <c r="N139" s="24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24"/>
      <c r="M140" s="16"/>
      <c r="N140" s="24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24"/>
      <c r="M141" s="16"/>
      <c r="N141" s="24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24"/>
      <c r="M142" s="16"/>
      <c r="N142" s="24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24"/>
      <c r="M143" s="16"/>
      <c r="N143" s="24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24"/>
      <c r="M144" s="16"/>
      <c r="N144" s="24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24"/>
      <c r="M145" s="16"/>
      <c r="N145" s="24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24"/>
      <c r="M146" s="16"/>
      <c r="N146" s="24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24"/>
      <c r="M147" s="16"/>
      <c r="N147" s="24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24"/>
      <c r="M148" s="16"/>
      <c r="N148" s="24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24"/>
      <c r="M149" s="16"/>
      <c r="N149" s="24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24"/>
      <c r="M150" s="16"/>
      <c r="N150" s="24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24"/>
      <c r="M151" s="16"/>
      <c r="N151" s="24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24"/>
      <c r="M152" s="16"/>
      <c r="N152" s="24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24"/>
      <c r="M153" s="16"/>
      <c r="N153" s="24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24"/>
      <c r="M154" s="16"/>
      <c r="N154" s="24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24"/>
      <c r="M155" s="16"/>
      <c r="N155" s="24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24"/>
      <c r="M156" s="16"/>
      <c r="N156" s="24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24"/>
      <c r="M157" s="16"/>
      <c r="N157" s="24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24"/>
      <c r="M158" s="16"/>
      <c r="N158" s="24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24"/>
      <c r="M159" s="16"/>
      <c r="N159" s="24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24"/>
      <c r="M160" s="16"/>
      <c r="N160" s="24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24"/>
      <c r="M161" s="16"/>
      <c r="N161" s="24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24"/>
      <c r="M162" s="16"/>
      <c r="N162" s="24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24"/>
      <c r="M163" s="16"/>
      <c r="N163" s="24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24"/>
      <c r="M164" s="16"/>
      <c r="N164" s="24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24"/>
      <c r="M165" s="16"/>
      <c r="N165" s="24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24"/>
      <c r="M166" s="16"/>
      <c r="N166" s="24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24"/>
      <c r="M167" s="16"/>
      <c r="N167" s="24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24"/>
      <c r="M168" s="16"/>
      <c r="N168" s="24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24"/>
      <c r="M169" s="16"/>
      <c r="N169" s="24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24"/>
      <c r="M170" s="16"/>
      <c r="N170" s="24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24"/>
      <c r="M171" s="16"/>
      <c r="N171" s="24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24"/>
      <c r="M172" s="16"/>
      <c r="N172" s="24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24"/>
      <c r="M173" s="16"/>
      <c r="N173" s="24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24"/>
      <c r="M174" s="16"/>
      <c r="N174" s="24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24"/>
      <c r="M175" s="16"/>
      <c r="N175" s="24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24"/>
      <c r="M176" s="16"/>
      <c r="N176" s="24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24"/>
      <c r="M177" s="16"/>
      <c r="N177" s="24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24"/>
      <c r="M178" s="16"/>
      <c r="N178" s="24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24"/>
      <c r="M179" s="16"/>
      <c r="N179" s="24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24"/>
      <c r="M180" s="16"/>
      <c r="N180" s="24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24"/>
      <c r="M181" s="16"/>
      <c r="N181" s="24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24"/>
      <c r="M182" s="16"/>
      <c r="N182" s="24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24"/>
      <c r="M183" s="16"/>
      <c r="N183" s="24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24"/>
      <c r="M184" s="16"/>
      <c r="N184" s="24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24"/>
      <c r="M185" s="16"/>
      <c r="N185" s="24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24"/>
      <c r="M186" s="16"/>
      <c r="N186" s="24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24"/>
      <c r="M187" s="16"/>
      <c r="N187" s="24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24"/>
      <c r="M188" s="16"/>
      <c r="N188" s="24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24"/>
      <c r="M189" s="16"/>
      <c r="N189" s="24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24"/>
      <c r="M190" s="16"/>
      <c r="N190" s="24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24"/>
      <c r="M191" s="16"/>
      <c r="N191" s="24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24"/>
      <c r="M192" s="16"/>
      <c r="N192" s="24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24"/>
      <c r="M193" s="16"/>
      <c r="N193" s="24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24"/>
      <c r="M194" s="16"/>
      <c r="N194" s="24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24"/>
      <c r="M195" s="16"/>
      <c r="N195" s="24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24"/>
      <c r="M196" s="16"/>
      <c r="N196" s="24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24"/>
      <c r="M197" s="16"/>
      <c r="N197" s="24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24"/>
      <c r="M198" s="16"/>
      <c r="N198" s="24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24"/>
      <c r="M199" s="16"/>
      <c r="N199" s="24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24"/>
      <c r="M200" s="16"/>
      <c r="N200" s="24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24"/>
      <c r="M201" s="16"/>
      <c r="N201" s="24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24"/>
      <c r="M202" s="16"/>
      <c r="N202" s="24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24"/>
      <c r="M203" s="16"/>
      <c r="N203" s="24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24"/>
      <c r="M204" s="16"/>
      <c r="N204" s="24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24"/>
      <c r="M205" s="16"/>
      <c r="N205" s="24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24"/>
      <c r="M206" s="16"/>
      <c r="N206" s="24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24"/>
      <c r="M207" s="16"/>
      <c r="N207" s="24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24"/>
      <c r="M208" s="16"/>
      <c r="N208" s="24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24"/>
      <c r="M209" s="16"/>
      <c r="N209" s="24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24"/>
      <c r="M210" s="16"/>
      <c r="N210" s="24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24"/>
      <c r="M211" s="16"/>
      <c r="N211" s="24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24"/>
      <c r="M212" s="16"/>
      <c r="N212" s="24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24"/>
      <c r="M213" s="16"/>
      <c r="N213" s="24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24"/>
      <c r="M214" s="16"/>
      <c r="N214" s="24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24"/>
      <c r="M215" s="16"/>
      <c r="N215" s="24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24"/>
      <c r="M216" s="16"/>
      <c r="N216" s="24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24"/>
      <c r="M217" s="16"/>
      <c r="N217" s="24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24"/>
      <c r="M218" s="16"/>
      <c r="N218" s="24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24"/>
      <c r="M219" s="16"/>
      <c r="N219" s="24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24"/>
      <c r="M220" s="16"/>
      <c r="N220" s="24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24"/>
      <c r="M221" s="16"/>
      <c r="N221" s="24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24"/>
      <c r="M222" s="16"/>
      <c r="N222" s="24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24"/>
      <c r="M223" s="16"/>
      <c r="N223" s="24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24"/>
      <c r="M224" s="16"/>
      <c r="N224" s="24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24"/>
      <c r="M225" s="16"/>
      <c r="N225" s="24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24"/>
      <c r="M226" s="16"/>
      <c r="N226" s="24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24"/>
      <c r="M227" s="16"/>
      <c r="N227" s="24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24"/>
      <c r="M228" s="16"/>
      <c r="N228" s="24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24"/>
      <c r="M229" s="16"/>
      <c r="N229" s="24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24"/>
      <c r="M230" s="16"/>
      <c r="N230" s="24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24"/>
      <c r="M231" s="16"/>
      <c r="N231" s="24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24"/>
      <c r="M232" s="16"/>
      <c r="N232" s="24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24"/>
      <c r="M233" s="16"/>
      <c r="N233" s="24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24"/>
      <c r="M234" s="16"/>
      <c r="N234" s="24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24"/>
      <c r="M235" s="16"/>
      <c r="N235" s="24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24"/>
      <c r="M236" s="16"/>
      <c r="N236" s="24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24"/>
      <c r="M237" s="16"/>
      <c r="N237" s="24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24"/>
      <c r="M238" s="16"/>
      <c r="N238" s="24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24"/>
      <c r="M239" s="16"/>
      <c r="N239" s="24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24"/>
      <c r="M240" s="16"/>
      <c r="N240" s="24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24"/>
      <c r="M241" s="16"/>
      <c r="N241" s="24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24"/>
      <c r="M242" s="16"/>
      <c r="N242" s="24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24"/>
      <c r="M243" s="16"/>
      <c r="N243" s="24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24"/>
      <c r="M244" s="16"/>
      <c r="N244" s="24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24"/>
      <c r="M245" s="16"/>
      <c r="N245" s="24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24"/>
      <c r="M246" s="16"/>
      <c r="N246" s="24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24"/>
      <c r="M247" s="16"/>
      <c r="N247" s="24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24"/>
      <c r="M248" s="16"/>
      <c r="N248" s="24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24"/>
      <c r="M249" s="16"/>
      <c r="N249" s="24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24"/>
      <c r="M250" s="16"/>
      <c r="N250" s="24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24"/>
      <c r="M251" s="16"/>
      <c r="N251" s="24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24"/>
      <c r="M252" s="16"/>
      <c r="N252" s="24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24"/>
      <c r="M253" s="16"/>
      <c r="N253" s="24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24"/>
      <c r="M254" s="16"/>
      <c r="N254" s="24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24"/>
      <c r="M255" s="16"/>
      <c r="N255" s="24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24"/>
      <c r="M256" s="16"/>
      <c r="N256" s="24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24"/>
      <c r="M257" s="16"/>
      <c r="N257" s="24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24"/>
      <c r="M258" s="16"/>
      <c r="N258" s="24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24"/>
      <c r="M259" s="16"/>
      <c r="N259" s="24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24"/>
      <c r="M260" s="16"/>
      <c r="N260" s="24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24"/>
      <c r="M261" s="16"/>
      <c r="N261" s="24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24"/>
      <c r="M262" s="16"/>
      <c r="N262" s="24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24"/>
      <c r="M263" s="16"/>
      <c r="N263" s="24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24"/>
      <c r="M264" s="16"/>
      <c r="N264" s="24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24"/>
      <c r="M265" s="16"/>
      <c r="N265" s="24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24"/>
      <c r="M266" s="16"/>
      <c r="N266" s="24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24"/>
      <c r="M267" s="16"/>
      <c r="N267" s="24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24"/>
      <c r="M268" s="16"/>
      <c r="N268" s="24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24"/>
      <c r="M269" s="16"/>
      <c r="N269" s="24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24"/>
      <c r="M270" s="16"/>
      <c r="N270" s="24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24"/>
      <c r="M271" s="16"/>
      <c r="N271" s="24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24"/>
      <c r="M272" s="16"/>
      <c r="N272" s="24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24"/>
      <c r="M273" s="16"/>
      <c r="N273" s="24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24"/>
      <c r="M274" s="16"/>
      <c r="N274" s="24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24"/>
      <c r="M275" s="16"/>
      <c r="N275" s="24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24"/>
      <c r="M276" s="16"/>
      <c r="N276" s="24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24"/>
      <c r="M277" s="16"/>
      <c r="N277" s="24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24"/>
      <c r="M278" s="16"/>
      <c r="N278" s="24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24"/>
      <c r="M279" s="16"/>
      <c r="N279" s="24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24"/>
      <c r="M280" s="16"/>
      <c r="N280" s="24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24"/>
      <c r="M281" s="16"/>
      <c r="N281" s="24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24"/>
      <c r="M282" s="16"/>
      <c r="N282" s="24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24"/>
      <c r="M283" s="16"/>
      <c r="N283" s="24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24"/>
      <c r="M284" s="16"/>
      <c r="N284" s="24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24"/>
      <c r="M285" s="16"/>
      <c r="N285" s="24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24"/>
      <c r="M286" s="16"/>
      <c r="N286" s="24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24"/>
      <c r="M287" s="16"/>
      <c r="N287" s="24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24"/>
      <c r="M288" s="16"/>
      <c r="N288" s="24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24"/>
      <c r="M289" s="16"/>
      <c r="N289" s="24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24"/>
      <c r="M290" s="16"/>
      <c r="N290" s="24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24"/>
      <c r="M291" s="16"/>
      <c r="N291" s="24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24"/>
      <c r="M292" s="16"/>
      <c r="N292" s="24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24"/>
      <c r="M293" s="16"/>
      <c r="N293" s="24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24"/>
      <c r="M294" s="16"/>
      <c r="N294" s="24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24"/>
      <c r="M295" s="16"/>
      <c r="N295" s="24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24"/>
      <c r="M296" s="16"/>
      <c r="N296" s="24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24"/>
      <c r="M297" s="16"/>
      <c r="N297" s="24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24"/>
      <c r="M298" s="16"/>
      <c r="N298" s="24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24"/>
      <c r="M299" s="16"/>
      <c r="N299" s="24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24"/>
      <c r="M300" s="16"/>
      <c r="N300" s="24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24"/>
      <c r="M301" s="16"/>
      <c r="N301" s="24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24"/>
      <c r="M302" s="16"/>
      <c r="N302" s="24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24"/>
      <c r="M303" s="16"/>
      <c r="N303" s="24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24"/>
      <c r="M304" s="16"/>
      <c r="N304" s="24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24"/>
      <c r="M305" s="16"/>
      <c r="N305" s="24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24"/>
      <c r="M306" s="16"/>
      <c r="N306" s="24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24"/>
      <c r="M307" s="16"/>
      <c r="N307" s="24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24"/>
      <c r="M308" s="16"/>
      <c r="N308" s="24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24"/>
      <c r="M309" s="16"/>
      <c r="N309" s="24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24"/>
      <c r="M310" s="16"/>
      <c r="N310" s="24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24"/>
      <c r="M311" s="16"/>
      <c r="N311" s="24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24"/>
      <c r="M312" s="16"/>
      <c r="N312" s="24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24"/>
      <c r="M313" s="16"/>
      <c r="N313" s="24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24"/>
      <c r="M314" s="16"/>
      <c r="N314" s="24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24"/>
      <c r="M315" s="16"/>
      <c r="N315" s="24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24"/>
      <c r="M316" s="16"/>
      <c r="N316" s="24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24"/>
      <c r="M317" s="16"/>
      <c r="N317" s="24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24"/>
      <c r="M318" s="16"/>
      <c r="N318" s="24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24"/>
      <c r="M319" s="16"/>
      <c r="N319" s="24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24"/>
      <c r="M320" s="16"/>
      <c r="N320" s="24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24"/>
      <c r="M321" s="16"/>
      <c r="N321" s="24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24"/>
      <c r="M322" s="16"/>
      <c r="N322" s="24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24"/>
      <c r="M323" s="16"/>
      <c r="N323" s="24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24"/>
      <c r="M324" s="16"/>
      <c r="N324" s="24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24"/>
      <c r="M325" s="16"/>
      <c r="N325" s="24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24"/>
      <c r="M326" s="16"/>
      <c r="N326" s="24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24"/>
      <c r="M327" s="16"/>
      <c r="N327" s="24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24"/>
      <c r="M328" s="16"/>
      <c r="N328" s="24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24"/>
      <c r="M329" s="16"/>
      <c r="N329" s="24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24"/>
      <c r="M330" s="16"/>
      <c r="N330" s="24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24"/>
      <c r="M331" s="16"/>
      <c r="N331" s="24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24"/>
      <c r="M332" s="16"/>
      <c r="N332" s="24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24"/>
      <c r="M333" s="16"/>
      <c r="N333" s="24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24"/>
      <c r="M334" s="16"/>
      <c r="N334" s="24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24"/>
      <c r="M335" s="16"/>
      <c r="N335" s="24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24"/>
      <c r="M336" s="16"/>
      <c r="N336" s="24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24"/>
      <c r="M337" s="16"/>
      <c r="N337" s="24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24"/>
      <c r="M338" s="16"/>
      <c r="N338" s="24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24"/>
      <c r="M339" s="16"/>
      <c r="N339" s="24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24"/>
      <c r="M340" s="16"/>
      <c r="N340" s="24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24"/>
      <c r="M341" s="16"/>
      <c r="N341" s="24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24"/>
      <c r="M342" s="16"/>
      <c r="N342" s="24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24"/>
      <c r="M343" s="16"/>
      <c r="N343" s="24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24"/>
      <c r="M344" s="16"/>
      <c r="N344" s="24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24"/>
      <c r="M345" s="16"/>
      <c r="N345" s="24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24"/>
      <c r="M346" s="16"/>
      <c r="N346" s="24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24"/>
      <c r="M347" s="16"/>
      <c r="N347" s="24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24"/>
      <c r="M348" s="16"/>
      <c r="N348" s="24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24"/>
      <c r="M349" s="16"/>
      <c r="N349" s="24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24"/>
      <c r="M350" s="16"/>
      <c r="N350" s="24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24"/>
      <c r="M351" s="16"/>
      <c r="N351" s="24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24"/>
      <c r="M352" s="16"/>
      <c r="N352" s="24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24"/>
      <c r="M353" s="16"/>
      <c r="N353" s="24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24"/>
      <c r="M354" s="16"/>
      <c r="N354" s="24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24"/>
      <c r="M355" s="16"/>
      <c r="N355" s="24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24"/>
      <c r="M356" s="16"/>
      <c r="N356" s="24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24"/>
      <c r="M357" s="16"/>
      <c r="N357" s="24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24"/>
      <c r="M358" s="16"/>
      <c r="N358" s="24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24"/>
      <c r="M359" s="16"/>
      <c r="N359" s="24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24"/>
      <c r="M360" s="16"/>
      <c r="N360" s="24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24"/>
      <c r="M361" s="16"/>
      <c r="N361" s="24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24"/>
      <c r="M362" s="16"/>
      <c r="N362" s="24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24"/>
      <c r="M363" s="16"/>
      <c r="N363" s="24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24"/>
      <c r="M364" s="16"/>
      <c r="N364" s="24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24"/>
      <c r="M365" s="16"/>
      <c r="N365" s="24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24"/>
      <c r="M366" s="16"/>
      <c r="N366" s="24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24"/>
      <c r="M367" s="16"/>
      <c r="N367" s="24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24"/>
      <c r="M368" s="16"/>
      <c r="N368" s="24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24"/>
      <c r="M369" s="16"/>
      <c r="N369" s="24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24"/>
      <c r="M370" s="16"/>
      <c r="N370" s="24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24"/>
      <c r="M371" s="16"/>
      <c r="N371" s="24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24"/>
      <c r="M372" s="16"/>
      <c r="N372" s="24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24"/>
      <c r="M373" s="16"/>
      <c r="N373" s="24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24"/>
      <c r="M374" s="16"/>
      <c r="N374" s="24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24"/>
      <c r="M375" s="16"/>
      <c r="N375" s="24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24"/>
      <c r="M376" s="16"/>
      <c r="N376" s="24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24"/>
      <c r="M377" s="16"/>
      <c r="N377" s="24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24"/>
      <c r="M378" s="16"/>
      <c r="N378" s="24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24"/>
      <c r="M379" s="16"/>
      <c r="N379" s="24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24"/>
      <c r="M380" s="16"/>
      <c r="N380" s="24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24"/>
      <c r="M381" s="16"/>
      <c r="N381" s="24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24"/>
      <c r="M382" s="16"/>
      <c r="N382" s="24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24"/>
      <c r="M383" s="16"/>
      <c r="N383" s="24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24"/>
      <c r="M384" s="16"/>
      <c r="N384" s="24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24"/>
      <c r="M385" s="16"/>
      <c r="N385" s="24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24"/>
      <c r="M386" s="16"/>
      <c r="N386" s="24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24"/>
      <c r="M387" s="16"/>
      <c r="N387" s="24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24"/>
      <c r="M388" s="16"/>
      <c r="N388" s="24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24"/>
      <c r="M389" s="16"/>
      <c r="N389" s="24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24"/>
      <c r="M390" s="16"/>
      <c r="N390" s="24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24"/>
      <c r="M391" s="16"/>
      <c r="N391" s="24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24"/>
      <c r="M392" s="16"/>
      <c r="N392" s="24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24"/>
      <c r="M393" s="16"/>
      <c r="N393" s="24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24"/>
      <c r="M394" s="16"/>
      <c r="N394" s="24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24"/>
      <c r="M395" s="16"/>
      <c r="N395" s="24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24"/>
      <c r="M396" s="16"/>
      <c r="N396" s="24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24"/>
      <c r="M397" s="16"/>
      <c r="N397" s="24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24"/>
      <c r="M398" s="16"/>
      <c r="N398" s="24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24"/>
      <c r="M399" s="16"/>
      <c r="N399" s="24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24"/>
      <c r="M400" s="16"/>
      <c r="N400" s="24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24"/>
      <c r="M401" s="16"/>
      <c r="N401" s="24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24"/>
      <c r="M402" s="16"/>
      <c r="N402" s="24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24"/>
      <c r="M403" s="16"/>
      <c r="N403" s="24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24"/>
      <c r="M404" s="16"/>
      <c r="N404" s="24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24"/>
      <c r="M405" s="16"/>
      <c r="N405" s="24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24"/>
      <c r="M406" s="16"/>
      <c r="N406" s="24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24"/>
      <c r="M407" s="16"/>
      <c r="N407" s="24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24"/>
      <c r="M408" s="16"/>
      <c r="N408" s="24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24"/>
      <c r="M409" s="16"/>
      <c r="N409" s="24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24"/>
      <c r="M410" s="16"/>
      <c r="N410" s="24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24"/>
      <c r="M411" s="16"/>
      <c r="N411" s="24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24"/>
      <c r="M412" s="16"/>
      <c r="N412" s="24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24"/>
      <c r="M413" s="16"/>
      <c r="N413" s="24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24"/>
      <c r="M414" s="16"/>
      <c r="N414" s="24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24"/>
      <c r="M415" s="16"/>
      <c r="N415" s="24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24"/>
      <c r="M416" s="16"/>
      <c r="N416" s="24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24"/>
      <c r="M417" s="16"/>
      <c r="N417" s="24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24"/>
      <c r="M418" s="16"/>
      <c r="N418" s="24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24"/>
      <c r="M419" s="16"/>
      <c r="N419" s="24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24"/>
      <c r="M420" s="16"/>
      <c r="N420" s="24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24"/>
      <c r="M421" s="16"/>
      <c r="N421" s="24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24"/>
      <c r="M422" s="16"/>
      <c r="N422" s="24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24"/>
      <c r="M423" s="16"/>
      <c r="N423" s="24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24"/>
      <c r="M424" s="16"/>
      <c r="N424" s="24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24"/>
      <c r="M425" s="16"/>
      <c r="N425" s="24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24"/>
      <c r="M426" s="16"/>
      <c r="N426" s="24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24"/>
      <c r="M427" s="16"/>
      <c r="N427" s="24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24"/>
      <c r="M428" s="16"/>
      <c r="N428" s="24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24"/>
      <c r="M429" s="16"/>
      <c r="N429" s="24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24"/>
      <c r="M430" s="16"/>
      <c r="N430" s="24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24"/>
      <c r="M431" s="16"/>
      <c r="N431" s="24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24"/>
      <c r="M432" s="16"/>
      <c r="N432" s="24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24"/>
      <c r="M433" s="16"/>
      <c r="N433" s="24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24"/>
      <c r="M434" s="16"/>
      <c r="N434" s="24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24"/>
      <c r="M435" s="16"/>
      <c r="N435" s="24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24"/>
      <c r="M436" s="16"/>
      <c r="N436" s="24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24"/>
      <c r="M437" s="16"/>
      <c r="N437" s="24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24"/>
      <c r="M438" s="16"/>
      <c r="N438" s="24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24"/>
      <c r="M439" s="16"/>
      <c r="N439" s="24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24"/>
      <c r="M440" s="16"/>
      <c r="N440" s="24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24"/>
      <c r="M441" s="16"/>
      <c r="N441" s="24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24"/>
      <c r="M442" s="16"/>
      <c r="N442" s="24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24"/>
      <c r="M443" s="16"/>
      <c r="N443" s="24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24"/>
      <c r="M444" s="16"/>
      <c r="N444" s="24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24"/>
      <c r="M445" s="16"/>
      <c r="N445" s="24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24"/>
      <c r="M446" s="16"/>
      <c r="N446" s="24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24"/>
      <c r="M447" s="16"/>
      <c r="N447" s="24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24"/>
      <c r="M448" s="16"/>
      <c r="N448" s="24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24"/>
      <c r="M449" s="16"/>
      <c r="N449" s="24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24"/>
      <c r="M450" s="16"/>
      <c r="N450" s="24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24"/>
      <c r="M451" s="16"/>
      <c r="N451" s="24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24"/>
      <c r="M452" s="16"/>
      <c r="N452" s="24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24"/>
      <c r="M453" s="16"/>
      <c r="N453" s="24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24"/>
      <c r="M454" s="16"/>
      <c r="N454" s="24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24"/>
      <c r="M455" s="16"/>
      <c r="N455" s="24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24"/>
      <c r="M456" s="16"/>
      <c r="N456" s="24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24"/>
      <c r="M457" s="16"/>
      <c r="N457" s="24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24"/>
      <c r="M458" s="16"/>
      <c r="N458" s="24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24"/>
      <c r="M459" s="16"/>
      <c r="N459" s="24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24"/>
      <c r="M460" s="16"/>
      <c r="N460" s="24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24"/>
      <c r="M461" s="16"/>
      <c r="N461" s="24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24"/>
      <c r="M462" s="16"/>
      <c r="N462" s="24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24"/>
      <c r="M463" s="16"/>
      <c r="N463" s="24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24"/>
      <c r="M464" s="16"/>
      <c r="N464" s="24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24"/>
      <c r="M465" s="16"/>
      <c r="N465" s="24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24"/>
      <c r="M466" s="16"/>
      <c r="N466" s="24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24"/>
      <c r="M467" s="16"/>
      <c r="N467" s="24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24"/>
      <c r="M468" s="16"/>
      <c r="N468" s="24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24"/>
      <c r="M469" s="16"/>
      <c r="N469" s="24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24"/>
      <c r="M470" s="16"/>
      <c r="N470" s="24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24"/>
      <c r="M471" s="16"/>
      <c r="N471" s="24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24"/>
      <c r="M472" s="16"/>
      <c r="N472" s="24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24"/>
      <c r="M473" s="16"/>
      <c r="N473" s="24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24"/>
      <c r="M474" s="16"/>
      <c r="N474" s="24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24"/>
      <c r="M475" s="16"/>
      <c r="N475" s="24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24"/>
      <c r="M476" s="16"/>
      <c r="N476" s="24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24"/>
      <c r="M477" s="16"/>
      <c r="N477" s="24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24"/>
      <c r="M478" s="16"/>
      <c r="N478" s="24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24"/>
      <c r="M479" s="16"/>
      <c r="N479" s="24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24"/>
      <c r="M480" s="16"/>
      <c r="N480" s="24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24"/>
      <c r="M481" s="16"/>
      <c r="N481" s="24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24"/>
      <c r="M482" s="16"/>
      <c r="N482" s="24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24"/>
      <c r="M483" s="16"/>
      <c r="N483" s="24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24"/>
      <c r="M484" s="16"/>
      <c r="N484" s="24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24"/>
      <c r="M485" s="16"/>
      <c r="N485" s="24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24"/>
      <c r="M486" s="16"/>
      <c r="N486" s="24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24"/>
      <c r="M487" s="16"/>
      <c r="N487" s="24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24"/>
      <c r="M488" s="16"/>
      <c r="N488" s="24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24"/>
      <c r="M489" s="16"/>
      <c r="N489" s="24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24"/>
      <c r="M490" s="16"/>
      <c r="N490" s="24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24"/>
      <c r="M491" s="16"/>
      <c r="N491" s="24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24"/>
      <c r="M492" s="16"/>
      <c r="N492" s="24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24"/>
      <c r="M493" s="16"/>
      <c r="N493" s="24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24"/>
      <c r="M494" s="16"/>
      <c r="N494" s="24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24"/>
      <c r="M495" s="16"/>
      <c r="N495" s="24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24"/>
      <c r="M496" s="16"/>
      <c r="N496" s="24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24"/>
      <c r="M497" s="16"/>
      <c r="N497" s="24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24"/>
      <c r="M498" s="16"/>
      <c r="N498" s="24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24"/>
      <c r="M499" s="16"/>
      <c r="N499" s="24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24"/>
      <c r="M500" s="16"/>
      <c r="N500" s="24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24"/>
      <c r="M501" s="16"/>
      <c r="N501" s="24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24"/>
      <c r="M502" s="16"/>
      <c r="N502" s="24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24"/>
      <c r="M503" s="16"/>
      <c r="N503" s="24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24"/>
      <c r="M504" s="16"/>
      <c r="N504" s="24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24"/>
      <c r="M505" s="16"/>
      <c r="N505" s="24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24"/>
      <c r="M506" s="16"/>
      <c r="N506" s="24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24"/>
      <c r="M507" s="16"/>
      <c r="N507" s="24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24"/>
      <c r="M508" s="16"/>
      <c r="N508" s="24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24"/>
      <c r="M509" s="16"/>
      <c r="N509" s="24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24"/>
      <c r="M510" s="16"/>
      <c r="N510" s="24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24"/>
      <c r="M511" s="16"/>
      <c r="N511" s="24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24"/>
      <c r="M512" s="16"/>
      <c r="N512" s="24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24"/>
      <c r="M513" s="16"/>
      <c r="N513" s="24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24"/>
      <c r="M514" s="16"/>
      <c r="N514" s="24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24"/>
      <c r="M515" s="16"/>
      <c r="N515" s="24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24"/>
      <c r="M516" s="16"/>
      <c r="N516" s="24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24"/>
      <c r="M517" s="16"/>
      <c r="N517" s="24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24"/>
      <c r="M518" s="16"/>
      <c r="N518" s="24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24"/>
      <c r="M519" s="16"/>
      <c r="N519" s="24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24"/>
      <c r="M520" s="16"/>
      <c r="N520" s="24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24"/>
      <c r="M521" s="16"/>
      <c r="N521" s="24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24"/>
      <c r="M522" s="16"/>
      <c r="N522" s="24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24"/>
      <c r="M523" s="16"/>
      <c r="N523" s="24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24"/>
      <c r="M524" s="16"/>
      <c r="N524" s="24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24"/>
      <c r="M525" s="16"/>
      <c r="N525" s="24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24"/>
      <c r="M526" s="16"/>
      <c r="N526" s="24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24"/>
      <c r="M527" s="16"/>
      <c r="N527" s="24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24"/>
      <c r="M528" s="16"/>
      <c r="N528" s="24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24"/>
      <c r="M529" s="16"/>
      <c r="N529" s="24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24"/>
      <c r="M530" s="16"/>
      <c r="N530" s="24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24"/>
      <c r="M531" s="16"/>
      <c r="N531" s="24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24"/>
      <c r="M532" s="16"/>
      <c r="N532" s="24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24"/>
      <c r="M533" s="16"/>
      <c r="N533" s="24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24"/>
      <c r="M534" s="16"/>
      <c r="N534" s="24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24"/>
      <c r="M535" s="16"/>
      <c r="N535" s="24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24"/>
      <c r="M536" s="16"/>
      <c r="N536" s="24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24"/>
      <c r="M537" s="16"/>
      <c r="N537" s="24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24"/>
      <c r="M538" s="16"/>
      <c r="N538" s="24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24"/>
      <c r="M539" s="16"/>
      <c r="N539" s="24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24"/>
      <c r="M540" s="16"/>
      <c r="N540" s="24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24"/>
      <c r="M541" s="16"/>
      <c r="N541" s="24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24"/>
      <c r="M542" s="16"/>
      <c r="N542" s="24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24"/>
      <c r="M543" s="16"/>
      <c r="N543" s="24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24"/>
      <c r="M544" s="16"/>
      <c r="N544" s="24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24"/>
      <c r="M545" s="16"/>
      <c r="N545" s="24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24"/>
      <c r="M546" s="16"/>
      <c r="N546" s="24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24"/>
      <c r="M547" s="16"/>
      <c r="N547" s="24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24"/>
      <c r="M548" s="16"/>
      <c r="N548" s="24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24"/>
      <c r="M549" s="16"/>
      <c r="N549" s="24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24"/>
      <c r="M550" s="16"/>
      <c r="N550" s="24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24"/>
      <c r="M551" s="16"/>
      <c r="N551" s="24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24"/>
      <c r="M552" s="16"/>
      <c r="N552" s="24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24"/>
      <c r="M553" s="16"/>
      <c r="N553" s="24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24"/>
      <c r="M554" s="16"/>
      <c r="N554" s="24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24"/>
      <c r="M555" s="16"/>
      <c r="N555" s="24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24"/>
      <c r="M556" s="16"/>
      <c r="N556" s="24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24"/>
      <c r="M557" s="16"/>
      <c r="N557" s="24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24"/>
      <c r="M558" s="16"/>
      <c r="N558" s="24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24"/>
      <c r="M559" s="16"/>
      <c r="N559" s="24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24"/>
      <c r="M560" s="16"/>
      <c r="N560" s="24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24"/>
      <c r="M561" s="16"/>
      <c r="N561" s="24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24"/>
      <c r="M562" s="16"/>
      <c r="N562" s="24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24"/>
      <c r="M563" s="16"/>
      <c r="N563" s="24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24"/>
      <c r="M564" s="16"/>
      <c r="N564" s="24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24"/>
      <c r="M565" s="16"/>
      <c r="N565" s="24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24"/>
      <c r="M566" s="16"/>
      <c r="N566" s="24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24"/>
      <c r="M567" s="16"/>
      <c r="N567" s="24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24"/>
      <c r="M568" s="16"/>
      <c r="N568" s="24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24"/>
      <c r="M569" s="16"/>
      <c r="N569" s="24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24"/>
      <c r="M570" s="16"/>
      <c r="N570" s="24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24"/>
      <c r="M571" s="16"/>
      <c r="N571" s="24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24"/>
      <c r="M572" s="16"/>
      <c r="N572" s="24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24"/>
      <c r="M573" s="16"/>
      <c r="N573" s="24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24"/>
      <c r="M574" s="16"/>
      <c r="N574" s="24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24"/>
      <c r="M575" s="16"/>
      <c r="N575" s="24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24"/>
      <c r="M576" s="16"/>
      <c r="N576" s="24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24"/>
      <c r="M577" s="16"/>
      <c r="N577" s="24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24"/>
      <c r="M578" s="16"/>
      <c r="N578" s="24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24"/>
      <c r="M579" s="16"/>
      <c r="N579" s="24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24"/>
      <c r="M580" s="16"/>
      <c r="N580" s="24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24"/>
      <c r="M581" s="16"/>
      <c r="N581" s="24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24"/>
      <c r="M582" s="16"/>
      <c r="N582" s="24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24"/>
      <c r="M583" s="16"/>
      <c r="N583" s="24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24"/>
      <c r="M584" s="16"/>
      <c r="N584" s="24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24"/>
      <c r="M585" s="16"/>
      <c r="N585" s="24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24"/>
      <c r="M586" s="16"/>
      <c r="N586" s="24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24"/>
      <c r="M587" s="16"/>
      <c r="N587" s="24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24"/>
      <c r="M588" s="16"/>
      <c r="N588" s="24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24"/>
      <c r="M589" s="16"/>
      <c r="N589" s="24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24"/>
      <c r="M590" s="16"/>
      <c r="N590" s="24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24"/>
      <c r="M591" s="16"/>
      <c r="N591" s="24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24"/>
      <c r="M592" s="16"/>
      <c r="N592" s="24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24"/>
      <c r="M593" s="16"/>
      <c r="N593" s="24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24"/>
      <c r="M594" s="16"/>
      <c r="N594" s="24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24"/>
      <c r="M595" s="16"/>
      <c r="N595" s="24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24"/>
      <c r="M596" s="16"/>
      <c r="N596" s="24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24"/>
      <c r="M597" s="16"/>
      <c r="N597" s="24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24"/>
      <c r="M598" s="16"/>
      <c r="N598" s="24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24"/>
      <c r="M599" s="16"/>
      <c r="N599" s="24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24"/>
      <c r="M600" s="16"/>
      <c r="N600" s="24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24"/>
      <c r="M601" s="16"/>
      <c r="N601" s="24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24"/>
      <c r="M602" s="16"/>
      <c r="N602" s="24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24"/>
      <c r="M603" s="16"/>
      <c r="N603" s="24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24"/>
      <c r="M604" s="16"/>
      <c r="N604" s="24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24"/>
      <c r="M605" s="16"/>
      <c r="N605" s="24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24"/>
      <c r="M606" s="16"/>
      <c r="N606" s="24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24"/>
      <c r="M607" s="16"/>
      <c r="N607" s="24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24"/>
      <c r="M608" s="16"/>
      <c r="N608" s="24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24"/>
      <c r="M609" s="16"/>
      <c r="N609" s="24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24"/>
      <c r="M610" s="16"/>
      <c r="N610" s="24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24"/>
      <c r="M611" s="16"/>
      <c r="N611" s="24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24"/>
      <c r="M612" s="16"/>
      <c r="N612" s="24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24"/>
      <c r="M613" s="16"/>
      <c r="N613" s="24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24"/>
      <c r="M614" s="16"/>
      <c r="N614" s="24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24"/>
      <c r="M615" s="16"/>
      <c r="N615" s="24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24"/>
      <c r="M616" s="16"/>
      <c r="N616" s="24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24"/>
      <c r="M617" s="16"/>
      <c r="N617" s="24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24"/>
      <c r="M618" s="16"/>
      <c r="N618" s="24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24"/>
      <c r="M619" s="16"/>
      <c r="N619" s="24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24"/>
      <c r="M620" s="16"/>
      <c r="N620" s="24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24"/>
      <c r="M621" s="16"/>
      <c r="N621" s="24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24"/>
      <c r="M622" s="16"/>
      <c r="N622" s="24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24"/>
      <c r="M623" s="16"/>
      <c r="N623" s="24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24"/>
      <c r="M624" s="16"/>
      <c r="N624" s="24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24"/>
      <c r="M625" s="16"/>
      <c r="N625" s="24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24"/>
      <c r="M626" s="16"/>
      <c r="N626" s="24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24"/>
      <c r="M627" s="16"/>
      <c r="N627" s="24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24"/>
      <c r="M628" s="16"/>
      <c r="N628" s="24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24"/>
      <c r="M629" s="16"/>
      <c r="N629" s="24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24"/>
      <c r="M630" s="16"/>
      <c r="N630" s="24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24"/>
      <c r="M631" s="16"/>
      <c r="N631" s="24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24"/>
      <c r="M632" s="16"/>
      <c r="N632" s="24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24"/>
      <c r="M633" s="16"/>
      <c r="N633" s="24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24"/>
      <c r="M634" s="16"/>
      <c r="N634" s="24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24"/>
      <c r="M635" s="16"/>
      <c r="N635" s="24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24"/>
      <c r="M636" s="16"/>
      <c r="N636" s="24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24"/>
      <c r="M637" s="16"/>
      <c r="N637" s="24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24"/>
      <c r="M638" s="16"/>
      <c r="N638" s="24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24"/>
      <c r="M639" s="16"/>
      <c r="N639" s="24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24"/>
      <c r="M640" s="16"/>
      <c r="N640" s="24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24"/>
      <c r="M641" s="16"/>
      <c r="N641" s="24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24"/>
      <c r="M642" s="16"/>
      <c r="N642" s="24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24"/>
      <c r="M643" s="16"/>
      <c r="N643" s="24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24"/>
      <c r="M644" s="16"/>
      <c r="N644" s="24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24"/>
      <c r="M645" s="16"/>
      <c r="N645" s="24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24"/>
      <c r="M646" s="16"/>
      <c r="N646" s="24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24"/>
      <c r="M647" s="16"/>
      <c r="N647" s="24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24"/>
      <c r="M648" s="16"/>
      <c r="N648" s="24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24"/>
      <c r="M649" s="16"/>
      <c r="N649" s="24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24"/>
      <c r="M650" s="16"/>
      <c r="N650" s="24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24"/>
      <c r="M651" s="16"/>
      <c r="N651" s="24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24"/>
      <c r="M652" s="16"/>
      <c r="N652" s="24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24"/>
      <c r="M653" s="16"/>
      <c r="N653" s="24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24"/>
      <c r="M654" s="16"/>
      <c r="N654" s="24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24"/>
      <c r="M655" s="16"/>
      <c r="N655" s="24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24"/>
      <c r="M656" s="16"/>
      <c r="N656" s="24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24"/>
      <c r="M657" s="16"/>
      <c r="N657" s="24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24"/>
      <c r="M658" s="16"/>
      <c r="N658" s="24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24"/>
      <c r="M659" s="16"/>
      <c r="N659" s="24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24"/>
      <c r="M660" s="16"/>
      <c r="N660" s="24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24"/>
      <c r="M661" s="16"/>
      <c r="N661" s="24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24"/>
      <c r="M662" s="16"/>
      <c r="N662" s="24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24"/>
      <c r="M663" s="16"/>
      <c r="N663" s="24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24"/>
      <c r="M664" s="16"/>
      <c r="N664" s="24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24"/>
      <c r="M665" s="16"/>
      <c r="N665" s="24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24"/>
      <c r="M666" s="16"/>
      <c r="N666" s="24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24"/>
      <c r="M667" s="16"/>
      <c r="N667" s="24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24"/>
      <c r="M668" s="16"/>
      <c r="N668" s="24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24"/>
      <c r="M669" s="16"/>
      <c r="N669" s="24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24"/>
      <c r="M670" s="16"/>
      <c r="N670" s="24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24"/>
      <c r="M671" s="16"/>
      <c r="N671" s="24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24"/>
      <c r="M672" s="16"/>
      <c r="N672" s="24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24"/>
      <c r="M673" s="16"/>
      <c r="N673" s="24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24"/>
      <c r="M674" s="16"/>
      <c r="N674" s="24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24"/>
      <c r="M675" s="16"/>
      <c r="N675" s="24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24"/>
      <c r="M676" s="16"/>
      <c r="N676" s="24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24"/>
      <c r="M677" s="16"/>
      <c r="N677" s="24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24"/>
      <c r="M678" s="16"/>
      <c r="N678" s="24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24"/>
      <c r="M679" s="16"/>
      <c r="N679" s="24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24"/>
      <c r="M680" s="16"/>
      <c r="N680" s="24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24"/>
      <c r="M681" s="16"/>
      <c r="N681" s="24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24"/>
      <c r="M682" s="16"/>
      <c r="N682" s="24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24"/>
      <c r="M683" s="16"/>
      <c r="N683" s="24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24"/>
      <c r="M684" s="16"/>
      <c r="N684" s="24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24"/>
      <c r="M685" s="16"/>
      <c r="N685" s="24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24"/>
      <c r="M686" s="16"/>
      <c r="N686" s="24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24"/>
      <c r="M687" s="16"/>
      <c r="N687" s="24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24"/>
      <c r="M688" s="16"/>
      <c r="N688" s="24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24"/>
      <c r="M689" s="16"/>
      <c r="N689" s="24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24"/>
      <c r="M690" s="16"/>
      <c r="N690" s="24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24"/>
      <c r="M691" s="16"/>
      <c r="N691" s="24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24"/>
      <c r="M692" s="16"/>
      <c r="N692" s="24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24"/>
      <c r="M693" s="16"/>
      <c r="N693" s="24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24"/>
      <c r="M694" s="16"/>
      <c r="N694" s="24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24"/>
      <c r="M695" s="16"/>
      <c r="N695" s="24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24"/>
      <c r="M696" s="16"/>
      <c r="N696" s="24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24"/>
      <c r="M697" s="16"/>
      <c r="N697" s="24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24"/>
      <c r="M698" s="16"/>
      <c r="N698" s="24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24"/>
      <c r="M699" s="16"/>
      <c r="N699" s="24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24"/>
      <c r="M700" s="16"/>
      <c r="N700" s="24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24"/>
      <c r="M701" s="16"/>
      <c r="N701" s="24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24"/>
      <c r="M702" s="16"/>
      <c r="N702" s="24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24"/>
      <c r="M703" s="16"/>
      <c r="N703" s="24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24"/>
      <c r="M704" s="16"/>
      <c r="N704" s="24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24"/>
      <c r="M705" s="16"/>
      <c r="N705" s="24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24"/>
      <c r="M706" s="16"/>
      <c r="N706" s="24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24"/>
      <c r="M707" s="16"/>
      <c r="N707" s="24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24"/>
      <c r="M708" s="16"/>
      <c r="N708" s="24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24"/>
      <c r="M709" s="16"/>
      <c r="N709" s="24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24"/>
      <c r="M710" s="16"/>
      <c r="N710" s="24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24"/>
      <c r="M711" s="16"/>
      <c r="N711" s="24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24"/>
      <c r="M712" s="16"/>
      <c r="N712" s="24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24"/>
      <c r="M713" s="16"/>
      <c r="N713" s="24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24"/>
      <c r="M714" s="16"/>
      <c r="N714" s="24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24"/>
      <c r="M715" s="16"/>
      <c r="N715" s="24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24"/>
      <c r="M716" s="16"/>
      <c r="N716" s="24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24"/>
      <c r="M717" s="16"/>
      <c r="N717" s="24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24"/>
      <c r="M718" s="16"/>
      <c r="N718" s="24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24"/>
      <c r="M719" s="16"/>
      <c r="N719" s="24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24"/>
      <c r="M720" s="16"/>
      <c r="N720" s="24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24"/>
      <c r="M721" s="16"/>
      <c r="N721" s="24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24"/>
      <c r="M722" s="16"/>
      <c r="N722" s="24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24"/>
      <c r="M723" s="16"/>
      <c r="N723" s="24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24"/>
      <c r="M724" s="16"/>
      <c r="N724" s="24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24"/>
      <c r="M725" s="16"/>
      <c r="N725" s="24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24"/>
      <c r="M726" s="16"/>
      <c r="N726" s="24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24"/>
      <c r="M727" s="16"/>
      <c r="N727" s="24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24"/>
      <c r="M728" s="16"/>
      <c r="N728" s="24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24"/>
      <c r="M729" s="16"/>
      <c r="N729" s="24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24"/>
      <c r="M730" s="16"/>
      <c r="N730" s="24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24"/>
      <c r="M731" s="16"/>
      <c r="N731" s="24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24"/>
      <c r="M732" s="16"/>
      <c r="N732" s="24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24"/>
      <c r="M733" s="16"/>
      <c r="N733" s="24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24"/>
      <c r="M734" s="16"/>
      <c r="N734" s="24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24"/>
      <c r="M735" s="16"/>
      <c r="N735" s="24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24"/>
      <c r="M736" s="16"/>
      <c r="N736" s="24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24"/>
      <c r="M737" s="16"/>
      <c r="N737" s="24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24"/>
      <c r="M738" s="16"/>
      <c r="N738" s="24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24"/>
      <c r="M739" s="16"/>
      <c r="N739" s="24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24"/>
      <c r="M740" s="16"/>
      <c r="N740" s="24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24"/>
      <c r="M741" s="16"/>
      <c r="N741" s="24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24"/>
      <c r="M742" s="16"/>
      <c r="N742" s="24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24"/>
      <c r="M743" s="16"/>
      <c r="N743" s="24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24"/>
      <c r="M744" s="16"/>
      <c r="N744" s="24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24"/>
      <c r="M745" s="16"/>
      <c r="N745" s="24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24"/>
      <c r="M746" s="16"/>
      <c r="N746" s="24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24"/>
      <c r="M747" s="16"/>
      <c r="N747" s="24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24"/>
      <c r="M748" s="16"/>
      <c r="N748" s="24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24"/>
      <c r="M749" s="16"/>
      <c r="N749" s="24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24"/>
      <c r="M750" s="16"/>
      <c r="N750" s="24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24"/>
      <c r="M751" s="16"/>
      <c r="N751" s="24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24"/>
      <c r="M752" s="16"/>
      <c r="N752" s="24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24"/>
      <c r="M753" s="16"/>
      <c r="N753" s="24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24"/>
      <c r="M754" s="16"/>
      <c r="N754" s="24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24"/>
      <c r="M755" s="16"/>
      <c r="N755" s="24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24"/>
      <c r="M756" s="16"/>
      <c r="N756" s="24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24"/>
      <c r="M757" s="16"/>
      <c r="N757" s="24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24"/>
      <c r="M758" s="16"/>
      <c r="N758" s="24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24"/>
      <c r="M759" s="16"/>
      <c r="N759" s="24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24"/>
      <c r="M760" s="16"/>
      <c r="N760" s="24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24"/>
      <c r="M761" s="16"/>
      <c r="N761" s="24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24"/>
      <c r="M762" s="16"/>
      <c r="N762" s="24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24"/>
      <c r="M763" s="16"/>
      <c r="N763" s="24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24"/>
      <c r="M764" s="16"/>
      <c r="N764" s="24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24"/>
      <c r="M765" s="16"/>
      <c r="N765" s="24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24"/>
      <c r="M766" s="16"/>
      <c r="N766" s="24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24"/>
      <c r="M767" s="16"/>
      <c r="N767" s="24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24"/>
      <c r="M768" s="16"/>
      <c r="N768" s="24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24"/>
      <c r="M769" s="16"/>
      <c r="N769" s="24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24"/>
      <c r="M770" s="16"/>
      <c r="N770" s="24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24"/>
      <c r="M771" s="16"/>
      <c r="N771" s="24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24"/>
      <c r="M772" s="16"/>
      <c r="N772" s="24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24"/>
      <c r="M773" s="16"/>
      <c r="N773" s="24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24"/>
      <c r="M774" s="16"/>
      <c r="N774" s="24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24"/>
      <c r="M775" s="16"/>
      <c r="N775" s="24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24"/>
      <c r="M776" s="16"/>
      <c r="N776" s="24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24"/>
      <c r="M777" s="16"/>
      <c r="N777" s="24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24"/>
      <c r="M778" s="16"/>
      <c r="N778" s="24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24"/>
      <c r="M779" s="16"/>
      <c r="N779" s="24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24"/>
      <c r="M780" s="16"/>
      <c r="N780" s="24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24"/>
      <c r="M781" s="16"/>
      <c r="N781" s="24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24"/>
      <c r="M782" s="16"/>
      <c r="N782" s="24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24"/>
      <c r="M783" s="16"/>
      <c r="N783" s="24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24"/>
      <c r="M784" s="16"/>
      <c r="N784" s="24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24"/>
      <c r="M785" s="16"/>
      <c r="N785" s="24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24"/>
      <c r="M786" s="16"/>
      <c r="N786" s="24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24"/>
      <c r="M787" s="16"/>
      <c r="N787" s="24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24"/>
      <c r="M788" s="16"/>
      <c r="N788" s="24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24"/>
      <c r="M789" s="16"/>
      <c r="N789" s="24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24"/>
      <c r="M790" s="16"/>
      <c r="N790" s="24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24"/>
      <c r="M791" s="16"/>
      <c r="N791" s="24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24"/>
      <c r="M792" s="16"/>
      <c r="N792" s="24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24"/>
      <c r="M793" s="16"/>
      <c r="N793" s="24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24"/>
      <c r="M794" s="16"/>
      <c r="N794" s="24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24"/>
      <c r="M795" s="16"/>
      <c r="N795" s="24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24"/>
      <c r="M796" s="16"/>
      <c r="N796" s="24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24"/>
      <c r="M797" s="16"/>
      <c r="N797" s="24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24"/>
      <c r="M798" s="16"/>
      <c r="N798" s="24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24"/>
      <c r="M799" s="16"/>
      <c r="N799" s="24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24"/>
      <c r="M800" s="16"/>
      <c r="N800" s="24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24"/>
      <c r="M801" s="16"/>
      <c r="N801" s="24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24"/>
      <c r="M802" s="16"/>
      <c r="N802" s="24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24"/>
      <c r="M803" s="16"/>
      <c r="N803" s="24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24"/>
      <c r="M804" s="16"/>
      <c r="N804" s="24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24"/>
      <c r="M805" s="16"/>
      <c r="N805" s="24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24"/>
      <c r="M806" s="16"/>
      <c r="N806" s="24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24"/>
      <c r="M807" s="16"/>
      <c r="N807" s="24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24"/>
      <c r="M808" s="16"/>
      <c r="N808" s="24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24"/>
      <c r="M809" s="16"/>
      <c r="N809" s="24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24"/>
      <c r="M810" s="16"/>
      <c r="N810" s="24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24"/>
      <c r="M811" s="16"/>
      <c r="N811" s="24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24"/>
      <c r="M812" s="16"/>
      <c r="N812" s="24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24"/>
      <c r="M813" s="16"/>
      <c r="N813" s="24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24"/>
      <c r="M814" s="16"/>
      <c r="N814" s="24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24"/>
      <c r="M815" s="16"/>
      <c r="N815" s="24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24"/>
      <c r="M816" s="16"/>
      <c r="N816" s="24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24"/>
      <c r="M817" s="16"/>
      <c r="N817" s="24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24"/>
      <c r="M818" s="16"/>
      <c r="N818" s="24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24"/>
      <c r="M819" s="16"/>
      <c r="N819" s="24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24"/>
      <c r="M820" s="16"/>
      <c r="N820" s="24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24"/>
      <c r="M821" s="16"/>
      <c r="N821" s="24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24"/>
      <c r="M822" s="16"/>
      <c r="N822" s="24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24"/>
      <c r="M823" s="16"/>
      <c r="N823" s="24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24"/>
      <c r="M824" s="16"/>
      <c r="N824" s="24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24"/>
      <c r="M825" s="16"/>
      <c r="N825" s="24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24"/>
      <c r="M826" s="16"/>
      <c r="N826" s="24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24"/>
      <c r="M827" s="16"/>
      <c r="N827" s="24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24"/>
      <c r="M828" s="16"/>
      <c r="N828" s="24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24"/>
      <c r="M829" s="16"/>
      <c r="N829" s="24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24"/>
      <c r="M830" s="16"/>
      <c r="N830" s="24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24"/>
      <c r="M831" s="16"/>
      <c r="N831" s="24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24"/>
      <c r="M832" s="16"/>
      <c r="N832" s="24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24"/>
      <c r="M833" s="16"/>
      <c r="N833" s="24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24"/>
      <c r="M834" s="16"/>
      <c r="N834" s="24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24"/>
      <c r="M835" s="16"/>
      <c r="N835" s="24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24"/>
      <c r="M836" s="16"/>
      <c r="N836" s="24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24"/>
      <c r="M837" s="16"/>
      <c r="N837" s="24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24"/>
      <c r="M838" s="16"/>
      <c r="N838" s="24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24"/>
      <c r="M839" s="16"/>
      <c r="N839" s="24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24"/>
      <c r="M840" s="16"/>
      <c r="N840" s="24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24"/>
      <c r="M841" s="16"/>
      <c r="N841" s="24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24"/>
      <c r="M842" s="16"/>
      <c r="N842" s="24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24"/>
      <c r="M843" s="16"/>
      <c r="N843" s="24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24"/>
      <c r="M844" s="16"/>
      <c r="N844" s="24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24"/>
      <c r="M845" s="16"/>
      <c r="N845" s="24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24"/>
      <c r="M846" s="16"/>
      <c r="N846" s="24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24"/>
      <c r="M847" s="16"/>
      <c r="N847" s="24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24"/>
      <c r="M848" s="16"/>
      <c r="N848" s="24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24"/>
      <c r="M849" s="16"/>
      <c r="N849" s="24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24"/>
      <c r="M850" s="16"/>
      <c r="N850" s="24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24"/>
      <c r="M851" s="16"/>
      <c r="N851" s="24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24"/>
      <c r="M852" s="16"/>
      <c r="N852" s="24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24"/>
      <c r="M853" s="16"/>
      <c r="N853" s="24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24"/>
      <c r="M854" s="16"/>
      <c r="N854" s="24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24"/>
      <c r="M855" s="16"/>
      <c r="N855" s="24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24"/>
      <c r="M856" s="16"/>
      <c r="N856" s="24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24"/>
      <c r="M857" s="16"/>
      <c r="N857" s="24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24"/>
      <c r="M858" s="16"/>
      <c r="N858" s="24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24"/>
      <c r="M859" s="16"/>
      <c r="N859" s="24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24"/>
      <c r="M860" s="16"/>
      <c r="N860" s="24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24"/>
      <c r="M861" s="16"/>
      <c r="N861" s="24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24"/>
      <c r="M862" s="16"/>
      <c r="N862" s="24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24"/>
      <c r="M863" s="16"/>
      <c r="N863" s="24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24"/>
      <c r="M864" s="16"/>
      <c r="N864" s="24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24"/>
      <c r="M865" s="16"/>
      <c r="N865" s="24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24"/>
      <c r="M866" s="16"/>
      <c r="N866" s="24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24"/>
      <c r="M867" s="16"/>
      <c r="N867" s="24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24"/>
      <c r="M868" s="16"/>
      <c r="N868" s="24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24"/>
      <c r="M869" s="16"/>
      <c r="N869" s="24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24"/>
      <c r="M870" s="16"/>
      <c r="N870" s="24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24"/>
      <c r="M871" s="16"/>
      <c r="N871" s="24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24"/>
      <c r="M872" s="16"/>
      <c r="N872" s="24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24"/>
      <c r="M873" s="16"/>
      <c r="N873" s="24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24"/>
      <c r="M874" s="16"/>
      <c r="N874" s="24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24"/>
      <c r="M875" s="16"/>
      <c r="N875" s="24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24"/>
      <c r="M876" s="16"/>
      <c r="N876" s="24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24"/>
      <c r="M877" s="16"/>
      <c r="N877" s="24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24"/>
      <c r="M878" s="16"/>
      <c r="N878" s="24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24"/>
      <c r="M879" s="16"/>
      <c r="N879" s="24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24"/>
      <c r="M880" s="16"/>
      <c r="N880" s="24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24"/>
      <c r="M881" s="16"/>
      <c r="N881" s="24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24"/>
      <c r="M882" s="16"/>
      <c r="N882" s="24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24"/>
      <c r="M883" s="16"/>
      <c r="N883" s="24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24"/>
      <c r="M884" s="16"/>
      <c r="N884" s="24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24"/>
      <c r="M885" s="16"/>
      <c r="N885" s="24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24"/>
      <c r="M886" s="16"/>
      <c r="N886" s="24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24"/>
      <c r="M887" s="16"/>
      <c r="N887" s="24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24"/>
      <c r="M888" s="16"/>
      <c r="N888" s="24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24"/>
      <c r="M889" s="16"/>
      <c r="N889" s="24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24"/>
      <c r="M890" s="16"/>
      <c r="N890" s="24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24"/>
      <c r="M891" s="16"/>
      <c r="N891" s="24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24"/>
      <c r="M892" s="16"/>
      <c r="N892" s="24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24"/>
      <c r="M893" s="16"/>
      <c r="N893" s="24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24"/>
      <c r="M894" s="16"/>
      <c r="N894" s="24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24"/>
      <c r="M895" s="16"/>
      <c r="N895" s="24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24"/>
      <c r="M896" s="16"/>
      <c r="N896" s="24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24"/>
      <c r="M897" s="16"/>
      <c r="N897" s="24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24"/>
      <c r="M898" s="16"/>
      <c r="N898" s="24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24"/>
      <c r="M899" s="16"/>
      <c r="N899" s="24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24"/>
      <c r="M900" s="16"/>
      <c r="N900" s="24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24"/>
      <c r="M901" s="16"/>
      <c r="N901" s="24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24"/>
      <c r="M902" s="16"/>
      <c r="N902" s="24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24"/>
      <c r="M903" s="16"/>
      <c r="N903" s="24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24"/>
      <c r="M904" s="16"/>
      <c r="N904" s="24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24"/>
      <c r="M905" s="16"/>
      <c r="N905" s="24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24"/>
      <c r="M906" s="16"/>
      <c r="N906" s="24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24"/>
      <c r="M907" s="16"/>
      <c r="N907" s="24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24"/>
      <c r="M908" s="16"/>
      <c r="N908" s="24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24"/>
      <c r="M909" s="16"/>
      <c r="N909" s="24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24"/>
      <c r="M910" s="16"/>
      <c r="N910" s="24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24"/>
      <c r="M911" s="16"/>
      <c r="N911" s="24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24"/>
      <c r="M912" s="16"/>
      <c r="N912" s="24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24"/>
      <c r="M913" s="16"/>
      <c r="N913" s="24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24"/>
      <c r="M914" s="16"/>
      <c r="N914" s="24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24"/>
      <c r="M915" s="16"/>
      <c r="N915" s="24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24"/>
      <c r="M916" s="16"/>
      <c r="N916" s="24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24"/>
      <c r="M917" s="16"/>
      <c r="N917" s="24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24"/>
      <c r="M918" s="16"/>
      <c r="N918" s="24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24"/>
      <c r="M919" s="16"/>
      <c r="N919" s="24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24"/>
      <c r="M920" s="16"/>
      <c r="N920" s="24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24"/>
      <c r="M921" s="16"/>
      <c r="N921" s="24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24"/>
      <c r="M922" s="16"/>
      <c r="N922" s="24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24"/>
      <c r="M923" s="16"/>
      <c r="N923" s="24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24"/>
      <c r="M924" s="16"/>
      <c r="N924" s="24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24"/>
      <c r="M925" s="16"/>
      <c r="N925" s="24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24"/>
      <c r="M926" s="16"/>
      <c r="N926" s="24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24"/>
      <c r="M927" s="16"/>
      <c r="N927" s="24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24"/>
      <c r="M928" s="16"/>
      <c r="N928" s="24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24"/>
      <c r="M929" s="16"/>
      <c r="N929" s="24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24"/>
      <c r="M930" s="16"/>
      <c r="N930" s="24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24"/>
      <c r="M931" s="16"/>
      <c r="N931" s="24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24"/>
      <c r="M932" s="16"/>
      <c r="N932" s="24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24"/>
      <c r="M933" s="16"/>
      <c r="N933" s="24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24"/>
      <c r="M934" s="16"/>
      <c r="N934" s="24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24"/>
      <c r="M935" s="16"/>
      <c r="N935" s="24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24"/>
      <c r="M936" s="16"/>
      <c r="N936" s="24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24"/>
      <c r="M937" s="16"/>
      <c r="N937" s="24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24"/>
      <c r="M938" s="16"/>
      <c r="N938" s="24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24"/>
      <c r="M939" s="16"/>
      <c r="N939" s="24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24"/>
      <c r="M940" s="16"/>
      <c r="N940" s="24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24"/>
      <c r="M941" s="16"/>
      <c r="N941" s="24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24"/>
      <c r="M942" s="16"/>
      <c r="N942" s="24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24"/>
      <c r="M943" s="16"/>
      <c r="N943" s="24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24"/>
      <c r="M944" s="16"/>
      <c r="N944" s="24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24"/>
      <c r="M945" s="16"/>
      <c r="N945" s="24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24"/>
      <c r="M946" s="16"/>
      <c r="N946" s="24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24"/>
      <c r="M947" s="16"/>
      <c r="N947" s="24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24"/>
      <c r="M948" s="16"/>
      <c r="N948" s="24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24"/>
      <c r="M949" s="16"/>
      <c r="N949" s="24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24"/>
      <c r="M950" s="16"/>
      <c r="N950" s="24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24"/>
      <c r="M951" s="16"/>
      <c r="N951" s="24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24"/>
      <c r="M952" s="16"/>
      <c r="N952" s="24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24"/>
      <c r="M953" s="16"/>
      <c r="N953" s="24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24"/>
      <c r="M954" s="16"/>
      <c r="N954" s="24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24"/>
      <c r="M955" s="16"/>
      <c r="N955" s="24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24"/>
      <c r="M956" s="16"/>
      <c r="N956" s="24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24"/>
      <c r="M957" s="16"/>
      <c r="N957" s="24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24"/>
      <c r="M958" s="16"/>
      <c r="N958" s="24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24"/>
      <c r="M959" s="16"/>
      <c r="N959" s="24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24"/>
      <c r="M960" s="16"/>
      <c r="N960" s="24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24"/>
      <c r="M961" s="16"/>
      <c r="N961" s="24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24"/>
      <c r="M962" s="16"/>
      <c r="N962" s="24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24"/>
      <c r="M963" s="16"/>
      <c r="N963" s="24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24"/>
      <c r="M964" s="16"/>
      <c r="N964" s="24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24"/>
      <c r="M965" s="16"/>
      <c r="N965" s="24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24"/>
      <c r="M966" s="16"/>
      <c r="N966" s="24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24"/>
      <c r="M967" s="16"/>
      <c r="N967" s="24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24"/>
      <c r="M968" s="16"/>
      <c r="N968" s="24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24"/>
      <c r="M969" s="16"/>
      <c r="N969" s="24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24"/>
      <c r="M970" s="16"/>
      <c r="N970" s="24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24"/>
      <c r="M971" s="16"/>
      <c r="N971" s="24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24"/>
      <c r="M972" s="16"/>
      <c r="N972" s="24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24"/>
      <c r="M973" s="16"/>
      <c r="N973" s="24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24"/>
      <c r="M974" s="16"/>
      <c r="N974" s="24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24"/>
      <c r="M975" s="16"/>
      <c r="N975" s="24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24"/>
      <c r="M976" s="16"/>
      <c r="N976" s="24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24"/>
      <c r="M977" s="16"/>
      <c r="N977" s="24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24"/>
      <c r="M978" s="16"/>
      <c r="N978" s="24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24"/>
      <c r="M979" s="16"/>
      <c r="N979" s="24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24"/>
      <c r="M980" s="16"/>
      <c r="N980" s="24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24"/>
      <c r="M981" s="16"/>
      <c r="N981" s="24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24"/>
      <c r="M982" s="16"/>
      <c r="N982" s="24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24"/>
      <c r="M983" s="16"/>
      <c r="N983" s="24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24"/>
      <c r="M984" s="16"/>
      <c r="N984" s="24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24"/>
      <c r="M985" s="16"/>
      <c r="N985" s="24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24"/>
      <c r="M986" s="16"/>
      <c r="N986" s="24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24"/>
      <c r="M987" s="16"/>
      <c r="N987" s="24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24"/>
      <c r="M988" s="16"/>
      <c r="N988" s="24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24"/>
      <c r="M989" s="16"/>
      <c r="N989" s="24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24"/>
      <c r="M990" s="16"/>
      <c r="N990" s="24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24"/>
      <c r="M991" s="16"/>
      <c r="N991" s="24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2026-05-27T09:09:35Z</dcterms:created>
  <dc:creator>Vrushabh Parmar</dc:creator>
</cp:coreProperties>
</file>