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neshare Health\2025\10-30-25 to 11-25-25\"/>
    </mc:Choice>
  </mc:AlternateContent>
  <xr:revisionPtr revIDLastSave="0" documentId="13_ncr:1_{22684C26-5AB7-4EBB-84B5-F49C97F67A11}" xr6:coauthVersionLast="47" xr6:coauthVersionMax="47" xr10:uidLastSave="{00000000-0000-0000-0000-000000000000}"/>
  <bookViews>
    <workbookView xWindow="28680" yWindow="-120" windowWidth="29040" windowHeight="16440" xr2:uid="{F1DFA07E-B4F0-4400-B6CF-1C9D2CEC83EC}"/>
  </bookViews>
  <sheets>
    <sheet name="commissions-all-export-2025_11_" sheetId="1" r:id="rId1"/>
    <sheet name="Sheet1" sheetId="2" r:id="rId2"/>
    <sheet name="Bonus" sheetId="3" r:id="rId3"/>
  </sheets>
  <calcPr calcId="181029"/>
</workbook>
</file>

<file path=xl/calcChain.xml><?xml version="1.0" encoding="utf-8"?>
<calcChain xmlns="http://schemas.openxmlformats.org/spreadsheetml/2006/main">
  <c r="N12" i="3" l="1"/>
  <c r="N11" i="3"/>
  <c r="N10" i="3"/>
  <c r="N9" i="3"/>
  <c r="N8" i="3"/>
  <c r="N7" i="3"/>
  <c r="N6" i="3"/>
  <c r="N5" i="3"/>
  <c r="N4" i="3"/>
  <c r="N3" i="3"/>
  <c r="N2" i="3"/>
</calcChain>
</file>

<file path=xl/sharedStrings.xml><?xml version="1.0" encoding="utf-8"?>
<sst xmlns="http://schemas.openxmlformats.org/spreadsheetml/2006/main" count="466" uniqueCount="67">
  <si>
    <t>Pay to Producer</t>
  </si>
  <si>
    <t>Writing Producer</t>
  </si>
  <si>
    <t>Member</t>
  </si>
  <si>
    <t>Member ID</t>
  </si>
  <si>
    <t>Member Status</t>
  </si>
  <si>
    <t>Member Active Date</t>
  </si>
  <si>
    <t>Member Payment Date</t>
  </si>
  <si>
    <t>Member Payment Type</t>
  </si>
  <si>
    <t>Program Name</t>
  </si>
  <si>
    <t>Monthly Contribution Amount</t>
  </si>
  <si>
    <t>Commissionable Amount</t>
  </si>
  <si>
    <t>Commission Rate</t>
  </si>
  <si>
    <t>Commission Paid</t>
  </si>
  <si>
    <t>Status</t>
  </si>
  <si>
    <t>Commission Payment Date</t>
  </si>
  <si>
    <t>Notes</t>
  </si>
  <si>
    <t>Main Line Benefits, LLC</t>
  </si>
  <si>
    <t>Pamela Deaton [cnhIAB]</t>
  </si>
  <si>
    <t>Laurie Krolikowski</t>
  </si>
  <si>
    <t>Inactive</t>
  </si>
  <si>
    <t>Charge</t>
  </si>
  <si>
    <t>OneShare Catastrophic365 - $150,000/$300,000</t>
  </si>
  <si>
    <t>Unpaid</t>
  </si>
  <si>
    <t>Danna Green [yGeIAK]</t>
  </si>
  <si>
    <t>KATHRYN WOJTAS</t>
  </si>
  <si>
    <t>Active</t>
  </si>
  <si>
    <t>Joseph Weisenfelder</t>
  </si>
  <si>
    <t>Gail Monahan</t>
  </si>
  <si>
    <t>OneShare Catastrophic365 - $250,000/$500,000</t>
  </si>
  <si>
    <t>Sara Huddleston</t>
  </si>
  <si>
    <t>OneShare Classic - Enhanced</t>
  </si>
  <si>
    <t>Carin Weiss-Krolikowski</t>
  </si>
  <si>
    <t>Lori McGowan</t>
  </si>
  <si>
    <t>OneShare Classic - Crown</t>
  </si>
  <si>
    <t>Kelley Fryman</t>
  </si>
  <si>
    <t>Paid</t>
  </si>
  <si>
    <t>Heather Geske [x0rIAD]</t>
  </si>
  <si>
    <t>JOSEPH HUNTZICKER</t>
  </si>
  <si>
    <t>Michael Dunavant [tH7IAK]</t>
  </si>
  <si>
    <t>John Harris</t>
  </si>
  <si>
    <t>Donald Bounds</t>
  </si>
  <si>
    <t>OneShare Catastrophic365 - $500,000/$1,000,000</t>
  </si>
  <si>
    <t>Kelli Maquet</t>
  </si>
  <si>
    <t>Josiah Chya</t>
  </si>
  <si>
    <t>Matthew Eich</t>
  </si>
  <si>
    <t>Danette Weber</t>
  </si>
  <si>
    <t>Alex Diekhoff</t>
  </si>
  <si>
    <t>OneShare Catastrophic - $150,000/$300,000</t>
  </si>
  <si>
    <t>Tobi McBride</t>
  </si>
  <si>
    <t>Ronald Fryman</t>
  </si>
  <si>
    <t>Gary Portugal [M8zIAH]</t>
  </si>
  <si>
    <t>WILLIAM BATKA</t>
  </si>
  <si>
    <t>Barry Brenner [kPiIAJ]</t>
  </si>
  <si>
    <t>Jose Chuya</t>
  </si>
  <si>
    <t>Murray Sterner [W9xIAH]</t>
  </si>
  <si>
    <t>Michael Tudor</t>
  </si>
  <si>
    <t>OneShare Classic - Basic</t>
  </si>
  <si>
    <t>Susan Sansweet</t>
  </si>
  <si>
    <t xml:space="preserve">Pamela Deaton </t>
  </si>
  <si>
    <t xml:space="preserve">Danna Green </t>
  </si>
  <si>
    <t xml:space="preserve">Heather Geske </t>
  </si>
  <si>
    <t xml:space="preserve">Michael Dunavant </t>
  </si>
  <si>
    <t xml:space="preserve">Gary Portugal </t>
  </si>
  <si>
    <t xml:space="preserve">Barry Brenner </t>
  </si>
  <si>
    <t xml:space="preserve">Murray Sterner </t>
  </si>
  <si>
    <t>OneShare</t>
  </si>
  <si>
    <t>Oneshare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</si>
</sst>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AFCFB-D03B-4681-A0FD-3B710298D146}">
  <dimension ref="A1:P94"/>
  <sheetViews>
    <sheetView tabSelected="1" topLeftCell="D1" workbookViewId="0">
      <selection activeCell="M1" sqref="M1:M1048576"/>
    </sheetView>
  </sheetViews>
  <sheetFormatPr defaultRowHeight="15" x14ac:dyDescent="0.25"/>
  <cols>
    <col min="1" max="1" width="21.7109375" bestFit="1" customWidth="1"/>
    <col min="2" max="2" width="47" bestFit="1" customWidth="1"/>
    <col min="3" max="3" width="22.7109375" bestFit="1" customWidth="1"/>
    <col min="4" max="4" width="10.85546875" bestFit="1" customWidth="1"/>
    <col min="5" max="5" width="14.5703125" bestFit="1" customWidth="1"/>
    <col min="6" max="6" width="19.42578125" bestFit="1" customWidth="1"/>
    <col min="7" max="7" width="21.85546875" bestFit="1" customWidth="1"/>
    <col min="8" max="8" width="22" bestFit="1" customWidth="1"/>
    <col min="9" max="9" width="44.42578125" bestFit="1" customWidth="1"/>
    <col min="10" max="10" width="28.28515625" bestFit="1" customWidth="1"/>
    <col min="11" max="11" width="23.7109375" bestFit="1" customWidth="1"/>
    <col min="12" max="12" width="16.42578125" bestFit="1" customWidth="1"/>
    <col min="13" max="13" width="16.28515625" bestFit="1" customWidth="1"/>
    <col min="14" max="14" width="7.28515625" bestFit="1" customWidth="1"/>
    <col min="15" max="15" width="25.140625" bestFit="1" customWidth="1"/>
    <col min="16" max="16" width="24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251809589</v>
      </c>
      <c r="E2" t="s">
        <v>19</v>
      </c>
      <c r="F2" s="1">
        <v>46023</v>
      </c>
      <c r="G2" s="1">
        <v>45986</v>
      </c>
      <c r="H2" t="s">
        <v>20</v>
      </c>
      <c r="I2" t="s">
        <v>21</v>
      </c>
      <c r="J2" s="2">
        <v>170</v>
      </c>
      <c r="K2" s="2">
        <v>160</v>
      </c>
      <c r="L2" s="3">
        <v>0.25</v>
      </c>
      <c r="M2" s="2">
        <v>40</v>
      </c>
      <c r="N2" t="s">
        <v>22</v>
      </c>
    </row>
    <row r="3" spans="1:16" x14ac:dyDescent="0.25">
      <c r="A3" t="s">
        <v>16</v>
      </c>
      <c r="B3" t="s">
        <v>23</v>
      </c>
      <c r="C3" t="s">
        <v>24</v>
      </c>
      <c r="D3">
        <v>1099605</v>
      </c>
      <c r="E3" t="s">
        <v>25</v>
      </c>
      <c r="F3" s="1">
        <v>45833</v>
      </c>
      <c r="G3" s="1">
        <v>45985</v>
      </c>
      <c r="H3" t="s">
        <v>20</v>
      </c>
      <c r="I3" t="s">
        <v>21</v>
      </c>
      <c r="J3" s="2">
        <v>139.38999999999999</v>
      </c>
      <c r="K3" s="2">
        <v>129.38999999999999</v>
      </c>
      <c r="L3" s="3">
        <v>0.25</v>
      </c>
      <c r="M3" s="2">
        <v>32.35</v>
      </c>
      <c r="N3" t="s">
        <v>22</v>
      </c>
    </row>
    <row r="4" spans="1:16" x14ac:dyDescent="0.25">
      <c r="A4" t="s">
        <v>16</v>
      </c>
      <c r="B4" t="s">
        <v>17</v>
      </c>
      <c r="C4" t="s">
        <v>26</v>
      </c>
      <c r="D4">
        <v>251808885</v>
      </c>
      <c r="E4" t="s">
        <v>19</v>
      </c>
      <c r="F4" s="1">
        <v>46023</v>
      </c>
      <c r="G4" s="1">
        <v>45983</v>
      </c>
      <c r="H4" t="s">
        <v>20</v>
      </c>
      <c r="I4" t="s">
        <v>21</v>
      </c>
      <c r="J4" s="2">
        <v>195</v>
      </c>
      <c r="K4" s="2">
        <v>185</v>
      </c>
      <c r="L4" s="3">
        <v>0.25</v>
      </c>
      <c r="M4" s="2">
        <v>46.25</v>
      </c>
      <c r="N4" t="s">
        <v>22</v>
      </c>
    </row>
    <row r="5" spans="1:16" x14ac:dyDescent="0.25">
      <c r="A5" t="s">
        <v>16</v>
      </c>
      <c r="B5" t="s">
        <v>17</v>
      </c>
      <c r="C5" t="s">
        <v>27</v>
      </c>
      <c r="D5">
        <v>251807985</v>
      </c>
      <c r="E5" t="s">
        <v>19</v>
      </c>
      <c r="F5" s="1">
        <v>46023</v>
      </c>
      <c r="G5" s="1">
        <v>45982</v>
      </c>
      <c r="H5" t="s">
        <v>20</v>
      </c>
      <c r="I5" t="s">
        <v>28</v>
      </c>
      <c r="J5" s="2">
        <v>365</v>
      </c>
      <c r="K5" s="2">
        <v>355</v>
      </c>
      <c r="L5" s="3">
        <v>0.25</v>
      </c>
      <c r="M5" s="2">
        <v>88.75</v>
      </c>
      <c r="N5" t="s">
        <v>22</v>
      </c>
    </row>
    <row r="6" spans="1:16" x14ac:dyDescent="0.25">
      <c r="A6" t="s">
        <v>16</v>
      </c>
      <c r="B6" t="s">
        <v>17</v>
      </c>
      <c r="C6" t="s">
        <v>29</v>
      </c>
      <c r="D6">
        <v>251807518</v>
      </c>
      <c r="E6" t="s">
        <v>19</v>
      </c>
      <c r="F6" s="1">
        <v>46023</v>
      </c>
      <c r="G6" s="1">
        <v>45982</v>
      </c>
      <c r="H6" t="s">
        <v>20</v>
      </c>
      <c r="I6" t="s">
        <v>30</v>
      </c>
      <c r="J6" s="2">
        <v>530</v>
      </c>
      <c r="K6" s="2">
        <v>530</v>
      </c>
      <c r="L6" s="2">
        <v>100</v>
      </c>
      <c r="M6" s="2">
        <v>100</v>
      </c>
      <c r="N6" t="s">
        <v>22</v>
      </c>
    </row>
    <row r="7" spans="1:16" x14ac:dyDescent="0.25">
      <c r="A7" t="s">
        <v>16</v>
      </c>
      <c r="B7" t="s">
        <v>17</v>
      </c>
      <c r="C7" t="s">
        <v>29</v>
      </c>
      <c r="D7">
        <v>251807518</v>
      </c>
      <c r="E7" t="s">
        <v>19</v>
      </c>
      <c r="F7" s="1">
        <v>46023</v>
      </c>
      <c r="G7" s="1">
        <v>45982</v>
      </c>
      <c r="H7" t="s">
        <v>20</v>
      </c>
      <c r="I7" t="s">
        <v>30</v>
      </c>
      <c r="J7" s="2">
        <v>530</v>
      </c>
      <c r="K7" s="2">
        <v>510</v>
      </c>
      <c r="L7" s="3">
        <v>0.25</v>
      </c>
      <c r="M7" s="2">
        <v>127.5</v>
      </c>
      <c r="N7" t="s">
        <v>22</v>
      </c>
    </row>
    <row r="8" spans="1:16" x14ac:dyDescent="0.25">
      <c r="A8" t="s">
        <v>16</v>
      </c>
      <c r="B8" t="s">
        <v>17</v>
      </c>
      <c r="C8" t="s">
        <v>31</v>
      </c>
      <c r="D8">
        <v>251806799</v>
      </c>
      <c r="E8" t="s">
        <v>19</v>
      </c>
      <c r="F8" s="1">
        <v>46023</v>
      </c>
      <c r="G8" s="1">
        <v>45981</v>
      </c>
      <c r="H8" t="s">
        <v>20</v>
      </c>
      <c r="I8" t="s">
        <v>28</v>
      </c>
      <c r="J8" s="2">
        <v>365</v>
      </c>
      <c r="K8" s="2">
        <v>355</v>
      </c>
      <c r="L8" s="3">
        <v>0.25</v>
      </c>
      <c r="M8" s="2">
        <v>88.75</v>
      </c>
      <c r="N8" t="s">
        <v>22</v>
      </c>
    </row>
    <row r="9" spans="1:16" x14ac:dyDescent="0.25">
      <c r="A9" t="s">
        <v>16</v>
      </c>
      <c r="B9" t="s">
        <v>17</v>
      </c>
      <c r="C9" t="s">
        <v>32</v>
      </c>
      <c r="D9">
        <v>251805309</v>
      </c>
      <c r="E9" t="s">
        <v>19</v>
      </c>
      <c r="F9" s="1">
        <v>46023</v>
      </c>
      <c r="G9" s="1">
        <v>45979</v>
      </c>
      <c r="H9" t="s">
        <v>20</v>
      </c>
      <c r="I9" t="s">
        <v>33</v>
      </c>
      <c r="J9" s="2">
        <v>595</v>
      </c>
      <c r="K9" s="2">
        <v>575</v>
      </c>
      <c r="L9" s="3">
        <v>0.25</v>
      </c>
      <c r="M9" s="2">
        <v>143.75</v>
      </c>
      <c r="N9" t="s">
        <v>22</v>
      </c>
    </row>
    <row r="10" spans="1:16" x14ac:dyDescent="0.25">
      <c r="A10" t="s">
        <v>16</v>
      </c>
      <c r="B10" t="s">
        <v>17</v>
      </c>
      <c r="C10" t="s">
        <v>32</v>
      </c>
      <c r="D10">
        <v>251805309</v>
      </c>
      <c r="E10" t="s">
        <v>19</v>
      </c>
      <c r="F10" s="1">
        <v>46023</v>
      </c>
      <c r="G10" s="1">
        <v>45979</v>
      </c>
      <c r="H10" t="s">
        <v>20</v>
      </c>
      <c r="I10" t="s">
        <v>33</v>
      </c>
      <c r="J10" s="2">
        <v>595</v>
      </c>
      <c r="K10" s="2">
        <v>595</v>
      </c>
      <c r="L10" s="2">
        <v>100</v>
      </c>
      <c r="M10" s="2">
        <v>100</v>
      </c>
      <c r="N10" t="s">
        <v>22</v>
      </c>
    </row>
    <row r="11" spans="1:16" x14ac:dyDescent="0.25">
      <c r="A11" t="s">
        <v>16</v>
      </c>
      <c r="B11" t="s">
        <v>17</v>
      </c>
      <c r="C11" t="s">
        <v>34</v>
      </c>
      <c r="D11">
        <v>251804261</v>
      </c>
      <c r="E11" t="s">
        <v>19</v>
      </c>
      <c r="F11" s="1">
        <v>46023</v>
      </c>
      <c r="G11" s="1">
        <v>45976</v>
      </c>
      <c r="H11" t="s">
        <v>20</v>
      </c>
      <c r="I11" t="s">
        <v>28</v>
      </c>
      <c r="J11" s="2">
        <v>365</v>
      </c>
      <c r="K11" s="2">
        <v>355</v>
      </c>
      <c r="L11" s="3">
        <v>0.25</v>
      </c>
      <c r="M11" s="2">
        <v>88.75</v>
      </c>
      <c r="N11" t="s">
        <v>35</v>
      </c>
      <c r="O11" s="1">
        <v>45981</v>
      </c>
    </row>
    <row r="12" spans="1:16" x14ac:dyDescent="0.25">
      <c r="A12" t="s">
        <v>16</v>
      </c>
      <c r="B12" t="s">
        <v>36</v>
      </c>
      <c r="C12" t="s">
        <v>37</v>
      </c>
      <c r="D12">
        <v>1084508</v>
      </c>
      <c r="E12" t="s">
        <v>25</v>
      </c>
      <c r="F12" s="1">
        <v>45641</v>
      </c>
      <c r="G12" s="1">
        <v>45975</v>
      </c>
      <c r="H12" t="s">
        <v>20</v>
      </c>
      <c r="I12" t="s">
        <v>30</v>
      </c>
      <c r="J12" s="2">
        <v>267.43</v>
      </c>
      <c r="K12" s="2">
        <v>247.43</v>
      </c>
      <c r="L12" s="3">
        <v>0.25</v>
      </c>
      <c r="M12" s="2">
        <v>61.86</v>
      </c>
      <c r="N12" t="s">
        <v>35</v>
      </c>
      <c r="O12" s="1">
        <v>45981</v>
      </c>
    </row>
    <row r="13" spans="1:16" x14ac:dyDescent="0.25">
      <c r="A13" t="s">
        <v>16</v>
      </c>
      <c r="B13" t="s">
        <v>38</v>
      </c>
      <c r="C13" t="s">
        <v>39</v>
      </c>
      <c r="D13">
        <v>251804065</v>
      </c>
      <c r="E13" t="s">
        <v>19</v>
      </c>
      <c r="F13" s="1">
        <v>46023</v>
      </c>
      <c r="G13" s="1">
        <v>45975</v>
      </c>
      <c r="H13" t="s">
        <v>20</v>
      </c>
      <c r="I13" t="s">
        <v>30</v>
      </c>
      <c r="J13" s="2">
        <v>465</v>
      </c>
      <c r="K13" s="2">
        <v>465</v>
      </c>
      <c r="L13" s="2">
        <v>100</v>
      </c>
      <c r="M13" s="2">
        <v>100</v>
      </c>
      <c r="N13" t="s">
        <v>35</v>
      </c>
      <c r="O13" s="1">
        <v>45981</v>
      </c>
    </row>
    <row r="14" spans="1:16" x14ac:dyDescent="0.25">
      <c r="A14" t="s">
        <v>16</v>
      </c>
      <c r="B14" t="s">
        <v>17</v>
      </c>
      <c r="C14" t="s">
        <v>40</v>
      </c>
      <c r="D14">
        <v>251803713</v>
      </c>
      <c r="E14" t="s">
        <v>19</v>
      </c>
      <c r="F14" s="1">
        <v>46023</v>
      </c>
      <c r="G14" s="1">
        <v>45975</v>
      </c>
      <c r="H14" t="s">
        <v>20</v>
      </c>
      <c r="I14" t="s">
        <v>41</v>
      </c>
      <c r="J14" s="2">
        <v>320</v>
      </c>
      <c r="K14" s="2">
        <v>310</v>
      </c>
      <c r="L14" s="3">
        <v>0.25</v>
      </c>
      <c r="M14" s="2">
        <v>77.5</v>
      </c>
      <c r="N14" t="s">
        <v>35</v>
      </c>
      <c r="O14" s="1">
        <v>45981</v>
      </c>
    </row>
    <row r="15" spans="1:16" x14ac:dyDescent="0.25">
      <c r="A15" t="s">
        <v>16</v>
      </c>
      <c r="B15" t="s">
        <v>38</v>
      </c>
      <c r="C15" t="s">
        <v>39</v>
      </c>
      <c r="D15">
        <v>251804065</v>
      </c>
      <c r="E15" t="s">
        <v>19</v>
      </c>
      <c r="F15" s="1">
        <v>46023</v>
      </c>
      <c r="G15" s="1">
        <v>45975</v>
      </c>
      <c r="H15" t="s">
        <v>20</v>
      </c>
      <c r="I15" t="s">
        <v>30</v>
      </c>
      <c r="J15" s="2">
        <v>465</v>
      </c>
      <c r="K15" s="2">
        <v>445</v>
      </c>
      <c r="L15" s="3">
        <v>0.25</v>
      </c>
      <c r="M15" s="2">
        <v>111.25</v>
      </c>
      <c r="N15" t="s">
        <v>35</v>
      </c>
      <c r="O15" s="1">
        <v>45981</v>
      </c>
    </row>
    <row r="16" spans="1:16" x14ac:dyDescent="0.25">
      <c r="A16" t="s">
        <v>16</v>
      </c>
      <c r="B16" t="s">
        <v>38</v>
      </c>
      <c r="C16" t="s">
        <v>42</v>
      </c>
      <c r="D16">
        <v>251802446</v>
      </c>
      <c r="E16" t="s">
        <v>19</v>
      </c>
      <c r="F16" s="1">
        <v>46023</v>
      </c>
      <c r="G16" s="1">
        <v>45973</v>
      </c>
      <c r="H16" t="s">
        <v>20</v>
      </c>
      <c r="I16" t="s">
        <v>33</v>
      </c>
      <c r="J16" s="2">
        <v>510</v>
      </c>
      <c r="K16" s="2">
        <v>510</v>
      </c>
      <c r="L16" s="2">
        <v>100</v>
      </c>
      <c r="M16" s="2">
        <v>100</v>
      </c>
      <c r="N16" t="s">
        <v>35</v>
      </c>
      <c r="O16" s="1">
        <v>45981</v>
      </c>
    </row>
    <row r="17" spans="1:15" x14ac:dyDescent="0.25">
      <c r="A17" t="s">
        <v>16</v>
      </c>
      <c r="B17" t="s">
        <v>38</v>
      </c>
      <c r="C17" t="s">
        <v>43</v>
      </c>
      <c r="D17">
        <v>251802495</v>
      </c>
      <c r="E17" t="s">
        <v>19</v>
      </c>
      <c r="F17" s="1">
        <v>46023</v>
      </c>
      <c r="G17" s="1">
        <v>45973</v>
      </c>
      <c r="H17" t="s">
        <v>20</v>
      </c>
      <c r="I17" t="s">
        <v>33</v>
      </c>
      <c r="J17" s="2">
        <v>235</v>
      </c>
      <c r="K17" s="2">
        <v>235</v>
      </c>
      <c r="L17" s="2">
        <v>100</v>
      </c>
      <c r="M17" s="2">
        <v>100</v>
      </c>
      <c r="N17" t="s">
        <v>35</v>
      </c>
      <c r="O17" s="1">
        <v>45981</v>
      </c>
    </row>
    <row r="18" spans="1:15" x14ac:dyDescent="0.25">
      <c r="A18" t="s">
        <v>16</v>
      </c>
      <c r="B18" t="s">
        <v>38</v>
      </c>
      <c r="C18" t="s">
        <v>42</v>
      </c>
      <c r="D18">
        <v>251802446</v>
      </c>
      <c r="E18" t="s">
        <v>19</v>
      </c>
      <c r="F18" s="1">
        <v>46023</v>
      </c>
      <c r="G18" s="1">
        <v>45973</v>
      </c>
      <c r="H18" t="s">
        <v>20</v>
      </c>
      <c r="I18" t="s">
        <v>33</v>
      </c>
      <c r="J18" s="2">
        <v>510</v>
      </c>
      <c r="K18" s="2">
        <v>490</v>
      </c>
      <c r="L18" s="3">
        <v>0.25</v>
      </c>
      <c r="M18" s="2">
        <v>122.5</v>
      </c>
      <c r="N18" t="s">
        <v>35</v>
      </c>
      <c r="O18" s="1">
        <v>45981</v>
      </c>
    </row>
    <row r="19" spans="1:15" x14ac:dyDescent="0.25">
      <c r="A19" t="s">
        <v>16</v>
      </c>
      <c r="B19" t="s">
        <v>38</v>
      </c>
      <c r="C19" t="s">
        <v>43</v>
      </c>
      <c r="D19">
        <v>251802495</v>
      </c>
      <c r="E19" t="s">
        <v>19</v>
      </c>
      <c r="F19" s="1">
        <v>46023</v>
      </c>
      <c r="G19" s="1">
        <v>45973</v>
      </c>
      <c r="H19" t="s">
        <v>20</v>
      </c>
      <c r="I19" t="s">
        <v>33</v>
      </c>
      <c r="J19" s="2">
        <v>235</v>
      </c>
      <c r="K19" s="2">
        <v>215</v>
      </c>
      <c r="L19" s="3">
        <v>0.25</v>
      </c>
      <c r="M19" s="2">
        <v>53.75</v>
      </c>
      <c r="N19" t="s">
        <v>35</v>
      </c>
      <c r="O19" s="1">
        <v>45981</v>
      </c>
    </row>
    <row r="20" spans="1:15" x14ac:dyDescent="0.25">
      <c r="A20" t="s">
        <v>16</v>
      </c>
      <c r="B20" t="s">
        <v>17</v>
      </c>
      <c r="C20" t="s">
        <v>44</v>
      </c>
      <c r="D20">
        <v>251801849</v>
      </c>
      <c r="E20" t="s">
        <v>19</v>
      </c>
      <c r="F20" s="1">
        <v>46023</v>
      </c>
      <c r="G20" s="1">
        <v>45973</v>
      </c>
      <c r="H20" t="s">
        <v>20</v>
      </c>
      <c r="I20" t="s">
        <v>33</v>
      </c>
      <c r="J20" s="2">
        <v>360</v>
      </c>
      <c r="K20" s="2">
        <v>360</v>
      </c>
      <c r="L20" s="2">
        <v>100</v>
      </c>
      <c r="M20" s="2">
        <v>100</v>
      </c>
      <c r="N20" t="s">
        <v>35</v>
      </c>
      <c r="O20" s="1">
        <v>45981</v>
      </c>
    </row>
    <row r="21" spans="1:15" x14ac:dyDescent="0.25">
      <c r="A21" t="s">
        <v>16</v>
      </c>
      <c r="B21" t="s">
        <v>17</v>
      </c>
      <c r="C21" t="s">
        <v>44</v>
      </c>
      <c r="D21">
        <v>251801849</v>
      </c>
      <c r="E21" t="s">
        <v>19</v>
      </c>
      <c r="F21" s="1">
        <v>46023</v>
      </c>
      <c r="G21" s="1">
        <v>45973</v>
      </c>
      <c r="H21" t="s">
        <v>20</v>
      </c>
      <c r="I21" t="s">
        <v>33</v>
      </c>
      <c r="J21" s="2">
        <v>360</v>
      </c>
      <c r="K21" s="2">
        <v>340</v>
      </c>
      <c r="L21" s="3">
        <v>0.25</v>
      </c>
      <c r="M21" s="2">
        <v>85</v>
      </c>
      <c r="N21" t="s">
        <v>35</v>
      </c>
      <c r="O21" s="1">
        <v>45981</v>
      </c>
    </row>
    <row r="22" spans="1:15" x14ac:dyDescent="0.25">
      <c r="A22" t="s">
        <v>16</v>
      </c>
      <c r="B22" t="s">
        <v>17</v>
      </c>
      <c r="C22" t="s">
        <v>45</v>
      </c>
      <c r="D22">
        <v>251800809</v>
      </c>
      <c r="E22" t="s">
        <v>19</v>
      </c>
      <c r="F22" s="1">
        <v>46024</v>
      </c>
      <c r="G22" s="1">
        <v>45972</v>
      </c>
      <c r="H22" t="s">
        <v>20</v>
      </c>
      <c r="I22" t="s">
        <v>33</v>
      </c>
      <c r="J22" s="2">
        <v>595</v>
      </c>
      <c r="K22" s="2">
        <v>595</v>
      </c>
      <c r="L22" s="2">
        <v>100</v>
      </c>
      <c r="M22" s="2">
        <v>100</v>
      </c>
      <c r="N22" t="s">
        <v>35</v>
      </c>
      <c r="O22" s="1">
        <v>45981</v>
      </c>
    </row>
    <row r="23" spans="1:15" x14ac:dyDescent="0.25">
      <c r="A23" t="s">
        <v>16</v>
      </c>
      <c r="B23" t="s">
        <v>17</v>
      </c>
      <c r="C23" t="s">
        <v>45</v>
      </c>
      <c r="D23">
        <v>251800809</v>
      </c>
      <c r="E23" t="s">
        <v>19</v>
      </c>
      <c r="F23" s="1">
        <v>46024</v>
      </c>
      <c r="G23" s="1">
        <v>45972</v>
      </c>
      <c r="H23" t="s">
        <v>20</v>
      </c>
      <c r="I23" t="s">
        <v>33</v>
      </c>
      <c r="J23" s="2">
        <v>595</v>
      </c>
      <c r="K23" s="2">
        <v>575</v>
      </c>
      <c r="L23" s="3">
        <v>0.25</v>
      </c>
      <c r="M23" s="2">
        <v>143.75</v>
      </c>
      <c r="N23" t="s">
        <v>35</v>
      </c>
      <c r="O23" s="1">
        <v>45981</v>
      </c>
    </row>
    <row r="24" spans="1:15" x14ac:dyDescent="0.25">
      <c r="A24" t="s">
        <v>16</v>
      </c>
      <c r="B24" t="s">
        <v>17</v>
      </c>
      <c r="C24" t="s">
        <v>46</v>
      </c>
      <c r="D24">
        <v>251800611</v>
      </c>
      <c r="E24" t="s">
        <v>19</v>
      </c>
      <c r="F24" s="1">
        <v>46023</v>
      </c>
      <c r="G24" s="1">
        <v>45970</v>
      </c>
      <c r="H24" t="s">
        <v>20</v>
      </c>
      <c r="I24" t="s">
        <v>47</v>
      </c>
      <c r="J24" s="2">
        <v>145</v>
      </c>
      <c r="K24" s="2">
        <v>145</v>
      </c>
      <c r="L24" s="2">
        <v>100</v>
      </c>
      <c r="M24" s="2">
        <v>100</v>
      </c>
      <c r="N24" t="s">
        <v>35</v>
      </c>
      <c r="O24" s="1">
        <v>45975</v>
      </c>
    </row>
    <row r="25" spans="1:15" x14ac:dyDescent="0.25">
      <c r="A25" t="s">
        <v>16</v>
      </c>
      <c r="B25" t="s">
        <v>17</v>
      </c>
      <c r="C25" t="s">
        <v>46</v>
      </c>
      <c r="D25">
        <v>251800611</v>
      </c>
      <c r="E25" t="s">
        <v>19</v>
      </c>
      <c r="F25" s="1">
        <v>46023</v>
      </c>
      <c r="G25" s="1">
        <v>45970</v>
      </c>
      <c r="H25" t="s">
        <v>20</v>
      </c>
      <c r="I25" t="s">
        <v>47</v>
      </c>
      <c r="J25" s="2">
        <v>145</v>
      </c>
      <c r="K25" s="2">
        <v>135</v>
      </c>
      <c r="L25" s="3">
        <v>0.25</v>
      </c>
      <c r="M25" s="2">
        <v>33.75</v>
      </c>
      <c r="N25" t="s">
        <v>35</v>
      </c>
      <c r="O25" s="1">
        <v>45975</v>
      </c>
    </row>
    <row r="26" spans="1:15" x14ac:dyDescent="0.25">
      <c r="A26" t="s">
        <v>16</v>
      </c>
      <c r="B26" t="s">
        <v>38</v>
      </c>
      <c r="C26" t="s">
        <v>48</v>
      </c>
      <c r="D26">
        <v>251800097</v>
      </c>
      <c r="E26" t="s">
        <v>19</v>
      </c>
      <c r="F26" s="1">
        <v>46023</v>
      </c>
      <c r="G26" s="1">
        <v>45969</v>
      </c>
      <c r="H26" t="s">
        <v>20</v>
      </c>
      <c r="I26" t="s">
        <v>33</v>
      </c>
      <c r="J26" s="2">
        <v>510</v>
      </c>
      <c r="K26" s="2">
        <v>490</v>
      </c>
      <c r="L26" s="3">
        <v>0.25</v>
      </c>
      <c r="M26" s="2">
        <v>122.5</v>
      </c>
      <c r="N26" t="s">
        <v>35</v>
      </c>
      <c r="O26" s="1">
        <v>45975</v>
      </c>
    </row>
    <row r="27" spans="1:15" x14ac:dyDescent="0.25">
      <c r="A27" t="s">
        <v>16</v>
      </c>
      <c r="B27" t="s">
        <v>38</v>
      </c>
      <c r="C27" t="s">
        <v>48</v>
      </c>
      <c r="D27">
        <v>251800097</v>
      </c>
      <c r="E27" t="s">
        <v>19</v>
      </c>
      <c r="F27" s="1">
        <v>46023</v>
      </c>
      <c r="G27" s="1">
        <v>45969</v>
      </c>
      <c r="H27" t="s">
        <v>20</v>
      </c>
      <c r="I27" t="s">
        <v>33</v>
      </c>
      <c r="J27" s="2">
        <v>510</v>
      </c>
      <c r="K27" s="2">
        <v>510</v>
      </c>
      <c r="L27" s="2">
        <v>100</v>
      </c>
      <c r="M27" s="2">
        <v>100</v>
      </c>
      <c r="N27" t="s">
        <v>35</v>
      </c>
      <c r="O27" s="1">
        <v>45975</v>
      </c>
    </row>
    <row r="28" spans="1:15" x14ac:dyDescent="0.25">
      <c r="A28" t="s">
        <v>16</v>
      </c>
      <c r="B28" t="s">
        <v>38</v>
      </c>
      <c r="C28" t="s">
        <v>49</v>
      </c>
      <c r="D28">
        <v>251799402</v>
      </c>
      <c r="E28" t="s">
        <v>19</v>
      </c>
      <c r="F28" s="1">
        <v>46023</v>
      </c>
      <c r="G28" s="1">
        <v>45968</v>
      </c>
      <c r="H28" t="s">
        <v>20</v>
      </c>
      <c r="I28" t="s">
        <v>33</v>
      </c>
      <c r="J28" s="2">
        <v>595</v>
      </c>
      <c r="K28" s="2">
        <v>575</v>
      </c>
      <c r="L28" s="3">
        <v>0.25</v>
      </c>
      <c r="M28" s="2">
        <v>143.75</v>
      </c>
      <c r="N28" t="s">
        <v>35</v>
      </c>
      <c r="O28" s="1">
        <v>45975</v>
      </c>
    </row>
    <row r="29" spans="1:15" x14ac:dyDescent="0.25">
      <c r="A29" t="s">
        <v>16</v>
      </c>
      <c r="B29" t="s">
        <v>38</v>
      </c>
      <c r="C29" t="s">
        <v>49</v>
      </c>
      <c r="D29">
        <v>251799402</v>
      </c>
      <c r="E29" t="s">
        <v>19</v>
      </c>
      <c r="F29" s="1">
        <v>46023</v>
      </c>
      <c r="G29" s="1">
        <v>45968</v>
      </c>
      <c r="H29" t="s">
        <v>20</v>
      </c>
      <c r="I29" t="s">
        <v>33</v>
      </c>
      <c r="J29" s="2">
        <v>595</v>
      </c>
      <c r="K29" s="2">
        <v>595</v>
      </c>
      <c r="L29" s="2">
        <v>100</v>
      </c>
      <c r="M29" s="2">
        <v>100</v>
      </c>
      <c r="N29" t="s">
        <v>35</v>
      </c>
      <c r="O29" s="1">
        <v>45975</v>
      </c>
    </row>
    <row r="30" spans="1:15" x14ac:dyDescent="0.25">
      <c r="A30" t="s">
        <v>16</v>
      </c>
      <c r="B30" t="s">
        <v>50</v>
      </c>
      <c r="C30" t="s">
        <v>51</v>
      </c>
      <c r="D30">
        <v>1095314</v>
      </c>
      <c r="E30" t="s">
        <v>25</v>
      </c>
      <c r="F30" s="1">
        <v>45770</v>
      </c>
      <c r="G30" s="1">
        <v>45967</v>
      </c>
      <c r="H30" t="s">
        <v>20</v>
      </c>
      <c r="I30" t="s">
        <v>30</v>
      </c>
      <c r="J30" s="2">
        <v>185.77</v>
      </c>
      <c r="K30" s="2">
        <v>165.77</v>
      </c>
      <c r="L30" s="3">
        <v>0.25</v>
      </c>
      <c r="M30" s="2">
        <v>41.44</v>
      </c>
      <c r="N30" t="s">
        <v>35</v>
      </c>
      <c r="O30" s="1">
        <v>45975</v>
      </c>
    </row>
    <row r="31" spans="1:15" x14ac:dyDescent="0.25">
      <c r="A31" t="s">
        <v>16</v>
      </c>
      <c r="B31" t="s">
        <v>52</v>
      </c>
      <c r="C31" t="s">
        <v>53</v>
      </c>
      <c r="D31">
        <v>251754149</v>
      </c>
      <c r="E31" t="s">
        <v>25</v>
      </c>
      <c r="F31" s="1">
        <v>45881</v>
      </c>
      <c r="G31" s="1">
        <v>45966</v>
      </c>
      <c r="H31" t="s">
        <v>20</v>
      </c>
      <c r="I31" t="s">
        <v>21</v>
      </c>
      <c r="J31" s="2">
        <v>75</v>
      </c>
      <c r="K31" s="2">
        <v>65</v>
      </c>
      <c r="L31" s="3">
        <v>0.25</v>
      </c>
      <c r="M31" s="2">
        <v>16.25</v>
      </c>
      <c r="N31" t="s">
        <v>35</v>
      </c>
      <c r="O31" s="1">
        <v>45975</v>
      </c>
    </row>
    <row r="32" spans="1:15" x14ac:dyDescent="0.25">
      <c r="A32" t="s">
        <v>16</v>
      </c>
      <c r="B32" t="s">
        <v>54</v>
      </c>
      <c r="C32" t="s">
        <v>55</v>
      </c>
      <c r="D32">
        <v>251789501</v>
      </c>
      <c r="E32" t="s">
        <v>25</v>
      </c>
      <c r="F32" s="1">
        <v>45940</v>
      </c>
      <c r="G32" s="1">
        <v>45962</v>
      </c>
      <c r="H32" t="s">
        <v>20</v>
      </c>
      <c r="I32" t="s">
        <v>56</v>
      </c>
      <c r="J32" s="2">
        <v>280</v>
      </c>
      <c r="K32" s="2">
        <v>260</v>
      </c>
      <c r="L32" s="3">
        <v>0.25</v>
      </c>
      <c r="M32" s="2">
        <v>65</v>
      </c>
      <c r="N32" t="s">
        <v>35</v>
      </c>
      <c r="O32" s="1">
        <v>45968</v>
      </c>
    </row>
    <row r="33" spans="1:15" x14ac:dyDescent="0.25">
      <c r="A33" t="s">
        <v>16</v>
      </c>
      <c r="B33" t="s">
        <v>50</v>
      </c>
      <c r="C33" t="s">
        <v>57</v>
      </c>
      <c r="D33">
        <v>251795958</v>
      </c>
      <c r="E33" t="s">
        <v>25</v>
      </c>
      <c r="F33" s="1">
        <v>45963</v>
      </c>
      <c r="G33" s="1">
        <v>45962</v>
      </c>
      <c r="H33" t="s">
        <v>20</v>
      </c>
      <c r="I33" t="s">
        <v>33</v>
      </c>
      <c r="J33" s="2">
        <v>595</v>
      </c>
      <c r="K33" s="2">
        <v>575</v>
      </c>
      <c r="L33" s="3">
        <v>0.25</v>
      </c>
      <c r="M33" s="2">
        <v>143.75</v>
      </c>
      <c r="N33" t="s">
        <v>35</v>
      </c>
      <c r="O33" s="1">
        <v>45968</v>
      </c>
    </row>
    <row r="34" spans="1:15" x14ac:dyDescent="0.25">
      <c r="A34" t="s">
        <v>16</v>
      </c>
      <c r="B34" t="s">
        <v>50</v>
      </c>
      <c r="C34" t="s">
        <v>57</v>
      </c>
      <c r="D34">
        <v>251795958</v>
      </c>
      <c r="E34" t="s">
        <v>25</v>
      </c>
      <c r="F34" s="1">
        <v>45963</v>
      </c>
      <c r="G34" s="1">
        <v>45962</v>
      </c>
      <c r="H34" t="s">
        <v>20</v>
      </c>
      <c r="I34" t="s">
        <v>33</v>
      </c>
      <c r="J34" s="2">
        <v>595</v>
      </c>
      <c r="K34" s="2">
        <v>595</v>
      </c>
      <c r="L34" s="2">
        <v>100</v>
      </c>
      <c r="M34" s="2">
        <v>100</v>
      </c>
      <c r="N34" t="s">
        <v>35</v>
      </c>
      <c r="O34" s="1">
        <v>45968</v>
      </c>
    </row>
    <row r="35" spans="1:15" x14ac:dyDescent="0.25">
      <c r="F35" s="1"/>
      <c r="G35" s="1"/>
      <c r="J35" s="2"/>
      <c r="K35" s="2"/>
      <c r="L35" s="3"/>
      <c r="M35" s="2"/>
      <c r="O35" s="1"/>
    </row>
    <row r="36" spans="1:15" x14ac:dyDescent="0.25">
      <c r="F36" s="1"/>
      <c r="G36" s="1"/>
      <c r="J36" s="2"/>
      <c r="K36" s="2"/>
      <c r="L36" s="3"/>
      <c r="M36" s="2"/>
      <c r="O36" s="1"/>
    </row>
    <row r="37" spans="1:15" x14ac:dyDescent="0.25">
      <c r="F37" s="1"/>
      <c r="G37" s="1"/>
      <c r="J37" s="2"/>
      <c r="K37" s="2"/>
      <c r="L37" s="3"/>
      <c r="M37" s="2"/>
      <c r="O37" s="1"/>
    </row>
    <row r="38" spans="1:15" x14ac:dyDescent="0.25">
      <c r="F38" s="1"/>
      <c r="G38" s="1"/>
      <c r="J38" s="2"/>
      <c r="K38" s="2"/>
      <c r="L38" s="3"/>
      <c r="M38" s="2"/>
      <c r="O38" s="1"/>
    </row>
    <row r="39" spans="1:15" x14ac:dyDescent="0.25">
      <c r="F39" s="1"/>
      <c r="G39" s="1"/>
      <c r="J39" s="2"/>
      <c r="K39" s="2"/>
      <c r="L39" s="3"/>
      <c r="M39" s="2"/>
      <c r="O39" s="1"/>
    </row>
    <row r="40" spans="1:15" x14ac:dyDescent="0.25">
      <c r="F40" s="1"/>
      <c r="G40" s="1"/>
      <c r="J40" s="2"/>
      <c r="K40" s="2"/>
      <c r="L40" s="2"/>
      <c r="M40" s="2"/>
      <c r="O40" s="1"/>
    </row>
    <row r="41" spans="1:15" x14ac:dyDescent="0.25">
      <c r="F41" s="1"/>
      <c r="G41" s="1"/>
      <c r="J41" s="2"/>
      <c r="K41" s="2"/>
      <c r="L41" s="3"/>
      <c r="M41" s="2"/>
      <c r="O41" s="1"/>
    </row>
    <row r="42" spans="1:15" x14ac:dyDescent="0.25">
      <c r="F42" s="1"/>
      <c r="G42" s="1"/>
      <c r="J42" s="2"/>
      <c r="K42" s="2"/>
      <c r="L42" s="3"/>
      <c r="M42" s="2"/>
      <c r="O42" s="1"/>
    </row>
    <row r="43" spans="1:15" x14ac:dyDescent="0.25">
      <c r="F43" s="1"/>
      <c r="G43" s="1"/>
      <c r="J43" s="2"/>
      <c r="K43" s="2"/>
      <c r="L43" s="3"/>
      <c r="M43" s="2"/>
      <c r="O43" s="1"/>
    </row>
    <row r="44" spans="1:15" x14ac:dyDescent="0.25">
      <c r="F44" s="1"/>
      <c r="G44" s="1"/>
      <c r="J44" s="2"/>
      <c r="K44" s="2"/>
      <c r="L44" s="2"/>
      <c r="M44" s="2"/>
      <c r="O44" s="1"/>
    </row>
    <row r="45" spans="1:15" x14ac:dyDescent="0.25">
      <c r="F45" s="1"/>
      <c r="G45" s="1"/>
      <c r="J45" s="2"/>
      <c r="K45" s="2"/>
      <c r="L45" s="3"/>
      <c r="M45" s="2"/>
      <c r="O45" s="1"/>
    </row>
    <row r="46" spans="1:15" x14ac:dyDescent="0.25">
      <c r="F46" s="1"/>
      <c r="G46" s="1"/>
      <c r="J46" s="2"/>
      <c r="K46" s="2"/>
      <c r="L46" s="3"/>
      <c r="M46" s="2"/>
      <c r="O46" s="1"/>
    </row>
    <row r="47" spans="1:15" x14ac:dyDescent="0.25">
      <c r="F47" s="1"/>
      <c r="G47" s="1"/>
      <c r="J47" s="2"/>
      <c r="K47" s="2"/>
      <c r="L47" s="3"/>
      <c r="M47" s="2"/>
      <c r="O47" s="1"/>
    </row>
    <row r="48" spans="1:15" x14ac:dyDescent="0.25">
      <c r="F48" s="1"/>
      <c r="G48" s="1"/>
      <c r="J48" s="2"/>
      <c r="K48" s="2"/>
      <c r="L48" s="3"/>
      <c r="M48" s="2"/>
      <c r="O48" s="1"/>
    </row>
    <row r="49" spans="6:15" x14ac:dyDescent="0.25">
      <c r="F49" s="1"/>
      <c r="G49" s="1"/>
      <c r="J49" s="2"/>
      <c r="K49" s="2"/>
      <c r="L49" s="3"/>
      <c r="M49" s="2"/>
      <c r="O49" s="1"/>
    </row>
    <row r="50" spans="6:15" x14ac:dyDescent="0.25">
      <c r="F50" s="1"/>
      <c r="G50" s="1"/>
      <c r="J50" s="2"/>
      <c r="K50" s="2"/>
      <c r="L50" s="3"/>
      <c r="M50" s="2"/>
      <c r="O50" s="1"/>
    </row>
    <row r="51" spans="6:15" x14ac:dyDescent="0.25">
      <c r="F51" s="1"/>
      <c r="G51" s="1"/>
      <c r="J51" s="2"/>
      <c r="K51" s="2"/>
      <c r="L51" s="3"/>
      <c r="M51" s="2"/>
      <c r="O51" s="1"/>
    </row>
    <row r="52" spans="6:15" x14ac:dyDescent="0.25">
      <c r="F52" s="1"/>
      <c r="G52" s="1"/>
      <c r="J52" s="2"/>
      <c r="K52" s="2"/>
      <c r="L52" s="3"/>
      <c r="M52" s="2"/>
      <c r="O52" s="1"/>
    </row>
    <row r="53" spans="6:15" x14ac:dyDescent="0.25">
      <c r="F53" s="1"/>
      <c r="G53" s="1"/>
      <c r="J53" s="2"/>
      <c r="K53" s="2"/>
      <c r="L53" s="3"/>
      <c r="M53" s="2"/>
      <c r="O53" s="1"/>
    </row>
    <row r="54" spans="6:15" x14ac:dyDescent="0.25">
      <c r="F54" s="1"/>
      <c r="G54" s="1"/>
      <c r="J54" s="2"/>
      <c r="K54" s="2"/>
      <c r="L54" s="3"/>
      <c r="M54" s="2"/>
      <c r="O54" s="1"/>
    </row>
    <row r="55" spans="6:15" x14ac:dyDescent="0.25">
      <c r="F55" s="1"/>
      <c r="G55" s="1"/>
      <c r="J55" s="2"/>
      <c r="K55" s="2"/>
      <c r="M55" s="2"/>
      <c r="O55" s="1"/>
    </row>
    <row r="56" spans="6:15" x14ac:dyDescent="0.25">
      <c r="F56" s="1"/>
      <c r="G56" s="1"/>
      <c r="J56" s="2"/>
      <c r="K56" s="2"/>
      <c r="M56" s="2"/>
      <c r="O56" s="1"/>
    </row>
    <row r="57" spans="6:15" x14ac:dyDescent="0.25">
      <c r="F57" s="1"/>
      <c r="G57" s="1"/>
      <c r="J57" s="2"/>
      <c r="K57" s="2"/>
      <c r="M57" s="2"/>
      <c r="O57" s="1"/>
    </row>
    <row r="58" spans="6:15" x14ac:dyDescent="0.25">
      <c r="F58" s="1"/>
      <c r="G58" s="1"/>
      <c r="J58" s="2"/>
      <c r="K58" s="2"/>
      <c r="L58" s="3"/>
      <c r="M58" s="2"/>
      <c r="O58" s="1"/>
    </row>
    <row r="59" spans="6:15" x14ac:dyDescent="0.25">
      <c r="F59" s="1"/>
      <c r="G59" s="1"/>
      <c r="J59" s="2"/>
      <c r="K59" s="2"/>
      <c r="L59" s="3"/>
      <c r="M59" s="2"/>
      <c r="O59" s="1"/>
    </row>
    <row r="60" spans="6:15" x14ac:dyDescent="0.25">
      <c r="F60" s="1"/>
      <c r="G60" s="1"/>
      <c r="J60" s="2"/>
      <c r="K60" s="2"/>
      <c r="L60" s="3"/>
      <c r="M60" s="2"/>
      <c r="O60" s="1"/>
    </row>
    <row r="61" spans="6:15" x14ac:dyDescent="0.25">
      <c r="F61" s="1"/>
      <c r="G61" s="1"/>
      <c r="K61" s="2"/>
      <c r="L61" s="3"/>
      <c r="M61" s="2"/>
      <c r="O61" s="1"/>
    </row>
    <row r="62" spans="6:15" x14ac:dyDescent="0.25">
      <c r="F62" s="1"/>
      <c r="G62" s="1"/>
      <c r="K62" s="2"/>
      <c r="L62" s="3"/>
      <c r="M62" s="2"/>
      <c r="O62" s="1"/>
    </row>
    <row r="63" spans="6:15" x14ac:dyDescent="0.25">
      <c r="F63" s="1"/>
      <c r="G63" s="1"/>
      <c r="K63" s="2"/>
      <c r="L63" s="3"/>
      <c r="M63" s="2"/>
      <c r="O63" s="1"/>
    </row>
    <row r="64" spans="6:15" x14ac:dyDescent="0.25">
      <c r="F64" s="1"/>
      <c r="G64" s="1"/>
      <c r="K64" s="2"/>
      <c r="L64" s="3"/>
      <c r="M64" s="2"/>
      <c r="O64" s="1"/>
    </row>
    <row r="65" spans="6:15" x14ac:dyDescent="0.25">
      <c r="F65" s="1"/>
      <c r="G65" s="1"/>
      <c r="K65" s="2"/>
      <c r="L65" s="3"/>
      <c r="M65" s="2"/>
      <c r="O65" s="1"/>
    </row>
    <row r="66" spans="6:15" x14ac:dyDescent="0.25">
      <c r="F66" s="1"/>
      <c r="G66" s="1"/>
      <c r="K66" s="2"/>
      <c r="L66" s="3"/>
      <c r="M66" s="2"/>
      <c r="O66" s="1"/>
    </row>
    <row r="67" spans="6:15" x14ac:dyDescent="0.25">
      <c r="F67" s="1"/>
      <c r="G67" s="1"/>
      <c r="K67" s="2"/>
      <c r="L67" s="3"/>
      <c r="M67" s="2"/>
      <c r="O67" s="1"/>
    </row>
    <row r="68" spans="6:15" x14ac:dyDescent="0.25">
      <c r="F68" s="1"/>
      <c r="K68" s="2"/>
      <c r="L68" s="3"/>
      <c r="M68" s="2"/>
      <c r="O68" s="1"/>
    </row>
    <row r="69" spans="6:15" x14ac:dyDescent="0.25">
      <c r="F69" s="1"/>
      <c r="G69" s="1"/>
      <c r="K69" s="2"/>
      <c r="L69" s="3"/>
      <c r="M69" s="2"/>
      <c r="O69" s="1"/>
    </row>
    <row r="70" spans="6:15" x14ac:dyDescent="0.25">
      <c r="F70" s="1"/>
      <c r="G70" s="1"/>
      <c r="K70" s="2"/>
      <c r="L70" s="3"/>
      <c r="M70" s="2"/>
      <c r="O70" s="1"/>
    </row>
    <row r="71" spans="6:15" x14ac:dyDescent="0.25">
      <c r="F71" s="1"/>
      <c r="G71" s="1"/>
      <c r="K71" s="2"/>
      <c r="L71" s="3"/>
      <c r="M71" s="2"/>
      <c r="O71" s="1"/>
    </row>
    <row r="72" spans="6:15" x14ac:dyDescent="0.25">
      <c r="F72" s="1"/>
      <c r="G72" s="1"/>
      <c r="K72" s="2"/>
      <c r="L72" s="3"/>
      <c r="M72" s="2"/>
      <c r="O72" s="1"/>
    </row>
    <row r="73" spans="6:15" x14ac:dyDescent="0.25">
      <c r="F73" s="1"/>
      <c r="G73" s="1"/>
      <c r="K73" s="2"/>
      <c r="M73" s="2"/>
      <c r="O73" s="1"/>
    </row>
    <row r="74" spans="6:15" x14ac:dyDescent="0.25">
      <c r="F74" s="1"/>
      <c r="G74" s="1"/>
      <c r="K74" s="2"/>
      <c r="L74" s="3"/>
      <c r="M74" s="2"/>
      <c r="O74" s="1"/>
    </row>
    <row r="75" spans="6:15" x14ac:dyDescent="0.25">
      <c r="F75" s="1"/>
      <c r="G75" s="1"/>
      <c r="K75" s="2"/>
      <c r="M75" s="2"/>
      <c r="O75" s="1"/>
    </row>
    <row r="76" spans="6:15" x14ac:dyDescent="0.25">
      <c r="F76" s="1"/>
      <c r="G76" s="1"/>
      <c r="K76" s="2"/>
      <c r="L76" s="3"/>
      <c r="M76" s="2"/>
      <c r="O76" s="1"/>
    </row>
    <row r="77" spans="6:15" x14ac:dyDescent="0.25">
      <c r="F77" s="1"/>
      <c r="G77" s="1"/>
      <c r="K77" s="2"/>
      <c r="L77" s="3"/>
      <c r="M77" s="2"/>
      <c r="O77" s="1"/>
    </row>
    <row r="78" spans="6:15" x14ac:dyDescent="0.25">
      <c r="F78" s="1"/>
      <c r="G78" s="1"/>
      <c r="K78" s="2"/>
      <c r="L78" s="3"/>
      <c r="M78" s="2"/>
      <c r="O78" s="1"/>
    </row>
    <row r="79" spans="6:15" x14ac:dyDescent="0.25">
      <c r="F79" s="1"/>
      <c r="G79" s="1"/>
      <c r="K79" s="2"/>
      <c r="M79" s="2"/>
      <c r="O79" s="1"/>
    </row>
    <row r="80" spans="6:15" x14ac:dyDescent="0.25">
      <c r="F80" s="1"/>
      <c r="G80" s="1"/>
      <c r="K80" s="2"/>
      <c r="L80" s="3"/>
      <c r="M80" s="2"/>
      <c r="O80" s="1"/>
    </row>
    <row r="81" spans="6:15" x14ac:dyDescent="0.25">
      <c r="F81" s="1"/>
      <c r="G81" s="1"/>
      <c r="K81" s="2"/>
      <c r="L81" s="3"/>
      <c r="M81" s="2"/>
      <c r="O81" s="1"/>
    </row>
    <row r="82" spans="6:15" x14ac:dyDescent="0.25">
      <c r="F82" s="1"/>
      <c r="G82" s="1"/>
      <c r="K82" s="2"/>
      <c r="L82" s="3"/>
      <c r="M82" s="2"/>
      <c r="O82" s="1"/>
    </row>
    <row r="83" spans="6:15" x14ac:dyDescent="0.25">
      <c r="F83" s="1"/>
      <c r="G83" s="1"/>
      <c r="K83" s="2"/>
      <c r="L83" s="3"/>
      <c r="M83" s="2"/>
      <c r="O83" s="1"/>
    </row>
    <row r="84" spans="6:15" x14ac:dyDescent="0.25">
      <c r="F84" s="1"/>
      <c r="G84" s="1"/>
      <c r="K84" s="2"/>
      <c r="L84" s="3"/>
      <c r="M84" s="2"/>
      <c r="O84" s="1"/>
    </row>
    <row r="85" spans="6:15" x14ac:dyDescent="0.25">
      <c r="F85" s="1"/>
      <c r="G85" s="1"/>
      <c r="K85" s="2"/>
      <c r="L85" s="3"/>
      <c r="M85" s="2"/>
      <c r="O85" s="1"/>
    </row>
    <row r="86" spans="6:15" x14ac:dyDescent="0.25">
      <c r="F86" s="1"/>
      <c r="G86" s="1"/>
      <c r="K86" s="2"/>
      <c r="M86" s="2"/>
      <c r="O86" s="1"/>
    </row>
    <row r="87" spans="6:15" x14ac:dyDescent="0.25">
      <c r="F87" s="1"/>
      <c r="G87" s="1"/>
      <c r="K87" s="2"/>
      <c r="L87" s="3"/>
      <c r="M87" s="2"/>
      <c r="O87" s="1"/>
    </row>
    <row r="88" spans="6:15" x14ac:dyDescent="0.25">
      <c r="F88" s="1"/>
      <c r="G88" s="1"/>
      <c r="K88" s="2"/>
      <c r="L88" s="3"/>
      <c r="M88" s="2"/>
      <c r="O88" s="1"/>
    </row>
    <row r="89" spans="6:15" x14ac:dyDescent="0.25">
      <c r="F89" s="1"/>
      <c r="G89" s="1"/>
      <c r="K89" s="2"/>
      <c r="L89" s="3"/>
      <c r="M89" s="2"/>
      <c r="O89" s="1"/>
    </row>
    <row r="90" spans="6:15" x14ac:dyDescent="0.25">
      <c r="F90" s="1"/>
      <c r="G90" s="1"/>
      <c r="K90" s="2"/>
      <c r="M90" s="2"/>
      <c r="O90" s="1"/>
    </row>
    <row r="91" spans="6:15" x14ac:dyDescent="0.25">
      <c r="F91" s="1"/>
      <c r="G91" s="1"/>
      <c r="K91" s="2"/>
      <c r="L91" s="3"/>
      <c r="M91" s="2"/>
      <c r="O91" s="1"/>
    </row>
    <row r="92" spans="6:15" x14ac:dyDescent="0.25">
      <c r="F92" s="1"/>
      <c r="G92" s="1"/>
      <c r="K92" s="2"/>
      <c r="L92" s="3"/>
      <c r="M92" s="2"/>
      <c r="O92" s="1"/>
    </row>
    <row r="93" spans="6:15" x14ac:dyDescent="0.25">
      <c r="F93" s="1"/>
      <c r="G93" s="1"/>
      <c r="K93" s="2"/>
      <c r="L93" s="3"/>
      <c r="M93" s="2"/>
      <c r="O93" s="1"/>
    </row>
    <row r="94" spans="6:15" x14ac:dyDescent="0.25">
      <c r="F94" s="1"/>
      <c r="G94" s="1"/>
      <c r="K94" s="2"/>
      <c r="L94" s="3"/>
      <c r="M94" s="2"/>
      <c r="O9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4C60-239A-49A1-874E-5330047288AF}">
  <dimension ref="A1:L94"/>
  <sheetViews>
    <sheetView workbookViewId="0">
      <selection activeCell="J2" sqref="J2:J23"/>
    </sheetView>
  </sheetViews>
  <sheetFormatPr defaultRowHeight="15" x14ac:dyDescent="0.25"/>
  <cols>
    <col min="1" max="1" width="23" customWidth="1"/>
    <col min="2" max="2" width="13.140625" customWidth="1"/>
    <col min="3" max="3" width="22.7109375" bestFit="1" customWidth="1"/>
    <col min="4" max="4" width="10.85546875" bestFit="1" customWidth="1"/>
    <col min="5" max="5" width="14.5703125" bestFit="1" customWidth="1"/>
    <col min="6" max="6" width="19.42578125" bestFit="1" customWidth="1"/>
    <col min="7" max="7" width="44.42578125" bestFit="1" customWidth="1"/>
    <col min="8" max="8" width="23.7109375" bestFit="1" customWidth="1"/>
    <col min="9" max="9" width="16.42578125" bestFit="1" customWidth="1"/>
    <col min="10" max="10" width="16.28515625" bestFit="1" customWidth="1"/>
    <col min="11" max="11" width="7.28515625" bestFit="1" customWidth="1"/>
  </cols>
  <sheetData>
    <row r="1" spans="1:12" x14ac:dyDescent="0.25">
      <c r="A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10</v>
      </c>
      <c r="I1" t="s">
        <v>11</v>
      </c>
      <c r="J1" t="s">
        <v>12</v>
      </c>
      <c r="K1" t="s">
        <v>13</v>
      </c>
    </row>
    <row r="2" spans="1:12" x14ac:dyDescent="0.25">
      <c r="A2" t="s">
        <v>63</v>
      </c>
      <c r="B2">
        <v>21348299</v>
      </c>
      <c r="C2" t="s">
        <v>53</v>
      </c>
      <c r="D2">
        <v>251754149</v>
      </c>
      <c r="E2" t="s">
        <v>25</v>
      </c>
      <c r="F2" s="1">
        <v>45881</v>
      </c>
      <c r="G2" t="s">
        <v>21</v>
      </c>
      <c r="H2" s="2">
        <v>65</v>
      </c>
      <c r="I2" s="3">
        <v>0.25</v>
      </c>
      <c r="J2" s="2">
        <v>16.25</v>
      </c>
      <c r="K2" t="s">
        <v>35</v>
      </c>
      <c r="L2" t="s">
        <v>66</v>
      </c>
    </row>
    <row r="3" spans="1:12" x14ac:dyDescent="0.25">
      <c r="A3" t="s">
        <v>59</v>
      </c>
      <c r="B3">
        <v>16849453</v>
      </c>
      <c r="C3" t="s">
        <v>24</v>
      </c>
      <c r="D3">
        <v>1099605</v>
      </c>
      <c r="E3" t="s">
        <v>25</v>
      </c>
      <c r="F3" s="1">
        <v>45833</v>
      </c>
      <c r="G3" t="s">
        <v>21</v>
      </c>
      <c r="H3" s="2">
        <v>129.38999999999999</v>
      </c>
      <c r="I3" s="3">
        <v>0.25</v>
      </c>
      <c r="J3" s="2">
        <v>32.35</v>
      </c>
      <c r="K3" t="s">
        <v>22</v>
      </c>
      <c r="L3" t="s">
        <v>66</v>
      </c>
    </row>
    <row r="4" spans="1:12" x14ac:dyDescent="0.25">
      <c r="A4" t="s">
        <v>62</v>
      </c>
      <c r="B4">
        <v>9213293</v>
      </c>
      <c r="C4" t="s">
        <v>51</v>
      </c>
      <c r="D4">
        <v>1095314</v>
      </c>
      <c r="E4" t="s">
        <v>25</v>
      </c>
      <c r="F4" s="1">
        <v>45770</v>
      </c>
      <c r="G4" t="s">
        <v>30</v>
      </c>
      <c r="H4" s="2">
        <v>165.77</v>
      </c>
      <c r="I4" s="3">
        <v>0.25</v>
      </c>
      <c r="J4" s="2">
        <v>41.44</v>
      </c>
      <c r="K4" t="s">
        <v>35</v>
      </c>
      <c r="L4" t="s">
        <v>66</v>
      </c>
    </row>
    <row r="5" spans="1:12" x14ac:dyDescent="0.25">
      <c r="A5" t="s">
        <v>62</v>
      </c>
      <c r="B5">
        <v>9213293</v>
      </c>
      <c r="C5" t="s">
        <v>57</v>
      </c>
      <c r="D5">
        <v>251795958</v>
      </c>
      <c r="E5" t="s">
        <v>25</v>
      </c>
      <c r="F5" s="1">
        <v>45963</v>
      </c>
      <c r="G5" t="s">
        <v>33</v>
      </c>
      <c r="H5" s="2">
        <v>575</v>
      </c>
      <c r="I5" s="3">
        <v>0.25</v>
      </c>
      <c r="J5" s="2">
        <v>143.75</v>
      </c>
      <c r="K5" t="s">
        <v>35</v>
      </c>
      <c r="L5" t="s">
        <v>66</v>
      </c>
    </row>
    <row r="6" spans="1:12" x14ac:dyDescent="0.25">
      <c r="A6" t="s">
        <v>60</v>
      </c>
      <c r="B6">
        <v>16865615</v>
      </c>
      <c r="C6" t="s">
        <v>37</v>
      </c>
      <c r="D6">
        <v>1084508</v>
      </c>
      <c r="E6" t="s">
        <v>25</v>
      </c>
      <c r="F6" s="1">
        <v>45641</v>
      </c>
      <c r="G6" t="s">
        <v>30</v>
      </c>
      <c r="H6" s="2">
        <v>247.43</v>
      </c>
      <c r="I6" s="3">
        <v>0.25</v>
      </c>
      <c r="J6" s="2">
        <v>61.86</v>
      </c>
      <c r="K6" t="s">
        <v>35</v>
      </c>
      <c r="L6" t="s">
        <v>66</v>
      </c>
    </row>
    <row r="7" spans="1:12" x14ac:dyDescent="0.25">
      <c r="A7" t="s">
        <v>61</v>
      </c>
      <c r="B7">
        <v>18828278</v>
      </c>
      <c r="C7" t="s">
        <v>43</v>
      </c>
      <c r="D7">
        <v>251802495</v>
      </c>
      <c r="E7" t="s">
        <v>19</v>
      </c>
      <c r="F7" s="1">
        <v>46023</v>
      </c>
      <c r="G7" t="s">
        <v>33</v>
      </c>
      <c r="H7" s="2">
        <v>215</v>
      </c>
      <c r="I7" s="3">
        <v>0.25</v>
      </c>
      <c r="J7" s="2">
        <v>53.75</v>
      </c>
      <c r="K7" t="s">
        <v>35</v>
      </c>
      <c r="L7" t="s">
        <v>66</v>
      </c>
    </row>
    <row r="8" spans="1:12" x14ac:dyDescent="0.25">
      <c r="A8" t="s">
        <v>61</v>
      </c>
      <c r="B8">
        <v>18828278</v>
      </c>
      <c r="C8" t="s">
        <v>39</v>
      </c>
      <c r="D8">
        <v>251804065</v>
      </c>
      <c r="E8" t="s">
        <v>19</v>
      </c>
      <c r="F8" s="1">
        <v>46023</v>
      </c>
      <c r="G8" t="s">
        <v>30</v>
      </c>
      <c r="H8" s="2">
        <v>445</v>
      </c>
      <c r="I8" s="3">
        <v>0.25</v>
      </c>
      <c r="J8" s="2">
        <v>111.25</v>
      </c>
      <c r="K8" t="s">
        <v>35</v>
      </c>
      <c r="L8" t="s">
        <v>66</v>
      </c>
    </row>
    <row r="9" spans="1:12" x14ac:dyDescent="0.25">
      <c r="A9" t="s">
        <v>61</v>
      </c>
      <c r="B9">
        <v>18828278</v>
      </c>
      <c r="C9" t="s">
        <v>42</v>
      </c>
      <c r="D9">
        <v>251802446</v>
      </c>
      <c r="E9" t="s">
        <v>19</v>
      </c>
      <c r="F9" s="1">
        <v>46023</v>
      </c>
      <c r="G9" t="s">
        <v>33</v>
      </c>
      <c r="H9" s="2">
        <v>490</v>
      </c>
      <c r="I9" s="3">
        <v>0.25</v>
      </c>
      <c r="J9" s="2">
        <v>122.5</v>
      </c>
      <c r="K9" t="s">
        <v>35</v>
      </c>
      <c r="L9" t="s">
        <v>66</v>
      </c>
    </row>
    <row r="10" spans="1:12" x14ac:dyDescent="0.25">
      <c r="A10" t="s">
        <v>61</v>
      </c>
      <c r="B10">
        <v>18828278</v>
      </c>
      <c r="C10" t="s">
        <v>48</v>
      </c>
      <c r="D10">
        <v>251800097</v>
      </c>
      <c r="E10" t="s">
        <v>19</v>
      </c>
      <c r="F10" s="1">
        <v>46023</v>
      </c>
      <c r="G10" t="s">
        <v>33</v>
      </c>
      <c r="H10" s="2">
        <v>490</v>
      </c>
      <c r="I10" s="3">
        <v>0.25</v>
      </c>
      <c r="J10" s="2">
        <v>122.5</v>
      </c>
      <c r="K10" t="s">
        <v>35</v>
      </c>
      <c r="L10" t="s">
        <v>66</v>
      </c>
    </row>
    <row r="11" spans="1:12" x14ac:dyDescent="0.25">
      <c r="A11" t="s">
        <v>61</v>
      </c>
      <c r="B11">
        <v>18828278</v>
      </c>
      <c r="C11" t="s">
        <v>49</v>
      </c>
      <c r="D11">
        <v>251799402</v>
      </c>
      <c r="E11" t="s">
        <v>19</v>
      </c>
      <c r="F11" s="1">
        <v>46023</v>
      </c>
      <c r="G11" t="s">
        <v>33</v>
      </c>
      <c r="H11" s="2">
        <v>575</v>
      </c>
      <c r="I11" s="3">
        <v>0.25</v>
      </c>
      <c r="J11" s="2">
        <v>143.75</v>
      </c>
      <c r="K11" t="s">
        <v>35</v>
      </c>
      <c r="L11" t="s">
        <v>66</v>
      </c>
    </row>
    <row r="12" spans="1:12" x14ac:dyDescent="0.25">
      <c r="A12" t="s">
        <v>64</v>
      </c>
      <c r="B12">
        <v>16212649</v>
      </c>
      <c r="C12" t="s">
        <v>55</v>
      </c>
      <c r="D12">
        <v>251789501</v>
      </c>
      <c r="E12" t="s">
        <v>25</v>
      </c>
      <c r="F12" s="1">
        <v>45940</v>
      </c>
      <c r="G12" t="s">
        <v>56</v>
      </c>
      <c r="H12" s="2">
        <v>260</v>
      </c>
      <c r="I12" s="3">
        <v>0.25</v>
      </c>
      <c r="J12" s="2">
        <v>65</v>
      </c>
      <c r="K12" t="s">
        <v>35</v>
      </c>
      <c r="L12" t="s">
        <v>66</v>
      </c>
    </row>
    <row r="13" spans="1:12" x14ac:dyDescent="0.25">
      <c r="A13" t="s">
        <v>58</v>
      </c>
      <c r="B13">
        <v>8244481</v>
      </c>
      <c r="C13" t="s">
        <v>46</v>
      </c>
      <c r="D13">
        <v>251800611</v>
      </c>
      <c r="E13" t="s">
        <v>19</v>
      </c>
      <c r="F13" s="1">
        <v>46023</v>
      </c>
      <c r="G13" t="s">
        <v>47</v>
      </c>
      <c r="H13" s="2">
        <v>135</v>
      </c>
      <c r="I13" s="3">
        <v>0.25</v>
      </c>
      <c r="J13" s="2">
        <v>33.75</v>
      </c>
      <c r="K13" t="s">
        <v>35</v>
      </c>
      <c r="L13" t="s">
        <v>66</v>
      </c>
    </row>
    <row r="14" spans="1:12" x14ac:dyDescent="0.25">
      <c r="A14" t="s">
        <v>58</v>
      </c>
      <c r="B14">
        <v>8244481</v>
      </c>
      <c r="C14" t="s">
        <v>18</v>
      </c>
      <c r="D14">
        <v>251809589</v>
      </c>
      <c r="E14" t="s">
        <v>19</v>
      </c>
      <c r="F14" s="1">
        <v>46023</v>
      </c>
      <c r="G14" t="s">
        <v>21</v>
      </c>
      <c r="H14" s="2">
        <v>160</v>
      </c>
      <c r="I14" s="3">
        <v>0.25</v>
      </c>
      <c r="J14" s="2">
        <v>40</v>
      </c>
      <c r="K14" t="s">
        <v>22</v>
      </c>
      <c r="L14" t="s">
        <v>66</v>
      </c>
    </row>
    <row r="15" spans="1:12" x14ac:dyDescent="0.25">
      <c r="A15" t="s">
        <v>58</v>
      </c>
      <c r="B15">
        <v>8244481</v>
      </c>
      <c r="C15" t="s">
        <v>26</v>
      </c>
      <c r="D15">
        <v>251808885</v>
      </c>
      <c r="E15" t="s">
        <v>19</v>
      </c>
      <c r="F15" s="1">
        <v>46023</v>
      </c>
      <c r="G15" t="s">
        <v>21</v>
      </c>
      <c r="H15" s="2">
        <v>185</v>
      </c>
      <c r="I15" s="3">
        <v>0.25</v>
      </c>
      <c r="J15" s="2">
        <v>46.25</v>
      </c>
      <c r="K15" t="s">
        <v>22</v>
      </c>
      <c r="L15" t="s">
        <v>66</v>
      </c>
    </row>
    <row r="16" spans="1:12" x14ac:dyDescent="0.25">
      <c r="A16" t="s">
        <v>58</v>
      </c>
      <c r="B16">
        <v>8244481</v>
      </c>
      <c r="C16" t="s">
        <v>40</v>
      </c>
      <c r="D16">
        <v>251803713</v>
      </c>
      <c r="E16" t="s">
        <v>19</v>
      </c>
      <c r="F16" s="1">
        <v>46023</v>
      </c>
      <c r="G16" t="s">
        <v>41</v>
      </c>
      <c r="H16" s="2">
        <v>310</v>
      </c>
      <c r="I16" s="3">
        <v>0.25</v>
      </c>
      <c r="J16" s="2">
        <v>77.5</v>
      </c>
      <c r="K16" t="s">
        <v>35</v>
      </c>
      <c r="L16" t="s">
        <v>66</v>
      </c>
    </row>
    <row r="17" spans="1:12" x14ac:dyDescent="0.25">
      <c r="A17" t="s">
        <v>58</v>
      </c>
      <c r="B17">
        <v>8244481</v>
      </c>
      <c r="C17" t="s">
        <v>44</v>
      </c>
      <c r="D17">
        <v>251801849</v>
      </c>
      <c r="E17" t="s">
        <v>19</v>
      </c>
      <c r="F17" s="1">
        <v>46023</v>
      </c>
      <c r="G17" t="s">
        <v>33</v>
      </c>
      <c r="H17" s="2">
        <v>340</v>
      </c>
      <c r="I17" s="3">
        <v>0.25</v>
      </c>
      <c r="J17" s="2">
        <v>85</v>
      </c>
      <c r="K17" t="s">
        <v>35</v>
      </c>
      <c r="L17" t="s">
        <v>66</v>
      </c>
    </row>
    <row r="18" spans="1:12" x14ac:dyDescent="0.25">
      <c r="A18" t="s">
        <v>58</v>
      </c>
      <c r="B18">
        <v>8244481</v>
      </c>
      <c r="C18" t="s">
        <v>27</v>
      </c>
      <c r="D18">
        <v>251807985</v>
      </c>
      <c r="E18" t="s">
        <v>19</v>
      </c>
      <c r="F18" s="1">
        <v>46023</v>
      </c>
      <c r="G18" t="s">
        <v>28</v>
      </c>
      <c r="H18" s="2">
        <v>355</v>
      </c>
      <c r="I18" s="3">
        <v>0.25</v>
      </c>
      <c r="J18" s="2">
        <v>88.75</v>
      </c>
      <c r="K18" t="s">
        <v>22</v>
      </c>
      <c r="L18" t="s">
        <v>66</v>
      </c>
    </row>
    <row r="19" spans="1:12" x14ac:dyDescent="0.25">
      <c r="A19" t="s">
        <v>58</v>
      </c>
      <c r="B19">
        <v>8244481</v>
      </c>
      <c r="C19" t="s">
        <v>31</v>
      </c>
      <c r="D19">
        <v>251806799</v>
      </c>
      <c r="E19" t="s">
        <v>19</v>
      </c>
      <c r="F19" s="1">
        <v>46023</v>
      </c>
      <c r="G19" t="s">
        <v>28</v>
      </c>
      <c r="H19" s="2">
        <v>355</v>
      </c>
      <c r="I19" s="3">
        <v>0.25</v>
      </c>
      <c r="J19" s="2">
        <v>88.75</v>
      </c>
      <c r="K19" t="s">
        <v>22</v>
      </c>
      <c r="L19" t="s">
        <v>66</v>
      </c>
    </row>
    <row r="20" spans="1:12" x14ac:dyDescent="0.25">
      <c r="A20" t="s">
        <v>58</v>
      </c>
      <c r="B20">
        <v>8244481</v>
      </c>
      <c r="C20" t="s">
        <v>34</v>
      </c>
      <c r="D20">
        <v>251804261</v>
      </c>
      <c r="E20" t="s">
        <v>19</v>
      </c>
      <c r="F20" s="1">
        <v>46023</v>
      </c>
      <c r="G20" t="s">
        <v>28</v>
      </c>
      <c r="H20" s="2">
        <v>355</v>
      </c>
      <c r="I20" s="3">
        <v>0.25</v>
      </c>
      <c r="J20" s="2">
        <v>88.75</v>
      </c>
      <c r="K20" t="s">
        <v>35</v>
      </c>
      <c r="L20" t="s">
        <v>66</v>
      </c>
    </row>
    <row r="21" spans="1:12" x14ac:dyDescent="0.25">
      <c r="A21" t="s">
        <v>58</v>
      </c>
      <c r="B21">
        <v>8244481</v>
      </c>
      <c r="C21" t="s">
        <v>29</v>
      </c>
      <c r="D21">
        <v>251807518</v>
      </c>
      <c r="E21" t="s">
        <v>19</v>
      </c>
      <c r="F21" s="1">
        <v>46023</v>
      </c>
      <c r="G21" t="s">
        <v>30</v>
      </c>
      <c r="H21" s="2">
        <v>510</v>
      </c>
      <c r="I21" s="3">
        <v>0.25</v>
      </c>
      <c r="J21" s="2">
        <v>127.5</v>
      </c>
      <c r="K21" t="s">
        <v>22</v>
      </c>
      <c r="L21" t="s">
        <v>66</v>
      </c>
    </row>
    <row r="22" spans="1:12" x14ac:dyDescent="0.25">
      <c r="A22" t="s">
        <v>58</v>
      </c>
      <c r="B22">
        <v>8244481</v>
      </c>
      <c r="C22" t="s">
        <v>32</v>
      </c>
      <c r="D22">
        <v>251805309</v>
      </c>
      <c r="E22" t="s">
        <v>19</v>
      </c>
      <c r="F22" s="1">
        <v>46023</v>
      </c>
      <c r="G22" t="s">
        <v>33</v>
      </c>
      <c r="H22" s="2">
        <v>575</v>
      </c>
      <c r="I22" s="3">
        <v>0.25</v>
      </c>
      <c r="J22" s="2">
        <v>143.75</v>
      </c>
      <c r="K22" t="s">
        <v>22</v>
      </c>
      <c r="L22" t="s">
        <v>66</v>
      </c>
    </row>
    <row r="23" spans="1:12" x14ac:dyDescent="0.25">
      <c r="A23" t="s">
        <v>58</v>
      </c>
      <c r="B23">
        <v>8244481</v>
      </c>
      <c r="C23" t="s">
        <v>45</v>
      </c>
      <c r="D23">
        <v>251800809</v>
      </c>
      <c r="E23" t="s">
        <v>19</v>
      </c>
      <c r="F23" s="1">
        <v>46024</v>
      </c>
      <c r="G23" t="s">
        <v>33</v>
      </c>
      <c r="H23" s="2">
        <v>575</v>
      </c>
      <c r="I23" s="3">
        <v>0.25</v>
      </c>
      <c r="J23" s="2">
        <v>143.75</v>
      </c>
      <c r="K23" t="s">
        <v>35</v>
      </c>
      <c r="L23" t="s">
        <v>66</v>
      </c>
    </row>
    <row r="35" spans="6:10" x14ac:dyDescent="0.25">
      <c r="F35" s="1"/>
      <c r="H35" s="2"/>
      <c r="I35" s="3"/>
      <c r="J35" s="2"/>
    </row>
    <row r="36" spans="6:10" x14ac:dyDescent="0.25">
      <c r="F36" s="1"/>
      <c r="H36" s="2"/>
      <c r="I36" s="3"/>
      <c r="J36" s="2"/>
    </row>
    <row r="37" spans="6:10" x14ac:dyDescent="0.25">
      <c r="F37" s="1"/>
      <c r="H37" s="2"/>
      <c r="I37" s="3"/>
      <c r="J37" s="2"/>
    </row>
    <row r="38" spans="6:10" x14ac:dyDescent="0.25">
      <c r="F38" s="1"/>
      <c r="H38" s="2"/>
      <c r="I38" s="3"/>
      <c r="J38" s="2"/>
    </row>
    <row r="39" spans="6:10" x14ac:dyDescent="0.25">
      <c r="F39" s="1"/>
      <c r="H39" s="2"/>
      <c r="I39" s="3"/>
      <c r="J39" s="2"/>
    </row>
    <row r="40" spans="6:10" x14ac:dyDescent="0.25">
      <c r="F40" s="1"/>
      <c r="H40" s="2"/>
      <c r="I40" s="2"/>
      <c r="J40" s="2"/>
    </row>
    <row r="41" spans="6:10" x14ac:dyDescent="0.25">
      <c r="F41" s="1"/>
      <c r="H41" s="2"/>
      <c r="I41" s="3"/>
      <c r="J41" s="2"/>
    </row>
    <row r="42" spans="6:10" x14ac:dyDescent="0.25">
      <c r="F42" s="1"/>
      <c r="H42" s="2"/>
      <c r="I42" s="3"/>
      <c r="J42" s="2"/>
    </row>
    <row r="43" spans="6:10" x14ac:dyDescent="0.25">
      <c r="F43" s="1"/>
      <c r="H43" s="2"/>
      <c r="I43" s="3"/>
      <c r="J43" s="2"/>
    </row>
    <row r="44" spans="6:10" x14ac:dyDescent="0.25">
      <c r="F44" s="1"/>
      <c r="H44" s="2"/>
      <c r="I44" s="2"/>
      <c r="J44" s="2"/>
    </row>
    <row r="45" spans="6:10" x14ac:dyDescent="0.25">
      <c r="F45" s="1"/>
      <c r="H45" s="2"/>
      <c r="I45" s="3"/>
      <c r="J45" s="2"/>
    </row>
    <row r="46" spans="6:10" x14ac:dyDescent="0.25">
      <c r="F46" s="1"/>
      <c r="H46" s="2"/>
      <c r="I46" s="3"/>
      <c r="J46" s="2"/>
    </row>
    <row r="47" spans="6:10" x14ac:dyDescent="0.25">
      <c r="F47" s="1"/>
      <c r="H47" s="2"/>
      <c r="I47" s="3"/>
      <c r="J47" s="2"/>
    </row>
    <row r="48" spans="6:10" x14ac:dyDescent="0.25">
      <c r="F48" s="1"/>
      <c r="H48" s="2"/>
      <c r="I48" s="3"/>
      <c r="J48" s="2"/>
    </row>
    <row r="49" spans="6:10" x14ac:dyDescent="0.25">
      <c r="F49" s="1"/>
      <c r="H49" s="2"/>
      <c r="I49" s="3"/>
      <c r="J49" s="2"/>
    </row>
    <row r="50" spans="6:10" x14ac:dyDescent="0.25">
      <c r="F50" s="1"/>
      <c r="H50" s="2"/>
      <c r="I50" s="3"/>
      <c r="J50" s="2"/>
    </row>
    <row r="51" spans="6:10" x14ac:dyDescent="0.25">
      <c r="F51" s="1"/>
      <c r="H51" s="2"/>
      <c r="I51" s="3"/>
      <c r="J51" s="2"/>
    </row>
    <row r="52" spans="6:10" x14ac:dyDescent="0.25">
      <c r="F52" s="1"/>
      <c r="H52" s="2"/>
      <c r="I52" s="3"/>
      <c r="J52" s="2"/>
    </row>
    <row r="53" spans="6:10" x14ac:dyDescent="0.25">
      <c r="F53" s="1"/>
      <c r="H53" s="2"/>
      <c r="I53" s="3"/>
      <c r="J53" s="2"/>
    </row>
    <row r="54" spans="6:10" x14ac:dyDescent="0.25">
      <c r="F54" s="1"/>
      <c r="H54" s="2"/>
      <c r="I54" s="3"/>
      <c r="J54" s="2"/>
    </row>
    <row r="55" spans="6:10" x14ac:dyDescent="0.25">
      <c r="F55" s="1"/>
      <c r="H55" s="2"/>
      <c r="J55" s="2"/>
    </row>
    <row r="56" spans="6:10" x14ac:dyDescent="0.25">
      <c r="F56" s="1"/>
      <c r="H56" s="2"/>
      <c r="J56" s="2"/>
    </row>
    <row r="57" spans="6:10" x14ac:dyDescent="0.25">
      <c r="F57" s="1"/>
      <c r="H57" s="2"/>
      <c r="J57" s="2"/>
    </row>
    <row r="58" spans="6:10" x14ac:dyDescent="0.25">
      <c r="F58" s="1"/>
      <c r="H58" s="2"/>
      <c r="I58" s="3"/>
      <c r="J58" s="2"/>
    </row>
    <row r="59" spans="6:10" x14ac:dyDescent="0.25">
      <c r="F59" s="1"/>
      <c r="H59" s="2"/>
      <c r="I59" s="3"/>
      <c r="J59" s="2"/>
    </row>
    <row r="60" spans="6:10" x14ac:dyDescent="0.25">
      <c r="F60" s="1"/>
      <c r="H60" s="2"/>
      <c r="I60" s="3"/>
      <c r="J60" s="2"/>
    </row>
    <row r="61" spans="6:10" x14ac:dyDescent="0.25">
      <c r="F61" s="1"/>
      <c r="H61" s="2"/>
      <c r="I61" s="3"/>
      <c r="J61" s="2"/>
    </row>
    <row r="62" spans="6:10" x14ac:dyDescent="0.25">
      <c r="F62" s="1"/>
      <c r="H62" s="2"/>
      <c r="I62" s="3"/>
      <c r="J62" s="2"/>
    </row>
    <row r="63" spans="6:10" x14ac:dyDescent="0.25">
      <c r="F63" s="1"/>
      <c r="H63" s="2"/>
      <c r="I63" s="3"/>
      <c r="J63" s="2"/>
    </row>
    <row r="64" spans="6:10" x14ac:dyDescent="0.25">
      <c r="F64" s="1"/>
      <c r="H64" s="2"/>
      <c r="I64" s="3"/>
      <c r="J64" s="2"/>
    </row>
    <row r="65" spans="6:10" x14ac:dyDescent="0.25">
      <c r="F65" s="1"/>
      <c r="H65" s="2"/>
      <c r="I65" s="3"/>
      <c r="J65" s="2"/>
    </row>
    <row r="66" spans="6:10" x14ac:dyDescent="0.25">
      <c r="F66" s="1"/>
      <c r="H66" s="2"/>
      <c r="I66" s="3"/>
      <c r="J66" s="2"/>
    </row>
    <row r="67" spans="6:10" x14ac:dyDescent="0.25">
      <c r="F67" s="1"/>
      <c r="H67" s="2"/>
      <c r="I67" s="3"/>
      <c r="J67" s="2"/>
    </row>
    <row r="68" spans="6:10" x14ac:dyDescent="0.25">
      <c r="F68" s="1"/>
      <c r="H68" s="2"/>
      <c r="I68" s="3"/>
      <c r="J68" s="2"/>
    </row>
    <row r="69" spans="6:10" x14ac:dyDescent="0.25">
      <c r="F69" s="1"/>
      <c r="H69" s="2"/>
      <c r="I69" s="3"/>
      <c r="J69" s="2"/>
    </row>
    <row r="70" spans="6:10" x14ac:dyDescent="0.25">
      <c r="F70" s="1"/>
      <c r="H70" s="2"/>
      <c r="I70" s="3"/>
      <c r="J70" s="2"/>
    </row>
    <row r="71" spans="6:10" x14ac:dyDescent="0.25">
      <c r="F71" s="1"/>
      <c r="H71" s="2"/>
      <c r="I71" s="3"/>
      <c r="J71" s="2"/>
    </row>
    <row r="72" spans="6:10" x14ac:dyDescent="0.25">
      <c r="F72" s="1"/>
      <c r="H72" s="2"/>
      <c r="I72" s="3"/>
      <c r="J72" s="2"/>
    </row>
    <row r="73" spans="6:10" x14ac:dyDescent="0.25">
      <c r="F73" s="1"/>
      <c r="H73" s="2"/>
      <c r="J73" s="2"/>
    </row>
    <row r="74" spans="6:10" x14ac:dyDescent="0.25">
      <c r="F74" s="1"/>
      <c r="H74" s="2"/>
      <c r="I74" s="3"/>
      <c r="J74" s="2"/>
    </row>
    <row r="75" spans="6:10" x14ac:dyDescent="0.25">
      <c r="F75" s="1"/>
      <c r="H75" s="2"/>
      <c r="J75" s="2"/>
    </row>
    <row r="76" spans="6:10" x14ac:dyDescent="0.25">
      <c r="F76" s="1"/>
      <c r="H76" s="2"/>
      <c r="I76" s="3"/>
      <c r="J76" s="2"/>
    </row>
    <row r="77" spans="6:10" x14ac:dyDescent="0.25">
      <c r="F77" s="1"/>
      <c r="H77" s="2"/>
      <c r="I77" s="3"/>
      <c r="J77" s="2"/>
    </row>
    <row r="78" spans="6:10" x14ac:dyDescent="0.25">
      <c r="F78" s="1"/>
      <c r="H78" s="2"/>
      <c r="I78" s="3"/>
      <c r="J78" s="2"/>
    </row>
    <row r="79" spans="6:10" x14ac:dyDescent="0.25">
      <c r="F79" s="1"/>
      <c r="H79" s="2"/>
      <c r="J79" s="2"/>
    </row>
    <row r="80" spans="6:10" x14ac:dyDescent="0.25">
      <c r="F80" s="1"/>
      <c r="H80" s="2"/>
      <c r="I80" s="3"/>
      <c r="J80" s="2"/>
    </row>
    <row r="81" spans="6:10" x14ac:dyDescent="0.25">
      <c r="F81" s="1"/>
      <c r="H81" s="2"/>
      <c r="I81" s="3"/>
      <c r="J81" s="2"/>
    </row>
    <row r="82" spans="6:10" x14ac:dyDescent="0.25">
      <c r="F82" s="1"/>
      <c r="H82" s="2"/>
      <c r="I82" s="3"/>
      <c r="J82" s="2"/>
    </row>
    <row r="83" spans="6:10" x14ac:dyDescent="0.25">
      <c r="F83" s="1"/>
      <c r="H83" s="2"/>
      <c r="I83" s="3"/>
      <c r="J83" s="2"/>
    </row>
    <row r="84" spans="6:10" x14ac:dyDescent="0.25">
      <c r="F84" s="1"/>
      <c r="H84" s="2"/>
      <c r="I84" s="3"/>
      <c r="J84" s="2"/>
    </row>
    <row r="85" spans="6:10" x14ac:dyDescent="0.25">
      <c r="F85" s="1"/>
      <c r="H85" s="2"/>
      <c r="I85" s="3"/>
      <c r="J85" s="2"/>
    </row>
    <row r="86" spans="6:10" x14ac:dyDescent="0.25">
      <c r="F86" s="1"/>
      <c r="H86" s="2"/>
      <c r="J86" s="2"/>
    </row>
    <row r="87" spans="6:10" x14ac:dyDescent="0.25">
      <c r="F87" s="1"/>
      <c r="H87" s="2"/>
      <c r="I87" s="3"/>
      <c r="J87" s="2"/>
    </row>
    <row r="88" spans="6:10" x14ac:dyDescent="0.25">
      <c r="F88" s="1"/>
      <c r="H88" s="2"/>
      <c r="I88" s="3"/>
      <c r="J88" s="2"/>
    </row>
    <row r="89" spans="6:10" x14ac:dyDescent="0.25">
      <c r="F89" s="1"/>
      <c r="H89" s="2"/>
      <c r="I89" s="3"/>
      <c r="J89" s="2"/>
    </row>
    <row r="90" spans="6:10" x14ac:dyDescent="0.25">
      <c r="F90" s="1"/>
      <c r="H90" s="2"/>
      <c r="J90" s="2"/>
    </row>
    <row r="91" spans="6:10" x14ac:dyDescent="0.25">
      <c r="F91" s="1"/>
      <c r="H91" s="2"/>
      <c r="I91" s="3"/>
      <c r="J91" s="2"/>
    </row>
    <row r="92" spans="6:10" x14ac:dyDescent="0.25">
      <c r="F92" s="1"/>
      <c r="H92" s="2"/>
      <c r="I92" s="3"/>
      <c r="J92" s="2"/>
    </row>
    <row r="93" spans="6:10" x14ac:dyDescent="0.25">
      <c r="F93" s="1"/>
      <c r="H93" s="2"/>
      <c r="I93" s="3"/>
      <c r="J93" s="2"/>
    </row>
    <row r="94" spans="6:10" x14ac:dyDescent="0.25">
      <c r="F94" s="1"/>
      <c r="H94" s="2"/>
      <c r="I94" s="3"/>
      <c r="J94" s="2"/>
    </row>
  </sheetData>
  <sortState xmlns:xlrd2="http://schemas.microsoft.com/office/spreadsheetml/2017/richdata2" ref="A2:U23">
    <sortCondition ref="A2:A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13BD6-798D-4752-8AF4-3AA12075C630}">
  <dimension ref="A1:N12"/>
  <sheetViews>
    <sheetView workbookViewId="0">
      <selection activeCell="E8" sqref="E8"/>
    </sheetView>
  </sheetViews>
  <sheetFormatPr defaultRowHeight="15" x14ac:dyDescent="0.25"/>
  <sheetData>
    <row r="1" spans="1:14" x14ac:dyDescent="0.25">
      <c r="A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4" s="4" customFormat="1" x14ac:dyDescent="0.25">
      <c r="A2" s="4" t="s">
        <v>62</v>
      </c>
      <c r="B2" s="4">
        <v>9213293</v>
      </c>
      <c r="C2" s="4" t="s">
        <v>57</v>
      </c>
      <c r="D2" s="4">
        <v>251795958</v>
      </c>
      <c r="E2" s="4" t="s">
        <v>25</v>
      </c>
      <c r="F2" s="5">
        <v>45963</v>
      </c>
      <c r="G2" s="4" t="s">
        <v>33</v>
      </c>
      <c r="H2" s="6">
        <v>595</v>
      </c>
      <c r="I2" s="6">
        <v>595</v>
      </c>
      <c r="J2" s="6">
        <v>100</v>
      </c>
      <c r="K2" s="6">
        <v>100</v>
      </c>
      <c r="L2" s="4" t="s">
        <v>35</v>
      </c>
      <c r="M2" s="4" t="s">
        <v>65</v>
      </c>
      <c r="N2" s="4" t="str">
        <f>CONCATENATE(M2," ","Bonus:"," ",C2,"-",D2)</f>
        <v>OneShare Bonus: Susan Sansweet-251795958</v>
      </c>
    </row>
    <row r="3" spans="1:14" s="4" customFormat="1" x14ac:dyDescent="0.25">
      <c r="A3" s="4" t="s">
        <v>61</v>
      </c>
      <c r="B3" s="4">
        <v>18828278</v>
      </c>
      <c r="C3" s="4" t="s">
        <v>39</v>
      </c>
      <c r="D3" s="4">
        <v>251804065</v>
      </c>
      <c r="E3" s="4" t="s">
        <v>19</v>
      </c>
      <c r="F3" s="5">
        <v>46023</v>
      </c>
      <c r="G3" s="4" t="s">
        <v>30</v>
      </c>
      <c r="H3" s="6">
        <v>465</v>
      </c>
      <c r="I3" s="6">
        <v>465</v>
      </c>
      <c r="J3" s="6">
        <v>100</v>
      </c>
      <c r="K3" s="6">
        <v>100</v>
      </c>
      <c r="L3" s="4" t="s">
        <v>35</v>
      </c>
      <c r="M3" s="4" t="s">
        <v>65</v>
      </c>
      <c r="N3" s="4" t="str">
        <f>CONCATENATE(M3," ","Bonus:"," ",C3,"-",D3)</f>
        <v>OneShare Bonus: John Harris-251804065</v>
      </c>
    </row>
    <row r="4" spans="1:14" s="4" customFormat="1" x14ac:dyDescent="0.25">
      <c r="A4" s="4" t="s">
        <v>61</v>
      </c>
      <c r="B4" s="4">
        <v>18828278</v>
      </c>
      <c r="C4" s="4" t="s">
        <v>42</v>
      </c>
      <c r="D4" s="4">
        <v>251802446</v>
      </c>
      <c r="E4" s="4" t="s">
        <v>19</v>
      </c>
      <c r="F4" s="5">
        <v>46023</v>
      </c>
      <c r="G4" s="4" t="s">
        <v>33</v>
      </c>
      <c r="H4" s="6">
        <v>510</v>
      </c>
      <c r="I4" s="6">
        <v>510</v>
      </c>
      <c r="J4" s="6">
        <v>100</v>
      </c>
      <c r="K4" s="6">
        <v>100</v>
      </c>
      <c r="L4" s="4" t="s">
        <v>35</v>
      </c>
      <c r="M4" s="4" t="s">
        <v>65</v>
      </c>
      <c r="N4" s="4" t="str">
        <f>CONCATENATE(M4," ","Bonus:"," ",C4,"-",D4)</f>
        <v>OneShare Bonus: Kelli Maquet-251802446</v>
      </c>
    </row>
    <row r="5" spans="1:14" s="4" customFormat="1" x14ac:dyDescent="0.25">
      <c r="A5" s="4" t="s">
        <v>61</v>
      </c>
      <c r="B5" s="4">
        <v>18828278</v>
      </c>
      <c r="C5" s="4" t="s">
        <v>43</v>
      </c>
      <c r="D5" s="4">
        <v>251802495</v>
      </c>
      <c r="E5" s="4" t="s">
        <v>19</v>
      </c>
      <c r="F5" s="5">
        <v>46023</v>
      </c>
      <c r="G5" s="4" t="s">
        <v>33</v>
      </c>
      <c r="H5" s="6">
        <v>235</v>
      </c>
      <c r="I5" s="6">
        <v>235</v>
      </c>
      <c r="J5" s="6">
        <v>100</v>
      </c>
      <c r="K5" s="6">
        <v>100</v>
      </c>
      <c r="L5" s="4" t="s">
        <v>35</v>
      </c>
      <c r="M5" s="4" t="s">
        <v>65</v>
      </c>
      <c r="N5" s="4" t="str">
        <f>CONCATENATE(M5," ","Bonus:"," ",C5,"-",D5)</f>
        <v>OneShare Bonus: Josiah Chya-251802495</v>
      </c>
    </row>
    <row r="6" spans="1:14" s="4" customFormat="1" x14ac:dyDescent="0.25">
      <c r="A6" s="4" t="s">
        <v>61</v>
      </c>
      <c r="B6" s="4">
        <v>18828278</v>
      </c>
      <c r="C6" s="4" t="s">
        <v>48</v>
      </c>
      <c r="D6" s="4">
        <v>251800097</v>
      </c>
      <c r="E6" s="4" t="s">
        <v>19</v>
      </c>
      <c r="F6" s="5">
        <v>46023</v>
      </c>
      <c r="G6" s="4" t="s">
        <v>33</v>
      </c>
      <c r="H6" s="6">
        <v>510</v>
      </c>
      <c r="I6" s="6">
        <v>510</v>
      </c>
      <c r="J6" s="6">
        <v>100</v>
      </c>
      <c r="K6" s="6">
        <v>100</v>
      </c>
      <c r="L6" s="4" t="s">
        <v>35</v>
      </c>
      <c r="M6" s="4" t="s">
        <v>65</v>
      </c>
      <c r="N6" s="4" t="str">
        <f>CONCATENATE(M6," ","Bonus:"," ",C6,"-",D6)</f>
        <v>OneShare Bonus: Tobi McBride-251800097</v>
      </c>
    </row>
    <row r="7" spans="1:14" s="4" customFormat="1" x14ac:dyDescent="0.25">
      <c r="A7" s="4" t="s">
        <v>61</v>
      </c>
      <c r="B7" s="4">
        <v>18828278</v>
      </c>
      <c r="C7" s="4" t="s">
        <v>49</v>
      </c>
      <c r="D7" s="4">
        <v>251799402</v>
      </c>
      <c r="E7" s="4" t="s">
        <v>19</v>
      </c>
      <c r="F7" s="5">
        <v>46023</v>
      </c>
      <c r="G7" s="4" t="s">
        <v>33</v>
      </c>
      <c r="H7" s="6">
        <v>595</v>
      </c>
      <c r="I7" s="6">
        <v>595</v>
      </c>
      <c r="J7" s="6">
        <v>100</v>
      </c>
      <c r="K7" s="6">
        <v>100</v>
      </c>
      <c r="L7" s="4" t="s">
        <v>35</v>
      </c>
      <c r="M7" s="4" t="s">
        <v>65</v>
      </c>
      <c r="N7" s="4" t="str">
        <f>CONCATENATE(M7," ","Bonus:"," ",C7,"-",D7)</f>
        <v>OneShare Bonus: Ronald Fryman-251799402</v>
      </c>
    </row>
    <row r="8" spans="1:14" s="4" customFormat="1" x14ac:dyDescent="0.25">
      <c r="A8" s="4" t="s">
        <v>58</v>
      </c>
      <c r="B8" s="4">
        <v>8244481</v>
      </c>
      <c r="C8" s="4" t="s">
        <v>29</v>
      </c>
      <c r="D8" s="4">
        <v>251807518</v>
      </c>
      <c r="E8" s="4" t="s">
        <v>19</v>
      </c>
      <c r="F8" s="5">
        <v>46023</v>
      </c>
      <c r="G8" s="4" t="s">
        <v>30</v>
      </c>
      <c r="H8" s="6">
        <v>530</v>
      </c>
      <c r="I8" s="6">
        <v>530</v>
      </c>
      <c r="J8" s="6">
        <v>100</v>
      </c>
      <c r="K8" s="6">
        <v>100</v>
      </c>
      <c r="L8" s="4" t="s">
        <v>22</v>
      </c>
      <c r="M8" s="4" t="s">
        <v>65</v>
      </c>
      <c r="N8" s="4" t="str">
        <f>CONCATENATE(M8," ","Bonus:"," ",C8,"-",D8)</f>
        <v>OneShare Bonus: Sara Huddleston-251807518</v>
      </c>
    </row>
    <row r="9" spans="1:14" s="4" customFormat="1" x14ac:dyDescent="0.25">
      <c r="A9" s="4" t="s">
        <v>58</v>
      </c>
      <c r="B9" s="4">
        <v>8244481</v>
      </c>
      <c r="C9" s="4" t="s">
        <v>32</v>
      </c>
      <c r="D9" s="4">
        <v>251805309</v>
      </c>
      <c r="E9" s="4" t="s">
        <v>19</v>
      </c>
      <c r="F9" s="5">
        <v>46023</v>
      </c>
      <c r="G9" s="4" t="s">
        <v>33</v>
      </c>
      <c r="H9" s="6">
        <v>595</v>
      </c>
      <c r="I9" s="6">
        <v>595</v>
      </c>
      <c r="J9" s="6">
        <v>100</v>
      </c>
      <c r="K9" s="6">
        <v>100</v>
      </c>
      <c r="L9" s="4" t="s">
        <v>22</v>
      </c>
      <c r="M9" s="4" t="s">
        <v>65</v>
      </c>
      <c r="N9" s="4" t="str">
        <f>CONCATENATE(M9," ","Bonus:"," ",C9,"-",D9)</f>
        <v>OneShare Bonus: Lori McGowan-251805309</v>
      </c>
    </row>
    <row r="10" spans="1:14" s="4" customFormat="1" x14ac:dyDescent="0.25">
      <c r="A10" s="4" t="s">
        <v>58</v>
      </c>
      <c r="B10" s="4">
        <v>8244481</v>
      </c>
      <c r="C10" s="4" t="s">
        <v>44</v>
      </c>
      <c r="D10" s="4">
        <v>251801849</v>
      </c>
      <c r="E10" s="4" t="s">
        <v>19</v>
      </c>
      <c r="F10" s="5">
        <v>46023</v>
      </c>
      <c r="G10" s="4" t="s">
        <v>33</v>
      </c>
      <c r="H10" s="6">
        <v>360</v>
      </c>
      <c r="I10" s="6">
        <v>360</v>
      </c>
      <c r="J10" s="6">
        <v>100</v>
      </c>
      <c r="K10" s="6">
        <v>100</v>
      </c>
      <c r="L10" s="4" t="s">
        <v>35</v>
      </c>
      <c r="M10" s="4" t="s">
        <v>65</v>
      </c>
      <c r="N10" s="4" t="str">
        <f>CONCATENATE(M10," ","Bonus:"," ",C10,"-",D10)</f>
        <v>OneShare Bonus: Matthew Eich-251801849</v>
      </c>
    </row>
    <row r="11" spans="1:14" s="4" customFormat="1" x14ac:dyDescent="0.25">
      <c r="A11" s="4" t="s">
        <v>58</v>
      </c>
      <c r="B11" s="4">
        <v>8244481</v>
      </c>
      <c r="C11" s="4" t="s">
        <v>45</v>
      </c>
      <c r="D11" s="4">
        <v>251800809</v>
      </c>
      <c r="E11" s="4" t="s">
        <v>19</v>
      </c>
      <c r="F11" s="5">
        <v>46024</v>
      </c>
      <c r="G11" s="4" t="s">
        <v>33</v>
      </c>
      <c r="H11" s="6">
        <v>595</v>
      </c>
      <c r="I11" s="6">
        <v>595</v>
      </c>
      <c r="J11" s="6">
        <v>100</v>
      </c>
      <c r="K11" s="6">
        <v>100</v>
      </c>
      <c r="L11" s="4" t="s">
        <v>35</v>
      </c>
      <c r="M11" s="4" t="s">
        <v>65</v>
      </c>
      <c r="N11" s="4" t="str">
        <f>CONCATENATE(M11," ","Bonus:"," ",C11,"-",D11)</f>
        <v>OneShare Bonus: Danette Weber-251800809</v>
      </c>
    </row>
    <row r="12" spans="1:14" s="4" customFormat="1" x14ac:dyDescent="0.25">
      <c r="A12" s="4" t="s">
        <v>58</v>
      </c>
      <c r="B12" s="4">
        <v>8244481</v>
      </c>
      <c r="C12" s="4" t="s">
        <v>46</v>
      </c>
      <c r="D12" s="4">
        <v>251800611</v>
      </c>
      <c r="E12" s="4" t="s">
        <v>19</v>
      </c>
      <c r="F12" s="5">
        <v>46023</v>
      </c>
      <c r="G12" s="4" t="s">
        <v>47</v>
      </c>
      <c r="H12" s="6">
        <v>145</v>
      </c>
      <c r="I12" s="6">
        <v>145</v>
      </c>
      <c r="J12" s="6">
        <v>100</v>
      </c>
      <c r="K12" s="6">
        <v>100</v>
      </c>
      <c r="L12" s="4" t="s">
        <v>35</v>
      </c>
      <c r="M12" s="4" t="s">
        <v>65</v>
      </c>
      <c r="N12" s="4" t="str">
        <f>CONCATENATE(M12," ","Bonus:"," ",C12,"-",D12)</f>
        <v>OneShare Bonus: Alex Diekhoff-251800611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commissions-all-export-2025_11_</vt:lpstr>
      <vt:lpstr>Sheet1</vt:lpstr>
      <vt:lpstr>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2025-11-25T15:40:52Z</dcterms:created>
  <dcterms:modified xsi:type="dcterms:W3CDTF">2025-11-26T15:24:58Z</dcterms:modified>
</cp:coreProperties>
</file>