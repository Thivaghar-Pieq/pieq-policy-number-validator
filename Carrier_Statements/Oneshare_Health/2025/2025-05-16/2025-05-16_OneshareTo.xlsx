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Oneshare Health\2025\05-16-25 to 05-30-25\"/>
    </mc:Choice>
  </mc:AlternateContent>
  <xr:revisionPtr revIDLastSave="0" documentId="13_ncr:1_{2B3ADF98-4900-483B-A7B4-DE82AED89812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Export" sheetId="1" r:id="rId1"/>
  </sheets>
  <calcPr calcId="181029"/>
</workbook>
</file>

<file path=xl/calcChain.xml><?xml version="1.0" encoding="utf-8"?>
<calcChain xmlns="http://schemas.openxmlformats.org/spreadsheetml/2006/main">
  <c r="P11" i="1" l="1"/>
</calcChain>
</file>

<file path=xl/sharedStrings.xml><?xml version="1.0" encoding="utf-8"?>
<sst xmlns="http://schemas.openxmlformats.org/spreadsheetml/2006/main" count="99" uniqueCount="42">
  <si>
    <t>Member Name</t>
  </si>
  <si>
    <t>Member Id</t>
  </si>
  <si>
    <t>Status</t>
  </si>
  <si>
    <t>Producer</t>
  </si>
  <si>
    <t>Producer Id</t>
  </si>
  <si>
    <t>Paid To</t>
  </si>
  <si>
    <t>Program</t>
  </si>
  <si>
    <t>Enrollment Type</t>
  </si>
  <si>
    <t>Enroll Trans Start Date</t>
  </si>
  <si>
    <t>Enroll Trans End Date</t>
  </si>
  <si>
    <t>Orig Active Date</t>
  </si>
  <si>
    <t>Cancelled Date</t>
  </si>
  <si>
    <t xml:space="preserve">Commissionable Amount </t>
  </si>
  <si>
    <t>Percent</t>
  </si>
  <si>
    <t>Payment Method</t>
  </si>
  <si>
    <t>Commissions</t>
  </si>
  <si>
    <t>Remittance Date</t>
  </si>
  <si>
    <t>Batka, William</t>
  </si>
  <si>
    <t>Active</t>
  </si>
  <si>
    <t>Portugal, Gary</t>
  </si>
  <si>
    <t>M8zIAH</t>
  </si>
  <si>
    <t>Main Line Benefits, LLC</t>
  </si>
  <si>
    <t>Application Fee</t>
  </si>
  <si>
    <t>New</t>
  </si>
  <si>
    <t>ECHECK_FORTE</t>
  </si>
  <si>
    <t>Classic - Enhanced</t>
  </si>
  <si>
    <t>25</t>
  </si>
  <si>
    <t>Recurring</t>
  </si>
  <si>
    <t>0</t>
  </si>
  <si>
    <t>Huntzicker, Joseph</t>
  </si>
  <si>
    <t>Geske, Heather</t>
  </si>
  <si>
    <t>x0rIAD</t>
  </si>
  <si>
    <t>Purchase, Nicholas</t>
  </si>
  <si>
    <t>Hunsberger, Anthony</t>
  </si>
  <si>
    <t>nWwIAJ</t>
  </si>
  <si>
    <t>Catastrophic365 150,000</t>
  </si>
  <si>
    <t>Rojo, Adriana</t>
  </si>
  <si>
    <t>Yale, Jacob</t>
  </si>
  <si>
    <t>2a1IAD</t>
  </si>
  <si>
    <t>Catastrophic 150,000</t>
  </si>
  <si>
    <t>Total</t>
  </si>
  <si>
    <t>Applied filters:
Included (1) 2025-05 (Remittance Year Month) + True (Spts)
IsPayOut is True
TransactionType is Broker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</si>
</sst>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;\(\$#,##0.00\);\$#,##0.00"/>
    <numFmt numFmtId="165" formatCode="mm/dd/yyyy"/>
  </numFmts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Fill="1" applyBorder="1"/>
    <xf numFmtId="0" fontId="0" fillId="0" borderId="0" xfId="0" applyFill="1"/>
    <xf numFmtId="0" fontId="0" fillId="0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165" fontId="0" fillId="0" borderId="0" xfId="0" applyNumberFormat="1" applyFill="1"/>
    <xf numFmtId="0" fontId="1" fillId="0" borderId="0" xfId="0" applyFont="1" applyFill="1"/>
    <xf numFmtId="164" fontId="1" fillId="0" borderId="0" xfId="0" applyNumberFormat="1" applyFont="1" applyFill="1"/>
    <xf numFmtId="165" fontId="1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tabSelected="1" workbookViewId="0">
      <selection activeCell="C1" sqref="C1:C1048576"/>
    </sheetView>
  </sheetViews>
  <sheetFormatPr defaultRowHeight="15"/>
  <cols>
    <col min="1" max="1" width="22" style="2" customWidth="1"/>
    <col min="2" max="2" width="10.7109375" style="2" bestFit="1" customWidth="1"/>
    <col min="3" max="3" width="6.5703125" style="2" bestFit="1" customWidth="1"/>
    <col min="4" max="4" width="20.140625" style="2" bestFit="1" customWidth="1"/>
    <col min="5" max="5" width="11.140625" style="2" bestFit="1" customWidth="1"/>
    <col min="6" max="6" width="21.7109375" style="2" bestFit="1" customWidth="1"/>
    <col min="7" max="7" width="22.42578125" style="2" bestFit="1" customWidth="1"/>
    <col min="8" max="8" width="10.28515625" style="2" customWidth="1"/>
    <col min="9" max="9" width="11.28515625" style="2" customWidth="1"/>
    <col min="10" max="10" width="13.28515625" style="2" customWidth="1"/>
    <col min="11" max="11" width="13.42578125" style="2" customWidth="1"/>
    <col min="12" max="12" width="10" style="2" customWidth="1"/>
    <col min="13" max="13" width="12.5703125" style="2" customWidth="1"/>
    <col min="14" max="14" width="7.85546875" style="2" bestFit="1" customWidth="1"/>
    <col min="15" max="15" width="16.42578125" style="2" bestFit="1" customWidth="1"/>
    <col min="16" max="16" width="12.7109375" style="2" bestFit="1" customWidth="1"/>
    <col min="17" max="17" width="15.85546875" style="2" bestFit="1" customWidth="1"/>
    <col min="18" max="16384" width="9.140625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1095314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25</v>
      </c>
      <c r="H2" s="2" t="s">
        <v>27</v>
      </c>
      <c r="I2" s="4">
        <v>45800</v>
      </c>
      <c r="J2" s="4">
        <v>45830</v>
      </c>
      <c r="K2" s="4">
        <v>45770</v>
      </c>
      <c r="M2" s="2">
        <v>165.77</v>
      </c>
      <c r="N2" s="2" t="s">
        <v>26</v>
      </c>
      <c r="O2" s="2" t="s">
        <v>24</v>
      </c>
      <c r="P2" s="5">
        <v>41.44</v>
      </c>
      <c r="Q2" s="6">
        <v>45793</v>
      </c>
    </row>
    <row r="3" spans="1:17">
      <c r="A3" s="2" t="s">
        <v>29</v>
      </c>
      <c r="B3" s="3">
        <v>1084508</v>
      </c>
      <c r="C3" s="2" t="s">
        <v>18</v>
      </c>
      <c r="D3" s="2" t="s">
        <v>30</v>
      </c>
      <c r="E3" s="2" t="s">
        <v>31</v>
      </c>
      <c r="F3" s="2" t="s">
        <v>21</v>
      </c>
      <c r="G3" s="2" t="s">
        <v>25</v>
      </c>
      <c r="H3" s="2" t="s">
        <v>27</v>
      </c>
      <c r="I3" s="4">
        <v>45792</v>
      </c>
      <c r="J3" s="4">
        <v>45822</v>
      </c>
      <c r="K3" s="4">
        <v>45641</v>
      </c>
      <c r="M3" s="2">
        <v>247.43</v>
      </c>
      <c r="N3" s="2" t="s">
        <v>26</v>
      </c>
      <c r="O3" s="2" t="s">
        <v>24</v>
      </c>
      <c r="P3" s="5">
        <v>61.86</v>
      </c>
      <c r="Q3" s="6">
        <v>45799</v>
      </c>
    </row>
    <row r="4" spans="1:17">
      <c r="A4" s="2" t="s">
        <v>17</v>
      </c>
      <c r="B4" s="3">
        <v>1095314</v>
      </c>
      <c r="C4" s="2" t="s">
        <v>18</v>
      </c>
      <c r="D4" s="2" t="s">
        <v>19</v>
      </c>
      <c r="E4" s="2" t="s">
        <v>20</v>
      </c>
      <c r="F4" s="2" t="s">
        <v>19</v>
      </c>
      <c r="G4" s="2" t="s">
        <v>22</v>
      </c>
      <c r="H4" s="2" t="s">
        <v>23</v>
      </c>
      <c r="I4" s="4">
        <v>45770</v>
      </c>
      <c r="J4" s="4">
        <v>45799</v>
      </c>
      <c r="K4" s="4">
        <v>45770</v>
      </c>
      <c r="M4" s="2">
        <v>125</v>
      </c>
      <c r="O4" s="2" t="s">
        <v>24</v>
      </c>
      <c r="P4" s="5">
        <v>0</v>
      </c>
      <c r="Q4" s="6">
        <v>45807</v>
      </c>
    </row>
    <row r="5" spans="1:17">
      <c r="A5" s="2" t="s">
        <v>17</v>
      </c>
      <c r="B5" s="3">
        <v>1095314</v>
      </c>
      <c r="C5" s="2" t="s">
        <v>18</v>
      </c>
      <c r="D5" s="2" t="s">
        <v>19</v>
      </c>
      <c r="E5" s="2" t="s">
        <v>20</v>
      </c>
      <c r="F5" s="2" t="s">
        <v>19</v>
      </c>
      <c r="G5" s="2" t="s">
        <v>25</v>
      </c>
      <c r="H5" s="2" t="s">
        <v>23</v>
      </c>
      <c r="I5" s="4">
        <v>45770</v>
      </c>
      <c r="J5" s="4">
        <v>45799</v>
      </c>
      <c r="K5" s="4">
        <v>45770</v>
      </c>
      <c r="M5" s="2">
        <v>165.77</v>
      </c>
      <c r="N5" s="2" t="s">
        <v>28</v>
      </c>
      <c r="O5" s="2" t="s">
        <v>24</v>
      </c>
      <c r="P5" s="5">
        <v>0</v>
      </c>
      <c r="Q5" s="6">
        <v>45807</v>
      </c>
    </row>
    <row r="6" spans="1:17">
      <c r="A6" s="2" t="s">
        <v>17</v>
      </c>
      <c r="B6" s="3">
        <v>1095314</v>
      </c>
      <c r="C6" s="2" t="s">
        <v>18</v>
      </c>
      <c r="D6" s="2" t="s">
        <v>19</v>
      </c>
      <c r="E6" s="2" t="s">
        <v>20</v>
      </c>
      <c r="F6" s="2" t="s">
        <v>19</v>
      </c>
      <c r="G6" s="2" t="s">
        <v>25</v>
      </c>
      <c r="H6" s="2" t="s">
        <v>27</v>
      </c>
      <c r="I6" s="4">
        <v>45800</v>
      </c>
      <c r="J6" s="4">
        <v>45830</v>
      </c>
      <c r="K6" s="4">
        <v>45770</v>
      </c>
      <c r="M6" s="2">
        <v>165.77</v>
      </c>
      <c r="N6" s="2" t="s">
        <v>28</v>
      </c>
      <c r="O6" s="2" t="s">
        <v>24</v>
      </c>
      <c r="P6" s="5">
        <v>0</v>
      </c>
      <c r="Q6" s="6">
        <v>45807</v>
      </c>
    </row>
    <row r="7" spans="1:17">
      <c r="A7" s="2" t="s">
        <v>29</v>
      </c>
      <c r="B7" s="3">
        <v>1084508</v>
      </c>
      <c r="C7" s="2" t="s">
        <v>18</v>
      </c>
      <c r="D7" s="2" t="s">
        <v>30</v>
      </c>
      <c r="E7" s="2" t="s">
        <v>31</v>
      </c>
      <c r="F7" s="2" t="s">
        <v>30</v>
      </c>
      <c r="G7" s="2" t="s">
        <v>25</v>
      </c>
      <c r="H7" s="2" t="s">
        <v>27</v>
      </c>
      <c r="I7" s="4">
        <v>45792</v>
      </c>
      <c r="J7" s="4">
        <v>45822</v>
      </c>
      <c r="K7" s="4">
        <v>45641</v>
      </c>
      <c r="M7" s="2">
        <v>247.43</v>
      </c>
      <c r="N7" s="2" t="s">
        <v>28</v>
      </c>
      <c r="O7" s="2" t="s">
        <v>24</v>
      </c>
      <c r="P7" s="5">
        <v>0</v>
      </c>
      <c r="Q7" s="6">
        <v>45807</v>
      </c>
    </row>
    <row r="8" spans="1:17">
      <c r="A8" s="2" t="s">
        <v>32</v>
      </c>
      <c r="B8" s="3">
        <v>1095009</v>
      </c>
      <c r="C8" s="2" t="s">
        <v>18</v>
      </c>
      <c r="D8" s="2" t="s">
        <v>33</v>
      </c>
      <c r="E8" s="2" t="s">
        <v>34</v>
      </c>
      <c r="F8" s="2" t="s">
        <v>33</v>
      </c>
      <c r="G8" s="2" t="s">
        <v>35</v>
      </c>
      <c r="H8" s="2" t="s">
        <v>27</v>
      </c>
      <c r="I8" s="4">
        <v>45809</v>
      </c>
      <c r="J8" s="4">
        <v>45838</v>
      </c>
      <c r="K8" s="4">
        <v>45778</v>
      </c>
      <c r="L8" s="4">
        <v>46142</v>
      </c>
      <c r="M8" s="2">
        <v>62.49</v>
      </c>
      <c r="N8" s="2" t="s">
        <v>28</v>
      </c>
      <c r="O8" s="2" t="s">
        <v>24</v>
      </c>
      <c r="P8" s="5">
        <v>0</v>
      </c>
      <c r="Q8" s="6">
        <v>45807</v>
      </c>
    </row>
    <row r="9" spans="1:17">
      <c r="A9" s="2" t="s">
        <v>32</v>
      </c>
      <c r="B9" s="3">
        <v>1095009</v>
      </c>
      <c r="C9" s="2" t="s">
        <v>18</v>
      </c>
      <c r="D9" s="2" t="s">
        <v>33</v>
      </c>
      <c r="E9" s="2" t="s">
        <v>34</v>
      </c>
      <c r="F9" s="2" t="s">
        <v>21</v>
      </c>
      <c r="G9" s="2" t="s">
        <v>35</v>
      </c>
      <c r="H9" s="2" t="s">
        <v>27</v>
      </c>
      <c r="I9" s="4">
        <v>45809</v>
      </c>
      <c r="J9" s="4">
        <v>45838</v>
      </c>
      <c r="K9" s="4">
        <v>45778</v>
      </c>
      <c r="L9" s="4">
        <v>46142</v>
      </c>
      <c r="M9" s="2">
        <v>62.49</v>
      </c>
      <c r="N9" s="2" t="s">
        <v>26</v>
      </c>
      <c r="O9" s="2" t="s">
        <v>24</v>
      </c>
      <c r="P9" s="5">
        <v>15.62</v>
      </c>
      <c r="Q9" s="6">
        <v>45807</v>
      </c>
    </row>
    <row r="10" spans="1:17">
      <c r="A10" s="2" t="s">
        <v>36</v>
      </c>
      <c r="B10" s="3">
        <v>1076165</v>
      </c>
      <c r="C10" s="2" t="s">
        <v>18</v>
      </c>
      <c r="D10" s="2" t="s">
        <v>37</v>
      </c>
      <c r="E10" s="2" t="s">
        <v>38</v>
      </c>
      <c r="F10" s="2" t="s">
        <v>37</v>
      </c>
      <c r="G10" s="2" t="s">
        <v>39</v>
      </c>
      <c r="H10" s="2" t="s">
        <v>27</v>
      </c>
      <c r="I10" s="4">
        <v>45775</v>
      </c>
      <c r="J10" s="4">
        <v>45804</v>
      </c>
      <c r="K10" s="4">
        <v>45563</v>
      </c>
      <c r="M10" s="2">
        <v>135.59</v>
      </c>
      <c r="N10" s="2" t="s">
        <v>28</v>
      </c>
      <c r="O10" s="2" t="s">
        <v>24</v>
      </c>
      <c r="P10" s="5">
        <v>0</v>
      </c>
      <c r="Q10" s="6">
        <v>45807</v>
      </c>
    </row>
    <row r="11" spans="1:17">
      <c r="A11" s="7" t="s">
        <v>40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8">
        <f>SUM(P2:P10)</f>
        <v>118.92</v>
      </c>
      <c r="Q11" s="9"/>
    </row>
    <row r="13" spans="1:17">
      <c r="A13" s="2" t="s">
        <v>41</v>
      </c>
    </row>
  </sheetData>
  <sortState xmlns:xlrd2="http://schemas.microsoft.com/office/spreadsheetml/2017/richdata2" ref="A2:Q10">
    <sortCondition ref="Q2:Q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2025-05-29T14:27:55Z</dcterms:created>
  <dcterms:modified xsi:type="dcterms:W3CDTF">2025-06-02T19:57:03Z</dcterms:modified>
</cp:coreProperties>
</file>