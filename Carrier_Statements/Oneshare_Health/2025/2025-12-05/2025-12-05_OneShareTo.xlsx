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Oneshare Health\2025\12-05-25 to 12-26-25\"/>
    </mc:Choice>
  </mc:AlternateContent>
  <xr:revisionPtr revIDLastSave="0" documentId="13_ncr:1_{51C884DB-4AAB-4326-9B30-B80EB03254D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commissions-all-export-2025_12_" sheetId="1" r:id="rId1"/>
    <sheet name="Sheet2" sheetId="3" r:id="rId2"/>
    <sheet name="Sheet1" sheetId="2" r:id="rId3"/>
  </sheets>
  <calcPr calcId="181029"/>
  <extLst>
    <ext uri="GoogleSheetsCustomDataVersion2">
      <go:sheetsCustomData xmlns:go="http://customooxmlschemas.google.com/" r:id="rId6" roundtripDataChecksum="t/t72nY7yO0u55n1rkoGDpxTY+6cMWPXtdrDm+ZzfkQ="/>
    </ext>
  </extLst>
</workbook>
</file>

<file path=xl/calcChain.xml><?xml version="1.0" encoding="utf-8"?>
<calcChain xmlns="http://schemas.openxmlformats.org/spreadsheetml/2006/main"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" i="3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</calcChain>
</file>

<file path=xl/sharedStrings.xml><?xml version="1.0" encoding="utf-8"?>
<sst xmlns="http://schemas.openxmlformats.org/spreadsheetml/2006/main" count="1063" uniqueCount="149">
  <si>
    <t>Pay to Producer</t>
  </si>
  <si>
    <t>Writing Producer</t>
  </si>
  <si>
    <t>Member</t>
  </si>
  <si>
    <t>Member ID</t>
  </si>
  <si>
    <t>Member Status</t>
  </si>
  <si>
    <t>Member Active Date</t>
  </si>
  <si>
    <t>Member Payment Date</t>
  </si>
  <si>
    <t>Member Payment Type</t>
  </si>
  <si>
    <t>Program Name</t>
  </si>
  <si>
    <t>Monthly Contribution Amount</t>
  </si>
  <si>
    <t>Commissionable Amount</t>
  </si>
  <si>
    <t>Commission Rate</t>
  </si>
  <si>
    <t>Commission Paid</t>
  </si>
  <si>
    <t>Status</t>
  </si>
  <si>
    <t>Commission Payment Date</t>
  </si>
  <si>
    <t>Notes</t>
  </si>
  <si>
    <t>Main Line Benefits, LLC</t>
  </si>
  <si>
    <t>Heather Geske [x0rIAD]</t>
  </si>
  <si>
    <t>Lynda Nagl</t>
  </si>
  <si>
    <t>Inactive</t>
  </si>
  <si>
    <t>Charge</t>
  </si>
  <si>
    <t>OneShare Classic - Enhanced</t>
  </si>
  <si>
    <t>$450.00</t>
  </si>
  <si>
    <t>$100.00</t>
  </si>
  <si>
    <t>Unpaid</t>
  </si>
  <si>
    <t>$430.00</t>
  </si>
  <si>
    <t>$107.50</t>
  </si>
  <si>
    <t>Sophie Muir</t>
  </si>
  <si>
    <t>OneShare Classic - Crown</t>
  </si>
  <si>
    <t>$620.00</t>
  </si>
  <si>
    <t>$600.00</t>
  </si>
  <si>
    <t>$150.00</t>
  </si>
  <si>
    <t>Robert Chinn</t>
  </si>
  <si>
    <t>$595.00</t>
  </si>
  <si>
    <t>$575.00</t>
  </si>
  <si>
    <t>$143.75</t>
  </si>
  <si>
    <t>Jackson Carson</t>
  </si>
  <si>
    <t>OneShare Catastrophic - $500,000/$1,000,000</t>
  </si>
  <si>
    <t>$510.00</t>
  </si>
  <si>
    <t>$500.00</t>
  </si>
  <si>
    <t>$125.00</t>
  </si>
  <si>
    <t>Angie Waters</t>
  </si>
  <si>
    <t>$345.00</t>
  </si>
  <si>
    <t>$325.00</t>
  </si>
  <si>
    <t>$81.25</t>
  </si>
  <si>
    <t>Sandra Sentman [G7nYAH]</t>
  </si>
  <si>
    <t>Tina Yurik</t>
  </si>
  <si>
    <t>Active</t>
  </si>
  <si>
    <t>OneShare Catastrophic365 - $150,000/$300,000</t>
  </si>
  <si>
    <t>$195.00</t>
  </si>
  <si>
    <t>$185.00</t>
  </si>
  <si>
    <t>$46.25</t>
  </si>
  <si>
    <t>Michael Dunavant [tH7IAK]</t>
  </si>
  <si>
    <t>Robyn Reinmann</t>
  </si>
  <si>
    <t>$625.00</t>
  </si>
  <si>
    <t>$605.00</t>
  </si>
  <si>
    <t>$151.25</t>
  </si>
  <si>
    <t>Jonathan Aloff [StdIAF]</t>
  </si>
  <si>
    <t>Jonathan Aloff</t>
  </si>
  <si>
    <t>OneShare Classic - Basic</t>
  </si>
  <si>
    <t>$190.00</t>
  </si>
  <si>
    <t>$170.00</t>
  </si>
  <si>
    <t>$42.50</t>
  </si>
  <si>
    <t>Matthew John Sherman [jkJYAR]</t>
  </si>
  <si>
    <t>Raci Evans</t>
  </si>
  <si>
    <t>$440.00</t>
  </si>
  <si>
    <t>$420.00</t>
  </si>
  <si>
    <t>$105.00</t>
  </si>
  <si>
    <t>Diana Moon</t>
  </si>
  <si>
    <t>$760.00</t>
  </si>
  <si>
    <t>$740.00</t>
  </si>
  <si>
    <t>Hannah Minton</t>
  </si>
  <si>
    <t>$235.00</t>
  </si>
  <si>
    <t>Paid</t>
  </si>
  <si>
    <t>$215.00</t>
  </si>
  <si>
    <t>$53.75</t>
  </si>
  <si>
    <t>JOSEPH HUNTZICKER</t>
  </si>
  <si>
    <t>$267.43</t>
  </si>
  <si>
    <t>$247.43</t>
  </si>
  <si>
    <t>$61.86</t>
  </si>
  <si>
    <t>Gary Portugal [M8zIAH]</t>
  </si>
  <si>
    <t>Mary Yunker</t>
  </si>
  <si>
    <t>Victor Fuentes [mFtIAL]</t>
  </si>
  <si>
    <t>Linda Massa</t>
  </si>
  <si>
    <t>$370.00</t>
  </si>
  <si>
    <t>$350.00</t>
  </si>
  <si>
    <t>$87.50</t>
  </si>
  <si>
    <t>James Quaid</t>
  </si>
  <si>
    <t>Rebecca Byrd</t>
  </si>
  <si>
    <t>$1,590.00</t>
  </si>
  <si>
    <t>$1,570.00</t>
  </si>
  <si>
    <t>$392.50</t>
  </si>
  <si>
    <t>Marta Rhyner</t>
  </si>
  <si>
    <t>Brian Riley</t>
  </si>
  <si>
    <t>$685.00</t>
  </si>
  <si>
    <t>$665.00</t>
  </si>
  <si>
    <t>$166.25</t>
  </si>
  <si>
    <t>Pamela Deaton [cnhIAB]</t>
  </si>
  <si>
    <t>Marsha Atkins</t>
  </si>
  <si>
    <t>Cynthia Schneider</t>
  </si>
  <si>
    <t>OneShare Catastrophic365 - $500,000/$1,000,000</t>
  </si>
  <si>
    <t>Roman Prunczak</t>
  </si>
  <si>
    <t>Parker Meskimen</t>
  </si>
  <si>
    <t>WILLIAM BATKA</t>
  </si>
  <si>
    <t>$185.77</t>
  </si>
  <si>
    <t>$165.77</t>
  </si>
  <si>
    <t>$41.44</t>
  </si>
  <si>
    <t>Melinda Galeaz</t>
  </si>
  <si>
    <t>Kylie Lenschow</t>
  </si>
  <si>
    <t>Randy Tornquist</t>
  </si>
  <si>
    <t>$490.00</t>
  </si>
  <si>
    <t>$122.50</t>
  </si>
  <si>
    <t>Barry Brenner [kPiIAJ]</t>
  </si>
  <si>
    <t>Jose Chuya</t>
  </si>
  <si>
    <t>$75.00</t>
  </si>
  <si>
    <t>$65.00</t>
  </si>
  <si>
    <t>$16.25</t>
  </si>
  <si>
    <t xml:space="preserve">Barry Brenner </t>
  </si>
  <si>
    <t>Oneshare Health</t>
  </si>
  <si>
    <t xml:space="preserve">Gary Portugal </t>
  </si>
  <si>
    <t xml:space="preserve">Heather Geske </t>
  </si>
  <si>
    <t xml:space="preserve">Jonathan Aloff </t>
  </si>
  <si>
    <t xml:space="preserve">Matthew John Sherman </t>
  </si>
  <si>
    <t>OneShare Bonus</t>
  </si>
  <si>
    <t xml:space="preserve">Michael Dunavant </t>
  </si>
  <si>
    <t xml:space="preserve">Pamela Deaton </t>
  </si>
  <si>
    <t xml:space="preserve">Sandra Sentman </t>
  </si>
  <si>
    <t xml:space="preserve">Victor Fuentes </t>
  </si>
  <si>
    <t>OneShare Bonus Lynda Nagl</t>
  </si>
  <si>
    <t>OneShare Bonus Sophie Muir</t>
  </si>
  <si>
    <t>OneShare Bonus Robert Chinn</t>
  </si>
  <si>
    <t>OneShare Bonus Jackson Carson</t>
  </si>
  <si>
    <t>OneShare Bonus Angie Waters</t>
  </si>
  <si>
    <t>OneShare Bonus Robyn Reinmann</t>
  </si>
  <si>
    <t>OneShare Bonus Jonathan Aloff</t>
  </si>
  <si>
    <t>OneShare Bonus Raci Evans</t>
  </si>
  <si>
    <t>OneShare Bonus Diana Moon</t>
  </si>
  <si>
    <t>OneShare Bonus Hannah Minton</t>
  </si>
  <si>
    <t>OneShare Bonus Mary Yunker</t>
  </si>
  <si>
    <t>OneShare Bonus Linda Massa</t>
  </si>
  <si>
    <t>OneShare Bonus James Quaid</t>
  </si>
  <si>
    <t>OneShare Bonus Rebecca Byrd</t>
  </si>
  <si>
    <t>OneShare Bonus Marta Rhyner</t>
  </si>
  <si>
    <t>OneShare Bonus Brian Riley</t>
  </si>
  <si>
    <t>OneShare Bonus Roman Prunczak</t>
  </si>
  <si>
    <t>OneShare Bonus Parker Meskimen</t>
  </si>
  <si>
    <t>OneShare Bonus Randy Tornquist</t>
  </si>
  <si>
    <t>OneShare Bonus Kylie Lenschow</t>
  </si>
  <si>
    <t>OneShare Bonus Melinda Galeaz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</si>
</sst>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14" fontId="2" fillId="0" borderId="0" xfId="0" applyNumberFormat="1" applyFont="1"/>
    <xf numFmtId="9" fontId="2" fillId="0" borderId="0" xfId="0" applyNumberFormat="1" applyFont="1"/>
    <xf numFmtId="0" fontId="2" fillId="0" borderId="0" xfId="0" applyFont="1"/>
    <xf numFmtId="8" fontId="2" fillId="0" borderId="0" xfId="0" applyNumberFormat="1" applyFont="1"/>
    <xf numFmtId="0" fontId="2" fillId="2" borderId="1" xfId="0" applyFont="1" applyFill="1" applyBorder="1"/>
    <xf numFmtId="14" fontId="2" fillId="2" borderId="1" xfId="0" applyNumberFormat="1" applyFont="1" applyFill="1" applyBorder="1"/>
    <xf numFmtId="8" fontId="2" fillId="2" borderId="1" xfId="0" applyNumberFormat="1" applyFont="1" applyFill="1" applyBorder="1"/>
    <xf numFmtId="0" fontId="3" fillId="2" borderId="1" xfId="0" applyFont="1" applyFill="1" applyBorder="1"/>
    <xf numFmtId="14" fontId="3" fillId="2" borderId="1" xfId="0" applyNumberFormat="1" applyFont="1" applyFill="1" applyBorder="1"/>
    <xf numFmtId="8" fontId="3" fillId="2" borderId="1" xfId="0" applyNumberFormat="1" applyFont="1" applyFill="1" applyBorder="1"/>
    <xf numFmtId="0" fontId="1" fillId="3" borderId="0" xfId="0" applyFont="1" applyFill="1"/>
    <xf numFmtId="14" fontId="2" fillId="3" borderId="0" xfId="0" applyNumberFormat="1" applyFont="1" applyFill="1"/>
    <xf numFmtId="0" fontId="0" fillId="3" borderId="0" xfId="0" applyFill="1"/>
    <xf numFmtId="9" fontId="2" fillId="3" borderId="0" xfId="0" applyNumberFormat="1" applyFont="1" applyFill="1"/>
    <xf numFmtId="8" fontId="1" fillId="0" borderId="0" xfId="0" applyNumberFormat="1" applyFont="1"/>
    <xf numFmtId="8" fontId="1" fillId="3" borderId="0" xfId="0" applyNumberFormat="1" applyFont="1" applyFill="1"/>
    <xf numFmtId="0" fontId="1" fillId="4" borderId="0" xfId="0" applyFont="1" applyFill="1"/>
    <xf numFmtId="14" fontId="2" fillId="4" borderId="0" xfId="0" applyNumberFormat="1" applyFont="1" applyFill="1"/>
    <xf numFmtId="9" fontId="2" fillId="4" borderId="0" xfId="0" applyNumberFormat="1" applyFont="1" applyFill="1"/>
    <xf numFmtId="0" fontId="0" fillId="4" borderId="0" xfId="0" applyFill="1"/>
    <xf numFmtId="0" fontId="1" fillId="5" borderId="0" xfId="0" applyFont="1" applyFill="1"/>
    <xf numFmtId="14" fontId="2" fillId="5" borderId="0" xfId="0" applyNumberFormat="1" applyFont="1" applyFill="1"/>
    <xf numFmtId="9" fontId="2" fillId="5" borderId="0" xfId="0" applyNumberFormat="1" applyFont="1" applyFill="1"/>
    <xf numFmtId="0" fontId="0" fillId="5" borderId="0" xfId="0" applyFill="1"/>
    <xf numFmtId="0" fontId="1" fillId="6" borderId="0" xfId="0" applyFont="1" applyFill="1"/>
    <xf numFmtId="14" fontId="2" fillId="6" borderId="0" xfId="0" applyNumberFormat="1" applyFont="1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"/>
  <sheetViews>
    <sheetView tabSelected="1" workbookViewId="0">
      <selection activeCell="D7" sqref="D7"/>
    </sheetView>
  </sheetViews>
  <sheetFormatPr defaultColWidth="14.42578125" defaultRowHeight="15" customHeight="1" x14ac:dyDescent="0.25"/>
  <cols>
    <col min="1" max="1" width="21.7109375" bestFit="1" customWidth="1"/>
    <col min="2" max="2" width="30.140625" bestFit="1" customWidth="1"/>
    <col min="3" max="3" width="19.28515625" bestFit="1" customWidth="1"/>
    <col min="4" max="4" width="10.85546875" customWidth="1"/>
    <col min="5" max="5" width="14.5703125" bestFit="1" customWidth="1"/>
    <col min="6" max="6" width="19.42578125" bestFit="1" customWidth="1"/>
    <col min="7" max="7" width="21.85546875" bestFit="1" customWidth="1"/>
    <col min="8" max="8" width="22" bestFit="1" customWidth="1"/>
    <col min="9" max="9" width="44.42578125" bestFit="1" customWidth="1"/>
    <col min="10" max="10" width="28.28515625" bestFit="1" customWidth="1"/>
    <col min="11" max="11" width="23.7109375" bestFit="1" customWidth="1"/>
    <col min="12" max="12" width="16.42578125" bestFit="1" customWidth="1"/>
    <col min="13" max="13" width="16.28515625" bestFit="1" customWidth="1"/>
    <col min="14" max="14" width="7.28515625" customWidth="1"/>
    <col min="15" max="15" width="25.140625" bestFit="1" customWidth="1"/>
    <col min="16" max="16" width="6.28515625" bestFit="1" customWidth="1"/>
    <col min="17" max="26" width="8.710937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s="21" customFormat="1" x14ac:dyDescent="0.25">
      <c r="A2" s="18" t="s">
        <v>16</v>
      </c>
      <c r="B2" s="18" t="s">
        <v>17</v>
      </c>
      <c r="C2" s="18" t="s">
        <v>41</v>
      </c>
      <c r="D2" s="18">
        <v>251811175</v>
      </c>
      <c r="E2" s="18" t="s">
        <v>19</v>
      </c>
      <c r="F2" s="19">
        <v>46023</v>
      </c>
      <c r="G2" s="19">
        <v>46017</v>
      </c>
      <c r="H2" s="18" t="s">
        <v>20</v>
      </c>
      <c r="I2" s="18" t="s">
        <v>28</v>
      </c>
      <c r="J2" s="18" t="s">
        <v>42</v>
      </c>
      <c r="K2" s="18" t="s">
        <v>43</v>
      </c>
      <c r="L2" s="20">
        <v>0.25</v>
      </c>
      <c r="M2" s="18" t="s">
        <v>44</v>
      </c>
      <c r="N2" s="18" t="s">
        <v>24</v>
      </c>
    </row>
    <row r="3" spans="1:16" s="21" customFormat="1" x14ac:dyDescent="0.25">
      <c r="A3" s="18" t="s">
        <v>16</v>
      </c>
      <c r="B3" s="18" t="s">
        <v>17</v>
      </c>
      <c r="C3" s="18" t="s">
        <v>41</v>
      </c>
      <c r="D3" s="18">
        <v>251811175</v>
      </c>
      <c r="E3" s="18" t="s">
        <v>19</v>
      </c>
      <c r="F3" s="19">
        <v>46023</v>
      </c>
      <c r="G3" s="19">
        <v>46017</v>
      </c>
      <c r="H3" s="18" t="s">
        <v>20</v>
      </c>
      <c r="I3" s="18" t="s">
        <v>28</v>
      </c>
      <c r="J3" s="18" t="s">
        <v>42</v>
      </c>
      <c r="K3" s="18" t="s">
        <v>42</v>
      </c>
      <c r="L3" s="18" t="s">
        <v>23</v>
      </c>
      <c r="M3" s="18" t="s">
        <v>23</v>
      </c>
      <c r="N3" s="18" t="s">
        <v>24</v>
      </c>
    </row>
    <row r="4" spans="1:16" s="21" customFormat="1" x14ac:dyDescent="0.25">
      <c r="A4" s="18" t="s">
        <v>16</v>
      </c>
      <c r="B4" s="18" t="s">
        <v>63</v>
      </c>
      <c r="C4" s="18" t="s">
        <v>93</v>
      </c>
      <c r="D4" s="18">
        <v>251819791</v>
      </c>
      <c r="E4" s="18" t="s">
        <v>19</v>
      </c>
      <c r="F4" s="19">
        <v>46023</v>
      </c>
      <c r="G4" s="19">
        <v>46001</v>
      </c>
      <c r="H4" s="18" t="s">
        <v>20</v>
      </c>
      <c r="I4" s="18" t="s">
        <v>21</v>
      </c>
      <c r="J4" s="18" t="s">
        <v>94</v>
      </c>
      <c r="K4" s="18" t="s">
        <v>95</v>
      </c>
      <c r="L4" s="20">
        <v>0.25</v>
      </c>
      <c r="M4" s="18" t="s">
        <v>96</v>
      </c>
      <c r="N4" s="18" t="s">
        <v>73</v>
      </c>
      <c r="O4" s="19">
        <v>46010</v>
      </c>
    </row>
    <row r="5" spans="1:16" s="21" customFormat="1" x14ac:dyDescent="0.25">
      <c r="A5" s="18" t="s">
        <v>16</v>
      </c>
      <c r="B5" s="18" t="s">
        <v>63</v>
      </c>
      <c r="C5" s="18" t="s">
        <v>93</v>
      </c>
      <c r="D5" s="18">
        <v>251819791</v>
      </c>
      <c r="E5" s="18" t="s">
        <v>19</v>
      </c>
      <c r="F5" s="19">
        <v>46023</v>
      </c>
      <c r="G5" s="19">
        <v>46001</v>
      </c>
      <c r="H5" s="18" t="s">
        <v>20</v>
      </c>
      <c r="I5" s="18" t="s">
        <v>21</v>
      </c>
      <c r="J5" s="18" t="s">
        <v>94</v>
      </c>
      <c r="K5" s="18" t="s">
        <v>94</v>
      </c>
      <c r="L5" s="18" t="s">
        <v>23</v>
      </c>
      <c r="M5" s="18" t="s">
        <v>23</v>
      </c>
      <c r="N5" s="18" t="s">
        <v>73</v>
      </c>
      <c r="O5" s="19">
        <v>46010</v>
      </c>
    </row>
    <row r="6" spans="1:16" s="21" customFormat="1" x14ac:dyDescent="0.25">
      <c r="A6" s="18" t="s">
        <v>16</v>
      </c>
      <c r="B6" s="18" t="s">
        <v>97</v>
      </c>
      <c r="C6" s="18" t="s">
        <v>99</v>
      </c>
      <c r="D6" s="18">
        <v>251818343</v>
      </c>
      <c r="E6" s="18" t="s">
        <v>19</v>
      </c>
      <c r="F6" s="19">
        <v>46029</v>
      </c>
      <c r="G6" s="19">
        <v>46000</v>
      </c>
      <c r="H6" s="18" t="s">
        <v>20</v>
      </c>
      <c r="I6" s="18" t="s">
        <v>100</v>
      </c>
      <c r="J6" s="18" t="s">
        <v>65</v>
      </c>
      <c r="K6" s="18" t="s">
        <v>25</v>
      </c>
      <c r="L6" s="20">
        <v>0.25</v>
      </c>
      <c r="M6" s="18" t="s">
        <v>26</v>
      </c>
      <c r="N6" s="18" t="s">
        <v>73</v>
      </c>
      <c r="O6" s="19">
        <v>46010</v>
      </c>
    </row>
    <row r="7" spans="1:16" s="28" customFormat="1" x14ac:dyDescent="0.25">
      <c r="A7" s="26" t="s">
        <v>16</v>
      </c>
      <c r="B7" s="26" t="s">
        <v>63</v>
      </c>
      <c r="C7" s="26" t="s">
        <v>68</v>
      </c>
      <c r="D7" s="26">
        <v>251825730</v>
      </c>
      <c r="E7" s="26" t="s">
        <v>19</v>
      </c>
      <c r="F7" s="27">
        <v>46023</v>
      </c>
      <c r="G7" s="27">
        <v>46007</v>
      </c>
      <c r="H7" s="26" t="s">
        <v>20</v>
      </c>
      <c r="I7" s="26" t="s">
        <v>28</v>
      </c>
      <c r="J7" s="26" t="s">
        <v>69</v>
      </c>
      <c r="K7" s="26" t="s">
        <v>69</v>
      </c>
      <c r="L7" s="26" t="s">
        <v>23</v>
      </c>
      <c r="M7" s="26" t="s">
        <v>23</v>
      </c>
      <c r="N7" s="26" t="s">
        <v>24</v>
      </c>
    </row>
    <row r="8" spans="1:16" s="21" customFormat="1" x14ac:dyDescent="0.25">
      <c r="A8" s="18" t="s">
        <v>16</v>
      </c>
      <c r="B8" s="18" t="s">
        <v>63</v>
      </c>
      <c r="C8" s="18" t="s">
        <v>68</v>
      </c>
      <c r="D8" s="18">
        <v>251825730</v>
      </c>
      <c r="E8" s="18" t="s">
        <v>19</v>
      </c>
      <c r="F8" s="19">
        <v>46023</v>
      </c>
      <c r="G8" s="19">
        <v>46007</v>
      </c>
      <c r="H8" s="18" t="s">
        <v>20</v>
      </c>
      <c r="I8" s="18" t="s">
        <v>28</v>
      </c>
      <c r="J8" s="18" t="s">
        <v>69</v>
      </c>
      <c r="K8" s="18" t="s">
        <v>70</v>
      </c>
      <c r="L8" s="20">
        <v>0.25</v>
      </c>
      <c r="M8" s="18" t="s">
        <v>50</v>
      </c>
      <c r="N8" s="18" t="s">
        <v>24</v>
      </c>
    </row>
    <row r="9" spans="1:16" s="21" customFormat="1" x14ac:dyDescent="0.25">
      <c r="A9" s="18" t="s">
        <v>16</v>
      </c>
      <c r="B9" s="18" t="s">
        <v>63</v>
      </c>
      <c r="C9" s="18" t="s">
        <v>71</v>
      </c>
      <c r="D9" s="18">
        <v>251825133</v>
      </c>
      <c r="E9" s="18" t="s">
        <v>19</v>
      </c>
      <c r="F9" s="19">
        <v>46023</v>
      </c>
      <c r="G9" s="19">
        <v>46005</v>
      </c>
      <c r="H9" s="18" t="s">
        <v>20</v>
      </c>
      <c r="I9" s="18" t="s">
        <v>28</v>
      </c>
      <c r="J9" s="18" t="s">
        <v>72</v>
      </c>
      <c r="K9" s="18" t="s">
        <v>72</v>
      </c>
      <c r="L9" s="18" t="s">
        <v>23</v>
      </c>
      <c r="M9" s="18" t="s">
        <v>23</v>
      </c>
      <c r="N9" s="18" t="s">
        <v>73</v>
      </c>
      <c r="O9" s="19">
        <v>46010</v>
      </c>
    </row>
    <row r="10" spans="1:16" s="21" customFormat="1" x14ac:dyDescent="0.25">
      <c r="A10" s="18" t="s">
        <v>16</v>
      </c>
      <c r="B10" s="18" t="s">
        <v>63</v>
      </c>
      <c r="C10" s="18" t="s">
        <v>71</v>
      </c>
      <c r="D10" s="18">
        <v>251825133</v>
      </c>
      <c r="E10" s="18" t="s">
        <v>19</v>
      </c>
      <c r="F10" s="19">
        <v>46023</v>
      </c>
      <c r="G10" s="19">
        <v>46005</v>
      </c>
      <c r="H10" s="18" t="s">
        <v>20</v>
      </c>
      <c r="I10" s="18" t="s">
        <v>28</v>
      </c>
      <c r="J10" s="18" t="s">
        <v>72</v>
      </c>
      <c r="K10" s="18" t="s">
        <v>74</v>
      </c>
      <c r="L10" s="20">
        <v>0.25</v>
      </c>
      <c r="M10" s="18" t="s">
        <v>75</v>
      </c>
      <c r="N10" s="18" t="s">
        <v>73</v>
      </c>
      <c r="O10" s="19">
        <v>46010</v>
      </c>
    </row>
    <row r="11" spans="1:16" s="21" customFormat="1" x14ac:dyDescent="0.25">
      <c r="A11" s="18" t="s">
        <v>16</v>
      </c>
      <c r="B11" s="18" t="s">
        <v>17</v>
      </c>
      <c r="C11" s="18" t="s">
        <v>36</v>
      </c>
      <c r="D11" s="18">
        <v>251811780</v>
      </c>
      <c r="E11" s="18" t="s">
        <v>19</v>
      </c>
      <c r="F11" s="19">
        <v>46023</v>
      </c>
      <c r="G11" s="19">
        <v>46017</v>
      </c>
      <c r="H11" s="18" t="s">
        <v>20</v>
      </c>
      <c r="I11" s="18" t="s">
        <v>37</v>
      </c>
      <c r="J11" s="18" t="s">
        <v>38</v>
      </c>
      <c r="K11" s="18" t="s">
        <v>39</v>
      </c>
      <c r="L11" s="20">
        <v>0.25</v>
      </c>
      <c r="M11" s="18" t="s">
        <v>40</v>
      </c>
      <c r="N11" s="18" t="s">
        <v>24</v>
      </c>
    </row>
    <row r="12" spans="1:16" s="21" customFormat="1" x14ac:dyDescent="0.25">
      <c r="A12" s="18" t="s">
        <v>16</v>
      </c>
      <c r="B12" s="18" t="s">
        <v>17</v>
      </c>
      <c r="C12" s="18" t="s">
        <v>36</v>
      </c>
      <c r="D12" s="18">
        <v>251811780</v>
      </c>
      <c r="E12" s="18" t="s">
        <v>19</v>
      </c>
      <c r="F12" s="19">
        <v>46023</v>
      </c>
      <c r="G12" s="19">
        <v>46017</v>
      </c>
      <c r="H12" s="18" t="s">
        <v>20</v>
      </c>
      <c r="I12" s="18" t="s">
        <v>37</v>
      </c>
      <c r="J12" s="18" t="s">
        <v>38</v>
      </c>
      <c r="K12" s="18" t="s">
        <v>38</v>
      </c>
      <c r="L12" s="18" t="s">
        <v>23</v>
      </c>
      <c r="M12" s="18" t="s">
        <v>23</v>
      </c>
      <c r="N12" s="18" t="s">
        <v>24</v>
      </c>
    </row>
    <row r="13" spans="1:16" s="21" customFormat="1" x14ac:dyDescent="0.25">
      <c r="A13" s="18" t="s">
        <v>16</v>
      </c>
      <c r="B13" s="18" t="s">
        <v>52</v>
      </c>
      <c r="C13" s="18" t="s">
        <v>87</v>
      </c>
      <c r="D13" s="18">
        <v>251823603</v>
      </c>
      <c r="E13" s="18" t="s">
        <v>19</v>
      </c>
      <c r="F13" s="19">
        <v>46023</v>
      </c>
      <c r="G13" s="19">
        <v>46004</v>
      </c>
      <c r="H13" s="18" t="s">
        <v>20</v>
      </c>
      <c r="I13" s="18" t="s">
        <v>28</v>
      </c>
      <c r="J13" s="18" t="s">
        <v>33</v>
      </c>
      <c r="K13" s="18" t="s">
        <v>33</v>
      </c>
      <c r="L13" s="18" t="s">
        <v>23</v>
      </c>
      <c r="M13" s="18" t="s">
        <v>23</v>
      </c>
      <c r="N13" s="18" t="s">
        <v>73</v>
      </c>
      <c r="O13" s="19">
        <v>46010</v>
      </c>
    </row>
    <row r="14" spans="1:16" s="21" customFormat="1" x14ac:dyDescent="0.25">
      <c r="A14" s="18" t="s">
        <v>16</v>
      </c>
      <c r="B14" s="18" t="s">
        <v>52</v>
      </c>
      <c r="C14" s="18" t="s">
        <v>87</v>
      </c>
      <c r="D14" s="18">
        <v>251823603</v>
      </c>
      <c r="E14" s="18" t="s">
        <v>19</v>
      </c>
      <c r="F14" s="19">
        <v>46023</v>
      </c>
      <c r="G14" s="19">
        <v>46004</v>
      </c>
      <c r="H14" s="18" t="s">
        <v>20</v>
      </c>
      <c r="I14" s="18" t="s">
        <v>28</v>
      </c>
      <c r="J14" s="18" t="s">
        <v>33</v>
      </c>
      <c r="K14" s="18" t="s">
        <v>34</v>
      </c>
      <c r="L14" s="20">
        <v>0.25</v>
      </c>
      <c r="M14" s="18" t="s">
        <v>35</v>
      </c>
      <c r="N14" s="18" t="s">
        <v>73</v>
      </c>
      <c r="O14" s="19">
        <v>46010</v>
      </c>
    </row>
    <row r="15" spans="1:16" s="21" customFormat="1" x14ac:dyDescent="0.25">
      <c r="A15" s="18" t="s">
        <v>16</v>
      </c>
      <c r="B15" s="18" t="s">
        <v>57</v>
      </c>
      <c r="C15" s="18" t="s">
        <v>58</v>
      </c>
      <c r="D15" s="18">
        <v>251827800</v>
      </c>
      <c r="E15" s="18" t="s">
        <v>19</v>
      </c>
      <c r="F15" s="19">
        <v>46023</v>
      </c>
      <c r="G15" s="19">
        <v>46007</v>
      </c>
      <c r="H15" s="18" t="s">
        <v>20</v>
      </c>
      <c r="I15" s="18" t="s">
        <v>59</v>
      </c>
      <c r="J15" s="18" t="s">
        <v>60</v>
      </c>
      <c r="K15" s="18" t="s">
        <v>61</v>
      </c>
      <c r="L15" s="20">
        <v>0.25</v>
      </c>
      <c r="M15" s="18" t="s">
        <v>62</v>
      </c>
      <c r="N15" s="18" t="s">
        <v>24</v>
      </c>
    </row>
    <row r="16" spans="1:16" s="21" customFormat="1" x14ac:dyDescent="0.25">
      <c r="A16" s="18" t="s">
        <v>16</v>
      </c>
      <c r="B16" s="18" t="s">
        <v>57</v>
      </c>
      <c r="C16" s="18" t="s">
        <v>58</v>
      </c>
      <c r="D16" s="18">
        <v>251827800</v>
      </c>
      <c r="E16" s="18" t="s">
        <v>19</v>
      </c>
      <c r="F16" s="19">
        <v>46023</v>
      </c>
      <c r="G16" s="19">
        <v>46007</v>
      </c>
      <c r="H16" s="18" t="s">
        <v>20</v>
      </c>
      <c r="I16" s="18" t="s">
        <v>59</v>
      </c>
      <c r="J16" s="18" t="s">
        <v>60</v>
      </c>
      <c r="K16" s="18" t="s">
        <v>60</v>
      </c>
      <c r="L16" s="18" t="s">
        <v>23</v>
      </c>
      <c r="M16" s="18" t="s">
        <v>23</v>
      </c>
      <c r="N16" s="18" t="s">
        <v>24</v>
      </c>
    </row>
    <row r="17" spans="1:15" s="25" customFormat="1" x14ac:dyDescent="0.25">
      <c r="A17" s="22" t="s">
        <v>16</v>
      </c>
      <c r="B17" s="22" t="s">
        <v>112</v>
      </c>
      <c r="C17" s="22" t="s">
        <v>113</v>
      </c>
      <c r="D17" s="22">
        <v>251754149</v>
      </c>
      <c r="E17" s="22" t="s">
        <v>47</v>
      </c>
      <c r="F17" s="23">
        <v>45881</v>
      </c>
      <c r="G17" s="23">
        <v>45996</v>
      </c>
      <c r="H17" s="22" t="s">
        <v>20</v>
      </c>
      <c r="I17" s="22" t="s">
        <v>48</v>
      </c>
      <c r="J17" s="22" t="s">
        <v>114</v>
      </c>
      <c r="K17" s="22" t="s">
        <v>115</v>
      </c>
      <c r="L17" s="24">
        <v>0.25</v>
      </c>
      <c r="M17" s="22" t="s">
        <v>116</v>
      </c>
      <c r="N17" s="22" t="s">
        <v>73</v>
      </c>
      <c r="O17" s="23">
        <v>46003</v>
      </c>
    </row>
    <row r="18" spans="1:15" s="25" customFormat="1" x14ac:dyDescent="0.25">
      <c r="A18" s="22" t="s">
        <v>16</v>
      </c>
      <c r="B18" s="22" t="s">
        <v>17</v>
      </c>
      <c r="C18" s="22" t="s">
        <v>76</v>
      </c>
      <c r="D18" s="22">
        <v>1084508</v>
      </c>
      <c r="E18" s="22" t="s">
        <v>47</v>
      </c>
      <c r="F18" s="23">
        <v>45641</v>
      </c>
      <c r="G18" s="23">
        <v>46005</v>
      </c>
      <c r="H18" s="22" t="s">
        <v>20</v>
      </c>
      <c r="I18" s="22" t="s">
        <v>21</v>
      </c>
      <c r="J18" s="22" t="s">
        <v>77</v>
      </c>
      <c r="K18" s="22" t="s">
        <v>78</v>
      </c>
      <c r="L18" s="24">
        <v>0.25</v>
      </c>
      <c r="M18" s="22" t="s">
        <v>79</v>
      </c>
      <c r="N18" s="22" t="s">
        <v>73</v>
      </c>
      <c r="O18" s="23">
        <v>46010</v>
      </c>
    </row>
    <row r="19" spans="1:15" s="21" customFormat="1" x14ac:dyDescent="0.25">
      <c r="A19" s="18" t="s">
        <v>16</v>
      </c>
      <c r="B19" s="18" t="s">
        <v>97</v>
      </c>
      <c r="C19" s="18" t="s">
        <v>108</v>
      </c>
      <c r="D19" s="18">
        <v>251815536</v>
      </c>
      <c r="E19" s="18" t="s">
        <v>19</v>
      </c>
      <c r="F19" s="19">
        <v>46025</v>
      </c>
      <c r="G19" s="19">
        <v>45996</v>
      </c>
      <c r="H19" s="18" t="s">
        <v>20</v>
      </c>
      <c r="I19" s="18" t="s">
        <v>28</v>
      </c>
      <c r="J19" s="18" t="s">
        <v>72</v>
      </c>
      <c r="K19" s="18" t="s">
        <v>72</v>
      </c>
      <c r="L19" s="18" t="s">
        <v>23</v>
      </c>
      <c r="M19" s="18" t="s">
        <v>23</v>
      </c>
      <c r="N19" s="18" t="s">
        <v>73</v>
      </c>
      <c r="O19" s="19">
        <v>46003</v>
      </c>
    </row>
    <row r="20" spans="1:15" s="21" customFormat="1" x14ac:dyDescent="0.25">
      <c r="A20" s="18" t="s">
        <v>16</v>
      </c>
      <c r="B20" s="18" t="s">
        <v>97</v>
      </c>
      <c r="C20" s="18" t="s">
        <v>108</v>
      </c>
      <c r="D20" s="18">
        <v>251815536</v>
      </c>
      <c r="E20" s="18" t="s">
        <v>19</v>
      </c>
      <c r="F20" s="19">
        <v>46025</v>
      </c>
      <c r="G20" s="19">
        <v>45996</v>
      </c>
      <c r="H20" s="18" t="s">
        <v>20</v>
      </c>
      <c r="I20" s="18" t="s">
        <v>28</v>
      </c>
      <c r="J20" s="18" t="s">
        <v>72</v>
      </c>
      <c r="K20" s="18" t="s">
        <v>74</v>
      </c>
      <c r="L20" s="20">
        <v>0.25</v>
      </c>
      <c r="M20" s="18" t="s">
        <v>75</v>
      </c>
      <c r="N20" s="18" t="s">
        <v>73</v>
      </c>
      <c r="O20" s="19">
        <v>46003</v>
      </c>
    </row>
    <row r="21" spans="1:15" s="21" customFormat="1" ht="15.75" customHeight="1" x14ac:dyDescent="0.25">
      <c r="A21" s="18" t="s">
        <v>16</v>
      </c>
      <c r="B21" s="18" t="s">
        <v>82</v>
      </c>
      <c r="C21" s="18" t="s">
        <v>83</v>
      </c>
      <c r="D21" s="18">
        <v>251823686</v>
      </c>
      <c r="E21" s="18" t="s">
        <v>19</v>
      </c>
      <c r="F21" s="19">
        <v>46023</v>
      </c>
      <c r="G21" s="19">
        <v>46004</v>
      </c>
      <c r="H21" s="18" t="s">
        <v>20</v>
      </c>
      <c r="I21" s="18" t="s">
        <v>59</v>
      </c>
      <c r="J21" s="18" t="s">
        <v>84</v>
      </c>
      <c r="K21" s="18" t="s">
        <v>85</v>
      </c>
      <c r="L21" s="20">
        <v>0.25</v>
      </c>
      <c r="M21" s="18" t="s">
        <v>86</v>
      </c>
      <c r="N21" s="18" t="s">
        <v>73</v>
      </c>
      <c r="O21" s="19">
        <v>46010</v>
      </c>
    </row>
    <row r="22" spans="1:15" s="21" customFormat="1" ht="15.75" customHeight="1" x14ac:dyDescent="0.25">
      <c r="A22" s="18" t="s">
        <v>16</v>
      </c>
      <c r="B22" s="18" t="s">
        <v>82</v>
      </c>
      <c r="C22" s="18" t="s">
        <v>83</v>
      </c>
      <c r="D22" s="18">
        <v>251823686</v>
      </c>
      <c r="E22" s="18" t="s">
        <v>19</v>
      </c>
      <c r="F22" s="19">
        <v>46023</v>
      </c>
      <c r="G22" s="19">
        <v>46004</v>
      </c>
      <c r="H22" s="18" t="s">
        <v>20</v>
      </c>
      <c r="I22" s="18" t="s">
        <v>59</v>
      </c>
      <c r="J22" s="18" t="s">
        <v>84</v>
      </c>
      <c r="K22" s="18" t="s">
        <v>84</v>
      </c>
      <c r="L22" s="18" t="s">
        <v>23</v>
      </c>
      <c r="M22" s="18" t="s">
        <v>23</v>
      </c>
      <c r="N22" s="18" t="s">
        <v>73</v>
      </c>
      <c r="O22" s="19">
        <v>46010</v>
      </c>
    </row>
    <row r="23" spans="1:15" s="21" customFormat="1" ht="15.75" customHeight="1" x14ac:dyDescent="0.25">
      <c r="A23" s="18" t="s">
        <v>16</v>
      </c>
      <c r="B23" s="18" t="s">
        <v>17</v>
      </c>
      <c r="C23" s="18" t="s">
        <v>18</v>
      </c>
      <c r="D23" s="18">
        <v>251815732</v>
      </c>
      <c r="E23" s="18" t="s">
        <v>19</v>
      </c>
      <c r="F23" s="19">
        <v>46023</v>
      </c>
      <c r="G23" s="19">
        <v>46017</v>
      </c>
      <c r="H23" s="18" t="s">
        <v>20</v>
      </c>
      <c r="I23" s="18" t="s">
        <v>21</v>
      </c>
      <c r="J23" s="18" t="s">
        <v>22</v>
      </c>
      <c r="K23" s="18" t="s">
        <v>22</v>
      </c>
      <c r="L23" s="18" t="s">
        <v>23</v>
      </c>
      <c r="M23" s="18" t="s">
        <v>23</v>
      </c>
      <c r="N23" s="18" t="s">
        <v>24</v>
      </c>
    </row>
    <row r="24" spans="1:15" s="21" customFormat="1" ht="15.75" customHeight="1" x14ac:dyDescent="0.25">
      <c r="A24" s="18" t="s">
        <v>16</v>
      </c>
      <c r="B24" s="18" t="s">
        <v>17</v>
      </c>
      <c r="C24" s="18" t="s">
        <v>18</v>
      </c>
      <c r="D24" s="18">
        <v>251815732</v>
      </c>
      <c r="E24" s="18" t="s">
        <v>19</v>
      </c>
      <c r="F24" s="19">
        <v>46023</v>
      </c>
      <c r="G24" s="19">
        <v>46017</v>
      </c>
      <c r="H24" s="18" t="s">
        <v>20</v>
      </c>
      <c r="I24" s="18" t="s">
        <v>21</v>
      </c>
      <c r="J24" s="18" t="s">
        <v>22</v>
      </c>
      <c r="K24" s="18" t="s">
        <v>25</v>
      </c>
      <c r="L24" s="20">
        <v>0.25</v>
      </c>
      <c r="M24" s="18" t="s">
        <v>26</v>
      </c>
      <c r="N24" s="18" t="s">
        <v>24</v>
      </c>
    </row>
    <row r="25" spans="1:15" s="21" customFormat="1" ht="15.75" customHeight="1" x14ac:dyDescent="0.25">
      <c r="A25" s="18" t="s">
        <v>16</v>
      </c>
      <c r="B25" s="18" t="s">
        <v>97</v>
      </c>
      <c r="C25" s="18" t="s">
        <v>98</v>
      </c>
      <c r="D25" s="18">
        <v>251818687</v>
      </c>
      <c r="E25" s="18" t="s">
        <v>19</v>
      </c>
      <c r="F25" s="19">
        <v>46029</v>
      </c>
      <c r="G25" s="19">
        <v>46000</v>
      </c>
      <c r="H25" s="18" t="s">
        <v>20</v>
      </c>
      <c r="I25" s="18" t="s">
        <v>48</v>
      </c>
      <c r="J25" s="18" t="s">
        <v>49</v>
      </c>
      <c r="K25" s="18" t="s">
        <v>50</v>
      </c>
      <c r="L25" s="20">
        <v>0.25</v>
      </c>
      <c r="M25" s="18" t="s">
        <v>51</v>
      </c>
      <c r="N25" s="18" t="s">
        <v>73</v>
      </c>
      <c r="O25" s="19">
        <v>46010</v>
      </c>
    </row>
    <row r="26" spans="1:15" s="21" customFormat="1" ht="15.75" customHeight="1" x14ac:dyDescent="0.25">
      <c r="A26" s="18" t="s">
        <v>16</v>
      </c>
      <c r="B26" s="18" t="s">
        <v>80</v>
      </c>
      <c r="C26" s="18" t="s">
        <v>92</v>
      </c>
      <c r="D26" s="18">
        <v>251821747</v>
      </c>
      <c r="E26" s="18" t="s">
        <v>19</v>
      </c>
      <c r="F26" s="19">
        <v>46023</v>
      </c>
      <c r="G26" s="19">
        <v>46003</v>
      </c>
      <c r="H26" s="18" t="s">
        <v>20</v>
      </c>
      <c r="I26" s="18" t="s">
        <v>28</v>
      </c>
      <c r="J26" s="18" t="s">
        <v>89</v>
      </c>
      <c r="K26" s="18" t="s">
        <v>89</v>
      </c>
      <c r="L26" s="18" t="s">
        <v>23</v>
      </c>
      <c r="M26" s="18" t="s">
        <v>23</v>
      </c>
      <c r="N26" s="18" t="s">
        <v>73</v>
      </c>
      <c r="O26" s="19">
        <v>46010</v>
      </c>
    </row>
    <row r="27" spans="1:15" s="21" customFormat="1" ht="15.75" customHeight="1" x14ac:dyDescent="0.25">
      <c r="A27" s="18" t="s">
        <v>16</v>
      </c>
      <c r="B27" s="18" t="s">
        <v>80</v>
      </c>
      <c r="C27" s="18" t="s">
        <v>92</v>
      </c>
      <c r="D27" s="18">
        <v>251821747</v>
      </c>
      <c r="E27" s="18" t="s">
        <v>19</v>
      </c>
      <c r="F27" s="19">
        <v>46023</v>
      </c>
      <c r="G27" s="19">
        <v>46003</v>
      </c>
      <c r="H27" s="18" t="s">
        <v>20</v>
      </c>
      <c r="I27" s="18" t="s">
        <v>28</v>
      </c>
      <c r="J27" s="18" t="s">
        <v>89</v>
      </c>
      <c r="K27" s="18" t="s">
        <v>90</v>
      </c>
      <c r="L27" s="20">
        <v>0.25</v>
      </c>
      <c r="M27" s="18" t="s">
        <v>91</v>
      </c>
      <c r="N27" s="18" t="s">
        <v>73</v>
      </c>
      <c r="O27" s="19">
        <v>46010</v>
      </c>
    </row>
    <row r="28" spans="1:15" s="21" customFormat="1" ht="15.75" customHeight="1" x14ac:dyDescent="0.25">
      <c r="A28" s="18" t="s">
        <v>16</v>
      </c>
      <c r="B28" s="18" t="s">
        <v>80</v>
      </c>
      <c r="C28" s="18" t="s">
        <v>81</v>
      </c>
      <c r="D28" s="18">
        <v>251824128</v>
      </c>
      <c r="E28" s="18" t="s">
        <v>19</v>
      </c>
      <c r="F28" s="19">
        <v>46023</v>
      </c>
      <c r="G28" s="19">
        <v>46004</v>
      </c>
      <c r="H28" s="18" t="s">
        <v>20</v>
      </c>
      <c r="I28" s="18" t="s">
        <v>28</v>
      </c>
      <c r="J28" s="18" t="s">
        <v>33</v>
      </c>
      <c r="K28" s="18" t="s">
        <v>34</v>
      </c>
      <c r="L28" s="20">
        <v>0.25</v>
      </c>
      <c r="M28" s="18" t="s">
        <v>35</v>
      </c>
      <c r="N28" s="18" t="s">
        <v>73</v>
      </c>
      <c r="O28" s="19">
        <v>46010</v>
      </c>
    </row>
    <row r="29" spans="1:15" s="21" customFormat="1" ht="15.75" customHeight="1" x14ac:dyDescent="0.25">
      <c r="A29" s="18" t="s">
        <v>16</v>
      </c>
      <c r="B29" s="18" t="s">
        <v>80</v>
      </c>
      <c r="C29" s="18" t="s">
        <v>81</v>
      </c>
      <c r="D29" s="18">
        <v>251824128</v>
      </c>
      <c r="E29" s="18" t="s">
        <v>19</v>
      </c>
      <c r="F29" s="19">
        <v>46023</v>
      </c>
      <c r="G29" s="19">
        <v>46004</v>
      </c>
      <c r="H29" s="18" t="s">
        <v>20</v>
      </c>
      <c r="I29" s="18" t="s">
        <v>28</v>
      </c>
      <c r="J29" s="18" t="s">
        <v>33</v>
      </c>
      <c r="K29" s="18" t="s">
        <v>33</v>
      </c>
      <c r="L29" s="18" t="s">
        <v>23</v>
      </c>
      <c r="M29" s="18" t="s">
        <v>23</v>
      </c>
      <c r="N29" s="18" t="s">
        <v>73</v>
      </c>
      <c r="O29" s="19">
        <v>46010</v>
      </c>
    </row>
    <row r="30" spans="1:15" s="25" customFormat="1" ht="15.75" customHeight="1" x14ac:dyDescent="0.25">
      <c r="A30" s="22" t="s">
        <v>16</v>
      </c>
      <c r="B30" s="22" t="s">
        <v>63</v>
      </c>
      <c r="C30" s="22" t="s">
        <v>107</v>
      </c>
      <c r="D30" s="22">
        <v>251815544</v>
      </c>
      <c r="E30" s="22" t="s">
        <v>19</v>
      </c>
      <c r="F30" s="23">
        <v>46025</v>
      </c>
      <c r="G30" s="23">
        <v>45996</v>
      </c>
      <c r="H30" s="22" t="s">
        <v>20</v>
      </c>
      <c r="I30" s="22" t="s">
        <v>28</v>
      </c>
      <c r="J30" s="22" t="s">
        <v>33</v>
      </c>
      <c r="K30" s="22" t="s">
        <v>34</v>
      </c>
      <c r="L30" s="24">
        <v>0.25</v>
      </c>
      <c r="M30" s="22" t="s">
        <v>35</v>
      </c>
      <c r="N30" s="22" t="s">
        <v>73</v>
      </c>
      <c r="O30" s="23">
        <v>46003</v>
      </c>
    </row>
    <row r="31" spans="1:15" s="25" customFormat="1" ht="15.75" customHeight="1" x14ac:dyDescent="0.25">
      <c r="A31" s="22" t="s">
        <v>16</v>
      </c>
      <c r="B31" s="22" t="s">
        <v>63</v>
      </c>
      <c r="C31" s="22" t="s">
        <v>107</v>
      </c>
      <c r="D31" s="22">
        <v>251815544</v>
      </c>
      <c r="E31" s="22" t="s">
        <v>19</v>
      </c>
      <c r="F31" s="23">
        <v>46025</v>
      </c>
      <c r="G31" s="23">
        <v>45996</v>
      </c>
      <c r="H31" s="22" t="s">
        <v>20</v>
      </c>
      <c r="I31" s="22" t="s">
        <v>28</v>
      </c>
      <c r="J31" s="22" t="s">
        <v>33</v>
      </c>
      <c r="K31" s="22" t="s">
        <v>33</v>
      </c>
      <c r="L31" s="22" t="s">
        <v>23</v>
      </c>
      <c r="M31" s="22" t="s">
        <v>23</v>
      </c>
      <c r="N31" s="22" t="s">
        <v>73</v>
      </c>
      <c r="O31" s="23">
        <v>46003</v>
      </c>
    </row>
    <row r="32" spans="1:15" s="21" customFormat="1" ht="15.75" customHeight="1" x14ac:dyDescent="0.25">
      <c r="A32" s="18" t="s">
        <v>16</v>
      </c>
      <c r="B32" s="18" t="s">
        <v>63</v>
      </c>
      <c r="C32" s="18" t="s">
        <v>102</v>
      </c>
      <c r="D32" s="18">
        <v>251818441</v>
      </c>
      <c r="E32" s="18" t="s">
        <v>19</v>
      </c>
      <c r="F32" s="19">
        <v>46023</v>
      </c>
      <c r="G32" s="19">
        <v>46000</v>
      </c>
      <c r="H32" s="18" t="s">
        <v>20</v>
      </c>
      <c r="I32" s="18" t="s">
        <v>28</v>
      </c>
      <c r="J32" s="18" t="s">
        <v>69</v>
      </c>
      <c r="K32" s="18" t="s">
        <v>70</v>
      </c>
      <c r="L32" s="20">
        <v>0.25</v>
      </c>
      <c r="M32" s="18" t="s">
        <v>50</v>
      </c>
      <c r="N32" s="18" t="s">
        <v>73</v>
      </c>
      <c r="O32" s="19">
        <v>46010</v>
      </c>
    </row>
    <row r="33" spans="1:15" s="21" customFormat="1" ht="15.75" customHeight="1" x14ac:dyDescent="0.25">
      <c r="A33" s="18" t="s">
        <v>16</v>
      </c>
      <c r="B33" s="18" t="s">
        <v>63</v>
      </c>
      <c r="C33" s="18" t="s">
        <v>102</v>
      </c>
      <c r="D33" s="18">
        <v>251818441</v>
      </c>
      <c r="E33" s="18" t="s">
        <v>19</v>
      </c>
      <c r="F33" s="19">
        <v>46023</v>
      </c>
      <c r="G33" s="19">
        <v>46000</v>
      </c>
      <c r="H33" s="18" t="s">
        <v>20</v>
      </c>
      <c r="I33" s="18" t="s">
        <v>28</v>
      </c>
      <c r="J33" s="18" t="s">
        <v>69</v>
      </c>
      <c r="K33" s="18" t="s">
        <v>69</v>
      </c>
      <c r="L33" s="18" t="s">
        <v>23</v>
      </c>
      <c r="M33" s="18" t="s">
        <v>23</v>
      </c>
      <c r="N33" s="18" t="s">
        <v>73</v>
      </c>
      <c r="O33" s="19">
        <v>46010</v>
      </c>
    </row>
    <row r="34" spans="1:15" s="21" customFormat="1" ht="15.75" customHeight="1" x14ac:dyDescent="0.25">
      <c r="A34" s="18" t="s">
        <v>16</v>
      </c>
      <c r="B34" s="18" t="s">
        <v>63</v>
      </c>
      <c r="C34" s="18" t="s">
        <v>64</v>
      </c>
      <c r="D34" s="18">
        <v>251826288</v>
      </c>
      <c r="E34" s="18" t="s">
        <v>19</v>
      </c>
      <c r="F34" s="19">
        <v>46023</v>
      </c>
      <c r="G34" s="19">
        <v>46007</v>
      </c>
      <c r="H34" s="18" t="s">
        <v>20</v>
      </c>
      <c r="I34" s="18" t="s">
        <v>28</v>
      </c>
      <c r="J34" s="18" t="s">
        <v>65</v>
      </c>
      <c r="K34" s="18" t="s">
        <v>65</v>
      </c>
      <c r="L34" s="18" t="s">
        <v>23</v>
      </c>
      <c r="M34" s="18" t="s">
        <v>23</v>
      </c>
      <c r="N34" s="18" t="s">
        <v>24</v>
      </c>
    </row>
    <row r="35" spans="1:15" s="21" customFormat="1" ht="15.75" customHeight="1" x14ac:dyDescent="0.25">
      <c r="A35" s="18" t="s">
        <v>16</v>
      </c>
      <c r="B35" s="18" t="s">
        <v>63</v>
      </c>
      <c r="C35" s="18" t="s">
        <v>64</v>
      </c>
      <c r="D35" s="18">
        <v>251826288</v>
      </c>
      <c r="E35" s="18" t="s">
        <v>19</v>
      </c>
      <c r="F35" s="19">
        <v>46023</v>
      </c>
      <c r="G35" s="19">
        <v>46007</v>
      </c>
      <c r="H35" s="18" t="s">
        <v>20</v>
      </c>
      <c r="I35" s="18" t="s">
        <v>28</v>
      </c>
      <c r="J35" s="18" t="s">
        <v>65</v>
      </c>
      <c r="K35" s="18" t="s">
        <v>66</v>
      </c>
      <c r="L35" s="20">
        <v>0.25</v>
      </c>
      <c r="M35" s="18" t="s">
        <v>67</v>
      </c>
      <c r="N35" s="18" t="s">
        <v>24</v>
      </c>
    </row>
    <row r="36" spans="1:15" s="25" customFormat="1" ht="15.75" customHeight="1" x14ac:dyDescent="0.25">
      <c r="A36" s="22" t="s">
        <v>16</v>
      </c>
      <c r="B36" s="22" t="s">
        <v>63</v>
      </c>
      <c r="C36" s="22" t="s">
        <v>109</v>
      </c>
      <c r="D36" s="22">
        <v>251816500</v>
      </c>
      <c r="E36" s="22" t="s">
        <v>19</v>
      </c>
      <c r="F36" s="23">
        <v>46023</v>
      </c>
      <c r="G36" s="23">
        <v>45996</v>
      </c>
      <c r="H36" s="22" t="s">
        <v>20</v>
      </c>
      <c r="I36" s="22" t="s">
        <v>28</v>
      </c>
      <c r="J36" s="22" t="s">
        <v>38</v>
      </c>
      <c r="K36" s="22" t="s">
        <v>110</v>
      </c>
      <c r="L36" s="24">
        <v>0.25</v>
      </c>
      <c r="M36" s="22" t="s">
        <v>111</v>
      </c>
      <c r="N36" s="22" t="s">
        <v>73</v>
      </c>
      <c r="O36" s="23">
        <v>46003</v>
      </c>
    </row>
    <row r="37" spans="1:15" s="25" customFormat="1" ht="15.75" customHeight="1" x14ac:dyDescent="0.25">
      <c r="A37" s="22" t="s">
        <v>16</v>
      </c>
      <c r="B37" s="22" t="s">
        <v>63</v>
      </c>
      <c r="C37" s="22" t="s">
        <v>109</v>
      </c>
      <c r="D37" s="22">
        <v>251816500</v>
      </c>
      <c r="E37" s="22" t="s">
        <v>19</v>
      </c>
      <c r="F37" s="23">
        <v>46023</v>
      </c>
      <c r="G37" s="23">
        <v>45996</v>
      </c>
      <c r="H37" s="22" t="s">
        <v>20</v>
      </c>
      <c r="I37" s="22" t="s">
        <v>28</v>
      </c>
      <c r="J37" s="22" t="s">
        <v>38</v>
      </c>
      <c r="K37" s="22" t="s">
        <v>38</v>
      </c>
      <c r="L37" s="22" t="s">
        <v>23</v>
      </c>
      <c r="M37" s="22" t="s">
        <v>23</v>
      </c>
      <c r="N37" s="22" t="s">
        <v>73</v>
      </c>
      <c r="O37" s="23">
        <v>46003</v>
      </c>
    </row>
    <row r="38" spans="1:15" s="21" customFormat="1" ht="15.75" customHeight="1" x14ac:dyDescent="0.25">
      <c r="A38" s="18" t="s">
        <v>16</v>
      </c>
      <c r="B38" s="18" t="s">
        <v>63</v>
      </c>
      <c r="C38" s="18" t="s">
        <v>88</v>
      </c>
      <c r="D38" s="18">
        <v>251822171</v>
      </c>
      <c r="E38" s="18" t="s">
        <v>19</v>
      </c>
      <c r="F38" s="19">
        <v>46023</v>
      </c>
      <c r="G38" s="19">
        <v>46003</v>
      </c>
      <c r="H38" s="18" t="s">
        <v>20</v>
      </c>
      <c r="I38" s="18" t="s">
        <v>28</v>
      </c>
      <c r="J38" s="18" t="s">
        <v>89</v>
      </c>
      <c r="K38" s="18" t="s">
        <v>90</v>
      </c>
      <c r="L38" s="20">
        <v>0.25</v>
      </c>
      <c r="M38" s="18" t="s">
        <v>91</v>
      </c>
      <c r="N38" s="18" t="s">
        <v>73</v>
      </c>
      <c r="O38" s="19">
        <v>46010</v>
      </c>
    </row>
    <row r="39" spans="1:15" s="21" customFormat="1" ht="15.75" customHeight="1" x14ac:dyDescent="0.25">
      <c r="A39" s="18" t="s">
        <v>16</v>
      </c>
      <c r="B39" s="18" t="s">
        <v>63</v>
      </c>
      <c r="C39" s="18" t="s">
        <v>88</v>
      </c>
      <c r="D39" s="18">
        <v>251822171</v>
      </c>
      <c r="E39" s="18" t="s">
        <v>19</v>
      </c>
      <c r="F39" s="19">
        <v>46023</v>
      </c>
      <c r="G39" s="19">
        <v>46003</v>
      </c>
      <c r="H39" s="18" t="s">
        <v>20</v>
      </c>
      <c r="I39" s="18" t="s">
        <v>28</v>
      </c>
      <c r="J39" s="18" t="s">
        <v>89</v>
      </c>
      <c r="K39" s="18" t="s">
        <v>89</v>
      </c>
      <c r="L39" s="18" t="s">
        <v>23</v>
      </c>
      <c r="M39" s="18" t="s">
        <v>23</v>
      </c>
      <c r="N39" s="18" t="s">
        <v>73</v>
      </c>
      <c r="O39" s="19">
        <v>46010</v>
      </c>
    </row>
    <row r="40" spans="1:15" s="21" customFormat="1" ht="15.75" customHeight="1" x14ac:dyDescent="0.25">
      <c r="A40" s="18" t="s">
        <v>16</v>
      </c>
      <c r="B40" s="18" t="s">
        <v>17</v>
      </c>
      <c r="C40" s="18" t="s">
        <v>32</v>
      </c>
      <c r="D40" s="18">
        <v>251817516</v>
      </c>
      <c r="E40" s="18" t="s">
        <v>19</v>
      </c>
      <c r="F40" s="19">
        <v>46023</v>
      </c>
      <c r="G40" s="19">
        <v>46017</v>
      </c>
      <c r="H40" s="18" t="s">
        <v>20</v>
      </c>
      <c r="I40" s="18" t="s">
        <v>28</v>
      </c>
      <c r="J40" s="18" t="s">
        <v>33</v>
      </c>
      <c r="K40" s="18" t="s">
        <v>34</v>
      </c>
      <c r="L40" s="20">
        <v>0.25</v>
      </c>
      <c r="M40" s="18" t="s">
        <v>35</v>
      </c>
      <c r="N40" s="18" t="s">
        <v>24</v>
      </c>
    </row>
    <row r="41" spans="1:15" s="21" customFormat="1" ht="15.75" customHeight="1" x14ac:dyDescent="0.25">
      <c r="A41" s="18" t="s">
        <v>16</v>
      </c>
      <c r="B41" s="18" t="s">
        <v>17</v>
      </c>
      <c r="C41" s="18" t="s">
        <v>32</v>
      </c>
      <c r="D41" s="18">
        <v>251817516</v>
      </c>
      <c r="E41" s="18" t="s">
        <v>19</v>
      </c>
      <c r="F41" s="19">
        <v>46023</v>
      </c>
      <c r="G41" s="19">
        <v>46017</v>
      </c>
      <c r="H41" s="18" t="s">
        <v>20</v>
      </c>
      <c r="I41" s="18" t="s">
        <v>28</v>
      </c>
      <c r="J41" s="18" t="s">
        <v>33</v>
      </c>
      <c r="K41" s="18" t="s">
        <v>33</v>
      </c>
      <c r="L41" s="18" t="s">
        <v>23</v>
      </c>
      <c r="M41" s="18" t="s">
        <v>23</v>
      </c>
      <c r="N41" s="18" t="s">
        <v>24</v>
      </c>
    </row>
    <row r="42" spans="1:15" s="21" customFormat="1" ht="15.75" customHeight="1" x14ac:dyDescent="0.25">
      <c r="A42" s="18" t="s">
        <v>16</v>
      </c>
      <c r="B42" s="18" t="s">
        <v>52</v>
      </c>
      <c r="C42" s="18" t="s">
        <v>53</v>
      </c>
      <c r="D42" s="18">
        <v>251819685</v>
      </c>
      <c r="E42" s="18" t="s">
        <v>19</v>
      </c>
      <c r="F42" s="19">
        <v>46023</v>
      </c>
      <c r="G42" s="19">
        <v>46016</v>
      </c>
      <c r="H42" s="18" t="s">
        <v>20</v>
      </c>
      <c r="I42" s="18" t="s">
        <v>28</v>
      </c>
      <c r="J42" s="18" t="s">
        <v>54</v>
      </c>
      <c r="K42" s="18" t="s">
        <v>54</v>
      </c>
      <c r="L42" s="18" t="s">
        <v>23</v>
      </c>
      <c r="M42" s="18" t="s">
        <v>23</v>
      </c>
      <c r="N42" s="18" t="s">
        <v>24</v>
      </c>
    </row>
    <row r="43" spans="1:15" s="21" customFormat="1" ht="15.75" customHeight="1" x14ac:dyDescent="0.25">
      <c r="A43" s="18" t="s">
        <v>16</v>
      </c>
      <c r="B43" s="18" t="s">
        <v>52</v>
      </c>
      <c r="C43" s="18" t="s">
        <v>53</v>
      </c>
      <c r="D43" s="18">
        <v>251819685</v>
      </c>
      <c r="E43" s="18" t="s">
        <v>19</v>
      </c>
      <c r="F43" s="19">
        <v>46023</v>
      </c>
      <c r="G43" s="19">
        <v>46016</v>
      </c>
      <c r="H43" s="18" t="s">
        <v>20</v>
      </c>
      <c r="I43" s="18" t="s">
        <v>28</v>
      </c>
      <c r="J43" s="18" t="s">
        <v>54</v>
      </c>
      <c r="K43" s="18" t="s">
        <v>55</v>
      </c>
      <c r="L43" s="20">
        <v>0.25</v>
      </c>
      <c r="M43" s="18" t="s">
        <v>56</v>
      </c>
      <c r="N43" s="18" t="s">
        <v>24</v>
      </c>
    </row>
    <row r="44" spans="1:15" s="21" customFormat="1" ht="15.75" customHeight="1" x14ac:dyDescent="0.25">
      <c r="A44" s="18" t="s">
        <v>16</v>
      </c>
      <c r="B44" s="18" t="s">
        <v>80</v>
      </c>
      <c r="C44" s="18" t="s">
        <v>101</v>
      </c>
      <c r="D44" s="18">
        <v>251819194</v>
      </c>
      <c r="E44" s="18" t="s">
        <v>19</v>
      </c>
      <c r="F44" s="19">
        <v>46024</v>
      </c>
      <c r="G44" s="19">
        <v>46000</v>
      </c>
      <c r="H44" s="18" t="s">
        <v>20</v>
      </c>
      <c r="I44" s="18" t="s">
        <v>28</v>
      </c>
      <c r="J44" s="18" t="s">
        <v>33</v>
      </c>
      <c r="K44" s="18" t="s">
        <v>33</v>
      </c>
      <c r="L44" s="18" t="s">
        <v>23</v>
      </c>
      <c r="M44" s="18" t="s">
        <v>23</v>
      </c>
      <c r="N44" s="18" t="s">
        <v>73</v>
      </c>
      <c r="O44" s="19">
        <v>46010</v>
      </c>
    </row>
    <row r="45" spans="1:15" s="21" customFormat="1" ht="15.75" customHeight="1" x14ac:dyDescent="0.25">
      <c r="A45" s="18" t="s">
        <v>16</v>
      </c>
      <c r="B45" s="18" t="s">
        <v>80</v>
      </c>
      <c r="C45" s="18" t="s">
        <v>101</v>
      </c>
      <c r="D45" s="18">
        <v>251819194</v>
      </c>
      <c r="E45" s="18" t="s">
        <v>19</v>
      </c>
      <c r="F45" s="19">
        <v>46024</v>
      </c>
      <c r="G45" s="19">
        <v>46000</v>
      </c>
      <c r="H45" s="18" t="s">
        <v>20</v>
      </c>
      <c r="I45" s="18" t="s">
        <v>28</v>
      </c>
      <c r="J45" s="18" t="s">
        <v>33</v>
      </c>
      <c r="K45" s="18" t="s">
        <v>34</v>
      </c>
      <c r="L45" s="20">
        <v>0.25</v>
      </c>
      <c r="M45" s="18" t="s">
        <v>35</v>
      </c>
      <c r="N45" s="18" t="s">
        <v>73</v>
      </c>
      <c r="O45" s="19">
        <v>46010</v>
      </c>
    </row>
    <row r="46" spans="1:15" s="21" customFormat="1" ht="15.75" customHeight="1" x14ac:dyDescent="0.25">
      <c r="A46" s="18" t="s">
        <v>16</v>
      </c>
      <c r="B46" s="18" t="s">
        <v>17</v>
      </c>
      <c r="C46" s="18" t="s">
        <v>27</v>
      </c>
      <c r="D46" s="18">
        <v>251817599</v>
      </c>
      <c r="E46" s="18" t="s">
        <v>19</v>
      </c>
      <c r="F46" s="19">
        <v>46023</v>
      </c>
      <c r="G46" s="19">
        <v>46017</v>
      </c>
      <c r="H46" s="18" t="s">
        <v>20</v>
      </c>
      <c r="I46" s="18" t="s">
        <v>28</v>
      </c>
      <c r="J46" s="18" t="s">
        <v>29</v>
      </c>
      <c r="K46" s="18" t="s">
        <v>30</v>
      </c>
      <c r="L46" s="20">
        <v>0.25</v>
      </c>
      <c r="M46" s="18" t="s">
        <v>31</v>
      </c>
      <c r="N46" s="18" t="s">
        <v>24</v>
      </c>
    </row>
    <row r="47" spans="1:15" s="21" customFormat="1" ht="15.75" customHeight="1" x14ac:dyDescent="0.25">
      <c r="A47" s="18" t="s">
        <v>16</v>
      </c>
      <c r="B47" s="18" t="s">
        <v>17</v>
      </c>
      <c r="C47" s="18" t="s">
        <v>27</v>
      </c>
      <c r="D47" s="18">
        <v>251817599</v>
      </c>
      <c r="E47" s="18" t="s">
        <v>19</v>
      </c>
      <c r="F47" s="19">
        <v>46023</v>
      </c>
      <c r="G47" s="19">
        <v>46017</v>
      </c>
      <c r="H47" s="18" t="s">
        <v>20</v>
      </c>
      <c r="I47" s="18" t="s">
        <v>28</v>
      </c>
      <c r="J47" s="18" t="s">
        <v>29</v>
      </c>
      <c r="K47" s="18" t="s">
        <v>29</v>
      </c>
      <c r="L47" s="18" t="s">
        <v>23</v>
      </c>
      <c r="M47" s="18" t="s">
        <v>23</v>
      </c>
      <c r="N47" s="18" t="s">
        <v>24</v>
      </c>
    </row>
    <row r="48" spans="1:15" s="25" customFormat="1" ht="15.75" customHeight="1" x14ac:dyDescent="0.25">
      <c r="A48" s="22" t="s">
        <v>16</v>
      </c>
      <c r="B48" s="22" t="s">
        <v>45</v>
      </c>
      <c r="C48" s="22" t="s">
        <v>46</v>
      </c>
      <c r="D48" s="22">
        <v>251812018</v>
      </c>
      <c r="E48" s="22" t="s">
        <v>47</v>
      </c>
      <c r="F48" s="23">
        <v>45988</v>
      </c>
      <c r="G48" s="23">
        <v>46017</v>
      </c>
      <c r="H48" s="22" t="s">
        <v>20</v>
      </c>
      <c r="I48" s="22" t="s">
        <v>48</v>
      </c>
      <c r="J48" s="22" t="s">
        <v>49</v>
      </c>
      <c r="K48" s="22" t="s">
        <v>50</v>
      </c>
      <c r="L48" s="24">
        <v>0.25</v>
      </c>
      <c r="M48" s="22" t="s">
        <v>51</v>
      </c>
      <c r="N48" s="22" t="s">
        <v>24</v>
      </c>
    </row>
    <row r="49" spans="1:15" s="25" customFormat="1" ht="15.75" customHeight="1" x14ac:dyDescent="0.25">
      <c r="A49" s="22" t="s">
        <v>16</v>
      </c>
      <c r="B49" s="22" t="s">
        <v>80</v>
      </c>
      <c r="C49" s="22" t="s">
        <v>103</v>
      </c>
      <c r="D49" s="22">
        <v>1095314</v>
      </c>
      <c r="E49" s="22" t="s">
        <v>47</v>
      </c>
      <c r="F49" s="23">
        <v>45770</v>
      </c>
      <c r="G49" s="23">
        <v>45997</v>
      </c>
      <c r="H49" s="22" t="s">
        <v>20</v>
      </c>
      <c r="I49" s="22" t="s">
        <v>21</v>
      </c>
      <c r="J49" s="22" t="s">
        <v>104</v>
      </c>
      <c r="K49" s="22" t="s">
        <v>105</v>
      </c>
      <c r="L49" s="24">
        <v>0.25</v>
      </c>
      <c r="M49" s="22" t="s">
        <v>106</v>
      </c>
      <c r="N49" s="22" t="s">
        <v>73</v>
      </c>
      <c r="O49" s="23">
        <v>46003</v>
      </c>
    </row>
    <row r="50" spans="1:15" ht="15.75" customHeight="1" x14ac:dyDescent="0.25">
      <c r="F50" s="2"/>
      <c r="G50" s="2"/>
      <c r="O50" s="2"/>
    </row>
    <row r="51" spans="1:15" ht="15.75" customHeight="1" x14ac:dyDescent="0.25">
      <c r="F51" s="2"/>
      <c r="G51" s="2"/>
      <c r="O51" s="2"/>
    </row>
    <row r="52" spans="1:15" ht="15.75" customHeight="1" x14ac:dyDescent="0.25">
      <c r="F52" s="2"/>
      <c r="G52" s="2"/>
      <c r="L52" s="3"/>
      <c r="O52" s="2"/>
    </row>
    <row r="53" spans="1:15" ht="15.75" customHeight="1" x14ac:dyDescent="0.25">
      <c r="F53" s="2"/>
      <c r="G53" s="2"/>
      <c r="L53" s="3"/>
      <c r="O53" s="2"/>
    </row>
    <row r="54" spans="1:15" ht="15.75" customHeight="1" x14ac:dyDescent="0.25">
      <c r="F54" s="2"/>
      <c r="G54" s="2"/>
      <c r="L54" s="3"/>
      <c r="O54" s="2"/>
    </row>
    <row r="55" spans="1:15" ht="15.75" customHeight="1" x14ac:dyDescent="0.25">
      <c r="F55" s="2"/>
      <c r="G55" s="2"/>
      <c r="O55" s="2"/>
    </row>
    <row r="56" spans="1:15" ht="15.75" customHeight="1" x14ac:dyDescent="0.25">
      <c r="F56" s="2"/>
      <c r="G56" s="2"/>
      <c r="L56" s="3"/>
      <c r="O56" s="2"/>
    </row>
    <row r="57" spans="1:15" ht="15.75" customHeight="1" x14ac:dyDescent="0.25">
      <c r="F57" s="2"/>
      <c r="G57" s="2"/>
      <c r="L57" s="3"/>
      <c r="O57" s="2"/>
    </row>
    <row r="58" spans="1:15" ht="15.75" customHeight="1" x14ac:dyDescent="0.25">
      <c r="F58" s="2"/>
      <c r="G58" s="2"/>
      <c r="L58" s="3"/>
      <c r="O58" s="2"/>
    </row>
    <row r="59" spans="1:15" ht="15.75" customHeight="1" x14ac:dyDescent="0.25">
      <c r="F59" s="2"/>
      <c r="G59" s="2"/>
      <c r="L59" s="3"/>
      <c r="O59" s="2"/>
    </row>
    <row r="60" spans="1:15" ht="15.75" customHeight="1" x14ac:dyDescent="0.25">
      <c r="F60" s="2"/>
      <c r="G60" s="2"/>
      <c r="L60" s="3"/>
      <c r="O60" s="2"/>
    </row>
    <row r="61" spans="1:15" ht="15.75" customHeight="1" x14ac:dyDescent="0.25">
      <c r="F61" s="2"/>
      <c r="G61" s="2"/>
      <c r="L61" s="3"/>
      <c r="O61" s="2"/>
    </row>
    <row r="62" spans="1:15" ht="15.75" customHeight="1" x14ac:dyDescent="0.25">
      <c r="F62" s="2"/>
      <c r="G62" s="2"/>
      <c r="L62" s="3"/>
      <c r="O62" s="2"/>
    </row>
    <row r="63" spans="1:15" ht="15.75" customHeight="1" x14ac:dyDescent="0.25">
      <c r="F63" s="2"/>
      <c r="G63" s="2"/>
      <c r="L63" s="3"/>
      <c r="O63" s="2"/>
    </row>
    <row r="64" spans="1:15" ht="15.75" customHeight="1" x14ac:dyDescent="0.25">
      <c r="F64" s="2"/>
      <c r="G64" s="2"/>
      <c r="L64" s="3"/>
      <c r="O64" s="2"/>
    </row>
    <row r="65" spans="6:15" ht="15.75" customHeight="1" x14ac:dyDescent="0.25">
      <c r="F65" s="2"/>
      <c r="G65" s="2"/>
      <c r="O65" s="2"/>
    </row>
    <row r="66" spans="6:15" ht="15.75" customHeight="1" x14ac:dyDescent="0.25">
      <c r="F66" s="2"/>
      <c r="G66" s="2"/>
      <c r="L66" s="3"/>
      <c r="O66" s="2"/>
    </row>
    <row r="67" spans="6:15" ht="15.75" customHeight="1" x14ac:dyDescent="0.25">
      <c r="F67" s="2"/>
      <c r="G67" s="2"/>
      <c r="L67" s="3"/>
      <c r="O67" s="2"/>
    </row>
    <row r="68" spans="6:15" ht="15.75" customHeight="1" x14ac:dyDescent="0.25">
      <c r="F68" s="2"/>
      <c r="G68" s="2"/>
      <c r="L68" s="3"/>
      <c r="O68" s="2"/>
    </row>
    <row r="69" spans="6:15" ht="15.75" customHeight="1" x14ac:dyDescent="0.25">
      <c r="F69" s="2"/>
      <c r="G69" s="2"/>
      <c r="L69" s="3"/>
      <c r="O69" s="2"/>
    </row>
    <row r="70" spans="6:15" ht="15.75" customHeight="1" x14ac:dyDescent="0.25">
      <c r="F70" s="2"/>
      <c r="G70" s="2"/>
      <c r="L70" s="3"/>
      <c r="O70" s="2"/>
    </row>
    <row r="71" spans="6:15" ht="15.75" customHeight="1" x14ac:dyDescent="0.25">
      <c r="F71" s="2"/>
      <c r="G71" s="2"/>
      <c r="L71" s="3"/>
      <c r="O71" s="2"/>
    </row>
    <row r="72" spans="6:15" ht="15.75" customHeight="1" x14ac:dyDescent="0.25">
      <c r="F72" s="2"/>
      <c r="G72" s="2"/>
      <c r="O72" s="2"/>
    </row>
    <row r="73" spans="6:15" ht="15.75" customHeight="1" x14ac:dyDescent="0.25">
      <c r="F73" s="2"/>
      <c r="G73" s="2"/>
      <c r="L73" s="3"/>
      <c r="O73" s="2"/>
    </row>
    <row r="74" spans="6:15" ht="15.75" customHeight="1" x14ac:dyDescent="0.25">
      <c r="F74" s="2"/>
      <c r="G74" s="2"/>
      <c r="L74" s="3"/>
      <c r="O74" s="2"/>
    </row>
    <row r="75" spans="6:15" ht="15.75" customHeight="1" x14ac:dyDescent="0.25">
      <c r="F75" s="2"/>
      <c r="G75" s="2"/>
      <c r="O75" s="2"/>
    </row>
    <row r="76" spans="6:15" ht="15.75" customHeight="1" x14ac:dyDescent="0.25">
      <c r="F76" s="2"/>
      <c r="G76" s="2"/>
      <c r="L76" s="3"/>
      <c r="O76" s="2"/>
    </row>
    <row r="77" spans="6:15" ht="15.75" customHeight="1" x14ac:dyDescent="0.25">
      <c r="F77" s="2"/>
      <c r="G77" s="2"/>
      <c r="L77" s="3"/>
      <c r="O77" s="2"/>
    </row>
    <row r="78" spans="6:15" ht="15.75" customHeight="1" x14ac:dyDescent="0.25">
      <c r="F78" s="2"/>
      <c r="G78" s="2"/>
      <c r="O78" s="2"/>
    </row>
    <row r="79" spans="6:15" ht="15.75" customHeight="1" x14ac:dyDescent="0.25">
      <c r="F79" s="2"/>
      <c r="G79" s="2"/>
      <c r="L79" s="3"/>
      <c r="O79" s="2"/>
    </row>
    <row r="80" spans="6:15" ht="15.75" customHeight="1" x14ac:dyDescent="0.25">
      <c r="F80" s="2"/>
      <c r="G80" s="2"/>
      <c r="L80" s="3"/>
      <c r="O80" s="2"/>
    </row>
    <row r="81" spans="6:15" ht="15.75" customHeight="1" x14ac:dyDescent="0.25">
      <c r="F81" s="2"/>
      <c r="G81" s="2"/>
      <c r="L81" s="3"/>
      <c r="O81" s="2"/>
    </row>
    <row r="82" spans="6:15" ht="15.75" customHeight="1" x14ac:dyDescent="0.25">
      <c r="F82" s="2"/>
      <c r="G82" s="2"/>
      <c r="L82" s="3"/>
      <c r="O82" s="2"/>
    </row>
    <row r="83" spans="6:15" ht="15.75" customHeight="1" x14ac:dyDescent="0.25">
      <c r="F83" s="2"/>
      <c r="G83" s="2"/>
      <c r="O83" s="2"/>
    </row>
    <row r="84" spans="6:15" ht="15.75" customHeight="1" x14ac:dyDescent="0.25">
      <c r="F84" s="2"/>
      <c r="G84" s="2"/>
      <c r="O84" s="2"/>
    </row>
    <row r="85" spans="6:15" ht="15.75" customHeight="1" x14ac:dyDescent="0.25">
      <c r="F85" s="2"/>
      <c r="G85" s="2"/>
      <c r="L85" s="3"/>
      <c r="O85" s="2"/>
    </row>
    <row r="86" spans="6:15" ht="15.75" customHeight="1" x14ac:dyDescent="0.25">
      <c r="F86" s="2"/>
      <c r="G86" s="2"/>
      <c r="O86" s="2"/>
    </row>
    <row r="87" spans="6:15" ht="15.75" customHeight="1" x14ac:dyDescent="0.25">
      <c r="F87" s="2"/>
      <c r="G87" s="2"/>
      <c r="L87" s="3"/>
      <c r="O87" s="2"/>
    </row>
    <row r="88" spans="6:15" ht="15.75" customHeight="1" x14ac:dyDescent="0.25">
      <c r="F88" s="2"/>
      <c r="G88" s="2"/>
      <c r="O88" s="2"/>
    </row>
    <row r="89" spans="6:15" ht="15.75" customHeight="1" x14ac:dyDescent="0.25">
      <c r="F89" s="2"/>
      <c r="G89" s="2"/>
      <c r="O89" s="2"/>
    </row>
    <row r="90" spans="6:15" ht="15.75" customHeight="1" x14ac:dyDescent="0.25">
      <c r="F90" s="2"/>
      <c r="G90" s="2"/>
      <c r="L90" s="3"/>
      <c r="O90" s="2"/>
    </row>
    <row r="91" spans="6:15" ht="15.75" customHeight="1" x14ac:dyDescent="0.25">
      <c r="F91" s="2"/>
      <c r="G91" s="2"/>
      <c r="O91" s="2"/>
    </row>
    <row r="92" spans="6:15" ht="15.75" customHeight="1" x14ac:dyDescent="0.25">
      <c r="F92" s="2"/>
      <c r="G92" s="2"/>
      <c r="L92" s="3"/>
      <c r="O92" s="2"/>
    </row>
    <row r="93" spans="6:15" ht="15.75" customHeight="1" x14ac:dyDescent="0.25">
      <c r="F93" s="2"/>
      <c r="G93" s="2"/>
      <c r="L93" s="3"/>
      <c r="O93" s="2"/>
    </row>
    <row r="94" spans="6:15" ht="15.75" customHeight="1" x14ac:dyDescent="0.25">
      <c r="F94" s="2"/>
      <c r="G94" s="2"/>
      <c r="O94" s="2"/>
    </row>
    <row r="95" spans="6:15" ht="15.75" customHeight="1" x14ac:dyDescent="0.25">
      <c r="F95" s="2"/>
      <c r="G95" s="2"/>
      <c r="L95" s="3"/>
      <c r="O95" s="2"/>
    </row>
    <row r="96" spans="6:15" ht="15.75" customHeight="1" x14ac:dyDescent="0.25">
      <c r="F96" s="2"/>
      <c r="G96" s="2"/>
      <c r="L96" s="3"/>
      <c r="O96" s="2"/>
    </row>
    <row r="97" spans="6:15" ht="15.75" customHeight="1" x14ac:dyDescent="0.25">
      <c r="F97" s="2"/>
      <c r="G97" s="2"/>
      <c r="L97" s="3"/>
      <c r="O97" s="2"/>
    </row>
    <row r="98" spans="6:15" ht="15.75" customHeight="1" x14ac:dyDescent="0.25">
      <c r="F98" s="2"/>
      <c r="G98" s="2"/>
      <c r="L98" s="3"/>
      <c r="O98" s="2"/>
    </row>
    <row r="99" spans="6:15" ht="15.75" customHeight="1" x14ac:dyDescent="0.25">
      <c r="F99" s="2"/>
      <c r="G99" s="2"/>
      <c r="O99" s="2"/>
    </row>
    <row r="100" spans="6:15" ht="15.75" customHeight="1" x14ac:dyDescent="0.25">
      <c r="F100" s="2"/>
      <c r="G100" s="2"/>
      <c r="L100" s="3"/>
      <c r="O100" s="2"/>
    </row>
    <row r="101" spans="6:15" ht="15.75" customHeight="1" x14ac:dyDescent="0.25">
      <c r="F101" s="2"/>
      <c r="G101" s="2"/>
      <c r="L101" s="3"/>
      <c r="O101" s="2"/>
    </row>
    <row r="102" spans="6:15" ht="15.75" customHeight="1" x14ac:dyDescent="0.25">
      <c r="F102" s="2"/>
      <c r="G102" s="2"/>
      <c r="L102" s="3"/>
      <c r="O102" s="2"/>
    </row>
    <row r="103" spans="6:15" ht="15.75" customHeight="1" x14ac:dyDescent="0.25">
      <c r="F103" s="2"/>
      <c r="G103" s="2"/>
      <c r="L103" s="3"/>
      <c r="O103" s="2"/>
    </row>
    <row r="104" spans="6:15" ht="15.75" customHeight="1" x14ac:dyDescent="0.25">
      <c r="F104" s="2"/>
      <c r="G104" s="2"/>
      <c r="L104" s="3"/>
      <c r="O104" s="2"/>
    </row>
    <row r="105" spans="6:15" ht="15.75" customHeight="1" x14ac:dyDescent="0.25">
      <c r="F105" s="2"/>
      <c r="G105" s="2"/>
      <c r="O105" s="2"/>
    </row>
    <row r="106" spans="6:15" ht="15.75" customHeight="1" x14ac:dyDescent="0.25">
      <c r="F106" s="2"/>
      <c r="G106" s="2"/>
      <c r="L106" s="3"/>
      <c r="O106" s="2"/>
    </row>
    <row r="107" spans="6:15" ht="15.75" customHeight="1" x14ac:dyDescent="0.25">
      <c r="F107" s="2"/>
      <c r="G107" s="2"/>
      <c r="L107" s="3"/>
      <c r="O107" s="2"/>
    </row>
    <row r="108" spans="6:15" ht="15.75" customHeight="1" x14ac:dyDescent="0.25">
      <c r="F108" s="2"/>
      <c r="G108" s="2"/>
      <c r="L108" s="3"/>
      <c r="O108" s="2"/>
    </row>
    <row r="109" spans="6:15" ht="15.75" customHeight="1" x14ac:dyDescent="0.25">
      <c r="F109" s="2"/>
      <c r="G109" s="2"/>
      <c r="O109" s="2"/>
    </row>
    <row r="110" spans="6:15" ht="15.75" customHeight="1" x14ac:dyDescent="0.25">
      <c r="F110" s="2"/>
      <c r="G110" s="2"/>
      <c r="L110" s="3"/>
      <c r="O110" s="2"/>
    </row>
    <row r="111" spans="6:15" ht="15.75" customHeight="1" x14ac:dyDescent="0.25">
      <c r="F111" s="2"/>
      <c r="G111" s="2"/>
      <c r="L111" s="3"/>
      <c r="O111" s="2"/>
    </row>
    <row r="112" spans="6:15" ht="15.75" customHeight="1" x14ac:dyDescent="0.25">
      <c r="F112" s="2"/>
      <c r="G112" s="2"/>
      <c r="L112" s="3"/>
      <c r="O112" s="2"/>
    </row>
    <row r="113" spans="6:15" ht="15.75" customHeight="1" x14ac:dyDescent="0.25">
      <c r="F113" s="2"/>
      <c r="G113" s="2"/>
      <c r="L113" s="3"/>
      <c r="O113" s="2"/>
    </row>
    <row r="114" spans="6:15" ht="15.75" customHeight="1" x14ac:dyDescent="0.25">
      <c r="F114" s="2"/>
      <c r="G114" s="2"/>
      <c r="L114" s="3"/>
      <c r="O114" s="2"/>
    </row>
    <row r="115" spans="6:15" ht="15.75" customHeight="1" x14ac:dyDescent="0.25">
      <c r="F115" s="2"/>
      <c r="G115" s="2"/>
      <c r="L115" s="3"/>
      <c r="O115" s="2"/>
    </row>
    <row r="116" spans="6:15" ht="15.75" customHeight="1" x14ac:dyDescent="0.25">
      <c r="F116" s="2"/>
      <c r="G116" s="2"/>
      <c r="L116" s="3"/>
      <c r="O116" s="2"/>
    </row>
    <row r="117" spans="6:15" ht="15.75" customHeight="1" x14ac:dyDescent="0.25">
      <c r="F117" s="2"/>
      <c r="G117" s="2"/>
      <c r="L117" s="3"/>
      <c r="O117" s="2"/>
    </row>
    <row r="118" spans="6:15" ht="15.75" customHeight="1" x14ac:dyDescent="0.25">
      <c r="F118" s="2"/>
      <c r="G118" s="2"/>
      <c r="L118" s="3"/>
      <c r="O118" s="2"/>
    </row>
    <row r="119" spans="6:15" ht="15.75" customHeight="1" x14ac:dyDescent="0.25">
      <c r="F119" s="2"/>
      <c r="G119" s="2"/>
      <c r="L119" s="3"/>
      <c r="O119" s="2"/>
    </row>
    <row r="120" spans="6:15" ht="15.75" customHeight="1" x14ac:dyDescent="0.25">
      <c r="F120" s="2"/>
      <c r="G120" s="2"/>
      <c r="L120" s="3"/>
      <c r="O120" s="2"/>
    </row>
    <row r="121" spans="6:15" ht="15.75" customHeight="1" x14ac:dyDescent="0.25">
      <c r="F121" s="2"/>
      <c r="G121" s="2"/>
      <c r="L121" s="3"/>
      <c r="O121" s="2"/>
    </row>
    <row r="122" spans="6:15" ht="15.75" customHeight="1" x14ac:dyDescent="0.25">
      <c r="F122" s="2"/>
      <c r="G122" s="2"/>
      <c r="L122" s="3"/>
      <c r="O122" s="2"/>
    </row>
    <row r="123" spans="6:15" ht="15.75" customHeight="1" x14ac:dyDescent="0.25">
      <c r="F123" s="2"/>
      <c r="G123" s="2"/>
      <c r="L123" s="3"/>
      <c r="O123" s="2"/>
    </row>
    <row r="124" spans="6:15" ht="15.75" customHeight="1" x14ac:dyDescent="0.25">
      <c r="F124" s="2"/>
      <c r="G124" s="2"/>
      <c r="L124" s="3"/>
      <c r="O124" s="2"/>
    </row>
    <row r="125" spans="6:15" ht="15.75" customHeight="1" x14ac:dyDescent="0.25">
      <c r="F125" s="2"/>
      <c r="G125" s="2"/>
      <c r="L125" s="3"/>
      <c r="O125" s="2"/>
    </row>
    <row r="126" spans="6:15" ht="15.75" customHeight="1" x14ac:dyDescent="0.25">
      <c r="F126" s="2"/>
      <c r="G126" s="2"/>
      <c r="O126" s="2"/>
    </row>
    <row r="127" spans="6:15" ht="15.75" customHeight="1" x14ac:dyDescent="0.25">
      <c r="F127" s="2"/>
      <c r="G127" s="2"/>
      <c r="L127" s="3"/>
      <c r="O127" s="2"/>
    </row>
    <row r="128" spans="6:15" ht="15.75" customHeight="1" x14ac:dyDescent="0.25">
      <c r="F128" s="2"/>
      <c r="G128" s="2"/>
      <c r="L128" s="3"/>
      <c r="O128" s="2"/>
    </row>
    <row r="129" spans="6:15" ht="15.75" customHeight="1" x14ac:dyDescent="0.25">
      <c r="F129" s="2"/>
      <c r="G129" s="2"/>
      <c r="L129" s="3"/>
      <c r="O129" s="2"/>
    </row>
    <row r="130" spans="6:15" ht="15.75" customHeight="1" x14ac:dyDescent="0.25">
      <c r="F130" s="2"/>
      <c r="G130" s="2"/>
      <c r="L130" s="3"/>
      <c r="O130" s="2"/>
    </row>
    <row r="131" spans="6:15" ht="15.75" customHeight="1" x14ac:dyDescent="0.25">
      <c r="F131" s="2"/>
      <c r="G131" s="2"/>
      <c r="L131" s="3"/>
      <c r="O131" s="2"/>
    </row>
    <row r="132" spans="6:15" ht="15.75" customHeight="1" x14ac:dyDescent="0.25">
      <c r="F132" s="2"/>
      <c r="G132" s="2"/>
      <c r="L132" s="3"/>
      <c r="O132" s="2"/>
    </row>
    <row r="133" spans="6:15" ht="15.75" customHeight="1" x14ac:dyDescent="0.25">
      <c r="F133" s="2"/>
      <c r="G133" s="2"/>
      <c r="L133" s="3"/>
      <c r="O133" s="2"/>
    </row>
    <row r="134" spans="6:15" ht="15.75" customHeight="1" x14ac:dyDescent="0.25">
      <c r="F134" s="2"/>
      <c r="G134" s="2"/>
      <c r="L134" s="3"/>
      <c r="O134" s="2"/>
    </row>
    <row r="135" spans="6:15" ht="15.75" customHeight="1" x14ac:dyDescent="0.25">
      <c r="F135" s="2"/>
      <c r="G135" s="2"/>
      <c r="L135" s="3"/>
      <c r="O135" s="2"/>
    </row>
    <row r="136" spans="6:15" ht="15.75" customHeight="1" x14ac:dyDescent="0.25">
      <c r="F136" s="2"/>
      <c r="G136" s="2"/>
      <c r="O136" s="2"/>
    </row>
    <row r="137" spans="6:15" ht="15.75" customHeight="1" x14ac:dyDescent="0.25">
      <c r="F137" s="2"/>
      <c r="G137" s="2"/>
      <c r="L137" s="3"/>
      <c r="O137" s="2"/>
    </row>
    <row r="138" spans="6:15" ht="15.75" customHeight="1" x14ac:dyDescent="0.25">
      <c r="F138" s="2"/>
      <c r="G138" s="2"/>
      <c r="O138" s="2"/>
    </row>
    <row r="139" spans="6:15" ht="15.75" customHeight="1" x14ac:dyDescent="0.25">
      <c r="F139" s="2"/>
      <c r="G139" s="2"/>
      <c r="O139" s="2"/>
    </row>
    <row r="140" spans="6:15" ht="15.75" customHeight="1" x14ac:dyDescent="0.25">
      <c r="F140" s="2"/>
      <c r="G140" s="2"/>
      <c r="L140" s="3"/>
      <c r="O140" s="2"/>
    </row>
    <row r="141" spans="6:15" ht="15.75" customHeight="1" x14ac:dyDescent="0.25">
      <c r="F141" s="2"/>
      <c r="G141" s="2"/>
      <c r="L141" s="3"/>
      <c r="O141" s="2"/>
    </row>
    <row r="142" spans="6:15" ht="15.75" customHeight="1" x14ac:dyDescent="0.25">
      <c r="F142" s="2"/>
      <c r="G142" s="2"/>
      <c r="L142" s="3"/>
      <c r="O142" s="2"/>
    </row>
    <row r="143" spans="6:15" ht="15.75" customHeight="1" x14ac:dyDescent="0.25">
      <c r="F143" s="2"/>
      <c r="G143" s="2"/>
      <c r="L143" s="3"/>
      <c r="O143" s="2"/>
    </row>
    <row r="144" spans="6:15" ht="15.75" customHeight="1" x14ac:dyDescent="0.25">
      <c r="F144" s="2"/>
      <c r="G144" s="2"/>
      <c r="L144" s="3"/>
      <c r="O144" s="2"/>
    </row>
    <row r="145" spans="6:15" ht="15.75" customHeight="1" x14ac:dyDescent="0.25">
      <c r="F145" s="2"/>
      <c r="G145" s="2"/>
      <c r="L145" s="3"/>
      <c r="O145" s="2"/>
    </row>
    <row r="146" spans="6:15" ht="15.75" customHeight="1" x14ac:dyDescent="0.25">
      <c r="F146" s="2"/>
      <c r="G146" s="2"/>
      <c r="L146" s="3"/>
      <c r="O146" s="2"/>
    </row>
    <row r="147" spans="6:15" ht="15.75" customHeight="1" x14ac:dyDescent="0.25">
      <c r="F147" s="2"/>
      <c r="G147" s="2"/>
      <c r="L147" s="3"/>
      <c r="O147" s="2"/>
    </row>
    <row r="148" spans="6:15" ht="15.75" customHeight="1" x14ac:dyDescent="0.25">
      <c r="F148" s="2"/>
      <c r="G148" s="2"/>
      <c r="L148" s="3"/>
      <c r="O148" s="2"/>
    </row>
    <row r="149" spans="6:15" ht="15.75" customHeight="1" x14ac:dyDescent="0.25">
      <c r="F149" s="2"/>
      <c r="G149" s="2"/>
      <c r="O149" s="2"/>
    </row>
    <row r="150" spans="6:15" ht="15.75" customHeight="1" x14ac:dyDescent="0.25">
      <c r="F150" s="2"/>
      <c r="G150" s="2"/>
      <c r="L150" s="3"/>
      <c r="O150" s="2"/>
    </row>
    <row r="151" spans="6:15" ht="15.75" customHeight="1" x14ac:dyDescent="0.25">
      <c r="F151" s="2"/>
      <c r="G151" s="2"/>
      <c r="L151" s="3"/>
      <c r="O151" s="2"/>
    </row>
    <row r="152" spans="6:15" ht="15.75" customHeight="1" x14ac:dyDescent="0.25">
      <c r="F152" s="2"/>
      <c r="G152" s="2"/>
      <c r="O152" s="2"/>
    </row>
    <row r="153" spans="6:15" ht="15.75" customHeight="1" x14ac:dyDescent="0.25">
      <c r="F153" s="2"/>
      <c r="G153" s="2"/>
      <c r="O153" s="2"/>
    </row>
    <row r="154" spans="6:15" ht="15.75" customHeight="1" x14ac:dyDescent="0.25">
      <c r="F154" s="2"/>
      <c r="G154" s="2"/>
      <c r="L154" s="3"/>
      <c r="O154" s="2"/>
    </row>
    <row r="155" spans="6:15" ht="15.75" customHeight="1" x14ac:dyDescent="0.25">
      <c r="F155" s="2"/>
      <c r="G155" s="2"/>
      <c r="L155" s="3"/>
      <c r="O155" s="2"/>
    </row>
    <row r="156" spans="6:15" ht="15.75" customHeight="1" x14ac:dyDescent="0.25">
      <c r="F156" s="2"/>
      <c r="G156" s="2"/>
      <c r="L156" s="3"/>
      <c r="O156" s="2"/>
    </row>
    <row r="157" spans="6:15" ht="15.75" customHeight="1" x14ac:dyDescent="0.25">
      <c r="F157" s="2"/>
      <c r="G157" s="2"/>
      <c r="O157" s="2"/>
    </row>
    <row r="158" spans="6:15" ht="15.75" customHeight="1" x14ac:dyDescent="0.25">
      <c r="F158" s="2"/>
      <c r="G158" s="2"/>
      <c r="L158" s="3"/>
      <c r="O158" s="2"/>
    </row>
    <row r="159" spans="6:15" ht="15.75" customHeight="1" x14ac:dyDescent="0.25">
      <c r="F159" s="2"/>
      <c r="L159" s="3"/>
      <c r="O159" s="2"/>
    </row>
    <row r="160" spans="6:15" ht="15.75" customHeight="1" x14ac:dyDescent="0.25"/>
    <row r="161" customFormat="1" ht="15.75" customHeight="1" x14ac:dyDescent="0.25"/>
    <row r="162" customFormat="1" ht="15.75" customHeight="1" x14ac:dyDescent="0.25"/>
    <row r="163" customFormat="1" ht="15.75" customHeight="1" x14ac:dyDescent="0.25"/>
    <row r="164" customFormat="1" ht="15.75" customHeight="1" x14ac:dyDescent="0.25"/>
    <row r="165" customFormat="1" ht="15.75" customHeight="1" x14ac:dyDescent="0.25"/>
    <row r="166" customFormat="1" ht="15.75" customHeight="1" x14ac:dyDescent="0.25"/>
    <row r="167" customFormat="1" ht="15.75" customHeight="1" x14ac:dyDescent="0.25"/>
    <row r="168" customFormat="1" ht="15.75" customHeight="1" x14ac:dyDescent="0.25"/>
    <row r="169" customFormat="1" ht="15.75" customHeight="1" x14ac:dyDescent="0.25"/>
    <row r="170" customFormat="1" ht="15.75" customHeight="1" x14ac:dyDescent="0.25"/>
    <row r="171" customFormat="1" ht="15.75" customHeight="1" x14ac:dyDescent="0.25"/>
    <row r="172" customFormat="1" ht="15.75" customHeight="1" x14ac:dyDescent="0.25"/>
    <row r="173" customFormat="1" ht="15.75" customHeight="1" x14ac:dyDescent="0.25"/>
    <row r="174" customFormat="1" ht="15.75" customHeight="1" x14ac:dyDescent="0.25"/>
    <row r="175" customFormat="1" ht="15.75" customHeight="1" x14ac:dyDescent="0.25"/>
    <row r="176" customFormat="1" ht="15.75" customHeight="1" x14ac:dyDescent="0.25"/>
    <row r="177" customFormat="1" ht="15.75" customHeight="1" x14ac:dyDescent="0.25"/>
    <row r="178" customFormat="1" ht="15.75" customHeight="1" x14ac:dyDescent="0.25"/>
    <row r="179" customFormat="1" ht="15.75" customHeight="1" x14ac:dyDescent="0.25"/>
    <row r="180" customFormat="1" ht="15.75" customHeight="1" x14ac:dyDescent="0.25"/>
    <row r="181" customFormat="1" ht="15.75" customHeight="1" x14ac:dyDescent="0.25"/>
    <row r="182" customFormat="1" ht="15.75" customHeight="1" x14ac:dyDescent="0.25"/>
    <row r="183" customFormat="1" ht="15.75" customHeight="1" x14ac:dyDescent="0.25"/>
    <row r="184" customFormat="1" ht="15.75" customHeight="1" x14ac:dyDescent="0.25"/>
    <row r="185" customFormat="1" ht="15.75" customHeight="1" x14ac:dyDescent="0.25"/>
    <row r="186" customFormat="1" ht="15.75" customHeight="1" x14ac:dyDescent="0.25"/>
    <row r="187" customFormat="1" ht="15.75" customHeight="1" x14ac:dyDescent="0.25"/>
    <row r="188" customFormat="1" ht="15.75" customHeight="1" x14ac:dyDescent="0.25"/>
    <row r="189" customFormat="1" ht="15.75" customHeight="1" x14ac:dyDescent="0.25"/>
    <row r="190" customFormat="1" ht="15.75" customHeight="1" x14ac:dyDescent="0.25"/>
    <row r="191" customFormat="1" ht="15.75" customHeight="1" x14ac:dyDescent="0.25"/>
    <row r="192" customFormat="1" ht="15.75" customHeight="1" x14ac:dyDescent="0.25"/>
    <row r="193" customFormat="1" ht="15.75" customHeight="1" x14ac:dyDescent="0.25"/>
    <row r="194" customFormat="1" ht="15.75" customHeight="1" x14ac:dyDescent="0.25"/>
    <row r="195" customFormat="1" ht="15.75" customHeight="1" x14ac:dyDescent="0.25"/>
    <row r="196" customFormat="1" ht="15.75" customHeight="1" x14ac:dyDescent="0.25"/>
    <row r="197" customFormat="1" ht="15.75" customHeight="1" x14ac:dyDescent="0.25"/>
    <row r="198" customFormat="1" ht="15.75" customHeight="1" x14ac:dyDescent="0.25"/>
    <row r="199" customFormat="1" ht="15.75" customHeight="1" x14ac:dyDescent="0.25"/>
    <row r="200" customFormat="1" ht="15.75" customHeight="1" x14ac:dyDescent="0.25"/>
    <row r="201" customFormat="1" ht="15.75" customHeight="1" x14ac:dyDescent="0.25"/>
    <row r="202" customFormat="1" ht="15.75" customHeight="1" x14ac:dyDescent="0.25"/>
    <row r="203" customFormat="1" ht="15.75" customHeight="1" x14ac:dyDescent="0.25"/>
    <row r="204" customFormat="1" ht="15.75" customHeight="1" x14ac:dyDescent="0.25"/>
    <row r="205" customFormat="1" ht="15.75" customHeight="1" x14ac:dyDescent="0.25"/>
    <row r="206" customFormat="1" ht="15.75" customHeight="1" x14ac:dyDescent="0.25"/>
    <row r="207" customFormat="1" ht="15.75" customHeight="1" x14ac:dyDescent="0.25"/>
    <row r="208" customFormat="1" ht="15.75" customHeight="1" x14ac:dyDescent="0.25"/>
    <row r="209" customFormat="1" ht="15.75" customHeight="1" x14ac:dyDescent="0.25"/>
    <row r="210" customFormat="1" ht="15.75" customHeight="1" x14ac:dyDescent="0.25"/>
    <row r="211" customFormat="1" ht="15.75" customHeight="1" x14ac:dyDescent="0.25"/>
    <row r="212" customFormat="1" ht="15.75" customHeight="1" x14ac:dyDescent="0.25"/>
    <row r="213" customFormat="1" ht="15.75" customHeight="1" x14ac:dyDescent="0.25"/>
    <row r="214" customFormat="1" ht="15.75" customHeight="1" x14ac:dyDescent="0.25"/>
    <row r="215" customFormat="1" ht="15.75" customHeight="1" x14ac:dyDescent="0.25"/>
    <row r="216" customFormat="1" ht="15.75" customHeight="1" x14ac:dyDescent="0.25"/>
    <row r="217" customFormat="1" ht="15.75" customHeight="1" x14ac:dyDescent="0.25"/>
    <row r="218" customFormat="1" ht="15.75" customHeight="1" x14ac:dyDescent="0.25"/>
    <row r="219" customFormat="1" ht="15.75" customHeight="1" x14ac:dyDescent="0.25"/>
    <row r="220" customFormat="1" ht="15.75" customHeight="1" x14ac:dyDescent="0.25"/>
    <row r="221" customFormat="1" ht="15.75" customHeight="1" x14ac:dyDescent="0.25"/>
    <row r="222" customFormat="1" ht="15.75" customHeight="1" x14ac:dyDescent="0.25"/>
    <row r="223" customFormat="1" ht="15.75" customHeight="1" x14ac:dyDescent="0.25"/>
    <row r="224" customFormat="1" ht="15.75" customHeight="1" x14ac:dyDescent="0.25"/>
    <row r="225" customFormat="1" ht="15.75" customHeight="1" x14ac:dyDescent="0.25"/>
    <row r="226" customFormat="1" ht="15.75" customHeight="1" x14ac:dyDescent="0.25"/>
    <row r="227" customFormat="1" ht="15.75" customHeight="1" x14ac:dyDescent="0.25"/>
    <row r="228" customFormat="1" ht="15.75" customHeight="1" x14ac:dyDescent="0.25"/>
    <row r="229" customFormat="1" ht="15.75" customHeight="1" x14ac:dyDescent="0.25"/>
    <row r="230" customFormat="1" ht="15.75" customHeight="1" x14ac:dyDescent="0.25"/>
    <row r="231" customFormat="1" ht="15.75" customHeight="1" x14ac:dyDescent="0.25"/>
    <row r="232" customFormat="1" ht="15.75" customHeight="1" x14ac:dyDescent="0.25"/>
    <row r="233" customFormat="1" ht="15.75" customHeight="1" x14ac:dyDescent="0.25"/>
    <row r="234" customFormat="1" ht="15.75" customHeight="1" x14ac:dyDescent="0.25"/>
    <row r="235" customFormat="1" ht="15.75" customHeight="1" x14ac:dyDescent="0.25"/>
    <row r="236" customFormat="1" ht="15.75" customHeight="1" x14ac:dyDescent="0.25"/>
    <row r="237" customFormat="1" ht="15.75" customHeight="1" x14ac:dyDescent="0.25"/>
    <row r="238" customFormat="1" ht="15.75" customHeight="1" x14ac:dyDescent="0.25"/>
    <row r="239" customFormat="1" ht="15.75" customHeight="1" x14ac:dyDescent="0.25"/>
    <row r="240" customFormat="1" ht="15.75" customHeight="1" x14ac:dyDescent="0.25"/>
    <row r="241" customFormat="1" ht="15.75" customHeight="1" x14ac:dyDescent="0.25"/>
    <row r="242" customFormat="1" ht="15.75" customHeight="1" x14ac:dyDescent="0.25"/>
    <row r="243" customFormat="1" ht="15.75" customHeight="1" x14ac:dyDescent="0.25"/>
    <row r="244" customFormat="1" ht="15.75" customHeight="1" x14ac:dyDescent="0.25"/>
    <row r="245" customFormat="1" ht="15.75" customHeight="1" x14ac:dyDescent="0.25"/>
    <row r="246" customFormat="1" ht="15.75" customHeight="1" x14ac:dyDescent="0.25"/>
    <row r="247" customFormat="1" ht="15.75" customHeight="1" x14ac:dyDescent="0.25"/>
    <row r="248" customFormat="1" ht="15.75" customHeight="1" x14ac:dyDescent="0.25"/>
    <row r="249" customFormat="1" ht="15.7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  <row r="954" customFormat="1" ht="15.75" customHeight="1" x14ac:dyDescent="0.25"/>
    <row r="955" customFormat="1" ht="15.75" customHeight="1" x14ac:dyDescent="0.25"/>
    <row r="956" customFormat="1" ht="15.75" customHeight="1" x14ac:dyDescent="0.25"/>
    <row r="957" customFormat="1" ht="15.75" customHeight="1" x14ac:dyDescent="0.25"/>
    <row r="958" customFormat="1" ht="15.75" customHeight="1" x14ac:dyDescent="0.25"/>
    <row r="959" customFormat="1" ht="15.75" customHeight="1" x14ac:dyDescent="0.25"/>
    <row r="960" customFormat="1" ht="15.75" customHeight="1" x14ac:dyDescent="0.25"/>
    <row r="961" customFormat="1" ht="15.75" customHeight="1" x14ac:dyDescent="0.25"/>
    <row r="962" customFormat="1" ht="15.75" customHeight="1" x14ac:dyDescent="0.25"/>
    <row r="963" customFormat="1" ht="15.75" customHeight="1" x14ac:dyDescent="0.25"/>
    <row r="964" customFormat="1" ht="15.75" customHeight="1" x14ac:dyDescent="0.25"/>
    <row r="965" customFormat="1" ht="15.75" customHeight="1" x14ac:dyDescent="0.25"/>
    <row r="966" customFormat="1" ht="15.75" customHeight="1" x14ac:dyDescent="0.25"/>
    <row r="967" customFormat="1" ht="15.75" customHeight="1" x14ac:dyDescent="0.25"/>
    <row r="968" customFormat="1" ht="15.75" customHeight="1" x14ac:dyDescent="0.25"/>
    <row r="969" customFormat="1" ht="15.75" customHeight="1" x14ac:dyDescent="0.25"/>
    <row r="970" customFormat="1" ht="15.75" customHeight="1" x14ac:dyDescent="0.25"/>
    <row r="971" customFormat="1" ht="15.75" customHeight="1" x14ac:dyDescent="0.25"/>
    <row r="972" customFormat="1" ht="15.75" customHeight="1" x14ac:dyDescent="0.25"/>
    <row r="973" customFormat="1" ht="15.75" customHeight="1" x14ac:dyDescent="0.25"/>
    <row r="974" customFormat="1" ht="15.75" customHeight="1" x14ac:dyDescent="0.25"/>
    <row r="975" customFormat="1" ht="15.75" customHeight="1" x14ac:dyDescent="0.25"/>
    <row r="976" customFormat="1" ht="15.75" customHeight="1" x14ac:dyDescent="0.25"/>
    <row r="977" customFormat="1" ht="15.75" customHeight="1" x14ac:dyDescent="0.25"/>
    <row r="978" customFormat="1" ht="15.75" customHeight="1" x14ac:dyDescent="0.25"/>
    <row r="979" customFormat="1" ht="15.75" customHeight="1" x14ac:dyDescent="0.25"/>
    <row r="980" customFormat="1" ht="15.75" customHeight="1" x14ac:dyDescent="0.25"/>
    <row r="981" customFormat="1" ht="15.75" customHeight="1" x14ac:dyDescent="0.25"/>
    <row r="982" customFormat="1" ht="15.75" customHeight="1" x14ac:dyDescent="0.25"/>
    <row r="983" customFormat="1" ht="15.75" customHeight="1" x14ac:dyDescent="0.25"/>
    <row r="984" customFormat="1" ht="15.75" customHeight="1" x14ac:dyDescent="0.25"/>
    <row r="985" customFormat="1" ht="15.75" customHeight="1" x14ac:dyDescent="0.25"/>
    <row r="986" customFormat="1" ht="15.75" customHeight="1" x14ac:dyDescent="0.25"/>
    <row r="987" customFormat="1" ht="15.75" customHeight="1" x14ac:dyDescent="0.25"/>
    <row r="988" customFormat="1" ht="15.75" customHeight="1" x14ac:dyDescent="0.25"/>
    <row r="989" customFormat="1" ht="15.75" customHeight="1" x14ac:dyDescent="0.25"/>
    <row r="990" customFormat="1" ht="15.75" customHeight="1" x14ac:dyDescent="0.25"/>
    <row r="991" customFormat="1" ht="15.75" customHeight="1" x14ac:dyDescent="0.25"/>
    <row r="992" customFormat="1" ht="15.75" customHeight="1" x14ac:dyDescent="0.25"/>
    <row r="993" customFormat="1" ht="15.75" customHeight="1" x14ac:dyDescent="0.25"/>
    <row r="994" customFormat="1" ht="15.75" customHeight="1" x14ac:dyDescent="0.25"/>
    <row r="995" customFormat="1" ht="15.75" customHeight="1" x14ac:dyDescent="0.25"/>
    <row r="996" customFormat="1" ht="15.75" customHeight="1" x14ac:dyDescent="0.25"/>
    <row r="997" customFormat="1" ht="15.75" customHeight="1" x14ac:dyDescent="0.25"/>
    <row r="998" customFormat="1" ht="15.75" customHeight="1" x14ac:dyDescent="0.25"/>
    <row r="999" customFormat="1" ht="15.75" customHeight="1" x14ac:dyDescent="0.25"/>
    <row r="1000" customFormat="1" ht="15.75" customHeight="1" x14ac:dyDescent="0.25"/>
  </sheetData>
  <sortState xmlns:xlrd2="http://schemas.microsoft.com/office/spreadsheetml/2017/richdata2" ref="A2:P49">
    <sortCondition ref="C2:C49"/>
  </sortState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ADCE0-291F-45FF-987C-9A9A6AC67D75}">
  <dimension ref="A1:Q1000"/>
  <sheetViews>
    <sheetView workbookViewId="0">
      <selection activeCell="N10" sqref="N10"/>
    </sheetView>
  </sheetViews>
  <sheetFormatPr defaultColWidth="14.42578125" defaultRowHeight="15" x14ac:dyDescent="0.25"/>
  <cols>
    <col min="1" max="1" width="10.85546875" customWidth="1"/>
    <col min="2" max="2" width="30.140625" bestFit="1" customWidth="1"/>
    <col min="3" max="3" width="19.28515625" bestFit="1" customWidth="1"/>
    <col min="4" max="4" width="10.85546875" customWidth="1"/>
    <col min="5" max="5" width="19.42578125" bestFit="1" customWidth="1"/>
    <col min="6" max="6" width="28.28515625" bestFit="1" customWidth="1"/>
    <col min="7" max="7" width="23.7109375" bestFit="1" customWidth="1"/>
    <col min="8" max="8" width="16.42578125" bestFit="1" customWidth="1"/>
    <col min="9" max="9" width="16.28515625" bestFit="1" customWidth="1"/>
    <col min="10" max="10" width="7.28515625" customWidth="1"/>
    <col min="11" max="11" width="25.140625" bestFit="1" customWidth="1"/>
    <col min="12" max="14" width="8.7109375" customWidth="1"/>
    <col min="15" max="15" width="10" bestFit="1" customWidth="1"/>
    <col min="16" max="16" width="10.5703125" bestFit="1" customWidth="1"/>
    <col min="17" max="21" width="8.7109375" customWidth="1"/>
  </cols>
  <sheetData>
    <row r="1" spans="1:16" x14ac:dyDescent="0.25">
      <c r="A1" s="1" t="s">
        <v>3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</row>
    <row r="2" spans="1:16" x14ac:dyDescent="0.25">
      <c r="A2" s="1">
        <v>251754149</v>
      </c>
      <c r="B2" s="1" t="s">
        <v>112</v>
      </c>
      <c r="C2" s="1" t="s">
        <v>113</v>
      </c>
      <c r="D2" s="1">
        <v>251754149</v>
      </c>
      <c r="E2" s="2">
        <v>45881</v>
      </c>
      <c r="F2" s="1" t="s">
        <v>114</v>
      </c>
      <c r="G2" s="1" t="s">
        <v>115</v>
      </c>
      <c r="H2" s="3">
        <v>0.25</v>
      </c>
      <c r="I2" s="16">
        <v>16.25</v>
      </c>
      <c r="J2" s="1" t="s">
        <v>73</v>
      </c>
      <c r="K2" s="2">
        <v>46003</v>
      </c>
      <c r="N2" s="21" t="s">
        <v>128</v>
      </c>
      <c r="O2">
        <v>251815732</v>
      </c>
      <c r="P2" t="str">
        <f>VLOOKUP(O2,A:C,3,FALSE)</f>
        <v>Lynda Nagl</v>
      </c>
    </row>
    <row r="3" spans="1:16" x14ac:dyDescent="0.25">
      <c r="A3" s="1">
        <v>1095314</v>
      </c>
      <c r="B3" s="1" t="s">
        <v>80</v>
      </c>
      <c r="C3" s="1" t="s">
        <v>103</v>
      </c>
      <c r="D3" s="1">
        <v>1095314</v>
      </c>
      <c r="E3" s="2">
        <v>45770</v>
      </c>
      <c r="F3" s="1" t="s">
        <v>104</v>
      </c>
      <c r="G3" s="1" t="s">
        <v>105</v>
      </c>
      <c r="H3" s="3">
        <v>0.25</v>
      </c>
      <c r="I3" s="16">
        <v>41.44</v>
      </c>
      <c r="J3" s="1" t="s">
        <v>73</v>
      </c>
      <c r="K3" s="2">
        <v>46003</v>
      </c>
      <c r="N3" s="21" t="s">
        <v>129</v>
      </c>
      <c r="O3">
        <v>251817599</v>
      </c>
      <c r="P3" t="str">
        <f t="shared" ref="P3:P22" si="0">VLOOKUP(O3,A:C,3,FALSE)</f>
        <v>Sophie Muir</v>
      </c>
    </row>
    <row r="4" spans="1:16" x14ac:dyDescent="0.25">
      <c r="A4" s="1">
        <v>251827800</v>
      </c>
      <c r="B4" s="1" t="s">
        <v>57</v>
      </c>
      <c r="C4" s="1" t="s">
        <v>58</v>
      </c>
      <c r="D4" s="1">
        <v>251827800</v>
      </c>
      <c r="E4" s="2">
        <v>46023</v>
      </c>
      <c r="F4" s="1" t="s">
        <v>60</v>
      </c>
      <c r="G4" s="1" t="s">
        <v>61</v>
      </c>
      <c r="H4" s="3">
        <v>0.25</v>
      </c>
      <c r="I4" s="16">
        <v>42.5</v>
      </c>
      <c r="J4" s="1" t="s">
        <v>24</v>
      </c>
      <c r="N4" s="21" t="s">
        <v>130</v>
      </c>
      <c r="O4">
        <v>251817516</v>
      </c>
      <c r="P4" t="str">
        <f t="shared" si="0"/>
        <v>Robert Chinn</v>
      </c>
    </row>
    <row r="5" spans="1:16" x14ac:dyDescent="0.25">
      <c r="A5" s="1">
        <v>251818687</v>
      </c>
      <c r="B5" s="1" t="s">
        <v>97</v>
      </c>
      <c r="C5" s="1" t="s">
        <v>98</v>
      </c>
      <c r="D5" s="1">
        <v>251818687</v>
      </c>
      <c r="E5" s="2">
        <v>46029</v>
      </c>
      <c r="F5" s="1" t="s">
        <v>49</v>
      </c>
      <c r="G5" s="1" t="s">
        <v>50</v>
      </c>
      <c r="H5" s="3">
        <v>0.25</v>
      </c>
      <c r="I5" s="16">
        <v>46.25</v>
      </c>
      <c r="J5" s="1" t="s">
        <v>73</v>
      </c>
      <c r="K5" s="2">
        <v>46010</v>
      </c>
      <c r="N5" s="21" t="s">
        <v>131</v>
      </c>
      <c r="O5">
        <v>251811780</v>
      </c>
      <c r="P5" t="str">
        <f t="shared" si="0"/>
        <v>Jackson Carson</v>
      </c>
    </row>
    <row r="6" spans="1:16" x14ac:dyDescent="0.25">
      <c r="A6" s="1">
        <v>251812018</v>
      </c>
      <c r="B6" s="1" t="s">
        <v>45</v>
      </c>
      <c r="C6" s="1" t="s">
        <v>46</v>
      </c>
      <c r="D6" s="1">
        <v>251812018</v>
      </c>
      <c r="E6" s="2">
        <v>45988</v>
      </c>
      <c r="F6" s="1" t="s">
        <v>49</v>
      </c>
      <c r="G6" s="1" t="s">
        <v>50</v>
      </c>
      <c r="H6" s="3">
        <v>0.25</v>
      </c>
      <c r="I6" s="16">
        <v>46.25</v>
      </c>
      <c r="J6" s="1" t="s">
        <v>24</v>
      </c>
      <c r="N6" s="21" t="s">
        <v>132</v>
      </c>
      <c r="O6">
        <v>251811175</v>
      </c>
      <c r="P6" t="str">
        <f t="shared" si="0"/>
        <v>Angie Waters</v>
      </c>
    </row>
    <row r="7" spans="1:16" x14ac:dyDescent="0.25">
      <c r="A7" s="1">
        <v>251825133</v>
      </c>
      <c r="B7" s="1" t="s">
        <v>63</v>
      </c>
      <c r="C7" s="1" t="s">
        <v>71</v>
      </c>
      <c r="D7" s="1">
        <v>251825133</v>
      </c>
      <c r="E7" s="2">
        <v>46023</v>
      </c>
      <c r="F7" s="1" t="s">
        <v>72</v>
      </c>
      <c r="G7" s="1" t="s">
        <v>74</v>
      </c>
      <c r="H7" s="3">
        <v>0.25</v>
      </c>
      <c r="I7" s="16">
        <v>53.75</v>
      </c>
      <c r="J7" s="1" t="s">
        <v>73</v>
      </c>
      <c r="K7" s="2">
        <v>46010</v>
      </c>
      <c r="N7" t="s">
        <v>133</v>
      </c>
      <c r="O7">
        <v>251819685</v>
      </c>
      <c r="P7" t="str">
        <f t="shared" si="0"/>
        <v>Robyn Reinmann</v>
      </c>
    </row>
    <row r="8" spans="1:16" x14ac:dyDescent="0.25">
      <c r="A8" s="1">
        <v>251815536</v>
      </c>
      <c r="B8" s="1" t="s">
        <v>97</v>
      </c>
      <c r="C8" s="1" t="s">
        <v>108</v>
      </c>
      <c r="D8" s="1">
        <v>251815536</v>
      </c>
      <c r="E8" s="2">
        <v>46025</v>
      </c>
      <c r="F8" s="1" t="s">
        <v>72</v>
      </c>
      <c r="G8" s="1" t="s">
        <v>74</v>
      </c>
      <c r="H8" s="3">
        <v>0.25</v>
      </c>
      <c r="I8" s="16">
        <v>53.75</v>
      </c>
      <c r="J8" s="1" t="s">
        <v>73</v>
      </c>
      <c r="K8" s="2">
        <v>46003</v>
      </c>
      <c r="N8" s="21" t="s">
        <v>134</v>
      </c>
      <c r="O8">
        <v>251827800</v>
      </c>
      <c r="P8" t="str">
        <f t="shared" si="0"/>
        <v>Jonathan Aloff</v>
      </c>
    </row>
    <row r="9" spans="1:16" x14ac:dyDescent="0.25">
      <c r="A9" s="1">
        <v>1084508</v>
      </c>
      <c r="B9" s="1" t="s">
        <v>17</v>
      </c>
      <c r="C9" s="1" t="s">
        <v>76</v>
      </c>
      <c r="D9" s="1">
        <v>1084508</v>
      </c>
      <c r="E9" s="2">
        <v>45641</v>
      </c>
      <c r="F9" s="1" t="s">
        <v>77</v>
      </c>
      <c r="G9" s="1" t="s">
        <v>78</v>
      </c>
      <c r="H9" s="3">
        <v>0.25</v>
      </c>
      <c r="I9" s="16">
        <v>61.86</v>
      </c>
      <c r="J9" s="1" t="s">
        <v>73</v>
      </c>
      <c r="K9" s="2">
        <v>46010</v>
      </c>
      <c r="N9" s="21" t="s">
        <v>135</v>
      </c>
      <c r="O9">
        <v>251826288</v>
      </c>
      <c r="P9" t="str">
        <f t="shared" si="0"/>
        <v>Raci Evans</v>
      </c>
    </row>
    <row r="10" spans="1:16" x14ac:dyDescent="0.25">
      <c r="A10" s="1">
        <v>251811175</v>
      </c>
      <c r="B10" s="1" t="s">
        <v>17</v>
      </c>
      <c r="C10" s="1" t="s">
        <v>41</v>
      </c>
      <c r="D10" s="1">
        <v>251811175</v>
      </c>
      <c r="E10" s="2">
        <v>46023</v>
      </c>
      <c r="F10" s="1" t="s">
        <v>42</v>
      </c>
      <c r="G10" s="1" t="s">
        <v>43</v>
      </c>
      <c r="H10" s="3">
        <v>0.25</v>
      </c>
      <c r="I10" s="16">
        <v>81.25</v>
      </c>
      <c r="J10" s="1" t="s">
        <v>24</v>
      </c>
      <c r="N10" s="21" t="s">
        <v>136</v>
      </c>
      <c r="O10">
        <v>251825730</v>
      </c>
      <c r="P10" t="str">
        <f t="shared" si="0"/>
        <v>Diana Moon</v>
      </c>
    </row>
    <row r="11" spans="1:16" x14ac:dyDescent="0.25">
      <c r="A11" s="1">
        <v>251823686</v>
      </c>
      <c r="B11" s="1" t="s">
        <v>82</v>
      </c>
      <c r="C11" s="1" t="s">
        <v>83</v>
      </c>
      <c r="D11" s="1">
        <v>251823686</v>
      </c>
      <c r="E11" s="2">
        <v>46023</v>
      </c>
      <c r="F11" s="1" t="s">
        <v>84</v>
      </c>
      <c r="G11" s="1" t="s">
        <v>85</v>
      </c>
      <c r="H11" s="3">
        <v>0.25</v>
      </c>
      <c r="I11" s="16">
        <v>87.5</v>
      </c>
      <c r="J11" s="1" t="s">
        <v>73</v>
      </c>
      <c r="K11" s="2">
        <v>46010</v>
      </c>
      <c r="N11" s="21" t="s">
        <v>137</v>
      </c>
      <c r="O11">
        <v>251825133</v>
      </c>
      <c r="P11" t="str">
        <f t="shared" si="0"/>
        <v>Hannah Minton</v>
      </c>
    </row>
    <row r="12" spans="1:16" x14ac:dyDescent="0.25">
      <c r="A12" s="1">
        <v>251811175</v>
      </c>
      <c r="B12" s="1" t="s">
        <v>17</v>
      </c>
      <c r="C12" s="1" t="s">
        <v>41</v>
      </c>
      <c r="D12" s="1">
        <v>251811175</v>
      </c>
      <c r="E12" s="2">
        <v>46023</v>
      </c>
      <c r="F12" s="1" t="s">
        <v>42</v>
      </c>
      <c r="G12" s="1" t="s">
        <v>42</v>
      </c>
      <c r="H12" s="1" t="s">
        <v>23</v>
      </c>
      <c r="I12" s="16">
        <v>100</v>
      </c>
      <c r="J12" s="1" t="s">
        <v>24</v>
      </c>
      <c r="N12" s="21" t="s">
        <v>138</v>
      </c>
      <c r="O12">
        <v>251824128</v>
      </c>
      <c r="P12" t="str">
        <f t="shared" si="0"/>
        <v>Mary Yunker</v>
      </c>
    </row>
    <row r="13" spans="1:16" x14ac:dyDescent="0.25">
      <c r="A13" s="1">
        <v>251819791</v>
      </c>
      <c r="B13" s="1" t="s">
        <v>63</v>
      </c>
      <c r="C13" s="1" t="s">
        <v>93</v>
      </c>
      <c r="D13" s="1">
        <v>251819791</v>
      </c>
      <c r="E13" s="2">
        <v>46023</v>
      </c>
      <c r="F13" s="1" t="s">
        <v>94</v>
      </c>
      <c r="G13" s="1" t="s">
        <v>94</v>
      </c>
      <c r="H13" s="1" t="s">
        <v>23</v>
      </c>
      <c r="I13" s="16">
        <v>100</v>
      </c>
      <c r="J13" s="1" t="s">
        <v>73</v>
      </c>
      <c r="K13" s="2">
        <v>46010</v>
      </c>
      <c r="N13" s="21" t="s">
        <v>139</v>
      </c>
      <c r="O13">
        <v>251823686</v>
      </c>
      <c r="P13" t="str">
        <f t="shared" si="0"/>
        <v>Linda Massa</v>
      </c>
    </row>
    <row r="14" spans="1:16" x14ac:dyDescent="0.25">
      <c r="A14" s="1">
        <v>251825730</v>
      </c>
      <c r="B14" s="1" t="s">
        <v>63</v>
      </c>
      <c r="C14" s="1" t="s">
        <v>68</v>
      </c>
      <c r="D14" s="1">
        <v>251825730</v>
      </c>
      <c r="E14" s="2">
        <v>46023</v>
      </c>
      <c r="F14" s="1" t="s">
        <v>69</v>
      </c>
      <c r="G14" s="1" t="s">
        <v>69</v>
      </c>
      <c r="H14" s="1" t="s">
        <v>23</v>
      </c>
      <c r="I14" s="16">
        <v>100</v>
      </c>
      <c r="J14" s="1" t="s">
        <v>24</v>
      </c>
      <c r="N14" t="s">
        <v>140</v>
      </c>
      <c r="O14">
        <v>251823603</v>
      </c>
      <c r="P14" t="str">
        <f t="shared" si="0"/>
        <v>James Quaid</v>
      </c>
    </row>
    <row r="15" spans="1:16" x14ac:dyDescent="0.25">
      <c r="A15" s="1">
        <v>251825133</v>
      </c>
      <c r="B15" s="1" t="s">
        <v>63</v>
      </c>
      <c r="C15" s="1" t="s">
        <v>71</v>
      </c>
      <c r="D15" s="1">
        <v>251825133</v>
      </c>
      <c r="E15" s="2">
        <v>46023</v>
      </c>
      <c r="F15" s="1" t="s">
        <v>72</v>
      </c>
      <c r="G15" s="1" t="s">
        <v>72</v>
      </c>
      <c r="H15" s="1" t="s">
        <v>23</v>
      </c>
      <c r="I15" s="16">
        <v>100</v>
      </c>
      <c r="J15" s="1" t="s">
        <v>73</v>
      </c>
      <c r="K15" s="2">
        <v>46010</v>
      </c>
      <c r="N15" s="21" t="s">
        <v>141</v>
      </c>
      <c r="O15">
        <v>251822171</v>
      </c>
      <c r="P15" t="str">
        <f t="shared" si="0"/>
        <v>Rebecca Byrd</v>
      </c>
    </row>
    <row r="16" spans="1:16" x14ac:dyDescent="0.25">
      <c r="A16" s="1">
        <v>251811780</v>
      </c>
      <c r="B16" s="1" t="s">
        <v>17</v>
      </c>
      <c r="C16" s="1" t="s">
        <v>36</v>
      </c>
      <c r="D16" s="1">
        <v>251811780</v>
      </c>
      <c r="E16" s="2">
        <v>46023</v>
      </c>
      <c r="F16" s="1" t="s">
        <v>38</v>
      </c>
      <c r="G16" s="1" t="s">
        <v>38</v>
      </c>
      <c r="H16" s="1" t="s">
        <v>23</v>
      </c>
      <c r="I16" s="16">
        <v>100</v>
      </c>
      <c r="J16" s="1" t="s">
        <v>24</v>
      </c>
      <c r="N16" s="21" t="s">
        <v>142</v>
      </c>
      <c r="O16">
        <v>251821747</v>
      </c>
      <c r="P16" t="str">
        <f t="shared" si="0"/>
        <v>Marta Rhyner</v>
      </c>
    </row>
    <row r="17" spans="1:17" x14ac:dyDescent="0.25">
      <c r="A17" s="1">
        <v>251823603</v>
      </c>
      <c r="B17" s="1" t="s">
        <v>52</v>
      </c>
      <c r="C17" s="1" t="s">
        <v>87</v>
      </c>
      <c r="D17" s="1">
        <v>251823603</v>
      </c>
      <c r="E17" s="2">
        <v>46023</v>
      </c>
      <c r="F17" s="1" t="s">
        <v>33</v>
      </c>
      <c r="G17" s="1" t="s">
        <v>33</v>
      </c>
      <c r="H17" s="1" t="s">
        <v>23</v>
      </c>
      <c r="I17" s="16">
        <v>100</v>
      </c>
      <c r="J17" s="1" t="s">
        <v>73</v>
      </c>
      <c r="K17" s="2">
        <v>46010</v>
      </c>
      <c r="N17" s="21" t="s">
        <v>143</v>
      </c>
      <c r="O17">
        <v>251819791</v>
      </c>
      <c r="P17" t="str">
        <f t="shared" si="0"/>
        <v>Brian Riley</v>
      </c>
    </row>
    <row r="18" spans="1:17" x14ac:dyDescent="0.25">
      <c r="A18" s="1">
        <v>251827800</v>
      </c>
      <c r="B18" s="1" t="s">
        <v>57</v>
      </c>
      <c r="C18" s="1" t="s">
        <v>58</v>
      </c>
      <c r="D18" s="1">
        <v>251827800</v>
      </c>
      <c r="E18" s="2">
        <v>46023</v>
      </c>
      <c r="F18" s="1" t="s">
        <v>60</v>
      </c>
      <c r="G18" s="1" t="s">
        <v>60</v>
      </c>
      <c r="H18" s="1" t="s">
        <v>23</v>
      </c>
      <c r="I18" s="16">
        <v>100</v>
      </c>
      <c r="J18" s="1" t="s">
        <v>24</v>
      </c>
      <c r="N18" s="21" t="s">
        <v>144</v>
      </c>
      <c r="O18">
        <v>251819194</v>
      </c>
      <c r="P18" t="str">
        <f t="shared" si="0"/>
        <v>Roman Prunczak</v>
      </c>
    </row>
    <row r="19" spans="1:17" x14ac:dyDescent="0.25">
      <c r="A19" s="1">
        <v>251815536</v>
      </c>
      <c r="B19" s="1" t="s">
        <v>97</v>
      </c>
      <c r="C19" s="1" t="s">
        <v>108</v>
      </c>
      <c r="D19" s="1">
        <v>251815536</v>
      </c>
      <c r="E19" s="2">
        <v>46025</v>
      </c>
      <c r="F19" s="1" t="s">
        <v>72</v>
      </c>
      <c r="G19" s="1" t="s">
        <v>72</v>
      </c>
      <c r="H19" s="1" t="s">
        <v>23</v>
      </c>
      <c r="I19" s="16">
        <v>100</v>
      </c>
      <c r="J19" s="1" t="s">
        <v>73</v>
      </c>
      <c r="K19" s="2">
        <v>46003</v>
      </c>
      <c r="N19" s="21" t="s">
        <v>145</v>
      </c>
      <c r="O19">
        <v>251818441</v>
      </c>
      <c r="P19" t="str">
        <f t="shared" si="0"/>
        <v>Parker Meskimen</v>
      </c>
    </row>
    <row r="20" spans="1:17" x14ac:dyDescent="0.25">
      <c r="A20" s="1">
        <v>251823686</v>
      </c>
      <c r="B20" s="1" t="s">
        <v>82</v>
      </c>
      <c r="C20" s="1" t="s">
        <v>83</v>
      </c>
      <c r="D20" s="1">
        <v>251823686</v>
      </c>
      <c r="E20" s="2">
        <v>46023</v>
      </c>
      <c r="F20" s="1" t="s">
        <v>84</v>
      </c>
      <c r="G20" s="1" t="s">
        <v>84</v>
      </c>
      <c r="H20" s="1" t="s">
        <v>23</v>
      </c>
      <c r="I20" s="16">
        <v>100</v>
      </c>
      <c r="J20" s="1" t="s">
        <v>73</v>
      </c>
      <c r="K20" s="2">
        <v>46010</v>
      </c>
      <c r="N20" t="s">
        <v>146</v>
      </c>
      <c r="O20">
        <v>251816500</v>
      </c>
      <c r="P20" t="str">
        <f t="shared" si="0"/>
        <v>Randy Tornquist</v>
      </c>
    </row>
    <row r="21" spans="1:17" ht="15.75" customHeight="1" x14ac:dyDescent="0.25">
      <c r="A21" s="1">
        <v>251815732</v>
      </c>
      <c r="B21" s="1" t="s">
        <v>17</v>
      </c>
      <c r="C21" s="1" t="s">
        <v>18</v>
      </c>
      <c r="D21" s="1">
        <v>251815732</v>
      </c>
      <c r="E21" s="2">
        <v>46023</v>
      </c>
      <c r="F21" s="1" t="s">
        <v>22</v>
      </c>
      <c r="G21" s="1" t="s">
        <v>22</v>
      </c>
      <c r="H21" s="1" t="s">
        <v>23</v>
      </c>
      <c r="I21" s="16">
        <v>100</v>
      </c>
      <c r="J21" s="1" t="s">
        <v>24</v>
      </c>
      <c r="N21" s="21" t="s">
        <v>147</v>
      </c>
      <c r="O21">
        <v>251815536</v>
      </c>
      <c r="P21" t="str">
        <f t="shared" si="0"/>
        <v>Kylie Lenschow</v>
      </c>
    </row>
    <row r="22" spans="1:17" ht="15.75" customHeight="1" x14ac:dyDescent="0.25">
      <c r="A22" s="12">
        <v>251821747</v>
      </c>
      <c r="B22" s="12" t="s">
        <v>80</v>
      </c>
      <c r="C22" s="12" t="s">
        <v>92</v>
      </c>
      <c r="D22" s="12">
        <v>251821747</v>
      </c>
      <c r="E22" s="13">
        <v>46023</v>
      </c>
      <c r="F22" s="12" t="s">
        <v>89</v>
      </c>
      <c r="G22" s="12" t="s">
        <v>89</v>
      </c>
      <c r="H22" s="12" t="s">
        <v>23</v>
      </c>
      <c r="I22" s="17">
        <v>100</v>
      </c>
      <c r="J22" s="12" t="s">
        <v>73</v>
      </c>
      <c r="K22" s="13">
        <v>46010</v>
      </c>
      <c r="L22" s="14"/>
      <c r="M22" s="14"/>
      <c r="N22" s="21" t="s">
        <v>148</v>
      </c>
      <c r="O22">
        <v>251815544</v>
      </c>
      <c r="P22" t="str">
        <f t="shared" si="0"/>
        <v>Melinda Galeaz</v>
      </c>
      <c r="Q22" s="14"/>
    </row>
    <row r="23" spans="1:17" ht="15.75" customHeight="1" x14ac:dyDescent="0.25">
      <c r="A23" s="1">
        <v>251824128</v>
      </c>
      <c r="B23" s="1" t="s">
        <v>80</v>
      </c>
      <c r="C23" s="1" t="s">
        <v>81</v>
      </c>
      <c r="D23" s="1">
        <v>251824128</v>
      </c>
      <c r="E23" s="2">
        <v>46023</v>
      </c>
      <c r="F23" s="1" t="s">
        <v>33</v>
      </c>
      <c r="G23" s="1" t="s">
        <v>33</v>
      </c>
      <c r="H23" s="1" t="s">
        <v>23</v>
      </c>
      <c r="I23" s="16">
        <v>100</v>
      </c>
      <c r="J23" s="1" t="s">
        <v>73</v>
      </c>
      <c r="K23" s="2">
        <v>46010</v>
      </c>
    </row>
    <row r="24" spans="1:17" ht="15.75" customHeight="1" x14ac:dyDescent="0.25">
      <c r="A24" s="1">
        <v>251815544</v>
      </c>
      <c r="B24" s="1" t="s">
        <v>63</v>
      </c>
      <c r="C24" s="1" t="s">
        <v>107</v>
      </c>
      <c r="D24" s="1">
        <v>251815544</v>
      </c>
      <c r="E24" s="2">
        <v>46025</v>
      </c>
      <c r="F24" s="1" t="s">
        <v>33</v>
      </c>
      <c r="G24" s="1" t="s">
        <v>33</v>
      </c>
      <c r="H24" s="1" t="s">
        <v>23</v>
      </c>
      <c r="I24" s="16">
        <v>100</v>
      </c>
      <c r="J24" s="1" t="s">
        <v>73</v>
      </c>
      <c r="K24" s="2">
        <v>46003</v>
      </c>
    </row>
    <row r="25" spans="1:17" ht="15.75" customHeight="1" x14ac:dyDescent="0.25">
      <c r="A25" s="1">
        <v>251818441</v>
      </c>
      <c r="B25" s="1" t="s">
        <v>63</v>
      </c>
      <c r="C25" s="1" t="s">
        <v>102</v>
      </c>
      <c r="D25" s="1">
        <v>251818441</v>
      </c>
      <c r="E25" s="2">
        <v>46023</v>
      </c>
      <c r="F25" s="1" t="s">
        <v>69</v>
      </c>
      <c r="G25" s="1" t="s">
        <v>69</v>
      </c>
      <c r="H25" s="1" t="s">
        <v>23</v>
      </c>
      <c r="I25" s="16">
        <v>100</v>
      </c>
      <c r="J25" s="1" t="s">
        <v>73</v>
      </c>
      <c r="K25" s="2">
        <v>46010</v>
      </c>
    </row>
    <row r="26" spans="1:17" s="14" customFormat="1" ht="15.75" customHeight="1" x14ac:dyDescent="0.25">
      <c r="A26" s="1">
        <v>251826288</v>
      </c>
      <c r="B26" s="1" t="s">
        <v>63</v>
      </c>
      <c r="C26" s="1" t="s">
        <v>64</v>
      </c>
      <c r="D26" s="1">
        <v>251826288</v>
      </c>
      <c r="E26" s="2">
        <v>46023</v>
      </c>
      <c r="F26" s="1" t="s">
        <v>65</v>
      </c>
      <c r="G26" s="1" t="s">
        <v>65</v>
      </c>
      <c r="H26" s="1" t="s">
        <v>23</v>
      </c>
      <c r="I26" s="16">
        <v>100</v>
      </c>
      <c r="J26" s="1" t="s">
        <v>24</v>
      </c>
      <c r="K26"/>
      <c r="L26"/>
      <c r="M26"/>
      <c r="N26"/>
      <c r="O26"/>
      <c r="P26"/>
      <c r="Q26"/>
    </row>
    <row r="27" spans="1:17" s="14" customFormat="1" ht="15.75" customHeight="1" x14ac:dyDescent="0.25">
      <c r="A27" s="1">
        <v>251816500</v>
      </c>
      <c r="B27" s="1" t="s">
        <v>63</v>
      </c>
      <c r="C27" s="1" t="s">
        <v>109</v>
      </c>
      <c r="D27" s="1">
        <v>251816500</v>
      </c>
      <c r="E27" s="2">
        <v>46023</v>
      </c>
      <c r="F27" s="1" t="s">
        <v>38</v>
      </c>
      <c r="G27" s="1" t="s">
        <v>38</v>
      </c>
      <c r="H27" s="1" t="s">
        <v>23</v>
      </c>
      <c r="I27" s="16">
        <v>100</v>
      </c>
      <c r="J27" s="1" t="s">
        <v>73</v>
      </c>
      <c r="K27" s="2">
        <v>46003</v>
      </c>
      <c r="L27"/>
      <c r="M27"/>
      <c r="N27"/>
      <c r="O27"/>
      <c r="P27"/>
      <c r="Q27"/>
    </row>
    <row r="28" spans="1:17" ht="15.75" customHeight="1" x14ac:dyDescent="0.25">
      <c r="A28" s="1">
        <v>251822171</v>
      </c>
      <c r="B28" s="1" t="s">
        <v>63</v>
      </c>
      <c r="C28" s="1" t="s">
        <v>88</v>
      </c>
      <c r="D28" s="1">
        <v>251822171</v>
      </c>
      <c r="E28" s="2">
        <v>46023</v>
      </c>
      <c r="F28" s="1" t="s">
        <v>89</v>
      </c>
      <c r="G28" s="1" t="s">
        <v>89</v>
      </c>
      <c r="H28" s="1" t="s">
        <v>23</v>
      </c>
      <c r="I28" s="16">
        <v>100</v>
      </c>
      <c r="J28" s="1" t="s">
        <v>73</v>
      </c>
      <c r="K28" s="2">
        <v>46010</v>
      </c>
    </row>
    <row r="29" spans="1:17" ht="15.75" customHeight="1" x14ac:dyDescent="0.25">
      <c r="A29" s="1">
        <v>251817516</v>
      </c>
      <c r="B29" s="1" t="s">
        <v>17</v>
      </c>
      <c r="C29" s="1" t="s">
        <v>32</v>
      </c>
      <c r="D29" s="1">
        <v>251817516</v>
      </c>
      <c r="E29" s="2">
        <v>46023</v>
      </c>
      <c r="F29" s="1" t="s">
        <v>33</v>
      </c>
      <c r="G29" s="1" t="s">
        <v>33</v>
      </c>
      <c r="H29" s="1" t="s">
        <v>23</v>
      </c>
      <c r="I29" s="16">
        <v>100</v>
      </c>
      <c r="J29" s="1" t="s">
        <v>24</v>
      </c>
    </row>
    <row r="30" spans="1:17" ht="15.75" customHeight="1" x14ac:dyDescent="0.25">
      <c r="A30" s="1">
        <v>251819685</v>
      </c>
      <c r="B30" s="1" t="s">
        <v>52</v>
      </c>
      <c r="C30" s="1" t="s">
        <v>53</v>
      </c>
      <c r="D30" s="1">
        <v>251819685</v>
      </c>
      <c r="E30" s="2">
        <v>46023</v>
      </c>
      <c r="F30" s="1" t="s">
        <v>54</v>
      </c>
      <c r="G30" s="1" t="s">
        <v>54</v>
      </c>
      <c r="H30" s="1" t="s">
        <v>23</v>
      </c>
      <c r="I30" s="16">
        <v>100</v>
      </c>
      <c r="J30" s="1" t="s">
        <v>24</v>
      </c>
    </row>
    <row r="31" spans="1:17" ht="15.75" customHeight="1" x14ac:dyDescent="0.25">
      <c r="A31" s="1">
        <v>251819194</v>
      </c>
      <c r="B31" s="1" t="s">
        <v>80</v>
      </c>
      <c r="C31" s="1" t="s">
        <v>101</v>
      </c>
      <c r="D31" s="1">
        <v>251819194</v>
      </c>
      <c r="E31" s="2">
        <v>46024</v>
      </c>
      <c r="F31" s="1" t="s">
        <v>33</v>
      </c>
      <c r="G31" s="1" t="s">
        <v>33</v>
      </c>
      <c r="H31" s="1" t="s">
        <v>23</v>
      </c>
      <c r="I31" s="16">
        <v>100</v>
      </c>
      <c r="J31" s="1" t="s">
        <v>73</v>
      </c>
      <c r="K31" s="2">
        <v>46010</v>
      </c>
    </row>
    <row r="32" spans="1:17" ht="15.75" customHeight="1" x14ac:dyDescent="0.25">
      <c r="A32" s="1">
        <v>251817599</v>
      </c>
      <c r="B32" s="1" t="s">
        <v>17</v>
      </c>
      <c r="C32" s="1" t="s">
        <v>27</v>
      </c>
      <c r="D32" s="1">
        <v>251817599</v>
      </c>
      <c r="E32" s="2">
        <v>46023</v>
      </c>
      <c r="F32" s="1" t="s">
        <v>29</v>
      </c>
      <c r="G32" s="1" t="s">
        <v>29</v>
      </c>
      <c r="H32" s="1" t="s">
        <v>23</v>
      </c>
      <c r="I32" s="16">
        <v>100</v>
      </c>
      <c r="J32" s="1" t="s">
        <v>24</v>
      </c>
    </row>
    <row r="33" spans="1:17" ht="15.75" customHeight="1" x14ac:dyDescent="0.25">
      <c r="A33" s="1">
        <v>251826288</v>
      </c>
      <c r="B33" s="1" t="s">
        <v>63</v>
      </c>
      <c r="C33" s="1" t="s">
        <v>64</v>
      </c>
      <c r="D33" s="1">
        <v>251826288</v>
      </c>
      <c r="E33" s="2">
        <v>46023</v>
      </c>
      <c r="F33" s="1" t="s">
        <v>65</v>
      </c>
      <c r="G33" s="1" t="s">
        <v>66</v>
      </c>
      <c r="H33" s="3">
        <v>0.25</v>
      </c>
      <c r="I33" s="16">
        <v>105</v>
      </c>
      <c r="J33" s="1" t="s">
        <v>24</v>
      </c>
    </row>
    <row r="34" spans="1:17" ht="15.75" customHeight="1" x14ac:dyDescent="0.25">
      <c r="A34" s="1">
        <v>251818343</v>
      </c>
      <c r="B34" s="1" t="s">
        <v>97</v>
      </c>
      <c r="C34" s="1" t="s">
        <v>99</v>
      </c>
      <c r="D34" s="1">
        <v>251818343</v>
      </c>
      <c r="E34" s="2">
        <v>46029</v>
      </c>
      <c r="F34" s="1" t="s">
        <v>65</v>
      </c>
      <c r="G34" s="1" t="s">
        <v>25</v>
      </c>
      <c r="H34" s="3">
        <v>0.25</v>
      </c>
      <c r="I34" s="16">
        <v>107.5</v>
      </c>
      <c r="J34" s="1" t="s">
        <v>73</v>
      </c>
      <c r="K34" s="2">
        <v>46010</v>
      </c>
    </row>
    <row r="35" spans="1:17" ht="15.75" customHeight="1" x14ac:dyDescent="0.25">
      <c r="A35" s="1">
        <v>251815732</v>
      </c>
      <c r="B35" s="1" t="s">
        <v>17</v>
      </c>
      <c r="C35" s="1" t="s">
        <v>18</v>
      </c>
      <c r="D35" s="1">
        <v>251815732</v>
      </c>
      <c r="E35" s="2">
        <v>46023</v>
      </c>
      <c r="F35" s="1" t="s">
        <v>22</v>
      </c>
      <c r="G35" s="1" t="s">
        <v>25</v>
      </c>
      <c r="H35" s="3">
        <v>0.25</v>
      </c>
      <c r="I35" s="16">
        <v>107.5</v>
      </c>
      <c r="J35" s="1" t="s">
        <v>24</v>
      </c>
    </row>
    <row r="36" spans="1:17" ht="15.75" customHeight="1" x14ac:dyDescent="0.25">
      <c r="A36" s="1">
        <v>251816500</v>
      </c>
      <c r="B36" s="1" t="s">
        <v>63</v>
      </c>
      <c r="C36" s="1" t="s">
        <v>109</v>
      </c>
      <c r="D36" s="1">
        <v>251816500</v>
      </c>
      <c r="E36" s="2">
        <v>46023</v>
      </c>
      <c r="F36" s="1" t="s">
        <v>38</v>
      </c>
      <c r="G36" s="1" t="s">
        <v>110</v>
      </c>
      <c r="H36" s="3">
        <v>0.25</v>
      </c>
      <c r="I36" s="16">
        <v>122.5</v>
      </c>
      <c r="J36" s="1" t="s">
        <v>73</v>
      </c>
      <c r="K36" s="2">
        <v>46003</v>
      </c>
    </row>
    <row r="37" spans="1:17" ht="15.75" customHeight="1" x14ac:dyDescent="0.25">
      <c r="A37" s="1">
        <v>251811780</v>
      </c>
      <c r="B37" s="1" t="s">
        <v>17</v>
      </c>
      <c r="C37" s="1" t="s">
        <v>36</v>
      </c>
      <c r="D37" s="1">
        <v>251811780</v>
      </c>
      <c r="E37" s="2">
        <v>46023</v>
      </c>
      <c r="F37" s="1" t="s">
        <v>38</v>
      </c>
      <c r="G37" s="1" t="s">
        <v>39</v>
      </c>
      <c r="H37" s="3">
        <v>0.25</v>
      </c>
      <c r="I37" s="16">
        <v>125</v>
      </c>
      <c r="J37" s="1" t="s">
        <v>24</v>
      </c>
    </row>
    <row r="38" spans="1:17" ht="15.75" customHeight="1" x14ac:dyDescent="0.25">
      <c r="A38" s="1">
        <v>251823603</v>
      </c>
      <c r="B38" s="1" t="s">
        <v>52</v>
      </c>
      <c r="C38" s="1" t="s">
        <v>87</v>
      </c>
      <c r="D38" s="1">
        <v>251823603</v>
      </c>
      <c r="E38" s="2">
        <v>46023</v>
      </c>
      <c r="F38" s="1" t="s">
        <v>33</v>
      </c>
      <c r="G38" s="1" t="s">
        <v>34</v>
      </c>
      <c r="H38" s="3">
        <v>0.25</v>
      </c>
      <c r="I38" s="16">
        <v>143.75</v>
      </c>
      <c r="J38" s="1" t="s">
        <v>73</v>
      </c>
      <c r="K38" s="2">
        <v>46010</v>
      </c>
    </row>
    <row r="39" spans="1:17" ht="15.75" customHeight="1" x14ac:dyDescent="0.25">
      <c r="A39" s="1">
        <v>251824128</v>
      </c>
      <c r="B39" s="1" t="s">
        <v>80</v>
      </c>
      <c r="C39" s="1" t="s">
        <v>81</v>
      </c>
      <c r="D39" s="1">
        <v>251824128</v>
      </c>
      <c r="E39" s="2">
        <v>46023</v>
      </c>
      <c r="F39" s="1" t="s">
        <v>33</v>
      </c>
      <c r="G39" s="1" t="s">
        <v>34</v>
      </c>
      <c r="H39" s="3">
        <v>0.25</v>
      </c>
      <c r="I39" s="16">
        <v>143.75</v>
      </c>
      <c r="J39" s="1" t="s">
        <v>73</v>
      </c>
      <c r="K39" s="2">
        <v>46010</v>
      </c>
    </row>
    <row r="40" spans="1:17" ht="15.75" customHeight="1" x14ac:dyDescent="0.25">
      <c r="A40" s="1">
        <v>251815544</v>
      </c>
      <c r="B40" s="1" t="s">
        <v>63</v>
      </c>
      <c r="C40" s="1" t="s">
        <v>107</v>
      </c>
      <c r="D40" s="1">
        <v>251815544</v>
      </c>
      <c r="E40" s="2">
        <v>46025</v>
      </c>
      <c r="F40" s="1" t="s">
        <v>33</v>
      </c>
      <c r="G40" s="1" t="s">
        <v>34</v>
      </c>
      <c r="H40" s="3">
        <v>0.25</v>
      </c>
      <c r="I40" s="16">
        <v>143.75</v>
      </c>
      <c r="J40" s="1" t="s">
        <v>73</v>
      </c>
      <c r="K40" s="2">
        <v>46003</v>
      </c>
    </row>
    <row r="41" spans="1:17" ht="15.75" customHeight="1" x14ac:dyDescent="0.25">
      <c r="A41" s="1">
        <v>251817516</v>
      </c>
      <c r="B41" s="1" t="s">
        <v>17</v>
      </c>
      <c r="C41" s="1" t="s">
        <v>32</v>
      </c>
      <c r="D41" s="1">
        <v>251817516</v>
      </c>
      <c r="E41" s="2">
        <v>46023</v>
      </c>
      <c r="F41" s="1" t="s">
        <v>33</v>
      </c>
      <c r="G41" s="1" t="s">
        <v>34</v>
      </c>
      <c r="H41" s="3">
        <v>0.25</v>
      </c>
      <c r="I41" s="16">
        <v>143.75</v>
      </c>
      <c r="J41" s="1" t="s">
        <v>24</v>
      </c>
    </row>
    <row r="42" spans="1:17" ht="15.75" customHeight="1" x14ac:dyDescent="0.25">
      <c r="A42" s="1">
        <v>251819194</v>
      </c>
      <c r="B42" s="1" t="s">
        <v>80</v>
      </c>
      <c r="C42" s="1" t="s">
        <v>101</v>
      </c>
      <c r="D42" s="1">
        <v>251819194</v>
      </c>
      <c r="E42" s="2">
        <v>46024</v>
      </c>
      <c r="F42" s="1" t="s">
        <v>33</v>
      </c>
      <c r="G42" s="1" t="s">
        <v>34</v>
      </c>
      <c r="H42" s="3">
        <v>0.25</v>
      </c>
      <c r="I42" s="16">
        <v>143.75</v>
      </c>
      <c r="J42" s="1" t="s">
        <v>73</v>
      </c>
      <c r="K42" s="2">
        <v>46010</v>
      </c>
    </row>
    <row r="43" spans="1:17" ht="15.75" customHeight="1" x14ac:dyDescent="0.25">
      <c r="A43" s="1">
        <v>251817599</v>
      </c>
      <c r="B43" s="1" t="s">
        <v>17</v>
      </c>
      <c r="C43" s="1" t="s">
        <v>27</v>
      </c>
      <c r="D43" s="1">
        <v>251817599</v>
      </c>
      <c r="E43" s="2">
        <v>46023</v>
      </c>
      <c r="F43" s="1" t="s">
        <v>29</v>
      </c>
      <c r="G43" s="1" t="s">
        <v>30</v>
      </c>
      <c r="H43" s="3">
        <v>0.25</v>
      </c>
      <c r="I43" s="16">
        <v>150</v>
      </c>
      <c r="J43" s="1" t="s">
        <v>24</v>
      </c>
    </row>
    <row r="44" spans="1:17" ht="15.75" customHeight="1" x14ac:dyDescent="0.25">
      <c r="A44" s="1">
        <v>251819685</v>
      </c>
      <c r="B44" s="1" t="s">
        <v>52</v>
      </c>
      <c r="C44" s="1" t="s">
        <v>53</v>
      </c>
      <c r="D44" s="1">
        <v>251819685</v>
      </c>
      <c r="E44" s="2">
        <v>46023</v>
      </c>
      <c r="F44" s="1" t="s">
        <v>54</v>
      </c>
      <c r="G44" s="1" t="s">
        <v>55</v>
      </c>
      <c r="H44" s="3">
        <v>0.25</v>
      </c>
      <c r="I44" s="16">
        <v>151.25</v>
      </c>
      <c r="J44" s="1" t="s">
        <v>24</v>
      </c>
    </row>
    <row r="45" spans="1:17" ht="15.75" customHeight="1" x14ac:dyDescent="0.25">
      <c r="A45" s="1">
        <v>251819791</v>
      </c>
      <c r="B45" s="1" t="s">
        <v>63</v>
      </c>
      <c r="C45" s="1" t="s">
        <v>93</v>
      </c>
      <c r="D45" s="1">
        <v>251819791</v>
      </c>
      <c r="E45" s="2">
        <v>46023</v>
      </c>
      <c r="F45" s="1" t="s">
        <v>94</v>
      </c>
      <c r="G45" s="1" t="s">
        <v>95</v>
      </c>
      <c r="H45" s="3">
        <v>0.25</v>
      </c>
      <c r="I45" s="16">
        <v>166.25</v>
      </c>
      <c r="J45" s="1" t="s">
        <v>73</v>
      </c>
      <c r="K45" s="2">
        <v>46010</v>
      </c>
    </row>
    <row r="46" spans="1:17" ht="15.75" customHeight="1" x14ac:dyDescent="0.25">
      <c r="A46" s="1">
        <v>251825730</v>
      </c>
      <c r="B46" s="1" t="s">
        <v>63</v>
      </c>
      <c r="C46" s="1" t="s">
        <v>68</v>
      </c>
      <c r="D46" s="1">
        <v>251825730</v>
      </c>
      <c r="E46" s="2">
        <v>46023</v>
      </c>
      <c r="F46" s="1" t="s">
        <v>69</v>
      </c>
      <c r="G46" s="1" t="s">
        <v>70</v>
      </c>
      <c r="H46" s="3">
        <v>0.25</v>
      </c>
      <c r="I46" s="16">
        <v>185</v>
      </c>
      <c r="J46" s="1" t="s">
        <v>24</v>
      </c>
    </row>
    <row r="47" spans="1:17" ht="15.75" customHeight="1" x14ac:dyDescent="0.25">
      <c r="A47" s="1">
        <v>251818441</v>
      </c>
      <c r="B47" s="1" t="s">
        <v>63</v>
      </c>
      <c r="C47" s="1" t="s">
        <v>102</v>
      </c>
      <c r="D47" s="1">
        <v>251818441</v>
      </c>
      <c r="E47" s="2">
        <v>46023</v>
      </c>
      <c r="F47" s="1" t="s">
        <v>69</v>
      </c>
      <c r="G47" s="1" t="s">
        <v>70</v>
      </c>
      <c r="H47" s="3">
        <v>0.25</v>
      </c>
      <c r="I47" s="16">
        <v>185</v>
      </c>
      <c r="J47" s="1" t="s">
        <v>73</v>
      </c>
      <c r="K47" s="2">
        <v>46010</v>
      </c>
    </row>
    <row r="48" spans="1:17" ht="15.75" customHeight="1" x14ac:dyDescent="0.25">
      <c r="A48" s="12">
        <v>251821747</v>
      </c>
      <c r="B48" s="12" t="s">
        <v>80</v>
      </c>
      <c r="C48" s="12" t="s">
        <v>92</v>
      </c>
      <c r="D48" s="12">
        <v>251821747</v>
      </c>
      <c r="E48" s="13">
        <v>46023</v>
      </c>
      <c r="F48" s="12" t="s">
        <v>89</v>
      </c>
      <c r="G48" s="12" t="s">
        <v>90</v>
      </c>
      <c r="H48" s="15">
        <v>0.25</v>
      </c>
      <c r="I48" s="17">
        <v>392.5</v>
      </c>
      <c r="J48" s="12" t="s">
        <v>73</v>
      </c>
      <c r="K48" s="13">
        <v>46010</v>
      </c>
      <c r="L48" s="14"/>
      <c r="M48" s="14"/>
      <c r="N48" s="14"/>
      <c r="O48" s="14"/>
      <c r="P48" s="14"/>
      <c r="Q48" s="14"/>
    </row>
    <row r="49" spans="1:11" ht="15.75" customHeight="1" x14ac:dyDescent="0.25">
      <c r="A49" s="1">
        <v>251822171</v>
      </c>
      <c r="B49" s="1" t="s">
        <v>63</v>
      </c>
      <c r="C49" s="1" t="s">
        <v>88</v>
      </c>
      <c r="D49" s="1">
        <v>251822171</v>
      </c>
      <c r="E49" s="2">
        <v>46023</v>
      </c>
      <c r="F49" s="1" t="s">
        <v>89</v>
      </c>
      <c r="G49" s="1" t="s">
        <v>90</v>
      </c>
      <c r="H49" s="3">
        <v>0.25</v>
      </c>
      <c r="I49" s="16">
        <v>392.5</v>
      </c>
      <c r="J49" s="1" t="s">
        <v>73</v>
      </c>
      <c r="K49" s="2">
        <v>46010</v>
      </c>
    </row>
    <row r="50" spans="1:11" ht="15.75" customHeight="1" x14ac:dyDescent="0.25">
      <c r="E50" s="2"/>
      <c r="K50" s="2"/>
    </row>
    <row r="51" spans="1:11" ht="15.75" customHeight="1" x14ac:dyDescent="0.25">
      <c r="E51" s="2"/>
      <c r="K51" s="2"/>
    </row>
    <row r="52" spans="1:11" ht="15.75" customHeight="1" x14ac:dyDescent="0.25">
      <c r="E52" s="2"/>
      <c r="H52" s="3"/>
      <c r="K52" s="2"/>
    </row>
    <row r="53" spans="1:11" ht="15.75" customHeight="1" x14ac:dyDescent="0.25">
      <c r="E53" s="2"/>
      <c r="H53" s="3"/>
      <c r="K53" s="2"/>
    </row>
    <row r="54" spans="1:11" ht="15.75" customHeight="1" x14ac:dyDescent="0.25">
      <c r="E54" s="2"/>
      <c r="H54" s="3"/>
      <c r="K54" s="2"/>
    </row>
    <row r="55" spans="1:11" ht="15.75" customHeight="1" x14ac:dyDescent="0.25">
      <c r="E55" s="2"/>
      <c r="K55" s="2"/>
    </row>
    <row r="56" spans="1:11" ht="15.75" customHeight="1" x14ac:dyDescent="0.25">
      <c r="E56" s="2"/>
      <c r="H56" s="3"/>
      <c r="K56" s="2"/>
    </row>
    <row r="57" spans="1:11" ht="15.75" customHeight="1" x14ac:dyDescent="0.25">
      <c r="E57" s="2"/>
      <c r="H57" s="3"/>
      <c r="K57" s="2"/>
    </row>
    <row r="58" spans="1:11" ht="15.75" customHeight="1" x14ac:dyDescent="0.25">
      <c r="E58" s="2"/>
      <c r="H58" s="3"/>
      <c r="K58" s="2"/>
    </row>
    <row r="59" spans="1:11" ht="15.75" customHeight="1" x14ac:dyDescent="0.25">
      <c r="E59" s="2"/>
      <c r="H59" s="3"/>
      <c r="K59" s="2"/>
    </row>
    <row r="60" spans="1:11" ht="15.75" customHeight="1" x14ac:dyDescent="0.25">
      <c r="E60" s="2"/>
      <c r="H60" s="3"/>
      <c r="K60" s="2"/>
    </row>
    <row r="61" spans="1:11" ht="15.75" customHeight="1" x14ac:dyDescent="0.25">
      <c r="E61" s="2"/>
      <c r="H61" s="3"/>
      <c r="K61" s="2"/>
    </row>
    <row r="62" spans="1:11" ht="15.75" customHeight="1" x14ac:dyDescent="0.25">
      <c r="E62" s="2"/>
      <c r="H62" s="3"/>
      <c r="K62" s="2"/>
    </row>
    <row r="63" spans="1:11" ht="15.75" customHeight="1" x14ac:dyDescent="0.25">
      <c r="E63" s="2"/>
      <c r="H63" s="3"/>
      <c r="K63" s="2"/>
    </row>
    <row r="64" spans="1:11" ht="15.75" customHeight="1" x14ac:dyDescent="0.25">
      <c r="E64" s="2"/>
      <c r="H64" s="3"/>
      <c r="K64" s="2"/>
    </row>
    <row r="65" spans="5:11" ht="15.75" customHeight="1" x14ac:dyDescent="0.25">
      <c r="E65" s="2"/>
      <c r="K65" s="2"/>
    </row>
    <row r="66" spans="5:11" ht="15.75" customHeight="1" x14ac:dyDescent="0.25">
      <c r="E66" s="2"/>
      <c r="H66" s="3"/>
      <c r="K66" s="2"/>
    </row>
    <row r="67" spans="5:11" ht="15.75" customHeight="1" x14ac:dyDescent="0.25">
      <c r="E67" s="2"/>
      <c r="H67" s="3"/>
      <c r="K67" s="2"/>
    </row>
    <row r="68" spans="5:11" ht="15.75" customHeight="1" x14ac:dyDescent="0.25">
      <c r="E68" s="2"/>
      <c r="H68" s="3"/>
      <c r="K68" s="2"/>
    </row>
    <row r="69" spans="5:11" ht="15.75" customHeight="1" x14ac:dyDescent="0.25">
      <c r="E69" s="2"/>
      <c r="H69" s="3"/>
      <c r="K69" s="2"/>
    </row>
    <row r="70" spans="5:11" ht="15.75" customHeight="1" x14ac:dyDescent="0.25">
      <c r="E70" s="2"/>
      <c r="H70" s="3"/>
      <c r="K70" s="2"/>
    </row>
    <row r="71" spans="5:11" ht="15.75" customHeight="1" x14ac:dyDescent="0.25">
      <c r="E71" s="2"/>
      <c r="H71" s="3"/>
      <c r="K71" s="2"/>
    </row>
    <row r="72" spans="5:11" ht="15.75" customHeight="1" x14ac:dyDescent="0.25">
      <c r="E72" s="2"/>
      <c r="K72" s="2"/>
    </row>
    <row r="73" spans="5:11" ht="15.75" customHeight="1" x14ac:dyDescent="0.25">
      <c r="E73" s="2"/>
      <c r="H73" s="3"/>
      <c r="K73" s="2"/>
    </row>
    <row r="74" spans="5:11" ht="15.75" customHeight="1" x14ac:dyDescent="0.25">
      <c r="E74" s="2"/>
      <c r="H74" s="3"/>
      <c r="K74" s="2"/>
    </row>
    <row r="75" spans="5:11" ht="15.75" customHeight="1" x14ac:dyDescent="0.25">
      <c r="E75" s="2"/>
      <c r="K75" s="2"/>
    </row>
    <row r="76" spans="5:11" ht="15.75" customHeight="1" x14ac:dyDescent="0.25">
      <c r="E76" s="2"/>
      <c r="H76" s="3"/>
      <c r="K76" s="2"/>
    </row>
    <row r="77" spans="5:11" ht="15.75" customHeight="1" x14ac:dyDescent="0.25">
      <c r="E77" s="2"/>
      <c r="H77" s="3"/>
      <c r="K77" s="2"/>
    </row>
    <row r="78" spans="5:11" ht="15.75" customHeight="1" x14ac:dyDescent="0.25">
      <c r="E78" s="2"/>
      <c r="K78" s="2"/>
    </row>
    <row r="79" spans="5:11" ht="15.75" customHeight="1" x14ac:dyDescent="0.25">
      <c r="E79" s="2"/>
      <c r="H79" s="3"/>
      <c r="K79" s="2"/>
    </row>
    <row r="80" spans="5:11" ht="15.75" customHeight="1" x14ac:dyDescent="0.25">
      <c r="E80" s="2"/>
      <c r="H80" s="3"/>
      <c r="K80" s="2"/>
    </row>
    <row r="81" spans="5:11" ht="15.75" customHeight="1" x14ac:dyDescent="0.25">
      <c r="E81" s="2"/>
      <c r="H81" s="3"/>
      <c r="K81" s="2"/>
    </row>
    <row r="82" spans="5:11" ht="15.75" customHeight="1" x14ac:dyDescent="0.25">
      <c r="E82" s="2"/>
      <c r="H82" s="3"/>
      <c r="K82" s="2"/>
    </row>
    <row r="83" spans="5:11" ht="15.75" customHeight="1" x14ac:dyDescent="0.25">
      <c r="E83" s="2"/>
      <c r="K83" s="2"/>
    </row>
    <row r="84" spans="5:11" ht="15.75" customHeight="1" x14ac:dyDescent="0.25">
      <c r="E84" s="2"/>
      <c r="K84" s="2"/>
    </row>
    <row r="85" spans="5:11" ht="15.75" customHeight="1" x14ac:dyDescent="0.25">
      <c r="E85" s="2"/>
      <c r="H85" s="3"/>
      <c r="K85" s="2"/>
    </row>
    <row r="86" spans="5:11" ht="15.75" customHeight="1" x14ac:dyDescent="0.25">
      <c r="E86" s="2"/>
      <c r="K86" s="2"/>
    </row>
    <row r="87" spans="5:11" ht="15.75" customHeight="1" x14ac:dyDescent="0.25">
      <c r="E87" s="2"/>
      <c r="H87" s="3"/>
      <c r="K87" s="2"/>
    </row>
    <row r="88" spans="5:11" ht="15.75" customHeight="1" x14ac:dyDescent="0.25">
      <c r="E88" s="2"/>
      <c r="K88" s="2"/>
    </row>
    <row r="89" spans="5:11" ht="15.75" customHeight="1" x14ac:dyDescent="0.25">
      <c r="E89" s="2"/>
      <c r="K89" s="2"/>
    </row>
    <row r="90" spans="5:11" ht="15.75" customHeight="1" x14ac:dyDescent="0.25">
      <c r="E90" s="2"/>
      <c r="H90" s="3"/>
      <c r="K90" s="2"/>
    </row>
    <row r="91" spans="5:11" ht="15.75" customHeight="1" x14ac:dyDescent="0.25">
      <c r="E91" s="2"/>
      <c r="K91" s="2"/>
    </row>
    <row r="92" spans="5:11" ht="15.75" customHeight="1" x14ac:dyDescent="0.25">
      <c r="E92" s="2"/>
      <c r="H92" s="3"/>
      <c r="K92" s="2"/>
    </row>
    <row r="93" spans="5:11" ht="15.75" customHeight="1" x14ac:dyDescent="0.25">
      <c r="E93" s="2"/>
      <c r="H93" s="3"/>
      <c r="K93" s="2"/>
    </row>
    <row r="94" spans="5:11" ht="15.75" customHeight="1" x14ac:dyDescent="0.25">
      <c r="E94" s="2"/>
      <c r="K94" s="2"/>
    </row>
    <row r="95" spans="5:11" ht="15.75" customHeight="1" x14ac:dyDescent="0.25">
      <c r="E95" s="2"/>
      <c r="H95" s="3"/>
      <c r="K95" s="2"/>
    </row>
    <row r="96" spans="5:11" ht="15.75" customHeight="1" x14ac:dyDescent="0.25">
      <c r="E96" s="2"/>
      <c r="H96" s="3"/>
      <c r="K96" s="2"/>
    </row>
    <row r="97" spans="5:11" ht="15.75" customHeight="1" x14ac:dyDescent="0.25">
      <c r="E97" s="2"/>
      <c r="H97" s="3"/>
      <c r="K97" s="2"/>
    </row>
    <row r="98" spans="5:11" ht="15.75" customHeight="1" x14ac:dyDescent="0.25">
      <c r="E98" s="2"/>
      <c r="H98" s="3"/>
      <c r="K98" s="2"/>
    </row>
    <row r="99" spans="5:11" ht="15.75" customHeight="1" x14ac:dyDescent="0.25">
      <c r="E99" s="2"/>
      <c r="K99" s="2"/>
    </row>
    <row r="100" spans="5:11" ht="15.75" customHeight="1" x14ac:dyDescent="0.25">
      <c r="E100" s="2"/>
      <c r="H100" s="3"/>
      <c r="K100" s="2"/>
    </row>
    <row r="101" spans="5:11" ht="15.75" customHeight="1" x14ac:dyDescent="0.25">
      <c r="E101" s="2"/>
      <c r="H101" s="3"/>
      <c r="K101" s="2"/>
    </row>
    <row r="102" spans="5:11" ht="15.75" customHeight="1" x14ac:dyDescent="0.25">
      <c r="E102" s="2"/>
      <c r="H102" s="3"/>
      <c r="K102" s="2"/>
    </row>
    <row r="103" spans="5:11" ht="15.75" customHeight="1" x14ac:dyDescent="0.25">
      <c r="E103" s="2"/>
      <c r="H103" s="3"/>
      <c r="K103" s="2"/>
    </row>
    <row r="104" spans="5:11" ht="15.75" customHeight="1" x14ac:dyDescent="0.25">
      <c r="E104" s="2"/>
      <c r="H104" s="3"/>
      <c r="K104" s="2"/>
    </row>
    <row r="105" spans="5:11" ht="15.75" customHeight="1" x14ac:dyDescent="0.25">
      <c r="E105" s="2"/>
      <c r="K105" s="2"/>
    </row>
    <row r="106" spans="5:11" ht="15.75" customHeight="1" x14ac:dyDescent="0.25">
      <c r="E106" s="2"/>
      <c r="H106" s="3"/>
      <c r="K106" s="2"/>
    </row>
    <row r="107" spans="5:11" ht="15.75" customHeight="1" x14ac:dyDescent="0.25">
      <c r="E107" s="2"/>
      <c r="H107" s="3"/>
      <c r="K107" s="2"/>
    </row>
    <row r="108" spans="5:11" ht="15.75" customHeight="1" x14ac:dyDescent="0.25">
      <c r="E108" s="2"/>
      <c r="H108" s="3"/>
      <c r="K108" s="2"/>
    </row>
    <row r="109" spans="5:11" ht="15.75" customHeight="1" x14ac:dyDescent="0.25">
      <c r="E109" s="2"/>
      <c r="K109" s="2"/>
    </row>
    <row r="110" spans="5:11" ht="15.75" customHeight="1" x14ac:dyDescent="0.25">
      <c r="E110" s="2"/>
      <c r="H110" s="3"/>
      <c r="K110" s="2"/>
    </row>
    <row r="111" spans="5:11" ht="15.75" customHeight="1" x14ac:dyDescent="0.25">
      <c r="E111" s="2"/>
      <c r="H111" s="3"/>
      <c r="K111" s="2"/>
    </row>
    <row r="112" spans="5:11" ht="15.75" customHeight="1" x14ac:dyDescent="0.25">
      <c r="E112" s="2"/>
      <c r="H112" s="3"/>
      <c r="K112" s="2"/>
    </row>
    <row r="113" spans="5:11" ht="15.75" customHeight="1" x14ac:dyDescent="0.25">
      <c r="E113" s="2"/>
      <c r="H113" s="3"/>
      <c r="K113" s="2"/>
    </row>
    <row r="114" spans="5:11" ht="15.75" customHeight="1" x14ac:dyDescent="0.25">
      <c r="E114" s="2"/>
      <c r="H114" s="3"/>
      <c r="K114" s="2"/>
    </row>
    <row r="115" spans="5:11" ht="15.75" customHeight="1" x14ac:dyDescent="0.25">
      <c r="E115" s="2"/>
      <c r="H115" s="3"/>
      <c r="K115" s="2"/>
    </row>
    <row r="116" spans="5:11" ht="15.75" customHeight="1" x14ac:dyDescent="0.25">
      <c r="E116" s="2"/>
      <c r="H116" s="3"/>
      <c r="K116" s="2"/>
    </row>
    <row r="117" spans="5:11" ht="15.75" customHeight="1" x14ac:dyDescent="0.25">
      <c r="E117" s="2"/>
      <c r="H117" s="3"/>
      <c r="K117" s="2"/>
    </row>
    <row r="118" spans="5:11" ht="15.75" customHeight="1" x14ac:dyDescent="0.25">
      <c r="E118" s="2"/>
      <c r="H118" s="3"/>
      <c r="K118" s="2"/>
    </row>
    <row r="119" spans="5:11" ht="15.75" customHeight="1" x14ac:dyDescent="0.25">
      <c r="E119" s="2"/>
      <c r="H119" s="3"/>
      <c r="K119" s="2"/>
    </row>
    <row r="120" spans="5:11" ht="15.75" customHeight="1" x14ac:dyDescent="0.25">
      <c r="E120" s="2"/>
      <c r="H120" s="3"/>
      <c r="K120" s="2"/>
    </row>
    <row r="121" spans="5:11" ht="15.75" customHeight="1" x14ac:dyDescent="0.25">
      <c r="E121" s="2"/>
      <c r="H121" s="3"/>
      <c r="K121" s="2"/>
    </row>
    <row r="122" spans="5:11" ht="15.75" customHeight="1" x14ac:dyDescent="0.25">
      <c r="E122" s="2"/>
      <c r="H122" s="3"/>
      <c r="K122" s="2"/>
    </row>
    <row r="123" spans="5:11" ht="15.75" customHeight="1" x14ac:dyDescent="0.25">
      <c r="E123" s="2"/>
      <c r="H123" s="3"/>
      <c r="K123" s="2"/>
    </row>
    <row r="124" spans="5:11" ht="15.75" customHeight="1" x14ac:dyDescent="0.25">
      <c r="E124" s="2"/>
      <c r="H124" s="3"/>
      <c r="K124" s="2"/>
    </row>
    <row r="125" spans="5:11" ht="15.75" customHeight="1" x14ac:dyDescent="0.25">
      <c r="E125" s="2"/>
      <c r="H125" s="3"/>
      <c r="K125" s="2"/>
    </row>
    <row r="126" spans="5:11" ht="15.75" customHeight="1" x14ac:dyDescent="0.25">
      <c r="E126" s="2"/>
      <c r="K126" s="2"/>
    </row>
    <row r="127" spans="5:11" ht="15.75" customHeight="1" x14ac:dyDescent="0.25">
      <c r="E127" s="2"/>
      <c r="H127" s="3"/>
      <c r="K127" s="2"/>
    </row>
    <row r="128" spans="5:11" ht="15.75" customHeight="1" x14ac:dyDescent="0.25">
      <c r="E128" s="2"/>
      <c r="H128" s="3"/>
      <c r="K128" s="2"/>
    </row>
    <row r="129" spans="5:11" ht="15.75" customHeight="1" x14ac:dyDescent="0.25">
      <c r="E129" s="2"/>
      <c r="H129" s="3"/>
      <c r="K129" s="2"/>
    </row>
    <row r="130" spans="5:11" ht="15.75" customHeight="1" x14ac:dyDescent="0.25">
      <c r="E130" s="2"/>
      <c r="H130" s="3"/>
      <c r="K130" s="2"/>
    </row>
    <row r="131" spans="5:11" ht="15.75" customHeight="1" x14ac:dyDescent="0.25">
      <c r="E131" s="2"/>
      <c r="H131" s="3"/>
      <c r="K131" s="2"/>
    </row>
    <row r="132" spans="5:11" ht="15.75" customHeight="1" x14ac:dyDescent="0.25">
      <c r="E132" s="2"/>
      <c r="H132" s="3"/>
      <c r="K132" s="2"/>
    </row>
    <row r="133" spans="5:11" ht="15.75" customHeight="1" x14ac:dyDescent="0.25">
      <c r="E133" s="2"/>
      <c r="H133" s="3"/>
      <c r="K133" s="2"/>
    </row>
    <row r="134" spans="5:11" ht="15.75" customHeight="1" x14ac:dyDescent="0.25">
      <c r="E134" s="2"/>
      <c r="H134" s="3"/>
      <c r="K134" s="2"/>
    </row>
    <row r="135" spans="5:11" ht="15.75" customHeight="1" x14ac:dyDescent="0.25">
      <c r="E135" s="2"/>
      <c r="H135" s="3"/>
      <c r="K135" s="2"/>
    </row>
    <row r="136" spans="5:11" ht="15.75" customHeight="1" x14ac:dyDescent="0.25">
      <c r="E136" s="2"/>
      <c r="K136" s="2"/>
    </row>
    <row r="137" spans="5:11" ht="15.75" customHeight="1" x14ac:dyDescent="0.25">
      <c r="E137" s="2"/>
      <c r="H137" s="3"/>
      <c r="K137" s="2"/>
    </row>
    <row r="138" spans="5:11" ht="15.75" customHeight="1" x14ac:dyDescent="0.25">
      <c r="E138" s="2"/>
      <c r="K138" s="2"/>
    </row>
    <row r="139" spans="5:11" ht="15.75" customHeight="1" x14ac:dyDescent="0.25">
      <c r="E139" s="2"/>
      <c r="K139" s="2"/>
    </row>
    <row r="140" spans="5:11" ht="15.75" customHeight="1" x14ac:dyDescent="0.25">
      <c r="E140" s="2"/>
      <c r="H140" s="3"/>
      <c r="K140" s="2"/>
    </row>
    <row r="141" spans="5:11" ht="15.75" customHeight="1" x14ac:dyDescent="0.25">
      <c r="E141" s="2"/>
      <c r="H141" s="3"/>
      <c r="K141" s="2"/>
    </row>
    <row r="142" spans="5:11" ht="15.75" customHeight="1" x14ac:dyDescent="0.25">
      <c r="E142" s="2"/>
      <c r="H142" s="3"/>
      <c r="K142" s="2"/>
    </row>
    <row r="143" spans="5:11" ht="15.75" customHeight="1" x14ac:dyDescent="0.25">
      <c r="E143" s="2"/>
      <c r="H143" s="3"/>
      <c r="K143" s="2"/>
    </row>
    <row r="144" spans="5:11" ht="15.75" customHeight="1" x14ac:dyDescent="0.25">
      <c r="E144" s="2"/>
      <c r="H144" s="3"/>
      <c r="K144" s="2"/>
    </row>
    <row r="145" spans="5:11" ht="15.75" customHeight="1" x14ac:dyDescent="0.25">
      <c r="E145" s="2"/>
      <c r="H145" s="3"/>
      <c r="K145" s="2"/>
    </row>
    <row r="146" spans="5:11" ht="15.75" customHeight="1" x14ac:dyDescent="0.25">
      <c r="E146" s="2"/>
      <c r="H146" s="3"/>
      <c r="K146" s="2"/>
    </row>
    <row r="147" spans="5:11" ht="15.75" customHeight="1" x14ac:dyDescent="0.25">
      <c r="E147" s="2"/>
      <c r="H147" s="3"/>
      <c r="K147" s="2"/>
    </row>
    <row r="148" spans="5:11" ht="15.75" customHeight="1" x14ac:dyDescent="0.25">
      <c r="E148" s="2"/>
      <c r="H148" s="3"/>
      <c r="K148" s="2"/>
    </row>
    <row r="149" spans="5:11" ht="15.75" customHeight="1" x14ac:dyDescent="0.25">
      <c r="E149" s="2"/>
      <c r="K149" s="2"/>
    </row>
    <row r="150" spans="5:11" ht="15.75" customHeight="1" x14ac:dyDescent="0.25">
      <c r="E150" s="2"/>
      <c r="H150" s="3"/>
      <c r="K150" s="2"/>
    </row>
    <row r="151" spans="5:11" ht="15.75" customHeight="1" x14ac:dyDescent="0.25">
      <c r="E151" s="2"/>
      <c r="H151" s="3"/>
      <c r="K151" s="2"/>
    </row>
    <row r="152" spans="5:11" ht="15.75" customHeight="1" x14ac:dyDescent="0.25">
      <c r="E152" s="2"/>
      <c r="K152" s="2"/>
    </row>
    <row r="153" spans="5:11" ht="15.75" customHeight="1" x14ac:dyDescent="0.25">
      <c r="E153" s="2"/>
      <c r="K153" s="2"/>
    </row>
    <row r="154" spans="5:11" ht="15.75" customHeight="1" x14ac:dyDescent="0.25">
      <c r="E154" s="2"/>
      <c r="H154" s="3"/>
      <c r="K154" s="2"/>
    </row>
    <row r="155" spans="5:11" ht="15.75" customHeight="1" x14ac:dyDescent="0.25">
      <c r="E155" s="2"/>
      <c r="H155" s="3"/>
      <c r="K155" s="2"/>
    </row>
    <row r="156" spans="5:11" ht="15.75" customHeight="1" x14ac:dyDescent="0.25">
      <c r="E156" s="2"/>
      <c r="H156" s="3"/>
      <c r="K156" s="2"/>
    </row>
    <row r="157" spans="5:11" ht="15.75" customHeight="1" x14ac:dyDescent="0.25">
      <c r="E157" s="2"/>
      <c r="K157" s="2"/>
    </row>
    <row r="158" spans="5:11" ht="15.75" customHeight="1" x14ac:dyDescent="0.25">
      <c r="E158" s="2"/>
      <c r="H158" s="3"/>
      <c r="K158" s="2"/>
    </row>
    <row r="159" spans="5:11" ht="15.75" customHeight="1" x14ac:dyDescent="0.25">
      <c r="E159" s="2"/>
      <c r="H159" s="3"/>
      <c r="K159" s="2"/>
    </row>
    <row r="160" spans="5:11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sortState xmlns:xlrd2="http://schemas.microsoft.com/office/spreadsheetml/2017/richdata2" ref="B2:Q49">
    <sortCondition ref="I2:I4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A19" workbookViewId="0">
      <selection activeCell="A35" sqref="A35:XFD35"/>
    </sheetView>
  </sheetViews>
  <sheetFormatPr defaultColWidth="14.42578125" defaultRowHeight="15" customHeight="1" x14ac:dyDescent="0.25"/>
  <cols>
    <col min="1" max="1" width="20.42578125" customWidth="1"/>
    <col min="2" max="2" width="9.5703125" customWidth="1"/>
    <col min="3" max="3" width="14.5703125" customWidth="1"/>
    <col min="4" max="4" width="10.140625" customWidth="1"/>
    <col min="5" max="5" width="17.85546875" customWidth="1"/>
    <col min="6" max="6" width="20" customWidth="1"/>
    <col min="7" max="7" width="20.85546875" customWidth="1"/>
    <col min="8" max="8" width="11.140625" customWidth="1"/>
    <col min="9" max="9" width="10.85546875" customWidth="1"/>
    <col min="10" max="10" width="9.5703125" customWidth="1"/>
    <col min="11" max="11" width="11.7109375" customWidth="1"/>
    <col min="12" max="12" width="6.7109375" customWidth="1"/>
    <col min="13" max="13" width="13.7109375" customWidth="1"/>
    <col min="14" max="14" width="16.28515625" customWidth="1"/>
    <col min="15" max="15" width="60.140625" bestFit="1" customWidth="1"/>
    <col min="16" max="26" width="8.7109375" customWidth="1"/>
  </cols>
  <sheetData>
    <row r="1" spans="1:26" x14ac:dyDescent="0.25">
      <c r="A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</row>
    <row r="2" spans="1:26" x14ac:dyDescent="0.25">
      <c r="A2" s="4" t="s">
        <v>117</v>
      </c>
      <c r="B2" s="4">
        <v>21348299</v>
      </c>
      <c r="C2" s="4" t="s">
        <v>18</v>
      </c>
      <c r="D2" s="4">
        <v>251815732</v>
      </c>
      <c r="E2" s="2">
        <v>46023</v>
      </c>
      <c r="F2" s="2">
        <v>46017</v>
      </c>
      <c r="G2" s="4" t="s">
        <v>21</v>
      </c>
      <c r="H2" s="5">
        <v>450</v>
      </c>
      <c r="I2" s="5">
        <v>430</v>
      </c>
      <c r="J2" s="3">
        <v>0.25</v>
      </c>
      <c r="K2" s="5">
        <v>107.5</v>
      </c>
      <c r="L2" s="4" t="s">
        <v>24</v>
      </c>
      <c r="M2" s="4"/>
      <c r="N2" s="4" t="s">
        <v>118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5">
      <c r="A3" s="4" t="s">
        <v>119</v>
      </c>
      <c r="B3" s="4">
        <v>9213293</v>
      </c>
      <c r="C3" s="4" t="s">
        <v>27</v>
      </c>
      <c r="D3" s="4">
        <v>251817599</v>
      </c>
      <c r="E3" s="2">
        <v>46023</v>
      </c>
      <c r="F3" s="2">
        <v>46017</v>
      </c>
      <c r="G3" s="4" t="s">
        <v>28</v>
      </c>
      <c r="H3" s="5">
        <v>620</v>
      </c>
      <c r="I3" s="5">
        <v>600</v>
      </c>
      <c r="J3" s="3">
        <v>0.25</v>
      </c>
      <c r="K3" s="5">
        <v>150</v>
      </c>
      <c r="L3" s="4" t="s">
        <v>24</v>
      </c>
      <c r="M3" s="4"/>
      <c r="N3" s="4" t="s">
        <v>118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5">
      <c r="A4" s="4" t="s">
        <v>119</v>
      </c>
      <c r="B4" s="4">
        <v>9213293</v>
      </c>
      <c r="C4" s="4" t="s">
        <v>32</v>
      </c>
      <c r="D4" s="4">
        <v>251817516</v>
      </c>
      <c r="E4" s="2">
        <v>46023</v>
      </c>
      <c r="F4" s="2">
        <v>46017</v>
      </c>
      <c r="G4" s="4" t="s">
        <v>28</v>
      </c>
      <c r="H4" s="5">
        <v>595</v>
      </c>
      <c r="I4" s="5">
        <v>575</v>
      </c>
      <c r="J4" s="3">
        <v>0.25</v>
      </c>
      <c r="K4" s="5">
        <v>143.75</v>
      </c>
      <c r="L4" s="4" t="s">
        <v>24</v>
      </c>
      <c r="M4" s="4"/>
      <c r="N4" s="4" t="s">
        <v>118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5">
      <c r="A5" s="4" t="s">
        <v>119</v>
      </c>
      <c r="B5" s="4">
        <v>9213293</v>
      </c>
      <c r="C5" s="4" t="s">
        <v>46</v>
      </c>
      <c r="D5" s="4">
        <v>251812018</v>
      </c>
      <c r="E5" s="2">
        <v>45988</v>
      </c>
      <c r="F5" s="2">
        <v>46017</v>
      </c>
      <c r="G5" s="4" t="s">
        <v>48</v>
      </c>
      <c r="H5" s="5">
        <v>195</v>
      </c>
      <c r="I5" s="5">
        <v>185</v>
      </c>
      <c r="J5" s="3">
        <v>0.25</v>
      </c>
      <c r="K5" s="5">
        <v>46.25</v>
      </c>
      <c r="L5" s="4" t="s">
        <v>24</v>
      </c>
      <c r="M5" s="4"/>
      <c r="N5" s="4" t="s">
        <v>118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25">
      <c r="A6" s="4" t="s">
        <v>119</v>
      </c>
      <c r="B6" s="4">
        <v>9213293</v>
      </c>
      <c r="C6" s="4" t="s">
        <v>36</v>
      </c>
      <c r="D6" s="4">
        <v>251811780</v>
      </c>
      <c r="E6" s="2">
        <v>46023</v>
      </c>
      <c r="F6" s="2">
        <v>46017</v>
      </c>
      <c r="G6" s="4" t="s">
        <v>37</v>
      </c>
      <c r="H6" s="5">
        <v>510</v>
      </c>
      <c r="I6" s="5">
        <v>500</v>
      </c>
      <c r="J6" s="3">
        <v>0.25</v>
      </c>
      <c r="K6" s="5">
        <v>125</v>
      </c>
      <c r="L6" s="4" t="s">
        <v>24</v>
      </c>
      <c r="M6" s="4"/>
      <c r="N6" s="4" t="s">
        <v>118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5">
      <c r="A7" s="4" t="s">
        <v>119</v>
      </c>
      <c r="B7" s="4">
        <v>9213293</v>
      </c>
      <c r="C7" s="4" t="s">
        <v>41</v>
      </c>
      <c r="D7" s="4">
        <v>251811175</v>
      </c>
      <c r="E7" s="2">
        <v>46023</v>
      </c>
      <c r="F7" s="2">
        <v>46017</v>
      </c>
      <c r="G7" s="4" t="s">
        <v>28</v>
      </c>
      <c r="H7" s="5">
        <v>345</v>
      </c>
      <c r="I7" s="5">
        <v>325</v>
      </c>
      <c r="J7" s="3">
        <v>0.25</v>
      </c>
      <c r="K7" s="5">
        <v>81.25</v>
      </c>
      <c r="L7" s="4" t="s">
        <v>24</v>
      </c>
      <c r="M7" s="4"/>
      <c r="N7" s="4" t="s">
        <v>118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25">
      <c r="A8" s="4" t="s">
        <v>119</v>
      </c>
      <c r="B8" s="4">
        <v>9213293</v>
      </c>
      <c r="C8" s="4" t="s">
        <v>53</v>
      </c>
      <c r="D8" s="4">
        <v>251819685</v>
      </c>
      <c r="E8" s="2">
        <v>46023</v>
      </c>
      <c r="F8" s="2">
        <v>46016</v>
      </c>
      <c r="G8" s="4" t="s">
        <v>28</v>
      </c>
      <c r="H8" s="5">
        <v>625</v>
      </c>
      <c r="I8" s="5">
        <v>605</v>
      </c>
      <c r="J8" s="3">
        <v>0.25</v>
      </c>
      <c r="K8" s="5">
        <v>151.25</v>
      </c>
      <c r="L8" s="4" t="s">
        <v>24</v>
      </c>
      <c r="M8" s="4"/>
      <c r="N8" s="4" t="s">
        <v>118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25">
      <c r="A9" s="4" t="s">
        <v>119</v>
      </c>
      <c r="B9" s="4">
        <v>9213293</v>
      </c>
      <c r="C9" s="4" t="s">
        <v>58</v>
      </c>
      <c r="D9" s="4">
        <v>251827800</v>
      </c>
      <c r="E9" s="2">
        <v>46023</v>
      </c>
      <c r="F9" s="2">
        <v>46007</v>
      </c>
      <c r="G9" s="4" t="s">
        <v>59</v>
      </c>
      <c r="H9" s="5">
        <v>190</v>
      </c>
      <c r="I9" s="5">
        <v>170</v>
      </c>
      <c r="J9" s="3">
        <v>0.25</v>
      </c>
      <c r="K9" s="5">
        <v>42.5</v>
      </c>
      <c r="L9" s="4" t="s">
        <v>24</v>
      </c>
      <c r="M9" s="4"/>
      <c r="N9" s="4" t="s">
        <v>118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5">
      <c r="A10" s="4" t="s">
        <v>120</v>
      </c>
      <c r="B10" s="4">
        <v>16865615</v>
      </c>
      <c r="C10" s="4" t="s">
        <v>64</v>
      </c>
      <c r="D10" s="4">
        <v>251826288</v>
      </c>
      <c r="E10" s="2">
        <v>46023</v>
      </c>
      <c r="F10" s="2">
        <v>46007</v>
      </c>
      <c r="G10" s="4" t="s">
        <v>28</v>
      </c>
      <c r="H10" s="5">
        <v>440</v>
      </c>
      <c r="I10" s="5">
        <v>420</v>
      </c>
      <c r="J10" s="3">
        <v>0.25</v>
      </c>
      <c r="K10" s="5">
        <v>105</v>
      </c>
      <c r="L10" s="4" t="s">
        <v>24</v>
      </c>
      <c r="M10" s="4"/>
      <c r="N10" s="4" t="s">
        <v>118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5">
      <c r="A11" s="4" t="s">
        <v>120</v>
      </c>
      <c r="B11" s="4">
        <v>16865615</v>
      </c>
      <c r="C11" s="4" t="s">
        <v>68</v>
      </c>
      <c r="D11" s="4">
        <v>251825730</v>
      </c>
      <c r="E11" s="2">
        <v>46023</v>
      </c>
      <c r="F11" s="2">
        <v>46007</v>
      </c>
      <c r="G11" s="4" t="s">
        <v>28</v>
      </c>
      <c r="H11" s="5">
        <v>760</v>
      </c>
      <c r="I11" s="5">
        <v>740</v>
      </c>
      <c r="J11" s="3">
        <v>0.25</v>
      </c>
      <c r="K11" s="5">
        <v>185</v>
      </c>
      <c r="L11" s="4" t="s">
        <v>24</v>
      </c>
      <c r="M11" s="4"/>
      <c r="N11" s="4" t="s">
        <v>118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25">
      <c r="A12" s="4" t="s">
        <v>120</v>
      </c>
      <c r="B12" s="4">
        <v>16865615</v>
      </c>
      <c r="C12" s="4" t="s">
        <v>76</v>
      </c>
      <c r="D12" s="4">
        <v>1084508</v>
      </c>
      <c r="E12" s="2">
        <v>45641</v>
      </c>
      <c r="F12" s="2">
        <v>46005</v>
      </c>
      <c r="G12" s="4" t="s">
        <v>21</v>
      </c>
      <c r="H12" s="5">
        <v>267.43</v>
      </c>
      <c r="I12" s="5">
        <v>247.43</v>
      </c>
      <c r="J12" s="3">
        <v>0.25</v>
      </c>
      <c r="K12" s="5">
        <v>61.86</v>
      </c>
      <c r="L12" s="4" t="s">
        <v>73</v>
      </c>
      <c r="M12" s="2">
        <v>46010</v>
      </c>
      <c r="N12" s="4" t="s">
        <v>118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25">
      <c r="A13" s="4" t="s">
        <v>120</v>
      </c>
      <c r="B13" s="4">
        <v>16865615</v>
      </c>
      <c r="C13" s="4" t="s">
        <v>71</v>
      </c>
      <c r="D13" s="4">
        <v>251825133</v>
      </c>
      <c r="E13" s="2">
        <v>46023</v>
      </c>
      <c r="F13" s="2">
        <v>46005</v>
      </c>
      <c r="G13" s="4" t="s">
        <v>28</v>
      </c>
      <c r="H13" s="5">
        <v>235</v>
      </c>
      <c r="I13" s="5">
        <v>215</v>
      </c>
      <c r="J13" s="3">
        <v>0.25</v>
      </c>
      <c r="K13" s="5">
        <v>53.75</v>
      </c>
      <c r="L13" s="4" t="s">
        <v>73</v>
      </c>
      <c r="M13" s="2">
        <v>46010</v>
      </c>
      <c r="N13" s="4" t="s">
        <v>118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25">
      <c r="A14" s="4" t="s">
        <v>120</v>
      </c>
      <c r="B14" s="4">
        <v>16865615</v>
      </c>
      <c r="C14" s="4" t="s">
        <v>81</v>
      </c>
      <c r="D14" s="4">
        <v>251824128</v>
      </c>
      <c r="E14" s="2">
        <v>46023</v>
      </c>
      <c r="F14" s="2">
        <v>46004</v>
      </c>
      <c r="G14" s="4" t="s">
        <v>28</v>
      </c>
      <c r="H14" s="5">
        <v>595</v>
      </c>
      <c r="I14" s="5">
        <v>575</v>
      </c>
      <c r="J14" s="3">
        <v>0.25</v>
      </c>
      <c r="K14" s="5">
        <v>143.75</v>
      </c>
      <c r="L14" s="4" t="s">
        <v>73</v>
      </c>
      <c r="M14" s="2">
        <v>46010</v>
      </c>
      <c r="N14" s="4" t="s">
        <v>118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25">
      <c r="A15" s="4" t="s">
        <v>120</v>
      </c>
      <c r="B15" s="4">
        <v>16865615</v>
      </c>
      <c r="C15" s="4" t="s">
        <v>83</v>
      </c>
      <c r="D15" s="4">
        <v>251823686</v>
      </c>
      <c r="E15" s="2">
        <v>46023</v>
      </c>
      <c r="F15" s="2">
        <v>46004</v>
      </c>
      <c r="G15" s="4" t="s">
        <v>59</v>
      </c>
      <c r="H15" s="5">
        <v>370</v>
      </c>
      <c r="I15" s="5">
        <v>350</v>
      </c>
      <c r="J15" s="3">
        <v>0.25</v>
      </c>
      <c r="K15" s="5">
        <v>87.5</v>
      </c>
      <c r="L15" s="4" t="s">
        <v>73</v>
      </c>
      <c r="M15" s="2">
        <v>46010</v>
      </c>
      <c r="N15" s="4" t="s">
        <v>118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5">
      <c r="A16" s="4" t="s">
        <v>120</v>
      </c>
      <c r="B16" s="4">
        <v>16865615</v>
      </c>
      <c r="C16" s="4" t="s">
        <v>87</v>
      </c>
      <c r="D16" s="4">
        <v>251823603</v>
      </c>
      <c r="E16" s="2">
        <v>46023</v>
      </c>
      <c r="F16" s="2">
        <v>46004</v>
      </c>
      <c r="G16" s="4" t="s">
        <v>28</v>
      </c>
      <c r="H16" s="5">
        <v>595</v>
      </c>
      <c r="I16" s="5">
        <v>575</v>
      </c>
      <c r="J16" s="3">
        <v>0.25</v>
      </c>
      <c r="K16" s="5">
        <v>143.75</v>
      </c>
      <c r="L16" s="4" t="s">
        <v>73</v>
      </c>
      <c r="M16" s="2">
        <v>46010</v>
      </c>
      <c r="N16" s="4" t="s">
        <v>118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5">
      <c r="A17" s="4" t="s">
        <v>120</v>
      </c>
      <c r="B17" s="4">
        <v>16865615</v>
      </c>
      <c r="C17" s="4" t="s">
        <v>88</v>
      </c>
      <c r="D17" s="4">
        <v>251822171</v>
      </c>
      <c r="E17" s="2">
        <v>46023</v>
      </c>
      <c r="F17" s="2">
        <v>46003</v>
      </c>
      <c r="G17" s="4" t="s">
        <v>28</v>
      </c>
      <c r="H17" s="5">
        <v>1590</v>
      </c>
      <c r="I17" s="5">
        <v>1570</v>
      </c>
      <c r="J17" s="3">
        <v>0.25</v>
      </c>
      <c r="K17" s="5">
        <v>392.5</v>
      </c>
      <c r="L17" s="4" t="s">
        <v>73</v>
      </c>
      <c r="M17" s="2">
        <v>46010</v>
      </c>
      <c r="N17" s="4" t="s">
        <v>118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25">
      <c r="A18" s="4" t="s">
        <v>120</v>
      </c>
      <c r="B18" s="4">
        <v>16865615</v>
      </c>
      <c r="C18" s="4" t="s">
        <v>92</v>
      </c>
      <c r="D18" s="4">
        <v>251821747</v>
      </c>
      <c r="E18" s="2">
        <v>46023</v>
      </c>
      <c r="F18" s="2">
        <v>46003</v>
      </c>
      <c r="G18" s="4" t="s">
        <v>28</v>
      </c>
      <c r="H18" s="5">
        <v>1590</v>
      </c>
      <c r="I18" s="5">
        <v>1570</v>
      </c>
      <c r="J18" s="3">
        <v>0.25</v>
      </c>
      <c r="K18" s="5">
        <v>392.5</v>
      </c>
      <c r="L18" s="4" t="s">
        <v>73</v>
      </c>
      <c r="M18" s="2">
        <v>46010</v>
      </c>
      <c r="N18" s="4" t="s">
        <v>118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x14ac:dyDescent="0.25">
      <c r="A19" s="4" t="s">
        <v>120</v>
      </c>
      <c r="B19" s="4">
        <v>16865615</v>
      </c>
      <c r="C19" s="4" t="s">
        <v>93</v>
      </c>
      <c r="D19" s="4">
        <v>251819791</v>
      </c>
      <c r="E19" s="2">
        <v>46023</v>
      </c>
      <c r="F19" s="2">
        <v>46001</v>
      </c>
      <c r="G19" s="4" t="s">
        <v>21</v>
      </c>
      <c r="H19" s="5">
        <v>685</v>
      </c>
      <c r="I19" s="5">
        <v>665</v>
      </c>
      <c r="J19" s="3">
        <v>0.25</v>
      </c>
      <c r="K19" s="5">
        <v>166.25</v>
      </c>
      <c r="L19" s="4" t="s">
        <v>73</v>
      </c>
      <c r="M19" s="2">
        <v>46010</v>
      </c>
      <c r="N19" s="4" t="s">
        <v>118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25">
      <c r="A20" s="4" t="s">
        <v>120</v>
      </c>
      <c r="B20" s="4">
        <v>16865615</v>
      </c>
      <c r="C20" s="4" t="s">
        <v>101</v>
      </c>
      <c r="D20" s="4">
        <v>251819194</v>
      </c>
      <c r="E20" s="2">
        <v>46024</v>
      </c>
      <c r="F20" s="2">
        <v>46000</v>
      </c>
      <c r="G20" s="4" t="s">
        <v>28</v>
      </c>
      <c r="H20" s="5">
        <v>595</v>
      </c>
      <c r="I20" s="5">
        <v>575</v>
      </c>
      <c r="J20" s="3">
        <v>0.25</v>
      </c>
      <c r="K20" s="5">
        <v>143.75</v>
      </c>
      <c r="L20" s="4" t="s">
        <v>73</v>
      </c>
      <c r="M20" s="2">
        <v>46010</v>
      </c>
      <c r="N20" s="4" t="s">
        <v>118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5">
      <c r="A21" s="4" t="s">
        <v>121</v>
      </c>
      <c r="B21" s="4">
        <v>16683808</v>
      </c>
      <c r="C21" s="4" t="s">
        <v>98</v>
      </c>
      <c r="D21" s="4">
        <v>251818687</v>
      </c>
      <c r="E21" s="2">
        <v>46029</v>
      </c>
      <c r="F21" s="2">
        <v>46000</v>
      </c>
      <c r="G21" s="4" t="s">
        <v>48</v>
      </c>
      <c r="H21" s="5">
        <v>195</v>
      </c>
      <c r="I21" s="5">
        <v>185</v>
      </c>
      <c r="J21" s="3">
        <v>0.25</v>
      </c>
      <c r="K21" s="5">
        <v>46.25</v>
      </c>
      <c r="L21" s="4" t="s">
        <v>73</v>
      </c>
      <c r="M21" s="2">
        <v>46010</v>
      </c>
      <c r="N21" s="4" t="s">
        <v>118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5">
      <c r="A22" s="4" t="s">
        <v>121</v>
      </c>
      <c r="B22" s="4">
        <v>16683808</v>
      </c>
      <c r="C22" s="4" t="s">
        <v>102</v>
      </c>
      <c r="D22" s="4">
        <v>251818441</v>
      </c>
      <c r="E22" s="2">
        <v>46023</v>
      </c>
      <c r="F22" s="2">
        <v>46000</v>
      </c>
      <c r="G22" s="4" t="s">
        <v>28</v>
      </c>
      <c r="H22" s="5">
        <v>760</v>
      </c>
      <c r="I22" s="5">
        <v>740</v>
      </c>
      <c r="J22" s="3">
        <v>0.25</v>
      </c>
      <c r="K22" s="5">
        <v>185</v>
      </c>
      <c r="L22" s="4" t="s">
        <v>73</v>
      </c>
      <c r="M22" s="2">
        <v>46010</v>
      </c>
      <c r="N22" s="4" t="s">
        <v>118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5">
      <c r="A23" s="4" t="s">
        <v>122</v>
      </c>
      <c r="B23" s="4">
        <v>8812322</v>
      </c>
      <c r="C23" s="4" t="s">
        <v>99</v>
      </c>
      <c r="D23" s="4">
        <v>251818343</v>
      </c>
      <c r="E23" s="2">
        <v>46029</v>
      </c>
      <c r="F23" s="2">
        <v>46000</v>
      </c>
      <c r="G23" s="4" t="s">
        <v>100</v>
      </c>
      <c r="H23" s="5">
        <v>440</v>
      </c>
      <c r="I23" s="5">
        <v>430</v>
      </c>
      <c r="J23" s="3">
        <v>0.25</v>
      </c>
      <c r="K23" s="5">
        <v>107.5</v>
      </c>
      <c r="L23" s="4" t="s">
        <v>73</v>
      </c>
      <c r="M23" s="2">
        <v>46010</v>
      </c>
      <c r="N23" s="4" t="s">
        <v>118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5">
      <c r="A24" s="4" t="s">
        <v>122</v>
      </c>
      <c r="B24" s="4">
        <v>8812322</v>
      </c>
      <c r="C24" s="4" t="s">
        <v>103</v>
      </c>
      <c r="D24" s="4">
        <v>1095314</v>
      </c>
      <c r="E24" s="2">
        <v>45770</v>
      </c>
      <c r="F24" s="2">
        <v>45997</v>
      </c>
      <c r="G24" s="4" t="s">
        <v>21</v>
      </c>
      <c r="H24" s="5">
        <v>185.77</v>
      </c>
      <c r="I24" s="5">
        <v>165.77</v>
      </c>
      <c r="J24" s="3">
        <v>0.25</v>
      </c>
      <c r="K24" s="5">
        <v>41.44</v>
      </c>
      <c r="L24" s="4" t="s">
        <v>73</v>
      </c>
      <c r="M24" s="2">
        <v>46003</v>
      </c>
      <c r="N24" s="4" t="s">
        <v>118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5">
      <c r="A25" s="4" t="s">
        <v>122</v>
      </c>
      <c r="B25" s="4">
        <v>8812322</v>
      </c>
      <c r="C25" s="4" t="s">
        <v>113</v>
      </c>
      <c r="D25" s="4">
        <v>251754149</v>
      </c>
      <c r="E25" s="2">
        <v>45881</v>
      </c>
      <c r="F25" s="2">
        <v>45996</v>
      </c>
      <c r="G25" s="4" t="s">
        <v>48</v>
      </c>
      <c r="H25" s="5">
        <v>75</v>
      </c>
      <c r="I25" s="5">
        <v>65</v>
      </c>
      <c r="J25" s="3">
        <v>0.25</v>
      </c>
      <c r="K25" s="5">
        <v>16.25</v>
      </c>
      <c r="L25" s="4" t="s">
        <v>73</v>
      </c>
      <c r="M25" s="2">
        <v>46003</v>
      </c>
      <c r="N25" s="4" t="s">
        <v>118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5">
      <c r="A26" s="4" t="s">
        <v>122</v>
      </c>
      <c r="B26" s="4">
        <v>8812322</v>
      </c>
      <c r="C26" s="4" t="s">
        <v>109</v>
      </c>
      <c r="D26" s="4">
        <v>251816500</v>
      </c>
      <c r="E26" s="2">
        <v>46023</v>
      </c>
      <c r="F26" s="2">
        <v>45996</v>
      </c>
      <c r="G26" s="4" t="s">
        <v>28</v>
      </c>
      <c r="H26" s="5">
        <v>510</v>
      </c>
      <c r="I26" s="5">
        <v>490</v>
      </c>
      <c r="J26" s="3">
        <v>0.25</v>
      </c>
      <c r="K26" s="5">
        <v>122.5</v>
      </c>
      <c r="L26" s="4" t="s">
        <v>73</v>
      </c>
      <c r="M26" s="2">
        <v>46003</v>
      </c>
      <c r="N26" s="4" t="s">
        <v>118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5">
      <c r="A27" s="4" t="s">
        <v>122</v>
      </c>
      <c r="B27" s="4">
        <v>8812322</v>
      </c>
      <c r="C27" s="4" t="s">
        <v>107</v>
      </c>
      <c r="D27" s="4">
        <v>251815544</v>
      </c>
      <c r="E27" s="2">
        <v>46025</v>
      </c>
      <c r="F27" s="2">
        <v>45996</v>
      </c>
      <c r="G27" s="4" t="s">
        <v>28</v>
      </c>
      <c r="H27" s="5">
        <v>595</v>
      </c>
      <c r="I27" s="5">
        <v>575</v>
      </c>
      <c r="J27" s="3">
        <v>0.25</v>
      </c>
      <c r="K27" s="5">
        <v>143.75</v>
      </c>
      <c r="L27" s="4" t="s">
        <v>73</v>
      </c>
      <c r="M27" s="2">
        <v>46003</v>
      </c>
      <c r="N27" s="4" t="s">
        <v>118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5">
      <c r="A28" s="4" t="s">
        <v>122</v>
      </c>
      <c r="B28" s="4">
        <v>8812322</v>
      </c>
      <c r="C28" s="4" t="s">
        <v>108</v>
      </c>
      <c r="D28" s="4">
        <v>251815536</v>
      </c>
      <c r="E28" s="2">
        <v>46025</v>
      </c>
      <c r="F28" s="2">
        <v>45996</v>
      </c>
      <c r="G28" s="4" t="s">
        <v>28</v>
      </c>
      <c r="H28" s="5">
        <v>235</v>
      </c>
      <c r="I28" s="5">
        <v>215</v>
      </c>
      <c r="J28" s="3">
        <v>0.25</v>
      </c>
      <c r="K28" s="5">
        <v>53.75</v>
      </c>
      <c r="L28" s="4" t="s">
        <v>73</v>
      </c>
      <c r="M28" s="2">
        <v>46003</v>
      </c>
      <c r="N28" s="4" t="s">
        <v>118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5">
      <c r="A29" s="4"/>
      <c r="B29" s="4"/>
      <c r="C29" s="4"/>
      <c r="D29" s="4"/>
      <c r="E29" s="2"/>
      <c r="F29" s="2"/>
      <c r="G29" s="4"/>
      <c r="H29" s="5"/>
      <c r="I29" s="5"/>
      <c r="J29" s="3"/>
      <c r="K29" s="5"/>
      <c r="L29" s="4"/>
      <c r="M29" s="2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5">
      <c r="A30" s="6" t="s">
        <v>122</v>
      </c>
      <c r="B30" s="6">
        <v>8812322</v>
      </c>
      <c r="C30" s="6" t="s">
        <v>18</v>
      </c>
      <c r="D30" s="6">
        <v>251815732</v>
      </c>
      <c r="E30" s="7">
        <v>46023</v>
      </c>
      <c r="F30" s="7">
        <v>46017</v>
      </c>
      <c r="G30" s="6" t="s">
        <v>21</v>
      </c>
      <c r="H30" s="8">
        <v>450</v>
      </c>
      <c r="I30" s="8">
        <v>450</v>
      </c>
      <c r="J30" s="8">
        <v>100</v>
      </c>
      <c r="K30" s="8">
        <v>100</v>
      </c>
      <c r="L30" s="6" t="s">
        <v>24</v>
      </c>
      <c r="M30" s="6"/>
      <c r="N30" s="6" t="s">
        <v>123</v>
      </c>
      <c r="O30" s="6" t="str">
        <f t="shared" ref="O30:O39" si="0">CONCATENATE(N30," ",C30,"-",D30)</f>
        <v>OneShare Bonus Lynda Nagl-251815732</v>
      </c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 x14ac:dyDescent="0.25">
      <c r="A31" s="6" t="s">
        <v>122</v>
      </c>
      <c r="B31" s="6">
        <v>8812322</v>
      </c>
      <c r="C31" s="6" t="s">
        <v>27</v>
      </c>
      <c r="D31" s="6">
        <v>251817599</v>
      </c>
      <c r="E31" s="7">
        <v>46023</v>
      </c>
      <c r="F31" s="7">
        <v>46017</v>
      </c>
      <c r="G31" s="6" t="s">
        <v>28</v>
      </c>
      <c r="H31" s="8">
        <v>620</v>
      </c>
      <c r="I31" s="8">
        <v>620</v>
      </c>
      <c r="J31" s="8">
        <v>100</v>
      </c>
      <c r="K31" s="8">
        <v>100</v>
      </c>
      <c r="L31" s="6" t="s">
        <v>24</v>
      </c>
      <c r="M31" s="6"/>
      <c r="N31" s="6" t="s">
        <v>123</v>
      </c>
      <c r="O31" s="6" t="str">
        <f t="shared" si="0"/>
        <v>OneShare Bonus Sophie Muir-251817599</v>
      </c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 x14ac:dyDescent="0.25">
      <c r="A32" s="6" t="s">
        <v>122</v>
      </c>
      <c r="B32" s="6">
        <v>8812322</v>
      </c>
      <c r="C32" s="6" t="s">
        <v>32</v>
      </c>
      <c r="D32" s="6">
        <v>251817516</v>
      </c>
      <c r="E32" s="7">
        <v>46023</v>
      </c>
      <c r="F32" s="7">
        <v>46017</v>
      </c>
      <c r="G32" s="6" t="s">
        <v>28</v>
      </c>
      <c r="H32" s="8">
        <v>595</v>
      </c>
      <c r="I32" s="8">
        <v>595</v>
      </c>
      <c r="J32" s="8">
        <v>100</v>
      </c>
      <c r="K32" s="8">
        <v>100</v>
      </c>
      <c r="L32" s="6" t="s">
        <v>24</v>
      </c>
      <c r="M32" s="6"/>
      <c r="N32" s="6" t="s">
        <v>123</v>
      </c>
      <c r="O32" s="6" t="str">
        <f t="shared" si="0"/>
        <v>OneShare Bonus Robert Chinn-251817516</v>
      </c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 x14ac:dyDescent="0.25">
      <c r="A33" s="6" t="s">
        <v>122</v>
      </c>
      <c r="B33" s="6">
        <v>8812322</v>
      </c>
      <c r="C33" s="6" t="s">
        <v>36</v>
      </c>
      <c r="D33" s="6">
        <v>251811780</v>
      </c>
      <c r="E33" s="7">
        <v>46023</v>
      </c>
      <c r="F33" s="7">
        <v>46017</v>
      </c>
      <c r="G33" s="6" t="s">
        <v>37</v>
      </c>
      <c r="H33" s="8">
        <v>510</v>
      </c>
      <c r="I33" s="8">
        <v>510</v>
      </c>
      <c r="J33" s="8">
        <v>100</v>
      </c>
      <c r="K33" s="8">
        <v>100</v>
      </c>
      <c r="L33" s="6" t="s">
        <v>24</v>
      </c>
      <c r="M33" s="6"/>
      <c r="N33" s="6" t="s">
        <v>123</v>
      </c>
      <c r="O33" s="6" t="str">
        <f t="shared" si="0"/>
        <v>OneShare Bonus Jackson Carson-251811780</v>
      </c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 x14ac:dyDescent="0.25">
      <c r="A34" s="6" t="s">
        <v>122</v>
      </c>
      <c r="B34" s="6">
        <v>8812322</v>
      </c>
      <c r="C34" s="6" t="s">
        <v>41</v>
      </c>
      <c r="D34" s="6">
        <v>251811175</v>
      </c>
      <c r="E34" s="7">
        <v>46023</v>
      </c>
      <c r="F34" s="7">
        <v>46017</v>
      </c>
      <c r="G34" s="6" t="s">
        <v>28</v>
      </c>
      <c r="H34" s="8">
        <v>345</v>
      </c>
      <c r="I34" s="8">
        <v>345</v>
      </c>
      <c r="J34" s="8">
        <v>100</v>
      </c>
      <c r="K34" s="8">
        <v>100</v>
      </c>
      <c r="L34" s="6" t="s">
        <v>24</v>
      </c>
      <c r="M34" s="6"/>
      <c r="N34" s="6" t="s">
        <v>123</v>
      </c>
      <c r="O34" s="6" t="str">
        <f t="shared" si="0"/>
        <v>OneShare Bonus Angie Waters-251811175</v>
      </c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 x14ac:dyDescent="0.25">
      <c r="A35" s="6" t="s">
        <v>122</v>
      </c>
      <c r="B35" s="6">
        <v>8812322</v>
      </c>
      <c r="C35" s="6" t="s">
        <v>53</v>
      </c>
      <c r="D35" s="6">
        <v>251819685</v>
      </c>
      <c r="E35" s="7">
        <v>46023</v>
      </c>
      <c r="F35" s="7">
        <v>46016</v>
      </c>
      <c r="G35" s="6" t="s">
        <v>28</v>
      </c>
      <c r="H35" s="8">
        <v>625</v>
      </c>
      <c r="I35" s="8">
        <v>625</v>
      </c>
      <c r="J35" s="8">
        <v>100</v>
      </c>
      <c r="K35" s="8">
        <v>100</v>
      </c>
      <c r="L35" s="6" t="s">
        <v>24</v>
      </c>
      <c r="M35" s="6"/>
      <c r="N35" s="6" t="s">
        <v>123</v>
      </c>
      <c r="O35" s="6" t="str">
        <f t="shared" si="0"/>
        <v>OneShare Bonus Robyn Reinmann-251819685</v>
      </c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 x14ac:dyDescent="0.25">
      <c r="A36" s="6" t="s">
        <v>122</v>
      </c>
      <c r="B36" s="6">
        <v>8812322</v>
      </c>
      <c r="C36" s="6" t="s">
        <v>58</v>
      </c>
      <c r="D36" s="6">
        <v>251827800</v>
      </c>
      <c r="E36" s="7">
        <v>46023</v>
      </c>
      <c r="F36" s="7">
        <v>46007</v>
      </c>
      <c r="G36" s="6" t="s">
        <v>59</v>
      </c>
      <c r="H36" s="8">
        <v>190</v>
      </c>
      <c r="I36" s="8">
        <v>190</v>
      </c>
      <c r="J36" s="8">
        <v>100</v>
      </c>
      <c r="K36" s="8">
        <v>100</v>
      </c>
      <c r="L36" s="6" t="s">
        <v>24</v>
      </c>
      <c r="M36" s="6"/>
      <c r="N36" s="6" t="s">
        <v>123</v>
      </c>
      <c r="O36" s="6" t="str">
        <f t="shared" si="0"/>
        <v>OneShare Bonus Jonathan Aloff-251827800</v>
      </c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 x14ac:dyDescent="0.25">
      <c r="A37" s="6" t="s">
        <v>122</v>
      </c>
      <c r="B37" s="6">
        <v>8812322</v>
      </c>
      <c r="C37" s="6" t="s">
        <v>64</v>
      </c>
      <c r="D37" s="6">
        <v>251826288</v>
      </c>
      <c r="E37" s="7">
        <v>46023</v>
      </c>
      <c r="F37" s="7">
        <v>46007</v>
      </c>
      <c r="G37" s="6" t="s">
        <v>28</v>
      </c>
      <c r="H37" s="8">
        <v>440</v>
      </c>
      <c r="I37" s="8">
        <v>440</v>
      </c>
      <c r="J37" s="8">
        <v>100</v>
      </c>
      <c r="K37" s="8">
        <v>100</v>
      </c>
      <c r="L37" s="6" t="s">
        <v>24</v>
      </c>
      <c r="M37" s="6"/>
      <c r="N37" s="6" t="s">
        <v>123</v>
      </c>
      <c r="O37" s="6" t="str">
        <f t="shared" si="0"/>
        <v>OneShare Bonus Raci Evans-251826288</v>
      </c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customHeight="1" x14ac:dyDescent="0.25">
      <c r="A38" s="6" t="s">
        <v>122</v>
      </c>
      <c r="B38" s="6">
        <v>8812322</v>
      </c>
      <c r="C38" s="6" t="s">
        <v>68</v>
      </c>
      <c r="D38" s="6">
        <v>251825730</v>
      </c>
      <c r="E38" s="7">
        <v>46023</v>
      </c>
      <c r="F38" s="7">
        <v>46007</v>
      </c>
      <c r="G38" s="6" t="s">
        <v>28</v>
      </c>
      <c r="H38" s="8">
        <v>760</v>
      </c>
      <c r="I38" s="8">
        <v>760</v>
      </c>
      <c r="J38" s="8">
        <v>100</v>
      </c>
      <c r="K38" s="8">
        <v>100</v>
      </c>
      <c r="L38" s="6" t="s">
        <v>24</v>
      </c>
      <c r="M38" s="6"/>
      <c r="N38" s="6" t="s">
        <v>123</v>
      </c>
      <c r="O38" s="6" t="str">
        <f t="shared" si="0"/>
        <v>OneShare Bonus Diana Moon-251825730</v>
      </c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customHeight="1" x14ac:dyDescent="0.25">
      <c r="A39" s="6" t="s">
        <v>122</v>
      </c>
      <c r="B39" s="6">
        <v>8812322</v>
      </c>
      <c r="C39" s="6" t="s">
        <v>71</v>
      </c>
      <c r="D39" s="6">
        <v>251825133</v>
      </c>
      <c r="E39" s="7">
        <v>46023</v>
      </c>
      <c r="F39" s="7">
        <v>46005</v>
      </c>
      <c r="G39" s="6" t="s">
        <v>28</v>
      </c>
      <c r="H39" s="8">
        <v>235</v>
      </c>
      <c r="I39" s="8">
        <v>235</v>
      </c>
      <c r="J39" s="8">
        <v>100</v>
      </c>
      <c r="K39" s="8">
        <v>100</v>
      </c>
      <c r="L39" s="6" t="s">
        <v>73</v>
      </c>
      <c r="M39" s="7">
        <v>46010</v>
      </c>
      <c r="N39" s="6" t="s">
        <v>123</v>
      </c>
      <c r="O39" s="6" t="str">
        <f t="shared" si="0"/>
        <v>OneShare Bonus Hannah Minton-251825133</v>
      </c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customHeight="1" x14ac:dyDescent="0.25">
      <c r="A40" s="9" t="s">
        <v>124</v>
      </c>
      <c r="B40" s="9">
        <v>8244481</v>
      </c>
      <c r="C40" s="9" t="s">
        <v>81</v>
      </c>
      <c r="D40" s="9">
        <v>251824128</v>
      </c>
      <c r="E40" s="10">
        <v>46023</v>
      </c>
      <c r="F40" s="10">
        <v>46004</v>
      </c>
      <c r="G40" s="9" t="s">
        <v>28</v>
      </c>
      <c r="H40" s="11">
        <v>595</v>
      </c>
      <c r="I40" s="11">
        <v>595</v>
      </c>
      <c r="J40" s="11">
        <v>100</v>
      </c>
      <c r="K40" s="11">
        <v>100</v>
      </c>
      <c r="L40" s="9" t="s">
        <v>73</v>
      </c>
      <c r="M40" s="10">
        <v>46010</v>
      </c>
      <c r="N40" s="6" t="s">
        <v>123</v>
      </c>
      <c r="O40" s="6" t="str">
        <f t="shared" ref="O40:O43" si="1">CONCATENATE(N40," ",C40,"-",D40," ","For"," ",A40)</f>
        <v xml:space="preserve">OneShare Bonus Mary Yunker-251824128 For Michael Dunavant </v>
      </c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5.75" customHeight="1" x14ac:dyDescent="0.25">
      <c r="A41" s="9" t="s">
        <v>124</v>
      </c>
      <c r="B41" s="9">
        <v>8244481</v>
      </c>
      <c r="C41" s="9" t="s">
        <v>83</v>
      </c>
      <c r="D41" s="9">
        <v>251823686</v>
      </c>
      <c r="E41" s="10">
        <v>46023</v>
      </c>
      <c r="F41" s="10">
        <v>46004</v>
      </c>
      <c r="G41" s="9" t="s">
        <v>59</v>
      </c>
      <c r="H41" s="11">
        <v>370</v>
      </c>
      <c r="I41" s="11">
        <v>370</v>
      </c>
      <c r="J41" s="11">
        <v>100</v>
      </c>
      <c r="K41" s="11">
        <v>100</v>
      </c>
      <c r="L41" s="9" t="s">
        <v>73</v>
      </c>
      <c r="M41" s="10">
        <v>46010</v>
      </c>
      <c r="N41" s="6" t="s">
        <v>123</v>
      </c>
      <c r="O41" s="6" t="str">
        <f t="shared" si="1"/>
        <v xml:space="preserve">OneShare Bonus Linda Massa-251823686 For Michael Dunavant </v>
      </c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5.75" customHeight="1" x14ac:dyDescent="0.25">
      <c r="A42" s="9" t="s">
        <v>124</v>
      </c>
      <c r="B42" s="9">
        <v>8244481</v>
      </c>
      <c r="C42" s="9" t="s">
        <v>87</v>
      </c>
      <c r="D42" s="9">
        <v>251823603</v>
      </c>
      <c r="E42" s="10">
        <v>46023</v>
      </c>
      <c r="F42" s="10">
        <v>46004</v>
      </c>
      <c r="G42" s="9" t="s">
        <v>28</v>
      </c>
      <c r="H42" s="11">
        <v>595</v>
      </c>
      <c r="I42" s="11">
        <v>595</v>
      </c>
      <c r="J42" s="11">
        <v>100</v>
      </c>
      <c r="K42" s="11">
        <v>100</v>
      </c>
      <c r="L42" s="9" t="s">
        <v>73</v>
      </c>
      <c r="M42" s="10">
        <v>46010</v>
      </c>
      <c r="N42" s="6" t="s">
        <v>123</v>
      </c>
      <c r="O42" s="6" t="str">
        <f t="shared" si="1"/>
        <v xml:space="preserve">OneShare Bonus James Quaid-251823603 For Michael Dunavant </v>
      </c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5.75" customHeight="1" x14ac:dyDescent="0.25">
      <c r="A43" s="9" t="s">
        <v>124</v>
      </c>
      <c r="B43" s="9">
        <v>8244481</v>
      </c>
      <c r="C43" s="9" t="s">
        <v>88</v>
      </c>
      <c r="D43" s="9">
        <v>251822171</v>
      </c>
      <c r="E43" s="10">
        <v>46023</v>
      </c>
      <c r="F43" s="10">
        <v>46003</v>
      </c>
      <c r="G43" s="9" t="s">
        <v>28</v>
      </c>
      <c r="H43" s="11">
        <v>1590</v>
      </c>
      <c r="I43" s="11">
        <v>1590</v>
      </c>
      <c r="J43" s="11">
        <v>100</v>
      </c>
      <c r="K43" s="11">
        <v>100</v>
      </c>
      <c r="L43" s="9" t="s">
        <v>73</v>
      </c>
      <c r="M43" s="10">
        <v>46010</v>
      </c>
      <c r="N43" s="6" t="s">
        <v>123</v>
      </c>
      <c r="O43" s="6" t="str">
        <f t="shared" si="1"/>
        <v xml:space="preserve">OneShare Bonus Rebecca Byrd-251822171 For Michael Dunavant </v>
      </c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5.75" customHeight="1" x14ac:dyDescent="0.25">
      <c r="A44" s="6" t="s">
        <v>125</v>
      </c>
      <c r="B44" s="6">
        <v>8244481</v>
      </c>
      <c r="C44" s="6" t="s">
        <v>92</v>
      </c>
      <c r="D44" s="6">
        <v>251821747</v>
      </c>
      <c r="E44" s="7">
        <v>46023</v>
      </c>
      <c r="F44" s="7">
        <v>46003</v>
      </c>
      <c r="G44" s="6" t="s">
        <v>28</v>
      </c>
      <c r="H44" s="8">
        <v>1590</v>
      </c>
      <c r="I44" s="8">
        <v>1590</v>
      </c>
      <c r="J44" s="8">
        <v>100</v>
      </c>
      <c r="K44" s="8">
        <v>100</v>
      </c>
      <c r="L44" s="6" t="s">
        <v>73</v>
      </c>
      <c r="M44" s="7">
        <v>46010</v>
      </c>
      <c r="N44" s="6" t="s">
        <v>123</v>
      </c>
      <c r="O44" s="6" t="str">
        <f t="shared" ref="O44:O47" si="2">CONCATENATE(N44," ",C44,"-",D44)</f>
        <v>OneShare Bonus Marta Rhyner-251821747</v>
      </c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customHeight="1" x14ac:dyDescent="0.25">
      <c r="A45" s="6" t="s">
        <v>125</v>
      </c>
      <c r="B45" s="6">
        <v>8244481</v>
      </c>
      <c r="C45" s="6" t="s">
        <v>93</v>
      </c>
      <c r="D45" s="6">
        <v>251819791</v>
      </c>
      <c r="E45" s="7">
        <v>46023</v>
      </c>
      <c r="F45" s="7">
        <v>46001</v>
      </c>
      <c r="G45" s="6" t="s">
        <v>21</v>
      </c>
      <c r="H45" s="8">
        <v>685</v>
      </c>
      <c r="I45" s="8">
        <v>685</v>
      </c>
      <c r="J45" s="8">
        <v>100</v>
      </c>
      <c r="K45" s="8">
        <v>100</v>
      </c>
      <c r="L45" s="6" t="s">
        <v>73</v>
      </c>
      <c r="M45" s="7">
        <v>46010</v>
      </c>
      <c r="N45" s="6" t="s">
        <v>123</v>
      </c>
      <c r="O45" s="6" t="str">
        <f t="shared" si="2"/>
        <v>OneShare Bonus Brian Riley-251819791</v>
      </c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75" customHeight="1" x14ac:dyDescent="0.25">
      <c r="A46" s="6" t="s">
        <v>125</v>
      </c>
      <c r="B46" s="6">
        <v>8244481</v>
      </c>
      <c r="C46" s="6" t="s">
        <v>101</v>
      </c>
      <c r="D46" s="6">
        <v>251819194</v>
      </c>
      <c r="E46" s="7">
        <v>46024</v>
      </c>
      <c r="F46" s="7">
        <v>46000</v>
      </c>
      <c r="G46" s="6" t="s">
        <v>28</v>
      </c>
      <c r="H46" s="8">
        <v>595</v>
      </c>
      <c r="I46" s="8">
        <v>595</v>
      </c>
      <c r="J46" s="8">
        <v>100</v>
      </c>
      <c r="K46" s="8">
        <v>100</v>
      </c>
      <c r="L46" s="6" t="s">
        <v>73</v>
      </c>
      <c r="M46" s="7">
        <v>46010</v>
      </c>
      <c r="N46" s="6" t="s">
        <v>123</v>
      </c>
      <c r="O46" s="6" t="str">
        <f t="shared" si="2"/>
        <v>OneShare Bonus Roman Prunczak-251819194</v>
      </c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customHeight="1" x14ac:dyDescent="0.25">
      <c r="A47" s="6" t="s">
        <v>125</v>
      </c>
      <c r="B47" s="6">
        <v>8244481</v>
      </c>
      <c r="C47" s="6" t="s">
        <v>102</v>
      </c>
      <c r="D47" s="6">
        <v>251818441</v>
      </c>
      <c r="E47" s="7">
        <v>46023</v>
      </c>
      <c r="F47" s="7">
        <v>46000</v>
      </c>
      <c r="G47" s="6" t="s">
        <v>28</v>
      </c>
      <c r="H47" s="8">
        <v>760</v>
      </c>
      <c r="I47" s="8">
        <v>760</v>
      </c>
      <c r="J47" s="8">
        <v>100</v>
      </c>
      <c r="K47" s="8">
        <v>100</v>
      </c>
      <c r="L47" s="6" t="s">
        <v>73</v>
      </c>
      <c r="M47" s="7">
        <v>46010</v>
      </c>
      <c r="N47" s="6" t="s">
        <v>123</v>
      </c>
      <c r="O47" s="6" t="str">
        <f t="shared" si="2"/>
        <v>OneShare Bonus Parker Meskimen-251818441</v>
      </c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customHeight="1" x14ac:dyDescent="0.25">
      <c r="A48" s="9" t="s">
        <v>126</v>
      </c>
      <c r="B48" s="9">
        <v>19396223</v>
      </c>
      <c r="C48" s="9" t="s">
        <v>109</v>
      </c>
      <c r="D48" s="9">
        <v>251816500</v>
      </c>
      <c r="E48" s="10">
        <v>46023</v>
      </c>
      <c r="F48" s="10">
        <v>45996</v>
      </c>
      <c r="G48" s="9" t="s">
        <v>28</v>
      </c>
      <c r="H48" s="11">
        <v>510</v>
      </c>
      <c r="I48" s="11">
        <v>510</v>
      </c>
      <c r="J48" s="11">
        <v>100</v>
      </c>
      <c r="K48" s="11">
        <v>100</v>
      </c>
      <c r="L48" s="9" t="s">
        <v>73</v>
      </c>
      <c r="M48" s="10">
        <v>46003</v>
      </c>
      <c r="N48" s="6" t="s">
        <v>123</v>
      </c>
      <c r="O48" s="6" t="str">
        <f>CONCATENATE(N48," ",C48,"-",D48," ","For"," ",A48)</f>
        <v xml:space="preserve">OneShare Bonus Randy Tornquist-251816500 For Sandra Sentman </v>
      </c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5.75" customHeight="1" x14ac:dyDescent="0.25">
      <c r="A49" s="6" t="s">
        <v>127</v>
      </c>
      <c r="B49" s="6">
        <v>21283956</v>
      </c>
      <c r="C49" s="6" t="s">
        <v>108</v>
      </c>
      <c r="D49" s="6">
        <v>251815536</v>
      </c>
      <c r="E49" s="7">
        <v>46025</v>
      </c>
      <c r="F49" s="7">
        <v>45996</v>
      </c>
      <c r="G49" s="6" t="s">
        <v>28</v>
      </c>
      <c r="H49" s="8">
        <v>235</v>
      </c>
      <c r="I49" s="8">
        <v>235</v>
      </c>
      <c r="J49" s="8">
        <v>100</v>
      </c>
      <c r="K49" s="8">
        <v>100</v>
      </c>
      <c r="L49" s="6" t="s">
        <v>73</v>
      </c>
      <c r="M49" s="7">
        <v>46003</v>
      </c>
      <c r="N49" s="6" t="s">
        <v>123</v>
      </c>
      <c r="O49" s="6" t="str">
        <f t="shared" ref="O49:O50" si="3">CONCATENATE(N49," ",C49,"-",D49)</f>
        <v>OneShare Bonus Kylie Lenschow-251815536</v>
      </c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customHeight="1" x14ac:dyDescent="0.25">
      <c r="A50" s="6" t="s">
        <v>127</v>
      </c>
      <c r="B50" s="6">
        <v>21283956</v>
      </c>
      <c r="C50" s="6" t="s">
        <v>107</v>
      </c>
      <c r="D50" s="6">
        <v>251815544</v>
      </c>
      <c r="E50" s="7">
        <v>46025</v>
      </c>
      <c r="F50" s="7">
        <v>45996</v>
      </c>
      <c r="G50" s="6" t="s">
        <v>28</v>
      </c>
      <c r="H50" s="8">
        <v>595</v>
      </c>
      <c r="I50" s="8">
        <v>595</v>
      </c>
      <c r="J50" s="8">
        <v>100</v>
      </c>
      <c r="K50" s="8">
        <v>100</v>
      </c>
      <c r="L50" s="6" t="s">
        <v>73</v>
      </c>
      <c r="M50" s="7">
        <v>46003</v>
      </c>
      <c r="N50" s="6" t="s">
        <v>123</v>
      </c>
      <c r="O50" s="6" t="str">
        <f t="shared" si="3"/>
        <v>OneShare Bonus Melinda Galeaz-251815544</v>
      </c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customHeight="1" x14ac:dyDescent="0.25">
      <c r="E51" s="2"/>
      <c r="F51" s="2"/>
      <c r="M51" s="2"/>
    </row>
    <row r="52" spans="1:26" ht="15.75" customHeight="1" x14ac:dyDescent="0.25">
      <c r="E52" s="2"/>
      <c r="F52" s="2"/>
      <c r="M52" s="2"/>
    </row>
    <row r="53" spans="1:26" ht="15.75" customHeight="1" x14ac:dyDescent="0.25">
      <c r="E53" s="2"/>
      <c r="F53" s="2"/>
      <c r="J53" s="3"/>
      <c r="M53" s="2"/>
    </row>
    <row r="54" spans="1:26" ht="15.75" customHeight="1" x14ac:dyDescent="0.25">
      <c r="E54" s="2"/>
      <c r="F54" s="2"/>
      <c r="J54" s="3"/>
      <c r="M54" s="2"/>
    </row>
    <row r="55" spans="1:26" ht="15.75" customHeight="1" x14ac:dyDescent="0.25">
      <c r="E55" s="2"/>
      <c r="F55" s="2"/>
      <c r="J55" s="3"/>
      <c r="M55" s="2"/>
    </row>
    <row r="56" spans="1:26" ht="15.75" customHeight="1" x14ac:dyDescent="0.25">
      <c r="E56" s="2"/>
      <c r="F56" s="2"/>
      <c r="M56" s="2"/>
    </row>
    <row r="57" spans="1:26" ht="15.75" customHeight="1" x14ac:dyDescent="0.25">
      <c r="E57" s="2"/>
      <c r="F57" s="2"/>
      <c r="J57" s="3"/>
      <c r="M57" s="2"/>
    </row>
    <row r="58" spans="1:26" ht="15.75" customHeight="1" x14ac:dyDescent="0.25">
      <c r="E58" s="2"/>
      <c r="F58" s="2"/>
      <c r="J58" s="3"/>
      <c r="M58" s="2"/>
    </row>
    <row r="59" spans="1:26" ht="15.75" customHeight="1" x14ac:dyDescent="0.25">
      <c r="E59" s="2"/>
      <c r="F59" s="2"/>
      <c r="J59" s="3"/>
      <c r="M59" s="2"/>
    </row>
    <row r="60" spans="1:26" ht="15.75" customHeight="1" x14ac:dyDescent="0.25">
      <c r="E60" s="2"/>
      <c r="F60" s="2"/>
      <c r="J60" s="3"/>
      <c r="M60" s="2"/>
    </row>
    <row r="61" spans="1:26" ht="15.75" customHeight="1" x14ac:dyDescent="0.25">
      <c r="E61" s="2"/>
      <c r="F61" s="2"/>
      <c r="J61" s="3"/>
      <c r="M61" s="2"/>
    </row>
    <row r="62" spans="1:26" ht="15.75" customHeight="1" x14ac:dyDescent="0.25">
      <c r="E62" s="2"/>
      <c r="F62" s="2"/>
      <c r="J62" s="3"/>
      <c r="M62" s="2"/>
    </row>
    <row r="63" spans="1:26" ht="15.75" customHeight="1" x14ac:dyDescent="0.25">
      <c r="E63" s="2"/>
      <c r="F63" s="2"/>
      <c r="J63" s="3"/>
      <c r="M63" s="2"/>
    </row>
    <row r="64" spans="1:26" ht="15.75" customHeight="1" x14ac:dyDescent="0.25">
      <c r="E64" s="2"/>
      <c r="F64" s="2"/>
      <c r="J64" s="3"/>
      <c r="M64" s="2"/>
    </row>
    <row r="65" spans="5:13" ht="15.75" customHeight="1" x14ac:dyDescent="0.25">
      <c r="E65" s="2"/>
      <c r="F65" s="2"/>
      <c r="J65" s="3"/>
      <c r="M65" s="2"/>
    </row>
    <row r="66" spans="5:13" ht="15.75" customHeight="1" x14ac:dyDescent="0.25">
      <c r="E66" s="2"/>
      <c r="F66" s="2"/>
      <c r="M66" s="2"/>
    </row>
    <row r="67" spans="5:13" ht="15.75" customHeight="1" x14ac:dyDescent="0.25">
      <c r="E67" s="2"/>
      <c r="F67" s="2"/>
      <c r="J67" s="3"/>
      <c r="M67" s="2"/>
    </row>
    <row r="68" spans="5:13" ht="15.75" customHeight="1" x14ac:dyDescent="0.25">
      <c r="E68" s="2"/>
      <c r="F68" s="2"/>
      <c r="J68" s="3"/>
      <c r="M68" s="2"/>
    </row>
    <row r="69" spans="5:13" ht="15.75" customHeight="1" x14ac:dyDescent="0.25">
      <c r="E69" s="2"/>
      <c r="F69" s="2"/>
      <c r="J69" s="3"/>
      <c r="M69" s="2"/>
    </row>
    <row r="70" spans="5:13" ht="15.75" customHeight="1" x14ac:dyDescent="0.25">
      <c r="E70" s="2"/>
      <c r="F70" s="2"/>
      <c r="J70" s="3"/>
      <c r="M70" s="2"/>
    </row>
    <row r="71" spans="5:13" ht="15.75" customHeight="1" x14ac:dyDescent="0.25">
      <c r="E71" s="2"/>
      <c r="F71" s="2"/>
      <c r="J71" s="3"/>
      <c r="M71" s="2"/>
    </row>
    <row r="72" spans="5:13" ht="15.75" customHeight="1" x14ac:dyDescent="0.25">
      <c r="E72" s="2"/>
      <c r="F72" s="2"/>
      <c r="J72" s="3"/>
      <c r="M72" s="2"/>
    </row>
    <row r="73" spans="5:13" ht="15.75" customHeight="1" x14ac:dyDescent="0.25">
      <c r="E73" s="2"/>
      <c r="F73" s="2"/>
      <c r="M73" s="2"/>
    </row>
    <row r="74" spans="5:13" ht="15.75" customHeight="1" x14ac:dyDescent="0.25">
      <c r="E74" s="2"/>
      <c r="F74" s="2"/>
      <c r="J74" s="3"/>
      <c r="M74" s="2"/>
    </row>
    <row r="75" spans="5:13" ht="15.75" customHeight="1" x14ac:dyDescent="0.25">
      <c r="E75" s="2"/>
      <c r="F75" s="2"/>
      <c r="J75" s="3"/>
      <c r="M75" s="2"/>
    </row>
    <row r="76" spans="5:13" ht="15.75" customHeight="1" x14ac:dyDescent="0.25">
      <c r="E76" s="2"/>
      <c r="F76" s="2"/>
      <c r="M76" s="2"/>
    </row>
    <row r="77" spans="5:13" ht="15.75" customHeight="1" x14ac:dyDescent="0.25">
      <c r="E77" s="2"/>
      <c r="F77" s="2"/>
      <c r="J77" s="3"/>
      <c r="M77" s="2"/>
    </row>
    <row r="78" spans="5:13" ht="15.75" customHeight="1" x14ac:dyDescent="0.25">
      <c r="E78" s="2"/>
      <c r="F78" s="2"/>
      <c r="J78" s="3"/>
      <c r="M78" s="2"/>
    </row>
    <row r="79" spans="5:13" ht="15.75" customHeight="1" x14ac:dyDescent="0.25">
      <c r="E79" s="2"/>
      <c r="F79" s="2"/>
      <c r="M79" s="2"/>
    </row>
    <row r="80" spans="5:13" ht="15.75" customHeight="1" x14ac:dyDescent="0.25">
      <c r="E80" s="2"/>
      <c r="F80" s="2"/>
      <c r="J80" s="3"/>
      <c r="M80" s="2"/>
    </row>
    <row r="81" spans="5:13" ht="15.75" customHeight="1" x14ac:dyDescent="0.25">
      <c r="E81" s="2"/>
      <c r="F81" s="2"/>
      <c r="J81" s="3"/>
      <c r="M81" s="2"/>
    </row>
    <row r="82" spans="5:13" ht="15.75" customHeight="1" x14ac:dyDescent="0.25">
      <c r="E82" s="2"/>
      <c r="F82" s="2"/>
      <c r="J82" s="3"/>
      <c r="M82" s="2"/>
    </row>
    <row r="83" spans="5:13" ht="15.75" customHeight="1" x14ac:dyDescent="0.25">
      <c r="E83" s="2"/>
      <c r="F83" s="2"/>
      <c r="J83" s="3"/>
      <c r="M83" s="2"/>
    </row>
    <row r="84" spans="5:13" ht="15.75" customHeight="1" x14ac:dyDescent="0.25">
      <c r="E84" s="2"/>
      <c r="F84" s="2"/>
      <c r="M84" s="2"/>
    </row>
    <row r="85" spans="5:13" ht="15.75" customHeight="1" x14ac:dyDescent="0.25">
      <c r="E85" s="2"/>
      <c r="F85" s="2"/>
      <c r="M85" s="2"/>
    </row>
    <row r="86" spans="5:13" ht="15.75" customHeight="1" x14ac:dyDescent="0.25">
      <c r="E86" s="2"/>
      <c r="F86" s="2"/>
      <c r="J86" s="3"/>
      <c r="M86" s="2"/>
    </row>
    <row r="87" spans="5:13" ht="15.75" customHeight="1" x14ac:dyDescent="0.25">
      <c r="E87" s="2"/>
      <c r="F87" s="2"/>
      <c r="M87" s="2"/>
    </row>
    <row r="88" spans="5:13" ht="15.75" customHeight="1" x14ac:dyDescent="0.25">
      <c r="E88" s="2"/>
      <c r="F88" s="2"/>
      <c r="J88" s="3"/>
      <c r="M88" s="2"/>
    </row>
    <row r="89" spans="5:13" ht="15.75" customHeight="1" x14ac:dyDescent="0.25">
      <c r="E89" s="2"/>
      <c r="F89" s="2"/>
      <c r="M89" s="2"/>
    </row>
    <row r="90" spans="5:13" ht="15.75" customHeight="1" x14ac:dyDescent="0.25">
      <c r="E90" s="2"/>
      <c r="F90" s="2"/>
      <c r="M90" s="2"/>
    </row>
    <row r="91" spans="5:13" ht="15.75" customHeight="1" x14ac:dyDescent="0.25">
      <c r="E91" s="2"/>
      <c r="F91" s="2"/>
      <c r="J91" s="3"/>
      <c r="M91" s="2"/>
    </row>
    <row r="92" spans="5:13" ht="15.75" customHeight="1" x14ac:dyDescent="0.25">
      <c r="E92" s="2"/>
      <c r="F92" s="2"/>
      <c r="M92" s="2"/>
    </row>
    <row r="93" spans="5:13" ht="15.75" customHeight="1" x14ac:dyDescent="0.25">
      <c r="E93" s="2"/>
      <c r="F93" s="2"/>
      <c r="J93" s="3"/>
      <c r="M93" s="2"/>
    </row>
    <row r="94" spans="5:13" ht="15.75" customHeight="1" x14ac:dyDescent="0.25">
      <c r="E94" s="2"/>
      <c r="F94" s="2"/>
      <c r="J94" s="3"/>
      <c r="M94" s="2"/>
    </row>
    <row r="95" spans="5:13" ht="15.75" customHeight="1" x14ac:dyDescent="0.25">
      <c r="E95" s="2"/>
      <c r="F95" s="2"/>
      <c r="M95" s="2"/>
    </row>
    <row r="96" spans="5:13" ht="15.75" customHeight="1" x14ac:dyDescent="0.25">
      <c r="E96" s="2"/>
      <c r="F96" s="2"/>
      <c r="J96" s="3"/>
      <c r="M96" s="2"/>
    </row>
    <row r="97" spans="5:13" ht="15.75" customHeight="1" x14ac:dyDescent="0.25">
      <c r="E97" s="2"/>
      <c r="F97" s="2"/>
      <c r="J97" s="3"/>
      <c r="M97" s="2"/>
    </row>
    <row r="98" spans="5:13" ht="15.75" customHeight="1" x14ac:dyDescent="0.25">
      <c r="E98" s="2"/>
      <c r="F98" s="2"/>
      <c r="J98" s="3"/>
      <c r="M98" s="2"/>
    </row>
    <row r="99" spans="5:13" ht="15.75" customHeight="1" x14ac:dyDescent="0.25">
      <c r="E99" s="2"/>
      <c r="F99" s="2"/>
      <c r="J99" s="3"/>
      <c r="M99" s="2"/>
    </row>
    <row r="100" spans="5:13" ht="15.75" customHeight="1" x14ac:dyDescent="0.25">
      <c r="E100" s="2"/>
      <c r="F100" s="2"/>
      <c r="M100" s="2"/>
    </row>
    <row r="101" spans="5:13" ht="15.75" customHeight="1" x14ac:dyDescent="0.25">
      <c r="E101" s="2"/>
      <c r="F101" s="2"/>
      <c r="J101" s="3"/>
      <c r="M101" s="2"/>
    </row>
    <row r="102" spans="5:13" ht="15.75" customHeight="1" x14ac:dyDescent="0.25">
      <c r="E102" s="2"/>
      <c r="F102" s="2"/>
      <c r="J102" s="3"/>
      <c r="M102" s="2"/>
    </row>
    <row r="103" spans="5:13" ht="15.75" customHeight="1" x14ac:dyDescent="0.25">
      <c r="E103" s="2"/>
      <c r="F103" s="2"/>
      <c r="J103" s="3"/>
      <c r="M103" s="2"/>
    </row>
    <row r="104" spans="5:13" ht="15.75" customHeight="1" x14ac:dyDescent="0.25">
      <c r="E104" s="2"/>
      <c r="F104" s="2"/>
      <c r="J104" s="3"/>
      <c r="M104" s="2"/>
    </row>
    <row r="105" spans="5:13" ht="15.75" customHeight="1" x14ac:dyDescent="0.25">
      <c r="E105" s="2"/>
      <c r="F105" s="2"/>
      <c r="J105" s="3"/>
      <c r="M105" s="2"/>
    </row>
    <row r="106" spans="5:13" ht="15.75" customHeight="1" x14ac:dyDescent="0.25">
      <c r="E106" s="2"/>
      <c r="F106" s="2"/>
      <c r="M106" s="2"/>
    </row>
    <row r="107" spans="5:13" ht="15.75" customHeight="1" x14ac:dyDescent="0.25">
      <c r="E107" s="2"/>
      <c r="F107" s="2"/>
      <c r="J107" s="3"/>
      <c r="M107" s="2"/>
    </row>
    <row r="108" spans="5:13" ht="15.75" customHeight="1" x14ac:dyDescent="0.25">
      <c r="E108" s="2"/>
      <c r="F108" s="2"/>
      <c r="J108" s="3"/>
      <c r="M108" s="2"/>
    </row>
    <row r="109" spans="5:13" ht="15.75" customHeight="1" x14ac:dyDescent="0.25">
      <c r="E109" s="2"/>
      <c r="F109" s="2"/>
      <c r="J109" s="3"/>
      <c r="M109" s="2"/>
    </row>
    <row r="110" spans="5:13" ht="15.75" customHeight="1" x14ac:dyDescent="0.25">
      <c r="E110" s="2"/>
      <c r="F110" s="2"/>
      <c r="M110" s="2"/>
    </row>
    <row r="111" spans="5:13" ht="15.75" customHeight="1" x14ac:dyDescent="0.25">
      <c r="E111" s="2"/>
      <c r="F111" s="2"/>
      <c r="J111" s="3"/>
      <c r="M111" s="2"/>
    </row>
    <row r="112" spans="5:13" ht="15.75" customHeight="1" x14ac:dyDescent="0.25">
      <c r="E112" s="2"/>
      <c r="F112" s="2"/>
      <c r="J112" s="3"/>
      <c r="M112" s="2"/>
    </row>
    <row r="113" spans="5:13" ht="15.75" customHeight="1" x14ac:dyDescent="0.25">
      <c r="E113" s="2"/>
      <c r="F113" s="2"/>
      <c r="J113" s="3"/>
      <c r="M113" s="2"/>
    </row>
    <row r="114" spans="5:13" ht="15.75" customHeight="1" x14ac:dyDescent="0.25">
      <c r="E114" s="2"/>
      <c r="F114" s="2"/>
      <c r="J114" s="3"/>
      <c r="M114" s="2"/>
    </row>
    <row r="115" spans="5:13" ht="15.75" customHeight="1" x14ac:dyDescent="0.25">
      <c r="E115" s="2"/>
      <c r="F115" s="2"/>
      <c r="J115" s="3"/>
      <c r="M115" s="2"/>
    </row>
    <row r="116" spans="5:13" ht="15.75" customHeight="1" x14ac:dyDescent="0.25">
      <c r="E116" s="2"/>
      <c r="F116" s="2"/>
      <c r="J116" s="3"/>
      <c r="M116" s="2"/>
    </row>
    <row r="117" spans="5:13" ht="15.75" customHeight="1" x14ac:dyDescent="0.25">
      <c r="E117" s="2"/>
      <c r="F117" s="2"/>
      <c r="J117" s="3"/>
      <c r="M117" s="2"/>
    </row>
    <row r="118" spans="5:13" ht="15.75" customHeight="1" x14ac:dyDescent="0.25">
      <c r="E118" s="2"/>
      <c r="F118" s="2"/>
      <c r="J118" s="3"/>
      <c r="M118" s="2"/>
    </row>
    <row r="119" spans="5:13" ht="15.75" customHeight="1" x14ac:dyDescent="0.25">
      <c r="E119" s="2"/>
      <c r="F119" s="2"/>
      <c r="J119" s="3"/>
      <c r="M119" s="2"/>
    </row>
    <row r="120" spans="5:13" ht="15.75" customHeight="1" x14ac:dyDescent="0.25">
      <c r="E120" s="2"/>
      <c r="F120" s="2"/>
      <c r="J120" s="3"/>
      <c r="M120" s="2"/>
    </row>
    <row r="121" spans="5:13" ht="15.75" customHeight="1" x14ac:dyDescent="0.25">
      <c r="E121" s="2"/>
      <c r="F121" s="2"/>
      <c r="J121" s="3"/>
      <c r="M121" s="2"/>
    </row>
    <row r="122" spans="5:13" ht="15.75" customHeight="1" x14ac:dyDescent="0.25">
      <c r="E122" s="2"/>
      <c r="F122" s="2"/>
      <c r="J122" s="3"/>
      <c r="M122" s="2"/>
    </row>
    <row r="123" spans="5:13" ht="15.75" customHeight="1" x14ac:dyDescent="0.25">
      <c r="E123" s="2"/>
      <c r="F123" s="2"/>
      <c r="J123" s="3"/>
      <c r="M123" s="2"/>
    </row>
    <row r="124" spans="5:13" ht="15.75" customHeight="1" x14ac:dyDescent="0.25">
      <c r="E124" s="2"/>
      <c r="F124" s="2"/>
      <c r="J124" s="3"/>
      <c r="M124" s="2"/>
    </row>
    <row r="125" spans="5:13" ht="15.75" customHeight="1" x14ac:dyDescent="0.25">
      <c r="E125" s="2"/>
      <c r="F125" s="2"/>
      <c r="J125" s="3"/>
      <c r="M125" s="2"/>
    </row>
    <row r="126" spans="5:13" ht="15.75" customHeight="1" x14ac:dyDescent="0.25">
      <c r="E126" s="2"/>
      <c r="F126" s="2"/>
      <c r="J126" s="3"/>
      <c r="M126" s="2"/>
    </row>
    <row r="127" spans="5:13" ht="15.75" customHeight="1" x14ac:dyDescent="0.25">
      <c r="E127" s="2"/>
      <c r="F127" s="2"/>
      <c r="M127" s="2"/>
    </row>
    <row r="128" spans="5:13" ht="15.75" customHeight="1" x14ac:dyDescent="0.25">
      <c r="E128" s="2"/>
      <c r="F128" s="2"/>
      <c r="J128" s="3"/>
      <c r="M128" s="2"/>
    </row>
    <row r="129" spans="5:13" ht="15.75" customHeight="1" x14ac:dyDescent="0.25">
      <c r="E129" s="2"/>
      <c r="F129" s="2"/>
      <c r="J129" s="3"/>
      <c r="M129" s="2"/>
    </row>
    <row r="130" spans="5:13" ht="15.75" customHeight="1" x14ac:dyDescent="0.25">
      <c r="E130" s="2"/>
      <c r="F130" s="2"/>
      <c r="J130" s="3"/>
      <c r="M130" s="2"/>
    </row>
    <row r="131" spans="5:13" ht="15.75" customHeight="1" x14ac:dyDescent="0.25">
      <c r="E131" s="2"/>
      <c r="F131" s="2"/>
      <c r="J131" s="3"/>
      <c r="M131" s="2"/>
    </row>
    <row r="132" spans="5:13" ht="15.75" customHeight="1" x14ac:dyDescent="0.25">
      <c r="E132" s="2"/>
      <c r="F132" s="2"/>
      <c r="J132" s="3"/>
      <c r="M132" s="2"/>
    </row>
    <row r="133" spans="5:13" ht="15.75" customHeight="1" x14ac:dyDescent="0.25">
      <c r="E133" s="2"/>
      <c r="F133" s="2"/>
      <c r="J133" s="3"/>
      <c r="M133" s="2"/>
    </row>
    <row r="134" spans="5:13" ht="15.75" customHeight="1" x14ac:dyDescent="0.25">
      <c r="E134" s="2"/>
      <c r="F134" s="2"/>
      <c r="J134" s="3"/>
      <c r="M134" s="2"/>
    </row>
    <row r="135" spans="5:13" ht="15.75" customHeight="1" x14ac:dyDescent="0.25">
      <c r="E135" s="2"/>
      <c r="F135" s="2"/>
      <c r="J135" s="3"/>
      <c r="M135" s="2"/>
    </row>
    <row r="136" spans="5:13" ht="15.75" customHeight="1" x14ac:dyDescent="0.25">
      <c r="E136" s="2"/>
      <c r="F136" s="2"/>
      <c r="J136" s="3"/>
      <c r="M136" s="2"/>
    </row>
    <row r="137" spans="5:13" ht="15.75" customHeight="1" x14ac:dyDescent="0.25">
      <c r="E137" s="2"/>
      <c r="F137" s="2"/>
      <c r="M137" s="2"/>
    </row>
    <row r="138" spans="5:13" ht="15.75" customHeight="1" x14ac:dyDescent="0.25">
      <c r="E138" s="2"/>
      <c r="F138" s="2"/>
      <c r="J138" s="3"/>
      <c r="M138" s="2"/>
    </row>
    <row r="139" spans="5:13" ht="15.75" customHeight="1" x14ac:dyDescent="0.25">
      <c r="E139" s="2"/>
      <c r="F139" s="2"/>
      <c r="M139" s="2"/>
    </row>
    <row r="140" spans="5:13" ht="15.75" customHeight="1" x14ac:dyDescent="0.25">
      <c r="E140" s="2"/>
      <c r="F140" s="2"/>
      <c r="M140" s="2"/>
    </row>
    <row r="141" spans="5:13" ht="15.75" customHeight="1" x14ac:dyDescent="0.25">
      <c r="E141" s="2"/>
      <c r="F141" s="2"/>
      <c r="J141" s="3"/>
      <c r="M141" s="2"/>
    </row>
    <row r="142" spans="5:13" ht="15.75" customHeight="1" x14ac:dyDescent="0.25">
      <c r="E142" s="2"/>
      <c r="F142" s="2"/>
      <c r="J142" s="3"/>
      <c r="M142" s="2"/>
    </row>
    <row r="143" spans="5:13" ht="15.75" customHeight="1" x14ac:dyDescent="0.25">
      <c r="E143" s="2"/>
      <c r="F143" s="2"/>
      <c r="J143" s="3"/>
      <c r="M143" s="2"/>
    </row>
    <row r="144" spans="5:13" ht="15.75" customHeight="1" x14ac:dyDescent="0.25">
      <c r="E144" s="2"/>
      <c r="F144" s="2"/>
      <c r="J144" s="3"/>
      <c r="M144" s="2"/>
    </row>
    <row r="145" spans="5:13" ht="15.75" customHeight="1" x14ac:dyDescent="0.25">
      <c r="E145" s="2"/>
      <c r="F145" s="2"/>
      <c r="J145" s="3"/>
      <c r="M145" s="2"/>
    </row>
    <row r="146" spans="5:13" ht="15.75" customHeight="1" x14ac:dyDescent="0.25">
      <c r="E146" s="2"/>
      <c r="F146" s="2"/>
      <c r="J146" s="3"/>
      <c r="M146" s="2"/>
    </row>
    <row r="147" spans="5:13" ht="15.75" customHeight="1" x14ac:dyDescent="0.25">
      <c r="E147" s="2"/>
      <c r="F147" s="2"/>
      <c r="J147" s="3"/>
      <c r="M147" s="2"/>
    </row>
    <row r="148" spans="5:13" ht="15.75" customHeight="1" x14ac:dyDescent="0.25">
      <c r="E148" s="2"/>
      <c r="F148" s="2"/>
      <c r="J148" s="3"/>
      <c r="M148" s="2"/>
    </row>
    <row r="149" spans="5:13" ht="15.75" customHeight="1" x14ac:dyDescent="0.25">
      <c r="E149" s="2"/>
      <c r="F149" s="2"/>
      <c r="J149" s="3"/>
      <c r="M149" s="2"/>
    </row>
    <row r="150" spans="5:13" ht="15.75" customHeight="1" x14ac:dyDescent="0.25">
      <c r="E150" s="2"/>
      <c r="F150" s="2"/>
      <c r="M150" s="2"/>
    </row>
    <row r="151" spans="5:13" ht="15.75" customHeight="1" x14ac:dyDescent="0.25">
      <c r="E151" s="2"/>
      <c r="F151" s="2"/>
      <c r="J151" s="3"/>
      <c r="M151" s="2"/>
    </row>
    <row r="152" spans="5:13" ht="15.75" customHeight="1" x14ac:dyDescent="0.25">
      <c r="E152" s="2"/>
      <c r="F152" s="2"/>
      <c r="J152" s="3"/>
      <c r="M152" s="2"/>
    </row>
    <row r="153" spans="5:13" ht="15.75" customHeight="1" x14ac:dyDescent="0.25">
      <c r="E153" s="2"/>
      <c r="F153" s="2"/>
      <c r="M153" s="2"/>
    </row>
    <row r="154" spans="5:13" ht="15.75" customHeight="1" x14ac:dyDescent="0.25">
      <c r="E154" s="2"/>
      <c r="F154" s="2"/>
      <c r="M154" s="2"/>
    </row>
    <row r="155" spans="5:13" ht="15.75" customHeight="1" x14ac:dyDescent="0.25">
      <c r="E155" s="2"/>
      <c r="F155" s="2"/>
      <c r="J155" s="3"/>
      <c r="M155" s="2"/>
    </row>
    <row r="156" spans="5:13" ht="15.75" customHeight="1" x14ac:dyDescent="0.25">
      <c r="E156" s="2"/>
      <c r="F156" s="2"/>
      <c r="J156" s="3"/>
      <c r="M156" s="2"/>
    </row>
    <row r="157" spans="5:13" ht="15.75" customHeight="1" x14ac:dyDescent="0.25">
      <c r="E157" s="2"/>
      <c r="F157" s="2"/>
      <c r="J157" s="3"/>
      <c r="M157" s="2"/>
    </row>
    <row r="158" spans="5:13" ht="15.75" customHeight="1" x14ac:dyDescent="0.25">
      <c r="E158" s="2"/>
      <c r="F158" s="2"/>
      <c r="M158" s="2"/>
    </row>
    <row r="159" spans="5:13" ht="15.75" customHeight="1" x14ac:dyDescent="0.25">
      <c r="E159" s="2"/>
      <c r="F159" s="2"/>
      <c r="J159" s="3"/>
      <c r="M159" s="2"/>
    </row>
    <row r="160" spans="5:13" ht="15.75" customHeight="1" x14ac:dyDescent="0.25">
      <c r="E160" s="2"/>
      <c r="J160" s="3"/>
      <c r="M160" s="2"/>
    </row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commissions-all-export-2025_12_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PATIL JAYESH</dc:creator>
  <cp:lastModifiedBy>Loula Irene Cabel</cp:lastModifiedBy>
  <dcterms:created xsi:type="dcterms:W3CDTF">2025-12-27T00:12:43Z</dcterms:created>
  <dcterms:modified xsi:type="dcterms:W3CDTF">2026-03-06T21:35:06Z</dcterms:modified>
</cp:coreProperties>
</file>