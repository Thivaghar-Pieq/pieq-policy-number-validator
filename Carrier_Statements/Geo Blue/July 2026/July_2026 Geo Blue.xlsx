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Geo Blue\July 2026\"/>
    </mc:Choice>
  </mc:AlternateContent>
  <xr:revisionPtr revIDLastSave="0" documentId="13_ncr:1_{1D1F5E38-F3BD-443F-8D96-3FA1733DAD5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July 2026 Commiss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B11" i="2"/>
  <c r="B9" i="2"/>
  <c r="B8" i="2"/>
  <c r="B7" i="2"/>
  <c r="B6" i="2"/>
  <c r="B5" i="2"/>
  <c r="B4" i="2"/>
  <c r="B3" i="2"/>
  <c r="B2" i="2"/>
  <c r="D21" i="1"/>
  <c r="C21" i="1"/>
  <c r="D18" i="1"/>
  <c r="C18" i="1"/>
  <c r="J15" i="1"/>
  <c r="H15" i="1"/>
</calcChain>
</file>

<file path=xl/sharedStrings.xml><?xml version="1.0" encoding="utf-8"?>
<sst xmlns="http://schemas.openxmlformats.org/spreadsheetml/2006/main" count="163" uniqueCount="60">
  <si>
    <t>July 2026 Commission Statement for: Main Line Benefits LLC (366635)</t>
  </si>
  <si>
    <t>Worldwide Insurance Services</t>
  </si>
  <si>
    <t>Policy ID</t>
  </si>
  <si>
    <t>Effective Date</t>
  </si>
  <si>
    <t>Brand</t>
  </si>
  <si>
    <t>Product</t>
  </si>
  <si>
    <t>Customer</t>
  </si>
  <si>
    <t>Commission Percent</t>
  </si>
  <si>
    <t>Sub Producer Name</t>
  </si>
  <si>
    <t>Premium Collected</t>
  </si>
  <si>
    <t>Premium Collected Date</t>
  </si>
  <si>
    <t>Commission Amount</t>
  </si>
  <si>
    <t>984517285</t>
  </si>
  <si>
    <t>2026-07-05</t>
  </si>
  <si>
    <t>BCBSGS</t>
  </si>
  <si>
    <t>Single Trip Gold</t>
  </si>
  <si>
    <t>Irena Klim</t>
  </si>
  <si>
    <t>MAINLINE BENEFITS</t>
  </si>
  <si>
    <t>2026-07-02</t>
  </si>
  <si>
    <t>837258087</t>
  </si>
  <si>
    <t>2026-07-10</t>
  </si>
  <si>
    <t>Waldemar Parol</t>
  </si>
  <si>
    <t>2026-07-09</t>
  </si>
  <si>
    <t>978398349</t>
  </si>
  <si>
    <t>Malgorzata Gala</t>
  </si>
  <si>
    <t>987226960</t>
  </si>
  <si>
    <t>Sylwia Krzyzanowska</t>
  </si>
  <si>
    <t>891641469</t>
  </si>
  <si>
    <t>2026-07-12</t>
  </si>
  <si>
    <t>Piotr Gawron</t>
  </si>
  <si>
    <t>2026-07-11</t>
  </si>
  <si>
    <t>914952675</t>
  </si>
  <si>
    <t>2026-07-23</t>
  </si>
  <si>
    <t>Single Trip Platinum</t>
  </si>
  <si>
    <t>Wojciech Pietka</t>
  </si>
  <si>
    <t>994126828</t>
  </si>
  <si>
    <t>2026-07-16</t>
  </si>
  <si>
    <t>Bartlomiej Bak</t>
  </si>
  <si>
    <t>2026-07-15</t>
  </si>
  <si>
    <t>810569633</t>
  </si>
  <si>
    <t>2026-07-24</t>
  </si>
  <si>
    <t>Janusz Stachowiak</t>
  </si>
  <si>
    <t>2026-07-17</t>
  </si>
  <si>
    <t>973636299</t>
  </si>
  <si>
    <t>2026-07-21</t>
  </si>
  <si>
    <t>Seth Jackson</t>
  </si>
  <si>
    <t>Rebecca Jackson</t>
  </si>
  <si>
    <t>2026-07-18</t>
  </si>
  <si>
    <t>908983761</t>
  </si>
  <si>
    <t>Krzysztof Krasowski</t>
  </si>
  <si>
    <t>2026-07-20</t>
  </si>
  <si>
    <t>Total</t>
  </si>
  <si>
    <t>Subtotals by Product Line</t>
  </si>
  <si>
    <t>Collected Premium</t>
  </si>
  <si>
    <t>Single-Trip</t>
  </si>
  <si>
    <t>Subtotals by Brand</t>
  </si>
  <si>
    <t>1. Amount shown reflects collected premium</t>
  </si>
  <si>
    <t>(R) indicates that this policy is a renewal</t>
  </si>
  <si>
    <t>Geo Blue OVR</t>
  </si>
  <si>
    <t>BCBSGB Single Trip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</si>
</sst>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1"/>
      <color rgb="FF44444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  <xf numFmtId="0" fontId="4" fillId="0" borderId="1" xfId="0" applyFont="1" applyBorder="1"/>
    <xf numFmtId="10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65" fontId="5" fillId="0" borderId="1" xfId="0" applyNumberFormat="1" applyFont="1" applyBorder="1"/>
    <xf numFmtId="0" fontId="0" fillId="0" borderId="1" xfId="0" applyBorder="1"/>
    <xf numFmtId="0" fontId="5" fillId="0" borderId="0" xfId="0" applyFont="1"/>
    <xf numFmtId="0" fontId="4" fillId="0" borderId="0" xfId="0" applyFont="1"/>
    <xf numFmtId="165" fontId="0" fillId="0" borderId="0" xfId="0" applyNumberForma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zoomScaleNormal="100" workbookViewId="0">
      <pane ySplit="4" topLeftCell="A5" activePane="bottomLeft" state="frozen"/>
      <selection pane="bottomLeft" sqref="A1:XFD1048576"/>
    </sheetView>
  </sheetViews>
  <sheetFormatPr defaultColWidth="8.7109375" defaultRowHeight="15" x14ac:dyDescent="0.25"/>
  <cols>
    <col min="1" max="1" width="14" customWidth="1"/>
    <col min="2" max="2" width="13" customWidth="1"/>
    <col min="3" max="3" width="10" customWidth="1"/>
    <col min="4" max="4" width="18" customWidth="1"/>
    <col min="5" max="5" width="20" customWidth="1"/>
    <col min="6" max="6" width="12" customWidth="1"/>
    <col min="7" max="7" width="18" customWidth="1"/>
    <col min="8" max="8" width="15" customWidth="1"/>
    <col min="9" max="9" width="18" customWidth="1"/>
    <col min="10" max="10" width="15" customWidth="1"/>
  </cols>
  <sheetData>
    <row r="1" spans="1:10" ht="18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25.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5">
      <c r="A5" s="2" t="s">
        <v>12</v>
      </c>
      <c r="B5" s="3" t="s">
        <v>13</v>
      </c>
      <c r="C5" s="4" t="s">
        <v>14</v>
      </c>
      <c r="D5" s="4" t="s">
        <v>15</v>
      </c>
      <c r="E5" s="4" t="s">
        <v>16</v>
      </c>
      <c r="F5" s="5">
        <v>7.0000000000000007E-2</v>
      </c>
      <c r="G5" s="4" t="s">
        <v>17</v>
      </c>
      <c r="H5" s="6">
        <v>245.63</v>
      </c>
      <c r="I5" s="3" t="s">
        <v>18</v>
      </c>
      <c r="J5" s="6">
        <v>17.190000000000001</v>
      </c>
    </row>
    <row r="6" spans="1:10" x14ac:dyDescent="0.25">
      <c r="A6" s="2" t="s">
        <v>19</v>
      </c>
      <c r="B6" s="3" t="s">
        <v>20</v>
      </c>
      <c r="C6" s="4" t="s">
        <v>14</v>
      </c>
      <c r="D6" s="4" t="s">
        <v>15</v>
      </c>
      <c r="E6" s="4" t="s">
        <v>21</v>
      </c>
      <c r="F6" s="5">
        <v>7.0099999999999996E-2</v>
      </c>
      <c r="G6" s="4" t="s">
        <v>17</v>
      </c>
      <c r="H6" s="6">
        <v>27.12</v>
      </c>
      <c r="I6" s="3" t="s">
        <v>22</v>
      </c>
      <c r="J6" s="6">
        <v>1.9</v>
      </c>
    </row>
    <row r="7" spans="1:10" x14ac:dyDescent="0.25">
      <c r="A7" s="2" t="s">
        <v>23</v>
      </c>
      <c r="B7" s="3" t="s">
        <v>20</v>
      </c>
      <c r="C7" s="4" t="s">
        <v>14</v>
      </c>
      <c r="D7" s="4" t="s">
        <v>15</v>
      </c>
      <c r="E7" s="4" t="s">
        <v>24</v>
      </c>
      <c r="F7" s="5">
        <v>7.0099999999999996E-2</v>
      </c>
      <c r="G7" s="4" t="s">
        <v>17</v>
      </c>
      <c r="H7" s="6">
        <v>27.12</v>
      </c>
      <c r="I7" s="3" t="s">
        <v>22</v>
      </c>
      <c r="J7" s="6">
        <v>1.9</v>
      </c>
    </row>
    <row r="8" spans="1:10" x14ac:dyDescent="0.25">
      <c r="A8" s="2" t="s">
        <v>25</v>
      </c>
      <c r="B8" s="3" t="s">
        <v>20</v>
      </c>
      <c r="C8" s="4" t="s">
        <v>14</v>
      </c>
      <c r="D8" s="4" t="s">
        <v>15</v>
      </c>
      <c r="E8" s="4" t="s">
        <v>26</v>
      </c>
      <c r="F8" s="5">
        <v>7.0000000000000007E-2</v>
      </c>
      <c r="G8" s="4" t="s">
        <v>17</v>
      </c>
      <c r="H8" s="6">
        <v>75.739999999999995</v>
      </c>
      <c r="I8" s="3" t="s">
        <v>22</v>
      </c>
      <c r="J8" s="6">
        <v>5.3</v>
      </c>
    </row>
    <row r="9" spans="1:10" x14ac:dyDescent="0.25">
      <c r="A9" s="2" t="s">
        <v>27</v>
      </c>
      <c r="B9" s="3" t="s">
        <v>28</v>
      </c>
      <c r="C9" s="4" t="s">
        <v>14</v>
      </c>
      <c r="D9" s="4" t="s">
        <v>15</v>
      </c>
      <c r="E9" s="4" t="s">
        <v>29</v>
      </c>
      <c r="F9" s="5">
        <v>7.0000000000000007E-2</v>
      </c>
      <c r="G9" s="4" t="s">
        <v>17</v>
      </c>
      <c r="H9" s="6">
        <v>432.8</v>
      </c>
      <c r="I9" s="3" t="s">
        <v>30</v>
      </c>
      <c r="J9" s="6">
        <v>30.3</v>
      </c>
    </row>
    <row r="10" spans="1:10" x14ac:dyDescent="0.25">
      <c r="A10" s="2" t="s">
        <v>31</v>
      </c>
      <c r="B10" s="3" t="s">
        <v>32</v>
      </c>
      <c r="C10" s="4" t="s">
        <v>14</v>
      </c>
      <c r="D10" s="4" t="s">
        <v>33</v>
      </c>
      <c r="E10" s="4" t="s">
        <v>34</v>
      </c>
      <c r="F10" s="5">
        <v>7.0000000000000007E-2</v>
      </c>
      <c r="G10" s="4" t="s">
        <v>17</v>
      </c>
      <c r="H10" s="6">
        <v>369.16</v>
      </c>
      <c r="I10" s="3" t="s">
        <v>30</v>
      </c>
      <c r="J10" s="6">
        <v>25.84</v>
      </c>
    </row>
    <row r="11" spans="1:10" x14ac:dyDescent="0.25">
      <c r="A11" s="2" t="s">
        <v>35</v>
      </c>
      <c r="B11" s="3" t="s">
        <v>36</v>
      </c>
      <c r="C11" s="4" t="s">
        <v>14</v>
      </c>
      <c r="D11" s="4" t="s">
        <v>15</v>
      </c>
      <c r="E11" s="4" t="s">
        <v>37</v>
      </c>
      <c r="F11" s="5">
        <v>6.9900000000000004E-2</v>
      </c>
      <c r="G11" s="4" t="s">
        <v>17</v>
      </c>
      <c r="H11" s="6">
        <v>16.59</v>
      </c>
      <c r="I11" s="3" t="s">
        <v>38</v>
      </c>
      <c r="J11" s="6">
        <v>1.1599999999999999</v>
      </c>
    </row>
    <row r="12" spans="1:10" x14ac:dyDescent="0.25">
      <c r="A12" s="2" t="s">
        <v>39</v>
      </c>
      <c r="B12" s="3" t="s">
        <v>40</v>
      </c>
      <c r="C12" s="4" t="s">
        <v>14</v>
      </c>
      <c r="D12" s="4" t="s">
        <v>33</v>
      </c>
      <c r="E12" s="4" t="s">
        <v>41</v>
      </c>
      <c r="F12" s="5">
        <v>7.0000000000000007E-2</v>
      </c>
      <c r="G12" s="4" t="s">
        <v>17</v>
      </c>
      <c r="H12" s="6">
        <v>450.66</v>
      </c>
      <c r="I12" s="3" t="s">
        <v>42</v>
      </c>
      <c r="J12" s="6">
        <v>31.55</v>
      </c>
    </row>
    <row r="13" spans="1:10" x14ac:dyDescent="0.25">
      <c r="A13" s="2" t="s">
        <v>43</v>
      </c>
      <c r="B13" s="3" t="s">
        <v>44</v>
      </c>
      <c r="C13" s="4" t="s">
        <v>14</v>
      </c>
      <c r="D13" s="4" t="s">
        <v>33</v>
      </c>
      <c r="E13" s="4" t="s">
        <v>45</v>
      </c>
      <c r="F13" s="5">
        <v>0.22</v>
      </c>
      <c r="G13" s="4" t="s">
        <v>46</v>
      </c>
      <c r="H13" s="6">
        <v>83.2</v>
      </c>
      <c r="I13" s="3" t="s">
        <v>47</v>
      </c>
      <c r="J13" s="6">
        <v>18.3</v>
      </c>
    </row>
    <row r="14" spans="1:10" x14ac:dyDescent="0.25">
      <c r="A14" s="2" t="s">
        <v>48</v>
      </c>
      <c r="B14" s="3" t="s">
        <v>32</v>
      </c>
      <c r="C14" s="4" t="s">
        <v>14</v>
      </c>
      <c r="D14" s="4" t="s">
        <v>33</v>
      </c>
      <c r="E14" s="4" t="s">
        <v>49</v>
      </c>
      <c r="F14" s="5">
        <v>7.0000000000000007E-2</v>
      </c>
      <c r="G14" s="4" t="s">
        <v>17</v>
      </c>
      <c r="H14" s="6">
        <v>108.29</v>
      </c>
      <c r="I14" s="3" t="s">
        <v>50</v>
      </c>
      <c r="J14" s="6">
        <v>7.58</v>
      </c>
    </row>
    <row r="15" spans="1:10" x14ac:dyDescent="0.25">
      <c r="G15" s="7" t="s">
        <v>51</v>
      </c>
      <c r="H15" s="8">
        <f>SUM(H5:H14)</f>
        <v>1836.3100000000002</v>
      </c>
      <c r="I15" s="9"/>
      <c r="J15" s="8">
        <f>SUM(J5:J14)</f>
        <v>141.02000000000001</v>
      </c>
    </row>
    <row r="17" spans="1:4" x14ac:dyDescent="0.25">
      <c r="A17" s="16" t="s">
        <v>52</v>
      </c>
      <c r="B17" s="16"/>
      <c r="C17" s="10" t="s">
        <v>53</v>
      </c>
      <c r="D17" s="10" t="s">
        <v>11</v>
      </c>
    </row>
    <row r="18" spans="1:4" x14ac:dyDescent="0.25">
      <c r="A18" s="11" t="s">
        <v>54</v>
      </c>
      <c r="C18" s="12">
        <f>SUMIF($D$5:$D$14,"Single Trip*",$H$5:$H$14)</f>
        <v>1836.3100000000002</v>
      </c>
      <c r="D18" s="12">
        <f>SUMIF($D$5:$D$14,"Single Trip*",$J$5:$J$14)</f>
        <v>141.02000000000001</v>
      </c>
    </row>
    <row r="20" spans="1:4" x14ac:dyDescent="0.25">
      <c r="A20" s="16" t="s">
        <v>55</v>
      </c>
      <c r="B20" s="16"/>
      <c r="C20" s="10" t="s">
        <v>53</v>
      </c>
      <c r="D20" s="10" t="s">
        <v>11</v>
      </c>
    </row>
    <row r="21" spans="1:4" x14ac:dyDescent="0.25">
      <c r="A21" s="11" t="s">
        <v>14</v>
      </c>
      <c r="C21" s="12">
        <f>SUMIF($C$5:$C$14,"BCBSGS",$H$5:$H$14)</f>
        <v>1836.3100000000002</v>
      </c>
      <c r="D21" s="12">
        <f>SUMIF($C$5:$C$14,"BCBSGS",$J$5:$J$14)</f>
        <v>141.02000000000001</v>
      </c>
    </row>
    <row r="23" spans="1:4" x14ac:dyDescent="0.25">
      <c r="A23" s="13" t="s">
        <v>56</v>
      </c>
    </row>
    <row r="24" spans="1:4" x14ac:dyDescent="0.25">
      <c r="A24" s="13" t="s">
        <v>57</v>
      </c>
    </row>
  </sheetData>
  <mergeCells count="4">
    <mergeCell ref="A1:J1"/>
    <mergeCell ref="A2:J2"/>
    <mergeCell ref="A17:B17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4871-4208-4342-8CCF-F50E5EE587B6}">
  <dimension ref="A1:N11"/>
  <sheetViews>
    <sheetView tabSelected="1" workbookViewId="0">
      <selection activeCell="L2" sqref="L2:L11"/>
    </sheetView>
  </sheetViews>
  <sheetFormatPr defaultColWidth="8.7109375" defaultRowHeight="15" x14ac:dyDescent="0.25"/>
  <cols>
    <col min="1" max="2" width="14" customWidth="1"/>
    <col min="3" max="4" width="13" customWidth="1"/>
    <col min="5" max="5" width="10" customWidth="1"/>
    <col min="6" max="6" width="18" customWidth="1"/>
    <col min="7" max="7" width="20" customWidth="1"/>
    <col min="8" max="8" width="12" customWidth="1"/>
    <col min="9" max="9" width="18" customWidth="1"/>
    <col min="10" max="10" width="15" customWidth="1"/>
    <col min="11" max="11" width="18" customWidth="1"/>
    <col min="12" max="12" width="15" customWidth="1"/>
    <col min="13" max="13" width="36.28515625" bestFit="1" customWidth="1"/>
  </cols>
  <sheetData>
    <row r="1" spans="1:14" ht="25.5" x14ac:dyDescent="0.25">
      <c r="A1" s="1" t="s">
        <v>2</v>
      </c>
      <c r="B1" s="1"/>
      <c r="C1" s="1" t="s">
        <v>3</v>
      </c>
      <c r="D1" s="1"/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2" t="s">
        <v>12</v>
      </c>
      <c r="B2" s="2" t="str">
        <f>CONCATENATE(A2,"OVR")</f>
        <v>984517285OVR</v>
      </c>
      <c r="C2" s="3">
        <v>46208</v>
      </c>
      <c r="D2" s="3">
        <f>DATE(YEAR(C2), MONTH(C2) +1, DAY(C2))</f>
        <v>46239</v>
      </c>
      <c r="E2" s="4" t="s">
        <v>14</v>
      </c>
      <c r="F2" s="4" t="s">
        <v>15</v>
      </c>
      <c r="G2" s="4" t="s">
        <v>16</v>
      </c>
      <c r="H2" s="5">
        <v>7.0000000000000007E-2</v>
      </c>
      <c r="I2" s="4" t="s">
        <v>17</v>
      </c>
      <c r="J2" s="6">
        <v>17.190000000000001</v>
      </c>
      <c r="K2" s="3">
        <v>46205</v>
      </c>
      <c r="L2" s="6">
        <v>17.190000000000001</v>
      </c>
      <c r="M2" t="s">
        <v>58</v>
      </c>
      <c r="N2">
        <v>20411454</v>
      </c>
    </row>
    <row r="3" spans="1:14" x14ac:dyDescent="0.25">
      <c r="A3" s="2" t="s">
        <v>19</v>
      </c>
      <c r="B3" s="2" t="str">
        <f t="shared" ref="B3:B9" si="0">CONCATENATE(A3,"OVR")</f>
        <v>837258087OVR</v>
      </c>
      <c r="C3" s="3">
        <v>46213</v>
      </c>
      <c r="D3" s="3">
        <f t="shared" ref="D3:D11" si="1">DATE(YEAR(C3), MONTH(C3) +1, DAY(C3))</f>
        <v>46244</v>
      </c>
      <c r="E3" s="4" t="s">
        <v>14</v>
      </c>
      <c r="F3" s="4" t="s">
        <v>15</v>
      </c>
      <c r="G3" s="4" t="s">
        <v>21</v>
      </c>
      <c r="H3" s="5">
        <v>7.0099999999999996E-2</v>
      </c>
      <c r="I3" s="4" t="s">
        <v>17</v>
      </c>
      <c r="J3" s="6">
        <v>1.9</v>
      </c>
      <c r="K3" s="3">
        <v>46212</v>
      </c>
      <c r="L3" s="6">
        <v>1.9</v>
      </c>
      <c r="M3" t="s">
        <v>58</v>
      </c>
      <c r="N3">
        <v>20411454</v>
      </c>
    </row>
    <row r="4" spans="1:14" x14ac:dyDescent="0.25">
      <c r="A4" s="2" t="s">
        <v>23</v>
      </c>
      <c r="B4" s="2" t="str">
        <f t="shared" si="0"/>
        <v>978398349OVR</v>
      </c>
      <c r="C4" s="3">
        <v>46213</v>
      </c>
      <c r="D4" s="3">
        <f t="shared" si="1"/>
        <v>46244</v>
      </c>
      <c r="E4" s="4" t="s">
        <v>14</v>
      </c>
      <c r="F4" s="4" t="s">
        <v>15</v>
      </c>
      <c r="G4" s="4" t="s">
        <v>24</v>
      </c>
      <c r="H4" s="5">
        <v>7.0099999999999996E-2</v>
      </c>
      <c r="I4" s="4" t="s">
        <v>17</v>
      </c>
      <c r="J4" s="6">
        <v>1.9</v>
      </c>
      <c r="K4" s="3">
        <v>46212</v>
      </c>
      <c r="L4" s="6">
        <v>1.9</v>
      </c>
      <c r="M4" t="s">
        <v>58</v>
      </c>
      <c r="N4">
        <v>20411454</v>
      </c>
    </row>
    <row r="5" spans="1:14" x14ac:dyDescent="0.25">
      <c r="A5" s="2" t="s">
        <v>25</v>
      </c>
      <c r="B5" s="2" t="str">
        <f t="shared" si="0"/>
        <v>987226960OVR</v>
      </c>
      <c r="C5" s="3">
        <v>46213</v>
      </c>
      <c r="D5" s="3">
        <f t="shared" si="1"/>
        <v>46244</v>
      </c>
      <c r="E5" s="4" t="s">
        <v>14</v>
      </c>
      <c r="F5" s="4" t="s">
        <v>15</v>
      </c>
      <c r="G5" s="4" t="s">
        <v>26</v>
      </c>
      <c r="H5" s="5">
        <v>7.0000000000000007E-2</v>
      </c>
      <c r="I5" s="4" t="s">
        <v>17</v>
      </c>
      <c r="J5" s="6">
        <v>5.3</v>
      </c>
      <c r="K5" s="3">
        <v>46212</v>
      </c>
      <c r="L5" s="6">
        <v>5.3</v>
      </c>
      <c r="M5" t="s">
        <v>58</v>
      </c>
      <c r="N5">
        <v>20411454</v>
      </c>
    </row>
    <row r="6" spans="1:14" x14ac:dyDescent="0.25">
      <c r="A6" s="2" t="s">
        <v>27</v>
      </c>
      <c r="B6" s="2" t="str">
        <f t="shared" si="0"/>
        <v>891641469OVR</v>
      </c>
      <c r="C6" s="3">
        <v>46215</v>
      </c>
      <c r="D6" s="3">
        <f t="shared" si="1"/>
        <v>46246</v>
      </c>
      <c r="E6" s="4" t="s">
        <v>14</v>
      </c>
      <c r="F6" s="4" t="s">
        <v>15</v>
      </c>
      <c r="G6" s="4" t="s">
        <v>29</v>
      </c>
      <c r="H6" s="5">
        <v>7.0000000000000007E-2</v>
      </c>
      <c r="I6" s="4" t="s">
        <v>17</v>
      </c>
      <c r="J6" s="6">
        <v>30.3</v>
      </c>
      <c r="K6" s="3">
        <v>46214</v>
      </c>
      <c r="L6" s="6">
        <v>30.3</v>
      </c>
      <c r="M6" t="s">
        <v>58</v>
      </c>
      <c r="N6">
        <v>20411454</v>
      </c>
    </row>
    <row r="7" spans="1:14" x14ac:dyDescent="0.25">
      <c r="A7" s="2" t="s">
        <v>31</v>
      </c>
      <c r="B7" s="2" t="str">
        <f t="shared" si="0"/>
        <v>914952675OVR</v>
      </c>
      <c r="C7" s="3">
        <v>46226</v>
      </c>
      <c r="D7" s="3">
        <f t="shared" si="1"/>
        <v>46257</v>
      </c>
      <c r="E7" s="4" t="s">
        <v>14</v>
      </c>
      <c r="F7" s="4" t="s">
        <v>33</v>
      </c>
      <c r="G7" s="4" t="s">
        <v>34</v>
      </c>
      <c r="H7" s="5">
        <v>7.0000000000000007E-2</v>
      </c>
      <c r="I7" s="4" t="s">
        <v>17</v>
      </c>
      <c r="J7" s="6">
        <v>25.84</v>
      </c>
      <c r="K7" s="3">
        <v>46214</v>
      </c>
      <c r="L7" s="6">
        <v>25.84</v>
      </c>
      <c r="M7" t="s">
        <v>58</v>
      </c>
      <c r="N7">
        <v>20411454</v>
      </c>
    </row>
    <row r="8" spans="1:14" x14ac:dyDescent="0.25">
      <c r="A8" s="2" t="s">
        <v>35</v>
      </c>
      <c r="B8" s="2" t="str">
        <f t="shared" si="0"/>
        <v>994126828OVR</v>
      </c>
      <c r="C8" s="3">
        <v>46219</v>
      </c>
      <c r="D8" s="3">
        <f t="shared" si="1"/>
        <v>46250</v>
      </c>
      <c r="E8" s="4" t="s">
        <v>14</v>
      </c>
      <c r="F8" s="4" t="s">
        <v>15</v>
      </c>
      <c r="G8" s="4" t="s">
        <v>37</v>
      </c>
      <c r="H8" s="5">
        <v>6.9900000000000004E-2</v>
      </c>
      <c r="I8" s="4" t="s">
        <v>17</v>
      </c>
      <c r="J8" s="6">
        <v>1.1599999999999999</v>
      </c>
      <c r="K8" s="3">
        <v>46218</v>
      </c>
      <c r="L8" s="6">
        <v>1.1599999999999999</v>
      </c>
      <c r="M8" t="s">
        <v>58</v>
      </c>
      <c r="N8">
        <v>20411454</v>
      </c>
    </row>
    <row r="9" spans="1:14" x14ac:dyDescent="0.25">
      <c r="A9" s="2" t="s">
        <v>39</v>
      </c>
      <c r="B9" s="2" t="str">
        <f t="shared" si="0"/>
        <v>810569633OVR</v>
      </c>
      <c r="C9" s="3">
        <v>46227</v>
      </c>
      <c r="D9" s="3">
        <f t="shared" si="1"/>
        <v>46258</v>
      </c>
      <c r="E9" s="4" t="s">
        <v>14</v>
      </c>
      <c r="F9" s="4" t="s">
        <v>33</v>
      </c>
      <c r="G9" s="4" t="s">
        <v>41</v>
      </c>
      <c r="H9" s="5">
        <v>7.0000000000000007E-2</v>
      </c>
      <c r="I9" s="4" t="s">
        <v>17</v>
      </c>
      <c r="J9" s="6">
        <v>31.55</v>
      </c>
      <c r="K9" s="3">
        <v>46220</v>
      </c>
      <c r="L9" s="6">
        <v>31.55</v>
      </c>
      <c r="M9" t="s">
        <v>58</v>
      </c>
      <c r="N9">
        <v>20411454</v>
      </c>
    </row>
    <row r="10" spans="1:14" x14ac:dyDescent="0.25">
      <c r="A10" s="2" t="s">
        <v>43</v>
      </c>
      <c r="B10" s="2">
        <v>973636299</v>
      </c>
      <c r="C10" s="3">
        <v>46224</v>
      </c>
      <c r="D10" s="3">
        <f t="shared" si="1"/>
        <v>46255</v>
      </c>
      <c r="E10" s="4" t="s">
        <v>14</v>
      </c>
      <c r="F10" s="4" t="s">
        <v>33</v>
      </c>
      <c r="G10" s="4" t="s">
        <v>45</v>
      </c>
      <c r="H10" s="5">
        <v>0.22</v>
      </c>
      <c r="I10" s="4" t="s">
        <v>46</v>
      </c>
      <c r="J10" s="6">
        <v>83.2</v>
      </c>
      <c r="K10" s="3">
        <v>46221</v>
      </c>
      <c r="L10" s="6">
        <v>18.3</v>
      </c>
      <c r="M10" t="s">
        <v>59</v>
      </c>
      <c r="N10">
        <v>18709232</v>
      </c>
    </row>
    <row r="11" spans="1:14" x14ac:dyDescent="0.25">
      <c r="A11" s="2" t="s">
        <v>48</v>
      </c>
      <c r="B11" s="2" t="str">
        <f>CONCATENATE(A11,"OVR")</f>
        <v>908983761OVR</v>
      </c>
      <c r="C11" s="3">
        <v>46226</v>
      </c>
      <c r="D11" s="3">
        <f t="shared" si="1"/>
        <v>46257</v>
      </c>
      <c r="E11" s="4" t="s">
        <v>14</v>
      </c>
      <c r="F11" s="4" t="s">
        <v>33</v>
      </c>
      <c r="G11" s="4" t="s">
        <v>49</v>
      </c>
      <c r="H11" s="5">
        <v>7.0000000000000007E-2</v>
      </c>
      <c r="I11" s="4" t="s">
        <v>17</v>
      </c>
      <c r="J11" s="6">
        <v>7.58</v>
      </c>
      <c r="K11" s="3">
        <v>46223</v>
      </c>
      <c r="L11" s="6">
        <v>7.58</v>
      </c>
      <c r="M11" t="s">
        <v>58</v>
      </c>
      <c r="N11">
        <v>20411454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2026 Commissions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Loula Irene Cabel</cp:lastModifiedBy>
  <cp:revision>0</cp:revision>
  <dcterms:created xsi:type="dcterms:W3CDTF">2026-08-03T19:40:35Z</dcterms:created>
  <dcterms:modified xsi:type="dcterms:W3CDTF">2026-08-04T14:05:46Z</dcterms:modified>
  <dc:language>en-US</dc:language>
</cp:coreProperties>
</file>