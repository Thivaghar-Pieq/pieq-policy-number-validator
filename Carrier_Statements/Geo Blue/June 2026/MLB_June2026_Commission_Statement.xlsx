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_Processing\Carrier_Statements\Geo Blue\June 2026\"/>
    </mc:Choice>
  </mc:AlternateContent>
  <xr:revisionPtr revIDLastSave="0" documentId="8_{97272197-1523-4D26-8751-B6CF99FE1FE8}" xr6:coauthVersionLast="47" xr6:coauthVersionMax="47" xr10:uidLastSave="{00000000-0000-0000-0000-000000000000}"/>
  <bookViews>
    <workbookView xWindow="-57720" yWindow="-45" windowWidth="29040" windowHeight="15720" tabRatio="500" xr2:uid="{00000000-000D-0000-FFFF-FFFF00000000}"/>
  </bookViews>
  <sheets>
    <sheet name="June 2026 Commiss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8" i="1" l="1"/>
  <c r="B28" i="1"/>
  <c r="C27" i="1"/>
  <c r="B27" i="1"/>
  <c r="C22" i="1"/>
  <c r="B22" i="1"/>
  <c r="J17" i="1"/>
  <c r="H17" i="1"/>
</calcChain>
</file>

<file path=xl/sharedStrings.xml><?xml version="1.0" encoding="utf-8"?>
<sst xmlns="http://schemas.openxmlformats.org/spreadsheetml/2006/main" count="103" uniqueCount="65">
  <si>
    <t>June 2026 Commission Statement — Main Line Benefits LLC (366635)</t>
  </si>
  <si>
    <t>Worldwide Insurance Services</t>
  </si>
  <si>
    <t>Policy ID</t>
  </si>
  <si>
    <t>Effective Date</t>
  </si>
  <si>
    <t>Brand</t>
  </si>
  <si>
    <t>Product</t>
  </si>
  <si>
    <t>Customer</t>
  </si>
  <si>
    <t>Commission Percent</t>
  </si>
  <si>
    <t>Sub Producer Name</t>
  </si>
  <si>
    <t>Premium Collected</t>
  </si>
  <si>
    <t>Premium Collected Date</t>
  </si>
  <si>
    <t>Commission Amount</t>
  </si>
  <si>
    <t>846631725</t>
  </si>
  <si>
    <t>2026-06-26</t>
  </si>
  <si>
    <t>BCBSGS</t>
  </si>
  <si>
    <t>Single Trip Gold</t>
  </si>
  <si>
    <t>Alice Kajstura</t>
  </si>
  <si>
    <t>MAINLINE BENEFITS</t>
  </si>
  <si>
    <t>2026-06-02</t>
  </si>
  <si>
    <t>961288389</t>
  </si>
  <si>
    <t>2026-06-11</t>
  </si>
  <si>
    <t>Wioletta Truta</t>
  </si>
  <si>
    <t>2026-06-10</t>
  </si>
  <si>
    <t>974988942</t>
  </si>
  <si>
    <t>2026-06-20</t>
  </si>
  <si>
    <t>Agnieszka Collins</t>
  </si>
  <si>
    <t>2026-06-16</t>
  </si>
  <si>
    <t>917775839</t>
  </si>
  <si>
    <t>2026-06-27</t>
  </si>
  <si>
    <t>Nicole Narloch</t>
  </si>
  <si>
    <t>M806173343</t>
  </si>
  <si>
    <t>2026-07-16</t>
  </si>
  <si>
    <t>HTH</t>
  </si>
  <si>
    <t>TravelGap Voyager</t>
  </si>
  <si>
    <t>Emilia Rzasa</t>
  </si>
  <si>
    <t>2026-06-17</t>
  </si>
  <si>
    <t>996129312</t>
  </si>
  <si>
    <t>2026-06-19</t>
  </si>
  <si>
    <t>Single Trip Platinum</t>
  </si>
  <si>
    <t>Anna Mical</t>
  </si>
  <si>
    <t>2026-06-18</t>
  </si>
  <si>
    <t>907230212</t>
  </si>
  <si>
    <t>Karolina Kowalczyk</t>
  </si>
  <si>
    <t>996529068</t>
  </si>
  <si>
    <t>2026-06-25</t>
  </si>
  <si>
    <t>Maciej Kwasniak</t>
  </si>
  <si>
    <t>872764359</t>
  </si>
  <si>
    <t>2026-06-23</t>
  </si>
  <si>
    <t>Maxymilian Bujalski</t>
  </si>
  <si>
    <t>2026-06-21</t>
  </si>
  <si>
    <t>953516379</t>
  </si>
  <si>
    <t>2026-07-02</t>
  </si>
  <si>
    <t>Ewa Pawlow</t>
  </si>
  <si>
    <t>829818394</t>
  </si>
  <si>
    <t>2026-06-30</t>
  </si>
  <si>
    <t>Malgorzata Utecht</t>
  </si>
  <si>
    <t>2026-06-29</t>
  </si>
  <si>
    <t>TOTAL</t>
  </si>
  <si>
    <t>Subtotals by Product Line</t>
  </si>
  <si>
    <t>Product Line</t>
  </si>
  <si>
    <t>Collected Premium</t>
  </si>
  <si>
    <t>Single-Trip</t>
  </si>
  <si>
    <t>Subtotals by Brand</t>
  </si>
  <si>
    <t>Override Notes</t>
  </si>
  <si>
    <t>Per BCBS Global Solutions carrier terms: base contract is 22%, with 7% payable as override on sub-agent (MAINLINE BENEFITS) production. Renewal override runs at half the new-business rate (3.5%). Commission Percent column above reflects the 7% override actually paid on these statement lines, consistent with carrier documentation.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</si>
</sst>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\$#,##0.00"/>
  </numFmts>
  <fonts count="6">
    <font>
      <sz val="11"/>
      <color theme="1"/>
      <name val="Calibri"/>
      <family val="2"/>
      <charset val="1"/>
    </font>
    <font>
      <b/>
      <sz val="14"/>
      <color rgb="FFFFFFFF"/>
      <name val="Helvetica Neue"/>
      <charset val="1"/>
    </font>
    <font>
      <b/>
      <sz val="10"/>
      <color rgb="FFFFFFFF"/>
      <name val="Helvetica Neue"/>
      <charset val="1"/>
    </font>
    <font>
      <sz val="10"/>
      <color rgb="FF4D4D4D"/>
      <name val="Helvetica Neue"/>
      <charset val="1"/>
    </font>
    <font>
      <b/>
      <sz val="10"/>
      <color rgb="FF4D4D4D"/>
      <name val="Helvetica Neue"/>
      <charset val="1"/>
    </font>
    <font>
      <b/>
      <sz val="11"/>
      <color rgb="FFFFFFFF"/>
      <name val="Helvetica Neue"/>
      <charset val="1"/>
    </font>
  </fonts>
  <fills count="5">
    <fill>
      <patternFill patternType="none"/>
    </fill>
    <fill>
      <patternFill patternType="gray125"/>
    </fill>
    <fill>
      <patternFill patternType="solid">
        <fgColor rgb="FF004785"/>
        <bgColor rgb="FF333399"/>
      </patternFill>
    </fill>
    <fill>
      <patternFill patternType="solid">
        <fgColor rgb="FF009FDA"/>
        <bgColor rgb="FF008080"/>
      </patternFill>
    </fill>
    <fill>
      <patternFill patternType="solid">
        <fgColor rgb="FFF5F5F5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 applyAlignment="1">
      <alignment vertical="top" wrapText="1"/>
    </xf>
    <xf numFmtId="0" fontId="5" fillId="2" borderId="0" xfId="0" applyFont="1" applyFill="1"/>
    <xf numFmtId="0" fontId="5" fillId="2" borderId="1" xfId="0" applyFont="1" applyFill="1" applyBorder="1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164" fontId="3" fillId="0" borderId="1" xfId="0" applyNumberFormat="1" applyFont="1" applyBorder="1"/>
    <xf numFmtId="10" fontId="3" fillId="0" borderId="1" xfId="0" applyNumberFormat="1" applyFont="1" applyBorder="1"/>
    <xf numFmtId="165" fontId="3" fillId="0" borderId="1" xfId="0" applyNumberFormat="1" applyFont="1" applyBorder="1"/>
    <xf numFmtId="0" fontId="3" fillId="4" borderId="1" xfId="0" applyFont="1" applyFill="1" applyBorder="1"/>
    <xf numFmtId="164" fontId="3" fillId="4" borderId="1" xfId="0" applyNumberFormat="1" applyFont="1" applyFill="1" applyBorder="1"/>
    <xf numFmtId="10" fontId="3" fillId="4" borderId="1" xfId="0" applyNumberFormat="1" applyFont="1" applyFill="1" applyBorder="1"/>
    <xf numFmtId="165" fontId="3" fillId="4" borderId="1" xfId="0" applyNumberFormat="1" applyFont="1" applyFill="1" applyBorder="1"/>
    <xf numFmtId="0" fontId="0" fillId="4" borderId="1" xfId="0" applyFill="1" applyBorder="1"/>
    <xf numFmtId="0" fontId="4" fillId="4" borderId="1" xfId="0" applyFont="1" applyFill="1" applyBorder="1"/>
    <xf numFmtId="165" fontId="4" fillId="4" borderId="1" xfId="0" applyNumberFormat="1" applyFont="1" applyFill="1" applyBorder="1"/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9FDA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785"/>
      <rgbColor rgb="FF339966"/>
      <rgbColor rgb="FF003300"/>
      <rgbColor rgb="FF333300"/>
      <rgbColor rgb="FF993300"/>
      <rgbColor rgb="FF993366"/>
      <rgbColor rgb="FF333399"/>
      <rgbColor rgb="FF4D4D4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zoomScaleNormal="100" workbookViewId="0">
      <selection activeCell="F22" sqref="F22"/>
    </sheetView>
  </sheetViews>
  <sheetFormatPr defaultColWidth="8.7109375" defaultRowHeight="15"/>
  <cols>
    <col min="1" max="1" width="12.5703125" bestFit="1" customWidth="1"/>
    <col min="2" max="2" width="18.7109375" bestFit="1" customWidth="1"/>
    <col min="3" max="3" width="19.85546875" bestFit="1" customWidth="1"/>
    <col min="4" max="5" width="17.85546875" bestFit="1" customWidth="1"/>
    <col min="6" max="6" width="12" bestFit="1" customWidth="1"/>
    <col min="7" max="7" width="19.5703125" bestFit="1" customWidth="1"/>
    <col min="8" max="8" width="9.5703125" bestFit="1" customWidth="1"/>
    <col min="9" max="9" width="14.42578125" bestFit="1" customWidth="1"/>
    <col min="10" max="10" width="12" bestFit="1" customWidth="1"/>
  </cols>
  <sheetData>
    <row r="1" spans="1:10" ht="24" customHeight="1">
      <c r="A1" s="5" t="s">
        <v>0</v>
      </c>
      <c r="B1" s="5"/>
      <c r="C1" s="5"/>
      <c r="D1" s="5"/>
      <c r="E1" s="5"/>
      <c r="F1" s="5"/>
      <c r="G1" s="5"/>
      <c r="H1" s="5"/>
      <c r="I1" s="5"/>
      <c r="J1" s="6"/>
    </row>
    <row r="2" spans="1:10" ht="18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4" spans="1:10" ht="30" customHeight="1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</row>
    <row r="5" spans="1:10">
      <c r="A5" s="8" t="s">
        <v>12</v>
      </c>
      <c r="B5" s="9" t="s">
        <v>13</v>
      </c>
      <c r="C5" s="8" t="s">
        <v>14</v>
      </c>
      <c r="D5" s="8" t="s">
        <v>15</v>
      </c>
      <c r="E5" s="8" t="s">
        <v>16</v>
      </c>
      <c r="F5" s="10">
        <v>7.0000000000000007E-2</v>
      </c>
      <c r="G5" s="8" t="s">
        <v>17</v>
      </c>
      <c r="H5" s="11">
        <v>30.3</v>
      </c>
      <c r="I5" s="9" t="s">
        <v>18</v>
      </c>
      <c r="J5" s="11">
        <v>2.12</v>
      </c>
    </row>
    <row r="6" spans="1:10">
      <c r="A6" s="12" t="s">
        <v>19</v>
      </c>
      <c r="B6" s="13" t="s">
        <v>20</v>
      </c>
      <c r="C6" s="12" t="s">
        <v>14</v>
      </c>
      <c r="D6" s="12" t="s">
        <v>15</v>
      </c>
      <c r="E6" s="12" t="s">
        <v>21</v>
      </c>
      <c r="F6" s="14">
        <v>7.0000000000000007E-2</v>
      </c>
      <c r="G6" s="12" t="s">
        <v>17</v>
      </c>
      <c r="H6" s="15">
        <v>87.84</v>
      </c>
      <c r="I6" s="13" t="s">
        <v>22</v>
      </c>
      <c r="J6" s="15">
        <v>6.15</v>
      </c>
    </row>
    <row r="7" spans="1:10">
      <c r="A7" s="8" t="s">
        <v>23</v>
      </c>
      <c r="B7" s="9" t="s">
        <v>24</v>
      </c>
      <c r="C7" s="8" t="s">
        <v>14</v>
      </c>
      <c r="D7" s="8" t="s">
        <v>15</v>
      </c>
      <c r="E7" s="8" t="s">
        <v>25</v>
      </c>
      <c r="F7" s="10">
        <v>7.0000000000000007E-2</v>
      </c>
      <c r="G7" s="8" t="s">
        <v>17</v>
      </c>
      <c r="H7" s="11">
        <v>38.43</v>
      </c>
      <c r="I7" s="9" t="s">
        <v>26</v>
      </c>
      <c r="J7" s="11">
        <v>2.69</v>
      </c>
    </row>
    <row r="8" spans="1:10">
      <c r="A8" s="12" t="s">
        <v>27</v>
      </c>
      <c r="B8" s="13" t="s">
        <v>28</v>
      </c>
      <c r="C8" s="12" t="s">
        <v>14</v>
      </c>
      <c r="D8" s="12" t="s">
        <v>15</v>
      </c>
      <c r="E8" s="12" t="s">
        <v>29</v>
      </c>
      <c r="F8" s="14">
        <v>6.9900000000000004E-2</v>
      </c>
      <c r="G8" s="12" t="s">
        <v>17</v>
      </c>
      <c r="H8" s="15">
        <v>32.32</v>
      </c>
      <c r="I8" s="13" t="s">
        <v>26</v>
      </c>
      <c r="J8" s="15">
        <v>2.2599999999999998</v>
      </c>
    </row>
    <row r="9" spans="1:10">
      <c r="A9" s="8" t="s">
        <v>30</v>
      </c>
      <c r="B9" s="9" t="s">
        <v>31</v>
      </c>
      <c r="C9" s="8" t="s">
        <v>32</v>
      </c>
      <c r="D9" s="8" t="s">
        <v>33</v>
      </c>
      <c r="E9" s="8" t="s">
        <v>34</v>
      </c>
      <c r="F9" s="10">
        <v>7.0099999999999996E-2</v>
      </c>
      <c r="G9" s="8" t="s">
        <v>17</v>
      </c>
      <c r="H9" s="11">
        <v>33.81</v>
      </c>
      <c r="I9" s="9" t="s">
        <v>35</v>
      </c>
      <c r="J9" s="11">
        <v>2.37</v>
      </c>
    </row>
    <row r="10" spans="1:10">
      <c r="A10" s="12" t="s">
        <v>36</v>
      </c>
      <c r="B10" s="13" t="s">
        <v>37</v>
      </c>
      <c r="C10" s="12" t="s">
        <v>14</v>
      </c>
      <c r="D10" s="12" t="s">
        <v>38</v>
      </c>
      <c r="E10" s="12" t="s">
        <v>39</v>
      </c>
      <c r="F10" s="14">
        <v>7.0099999999999996E-2</v>
      </c>
      <c r="G10" s="12" t="s">
        <v>17</v>
      </c>
      <c r="H10" s="15">
        <v>36.659999999999997</v>
      </c>
      <c r="I10" s="13" t="s">
        <v>40</v>
      </c>
      <c r="J10" s="15">
        <v>2.57</v>
      </c>
    </row>
    <row r="11" spans="1:10">
      <c r="A11" s="8" t="s">
        <v>41</v>
      </c>
      <c r="B11" s="9" t="s">
        <v>24</v>
      </c>
      <c r="C11" s="8" t="s">
        <v>14</v>
      </c>
      <c r="D11" s="8" t="s">
        <v>38</v>
      </c>
      <c r="E11" s="8" t="s">
        <v>42</v>
      </c>
      <c r="F11" s="10">
        <v>6.9900000000000004E-2</v>
      </c>
      <c r="G11" s="8" t="s">
        <v>17</v>
      </c>
      <c r="H11" s="11">
        <v>28.91</v>
      </c>
      <c r="I11" s="9" t="s">
        <v>40</v>
      </c>
      <c r="J11" s="11">
        <v>2.02</v>
      </c>
    </row>
    <row r="12" spans="1:10">
      <c r="A12" s="12" t="s">
        <v>43</v>
      </c>
      <c r="B12" s="13" t="s">
        <v>44</v>
      </c>
      <c r="C12" s="12" t="s">
        <v>14</v>
      </c>
      <c r="D12" s="12" t="s">
        <v>15</v>
      </c>
      <c r="E12" s="12" t="s">
        <v>45</v>
      </c>
      <c r="F12" s="14">
        <v>7.0000000000000007E-2</v>
      </c>
      <c r="G12" s="12" t="s">
        <v>17</v>
      </c>
      <c r="H12" s="15">
        <v>166.82</v>
      </c>
      <c r="I12" s="13" t="s">
        <v>24</v>
      </c>
      <c r="J12" s="15">
        <v>11.68</v>
      </c>
    </row>
    <row r="13" spans="1:10">
      <c r="A13" s="8" t="s">
        <v>46</v>
      </c>
      <c r="B13" s="9" t="s">
        <v>47</v>
      </c>
      <c r="C13" s="8" t="s">
        <v>14</v>
      </c>
      <c r="D13" s="8" t="s">
        <v>15</v>
      </c>
      <c r="E13" s="8" t="s">
        <v>48</v>
      </c>
      <c r="F13" s="10">
        <v>7.0000000000000007E-2</v>
      </c>
      <c r="G13" s="8" t="s">
        <v>17</v>
      </c>
      <c r="H13" s="11">
        <v>70.739999999999995</v>
      </c>
      <c r="I13" s="9" t="s">
        <v>49</v>
      </c>
      <c r="J13" s="11">
        <v>4.95</v>
      </c>
    </row>
    <row r="14" spans="1:10">
      <c r="A14" s="12" t="s">
        <v>50</v>
      </c>
      <c r="B14" s="13" t="s">
        <v>51</v>
      </c>
      <c r="C14" s="12" t="s">
        <v>14</v>
      </c>
      <c r="D14" s="12" t="s">
        <v>38</v>
      </c>
      <c r="E14" s="12" t="s">
        <v>52</v>
      </c>
      <c r="F14" s="14">
        <v>7.0000000000000007E-2</v>
      </c>
      <c r="G14" s="12" t="s">
        <v>17</v>
      </c>
      <c r="H14" s="15">
        <v>279.72000000000003</v>
      </c>
      <c r="I14" s="13" t="s">
        <v>28</v>
      </c>
      <c r="J14" s="15">
        <v>19.579999999999998</v>
      </c>
    </row>
    <row r="15" spans="1:10">
      <c r="A15" s="8" t="s">
        <v>53</v>
      </c>
      <c r="B15" s="9" t="s">
        <v>54</v>
      </c>
      <c r="C15" s="8" t="s">
        <v>14</v>
      </c>
      <c r="D15" s="8" t="s">
        <v>15</v>
      </c>
      <c r="E15" s="8" t="s">
        <v>55</v>
      </c>
      <c r="F15" s="10">
        <v>7.0000000000000007E-2</v>
      </c>
      <c r="G15" s="8" t="s">
        <v>17</v>
      </c>
      <c r="H15" s="11">
        <v>142.12</v>
      </c>
      <c r="I15" s="9" t="s">
        <v>56</v>
      </c>
      <c r="J15" s="11">
        <v>9.9499999999999993</v>
      </c>
    </row>
    <row r="17" spans="1:10">
      <c r="A17" s="16"/>
      <c r="B17" s="16"/>
      <c r="C17" s="16"/>
      <c r="D17" s="16"/>
      <c r="E17" s="16"/>
      <c r="F17" s="16"/>
      <c r="G17" s="17" t="s">
        <v>57</v>
      </c>
      <c r="H17" s="18">
        <f>SUM(H5:H15)</f>
        <v>947.67000000000007</v>
      </c>
      <c r="I17" s="16"/>
      <c r="J17" s="18">
        <f>SUM(J5:J15)</f>
        <v>66.34</v>
      </c>
    </row>
    <row r="20" spans="1:10">
      <c r="A20" s="3" t="s">
        <v>58</v>
      </c>
      <c r="B20" s="3"/>
      <c r="C20" s="3"/>
    </row>
    <row r="21" spans="1:10">
      <c r="A21" s="19" t="s">
        <v>59</v>
      </c>
      <c r="B21" s="19" t="s">
        <v>60</v>
      </c>
      <c r="C21" s="19" t="s">
        <v>11</v>
      </c>
    </row>
    <row r="22" spans="1:10">
      <c r="A22" s="8" t="s">
        <v>61</v>
      </c>
      <c r="B22" s="11">
        <f>SUMIF(D5:D15,"Single Trip*",H5:H15)</f>
        <v>913.86</v>
      </c>
      <c r="C22" s="11">
        <f>SUMIF(D5:D15,"Single Trip*",J5:J15)</f>
        <v>63.97</v>
      </c>
    </row>
    <row r="25" spans="1:10">
      <c r="A25" s="3" t="s">
        <v>62</v>
      </c>
      <c r="B25" s="3"/>
      <c r="C25" s="3"/>
    </row>
    <row r="26" spans="1:10">
      <c r="A26" s="19" t="s">
        <v>4</v>
      </c>
      <c r="B26" s="19" t="s">
        <v>60</v>
      </c>
      <c r="C26" s="19" t="s">
        <v>11</v>
      </c>
    </row>
    <row r="27" spans="1:10">
      <c r="A27" s="8" t="s">
        <v>14</v>
      </c>
      <c r="B27" s="11">
        <f>SUMIF(C5:C15,"BCBSGS",H5:H15)</f>
        <v>913.86</v>
      </c>
      <c r="C27" s="11">
        <f>SUMIF(C5:C15,"BCBSGS",J5:J15)</f>
        <v>63.97</v>
      </c>
    </row>
    <row r="28" spans="1:10">
      <c r="A28" s="8" t="s">
        <v>32</v>
      </c>
      <c r="B28" s="11">
        <f>SUMIF(C5:C15,"HTH",H5:H15)</f>
        <v>33.81</v>
      </c>
      <c r="C28" s="11">
        <f>SUMIF(C5:C15,"HTH",J5:J15)</f>
        <v>2.37</v>
      </c>
    </row>
    <row r="30" spans="1:10">
      <c r="A30" s="2" t="s">
        <v>63</v>
      </c>
      <c r="B30" s="2"/>
      <c r="C30" s="2"/>
      <c r="D30" s="2"/>
      <c r="E30" s="2"/>
      <c r="F30" s="2"/>
    </row>
    <row r="31" spans="1:10" ht="15" customHeight="1">
      <c r="A31" s="1" t="s">
        <v>64</v>
      </c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</sheetData>
  <mergeCells count="6">
    <mergeCell ref="A31:J33"/>
    <mergeCell ref="A1:I1"/>
    <mergeCell ref="A2:J2"/>
    <mergeCell ref="A20:C20"/>
    <mergeCell ref="A25:C25"/>
    <mergeCell ref="A30:F3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June 2026 Commissions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Janki Patel</cp:lastModifiedBy>
  <cp:revision>0</cp:revision>
  <dcterms:created xsi:type="dcterms:W3CDTF">2026-07-08T12:29:39Z</dcterms:created>
  <dcterms:modified xsi:type="dcterms:W3CDTF">2026-07-08T12:30:54Z</dcterms:modified>
  <dc:language>en-US</dc:language>
</cp:coreProperties>
</file>