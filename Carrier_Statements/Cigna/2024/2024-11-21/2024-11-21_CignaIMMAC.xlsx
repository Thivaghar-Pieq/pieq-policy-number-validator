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/Cigna ACA 11-21-24/"/>
    </mc:Choice>
  </mc:AlternateContent>
  <xr:revisionPtr revIDLastSave="0" documentId="13_ncr:1_{EA04604C-7383-8249-8EDF-7F2E10FBBC6F}" xr6:coauthVersionLast="47" xr6:coauthVersionMax="47" xr10:uidLastSave="{00000000-0000-0000-0000-000000000000}"/>
  <bookViews>
    <workbookView xWindow="0" yWindow="500" windowWidth="19200" windowHeight="19360" activeTab="1" xr2:uid="{5817C209-393F-406E-BE7B-5CE370F96D68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2" i="2"/>
  <c r="F3" i="2"/>
  <c r="F4" i="2"/>
  <c r="F5" i="2"/>
  <c r="F2" i="2"/>
</calcChain>
</file>

<file path=xl/sharedStrings.xml><?xml version="1.0" encoding="utf-8"?>
<sst xmlns="http://schemas.openxmlformats.org/spreadsheetml/2006/main" count="646" uniqueCount="71">
  <si>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</si>
  <si>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</si>
  <si>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</si>
  <si>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</si>
  <si>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</si>
  <si>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</si>
  <si>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</si>
  <si>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</si>
  <si>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</si>
  <si>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</si>
  <si>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</si>
  <si>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 xml:space="preserve"> </t>
  </si>
  <si>
    <t>Dental, IVDPPO</t>
  </si>
  <si>
    <t>Main Line Benefits LLC</t>
  </si>
  <si>
    <t>BRIAN STROHMAN</t>
  </si>
  <si>
    <t>ADELMAN, MARC</t>
  </si>
  <si>
    <t>14NW31</t>
  </si>
  <si>
    <t>IL</t>
  </si>
  <si>
    <t>MELNICK, MICHAEL</t>
  </si>
  <si>
    <t>47N6E8</t>
  </si>
  <si>
    <t>JARED KINYUA</t>
  </si>
  <si>
    <t>FREIJ, SAM</t>
  </si>
  <si>
    <t>43MP70</t>
  </si>
  <si>
    <t>NC</t>
  </si>
  <si>
    <t>Medical, HMO1</t>
  </si>
  <si>
    <t>JOEL LEE</t>
  </si>
  <si>
    <t>CHAFFIN, KATHRYN</t>
  </si>
  <si>
    <t>61N2C4</t>
  </si>
  <si>
    <t>CO</t>
  </si>
  <si>
    <t>JOHNSON, DEREK</t>
  </si>
  <si>
    <t>34PJ62</t>
  </si>
  <si>
    <t>Medical, HOAPIN</t>
  </si>
  <si>
    <t>BK, SABITA</t>
  </si>
  <si>
    <t>79PL32</t>
  </si>
  <si>
    <t>CAROL FOLEY</t>
  </si>
  <si>
    <t>BALAWEJDER, QWENTON</t>
  </si>
  <si>
    <t>87PH60</t>
  </si>
  <si>
    <t>PA</t>
  </si>
  <si>
    <t>CHAD YALE</t>
  </si>
  <si>
    <t>MYERS, KATHLEEN</t>
  </si>
  <si>
    <t>0X793Y</t>
  </si>
  <si>
    <t>ORTOLF, KURT</t>
  </si>
  <si>
    <t>4W617G</t>
  </si>
  <si>
    <t>IN</t>
  </si>
  <si>
    <t>HEATHER GESKE</t>
  </si>
  <si>
    <t>HOSEY-PORTELLI, KIMBERLY</t>
  </si>
  <si>
    <t>52N1M7</t>
  </si>
  <si>
    <t>Total</t>
  </si>
  <si>
    <t>11/1/2024</t>
  </si>
  <si>
    <t>9/1/2024</t>
  </si>
  <si>
    <t>8/1/2024</t>
  </si>
  <si>
    <t>6/1/2023</t>
  </si>
  <si>
    <t>10/1/2023</t>
  </si>
  <si>
    <t>9/1/2023</t>
  </si>
  <si>
    <t>3/1/2024</t>
  </si>
  <si>
    <t>7/1/2023</t>
  </si>
  <si>
    <t>8/1/2023</t>
  </si>
  <si>
    <t>2/1/2024</t>
  </si>
  <si>
    <t>12/1/2023</t>
  </si>
  <si>
    <t>1/1/2024</t>
  </si>
  <si>
    <t>5/1/2023</t>
  </si>
  <si>
    <t>4/1/2024</t>
  </si>
  <si>
    <t>11/1/2023</t>
  </si>
  <si>
    <t>3/1/2023</t>
  </si>
  <si>
    <t>2/1/2023</t>
  </si>
  <si>
    <t>1/1/2023</t>
  </si>
  <si>
    <t>6/1/2024</t>
  </si>
  <si>
    <t>5/1/2024</t>
  </si>
  <si>
    <t>4/1/2023</t>
  </si>
  <si>
    <t>10/1/2024</t>
  </si>
  <si>
    <t>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</si>
</sst>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71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9" fontId="4" fillId="0" borderId="1" xfId="2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1" applyFont="1" applyFill="1" applyBorder="1"/>
    <xf numFmtId="9" fontId="4" fillId="3" borderId="1" xfId="2" applyFont="1" applyFill="1" applyBorder="1"/>
    <xf numFmtId="0" fontId="0" fillId="3" borderId="0" xfId="0" applyFill="1"/>
    <xf numFmtId="171" fontId="4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84B7-81F0-40B1-AADD-8341229C2977}">
  <dimension ref="A1:K46"/>
  <sheetViews>
    <sheetView topLeftCell="A2" workbookViewId="0">
      <selection sqref="A1:K46"/>
    </sheetView>
  </sheetViews>
  <sheetFormatPr baseColWidth="10" defaultColWidth="8.83203125" defaultRowHeight="15" x14ac:dyDescent="0.2"/>
  <cols>
    <col min="1" max="1" width="26.6640625" customWidth="1"/>
    <col min="2" max="2" width="32" customWidth="1"/>
    <col min="3" max="3" width="29.5" customWidth="1"/>
    <col min="4" max="4" width="12.6640625" customWidth="1"/>
    <col min="5" max="5" width="9.33203125" customWidth="1"/>
    <col min="6" max="6" width="10.6640625" customWidth="1"/>
    <col min="7" max="7" width="12.5" customWidth="1"/>
    <col min="8" max="8" width="16.1640625" customWidth="1"/>
    <col min="9" max="9" width="12.33203125" customWidth="1"/>
    <col min="10" max="10" width="8.1640625" customWidth="1"/>
    <col min="11" max="11" width="13.5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6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11</v>
      </c>
      <c r="G2" s="6">
        <v>20241101</v>
      </c>
      <c r="H2" s="6" t="s">
        <v>12</v>
      </c>
      <c r="I2" s="8">
        <v>120.15</v>
      </c>
      <c r="J2" s="9">
        <v>0.2</v>
      </c>
      <c r="K2" s="8">
        <v>24.03</v>
      </c>
    </row>
    <row r="3" spans="1:11" ht="16" x14ac:dyDescent="0.2">
      <c r="A3" s="6" t="s">
        <v>13</v>
      </c>
      <c r="B3" s="6" t="s">
        <v>14</v>
      </c>
      <c r="C3" s="6" t="s">
        <v>18</v>
      </c>
      <c r="D3" s="6" t="s">
        <v>19</v>
      </c>
      <c r="E3" s="7" t="s">
        <v>17</v>
      </c>
      <c r="F3" s="6" t="s">
        <v>11</v>
      </c>
      <c r="G3" s="6">
        <v>20241101</v>
      </c>
      <c r="H3" s="6" t="s">
        <v>12</v>
      </c>
      <c r="I3" s="8">
        <v>29</v>
      </c>
      <c r="J3" s="9">
        <v>0.2</v>
      </c>
      <c r="K3" s="8">
        <v>5.8000000000000007</v>
      </c>
    </row>
    <row r="4" spans="1:11" ht="16" x14ac:dyDescent="0.2">
      <c r="A4" s="6" t="s">
        <v>13</v>
      </c>
      <c r="B4" s="6" t="s">
        <v>20</v>
      </c>
      <c r="C4" s="6" t="s">
        <v>21</v>
      </c>
      <c r="D4" s="6" t="s">
        <v>22</v>
      </c>
      <c r="E4" s="7" t="s">
        <v>23</v>
      </c>
      <c r="F4" s="6">
        <v>1</v>
      </c>
      <c r="G4" s="6">
        <v>20240901</v>
      </c>
      <c r="H4" s="6" t="s">
        <v>24</v>
      </c>
      <c r="I4" s="8">
        <v>58</v>
      </c>
      <c r="J4" s="9">
        <v>25</v>
      </c>
      <c r="K4" s="8">
        <v>25</v>
      </c>
    </row>
    <row r="5" spans="1:11" ht="16" x14ac:dyDescent="0.2">
      <c r="A5" s="6" t="s">
        <v>13</v>
      </c>
      <c r="B5" s="6" t="s">
        <v>20</v>
      </c>
      <c r="C5" s="6" t="s">
        <v>21</v>
      </c>
      <c r="D5" s="6" t="s">
        <v>22</v>
      </c>
      <c r="E5" s="7" t="s">
        <v>23</v>
      </c>
      <c r="F5" s="6">
        <v>1</v>
      </c>
      <c r="G5" s="6">
        <v>20240801</v>
      </c>
      <c r="H5" s="6" t="s">
        <v>24</v>
      </c>
      <c r="I5" s="8">
        <v>179.08</v>
      </c>
      <c r="J5" s="9">
        <v>25</v>
      </c>
      <c r="K5" s="8">
        <v>25</v>
      </c>
    </row>
    <row r="6" spans="1:11" ht="16" x14ac:dyDescent="0.2">
      <c r="A6" s="6" t="s">
        <v>13</v>
      </c>
      <c r="B6" s="6" t="s">
        <v>25</v>
      </c>
      <c r="C6" s="6" t="s">
        <v>26</v>
      </c>
      <c r="D6" s="6" t="s">
        <v>27</v>
      </c>
      <c r="E6" s="7" t="s">
        <v>28</v>
      </c>
      <c r="F6" s="6" t="s">
        <v>11</v>
      </c>
      <c r="G6" s="6">
        <v>20241101</v>
      </c>
      <c r="H6" s="6" t="s">
        <v>12</v>
      </c>
      <c r="I6" s="8">
        <v>49</v>
      </c>
      <c r="J6" s="9">
        <v>0.2</v>
      </c>
      <c r="K6" s="8">
        <v>9.8000000000000007</v>
      </c>
    </row>
    <row r="7" spans="1:11" ht="16" x14ac:dyDescent="0.2">
      <c r="A7" s="6" t="s">
        <v>13</v>
      </c>
      <c r="B7" s="6" t="s">
        <v>25</v>
      </c>
      <c r="C7" s="6" t="s">
        <v>29</v>
      </c>
      <c r="D7" s="6" t="s">
        <v>30</v>
      </c>
      <c r="E7" s="7" t="s">
        <v>28</v>
      </c>
      <c r="F7" s="6">
        <v>3</v>
      </c>
      <c r="G7" s="6">
        <v>20241101</v>
      </c>
      <c r="H7" s="6" t="s">
        <v>31</v>
      </c>
      <c r="I7" s="8">
        <v>695.48</v>
      </c>
      <c r="J7" s="9">
        <v>20</v>
      </c>
      <c r="K7" s="8">
        <v>60</v>
      </c>
    </row>
    <row r="8" spans="1:11" ht="16" x14ac:dyDescent="0.2">
      <c r="A8" s="6" t="s">
        <v>13</v>
      </c>
      <c r="B8" s="6" t="s">
        <v>25</v>
      </c>
      <c r="C8" s="6" t="s">
        <v>32</v>
      </c>
      <c r="D8" s="6" t="s">
        <v>33</v>
      </c>
      <c r="E8" s="7" t="s">
        <v>28</v>
      </c>
      <c r="F8" s="6">
        <v>1</v>
      </c>
      <c r="G8" s="6">
        <v>20241101</v>
      </c>
      <c r="H8" s="6" t="s">
        <v>31</v>
      </c>
      <c r="I8" s="8">
        <v>106.15</v>
      </c>
      <c r="J8" s="9">
        <v>20</v>
      </c>
      <c r="K8" s="8">
        <v>20</v>
      </c>
    </row>
    <row r="9" spans="1:11" ht="16" x14ac:dyDescent="0.2">
      <c r="A9" s="6" t="s">
        <v>13</v>
      </c>
      <c r="B9" s="6" t="s">
        <v>34</v>
      </c>
      <c r="C9" s="6" t="s">
        <v>35</v>
      </c>
      <c r="D9" s="6" t="s">
        <v>36</v>
      </c>
      <c r="E9" s="7" t="s">
        <v>37</v>
      </c>
      <c r="F9" s="6" t="s">
        <v>11</v>
      </c>
      <c r="G9" s="6">
        <v>20241101</v>
      </c>
      <c r="H9" s="6" t="s">
        <v>12</v>
      </c>
      <c r="I9" s="8">
        <v>43</v>
      </c>
      <c r="J9" s="9">
        <v>0.2</v>
      </c>
      <c r="K9" s="8">
        <v>8.6</v>
      </c>
    </row>
    <row r="10" spans="1:11" ht="16" x14ac:dyDescent="0.2">
      <c r="A10" s="6" t="s">
        <v>13</v>
      </c>
      <c r="B10" s="6" t="s">
        <v>38</v>
      </c>
      <c r="C10" s="6" t="s">
        <v>39</v>
      </c>
      <c r="D10" s="6" t="s">
        <v>40</v>
      </c>
      <c r="E10" s="7" t="s">
        <v>17</v>
      </c>
      <c r="F10" s="6">
        <v>1</v>
      </c>
      <c r="G10" s="6">
        <v>20230601</v>
      </c>
      <c r="H10" s="6" t="s">
        <v>24</v>
      </c>
      <c r="I10" s="8">
        <v>249.23</v>
      </c>
      <c r="J10" s="9">
        <v>18</v>
      </c>
      <c r="K10" s="8">
        <v>18</v>
      </c>
    </row>
    <row r="11" spans="1:11" ht="16" x14ac:dyDescent="0.2">
      <c r="A11" s="6" t="s">
        <v>13</v>
      </c>
      <c r="B11" s="6" t="s">
        <v>38</v>
      </c>
      <c r="C11" s="6" t="s">
        <v>39</v>
      </c>
      <c r="D11" s="6" t="s">
        <v>40</v>
      </c>
      <c r="E11" s="7" t="s">
        <v>17</v>
      </c>
      <c r="F11" s="6">
        <v>1</v>
      </c>
      <c r="G11" s="6">
        <v>20231001</v>
      </c>
      <c r="H11" s="6" t="s">
        <v>24</v>
      </c>
      <c r="I11" s="8">
        <v>249.23</v>
      </c>
      <c r="J11" s="9">
        <v>18</v>
      </c>
      <c r="K11" s="8">
        <v>18</v>
      </c>
    </row>
    <row r="12" spans="1:11" ht="16" x14ac:dyDescent="0.2">
      <c r="A12" s="6" t="s">
        <v>13</v>
      </c>
      <c r="B12" s="6" t="s">
        <v>38</v>
      </c>
      <c r="C12" s="6" t="s">
        <v>39</v>
      </c>
      <c r="D12" s="6" t="s">
        <v>40</v>
      </c>
      <c r="E12" s="7" t="s">
        <v>17</v>
      </c>
      <c r="F12" s="6">
        <v>1</v>
      </c>
      <c r="G12" s="6">
        <v>20230901</v>
      </c>
      <c r="H12" s="6" t="s">
        <v>24</v>
      </c>
      <c r="I12" s="8">
        <v>249.23</v>
      </c>
      <c r="J12" s="9">
        <v>18</v>
      </c>
      <c r="K12" s="8">
        <v>18</v>
      </c>
    </row>
    <row r="13" spans="1:11" ht="16" x14ac:dyDescent="0.2">
      <c r="A13" s="6" t="s">
        <v>13</v>
      </c>
      <c r="B13" s="6" t="s">
        <v>38</v>
      </c>
      <c r="C13" s="6" t="s">
        <v>39</v>
      </c>
      <c r="D13" s="6" t="s">
        <v>40</v>
      </c>
      <c r="E13" s="7" t="s">
        <v>17</v>
      </c>
      <c r="F13" s="6">
        <v>1</v>
      </c>
      <c r="G13" s="6">
        <v>20240301</v>
      </c>
      <c r="H13" s="6" t="s">
        <v>24</v>
      </c>
      <c r="I13" s="8">
        <v>266.76</v>
      </c>
      <c r="J13" s="9">
        <v>18</v>
      </c>
      <c r="K13" s="8">
        <v>18</v>
      </c>
    </row>
    <row r="14" spans="1:11" ht="16" x14ac:dyDescent="0.2">
      <c r="A14" s="6" t="s">
        <v>13</v>
      </c>
      <c r="B14" s="6" t="s">
        <v>38</v>
      </c>
      <c r="C14" s="6" t="s">
        <v>39</v>
      </c>
      <c r="D14" s="6" t="s">
        <v>40</v>
      </c>
      <c r="E14" s="7" t="s">
        <v>17</v>
      </c>
      <c r="F14" s="6">
        <v>1</v>
      </c>
      <c r="G14" s="6">
        <v>20230701</v>
      </c>
      <c r="H14" s="6" t="s">
        <v>24</v>
      </c>
      <c r="I14" s="8">
        <v>249.23</v>
      </c>
      <c r="J14" s="9">
        <v>18</v>
      </c>
      <c r="K14" s="8">
        <v>18</v>
      </c>
    </row>
    <row r="15" spans="1:11" ht="16" x14ac:dyDescent="0.2">
      <c r="A15" s="6" t="s">
        <v>13</v>
      </c>
      <c r="B15" s="6" t="s">
        <v>38</v>
      </c>
      <c r="C15" s="6" t="s">
        <v>39</v>
      </c>
      <c r="D15" s="6" t="s">
        <v>40</v>
      </c>
      <c r="E15" s="7" t="s">
        <v>17</v>
      </c>
      <c r="F15" s="6">
        <v>1</v>
      </c>
      <c r="G15" s="6">
        <v>20230801</v>
      </c>
      <c r="H15" s="6" t="s">
        <v>24</v>
      </c>
      <c r="I15" s="8">
        <v>249.23</v>
      </c>
      <c r="J15" s="9">
        <v>18</v>
      </c>
      <c r="K15" s="8">
        <v>18</v>
      </c>
    </row>
    <row r="16" spans="1:11" ht="16" x14ac:dyDescent="0.2">
      <c r="A16" s="6" t="s">
        <v>13</v>
      </c>
      <c r="B16" s="6" t="s">
        <v>38</v>
      </c>
      <c r="C16" s="6" t="s">
        <v>39</v>
      </c>
      <c r="D16" s="6" t="s">
        <v>40</v>
      </c>
      <c r="E16" s="7" t="s">
        <v>17</v>
      </c>
      <c r="F16" s="6">
        <v>1</v>
      </c>
      <c r="G16" s="6">
        <v>20240201</v>
      </c>
      <c r="H16" s="6" t="s">
        <v>24</v>
      </c>
      <c r="I16" s="8">
        <v>266.76</v>
      </c>
      <c r="J16" s="9">
        <v>18</v>
      </c>
      <c r="K16" s="8">
        <v>18</v>
      </c>
    </row>
    <row r="17" spans="1:11" ht="16" x14ac:dyDescent="0.2">
      <c r="A17" s="6" t="s">
        <v>13</v>
      </c>
      <c r="B17" s="6" t="s">
        <v>38</v>
      </c>
      <c r="C17" s="6" t="s">
        <v>39</v>
      </c>
      <c r="D17" s="6" t="s">
        <v>40</v>
      </c>
      <c r="E17" s="7" t="s">
        <v>17</v>
      </c>
      <c r="F17" s="6">
        <v>1</v>
      </c>
      <c r="G17" s="6">
        <v>20231201</v>
      </c>
      <c r="H17" s="6" t="s">
        <v>24</v>
      </c>
      <c r="I17" s="8">
        <v>249.23</v>
      </c>
      <c r="J17" s="9">
        <v>18</v>
      </c>
      <c r="K17" s="8">
        <v>18</v>
      </c>
    </row>
    <row r="18" spans="1:11" ht="16" x14ac:dyDescent="0.2">
      <c r="A18" s="6" t="s">
        <v>13</v>
      </c>
      <c r="B18" s="6" t="s">
        <v>38</v>
      </c>
      <c r="C18" s="6" t="s">
        <v>39</v>
      </c>
      <c r="D18" s="6" t="s">
        <v>40</v>
      </c>
      <c r="E18" s="7" t="s">
        <v>17</v>
      </c>
      <c r="F18" s="6">
        <v>1</v>
      </c>
      <c r="G18" s="6">
        <v>20240101</v>
      </c>
      <c r="H18" s="6" t="s">
        <v>24</v>
      </c>
      <c r="I18" s="8">
        <v>266.76</v>
      </c>
      <c r="J18" s="9">
        <v>18</v>
      </c>
      <c r="K18" s="8">
        <v>18</v>
      </c>
    </row>
    <row r="19" spans="1:11" ht="16" x14ac:dyDescent="0.2">
      <c r="A19" s="6" t="s">
        <v>13</v>
      </c>
      <c r="B19" s="6" t="s">
        <v>38</v>
      </c>
      <c r="C19" s="6" t="s">
        <v>39</v>
      </c>
      <c r="D19" s="6" t="s">
        <v>40</v>
      </c>
      <c r="E19" s="7" t="s">
        <v>17</v>
      </c>
      <c r="F19" s="6">
        <v>1</v>
      </c>
      <c r="G19" s="6">
        <v>20230501</v>
      </c>
      <c r="H19" s="6" t="s">
        <v>24</v>
      </c>
      <c r="I19" s="8">
        <v>249.23</v>
      </c>
      <c r="J19" s="9">
        <v>18</v>
      </c>
      <c r="K19" s="8">
        <v>18</v>
      </c>
    </row>
    <row r="20" spans="1:11" ht="16" x14ac:dyDescent="0.2">
      <c r="A20" s="6" t="s">
        <v>13</v>
      </c>
      <c r="B20" s="6" t="s">
        <v>38</v>
      </c>
      <c r="C20" s="6" t="s">
        <v>39</v>
      </c>
      <c r="D20" s="6" t="s">
        <v>40</v>
      </c>
      <c r="E20" s="7" t="s">
        <v>17</v>
      </c>
      <c r="F20" s="6">
        <v>1</v>
      </c>
      <c r="G20" s="6">
        <v>20240401</v>
      </c>
      <c r="H20" s="6" t="s">
        <v>24</v>
      </c>
      <c r="I20" s="8">
        <v>266.76</v>
      </c>
      <c r="J20" s="9">
        <v>18</v>
      </c>
      <c r="K20" s="8">
        <v>18</v>
      </c>
    </row>
    <row r="21" spans="1:11" ht="16" x14ac:dyDescent="0.2">
      <c r="A21" s="6" t="s">
        <v>13</v>
      </c>
      <c r="B21" s="6" t="s">
        <v>38</v>
      </c>
      <c r="C21" s="6" t="s">
        <v>39</v>
      </c>
      <c r="D21" s="6" t="s">
        <v>40</v>
      </c>
      <c r="E21" s="7" t="s">
        <v>17</v>
      </c>
      <c r="F21" s="6">
        <v>1</v>
      </c>
      <c r="G21" s="6">
        <v>20231101</v>
      </c>
      <c r="H21" s="6" t="s">
        <v>24</v>
      </c>
      <c r="I21" s="8">
        <v>249.23</v>
      </c>
      <c r="J21" s="9">
        <v>18</v>
      </c>
      <c r="K21" s="8">
        <v>18</v>
      </c>
    </row>
    <row r="22" spans="1:11" ht="16" x14ac:dyDescent="0.2">
      <c r="A22" s="6" t="s">
        <v>13</v>
      </c>
      <c r="B22" s="6" t="s">
        <v>38</v>
      </c>
      <c r="C22" s="6" t="s">
        <v>41</v>
      </c>
      <c r="D22" s="6" t="s">
        <v>42</v>
      </c>
      <c r="E22" s="7" t="s">
        <v>43</v>
      </c>
      <c r="F22" s="6">
        <v>3</v>
      </c>
      <c r="G22" s="6">
        <v>20230301</v>
      </c>
      <c r="H22" s="6" t="s">
        <v>31</v>
      </c>
      <c r="I22" s="8">
        <v>73.91</v>
      </c>
      <c r="J22" s="9">
        <v>22</v>
      </c>
      <c r="K22" s="8">
        <v>66</v>
      </c>
    </row>
    <row r="23" spans="1:11" ht="16" x14ac:dyDescent="0.2">
      <c r="A23" s="6" t="s">
        <v>13</v>
      </c>
      <c r="B23" s="6" t="s">
        <v>38</v>
      </c>
      <c r="C23" s="6" t="s">
        <v>41</v>
      </c>
      <c r="D23" s="6" t="s">
        <v>42</v>
      </c>
      <c r="E23" s="7" t="s">
        <v>43</v>
      </c>
      <c r="F23" s="6">
        <v>3</v>
      </c>
      <c r="G23" s="6">
        <v>20230801</v>
      </c>
      <c r="H23" s="6" t="s">
        <v>31</v>
      </c>
      <c r="I23" s="8">
        <v>73.91</v>
      </c>
      <c r="J23" s="9">
        <v>22</v>
      </c>
      <c r="K23" s="8">
        <v>66</v>
      </c>
    </row>
    <row r="24" spans="1:11" ht="16" x14ac:dyDescent="0.2">
      <c r="A24" s="6" t="s">
        <v>13</v>
      </c>
      <c r="B24" s="6" t="s">
        <v>38</v>
      </c>
      <c r="C24" s="6" t="s">
        <v>41</v>
      </c>
      <c r="D24" s="6" t="s">
        <v>42</v>
      </c>
      <c r="E24" s="7" t="s">
        <v>43</v>
      </c>
      <c r="F24" s="6">
        <v>3</v>
      </c>
      <c r="G24" s="6">
        <v>20231001</v>
      </c>
      <c r="H24" s="6" t="s">
        <v>31</v>
      </c>
      <c r="I24" s="8">
        <v>73.91</v>
      </c>
      <c r="J24" s="9">
        <v>22</v>
      </c>
      <c r="K24" s="8">
        <v>66</v>
      </c>
    </row>
    <row r="25" spans="1:11" ht="16" x14ac:dyDescent="0.2">
      <c r="A25" s="6" t="s">
        <v>13</v>
      </c>
      <c r="B25" s="6" t="s">
        <v>38</v>
      </c>
      <c r="C25" s="6" t="s">
        <v>41</v>
      </c>
      <c r="D25" s="6" t="s">
        <v>42</v>
      </c>
      <c r="E25" s="7" t="s">
        <v>43</v>
      </c>
      <c r="F25" s="6">
        <v>2</v>
      </c>
      <c r="G25" s="6">
        <v>20240801</v>
      </c>
      <c r="H25" s="6" t="s">
        <v>31</v>
      </c>
      <c r="I25" s="8">
        <v>168.88</v>
      </c>
      <c r="J25" s="9">
        <v>24</v>
      </c>
      <c r="K25" s="8">
        <v>48</v>
      </c>
    </row>
    <row r="26" spans="1:11" ht="16" x14ac:dyDescent="0.2">
      <c r="A26" s="6" t="s">
        <v>13</v>
      </c>
      <c r="B26" s="6" t="s">
        <v>38</v>
      </c>
      <c r="C26" s="6" t="s">
        <v>41</v>
      </c>
      <c r="D26" s="6" t="s">
        <v>42</v>
      </c>
      <c r="E26" s="7" t="s">
        <v>43</v>
      </c>
      <c r="F26" s="6">
        <v>2</v>
      </c>
      <c r="G26" s="6">
        <v>20240401</v>
      </c>
      <c r="H26" s="6" t="s">
        <v>31</v>
      </c>
      <c r="I26" s="8">
        <v>168.88</v>
      </c>
      <c r="J26" s="9">
        <v>24</v>
      </c>
      <c r="K26" s="8">
        <v>48</v>
      </c>
    </row>
    <row r="27" spans="1:11" ht="16" x14ac:dyDescent="0.2">
      <c r="A27" s="6" t="s">
        <v>13</v>
      </c>
      <c r="B27" s="6" t="s">
        <v>38</v>
      </c>
      <c r="C27" s="6" t="s">
        <v>41</v>
      </c>
      <c r="D27" s="6" t="s">
        <v>42</v>
      </c>
      <c r="E27" s="7" t="s">
        <v>43</v>
      </c>
      <c r="F27" s="6">
        <v>3</v>
      </c>
      <c r="G27" s="6">
        <v>20230901</v>
      </c>
      <c r="H27" s="6" t="s">
        <v>31</v>
      </c>
      <c r="I27" s="8">
        <v>73.91</v>
      </c>
      <c r="J27" s="9">
        <v>22</v>
      </c>
      <c r="K27" s="8">
        <v>66</v>
      </c>
    </row>
    <row r="28" spans="1:11" ht="16" x14ac:dyDescent="0.2">
      <c r="A28" s="6" t="s">
        <v>13</v>
      </c>
      <c r="B28" s="6" t="s">
        <v>38</v>
      </c>
      <c r="C28" s="6" t="s">
        <v>41</v>
      </c>
      <c r="D28" s="6" t="s">
        <v>42</v>
      </c>
      <c r="E28" s="7" t="s">
        <v>43</v>
      </c>
      <c r="F28" s="6">
        <v>3</v>
      </c>
      <c r="G28" s="6">
        <v>20230201</v>
      </c>
      <c r="H28" s="6" t="s">
        <v>31</v>
      </c>
      <c r="I28" s="8">
        <v>73.91</v>
      </c>
      <c r="J28" s="9">
        <v>22</v>
      </c>
      <c r="K28" s="8">
        <v>66</v>
      </c>
    </row>
    <row r="29" spans="1:11" ht="16" x14ac:dyDescent="0.2">
      <c r="A29" s="6" t="s">
        <v>13</v>
      </c>
      <c r="B29" s="6" t="s">
        <v>38</v>
      </c>
      <c r="C29" s="6" t="s">
        <v>41</v>
      </c>
      <c r="D29" s="6" t="s">
        <v>42</v>
      </c>
      <c r="E29" s="7" t="s">
        <v>43</v>
      </c>
      <c r="F29" s="6">
        <v>3</v>
      </c>
      <c r="G29" s="6">
        <v>20230101</v>
      </c>
      <c r="H29" s="6" t="s">
        <v>31</v>
      </c>
      <c r="I29" s="8">
        <v>73.91</v>
      </c>
      <c r="J29" s="9">
        <v>22</v>
      </c>
      <c r="K29" s="8">
        <v>66</v>
      </c>
    </row>
    <row r="30" spans="1:11" ht="16" x14ac:dyDescent="0.2">
      <c r="A30" s="6" t="s">
        <v>13</v>
      </c>
      <c r="B30" s="6" t="s">
        <v>38</v>
      </c>
      <c r="C30" s="6" t="s">
        <v>41</v>
      </c>
      <c r="D30" s="6" t="s">
        <v>42</v>
      </c>
      <c r="E30" s="7" t="s">
        <v>43</v>
      </c>
      <c r="F30" s="6">
        <v>3</v>
      </c>
      <c r="G30" s="6">
        <v>20231101</v>
      </c>
      <c r="H30" s="6" t="s">
        <v>31</v>
      </c>
      <c r="I30" s="8">
        <v>73.91</v>
      </c>
      <c r="J30" s="9">
        <v>22</v>
      </c>
      <c r="K30" s="8">
        <v>66</v>
      </c>
    </row>
    <row r="31" spans="1:11" ht="16" x14ac:dyDescent="0.2">
      <c r="A31" s="6" t="s">
        <v>13</v>
      </c>
      <c r="B31" s="6" t="s">
        <v>38</v>
      </c>
      <c r="C31" s="6" t="s">
        <v>41</v>
      </c>
      <c r="D31" s="6" t="s">
        <v>42</v>
      </c>
      <c r="E31" s="7" t="s">
        <v>43</v>
      </c>
      <c r="F31" s="6">
        <v>3</v>
      </c>
      <c r="G31" s="6">
        <v>20230601</v>
      </c>
      <c r="H31" s="6" t="s">
        <v>31</v>
      </c>
      <c r="I31" s="8">
        <v>73.91</v>
      </c>
      <c r="J31" s="9">
        <v>22</v>
      </c>
      <c r="K31" s="8">
        <v>66</v>
      </c>
    </row>
    <row r="32" spans="1:11" ht="16" x14ac:dyDescent="0.2">
      <c r="A32" s="6" t="s">
        <v>13</v>
      </c>
      <c r="B32" s="6" t="s">
        <v>38</v>
      </c>
      <c r="C32" s="6" t="s">
        <v>41</v>
      </c>
      <c r="D32" s="6" t="s">
        <v>42</v>
      </c>
      <c r="E32" s="7" t="s">
        <v>43</v>
      </c>
      <c r="F32" s="6">
        <v>3</v>
      </c>
      <c r="G32" s="6">
        <v>20231201</v>
      </c>
      <c r="H32" s="6" t="s">
        <v>31</v>
      </c>
      <c r="I32" s="8">
        <v>73.91</v>
      </c>
      <c r="J32" s="9">
        <v>22</v>
      </c>
      <c r="K32" s="8">
        <v>66</v>
      </c>
    </row>
    <row r="33" spans="1:11" ht="16" x14ac:dyDescent="0.2">
      <c r="A33" s="6" t="s">
        <v>13</v>
      </c>
      <c r="B33" s="6" t="s">
        <v>38</v>
      </c>
      <c r="C33" s="6" t="s">
        <v>41</v>
      </c>
      <c r="D33" s="6" t="s">
        <v>42</v>
      </c>
      <c r="E33" s="7" t="s">
        <v>43</v>
      </c>
      <c r="F33" s="6">
        <v>2</v>
      </c>
      <c r="G33" s="6">
        <v>20240901</v>
      </c>
      <c r="H33" s="6" t="s">
        <v>31</v>
      </c>
      <c r="I33" s="8">
        <v>168.88</v>
      </c>
      <c r="J33" s="9">
        <v>24</v>
      </c>
      <c r="K33" s="8">
        <v>48</v>
      </c>
    </row>
    <row r="34" spans="1:11" ht="16" x14ac:dyDescent="0.2">
      <c r="A34" s="6" t="s">
        <v>13</v>
      </c>
      <c r="B34" s="6" t="s">
        <v>38</v>
      </c>
      <c r="C34" s="6" t="s">
        <v>41</v>
      </c>
      <c r="D34" s="6" t="s">
        <v>42</v>
      </c>
      <c r="E34" s="7" t="s">
        <v>43</v>
      </c>
      <c r="F34" s="6">
        <v>2</v>
      </c>
      <c r="G34" s="6">
        <v>20240601</v>
      </c>
      <c r="H34" s="6" t="s">
        <v>31</v>
      </c>
      <c r="I34" s="8">
        <v>168.88</v>
      </c>
      <c r="J34" s="9">
        <v>24</v>
      </c>
      <c r="K34" s="8">
        <v>48</v>
      </c>
    </row>
    <row r="35" spans="1:11" ht="16" x14ac:dyDescent="0.2">
      <c r="A35" s="6" t="s">
        <v>13</v>
      </c>
      <c r="B35" s="6" t="s">
        <v>38</v>
      </c>
      <c r="C35" s="6" t="s">
        <v>41</v>
      </c>
      <c r="D35" s="6" t="s">
        <v>42</v>
      </c>
      <c r="E35" s="7" t="s">
        <v>43</v>
      </c>
      <c r="F35" s="6">
        <v>2</v>
      </c>
      <c r="G35" s="6">
        <v>20240301</v>
      </c>
      <c r="H35" s="6" t="s">
        <v>31</v>
      </c>
      <c r="I35" s="8">
        <v>168.88</v>
      </c>
      <c r="J35" s="9">
        <v>24</v>
      </c>
      <c r="K35" s="8">
        <v>48</v>
      </c>
    </row>
    <row r="36" spans="1:11" ht="16" x14ac:dyDescent="0.2">
      <c r="A36" s="6" t="s">
        <v>13</v>
      </c>
      <c r="B36" s="6" t="s">
        <v>38</v>
      </c>
      <c r="C36" s="6" t="s">
        <v>41</v>
      </c>
      <c r="D36" s="6" t="s">
        <v>42</v>
      </c>
      <c r="E36" s="7" t="s">
        <v>43</v>
      </c>
      <c r="F36" s="6">
        <v>3</v>
      </c>
      <c r="G36" s="6">
        <v>20230701</v>
      </c>
      <c r="H36" s="6" t="s">
        <v>31</v>
      </c>
      <c r="I36" s="8">
        <v>73.91</v>
      </c>
      <c r="J36" s="9">
        <v>22</v>
      </c>
      <c r="K36" s="8">
        <v>66</v>
      </c>
    </row>
    <row r="37" spans="1:11" ht="16" x14ac:dyDescent="0.2">
      <c r="A37" s="6" t="s">
        <v>13</v>
      </c>
      <c r="B37" s="6" t="s">
        <v>38</v>
      </c>
      <c r="C37" s="6" t="s">
        <v>41</v>
      </c>
      <c r="D37" s="6" t="s">
        <v>42</v>
      </c>
      <c r="E37" s="7" t="s">
        <v>43</v>
      </c>
      <c r="F37" s="6">
        <v>2</v>
      </c>
      <c r="G37" s="6">
        <v>20240201</v>
      </c>
      <c r="H37" s="6" t="s">
        <v>31</v>
      </c>
      <c r="I37" s="8">
        <v>168.88</v>
      </c>
      <c r="J37" s="9">
        <v>24</v>
      </c>
      <c r="K37" s="8">
        <v>48</v>
      </c>
    </row>
    <row r="38" spans="1:11" ht="16" x14ac:dyDescent="0.2">
      <c r="A38" s="6" t="s">
        <v>13</v>
      </c>
      <c r="B38" s="6" t="s">
        <v>38</v>
      </c>
      <c r="C38" s="6" t="s">
        <v>41</v>
      </c>
      <c r="D38" s="6" t="s">
        <v>42</v>
      </c>
      <c r="E38" s="7" t="s">
        <v>43</v>
      </c>
      <c r="F38" s="6">
        <v>2</v>
      </c>
      <c r="G38" s="6">
        <v>20241101</v>
      </c>
      <c r="H38" s="6" t="s">
        <v>31</v>
      </c>
      <c r="I38" s="8">
        <v>168.88</v>
      </c>
      <c r="J38" s="9">
        <v>24</v>
      </c>
      <c r="K38" s="8">
        <v>48</v>
      </c>
    </row>
    <row r="39" spans="1:11" ht="16" x14ac:dyDescent="0.2">
      <c r="A39" s="6" t="s">
        <v>13</v>
      </c>
      <c r="B39" s="6" t="s">
        <v>38</v>
      </c>
      <c r="C39" s="6" t="s">
        <v>41</v>
      </c>
      <c r="D39" s="6" t="s">
        <v>42</v>
      </c>
      <c r="E39" s="7" t="s">
        <v>43</v>
      </c>
      <c r="F39" s="6">
        <v>2</v>
      </c>
      <c r="G39" s="6">
        <v>20240501</v>
      </c>
      <c r="H39" s="6" t="s">
        <v>31</v>
      </c>
      <c r="I39" s="8">
        <v>168.88</v>
      </c>
      <c r="J39" s="9">
        <v>24</v>
      </c>
      <c r="K39" s="8">
        <v>48</v>
      </c>
    </row>
    <row r="40" spans="1:11" ht="16" x14ac:dyDescent="0.2">
      <c r="A40" s="6" t="s">
        <v>13</v>
      </c>
      <c r="B40" s="6" t="s">
        <v>38</v>
      </c>
      <c r="C40" s="6" t="s">
        <v>41</v>
      </c>
      <c r="D40" s="6" t="s">
        <v>42</v>
      </c>
      <c r="E40" s="7" t="s">
        <v>43</v>
      </c>
      <c r="F40" s="6">
        <v>3</v>
      </c>
      <c r="G40" s="6">
        <v>20230401</v>
      </c>
      <c r="H40" s="6" t="s">
        <v>31</v>
      </c>
      <c r="I40" s="8">
        <v>73.91</v>
      </c>
      <c r="J40" s="9">
        <v>22</v>
      </c>
      <c r="K40" s="8">
        <v>66</v>
      </c>
    </row>
    <row r="41" spans="1:11" ht="16" x14ac:dyDescent="0.2">
      <c r="A41" s="6" t="s">
        <v>13</v>
      </c>
      <c r="B41" s="6" t="s">
        <v>38</v>
      </c>
      <c r="C41" s="6" t="s">
        <v>41</v>
      </c>
      <c r="D41" s="6" t="s">
        <v>42</v>
      </c>
      <c r="E41" s="7" t="s">
        <v>43</v>
      </c>
      <c r="F41" s="6">
        <v>2</v>
      </c>
      <c r="G41" s="6">
        <v>20240101</v>
      </c>
      <c r="H41" s="6" t="s">
        <v>31</v>
      </c>
      <c r="I41" s="8">
        <v>168.88</v>
      </c>
      <c r="J41" s="9">
        <v>24</v>
      </c>
      <c r="K41" s="8">
        <v>48</v>
      </c>
    </row>
    <row r="42" spans="1:11" ht="16" x14ac:dyDescent="0.2">
      <c r="A42" s="6" t="s">
        <v>13</v>
      </c>
      <c r="B42" s="6" t="s">
        <v>38</v>
      </c>
      <c r="C42" s="6" t="s">
        <v>41</v>
      </c>
      <c r="D42" s="6" t="s">
        <v>42</v>
      </c>
      <c r="E42" s="7" t="s">
        <v>43</v>
      </c>
      <c r="F42" s="6">
        <v>2</v>
      </c>
      <c r="G42" s="6">
        <v>20241001</v>
      </c>
      <c r="H42" s="6" t="s">
        <v>31</v>
      </c>
      <c r="I42" s="8">
        <v>168.88</v>
      </c>
      <c r="J42" s="9">
        <v>24</v>
      </c>
      <c r="K42" s="8">
        <v>48</v>
      </c>
    </row>
    <row r="43" spans="1:11" ht="16" x14ac:dyDescent="0.2">
      <c r="A43" s="6" t="s">
        <v>13</v>
      </c>
      <c r="B43" s="6" t="s">
        <v>38</v>
      </c>
      <c r="C43" s="6" t="s">
        <v>41</v>
      </c>
      <c r="D43" s="6" t="s">
        <v>42</v>
      </c>
      <c r="E43" s="7" t="s">
        <v>43</v>
      </c>
      <c r="F43" s="6">
        <v>2</v>
      </c>
      <c r="G43" s="6">
        <v>20240701</v>
      </c>
      <c r="H43" s="6" t="s">
        <v>31</v>
      </c>
      <c r="I43" s="8">
        <v>168.88</v>
      </c>
      <c r="J43" s="9">
        <v>24</v>
      </c>
      <c r="K43" s="8">
        <v>48</v>
      </c>
    </row>
    <row r="44" spans="1:11" ht="16" x14ac:dyDescent="0.2">
      <c r="A44" s="6" t="s">
        <v>13</v>
      </c>
      <c r="B44" s="6" t="s">
        <v>38</v>
      </c>
      <c r="C44" s="6" t="s">
        <v>41</v>
      </c>
      <c r="D44" s="6" t="s">
        <v>42</v>
      </c>
      <c r="E44" s="7" t="s">
        <v>43</v>
      </c>
      <c r="F44" s="6">
        <v>3</v>
      </c>
      <c r="G44" s="6">
        <v>20230501</v>
      </c>
      <c r="H44" s="6" t="s">
        <v>31</v>
      </c>
      <c r="I44" s="8">
        <v>73.91</v>
      </c>
      <c r="J44" s="9">
        <v>22</v>
      </c>
      <c r="K44" s="8">
        <v>66</v>
      </c>
    </row>
    <row r="45" spans="1:11" ht="16" x14ac:dyDescent="0.2">
      <c r="A45" s="6" t="s">
        <v>13</v>
      </c>
      <c r="B45" s="6" t="s">
        <v>44</v>
      </c>
      <c r="C45" s="6" t="s">
        <v>45</v>
      </c>
      <c r="D45" s="6" t="s">
        <v>46</v>
      </c>
      <c r="E45" s="7" t="s">
        <v>28</v>
      </c>
      <c r="F45" s="6">
        <v>2</v>
      </c>
      <c r="G45" s="6">
        <v>20241101</v>
      </c>
      <c r="H45" s="6" t="s">
        <v>31</v>
      </c>
      <c r="I45" s="8">
        <v>11.48</v>
      </c>
      <c r="J45" s="9">
        <v>20</v>
      </c>
      <c r="K45" s="8">
        <v>40</v>
      </c>
    </row>
    <row r="46" spans="1:11" ht="16" x14ac:dyDescent="0.2">
      <c r="A46" s="6" t="s">
        <v>13</v>
      </c>
      <c r="B46" s="6"/>
      <c r="C46" s="6"/>
      <c r="D46" s="6"/>
      <c r="E46" s="7"/>
      <c r="F46" s="6"/>
      <c r="G46" s="6"/>
      <c r="H46" s="6"/>
      <c r="I46" s="8"/>
      <c r="J46" s="9" t="s">
        <v>47</v>
      </c>
      <c r="K46" s="8">
        <v>1754.23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38EF-4E51-DE46-9D4F-C406B9404D99}">
  <dimension ref="A1:P46"/>
  <sheetViews>
    <sheetView tabSelected="1" workbookViewId="0">
      <selection activeCell="D6" sqref="D6"/>
    </sheetView>
  </sheetViews>
  <sheetFormatPr baseColWidth="10" defaultRowHeight="15" x14ac:dyDescent="0.2"/>
  <cols>
    <col min="1" max="1" width="19.83203125" bestFit="1" customWidth="1"/>
    <col min="2" max="2" width="17" bestFit="1" customWidth="1"/>
    <col min="3" max="3" width="17" customWidth="1"/>
    <col min="4" max="4" width="24.6640625" bestFit="1" customWidth="1"/>
    <col min="5" max="5" width="9.6640625" bestFit="1" customWidth="1"/>
    <col min="6" max="6" width="9.6640625" customWidth="1"/>
    <col min="7" max="7" width="5.5" bestFit="1" customWidth="1"/>
    <col min="8" max="8" width="8.1640625" bestFit="1" customWidth="1"/>
    <col min="9" max="9" width="9.1640625" bestFit="1" customWidth="1"/>
    <col min="10" max="10" width="9.1640625" customWidth="1"/>
    <col min="11" max="11" width="13" bestFit="1" customWidth="1"/>
    <col min="12" max="12" width="15.1640625" bestFit="1" customWidth="1"/>
    <col min="13" max="13" width="9.1640625" bestFit="1" customWidth="1"/>
    <col min="14" max="14" width="6.6640625" bestFit="1" customWidth="1"/>
    <col min="15" max="15" width="10.5" bestFit="1" customWidth="1"/>
  </cols>
  <sheetData>
    <row r="1" spans="1:16" ht="51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6</v>
      </c>
      <c r="J1" s="2"/>
      <c r="K1" s="2"/>
      <c r="L1" s="3" t="s">
        <v>7</v>
      </c>
      <c r="M1" s="4" t="s">
        <v>8</v>
      </c>
      <c r="N1" s="5" t="s">
        <v>9</v>
      </c>
      <c r="O1" s="4" t="s">
        <v>10</v>
      </c>
    </row>
    <row r="2" spans="1:16" ht="16" x14ac:dyDescent="0.2">
      <c r="A2" s="6" t="s">
        <v>13</v>
      </c>
      <c r="B2" s="6" t="s">
        <v>14</v>
      </c>
      <c r="C2" s="6">
        <v>21104854</v>
      </c>
      <c r="D2" s="6" t="s">
        <v>15</v>
      </c>
      <c r="E2" s="6" t="s">
        <v>16</v>
      </c>
      <c r="F2" s="6" t="str">
        <f>CONCATENATE(E2,7)</f>
        <v>14NW317</v>
      </c>
      <c r="G2" s="7" t="s">
        <v>17</v>
      </c>
      <c r="H2" s="6" t="s">
        <v>11</v>
      </c>
      <c r="I2" s="6">
        <v>20241101</v>
      </c>
      <c r="J2" s="6" t="s">
        <v>48</v>
      </c>
      <c r="K2" s="15">
        <f>DATE(YEAR(J2), MONTH(J2) +1, DAY(J2))</f>
        <v>45627</v>
      </c>
      <c r="L2" s="6" t="s">
        <v>12</v>
      </c>
      <c r="M2" s="8">
        <v>120.15</v>
      </c>
      <c r="N2" s="9">
        <v>0.2</v>
      </c>
      <c r="O2" s="8">
        <v>24.03</v>
      </c>
      <c r="P2" s="6"/>
    </row>
    <row r="3" spans="1:16" ht="16" x14ac:dyDescent="0.2">
      <c r="A3" s="6" t="s">
        <v>13</v>
      </c>
      <c r="B3" s="6" t="s">
        <v>14</v>
      </c>
      <c r="C3" s="6">
        <v>21104854</v>
      </c>
      <c r="D3" s="6" t="s">
        <v>18</v>
      </c>
      <c r="E3" s="6" t="s">
        <v>19</v>
      </c>
      <c r="F3" s="6" t="str">
        <f t="shared" ref="F3:F5" si="0">CONCATENATE(E3,7)</f>
        <v>47N6E87</v>
      </c>
      <c r="G3" s="7" t="s">
        <v>17</v>
      </c>
      <c r="H3" s="6" t="s">
        <v>11</v>
      </c>
      <c r="I3" s="6">
        <v>20241101</v>
      </c>
      <c r="J3" s="6" t="s">
        <v>48</v>
      </c>
      <c r="K3" s="15">
        <f t="shared" ref="K3:K46" si="1">DATE(YEAR(J3), MONTH(J3) +1, DAY(J3))</f>
        <v>45627</v>
      </c>
      <c r="L3" s="6" t="s">
        <v>12</v>
      </c>
      <c r="M3" s="8">
        <v>29</v>
      </c>
      <c r="N3" s="9">
        <v>0.2</v>
      </c>
      <c r="O3" s="8">
        <v>5.8000000000000007</v>
      </c>
      <c r="P3" s="6"/>
    </row>
    <row r="4" spans="1:16" s="14" customFormat="1" ht="16" x14ac:dyDescent="0.2">
      <c r="A4" s="6" t="s">
        <v>13</v>
      </c>
      <c r="B4" s="6" t="s">
        <v>25</v>
      </c>
      <c r="C4" s="6">
        <v>6634327</v>
      </c>
      <c r="D4" s="6" t="s">
        <v>26</v>
      </c>
      <c r="E4" s="6" t="s">
        <v>27</v>
      </c>
      <c r="F4" s="6" t="str">
        <f t="shared" si="0"/>
        <v>61N2C47</v>
      </c>
      <c r="G4" s="7" t="s">
        <v>28</v>
      </c>
      <c r="H4" s="6" t="s">
        <v>11</v>
      </c>
      <c r="I4" s="6">
        <v>20241101</v>
      </c>
      <c r="J4" s="6" t="s">
        <v>48</v>
      </c>
      <c r="K4" s="15">
        <f t="shared" si="1"/>
        <v>45627</v>
      </c>
      <c r="L4" s="6" t="s">
        <v>12</v>
      </c>
      <c r="M4" s="8">
        <v>49</v>
      </c>
      <c r="N4" s="9">
        <v>0.2</v>
      </c>
      <c r="O4" s="8">
        <v>9.8000000000000007</v>
      </c>
      <c r="P4" s="6"/>
    </row>
    <row r="5" spans="1:16" s="14" customFormat="1" ht="16" x14ac:dyDescent="0.2">
      <c r="A5" s="6" t="s">
        <v>13</v>
      </c>
      <c r="B5" s="6" t="s">
        <v>34</v>
      </c>
      <c r="C5" s="6">
        <v>17425766</v>
      </c>
      <c r="D5" s="6" t="s">
        <v>35</v>
      </c>
      <c r="E5" s="6" t="s">
        <v>36</v>
      </c>
      <c r="F5" s="6" t="str">
        <f t="shared" si="0"/>
        <v>87PH607</v>
      </c>
      <c r="G5" s="7" t="s">
        <v>37</v>
      </c>
      <c r="H5" s="6" t="s">
        <v>11</v>
      </c>
      <c r="I5" s="6">
        <v>20241101</v>
      </c>
      <c r="J5" s="6" t="s">
        <v>48</v>
      </c>
      <c r="K5" s="15">
        <f t="shared" si="1"/>
        <v>45627</v>
      </c>
      <c r="L5" s="6" t="s">
        <v>12</v>
      </c>
      <c r="M5" s="8">
        <v>43</v>
      </c>
      <c r="N5" s="9">
        <v>0.2</v>
      </c>
      <c r="O5" s="8">
        <v>8.6</v>
      </c>
      <c r="P5" s="6"/>
    </row>
    <row r="6" spans="1:16" ht="16" x14ac:dyDescent="0.2">
      <c r="A6" s="10" t="s">
        <v>13</v>
      </c>
      <c r="B6" s="10" t="s">
        <v>20</v>
      </c>
      <c r="C6" s="10">
        <v>19279958</v>
      </c>
      <c r="D6" s="10" t="s">
        <v>21</v>
      </c>
      <c r="E6" s="10" t="s">
        <v>22</v>
      </c>
      <c r="F6" s="10" t="s">
        <v>22</v>
      </c>
      <c r="G6" s="11" t="s">
        <v>23</v>
      </c>
      <c r="H6" s="10">
        <v>1</v>
      </c>
      <c r="I6" s="10">
        <v>20240901</v>
      </c>
      <c r="J6" s="10" t="s">
        <v>49</v>
      </c>
      <c r="K6" s="15">
        <f t="shared" si="1"/>
        <v>45566</v>
      </c>
      <c r="L6" s="10" t="s">
        <v>24</v>
      </c>
      <c r="M6" s="12">
        <v>58</v>
      </c>
      <c r="N6" s="13">
        <v>25</v>
      </c>
      <c r="O6" s="12">
        <v>25</v>
      </c>
      <c r="P6" s="6"/>
    </row>
    <row r="7" spans="1:16" ht="16" x14ac:dyDescent="0.2">
      <c r="A7" s="10" t="s">
        <v>13</v>
      </c>
      <c r="B7" s="10" t="s">
        <v>20</v>
      </c>
      <c r="C7" s="10">
        <v>19279958</v>
      </c>
      <c r="D7" s="10" t="s">
        <v>21</v>
      </c>
      <c r="E7" s="10" t="s">
        <v>22</v>
      </c>
      <c r="F7" s="10" t="s">
        <v>22</v>
      </c>
      <c r="G7" s="11" t="s">
        <v>23</v>
      </c>
      <c r="H7" s="10">
        <v>1</v>
      </c>
      <c r="I7" s="10">
        <v>20240801</v>
      </c>
      <c r="J7" s="10" t="s">
        <v>50</v>
      </c>
      <c r="K7" s="15">
        <f t="shared" si="1"/>
        <v>45536</v>
      </c>
      <c r="L7" s="10" t="s">
        <v>24</v>
      </c>
      <c r="M7" s="12">
        <v>179.08</v>
      </c>
      <c r="N7" s="13">
        <v>25</v>
      </c>
      <c r="O7" s="12">
        <v>25</v>
      </c>
      <c r="P7" s="6"/>
    </row>
    <row r="8" spans="1:16" ht="16" x14ac:dyDescent="0.2">
      <c r="A8" s="6" t="s">
        <v>13</v>
      </c>
      <c r="B8" s="6" t="s">
        <v>38</v>
      </c>
      <c r="C8" s="6">
        <v>20003537</v>
      </c>
      <c r="D8" s="6" t="s">
        <v>39</v>
      </c>
      <c r="E8" s="6" t="s">
        <v>40</v>
      </c>
      <c r="F8" s="6" t="s">
        <v>40</v>
      </c>
      <c r="G8" s="7" t="s">
        <v>17</v>
      </c>
      <c r="H8" s="6">
        <v>1</v>
      </c>
      <c r="I8" s="6">
        <v>20230601</v>
      </c>
      <c r="J8" s="6" t="s">
        <v>51</v>
      </c>
      <c r="K8" s="15">
        <f t="shared" si="1"/>
        <v>45108</v>
      </c>
      <c r="L8" s="6" t="s">
        <v>24</v>
      </c>
      <c r="M8" s="8">
        <v>249.23</v>
      </c>
      <c r="N8" s="9">
        <v>18</v>
      </c>
      <c r="O8" s="8">
        <v>18</v>
      </c>
      <c r="P8" s="6"/>
    </row>
    <row r="9" spans="1:16" ht="16" x14ac:dyDescent="0.2">
      <c r="A9" s="6" t="s">
        <v>13</v>
      </c>
      <c r="B9" s="6" t="s">
        <v>38</v>
      </c>
      <c r="C9" s="6">
        <v>20003537</v>
      </c>
      <c r="D9" s="6" t="s">
        <v>39</v>
      </c>
      <c r="E9" s="6" t="s">
        <v>40</v>
      </c>
      <c r="F9" s="6" t="s">
        <v>40</v>
      </c>
      <c r="G9" s="7" t="s">
        <v>17</v>
      </c>
      <c r="H9" s="6">
        <v>1</v>
      </c>
      <c r="I9" s="6">
        <v>20231001</v>
      </c>
      <c r="J9" s="6" t="s">
        <v>52</v>
      </c>
      <c r="K9" s="15">
        <f t="shared" si="1"/>
        <v>45231</v>
      </c>
      <c r="L9" s="6" t="s">
        <v>24</v>
      </c>
      <c r="M9" s="8">
        <v>249.23</v>
      </c>
      <c r="N9" s="9">
        <v>18</v>
      </c>
      <c r="O9" s="8">
        <v>18</v>
      </c>
      <c r="P9" s="6"/>
    </row>
    <row r="10" spans="1:16" ht="16" x14ac:dyDescent="0.2">
      <c r="A10" s="6" t="s">
        <v>13</v>
      </c>
      <c r="B10" s="6" t="s">
        <v>38</v>
      </c>
      <c r="C10" s="6">
        <v>20003537</v>
      </c>
      <c r="D10" s="6" t="s">
        <v>39</v>
      </c>
      <c r="E10" s="6" t="s">
        <v>40</v>
      </c>
      <c r="F10" s="6" t="s">
        <v>40</v>
      </c>
      <c r="G10" s="7" t="s">
        <v>17</v>
      </c>
      <c r="H10" s="6">
        <v>1</v>
      </c>
      <c r="I10" s="6">
        <v>20230901</v>
      </c>
      <c r="J10" s="6" t="s">
        <v>53</v>
      </c>
      <c r="K10" s="15">
        <f t="shared" si="1"/>
        <v>45200</v>
      </c>
      <c r="L10" s="6" t="s">
        <v>24</v>
      </c>
      <c r="M10" s="8">
        <v>249.23</v>
      </c>
      <c r="N10" s="9">
        <v>18</v>
      </c>
      <c r="O10" s="8">
        <v>18</v>
      </c>
      <c r="P10" s="6"/>
    </row>
    <row r="11" spans="1:16" ht="16" x14ac:dyDescent="0.2">
      <c r="A11" s="6" t="s">
        <v>13</v>
      </c>
      <c r="B11" s="6" t="s">
        <v>38</v>
      </c>
      <c r="C11" s="6">
        <v>20003537</v>
      </c>
      <c r="D11" s="6" t="s">
        <v>39</v>
      </c>
      <c r="E11" s="6" t="s">
        <v>40</v>
      </c>
      <c r="F11" s="6" t="s">
        <v>40</v>
      </c>
      <c r="G11" s="7" t="s">
        <v>17</v>
      </c>
      <c r="H11" s="6">
        <v>1</v>
      </c>
      <c r="I11" s="6">
        <v>20240301</v>
      </c>
      <c r="J11" s="6" t="s">
        <v>54</v>
      </c>
      <c r="K11" s="15">
        <f t="shared" si="1"/>
        <v>45383</v>
      </c>
      <c r="L11" s="6" t="s">
        <v>24</v>
      </c>
      <c r="M11" s="8">
        <v>266.76</v>
      </c>
      <c r="N11" s="9">
        <v>18</v>
      </c>
      <c r="O11" s="8">
        <v>18</v>
      </c>
      <c r="P11" s="6"/>
    </row>
    <row r="12" spans="1:16" ht="16" x14ac:dyDescent="0.2">
      <c r="A12" s="6" t="s">
        <v>13</v>
      </c>
      <c r="B12" s="6" t="s">
        <v>38</v>
      </c>
      <c r="C12" s="6">
        <v>20003537</v>
      </c>
      <c r="D12" s="6" t="s">
        <v>39</v>
      </c>
      <c r="E12" s="6" t="s">
        <v>40</v>
      </c>
      <c r="F12" s="6" t="s">
        <v>40</v>
      </c>
      <c r="G12" s="7" t="s">
        <v>17</v>
      </c>
      <c r="H12" s="6">
        <v>1</v>
      </c>
      <c r="I12" s="6">
        <v>20230701</v>
      </c>
      <c r="J12" s="6" t="s">
        <v>55</v>
      </c>
      <c r="K12" s="15">
        <f t="shared" si="1"/>
        <v>45139</v>
      </c>
      <c r="L12" s="6" t="s">
        <v>24</v>
      </c>
      <c r="M12" s="8">
        <v>249.23</v>
      </c>
      <c r="N12" s="9">
        <v>18</v>
      </c>
      <c r="O12" s="8">
        <v>18</v>
      </c>
      <c r="P12" s="6"/>
    </row>
    <row r="13" spans="1:16" ht="16" x14ac:dyDescent="0.2">
      <c r="A13" s="6" t="s">
        <v>13</v>
      </c>
      <c r="B13" s="6" t="s">
        <v>38</v>
      </c>
      <c r="C13" s="6">
        <v>20003537</v>
      </c>
      <c r="D13" s="6" t="s">
        <v>39</v>
      </c>
      <c r="E13" s="6" t="s">
        <v>40</v>
      </c>
      <c r="F13" s="6" t="s">
        <v>40</v>
      </c>
      <c r="G13" s="7" t="s">
        <v>17</v>
      </c>
      <c r="H13" s="6">
        <v>1</v>
      </c>
      <c r="I13" s="6">
        <v>20230801</v>
      </c>
      <c r="J13" s="6" t="s">
        <v>56</v>
      </c>
      <c r="K13" s="15">
        <f t="shared" si="1"/>
        <v>45170</v>
      </c>
      <c r="L13" s="6" t="s">
        <v>24</v>
      </c>
      <c r="M13" s="8">
        <v>249.23</v>
      </c>
      <c r="N13" s="9">
        <v>18</v>
      </c>
      <c r="O13" s="8">
        <v>18</v>
      </c>
      <c r="P13" s="6"/>
    </row>
    <row r="14" spans="1:16" ht="16" x14ac:dyDescent="0.2">
      <c r="A14" s="6" t="s">
        <v>13</v>
      </c>
      <c r="B14" s="6" t="s">
        <v>38</v>
      </c>
      <c r="C14" s="6">
        <v>20003537</v>
      </c>
      <c r="D14" s="6" t="s">
        <v>39</v>
      </c>
      <c r="E14" s="6" t="s">
        <v>40</v>
      </c>
      <c r="F14" s="6" t="s">
        <v>40</v>
      </c>
      <c r="G14" s="7" t="s">
        <v>17</v>
      </c>
      <c r="H14" s="6">
        <v>1</v>
      </c>
      <c r="I14" s="6">
        <v>20240201</v>
      </c>
      <c r="J14" s="6" t="s">
        <v>57</v>
      </c>
      <c r="K14" s="15">
        <f t="shared" si="1"/>
        <v>45352</v>
      </c>
      <c r="L14" s="6" t="s">
        <v>24</v>
      </c>
      <c r="M14" s="8">
        <v>266.76</v>
      </c>
      <c r="N14" s="9">
        <v>18</v>
      </c>
      <c r="O14" s="8">
        <v>18</v>
      </c>
      <c r="P14" s="6"/>
    </row>
    <row r="15" spans="1:16" ht="16" x14ac:dyDescent="0.2">
      <c r="A15" s="6" t="s">
        <v>13</v>
      </c>
      <c r="B15" s="6" t="s">
        <v>38</v>
      </c>
      <c r="C15" s="6">
        <v>20003537</v>
      </c>
      <c r="D15" s="6" t="s">
        <v>39</v>
      </c>
      <c r="E15" s="6" t="s">
        <v>40</v>
      </c>
      <c r="F15" s="6" t="s">
        <v>40</v>
      </c>
      <c r="G15" s="7" t="s">
        <v>17</v>
      </c>
      <c r="H15" s="6">
        <v>1</v>
      </c>
      <c r="I15" s="6">
        <v>20231201</v>
      </c>
      <c r="J15" s="6" t="s">
        <v>58</v>
      </c>
      <c r="K15" s="15">
        <f t="shared" si="1"/>
        <v>45292</v>
      </c>
      <c r="L15" s="6" t="s">
        <v>24</v>
      </c>
      <c r="M15" s="8">
        <v>249.23</v>
      </c>
      <c r="N15" s="9">
        <v>18</v>
      </c>
      <c r="O15" s="8">
        <v>18</v>
      </c>
      <c r="P15" s="6"/>
    </row>
    <row r="16" spans="1:16" ht="16" x14ac:dyDescent="0.2">
      <c r="A16" s="6" t="s">
        <v>13</v>
      </c>
      <c r="B16" s="6" t="s">
        <v>38</v>
      </c>
      <c r="C16" s="6">
        <v>20003537</v>
      </c>
      <c r="D16" s="6" t="s">
        <v>39</v>
      </c>
      <c r="E16" s="6" t="s">
        <v>40</v>
      </c>
      <c r="F16" s="6" t="s">
        <v>40</v>
      </c>
      <c r="G16" s="7" t="s">
        <v>17</v>
      </c>
      <c r="H16" s="6">
        <v>1</v>
      </c>
      <c r="I16" s="6">
        <v>20240101</v>
      </c>
      <c r="J16" s="6" t="s">
        <v>59</v>
      </c>
      <c r="K16" s="15">
        <f t="shared" si="1"/>
        <v>45323</v>
      </c>
      <c r="L16" s="6" t="s">
        <v>24</v>
      </c>
      <c r="M16" s="8">
        <v>266.76</v>
      </c>
      <c r="N16" s="9">
        <v>18</v>
      </c>
      <c r="O16" s="8">
        <v>18</v>
      </c>
      <c r="P16" s="6"/>
    </row>
    <row r="17" spans="1:16" ht="16" x14ac:dyDescent="0.2">
      <c r="A17" s="6" t="s">
        <v>13</v>
      </c>
      <c r="B17" s="6" t="s">
        <v>38</v>
      </c>
      <c r="C17" s="6">
        <v>20003537</v>
      </c>
      <c r="D17" s="6" t="s">
        <v>39</v>
      </c>
      <c r="E17" s="6" t="s">
        <v>40</v>
      </c>
      <c r="F17" s="6" t="s">
        <v>40</v>
      </c>
      <c r="G17" s="7" t="s">
        <v>17</v>
      </c>
      <c r="H17" s="6">
        <v>1</v>
      </c>
      <c r="I17" s="6">
        <v>20230501</v>
      </c>
      <c r="J17" s="6" t="s">
        <v>60</v>
      </c>
      <c r="K17" s="15">
        <f t="shared" si="1"/>
        <v>45078</v>
      </c>
      <c r="L17" s="6" t="s">
        <v>24</v>
      </c>
      <c r="M17" s="8">
        <v>249.23</v>
      </c>
      <c r="N17" s="9">
        <v>18</v>
      </c>
      <c r="O17" s="8">
        <v>18</v>
      </c>
      <c r="P17" s="6"/>
    </row>
    <row r="18" spans="1:16" ht="16" x14ac:dyDescent="0.2">
      <c r="A18" s="6" t="s">
        <v>13</v>
      </c>
      <c r="B18" s="6" t="s">
        <v>38</v>
      </c>
      <c r="C18" s="6">
        <v>20003537</v>
      </c>
      <c r="D18" s="6" t="s">
        <v>39</v>
      </c>
      <c r="E18" s="6" t="s">
        <v>40</v>
      </c>
      <c r="F18" s="6" t="s">
        <v>40</v>
      </c>
      <c r="G18" s="7" t="s">
        <v>17</v>
      </c>
      <c r="H18" s="6">
        <v>1</v>
      </c>
      <c r="I18" s="6">
        <v>20240401</v>
      </c>
      <c r="J18" s="6" t="s">
        <v>61</v>
      </c>
      <c r="K18" s="15">
        <f t="shared" si="1"/>
        <v>45413</v>
      </c>
      <c r="L18" s="6" t="s">
        <v>24</v>
      </c>
      <c r="M18" s="8">
        <v>266.76</v>
      </c>
      <c r="N18" s="9">
        <v>18</v>
      </c>
      <c r="O18" s="8">
        <v>18</v>
      </c>
      <c r="P18" s="6"/>
    </row>
    <row r="19" spans="1:16" ht="16" x14ac:dyDescent="0.2">
      <c r="A19" s="6" t="s">
        <v>13</v>
      </c>
      <c r="B19" s="6" t="s">
        <v>38</v>
      </c>
      <c r="C19" s="6">
        <v>20003537</v>
      </c>
      <c r="D19" s="6" t="s">
        <v>39</v>
      </c>
      <c r="E19" s="6" t="s">
        <v>40</v>
      </c>
      <c r="F19" s="6" t="s">
        <v>40</v>
      </c>
      <c r="G19" s="7" t="s">
        <v>17</v>
      </c>
      <c r="H19" s="6">
        <v>1</v>
      </c>
      <c r="I19" s="6">
        <v>20231101</v>
      </c>
      <c r="J19" s="6" t="s">
        <v>62</v>
      </c>
      <c r="K19" s="15">
        <f t="shared" si="1"/>
        <v>45261</v>
      </c>
      <c r="L19" s="6" t="s">
        <v>24</v>
      </c>
      <c r="M19" s="8">
        <v>249.23</v>
      </c>
      <c r="N19" s="9">
        <v>18</v>
      </c>
      <c r="O19" s="8">
        <v>18</v>
      </c>
      <c r="P19" s="6"/>
    </row>
    <row r="20" spans="1:16" ht="16" x14ac:dyDescent="0.2">
      <c r="A20" s="6" t="s">
        <v>13</v>
      </c>
      <c r="B20" s="6" t="s">
        <v>25</v>
      </c>
      <c r="C20" s="6">
        <v>6634327</v>
      </c>
      <c r="D20" s="6" t="s">
        <v>29</v>
      </c>
      <c r="E20" s="6" t="s">
        <v>30</v>
      </c>
      <c r="F20" s="6" t="s">
        <v>30</v>
      </c>
      <c r="G20" s="7" t="s">
        <v>28</v>
      </c>
      <c r="H20" s="6">
        <v>3</v>
      </c>
      <c r="I20" s="6">
        <v>20241101</v>
      </c>
      <c r="J20" s="6" t="s">
        <v>48</v>
      </c>
      <c r="K20" s="15">
        <f t="shared" si="1"/>
        <v>45627</v>
      </c>
      <c r="L20" s="6" t="s">
        <v>31</v>
      </c>
      <c r="M20" s="8">
        <v>695.48</v>
      </c>
      <c r="N20" s="9">
        <v>20</v>
      </c>
      <c r="O20" s="8">
        <v>60</v>
      </c>
      <c r="P20" s="6"/>
    </row>
    <row r="21" spans="1:16" ht="16" x14ac:dyDescent="0.2">
      <c r="A21" s="6" t="s">
        <v>13</v>
      </c>
      <c r="B21" s="6" t="s">
        <v>25</v>
      </c>
      <c r="C21" s="6">
        <v>6634327</v>
      </c>
      <c r="D21" s="6" t="s">
        <v>32</v>
      </c>
      <c r="E21" s="6" t="s">
        <v>33</v>
      </c>
      <c r="F21" s="6" t="s">
        <v>33</v>
      </c>
      <c r="G21" s="7" t="s">
        <v>28</v>
      </c>
      <c r="H21" s="6">
        <v>1</v>
      </c>
      <c r="I21" s="6">
        <v>20241101</v>
      </c>
      <c r="J21" s="6" t="s">
        <v>48</v>
      </c>
      <c r="K21" s="15">
        <f t="shared" si="1"/>
        <v>45627</v>
      </c>
      <c r="L21" s="6" t="s">
        <v>31</v>
      </c>
      <c r="M21" s="8">
        <v>106.15</v>
      </c>
      <c r="N21" s="9">
        <v>20</v>
      </c>
      <c r="O21" s="8">
        <v>20</v>
      </c>
      <c r="P21" s="6"/>
    </row>
    <row r="22" spans="1:16" ht="16" x14ac:dyDescent="0.2">
      <c r="A22" s="6" t="s">
        <v>13</v>
      </c>
      <c r="B22" s="6" t="s">
        <v>38</v>
      </c>
      <c r="C22" s="6">
        <v>20003537</v>
      </c>
      <c r="D22" s="6" t="s">
        <v>41</v>
      </c>
      <c r="E22" s="6" t="s">
        <v>42</v>
      </c>
      <c r="F22" s="6" t="s">
        <v>42</v>
      </c>
      <c r="G22" s="7" t="s">
        <v>43</v>
      </c>
      <c r="H22" s="6">
        <v>3</v>
      </c>
      <c r="I22" s="6">
        <v>20230301</v>
      </c>
      <c r="J22" s="6" t="s">
        <v>63</v>
      </c>
      <c r="K22" s="15">
        <f t="shared" si="1"/>
        <v>45017</v>
      </c>
      <c r="L22" s="6" t="s">
        <v>31</v>
      </c>
      <c r="M22" s="8">
        <v>73.91</v>
      </c>
      <c r="N22" s="9">
        <v>22</v>
      </c>
      <c r="O22" s="8">
        <v>66</v>
      </c>
      <c r="P22" s="6"/>
    </row>
    <row r="23" spans="1:16" ht="16" x14ac:dyDescent="0.2">
      <c r="A23" s="6" t="s">
        <v>13</v>
      </c>
      <c r="B23" s="6" t="s">
        <v>38</v>
      </c>
      <c r="C23" s="6">
        <v>20003537</v>
      </c>
      <c r="D23" s="6" t="s">
        <v>41</v>
      </c>
      <c r="E23" s="6" t="s">
        <v>42</v>
      </c>
      <c r="F23" s="6" t="s">
        <v>42</v>
      </c>
      <c r="G23" s="7" t="s">
        <v>43</v>
      </c>
      <c r="H23" s="6">
        <v>3</v>
      </c>
      <c r="I23" s="6">
        <v>20230801</v>
      </c>
      <c r="J23" s="6" t="s">
        <v>56</v>
      </c>
      <c r="K23" s="15">
        <f t="shared" si="1"/>
        <v>45170</v>
      </c>
      <c r="L23" s="6" t="s">
        <v>31</v>
      </c>
      <c r="M23" s="8">
        <v>73.91</v>
      </c>
      <c r="N23" s="9">
        <v>22</v>
      </c>
      <c r="O23" s="8">
        <v>66</v>
      </c>
      <c r="P23" s="6"/>
    </row>
    <row r="24" spans="1:16" ht="16" x14ac:dyDescent="0.2">
      <c r="A24" s="6" t="s">
        <v>13</v>
      </c>
      <c r="B24" s="6" t="s">
        <v>38</v>
      </c>
      <c r="C24" s="6">
        <v>20003537</v>
      </c>
      <c r="D24" s="6" t="s">
        <v>41</v>
      </c>
      <c r="E24" s="6" t="s">
        <v>42</v>
      </c>
      <c r="F24" s="6" t="s">
        <v>42</v>
      </c>
      <c r="G24" s="7" t="s">
        <v>43</v>
      </c>
      <c r="H24" s="6">
        <v>3</v>
      </c>
      <c r="I24" s="6">
        <v>20231001</v>
      </c>
      <c r="J24" s="6" t="s">
        <v>52</v>
      </c>
      <c r="K24" s="15">
        <f t="shared" si="1"/>
        <v>45231</v>
      </c>
      <c r="L24" s="6" t="s">
        <v>31</v>
      </c>
      <c r="M24" s="8">
        <v>73.91</v>
      </c>
      <c r="N24" s="9">
        <v>22</v>
      </c>
      <c r="O24" s="8">
        <v>66</v>
      </c>
      <c r="P24" s="6"/>
    </row>
    <row r="25" spans="1:16" ht="16" x14ac:dyDescent="0.2">
      <c r="A25" s="6" t="s">
        <v>13</v>
      </c>
      <c r="B25" s="6" t="s">
        <v>38</v>
      </c>
      <c r="C25" s="6">
        <v>20003537</v>
      </c>
      <c r="D25" s="6" t="s">
        <v>41</v>
      </c>
      <c r="E25" s="6" t="s">
        <v>42</v>
      </c>
      <c r="F25" s="6" t="s">
        <v>42</v>
      </c>
      <c r="G25" s="7" t="s">
        <v>43</v>
      </c>
      <c r="H25" s="6">
        <v>2</v>
      </c>
      <c r="I25" s="6">
        <v>20240801</v>
      </c>
      <c r="J25" s="6" t="s">
        <v>50</v>
      </c>
      <c r="K25" s="15">
        <f t="shared" si="1"/>
        <v>45536</v>
      </c>
      <c r="L25" s="6" t="s">
        <v>31</v>
      </c>
      <c r="M25" s="8">
        <v>168.88</v>
      </c>
      <c r="N25" s="9">
        <v>24</v>
      </c>
      <c r="O25" s="8">
        <v>48</v>
      </c>
      <c r="P25" s="6"/>
    </row>
    <row r="26" spans="1:16" ht="16" x14ac:dyDescent="0.2">
      <c r="A26" s="6" t="s">
        <v>13</v>
      </c>
      <c r="B26" s="6" t="s">
        <v>38</v>
      </c>
      <c r="C26" s="6">
        <v>20003537</v>
      </c>
      <c r="D26" s="6" t="s">
        <v>41</v>
      </c>
      <c r="E26" s="6" t="s">
        <v>42</v>
      </c>
      <c r="F26" s="6" t="s">
        <v>42</v>
      </c>
      <c r="G26" s="7" t="s">
        <v>43</v>
      </c>
      <c r="H26" s="6">
        <v>2</v>
      </c>
      <c r="I26" s="6">
        <v>20240401</v>
      </c>
      <c r="J26" s="6" t="s">
        <v>61</v>
      </c>
      <c r="K26" s="15">
        <f t="shared" si="1"/>
        <v>45413</v>
      </c>
      <c r="L26" s="6" t="s">
        <v>31</v>
      </c>
      <c r="M26" s="8">
        <v>168.88</v>
      </c>
      <c r="N26" s="9">
        <v>24</v>
      </c>
      <c r="O26" s="8">
        <v>48</v>
      </c>
      <c r="P26" s="6"/>
    </row>
    <row r="27" spans="1:16" ht="16" x14ac:dyDescent="0.2">
      <c r="A27" s="6" t="s">
        <v>13</v>
      </c>
      <c r="B27" s="6" t="s">
        <v>38</v>
      </c>
      <c r="C27" s="6">
        <v>20003537</v>
      </c>
      <c r="D27" s="6" t="s">
        <v>41</v>
      </c>
      <c r="E27" s="6" t="s">
        <v>42</v>
      </c>
      <c r="F27" s="6" t="s">
        <v>42</v>
      </c>
      <c r="G27" s="7" t="s">
        <v>43</v>
      </c>
      <c r="H27" s="6">
        <v>3</v>
      </c>
      <c r="I27" s="6">
        <v>20230901</v>
      </c>
      <c r="J27" s="6" t="s">
        <v>53</v>
      </c>
      <c r="K27" s="15">
        <f t="shared" si="1"/>
        <v>45200</v>
      </c>
      <c r="L27" s="6" t="s">
        <v>31</v>
      </c>
      <c r="M27" s="8">
        <v>73.91</v>
      </c>
      <c r="N27" s="9">
        <v>22</v>
      </c>
      <c r="O27" s="8">
        <v>66</v>
      </c>
      <c r="P27" s="6"/>
    </row>
    <row r="28" spans="1:16" ht="16" x14ac:dyDescent="0.2">
      <c r="A28" s="6" t="s">
        <v>13</v>
      </c>
      <c r="B28" s="6" t="s">
        <v>38</v>
      </c>
      <c r="C28" s="6">
        <v>20003537</v>
      </c>
      <c r="D28" s="6" t="s">
        <v>41</v>
      </c>
      <c r="E28" s="6" t="s">
        <v>42</v>
      </c>
      <c r="F28" s="6" t="s">
        <v>42</v>
      </c>
      <c r="G28" s="7" t="s">
        <v>43</v>
      </c>
      <c r="H28" s="6">
        <v>3</v>
      </c>
      <c r="I28" s="6">
        <v>20230201</v>
      </c>
      <c r="J28" s="6" t="s">
        <v>64</v>
      </c>
      <c r="K28" s="15">
        <f t="shared" si="1"/>
        <v>44986</v>
      </c>
      <c r="L28" s="6" t="s">
        <v>31</v>
      </c>
      <c r="M28" s="8">
        <v>73.91</v>
      </c>
      <c r="N28" s="9">
        <v>22</v>
      </c>
      <c r="O28" s="8">
        <v>66</v>
      </c>
      <c r="P28" s="6"/>
    </row>
    <row r="29" spans="1:16" ht="16" x14ac:dyDescent="0.2">
      <c r="A29" s="6" t="s">
        <v>13</v>
      </c>
      <c r="B29" s="6" t="s">
        <v>38</v>
      </c>
      <c r="C29" s="6">
        <v>20003537</v>
      </c>
      <c r="D29" s="6" t="s">
        <v>41</v>
      </c>
      <c r="E29" s="6" t="s">
        <v>42</v>
      </c>
      <c r="F29" s="6" t="s">
        <v>42</v>
      </c>
      <c r="G29" s="7" t="s">
        <v>43</v>
      </c>
      <c r="H29" s="6">
        <v>3</v>
      </c>
      <c r="I29" s="6">
        <v>20230101</v>
      </c>
      <c r="J29" s="6" t="s">
        <v>65</v>
      </c>
      <c r="K29" s="15">
        <f t="shared" si="1"/>
        <v>44958</v>
      </c>
      <c r="L29" s="6" t="s">
        <v>31</v>
      </c>
      <c r="M29" s="8">
        <v>73.91</v>
      </c>
      <c r="N29" s="9">
        <v>22</v>
      </c>
      <c r="O29" s="8">
        <v>66</v>
      </c>
      <c r="P29" s="6"/>
    </row>
    <row r="30" spans="1:16" ht="16" x14ac:dyDescent="0.2">
      <c r="A30" s="6" t="s">
        <v>13</v>
      </c>
      <c r="B30" s="6" t="s">
        <v>38</v>
      </c>
      <c r="C30" s="6">
        <v>20003537</v>
      </c>
      <c r="D30" s="6" t="s">
        <v>41</v>
      </c>
      <c r="E30" s="6" t="s">
        <v>42</v>
      </c>
      <c r="F30" s="6" t="s">
        <v>42</v>
      </c>
      <c r="G30" s="7" t="s">
        <v>43</v>
      </c>
      <c r="H30" s="6">
        <v>3</v>
      </c>
      <c r="I30" s="6">
        <v>20231101</v>
      </c>
      <c r="J30" s="6" t="s">
        <v>62</v>
      </c>
      <c r="K30" s="15">
        <f t="shared" si="1"/>
        <v>45261</v>
      </c>
      <c r="L30" s="6" t="s">
        <v>31</v>
      </c>
      <c r="M30" s="8">
        <v>73.91</v>
      </c>
      <c r="N30" s="9">
        <v>22</v>
      </c>
      <c r="O30" s="8">
        <v>66</v>
      </c>
      <c r="P30" s="6"/>
    </row>
    <row r="31" spans="1:16" ht="16" x14ac:dyDescent="0.2">
      <c r="A31" s="6" t="s">
        <v>13</v>
      </c>
      <c r="B31" s="6" t="s">
        <v>38</v>
      </c>
      <c r="C31" s="6">
        <v>20003537</v>
      </c>
      <c r="D31" s="6" t="s">
        <v>41</v>
      </c>
      <c r="E31" s="6" t="s">
        <v>42</v>
      </c>
      <c r="F31" s="6" t="s">
        <v>42</v>
      </c>
      <c r="G31" s="7" t="s">
        <v>43</v>
      </c>
      <c r="H31" s="6">
        <v>3</v>
      </c>
      <c r="I31" s="6">
        <v>20230601</v>
      </c>
      <c r="J31" s="6" t="s">
        <v>51</v>
      </c>
      <c r="K31" s="15">
        <f t="shared" si="1"/>
        <v>45108</v>
      </c>
      <c r="L31" s="6" t="s">
        <v>31</v>
      </c>
      <c r="M31" s="8">
        <v>73.91</v>
      </c>
      <c r="N31" s="9">
        <v>22</v>
      </c>
      <c r="O31" s="8">
        <v>66</v>
      </c>
      <c r="P31" s="6"/>
    </row>
    <row r="32" spans="1:16" ht="16" x14ac:dyDescent="0.2">
      <c r="A32" s="6" t="s">
        <v>13</v>
      </c>
      <c r="B32" s="6" t="s">
        <v>38</v>
      </c>
      <c r="C32" s="6">
        <v>20003537</v>
      </c>
      <c r="D32" s="6" t="s">
        <v>41</v>
      </c>
      <c r="E32" s="6" t="s">
        <v>42</v>
      </c>
      <c r="F32" s="6" t="s">
        <v>42</v>
      </c>
      <c r="G32" s="7" t="s">
        <v>43</v>
      </c>
      <c r="H32" s="6">
        <v>3</v>
      </c>
      <c r="I32" s="6">
        <v>20231201</v>
      </c>
      <c r="J32" s="6" t="s">
        <v>58</v>
      </c>
      <c r="K32" s="15">
        <f t="shared" si="1"/>
        <v>45292</v>
      </c>
      <c r="L32" s="6" t="s">
        <v>31</v>
      </c>
      <c r="M32" s="8">
        <v>73.91</v>
      </c>
      <c r="N32" s="9">
        <v>22</v>
      </c>
      <c r="O32" s="8">
        <v>66</v>
      </c>
      <c r="P32" s="6"/>
    </row>
    <row r="33" spans="1:16" ht="16" x14ac:dyDescent="0.2">
      <c r="A33" s="6" t="s">
        <v>13</v>
      </c>
      <c r="B33" s="6" t="s">
        <v>38</v>
      </c>
      <c r="C33" s="6">
        <v>20003537</v>
      </c>
      <c r="D33" s="6" t="s">
        <v>41</v>
      </c>
      <c r="E33" s="6" t="s">
        <v>42</v>
      </c>
      <c r="F33" s="6" t="s">
        <v>42</v>
      </c>
      <c r="G33" s="7" t="s">
        <v>43</v>
      </c>
      <c r="H33" s="6">
        <v>2</v>
      </c>
      <c r="I33" s="6">
        <v>20240901</v>
      </c>
      <c r="J33" s="6" t="s">
        <v>49</v>
      </c>
      <c r="K33" s="15">
        <f t="shared" si="1"/>
        <v>45566</v>
      </c>
      <c r="L33" s="6" t="s">
        <v>31</v>
      </c>
      <c r="M33" s="8">
        <v>168.88</v>
      </c>
      <c r="N33" s="9">
        <v>24</v>
      </c>
      <c r="O33" s="8">
        <v>48</v>
      </c>
      <c r="P33" s="6"/>
    </row>
    <row r="34" spans="1:16" ht="16" x14ac:dyDescent="0.2">
      <c r="A34" s="6" t="s">
        <v>13</v>
      </c>
      <c r="B34" s="6" t="s">
        <v>38</v>
      </c>
      <c r="C34" s="6">
        <v>20003537</v>
      </c>
      <c r="D34" s="6" t="s">
        <v>41</v>
      </c>
      <c r="E34" s="6" t="s">
        <v>42</v>
      </c>
      <c r="F34" s="6" t="s">
        <v>42</v>
      </c>
      <c r="G34" s="7" t="s">
        <v>43</v>
      </c>
      <c r="H34" s="6">
        <v>2</v>
      </c>
      <c r="I34" s="6">
        <v>20240601</v>
      </c>
      <c r="J34" s="6" t="s">
        <v>66</v>
      </c>
      <c r="K34" s="15">
        <f t="shared" si="1"/>
        <v>45474</v>
      </c>
      <c r="L34" s="6" t="s">
        <v>31</v>
      </c>
      <c r="M34" s="8">
        <v>168.88</v>
      </c>
      <c r="N34" s="9">
        <v>24</v>
      </c>
      <c r="O34" s="8">
        <v>48</v>
      </c>
      <c r="P34" s="6"/>
    </row>
    <row r="35" spans="1:16" ht="16" x14ac:dyDescent="0.2">
      <c r="A35" s="6" t="s">
        <v>13</v>
      </c>
      <c r="B35" s="6" t="s">
        <v>38</v>
      </c>
      <c r="C35" s="6">
        <v>20003537</v>
      </c>
      <c r="D35" s="6" t="s">
        <v>41</v>
      </c>
      <c r="E35" s="6" t="s">
        <v>42</v>
      </c>
      <c r="F35" s="6" t="s">
        <v>42</v>
      </c>
      <c r="G35" s="7" t="s">
        <v>43</v>
      </c>
      <c r="H35" s="6">
        <v>2</v>
      </c>
      <c r="I35" s="6">
        <v>20240301</v>
      </c>
      <c r="J35" s="6" t="s">
        <v>54</v>
      </c>
      <c r="K35" s="15">
        <f t="shared" si="1"/>
        <v>45383</v>
      </c>
      <c r="L35" s="6" t="s">
        <v>31</v>
      </c>
      <c r="M35" s="8">
        <v>168.88</v>
      </c>
      <c r="N35" s="9">
        <v>24</v>
      </c>
      <c r="O35" s="8">
        <v>48</v>
      </c>
      <c r="P35" s="6"/>
    </row>
    <row r="36" spans="1:16" ht="16" x14ac:dyDescent="0.2">
      <c r="A36" s="6" t="s">
        <v>13</v>
      </c>
      <c r="B36" s="6" t="s">
        <v>38</v>
      </c>
      <c r="C36" s="6">
        <v>20003537</v>
      </c>
      <c r="D36" s="6" t="s">
        <v>41</v>
      </c>
      <c r="E36" s="6" t="s">
        <v>42</v>
      </c>
      <c r="F36" s="6" t="s">
        <v>42</v>
      </c>
      <c r="G36" s="7" t="s">
        <v>43</v>
      </c>
      <c r="H36" s="6">
        <v>3</v>
      </c>
      <c r="I36" s="6">
        <v>20230701</v>
      </c>
      <c r="J36" s="6" t="s">
        <v>55</v>
      </c>
      <c r="K36" s="15">
        <f t="shared" si="1"/>
        <v>45139</v>
      </c>
      <c r="L36" s="6" t="s">
        <v>31</v>
      </c>
      <c r="M36" s="8">
        <v>73.91</v>
      </c>
      <c r="N36" s="9">
        <v>22</v>
      </c>
      <c r="O36" s="8">
        <v>66</v>
      </c>
      <c r="P36" s="6"/>
    </row>
    <row r="37" spans="1:16" ht="16" x14ac:dyDescent="0.2">
      <c r="A37" s="6" t="s">
        <v>13</v>
      </c>
      <c r="B37" s="6" t="s">
        <v>38</v>
      </c>
      <c r="C37" s="6">
        <v>20003537</v>
      </c>
      <c r="D37" s="6" t="s">
        <v>41</v>
      </c>
      <c r="E37" s="6" t="s">
        <v>42</v>
      </c>
      <c r="F37" s="6" t="s">
        <v>42</v>
      </c>
      <c r="G37" s="7" t="s">
        <v>43</v>
      </c>
      <c r="H37" s="6">
        <v>2</v>
      </c>
      <c r="I37" s="6">
        <v>20240201</v>
      </c>
      <c r="J37" s="6" t="s">
        <v>57</v>
      </c>
      <c r="K37" s="15">
        <f t="shared" si="1"/>
        <v>45352</v>
      </c>
      <c r="L37" s="6" t="s">
        <v>31</v>
      </c>
      <c r="M37" s="8">
        <v>168.88</v>
      </c>
      <c r="N37" s="9">
        <v>24</v>
      </c>
      <c r="O37" s="8">
        <v>48</v>
      </c>
      <c r="P37" s="6"/>
    </row>
    <row r="38" spans="1:16" ht="16" x14ac:dyDescent="0.2">
      <c r="A38" s="6" t="s">
        <v>13</v>
      </c>
      <c r="B38" s="6" t="s">
        <v>38</v>
      </c>
      <c r="C38" s="6">
        <v>20003537</v>
      </c>
      <c r="D38" s="6" t="s">
        <v>41</v>
      </c>
      <c r="E38" s="6" t="s">
        <v>42</v>
      </c>
      <c r="F38" s="6" t="s">
        <v>42</v>
      </c>
      <c r="G38" s="7" t="s">
        <v>43</v>
      </c>
      <c r="H38" s="6">
        <v>2</v>
      </c>
      <c r="I38" s="6">
        <v>20241101</v>
      </c>
      <c r="J38" s="6" t="s">
        <v>48</v>
      </c>
      <c r="K38" s="15">
        <f t="shared" si="1"/>
        <v>45627</v>
      </c>
      <c r="L38" s="6" t="s">
        <v>31</v>
      </c>
      <c r="M38" s="8">
        <v>168.88</v>
      </c>
      <c r="N38" s="9">
        <v>24</v>
      </c>
      <c r="O38" s="8">
        <v>48</v>
      </c>
      <c r="P38" s="6"/>
    </row>
    <row r="39" spans="1:16" ht="16" x14ac:dyDescent="0.2">
      <c r="A39" s="6" t="s">
        <v>13</v>
      </c>
      <c r="B39" s="6" t="s">
        <v>38</v>
      </c>
      <c r="C39" s="6">
        <v>20003537</v>
      </c>
      <c r="D39" s="6" t="s">
        <v>41</v>
      </c>
      <c r="E39" s="6" t="s">
        <v>42</v>
      </c>
      <c r="F39" s="6" t="s">
        <v>42</v>
      </c>
      <c r="G39" s="7" t="s">
        <v>43</v>
      </c>
      <c r="H39" s="6">
        <v>2</v>
      </c>
      <c r="I39" s="6">
        <v>20240501</v>
      </c>
      <c r="J39" s="6" t="s">
        <v>67</v>
      </c>
      <c r="K39" s="15">
        <f t="shared" si="1"/>
        <v>45444</v>
      </c>
      <c r="L39" s="6" t="s">
        <v>31</v>
      </c>
      <c r="M39" s="8">
        <v>168.88</v>
      </c>
      <c r="N39" s="9">
        <v>24</v>
      </c>
      <c r="O39" s="8">
        <v>48</v>
      </c>
      <c r="P39" s="6"/>
    </row>
    <row r="40" spans="1:16" ht="16" x14ac:dyDescent="0.2">
      <c r="A40" s="6" t="s">
        <v>13</v>
      </c>
      <c r="B40" s="6" t="s">
        <v>38</v>
      </c>
      <c r="C40" s="6">
        <v>20003537</v>
      </c>
      <c r="D40" s="6" t="s">
        <v>41</v>
      </c>
      <c r="E40" s="6" t="s">
        <v>42</v>
      </c>
      <c r="F40" s="6" t="s">
        <v>42</v>
      </c>
      <c r="G40" s="7" t="s">
        <v>43</v>
      </c>
      <c r="H40" s="6">
        <v>3</v>
      </c>
      <c r="I40" s="6">
        <v>20230401</v>
      </c>
      <c r="J40" s="6" t="s">
        <v>68</v>
      </c>
      <c r="K40" s="15">
        <f t="shared" si="1"/>
        <v>45047</v>
      </c>
      <c r="L40" s="6" t="s">
        <v>31</v>
      </c>
      <c r="M40" s="8">
        <v>73.91</v>
      </c>
      <c r="N40" s="9">
        <v>22</v>
      </c>
      <c r="O40" s="8">
        <v>66</v>
      </c>
      <c r="P40" s="6"/>
    </row>
    <row r="41" spans="1:16" ht="16" x14ac:dyDescent="0.2">
      <c r="A41" s="6" t="s">
        <v>13</v>
      </c>
      <c r="B41" s="6" t="s">
        <v>38</v>
      </c>
      <c r="C41" s="6">
        <v>20003537</v>
      </c>
      <c r="D41" s="6" t="s">
        <v>41</v>
      </c>
      <c r="E41" s="6" t="s">
        <v>42</v>
      </c>
      <c r="F41" s="6" t="s">
        <v>42</v>
      </c>
      <c r="G41" s="7" t="s">
        <v>43</v>
      </c>
      <c r="H41" s="6">
        <v>2</v>
      </c>
      <c r="I41" s="6">
        <v>20240101</v>
      </c>
      <c r="J41" s="6" t="s">
        <v>59</v>
      </c>
      <c r="K41" s="15">
        <f t="shared" si="1"/>
        <v>45323</v>
      </c>
      <c r="L41" s="6" t="s">
        <v>31</v>
      </c>
      <c r="M41" s="8">
        <v>168.88</v>
      </c>
      <c r="N41" s="9">
        <v>24</v>
      </c>
      <c r="O41" s="8">
        <v>48</v>
      </c>
      <c r="P41" s="6"/>
    </row>
    <row r="42" spans="1:16" ht="16" x14ac:dyDescent="0.2">
      <c r="A42" s="6" t="s">
        <v>13</v>
      </c>
      <c r="B42" s="6" t="s">
        <v>38</v>
      </c>
      <c r="C42" s="6">
        <v>20003537</v>
      </c>
      <c r="D42" s="6" t="s">
        <v>41</v>
      </c>
      <c r="E42" s="6" t="s">
        <v>42</v>
      </c>
      <c r="F42" s="6" t="s">
        <v>42</v>
      </c>
      <c r="G42" s="7" t="s">
        <v>43</v>
      </c>
      <c r="H42" s="6">
        <v>2</v>
      </c>
      <c r="I42" s="6">
        <v>20241001</v>
      </c>
      <c r="J42" s="6" t="s">
        <v>69</v>
      </c>
      <c r="K42" s="15">
        <f t="shared" si="1"/>
        <v>45597</v>
      </c>
      <c r="L42" s="6" t="s">
        <v>31</v>
      </c>
      <c r="M42" s="8">
        <v>168.88</v>
      </c>
      <c r="N42" s="9">
        <v>24</v>
      </c>
      <c r="O42" s="8">
        <v>48</v>
      </c>
      <c r="P42" s="6"/>
    </row>
    <row r="43" spans="1:16" ht="16" x14ac:dyDescent="0.2">
      <c r="A43" s="6" t="s">
        <v>13</v>
      </c>
      <c r="B43" s="6" t="s">
        <v>38</v>
      </c>
      <c r="C43" s="6">
        <v>20003537</v>
      </c>
      <c r="D43" s="6" t="s">
        <v>41</v>
      </c>
      <c r="E43" s="6" t="s">
        <v>42</v>
      </c>
      <c r="F43" s="6" t="s">
        <v>42</v>
      </c>
      <c r="G43" s="7" t="s">
        <v>43</v>
      </c>
      <c r="H43" s="6">
        <v>2</v>
      </c>
      <c r="I43" s="6">
        <v>20240701</v>
      </c>
      <c r="J43" s="6" t="s">
        <v>70</v>
      </c>
      <c r="K43" s="15">
        <f t="shared" si="1"/>
        <v>45505</v>
      </c>
      <c r="L43" s="6" t="s">
        <v>31</v>
      </c>
      <c r="M43" s="8">
        <v>168.88</v>
      </c>
      <c r="N43" s="9">
        <v>24</v>
      </c>
      <c r="O43" s="8">
        <v>48</v>
      </c>
      <c r="P43" s="6"/>
    </row>
    <row r="44" spans="1:16" ht="16" x14ac:dyDescent="0.2">
      <c r="A44" s="6" t="s">
        <v>13</v>
      </c>
      <c r="B44" s="6" t="s">
        <v>38</v>
      </c>
      <c r="C44" s="6">
        <v>20003537</v>
      </c>
      <c r="D44" s="6" t="s">
        <v>41</v>
      </c>
      <c r="E44" s="6" t="s">
        <v>42</v>
      </c>
      <c r="F44" s="6" t="s">
        <v>42</v>
      </c>
      <c r="G44" s="7" t="s">
        <v>43</v>
      </c>
      <c r="H44" s="6">
        <v>3</v>
      </c>
      <c r="I44" s="6">
        <v>20230501</v>
      </c>
      <c r="J44" s="6" t="s">
        <v>60</v>
      </c>
      <c r="K44" s="15">
        <f t="shared" si="1"/>
        <v>45078</v>
      </c>
      <c r="L44" s="6" t="s">
        <v>31</v>
      </c>
      <c r="M44" s="8">
        <v>73.91</v>
      </c>
      <c r="N44" s="9">
        <v>22</v>
      </c>
      <c r="O44" s="8">
        <v>66</v>
      </c>
      <c r="P44" s="6"/>
    </row>
    <row r="45" spans="1:16" ht="16" x14ac:dyDescent="0.2">
      <c r="A45" s="6" t="s">
        <v>13</v>
      </c>
      <c r="B45" s="6" t="s">
        <v>44</v>
      </c>
      <c r="C45" s="6">
        <v>16865615</v>
      </c>
      <c r="D45" s="6" t="s">
        <v>45</v>
      </c>
      <c r="E45" s="6" t="s">
        <v>46</v>
      </c>
      <c r="F45" s="6" t="s">
        <v>46</v>
      </c>
      <c r="G45" s="7" t="s">
        <v>28</v>
      </c>
      <c r="H45" s="6">
        <v>2</v>
      </c>
      <c r="I45" s="6">
        <v>20241101</v>
      </c>
      <c r="J45" s="6" t="s">
        <v>48</v>
      </c>
      <c r="K45" s="15">
        <f t="shared" si="1"/>
        <v>45627</v>
      </c>
      <c r="L45" s="6" t="s">
        <v>31</v>
      </c>
      <c r="M45" s="8">
        <v>11.48</v>
      </c>
      <c r="N45" s="9">
        <v>20</v>
      </c>
      <c r="O45" s="8">
        <v>40</v>
      </c>
      <c r="P45" s="6"/>
    </row>
    <row r="46" spans="1:16" ht="16" x14ac:dyDescent="0.2">
      <c r="A46" s="6" t="s">
        <v>13</v>
      </c>
      <c r="B46" s="6"/>
      <c r="C46" s="6"/>
      <c r="D46" s="6"/>
      <c r="E46" s="6"/>
      <c r="F46" s="6"/>
      <c r="G46" s="7"/>
      <c r="H46" s="6"/>
      <c r="I46" s="6"/>
      <c r="J46" s="6"/>
      <c r="K46" s="15"/>
      <c r="L46" s="6"/>
      <c r="M46" s="8"/>
      <c r="N46" s="9" t="s">
        <v>47</v>
      </c>
      <c r="O46" s="8">
        <v>1754.23</v>
      </c>
      <c r="P46" s="6"/>
    </row>
  </sheetData>
  <sortState xmlns:xlrd2="http://schemas.microsoft.com/office/spreadsheetml/2017/richdata2" ref="A2:O46">
    <sortCondition ref="L2:L4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2024-12-18T22:16:10Z</dcterms:created>
  <dcterms:modified xsi:type="dcterms:W3CDTF">2024-12-27T15:33:25Z</dcterms:modified>
</cp:coreProperties>
</file>