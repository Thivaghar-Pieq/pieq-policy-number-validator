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06-21-25\"/>
    </mc:Choice>
  </mc:AlternateContent>
  <xr:revisionPtr revIDLastSave="0" documentId="13_ncr:9_{E90B23B6-C537-47FF-AD41-FAFC99DBAA97}" xr6:coauthVersionLast="47" xr6:coauthVersionMax="47" xr10:uidLastSave="{00000000-0000-0000-0000-000000000000}"/>
  <bookViews>
    <workbookView xWindow="28680" yWindow="-120" windowWidth="29040" windowHeight="16440" activeTab="1" xr2:uid="{35DE896C-8C16-4388-A47B-C8780637D0AF}"/>
  </bookViews>
  <sheets>
    <sheet name="export-554662-20250621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</calcChain>
</file>

<file path=xl/sharedStrings.xml><?xml version="1.0" encoding="utf-8"?>
<sst xmlns="http://schemas.openxmlformats.org/spreadsheetml/2006/main" count="602" uniqueCount="101">
  <si>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</si>
  <si>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</si>
  <si>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</si>
  <si>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</si>
  <si>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</si>
  <si>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</si>
  <si>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</si>
  <si>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</si>
  <si>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</si>
  <si>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</si>
  <si>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</si>
  <si>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</si>
  <si>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</si>
  <si>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</si>
  <si>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</si>
  <si>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</si>
  <si>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</si>
  <si>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</si>
  <si>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</si>
  <si>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</si>
  <si>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</si>
  <si>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</si>
  <si>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</si>
  <si>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</si>
  <si>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</si>
  <si>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09L0F9</t>
  </si>
  <si>
    <t>POPE, TIMOTHY</t>
  </si>
  <si>
    <t>PA</t>
  </si>
  <si>
    <t>0W486R</t>
  </si>
  <si>
    <t>MARTIN, BENNY</t>
  </si>
  <si>
    <t>Medical, HMO1</t>
  </si>
  <si>
    <t>ASHLEY TEIPEL</t>
  </si>
  <si>
    <t>PMPM</t>
  </si>
  <si>
    <t>TX</t>
  </si>
  <si>
    <t>X, SP</t>
  </si>
  <si>
    <t>11EQ73</t>
  </si>
  <si>
    <t>POETA, JULIA</t>
  </si>
  <si>
    <t>13L90K</t>
  </si>
  <si>
    <t>BRAMBLEY, JEANNE</t>
  </si>
  <si>
    <t>NJ</t>
  </si>
  <si>
    <t>19C09G</t>
  </si>
  <si>
    <t>GUCCIONE, ROBERT</t>
  </si>
  <si>
    <t>1Y207E</t>
  </si>
  <si>
    <t>FOLEY, CAROL</t>
  </si>
  <si>
    <t>22C81W</t>
  </si>
  <si>
    <t>TISSERAND, CAROL</t>
  </si>
  <si>
    <t>24L45K</t>
  </si>
  <si>
    <t>KERN, CATHERINE</t>
  </si>
  <si>
    <t>33L80Y</t>
  </si>
  <si>
    <t>NEHER, DORIS</t>
  </si>
  <si>
    <t>35L86T</t>
  </si>
  <si>
    <t>VILANUEVA, JOHANI</t>
  </si>
  <si>
    <t>HEATHER GESKE</t>
  </si>
  <si>
    <t>CO</t>
  </si>
  <si>
    <t>36H0M7</t>
  </si>
  <si>
    <t>BALAWAJDER, TERESA</t>
  </si>
  <si>
    <t>36H9M6</t>
  </si>
  <si>
    <t>CAUTILLI, JOSEPH</t>
  </si>
  <si>
    <t>37H4M8</t>
  </si>
  <si>
    <t>POWER, WILLIAM</t>
  </si>
  <si>
    <t>37H4M9</t>
  </si>
  <si>
    <t>SUMMERS, DANIELLE</t>
  </si>
  <si>
    <t>38H6M6</t>
  </si>
  <si>
    <t>SANTILLI, LYNN</t>
  </si>
  <si>
    <t>39H0M3</t>
  </si>
  <si>
    <t>DERON, JOE</t>
  </si>
  <si>
    <t>56M9L5</t>
  </si>
  <si>
    <t>NABOR, JODI</t>
  </si>
  <si>
    <t>JACOB YALE</t>
  </si>
  <si>
    <t>IL</t>
  </si>
  <si>
    <t>63K9V7</t>
  </si>
  <si>
    <t>GODWIN, LYNDA</t>
  </si>
  <si>
    <t>69M79F</t>
  </si>
  <si>
    <t>BAUCOM, JONATHAN</t>
  </si>
  <si>
    <t>RICHARD YALE</t>
  </si>
  <si>
    <t>WI</t>
  </si>
  <si>
    <t>76H3P5</t>
  </si>
  <si>
    <t>HARVAN, ALBERT</t>
  </si>
  <si>
    <t>79A4G5</t>
  </si>
  <si>
    <t>SMITH, KRISTIN</t>
  </si>
  <si>
    <t>82JG05</t>
  </si>
  <si>
    <t>JACKSON, CATHERINE</t>
  </si>
  <si>
    <t>85L9M5</t>
  </si>
  <si>
    <t>ASEBEDO, ISRAEL</t>
  </si>
  <si>
    <t>88GC66</t>
  </si>
  <si>
    <t>BRESLIN, PATRICK</t>
  </si>
  <si>
    <t>89MQ99</t>
  </si>
  <si>
    <t>GEORGIOU, MARISSA</t>
  </si>
  <si>
    <t>96L3R8</t>
  </si>
  <si>
    <t>KRYGER, CHRISTOPHER</t>
  </si>
  <si>
    <t>OR</t>
  </si>
  <si>
    <t>97MT87</t>
  </si>
  <si>
    <t>HASSE, KATE</t>
  </si>
  <si>
    <t>Medical, HOAPIN</t>
  </si>
  <si>
    <t>JOEL LEE</t>
  </si>
  <si>
    <t>X, CP</t>
  </si>
  <si>
    <t>[PMPM=2]</t>
  </si>
  <si>
    <t>Cigna DVH</t>
  </si>
  <si>
    <t>Cigna 2025 AZ, CO, IL</t>
  </si>
  <si>
    <t>Cigna - TX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</si>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</sst>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CE1C-18F4-42A5-A66F-135857DDCEAE}">
  <dimension ref="A1:P29"/>
  <sheetViews>
    <sheetView workbookViewId="0">
      <selection sqref="A1:XFD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20250601</v>
      </c>
      <c r="J2">
        <v>20250621</v>
      </c>
      <c r="K2">
        <v>32</v>
      </c>
      <c r="L2" t="s">
        <v>23</v>
      </c>
      <c r="M2" t="s">
        <v>24</v>
      </c>
      <c r="N2" s="1">
        <v>0.1</v>
      </c>
      <c r="O2">
        <v>3.2</v>
      </c>
      <c r="P2" t="s">
        <v>23</v>
      </c>
    </row>
    <row r="3" spans="1:16" x14ac:dyDescent="0.25">
      <c r="A3" t="s">
        <v>25</v>
      </c>
      <c r="B3" t="s">
        <v>26</v>
      </c>
      <c r="C3" t="s">
        <v>18</v>
      </c>
      <c r="D3" t="s">
        <v>19</v>
      </c>
      <c r="E3" t="s">
        <v>20</v>
      </c>
      <c r="F3" t="s">
        <v>21</v>
      </c>
      <c r="G3" t="s">
        <v>27</v>
      </c>
      <c r="H3" t="s">
        <v>23</v>
      </c>
      <c r="I3">
        <v>20250601</v>
      </c>
      <c r="J3">
        <v>20250621</v>
      </c>
      <c r="K3">
        <v>142.44999999999999</v>
      </c>
      <c r="L3" t="s">
        <v>23</v>
      </c>
      <c r="M3" t="s">
        <v>24</v>
      </c>
      <c r="N3" s="1">
        <v>0.2</v>
      </c>
      <c r="O3">
        <v>28.49</v>
      </c>
      <c r="P3" t="s">
        <v>23</v>
      </c>
    </row>
    <row r="4" spans="1:16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21</v>
      </c>
      <c r="G4" t="s">
        <v>33</v>
      </c>
      <c r="H4" t="s">
        <v>23</v>
      </c>
      <c r="I4">
        <v>20250601</v>
      </c>
      <c r="J4">
        <v>20250621</v>
      </c>
      <c r="K4">
        <v>0</v>
      </c>
      <c r="L4" t="s">
        <v>34</v>
      </c>
      <c r="M4">
        <v>2</v>
      </c>
      <c r="N4" s="2">
        <v>25</v>
      </c>
      <c r="O4">
        <v>50</v>
      </c>
      <c r="P4" t="s">
        <v>23</v>
      </c>
    </row>
    <row r="5" spans="1:16" x14ac:dyDescent="0.25">
      <c r="A5" t="s">
        <v>35</v>
      </c>
      <c r="B5" t="s">
        <v>36</v>
      </c>
      <c r="C5" t="s">
        <v>18</v>
      </c>
      <c r="D5" t="s">
        <v>19</v>
      </c>
      <c r="E5" t="s">
        <v>20</v>
      </c>
      <c r="F5" t="s">
        <v>21</v>
      </c>
      <c r="G5" t="s">
        <v>27</v>
      </c>
      <c r="H5" t="s">
        <v>23</v>
      </c>
      <c r="I5">
        <v>20250601</v>
      </c>
      <c r="J5">
        <v>20250621</v>
      </c>
      <c r="K5">
        <v>39.42</v>
      </c>
      <c r="L5" t="s">
        <v>23</v>
      </c>
      <c r="M5" t="s">
        <v>24</v>
      </c>
      <c r="N5" s="1">
        <v>0.1</v>
      </c>
      <c r="O5">
        <v>3.94</v>
      </c>
      <c r="P5" t="s">
        <v>23</v>
      </c>
    </row>
    <row r="6" spans="1:16" x14ac:dyDescent="0.25">
      <c r="A6" t="s">
        <v>37</v>
      </c>
      <c r="B6" t="s">
        <v>38</v>
      </c>
      <c r="C6" t="s">
        <v>18</v>
      </c>
      <c r="D6" t="s">
        <v>19</v>
      </c>
      <c r="E6" t="s">
        <v>20</v>
      </c>
      <c r="F6" t="s">
        <v>21</v>
      </c>
      <c r="G6" t="s">
        <v>39</v>
      </c>
      <c r="H6" t="s">
        <v>23</v>
      </c>
      <c r="I6">
        <v>20250601</v>
      </c>
      <c r="J6">
        <v>20250621</v>
      </c>
      <c r="K6">
        <v>43</v>
      </c>
      <c r="L6" t="s">
        <v>23</v>
      </c>
      <c r="M6" t="s">
        <v>24</v>
      </c>
      <c r="N6" s="1">
        <v>0.2</v>
      </c>
      <c r="O6">
        <v>8.6</v>
      </c>
      <c r="P6" t="s">
        <v>23</v>
      </c>
    </row>
    <row r="7" spans="1:16" x14ac:dyDescent="0.25">
      <c r="A7" t="s">
        <v>40</v>
      </c>
      <c r="B7" t="s">
        <v>41</v>
      </c>
      <c r="C7" t="s">
        <v>18</v>
      </c>
      <c r="D7" t="s">
        <v>19</v>
      </c>
      <c r="E7" t="s">
        <v>20</v>
      </c>
      <c r="F7" t="s">
        <v>21</v>
      </c>
      <c r="G7" t="s">
        <v>27</v>
      </c>
      <c r="H7" t="s">
        <v>23</v>
      </c>
      <c r="I7">
        <v>20250601</v>
      </c>
      <c r="J7">
        <v>20250621</v>
      </c>
      <c r="K7">
        <v>41</v>
      </c>
      <c r="L7" t="s">
        <v>23</v>
      </c>
      <c r="M7" t="s">
        <v>24</v>
      </c>
      <c r="N7" s="1">
        <v>0.1</v>
      </c>
      <c r="O7">
        <v>4.0999999999999996</v>
      </c>
      <c r="P7" t="s">
        <v>23</v>
      </c>
    </row>
    <row r="8" spans="1:16" x14ac:dyDescent="0.25">
      <c r="A8" t="s">
        <v>42</v>
      </c>
      <c r="B8" t="s">
        <v>43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>
        <v>20250601</v>
      </c>
      <c r="J8">
        <v>20250621</v>
      </c>
      <c r="K8">
        <v>25.01</v>
      </c>
      <c r="L8" t="s">
        <v>23</v>
      </c>
      <c r="M8" t="s">
        <v>24</v>
      </c>
      <c r="N8" s="1">
        <v>0.1</v>
      </c>
      <c r="O8">
        <v>2.5</v>
      </c>
      <c r="P8" t="s">
        <v>23</v>
      </c>
    </row>
    <row r="9" spans="1:16" x14ac:dyDescent="0.25">
      <c r="A9" t="s">
        <v>44</v>
      </c>
      <c r="B9" t="s">
        <v>45</v>
      </c>
      <c r="C9" t="s">
        <v>18</v>
      </c>
      <c r="D9" t="s">
        <v>19</v>
      </c>
      <c r="E9" t="s">
        <v>20</v>
      </c>
      <c r="F9" t="s">
        <v>21</v>
      </c>
      <c r="G9" t="s">
        <v>27</v>
      </c>
      <c r="H9" t="s">
        <v>23</v>
      </c>
      <c r="I9">
        <v>20250601</v>
      </c>
      <c r="J9">
        <v>20250621</v>
      </c>
      <c r="K9">
        <v>77</v>
      </c>
      <c r="L9" t="s">
        <v>23</v>
      </c>
      <c r="M9" t="s">
        <v>24</v>
      </c>
      <c r="N9" s="1">
        <v>0.1</v>
      </c>
      <c r="O9">
        <v>7.7</v>
      </c>
      <c r="P9" t="s">
        <v>23</v>
      </c>
    </row>
    <row r="10" spans="1:16" x14ac:dyDescent="0.25">
      <c r="A10" t="s">
        <v>46</v>
      </c>
      <c r="B10" t="s">
        <v>47</v>
      </c>
      <c r="C10" t="s">
        <v>18</v>
      </c>
      <c r="D10" t="s">
        <v>19</v>
      </c>
      <c r="E10" t="s">
        <v>20</v>
      </c>
      <c r="F10" t="s">
        <v>21</v>
      </c>
      <c r="G10" t="s">
        <v>27</v>
      </c>
      <c r="H10" t="s">
        <v>23</v>
      </c>
      <c r="I10">
        <v>20250601</v>
      </c>
      <c r="J10">
        <v>20250621</v>
      </c>
      <c r="K10">
        <v>52.29</v>
      </c>
      <c r="L10" t="s">
        <v>23</v>
      </c>
      <c r="M10" t="s">
        <v>24</v>
      </c>
      <c r="N10" s="1">
        <v>0.2</v>
      </c>
      <c r="O10">
        <v>10.46</v>
      </c>
      <c r="P10" t="s">
        <v>23</v>
      </c>
    </row>
    <row r="11" spans="1:16" x14ac:dyDescent="0.25">
      <c r="A11" t="s">
        <v>48</v>
      </c>
      <c r="B11" t="s">
        <v>49</v>
      </c>
      <c r="C11" t="s">
        <v>18</v>
      </c>
      <c r="D11" t="s">
        <v>19</v>
      </c>
      <c r="E11" t="s">
        <v>20</v>
      </c>
      <c r="F11" t="s">
        <v>21</v>
      </c>
      <c r="G11" t="s">
        <v>27</v>
      </c>
      <c r="H11" t="s">
        <v>23</v>
      </c>
      <c r="I11">
        <v>20250601</v>
      </c>
      <c r="J11">
        <v>20250621</v>
      </c>
      <c r="K11">
        <v>36.92</v>
      </c>
      <c r="L11" t="s">
        <v>23</v>
      </c>
      <c r="M11" t="s">
        <v>24</v>
      </c>
      <c r="N11" s="1">
        <v>0.2</v>
      </c>
      <c r="O11">
        <v>7.38</v>
      </c>
      <c r="P11" t="s">
        <v>23</v>
      </c>
    </row>
    <row r="12" spans="1:16" x14ac:dyDescent="0.25">
      <c r="A12" t="s">
        <v>50</v>
      </c>
      <c r="B12" t="s">
        <v>51</v>
      </c>
      <c r="C12" t="s">
        <v>18</v>
      </c>
      <c r="D12" t="s">
        <v>52</v>
      </c>
      <c r="E12" t="s">
        <v>20</v>
      </c>
      <c r="F12" t="s">
        <v>21</v>
      </c>
      <c r="G12" t="s">
        <v>53</v>
      </c>
      <c r="H12" t="s">
        <v>23</v>
      </c>
      <c r="I12">
        <v>20250601</v>
      </c>
      <c r="J12">
        <v>20250621</v>
      </c>
      <c r="K12">
        <v>135.13999999999999</v>
      </c>
      <c r="L12" t="s">
        <v>23</v>
      </c>
      <c r="M12" t="s">
        <v>24</v>
      </c>
      <c r="N12" s="1">
        <v>0.2</v>
      </c>
      <c r="O12">
        <v>27.03</v>
      </c>
      <c r="P12" t="s">
        <v>23</v>
      </c>
    </row>
    <row r="13" spans="1:16" x14ac:dyDescent="0.25">
      <c r="A13" t="s">
        <v>54</v>
      </c>
      <c r="B13" t="s">
        <v>55</v>
      </c>
      <c r="C13" t="s">
        <v>18</v>
      </c>
      <c r="D13" t="s">
        <v>19</v>
      </c>
      <c r="E13" t="s">
        <v>20</v>
      </c>
      <c r="F13" t="s">
        <v>21</v>
      </c>
      <c r="G13" t="s">
        <v>27</v>
      </c>
      <c r="H13" t="s">
        <v>23</v>
      </c>
      <c r="I13">
        <v>20250601</v>
      </c>
      <c r="J13">
        <v>20250621</v>
      </c>
      <c r="K13">
        <v>79.55</v>
      </c>
      <c r="L13" t="s">
        <v>23</v>
      </c>
      <c r="M13" t="s">
        <v>24</v>
      </c>
      <c r="N13" s="1">
        <v>0.1</v>
      </c>
      <c r="O13">
        <v>7.96</v>
      </c>
      <c r="P13" t="s">
        <v>23</v>
      </c>
    </row>
    <row r="14" spans="1:16" x14ac:dyDescent="0.25">
      <c r="A14" t="s">
        <v>56</v>
      </c>
      <c r="B14" t="s">
        <v>57</v>
      </c>
      <c r="C14" t="s">
        <v>18</v>
      </c>
      <c r="D14" t="s">
        <v>19</v>
      </c>
      <c r="E14" t="s">
        <v>20</v>
      </c>
      <c r="F14" t="s">
        <v>21</v>
      </c>
      <c r="G14" t="s">
        <v>27</v>
      </c>
      <c r="H14" t="s">
        <v>23</v>
      </c>
      <c r="I14">
        <v>20250601</v>
      </c>
      <c r="J14">
        <v>20250621</v>
      </c>
      <c r="K14">
        <v>112.7</v>
      </c>
      <c r="L14" t="s">
        <v>23</v>
      </c>
      <c r="M14" t="s">
        <v>24</v>
      </c>
      <c r="N14" s="1">
        <v>0.1</v>
      </c>
      <c r="O14">
        <v>11.27</v>
      </c>
      <c r="P14" t="s">
        <v>23</v>
      </c>
    </row>
    <row r="15" spans="1:16" x14ac:dyDescent="0.25">
      <c r="A15" t="s">
        <v>58</v>
      </c>
      <c r="B15" t="s">
        <v>59</v>
      </c>
      <c r="C15" t="s">
        <v>18</v>
      </c>
      <c r="D15" t="s">
        <v>19</v>
      </c>
      <c r="E15" t="s">
        <v>20</v>
      </c>
      <c r="F15" t="s">
        <v>21</v>
      </c>
      <c r="G15" t="s">
        <v>27</v>
      </c>
      <c r="H15" t="s">
        <v>23</v>
      </c>
      <c r="I15">
        <v>20250601</v>
      </c>
      <c r="J15">
        <v>20250621</v>
      </c>
      <c r="K15">
        <v>52</v>
      </c>
      <c r="L15" t="s">
        <v>23</v>
      </c>
      <c r="M15" t="s">
        <v>24</v>
      </c>
      <c r="N15" s="1">
        <v>0.1</v>
      </c>
      <c r="O15">
        <v>5.2</v>
      </c>
      <c r="P15" t="s">
        <v>23</v>
      </c>
    </row>
    <row r="16" spans="1:16" x14ac:dyDescent="0.25">
      <c r="A16" t="s">
        <v>60</v>
      </c>
      <c r="B16" t="s">
        <v>61</v>
      </c>
      <c r="C16" t="s">
        <v>18</v>
      </c>
      <c r="D16" t="s">
        <v>19</v>
      </c>
      <c r="E16" t="s">
        <v>20</v>
      </c>
      <c r="F16" t="s">
        <v>21</v>
      </c>
      <c r="G16" t="s">
        <v>27</v>
      </c>
      <c r="H16" t="s">
        <v>23</v>
      </c>
      <c r="I16">
        <v>20250601</v>
      </c>
      <c r="J16">
        <v>20250621</v>
      </c>
      <c r="K16">
        <v>43</v>
      </c>
      <c r="L16" t="s">
        <v>23</v>
      </c>
      <c r="M16" t="s">
        <v>24</v>
      </c>
      <c r="N16" s="1">
        <v>0.1</v>
      </c>
      <c r="O16">
        <v>4.3</v>
      </c>
      <c r="P16" t="s">
        <v>23</v>
      </c>
    </row>
    <row r="17" spans="1:16" x14ac:dyDescent="0.25">
      <c r="A17" t="s">
        <v>62</v>
      </c>
      <c r="B17" t="s">
        <v>63</v>
      </c>
      <c r="C17" t="s">
        <v>18</v>
      </c>
      <c r="D17" t="s">
        <v>19</v>
      </c>
      <c r="E17" t="s">
        <v>20</v>
      </c>
      <c r="F17" t="s">
        <v>21</v>
      </c>
      <c r="G17" t="s">
        <v>27</v>
      </c>
      <c r="H17" t="s">
        <v>23</v>
      </c>
      <c r="I17">
        <v>20250601</v>
      </c>
      <c r="J17">
        <v>20250621</v>
      </c>
      <c r="K17">
        <v>145.85</v>
      </c>
      <c r="L17" t="s">
        <v>23</v>
      </c>
      <c r="M17" t="s">
        <v>24</v>
      </c>
      <c r="N17" s="1">
        <v>0.1</v>
      </c>
      <c r="O17">
        <v>14.59</v>
      </c>
      <c r="P17" t="s">
        <v>23</v>
      </c>
    </row>
    <row r="18" spans="1:16" x14ac:dyDescent="0.25">
      <c r="A18" t="s">
        <v>64</v>
      </c>
      <c r="B18" t="s">
        <v>65</v>
      </c>
      <c r="C18" t="s">
        <v>18</v>
      </c>
      <c r="D18" t="s">
        <v>19</v>
      </c>
      <c r="E18" t="s">
        <v>20</v>
      </c>
      <c r="F18" t="s">
        <v>21</v>
      </c>
      <c r="G18" t="s">
        <v>27</v>
      </c>
      <c r="H18" t="s">
        <v>23</v>
      </c>
      <c r="I18">
        <v>20250601</v>
      </c>
      <c r="J18">
        <v>20250621</v>
      </c>
      <c r="K18">
        <v>43</v>
      </c>
      <c r="L18" t="s">
        <v>23</v>
      </c>
      <c r="M18" t="s">
        <v>24</v>
      </c>
      <c r="N18" s="1">
        <v>0.1</v>
      </c>
      <c r="O18">
        <v>4.3</v>
      </c>
      <c r="P18" t="s">
        <v>23</v>
      </c>
    </row>
    <row r="19" spans="1:16" x14ac:dyDescent="0.25">
      <c r="A19" t="s">
        <v>66</v>
      </c>
      <c r="B19" t="s">
        <v>67</v>
      </c>
      <c r="C19" t="s">
        <v>18</v>
      </c>
      <c r="D19" t="s">
        <v>68</v>
      </c>
      <c r="E19" t="s">
        <v>20</v>
      </c>
      <c r="F19" t="s">
        <v>21</v>
      </c>
      <c r="G19" t="s">
        <v>69</v>
      </c>
      <c r="H19" t="s">
        <v>23</v>
      </c>
      <c r="I19">
        <v>20250601</v>
      </c>
      <c r="J19">
        <v>20250621</v>
      </c>
      <c r="K19">
        <v>120.17</v>
      </c>
      <c r="L19" t="s">
        <v>23</v>
      </c>
      <c r="M19" t="s">
        <v>24</v>
      </c>
      <c r="N19" s="1">
        <v>0.2</v>
      </c>
      <c r="O19">
        <v>24.03</v>
      </c>
      <c r="P19" t="s">
        <v>23</v>
      </c>
    </row>
    <row r="20" spans="1:16" x14ac:dyDescent="0.25">
      <c r="A20" t="s">
        <v>70</v>
      </c>
      <c r="B20" t="s">
        <v>71</v>
      </c>
      <c r="C20" t="s">
        <v>18</v>
      </c>
      <c r="D20" t="s">
        <v>19</v>
      </c>
      <c r="E20" t="s">
        <v>20</v>
      </c>
      <c r="F20" t="s">
        <v>21</v>
      </c>
      <c r="G20" t="s">
        <v>27</v>
      </c>
      <c r="H20" t="s">
        <v>23</v>
      </c>
      <c r="I20">
        <v>20250601</v>
      </c>
      <c r="J20">
        <v>20250621</v>
      </c>
      <c r="K20">
        <v>70.3</v>
      </c>
      <c r="L20" t="s">
        <v>23</v>
      </c>
      <c r="M20" t="s">
        <v>24</v>
      </c>
      <c r="N20" s="1">
        <v>0.1</v>
      </c>
      <c r="O20">
        <v>7.03</v>
      </c>
      <c r="P20" t="s">
        <v>23</v>
      </c>
    </row>
    <row r="21" spans="1:16" x14ac:dyDescent="0.25">
      <c r="A21" t="s">
        <v>72</v>
      </c>
      <c r="B21" t="s">
        <v>73</v>
      </c>
      <c r="C21" t="s">
        <v>18</v>
      </c>
      <c r="D21" t="s">
        <v>74</v>
      </c>
      <c r="E21" t="s">
        <v>20</v>
      </c>
      <c r="F21" t="s">
        <v>21</v>
      </c>
      <c r="G21" t="s">
        <v>75</v>
      </c>
      <c r="H21" t="s">
        <v>23</v>
      </c>
      <c r="I21">
        <v>20250601</v>
      </c>
      <c r="J21">
        <v>20250621</v>
      </c>
      <c r="K21">
        <v>200.63</v>
      </c>
      <c r="L21" t="s">
        <v>23</v>
      </c>
      <c r="M21" t="s">
        <v>24</v>
      </c>
      <c r="N21" s="1">
        <v>0.2</v>
      </c>
      <c r="O21">
        <v>40.130000000000003</v>
      </c>
      <c r="P21" t="s">
        <v>23</v>
      </c>
    </row>
    <row r="22" spans="1:16" x14ac:dyDescent="0.25">
      <c r="A22" t="s">
        <v>76</v>
      </c>
      <c r="B22" t="s">
        <v>77</v>
      </c>
      <c r="C22" t="s">
        <v>18</v>
      </c>
      <c r="D22" t="s">
        <v>19</v>
      </c>
      <c r="E22" t="s">
        <v>20</v>
      </c>
      <c r="F22" t="s">
        <v>21</v>
      </c>
      <c r="G22" t="s">
        <v>27</v>
      </c>
      <c r="H22" t="s">
        <v>23</v>
      </c>
      <c r="I22">
        <v>20250601</v>
      </c>
      <c r="J22">
        <v>20250621</v>
      </c>
      <c r="K22">
        <v>76.150000000000006</v>
      </c>
      <c r="L22" t="s">
        <v>23</v>
      </c>
      <c r="M22" t="s">
        <v>24</v>
      </c>
      <c r="N22" s="1">
        <v>0.1</v>
      </c>
      <c r="O22">
        <v>7.62</v>
      </c>
      <c r="P22" t="s">
        <v>23</v>
      </c>
    </row>
    <row r="23" spans="1:16" x14ac:dyDescent="0.25">
      <c r="A23" t="s">
        <v>78</v>
      </c>
      <c r="B23" t="s">
        <v>79</v>
      </c>
      <c r="C23" t="s">
        <v>18</v>
      </c>
      <c r="D23" t="s">
        <v>19</v>
      </c>
      <c r="E23" t="s">
        <v>20</v>
      </c>
      <c r="F23" t="s">
        <v>21</v>
      </c>
      <c r="G23" t="s">
        <v>27</v>
      </c>
      <c r="H23" t="s">
        <v>23</v>
      </c>
      <c r="I23">
        <v>20250601</v>
      </c>
      <c r="J23">
        <v>20250621</v>
      </c>
      <c r="K23">
        <v>114.31</v>
      </c>
      <c r="L23" t="s">
        <v>23</v>
      </c>
      <c r="M23" t="s">
        <v>24</v>
      </c>
      <c r="N23" s="1">
        <v>0.1</v>
      </c>
      <c r="O23">
        <v>11.43</v>
      </c>
      <c r="P23" t="s">
        <v>23</v>
      </c>
    </row>
    <row r="24" spans="1:16" x14ac:dyDescent="0.25">
      <c r="A24" t="s">
        <v>80</v>
      </c>
      <c r="B24" t="s">
        <v>81</v>
      </c>
      <c r="C24" t="s">
        <v>18</v>
      </c>
      <c r="D24" t="s">
        <v>19</v>
      </c>
      <c r="E24" t="s">
        <v>20</v>
      </c>
      <c r="F24" t="s">
        <v>21</v>
      </c>
      <c r="G24" t="s">
        <v>27</v>
      </c>
      <c r="H24" t="s">
        <v>23</v>
      </c>
      <c r="I24">
        <v>20250601</v>
      </c>
      <c r="J24">
        <v>20250621</v>
      </c>
      <c r="K24">
        <v>85.15</v>
      </c>
      <c r="L24" t="s">
        <v>23</v>
      </c>
      <c r="M24" t="s">
        <v>24</v>
      </c>
      <c r="N24" s="1">
        <v>0.1</v>
      </c>
      <c r="O24">
        <v>8.52</v>
      </c>
      <c r="P24" t="s">
        <v>23</v>
      </c>
    </row>
    <row r="25" spans="1:16" x14ac:dyDescent="0.25">
      <c r="A25" t="s">
        <v>82</v>
      </c>
      <c r="B25" t="s">
        <v>83</v>
      </c>
      <c r="C25" t="s">
        <v>18</v>
      </c>
      <c r="D25" t="s">
        <v>52</v>
      </c>
      <c r="E25" t="s">
        <v>20</v>
      </c>
      <c r="F25" t="s">
        <v>21</v>
      </c>
      <c r="G25" t="s">
        <v>53</v>
      </c>
      <c r="H25" t="s">
        <v>23</v>
      </c>
      <c r="I25">
        <v>20250601</v>
      </c>
      <c r="J25">
        <v>20250621</v>
      </c>
      <c r="K25">
        <v>34.04</v>
      </c>
      <c r="L25" t="s">
        <v>23</v>
      </c>
      <c r="M25" t="s">
        <v>24</v>
      </c>
      <c r="N25" s="1">
        <v>0.2</v>
      </c>
      <c r="O25">
        <v>6.81</v>
      </c>
      <c r="P25" t="s">
        <v>23</v>
      </c>
    </row>
    <row r="26" spans="1:16" x14ac:dyDescent="0.25">
      <c r="A26" t="s">
        <v>84</v>
      </c>
      <c r="B26" t="s">
        <v>85</v>
      </c>
      <c r="C26" t="s">
        <v>18</v>
      </c>
      <c r="D26" t="s">
        <v>19</v>
      </c>
      <c r="E26" t="s">
        <v>20</v>
      </c>
      <c r="F26" t="s">
        <v>21</v>
      </c>
      <c r="G26" t="s">
        <v>27</v>
      </c>
      <c r="H26" t="s">
        <v>23</v>
      </c>
      <c r="I26">
        <v>20250601</v>
      </c>
      <c r="J26">
        <v>20250621</v>
      </c>
      <c r="K26">
        <v>68.3</v>
      </c>
      <c r="L26" t="s">
        <v>23</v>
      </c>
      <c r="M26" t="s">
        <v>24</v>
      </c>
      <c r="N26" s="1">
        <v>0.1</v>
      </c>
      <c r="O26">
        <v>6.83</v>
      </c>
      <c r="P26" t="s">
        <v>23</v>
      </c>
    </row>
    <row r="27" spans="1:16" x14ac:dyDescent="0.25">
      <c r="A27" t="s">
        <v>86</v>
      </c>
      <c r="B27" t="s">
        <v>87</v>
      </c>
      <c r="C27" t="s">
        <v>18</v>
      </c>
      <c r="D27" t="s">
        <v>19</v>
      </c>
      <c r="E27" t="s">
        <v>20</v>
      </c>
      <c r="F27" t="s">
        <v>21</v>
      </c>
      <c r="G27" t="s">
        <v>27</v>
      </c>
      <c r="H27" t="s">
        <v>23</v>
      </c>
      <c r="I27">
        <v>20250601</v>
      </c>
      <c r="J27">
        <v>20250621</v>
      </c>
      <c r="K27">
        <v>43</v>
      </c>
      <c r="L27" t="s">
        <v>23</v>
      </c>
      <c r="M27" t="s">
        <v>24</v>
      </c>
      <c r="N27" s="1">
        <v>0.2</v>
      </c>
      <c r="O27">
        <v>8.6</v>
      </c>
      <c r="P27" t="s">
        <v>23</v>
      </c>
    </row>
    <row r="28" spans="1:16" x14ac:dyDescent="0.25">
      <c r="A28" t="s">
        <v>88</v>
      </c>
      <c r="B28" t="s">
        <v>89</v>
      </c>
      <c r="C28" t="s">
        <v>18</v>
      </c>
      <c r="D28" t="s">
        <v>19</v>
      </c>
      <c r="E28" t="s">
        <v>20</v>
      </c>
      <c r="F28" t="s">
        <v>21</v>
      </c>
      <c r="G28" t="s">
        <v>90</v>
      </c>
      <c r="H28" t="s">
        <v>23</v>
      </c>
      <c r="I28">
        <v>20250601</v>
      </c>
      <c r="J28">
        <v>20250621</v>
      </c>
      <c r="K28">
        <v>54</v>
      </c>
      <c r="L28" t="s">
        <v>23</v>
      </c>
      <c r="M28" t="s">
        <v>24</v>
      </c>
      <c r="N28" s="1">
        <v>0.2</v>
      </c>
      <c r="O28">
        <v>10.8</v>
      </c>
      <c r="P28" t="s">
        <v>23</v>
      </c>
    </row>
    <row r="29" spans="1:16" x14ac:dyDescent="0.25">
      <c r="A29" t="s">
        <v>91</v>
      </c>
      <c r="B29" t="s">
        <v>92</v>
      </c>
      <c r="C29" t="s">
        <v>93</v>
      </c>
      <c r="D29" t="s">
        <v>94</v>
      </c>
      <c r="E29" t="s">
        <v>32</v>
      </c>
      <c r="F29" t="s">
        <v>21</v>
      </c>
      <c r="G29" t="s">
        <v>53</v>
      </c>
      <c r="H29" t="s">
        <v>23</v>
      </c>
      <c r="I29">
        <v>20250601</v>
      </c>
      <c r="J29">
        <v>20250621</v>
      </c>
      <c r="K29">
        <v>247.83</v>
      </c>
      <c r="L29" t="s">
        <v>95</v>
      </c>
      <c r="M29">
        <v>1</v>
      </c>
      <c r="N29" s="2">
        <v>20</v>
      </c>
      <c r="O29">
        <v>20</v>
      </c>
      <c r="P2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F30E-0B04-4108-AF98-7F093B0522D7}">
  <dimension ref="A1:Q29"/>
  <sheetViews>
    <sheetView tabSelected="1" workbookViewId="0">
      <selection activeCell="B2" sqref="B2"/>
    </sheetView>
  </sheetViews>
  <sheetFormatPr defaultRowHeight="15" x14ac:dyDescent="0.25"/>
  <cols>
    <col min="2" max="2" width="12.42578125" customWidth="1"/>
    <col min="3" max="3" width="21.140625" bestFit="1" customWidth="1"/>
    <col min="4" max="4" width="16.28515625" bestFit="1" customWidth="1"/>
    <col min="5" max="5" width="15" bestFit="1" customWidth="1"/>
    <col min="6" max="6" width="15" customWidth="1"/>
    <col min="7" max="7" width="13.5703125" bestFit="1" customWidth="1"/>
    <col min="16" max="16" width="19.28515625" bestFit="1" customWidth="1"/>
  </cols>
  <sheetData>
    <row r="1" spans="1:17" x14ac:dyDescent="0.25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7" x14ac:dyDescent="0.25">
      <c r="A2" t="s">
        <v>16</v>
      </c>
      <c r="B2" t="str">
        <f>CONCATENATE(A2,7)</f>
        <v>01DT827</v>
      </c>
      <c r="C2" t="s">
        <v>17</v>
      </c>
      <c r="D2" t="s">
        <v>18</v>
      </c>
      <c r="E2" t="s">
        <v>19</v>
      </c>
      <c r="F2" t="s">
        <v>100</v>
      </c>
      <c r="G2" t="s">
        <v>20</v>
      </c>
      <c r="H2" t="s">
        <v>22</v>
      </c>
      <c r="I2">
        <v>20250601</v>
      </c>
      <c r="J2">
        <v>20250621</v>
      </c>
      <c r="K2">
        <v>32</v>
      </c>
      <c r="L2" t="s">
        <v>23</v>
      </c>
      <c r="M2" t="s">
        <v>24</v>
      </c>
      <c r="N2" s="1">
        <v>0.1</v>
      </c>
      <c r="O2">
        <v>3.2</v>
      </c>
      <c r="P2" t="s">
        <v>97</v>
      </c>
      <c r="Q2">
        <f>K2*N2</f>
        <v>3.2</v>
      </c>
    </row>
    <row r="3" spans="1:17" x14ac:dyDescent="0.25">
      <c r="A3" t="s">
        <v>35</v>
      </c>
      <c r="B3" t="str">
        <f t="shared" ref="B3:B22" si="0">CONCATENATE(A3,7)</f>
        <v>11EQ737</v>
      </c>
      <c r="C3" t="s">
        <v>36</v>
      </c>
      <c r="D3" t="s">
        <v>18</v>
      </c>
      <c r="E3" t="s">
        <v>19</v>
      </c>
      <c r="F3" t="s">
        <v>100</v>
      </c>
      <c r="G3" t="s">
        <v>20</v>
      </c>
      <c r="H3" t="s">
        <v>27</v>
      </c>
      <c r="I3">
        <v>20250601</v>
      </c>
      <c r="J3">
        <v>20250621</v>
      </c>
      <c r="K3">
        <v>39.42</v>
      </c>
      <c r="L3" t="s">
        <v>23</v>
      </c>
      <c r="M3" t="s">
        <v>24</v>
      </c>
      <c r="N3" s="1">
        <v>0.1</v>
      </c>
      <c r="O3">
        <v>3.94</v>
      </c>
      <c r="P3" t="s">
        <v>97</v>
      </c>
      <c r="Q3">
        <f t="shared" ref="Q3:Q27" si="1">K3*N3</f>
        <v>3.9420000000000002</v>
      </c>
    </row>
    <row r="4" spans="1:17" x14ac:dyDescent="0.25">
      <c r="A4" t="s">
        <v>40</v>
      </c>
      <c r="B4" t="str">
        <f t="shared" si="0"/>
        <v>19C09G7</v>
      </c>
      <c r="C4" t="s">
        <v>41</v>
      </c>
      <c r="D4" t="s">
        <v>18</v>
      </c>
      <c r="E4" t="s">
        <v>19</v>
      </c>
      <c r="F4" t="s">
        <v>100</v>
      </c>
      <c r="G4" t="s">
        <v>20</v>
      </c>
      <c r="H4" t="s">
        <v>27</v>
      </c>
      <c r="I4">
        <v>20250601</v>
      </c>
      <c r="J4">
        <v>20250621</v>
      </c>
      <c r="K4">
        <v>41</v>
      </c>
      <c r="L4" t="s">
        <v>23</v>
      </c>
      <c r="M4" t="s">
        <v>24</v>
      </c>
      <c r="N4" s="1">
        <v>0.1</v>
      </c>
      <c r="O4">
        <v>4.0999999999999996</v>
      </c>
      <c r="P4" t="s">
        <v>97</v>
      </c>
      <c r="Q4">
        <f t="shared" si="1"/>
        <v>4.1000000000000005</v>
      </c>
    </row>
    <row r="5" spans="1:17" x14ac:dyDescent="0.25">
      <c r="A5" t="s">
        <v>42</v>
      </c>
      <c r="B5" t="str">
        <f t="shared" si="0"/>
        <v>1Y207E7</v>
      </c>
      <c r="C5" t="s">
        <v>43</v>
      </c>
      <c r="D5" t="s">
        <v>18</v>
      </c>
      <c r="E5" t="s">
        <v>19</v>
      </c>
      <c r="F5" t="s">
        <v>100</v>
      </c>
      <c r="G5" t="s">
        <v>20</v>
      </c>
      <c r="H5" t="s">
        <v>22</v>
      </c>
      <c r="I5">
        <v>20250601</v>
      </c>
      <c r="J5">
        <v>20250621</v>
      </c>
      <c r="K5">
        <v>25.01</v>
      </c>
      <c r="L5" t="s">
        <v>23</v>
      </c>
      <c r="M5" t="s">
        <v>24</v>
      </c>
      <c r="N5" s="1">
        <v>0.1</v>
      </c>
      <c r="O5">
        <v>2.5</v>
      </c>
      <c r="P5" t="s">
        <v>97</v>
      </c>
      <c r="Q5">
        <f t="shared" si="1"/>
        <v>2.5010000000000003</v>
      </c>
    </row>
    <row r="6" spans="1:17" x14ac:dyDescent="0.25">
      <c r="A6" t="s">
        <v>44</v>
      </c>
      <c r="B6" t="str">
        <f t="shared" si="0"/>
        <v>22C81W7</v>
      </c>
      <c r="C6" t="s">
        <v>45</v>
      </c>
      <c r="D6" t="s">
        <v>18</v>
      </c>
      <c r="E6" t="s">
        <v>19</v>
      </c>
      <c r="F6" t="s">
        <v>100</v>
      </c>
      <c r="G6" t="s">
        <v>20</v>
      </c>
      <c r="H6" t="s">
        <v>27</v>
      </c>
      <c r="I6">
        <v>20250601</v>
      </c>
      <c r="J6">
        <v>20250621</v>
      </c>
      <c r="K6">
        <v>77</v>
      </c>
      <c r="L6" t="s">
        <v>23</v>
      </c>
      <c r="M6" t="s">
        <v>24</v>
      </c>
      <c r="N6" s="1">
        <v>0.1</v>
      </c>
      <c r="O6">
        <v>7.7</v>
      </c>
      <c r="P6" t="s">
        <v>97</v>
      </c>
      <c r="Q6">
        <f t="shared" si="1"/>
        <v>7.7</v>
      </c>
    </row>
    <row r="7" spans="1:17" x14ac:dyDescent="0.25">
      <c r="A7" t="s">
        <v>54</v>
      </c>
      <c r="B7" t="str">
        <f t="shared" si="0"/>
        <v>36H0M77</v>
      </c>
      <c r="C7" t="s">
        <v>55</v>
      </c>
      <c r="D7" t="s">
        <v>18</v>
      </c>
      <c r="E7" t="s">
        <v>19</v>
      </c>
      <c r="F7" t="s">
        <v>100</v>
      </c>
      <c r="G7" t="s">
        <v>20</v>
      </c>
      <c r="H7" t="s">
        <v>27</v>
      </c>
      <c r="I7">
        <v>20250601</v>
      </c>
      <c r="J7">
        <v>20250621</v>
      </c>
      <c r="K7">
        <v>79.55</v>
      </c>
      <c r="L7" t="s">
        <v>23</v>
      </c>
      <c r="M7" t="s">
        <v>24</v>
      </c>
      <c r="N7" s="1">
        <v>0.1</v>
      </c>
      <c r="O7">
        <v>7.96</v>
      </c>
      <c r="P7" t="s">
        <v>97</v>
      </c>
      <c r="Q7">
        <f t="shared" si="1"/>
        <v>7.9550000000000001</v>
      </c>
    </row>
    <row r="8" spans="1:17" x14ac:dyDescent="0.25">
      <c r="A8" t="s">
        <v>56</v>
      </c>
      <c r="B8" t="str">
        <f t="shared" si="0"/>
        <v>36H9M67</v>
      </c>
      <c r="C8" t="s">
        <v>57</v>
      </c>
      <c r="D8" t="s">
        <v>18</v>
      </c>
      <c r="E8" t="s">
        <v>19</v>
      </c>
      <c r="F8" t="s">
        <v>100</v>
      </c>
      <c r="G8" t="s">
        <v>20</v>
      </c>
      <c r="H8" t="s">
        <v>27</v>
      </c>
      <c r="I8">
        <v>20250601</v>
      </c>
      <c r="J8">
        <v>20250621</v>
      </c>
      <c r="K8">
        <v>112.7</v>
      </c>
      <c r="L8" t="s">
        <v>23</v>
      </c>
      <c r="M8" t="s">
        <v>24</v>
      </c>
      <c r="N8" s="1">
        <v>0.1</v>
      </c>
      <c r="O8">
        <v>11.27</v>
      </c>
      <c r="P8" t="s">
        <v>97</v>
      </c>
      <c r="Q8">
        <f t="shared" si="1"/>
        <v>11.270000000000001</v>
      </c>
    </row>
    <row r="9" spans="1:17" x14ac:dyDescent="0.25">
      <c r="A9" t="s">
        <v>58</v>
      </c>
      <c r="B9" t="str">
        <f t="shared" si="0"/>
        <v>37H4M87</v>
      </c>
      <c r="C9" t="s">
        <v>59</v>
      </c>
      <c r="D9" t="s">
        <v>18</v>
      </c>
      <c r="E9" t="s">
        <v>19</v>
      </c>
      <c r="F9" t="s">
        <v>100</v>
      </c>
      <c r="G9" t="s">
        <v>20</v>
      </c>
      <c r="H9" t="s">
        <v>27</v>
      </c>
      <c r="I9">
        <v>20250601</v>
      </c>
      <c r="J9">
        <v>20250621</v>
      </c>
      <c r="K9">
        <v>52</v>
      </c>
      <c r="L9" t="s">
        <v>23</v>
      </c>
      <c r="M9" t="s">
        <v>24</v>
      </c>
      <c r="N9" s="1">
        <v>0.1</v>
      </c>
      <c r="O9">
        <v>5.2</v>
      </c>
      <c r="P9" t="s">
        <v>97</v>
      </c>
      <c r="Q9">
        <f t="shared" si="1"/>
        <v>5.2</v>
      </c>
    </row>
    <row r="10" spans="1:17" x14ac:dyDescent="0.25">
      <c r="A10" t="s">
        <v>60</v>
      </c>
      <c r="B10" t="str">
        <f t="shared" si="0"/>
        <v>37H4M97</v>
      </c>
      <c r="C10" t="s">
        <v>61</v>
      </c>
      <c r="D10" t="s">
        <v>18</v>
      </c>
      <c r="E10" t="s">
        <v>19</v>
      </c>
      <c r="F10" t="s">
        <v>100</v>
      </c>
      <c r="G10" t="s">
        <v>20</v>
      </c>
      <c r="H10" t="s">
        <v>27</v>
      </c>
      <c r="I10">
        <v>20250601</v>
      </c>
      <c r="J10">
        <v>20250621</v>
      </c>
      <c r="K10">
        <v>43</v>
      </c>
      <c r="L10" t="s">
        <v>23</v>
      </c>
      <c r="M10" t="s">
        <v>24</v>
      </c>
      <c r="N10" s="1">
        <v>0.1</v>
      </c>
      <c r="O10">
        <v>4.3</v>
      </c>
      <c r="P10" t="s">
        <v>97</v>
      </c>
      <c r="Q10">
        <f t="shared" si="1"/>
        <v>4.3</v>
      </c>
    </row>
    <row r="11" spans="1:17" x14ac:dyDescent="0.25">
      <c r="A11" t="s">
        <v>62</v>
      </c>
      <c r="B11" t="str">
        <f t="shared" si="0"/>
        <v>38H6M67</v>
      </c>
      <c r="C11" t="s">
        <v>63</v>
      </c>
      <c r="D11" t="s">
        <v>18</v>
      </c>
      <c r="E11" t="s">
        <v>19</v>
      </c>
      <c r="F11" t="s">
        <v>100</v>
      </c>
      <c r="G11" t="s">
        <v>20</v>
      </c>
      <c r="H11" t="s">
        <v>27</v>
      </c>
      <c r="I11">
        <v>20250601</v>
      </c>
      <c r="J11">
        <v>20250621</v>
      </c>
      <c r="K11">
        <v>145.85</v>
      </c>
      <c r="L11" t="s">
        <v>23</v>
      </c>
      <c r="M11" t="s">
        <v>24</v>
      </c>
      <c r="N11" s="1">
        <v>0.1</v>
      </c>
      <c r="O11">
        <v>14.59</v>
      </c>
      <c r="P11" t="s">
        <v>97</v>
      </c>
      <c r="Q11">
        <f t="shared" si="1"/>
        <v>14.585000000000001</v>
      </c>
    </row>
    <row r="12" spans="1:17" x14ac:dyDescent="0.25">
      <c r="A12" t="s">
        <v>64</v>
      </c>
      <c r="B12" t="str">
        <f t="shared" si="0"/>
        <v>39H0M37</v>
      </c>
      <c r="C12" t="s">
        <v>65</v>
      </c>
      <c r="D12" t="s">
        <v>18</v>
      </c>
      <c r="E12" t="s">
        <v>19</v>
      </c>
      <c r="F12" t="s">
        <v>100</v>
      </c>
      <c r="G12" t="s">
        <v>20</v>
      </c>
      <c r="H12" t="s">
        <v>27</v>
      </c>
      <c r="I12">
        <v>20250601</v>
      </c>
      <c r="J12">
        <v>20250621</v>
      </c>
      <c r="K12">
        <v>43</v>
      </c>
      <c r="L12" t="s">
        <v>23</v>
      </c>
      <c r="M12" t="s">
        <v>24</v>
      </c>
      <c r="N12" s="1">
        <v>0.1</v>
      </c>
      <c r="O12">
        <v>4.3</v>
      </c>
      <c r="P12" t="s">
        <v>97</v>
      </c>
      <c r="Q12">
        <f t="shared" si="1"/>
        <v>4.3</v>
      </c>
    </row>
    <row r="13" spans="1:17" x14ac:dyDescent="0.25">
      <c r="A13" t="s">
        <v>70</v>
      </c>
      <c r="B13" t="str">
        <f t="shared" si="0"/>
        <v>63K9V77</v>
      </c>
      <c r="C13" t="s">
        <v>71</v>
      </c>
      <c r="D13" t="s">
        <v>18</v>
      </c>
      <c r="E13" t="s">
        <v>19</v>
      </c>
      <c r="F13" t="s">
        <v>100</v>
      </c>
      <c r="G13" t="s">
        <v>20</v>
      </c>
      <c r="H13" t="s">
        <v>27</v>
      </c>
      <c r="I13">
        <v>20250601</v>
      </c>
      <c r="J13">
        <v>20250621</v>
      </c>
      <c r="K13">
        <v>70.3</v>
      </c>
      <c r="L13" t="s">
        <v>23</v>
      </c>
      <c r="M13" t="s">
        <v>24</v>
      </c>
      <c r="N13" s="1">
        <v>0.1</v>
      </c>
      <c r="O13">
        <v>7.03</v>
      </c>
      <c r="P13" t="s">
        <v>97</v>
      </c>
      <c r="Q13">
        <f t="shared" si="1"/>
        <v>7.03</v>
      </c>
    </row>
    <row r="14" spans="1:17" x14ac:dyDescent="0.25">
      <c r="A14" t="s">
        <v>76</v>
      </c>
      <c r="B14" t="str">
        <f t="shared" si="0"/>
        <v>76H3P57</v>
      </c>
      <c r="C14" t="s">
        <v>77</v>
      </c>
      <c r="D14" t="s">
        <v>18</v>
      </c>
      <c r="E14" t="s">
        <v>19</v>
      </c>
      <c r="F14" t="s">
        <v>100</v>
      </c>
      <c r="G14" t="s">
        <v>20</v>
      </c>
      <c r="H14" t="s">
        <v>27</v>
      </c>
      <c r="I14">
        <v>20250601</v>
      </c>
      <c r="J14">
        <v>20250621</v>
      </c>
      <c r="K14">
        <v>76.150000000000006</v>
      </c>
      <c r="L14" t="s">
        <v>23</v>
      </c>
      <c r="M14" t="s">
        <v>24</v>
      </c>
      <c r="N14" s="1">
        <v>0.1</v>
      </c>
      <c r="O14">
        <v>7.62</v>
      </c>
      <c r="P14" t="s">
        <v>97</v>
      </c>
      <c r="Q14">
        <f t="shared" si="1"/>
        <v>7.6150000000000011</v>
      </c>
    </row>
    <row r="15" spans="1:17" x14ac:dyDescent="0.25">
      <c r="A15" t="s">
        <v>78</v>
      </c>
      <c r="B15" t="str">
        <f t="shared" si="0"/>
        <v>79A4G57</v>
      </c>
      <c r="C15" t="s">
        <v>79</v>
      </c>
      <c r="D15" t="s">
        <v>18</v>
      </c>
      <c r="E15" t="s">
        <v>19</v>
      </c>
      <c r="F15" t="s">
        <v>100</v>
      </c>
      <c r="G15" t="s">
        <v>20</v>
      </c>
      <c r="H15" t="s">
        <v>27</v>
      </c>
      <c r="I15">
        <v>20250601</v>
      </c>
      <c r="J15">
        <v>20250621</v>
      </c>
      <c r="K15">
        <v>114.31</v>
      </c>
      <c r="L15" t="s">
        <v>23</v>
      </c>
      <c r="M15" t="s">
        <v>24</v>
      </c>
      <c r="N15" s="1">
        <v>0.1</v>
      </c>
      <c r="O15">
        <v>11.43</v>
      </c>
      <c r="P15" t="s">
        <v>97</v>
      </c>
      <c r="Q15">
        <f t="shared" si="1"/>
        <v>11.431000000000001</v>
      </c>
    </row>
    <row r="16" spans="1:17" x14ac:dyDescent="0.25">
      <c r="A16" t="s">
        <v>80</v>
      </c>
      <c r="B16" t="str">
        <f t="shared" si="0"/>
        <v>82JG057</v>
      </c>
      <c r="C16" t="s">
        <v>81</v>
      </c>
      <c r="D16" t="s">
        <v>18</v>
      </c>
      <c r="E16" t="s">
        <v>19</v>
      </c>
      <c r="F16" t="s">
        <v>100</v>
      </c>
      <c r="G16" t="s">
        <v>20</v>
      </c>
      <c r="H16" t="s">
        <v>27</v>
      </c>
      <c r="I16">
        <v>20250601</v>
      </c>
      <c r="J16">
        <v>20250621</v>
      </c>
      <c r="K16">
        <v>85.15</v>
      </c>
      <c r="L16" t="s">
        <v>23</v>
      </c>
      <c r="M16" t="s">
        <v>24</v>
      </c>
      <c r="N16" s="1">
        <v>0.1</v>
      </c>
      <c r="O16">
        <v>8.52</v>
      </c>
      <c r="P16" t="s">
        <v>97</v>
      </c>
      <c r="Q16">
        <f t="shared" si="1"/>
        <v>8.5150000000000006</v>
      </c>
    </row>
    <row r="17" spans="1:17" x14ac:dyDescent="0.25">
      <c r="A17" t="s">
        <v>84</v>
      </c>
      <c r="B17" t="str">
        <f t="shared" si="0"/>
        <v>88GC667</v>
      </c>
      <c r="C17" t="s">
        <v>85</v>
      </c>
      <c r="D17" t="s">
        <v>18</v>
      </c>
      <c r="E17" t="s">
        <v>19</v>
      </c>
      <c r="F17" t="s">
        <v>100</v>
      </c>
      <c r="G17" t="s">
        <v>20</v>
      </c>
      <c r="H17" t="s">
        <v>27</v>
      </c>
      <c r="I17">
        <v>20250601</v>
      </c>
      <c r="J17">
        <v>20250621</v>
      </c>
      <c r="K17">
        <v>68.3</v>
      </c>
      <c r="L17" t="s">
        <v>23</v>
      </c>
      <c r="M17" t="s">
        <v>24</v>
      </c>
      <c r="N17" s="1">
        <v>0.1</v>
      </c>
      <c r="O17">
        <v>6.83</v>
      </c>
      <c r="P17" t="s">
        <v>97</v>
      </c>
      <c r="Q17">
        <f t="shared" si="1"/>
        <v>6.83</v>
      </c>
    </row>
    <row r="18" spans="1:17" x14ac:dyDescent="0.25">
      <c r="A18" t="s">
        <v>25</v>
      </c>
      <c r="B18" t="str">
        <f t="shared" si="0"/>
        <v>09L0F97</v>
      </c>
      <c r="C18" t="s">
        <v>26</v>
      </c>
      <c r="D18" t="s">
        <v>18</v>
      </c>
      <c r="E18" t="s">
        <v>19</v>
      </c>
      <c r="F18">
        <v>17425766</v>
      </c>
      <c r="G18" t="s">
        <v>20</v>
      </c>
      <c r="H18" t="s">
        <v>27</v>
      </c>
      <c r="I18">
        <v>20250601</v>
      </c>
      <c r="J18">
        <v>20250621</v>
      </c>
      <c r="K18">
        <v>142.44999999999999</v>
      </c>
      <c r="L18" t="s">
        <v>23</v>
      </c>
      <c r="M18" t="s">
        <v>24</v>
      </c>
      <c r="N18" s="1">
        <v>0.2</v>
      </c>
      <c r="O18">
        <v>28.49</v>
      </c>
      <c r="P18" t="s">
        <v>97</v>
      </c>
      <c r="Q18">
        <f t="shared" si="1"/>
        <v>28.49</v>
      </c>
    </row>
    <row r="19" spans="1:17" x14ac:dyDescent="0.25">
      <c r="A19" t="s">
        <v>37</v>
      </c>
      <c r="B19" t="str">
        <f t="shared" si="0"/>
        <v>13L90K7</v>
      </c>
      <c r="C19" t="s">
        <v>38</v>
      </c>
      <c r="D19" t="s">
        <v>18</v>
      </c>
      <c r="E19" t="s">
        <v>19</v>
      </c>
      <c r="F19">
        <v>17425766</v>
      </c>
      <c r="G19" t="s">
        <v>20</v>
      </c>
      <c r="H19" t="s">
        <v>39</v>
      </c>
      <c r="I19">
        <v>20250601</v>
      </c>
      <c r="J19">
        <v>20250621</v>
      </c>
      <c r="K19">
        <v>43</v>
      </c>
      <c r="L19" t="s">
        <v>23</v>
      </c>
      <c r="M19" t="s">
        <v>24</v>
      </c>
      <c r="N19" s="1">
        <v>0.2</v>
      </c>
      <c r="O19">
        <v>8.6</v>
      </c>
      <c r="P19" t="s">
        <v>97</v>
      </c>
      <c r="Q19">
        <f t="shared" si="1"/>
        <v>8.6</v>
      </c>
    </row>
    <row r="20" spans="1:17" x14ac:dyDescent="0.25">
      <c r="A20" t="s">
        <v>46</v>
      </c>
      <c r="B20" t="str">
        <f t="shared" si="0"/>
        <v>24L45K7</v>
      </c>
      <c r="C20" t="s">
        <v>47</v>
      </c>
      <c r="D20" t="s">
        <v>18</v>
      </c>
      <c r="E20" t="s">
        <v>19</v>
      </c>
      <c r="F20">
        <v>17425766</v>
      </c>
      <c r="G20" t="s">
        <v>20</v>
      </c>
      <c r="H20" t="s">
        <v>27</v>
      </c>
      <c r="I20">
        <v>20250601</v>
      </c>
      <c r="J20">
        <v>20250621</v>
      </c>
      <c r="K20">
        <v>52.29</v>
      </c>
      <c r="L20" t="s">
        <v>23</v>
      </c>
      <c r="M20" t="s">
        <v>24</v>
      </c>
      <c r="N20" s="1">
        <v>0.2</v>
      </c>
      <c r="O20">
        <v>10.46</v>
      </c>
      <c r="P20" t="s">
        <v>97</v>
      </c>
      <c r="Q20">
        <f t="shared" si="1"/>
        <v>10.458</v>
      </c>
    </row>
    <row r="21" spans="1:17" x14ac:dyDescent="0.25">
      <c r="A21" t="s">
        <v>48</v>
      </c>
      <c r="B21" t="str">
        <f t="shared" si="0"/>
        <v>33L80Y7</v>
      </c>
      <c r="C21" t="s">
        <v>49</v>
      </c>
      <c r="D21" t="s">
        <v>18</v>
      </c>
      <c r="E21" t="s">
        <v>19</v>
      </c>
      <c r="F21">
        <v>17425766</v>
      </c>
      <c r="G21" t="s">
        <v>20</v>
      </c>
      <c r="H21" t="s">
        <v>27</v>
      </c>
      <c r="I21">
        <v>20250601</v>
      </c>
      <c r="J21">
        <v>20250621</v>
      </c>
      <c r="K21">
        <v>36.92</v>
      </c>
      <c r="L21" t="s">
        <v>23</v>
      </c>
      <c r="M21" t="s">
        <v>24</v>
      </c>
      <c r="N21" s="1">
        <v>0.2</v>
      </c>
      <c r="O21">
        <v>7.38</v>
      </c>
      <c r="P21" t="s">
        <v>97</v>
      </c>
      <c r="Q21">
        <f t="shared" si="1"/>
        <v>7.3840000000000003</v>
      </c>
    </row>
    <row r="22" spans="1:17" x14ac:dyDescent="0.25">
      <c r="A22" t="s">
        <v>50</v>
      </c>
      <c r="B22" t="str">
        <f>CONCATENATE(A22,8)</f>
        <v>35L86T8</v>
      </c>
      <c r="C22" t="s">
        <v>51</v>
      </c>
      <c r="D22" t="s">
        <v>18</v>
      </c>
      <c r="E22" t="s">
        <v>52</v>
      </c>
      <c r="F22">
        <v>16865615</v>
      </c>
      <c r="G22" t="s">
        <v>20</v>
      </c>
      <c r="H22" t="s">
        <v>53</v>
      </c>
      <c r="I22">
        <v>20250601</v>
      </c>
      <c r="J22">
        <v>20250621</v>
      </c>
      <c r="K22">
        <v>135.13999999999999</v>
      </c>
      <c r="L22" t="s">
        <v>23</v>
      </c>
      <c r="M22" t="s">
        <v>24</v>
      </c>
      <c r="N22" s="1">
        <v>0.2</v>
      </c>
      <c r="O22">
        <v>27.03</v>
      </c>
      <c r="P22" t="s">
        <v>97</v>
      </c>
      <c r="Q22">
        <f t="shared" si="1"/>
        <v>27.027999999999999</v>
      </c>
    </row>
    <row r="23" spans="1:17" x14ac:dyDescent="0.25">
      <c r="A23" t="s">
        <v>66</v>
      </c>
      <c r="B23" t="str">
        <f t="shared" ref="B23:B27" si="2">CONCATENATE(A23,8)</f>
        <v>56M9L58</v>
      </c>
      <c r="C23" t="s">
        <v>67</v>
      </c>
      <c r="D23" t="s">
        <v>18</v>
      </c>
      <c r="E23" t="s">
        <v>68</v>
      </c>
      <c r="F23">
        <v>18754354</v>
      </c>
      <c r="G23" t="s">
        <v>20</v>
      </c>
      <c r="H23" t="s">
        <v>69</v>
      </c>
      <c r="I23">
        <v>20250601</v>
      </c>
      <c r="J23">
        <v>20250621</v>
      </c>
      <c r="K23">
        <v>120.17</v>
      </c>
      <c r="L23" t="s">
        <v>23</v>
      </c>
      <c r="M23" t="s">
        <v>24</v>
      </c>
      <c r="N23" s="1">
        <v>0.2</v>
      </c>
      <c r="O23">
        <v>24.03</v>
      </c>
      <c r="P23" t="s">
        <v>97</v>
      </c>
      <c r="Q23">
        <f t="shared" si="1"/>
        <v>24.034000000000002</v>
      </c>
    </row>
    <row r="24" spans="1:17" x14ac:dyDescent="0.25">
      <c r="A24" t="s">
        <v>72</v>
      </c>
      <c r="B24" t="str">
        <f t="shared" si="2"/>
        <v>69M79F8</v>
      </c>
      <c r="C24" t="s">
        <v>73</v>
      </c>
      <c r="D24" t="s">
        <v>18</v>
      </c>
      <c r="E24" t="s">
        <v>74</v>
      </c>
      <c r="F24">
        <v>16633294</v>
      </c>
      <c r="G24" t="s">
        <v>20</v>
      </c>
      <c r="H24" t="s">
        <v>75</v>
      </c>
      <c r="I24">
        <v>20250601</v>
      </c>
      <c r="J24">
        <v>20250621</v>
      </c>
      <c r="K24">
        <v>200.63</v>
      </c>
      <c r="L24" t="s">
        <v>23</v>
      </c>
      <c r="M24" t="s">
        <v>24</v>
      </c>
      <c r="N24" s="1">
        <v>0.2</v>
      </c>
      <c r="O24">
        <v>40.130000000000003</v>
      </c>
      <c r="P24" t="s">
        <v>97</v>
      </c>
      <c r="Q24">
        <f t="shared" si="1"/>
        <v>40.126000000000005</v>
      </c>
    </row>
    <row r="25" spans="1:17" x14ac:dyDescent="0.25">
      <c r="A25" t="s">
        <v>82</v>
      </c>
      <c r="B25" t="str">
        <f t="shared" si="2"/>
        <v>85L9M58</v>
      </c>
      <c r="C25" t="s">
        <v>83</v>
      </c>
      <c r="D25" t="s">
        <v>18</v>
      </c>
      <c r="E25" t="s">
        <v>52</v>
      </c>
      <c r="F25">
        <v>16865615</v>
      </c>
      <c r="G25" t="s">
        <v>20</v>
      </c>
      <c r="H25" t="s">
        <v>53</v>
      </c>
      <c r="I25">
        <v>20250601</v>
      </c>
      <c r="J25">
        <v>20250621</v>
      </c>
      <c r="K25">
        <v>34.04</v>
      </c>
      <c r="L25" t="s">
        <v>23</v>
      </c>
      <c r="M25" t="s">
        <v>24</v>
      </c>
      <c r="N25" s="1">
        <v>0.2</v>
      </c>
      <c r="O25">
        <v>6.81</v>
      </c>
      <c r="P25" t="s">
        <v>97</v>
      </c>
      <c r="Q25">
        <f t="shared" si="1"/>
        <v>6.8079999999999998</v>
      </c>
    </row>
    <row r="26" spans="1:17" x14ac:dyDescent="0.25">
      <c r="A26" t="s">
        <v>86</v>
      </c>
      <c r="B26" t="str">
        <f t="shared" si="2"/>
        <v>89MQ998</v>
      </c>
      <c r="C26" t="s">
        <v>87</v>
      </c>
      <c r="D26" t="s">
        <v>18</v>
      </c>
      <c r="E26" t="s">
        <v>19</v>
      </c>
      <c r="F26">
        <v>17425766</v>
      </c>
      <c r="G26" t="s">
        <v>20</v>
      </c>
      <c r="H26" t="s">
        <v>27</v>
      </c>
      <c r="I26">
        <v>20250601</v>
      </c>
      <c r="J26">
        <v>20250621</v>
      </c>
      <c r="K26">
        <v>43</v>
      </c>
      <c r="L26" t="s">
        <v>23</v>
      </c>
      <c r="M26" t="s">
        <v>24</v>
      </c>
      <c r="N26" s="1">
        <v>0.2</v>
      </c>
      <c r="O26">
        <v>8.6</v>
      </c>
      <c r="P26" t="s">
        <v>97</v>
      </c>
      <c r="Q26">
        <f t="shared" si="1"/>
        <v>8.6</v>
      </c>
    </row>
    <row r="27" spans="1:17" x14ac:dyDescent="0.25">
      <c r="A27" t="s">
        <v>88</v>
      </c>
      <c r="B27" t="str">
        <f t="shared" si="2"/>
        <v>96L3R88</v>
      </c>
      <c r="C27" t="s">
        <v>89</v>
      </c>
      <c r="D27" t="s">
        <v>18</v>
      </c>
      <c r="E27" t="s">
        <v>19</v>
      </c>
      <c r="F27">
        <v>17425766</v>
      </c>
      <c r="G27" t="s">
        <v>20</v>
      </c>
      <c r="H27" t="s">
        <v>90</v>
      </c>
      <c r="I27">
        <v>20250601</v>
      </c>
      <c r="J27">
        <v>20250621</v>
      </c>
      <c r="K27">
        <v>54</v>
      </c>
      <c r="L27" t="s">
        <v>23</v>
      </c>
      <c r="M27" t="s">
        <v>24</v>
      </c>
      <c r="N27" s="1">
        <v>0.2</v>
      </c>
      <c r="O27">
        <v>10.8</v>
      </c>
      <c r="P27" t="s">
        <v>97</v>
      </c>
      <c r="Q27">
        <f t="shared" si="1"/>
        <v>10.8</v>
      </c>
    </row>
    <row r="28" spans="1:17" x14ac:dyDescent="0.25">
      <c r="A28" t="s">
        <v>91</v>
      </c>
      <c r="B28" t="str">
        <f>CONCATENATE(A28,2)</f>
        <v>97MT872</v>
      </c>
      <c r="C28" t="s">
        <v>92</v>
      </c>
      <c r="D28" t="s">
        <v>93</v>
      </c>
      <c r="E28" t="s">
        <v>94</v>
      </c>
      <c r="F28">
        <v>6634327</v>
      </c>
      <c r="G28" t="s">
        <v>32</v>
      </c>
      <c r="H28" t="s">
        <v>53</v>
      </c>
      <c r="I28">
        <v>20250601</v>
      </c>
      <c r="J28">
        <v>20250621</v>
      </c>
      <c r="K28">
        <v>1</v>
      </c>
      <c r="L28" t="s">
        <v>95</v>
      </c>
      <c r="N28" s="2">
        <v>20</v>
      </c>
      <c r="O28">
        <v>20</v>
      </c>
      <c r="P28" t="s">
        <v>98</v>
      </c>
    </row>
    <row r="29" spans="1:17" x14ac:dyDescent="0.25">
      <c r="A29" t="s">
        <v>28</v>
      </c>
      <c r="B29" t="str">
        <f>CONCATENATE(A29,2)</f>
        <v>0W486R2</v>
      </c>
      <c r="C29" t="s">
        <v>29</v>
      </c>
      <c r="D29" t="s">
        <v>30</v>
      </c>
      <c r="E29" t="s">
        <v>31</v>
      </c>
      <c r="F29">
        <v>20436925</v>
      </c>
      <c r="G29" t="s">
        <v>32</v>
      </c>
      <c r="H29" t="s">
        <v>33</v>
      </c>
      <c r="I29">
        <v>20250601</v>
      </c>
      <c r="J29">
        <v>20250621</v>
      </c>
      <c r="K29">
        <v>1</v>
      </c>
      <c r="L29" t="s">
        <v>34</v>
      </c>
      <c r="M29" t="s">
        <v>96</v>
      </c>
      <c r="N29" s="2">
        <v>25</v>
      </c>
      <c r="O29">
        <v>50</v>
      </c>
      <c r="P29" t="s">
        <v>99</v>
      </c>
    </row>
  </sheetData>
  <sortState xmlns:xlrd2="http://schemas.microsoft.com/office/spreadsheetml/2017/richdata2" ref="A2:Q29">
    <sortCondition ref="N2:N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export-554662-20250621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2025-07-09T13:53:39Z</dcterms:created>
  <dcterms:modified xsi:type="dcterms:W3CDTF">2025-07-09T14:14:15Z</dcterms:modified>
</cp:coreProperties>
</file>