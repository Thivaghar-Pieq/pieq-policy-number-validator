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5-20-25\"/>
    </mc:Choice>
  </mc:AlternateContent>
  <xr:revisionPtr revIDLastSave="0" documentId="13_ncr:1_{13F47648-F91D-405F-BE5F-587D0EA4C4F0}" xr6:coauthVersionLast="47" xr6:coauthVersionMax="47" xr10:uidLastSave="{00000000-0000-0000-0000-000000000000}"/>
  <bookViews>
    <workbookView xWindow="-57720" yWindow="-45" windowWidth="29040" windowHeight="15720" activeTab="1" xr2:uid="{69680C10-B1E3-40A4-87F7-393929793CED}"/>
  </bookViews>
  <sheets>
    <sheet name="export-554662-20250520" sheetId="1" r:id="rId1"/>
    <sheet name="clean data" sheetId="2" r:id="rId2"/>
    <sheet name="Sheet2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1" i="3"/>
  <c r="B1" i="3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<sst xmlns="http://schemas.openxmlformats.org/spreadsheetml/2006/main" count="705" uniqueCount="148">
  <si>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</si>
  <si>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</si>
  <si>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</si>
  <si>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</si>
  <si>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</si>
  <si>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</si>
  <si>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</si>
  <si>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</si>
  <si>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</si>
  <si>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</si>
  <si>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</si>
  <si>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</si>
  <si>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</si>
  <si>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</si>
  <si>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</si>
  <si>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</si>
  <si>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</si>
  <si>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</si>
  <si>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</si>
  <si>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</si>
  <si>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</si>
  <si>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</si>
  <si>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</si>
  <si>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</si>
  <si>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</si>
  <si>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09L0F9</t>
  </si>
  <si>
    <t>POPE, TIMOTHY</t>
  </si>
  <si>
    <t>PA</t>
  </si>
  <si>
    <t>0W486R</t>
  </si>
  <si>
    <t>MARTIN, BENNY</t>
  </si>
  <si>
    <t>Medical, HMO1</t>
  </si>
  <si>
    <t>ASHLEY TEIPEL</t>
  </si>
  <si>
    <t>PMPM</t>
  </si>
  <si>
    <t>TX</t>
  </si>
  <si>
    <t>X, SP</t>
  </si>
  <si>
    <t>11EQ73</t>
  </si>
  <si>
    <t>POETA, JULIA</t>
  </si>
  <si>
    <t>13L90K</t>
  </si>
  <si>
    <t>BRAMBLEY, JEANNE</t>
  </si>
  <si>
    <t>NJ</t>
  </si>
  <si>
    <t>19C09G</t>
  </si>
  <si>
    <t>GUCCIONE, ROBERT</t>
  </si>
  <si>
    <t>1Y207E</t>
  </si>
  <si>
    <t>FOLEY, CAROL</t>
  </si>
  <si>
    <t>22C81W</t>
  </si>
  <si>
    <t>TISSERAND, CAROL</t>
  </si>
  <si>
    <t>24L45K</t>
  </si>
  <si>
    <t>KERN, CATHERINE</t>
  </si>
  <si>
    <t>35L86T</t>
  </si>
  <si>
    <t>VILANUEVA, JOHANI</t>
  </si>
  <si>
    <t>HEATHER GESKE</t>
  </si>
  <si>
    <t>CO</t>
  </si>
  <si>
    <t>36H0M7</t>
  </si>
  <si>
    <t>BALAWAJDER, TERESA</t>
  </si>
  <si>
    <t>36H9M6</t>
  </si>
  <si>
    <t>CAUTILLI, JOSEPH</t>
  </si>
  <si>
    <t>37H4M8</t>
  </si>
  <si>
    <t>POWER, WILLIAM</t>
  </si>
  <si>
    <t>37H4M9</t>
  </si>
  <si>
    <t>SUMMERS, DANIELLE</t>
  </si>
  <si>
    <t>38H6M6</t>
  </si>
  <si>
    <t>SANTILLI, LYNN</t>
  </si>
  <si>
    <t>39H0M3</t>
  </si>
  <si>
    <t>DERON, JOE</t>
  </si>
  <si>
    <t>56L91L</t>
  </si>
  <si>
    <t>FLYNN, DARWIN</t>
  </si>
  <si>
    <t>MATTHEW DAUGHERTY</t>
  </si>
  <si>
    <t>X, CP</t>
  </si>
  <si>
    <t>56M9L5</t>
  </si>
  <si>
    <t>NABOR, JODI</t>
  </si>
  <si>
    <t>JACOB YALE</t>
  </si>
  <si>
    <t>IL</t>
  </si>
  <si>
    <t>63K9V7</t>
  </si>
  <si>
    <t>GODWIN, LYNDA</t>
  </si>
  <si>
    <t>65MP81</t>
  </si>
  <si>
    <t>DRUMHELLER, GARY</t>
  </si>
  <si>
    <t>69M79F</t>
  </si>
  <si>
    <t>BAUCOM, JONATHAN</t>
  </si>
  <si>
    <t>RICHARD YALE</t>
  </si>
  <si>
    <t>WI</t>
  </si>
  <si>
    <t>76H3P5</t>
  </si>
  <si>
    <t>HARVAN, ALBERT</t>
  </si>
  <si>
    <t>79A4G5</t>
  </si>
  <si>
    <t>SMITH, KRISTIN</t>
  </si>
  <si>
    <t>7Y95N8</t>
  </si>
  <si>
    <t>GAINES, SHERRY</t>
  </si>
  <si>
    <t>GA</t>
  </si>
  <si>
    <t>85L9M5</t>
  </si>
  <si>
    <t>ASEBEDO, ISRAEL</t>
  </si>
  <si>
    <t>88GC66</t>
  </si>
  <si>
    <t>BRESLIN, PATRICK</t>
  </si>
  <si>
    <t>89MQ99</t>
  </si>
  <si>
    <t>GEORGIOU, MARISSA</t>
  </si>
  <si>
    <t>96L3R8</t>
  </si>
  <si>
    <t>KRYGER, CHRISTOPHER</t>
  </si>
  <si>
    <t>OR</t>
  </si>
  <si>
    <t>97MT87</t>
  </si>
  <si>
    <t>HASSE, KATE</t>
  </si>
  <si>
    <t>Medical, HOAPIN</t>
  </si>
  <si>
    <t>JOEL LEE</t>
  </si>
  <si>
    <t>Agent ID</t>
  </si>
  <si>
    <t>Cigna DVH</t>
  </si>
  <si>
    <t>Cigna 2025 AZ, CO, IL</t>
  </si>
  <si>
    <t>Cigna Dental</t>
  </si>
  <si>
    <t>Cigna - TX</t>
  </si>
  <si>
    <t>3/1/2024</t>
  </si>
  <si>
    <t>12/1/2023</t>
  </si>
  <si>
    <t>2/1/2024</t>
  </si>
  <si>
    <t>7/1/2023</t>
  </si>
  <si>
    <t>1/1/2024</t>
  </si>
  <si>
    <t>9/1/2023</t>
  </si>
  <si>
    <t>8/1/2024</t>
  </si>
  <si>
    <t>9/1/2024</t>
  </si>
  <si>
    <t>6/1/2024</t>
  </si>
  <si>
    <t>7/1/2024</t>
  </si>
  <si>
    <t>1/1/2025</t>
  </si>
  <si>
    <t>effective date</t>
  </si>
  <si>
    <t>17425766old</t>
  </si>
  <si>
    <t>11EQ737</t>
  </si>
  <si>
    <t>01DT827</t>
  </si>
  <si>
    <t>19C09G7</t>
  </si>
  <si>
    <t>22C81W7</t>
  </si>
  <si>
    <t>88GC667</t>
  </si>
  <si>
    <t>36H0M77</t>
  </si>
  <si>
    <t>36H9M67</t>
  </si>
  <si>
    <t>39H0M37</t>
  </si>
  <si>
    <t>76H3P57</t>
  </si>
  <si>
    <t>37H4M87</t>
  </si>
  <si>
    <t>38H6M67</t>
  </si>
  <si>
    <t>37H4M97</t>
  </si>
  <si>
    <t>63K9V77</t>
  </si>
  <si>
    <t>1Y207E7</t>
  </si>
  <si>
    <t>7Y95N87</t>
  </si>
  <si>
    <t>09L0F97</t>
  </si>
  <si>
    <t>13L90K7</t>
  </si>
  <si>
    <t>24L45K7</t>
  </si>
  <si>
    <t>96L3R87</t>
  </si>
  <si>
    <t>79A4G57</t>
  </si>
  <si>
    <t>65MP817</t>
  </si>
  <si>
    <t>89MQ997</t>
  </si>
  <si>
    <t>85L9M57</t>
  </si>
  <si>
    <t>35L86T7</t>
  </si>
  <si>
    <t>56M9L57</t>
  </si>
  <si>
    <t>69M79F7</t>
  </si>
  <si>
    <t>97MT872</t>
  </si>
  <si>
    <t>0W486R2</t>
  </si>
  <si>
    <t>56L91L2</t>
  </si>
  <si>
    <t>[PMPM=2]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</si>
</sst>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6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Cigna\Book%20Of%20Business.xlsx" TargetMode="External"/><Relationship Id="rId1" Type="http://schemas.openxmlformats.org/officeDocument/2006/relationships/externalLinkPath" Target="/Shared%20drives/Main%20Line%20Benefits%20Office/Commissions/Commission%20Processing/Carrier%20Statements/Cigna/Book%20Of%20Busi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okOfBusinessExport-12062024"/>
      <sheetName val="Sheet2"/>
      <sheetName val="Sheet1"/>
    </sheetNames>
    <sheetDataSet>
      <sheetData sheetId="0" refreshError="1"/>
      <sheetData sheetId="1">
        <row r="1">
          <cell r="A1" t="str">
            <v>9U62X8</v>
          </cell>
          <cell r="B1" t="str">
            <v>1/1/2025</v>
          </cell>
        </row>
        <row r="2">
          <cell r="A2" t="str">
            <v>9U62X8</v>
          </cell>
          <cell r="B2" t="str">
            <v>1/1/2025</v>
          </cell>
        </row>
        <row r="3">
          <cell r="A3" t="str">
            <v>0W486R</v>
          </cell>
          <cell r="B3" t="str">
            <v>1/1/2025</v>
          </cell>
        </row>
        <row r="4">
          <cell r="A4" t="str">
            <v>35K3N1</v>
          </cell>
          <cell r="B4" t="str">
            <v>1/1/2025</v>
          </cell>
        </row>
        <row r="5">
          <cell r="A5" t="str">
            <v>35K3N1</v>
          </cell>
          <cell r="B5" t="str">
            <v>1/1/2025</v>
          </cell>
        </row>
        <row r="6">
          <cell r="A6" t="str">
            <v>76K74R</v>
          </cell>
          <cell r="B6" t="str">
            <v>1/1/2025</v>
          </cell>
        </row>
        <row r="7">
          <cell r="A7" t="str">
            <v>76K74R</v>
          </cell>
          <cell r="B7" t="str">
            <v>1/1/2025</v>
          </cell>
        </row>
        <row r="8">
          <cell r="A8" t="str">
            <v>2P53C9</v>
          </cell>
          <cell r="B8" t="str">
            <v>1/1/2025</v>
          </cell>
        </row>
        <row r="9">
          <cell r="A9" t="str">
            <v>34C9J5</v>
          </cell>
          <cell r="B9" t="str">
            <v>1/1/2025</v>
          </cell>
        </row>
        <row r="10">
          <cell r="A10" t="str">
            <v>34C9J5</v>
          </cell>
          <cell r="B10" t="str">
            <v>1/1/2025</v>
          </cell>
        </row>
        <row r="11">
          <cell r="A11" t="str">
            <v>13M41V</v>
          </cell>
          <cell r="B11" t="str">
            <v>1/1/2025</v>
          </cell>
        </row>
        <row r="12">
          <cell r="A12" t="str">
            <v>13M41V</v>
          </cell>
          <cell r="B12" t="str">
            <v>1/1/2025</v>
          </cell>
        </row>
        <row r="13">
          <cell r="A13" t="str">
            <v>49CL67</v>
          </cell>
          <cell r="B13" t="str">
            <v>1/1/2025</v>
          </cell>
        </row>
        <row r="14">
          <cell r="A14" t="str">
            <v>49CL67</v>
          </cell>
          <cell r="B14" t="str">
            <v>1/1/2025</v>
          </cell>
        </row>
        <row r="15">
          <cell r="A15" t="str">
            <v>76B8F5</v>
          </cell>
          <cell r="B15" t="str">
            <v>1/1/2025</v>
          </cell>
        </row>
        <row r="16">
          <cell r="A16" t="str">
            <v>76B8F5</v>
          </cell>
          <cell r="B16" t="str">
            <v>1/1/2025</v>
          </cell>
        </row>
        <row r="17">
          <cell r="A17" t="str">
            <v>2XH606</v>
          </cell>
          <cell r="B17" t="str">
            <v>1/1/2025</v>
          </cell>
        </row>
        <row r="18">
          <cell r="A18" t="str">
            <v>2XH606</v>
          </cell>
          <cell r="B18" t="str">
            <v>1/1/2025</v>
          </cell>
        </row>
        <row r="19">
          <cell r="A19" t="str">
            <v>68NK46</v>
          </cell>
          <cell r="B19" t="str">
            <v>1/1/2025</v>
          </cell>
        </row>
        <row r="20">
          <cell r="A20" t="str">
            <v>68NK46</v>
          </cell>
          <cell r="B20" t="str">
            <v>1/1/2025</v>
          </cell>
        </row>
        <row r="21">
          <cell r="A21" t="str">
            <v>02LM35</v>
          </cell>
          <cell r="B21" t="str">
            <v>1/1/2025</v>
          </cell>
        </row>
        <row r="22">
          <cell r="A22" t="str">
            <v>02LM35</v>
          </cell>
          <cell r="B22" t="str">
            <v>1/1/2025</v>
          </cell>
        </row>
        <row r="23">
          <cell r="A23" t="str">
            <v>29N92K</v>
          </cell>
          <cell r="B23" t="str">
            <v>1/1/2025</v>
          </cell>
        </row>
        <row r="24">
          <cell r="A24" t="str">
            <v>75H7C2</v>
          </cell>
          <cell r="B24" t="str">
            <v>1/1/2025</v>
          </cell>
        </row>
        <row r="25">
          <cell r="A25" t="str">
            <v>3V25A1</v>
          </cell>
          <cell r="B25" t="str">
            <v>1/1/2025</v>
          </cell>
        </row>
        <row r="26">
          <cell r="A26" t="str">
            <v>3V25A1</v>
          </cell>
          <cell r="B26" t="str">
            <v>1/1/2025</v>
          </cell>
        </row>
        <row r="27">
          <cell r="A27" t="str">
            <v>1X9Y35</v>
          </cell>
          <cell r="B27" t="str">
            <v>1/1/2025</v>
          </cell>
        </row>
        <row r="28">
          <cell r="A28" t="str">
            <v>27C3J8</v>
          </cell>
          <cell r="B28" t="str">
            <v>1/1/2025</v>
          </cell>
        </row>
        <row r="29">
          <cell r="A29" t="str">
            <v>27C3J8</v>
          </cell>
          <cell r="B29" t="str">
            <v>1/1/2025</v>
          </cell>
        </row>
        <row r="30">
          <cell r="A30" t="str">
            <v>56L91L</v>
          </cell>
          <cell r="B30" t="str">
            <v>1/1/2025</v>
          </cell>
        </row>
        <row r="31">
          <cell r="A31" t="str">
            <v>69CK84</v>
          </cell>
          <cell r="B31" t="str">
            <v>1/1/2025</v>
          </cell>
        </row>
        <row r="32">
          <cell r="A32" t="str">
            <v>9U86R9</v>
          </cell>
          <cell r="B32" t="str">
            <v>1/1/2025</v>
          </cell>
        </row>
        <row r="33">
          <cell r="A33" t="str">
            <v>0U844C</v>
          </cell>
          <cell r="B33" t="str">
            <v>1/1/2025</v>
          </cell>
        </row>
        <row r="34">
          <cell r="A34" t="str">
            <v>0U844C</v>
          </cell>
          <cell r="B34" t="str">
            <v>1/1/2025</v>
          </cell>
        </row>
        <row r="35">
          <cell r="A35" t="str">
            <v>98C62K</v>
          </cell>
          <cell r="B35" t="str">
            <v>1/1/2025</v>
          </cell>
        </row>
        <row r="36">
          <cell r="A36" t="str">
            <v>82KK58</v>
          </cell>
          <cell r="B36" t="str">
            <v>1/1/2025</v>
          </cell>
        </row>
        <row r="37">
          <cell r="A37" t="str">
            <v>82KK58</v>
          </cell>
          <cell r="B37" t="str">
            <v>1/1/2025</v>
          </cell>
        </row>
        <row r="38">
          <cell r="A38" t="str">
            <v>35DH74</v>
          </cell>
          <cell r="B38" t="str">
            <v>1/1/2025</v>
          </cell>
        </row>
        <row r="39">
          <cell r="A39" t="str">
            <v>35DH74</v>
          </cell>
          <cell r="B39" t="str">
            <v>1/1/2025</v>
          </cell>
        </row>
        <row r="40">
          <cell r="A40" t="str">
            <v>24N58N</v>
          </cell>
          <cell r="B40" t="str">
            <v>1/1/2025</v>
          </cell>
        </row>
        <row r="41">
          <cell r="A41" t="str">
            <v>6VA227</v>
          </cell>
          <cell r="B41" t="str">
            <v>1/1/2025</v>
          </cell>
        </row>
        <row r="42">
          <cell r="A42" t="str">
            <v>6VA227</v>
          </cell>
          <cell r="B42" t="str">
            <v>1/1/2025</v>
          </cell>
        </row>
        <row r="43">
          <cell r="A43" t="str">
            <v>7VW605</v>
          </cell>
          <cell r="B43" t="str">
            <v>1/1/2025</v>
          </cell>
        </row>
        <row r="44">
          <cell r="A44" t="str">
            <v>47EQ33</v>
          </cell>
          <cell r="B44" t="str">
            <v>1/1/2025</v>
          </cell>
        </row>
        <row r="45">
          <cell r="A45" t="str">
            <v>68NK46</v>
          </cell>
          <cell r="B45" t="str">
            <v>10/1/2024</v>
          </cell>
        </row>
        <row r="46">
          <cell r="A46" t="str">
            <v>85NN12</v>
          </cell>
          <cell r="B46" t="str">
            <v>10/1/2024</v>
          </cell>
        </row>
        <row r="47">
          <cell r="A47" t="str">
            <v>97M98A</v>
          </cell>
          <cell r="B47" t="str">
            <v>9/1/2024</v>
          </cell>
        </row>
        <row r="48">
          <cell r="A48" t="str">
            <v>10M8K8</v>
          </cell>
          <cell r="B48" t="str">
            <v>9/1/2024</v>
          </cell>
        </row>
        <row r="49">
          <cell r="A49" t="str">
            <v>47M59G</v>
          </cell>
          <cell r="B49" t="str">
            <v>9/1/2024</v>
          </cell>
        </row>
        <row r="50">
          <cell r="A50" t="str">
            <v>61NC97</v>
          </cell>
          <cell r="B50" t="str">
            <v>9/1/2024</v>
          </cell>
        </row>
        <row r="51">
          <cell r="A51" t="str">
            <v>36M6M7</v>
          </cell>
          <cell r="B51" t="str">
            <v>9/1/2024</v>
          </cell>
        </row>
        <row r="52">
          <cell r="A52" t="str">
            <v>45NA19</v>
          </cell>
          <cell r="B52" t="str">
            <v>9/1/2024</v>
          </cell>
        </row>
        <row r="53">
          <cell r="A53" t="str">
            <v>89MQ99</v>
          </cell>
          <cell r="B53" t="str">
            <v>9/1/2024</v>
          </cell>
        </row>
        <row r="54">
          <cell r="A54" t="str">
            <v>46NE60</v>
          </cell>
          <cell r="B54" t="str">
            <v>9/1/2024</v>
          </cell>
        </row>
        <row r="55">
          <cell r="A55" t="str">
            <v>10M3K3</v>
          </cell>
          <cell r="B55" t="str">
            <v>9/1/2024</v>
          </cell>
        </row>
        <row r="56">
          <cell r="A56" t="str">
            <v>56M9L5</v>
          </cell>
          <cell r="B56" t="str">
            <v>9/1/2024</v>
          </cell>
        </row>
        <row r="57">
          <cell r="A57" t="str">
            <v>13M41V</v>
          </cell>
          <cell r="B57" t="str">
            <v>9/1/2024</v>
          </cell>
        </row>
        <row r="58">
          <cell r="A58" t="str">
            <v>62NC24</v>
          </cell>
          <cell r="B58" t="str">
            <v>9/1/2024</v>
          </cell>
        </row>
        <row r="59">
          <cell r="A59" t="str">
            <v>39M88D</v>
          </cell>
          <cell r="B59" t="str">
            <v>9/1/2024</v>
          </cell>
        </row>
        <row r="60">
          <cell r="A60" t="str">
            <v>17M71Y</v>
          </cell>
          <cell r="B60" t="str">
            <v>9/1/2024</v>
          </cell>
        </row>
        <row r="61">
          <cell r="A61" t="str">
            <v>90NK34</v>
          </cell>
          <cell r="B61" t="str">
            <v>9/1/2024</v>
          </cell>
        </row>
        <row r="62">
          <cell r="A62" t="str">
            <v>56M32E</v>
          </cell>
          <cell r="B62" t="str">
            <v>9/1/2024</v>
          </cell>
        </row>
        <row r="63">
          <cell r="A63" t="str">
            <v>23M79D</v>
          </cell>
          <cell r="B63" t="str">
            <v>9/1/2024</v>
          </cell>
        </row>
        <row r="64">
          <cell r="A64" t="str">
            <v>62NC36</v>
          </cell>
          <cell r="B64" t="str">
            <v>9/1/2024</v>
          </cell>
        </row>
        <row r="65">
          <cell r="A65" t="str">
            <v>08M74D</v>
          </cell>
          <cell r="B65" t="str">
            <v>9/1/2024</v>
          </cell>
        </row>
        <row r="66">
          <cell r="A66" t="str">
            <v>95NH85</v>
          </cell>
          <cell r="B66" t="str">
            <v>9/1/2024</v>
          </cell>
        </row>
        <row r="67">
          <cell r="A67" t="str">
            <v>65MP81</v>
          </cell>
          <cell r="B67" t="str">
            <v>9/1/2024</v>
          </cell>
        </row>
        <row r="68">
          <cell r="A68" t="str">
            <v>69M79F</v>
          </cell>
          <cell r="B68" t="str">
            <v>9/1/2024</v>
          </cell>
        </row>
        <row r="69">
          <cell r="A69" t="str">
            <v>96L3R8</v>
          </cell>
          <cell r="B69" t="str">
            <v>8/1/2024</v>
          </cell>
        </row>
        <row r="70">
          <cell r="A70" t="str">
            <v>97MT87</v>
          </cell>
          <cell r="B70" t="str">
            <v>8/1/2024</v>
          </cell>
        </row>
        <row r="71">
          <cell r="A71" t="str">
            <v>91MR97</v>
          </cell>
          <cell r="B71" t="str">
            <v>8/1/2024</v>
          </cell>
        </row>
        <row r="72">
          <cell r="A72" t="str">
            <v>97L10V</v>
          </cell>
          <cell r="B72" t="str">
            <v>8/1/2024</v>
          </cell>
        </row>
        <row r="73">
          <cell r="A73" t="str">
            <v>36MP65</v>
          </cell>
          <cell r="B73" t="str">
            <v>8/1/2024</v>
          </cell>
        </row>
        <row r="74">
          <cell r="A74" t="str">
            <v>99MD96</v>
          </cell>
          <cell r="B74" t="str">
            <v>8/1/2024</v>
          </cell>
        </row>
        <row r="75">
          <cell r="A75" t="str">
            <v>32M8H8</v>
          </cell>
          <cell r="B75" t="str">
            <v>8/1/2024</v>
          </cell>
        </row>
        <row r="76">
          <cell r="A76" t="str">
            <v>02LM35</v>
          </cell>
          <cell r="B76" t="str">
            <v>8/1/2024</v>
          </cell>
        </row>
        <row r="77">
          <cell r="A77" t="str">
            <v>54L60G</v>
          </cell>
          <cell r="B77" t="str">
            <v>8/1/2024</v>
          </cell>
        </row>
        <row r="78">
          <cell r="A78" t="str">
            <v>13L90K</v>
          </cell>
          <cell r="B78" t="str">
            <v>8/1/2024</v>
          </cell>
        </row>
        <row r="79">
          <cell r="A79" t="str">
            <v>35ND95</v>
          </cell>
          <cell r="B79" t="str">
            <v>8/1/2024</v>
          </cell>
        </row>
        <row r="80">
          <cell r="A80" t="str">
            <v>56L91L</v>
          </cell>
          <cell r="B80" t="str">
            <v>8/1/2024</v>
          </cell>
        </row>
        <row r="81">
          <cell r="A81" t="str">
            <v>35L86T</v>
          </cell>
          <cell r="B81" t="str">
            <v>8/1/2024</v>
          </cell>
        </row>
        <row r="82">
          <cell r="A82" t="str">
            <v>96M6G0</v>
          </cell>
          <cell r="B82" t="str">
            <v>8/1/2024</v>
          </cell>
        </row>
        <row r="83">
          <cell r="A83" t="str">
            <v>33L80Y</v>
          </cell>
          <cell r="B83" t="str">
            <v>8/1/2024</v>
          </cell>
        </row>
        <row r="84">
          <cell r="A84" t="str">
            <v>24L45K</v>
          </cell>
          <cell r="B84" t="str">
            <v>8/1/2024</v>
          </cell>
        </row>
        <row r="85">
          <cell r="A85" t="str">
            <v>55L7G7</v>
          </cell>
          <cell r="B85" t="str">
            <v>7/1/2024</v>
          </cell>
        </row>
        <row r="86">
          <cell r="A86" t="str">
            <v>45L62D</v>
          </cell>
          <cell r="B86" t="str">
            <v>7/1/2024</v>
          </cell>
        </row>
        <row r="87">
          <cell r="A87" t="str">
            <v>21L65K</v>
          </cell>
          <cell r="B87" t="str">
            <v>7/1/2024</v>
          </cell>
        </row>
        <row r="88">
          <cell r="A88" t="str">
            <v>85L9M5</v>
          </cell>
          <cell r="B88" t="str">
            <v>7/1/2024</v>
          </cell>
        </row>
        <row r="89">
          <cell r="A89" t="str">
            <v>09L0F9</v>
          </cell>
          <cell r="B89" t="str">
            <v>7/1/2024</v>
          </cell>
        </row>
        <row r="90">
          <cell r="A90" t="str">
            <v>80LH38</v>
          </cell>
          <cell r="B90" t="str">
            <v>7/1/2024</v>
          </cell>
        </row>
        <row r="91">
          <cell r="A91" t="str">
            <v>70MB72</v>
          </cell>
          <cell r="B91" t="str">
            <v>7/1/2024</v>
          </cell>
        </row>
        <row r="92">
          <cell r="A92" t="str">
            <v>57L2G3</v>
          </cell>
          <cell r="B92" t="str">
            <v>7/1/2024</v>
          </cell>
        </row>
        <row r="93">
          <cell r="A93" t="str">
            <v>42L44U</v>
          </cell>
          <cell r="B93" t="str">
            <v>6/13/2024</v>
          </cell>
        </row>
        <row r="94">
          <cell r="A94" t="str">
            <v>42K1P3</v>
          </cell>
          <cell r="B94" t="str">
            <v>6/1/2024</v>
          </cell>
        </row>
        <row r="95">
          <cell r="A95" t="str">
            <v>31K7N2</v>
          </cell>
          <cell r="B95" t="str">
            <v>6/1/2024</v>
          </cell>
        </row>
        <row r="96">
          <cell r="A96" t="str">
            <v>76K74R</v>
          </cell>
          <cell r="B96" t="str">
            <v>6/1/2024</v>
          </cell>
        </row>
        <row r="97">
          <cell r="A97" t="str">
            <v>42LY83</v>
          </cell>
          <cell r="B97" t="str">
            <v>6/1/2024</v>
          </cell>
        </row>
        <row r="98">
          <cell r="A98" t="str">
            <v>99LN83</v>
          </cell>
          <cell r="B98" t="str">
            <v>6/1/2024</v>
          </cell>
        </row>
        <row r="99">
          <cell r="A99" t="str">
            <v>63K9V7</v>
          </cell>
          <cell r="B99" t="str">
            <v>6/1/2024</v>
          </cell>
        </row>
        <row r="100">
          <cell r="A100" t="str">
            <v>35K3N1</v>
          </cell>
          <cell r="B100" t="str">
            <v>5/1/2024</v>
          </cell>
        </row>
        <row r="101">
          <cell r="A101" t="str">
            <v>82KK58</v>
          </cell>
          <cell r="B101" t="str">
            <v>5/1/2024</v>
          </cell>
        </row>
        <row r="102">
          <cell r="A102" t="str">
            <v>82JG05</v>
          </cell>
          <cell r="B102" t="str">
            <v>4/1/2024</v>
          </cell>
        </row>
        <row r="103">
          <cell r="A103" t="str">
            <v>39H0M3</v>
          </cell>
          <cell r="B103" t="str">
            <v>3/1/2024</v>
          </cell>
        </row>
        <row r="104">
          <cell r="A104" t="str">
            <v>62H8P8</v>
          </cell>
          <cell r="B104" t="str">
            <v>3/1/2024</v>
          </cell>
        </row>
        <row r="105">
          <cell r="A105" t="str">
            <v>76H3P5</v>
          </cell>
          <cell r="B105" t="str">
            <v>3/1/2024</v>
          </cell>
        </row>
        <row r="106">
          <cell r="A106" t="str">
            <v>38H6M6</v>
          </cell>
          <cell r="B106" t="str">
            <v>3/1/2024</v>
          </cell>
        </row>
        <row r="107">
          <cell r="A107" t="str">
            <v>36H9M6</v>
          </cell>
          <cell r="B107" t="str">
            <v>3/1/2024</v>
          </cell>
        </row>
        <row r="108">
          <cell r="A108" t="str">
            <v>75H7C2</v>
          </cell>
          <cell r="B108" t="str">
            <v>3/1/2024</v>
          </cell>
        </row>
        <row r="109">
          <cell r="A109" t="str">
            <v>36H0M7</v>
          </cell>
          <cell r="B109" t="str">
            <v>3/1/2024</v>
          </cell>
        </row>
        <row r="110">
          <cell r="A110" t="str">
            <v>37H4M8</v>
          </cell>
          <cell r="B110" t="str">
            <v>3/1/2024</v>
          </cell>
        </row>
        <row r="111">
          <cell r="A111" t="str">
            <v>37H4M9</v>
          </cell>
          <cell r="B111" t="str">
            <v>3/1/2024</v>
          </cell>
        </row>
        <row r="112">
          <cell r="A112" t="str">
            <v>37H5M7</v>
          </cell>
          <cell r="B112" t="str">
            <v>3/1/2024</v>
          </cell>
        </row>
        <row r="113">
          <cell r="A113" t="str">
            <v>88GC66</v>
          </cell>
          <cell r="B113" t="str">
            <v>2/1/2024</v>
          </cell>
        </row>
        <row r="114">
          <cell r="A114" t="str">
            <v>94AJ58</v>
          </cell>
          <cell r="B114" t="str">
            <v>1/1/2024</v>
          </cell>
        </row>
        <row r="115">
          <cell r="A115" t="str">
            <v>08FF77</v>
          </cell>
          <cell r="B115" t="str">
            <v>1/1/2024</v>
          </cell>
        </row>
        <row r="116">
          <cell r="A116" t="str">
            <v>0W486R</v>
          </cell>
          <cell r="B116" t="str">
            <v>1/1/2024</v>
          </cell>
        </row>
        <row r="117">
          <cell r="A117" t="str">
            <v>34C9J5</v>
          </cell>
          <cell r="B117" t="str">
            <v>1/1/2024</v>
          </cell>
        </row>
        <row r="118">
          <cell r="A118" t="str">
            <v>16A0R2</v>
          </cell>
          <cell r="B118" t="str">
            <v>1/1/2024</v>
          </cell>
        </row>
        <row r="119">
          <cell r="A119" t="str">
            <v>5V107G</v>
          </cell>
          <cell r="B119" t="str">
            <v>1/1/2024</v>
          </cell>
        </row>
        <row r="120">
          <cell r="A120" t="str">
            <v>49CL67</v>
          </cell>
          <cell r="B120" t="str">
            <v>1/1/2024</v>
          </cell>
        </row>
        <row r="121">
          <cell r="A121" t="str">
            <v>9X3B95</v>
          </cell>
          <cell r="B121" t="str">
            <v>1/1/2024</v>
          </cell>
        </row>
        <row r="122">
          <cell r="A122" t="str">
            <v>2XH606</v>
          </cell>
          <cell r="B122" t="str">
            <v>1/1/2024</v>
          </cell>
        </row>
        <row r="123">
          <cell r="A123" t="str">
            <v>9V010M</v>
          </cell>
          <cell r="B123" t="str">
            <v>1/1/2024</v>
          </cell>
        </row>
        <row r="124">
          <cell r="A124" t="str">
            <v>5Y6K12</v>
          </cell>
          <cell r="B124" t="str">
            <v>1/1/2024</v>
          </cell>
        </row>
        <row r="125">
          <cell r="A125" t="str">
            <v>11EQ73</v>
          </cell>
          <cell r="B125" t="str">
            <v>1/1/2024</v>
          </cell>
        </row>
        <row r="126">
          <cell r="A126" t="str">
            <v>5V69P8</v>
          </cell>
          <cell r="B126" t="str">
            <v>1/1/2024</v>
          </cell>
        </row>
        <row r="127">
          <cell r="A127" t="str">
            <v>62E19P</v>
          </cell>
          <cell r="B127" t="str">
            <v>1/1/2024</v>
          </cell>
        </row>
        <row r="128">
          <cell r="A128" t="str">
            <v>46DX33</v>
          </cell>
          <cell r="B128" t="str">
            <v>1/1/2024</v>
          </cell>
        </row>
        <row r="129">
          <cell r="A129" t="str">
            <v>1X9Y35</v>
          </cell>
          <cell r="B129" t="str">
            <v>1/1/2024</v>
          </cell>
        </row>
        <row r="130">
          <cell r="A130" t="str">
            <v>27C3J8</v>
          </cell>
          <cell r="B130" t="str">
            <v>1/1/2024</v>
          </cell>
        </row>
        <row r="131">
          <cell r="A131" t="str">
            <v>8U51V8</v>
          </cell>
          <cell r="B131" t="str">
            <v>1/1/2024</v>
          </cell>
        </row>
        <row r="132">
          <cell r="A132" t="str">
            <v>16BQ75</v>
          </cell>
          <cell r="B132" t="str">
            <v>1/1/2024</v>
          </cell>
        </row>
        <row r="133">
          <cell r="A133" t="str">
            <v>98C62K</v>
          </cell>
          <cell r="B133" t="str">
            <v>1/1/2024</v>
          </cell>
        </row>
        <row r="134">
          <cell r="A134" t="str">
            <v>35DH74</v>
          </cell>
          <cell r="B134" t="str">
            <v>1/1/2024</v>
          </cell>
        </row>
        <row r="135">
          <cell r="A135" t="str">
            <v>35DH74</v>
          </cell>
          <cell r="B135" t="str">
            <v>1/1/2024</v>
          </cell>
        </row>
        <row r="136">
          <cell r="A136" t="str">
            <v>47EQ33</v>
          </cell>
          <cell r="B136" t="str">
            <v>1/1/2024</v>
          </cell>
        </row>
        <row r="137">
          <cell r="A137" t="str">
            <v>01E7G2</v>
          </cell>
          <cell r="B137" t="str">
            <v>1/1/2024</v>
          </cell>
        </row>
        <row r="138">
          <cell r="A138" t="str">
            <v>9X214L</v>
          </cell>
          <cell r="B138" t="str">
            <v>1/1/2024</v>
          </cell>
        </row>
        <row r="139">
          <cell r="A139" t="str">
            <v>19C09G</v>
          </cell>
          <cell r="B139" t="str">
            <v>12/1/2023</v>
          </cell>
        </row>
        <row r="140">
          <cell r="A140" t="str">
            <v>01DT82</v>
          </cell>
          <cell r="B140" t="str">
            <v>12/1/2023</v>
          </cell>
        </row>
        <row r="141">
          <cell r="A141" t="str">
            <v>22C81W</v>
          </cell>
          <cell r="B141" t="str">
            <v>12/1/2023</v>
          </cell>
        </row>
        <row r="142">
          <cell r="A142" t="str">
            <v>60D4W1</v>
          </cell>
          <cell r="B142" t="str">
            <v>12/1/2023</v>
          </cell>
        </row>
        <row r="143">
          <cell r="A143" t="str">
            <v>98C62K</v>
          </cell>
          <cell r="B143" t="str">
            <v>12/1/2023</v>
          </cell>
        </row>
        <row r="144">
          <cell r="A144" t="str">
            <v>35DH74</v>
          </cell>
          <cell r="B144" t="str">
            <v>12/1/2023</v>
          </cell>
        </row>
        <row r="145">
          <cell r="A145" t="str">
            <v>35DH74</v>
          </cell>
          <cell r="B145" t="str">
            <v>12/1/2023</v>
          </cell>
        </row>
        <row r="146">
          <cell r="A146" t="str">
            <v>16BQ75</v>
          </cell>
          <cell r="B146" t="str">
            <v>10/1/2023</v>
          </cell>
        </row>
        <row r="147">
          <cell r="A147" t="str">
            <v>79A4G5</v>
          </cell>
          <cell r="B147" t="str">
            <v>9/1/2023</v>
          </cell>
        </row>
        <row r="148">
          <cell r="A148" t="str">
            <v>94AJ58</v>
          </cell>
          <cell r="B148" t="str">
            <v>8/1/2023</v>
          </cell>
        </row>
        <row r="149">
          <cell r="A149" t="str">
            <v>16A0R2</v>
          </cell>
          <cell r="B149" t="str">
            <v>8/1/2023</v>
          </cell>
        </row>
        <row r="150">
          <cell r="A150" t="str">
            <v>38AG13</v>
          </cell>
          <cell r="B150" t="str">
            <v>8/1/2023</v>
          </cell>
        </row>
        <row r="151">
          <cell r="A151" t="str">
            <v>1Y207E</v>
          </cell>
          <cell r="B151" t="str">
            <v>7/1/2023</v>
          </cell>
        </row>
        <row r="152">
          <cell r="A152" t="str">
            <v>7Y95N8</v>
          </cell>
          <cell r="B152" t="str">
            <v>7/1/2023</v>
          </cell>
        </row>
        <row r="153">
          <cell r="A153" t="str">
            <v>5Y6K12</v>
          </cell>
          <cell r="B153" t="str">
            <v>6/1/2023</v>
          </cell>
        </row>
        <row r="154">
          <cell r="A154" t="str">
            <v>3V56N9</v>
          </cell>
          <cell r="B154" t="str">
            <v>5/31/2023</v>
          </cell>
        </row>
        <row r="155">
          <cell r="A155" t="str">
            <v>9X214L</v>
          </cell>
          <cell r="B155" t="str">
            <v>4/1/2023</v>
          </cell>
        </row>
        <row r="156">
          <cell r="A156" t="str">
            <v>7X3G75</v>
          </cell>
          <cell r="B156" t="str">
            <v>3/1/2023</v>
          </cell>
        </row>
        <row r="157">
          <cell r="A157" t="str">
            <v>1X9Y35</v>
          </cell>
          <cell r="B157" t="str">
            <v>3/1/2023</v>
          </cell>
        </row>
        <row r="158">
          <cell r="A158" t="str">
            <v>0W486R</v>
          </cell>
          <cell r="B158" t="str">
            <v>2/1/2023</v>
          </cell>
        </row>
        <row r="159">
          <cell r="A159" t="str">
            <v>9X3B95</v>
          </cell>
          <cell r="B159" t="str">
            <v>2/1/2023</v>
          </cell>
        </row>
        <row r="160">
          <cell r="A160" t="str">
            <v>2XH606</v>
          </cell>
          <cell r="B160" t="str">
            <v>2/1/2023</v>
          </cell>
        </row>
        <row r="161">
          <cell r="A161" t="str">
            <v>0UH109</v>
          </cell>
          <cell r="B161" t="str">
            <v>1/1/2023</v>
          </cell>
        </row>
        <row r="162">
          <cell r="A162" t="str">
            <v>9V010M</v>
          </cell>
          <cell r="B162" t="str">
            <v>1/1/2023</v>
          </cell>
        </row>
        <row r="163">
          <cell r="A163" t="str">
            <v>5V69P8</v>
          </cell>
          <cell r="B163" t="str">
            <v>1/1/2023</v>
          </cell>
        </row>
        <row r="164">
          <cell r="A164" t="str">
            <v>8U51V8</v>
          </cell>
          <cell r="B164" t="str">
            <v>1/1/2023</v>
          </cell>
        </row>
        <row r="165">
          <cell r="A165" t="str">
            <v>3V56N9</v>
          </cell>
          <cell r="B165" t="str">
            <v>1/1/2023</v>
          </cell>
        </row>
        <row r="166">
          <cell r="A166" t="str">
            <v>6V4R25</v>
          </cell>
          <cell r="B166" t="str">
            <v>1/1/2023</v>
          </cell>
        </row>
        <row r="167">
          <cell r="A167" t="str">
            <v>0V4D39</v>
          </cell>
          <cell r="B167" t="str">
            <v>1/1/2023</v>
          </cell>
        </row>
        <row r="168">
          <cell r="A168" t="str">
            <v>0UH109</v>
          </cell>
          <cell r="B168" t="str">
            <v>10/1/2022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BE1F-8171-4CB0-932A-E966DEC52A9A}">
  <dimension ref="A1:P30"/>
  <sheetViews>
    <sheetView workbookViewId="0">
      <selection activeCell="E16" sqref="A1:P30"/>
    </sheetView>
  </sheetViews>
  <sheetFormatPr defaultRowHeight="15" x14ac:dyDescent="0.25"/>
  <cols>
    <col min="1" max="1" width="12.7109375" bestFit="1" customWidth="1"/>
    <col min="2" max="2" width="21.140625" bestFit="1" customWidth="1"/>
    <col min="3" max="3" width="16.140625" bestFit="1" customWidth="1"/>
    <col min="4" max="4" width="20.85546875" bestFit="1" customWidth="1"/>
    <col min="5" max="5" width="13.28515625" bestFit="1" customWidth="1"/>
    <col min="6" max="6" width="23.5703125" bestFit="1" customWidth="1"/>
    <col min="7" max="7" width="12" bestFit="1" customWidth="1"/>
    <col min="8" max="8" width="16.7109375" bestFit="1" customWidth="1"/>
    <col min="9" max="9" width="12.42578125" bestFit="1" customWidth="1"/>
    <col min="10" max="10" width="25" bestFit="1" customWidth="1"/>
    <col min="11" max="11" width="9" bestFit="1" customWidth="1"/>
    <col min="12" max="12" width="5.42578125" bestFit="1" customWidth="1"/>
    <col min="13" max="13" width="13.85546875" bestFit="1" customWidth="1"/>
    <col min="14" max="14" width="11" bestFit="1" customWidth="1"/>
    <col min="15" max="15" width="12.140625" bestFit="1" customWidth="1"/>
    <col min="16" max="16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20250501</v>
      </c>
      <c r="J2">
        <v>20250520</v>
      </c>
      <c r="K2">
        <v>32</v>
      </c>
      <c r="L2" t="s">
        <v>23</v>
      </c>
      <c r="M2" t="s">
        <v>24</v>
      </c>
      <c r="N2" s="1">
        <v>0.1</v>
      </c>
      <c r="O2">
        <v>3.2</v>
      </c>
      <c r="P2" t="s">
        <v>23</v>
      </c>
    </row>
    <row r="3" spans="1:16" x14ac:dyDescent="0.25">
      <c r="A3" t="s">
        <v>25</v>
      </c>
      <c r="B3" t="s">
        <v>26</v>
      </c>
      <c r="C3" t="s">
        <v>18</v>
      </c>
      <c r="D3" t="s">
        <v>19</v>
      </c>
      <c r="E3" t="s">
        <v>20</v>
      </c>
      <c r="F3" t="s">
        <v>21</v>
      </c>
      <c r="G3" t="s">
        <v>27</v>
      </c>
      <c r="H3" t="s">
        <v>23</v>
      </c>
      <c r="I3">
        <v>20250501</v>
      </c>
      <c r="J3">
        <v>20250520</v>
      </c>
      <c r="K3">
        <v>142.44999999999999</v>
      </c>
      <c r="L3" t="s">
        <v>23</v>
      </c>
      <c r="M3" t="s">
        <v>24</v>
      </c>
      <c r="N3" s="1">
        <v>0.2</v>
      </c>
      <c r="O3">
        <v>28.49</v>
      </c>
      <c r="P3" t="s">
        <v>23</v>
      </c>
    </row>
    <row r="4" spans="1:16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23</v>
      </c>
      <c r="I4">
        <v>20250501</v>
      </c>
      <c r="J4">
        <v>20250520</v>
      </c>
      <c r="K4">
        <v>0</v>
      </c>
      <c r="L4" t="s">
        <v>34</v>
      </c>
      <c r="M4">
        <v>2</v>
      </c>
      <c r="N4" s="2">
        <v>25</v>
      </c>
      <c r="O4">
        <v>50</v>
      </c>
      <c r="P4" t="s">
        <v>23</v>
      </c>
    </row>
    <row r="5" spans="1:16" x14ac:dyDescent="0.25">
      <c r="A5" t="s">
        <v>35</v>
      </c>
      <c r="B5" t="s">
        <v>36</v>
      </c>
      <c r="C5" t="s">
        <v>18</v>
      </c>
      <c r="D5" t="s">
        <v>19</v>
      </c>
      <c r="E5" t="s">
        <v>20</v>
      </c>
      <c r="F5" t="s">
        <v>21</v>
      </c>
      <c r="G5" t="s">
        <v>27</v>
      </c>
      <c r="H5" t="s">
        <v>23</v>
      </c>
      <c r="I5">
        <v>20250501</v>
      </c>
      <c r="J5">
        <v>20250520</v>
      </c>
      <c r="K5">
        <v>39.42</v>
      </c>
      <c r="L5" t="s">
        <v>23</v>
      </c>
      <c r="M5" t="s">
        <v>24</v>
      </c>
      <c r="N5" s="1">
        <v>0.1</v>
      </c>
      <c r="O5">
        <v>3.94</v>
      </c>
      <c r="P5" t="s">
        <v>23</v>
      </c>
    </row>
    <row r="6" spans="1:16" x14ac:dyDescent="0.25">
      <c r="A6" t="s">
        <v>37</v>
      </c>
      <c r="B6" t="s">
        <v>38</v>
      </c>
      <c r="C6" t="s">
        <v>18</v>
      </c>
      <c r="D6" t="s">
        <v>19</v>
      </c>
      <c r="E6" t="s">
        <v>20</v>
      </c>
      <c r="F6" t="s">
        <v>21</v>
      </c>
      <c r="G6" t="s">
        <v>39</v>
      </c>
      <c r="H6" t="s">
        <v>23</v>
      </c>
      <c r="I6">
        <v>20250501</v>
      </c>
      <c r="J6">
        <v>20250520</v>
      </c>
      <c r="K6">
        <v>43</v>
      </c>
      <c r="L6" t="s">
        <v>23</v>
      </c>
      <c r="M6" t="s">
        <v>24</v>
      </c>
      <c r="N6" s="1">
        <v>0.2</v>
      </c>
      <c r="O6">
        <v>8.6</v>
      </c>
      <c r="P6" t="s">
        <v>23</v>
      </c>
    </row>
    <row r="7" spans="1:16" x14ac:dyDescent="0.25">
      <c r="A7" t="s">
        <v>40</v>
      </c>
      <c r="B7" t="s">
        <v>41</v>
      </c>
      <c r="C7" t="s">
        <v>18</v>
      </c>
      <c r="D7" t="s">
        <v>19</v>
      </c>
      <c r="E7" t="s">
        <v>20</v>
      </c>
      <c r="F7" t="s">
        <v>21</v>
      </c>
      <c r="G7" t="s">
        <v>27</v>
      </c>
      <c r="H7" t="s">
        <v>23</v>
      </c>
      <c r="I7">
        <v>20250501</v>
      </c>
      <c r="J7">
        <v>20250520</v>
      </c>
      <c r="K7">
        <v>41</v>
      </c>
      <c r="L7" t="s">
        <v>23</v>
      </c>
      <c r="M7" t="s">
        <v>24</v>
      </c>
      <c r="N7" s="1">
        <v>0.1</v>
      </c>
      <c r="O7">
        <v>4.0999999999999996</v>
      </c>
      <c r="P7" t="s">
        <v>23</v>
      </c>
    </row>
    <row r="8" spans="1:16" x14ac:dyDescent="0.25">
      <c r="A8" t="s">
        <v>42</v>
      </c>
      <c r="B8" t="s">
        <v>43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20250501</v>
      </c>
      <c r="J8">
        <v>20250520</v>
      </c>
      <c r="K8">
        <v>25.01</v>
      </c>
      <c r="L8" t="s">
        <v>23</v>
      </c>
      <c r="M8" t="s">
        <v>24</v>
      </c>
      <c r="N8" s="1">
        <v>0.1</v>
      </c>
      <c r="O8">
        <v>2.5</v>
      </c>
      <c r="P8" t="s">
        <v>23</v>
      </c>
    </row>
    <row r="9" spans="1:16" x14ac:dyDescent="0.25">
      <c r="A9" t="s">
        <v>44</v>
      </c>
      <c r="B9" t="s">
        <v>45</v>
      </c>
      <c r="C9" t="s">
        <v>18</v>
      </c>
      <c r="D9" t="s">
        <v>19</v>
      </c>
      <c r="E9" t="s">
        <v>20</v>
      </c>
      <c r="F9" t="s">
        <v>21</v>
      </c>
      <c r="G9" t="s">
        <v>27</v>
      </c>
      <c r="H9" t="s">
        <v>23</v>
      </c>
      <c r="I9">
        <v>20250501</v>
      </c>
      <c r="J9">
        <v>20250520</v>
      </c>
      <c r="K9">
        <v>77</v>
      </c>
      <c r="L9" t="s">
        <v>23</v>
      </c>
      <c r="M9" t="s">
        <v>24</v>
      </c>
      <c r="N9" s="1">
        <v>0.1</v>
      </c>
      <c r="O9">
        <v>7.7</v>
      </c>
      <c r="P9" t="s">
        <v>23</v>
      </c>
    </row>
    <row r="10" spans="1:16" x14ac:dyDescent="0.25">
      <c r="A10" t="s">
        <v>46</v>
      </c>
      <c r="B10" t="s">
        <v>47</v>
      </c>
      <c r="C10" t="s">
        <v>18</v>
      </c>
      <c r="D10" t="s">
        <v>19</v>
      </c>
      <c r="E10" t="s">
        <v>20</v>
      </c>
      <c r="F10" t="s">
        <v>21</v>
      </c>
      <c r="G10" t="s">
        <v>27</v>
      </c>
      <c r="H10" t="s">
        <v>23</v>
      </c>
      <c r="I10">
        <v>20250501</v>
      </c>
      <c r="J10">
        <v>20250520</v>
      </c>
      <c r="K10">
        <v>52.29</v>
      </c>
      <c r="L10" t="s">
        <v>23</v>
      </c>
      <c r="M10" t="s">
        <v>24</v>
      </c>
      <c r="N10" s="1">
        <v>0.2</v>
      </c>
      <c r="O10">
        <v>10.46</v>
      </c>
      <c r="P10" t="s">
        <v>23</v>
      </c>
    </row>
    <row r="11" spans="1:16" x14ac:dyDescent="0.25">
      <c r="A11" t="s">
        <v>48</v>
      </c>
      <c r="B11" t="s">
        <v>49</v>
      </c>
      <c r="C11" t="s">
        <v>18</v>
      </c>
      <c r="D11" t="s">
        <v>50</v>
      </c>
      <c r="E11" t="s">
        <v>20</v>
      </c>
      <c r="F11" t="s">
        <v>21</v>
      </c>
      <c r="G11" t="s">
        <v>51</v>
      </c>
      <c r="H11" t="s">
        <v>23</v>
      </c>
      <c r="I11">
        <v>20250501</v>
      </c>
      <c r="J11">
        <v>20250520</v>
      </c>
      <c r="K11">
        <v>135.13999999999999</v>
      </c>
      <c r="L11" t="s">
        <v>23</v>
      </c>
      <c r="M11" t="s">
        <v>24</v>
      </c>
      <c r="N11" s="1">
        <v>0.2</v>
      </c>
      <c r="O11">
        <v>27.03</v>
      </c>
      <c r="P11" t="s">
        <v>23</v>
      </c>
    </row>
    <row r="12" spans="1:16" x14ac:dyDescent="0.25">
      <c r="A12" t="s">
        <v>52</v>
      </c>
      <c r="B12" t="s">
        <v>53</v>
      </c>
      <c r="C12" t="s">
        <v>18</v>
      </c>
      <c r="D12" t="s">
        <v>19</v>
      </c>
      <c r="E12" t="s">
        <v>20</v>
      </c>
      <c r="F12" t="s">
        <v>21</v>
      </c>
      <c r="G12" t="s">
        <v>27</v>
      </c>
      <c r="H12" t="s">
        <v>23</v>
      </c>
      <c r="I12">
        <v>20250501</v>
      </c>
      <c r="J12">
        <v>20250520</v>
      </c>
      <c r="K12">
        <v>79.55</v>
      </c>
      <c r="L12" t="s">
        <v>23</v>
      </c>
      <c r="M12" t="s">
        <v>24</v>
      </c>
      <c r="N12" s="1">
        <v>0.1</v>
      </c>
      <c r="O12">
        <v>7.96</v>
      </c>
      <c r="P12" t="s">
        <v>23</v>
      </c>
    </row>
    <row r="13" spans="1:16" x14ac:dyDescent="0.25">
      <c r="A13" t="s">
        <v>54</v>
      </c>
      <c r="B13" t="s">
        <v>55</v>
      </c>
      <c r="C13" t="s">
        <v>18</v>
      </c>
      <c r="D13" t="s">
        <v>19</v>
      </c>
      <c r="E13" t="s">
        <v>20</v>
      </c>
      <c r="F13" t="s">
        <v>21</v>
      </c>
      <c r="G13" t="s">
        <v>27</v>
      </c>
      <c r="H13" t="s">
        <v>23</v>
      </c>
      <c r="I13">
        <v>20250501</v>
      </c>
      <c r="J13">
        <v>20250520</v>
      </c>
      <c r="K13">
        <v>112.7</v>
      </c>
      <c r="L13" t="s">
        <v>23</v>
      </c>
      <c r="M13" t="s">
        <v>24</v>
      </c>
      <c r="N13" s="1">
        <v>0.1</v>
      </c>
      <c r="O13">
        <v>11.27</v>
      </c>
      <c r="P13" t="s">
        <v>23</v>
      </c>
    </row>
    <row r="14" spans="1:16" x14ac:dyDescent="0.25">
      <c r="A14" t="s">
        <v>56</v>
      </c>
      <c r="B14" t="s">
        <v>57</v>
      </c>
      <c r="C14" t="s">
        <v>18</v>
      </c>
      <c r="D14" t="s">
        <v>19</v>
      </c>
      <c r="E14" t="s">
        <v>20</v>
      </c>
      <c r="F14" t="s">
        <v>21</v>
      </c>
      <c r="G14" t="s">
        <v>27</v>
      </c>
      <c r="H14" t="s">
        <v>23</v>
      </c>
      <c r="I14">
        <v>20250501</v>
      </c>
      <c r="J14">
        <v>20250520</v>
      </c>
      <c r="K14">
        <v>52</v>
      </c>
      <c r="L14" t="s">
        <v>23</v>
      </c>
      <c r="M14" t="s">
        <v>24</v>
      </c>
      <c r="N14" s="1">
        <v>0.1</v>
      </c>
      <c r="O14">
        <v>5.2</v>
      </c>
      <c r="P14" t="s">
        <v>23</v>
      </c>
    </row>
    <row r="15" spans="1:16" x14ac:dyDescent="0.25">
      <c r="A15" t="s">
        <v>58</v>
      </c>
      <c r="B15" t="s">
        <v>59</v>
      </c>
      <c r="C15" t="s">
        <v>18</v>
      </c>
      <c r="D15" t="s">
        <v>19</v>
      </c>
      <c r="E15" t="s">
        <v>20</v>
      </c>
      <c r="F15" t="s">
        <v>21</v>
      </c>
      <c r="G15" t="s">
        <v>27</v>
      </c>
      <c r="H15" t="s">
        <v>23</v>
      </c>
      <c r="I15">
        <v>20250501</v>
      </c>
      <c r="J15">
        <v>20250520</v>
      </c>
      <c r="K15">
        <v>43</v>
      </c>
      <c r="L15" t="s">
        <v>23</v>
      </c>
      <c r="M15" t="s">
        <v>24</v>
      </c>
      <c r="N15" s="1">
        <v>0.1</v>
      </c>
      <c r="O15">
        <v>4.3</v>
      </c>
      <c r="P15" t="s">
        <v>23</v>
      </c>
    </row>
    <row r="16" spans="1:16" x14ac:dyDescent="0.25">
      <c r="A16" t="s">
        <v>60</v>
      </c>
      <c r="B16" t="s">
        <v>61</v>
      </c>
      <c r="C16" t="s">
        <v>18</v>
      </c>
      <c r="D16" t="s">
        <v>19</v>
      </c>
      <c r="E16" t="s">
        <v>20</v>
      </c>
      <c r="F16" t="s">
        <v>21</v>
      </c>
      <c r="G16" t="s">
        <v>27</v>
      </c>
      <c r="H16" t="s">
        <v>23</v>
      </c>
      <c r="I16">
        <v>20250501</v>
      </c>
      <c r="J16">
        <v>20250520</v>
      </c>
      <c r="K16">
        <v>145.85</v>
      </c>
      <c r="L16" t="s">
        <v>23</v>
      </c>
      <c r="M16" t="s">
        <v>24</v>
      </c>
      <c r="N16" s="1">
        <v>0.1</v>
      </c>
      <c r="O16">
        <v>14.59</v>
      </c>
      <c r="P16" t="s">
        <v>23</v>
      </c>
    </row>
    <row r="17" spans="1:16" x14ac:dyDescent="0.25">
      <c r="A17" t="s">
        <v>62</v>
      </c>
      <c r="B17" t="s">
        <v>63</v>
      </c>
      <c r="C17" t="s">
        <v>18</v>
      </c>
      <c r="D17" t="s">
        <v>19</v>
      </c>
      <c r="E17" t="s">
        <v>20</v>
      </c>
      <c r="F17" t="s">
        <v>21</v>
      </c>
      <c r="G17" t="s">
        <v>27</v>
      </c>
      <c r="H17" t="s">
        <v>23</v>
      </c>
      <c r="I17">
        <v>20250501</v>
      </c>
      <c r="J17">
        <v>20250520</v>
      </c>
      <c r="K17">
        <v>43</v>
      </c>
      <c r="L17" t="s">
        <v>23</v>
      </c>
      <c r="M17" t="s">
        <v>24</v>
      </c>
      <c r="N17" s="1">
        <v>0.1</v>
      </c>
      <c r="O17">
        <v>4.3</v>
      </c>
      <c r="P17" t="s">
        <v>23</v>
      </c>
    </row>
    <row r="18" spans="1:16" x14ac:dyDescent="0.25">
      <c r="A18" t="s">
        <v>64</v>
      </c>
      <c r="B18" t="s">
        <v>65</v>
      </c>
      <c r="C18" t="s">
        <v>30</v>
      </c>
      <c r="D18" t="s">
        <v>66</v>
      </c>
      <c r="E18" t="s">
        <v>32</v>
      </c>
      <c r="F18" t="s">
        <v>21</v>
      </c>
      <c r="G18" t="s">
        <v>33</v>
      </c>
      <c r="H18" t="s">
        <v>23</v>
      </c>
      <c r="I18">
        <v>20250501</v>
      </c>
      <c r="J18">
        <v>20250520</v>
      </c>
      <c r="K18">
        <v>167.83</v>
      </c>
      <c r="L18" t="s">
        <v>67</v>
      </c>
      <c r="M18">
        <v>1</v>
      </c>
      <c r="N18" s="2">
        <v>25</v>
      </c>
      <c r="O18">
        <v>25</v>
      </c>
      <c r="P18" t="s">
        <v>23</v>
      </c>
    </row>
    <row r="19" spans="1:16" x14ac:dyDescent="0.25">
      <c r="A19" t="s">
        <v>68</v>
      </c>
      <c r="B19" t="s">
        <v>69</v>
      </c>
      <c r="C19" t="s">
        <v>18</v>
      </c>
      <c r="D19" t="s">
        <v>70</v>
      </c>
      <c r="E19" t="s">
        <v>20</v>
      </c>
      <c r="F19" t="s">
        <v>21</v>
      </c>
      <c r="G19" t="s">
        <v>71</v>
      </c>
      <c r="H19" t="s">
        <v>23</v>
      </c>
      <c r="I19">
        <v>20250501</v>
      </c>
      <c r="J19">
        <v>20250520</v>
      </c>
      <c r="K19">
        <v>120.17</v>
      </c>
      <c r="L19" t="s">
        <v>23</v>
      </c>
      <c r="M19" t="s">
        <v>24</v>
      </c>
      <c r="N19" s="1">
        <v>0.2</v>
      </c>
      <c r="O19">
        <v>24.03</v>
      </c>
      <c r="P19" t="s">
        <v>23</v>
      </c>
    </row>
    <row r="20" spans="1:16" x14ac:dyDescent="0.25">
      <c r="A20" t="s">
        <v>72</v>
      </c>
      <c r="B20" t="s">
        <v>73</v>
      </c>
      <c r="C20" t="s">
        <v>18</v>
      </c>
      <c r="D20" t="s">
        <v>19</v>
      </c>
      <c r="E20" t="s">
        <v>20</v>
      </c>
      <c r="F20" t="s">
        <v>21</v>
      </c>
      <c r="G20" t="s">
        <v>27</v>
      </c>
      <c r="H20" t="s">
        <v>23</v>
      </c>
      <c r="I20">
        <v>20250501</v>
      </c>
      <c r="J20">
        <v>20250520</v>
      </c>
      <c r="K20">
        <v>70.3</v>
      </c>
      <c r="L20" t="s">
        <v>23</v>
      </c>
      <c r="M20" t="s">
        <v>24</v>
      </c>
      <c r="N20" s="1">
        <v>0.2</v>
      </c>
      <c r="O20">
        <v>14.06</v>
      </c>
      <c r="P20" t="s">
        <v>23</v>
      </c>
    </row>
    <row r="21" spans="1:16" x14ac:dyDescent="0.25">
      <c r="A21" t="s">
        <v>74</v>
      </c>
      <c r="B21" t="s">
        <v>75</v>
      </c>
      <c r="C21" t="s">
        <v>18</v>
      </c>
      <c r="D21" t="s">
        <v>19</v>
      </c>
      <c r="E21" t="s">
        <v>20</v>
      </c>
      <c r="F21" t="s">
        <v>21</v>
      </c>
      <c r="G21" t="s">
        <v>27</v>
      </c>
      <c r="H21" t="s">
        <v>23</v>
      </c>
      <c r="I21">
        <v>20250501</v>
      </c>
      <c r="J21">
        <v>20250520</v>
      </c>
      <c r="K21">
        <v>52</v>
      </c>
      <c r="L21" t="s">
        <v>23</v>
      </c>
      <c r="M21" t="s">
        <v>24</v>
      </c>
      <c r="N21" s="1">
        <v>0.2</v>
      </c>
      <c r="O21">
        <v>10.4</v>
      </c>
      <c r="P21" t="s">
        <v>23</v>
      </c>
    </row>
    <row r="22" spans="1:16" x14ac:dyDescent="0.25">
      <c r="A22" t="s">
        <v>76</v>
      </c>
      <c r="B22" t="s">
        <v>77</v>
      </c>
      <c r="C22" t="s">
        <v>18</v>
      </c>
      <c r="D22" t="s">
        <v>78</v>
      </c>
      <c r="E22" t="s">
        <v>20</v>
      </c>
      <c r="F22" t="s">
        <v>21</v>
      </c>
      <c r="G22" t="s">
        <v>79</v>
      </c>
      <c r="H22" t="s">
        <v>23</v>
      </c>
      <c r="I22">
        <v>20250501</v>
      </c>
      <c r="J22">
        <v>20250520</v>
      </c>
      <c r="K22">
        <v>200.63</v>
      </c>
      <c r="L22" t="s">
        <v>23</v>
      </c>
      <c r="M22" t="s">
        <v>24</v>
      </c>
      <c r="N22" s="1">
        <v>0.2</v>
      </c>
      <c r="O22">
        <v>40.130000000000003</v>
      </c>
      <c r="P22" t="s">
        <v>23</v>
      </c>
    </row>
    <row r="23" spans="1:16" x14ac:dyDescent="0.25">
      <c r="A23" t="s">
        <v>80</v>
      </c>
      <c r="B23" t="s">
        <v>81</v>
      </c>
      <c r="C23" t="s">
        <v>18</v>
      </c>
      <c r="D23" t="s">
        <v>19</v>
      </c>
      <c r="E23" t="s">
        <v>20</v>
      </c>
      <c r="F23" t="s">
        <v>21</v>
      </c>
      <c r="G23" t="s">
        <v>27</v>
      </c>
      <c r="H23" t="s">
        <v>23</v>
      </c>
      <c r="I23">
        <v>20250501</v>
      </c>
      <c r="J23">
        <v>20250520</v>
      </c>
      <c r="K23">
        <v>76.150000000000006</v>
      </c>
      <c r="L23" t="s">
        <v>23</v>
      </c>
      <c r="M23" t="s">
        <v>24</v>
      </c>
      <c r="N23" s="1">
        <v>0.1</v>
      </c>
      <c r="O23">
        <v>7.62</v>
      </c>
      <c r="P23" t="s">
        <v>23</v>
      </c>
    </row>
    <row r="24" spans="1:16" x14ac:dyDescent="0.25">
      <c r="A24" t="s">
        <v>82</v>
      </c>
      <c r="B24" t="s">
        <v>83</v>
      </c>
      <c r="C24" t="s">
        <v>18</v>
      </c>
      <c r="D24" t="s">
        <v>19</v>
      </c>
      <c r="E24" t="s">
        <v>20</v>
      </c>
      <c r="F24" t="s">
        <v>21</v>
      </c>
      <c r="G24" t="s">
        <v>27</v>
      </c>
      <c r="H24" t="s">
        <v>23</v>
      </c>
      <c r="I24">
        <v>20250501</v>
      </c>
      <c r="J24">
        <v>20250520</v>
      </c>
      <c r="K24">
        <v>114.31</v>
      </c>
      <c r="L24" t="s">
        <v>23</v>
      </c>
      <c r="M24" t="s">
        <v>24</v>
      </c>
      <c r="N24" s="1">
        <v>0.1</v>
      </c>
      <c r="O24">
        <v>11.43</v>
      </c>
      <c r="P24" t="s">
        <v>23</v>
      </c>
    </row>
    <row r="25" spans="1:16" x14ac:dyDescent="0.25">
      <c r="A25" t="s">
        <v>84</v>
      </c>
      <c r="B25" t="s">
        <v>85</v>
      </c>
      <c r="C25" t="s">
        <v>18</v>
      </c>
      <c r="D25" t="s">
        <v>19</v>
      </c>
      <c r="E25" t="s">
        <v>20</v>
      </c>
      <c r="F25" t="s">
        <v>21</v>
      </c>
      <c r="G25" t="s">
        <v>86</v>
      </c>
      <c r="H25" t="s">
        <v>23</v>
      </c>
      <c r="I25">
        <v>20250501</v>
      </c>
      <c r="J25">
        <v>20250520</v>
      </c>
      <c r="K25">
        <v>51.19</v>
      </c>
      <c r="L25" t="s">
        <v>23</v>
      </c>
      <c r="M25" t="s">
        <v>24</v>
      </c>
      <c r="N25" s="1">
        <v>0.1</v>
      </c>
      <c r="O25">
        <v>5.12</v>
      </c>
      <c r="P25" t="s">
        <v>23</v>
      </c>
    </row>
    <row r="26" spans="1:16" x14ac:dyDescent="0.25">
      <c r="A26" t="s">
        <v>87</v>
      </c>
      <c r="B26" t="s">
        <v>88</v>
      </c>
      <c r="C26" t="s">
        <v>18</v>
      </c>
      <c r="D26" t="s">
        <v>50</v>
      </c>
      <c r="E26" t="s">
        <v>20</v>
      </c>
      <c r="F26" t="s">
        <v>21</v>
      </c>
      <c r="G26" t="s">
        <v>51</v>
      </c>
      <c r="H26" t="s">
        <v>23</v>
      </c>
      <c r="I26">
        <v>20250501</v>
      </c>
      <c r="J26">
        <v>20250520</v>
      </c>
      <c r="K26">
        <v>34.04</v>
      </c>
      <c r="L26" t="s">
        <v>23</v>
      </c>
      <c r="M26" t="s">
        <v>24</v>
      </c>
      <c r="N26" s="1">
        <v>0.2</v>
      </c>
      <c r="O26">
        <v>6.81</v>
      </c>
      <c r="P26" t="s">
        <v>23</v>
      </c>
    </row>
    <row r="27" spans="1:16" x14ac:dyDescent="0.25">
      <c r="A27" t="s">
        <v>89</v>
      </c>
      <c r="B27" t="s">
        <v>90</v>
      </c>
      <c r="C27" t="s">
        <v>18</v>
      </c>
      <c r="D27" t="s">
        <v>19</v>
      </c>
      <c r="E27" t="s">
        <v>20</v>
      </c>
      <c r="F27" t="s">
        <v>21</v>
      </c>
      <c r="G27" t="s">
        <v>27</v>
      </c>
      <c r="H27" t="s">
        <v>23</v>
      </c>
      <c r="I27">
        <v>20250501</v>
      </c>
      <c r="J27">
        <v>20250520</v>
      </c>
      <c r="K27">
        <v>68.3</v>
      </c>
      <c r="L27" t="s">
        <v>23</v>
      </c>
      <c r="M27" t="s">
        <v>24</v>
      </c>
      <c r="N27" s="1">
        <v>0.1</v>
      </c>
      <c r="O27">
        <v>6.83</v>
      </c>
      <c r="P27" t="s">
        <v>23</v>
      </c>
    </row>
    <row r="28" spans="1:16" x14ac:dyDescent="0.25">
      <c r="A28" t="s">
        <v>91</v>
      </c>
      <c r="B28" t="s">
        <v>92</v>
      </c>
      <c r="C28" t="s">
        <v>18</v>
      </c>
      <c r="D28" t="s">
        <v>19</v>
      </c>
      <c r="E28" t="s">
        <v>20</v>
      </c>
      <c r="F28" t="s">
        <v>21</v>
      </c>
      <c r="G28" t="s">
        <v>27</v>
      </c>
      <c r="H28" t="s">
        <v>23</v>
      </c>
      <c r="I28">
        <v>20250501</v>
      </c>
      <c r="J28">
        <v>20250520</v>
      </c>
      <c r="K28">
        <v>43</v>
      </c>
      <c r="L28" t="s">
        <v>23</v>
      </c>
      <c r="M28" t="s">
        <v>24</v>
      </c>
      <c r="N28" s="1">
        <v>0.2</v>
      </c>
      <c r="O28">
        <v>8.6</v>
      </c>
      <c r="P28" t="s">
        <v>23</v>
      </c>
    </row>
    <row r="29" spans="1:16" x14ac:dyDescent="0.25">
      <c r="A29" t="s">
        <v>93</v>
      </c>
      <c r="B29" t="s">
        <v>94</v>
      </c>
      <c r="C29" t="s">
        <v>18</v>
      </c>
      <c r="D29" t="s">
        <v>19</v>
      </c>
      <c r="E29" t="s">
        <v>20</v>
      </c>
      <c r="F29" t="s">
        <v>21</v>
      </c>
      <c r="G29" t="s">
        <v>95</v>
      </c>
      <c r="H29" t="s">
        <v>23</v>
      </c>
      <c r="I29">
        <v>20250501</v>
      </c>
      <c r="J29">
        <v>20250520</v>
      </c>
      <c r="K29">
        <v>54</v>
      </c>
      <c r="L29" t="s">
        <v>23</v>
      </c>
      <c r="M29" t="s">
        <v>24</v>
      </c>
      <c r="N29" s="1">
        <v>0.2</v>
      </c>
      <c r="O29">
        <v>10.8</v>
      </c>
      <c r="P29" t="s">
        <v>23</v>
      </c>
    </row>
    <row r="30" spans="1:16" x14ac:dyDescent="0.25">
      <c r="A30" t="s">
        <v>96</v>
      </c>
      <c r="B30" t="s">
        <v>97</v>
      </c>
      <c r="C30" t="s">
        <v>98</v>
      </c>
      <c r="D30" t="s">
        <v>99</v>
      </c>
      <c r="E30" t="s">
        <v>32</v>
      </c>
      <c r="F30" t="s">
        <v>21</v>
      </c>
      <c r="G30" t="s">
        <v>51</v>
      </c>
      <c r="H30" t="s">
        <v>23</v>
      </c>
      <c r="I30">
        <v>20250501</v>
      </c>
      <c r="J30">
        <v>20250520</v>
      </c>
      <c r="K30">
        <v>247.9</v>
      </c>
      <c r="L30" t="s">
        <v>67</v>
      </c>
      <c r="M30">
        <v>1</v>
      </c>
      <c r="N30" s="2">
        <v>20</v>
      </c>
      <c r="O30">
        <v>20</v>
      </c>
      <c r="P3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3BC-E426-4442-AB9C-F3E629FD2211}">
  <dimension ref="A1:P30"/>
  <sheetViews>
    <sheetView tabSelected="1" workbookViewId="0">
      <selection activeCell="A3" sqref="A3"/>
    </sheetView>
  </sheetViews>
  <sheetFormatPr defaultRowHeight="15" x14ac:dyDescent="0.25"/>
  <cols>
    <col min="1" max="1" width="12.7109375" bestFit="1" customWidth="1"/>
    <col min="2" max="2" width="21.140625" bestFit="1" customWidth="1"/>
    <col min="3" max="3" width="16.140625" bestFit="1" customWidth="1"/>
    <col min="4" max="4" width="20.85546875" bestFit="1" customWidth="1"/>
    <col min="5" max="5" width="12.42578125" style="3" bestFit="1" customWidth="1"/>
    <col min="6" max="6" width="20.85546875" customWidth="1"/>
    <col min="7" max="7" width="13.28515625" bestFit="1" customWidth="1"/>
    <col min="8" max="8" width="12" bestFit="1" customWidth="1"/>
    <col min="9" max="9" width="12.42578125" bestFit="1" customWidth="1"/>
    <col min="10" max="10" width="25" bestFit="1" customWidth="1"/>
    <col min="11" max="11" width="9" bestFit="1" customWidth="1"/>
    <col min="12" max="12" width="5.42578125" bestFit="1" customWidth="1"/>
    <col min="13" max="13" width="13.85546875" bestFit="1" customWidth="1"/>
    <col min="14" max="14" width="11" bestFit="1" customWidth="1"/>
    <col min="15" max="15" width="12.140625" bestFit="1" customWidth="1"/>
    <col min="16" max="16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3" t="s">
        <v>116</v>
      </c>
      <c r="F1" t="s">
        <v>100</v>
      </c>
      <c r="G1" t="s">
        <v>4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118</v>
      </c>
      <c r="B2" t="s">
        <v>36</v>
      </c>
      <c r="C2" t="s">
        <v>103</v>
      </c>
      <c r="D2" t="s">
        <v>19</v>
      </c>
      <c r="E2" s="3" t="s">
        <v>109</v>
      </c>
      <c r="F2">
        <v>17425766</v>
      </c>
      <c r="G2" t="s">
        <v>20</v>
      </c>
      <c r="H2" t="s">
        <v>27</v>
      </c>
      <c r="I2" s="3">
        <v>45778</v>
      </c>
      <c r="J2" s="3">
        <v>45797</v>
      </c>
      <c r="K2">
        <v>39.42</v>
      </c>
      <c r="L2" t="s">
        <v>23</v>
      </c>
      <c r="M2" t="s">
        <v>24</v>
      </c>
      <c r="N2" s="1">
        <v>0.1</v>
      </c>
      <c r="O2">
        <v>3.94</v>
      </c>
      <c r="P2" t="s">
        <v>23</v>
      </c>
    </row>
    <row r="3" spans="1:16" x14ac:dyDescent="0.25">
      <c r="A3" t="s">
        <v>119</v>
      </c>
      <c r="B3" t="s">
        <v>17</v>
      </c>
      <c r="C3" t="s">
        <v>103</v>
      </c>
      <c r="D3" t="s">
        <v>19</v>
      </c>
      <c r="E3" s="3" t="s">
        <v>106</v>
      </c>
      <c r="F3" s="4" t="s">
        <v>117</v>
      </c>
      <c r="G3" t="s">
        <v>20</v>
      </c>
      <c r="H3" t="s">
        <v>22</v>
      </c>
      <c r="I3" s="3">
        <v>45778</v>
      </c>
      <c r="J3" s="3">
        <v>45797</v>
      </c>
      <c r="K3">
        <v>32</v>
      </c>
      <c r="L3" t="s">
        <v>23</v>
      </c>
      <c r="M3" t="s">
        <v>24</v>
      </c>
      <c r="N3" s="1">
        <v>0.1</v>
      </c>
      <c r="O3">
        <v>3.2</v>
      </c>
      <c r="P3" t="s">
        <v>23</v>
      </c>
    </row>
    <row r="4" spans="1:16" x14ac:dyDescent="0.25">
      <c r="A4" t="s">
        <v>120</v>
      </c>
      <c r="B4" t="s">
        <v>41</v>
      </c>
      <c r="C4" t="s">
        <v>103</v>
      </c>
      <c r="D4" t="s">
        <v>19</v>
      </c>
      <c r="E4" s="3" t="s">
        <v>106</v>
      </c>
      <c r="F4" s="4" t="s">
        <v>117</v>
      </c>
      <c r="G4" t="s">
        <v>20</v>
      </c>
      <c r="H4" t="s">
        <v>27</v>
      </c>
      <c r="I4" s="3">
        <v>45778</v>
      </c>
      <c r="J4" s="3">
        <v>45797</v>
      </c>
      <c r="K4">
        <v>41</v>
      </c>
      <c r="L4" t="s">
        <v>23</v>
      </c>
      <c r="M4" t="s">
        <v>24</v>
      </c>
      <c r="N4" s="1">
        <v>0.1</v>
      </c>
      <c r="O4">
        <v>4.0999999999999996</v>
      </c>
      <c r="P4" t="s">
        <v>23</v>
      </c>
    </row>
    <row r="5" spans="1:16" x14ac:dyDescent="0.25">
      <c r="A5" t="s">
        <v>121</v>
      </c>
      <c r="B5" t="s">
        <v>45</v>
      </c>
      <c r="C5" t="s">
        <v>103</v>
      </c>
      <c r="D5" t="s">
        <v>19</v>
      </c>
      <c r="E5" s="3" t="s">
        <v>106</v>
      </c>
      <c r="F5" s="4" t="s">
        <v>117</v>
      </c>
      <c r="G5" t="s">
        <v>20</v>
      </c>
      <c r="H5" t="s">
        <v>27</v>
      </c>
      <c r="I5" s="3">
        <v>45778</v>
      </c>
      <c r="J5" s="3">
        <v>45797</v>
      </c>
      <c r="K5">
        <v>77</v>
      </c>
      <c r="L5" t="s">
        <v>23</v>
      </c>
      <c r="M5" t="s">
        <v>24</v>
      </c>
      <c r="N5" s="1">
        <v>0.1</v>
      </c>
      <c r="O5">
        <v>7.7</v>
      </c>
      <c r="P5" t="s">
        <v>23</v>
      </c>
    </row>
    <row r="6" spans="1:16" x14ac:dyDescent="0.25">
      <c r="A6" t="s">
        <v>122</v>
      </c>
      <c r="B6" t="s">
        <v>90</v>
      </c>
      <c r="C6" t="s">
        <v>103</v>
      </c>
      <c r="D6" t="s">
        <v>19</v>
      </c>
      <c r="E6" s="3" t="s">
        <v>107</v>
      </c>
      <c r="F6" s="4" t="s">
        <v>117</v>
      </c>
      <c r="G6" t="s">
        <v>20</v>
      </c>
      <c r="H6" t="s">
        <v>27</v>
      </c>
      <c r="I6" s="3">
        <v>45778</v>
      </c>
      <c r="J6" s="3">
        <v>45797</v>
      </c>
      <c r="K6">
        <v>68.3</v>
      </c>
      <c r="L6" t="s">
        <v>23</v>
      </c>
      <c r="M6" t="s">
        <v>24</v>
      </c>
      <c r="N6" s="1">
        <v>0.1</v>
      </c>
      <c r="O6">
        <v>6.83</v>
      </c>
      <c r="P6" t="s">
        <v>23</v>
      </c>
    </row>
    <row r="7" spans="1:16" x14ac:dyDescent="0.25">
      <c r="A7" t="s">
        <v>123</v>
      </c>
      <c r="B7" t="s">
        <v>53</v>
      </c>
      <c r="C7" t="s">
        <v>103</v>
      </c>
      <c r="D7" t="s">
        <v>19</v>
      </c>
      <c r="E7" s="3" t="s">
        <v>105</v>
      </c>
      <c r="F7" s="4" t="s">
        <v>117</v>
      </c>
      <c r="G7" t="s">
        <v>20</v>
      </c>
      <c r="H7" t="s">
        <v>27</v>
      </c>
      <c r="I7" s="3">
        <v>45778</v>
      </c>
      <c r="J7" s="3">
        <v>45797</v>
      </c>
      <c r="K7">
        <v>79.55</v>
      </c>
      <c r="L7" t="s">
        <v>23</v>
      </c>
      <c r="M7" t="s">
        <v>24</v>
      </c>
      <c r="N7" s="1">
        <v>0.1</v>
      </c>
      <c r="O7">
        <v>7.96</v>
      </c>
      <c r="P7" t="s">
        <v>23</v>
      </c>
    </row>
    <row r="8" spans="1:16" x14ac:dyDescent="0.25">
      <c r="A8" t="s">
        <v>124</v>
      </c>
      <c r="B8" t="s">
        <v>55</v>
      </c>
      <c r="C8" t="s">
        <v>103</v>
      </c>
      <c r="D8" t="s">
        <v>19</v>
      </c>
      <c r="E8" s="3" t="s">
        <v>105</v>
      </c>
      <c r="F8" s="4" t="s">
        <v>117</v>
      </c>
      <c r="G8" t="s">
        <v>20</v>
      </c>
      <c r="H8" t="s">
        <v>27</v>
      </c>
      <c r="I8" s="3">
        <v>45778</v>
      </c>
      <c r="J8" s="3">
        <v>45797</v>
      </c>
      <c r="K8">
        <v>112.7</v>
      </c>
      <c r="L8" t="s">
        <v>23</v>
      </c>
      <c r="M8" t="s">
        <v>24</v>
      </c>
      <c r="N8" s="1">
        <v>0.1</v>
      </c>
      <c r="O8">
        <v>11.27</v>
      </c>
      <c r="P8" t="s">
        <v>23</v>
      </c>
    </row>
    <row r="9" spans="1:16" x14ac:dyDescent="0.25">
      <c r="A9" t="s">
        <v>125</v>
      </c>
      <c r="B9" t="s">
        <v>63</v>
      </c>
      <c r="C9" t="s">
        <v>103</v>
      </c>
      <c r="D9" t="s">
        <v>19</v>
      </c>
      <c r="E9" s="3" t="s">
        <v>105</v>
      </c>
      <c r="F9" s="4" t="s">
        <v>117</v>
      </c>
      <c r="G9" t="s">
        <v>20</v>
      </c>
      <c r="H9" t="s">
        <v>27</v>
      </c>
      <c r="I9" s="3">
        <v>45778</v>
      </c>
      <c r="J9" s="3">
        <v>45797</v>
      </c>
      <c r="K9">
        <v>43</v>
      </c>
      <c r="L9" t="s">
        <v>23</v>
      </c>
      <c r="M9" t="s">
        <v>24</v>
      </c>
      <c r="N9" s="1">
        <v>0.1</v>
      </c>
      <c r="O9">
        <v>4.3</v>
      </c>
      <c r="P9" t="s">
        <v>23</v>
      </c>
    </row>
    <row r="10" spans="1:16" x14ac:dyDescent="0.25">
      <c r="A10" t="s">
        <v>126</v>
      </c>
      <c r="B10" t="s">
        <v>81</v>
      </c>
      <c r="C10" t="s">
        <v>103</v>
      </c>
      <c r="D10" t="s">
        <v>19</v>
      </c>
      <c r="E10" s="3" t="s">
        <v>105</v>
      </c>
      <c r="F10" s="4" t="s">
        <v>117</v>
      </c>
      <c r="G10" t="s">
        <v>20</v>
      </c>
      <c r="H10" t="s">
        <v>27</v>
      </c>
      <c r="I10" s="3">
        <v>45778</v>
      </c>
      <c r="J10" s="3">
        <v>45797</v>
      </c>
      <c r="K10">
        <v>76.150000000000006</v>
      </c>
      <c r="L10" t="s">
        <v>23</v>
      </c>
      <c r="M10" t="s">
        <v>24</v>
      </c>
      <c r="N10" s="1">
        <v>0.1</v>
      </c>
      <c r="O10">
        <v>7.62</v>
      </c>
      <c r="P10" t="s">
        <v>23</v>
      </c>
    </row>
    <row r="11" spans="1:16" x14ac:dyDescent="0.25">
      <c r="A11" t="s">
        <v>127</v>
      </c>
      <c r="B11" t="s">
        <v>57</v>
      </c>
      <c r="C11" t="s">
        <v>103</v>
      </c>
      <c r="D11" t="s">
        <v>19</v>
      </c>
      <c r="E11" s="3" t="s">
        <v>105</v>
      </c>
      <c r="F11" s="4" t="s">
        <v>117</v>
      </c>
      <c r="G11" t="s">
        <v>20</v>
      </c>
      <c r="H11" t="s">
        <v>27</v>
      </c>
      <c r="I11" s="3">
        <v>45778</v>
      </c>
      <c r="J11" s="3">
        <v>45797</v>
      </c>
      <c r="K11">
        <v>52</v>
      </c>
      <c r="L11" t="s">
        <v>23</v>
      </c>
      <c r="M11" t="s">
        <v>24</v>
      </c>
      <c r="N11" s="1">
        <v>0.1</v>
      </c>
      <c r="O11">
        <v>5.2</v>
      </c>
      <c r="P11" t="s">
        <v>23</v>
      </c>
    </row>
    <row r="12" spans="1:16" x14ac:dyDescent="0.25">
      <c r="A12" t="s">
        <v>128</v>
      </c>
      <c r="B12" t="s">
        <v>61</v>
      </c>
      <c r="C12" t="s">
        <v>103</v>
      </c>
      <c r="D12" t="s">
        <v>19</v>
      </c>
      <c r="E12" s="3" t="s">
        <v>105</v>
      </c>
      <c r="F12" s="4" t="s">
        <v>117</v>
      </c>
      <c r="G12" t="s">
        <v>20</v>
      </c>
      <c r="H12" t="s">
        <v>27</v>
      </c>
      <c r="I12" s="3">
        <v>45778</v>
      </c>
      <c r="J12" s="3">
        <v>45797</v>
      </c>
      <c r="K12">
        <v>145.85</v>
      </c>
      <c r="L12" t="s">
        <v>23</v>
      </c>
      <c r="M12" t="s">
        <v>24</v>
      </c>
      <c r="N12" s="1">
        <v>0.1</v>
      </c>
      <c r="O12">
        <v>14.59</v>
      </c>
      <c r="P12" t="s">
        <v>23</v>
      </c>
    </row>
    <row r="13" spans="1:16" x14ac:dyDescent="0.25">
      <c r="A13" t="s">
        <v>129</v>
      </c>
      <c r="B13" t="s">
        <v>59</v>
      </c>
      <c r="C13" t="s">
        <v>103</v>
      </c>
      <c r="D13" t="s">
        <v>19</v>
      </c>
      <c r="E13" s="3" t="s">
        <v>105</v>
      </c>
      <c r="F13" s="4" t="s">
        <v>117</v>
      </c>
      <c r="G13" t="s">
        <v>20</v>
      </c>
      <c r="H13" t="s">
        <v>27</v>
      </c>
      <c r="I13" s="3">
        <v>45778</v>
      </c>
      <c r="J13" s="3">
        <v>45797</v>
      </c>
      <c r="K13">
        <v>43</v>
      </c>
      <c r="L13" t="s">
        <v>23</v>
      </c>
      <c r="M13" t="s">
        <v>24</v>
      </c>
      <c r="N13" s="1">
        <v>0.1</v>
      </c>
      <c r="O13">
        <v>4.3</v>
      </c>
      <c r="P13" t="s">
        <v>23</v>
      </c>
    </row>
    <row r="14" spans="1:16" x14ac:dyDescent="0.25">
      <c r="A14" t="s">
        <v>130</v>
      </c>
      <c r="B14" t="s">
        <v>73</v>
      </c>
      <c r="C14" t="s">
        <v>101</v>
      </c>
      <c r="D14" t="s">
        <v>19</v>
      </c>
      <c r="E14" s="3" t="s">
        <v>113</v>
      </c>
      <c r="F14" s="4" t="s">
        <v>117</v>
      </c>
      <c r="G14" t="s">
        <v>20</v>
      </c>
      <c r="H14" t="s">
        <v>27</v>
      </c>
      <c r="I14" s="3">
        <v>45778</v>
      </c>
      <c r="J14" s="3">
        <v>45797</v>
      </c>
      <c r="K14">
        <v>70.3</v>
      </c>
      <c r="L14" t="s">
        <v>23</v>
      </c>
      <c r="M14" t="s">
        <v>24</v>
      </c>
      <c r="N14" s="1">
        <v>0.2</v>
      </c>
      <c r="O14">
        <v>14.06</v>
      </c>
      <c r="P14" t="s">
        <v>23</v>
      </c>
    </row>
    <row r="15" spans="1:16" x14ac:dyDescent="0.25">
      <c r="A15" t="s">
        <v>131</v>
      </c>
      <c r="B15" t="s">
        <v>43</v>
      </c>
      <c r="C15" t="s">
        <v>103</v>
      </c>
      <c r="D15" t="s">
        <v>19</v>
      </c>
      <c r="E15" s="3" t="s">
        <v>108</v>
      </c>
      <c r="F15" s="4" t="s">
        <v>117</v>
      </c>
      <c r="G15" t="s">
        <v>20</v>
      </c>
      <c r="H15" t="s">
        <v>22</v>
      </c>
      <c r="I15" s="3">
        <v>45778</v>
      </c>
      <c r="J15" s="3">
        <v>45797</v>
      </c>
      <c r="K15">
        <v>25.01</v>
      </c>
      <c r="L15" t="s">
        <v>23</v>
      </c>
      <c r="M15" t="s">
        <v>24</v>
      </c>
      <c r="N15" s="1">
        <v>0.1</v>
      </c>
      <c r="O15">
        <v>2.5</v>
      </c>
      <c r="P15" t="s">
        <v>23</v>
      </c>
    </row>
    <row r="16" spans="1:16" x14ac:dyDescent="0.25">
      <c r="A16" t="s">
        <v>132</v>
      </c>
      <c r="B16" t="s">
        <v>85</v>
      </c>
      <c r="C16" t="s">
        <v>103</v>
      </c>
      <c r="D16" t="s">
        <v>19</v>
      </c>
      <c r="E16" s="3" t="s">
        <v>108</v>
      </c>
      <c r="F16" s="4" t="s">
        <v>117</v>
      </c>
      <c r="G16" t="s">
        <v>20</v>
      </c>
      <c r="H16" t="s">
        <v>86</v>
      </c>
      <c r="I16" s="3">
        <v>45778</v>
      </c>
      <c r="J16" s="3">
        <v>45797</v>
      </c>
      <c r="K16">
        <v>51.19</v>
      </c>
      <c r="L16" t="s">
        <v>23</v>
      </c>
      <c r="M16" t="s">
        <v>24</v>
      </c>
      <c r="N16" s="1">
        <v>0.1</v>
      </c>
      <c r="O16">
        <v>5.12</v>
      </c>
      <c r="P16" t="s">
        <v>23</v>
      </c>
    </row>
    <row r="17" spans="1:16" x14ac:dyDescent="0.25">
      <c r="A17" t="s">
        <v>133</v>
      </c>
      <c r="B17" t="s">
        <v>26</v>
      </c>
      <c r="C17" t="s">
        <v>101</v>
      </c>
      <c r="D17" t="s">
        <v>19</v>
      </c>
      <c r="E17" s="3" t="s">
        <v>114</v>
      </c>
      <c r="F17" s="4">
        <v>17425766</v>
      </c>
      <c r="G17" t="s">
        <v>20</v>
      </c>
      <c r="H17" t="s">
        <v>27</v>
      </c>
      <c r="I17" s="3">
        <v>45778</v>
      </c>
      <c r="J17" s="3">
        <v>45797</v>
      </c>
      <c r="K17">
        <v>142.44999999999999</v>
      </c>
      <c r="L17" t="s">
        <v>23</v>
      </c>
      <c r="M17" t="s">
        <v>24</v>
      </c>
      <c r="N17" s="1">
        <v>0.2</v>
      </c>
      <c r="O17">
        <v>28.49</v>
      </c>
      <c r="P17" t="s">
        <v>23</v>
      </c>
    </row>
    <row r="18" spans="1:16" x14ac:dyDescent="0.25">
      <c r="A18" t="s">
        <v>134</v>
      </c>
      <c r="B18" t="s">
        <v>38</v>
      </c>
      <c r="C18" t="s">
        <v>101</v>
      </c>
      <c r="D18" t="s">
        <v>19</v>
      </c>
      <c r="E18" s="3" t="s">
        <v>111</v>
      </c>
      <c r="F18" s="4">
        <v>17425766</v>
      </c>
      <c r="G18" t="s">
        <v>20</v>
      </c>
      <c r="H18" t="s">
        <v>39</v>
      </c>
      <c r="I18" s="3">
        <v>45778</v>
      </c>
      <c r="J18" s="3">
        <v>45797</v>
      </c>
      <c r="K18">
        <v>43</v>
      </c>
      <c r="L18" t="s">
        <v>23</v>
      </c>
      <c r="M18" t="s">
        <v>24</v>
      </c>
      <c r="N18" s="1">
        <v>0.2</v>
      </c>
      <c r="O18">
        <v>8.6</v>
      </c>
      <c r="P18" t="s">
        <v>23</v>
      </c>
    </row>
    <row r="19" spans="1:16" x14ac:dyDescent="0.25">
      <c r="A19" t="s">
        <v>135</v>
      </c>
      <c r="B19" t="s">
        <v>47</v>
      </c>
      <c r="C19" t="s">
        <v>101</v>
      </c>
      <c r="D19" t="s">
        <v>19</v>
      </c>
      <c r="E19" s="3" t="s">
        <v>111</v>
      </c>
      <c r="F19" s="4">
        <v>17425766</v>
      </c>
      <c r="G19" t="s">
        <v>20</v>
      </c>
      <c r="H19" t="s">
        <v>27</v>
      </c>
      <c r="I19" s="3">
        <v>45778</v>
      </c>
      <c r="J19" s="3">
        <v>45797</v>
      </c>
      <c r="K19">
        <v>52.29</v>
      </c>
      <c r="L19" t="s">
        <v>23</v>
      </c>
      <c r="M19" t="s">
        <v>24</v>
      </c>
      <c r="N19" s="1">
        <v>0.2</v>
      </c>
      <c r="O19">
        <v>10.46</v>
      </c>
      <c r="P19" t="s">
        <v>23</v>
      </c>
    </row>
    <row r="20" spans="1:16" x14ac:dyDescent="0.25">
      <c r="A20" t="s">
        <v>136</v>
      </c>
      <c r="B20" t="s">
        <v>94</v>
      </c>
      <c r="C20" t="s">
        <v>101</v>
      </c>
      <c r="D20" t="s">
        <v>19</v>
      </c>
      <c r="E20" s="3" t="s">
        <v>111</v>
      </c>
      <c r="F20" s="4">
        <v>17425766</v>
      </c>
      <c r="G20" t="s">
        <v>20</v>
      </c>
      <c r="H20" t="s">
        <v>95</v>
      </c>
      <c r="I20" s="3">
        <v>45778</v>
      </c>
      <c r="J20" s="3">
        <v>45797</v>
      </c>
      <c r="K20">
        <v>54</v>
      </c>
      <c r="L20" t="s">
        <v>23</v>
      </c>
      <c r="M20" t="s">
        <v>24</v>
      </c>
      <c r="N20" s="1">
        <v>0.2</v>
      </c>
      <c r="O20">
        <v>10.8</v>
      </c>
      <c r="P20" t="s">
        <v>23</v>
      </c>
    </row>
    <row r="21" spans="1:16" x14ac:dyDescent="0.25">
      <c r="A21" t="s">
        <v>137</v>
      </c>
      <c r="B21" t="s">
        <v>83</v>
      </c>
      <c r="C21" t="s">
        <v>103</v>
      </c>
      <c r="D21" t="s">
        <v>19</v>
      </c>
      <c r="E21" s="3" t="s">
        <v>110</v>
      </c>
      <c r="F21" s="4">
        <v>17425766</v>
      </c>
      <c r="G21" t="s">
        <v>20</v>
      </c>
      <c r="H21" t="s">
        <v>27</v>
      </c>
      <c r="I21" s="3">
        <v>45778</v>
      </c>
      <c r="J21" s="3">
        <v>45797</v>
      </c>
      <c r="K21">
        <v>114.31</v>
      </c>
      <c r="L21" t="s">
        <v>23</v>
      </c>
      <c r="M21" t="s">
        <v>24</v>
      </c>
      <c r="N21" s="1">
        <v>0.1</v>
      </c>
      <c r="O21">
        <v>11.43</v>
      </c>
      <c r="P21" t="s">
        <v>23</v>
      </c>
    </row>
    <row r="22" spans="1:16" x14ac:dyDescent="0.25">
      <c r="A22" t="s">
        <v>138</v>
      </c>
      <c r="B22" t="s">
        <v>75</v>
      </c>
      <c r="C22" t="s">
        <v>101</v>
      </c>
      <c r="D22" t="s">
        <v>19</v>
      </c>
      <c r="E22" s="3" t="s">
        <v>112</v>
      </c>
      <c r="F22" s="4">
        <v>17425766</v>
      </c>
      <c r="G22" t="s">
        <v>20</v>
      </c>
      <c r="H22" t="s">
        <v>27</v>
      </c>
      <c r="I22" s="3">
        <v>45778</v>
      </c>
      <c r="J22" s="3">
        <v>45797</v>
      </c>
      <c r="K22">
        <v>52</v>
      </c>
      <c r="L22" t="s">
        <v>23</v>
      </c>
      <c r="M22" t="s">
        <v>24</v>
      </c>
      <c r="N22" s="1">
        <v>0.2</v>
      </c>
      <c r="O22">
        <v>10.4</v>
      </c>
      <c r="P22" t="s">
        <v>23</v>
      </c>
    </row>
    <row r="23" spans="1:16" x14ac:dyDescent="0.25">
      <c r="A23" t="s">
        <v>139</v>
      </c>
      <c r="B23" t="s">
        <v>92</v>
      </c>
      <c r="C23" t="s">
        <v>101</v>
      </c>
      <c r="D23" t="s">
        <v>19</v>
      </c>
      <c r="E23" s="3" t="s">
        <v>112</v>
      </c>
      <c r="F23" s="4">
        <v>17425766</v>
      </c>
      <c r="G23" t="s">
        <v>20</v>
      </c>
      <c r="H23" t="s">
        <v>27</v>
      </c>
      <c r="I23" s="3">
        <v>45778</v>
      </c>
      <c r="J23" s="3">
        <v>45797</v>
      </c>
      <c r="K23">
        <v>43</v>
      </c>
      <c r="L23" t="s">
        <v>23</v>
      </c>
      <c r="M23" t="s">
        <v>24</v>
      </c>
      <c r="N23" s="1">
        <v>0.2</v>
      </c>
      <c r="O23">
        <v>8.6</v>
      </c>
      <c r="P23" t="s">
        <v>23</v>
      </c>
    </row>
    <row r="24" spans="1:16" x14ac:dyDescent="0.25">
      <c r="A24" t="s">
        <v>140</v>
      </c>
      <c r="B24" t="s">
        <v>88</v>
      </c>
      <c r="C24" t="s">
        <v>101</v>
      </c>
      <c r="D24" t="s">
        <v>50</v>
      </c>
      <c r="E24" s="3" t="s">
        <v>114</v>
      </c>
      <c r="F24">
        <v>16865615</v>
      </c>
      <c r="G24" t="s">
        <v>20</v>
      </c>
      <c r="H24" t="s">
        <v>51</v>
      </c>
      <c r="I24" s="3">
        <v>45778</v>
      </c>
      <c r="J24" s="3">
        <v>45797</v>
      </c>
      <c r="K24">
        <v>34.04</v>
      </c>
      <c r="L24" t="s">
        <v>23</v>
      </c>
      <c r="M24" t="s">
        <v>24</v>
      </c>
      <c r="N24" s="1">
        <v>0.2</v>
      </c>
      <c r="O24">
        <v>6.81</v>
      </c>
      <c r="P24" t="s">
        <v>23</v>
      </c>
    </row>
    <row r="25" spans="1:16" x14ac:dyDescent="0.25">
      <c r="A25" t="s">
        <v>141</v>
      </c>
      <c r="B25" t="s">
        <v>49</v>
      </c>
      <c r="C25" t="s">
        <v>101</v>
      </c>
      <c r="D25" t="s">
        <v>50</v>
      </c>
      <c r="E25" s="3" t="s">
        <v>111</v>
      </c>
      <c r="F25">
        <v>16865615</v>
      </c>
      <c r="G25" t="s">
        <v>20</v>
      </c>
      <c r="H25" t="s">
        <v>51</v>
      </c>
      <c r="I25" s="3">
        <v>45778</v>
      </c>
      <c r="J25" s="3">
        <v>45797</v>
      </c>
      <c r="K25">
        <v>135.13999999999999</v>
      </c>
      <c r="L25" t="s">
        <v>23</v>
      </c>
      <c r="M25" t="s">
        <v>24</v>
      </c>
      <c r="N25" s="1">
        <v>0.2</v>
      </c>
      <c r="O25">
        <v>27.03</v>
      </c>
      <c r="P25" t="s">
        <v>23</v>
      </c>
    </row>
    <row r="26" spans="1:16" x14ac:dyDescent="0.25">
      <c r="A26" t="s">
        <v>142</v>
      </c>
      <c r="B26" t="s">
        <v>69</v>
      </c>
      <c r="C26" t="s">
        <v>101</v>
      </c>
      <c r="D26" t="s">
        <v>70</v>
      </c>
      <c r="E26" s="3" t="s">
        <v>112</v>
      </c>
      <c r="F26">
        <v>18754354</v>
      </c>
      <c r="G26" t="s">
        <v>20</v>
      </c>
      <c r="H26" t="s">
        <v>71</v>
      </c>
      <c r="I26" s="3">
        <v>45778</v>
      </c>
      <c r="J26" s="3">
        <v>45797</v>
      </c>
      <c r="K26">
        <v>120.17</v>
      </c>
      <c r="L26" t="s">
        <v>23</v>
      </c>
      <c r="M26" t="s">
        <v>24</v>
      </c>
      <c r="N26" s="1">
        <v>0.2</v>
      </c>
      <c r="O26">
        <v>24.03</v>
      </c>
      <c r="P26" t="s">
        <v>23</v>
      </c>
    </row>
    <row r="27" spans="1:16" x14ac:dyDescent="0.25">
      <c r="A27" t="s">
        <v>143</v>
      </c>
      <c r="B27" t="s">
        <v>77</v>
      </c>
      <c r="C27" t="s">
        <v>101</v>
      </c>
      <c r="D27" t="s">
        <v>78</v>
      </c>
      <c r="E27" s="3" t="s">
        <v>112</v>
      </c>
      <c r="F27">
        <v>16633294</v>
      </c>
      <c r="G27" t="s">
        <v>20</v>
      </c>
      <c r="H27" t="s">
        <v>79</v>
      </c>
      <c r="I27" s="3">
        <v>45778</v>
      </c>
      <c r="J27" s="3">
        <v>45797</v>
      </c>
      <c r="K27">
        <v>200.63</v>
      </c>
      <c r="L27" t="s">
        <v>23</v>
      </c>
      <c r="M27" t="s">
        <v>24</v>
      </c>
      <c r="N27" s="1">
        <v>0.2</v>
      </c>
      <c r="O27">
        <v>40.130000000000003</v>
      </c>
      <c r="P27" t="s">
        <v>23</v>
      </c>
    </row>
    <row r="28" spans="1:16" x14ac:dyDescent="0.25">
      <c r="A28" t="s">
        <v>144</v>
      </c>
      <c r="B28" t="s">
        <v>97</v>
      </c>
      <c r="C28" t="s">
        <v>102</v>
      </c>
      <c r="D28" t="s">
        <v>99</v>
      </c>
      <c r="E28" s="3" t="s">
        <v>111</v>
      </c>
      <c r="F28">
        <v>6634327</v>
      </c>
      <c r="G28" t="s">
        <v>32</v>
      </c>
      <c r="H28" t="s">
        <v>51</v>
      </c>
      <c r="I28" s="3">
        <v>45778</v>
      </c>
      <c r="J28" s="3">
        <v>45797</v>
      </c>
      <c r="K28">
        <v>247.9</v>
      </c>
      <c r="L28" t="s">
        <v>67</v>
      </c>
      <c r="M28">
        <v>1</v>
      </c>
      <c r="N28" s="2">
        <v>20</v>
      </c>
      <c r="O28">
        <v>20</v>
      </c>
      <c r="P28" t="s">
        <v>23</v>
      </c>
    </row>
    <row r="29" spans="1:16" x14ac:dyDescent="0.25">
      <c r="A29" t="s">
        <v>145</v>
      </c>
      <c r="B29" t="s">
        <v>29</v>
      </c>
      <c r="C29" t="s">
        <v>104</v>
      </c>
      <c r="D29" t="s">
        <v>31</v>
      </c>
      <c r="E29" s="3" t="s">
        <v>115</v>
      </c>
      <c r="F29">
        <v>20436925</v>
      </c>
      <c r="G29" t="s">
        <v>32</v>
      </c>
      <c r="H29" t="s">
        <v>33</v>
      </c>
      <c r="I29" s="3">
        <v>45778</v>
      </c>
      <c r="J29" s="3">
        <v>45797</v>
      </c>
      <c r="K29">
        <v>0</v>
      </c>
      <c r="L29" t="s">
        <v>34</v>
      </c>
      <c r="M29" t="s">
        <v>147</v>
      </c>
      <c r="N29" s="2">
        <v>25</v>
      </c>
      <c r="O29">
        <v>50</v>
      </c>
      <c r="P29" t="s">
        <v>23</v>
      </c>
    </row>
    <row r="30" spans="1:16" x14ac:dyDescent="0.25">
      <c r="A30" t="s">
        <v>146</v>
      </c>
      <c r="B30" t="s">
        <v>65</v>
      </c>
      <c r="C30" t="s">
        <v>104</v>
      </c>
      <c r="D30" t="s">
        <v>66</v>
      </c>
      <c r="E30" s="3" t="s">
        <v>115</v>
      </c>
      <c r="F30">
        <v>1706194</v>
      </c>
      <c r="G30" t="s">
        <v>32</v>
      </c>
      <c r="H30" t="s">
        <v>33</v>
      </c>
      <c r="I30" s="3">
        <v>45778</v>
      </c>
      <c r="J30" s="3">
        <v>45797</v>
      </c>
      <c r="K30">
        <v>167.83</v>
      </c>
      <c r="L30" t="s">
        <v>67</v>
      </c>
      <c r="M30">
        <v>1</v>
      </c>
      <c r="N30" s="2">
        <v>25</v>
      </c>
      <c r="O30">
        <v>25</v>
      </c>
      <c r="P30" t="s">
        <v>23</v>
      </c>
    </row>
  </sheetData>
  <sortState xmlns:xlrd2="http://schemas.microsoft.com/office/spreadsheetml/2017/richdata2" ref="A3:Q23">
    <sortCondition ref="I3:I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16C5-3935-442C-9874-5267C407B195}">
  <dimension ref="A1:D29"/>
  <sheetViews>
    <sheetView workbookViewId="0">
      <selection activeCell="D1" sqref="D1:D26"/>
    </sheetView>
  </sheetViews>
  <sheetFormatPr defaultRowHeight="15" x14ac:dyDescent="0.25"/>
  <sheetData>
    <row r="1" spans="1:4" x14ac:dyDescent="0.25">
      <c r="A1" t="s">
        <v>52</v>
      </c>
      <c r="B1" t="str" cm="1">
        <f t="array" ref="B1:B29">VLOOKUP(A1:A29,[1]Sheet2!$A$1:$B$168,2,FALSE)</f>
        <v>3/1/2024</v>
      </c>
      <c r="C1" t="s">
        <v>35</v>
      </c>
      <c r="D1" t="str">
        <f>CONCATENATE(C1,7)</f>
        <v>11EQ737</v>
      </c>
    </row>
    <row r="2" spans="1:4" x14ac:dyDescent="0.25">
      <c r="A2" t="s">
        <v>16</v>
      </c>
      <c r="B2" t="str">
        <v>12/1/2023</v>
      </c>
      <c r="C2" t="s">
        <v>16</v>
      </c>
      <c r="D2" t="str">
        <f t="shared" ref="D2:D29" si="0">CONCATENATE(C2,7)</f>
        <v>01DT827</v>
      </c>
    </row>
    <row r="3" spans="1:4" x14ac:dyDescent="0.25">
      <c r="A3" t="s">
        <v>89</v>
      </c>
      <c r="B3" t="str">
        <v>2/1/2024</v>
      </c>
      <c r="C3" t="s">
        <v>40</v>
      </c>
      <c r="D3" t="str">
        <f t="shared" si="0"/>
        <v>19C09G7</v>
      </c>
    </row>
    <row r="4" spans="1:4" x14ac:dyDescent="0.25">
      <c r="A4" t="s">
        <v>54</v>
      </c>
      <c r="B4" t="str">
        <v>3/1/2024</v>
      </c>
      <c r="C4" t="s">
        <v>44</v>
      </c>
      <c r="D4" t="str">
        <f t="shared" si="0"/>
        <v>22C81W7</v>
      </c>
    </row>
    <row r="5" spans="1:4" x14ac:dyDescent="0.25">
      <c r="A5" t="s">
        <v>62</v>
      </c>
      <c r="B5" t="str">
        <v>3/1/2024</v>
      </c>
      <c r="C5" t="s">
        <v>89</v>
      </c>
      <c r="D5" t="str">
        <f t="shared" si="0"/>
        <v>88GC667</v>
      </c>
    </row>
    <row r="6" spans="1:4" x14ac:dyDescent="0.25">
      <c r="A6" t="s">
        <v>42</v>
      </c>
      <c r="B6" t="str">
        <v>7/1/2023</v>
      </c>
      <c r="C6" t="s">
        <v>52</v>
      </c>
      <c r="D6" t="str">
        <f t="shared" si="0"/>
        <v>36H0M77</v>
      </c>
    </row>
    <row r="7" spans="1:4" x14ac:dyDescent="0.25">
      <c r="A7" t="s">
        <v>84</v>
      </c>
      <c r="B7" t="str">
        <v>7/1/2023</v>
      </c>
      <c r="C7" t="s">
        <v>54</v>
      </c>
      <c r="D7" t="str">
        <f t="shared" si="0"/>
        <v>36H9M67</v>
      </c>
    </row>
    <row r="8" spans="1:4" x14ac:dyDescent="0.25">
      <c r="A8" t="s">
        <v>40</v>
      </c>
      <c r="B8" t="str">
        <v>12/1/2023</v>
      </c>
      <c r="C8" t="s">
        <v>62</v>
      </c>
      <c r="D8" t="str">
        <f t="shared" si="0"/>
        <v>39H0M37</v>
      </c>
    </row>
    <row r="9" spans="1:4" x14ac:dyDescent="0.25">
      <c r="A9" t="s">
        <v>80</v>
      </c>
      <c r="B9" t="str">
        <v>3/1/2024</v>
      </c>
      <c r="C9" t="s">
        <v>80</v>
      </c>
      <c r="D9" t="str">
        <f t="shared" si="0"/>
        <v>76H3P57</v>
      </c>
    </row>
    <row r="10" spans="1:4" x14ac:dyDescent="0.25">
      <c r="A10" t="s">
        <v>35</v>
      </c>
      <c r="B10" t="str">
        <v>1/1/2024</v>
      </c>
      <c r="C10" t="s">
        <v>56</v>
      </c>
      <c r="D10" t="str">
        <f t="shared" si="0"/>
        <v>37H4M87</v>
      </c>
    </row>
    <row r="11" spans="1:4" x14ac:dyDescent="0.25">
      <c r="A11" t="s">
        <v>56</v>
      </c>
      <c r="B11" t="str">
        <v>3/1/2024</v>
      </c>
      <c r="C11" t="s">
        <v>60</v>
      </c>
      <c r="D11" t="str">
        <f t="shared" si="0"/>
        <v>38H6M67</v>
      </c>
    </row>
    <row r="12" spans="1:4" x14ac:dyDescent="0.25">
      <c r="A12" t="s">
        <v>60</v>
      </c>
      <c r="B12" t="str">
        <v>3/1/2024</v>
      </c>
      <c r="C12" t="s">
        <v>58</v>
      </c>
      <c r="D12" t="str">
        <f t="shared" si="0"/>
        <v>37H4M97</v>
      </c>
    </row>
    <row r="13" spans="1:4" x14ac:dyDescent="0.25">
      <c r="A13" t="s">
        <v>82</v>
      </c>
      <c r="B13" t="str">
        <v>9/1/2023</v>
      </c>
      <c r="C13" t="s">
        <v>72</v>
      </c>
      <c r="D13" t="str">
        <f t="shared" si="0"/>
        <v>63K9V77</v>
      </c>
    </row>
    <row r="14" spans="1:4" x14ac:dyDescent="0.25">
      <c r="A14" t="s">
        <v>58</v>
      </c>
      <c r="B14" t="str">
        <v>3/1/2024</v>
      </c>
      <c r="C14" t="s">
        <v>42</v>
      </c>
      <c r="D14" t="str">
        <f t="shared" si="0"/>
        <v>1Y207E7</v>
      </c>
    </row>
    <row r="15" spans="1:4" x14ac:dyDescent="0.25">
      <c r="A15" t="s">
        <v>44</v>
      </c>
      <c r="B15" t="str">
        <v>12/1/2023</v>
      </c>
      <c r="C15" t="s">
        <v>84</v>
      </c>
      <c r="D15" t="str">
        <f t="shared" si="0"/>
        <v>7Y95N87</v>
      </c>
    </row>
    <row r="16" spans="1:4" x14ac:dyDescent="0.25">
      <c r="A16" t="s">
        <v>37</v>
      </c>
      <c r="B16" t="str">
        <v>8/1/2024</v>
      </c>
      <c r="C16" t="s">
        <v>25</v>
      </c>
      <c r="D16" t="str">
        <f t="shared" si="0"/>
        <v>09L0F97</v>
      </c>
    </row>
    <row r="17" spans="1:4" x14ac:dyDescent="0.25">
      <c r="A17" t="s">
        <v>74</v>
      </c>
      <c r="B17" t="str">
        <v>9/1/2024</v>
      </c>
      <c r="C17" t="s">
        <v>37</v>
      </c>
      <c r="D17" t="str">
        <f t="shared" si="0"/>
        <v>13L90K7</v>
      </c>
    </row>
    <row r="18" spans="1:4" x14ac:dyDescent="0.25">
      <c r="A18" t="s">
        <v>91</v>
      </c>
      <c r="B18" t="str">
        <v>9/1/2024</v>
      </c>
      <c r="C18" t="s">
        <v>46</v>
      </c>
      <c r="D18" t="str">
        <f t="shared" si="0"/>
        <v>24L45K7</v>
      </c>
    </row>
    <row r="19" spans="1:4" x14ac:dyDescent="0.25">
      <c r="A19" t="s">
        <v>72</v>
      </c>
      <c r="B19" t="str">
        <v>6/1/2024</v>
      </c>
      <c r="C19" t="s">
        <v>93</v>
      </c>
      <c r="D19" t="str">
        <f t="shared" si="0"/>
        <v>96L3R87</v>
      </c>
    </row>
    <row r="20" spans="1:4" x14ac:dyDescent="0.25">
      <c r="A20" t="s">
        <v>46</v>
      </c>
      <c r="B20" t="str">
        <v>8/1/2024</v>
      </c>
      <c r="C20" t="s">
        <v>82</v>
      </c>
      <c r="D20" t="str">
        <f t="shared" si="0"/>
        <v>79A4G57</v>
      </c>
    </row>
    <row r="21" spans="1:4" x14ac:dyDescent="0.25">
      <c r="A21" t="s">
        <v>93</v>
      </c>
      <c r="B21" t="str">
        <v>8/1/2024</v>
      </c>
      <c r="C21" t="s">
        <v>74</v>
      </c>
      <c r="D21" t="str">
        <f t="shared" si="0"/>
        <v>65MP817</v>
      </c>
    </row>
    <row r="22" spans="1:4" x14ac:dyDescent="0.25">
      <c r="A22" t="s">
        <v>25</v>
      </c>
      <c r="B22" t="str">
        <v>7/1/2024</v>
      </c>
      <c r="C22" t="s">
        <v>91</v>
      </c>
      <c r="D22" t="str">
        <f t="shared" si="0"/>
        <v>89MQ997</v>
      </c>
    </row>
    <row r="23" spans="1:4" x14ac:dyDescent="0.25">
      <c r="A23" t="s">
        <v>87</v>
      </c>
      <c r="B23" t="str">
        <v>7/1/2024</v>
      </c>
      <c r="C23" t="s">
        <v>87</v>
      </c>
      <c r="D23" t="str">
        <f t="shared" si="0"/>
        <v>85L9M57</v>
      </c>
    </row>
    <row r="24" spans="1:4" x14ac:dyDescent="0.25">
      <c r="A24" t="s">
        <v>48</v>
      </c>
      <c r="B24" t="str">
        <v>8/1/2024</v>
      </c>
      <c r="C24" t="s">
        <v>48</v>
      </c>
      <c r="D24" t="str">
        <f t="shared" si="0"/>
        <v>35L86T7</v>
      </c>
    </row>
    <row r="25" spans="1:4" x14ac:dyDescent="0.25">
      <c r="A25" t="s">
        <v>68</v>
      </c>
      <c r="B25" t="str">
        <v>9/1/2024</v>
      </c>
      <c r="C25" t="s">
        <v>68</v>
      </c>
      <c r="D25" t="str">
        <f t="shared" si="0"/>
        <v>56M9L57</v>
      </c>
    </row>
    <row r="26" spans="1:4" x14ac:dyDescent="0.25">
      <c r="A26" t="s">
        <v>76</v>
      </c>
      <c r="B26" t="str">
        <v>9/1/2024</v>
      </c>
      <c r="C26" t="s">
        <v>76</v>
      </c>
      <c r="D26" t="str">
        <f t="shared" si="0"/>
        <v>69M79F7</v>
      </c>
    </row>
    <row r="27" spans="1:4" x14ac:dyDescent="0.25">
      <c r="A27" t="s">
        <v>96</v>
      </c>
      <c r="B27" t="str">
        <v>8/1/2024</v>
      </c>
      <c r="D27" t="str">
        <f t="shared" si="0"/>
        <v>7</v>
      </c>
    </row>
    <row r="28" spans="1:4" x14ac:dyDescent="0.25">
      <c r="A28" t="s">
        <v>28</v>
      </c>
      <c r="B28" t="str">
        <v>1/1/2025</v>
      </c>
      <c r="D28" t="str">
        <f t="shared" si="0"/>
        <v>7</v>
      </c>
    </row>
    <row r="29" spans="1:4" x14ac:dyDescent="0.25">
      <c r="A29" t="s">
        <v>64</v>
      </c>
      <c r="B29" t="str">
        <v>1/1/2025</v>
      </c>
      <c r="D29" t="str">
        <f t="shared" si="0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export-554662-20250520</vt:lpstr>
      <vt:lpstr>clean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2025-05-22T14:46:21Z</dcterms:created>
  <dcterms:modified xsi:type="dcterms:W3CDTF">2025-05-27T23:17:19Z</dcterms:modified>
</cp:coreProperties>
</file>