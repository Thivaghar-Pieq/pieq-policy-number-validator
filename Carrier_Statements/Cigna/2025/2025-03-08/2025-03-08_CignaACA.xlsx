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03-08-25\"/>
    </mc:Choice>
  </mc:AlternateContent>
  <xr:revisionPtr revIDLastSave="0" documentId="13_ncr:1_{63B28600-2B2E-48B9-90D0-E521F84C67B5}" xr6:coauthVersionLast="47" xr6:coauthVersionMax="47" xr10:uidLastSave="{00000000-0000-0000-0000-000000000000}"/>
  <bookViews>
    <workbookView xWindow="28680" yWindow="-120" windowWidth="29040" windowHeight="16440" activeTab="1" xr2:uid="{A9C10E50-4673-40A9-9AB3-1F0BBB72194D}"/>
  </bookViews>
  <sheets>
    <sheet name="export-554662-20250308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3" i="2" l="1"/>
  <c r="B34" i="2"/>
  <c r="B35" i="2"/>
  <c r="B36" i="2"/>
  <c r="B37" i="2"/>
  <c r="B38" i="2"/>
  <c r="B39" i="2"/>
  <c r="B40" i="2"/>
  <c r="B28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29" i="2"/>
  <c r="B57" i="2"/>
  <c r="B30" i="2"/>
  <c r="B58" i="2"/>
  <c r="B59" i="2"/>
  <c r="B60" i="2"/>
  <c r="B67" i="2"/>
  <c r="B25" i="2"/>
  <c r="B61" i="2"/>
  <c r="B62" i="2"/>
  <c r="B63" i="2"/>
  <c r="B64" i="2"/>
  <c r="B65" i="2"/>
  <c r="B68" i="2"/>
  <c r="B3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6" i="2"/>
  <c r="B19" i="2"/>
  <c r="B31" i="2"/>
  <c r="B20" i="2"/>
  <c r="B21" i="2"/>
  <c r="B22" i="2"/>
  <c r="B66" i="2"/>
  <c r="B27" i="2"/>
  <c r="B23" i="2"/>
  <c r="B24" i="2"/>
  <c r="B2" i="2"/>
  <c r="J32" i="2"/>
  <c r="K32" i="2" s="1"/>
  <c r="J33" i="2"/>
  <c r="K33" i="2" s="1"/>
  <c r="J15" i="2"/>
  <c r="K15" i="2" s="1"/>
  <c r="J34" i="2"/>
  <c r="K34" i="2" s="1"/>
  <c r="J35" i="2"/>
  <c r="K35" i="2" s="1"/>
  <c r="J36" i="2"/>
  <c r="K36" i="2" s="1"/>
  <c r="J37" i="2"/>
  <c r="K37" i="2" s="1"/>
  <c r="J3" i="2"/>
  <c r="K3" i="2" s="1"/>
  <c r="J16" i="2"/>
  <c r="K16" i="2" s="1"/>
  <c r="J38" i="2"/>
  <c r="K38" i="2" s="1"/>
  <c r="J4" i="2"/>
  <c r="K4" i="2" s="1"/>
  <c r="J5" i="2"/>
  <c r="K5" i="2" s="1"/>
  <c r="J6" i="2"/>
  <c r="K6" i="2" s="1"/>
  <c r="J39" i="2"/>
  <c r="K39" i="2" s="1"/>
  <c r="J17" i="2"/>
  <c r="K17" i="2" s="1"/>
  <c r="J58" i="2"/>
  <c r="K58" i="2" s="1"/>
  <c r="J59" i="2"/>
  <c r="K59" i="2" s="1"/>
  <c r="J60" i="2"/>
  <c r="K60" i="2" s="1"/>
  <c r="J40" i="2"/>
  <c r="K40" i="2" s="1"/>
  <c r="J18" i="2"/>
  <c r="K18" i="2" s="1"/>
  <c r="J25" i="2"/>
  <c r="K25" i="2" s="1"/>
  <c r="J26" i="2"/>
  <c r="K26" i="2" s="1"/>
  <c r="J28" i="2"/>
  <c r="K28" i="2" s="1"/>
  <c r="J7" i="2"/>
  <c r="K7" i="2" s="1"/>
  <c r="J41" i="2"/>
  <c r="K41" i="2" s="1"/>
  <c r="J42" i="2"/>
  <c r="K42" i="2" s="1"/>
  <c r="J43" i="2"/>
  <c r="K43" i="2" s="1"/>
  <c r="J8" i="2"/>
  <c r="K8" i="2" s="1"/>
  <c r="J9" i="2"/>
  <c r="K9" i="2" s="1"/>
  <c r="J10" i="2"/>
  <c r="K10" i="2" s="1"/>
  <c r="J11" i="2"/>
  <c r="K11" i="2" s="1"/>
  <c r="J44" i="2"/>
  <c r="K44" i="2" s="1"/>
  <c r="J45" i="2"/>
  <c r="K45" i="2" s="1"/>
  <c r="J46" i="2"/>
  <c r="K46" i="2" s="1"/>
  <c r="J47" i="2"/>
  <c r="K47" i="2" s="1"/>
  <c r="J19" i="2"/>
  <c r="K19" i="2" s="1"/>
  <c r="J61" i="2"/>
  <c r="K61" i="2" s="1"/>
  <c r="J62" i="2"/>
  <c r="K62" i="2" s="1"/>
  <c r="J48" i="2"/>
  <c r="K48" i="2" s="1"/>
  <c r="J31" i="2"/>
  <c r="K31" i="2" s="1"/>
  <c r="J49" i="2"/>
  <c r="K49" i="2" s="1"/>
  <c r="J50" i="2"/>
  <c r="K50" i="2" s="1"/>
  <c r="J51" i="2"/>
  <c r="K51" i="2" s="1"/>
  <c r="J52" i="2"/>
  <c r="K52" i="2" s="1"/>
  <c r="J53" i="2"/>
  <c r="K53" i="2" s="1"/>
  <c r="J20" i="2"/>
  <c r="K20" i="2" s="1"/>
  <c r="J21" i="2"/>
  <c r="K21" i="2" s="1"/>
  <c r="J22" i="2"/>
  <c r="K22" i="2" s="1"/>
  <c r="J68" i="2"/>
  <c r="K68" i="2" s="1"/>
  <c r="J66" i="2"/>
  <c r="K66" i="2" s="1"/>
  <c r="J54" i="2"/>
  <c r="K54" i="2" s="1"/>
  <c r="J67" i="2"/>
  <c r="K67" i="2" s="1"/>
  <c r="J12" i="2"/>
  <c r="K12" i="2" s="1"/>
  <c r="J13" i="2"/>
  <c r="K13" i="2" s="1"/>
  <c r="J27" i="2"/>
  <c r="K27" i="2" s="1"/>
  <c r="J55" i="2"/>
  <c r="K55" i="2" s="1"/>
  <c r="J56" i="2"/>
  <c r="K56" i="2" s="1"/>
  <c r="J14" i="2"/>
  <c r="K14" i="2" s="1"/>
  <c r="J23" i="2"/>
  <c r="K23" i="2" s="1"/>
  <c r="J29" i="2"/>
  <c r="K29" i="2" s="1"/>
  <c r="J24" i="2"/>
  <c r="K24" i="2" s="1"/>
  <c r="J57" i="2"/>
  <c r="K57" i="2" s="1"/>
  <c r="J63" i="2"/>
  <c r="K63" i="2" s="1"/>
  <c r="J64" i="2"/>
  <c r="K64" i="2" s="1"/>
  <c r="J65" i="2"/>
  <c r="K65" i="2" s="1"/>
  <c r="J30" i="2"/>
  <c r="K30" i="2" s="1"/>
  <c r="J2" i="2"/>
  <c r="K2" i="2" s="1"/>
</calcChain>
</file>

<file path=xl/sharedStrings.xml><?xml version="1.0" encoding="utf-8"?>
<sst xmlns="http://schemas.openxmlformats.org/spreadsheetml/2006/main" count="1224" uniqueCount="160">
  <si>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</si>
  <si>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</si>
  <si>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</si>
  <si>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</si>
  <si>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</si>
  <si>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</si>
  <si>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</si>
  <si>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</si>
  <si>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</si>
  <si>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</si>
  <si>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</si>
  <si>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</si>
  <si>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</si>
  <si>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</si>
  <si>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</si>
  <si>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</si>
  <si>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</si>
  <si>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</si>
  <si>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</si>
  <si>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</si>
  <si>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</si>
  <si>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</si>
  <si>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</si>
  <si>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</si>
  <si>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</si>
  <si>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08M74D</t>
  </si>
  <si>
    <t>STUTHI PAUL PEDAPATI, RAJ</t>
  </si>
  <si>
    <t>Medical, HOAPIN</t>
  </si>
  <si>
    <t>JOEL LEE</t>
  </si>
  <si>
    <t>PMPM</t>
  </si>
  <si>
    <t>CO</t>
  </si>
  <si>
    <t>X, SP</t>
  </si>
  <si>
    <t>09L0F9</t>
  </si>
  <si>
    <t>POPE, TIMOTHY</t>
  </si>
  <si>
    <t>PA</t>
  </si>
  <si>
    <t>10M3K3</t>
  </si>
  <si>
    <t>ALIMADADSOLTANI, SAYNA</t>
  </si>
  <si>
    <t>X, CP</t>
  </si>
  <si>
    <t>10M8K8</t>
  </si>
  <si>
    <t>ZHOU, SHITIAN</t>
  </si>
  <si>
    <t>11EQ73</t>
  </si>
  <si>
    <t>POETA, JULIA</t>
  </si>
  <si>
    <t>13L90K</t>
  </si>
  <si>
    <t>BRAMBLEY, JEANNE</t>
  </si>
  <si>
    <t>NJ</t>
  </si>
  <si>
    <t>17M71Y</t>
  </si>
  <si>
    <t>SWIFT, HANNAH</t>
  </si>
  <si>
    <t>19C09G</t>
  </si>
  <si>
    <t>GUCCIONE, ROBERT</t>
  </si>
  <si>
    <t>1Y207E</t>
  </si>
  <si>
    <t>FOLEY, CAROL</t>
  </si>
  <si>
    <t>22C81W</t>
  </si>
  <si>
    <t>TISSERAND, CAROL</t>
  </si>
  <si>
    <t>23M79D</t>
  </si>
  <si>
    <t>SHEKARIAN, NASER</t>
  </si>
  <si>
    <t>24L45K</t>
  </si>
  <si>
    <t>KERN, CATHERINE</t>
  </si>
  <si>
    <t>24N58N</t>
  </si>
  <si>
    <t>OZOBIA, CHARLES</t>
  </si>
  <si>
    <t>Medical, HMO1</t>
  </si>
  <si>
    <t>MATTHEW DAUGHERTY</t>
  </si>
  <si>
    <t>GA</t>
  </si>
  <si>
    <t>32M8H8</t>
  </si>
  <si>
    <t>JACOBS, STEVEN</t>
  </si>
  <si>
    <t xml:space="preserve">, </t>
  </si>
  <si>
    <t>33L80Y</t>
  </si>
  <si>
    <t>NEHER, DORIS</t>
  </si>
  <si>
    <t>35DH74</t>
  </si>
  <si>
    <t>KULCHYCKYJ, ANDREY</t>
  </si>
  <si>
    <t>GREGORY TEIPEL</t>
  </si>
  <si>
    <t>TX</t>
  </si>
  <si>
    <t>35L86T</t>
  </si>
  <si>
    <t>VILANUEVA, JOHANI</t>
  </si>
  <si>
    <t>HEATHER GESKE</t>
  </si>
  <si>
    <t>35ND95</t>
  </si>
  <si>
    <t>SHANK, JESSICA</t>
  </si>
  <si>
    <t>36H9M6</t>
  </si>
  <si>
    <t>CAUTILLI, JOSEPH</t>
  </si>
  <si>
    <t>36M6M7</t>
  </si>
  <si>
    <t>ILORI, MUYIWA</t>
  </si>
  <si>
    <t>36MP65</t>
  </si>
  <si>
    <t>AALAMI HARANDI, DIBA</t>
  </si>
  <si>
    <t>37H4M8</t>
  </si>
  <si>
    <t>POWER, WILLIAM</t>
  </si>
  <si>
    <t>37H4M9</t>
  </si>
  <si>
    <t>SUMMERS, DANIELLE</t>
  </si>
  <si>
    <t>38H6M6</t>
  </si>
  <si>
    <t>SANTILLI, LYNN</t>
  </si>
  <si>
    <t>39H0M3</t>
  </si>
  <si>
    <t>DERON, JOE</t>
  </si>
  <si>
    <t>39M88D</t>
  </si>
  <si>
    <t>ERICKSON, LINDA</t>
  </si>
  <si>
    <t>46NE60</t>
  </si>
  <si>
    <t>RULE, SHANNON</t>
  </si>
  <si>
    <t>47M59G</t>
  </si>
  <si>
    <t>MOHAMED, AYA</t>
  </si>
  <si>
    <t>54L60G</t>
  </si>
  <si>
    <t>HENDERSON, ETTA</t>
  </si>
  <si>
    <t>56L91L</t>
  </si>
  <si>
    <t>FLYNN, DARWIN</t>
  </si>
  <si>
    <t>56M32E</t>
  </si>
  <si>
    <t>WILSON, VELICITY</t>
  </si>
  <si>
    <t>56M9L5</t>
  </si>
  <si>
    <t>NABOR, JODI</t>
  </si>
  <si>
    <t>JACOB YALE</t>
  </si>
  <si>
    <t>IL</t>
  </si>
  <si>
    <t>61NC97</t>
  </si>
  <si>
    <t>VASUDEVAN, MALATHI</t>
  </si>
  <si>
    <t>62NC24</t>
  </si>
  <si>
    <t>KHORSANDI, HOSNA</t>
  </si>
  <si>
    <t>62NC36</t>
  </si>
  <si>
    <t>GANESH NARAGAM, KIRAN</t>
  </si>
  <si>
    <t>63K9V7</t>
  </si>
  <si>
    <t>GODWIN, LYNDA</t>
  </si>
  <si>
    <t>65MP81</t>
  </si>
  <si>
    <t>DRUMHELLER, GARY</t>
  </si>
  <si>
    <t>69CK84</t>
  </si>
  <si>
    <t>WATSON, CURTIS</t>
  </si>
  <si>
    <t>WILLIAM SCHAEFFER</t>
  </si>
  <si>
    <t>VA</t>
  </si>
  <si>
    <t>69M79F</t>
  </si>
  <si>
    <t>BAUCOM, JONATHAN</t>
  </si>
  <si>
    <t>RICHARD YALE</t>
  </si>
  <si>
    <t>WI</t>
  </si>
  <si>
    <t>70MB72</t>
  </si>
  <si>
    <t>RASMUSSEN-GOODWIN, EMILY</t>
  </si>
  <si>
    <t>76B8F5</t>
  </si>
  <si>
    <t>WAGNER, CHRISTINE</t>
  </si>
  <si>
    <t>STEPHANIE DRAPAC</t>
  </si>
  <si>
    <t>76H3P5</t>
  </si>
  <si>
    <t>HARVAN, ALBERT</t>
  </si>
  <si>
    <t>7Y95N8</t>
  </si>
  <si>
    <t>GAINES, SHERRY</t>
  </si>
  <si>
    <t>85L9M5</t>
  </si>
  <si>
    <t>ASEBEDO, ISRAEL</t>
  </si>
  <si>
    <t>85NN12</t>
  </si>
  <si>
    <t>CHINNAM, SAIKRISHNA</t>
  </si>
  <si>
    <t>88GC66</t>
  </si>
  <si>
    <t>BRESLIN, PATRICK</t>
  </si>
  <si>
    <t>89MQ99</t>
  </si>
  <si>
    <t>GEORGIOU, MARISSA</t>
  </si>
  <si>
    <t>91MR97</t>
  </si>
  <si>
    <t>MCELVANY, TARYN</t>
  </si>
  <si>
    <t>96L3R8</t>
  </si>
  <si>
    <t>KRYGER, CHRISTOPHER</t>
  </si>
  <si>
    <t>OR</t>
  </si>
  <si>
    <t>97MT87</t>
  </si>
  <si>
    <t>HASSE, KATE</t>
  </si>
  <si>
    <t>98C62K</t>
  </si>
  <si>
    <t>OKOCHA, JOHN</t>
  </si>
  <si>
    <t>99LN83</t>
  </si>
  <si>
    <t>PAPIERZ, JUSTIN</t>
  </si>
  <si>
    <t>Cigna Dental</t>
  </si>
  <si>
    <t>Cigna DVH</t>
  </si>
  <si>
    <t>Cigna 2025 AZ, CO, IL</t>
  </si>
  <si>
    <t>[PMPM=3]</t>
  </si>
  <si>
    <t>[PMPM=2]</t>
  </si>
  <si>
    <t>Cigna (2024) - GA</t>
  </si>
  <si>
    <t>Cigna - TX</t>
  </si>
  <si>
    <t>Cigna -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</si>
</sst>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0" xfId="0" applyFill="1"/>
    <xf numFmtId="14" fontId="0" fillId="0" borderId="0" xfId="0" applyNumberFormat="1" applyFill="1"/>
    <xf numFmtId="9" fontId="0" fillId="0" borderId="0" xfId="0" applyNumberFormat="1" applyFill="1"/>
    <xf numFmtId="6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B05F-B6DC-4879-A75A-4EB133B773EF}">
  <dimension ref="A1:P68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20250301</v>
      </c>
      <c r="J2">
        <v>20250308</v>
      </c>
      <c r="K2">
        <v>32</v>
      </c>
      <c r="L2" t="s">
        <v>23</v>
      </c>
      <c r="M2" t="s">
        <v>24</v>
      </c>
      <c r="N2" s="1">
        <v>0.1</v>
      </c>
      <c r="O2">
        <v>3.2</v>
      </c>
      <c r="P2" t="s">
        <v>23</v>
      </c>
    </row>
    <row r="3" spans="1:16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21</v>
      </c>
      <c r="G3" t="s">
        <v>30</v>
      </c>
      <c r="H3" t="s">
        <v>23</v>
      </c>
      <c r="I3">
        <v>20250201</v>
      </c>
      <c r="J3">
        <v>20250308</v>
      </c>
      <c r="K3">
        <v>341.16</v>
      </c>
      <c r="L3" t="s">
        <v>31</v>
      </c>
      <c r="M3">
        <v>1</v>
      </c>
      <c r="N3" s="2">
        <v>20</v>
      </c>
      <c r="O3">
        <v>20</v>
      </c>
      <c r="P3" t="s">
        <v>23</v>
      </c>
    </row>
    <row r="4" spans="1:16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21</v>
      </c>
      <c r="G4" t="s">
        <v>30</v>
      </c>
      <c r="H4" t="s">
        <v>23</v>
      </c>
      <c r="I4">
        <v>20250101</v>
      </c>
      <c r="J4">
        <v>20250308</v>
      </c>
      <c r="K4">
        <v>341.16</v>
      </c>
      <c r="L4" t="s">
        <v>31</v>
      </c>
      <c r="M4">
        <v>1</v>
      </c>
      <c r="N4" s="2">
        <v>20</v>
      </c>
      <c r="O4">
        <v>20</v>
      </c>
      <c r="P4" t="s">
        <v>23</v>
      </c>
    </row>
    <row r="5" spans="1:16" x14ac:dyDescent="0.25">
      <c r="A5" t="s">
        <v>32</v>
      </c>
      <c r="B5" t="s">
        <v>33</v>
      </c>
      <c r="C5" t="s">
        <v>18</v>
      </c>
      <c r="D5" t="s">
        <v>19</v>
      </c>
      <c r="E5" t="s">
        <v>20</v>
      </c>
      <c r="F5" t="s">
        <v>21</v>
      </c>
      <c r="G5" t="s">
        <v>34</v>
      </c>
      <c r="H5" t="s">
        <v>23</v>
      </c>
      <c r="I5">
        <v>20250301</v>
      </c>
      <c r="J5">
        <v>20250308</v>
      </c>
      <c r="K5">
        <v>142.44999999999999</v>
      </c>
      <c r="L5" t="s">
        <v>23</v>
      </c>
      <c r="M5" t="s">
        <v>24</v>
      </c>
      <c r="N5" s="1">
        <v>0.2</v>
      </c>
      <c r="O5">
        <v>28.49</v>
      </c>
      <c r="P5" t="s">
        <v>23</v>
      </c>
    </row>
    <row r="6" spans="1:16" x14ac:dyDescent="0.25">
      <c r="A6" t="s">
        <v>35</v>
      </c>
      <c r="B6" t="s">
        <v>36</v>
      </c>
      <c r="C6" t="s">
        <v>27</v>
      </c>
      <c r="D6" t="s">
        <v>28</v>
      </c>
      <c r="E6" t="s">
        <v>29</v>
      </c>
      <c r="F6" t="s">
        <v>21</v>
      </c>
      <c r="G6" t="s">
        <v>30</v>
      </c>
      <c r="H6" t="s">
        <v>23</v>
      </c>
      <c r="I6">
        <v>20250201</v>
      </c>
      <c r="J6">
        <v>20250308</v>
      </c>
      <c r="K6">
        <v>0</v>
      </c>
      <c r="L6" t="s">
        <v>37</v>
      </c>
      <c r="M6">
        <v>1</v>
      </c>
      <c r="N6" s="2">
        <v>20</v>
      </c>
      <c r="O6">
        <v>20</v>
      </c>
      <c r="P6" t="s">
        <v>23</v>
      </c>
    </row>
    <row r="7" spans="1:16" x14ac:dyDescent="0.25">
      <c r="A7" t="s">
        <v>35</v>
      </c>
      <c r="B7" t="s">
        <v>36</v>
      </c>
      <c r="C7" t="s">
        <v>27</v>
      </c>
      <c r="D7" t="s">
        <v>28</v>
      </c>
      <c r="E7" t="s">
        <v>29</v>
      </c>
      <c r="F7" t="s">
        <v>21</v>
      </c>
      <c r="G7" t="s">
        <v>30</v>
      </c>
      <c r="H7" t="s">
        <v>23</v>
      </c>
      <c r="I7">
        <v>20250101</v>
      </c>
      <c r="J7">
        <v>20250308</v>
      </c>
      <c r="K7">
        <v>0</v>
      </c>
      <c r="L7" t="s">
        <v>37</v>
      </c>
      <c r="M7">
        <v>1</v>
      </c>
      <c r="N7" s="2">
        <v>20</v>
      </c>
      <c r="O7">
        <v>20</v>
      </c>
      <c r="P7" t="s">
        <v>23</v>
      </c>
    </row>
    <row r="8" spans="1:16" x14ac:dyDescent="0.25">
      <c r="A8" t="s">
        <v>38</v>
      </c>
      <c r="B8" t="s">
        <v>39</v>
      </c>
      <c r="C8" t="s">
        <v>27</v>
      </c>
      <c r="D8" t="s">
        <v>28</v>
      </c>
      <c r="E8" t="s">
        <v>29</v>
      </c>
      <c r="F8" t="s">
        <v>21</v>
      </c>
      <c r="G8" t="s">
        <v>30</v>
      </c>
      <c r="H8" t="s">
        <v>23</v>
      </c>
      <c r="I8">
        <v>20250101</v>
      </c>
      <c r="J8">
        <v>20250308</v>
      </c>
      <c r="K8">
        <v>0</v>
      </c>
      <c r="L8" t="s">
        <v>37</v>
      </c>
      <c r="M8">
        <v>1</v>
      </c>
      <c r="N8" s="2">
        <v>20</v>
      </c>
      <c r="O8">
        <v>20</v>
      </c>
      <c r="P8" t="s">
        <v>23</v>
      </c>
    </row>
    <row r="9" spans="1:16" x14ac:dyDescent="0.25">
      <c r="A9" t="s">
        <v>38</v>
      </c>
      <c r="B9" t="s">
        <v>39</v>
      </c>
      <c r="C9" t="s">
        <v>27</v>
      </c>
      <c r="D9" t="s">
        <v>28</v>
      </c>
      <c r="E9" t="s">
        <v>29</v>
      </c>
      <c r="F9" t="s">
        <v>21</v>
      </c>
      <c r="G9" t="s">
        <v>30</v>
      </c>
      <c r="H9" t="s">
        <v>23</v>
      </c>
      <c r="I9">
        <v>20250201</v>
      </c>
      <c r="J9">
        <v>20250308</v>
      </c>
      <c r="K9">
        <v>0</v>
      </c>
      <c r="L9" t="s">
        <v>37</v>
      </c>
      <c r="M9">
        <v>1</v>
      </c>
      <c r="N9" s="2">
        <v>20</v>
      </c>
      <c r="O9">
        <v>20</v>
      </c>
      <c r="P9" t="s">
        <v>23</v>
      </c>
    </row>
    <row r="10" spans="1:16" x14ac:dyDescent="0.25">
      <c r="A10" t="s">
        <v>40</v>
      </c>
      <c r="B10" t="s">
        <v>41</v>
      </c>
      <c r="C10" t="s">
        <v>18</v>
      </c>
      <c r="D10" t="s">
        <v>19</v>
      </c>
      <c r="E10" t="s">
        <v>20</v>
      </c>
      <c r="F10" t="s">
        <v>21</v>
      </c>
      <c r="G10" t="s">
        <v>34</v>
      </c>
      <c r="H10" t="s">
        <v>23</v>
      </c>
      <c r="I10">
        <v>20250301</v>
      </c>
      <c r="J10">
        <v>20250308</v>
      </c>
      <c r="K10">
        <v>39.42</v>
      </c>
      <c r="L10" t="s">
        <v>23</v>
      </c>
      <c r="M10" t="s">
        <v>24</v>
      </c>
      <c r="N10" s="1">
        <v>0.1</v>
      </c>
      <c r="O10">
        <v>3.94</v>
      </c>
      <c r="P10" t="s">
        <v>23</v>
      </c>
    </row>
    <row r="11" spans="1:16" x14ac:dyDescent="0.25">
      <c r="A11" t="s">
        <v>42</v>
      </c>
      <c r="B11" t="s">
        <v>43</v>
      </c>
      <c r="C11" t="s">
        <v>18</v>
      </c>
      <c r="D11" t="s">
        <v>19</v>
      </c>
      <c r="E11" t="s">
        <v>20</v>
      </c>
      <c r="F11" t="s">
        <v>21</v>
      </c>
      <c r="G11" t="s">
        <v>44</v>
      </c>
      <c r="H11" t="s">
        <v>23</v>
      </c>
      <c r="I11">
        <v>20250301</v>
      </c>
      <c r="J11">
        <v>20250308</v>
      </c>
      <c r="K11">
        <v>43</v>
      </c>
      <c r="L11" t="s">
        <v>23</v>
      </c>
      <c r="M11" t="s">
        <v>24</v>
      </c>
      <c r="N11" s="1">
        <v>0.2</v>
      </c>
      <c r="O11">
        <v>8.6</v>
      </c>
      <c r="P11" t="s">
        <v>23</v>
      </c>
    </row>
    <row r="12" spans="1:16" x14ac:dyDescent="0.25">
      <c r="A12" t="s">
        <v>45</v>
      </c>
      <c r="B12" t="s">
        <v>46</v>
      </c>
      <c r="C12" t="s">
        <v>27</v>
      </c>
      <c r="D12" t="s">
        <v>28</v>
      </c>
      <c r="E12" t="s">
        <v>29</v>
      </c>
      <c r="F12" t="s">
        <v>21</v>
      </c>
      <c r="G12" t="s">
        <v>30</v>
      </c>
      <c r="H12" t="s">
        <v>23</v>
      </c>
      <c r="I12">
        <v>20250301</v>
      </c>
      <c r="J12">
        <v>20250308</v>
      </c>
      <c r="K12">
        <v>335.48</v>
      </c>
      <c r="L12" t="s">
        <v>37</v>
      </c>
      <c r="M12">
        <v>1</v>
      </c>
      <c r="N12" s="2">
        <v>20</v>
      </c>
      <c r="O12">
        <v>20</v>
      </c>
      <c r="P12" t="s">
        <v>23</v>
      </c>
    </row>
    <row r="13" spans="1:16" x14ac:dyDescent="0.25">
      <c r="A13" t="s">
        <v>47</v>
      </c>
      <c r="B13" t="s">
        <v>48</v>
      </c>
      <c r="C13" t="s">
        <v>18</v>
      </c>
      <c r="D13" t="s">
        <v>19</v>
      </c>
      <c r="E13" t="s">
        <v>20</v>
      </c>
      <c r="F13" t="s">
        <v>21</v>
      </c>
      <c r="G13" t="s">
        <v>34</v>
      </c>
      <c r="H13" t="s">
        <v>23</v>
      </c>
      <c r="I13">
        <v>20250301</v>
      </c>
      <c r="J13">
        <v>20250308</v>
      </c>
      <c r="K13">
        <v>41</v>
      </c>
      <c r="L13" t="s">
        <v>23</v>
      </c>
      <c r="M13" t="s">
        <v>24</v>
      </c>
      <c r="N13" s="1">
        <v>0.1</v>
      </c>
      <c r="O13">
        <v>4.0999999999999996</v>
      </c>
      <c r="P13" t="s">
        <v>23</v>
      </c>
    </row>
    <row r="14" spans="1:16" x14ac:dyDescent="0.25">
      <c r="A14" t="s">
        <v>49</v>
      </c>
      <c r="B14" t="s">
        <v>50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20250301</v>
      </c>
      <c r="J14">
        <v>20250308</v>
      </c>
      <c r="K14">
        <v>25.01</v>
      </c>
      <c r="L14" t="s">
        <v>23</v>
      </c>
      <c r="M14" t="s">
        <v>24</v>
      </c>
      <c r="N14" s="1">
        <v>0.1</v>
      </c>
      <c r="O14">
        <v>2.5</v>
      </c>
      <c r="P14" t="s">
        <v>23</v>
      </c>
    </row>
    <row r="15" spans="1:16" x14ac:dyDescent="0.25">
      <c r="A15" t="s">
        <v>51</v>
      </c>
      <c r="B15" t="s">
        <v>52</v>
      </c>
      <c r="C15" t="s">
        <v>18</v>
      </c>
      <c r="D15" t="s">
        <v>19</v>
      </c>
      <c r="E15" t="s">
        <v>20</v>
      </c>
      <c r="F15" t="s">
        <v>21</v>
      </c>
      <c r="G15" t="s">
        <v>34</v>
      </c>
      <c r="H15" t="s">
        <v>23</v>
      </c>
      <c r="I15">
        <v>20250301</v>
      </c>
      <c r="J15">
        <v>20250308</v>
      </c>
      <c r="K15">
        <v>77</v>
      </c>
      <c r="L15" t="s">
        <v>23</v>
      </c>
      <c r="M15" t="s">
        <v>24</v>
      </c>
      <c r="N15" s="1">
        <v>0.1</v>
      </c>
      <c r="O15">
        <v>7.7</v>
      </c>
      <c r="P15" t="s">
        <v>23</v>
      </c>
    </row>
    <row r="16" spans="1:16" x14ac:dyDescent="0.25">
      <c r="A16" t="s">
        <v>53</v>
      </c>
      <c r="B16" t="s">
        <v>54</v>
      </c>
      <c r="C16" t="s">
        <v>27</v>
      </c>
      <c r="D16" t="s">
        <v>28</v>
      </c>
      <c r="E16" t="s">
        <v>29</v>
      </c>
      <c r="F16" t="s">
        <v>21</v>
      </c>
      <c r="G16" t="s">
        <v>30</v>
      </c>
      <c r="H16" t="s">
        <v>23</v>
      </c>
      <c r="I16">
        <v>20250301</v>
      </c>
      <c r="J16">
        <v>20250308</v>
      </c>
      <c r="K16">
        <v>49.6</v>
      </c>
      <c r="L16" t="s">
        <v>37</v>
      </c>
      <c r="M16">
        <v>1</v>
      </c>
      <c r="N16" s="2">
        <v>20</v>
      </c>
      <c r="O16">
        <v>20</v>
      </c>
      <c r="P16" t="s">
        <v>23</v>
      </c>
    </row>
    <row r="17" spans="1:16" x14ac:dyDescent="0.25">
      <c r="A17" t="s">
        <v>55</v>
      </c>
      <c r="B17" t="s">
        <v>56</v>
      </c>
      <c r="C17" t="s">
        <v>18</v>
      </c>
      <c r="D17" t="s">
        <v>19</v>
      </c>
      <c r="E17" t="s">
        <v>20</v>
      </c>
      <c r="F17" t="s">
        <v>21</v>
      </c>
      <c r="G17" t="s">
        <v>34</v>
      </c>
      <c r="H17" t="s">
        <v>23</v>
      </c>
      <c r="I17">
        <v>20250301</v>
      </c>
      <c r="J17">
        <v>20250308</v>
      </c>
      <c r="K17">
        <v>52.29</v>
      </c>
      <c r="L17" t="s">
        <v>23</v>
      </c>
      <c r="M17" t="s">
        <v>24</v>
      </c>
      <c r="N17" s="1">
        <v>0.2</v>
      </c>
      <c r="O17">
        <v>10.46</v>
      </c>
      <c r="P17" t="s">
        <v>23</v>
      </c>
    </row>
    <row r="18" spans="1:16" x14ac:dyDescent="0.25">
      <c r="A18" t="s">
        <v>57</v>
      </c>
      <c r="B18" t="s">
        <v>58</v>
      </c>
      <c r="C18" t="s">
        <v>59</v>
      </c>
      <c r="D18" t="s">
        <v>60</v>
      </c>
      <c r="E18" t="s">
        <v>29</v>
      </c>
      <c r="F18" t="s">
        <v>21</v>
      </c>
      <c r="G18" t="s">
        <v>61</v>
      </c>
      <c r="H18" t="s">
        <v>23</v>
      </c>
      <c r="I18">
        <v>20250201</v>
      </c>
      <c r="J18">
        <v>20250308</v>
      </c>
      <c r="K18">
        <v>24.35</v>
      </c>
      <c r="L18" t="s">
        <v>37</v>
      </c>
      <c r="M18">
        <v>1</v>
      </c>
      <c r="N18" s="2">
        <v>22</v>
      </c>
      <c r="O18">
        <v>22</v>
      </c>
      <c r="P18" t="s">
        <v>23</v>
      </c>
    </row>
    <row r="19" spans="1:16" x14ac:dyDescent="0.25">
      <c r="A19" t="s">
        <v>57</v>
      </c>
      <c r="B19" t="s">
        <v>58</v>
      </c>
      <c r="C19" t="s">
        <v>59</v>
      </c>
      <c r="D19" t="s">
        <v>60</v>
      </c>
      <c r="E19" t="s">
        <v>29</v>
      </c>
      <c r="F19" t="s">
        <v>21</v>
      </c>
      <c r="G19" t="s">
        <v>61</v>
      </c>
      <c r="H19" t="s">
        <v>23</v>
      </c>
      <c r="I19">
        <v>20250101</v>
      </c>
      <c r="J19">
        <v>20250308</v>
      </c>
      <c r="K19">
        <v>24.35</v>
      </c>
      <c r="L19" t="s">
        <v>37</v>
      </c>
      <c r="M19">
        <v>1</v>
      </c>
      <c r="N19" s="2">
        <v>22</v>
      </c>
      <c r="O19">
        <v>22</v>
      </c>
      <c r="P19" t="s">
        <v>23</v>
      </c>
    </row>
    <row r="20" spans="1:16" x14ac:dyDescent="0.25">
      <c r="A20" t="s">
        <v>57</v>
      </c>
      <c r="B20" t="s">
        <v>58</v>
      </c>
      <c r="C20" t="s">
        <v>59</v>
      </c>
      <c r="D20" t="s">
        <v>60</v>
      </c>
      <c r="E20" t="s">
        <v>29</v>
      </c>
      <c r="F20" t="s">
        <v>21</v>
      </c>
      <c r="G20" t="s">
        <v>61</v>
      </c>
      <c r="H20" t="s">
        <v>23</v>
      </c>
      <c r="I20">
        <v>20250301</v>
      </c>
      <c r="J20">
        <v>20250308</v>
      </c>
      <c r="K20">
        <v>24.35</v>
      </c>
      <c r="L20" t="s">
        <v>37</v>
      </c>
      <c r="M20">
        <v>1</v>
      </c>
      <c r="N20" s="2">
        <v>22</v>
      </c>
      <c r="O20">
        <v>22</v>
      </c>
      <c r="P20" t="s">
        <v>23</v>
      </c>
    </row>
    <row r="21" spans="1:16" x14ac:dyDescent="0.25">
      <c r="A21" t="s">
        <v>62</v>
      </c>
      <c r="B21" t="s">
        <v>63</v>
      </c>
      <c r="C21" t="s">
        <v>27</v>
      </c>
      <c r="D21" t="s">
        <v>28</v>
      </c>
      <c r="E21" t="s">
        <v>29</v>
      </c>
      <c r="F21" t="s">
        <v>64</v>
      </c>
      <c r="G21" t="s">
        <v>30</v>
      </c>
      <c r="H21" t="s">
        <v>23</v>
      </c>
      <c r="I21">
        <v>20250301</v>
      </c>
      <c r="J21">
        <v>20250308</v>
      </c>
      <c r="K21">
        <v>1055.71</v>
      </c>
      <c r="L21" t="s">
        <v>37</v>
      </c>
      <c r="M21">
        <v>3</v>
      </c>
      <c r="N21" s="2">
        <v>20</v>
      </c>
      <c r="O21">
        <v>60</v>
      </c>
      <c r="P21" t="s">
        <v>23</v>
      </c>
    </row>
    <row r="22" spans="1:16" x14ac:dyDescent="0.25">
      <c r="A22" t="s">
        <v>65</v>
      </c>
      <c r="B22" t="s">
        <v>66</v>
      </c>
      <c r="C22" t="s">
        <v>18</v>
      </c>
      <c r="D22" t="s">
        <v>19</v>
      </c>
      <c r="E22" t="s">
        <v>20</v>
      </c>
      <c r="F22" t="s">
        <v>21</v>
      </c>
      <c r="G22" t="s">
        <v>34</v>
      </c>
      <c r="H22" t="s">
        <v>23</v>
      </c>
      <c r="I22">
        <v>20250301</v>
      </c>
      <c r="J22">
        <v>20250308</v>
      </c>
      <c r="K22">
        <v>36.92</v>
      </c>
      <c r="L22" t="s">
        <v>23</v>
      </c>
      <c r="M22" t="s">
        <v>24</v>
      </c>
      <c r="N22" s="1">
        <v>0.2</v>
      </c>
      <c r="O22">
        <v>7.38</v>
      </c>
      <c r="P22" t="s">
        <v>23</v>
      </c>
    </row>
    <row r="23" spans="1:16" x14ac:dyDescent="0.25">
      <c r="A23" t="s">
        <v>67</v>
      </c>
      <c r="B23" t="s">
        <v>68</v>
      </c>
      <c r="C23" t="s">
        <v>59</v>
      </c>
      <c r="D23" t="s">
        <v>69</v>
      </c>
      <c r="E23" t="s">
        <v>29</v>
      </c>
      <c r="F23" t="s">
        <v>21</v>
      </c>
      <c r="G23" t="s">
        <v>70</v>
      </c>
      <c r="H23" t="s">
        <v>23</v>
      </c>
      <c r="I23">
        <v>20231201</v>
      </c>
      <c r="J23">
        <v>20250308</v>
      </c>
      <c r="K23">
        <v>0</v>
      </c>
      <c r="L23" t="s">
        <v>37</v>
      </c>
      <c r="M23">
        <v>1</v>
      </c>
      <c r="N23" s="2">
        <v>25</v>
      </c>
      <c r="O23">
        <v>25</v>
      </c>
      <c r="P23" t="s">
        <v>23</v>
      </c>
    </row>
    <row r="24" spans="1:16" x14ac:dyDescent="0.25">
      <c r="A24" t="s">
        <v>71</v>
      </c>
      <c r="B24" t="s">
        <v>72</v>
      </c>
      <c r="C24" t="s">
        <v>18</v>
      </c>
      <c r="D24" t="s">
        <v>73</v>
      </c>
      <c r="E24" t="s">
        <v>20</v>
      </c>
      <c r="F24" t="s">
        <v>21</v>
      </c>
      <c r="G24" t="s">
        <v>30</v>
      </c>
      <c r="H24" t="s">
        <v>23</v>
      </c>
      <c r="I24">
        <v>20250301</v>
      </c>
      <c r="J24">
        <v>20250308</v>
      </c>
      <c r="K24">
        <v>135.13999999999999</v>
      </c>
      <c r="L24" t="s">
        <v>23</v>
      </c>
      <c r="M24" t="s">
        <v>24</v>
      </c>
      <c r="N24" s="1">
        <v>0.2</v>
      </c>
      <c r="O24">
        <v>27.03</v>
      </c>
      <c r="P24" t="s">
        <v>23</v>
      </c>
    </row>
    <row r="25" spans="1:16" x14ac:dyDescent="0.25">
      <c r="A25" t="s">
        <v>74</v>
      </c>
      <c r="B25" t="s">
        <v>75</v>
      </c>
      <c r="C25" t="s">
        <v>27</v>
      </c>
      <c r="D25" t="s">
        <v>73</v>
      </c>
      <c r="E25" t="s">
        <v>29</v>
      </c>
      <c r="F25" t="s">
        <v>21</v>
      </c>
      <c r="G25" t="s">
        <v>30</v>
      </c>
      <c r="H25" t="s">
        <v>23</v>
      </c>
      <c r="I25">
        <v>20250301</v>
      </c>
      <c r="J25">
        <v>20250308</v>
      </c>
      <c r="K25">
        <v>226.1</v>
      </c>
      <c r="L25" t="s">
        <v>37</v>
      </c>
      <c r="M25">
        <v>1</v>
      </c>
      <c r="N25" s="2">
        <v>20</v>
      </c>
      <c r="O25">
        <v>20</v>
      </c>
      <c r="P25" t="s">
        <v>23</v>
      </c>
    </row>
    <row r="26" spans="1:16" x14ac:dyDescent="0.25">
      <c r="A26" t="s">
        <v>76</v>
      </c>
      <c r="B26" t="s">
        <v>77</v>
      </c>
      <c r="C26" t="s">
        <v>18</v>
      </c>
      <c r="D26" t="s">
        <v>19</v>
      </c>
      <c r="E26" t="s">
        <v>20</v>
      </c>
      <c r="F26" t="s">
        <v>21</v>
      </c>
      <c r="G26" t="s">
        <v>34</v>
      </c>
      <c r="H26" t="s">
        <v>23</v>
      </c>
      <c r="I26">
        <v>20250301</v>
      </c>
      <c r="J26">
        <v>20250308</v>
      </c>
      <c r="K26">
        <v>112.7</v>
      </c>
      <c r="L26" t="s">
        <v>23</v>
      </c>
      <c r="M26" t="s">
        <v>24</v>
      </c>
      <c r="N26" s="1">
        <v>0.1</v>
      </c>
      <c r="O26">
        <v>11.27</v>
      </c>
      <c r="P26" t="s">
        <v>23</v>
      </c>
    </row>
    <row r="27" spans="1:16" x14ac:dyDescent="0.25">
      <c r="A27" t="s">
        <v>78</v>
      </c>
      <c r="B27" t="s">
        <v>79</v>
      </c>
      <c r="C27" t="s">
        <v>27</v>
      </c>
      <c r="D27" t="s">
        <v>28</v>
      </c>
      <c r="E27" t="s">
        <v>29</v>
      </c>
      <c r="F27" t="s">
        <v>21</v>
      </c>
      <c r="G27" t="s">
        <v>30</v>
      </c>
      <c r="H27" t="s">
        <v>23</v>
      </c>
      <c r="I27">
        <v>20250101</v>
      </c>
      <c r="J27">
        <v>20250308</v>
      </c>
      <c r="K27">
        <v>0</v>
      </c>
      <c r="L27" t="s">
        <v>37</v>
      </c>
      <c r="M27">
        <v>1</v>
      </c>
      <c r="N27" s="2">
        <v>20</v>
      </c>
      <c r="O27">
        <v>20</v>
      </c>
      <c r="P27" t="s">
        <v>23</v>
      </c>
    </row>
    <row r="28" spans="1:16" x14ac:dyDescent="0.25">
      <c r="A28" t="s">
        <v>78</v>
      </c>
      <c r="B28" t="s">
        <v>79</v>
      </c>
      <c r="C28" t="s">
        <v>27</v>
      </c>
      <c r="D28" t="s">
        <v>28</v>
      </c>
      <c r="E28" t="s">
        <v>29</v>
      </c>
      <c r="F28" t="s">
        <v>21</v>
      </c>
      <c r="G28" t="s">
        <v>30</v>
      </c>
      <c r="H28" t="s">
        <v>23</v>
      </c>
      <c r="I28">
        <v>20250201</v>
      </c>
      <c r="J28">
        <v>20250308</v>
      </c>
      <c r="K28">
        <v>0</v>
      </c>
      <c r="L28" t="s">
        <v>37</v>
      </c>
      <c r="M28">
        <v>1</v>
      </c>
      <c r="N28" s="2">
        <v>20</v>
      </c>
      <c r="O28">
        <v>20</v>
      </c>
      <c r="P28" t="s">
        <v>23</v>
      </c>
    </row>
    <row r="29" spans="1:16" x14ac:dyDescent="0.25">
      <c r="A29" t="s">
        <v>80</v>
      </c>
      <c r="B29" t="s">
        <v>81</v>
      </c>
      <c r="C29" t="s">
        <v>27</v>
      </c>
      <c r="D29" t="s">
        <v>28</v>
      </c>
      <c r="E29" t="s">
        <v>29</v>
      </c>
      <c r="F29" t="s">
        <v>21</v>
      </c>
      <c r="G29" t="s">
        <v>30</v>
      </c>
      <c r="H29" t="s">
        <v>23</v>
      </c>
      <c r="I29">
        <v>20250201</v>
      </c>
      <c r="J29">
        <v>20250308</v>
      </c>
      <c r="K29">
        <v>0</v>
      </c>
      <c r="L29" t="s">
        <v>37</v>
      </c>
      <c r="M29">
        <v>1</v>
      </c>
      <c r="N29" s="2">
        <v>20</v>
      </c>
      <c r="O29">
        <v>20</v>
      </c>
      <c r="P29" t="s">
        <v>23</v>
      </c>
    </row>
    <row r="30" spans="1:16" x14ac:dyDescent="0.25">
      <c r="A30" t="s">
        <v>82</v>
      </c>
      <c r="B30" t="s">
        <v>83</v>
      </c>
      <c r="C30" t="s">
        <v>18</v>
      </c>
      <c r="D30" t="s">
        <v>19</v>
      </c>
      <c r="E30" t="s">
        <v>20</v>
      </c>
      <c r="F30" t="s">
        <v>21</v>
      </c>
      <c r="G30" t="s">
        <v>34</v>
      </c>
      <c r="H30" t="s">
        <v>23</v>
      </c>
      <c r="I30">
        <v>20250301</v>
      </c>
      <c r="J30">
        <v>20250308</v>
      </c>
      <c r="K30">
        <v>52</v>
      </c>
      <c r="L30" t="s">
        <v>23</v>
      </c>
      <c r="M30" t="s">
        <v>24</v>
      </c>
      <c r="N30" s="1">
        <v>0.1</v>
      </c>
      <c r="O30">
        <v>5.2</v>
      </c>
      <c r="P30" t="s">
        <v>23</v>
      </c>
    </row>
    <row r="31" spans="1:16" x14ac:dyDescent="0.25">
      <c r="A31" t="s">
        <v>84</v>
      </c>
      <c r="B31" t="s">
        <v>85</v>
      </c>
      <c r="C31" t="s">
        <v>18</v>
      </c>
      <c r="D31" t="s">
        <v>19</v>
      </c>
      <c r="E31" t="s">
        <v>20</v>
      </c>
      <c r="F31" t="s">
        <v>21</v>
      </c>
      <c r="G31" t="s">
        <v>34</v>
      </c>
      <c r="H31" t="s">
        <v>23</v>
      </c>
      <c r="I31">
        <v>20250301</v>
      </c>
      <c r="J31">
        <v>20250308</v>
      </c>
      <c r="K31">
        <v>43</v>
      </c>
      <c r="L31" t="s">
        <v>23</v>
      </c>
      <c r="M31" t="s">
        <v>24</v>
      </c>
      <c r="N31" s="1">
        <v>0.1</v>
      </c>
      <c r="O31">
        <v>4.3</v>
      </c>
      <c r="P31" t="s">
        <v>23</v>
      </c>
    </row>
    <row r="32" spans="1:16" x14ac:dyDescent="0.25">
      <c r="A32" t="s">
        <v>86</v>
      </c>
      <c r="B32" t="s">
        <v>87</v>
      </c>
      <c r="C32" t="s">
        <v>18</v>
      </c>
      <c r="D32" t="s">
        <v>19</v>
      </c>
      <c r="E32" t="s">
        <v>20</v>
      </c>
      <c r="F32" t="s">
        <v>21</v>
      </c>
      <c r="G32" t="s">
        <v>34</v>
      </c>
      <c r="H32" t="s">
        <v>23</v>
      </c>
      <c r="I32">
        <v>20250301</v>
      </c>
      <c r="J32">
        <v>20250308</v>
      </c>
      <c r="K32">
        <v>145.85</v>
      </c>
      <c r="L32" t="s">
        <v>23</v>
      </c>
      <c r="M32" t="s">
        <v>24</v>
      </c>
      <c r="N32" s="1">
        <v>0.1</v>
      </c>
      <c r="O32">
        <v>14.59</v>
      </c>
      <c r="P32" t="s">
        <v>23</v>
      </c>
    </row>
    <row r="33" spans="1:16" x14ac:dyDescent="0.25">
      <c r="A33" t="s">
        <v>88</v>
      </c>
      <c r="B33" t="s">
        <v>89</v>
      </c>
      <c r="C33" t="s">
        <v>18</v>
      </c>
      <c r="D33" t="s">
        <v>19</v>
      </c>
      <c r="E33" t="s">
        <v>20</v>
      </c>
      <c r="F33" t="s">
        <v>21</v>
      </c>
      <c r="G33" t="s">
        <v>34</v>
      </c>
      <c r="H33" t="s">
        <v>23</v>
      </c>
      <c r="I33">
        <v>20250301</v>
      </c>
      <c r="J33">
        <v>20250308</v>
      </c>
      <c r="K33">
        <v>43</v>
      </c>
      <c r="L33" t="s">
        <v>23</v>
      </c>
      <c r="M33" t="s">
        <v>24</v>
      </c>
      <c r="N33" s="1">
        <v>0.1</v>
      </c>
      <c r="O33">
        <v>4.3</v>
      </c>
      <c r="P33" t="s">
        <v>23</v>
      </c>
    </row>
    <row r="34" spans="1:16" x14ac:dyDescent="0.25">
      <c r="A34" t="s">
        <v>90</v>
      </c>
      <c r="B34" t="s">
        <v>91</v>
      </c>
      <c r="C34" t="s">
        <v>27</v>
      </c>
      <c r="D34" t="s">
        <v>28</v>
      </c>
      <c r="E34" t="s">
        <v>29</v>
      </c>
      <c r="F34" t="s">
        <v>21</v>
      </c>
      <c r="G34" t="s">
        <v>30</v>
      </c>
      <c r="H34" t="s">
        <v>23</v>
      </c>
      <c r="I34">
        <v>20250301</v>
      </c>
      <c r="J34">
        <v>20250308</v>
      </c>
      <c r="K34">
        <v>642</v>
      </c>
      <c r="L34" t="s">
        <v>37</v>
      </c>
      <c r="M34">
        <v>1</v>
      </c>
      <c r="N34" s="2">
        <v>20</v>
      </c>
      <c r="O34">
        <v>20</v>
      </c>
      <c r="P34" t="s">
        <v>23</v>
      </c>
    </row>
    <row r="35" spans="1:16" x14ac:dyDescent="0.25">
      <c r="A35" t="s">
        <v>92</v>
      </c>
      <c r="B35" t="s">
        <v>93</v>
      </c>
      <c r="C35" t="s">
        <v>27</v>
      </c>
      <c r="D35" t="s">
        <v>28</v>
      </c>
      <c r="E35" t="s">
        <v>29</v>
      </c>
      <c r="F35" t="s">
        <v>21</v>
      </c>
      <c r="G35" t="s">
        <v>30</v>
      </c>
      <c r="H35" t="s">
        <v>23</v>
      </c>
      <c r="I35">
        <v>20250301</v>
      </c>
      <c r="J35">
        <v>20250308</v>
      </c>
      <c r="K35">
        <v>97.91</v>
      </c>
      <c r="L35" t="s">
        <v>37</v>
      </c>
      <c r="M35">
        <v>1</v>
      </c>
      <c r="N35" s="2">
        <v>20</v>
      </c>
      <c r="O35">
        <v>20</v>
      </c>
      <c r="P35" t="s">
        <v>23</v>
      </c>
    </row>
    <row r="36" spans="1:16" x14ac:dyDescent="0.25">
      <c r="A36" t="s">
        <v>94</v>
      </c>
      <c r="B36" t="s">
        <v>95</v>
      </c>
      <c r="C36" t="s">
        <v>27</v>
      </c>
      <c r="D36" t="s">
        <v>28</v>
      </c>
      <c r="E36" t="s">
        <v>29</v>
      </c>
      <c r="F36" t="s">
        <v>21</v>
      </c>
      <c r="G36" t="s">
        <v>30</v>
      </c>
      <c r="H36" t="s">
        <v>23</v>
      </c>
      <c r="I36">
        <v>20250101</v>
      </c>
      <c r="J36">
        <v>20250308</v>
      </c>
      <c r="K36">
        <v>0</v>
      </c>
      <c r="L36" t="s">
        <v>37</v>
      </c>
      <c r="M36">
        <v>1</v>
      </c>
      <c r="N36" s="2">
        <v>20</v>
      </c>
      <c r="O36">
        <v>20</v>
      </c>
      <c r="P36" t="s">
        <v>23</v>
      </c>
    </row>
    <row r="37" spans="1:16" x14ac:dyDescent="0.25">
      <c r="A37" t="s">
        <v>94</v>
      </c>
      <c r="B37" t="s">
        <v>95</v>
      </c>
      <c r="C37" t="s">
        <v>27</v>
      </c>
      <c r="D37" t="s">
        <v>28</v>
      </c>
      <c r="E37" t="s">
        <v>29</v>
      </c>
      <c r="F37" t="s">
        <v>21</v>
      </c>
      <c r="G37" t="s">
        <v>30</v>
      </c>
      <c r="H37" t="s">
        <v>23</v>
      </c>
      <c r="I37">
        <v>20250201</v>
      </c>
      <c r="J37">
        <v>20250308</v>
      </c>
      <c r="K37">
        <v>0</v>
      </c>
      <c r="L37" t="s">
        <v>37</v>
      </c>
      <c r="M37">
        <v>1</v>
      </c>
      <c r="N37" s="2">
        <v>20</v>
      </c>
      <c r="O37">
        <v>20</v>
      </c>
      <c r="P37" t="s">
        <v>23</v>
      </c>
    </row>
    <row r="38" spans="1:16" x14ac:dyDescent="0.25">
      <c r="A38" t="s">
        <v>96</v>
      </c>
      <c r="B38" t="s">
        <v>97</v>
      </c>
      <c r="C38" t="s">
        <v>18</v>
      </c>
      <c r="D38" t="s">
        <v>19</v>
      </c>
      <c r="E38" t="s">
        <v>20</v>
      </c>
      <c r="F38" t="s">
        <v>21</v>
      </c>
      <c r="G38" t="s">
        <v>61</v>
      </c>
      <c r="H38" t="s">
        <v>23</v>
      </c>
      <c r="I38">
        <v>20250301</v>
      </c>
      <c r="J38">
        <v>20250308</v>
      </c>
      <c r="K38">
        <v>55.89</v>
      </c>
      <c r="L38" t="s">
        <v>23</v>
      </c>
      <c r="M38" t="s">
        <v>24</v>
      </c>
      <c r="N38" s="1">
        <v>0.2</v>
      </c>
      <c r="O38">
        <v>11.18</v>
      </c>
      <c r="P38" t="s">
        <v>23</v>
      </c>
    </row>
    <row r="39" spans="1:16" x14ac:dyDescent="0.25">
      <c r="A39" t="s">
        <v>98</v>
      </c>
      <c r="B39" t="s">
        <v>99</v>
      </c>
      <c r="C39" t="s">
        <v>59</v>
      </c>
      <c r="D39" t="s">
        <v>60</v>
      </c>
      <c r="E39" t="s">
        <v>29</v>
      </c>
      <c r="F39" t="s">
        <v>21</v>
      </c>
      <c r="G39" t="s">
        <v>70</v>
      </c>
      <c r="H39" t="s">
        <v>23</v>
      </c>
      <c r="I39">
        <v>20250301</v>
      </c>
      <c r="J39">
        <v>20250308</v>
      </c>
      <c r="K39">
        <v>167.83</v>
      </c>
      <c r="L39" t="s">
        <v>37</v>
      </c>
      <c r="M39">
        <v>1</v>
      </c>
      <c r="N39" s="2">
        <v>25</v>
      </c>
      <c r="O39">
        <v>25</v>
      </c>
      <c r="P39" t="s">
        <v>23</v>
      </c>
    </row>
    <row r="40" spans="1:16" x14ac:dyDescent="0.25">
      <c r="A40" t="s">
        <v>98</v>
      </c>
      <c r="B40" t="s">
        <v>99</v>
      </c>
      <c r="C40" t="s">
        <v>59</v>
      </c>
      <c r="D40" t="s">
        <v>60</v>
      </c>
      <c r="E40" t="s">
        <v>29</v>
      </c>
      <c r="F40" t="s">
        <v>21</v>
      </c>
      <c r="G40" t="s">
        <v>70</v>
      </c>
      <c r="H40" t="s">
        <v>23</v>
      </c>
      <c r="I40">
        <v>20250201</v>
      </c>
      <c r="J40">
        <v>20250308</v>
      </c>
      <c r="K40">
        <v>167.83</v>
      </c>
      <c r="L40" t="s">
        <v>37</v>
      </c>
      <c r="M40">
        <v>1</v>
      </c>
      <c r="N40" s="2">
        <v>25</v>
      </c>
      <c r="O40">
        <v>25</v>
      </c>
      <c r="P40" t="s">
        <v>23</v>
      </c>
    </row>
    <row r="41" spans="1:16" x14ac:dyDescent="0.25">
      <c r="A41" t="s">
        <v>100</v>
      </c>
      <c r="B41" t="s">
        <v>101</v>
      </c>
      <c r="C41" t="s">
        <v>27</v>
      </c>
      <c r="D41" t="s">
        <v>28</v>
      </c>
      <c r="E41" t="s">
        <v>29</v>
      </c>
      <c r="F41" t="s">
        <v>21</v>
      </c>
      <c r="G41" t="s">
        <v>30</v>
      </c>
      <c r="H41" t="s">
        <v>23</v>
      </c>
      <c r="I41">
        <v>20250301</v>
      </c>
      <c r="J41">
        <v>20250308</v>
      </c>
      <c r="K41">
        <v>20.03</v>
      </c>
      <c r="L41" t="s">
        <v>37</v>
      </c>
      <c r="M41">
        <v>1</v>
      </c>
      <c r="N41" s="2">
        <v>20</v>
      </c>
      <c r="O41">
        <v>20</v>
      </c>
      <c r="P41" t="s">
        <v>23</v>
      </c>
    </row>
    <row r="42" spans="1:16" x14ac:dyDescent="0.25">
      <c r="A42" t="s">
        <v>102</v>
      </c>
      <c r="B42" t="s">
        <v>103</v>
      </c>
      <c r="C42" t="s">
        <v>18</v>
      </c>
      <c r="D42" t="s">
        <v>104</v>
      </c>
      <c r="E42" t="s">
        <v>20</v>
      </c>
      <c r="F42" t="s">
        <v>21</v>
      </c>
      <c r="G42" t="s">
        <v>105</v>
      </c>
      <c r="H42" t="s">
        <v>23</v>
      </c>
      <c r="I42">
        <v>20250301</v>
      </c>
      <c r="J42">
        <v>20250308</v>
      </c>
      <c r="K42">
        <v>120.17</v>
      </c>
      <c r="L42" t="s">
        <v>23</v>
      </c>
      <c r="M42" t="s">
        <v>24</v>
      </c>
      <c r="N42" s="1">
        <v>0.2</v>
      </c>
      <c r="O42">
        <v>24.03</v>
      </c>
      <c r="P42" t="s">
        <v>23</v>
      </c>
    </row>
    <row r="43" spans="1:16" x14ac:dyDescent="0.25">
      <c r="A43" t="s">
        <v>106</v>
      </c>
      <c r="B43" t="s">
        <v>107</v>
      </c>
      <c r="C43" t="s">
        <v>27</v>
      </c>
      <c r="D43" t="s">
        <v>28</v>
      </c>
      <c r="E43" t="s">
        <v>29</v>
      </c>
      <c r="F43" t="s">
        <v>21</v>
      </c>
      <c r="G43" t="s">
        <v>30</v>
      </c>
      <c r="H43" t="s">
        <v>23</v>
      </c>
      <c r="I43">
        <v>20250201</v>
      </c>
      <c r="J43">
        <v>20250308</v>
      </c>
      <c r="K43">
        <v>0</v>
      </c>
      <c r="L43" t="s">
        <v>37</v>
      </c>
      <c r="M43">
        <v>1</v>
      </c>
      <c r="N43" s="2">
        <v>20</v>
      </c>
      <c r="O43">
        <v>20</v>
      </c>
      <c r="P43" t="s">
        <v>23</v>
      </c>
    </row>
    <row r="44" spans="1:16" x14ac:dyDescent="0.25">
      <c r="A44" t="s">
        <v>108</v>
      </c>
      <c r="B44" t="s">
        <v>109</v>
      </c>
      <c r="C44" t="s">
        <v>27</v>
      </c>
      <c r="D44" t="s">
        <v>28</v>
      </c>
      <c r="E44" t="s">
        <v>29</v>
      </c>
      <c r="F44" t="s">
        <v>21</v>
      </c>
      <c r="G44" t="s">
        <v>30</v>
      </c>
      <c r="H44" t="s">
        <v>23</v>
      </c>
      <c r="I44">
        <v>20250101</v>
      </c>
      <c r="J44">
        <v>20250308</v>
      </c>
      <c r="K44">
        <v>0</v>
      </c>
      <c r="L44" t="s">
        <v>37</v>
      </c>
      <c r="M44">
        <v>2</v>
      </c>
      <c r="N44" s="2">
        <v>20</v>
      </c>
      <c r="O44">
        <v>40</v>
      </c>
      <c r="P44" t="s">
        <v>23</v>
      </c>
    </row>
    <row r="45" spans="1:16" x14ac:dyDescent="0.25">
      <c r="A45" t="s">
        <v>108</v>
      </c>
      <c r="B45" t="s">
        <v>109</v>
      </c>
      <c r="C45" t="s">
        <v>27</v>
      </c>
      <c r="D45" t="s">
        <v>28</v>
      </c>
      <c r="E45" t="s">
        <v>29</v>
      </c>
      <c r="F45" t="s">
        <v>21</v>
      </c>
      <c r="G45" t="s">
        <v>30</v>
      </c>
      <c r="H45" t="s">
        <v>23</v>
      </c>
      <c r="I45">
        <v>20250201</v>
      </c>
      <c r="J45">
        <v>20250308</v>
      </c>
      <c r="K45">
        <v>0</v>
      </c>
      <c r="L45" t="s">
        <v>37</v>
      </c>
      <c r="M45">
        <v>2</v>
      </c>
      <c r="N45" s="2">
        <v>20</v>
      </c>
      <c r="O45">
        <v>40</v>
      </c>
      <c r="P45" t="s">
        <v>23</v>
      </c>
    </row>
    <row r="46" spans="1:16" x14ac:dyDescent="0.25">
      <c r="A46" t="s">
        <v>110</v>
      </c>
      <c r="B46" t="s">
        <v>111</v>
      </c>
      <c r="C46" t="s">
        <v>27</v>
      </c>
      <c r="D46" t="s">
        <v>28</v>
      </c>
      <c r="E46" t="s">
        <v>29</v>
      </c>
      <c r="F46" t="s">
        <v>21</v>
      </c>
      <c r="G46" t="s">
        <v>30</v>
      </c>
      <c r="H46" t="s">
        <v>23</v>
      </c>
      <c r="I46">
        <v>20250201</v>
      </c>
      <c r="J46">
        <v>20250308</v>
      </c>
      <c r="K46">
        <v>341.16</v>
      </c>
      <c r="L46" t="s">
        <v>31</v>
      </c>
      <c r="M46">
        <v>1</v>
      </c>
      <c r="N46" s="2">
        <v>20</v>
      </c>
      <c r="O46">
        <v>20</v>
      </c>
      <c r="P46" t="s">
        <v>23</v>
      </c>
    </row>
    <row r="47" spans="1:16" x14ac:dyDescent="0.25">
      <c r="A47" t="s">
        <v>110</v>
      </c>
      <c r="B47" t="s">
        <v>111</v>
      </c>
      <c r="C47" t="s">
        <v>27</v>
      </c>
      <c r="D47" t="s">
        <v>28</v>
      </c>
      <c r="E47" t="s">
        <v>29</v>
      </c>
      <c r="F47" t="s">
        <v>21</v>
      </c>
      <c r="G47" t="s">
        <v>30</v>
      </c>
      <c r="H47" t="s">
        <v>23</v>
      </c>
      <c r="I47">
        <v>20250101</v>
      </c>
      <c r="J47">
        <v>20250308</v>
      </c>
      <c r="K47">
        <v>341.16</v>
      </c>
      <c r="L47" t="s">
        <v>31</v>
      </c>
      <c r="M47">
        <v>1</v>
      </c>
      <c r="N47" s="2">
        <v>20</v>
      </c>
      <c r="O47">
        <v>20</v>
      </c>
      <c r="P47" t="s">
        <v>23</v>
      </c>
    </row>
    <row r="48" spans="1:16" x14ac:dyDescent="0.25">
      <c r="A48" t="s">
        <v>112</v>
      </c>
      <c r="B48" t="s">
        <v>113</v>
      </c>
      <c r="C48" t="s">
        <v>18</v>
      </c>
      <c r="D48" t="s">
        <v>19</v>
      </c>
      <c r="E48" t="s">
        <v>20</v>
      </c>
      <c r="F48" t="s">
        <v>21</v>
      </c>
      <c r="G48" t="s">
        <v>34</v>
      </c>
      <c r="H48" t="s">
        <v>23</v>
      </c>
      <c r="I48">
        <v>20250301</v>
      </c>
      <c r="J48">
        <v>20250308</v>
      </c>
      <c r="K48">
        <v>70.3</v>
      </c>
      <c r="L48" t="s">
        <v>23</v>
      </c>
      <c r="M48" t="s">
        <v>24</v>
      </c>
      <c r="N48" s="1">
        <v>0.2</v>
      </c>
      <c r="O48">
        <v>14.06</v>
      </c>
      <c r="P48" t="s">
        <v>23</v>
      </c>
    </row>
    <row r="49" spans="1:16" x14ac:dyDescent="0.25">
      <c r="A49" t="s">
        <v>114</v>
      </c>
      <c r="B49" t="s">
        <v>115</v>
      </c>
      <c r="C49" t="s">
        <v>18</v>
      </c>
      <c r="D49" t="s">
        <v>19</v>
      </c>
      <c r="E49" t="s">
        <v>20</v>
      </c>
      <c r="F49" t="s">
        <v>21</v>
      </c>
      <c r="G49" t="s">
        <v>34</v>
      </c>
      <c r="H49" t="s">
        <v>23</v>
      </c>
      <c r="I49">
        <v>20250301</v>
      </c>
      <c r="J49">
        <v>20250308</v>
      </c>
      <c r="K49">
        <v>52</v>
      </c>
      <c r="L49" t="s">
        <v>23</v>
      </c>
      <c r="M49" t="s">
        <v>24</v>
      </c>
      <c r="N49" s="1">
        <v>0.2</v>
      </c>
      <c r="O49">
        <v>10.4</v>
      </c>
      <c r="P49" t="s">
        <v>23</v>
      </c>
    </row>
    <row r="50" spans="1:16" x14ac:dyDescent="0.25">
      <c r="A50" t="s">
        <v>114</v>
      </c>
      <c r="B50" t="s">
        <v>115</v>
      </c>
      <c r="C50" t="s">
        <v>18</v>
      </c>
      <c r="D50" t="s">
        <v>19</v>
      </c>
      <c r="E50" t="s">
        <v>20</v>
      </c>
      <c r="F50" t="s">
        <v>21</v>
      </c>
      <c r="G50" t="s">
        <v>34</v>
      </c>
      <c r="H50" t="s">
        <v>23</v>
      </c>
      <c r="I50">
        <v>20250201</v>
      </c>
      <c r="J50">
        <v>20250308</v>
      </c>
      <c r="K50">
        <v>52</v>
      </c>
      <c r="L50" t="s">
        <v>23</v>
      </c>
      <c r="M50" t="s">
        <v>24</v>
      </c>
      <c r="N50" s="1">
        <v>0.2</v>
      </c>
      <c r="O50">
        <v>10.4</v>
      </c>
      <c r="P50" t="s">
        <v>23</v>
      </c>
    </row>
    <row r="51" spans="1:16" x14ac:dyDescent="0.25">
      <c r="A51" t="s">
        <v>116</v>
      </c>
      <c r="B51" t="s">
        <v>117</v>
      </c>
      <c r="C51" t="s">
        <v>27</v>
      </c>
      <c r="D51" t="s">
        <v>118</v>
      </c>
      <c r="E51" t="s">
        <v>29</v>
      </c>
      <c r="F51" t="s">
        <v>21</v>
      </c>
      <c r="G51" t="s">
        <v>119</v>
      </c>
      <c r="H51" t="s">
        <v>23</v>
      </c>
      <c r="I51">
        <v>20250201</v>
      </c>
      <c r="J51">
        <v>20250308</v>
      </c>
      <c r="K51">
        <v>468.22</v>
      </c>
      <c r="L51" t="s">
        <v>31</v>
      </c>
      <c r="M51">
        <v>1</v>
      </c>
      <c r="N51" s="2">
        <v>20</v>
      </c>
      <c r="O51">
        <v>20</v>
      </c>
      <c r="P51" t="s">
        <v>23</v>
      </c>
    </row>
    <row r="52" spans="1:16" x14ac:dyDescent="0.25">
      <c r="A52" t="s">
        <v>120</v>
      </c>
      <c r="B52" t="s">
        <v>121</v>
      </c>
      <c r="C52" t="s">
        <v>18</v>
      </c>
      <c r="D52" t="s">
        <v>122</v>
      </c>
      <c r="E52" t="s">
        <v>20</v>
      </c>
      <c r="F52" t="s">
        <v>21</v>
      </c>
      <c r="G52" t="s">
        <v>123</v>
      </c>
      <c r="H52" t="s">
        <v>23</v>
      </c>
      <c r="I52">
        <v>20250301</v>
      </c>
      <c r="J52">
        <v>20250308</v>
      </c>
      <c r="K52">
        <v>200.63</v>
      </c>
      <c r="L52" t="s">
        <v>23</v>
      </c>
      <c r="M52" t="s">
        <v>24</v>
      </c>
      <c r="N52" s="1">
        <v>0.2</v>
      </c>
      <c r="O52">
        <v>40.130000000000003</v>
      </c>
      <c r="P52" t="s">
        <v>23</v>
      </c>
    </row>
    <row r="53" spans="1:16" x14ac:dyDescent="0.25">
      <c r="A53" t="s">
        <v>124</v>
      </c>
      <c r="B53" t="s">
        <v>125</v>
      </c>
      <c r="C53" t="s">
        <v>27</v>
      </c>
      <c r="D53" t="s">
        <v>28</v>
      </c>
      <c r="E53" t="s">
        <v>29</v>
      </c>
      <c r="F53" t="s">
        <v>21</v>
      </c>
      <c r="G53" t="s">
        <v>30</v>
      </c>
      <c r="H53" t="s">
        <v>23</v>
      </c>
      <c r="I53">
        <v>20250301</v>
      </c>
      <c r="J53">
        <v>20250308</v>
      </c>
      <c r="K53">
        <v>340.44</v>
      </c>
      <c r="L53" t="s">
        <v>37</v>
      </c>
      <c r="M53">
        <v>1</v>
      </c>
      <c r="N53" s="2">
        <v>20</v>
      </c>
      <c r="O53">
        <v>20</v>
      </c>
      <c r="P53" t="s">
        <v>23</v>
      </c>
    </row>
    <row r="54" spans="1:16" x14ac:dyDescent="0.25">
      <c r="A54" t="s">
        <v>126</v>
      </c>
      <c r="B54" t="s">
        <v>127</v>
      </c>
      <c r="C54" t="s">
        <v>59</v>
      </c>
      <c r="D54" t="s">
        <v>128</v>
      </c>
      <c r="E54" t="s">
        <v>29</v>
      </c>
      <c r="F54" t="s">
        <v>64</v>
      </c>
      <c r="G54" t="s">
        <v>105</v>
      </c>
      <c r="H54" t="s">
        <v>23</v>
      </c>
      <c r="I54">
        <v>20250101</v>
      </c>
      <c r="J54">
        <v>20250308</v>
      </c>
      <c r="K54">
        <v>-238.83</v>
      </c>
      <c r="L54" t="s">
        <v>23</v>
      </c>
      <c r="M54">
        <v>-3</v>
      </c>
      <c r="N54" s="2">
        <v>20</v>
      </c>
      <c r="O54">
        <v>-60</v>
      </c>
      <c r="P54" t="s">
        <v>23</v>
      </c>
    </row>
    <row r="55" spans="1:16" x14ac:dyDescent="0.25">
      <c r="A55" t="s">
        <v>129</v>
      </c>
      <c r="B55" t="s">
        <v>130</v>
      </c>
      <c r="C55" t="s">
        <v>18</v>
      </c>
      <c r="D55" t="s">
        <v>19</v>
      </c>
      <c r="E55" t="s">
        <v>20</v>
      </c>
      <c r="F55" t="s">
        <v>21</v>
      </c>
      <c r="G55" t="s">
        <v>34</v>
      </c>
      <c r="H55" t="s">
        <v>23</v>
      </c>
      <c r="I55">
        <v>20250301</v>
      </c>
      <c r="J55">
        <v>20250308</v>
      </c>
      <c r="K55">
        <v>76.150000000000006</v>
      </c>
      <c r="L55" t="s">
        <v>23</v>
      </c>
      <c r="M55" t="s">
        <v>24</v>
      </c>
      <c r="N55" s="1">
        <v>0.1</v>
      </c>
      <c r="O55">
        <v>7.62</v>
      </c>
      <c r="P55" t="s">
        <v>23</v>
      </c>
    </row>
    <row r="56" spans="1:16" x14ac:dyDescent="0.25">
      <c r="A56" t="s">
        <v>131</v>
      </c>
      <c r="B56" t="s">
        <v>132</v>
      </c>
      <c r="C56" t="s">
        <v>18</v>
      </c>
      <c r="D56" t="s">
        <v>19</v>
      </c>
      <c r="E56" t="s">
        <v>20</v>
      </c>
      <c r="F56" t="s">
        <v>21</v>
      </c>
      <c r="G56" t="s">
        <v>61</v>
      </c>
      <c r="H56" t="s">
        <v>23</v>
      </c>
      <c r="I56">
        <v>20250301</v>
      </c>
      <c r="J56">
        <v>20250308</v>
      </c>
      <c r="K56">
        <v>51.19</v>
      </c>
      <c r="L56" t="s">
        <v>23</v>
      </c>
      <c r="M56" t="s">
        <v>24</v>
      </c>
      <c r="N56" s="1">
        <v>0.1</v>
      </c>
      <c r="O56">
        <v>5.12</v>
      </c>
      <c r="P56" t="s">
        <v>23</v>
      </c>
    </row>
    <row r="57" spans="1:16" x14ac:dyDescent="0.25">
      <c r="A57" t="s">
        <v>133</v>
      </c>
      <c r="B57" t="s">
        <v>134</v>
      </c>
      <c r="C57" t="s">
        <v>18</v>
      </c>
      <c r="D57" t="s">
        <v>73</v>
      </c>
      <c r="E57" t="s">
        <v>20</v>
      </c>
      <c r="F57" t="s">
        <v>21</v>
      </c>
      <c r="G57" t="s">
        <v>30</v>
      </c>
      <c r="H57" t="s">
        <v>23</v>
      </c>
      <c r="I57">
        <v>20250301</v>
      </c>
      <c r="J57">
        <v>20250308</v>
      </c>
      <c r="K57">
        <v>34.04</v>
      </c>
      <c r="L57" t="s">
        <v>23</v>
      </c>
      <c r="M57" t="s">
        <v>24</v>
      </c>
      <c r="N57" s="1">
        <v>0.2</v>
      </c>
      <c r="O57">
        <v>6.81</v>
      </c>
      <c r="P57" t="s">
        <v>23</v>
      </c>
    </row>
    <row r="58" spans="1:16" x14ac:dyDescent="0.25">
      <c r="A58" t="s">
        <v>135</v>
      </c>
      <c r="B58" t="s">
        <v>136</v>
      </c>
      <c r="C58" t="s">
        <v>27</v>
      </c>
      <c r="D58" t="s">
        <v>28</v>
      </c>
      <c r="E58" t="s">
        <v>29</v>
      </c>
      <c r="F58" t="s">
        <v>21</v>
      </c>
      <c r="G58" t="s">
        <v>30</v>
      </c>
      <c r="H58" t="s">
        <v>23</v>
      </c>
      <c r="I58">
        <v>20250201</v>
      </c>
      <c r="J58">
        <v>20250308</v>
      </c>
      <c r="K58">
        <v>0</v>
      </c>
      <c r="L58" t="s">
        <v>37</v>
      </c>
      <c r="M58">
        <v>1</v>
      </c>
      <c r="N58" s="2">
        <v>20</v>
      </c>
      <c r="O58">
        <v>20</v>
      </c>
      <c r="P58" t="s">
        <v>23</v>
      </c>
    </row>
    <row r="59" spans="1:16" x14ac:dyDescent="0.25">
      <c r="A59" t="s">
        <v>135</v>
      </c>
      <c r="B59" t="s">
        <v>136</v>
      </c>
      <c r="C59" t="s">
        <v>27</v>
      </c>
      <c r="D59" t="s">
        <v>28</v>
      </c>
      <c r="E59" t="s">
        <v>29</v>
      </c>
      <c r="F59" t="s">
        <v>21</v>
      </c>
      <c r="G59" t="s">
        <v>30</v>
      </c>
      <c r="H59" t="s">
        <v>23</v>
      </c>
      <c r="I59">
        <v>20250101</v>
      </c>
      <c r="J59">
        <v>20250308</v>
      </c>
      <c r="K59">
        <v>0</v>
      </c>
      <c r="L59" t="s">
        <v>37</v>
      </c>
      <c r="M59">
        <v>1</v>
      </c>
      <c r="N59" s="2">
        <v>20</v>
      </c>
      <c r="O59">
        <v>20</v>
      </c>
      <c r="P59" t="s">
        <v>23</v>
      </c>
    </row>
    <row r="60" spans="1:16" x14ac:dyDescent="0.25">
      <c r="A60" t="s">
        <v>137</v>
      </c>
      <c r="B60" t="s">
        <v>138</v>
      </c>
      <c r="C60" t="s">
        <v>18</v>
      </c>
      <c r="D60" t="s">
        <v>19</v>
      </c>
      <c r="E60" t="s">
        <v>20</v>
      </c>
      <c r="F60" t="s">
        <v>21</v>
      </c>
      <c r="G60" t="s">
        <v>34</v>
      </c>
      <c r="H60" t="s">
        <v>23</v>
      </c>
      <c r="I60">
        <v>20250301</v>
      </c>
      <c r="J60">
        <v>20250308</v>
      </c>
      <c r="K60">
        <v>68.3</v>
      </c>
      <c r="L60" t="s">
        <v>23</v>
      </c>
      <c r="M60" t="s">
        <v>24</v>
      </c>
      <c r="N60" s="1">
        <v>0.1</v>
      </c>
      <c r="O60">
        <v>6.83</v>
      </c>
      <c r="P60" t="s">
        <v>23</v>
      </c>
    </row>
    <row r="61" spans="1:16" x14ac:dyDescent="0.25">
      <c r="A61" t="s">
        <v>139</v>
      </c>
      <c r="B61" t="s">
        <v>140</v>
      </c>
      <c r="C61" t="s">
        <v>18</v>
      </c>
      <c r="D61" t="s">
        <v>19</v>
      </c>
      <c r="E61" t="s">
        <v>20</v>
      </c>
      <c r="F61" t="s">
        <v>21</v>
      </c>
      <c r="G61" t="s">
        <v>34</v>
      </c>
      <c r="H61" t="s">
        <v>23</v>
      </c>
      <c r="I61">
        <v>20250301</v>
      </c>
      <c r="J61">
        <v>20250308</v>
      </c>
      <c r="K61">
        <v>43</v>
      </c>
      <c r="L61" t="s">
        <v>23</v>
      </c>
      <c r="M61" t="s">
        <v>24</v>
      </c>
      <c r="N61" s="1">
        <v>0.2</v>
      </c>
      <c r="O61">
        <v>8.6</v>
      </c>
      <c r="P61" t="s">
        <v>23</v>
      </c>
    </row>
    <row r="62" spans="1:16" x14ac:dyDescent="0.25">
      <c r="A62" t="s">
        <v>141</v>
      </c>
      <c r="B62" t="s">
        <v>142</v>
      </c>
      <c r="C62" t="s">
        <v>27</v>
      </c>
      <c r="D62" t="s">
        <v>73</v>
      </c>
      <c r="E62" t="s">
        <v>29</v>
      </c>
      <c r="F62" t="s">
        <v>21</v>
      </c>
      <c r="G62" t="s">
        <v>30</v>
      </c>
      <c r="H62" t="s">
        <v>23</v>
      </c>
      <c r="I62">
        <v>20250301</v>
      </c>
      <c r="J62">
        <v>20250308</v>
      </c>
      <c r="K62">
        <v>231.32</v>
      </c>
      <c r="L62" t="s">
        <v>37</v>
      </c>
      <c r="M62">
        <v>1</v>
      </c>
      <c r="N62" s="2">
        <v>20</v>
      </c>
      <c r="O62">
        <v>20</v>
      </c>
      <c r="P62" t="s">
        <v>23</v>
      </c>
    </row>
    <row r="63" spans="1:16" x14ac:dyDescent="0.25">
      <c r="A63" t="s">
        <v>143</v>
      </c>
      <c r="B63" t="s">
        <v>144</v>
      </c>
      <c r="C63" t="s">
        <v>18</v>
      </c>
      <c r="D63" t="s">
        <v>19</v>
      </c>
      <c r="E63" t="s">
        <v>20</v>
      </c>
      <c r="F63" t="s">
        <v>21</v>
      </c>
      <c r="G63" t="s">
        <v>145</v>
      </c>
      <c r="H63" t="s">
        <v>23</v>
      </c>
      <c r="I63">
        <v>20250301</v>
      </c>
      <c r="J63">
        <v>20250308</v>
      </c>
      <c r="K63">
        <v>54</v>
      </c>
      <c r="L63" t="s">
        <v>23</v>
      </c>
      <c r="M63" t="s">
        <v>24</v>
      </c>
      <c r="N63" s="1">
        <v>0.2</v>
      </c>
      <c r="O63">
        <v>10.8</v>
      </c>
      <c r="P63" t="s">
        <v>23</v>
      </c>
    </row>
    <row r="64" spans="1:16" x14ac:dyDescent="0.25">
      <c r="A64" t="s">
        <v>146</v>
      </c>
      <c r="B64" t="s">
        <v>147</v>
      </c>
      <c r="C64" t="s">
        <v>27</v>
      </c>
      <c r="D64" t="s">
        <v>28</v>
      </c>
      <c r="E64" t="s">
        <v>29</v>
      </c>
      <c r="F64" t="s">
        <v>21</v>
      </c>
      <c r="G64" t="s">
        <v>30</v>
      </c>
      <c r="H64" t="s">
        <v>23</v>
      </c>
      <c r="I64">
        <v>20250201</v>
      </c>
      <c r="J64">
        <v>20250308</v>
      </c>
      <c r="K64">
        <v>247.9</v>
      </c>
      <c r="L64" t="s">
        <v>37</v>
      </c>
      <c r="M64">
        <v>1</v>
      </c>
      <c r="N64" s="2">
        <v>20</v>
      </c>
      <c r="O64">
        <v>20</v>
      </c>
      <c r="P64" t="s">
        <v>23</v>
      </c>
    </row>
    <row r="65" spans="1:16" x14ac:dyDescent="0.25">
      <c r="A65" t="s">
        <v>148</v>
      </c>
      <c r="B65" t="s">
        <v>149</v>
      </c>
      <c r="C65" t="s">
        <v>59</v>
      </c>
      <c r="D65" t="s">
        <v>60</v>
      </c>
      <c r="E65" t="s">
        <v>29</v>
      </c>
      <c r="F65" t="s">
        <v>21</v>
      </c>
      <c r="G65" t="s">
        <v>70</v>
      </c>
      <c r="H65" t="s">
        <v>23</v>
      </c>
      <c r="I65">
        <v>20250201</v>
      </c>
      <c r="J65">
        <v>20250308</v>
      </c>
      <c r="K65">
        <v>-446</v>
      </c>
      <c r="L65" t="s">
        <v>23</v>
      </c>
      <c r="M65">
        <v>-1</v>
      </c>
      <c r="N65" s="2">
        <v>25</v>
      </c>
      <c r="O65">
        <v>-25</v>
      </c>
      <c r="P65" t="s">
        <v>23</v>
      </c>
    </row>
    <row r="66" spans="1:16" x14ac:dyDescent="0.25">
      <c r="A66" t="s">
        <v>148</v>
      </c>
      <c r="B66" t="s">
        <v>149</v>
      </c>
      <c r="C66" t="s">
        <v>59</v>
      </c>
      <c r="D66" t="s">
        <v>60</v>
      </c>
      <c r="E66" t="s">
        <v>29</v>
      </c>
      <c r="F66" t="s">
        <v>21</v>
      </c>
      <c r="G66" t="s">
        <v>70</v>
      </c>
      <c r="H66" t="s">
        <v>23</v>
      </c>
      <c r="I66">
        <v>20250101</v>
      </c>
      <c r="J66">
        <v>20250308</v>
      </c>
      <c r="K66">
        <v>-446</v>
      </c>
      <c r="L66" t="s">
        <v>23</v>
      </c>
      <c r="M66">
        <v>-1</v>
      </c>
      <c r="N66" s="2">
        <v>25</v>
      </c>
      <c r="O66">
        <v>-25</v>
      </c>
      <c r="P66" t="s">
        <v>23</v>
      </c>
    </row>
    <row r="67" spans="1:16" x14ac:dyDescent="0.25">
      <c r="A67" t="s">
        <v>148</v>
      </c>
      <c r="B67" t="s">
        <v>149</v>
      </c>
      <c r="C67" t="s">
        <v>59</v>
      </c>
      <c r="D67" t="s">
        <v>60</v>
      </c>
      <c r="E67" t="s">
        <v>29</v>
      </c>
      <c r="F67" t="s">
        <v>21</v>
      </c>
      <c r="G67" t="s">
        <v>70</v>
      </c>
      <c r="H67" t="s">
        <v>23</v>
      </c>
      <c r="I67">
        <v>20250201</v>
      </c>
      <c r="J67">
        <v>20250308</v>
      </c>
      <c r="K67">
        <v>446</v>
      </c>
      <c r="L67" t="s">
        <v>31</v>
      </c>
      <c r="M67">
        <v>1</v>
      </c>
      <c r="N67" s="2">
        <v>25</v>
      </c>
      <c r="O67">
        <v>25</v>
      </c>
      <c r="P67" t="s">
        <v>23</v>
      </c>
    </row>
    <row r="68" spans="1:16" x14ac:dyDescent="0.25">
      <c r="A68" t="s">
        <v>150</v>
      </c>
      <c r="B68" t="s">
        <v>151</v>
      </c>
      <c r="C68" t="s">
        <v>27</v>
      </c>
      <c r="D68" t="s">
        <v>73</v>
      </c>
      <c r="E68" t="s">
        <v>29</v>
      </c>
      <c r="F68" t="s">
        <v>21</v>
      </c>
      <c r="G68" t="s">
        <v>30</v>
      </c>
      <c r="H68" t="s">
        <v>23</v>
      </c>
      <c r="I68">
        <v>20250301</v>
      </c>
      <c r="J68">
        <v>20250308</v>
      </c>
      <c r="K68">
        <v>347.64</v>
      </c>
      <c r="L68" t="s">
        <v>37</v>
      </c>
      <c r="M68">
        <v>1</v>
      </c>
      <c r="N68" s="2">
        <v>20</v>
      </c>
      <c r="O68">
        <v>20</v>
      </c>
      <c r="P6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05B0-7A48-4361-95DE-270E422A0631}">
  <dimension ref="A1:Q68"/>
  <sheetViews>
    <sheetView tabSelected="1" topLeftCell="A67" workbookViewId="0">
      <selection activeCell="Q2" sqref="Q2:Q67"/>
    </sheetView>
  </sheetViews>
  <sheetFormatPr defaultRowHeight="15" x14ac:dyDescent="0.25"/>
  <cols>
    <col min="1" max="1" width="12.5703125" style="3" bestFit="1" customWidth="1"/>
    <col min="2" max="2" width="12.5703125" style="3" customWidth="1"/>
    <col min="3" max="3" width="28.5703125" style="3" bestFit="1" customWidth="1"/>
    <col min="4" max="4" width="16.28515625" style="3" bestFit="1" customWidth="1"/>
    <col min="5" max="5" width="21.5703125" style="3" bestFit="1" customWidth="1"/>
    <col min="6" max="6" width="21.5703125" style="3" customWidth="1"/>
    <col min="7" max="7" width="13.5703125" style="3" bestFit="1" customWidth="1"/>
    <col min="8" max="9" width="12.5703125" style="3" bestFit="1" customWidth="1"/>
    <col min="10" max="11" width="12.5703125" style="3" customWidth="1"/>
    <col min="12" max="12" width="9.140625" style="3"/>
    <col min="13" max="13" width="14.42578125" style="3" bestFit="1" customWidth="1"/>
    <col min="14" max="14" width="11.140625" style="3" bestFit="1" customWidth="1"/>
    <col min="15" max="15" width="11.85546875" style="3" bestFit="1" customWidth="1"/>
    <col min="16" max="16" width="19.28515625" style="3" bestFit="1" customWidth="1"/>
    <col min="17" max="16384" width="9.140625" style="3"/>
  </cols>
  <sheetData>
    <row r="1" spans="1:16" x14ac:dyDescent="0.25">
      <c r="A1" s="3" t="s">
        <v>0</v>
      </c>
      <c r="C1" s="3" t="s">
        <v>1</v>
      </c>
      <c r="D1" s="3" t="s">
        <v>2</v>
      </c>
      <c r="E1" s="3" t="s">
        <v>3</v>
      </c>
      <c r="G1" s="3" t="s">
        <v>4</v>
      </c>
      <c r="H1" s="3" t="s">
        <v>6</v>
      </c>
      <c r="I1" s="3" t="s">
        <v>8</v>
      </c>
      <c r="L1" s="3" t="s">
        <v>10</v>
      </c>
      <c r="M1" s="3" t="s">
        <v>12</v>
      </c>
      <c r="N1" s="3" t="s">
        <v>13</v>
      </c>
      <c r="O1" s="3" t="s">
        <v>14</v>
      </c>
    </row>
    <row r="2" spans="1:16" x14ac:dyDescent="0.25">
      <c r="A2" s="3" t="s">
        <v>16</v>
      </c>
      <c r="B2" s="3" t="str">
        <f>CONCATENATE(A2,7)</f>
        <v>01DT827</v>
      </c>
      <c r="C2" s="3" t="s">
        <v>17</v>
      </c>
      <c r="D2" s="3" t="s">
        <v>18</v>
      </c>
      <c r="E2" s="3" t="s">
        <v>19</v>
      </c>
      <c r="F2" s="3">
        <v>17425766</v>
      </c>
      <c r="G2" s="3" t="s">
        <v>20</v>
      </c>
      <c r="H2" s="3" t="s">
        <v>22</v>
      </c>
      <c r="I2" s="3">
        <v>20250301</v>
      </c>
      <c r="J2" s="3" t="str">
        <f>TEXT(DATE(LEFT(I2,4), MID(I2,5,2), RIGHT(I2,2)), "M/d/yyyy")</f>
        <v>3/1/2025</v>
      </c>
      <c r="K2" s="4">
        <f>DATE(YEAR(J2), MONTH(J2) +1, DAY(J2))</f>
        <v>45748</v>
      </c>
      <c r="L2" s="3">
        <v>32</v>
      </c>
      <c r="M2" s="3" t="s">
        <v>24</v>
      </c>
      <c r="N2" s="5">
        <v>0.1</v>
      </c>
      <c r="O2" s="3">
        <v>3.2</v>
      </c>
      <c r="P2" s="3" t="s">
        <v>152</v>
      </c>
    </row>
    <row r="3" spans="1:16" x14ac:dyDescent="0.25">
      <c r="A3" s="3" t="s">
        <v>40</v>
      </c>
      <c r="B3" s="3" t="str">
        <f>CONCATENATE(A3,7)</f>
        <v>11EQ737</v>
      </c>
      <c r="C3" s="3" t="s">
        <v>41</v>
      </c>
      <c r="D3" s="3" t="s">
        <v>18</v>
      </c>
      <c r="E3" s="3" t="s">
        <v>19</v>
      </c>
      <c r="F3" s="3">
        <v>17425766</v>
      </c>
      <c r="G3" s="3" t="s">
        <v>20</v>
      </c>
      <c r="H3" s="3" t="s">
        <v>34</v>
      </c>
      <c r="I3" s="3">
        <v>20250301</v>
      </c>
      <c r="J3" s="3" t="str">
        <f>TEXT(DATE(LEFT(I3,4), MID(I3,5,2), RIGHT(I3,2)), "M/d/yyyy")</f>
        <v>3/1/2025</v>
      </c>
      <c r="K3" s="4">
        <f>DATE(YEAR(J3), MONTH(J3) +1, DAY(J3))</f>
        <v>45748</v>
      </c>
      <c r="L3" s="3">
        <v>39.42</v>
      </c>
      <c r="M3" s="3" t="s">
        <v>24</v>
      </c>
      <c r="N3" s="5">
        <v>0.1</v>
      </c>
      <c r="O3" s="3">
        <v>3.94</v>
      </c>
      <c r="P3" s="3" t="s">
        <v>152</v>
      </c>
    </row>
    <row r="4" spans="1:16" x14ac:dyDescent="0.25">
      <c r="A4" s="3" t="s">
        <v>47</v>
      </c>
      <c r="B4" s="3" t="str">
        <f>CONCATENATE(A4,7)</f>
        <v>19C09G7</v>
      </c>
      <c r="C4" s="3" t="s">
        <v>48</v>
      </c>
      <c r="D4" s="3" t="s">
        <v>18</v>
      </c>
      <c r="E4" s="3" t="s">
        <v>19</v>
      </c>
      <c r="F4" s="3">
        <v>17425766</v>
      </c>
      <c r="G4" s="3" t="s">
        <v>20</v>
      </c>
      <c r="H4" s="3" t="s">
        <v>34</v>
      </c>
      <c r="I4" s="3">
        <v>20250301</v>
      </c>
      <c r="J4" s="3" t="str">
        <f>TEXT(DATE(LEFT(I4,4), MID(I4,5,2), RIGHT(I4,2)), "M/d/yyyy")</f>
        <v>3/1/2025</v>
      </c>
      <c r="K4" s="4">
        <f>DATE(YEAR(J4), MONTH(J4) +1, DAY(J4))</f>
        <v>45748</v>
      </c>
      <c r="L4" s="3">
        <v>41</v>
      </c>
      <c r="M4" s="3" t="s">
        <v>24</v>
      </c>
      <c r="N4" s="5">
        <v>0.1</v>
      </c>
      <c r="O4" s="3">
        <v>4.0999999999999996</v>
      </c>
      <c r="P4" s="3" t="s">
        <v>152</v>
      </c>
    </row>
    <row r="5" spans="1:16" x14ac:dyDescent="0.25">
      <c r="A5" s="3" t="s">
        <v>49</v>
      </c>
      <c r="B5" s="3" t="str">
        <f>CONCATENATE(A5,7)</f>
        <v>1Y207E7</v>
      </c>
      <c r="C5" s="3" t="s">
        <v>50</v>
      </c>
      <c r="D5" s="3" t="s">
        <v>18</v>
      </c>
      <c r="E5" s="3" t="s">
        <v>19</v>
      </c>
      <c r="F5" s="3">
        <v>17425766</v>
      </c>
      <c r="G5" s="3" t="s">
        <v>20</v>
      </c>
      <c r="H5" s="3" t="s">
        <v>22</v>
      </c>
      <c r="I5" s="3">
        <v>20250301</v>
      </c>
      <c r="J5" s="3" t="str">
        <f>TEXT(DATE(LEFT(I5,4), MID(I5,5,2), RIGHT(I5,2)), "M/d/yyyy")</f>
        <v>3/1/2025</v>
      </c>
      <c r="K5" s="4">
        <f>DATE(YEAR(J5), MONTH(J5) +1, DAY(J5))</f>
        <v>45748</v>
      </c>
      <c r="L5" s="3">
        <v>25.01</v>
      </c>
      <c r="M5" s="3" t="s">
        <v>24</v>
      </c>
      <c r="N5" s="5">
        <v>0.1</v>
      </c>
      <c r="O5" s="3">
        <v>2.5</v>
      </c>
      <c r="P5" s="3" t="s">
        <v>152</v>
      </c>
    </row>
    <row r="6" spans="1:16" x14ac:dyDescent="0.25">
      <c r="A6" s="3" t="s">
        <v>51</v>
      </c>
      <c r="B6" s="3" t="str">
        <f>CONCATENATE(A6,7)</f>
        <v>22C81W7</v>
      </c>
      <c r="C6" s="3" t="s">
        <v>52</v>
      </c>
      <c r="D6" s="3" t="s">
        <v>18</v>
      </c>
      <c r="E6" s="3" t="s">
        <v>19</v>
      </c>
      <c r="F6" s="3">
        <v>17425766</v>
      </c>
      <c r="G6" s="3" t="s">
        <v>20</v>
      </c>
      <c r="H6" s="3" t="s">
        <v>34</v>
      </c>
      <c r="I6" s="3">
        <v>20250301</v>
      </c>
      <c r="J6" s="3" t="str">
        <f>TEXT(DATE(LEFT(I6,4), MID(I6,5,2), RIGHT(I6,2)), "M/d/yyyy")</f>
        <v>3/1/2025</v>
      </c>
      <c r="K6" s="4">
        <f>DATE(YEAR(J6), MONTH(J6) +1, DAY(J6))</f>
        <v>45748</v>
      </c>
      <c r="L6" s="3">
        <v>77</v>
      </c>
      <c r="M6" s="3" t="s">
        <v>24</v>
      </c>
      <c r="N6" s="5">
        <v>0.1</v>
      </c>
      <c r="O6" s="3">
        <v>7.7</v>
      </c>
      <c r="P6" s="3" t="s">
        <v>152</v>
      </c>
    </row>
    <row r="7" spans="1:16" x14ac:dyDescent="0.25">
      <c r="A7" s="3" t="s">
        <v>76</v>
      </c>
      <c r="B7" s="3" t="str">
        <f>CONCATENATE(A7,7)</f>
        <v>36H9M67</v>
      </c>
      <c r="C7" s="3" t="s">
        <v>77</v>
      </c>
      <c r="D7" s="3" t="s">
        <v>18</v>
      </c>
      <c r="E7" s="3" t="s">
        <v>19</v>
      </c>
      <c r="F7" s="3">
        <v>17425766</v>
      </c>
      <c r="G7" s="3" t="s">
        <v>20</v>
      </c>
      <c r="H7" s="3" t="s">
        <v>34</v>
      </c>
      <c r="I7" s="3">
        <v>20250301</v>
      </c>
      <c r="J7" s="3" t="str">
        <f>TEXT(DATE(LEFT(I7,4), MID(I7,5,2), RIGHT(I7,2)), "M/d/yyyy")</f>
        <v>3/1/2025</v>
      </c>
      <c r="K7" s="4">
        <f>DATE(YEAR(J7), MONTH(J7) +1, DAY(J7))</f>
        <v>45748</v>
      </c>
      <c r="L7" s="3">
        <v>112.7</v>
      </c>
      <c r="M7" s="3" t="s">
        <v>24</v>
      </c>
      <c r="N7" s="5">
        <v>0.1</v>
      </c>
      <c r="O7" s="3">
        <v>11.27</v>
      </c>
      <c r="P7" s="3" t="s">
        <v>152</v>
      </c>
    </row>
    <row r="8" spans="1:16" x14ac:dyDescent="0.25">
      <c r="A8" s="3" t="s">
        <v>82</v>
      </c>
      <c r="B8" s="3" t="str">
        <f>CONCATENATE(A8,7)</f>
        <v>37H4M87</v>
      </c>
      <c r="C8" s="3" t="s">
        <v>83</v>
      </c>
      <c r="D8" s="3" t="s">
        <v>18</v>
      </c>
      <c r="E8" s="3" t="s">
        <v>19</v>
      </c>
      <c r="F8" s="3">
        <v>17425766</v>
      </c>
      <c r="G8" s="3" t="s">
        <v>20</v>
      </c>
      <c r="H8" s="3" t="s">
        <v>34</v>
      </c>
      <c r="I8" s="3">
        <v>20250301</v>
      </c>
      <c r="J8" s="3" t="str">
        <f>TEXT(DATE(LEFT(I8,4), MID(I8,5,2), RIGHT(I8,2)), "M/d/yyyy")</f>
        <v>3/1/2025</v>
      </c>
      <c r="K8" s="4">
        <f>DATE(YEAR(J8), MONTH(J8) +1, DAY(J8))</f>
        <v>45748</v>
      </c>
      <c r="L8" s="3">
        <v>52</v>
      </c>
      <c r="M8" s="3" t="s">
        <v>24</v>
      </c>
      <c r="N8" s="5">
        <v>0.1</v>
      </c>
      <c r="O8" s="3">
        <v>5.2</v>
      </c>
      <c r="P8" s="3" t="s">
        <v>152</v>
      </c>
    </row>
    <row r="9" spans="1:16" x14ac:dyDescent="0.25">
      <c r="A9" s="3" t="s">
        <v>84</v>
      </c>
      <c r="B9" s="3" t="str">
        <f>CONCATENATE(A9,7)</f>
        <v>37H4M97</v>
      </c>
      <c r="C9" s="3" t="s">
        <v>85</v>
      </c>
      <c r="D9" s="3" t="s">
        <v>18</v>
      </c>
      <c r="E9" s="3" t="s">
        <v>19</v>
      </c>
      <c r="F9" s="3">
        <v>17425766</v>
      </c>
      <c r="G9" s="3" t="s">
        <v>20</v>
      </c>
      <c r="H9" s="3" t="s">
        <v>34</v>
      </c>
      <c r="I9" s="3">
        <v>20250301</v>
      </c>
      <c r="J9" s="3" t="str">
        <f>TEXT(DATE(LEFT(I9,4), MID(I9,5,2), RIGHT(I9,2)), "M/d/yyyy")</f>
        <v>3/1/2025</v>
      </c>
      <c r="K9" s="4">
        <f>DATE(YEAR(J9), MONTH(J9) +1, DAY(J9))</f>
        <v>45748</v>
      </c>
      <c r="L9" s="3">
        <v>43</v>
      </c>
      <c r="M9" s="3" t="s">
        <v>24</v>
      </c>
      <c r="N9" s="5">
        <v>0.1</v>
      </c>
      <c r="O9" s="3">
        <v>4.3</v>
      </c>
      <c r="P9" s="3" t="s">
        <v>152</v>
      </c>
    </row>
    <row r="10" spans="1:16" x14ac:dyDescent="0.25">
      <c r="A10" s="3" t="s">
        <v>86</v>
      </c>
      <c r="B10" s="3" t="str">
        <f>CONCATENATE(A10,7)</f>
        <v>38H6M67</v>
      </c>
      <c r="C10" s="3" t="s">
        <v>87</v>
      </c>
      <c r="D10" s="3" t="s">
        <v>18</v>
      </c>
      <c r="E10" s="3" t="s">
        <v>19</v>
      </c>
      <c r="F10" s="3">
        <v>17425766</v>
      </c>
      <c r="G10" s="3" t="s">
        <v>20</v>
      </c>
      <c r="H10" s="3" t="s">
        <v>34</v>
      </c>
      <c r="I10" s="3">
        <v>20250301</v>
      </c>
      <c r="J10" s="3" t="str">
        <f>TEXT(DATE(LEFT(I10,4), MID(I10,5,2), RIGHT(I10,2)), "M/d/yyyy")</f>
        <v>3/1/2025</v>
      </c>
      <c r="K10" s="4">
        <f>DATE(YEAR(J10), MONTH(J10) +1, DAY(J10))</f>
        <v>45748</v>
      </c>
      <c r="L10" s="3">
        <v>145.85</v>
      </c>
      <c r="M10" s="3" t="s">
        <v>24</v>
      </c>
      <c r="N10" s="5">
        <v>0.1</v>
      </c>
      <c r="O10" s="3">
        <v>14.59</v>
      </c>
      <c r="P10" s="3" t="s">
        <v>152</v>
      </c>
    </row>
    <row r="11" spans="1:16" x14ac:dyDescent="0.25">
      <c r="A11" s="3" t="s">
        <v>88</v>
      </c>
      <c r="B11" s="3" t="str">
        <f>CONCATENATE(A11,7)</f>
        <v>39H0M37</v>
      </c>
      <c r="C11" s="3" t="s">
        <v>89</v>
      </c>
      <c r="D11" s="3" t="s">
        <v>18</v>
      </c>
      <c r="E11" s="3" t="s">
        <v>19</v>
      </c>
      <c r="F11" s="3">
        <v>17425766</v>
      </c>
      <c r="G11" s="3" t="s">
        <v>20</v>
      </c>
      <c r="H11" s="3" t="s">
        <v>34</v>
      </c>
      <c r="I11" s="3">
        <v>20250301</v>
      </c>
      <c r="J11" s="3" t="str">
        <f>TEXT(DATE(LEFT(I11,4), MID(I11,5,2), RIGHT(I11,2)), "M/d/yyyy")</f>
        <v>3/1/2025</v>
      </c>
      <c r="K11" s="4">
        <f>DATE(YEAR(J11), MONTH(J11) +1, DAY(J11))</f>
        <v>45748</v>
      </c>
      <c r="L11" s="3">
        <v>43</v>
      </c>
      <c r="M11" s="3" t="s">
        <v>24</v>
      </c>
      <c r="N11" s="5">
        <v>0.1</v>
      </c>
      <c r="O11" s="3">
        <v>4.3</v>
      </c>
      <c r="P11" s="3" t="s">
        <v>152</v>
      </c>
    </row>
    <row r="12" spans="1:16" x14ac:dyDescent="0.25">
      <c r="A12" s="3" t="s">
        <v>129</v>
      </c>
      <c r="B12" s="3" t="str">
        <f>CONCATENATE(A12,7)</f>
        <v>76H3P57</v>
      </c>
      <c r="C12" s="3" t="s">
        <v>130</v>
      </c>
      <c r="D12" s="3" t="s">
        <v>18</v>
      </c>
      <c r="E12" s="3" t="s">
        <v>19</v>
      </c>
      <c r="F12" s="3">
        <v>17425766</v>
      </c>
      <c r="G12" s="3" t="s">
        <v>20</v>
      </c>
      <c r="H12" s="3" t="s">
        <v>34</v>
      </c>
      <c r="I12" s="3">
        <v>20250301</v>
      </c>
      <c r="J12" s="3" t="str">
        <f>TEXT(DATE(LEFT(I12,4), MID(I12,5,2), RIGHT(I12,2)), "M/d/yyyy")</f>
        <v>3/1/2025</v>
      </c>
      <c r="K12" s="4">
        <f>DATE(YEAR(J12), MONTH(J12) +1, DAY(J12))</f>
        <v>45748</v>
      </c>
      <c r="L12" s="3">
        <v>76.150000000000006</v>
      </c>
      <c r="M12" s="3" t="s">
        <v>24</v>
      </c>
      <c r="N12" s="5">
        <v>0.1</v>
      </c>
      <c r="O12" s="3">
        <v>7.62</v>
      </c>
      <c r="P12" s="3" t="s">
        <v>152</v>
      </c>
    </row>
    <row r="13" spans="1:16" x14ac:dyDescent="0.25">
      <c r="A13" s="3" t="s">
        <v>131</v>
      </c>
      <c r="B13" s="3" t="str">
        <f>CONCATENATE(A13,7)</f>
        <v>7Y95N87</v>
      </c>
      <c r="C13" s="3" t="s">
        <v>132</v>
      </c>
      <c r="D13" s="3" t="s">
        <v>18</v>
      </c>
      <c r="E13" s="3" t="s">
        <v>19</v>
      </c>
      <c r="F13" s="3">
        <v>17425766</v>
      </c>
      <c r="G13" s="3" t="s">
        <v>20</v>
      </c>
      <c r="H13" s="3" t="s">
        <v>61</v>
      </c>
      <c r="I13" s="3">
        <v>20250301</v>
      </c>
      <c r="J13" s="3" t="str">
        <f>TEXT(DATE(LEFT(I13,4), MID(I13,5,2), RIGHT(I13,2)), "M/d/yyyy")</f>
        <v>3/1/2025</v>
      </c>
      <c r="K13" s="4">
        <f>DATE(YEAR(J13), MONTH(J13) +1, DAY(J13))</f>
        <v>45748</v>
      </c>
      <c r="L13" s="3">
        <v>51.19</v>
      </c>
      <c r="M13" s="3" t="s">
        <v>24</v>
      </c>
      <c r="N13" s="5">
        <v>0.1</v>
      </c>
      <c r="O13" s="3">
        <v>5.12</v>
      </c>
      <c r="P13" s="3" t="s">
        <v>152</v>
      </c>
    </row>
    <row r="14" spans="1:16" x14ac:dyDescent="0.25">
      <c r="A14" s="3" t="s">
        <v>137</v>
      </c>
      <c r="B14" s="3" t="str">
        <f>CONCATENATE(A14,7)</f>
        <v>88GC667</v>
      </c>
      <c r="C14" s="3" t="s">
        <v>138</v>
      </c>
      <c r="D14" s="3" t="s">
        <v>18</v>
      </c>
      <c r="E14" s="3" t="s">
        <v>19</v>
      </c>
      <c r="F14" s="3">
        <v>17425766</v>
      </c>
      <c r="G14" s="3" t="s">
        <v>20</v>
      </c>
      <c r="H14" s="3" t="s">
        <v>34</v>
      </c>
      <c r="I14" s="3">
        <v>20250301</v>
      </c>
      <c r="J14" s="3" t="str">
        <f>TEXT(DATE(LEFT(I14,4), MID(I14,5,2), RIGHT(I14,2)), "M/d/yyyy")</f>
        <v>3/1/2025</v>
      </c>
      <c r="K14" s="4">
        <f>DATE(YEAR(J14), MONTH(J14) +1, DAY(J14))</f>
        <v>45748</v>
      </c>
      <c r="L14" s="3">
        <v>68.3</v>
      </c>
      <c r="M14" s="3" t="s">
        <v>24</v>
      </c>
      <c r="N14" s="5">
        <v>0.1</v>
      </c>
      <c r="O14" s="3">
        <v>6.83</v>
      </c>
      <c r="P14" s="3" t="s">
        <v>152</v>
      </c>
    </row>
    <row r="15" spans="1:16" x14ac:dyDescent="0.25">
      <c r="A15" s="3" t="s">
        <v>32</v>
      </c>
      <c r="B15" s="3" t="str">
        <f>CONCATENATE(A15,7)</f>
        <v>09L0F97</v>
      </c>
      <c r="C15" s="3" t="s">
        <v>33</v>
      </c>
      <c r="D15" s="3" t="s">
        <v>18</v>
      </c>
      <c r="E15" s="3" t="s">
        <v>19</v>
      </c>
      <c r="F15" s="3">
        <v>17425766</v>
      </c>
      <c r="G15" s="3" t="s">
        <v>20</v>
      </c>
      <c r="H15" s="3" t="s">
        <v>34</v>
      </c>
      <c r="I15" s="3">
        <v>20250301</v>
      </c>
      <c r="J15" s="3" t="str">
        <f>TEXT(DATE(LEFT(I15,4), MID(I15,5,2), RIGHT(I15,2)), "M/d/yyyy")</f>
        <v>3/1/2025</v>
      </c>
      <c r="K15" s="4">
        <f>DATE(YEAR(J15), MONTH(J15) +1, DAY(J15))</f>
        <v>45748</v>
      </c>
      <c r="L15" s="3">
        <v>142.44999999999999</v>
      </c>
      <c r="M15" s="3" t="s">
        <v>24</v>
      </c>
      <c r="N15" s="5">
        <v>0.2</v>
      </c>
      <c r="O15" s="3">
        <v>28.49</v>
      </c>
      <c r="P15" s="3" t="s">
        <v>153</v>
      </c>
    </row>
    <row r="16" spans="1:16" x14ac:dyDescent="0.25">
      <c r="A16" s="3" t="s">
        <v>42</v>
      </c>
      <c r="B16" s="3" t="str">
        <f>CONCATENATE(A16,7)</f>
        <v>13L90K7</v>
      </c>
      <c r="C16" s="3" t="s">
        <v>43</v>
      </c>
      <c r="D16" s="3" t="s">
        <v>18</v>
      </c>
      <c r="E16" s="3" t="s">
        <v>19</v>
      </c>
      <c r="F16" s="3">
        <v>17425766</v>
      </c>
      <c r="G16" s="3" t="s">
        <v>20</v>
      </c>
      <c r="H16" s="3" t="s">
        <v>44</v>
      </c>
      <c r="I16" s="3">
        <v>20250301</v>
      </c>
      <c r="J16" s="3" t="str">
        <f>TEXT(DATE(LEFT(I16,4), MID(I16,5,2), RIGHT(I16,2)), "M/d/yyyy")</f>
        <v>3/1/2025</v>
      </c>
      <c r="K16" s="4">
        <f>DATE(YEAR(J16), MONTH(J16) +1, DAY(J16))</f>
        <v>45748</v>
      </c>
      <c r="L16" s="3">
        <v>43</v>
      </c>
      <c r="M16" s="3" t="s">
        <v>24</v>
      </c>
      <c r="N16" s="5">
        <v>0.2</v>
      </c>
      <c r="O16" s="3">
        <v>8.6</v>
      </c>
      <c r="P16" s="3" t="s">
        <v>153</v>
      </c>
    </row>
    <row r="17" spans="1:16" x14ac:dyDescent="0.25">
      <c r="A17" s="3" t="s">
        <v>55</v>
      </c>
      <c r="B17" s="3" t="str">
        <f>CONCATENATE(A17,7)</f>
        <v>24L45K7</v>
      </c>
      <c r="C17" s="3" t="s">
        <v>56</v>
      </c>
      <c r="D17" s="3" t="s">
        <v>18</v>
      </c>
      <c r="E17" s="3" t="s">
        <v>19</v>
      </c>
      <c r="F17" s="3">
        <v>17425766</v>
      </c>
      <c r="G17" s="3" t="s">
        <v>20</v>
      </c>
      <c r="H17" s="3" t="s">
        <v>34</v>
      </c>
      <c r="I17" s="3">
        <v>20250301</v>
      </c>
      <c r="J17" s="3" t="str">
        <f>TEXT(DATE(LEFT(I17,4), MID(I17,5,2), RIGHT(I17,2)), "M/d/yyyy")</f>
        <v>3/1/2025</v>
      </c>
      <c r="K17" s="4">
        <f>DATE(YEAR(J17), MONTH(J17) +1, DAY(J17))</f>
        <v>45748</v>
      </c>
      <c r="L17" s="3">
        <v>52.29</v>
      </c>
      <c r="M17" s="3" t="s">
        <v>24</v>
      </c>
      <c r="N17" s="5">
        <v>0.2</v>
      </c>
      <c r="O17" s="3">
        <v>10.46</v>
      </c>
      <c r="P17" s="3" t="s">
        <v>153</v>
      </c>
    </row>
    <row r="18" spans="1:16" x14ac:dyDescent="0.25">
      <c r="A18" s="3" t="s">
        <v>65</v>
      </c>
      <c r="B18" s="3" t="str">
        <f>CONCATENATE(A18,7)</f>
        <v>33L80Y7</v>
      </c>
      <c r="C18" s="3" t="s">
        <v>66</v>
      </c>
      <c r="D18" s="3" t="s">
        <v>18</v>
      </c>
      <c r="E18" s="3" t="s">
        <v>19</v>
      </c>
      <c r="F18" s="3">
        <v>17425766</v>
      </c>
      <c r="G18" s="3" t="s">
        <v>20</v>
      </c>
      <c r="H18" s="3" t="s">
        <v>34</v>
      </c>
      <c r="I18" s="3">
        <v>20250301</v>
      </c>
      <c r="J18" s="3" t="str">
        <f>TEXT(DATE(LEFT(I18,4), MID(I18,5,2), RIGHT(I18,2)), "M/d/yyyy")</f>
        <v>3/1/2025</v>
      </c>
      <c r="K18" s="4">
        <f>DATE(YEAR(J18), MONTH(J18) +1, DAY(J18))</f>
        <v>45748</v>
      </c>
      <c r="L18" s="3">
        <v>36.92</v>
      </c>
      <c r="M18" s="3" t="s">
        <v>24</v>
      </c>
      <c r="N18" s="5">
        <v>0.2</v>
      </c>
      <c r="O18" s="3">
        <v>7.38</v>
      </c>
      <c r="P18" s="3" t="s">
        <v>153</v>
      </c>
    </row>
    <row r="19" spans="1:16" x14ac:dyDescent="0.25">
      <c r="A19" s="3" t="s">
        <v>96</v>
      </c>
      <c r="B19" s="3" t="str">
        <f>CONCATENATE(A19,7)</f>
        <v>54L60G7</v>
      </c>
      <c r="C19" s="3" t="s">
        <v>97</v>
      </c>
      <c r="D19" s="3" t="s">
        <v>18</v>
      </c>
      <c r="E19" s="3" t="s">
        <v>19</v>
      </c>
      <c r="F19" s="3">
        <v>17425766</v>
      </c>
      <c r="G19" s="3" t="s">
        <v>20</v>
      </c>
      <c r="H19" s="3" t="s">
        <v>61</v>
      </c>
      <c r="I19" s="3">
        <v>20250301</v>
      </c>
      <c r="J19" s="3" t="str">
        <f>TEXT(DATE(LEFT(I19,4), MID(I19,5,2), RIGHT(I19,2)), "M/d/yyyy")</f>
        <v>3/1/2025</v>
      </c>
      <c r="K19" s="4">
        <f>DATE(YEAR(J19), MONTH(J19) +1, DAY(J19))</f>
        <v>45748</v>
      </c>
      <c r="L19" s="3">
        <v>55.89</v>
      </c>
      <c r="M19" s="3" t="s">
        <v>24</v>
      </c>
      <c r="N19" s="5">
        <v>0.2</v>
      </c>
      <c r="O19" s="3">
        <v>11.18</v>
      </c>
      <c r="P19" s="3" t="s">
        <v>153</v>
      </c>
    </row>
    <row r="20" spans="1:16" x14ac:dyDescent="0.25">
      <c r="A20" s="3" t="s">
        <v>112</v>
      </c>
      <c r="B20" s="3" t="str">
        <f>CONCATENATE(A20,7)</f>
        <v>63K9V77</v>
      </c>
      <c r="C20" s="3" t="s">
        <v>113</v>
      </c>
      <c r="D20" s="3" t="s">
        <v>18</v>
      </c>
      <c r="E20" s="3" t="s">
        <v>19</v>
      </c>
      <c r="F20" s="3">
        <v>17425766</v>
      </c>
      <c r="G20" s="3" t="s">
        <v>20</v>
      </c>
      <c r="H20" s="3" t="s">
        <v>34</v>
      </c>
      <c r="I20" s="3">
        <v>20250301</v>
      </c>
      <c r="J20" s="3" t="str">
        <f>TEXT(DATE(LEFT(I20,4), MID(I20,5,2), RIGHT(I20,2)), "M/d/yyyy")</f>
        <v>3/1/2025</v>
      </c>
      <c r="K20" s="4">
        <f>DATE(YEAR(J20), MONTH(J20) +1, DAY(J20))</f>
        <v>45748</v>
      </c>
      <c r="L20" s="3">
        <v>70.3</v>
      </c>
      <c r="M20" s="3" t="s">
        <v>24</v>
      </c>
      <c r="N20" s="5">
        <v>0.2</v>
      </c>
      <c r="O20" s="3">
        <v>14.06</v>
      </c>
      <c r="P20" s="3" t="s">
        <v>153</v>
      </c>
    </row>
    <row r="21" spans="1:16" x14ac:dyDescent="0.25">
      <c r="A21" s="3" t="s">
        <v>114</v>
      </c>
      <c r="B21" s="3" t="str">
        <f>CONCATENATE(A21,7)</f>
        <v>65MP817</v>
      </c>
      <c r="C21" s="3" t="s">
        <v>115</v>
      </c>
      <c r="D21" s="3" t="s">
        <v>18</v>
      </c>
      <c r="E21" s="3" t="s">
        <v>19</v>
      </c>
      <c r="F21" s="3">
        <v>17425766</v>
      </c>
      <c r="G21" s="3" t="s">
        <v>20</v>
      </c>
      <c r="H21" s="3" t="s">
        <v>34</v>
      </c>
      <c r="I21" s="3">
        <v>20250301</v>
      </c>
      <c r="J21" s="3" t="str">
        <f>TEXT(DATE(LEFT(I21,4), MID(I21,5,2), RIGHT(I21,2)), "M/d/yyyy")</f>
        <v>3/1/2025</v>
      </c>
      <c r="K21" s="4">
        <f>DATE(YEAR(J21), MONTH(J21) +1, DAY(J21))</f>
        <v>45748</v>
      </c>
      <c r="L21" s="3">
        <v>52</v>
      </c>
      <c r="M21" s="3" t="s">
        <v>24</v>
      </c>
      <c r="N21" s="5">
        <v>0.2</v>
      </c>
      <c r="O21" s="3">
        <v>10.4</v>
      </c>
      <c r="P21" s="3" t="s">
        <v>153</v>
      </c>
    </row>
    <row r="22" spans="1:16" x14ac:dyDescent="0.25">
      <c r="A22" s="3" t="s">
        <v>114</v>
      </c>
      <c r="B22" s="3" t="str">
        <f>CONCATENATE(A22,7)</f>
        <v>65MP817</v>
      </c>
      <c r="C22" s="3" t="s">
        <v>115</v>
      </c>
      <c r="D22" s="3" t="s">
        <v>18</v>
      </c>
      <c r="E22" s="3" t="s">
        <v>19</v>
      </c>
      <c r="F22" s="3">
        <v>17425766</v>
      </c>
      <c r="G22" s="3" t="s">
        <v>20</v>
      </c>
      <c r="H22" s="3" t="s">
        <v>34</v>
      </c>
      <c r="I22" s="3">
        <v>20250201</v>
      </c>
      <c r="J22" s="3" t="str">
        <f>TEXT(DATE(LEFT(I22,4), MID(I22,5,2), RIGHT(I22,2)), "M/d/yyyy")</f>
        <v>2/1/2025</v>
      </c>
      <c r="K22" s="4">
        <f>DATE(YEAR(J22), MONTH(J22) +1, DAY(J22))</f>
        <v>45717</v>
      </c>
      <c r="L22" s="3">
        <v>52</v>
      </c>
      <c r="M22" s="3" t="s">
        <v>24</v>
      </c>
      <c r="N22" s="5">
        <v>0.2</v>
      </c>
      <c r="O22" s="3">
        <v>10.4</v>
      </c>
      <c r="P22" s="3" t="s">
        <v>153</v>
      </c>
    </row>
    <row r="23" spans="1:16" x14ac:dyDescent="0.25">
      <c r="A23" s="3" t="s">
        <v>139</v>
      </c>
      <c r="B23" s="3" t="str">
        <f>CONCATENATE(A23,7)</f>
        <v>89MQ997</v>
      </c>
      <c r="C23" s="3" t="s">
        <v>140</v>
      </c>
      <c r="D23" s="3" t="s">
        <v>18</v>
      </c>
      <c r="E23" s="3" t="s">
        <v>19</v>
      </c>
      <c r="F23" s="3">
        <v>17425766</v>
      </c>
      <c r="G23" s="3" t="s">
        <v>20</v>
      </c>
      <c r="H23" s="3" t="s">
        <v>34</v>
      </c>
      <c r="I23" s="3">
        <v>20250301</v>
      </c>
      <c r="J23" s="3" t="str">
        <f>TEXT(DATE(LEFT(I23,4), MID(I23,5,2), RIGHT(I23,2)), "M/d/yyyy")</f>
        <v>3/1/2025</v>
      </c>
      <c r="K23" s="4">
        <f>DATE(YEAR(J23), MONTH(J23) +1, DAY(J23))</f>
        <v>45748</v>
      </c>
      <c r="L23" s="3">
        <v>43</v>
      </c>
      <c r="M23" s="3" t="s">
        <v>24</v>
      </c>
      <c r="N23" s="5">
        <v>0.2</v>
      </c>
      <c r="O23" s="3">
        <v>8.6</v>
      </c>
      <c r="P23" s="3" t="s">
        <v>153</v>
      </c>
    </row>
    <row r="24" spans="1:16" x14ac:dyDescent="0.25">
      <c r="A24" s="3" t="s">
        <v>143</v>
      </c>
      <c r="B24" s="3" t="str">
        <f>CONCATENATE(A24,7)</f>
        <v>96L3R87</v>
      </c>
      <c r="C24" s="3" t="s">
        <v>144</v>
      </c>
      <c r="D24" s="3" t="s">
        <v>18</v>
      </c>
      <c r="E24" s="3" t="s">
        <v>19</v>
      </c>
      <c r="F24" s="3">
        <v>17425766</v>
      </c>
      <c r="G24" s="3" t="s">
        <v>20</v>
      </c>
      <c r="H24" s="3" t="s">
        <v>145</v>
      </c>
      <c r="I24" s="3">
        <v>20250301</v>
      </c>
      <c r="J24" s="3" t="str">
        <f>TEXT(DATE(LEFT(I24,4), MID(I24,5,2), RIGHT(I24,2)), "M/d/yyyy")</f>
        <v>3/1/2025</v>
      </c>
      <c r="K24" s="4">
        <f>DATE(YEAR(J24), MONTH(J24) +1, DAY(J24))</f>
        <v>45748</v>
      </c>
      <c r="L24" s="3">
        <v>54</v>
      </c>
      <c r="M24" s="3" t="s">
        <v>24</v>
      </c>
      <c r="N24" s="5">
        <v>0.2</v>
      </c>
      <c r="O24" s="3">
        <v>10.8</v>
      </c>
      <c r="P24" s="3" t="s">
        <v>153</v>
      </c>
    </row>
    <row r="25" spans="1:16" x14ac:dyDescent="0.25">
      <c r="A25" s="3" t="s">
        <v>67</v>
      </c>
      <c r="B25" s="3" t="str">
        <f>CONCATENATE(A25,2)</f>
        <v>35DH742</v>
      </c>
      <c r="C25" s="3" t="s">
        <v>68</v>
      </c>
      <c r="D25" s="3" t="s">
        <v>59</v>
      </c>
      <c r="E25" s="3" t="s">
        <v>69</v>
      </c>
      <c r="F25" s="3">
        <v>8307933</v>
      </c>
      <c r="G25" s="3" t="s">
        <v>29</v>
      </c>
      <c r="H25" s="3" t="s">
        <v>70</v>
      </c>
      <c r="I25" s="3">
        <v>20231201</v>
      </c>
      <c r="J25" s="3" t="str">
        <f>TEXT(DATE(LEFT(I25,4), MID(I25,5,2), RIGHT(I25,2)), "M/d/yyyy")</f>
        <v>12/1/2023</v>
      </c>
      <c r="K25" s="4">
        <f>DATE(YEAR(J25), MONTH(J25) +1, DAY(J25))</f>
        <v>45292</v>
      </c>
      <c r="L25" s="3">
        <v>1</v>
      </c>
      <c r="M25" s="3">
        <v>1</v>
      </c>
      <c r="N25" s="6">
        <v>25</v>
      </c>
      <c r="O25" s="3">
        <v>25</v>
      </c>
      <c r="P25" s="3" t="s">
        <v>158</v>
      </c>
    </row>
    <row r="26" spans="1:16" x14ac:dyDescent="0.25">
      <c r="A26" s="3" t="s">
        <v>71</v>
      </c>
      <c r="B26" s="3" t="str">
        <f>CONCATENATE(A26,7)</f>
        <v>35L86T7</v>
      </c>
      <c r="C26" s="3" t="s">
        <v>72</v>
      </c>
      <c r="D26" s="3" t="s">
        <v>18</v>
      </c>
      <c r="E26" s="3" t="s">
        <v>73</v>
      </c>
      <c r="F26" s="3">
        <v>16865615</v>
      </c>
      <c r="G26" s="3" t="s">
        <v>20</v>
      </c>
      <c r="H26" s="3" t="s">
        <v>30</v>
      </c>
      <c r="I26" s="3">
        <v>20250301</v>
      </c>
      <c r="J26" s="3" t="str">
        <f>TEXT(DATE(LEFT(I26,4), MID(I26,5,2), RIGHT(I26,2)), "M/d/yyyy")</f>
        <v>3/1/2025</v>
      </c>
      <c r="K26" s="4">
        <f>DATE(YEAR(J26), MONTH(J26) +1, DAY(J26))</f>
        <v>45748</v>
      </c>
      <c r="L26" s="3">
        <v>135.13999999999999</v>
      </c>
      <c r="M26" s="3" t="s">
        <v>24</v>
      </c>
      <c r="N26" s="5">
        <v>0.2</v>
      </c>
      <c r="O26" s="3">
        <v>27.03</v>
      </c>
      <c r="P26" s="3" t="s">
        <v>153</v>
      </c>
    </row>
    <row r="27" spans="1:16" x14ac:dyDescent="0.25">
      <c r="A27" s="3" t="s">
        <v>133</v>
      </c>
      <c r="B27" s="3" t="str">
        <f>CONCATENATE(A27,7)</f>
        <v>85L9M57</v>
      </c>
      <c r="C27" s="3" t="s">
        <v>134</v>
      </c>
      <c r="D27" s="3" t="s">
        <v>18</v>
      </c>
      <c r="E27" s="3" t="s">
        <v>73</v>
      </c>
      <c r="F27" s="3">
        <v>16865615</v>
      </c>
      <c r="G27" s="3" t="s">
        <v>20</v>
      </c>
      <c r="H27" s="3" t="s">
        <v>30</v>
      </c>
      <c r="I27" s="3">
        <v>20250301</v>
      </c>
      <c r="J27" s="3" t="str">
        <f>TEXT(DATE(LEFT(I27,4), MID(I27,5,2), RIGHT(I27,2)), "M/d/yyyy")</f>
        <v>3/1/2025</v>
      </c>
      <c r="K27" s="4">
        <f>DATE(YEAR(J27), MONTH(J27) +1, DAY(J27))</f>
        <v>45748</v>
      </c>
      <c r="L27" s="3">
        <v>34.04</v>
      </c>
      <c r="M27" s="3" t="s">
        <v>24</v>
      </c>
      <c r="N27" s="5">
        <v>0.2</v>
      </c>
      <c r="O27" s="3">
        <v>6.81</v>
      </c>
      <c r="P27" s="3" t="s">
        <v>153</v>
      </c>
    </row>
    <row r="28" spans="1:16" x14ac:dyDescent="0.25">
      <c r="A28" s="3" t="s">
        <v>74</v>
      </c>
      <c r="B28" s="3" t="str">
        <f>CONCATENATE(A28,2)</f>
        <v>35ND952</v>
      </c>
      <c r="C28" s="3" t="s">
        <v>75</v>
      </c>
      <c r="D28" s="3" t="s">
        <v>27</v>
      </c>
      <c r="E28" s="3" t="s">
        <v>73</v>
      </c>
      <c r="F28" s="3">
        <v>16865615</v>
      </c>
      <c r="G28" s="3" t="s">
        <v>29</v>
      </c>
      <c r="H28" s="3" t="s">
        <v>30</v>
      </c>
      <c r="I28" s="3">
        <v>20250301</v>
      </c>
      <c r="J28" s="3" t="str">
        <f>TEXT(DATE(LEFT(I28,4), MID(I28,5,2), RIGHT(I28,2)), "M/d/yyyy")</f>
        <v>3/1/2025</v>
      </c>
      <c r="K28" s="4">
        <f>DATE(YEAR(J28), MONTH(J28) +1, DAY(J28))</f>
        <v>45748</v>
      </c>
      <c r="L28" s="3">
        <v>1</v>
      </c>
      <c r="M28" s="3">
        <v>1</v>
      </c>
      <c r="N28" s="6">
        <v>20</v>
      </c>
      <c r="O28" s="3">
        <v>20</v>
      </c>
      <c r="P28" s="3" t="s">
        <v>154</v>
      </c>
    </row>
    <row r="29" spans="1:16" x14ac:dyDescent="0.25">
      <c r="A29" s="3" t="s">
        <v>141</v>
      </c>
      <c r="B29" s="3" t="str">
        <f>CONCATENATE(A29,2)</f>
        <v>91MR972</v>
      </c>
      <c r="C29" s="3" t="s">
        <v>142</v>
      </c>
      <c r="D29" s="3" t="s">
        <v>27</v>
      </c>
      <c r="E29" s="3" t="s">
        <v>73</v>
      </c>
      <c r="F29" s="3">
        <v>16865615</v>
      </c>
      <c r="G29" s="3" t="s">
        <v>29</v>
      </c>
      <c r="H29" s="3" t="s">
        <v>30</v>
      </c>
      <c r="I29" s="3">
        <v>20250301</v>
      </c>
      <c r="J29" s="3" t="str">
        <f>TEXT(DATE(LEFT(I29,4), MID(I29,5,2), RIGHT(I29,2)), "M/d/yyyy")</f>
        <v>3/1/2025</v>
      </c>
      <c r="K29" s="4">
        <f>DATE(YEAR(J29), MONTH(J29) +1, DAY(J29))</f>
        <v>45748</v>
      </c>
      <c r="L29" s="3">
        <v>1</v>
      </c>
      <c r="M29" s="3">
        <v>1</v>
      </c>
      <c r="N29" s="6">
        <v>20</v>
      </c>
      <c r="O29" s="3">
        <v>20</v>
      </c>
      <c r="P29" s="3" t="s">
        <v>154</v>
      </c>
    </row>
    <row r="30" spans="1:16" x14ac:dyDescent="0.25">
      <c r="A30" s="3" t="s">
        <v>150</v>
      </c>
      <c r="B30" s="3" t="str">
        <f>CONCATENATE(A30,2)</f>
        <v>99LN832</v>
      </c>
      <c r="C30" s="3" t="s">
        <v>151</v>
      </c>
      <c r="D30" s="3" t="s">
        <v>27</v>
      </c>
      <c r="E30" s="3" t="s">
        <v>73</v>
      </c>
      <c r="F30" s="3">
        <v>16865615</v>
      </c>
      <c r="G30" s="3" t="s">
        <v>29</v>
      </c>
      <c r="H30" s="3" t="s">
        <v>30</v>
      </c>
      <c r="I30" s="3">
        <v>20250301</v>
      </c>
      <c r="J30" s="3" t="str">
        <f>TEXT(DATE(LEFT(I30,4), MID(I30,5,2), RIGHT(I30,2)), "M/d/yyyy")</f>
        <v>3/1/2025</v>
      </c>
      <c r="K30" s="4">
        <f>DATE(YEAR(J30), MONTH(J30) +1, DAY(J30))</f>
        <v>45748</v>
      </c>
      <c r="L30" s="3">
        <v>1</v>
      </c>
      <c r="M30" s="3">
        <v>1</v>
      </c>
      <c r="N30" s="6">
        <v>20</v>
      </c>
      <c r="O30" s="3">
        <v>20</v>
      </c>
      <c r="P30" s="3" t="s">
        <v>154</v>
      </c>
    </row>
    <row r="31" spans="1:16" x14ac:dyDescent="0.25">
      <c r="A31" s="3" t="s">
        <v>102</v>
      </c>
      <c r="B31" s="3" t="str">
        <f>CONCATENATE(A31,7)</f>
        <v>56M9L57</v>
      </c>
      <c r="C31" s="3" t="s">
        <v>103</v>
      </c>
      <c r="D31" s="3" t="s">
        <v>18</v>
      </c>
      <c r="E31" s="3" t="s">
        <v>104</v>
      </c>
      <c r="F31" s="3">
        <v>18754354</v>
      </c>
      <c r="G31" s="3" t="s">
        <v>20</v>
      </c>
      <c r="H31" s="3" t="s">
        <v>105</v>
      </c>
      <c r="I31" s="3">
        <v>20250301</v>
      </c>
      <c r="J31" s="3" t="str">
        <f>TEXT(DATE(LEFT(I31,4), MID(I31,5,2), RIGHT(I31,2)), "M/d/yyyy")</f>
        <v>3/1/2025</v>
      </c>
      <c r="K31" s="4">
        <f>DATE(YEAR(J31), MONTH(J31) +1, DAY(J31))</f>
        <v>45748</v>
      </c>
      <c r="L31" s="3">
        <v>120.17</v>
      </c>
      <c r="M31" s="3" t="s">
        <v>24</v>
      </c>
      <c r="N31" s="5">
        <v>0.2</v>
      </c>
      <c r="O31" s="3">
        <v>24.03</v>
      </c>
      <c r="P31" s="3" t="s">
        <v>153</v>
      </c>
    </row>
    <row r="32" spans="1:16" x14ac:dyDescent="0.25">
      <c r="A32" s="3" t="s">
        <v>25</v>
      </c>
      <c r="B32" s="3" t="str">
        <f>CONCATENATE(A32,2)</f>
        <v>08M74D2</v>
      </c>
      <c r="C32" s="3" t="s">
        <v>26</v>
      </c>
      <c r="D32" s="3" t="s">
        <v>27</v>
      </c>
      <c r="E32" s="3" t="s">
        <v>28</v>
      </c>
      <c r="F32" s="3">
        <v>6634327</v>
      </c>
      <c r="G32" s="3" t="s">
        <v>29</v>
      </c>
      <c r="H32" s="3" t="s">
        <v>30</v>
      </c>
      <c r="I32" s="3">
        <v>20250201</v>
      </c>
      <c r="J32" s="3" t="str">
        <f>TEXT(DATE(LEFT(I32,4), MID(I32,5,2), RIGHT(I32,2)), "M/d/yyyy")</f>
        <v>2/1/2025</v>
      </c>
      <c r="K32" s="4">
        <f>DATE(YEAR(J32), MONTH(J32) +1, DAY(J32))</f>
        <v>45717</v>
      </c>
      <c r="L32" s="3">
        <v>1</v>
      </c>
      <c r="M32" s="3">
        <v>1</v>
      </c>
      <c r="N32" s="6">
        <v>20</v>
      </c>
      <c r="O32" s="3">
        <v>20</v>
      </c>
      <c r="P32" s="3" t="s">
        <v>154</v>
      </c>
    </row>
    <row r="33" spans="1:17" x14ac:dyDescent="0.25">
      <c r="A33" s="3" t="s">
        <v>25</v>
      </c>
      <c r="B33" s="3" t="str">
        <f>CONCATENATE(A33,2)</f>
        <v>08M74D2</v>
      </c>
      <c r="C33" s="3" t="s">
        <v>26</v>
      </c>
      <c r="D33" s="3" t="s">
        <v>27</v>
      </c>
      <c r="E33" s="3" t="s">
        <v>28</v>
      </c>
      <c r="F33" s="3">
        <v>6634327</v>
      </c>
      <c r="G33" s="3" t="s">
        <v>29</v>
      </c>
      <c r="H33" s="3" t="s">
        <v>30</v>
      </c>
      <c r="I33" s="3">
        <v>20250101</v>
      </c>
      <c r="J33" s="3" t="str">
        <f>TEXT(DATE(LEFT(I33,4), MID(I33,5,2), RIGHT(I33,2)), "M/d/yyyy")</f>
        <v>1/1/2025</v>
      </c>
      <c r="K33" s="4">
        <f>DATE(YEAR(J33), MONTH(J33) +1, DAY(J33))</f>
        <v>45689</v>
      </c>
      <c r="L33" s="3">
        <v>1</v>
      </c>
      <c r="M33" s="3">
        <v>1</v>
      </c>
      <c r="N33" s="6">
        <v>20</v>
      </c>
      <c r="O33" s="3">
        <v>20</v>
      </c>
      <c r="P33" s="3" t="s">
        <v>154</v>
      </c>
    </row>
    <row r="34" spans="1:17" x14ac:dyDescent="0.25">
      <c r="A34" s="3" t="s">
        <v>35</v>
      </c>
      <c r="B34" s="3" t="str">
        <f>CONCATENATE(A34,2)</f>
        <v>10M3K32</v>
      </c>
      <c r="C34" s="3" t="s">
        <v>36</v>
      </c>
      <c r="D34" s="3" t="s">
        <v>27</v>
      </c>
      <c r="E34" s="3" t="s">
        <v>28</v>
      </c>
      <c r="F34" s="3">
        <v>6634327</v>
      </c>
      <c r="G34" s="3" t="s">
        <v>29</v>
      </c>
      <c r="H34" s="3" t="s">
        <v>30</v>
      </c>
      <c r="I34" s="3">
        <v>20250201</v>
      </c>
      <c r="J34" s="3" t="str">
        <f>TEXT(DATE(LEFT(I34,4), MID(I34,5,2), RIGHT(I34,2)), "M/d/yyyy")</f>
        <v>2/1/2025</v>
      </c>
      <c r="K34" s="4">
        <f>DATE(YEAR(J34), MONTH(J34) +1, DAY(J34))</f>
        <v>45717</v>
      </c>
      <c r="L34" s="3">
        <v>1</v>
      </c>
      <c r="M34" s="3">
        <v>1</v>
      </c>
      <c r="N34" s="6">
        <v>20</v>
      </c>
      <c r="O34" s="3">
        <v>20</v>
      </c>
      <c r="P34" s="3" t="s">
        <v>154</v>
      </c>
    </row>
    <row r="35" spans="1:17" x14ac:dyDescent="0.25">
      <c r="A35" s="3" t="s">
        <v>35</v>
      </c>
      <c r="B35" s="3" t="str">
        <f>CONCATENATE(A35,2)</f>
        <v>10M3K32</v>
      </c>
      <c r="C35" s="3" t="s">
        <v>36</v>
      </c>
      <c r="D35" s="3" t="s">
        <v>27</v>
      </c>
      <c r="E35" s="3" t="s">
        <v>28</v>
      </c>
      <c r="F35" s="3">
        <v>6634327</v>
      </c>
      <c r="G35" s="3" t="s">
        <v>29</v>
      </c>
      <c r="H35" s="3" t="s">
        <v>30</v>
      </c>
      <c r="I35" s="3">
        <v>20250101</v>
      </c>
      <c r="J35" s="3" t="str">
        <f>TEXT(DATE(LEFT(I35,4), MID(I35,5,2), RIGHT(I35,2)), "M/d/yyyy")</f>
        <v>1/1/2025</v>
      </c>
      <c r="K35" s="4">
        <f>DATE(YEAR(J35), MONTH(J35) +1, DAY(J35))</f>
        <v>45689</v>
      </c>
      <c r="L35" s="3">
        <v>1</v>
      </c>
      <c r="M35" s="3">
        <v>1</v>
      </c>
      <c r="N35" s="6">
        <v>20</v>
      </c>
      <c r="O35" s="3">
        <v>20</v>
      </c>
      <c r="P35" s="3" t="s">
        <v>154</v>
      </c>
    </row>
    <row r="36" spans="1:17" x14ac:dyDescent="0.25">
      <c r="A36" s="3" t="s">
        <v>38</v>
      </c>
      <c r="B36" s="3" t="str">
        <f>CONCATENATE(A36,2)</f>
        <v>10M8K82</v>
      </c>
      <c r="C36" s="3" t="s">
        <v>39</v>
      </c>
      <c r="D36" s="3" t="s">
        <v>27</v>
      </c>
      <c r="E36" s="3" t="s">
        <v>28</v>
      </c>
      <c r="F36" s="3">
        <v>6634327</v>
      </c>
      <c r="G36" s="3" t="s">
        <v>29</v>
      </c>
      <c r="H36" s="3" t="s">
        <v>30</v>
      </c>
      <c r="I36" s="3">
        <v>20250101</v>
      </c>
      <c r="J36" s="3" t="str">
        <f>TEXT(DATE(LEFT(I36,4), MID(I36,5,2), RIGHT(I36,2)), "M/d/yyyy")</f>
        <v>1/1/2025</v>
      </c>
      <c r="K36" s="4">
        <f>DATE(YEAR(J36), MONTH(J36) +1, DAY(J36))</f>
        <v>45689</v>
      </c>
      <c r="L36" s="3">
        <v>1</v>
      </c>
      <c r="M36" s="3">
        <v>1</v>
      </c>
      <c r="N36" s="6">
        <v>20</v>
      </c>
      <c r="O36" s="3">
        <v>20</v>
      </c>
      <c r="P36" s="3" t="s">
        <v>154</v>
      </c>
    </row>
    <row r="37" spans="1:17" x14ac:dyDescent="0.25">
      <c r="A37" s="3" t="s">
        <v>38</v>
      </c>
      <c r="B37" s="3" t="str">
        <f>CONCATENATE(A37,2)</f>
        <v>10M8K82</v>
      </c>
      <c r="C37" s="3" t="s">
        <v>39</v>
      </c>
      <c r="D37" s="3" t="s">
        <v>27</v>
      </c>
      <c r="E37" s="3" t="s">
        <v>28</v>
      </c>
      <c r="F37" s="3">
        <v>6634327</v>
      </c>
      <c r="G37" s="3" t="s">
        <v>29</v>
      </c>
      <c r="H37" s="3" t="s">
        <v>30</v>
      </c>
      <c r="I37" s="3">
        <v>20250201</v>
      </c>
      <c r="J37" s="3" t="str">
        <f>TEXT(DATE(LEFT(I37,4), MID(I37,5,2), RIGHT(I37,2)), "M/d/yyyy")</f>
        <v>2/1/2025</v>
      </c>
      <c r="K37" s="4">
        <f>DATE(YEAR(J37), MONTH(J37) +1, DAY(J37))</f>
        <v>45717</v>
      </c>
      <c r="L37" s="3">
        <v>1</v>
      </c>
      <c r="M37" s="3">
        <v>1</v>
      </c>
      <c r="N37" s="6">
        <v>20</v>
      </c>
      <c r="O37" s="3">
        <v>20</v>
      </c>
      <c r="P37" s="3" t="s">
        <v>154</v>
      </c>
    </row>
    <row r="38" spans="1:17" x14ac:dyDescent="0.25">
      <c r="A38" s="3" t="s">
        <v>45</v>
      </c>
      <c r="B38" s="3" t="str">
        <f>CONCATENATE(A38,2)</f>
        <v>17M71Y2</v>
      </c>
      <c r="C38" s="3" t="s">
        <v>46</v>
      </c>
      <c r="D38" s="3" t="s">
        <v>27</v>
      </c>
      <c r="E38" s="3" t="s">
        <v>28</v>
      </c>
      <c r="F38" s="3">
        <v>6634327</v>
      </c>
      <c r="G38" s="3" t="s">
        <v>29</v>
      </c>
      <c r="H38" s="3" t="s">
        <v>30</v>
      </c>
      <c r="I38" s="3">
        <v>20250301</v>
      </c>
      <c r="J38" s="3" t="str">
        <f>TEXT(DATE(LEFT(I38,4), MID(I38,5,2), RIGHT(I38,2)), "M/d/yyyy")</f>
        <v>3/1/2025</v>
      </c>
      <c r="K38" s="4">
        <f>DATE(YEAR(J38), MONTH(J38) +1, DAY(J38))</f>
        <v>45748</v>
      </c>
      <c r="L38" s="3">
        <v>1</v>
      </c>
      <c r="M38" s="3">
        <v>1</v>
      </c>
      <c r="N38" s="6">
        <v>20</v>
      </c>
      <c r="O38" s="3">
        <v>20</v>
      </c>
      <c r="P38" s="3" t="s">
        <v>154</v>
      </c>
    </row>
    <row r="39" spans="1:17" x14ac:dyDescent="0.25">
      <c r="A39" s="3" t="s">
        <v>53</v>
      </c>
      <c r="B39" s="3" t="str">
        <f>CONCATENATE(A39,2)</f>
        <v>23M79D2</v>
      </c>
      <c r="C39" s="3" t="s">
        <v>54</v>
      </c>
      <c r="D39" s="3" t="s">
        <v>27</v>
      </c>
      <c r="E39" s="3" t="s">
        <v>28</v>
      </c>
      <c r="F39" s="3">
        <v>6634327</v>
      </c>
      <c r="G39" s="3" t="s">
        <v>29</v>
      </c>
      <c r="H39" s="3" t="s">
        <v>30</v>
      </c>
      <c r="I39" s="3">
        <v>20250301</v>
      </c>
      <c r="J39" s="3" t="str">
        <f>TEXT(DATE(LEFT(I39,4), MID(I39,5,2), RIGHT(I39,2)), "M/d/yyyy")</f>
        <v>3/1/2025</v>
      </c>
      <c r="K39" s="4">
        <f>DATE(YEAR(J39), MONTH(J39) +1, DAY(J39))</f>
        <v>45748</v>
      </c>
      <c r="L39" s="3">
        <v>1</v>
      </c>
      <c r="M39" s="3">
        <v>1</v>
      </c>
      <c r="N39" s="6">
        <v>20</v>
      </c>
      <c r="O39" s="3">
        <v>20</v>
      </c>
      <c r="P39" s="3" t="s">
        <v>154</v>
      </c>
    </row>
    <row r="40" spans="1:17" x14ac:dyDescent="0.25">
      <c r="A40" s="3" t="s">
        <v>62</v>
      </c>
      <c r="B40" s="3" t="str">
        <f>CONCATENATE(A40,2)</f>
        <v>32M8H82</v>
      </c>
      <c r="C40" s="3" t="s">
        <v>63</v>
      </c>
      <c r="D40" s="3" t="s">
        <v>27</v>
      </c>
      <c r="E40" s="3" t="s">
        <v>28</v>
      </c>
      <c r="F40" s="3">
        <v>6634327</v>
      </c>
      <c r="G40" s="3" t="s">
        <v>29</v>
      </c>
      <c r="H40" s="3" t="s">
        <v>30</v>
      </c>
      <c r="I40" s="3">
        <v>20250301</v>
      </c>
      <c r="J40" s="3" t="str">
        <f>TEXT(DATE(LEFT(I40,4), MID(I40,5,2), RIGHT(I40,2)), "M/d/yyyy")</f>
        <v>3/1/2025</v>
      </c>
      <c r="K40" s="4">
        <f>DATE(YEAR(J40), MONTH(J40) +1, DAY(J40))</f>
        <v>45748</v>
      </c>
      <c r="L40" s="3">
        <v>1</v>
      </c>
      <c r="M40" s="3">
        <v>3</v>
      </c>
      <c r="N40" s="6">
        <v>20</v>
      </c>
      <c r="O40" s="3">
        <v>60</v>
      </c>
      <c r="P40" s="3" t="s">
        <v>154</v>
      </c>
      <c r="Q40" s="3" t="s">
        <v>155</v>
      </c>
    </row>
    <row r="41" spans="1:17" x14ac:dyDescent="0.25">
      <c r="A41" s="3" t="s">
        <v>78</v>
      </c>
      <c r="B41" s="3" t="str">
        <f>CONCATENATE(A41,2)</f>
        <v>36M6M72</v>
      </c>
      <c r="C41" s="3" t="s">
        <v>79</v>
      </c>
      <c r="D41" s="3" t="s">
        <v>27</v>
      </c>
      <c r="E41" s="3" t="s">
        <v>28</v>
      </c>
      <c r="F41" s="3">
        <v>6634327</v>
      </c>
      <c r="G41" s="3" t="s">
        <v>29</v>
      </c>
      <c r="H41" s="3" t="s">
        <v>30</v>
      </c>
      <c r="I41" s="3">
        <v>20250101</v>
      </c>
      <c r="J41" s="3" t="str">
        <f>TEXT(DATE(LEFT(I41,4), MID(I41,5,2), RIGHT(I41,2)), "M/d/yyyy")</f>
        <v>1/1/2025</v>
      </c>
      <c r="K41" s="4">
        <f>DATE(YEAR(J41), MONTH(J41) +1, DAY(J41))</f>
        <v>45689</v>
      </c>
      <c r="L41" s="3">
        <v>1</v>
      </c>
      <c r="M41" s="3">
        <v>1</v>
      </c>
      <c r="N41" s="6">
        <v>20</v>
      </c>
      <c r="O41" s="3">
        <v>20</v>
      </c>
      <c r="P41" s="3" t="s">
        <v>154</v>
      </c>
    </row>
    <row r="42" spans="1:17" x14ac:dyDescent="0.25">
      <c r="A42" s="3" t="s">
        <v>78</v>
      </c>
      <c r="B42" s="3" t="str">
        <f>CONCATENATE(A42,2)</f>
        <v>36M6M72</v>
      </c>
      <c r="C42" s="3" t="s">
        <v>79</v>
      </c>
      <c r="D42" s="3" t="s">
        <v>27</v>
      </c>
      <c r="E42" s="3" t="s">
        <v>28</v>
      </c>
      <c r="F42" s="3">
        <v>6634327</v>
      </c>
      <c r="G42" s="3" t="s">
        <v>29</v>
      </c>
      <c r="H42" s="3" t="s">
        <v>30</v>
      </c>
      <c r="I42" s="3">
        <v>20250201</v>
      </c>
      <c r="J42" s="3" t="str">
        <f>TEXT(DATE(LEFT(I42,4), MID(I42,5,2), RIGHT(I42,2)), "M/d/yyyy")</f>
        <v>2/1/2025</v>
      </c>
      <c r="K42" s="4">
        <f>DATE(YEAR(J42), MONTH(J42) +1, DAY(J42))</f>
        <v>45717</v>
      </c>
      <c r="L42" s="3">
        <v>1</v>
      </c>
      <c r="M42" s="3">
        <v>1</v>
      </c>
      <c r="N42" s="6">
        <v>20</v>
      </c>
      <c r="O42" s="3">
        <v>20</v>
      </c>
      <c r="P42" s="3" t="s">
        <v>154</v>
      </c>
    </row>
    <row r="43" spans="1:17" x14ac:dyDescent="0.25">
      <c r="A43" s="3" t="s">
        <v>80</v>
      </c>
      <c r="B43" s="3" t="str">
        <f>CONCATENATE(A43,2)</f>
        <v>36MP652</v>
      </c>
      <c r="C43" s="3" t="s">
        <v>81</v>
      </c>
      <c r="D43" s="3" t="s">
        <v>27</v>
      </c>
      <c r="E43" s="3" t="s">
        <v>28</v>
      </c>
      <c r="F43" s="3">
        <v>6634327</v>
      </c>
      <c r="G43" s="3" t="s">
        <v>29</v>
      </c>
      <c r="H43" s="3" t="s">
        <v>30</v>
      </c>
      <c r="I43" s="3">
        <v>20250201</v>
      </c>
      <c r="J43" s="3" t="str">
        <f>TEXT(DATE(LEFT(I43,4), MID(I43,5,2), RIGHT(I43,2)), "M/d/yyyy")</f>
        <v>2/1/2025</v>
      </c>
      <c r="K43" s="4">
        <f>DATE(YEAR(J43), MONTH(J43) +1, DAY(J43))</f>
        <v>45717</v>
      </c>
      <c r="L43" s="3">
        <v>1</v>
      </c>
      <c r="M43" s="3">
        <v>1</v>
      </c>
      <c r="N43" s="6">
        <v>20</v>
      </c>
      <c r="O43" s="3">
        <v>20</v>
      </c>
      <c r="P43" s="3" t="s">
        <v>154</v>
      </c>
    </row>
    <row r="44" spans="1:17" x14ac:dyDescent="0.25">
      <c r="A44" s="3" t="s">
        <v>90</v>
      </c>
      <c r="B44" s="3" t="str">
        <f>CONCATENATE(A44,2)</f>
        <v>39M88D2</v>
      </c>
      <c r="C44" s="3" t="s">
        <v>91</v>
      </c>
      <c r="D44" s="3" t="s">
        <v>27</v>
      </c>
      <c r="E44" s="3" t="s">
        <v>28</v>
      </c>
      <c r="F44" s="3">
        <v>6634327</v>
      </c>
      <c r="G44" s="3" t="s">
        <v>29</v>
      </c>
      <c r="H44" s="3" t="s">
        <v>30</v>
      </c>
      <c r="I44" s="3">
        <v>20250301</v>
      </c>
      <c r="J44" s="3" t="str">
        <f>TEXT(DATE(LEFT(I44,4), MID(I44,5,2), RIGHT(I44,2)), "M/d/yyyy")</f>
        <v>3/1/2025</v>
      </c>
      <c r="K44" s="4">
        <f>DATE(YEAR(J44), MONTH(J44) +1, DAY(J44))</f>
        <v>45748</v>
      </c>
      <c r="L44" s="3">
        <v>1</v>
      </c>
      <c r="M44" s="3">
        <v>1</v>
      </c>
      <c r="N44" s="6">
        <v>20</v>
      </c>
      <c r="O44" s="3">
        <v>20</v>
      </c>
      <c r="P44" s="3" t="s">
        <v>154</v>
      </c>
    </row>
    <row r="45" spans="1:17" x14ac:dyDescent="0.25">
      <c r="A45" s="3" t="s">
        <v>92</v>
      </c>
      <c r="B45" s="3" t="str">
        <f>CONCATENATE(A45,2)</f>
        <v>46NE602</v>
      </c>
      <c r="C45" s="3" t="s">
        <v>93</v>
      </c>
      <c r="D45" s="3" t="s">
        <v>27</v>
      </c>
      <c r="E45" s="3" t="s">
        <v>28</v>
      </c>
      <c r="F45" s="3">
        <v>6634327</v>
      </c>
      <c r="G45" s="3" t="s">
        <v>29</v>
      </c>
      <c r="H45" s="3" t="s">
        <v>30</v>
      </c>
      <c r="I45" s="3">
        <v>20250301</v>
      </c>
      <c r="J45" s="3" t="str">
        <f>TEXT(DATE(LEFT(I45,4), MID(I45,5,2), RIGHT(I45,2)), "M/d/yyyy")</f>
        <v>3/1/2025</v>
      </c>
      <c r="K45" s="4">
        <f>DATE(YEAR(J45), MONTH(J45) +1, DAY(J45))</f>
        <v>45748</v>
      </c>
      <c r="L45" s="3">
        <v>1</v>
      </c>
      <c r="M45" s="3">
        <v>1</v>
      </c>
      <c r="N45" s="6">
        <v>20</v>
      </c>
      <c r="O45" s="3">
        <v>20</v>
      </c>
      <c r="P45" s="3" t="s">
        <v>154</v>
      </c>
    </row>
    <row r="46" spans="1:17" x14ac:dyDescent="0.25">
      <c r="A46" s="3" t="s">
        <v>94</v>
      </c>
      <c r="B46" s="3" t="str">
        <f>CONCATENATE(A46,2)</f>
        <v>47M59G2</v>
      </c>
      <c r="C46" s="3" t="s">
        <v>95</v>
      </c>
      <c r="D46" s="3" t="s">
        <v>27</v>
      </c>
      <c r="E46" s="3" t="s">
        <v>28</v>
      </c>
      <c r="F46" s="3">
        <v>6634327</v>
      </c>
      <c r="G46" s="3" t="s">
        <v>29</v>
      </c>
      <c r="H46" s="3" t="s">
        <v>30</v>
      </c>
      <c r="I46" s="3">
        <v>20250101</v>
      </c>
      <c r="J46" s="3" t="str">
        <f>TEXT(DATE(LEFT(I46,4), MID(I46,5,2), RIGHT(I46,2)), "M/d/yyyy")</f>
        <v>1/1/2025</v>
      </c>
      <c r="K46" s="4">
        <f>DATE(YEAR(J46), MONTH(J46) +1, DAY(J46))</f>
        <v>45689</v>
      </c>
      <c r="L46" s="3">
        <v>1</v>
      </c>
      <c r="M46" s="3">
        <v>1</v>
      </c>
      <c r="N46" s="6">
        <v>20</v>
      </c>
      <c r="O46" s="3">
        <v>20</v>
      </c>
      <c r="P46" s="3" t="s">
        <v>154</v>
      </c>
    </row>
    <row r="47" spans="1:17" x14ac:dyDescent="0.25">
      <c r="A47" s="3" t="s">
        <v>94</v>
      </c>
      <c r="B47" s="3" t="str">
        <f>CONCATENATE(A47,2)</f>
        <v>47M59G2</v>
      </c>
      <c r="C47" s="3" t="s">
        <v>95</v>
      </c>
      <c r="D47" s="3" t="s">
        <v>27</v>
      </c>
      <c r="E47" s="3" t="s">
        <v>28</v>
      </c>
      <c r="F47" s="3">
        <v>6634327</v>
      </c>
      <c r="G47" s="3" t="s">
        <v>29</v>
      </c>
      <c r="H47" s="3" t="s">
        <v>30</v>
      </c>
      <c r="I47" s="3">
        <v>20250201</v>
      </c>
      <c r="J47" s="3" t="str">
        <f>TEXT(DATE(LEFT(I47,4), MID(I47,5,2), RIGHT(I47,2)), "M/d/yyyy")</f>
        <v>2/1/2025</v>
      </c>
      <c r="K47" s="4">
        <f>DATE(YEAR(J47), MONTH(J47) +1, DAY(J47))</f>
        <v>45717</v>
      </c>
      <c r="L47" s="3">
        <v>1</v>
      </c>
      <c r="M47" s="3">
        <v>1</v>
      </c>
      <c r="N47" s="6">
        <v>20</v>
      </c>
      <c r="O47" s="3">
        <v>20</v>
      </c>
      <c r="P47" s="3" t="s">
        <v>154</v>
      </c>
    </row>
    <row r="48" spans="1:17" x14ac:dyDescent="0.25">
      <c r="A48" s="3" t="s">
        <v>100</v>
      </c>
      <c r="B48" s="3" t="str">
        <f>CONCATENATE(A48,2)</f>
        <v>56M32E2</v>
      </c>
      <c r="C48" s="3" t="s">
        <v>101</v>
      </c>
      <c r="D48" s="3" t="s">
        <v>27</v>
      </c>
      <c r="E48" s="3" t="s">
        <v>28</v>
      </c>
      <c r="F48" s="3">
        <v>6634327</v>
      </c>
      <c r="G48" s="3" t="s">
        <v>29</v>
      </c>
      <c r="H48" s="3" t="s">
        <v>30</v>
      </c>
      <c r="I48" s="3">
        <v>20250301</v>
      </c>
      <c r="J48" s="3" t="str">
        <f>TEXT(DATE(LEFT(I48,4), MID(I48,5,2), RIGHT(I48,2)), "M/d/yyyy")</f>
        <v>3/1/2025</v>
      </c>
      <c r="K48" s="4">
        <f>DATE(YEAR(J48), MONTH(J48) +1, DAY(J48))</f>
        <v>45748</v>
      </c>
      <c r="L48" s="3">
        <v>1</v>
      </c>
      <c r="M48" s="3">
        <v>1</v>
      </c>
      <c r="N48" s="6">
        <v>20</v>
      </c>
      <c r="O48" s="3">
        <v>20</v>
      </c>
      <c r="P48" s="3" t="s">
        <v>154</v>
      </c>
    </row>
    <row r="49" spans="1:17" x14ac:dyDescent="0.25">
      <c r="A49" s="3" t="s">
        <v>106</v>
      </c>
      <c r="B49" s="3" t="str">
        <f>CONCATENATE(A49,2)</f>
        <v>61NC972</v>
      </c>
      <c r="C49" s="3" t="s">
        <v>107</v>
      </c>
      <c r="D49" s="3" t="s">
        <v>27</v>
      </c>
      <c r="E49" s="3" t="s">
        <v>28</v>
      </c>
      <c r="F49" s="3">
        <v>6634327</v>
      </c>
      <c r="G49" s="3" t="s">
        <v>29</v>
      </c>
      <c r="H49" s="3" t="s">
        <v>30</v>
      </c>
      <c r="I49" s="3">
        <v>20250201</v>
      </c>
      <c r="J49" s="3" t="str">
        <f>TEXT(DATE(LEFT(I49,4), MID(I49,5,2), RIGHT(I49,2)), "M/d/yyyy")</f>
        <v>2/1/2025</v>
      </c>
      <c r="K49" s="4">
        <f>DATE(YEAR(J49), MONTH(J49) +1, DAY(J49))</f>
        <v>45717</v>
      </c>
      <c r="L49" s="3">
        <v>1</v>
      </c>
      <c r="M49" s="3">
        <v>1</v>
      </c>
      <c r="N49" s="6">
        <v>20</v>
      </c>
      <c r="O49" s="3">
        <v>20</v>
      </c>
      <c r="P49" s="3" t="s">
        <v>154</v>
      </c>
    </row>
    <row r="50" spans="1:17" x14ac:dyDescent="0.25">
      <c r="A50" s="3" t="s">
        <v>108</v>
      </c>
      <c r="B50" s="3" t="str">
        <f>CONCATENATE(A50,2)</f>
        <v>62NC242</v>
      </c>
      <c r="C50" s="3" t="s">
        <v>109</v>
      </c>
      <c r="D50" s="3" t="s">
        <v>27</v>
      </c>
      <c r="E50" s="3" t="s">
        <v>28</v>
      </c>
      <c r="F50" s="3">
        <v>6634327</v>
      </c>
      <c r="G50" s="3" t="s">
        <v>29</v>
      </c>
      <c r="H50" s="3" t="s">
        <v>30</v>
      </c>
      <c r="I50" s="3">
        <v>20250101</v>
      </c>
      <c r="J50" s="3" t="str">
        <f>TEXT(DATE(LEFT(I50,4), MID(I50,5,2), RIGHT(I50,2)), "M/d/yyyy")</f>
        <v>1/1/2025</v>
      </c>
      <c r="K50" s="4">
        <f>DATE(YEAR(J50), MONTH(J50) +1, DAY(J50))</f>
        <v>45689</v>
      </c>
      <c r="L50" s="3">
        <v>1</v>
      </c>
      <c r="M50" s="3">
        <v>2</v>
      </c>
      <c r="N50" s="6">
        <v>20</v>
      </c>
      <c r="O50" s="3">
        <v>40</v>
      </c>
      <c r="P50" s="3" t="s">
        <v>154</v>
      </c>
      <c r="Q50" s="3" t="s">
        <v>156</v>
      </c>
    </row>
    <row r="51" spans="1:17" x14ac:dyDescent="0.25">
      <c r="A51" s="3" t="s">
        <v>108</v>
      </c>
      <c r="B51" s="3" t="str">
        <f>CONCATENATE(A51,2)</f>
        <v>62NC242</v>
      </c>
      <c r="C51" s="3" t="s">
        <v>109</v>
      </c>
      <c r="D51" s="3" t="s">
        <v>27</v>
      </c>
      <c r="E51" s="3" t="s">
        <v>28</v>
      </c>
      <c r="F51" s="3">
        <v>6634327</v>
      </c>
      <c r="G51" s="3" t="s">
        <v>29</v>
      </c>
      <c r="H51" s="3" t="s">
        <v>30</v>
      </c>
      <c r="I51" s="3">
        <v>20250201</v>
      </c>
      <c r="J51" s="3" t="str">
        <f>TEXT(DATE(LEFT(I51,4), MID(I51,5,2), RIGHT(I51,2)), "M/d/yyyy")</f>
        <v>2/1/2025</v>
      </c>
      <c r="K51" s="4">
        <f>DATE(YEAR(J51), MONTH(J51) +1, DAY(J51))</f>
        <v>45717</v>
      </c>
      <c r="L51" s="3">
        <v>1</v>
      </c>
      <c r="M51" s="3">
        <v>2</v>
      </c>
      <c r="N51" s="6">
        <v>20</v>
      </c>
      <c r="O51" s="3">
        <v>40</v>
      </c>
      <c r="P51" s="3" t="s">
        <v>154</v>
      </c>
      <c r="Q51" s="3" t="s">
        <v>156</v>
      </c>
    </row>
    <row r="52" spans="1:17" x14ac:dyDescent="0.25">
      <c r="A52" s="3" t="s">
        <v>110</v>
      </c>
      <c r="B52" s="3" t="str">
        <f>CONCATENATE(A52,2)</f>
        <v>62NC362</v>
      </c>
      <c r="C52" s="3" t="s">
        <v>111</v>
      </c>
      <c r="D52" s="3" t="s">
        <v>27</v>
      </c>
      <c r="E52" s="3" t="s">
        <v>28</v>
      </c>
      <c r="F52" s="3">
        <v>6634327</v>
      </c>
      <c r="G52" s="3" t="s">
        <v>29</v>
      </c>
      <c r="H52" s="3" t="s">
        <v>30</v>
      </c>
      <c r="I52" s="3">
        <v>20250201</v>
      </c>
      <c r="J52" s="3" t="str">
        <f>TEXT(DATE(LEFT(I52,4), MID(I52,5,2), RIGHT(I52,2)), "M/d/yyyy")</f>
        <v>2/1/2025</v>
      </c>
      <c r="K52" s="4">
        <f>DATE(YEAR(J52), MONTH(J52) +1, DAY(J52))</f>
        <v>45717</v>
      </c>
      <c r="L52" s="3">
        <v>1</v>
      </c>
      <c r="M52" s="3">
        <v>1</v>
      </c>
      <c r="N52" s="6">
        <v>20</v>
      </c>
      <c r="O52" s="3">
        <v>20</v>
      </c>
      <c r="P52" s="3" t="s">
        <v>154</v>
      </c>
    </row>
    <row r="53" spans="1:17" x14ac:dyDescent="0.25">
      <c r="A53" s="3" t="s">
        <v>110</v>
      </c>
      <c r="B53" s="3" t="str">
        <f>CONCATENATE(A53,2)</f>
        <v>62NC362</v>
      </c>
      <c r="C53" s="3" t="s">
        <v>111</v>
      </c>
      <c r="D53" s="3" t="s">
        <v>27</v>
      </c>
      <c r="E53" s="3" t="s">
        <v>28</v>
      </c>
      <c r="F53" s="3">
        <v>6634327</v>
      </c>
      <c r="G53" s="3" t="s">
        <v>29</v>
      </c>
      <c r="H53" s="3" t="s">
        <v>30</v>
      </c>
      <c r="I53" s="3">
        <v>20250101</v>
      </c>
      <c r="J53" s="3" t="str">
        <f>TEXT(DATE(LEFT(I53,4), MID(I53,5,2), RIGHT(I53,2)), "M/d/yyyy")</f>
        <v>1/1/2025</v>
      </c>
      <c r="K53" s="4">
        <f>DATE(YEAR(J53), MONTH(J53) +1, DAY(J53))</f>
        <v>45689</v>
      </c>
      <c r="L53" s="3">
        <v>1</v>
      </c>
      <c r="M53" s="3">
        <v>1</v>
      </c>
      <c r="N53" s="6">
        <v>20</v>
      </c>
      <c r="O53" s="3">
        <v>20</v>
      </c>
      <c r="P53" s="3" t="s">
        <v>154</v>
      </c>
    </row>
    <row r="54" spans="1:17" x14ac:dyDescent="0.25">
      <c r="A54" s="3" t="s">
        <v>124</v>
      </c>
      <c r="B54" s="3" t="str">
        <f>CONCATENATE(A54,2)</f>
        <v>70MB722</v>
      </c>
      <c r="C54" s="3" t="s">
        <v>125</v>
      </c>
      <c r="D54" s="3" t="s">
        <v>27</v>
      </c>
      <c r="E54" s="3" t="s">
        <v>28</v>
      </c>
      <c r="F54" s="3">
        <v>6634327</v>
      </c>
      <c r="G54" s="3" t="s">
        <v>29</v>
      </c>
      <c r="H54" s="3" t="s">
        <v>30</v>
      </c>
      <c r="I54" s="3">
        <v>20250301</v>
      </c>
      <c r="J54" s="3" t="str">
        <f>TEXT(DATE(LEFT(I54,4), MID(I54,5,2), RIGHT(I54,2)), "M/d/yyyy")</f>
        <v>3/1/2025</v>
      </c>
      <c r="K54" s="4">
        <f>DATE(YEAR(J54), MONTH(J54) +1, DAY(J54))</f>
        <v>45748</v>
      </c>
      <c r="L54" s="3">
        <v>1</v>
      </c>
      <c r="M54" s="3">
        <v>1</v>
      </c>
      <c r="N54" s="6">
        <v>20</v>
      </c>
      <c r="O54" s="3">
        <v>20</v>
      </c>
      <c r="P54" s="3" t="s">
        <v>154</v>
      </c>
    </row>
    <row r="55" spans="1:17" x14ac:dyDescent="0.25">
      <c r="A55" s="3" t="s">
        <v>135</v>
      </c>
      <c r="B55" s="3" t="str">
        <f>CONCATENATE(A55,2)</f>
        <v>85NN122</v>
      </c>
      <c r="C55" s="3" t="s">
        <v>136</v>
      </c>
      <c r="D55" s="3" t="s">
        <v>27</v>
      </c>
      <c r="E55" s="3" t="s">
        <v>28</v>
      </c>
      <c r="F55" s="3">
        <v>6634327</v>
      </c>
      <c r="G55" s="3" t="s">
        <v>29</v>
      </c>
      <c r="H55" s="3" t="s">
        <v>30</v>
      </c>
      <c r="I55" s="3">
        <v>20250201</v>
      </c>
      <c r="J55" s="3" t="str">
        <f>TEXT(DATE(LEFT(I55,4), MID(I55,5,2), RIGHT(I55,2)), "M/d/yyyy")</f>
        <v>2/1/2025</v>
      </c>
      <c r="K55" s="4">
        <f>DATE(YEAR(J55), MONTH(J55) +1, DAY(J55))</f>
        <v>45717</v>
      </c>
      <c r="L55" s="3">
        <v>1</v>
      </c>
      <c r="M55" s="3">
        <v>1</v>
      </c>
      <c r="N55" s="6">
        <v>20</v>
      </c>
      <c r="O55" s="3">
        <v>20</v>
      </c>
      <c r="P55" s="3" t="s">
        <v>154</v>
      </c>
    </row>
    <row r="56" spans="1:17" x14ac:dyDescent="0.25">
      <c r="A56" s="3" t="s">
        <v>135</v>
      </c>
      <c r="B56" s="3" t="str">
        <f>CONCATENATE(A56,2)</f>
        <v>85NN122</v>
      </c>
      <c r="C56" s="3" t="s">
        <v>136</v>
      </c>
      <c r="D56" s="3" t="s">
        <v>27</v>
      </c>
      <c r="E56" s="3" t="s">
        <v>28</v>
      </c>
      <c r="F56" s="3">
        <v>6634327</v>
      </c>
      <c r="G56" s="3" t="s">
        <v>29</v>
      </c>
      <c r="H56" s="3" t="s">
        <v>30</v>
      </c>
      <c r="I56" s="3">
        <v>20250101</v>
      </c>
      <c r="J56" s="3" t="str">
        <f>TEXT(DATE(LEFT(I56,4), MID(I56,5,2), RIGHT(I56,2)), "M/d/yyyy")</f>
        <v>1/1/2025</v>
      </c>
      <c r="K56" s="4">
        <f>DATE(YEAR(J56), MONTH(J56) +1, DAY(J56))</f>
        <v>45689</v>
      </c>
      <c r="L56" s="3">
        <v>1</v>
      </c>
      <c r="M56" s="3">
        <v>1</v>
      </c>
      <c r="N56" s="6">
        <v>20</v>
      </c>
      <c r="O56" s="3">
        <v>20</v>
      </c>
      <c r="P56" s="3" t="s">
        <v>154</v>
      </c>
    </row>
    <row r="57" spans="1:17" x14ac:dyDescent="0.25">
      <c r="A57" s="3" t="s">
        <v>146</v>
      </c>
      <c r="B57" s="3" t="str">
        <f>CONCATENATE(A57,2)</f>
        <v>97MT872</v>
      </c>
      <c r="C57" s="3" t="s">
        <v>147</v>
      </c>
      <c r="D57" s="3" t="s">
        <v>27</v>
      </c>
      <c r="E57" s="3" t="s">
        <v>28</v>
      </c>
      <c r="F57" s="3">
        <v>6634327</v>
      </c>
      <c r="G57" s="3" t="s">
        <v>29</v>
      </c>
      <c r="H57" s="3" t="s">
        <v>30</v>
      </c>
      <c r="I57" s="3">
        <v>20250201</v>
      </c>
      <c r="J57" s="3" t="str">
        <f>TEXT(DATE(LEFT(I57,4), MID(I57,5,2), RIGHT(I57,2)), "M/d/yyyy")</f>
        <v>2/1/2025</v>
      </c>
      <c r="K57" s="4">
        <f>DATE(YEAR(J57), MONTH(J57) +1, DAY(J57))</f>
        <v>45717</v>
      </c>
      <c r="L57" s="3">
        <v>1</v>
      </c>
      <c r="M57" s="3">
        <v>1</v>
      </c>
      <c r="N57" s="6">
        <v>20</v>
      </c>
      <c r="O57" s="3">
        <v>20</v>
      </c>
      <c r="P57" s="3" t="s">
        <v>154</v>
      </c>
    </row>
    <row r="58" spans="1:17" x14ac:dyDescent="0.25">
      <c r="A58" s="3" t="s">
        <v>57</v>
      </c>
      <c r="B58" s="3" t="str">
        <f>CONCATENATE(A58,2)</f>
        <v>24N58N2</v>
      </c>
      <c r="C58" s="3" t="s">
        <v>58</v>
      </c>
      <c r="D58" s="3" t="s">
        <v>59</v>
      </c>
      <c r="E58" s="3" t="s">
        <v>60</v>
      </c>
      <c r="F58" s="3">
        <v>1706194</v>
      </c>
      <c r="G58" s="3" t="s">
        <v>29</v>
      </c>
      <c r="H58" s="3" t="s">
        <v>61</v>
      </c>
      <c r="I58" s="3">
        <v>20250201</v>
      </c>
      <c r="J58" s="3" t="str">
        <f>TEXT(DATE(LEFT(I58,4), MID(I58,5,2), RIGHT(I58,2)), "M/d/yyyy")</f>
        <v>2/1/2025</v>
      </c>
      <c r="K58" s="4">
        <f>DATE(YEAR(J58), MONTH(J58) +1, DAY(J58))</f>
        <v>45717</v>
      </c>
      <c r="L58" s="3">
        <v>1</v>
      </c>
      <c r="M58" s="3">
        <v>1</v>
      </c>
      <c r="N58" s="6">
        <v>22</v>
      </c>
      <c r="O58" s="3">
        <v>22</v>
      </c>
      <c r="P58" s="3" t="s">
        <v>157</v>
      </c>
    </row>
    <row r="59" spans="1:17" x14ac:dyDescent="0.25">
      <c r="A59" s="3" t="s">
        <v>57</v>
      </c>
      <c r="B59" s="3" t="str">
        <f>CONCATENATE(A59,2)</f>
        <v>24N58N2</v>
      </c>
      <c r="C59" s="3" t="s">
        <v>58</v>
      </c>
      <c r="D59" s="3" t="s">
        <v>59</v>
      </c>
      <c r="E59" s="3" t="s">
        <v>60</v>
      </c>
      <c r="F59" s="3">
        <v>1706194</v>
      </c>
      <c r="G59" s="3" t="s">
        <v>29</v>
      </c>
      <c r="H59" s="3" t="s">
        <v>61</v>
      </c>
      <c r="I59" s="3">
        <v>20250101</v>
      </c>
      <c r="J59" s="3" t="str">
        <f>TEXT(DATE(LEFT(I59,4), MID(I59,5,2), RIGHT(I59,2)), "M/d/yyyy")</f>
        <v>1/1/2025</v>
      </c>
      <c r="K59" s="4">
        <f>DATE(YEAR(J59), MONTH(J59) +1, DAY(J59))</f>
        <v>45689</v>
      </c>
      <c r="L59" s="3">
        <v>1</v>
      </c>
      <c r="M59" s="3">
        <v>1</v>
      </c>
      <c r="N59" s="6">
        <v>22</v>
      </c>
      <c r="O59" s="3">
        <v>22</v>
      </c>
      <c r="P59" s="3" t="s">
        <v>157</v>
      </c>
    </row>
    <row r="60" spans="1:17" x14ac:dyDescent="0.25">
      <c r="A60" s="3" t="s">
        <v>57</v>
      </c>
      <c r="B60" s="3" t="str">
        <f>CONCATENATE(A60,2)</f>
        <v>24N58N2</v>
      </c>
      <c r="C60" s="3" t="s">
        <v>58</v>
      </c>
      <c r="D60" s="3" t="s">
        <v>59</v>
      </c>
      <c r="E60" s="3" t="s">
        <v>60</v>
      </c>
      <c r="F60" s="3">
        <v>1706194</v>
      </c>
      <c r="G60" s="3" t="s">
        <v>29</v>
      </c>
      <c r="H60" s="3" t="s">
        <v>61</v>
      </c>
      <c r="I60" s="3">
        <v>20250301</v>
      </c>
      <c r="J60" s="3" t="str">
        <f>TEXT(DATE(LEFT(I60,4), MID(I60,5,2), RIGHT(I60,2)), "M/d/yyyy")</f>
        <v>3/1/2025</v>
      </c>
      <c r="K60" s="4">
        <f>DATE(YEAR(J60), MONTH(J60) +1, DAY(J60))</f>
        <v>45748</v>
      </c>
      <c r="L60" s="3">
        <v>1</v>
      </c>
      <c r="M60" s="3">
        <v>1</v>
      </c>
      <c r="N60" s="6">
        <v>22</v>
      </c>
      <c r="O60" s="3">
        <v>22</v>
      </c>
      <c r="P60" s="3" t="s">
        <v>157</v>
      </c>
    </row>
    <row r="61" spans="1:17" x14ac:dyDescent="0.25">
      <c r="A61" s="3" t="s">
        <v>98</v>
      </c>
      <c r="B61" s="3" t="str">
        <f>CONCATENATE(A61,2)</f>
        <v>56L91L2</v>
      </c>
      <c r="C61" s="3" t="s">
        <v>99</v>
      </c>
      <c r="D61" s="3" t="s">
        <v>59</v>
      </c>
      <c r="E61" s="3" t="s">
        <v>60</v>
      </c>
      <c r="F61" s="3">
        <v>1706194</v>
      </c>
      <c r="G61" s="3" t="s">
        <v>29</v>
      </c>
      <c r="H61" s="3" t="s">
        <v>70</v>
      </c>
      <c r="I61" s="3">
        <v>20250301</v>
      </c>
      <c r="J61" s="3" t="str">
        <f>TEXT(DATE(LEFT(I61,4), MID(I61,5,2), RIGHT(I61,2)), "M/d/yyyy")</f>
        <v>3/1/2025</v>
      </c>
      <c r="K61" s="4">
        <f>DATE(YEAR(J61), MONTH(J61) +1, DAY(J61))</f>
        <v>45748</v>
      </c>
      <c r="L61" s="3">
        <v>1</v>
      </c>
      <c r="M61" s="3">
        <v>1</v>
      </c>
      <c r="N61" s="6">
        <v>25</v>
      </c>
      <c r="O61" s="3">
        <v>25</v>
      </c>
      <c r="P61" s="3" t="s">
        <v>158</v>
      </c>
    </row>
    <row r="62" spans="1:17" x14ac:dyDescent="0.25">
      <c r="A62" s="3" t="s">
        <v>98</v>
      </c>
      <c r="B62" s="3" t="str">
        <f>CONCATENATE(A62,2)</f>
        <v>56L91L2</v>
      </c>
      <c r="C62" s="3" t="s">
        <v>99</v>
      </c>
      <c r="D62" s="3" t="s">
        <v>59</v>
      </c>
      <c r="E62" s="3" t="s">
        <v>60</v>
      </c>
      <c r="F62" s="3">
        <v>1706194</v>
      </c>
      <c r="G62" s="3" t="s">
        <v>29</v>
      </c>
      <c r="H62" s="3" t="s">
        <v>70</v>
      </c>
      <c r="I62" s="3">
        <v>20250201</v>
      </c>
      <c r="J62" s="3" t="str">
        <f>TEXT(DATE(LEFT(I62,4), MID(I62,5,2), RIGHT(I62,2)), "M/d/yyyy")</f>
        <v>2/1/2025</v>
      </c>
      <c r="K62" s="4">
        <f>DATE(YEAR(J62), MONTH(J62) +1, DAY(J62))</f>
        <v>45717</v>
      </c>
      <c r="L62" s="3">
        <v>1</v>
      </c>
      <c r="M62" s="3">
        <v>1</v>
      </c>
      <c r="N62" s="6">
        <v>25</v>
      </c>
      <c r="O62" s="3">
        <v>25</v>
      </c>
      <c r="P62" s="3" t="s">
        <v>158</v>
      </c>
    </row>
    <row r="63" spans="1:17" x14ac:dyDescent="0.25">
      <c r="A63" s="3" t="s">
        <v>148</v>
      </c>
      <c r="B63" s="3" t="str">
        <f>CONCATENATE(A63,2)</f>
        <v>98C62K2</v>
      </c>
      <c r="C63" s="3" t="s">
        <v>149</v>
      </c>
      <c r="D63" s="3" t="s">
        <v>59</v>
      </c>
      <c r="E63" s="3" t="s">
        <v>60</v>
      </c>
      <c r="F63" s="3">
        <v>1706194</v>
      </c>
      <c r="G63" s="3" t="s">
        <v>29</v>
      </c>
      <c r="H63" s="3" t="s">
        <v>70</v>
      </c>
      <c r="I63" s="3">
        <v>20250201</v>
      </c>
      <c r="J63" s="3" t="str">
        <f>TEXT(DATE(LEFT(I63,4), MID(I63,5,2), RIGHT(I63,2)), "M/d/yyyy")</f>
        <v>2/1/2025</v>
      </c>
      <c r="K63" s="4">
        <f>DATE(YEAR(J63), MONTH(J63) +1, DAY(J63))</f>
        <v>45717</v>
      </c>
      <c r="L63" s="3">
        <v>-1</v>
      </c>
      <c r="M63" s="3">
        <v>-1</v>
      </c>
      <c r="N63" s="6">
        <v>25</v>
      </c>
      <c r="O63" s="3">
        <v>-25</v>
      </c>
      <c r="P63" s="3" t="s">
        <v>158</v>
      </c>
    </row>
    <row r="64" spans="1:17" x14ac:dyDescent="0.25">
      <c r="A64" s="3" t="s">
        <v>148</v>
      </c>
      <c r="B64" s="3" t="str">
        <f>CONCATENATE(A64,2)</f>
        <v>98C62K2</v>
      </c>
      <c r="C64" s="3" t="s">
        <v>149</v>
      </c>
      <c r="D64" s="3" t="s">
        <v>59</v>
      </c>
      <c r="E64" s="3" t="s">
        <v>60</v>
      </c>
      <c r="F64" s="3">
        <v>1706194</v>
      </c>
      <c r="G64" s="3" t="s">
        <v>29</v>
      </c>
      <c r="H64" s="3" t="s">
        <v>70</v>
      </c>
      <c r="I64" s="3">
        <v>20250101</v>
      </c>
      <c r="J64" s="3" t="str">
        <f>TEXT(DATE(LEFT(I64,4), MID(I64,5,2), RIGHT(I64,2)), "M/d/yyyy")</f>
        <v>1/1/2025</v>
      </c>
      <c r="K64" s="4">
        <f>DATE(YEAR(J64), MONTH(J64) +1, DAY(J64))</f>
        <v>45689</v>
      </c>
      <c r="L64" s="3">
        <v>-1</v>
      </c>
      <c r="M64" s="3">
        <v>-1</v>
      </c>
      <c r="N64" s="6">
        <v>25</v>
      </c>
      <c r="O64" s="3">
        <v>-25</v>
      </c>
      <c r="P64" s="3" t="s">
        <v>158</v>
      </c>
    </row>
    <row r="65" spans="1:17" x14ac:dyDescent="0.25">
      <c r="A65" s="3" t="s">
        <v>148</v>
      </c>
      <c r="B65" s="3" t="str">
        <f>CONCATENATE(A65,2)</f>
        <v>98C62K2</v>
      </c>
      <c r="C65" s="3" t="s">
        <v>149</v>
      </c>
      <c r="D65" s="3" t="s">
        <v>59</v>
      </c>
      <c r="E65" s="3" t="s">
        <v>60</v>
      </c>
      <c r="F65" s="3">
        <v>1706194</v>
      </c>
      <c r="G65" s="3" t="s">
        <v>29</v>
      </c>
      <c r="H65" s="3" t="s">
        <v>70</v>
      </c>
      <c r="I65" s="3">
        <v>20250201</v>
      </c>
      <c r="J65" s="3" t="str">
        <f>TEXT(DATE(LEFT(I65,4), MID(I65,5,2), RIGHT(I65,2)), "M/d/yyyy")</f>
        <v>2/1/2025</v>
      </c>
      <c r="K65" s="4">
        <f>DATE(YEAR(J65), MONTH(J65) +1, DAY(J65))</f>
        <v>45717</v>
      </c>
      <c r="L65" s="3">
        <v>1</v>
      </c>
      <c r="M65" s="3">
        <v>1</v>
      </c>
      <c r="N65" s="6">
        <v>25</v>
      </c>
      <c r="O65" s="3">
        <v>25</v>
      </c>
      <c r="P65" s="3" t="s">
        <v>158</v>
      </c>
    </row>
    <row r="66" spans="1:17" x14ac:dyDescent="0.25">
      <c r="A66" s="3" t="s">
        <v>120</v>
      </c>
      <c r="B66" s="3" t="str">
        <f>CONCATENATE(A66,7)</f>
        <v>69M79F7</v>
      </c>
      <c r="C66" s="3" t="s">
        <v>121</v>
      </c>
      <c r="D66" s="3" t="s">
        <v>18</v>
      </c>
      <c r="E66" s="3" t="s">
        <v>122</v>
      </c>
      <c r="F66" s="3">
        <v>16633294</v>
      </c>
      <c r="G66" s="3" t="s">
        <v>20</v>
      </c>
      <c r="H66" s="3" t="s">
        <v>123</v>
      </c>
      <c r="I66" s="3">
        <v>20250301</v>
      </c>
      <c r="J66" s="3" t="str">
        <f>TEXT(DATE(LEFT(I66,4), MID(I66,5,2), RIGHT(I66,2)), "M/d/yyyy")</f>
        <v>3/1/2025</v>
      </c>
      <c r="K66" s="4">
        <f>DATE(YEAR(J66), MONTH(J66) +1, DAY(J66))</f>
        <v>45748</v>
      </c>
      <c r="L66" s="3">
        <v>200.63</v>
      </c>
      <c r="M66" s="3" t="s">
        <v>24</v>
      </c>
      <c r="N66" s="5">
        <v>0.2</v>
      </c>
      <c r="O66" s="3">
        <v>40.130000000000003</v>
      </c>
      <c r="P66" s="3" t="s">
        <v>153</v>
      </c>
    </row>
    <row r="67" spans="1:17" x14ac:dyDescent="0.25">
      <c r="A67" s="3" t="s">
        <v>126</v>
      </c>
      <c r="B67" s="3" t="str">
        <f>CONCATENATE(A67,2)</f>
        <v>76B8F52</v>
      </c>
      <c r="C67" s="3" t="s">
        <v>127</v>
      </c>
      <c r="D67" s="3" t="s">
        <v>59</v>
      </c>
      <c r="E67" s="3" t="s">
        <v>128</v>
      </c>
      <c r="F67" s="3">
        <v>17126004</v>
      </c>
      <c r="G67" s="3" t="s">
        <v>29</v>
      </c>
      <c r="H67" s="3" t="s">
        <v>105</v>
      </c>
      <c r="I67" s="3">
        <v>20250101</v>
      </c>
      <c r="J67" s="3" t="str">
        <f>TEXT(DATE(LEFT(I67,4), MID(I67,5,2), RIGHT(I67,2)), "M/d/yyyy")</f>
        <v>1/1/2025</v>
      </c>
      <c r="K67" s="4">
        <f>DATE(YEAR(J67), MONTH(J67) +1, DAY(J67))</f>
        <v>45689</v>
      </c>
      <c r="L67" s="3">
        <v>-1</v>
      </c>
      <c r="M67" s="3">
        <v>-3</v>
      </c>
      <c r="N67" s="6">
        <v>20</v>
      </c>
      <c r="O67" s="3">
        <v>-60</v>
      </c>
      <c r="P67" s="3" t="s">
        <v>154</v>
      </c>
      <c r="Q67" s="3" t="s">
        <v>155</v>
      </c>
    </row>
    <row r="68" spans="1:17" x14ac:dyDescent="0.25">
      <c r="A68" s="3" t="s">
        <v>116</v>
      </c>
      <c r="B68" s="3" t="str">
        <f>CONCATENATE(A68,2)</f>
        <v>69CK842</v>
      </c>
      <c r="C68" s="3" t="s">
        <v>117</v>
      </c>
      <c r="D68" s="3" t="s">
        <v>27</v>
      </c>
      <c r="E68" s="3" t="s">
        <v>118</v>
      </c>
      <c r="F68" s="3">
        <v>18010408</v>
      </c>
      <c r="G68" s="3" t="s">
        <v>29</v>
      </c>
      <c r="H68" s="3" t="s">
        <v>119</v>
      </c>
      <c r="I68" s="3">
        <v>20250201</v>
      </c>
      <c r="J68" s="3" t="str">
        <f>TEXT(DATE(LEFT(I68,4), MID(I68,5,2), RIGHT(I68,2)), "M/d/yyyy")</f>
        <v>2/1/2025</v>
      </c>
      <c r="K68" s="4">
        <f>DATE(YEAR(J68), MONTH(J68) +1, DAY(J68))</f>
        <v>45717</v>
      </c>
      <c r="L68" s="3">
        <v>1</v>
      </c>
      <c r="M68" s="3">
        <v>1</v>
      </c>
      <c r="N68" s="6">
        <v>20</v>
      </c>
      <c r="O68" s="3">
        <v>20</v>
      </c>
      <c r="P68" s="3" t="s">
        <v>159</v>
      </c>
    </row>
  </sheetData>
  <sortState xmlns:xlrd2="http://schemas.microsoft.com/office/spreadsheetml/2017/richdata2" ref="A2:T69">
    <sortCondition ref="E2:E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export-554662-20250308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2025-03-12T18:35:27Z</dcterms:created>
  <dcterms:modified xsi:type="dcterms:W3CDTF">2025-03-14T23:48:04Z</dcterms:modified>
</cp:coreProperties>
</file>