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4-5-25\"/>
    </mc:Choice>
  </mc:AlternateContent>
  <xr:revisionPtr revIDLastSave="0" documentId="13_ncr:1_{3B4F4740-AD8F-4E36-AD97-0CCC1D207D88}" xr6:coauthVersionLast="47" xr6:coauthVersionMax="47" xr10:uidLastSave="{00000000-0000-0000-0000-000000000000}"/>
  <bookViews>
    <workbookView xWindow="28680" yWindow="-2520" windowWidth="29040" windowHeight="16440" activeTab="1" xr2:uid="{37B6A6CB-96F6-4ECA-B299-0709B3FE6B5D}"/>
  </bookViews>
  <sheets>
    <sheet name="export-554662-2025040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4" i="2" l="1"/>
  <c r="B23" i="2"/>
  <c r="B9" i="2"/>
  <c r="B28" i="2"/>
  <c r="B27" i="2"/>
  <c r="B26" i="2"/>
  <c r="B25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3" i="2"/>
  <c r="B4" i="2"/>
  <c r="B5" i="2"/>
  <c r="B6" i="2"/>
  <c r="B7" i="2"/>
  <c r="B8" i="2"/>
  <c r="B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" i="2"/>
  <c r="O29" i="1"/>
</calcChain>
</file>

<file path=xl/sharedStrings.xml><?xml version="1.0" encoding="utf-8"?>
<sst xmlns="http://schemas.openxmlformats.org/spreadsheetml/2006/main" count="523" uniqueCount="92">
  <si>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</si>
  <si>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</si>
  <si>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</si>
  <si>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</si>
  <si>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</si>
  <si>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</si>
  <si>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</si>
  <si>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</si>
  <si>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</si>
  <si>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</si>
  <si>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</si>
  <si>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</si>
  <si>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</si>
  <si>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</si>
  <si>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</si>
  <si>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</si>
  <si>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08M74D</t>
  </si>
  <si>
    <t>STUTHI PAUL PEDAPATI, RAJ</t>
  </si>
  <si>
    <t>Medical, HOAPIN</t>
  </si>
  <si>
    <t>JOEL LEE</t>
  </si>
  <si>
    <t>PMPM</t>
  </si>
  <si>
    <t xml:space="preserve">S, </t>
  </si>
  <si>
    <t>CO</t>
  </si>
  <si>
    <t>null</t>
  </si>
  <si>
    <t>X, CP</t>
  </si>
  <si>
    <t>10M8K8</t>
  </si>
  <si>
    <t>ZHOU, SHITIAN</t>
  </si>
  <si>
    <t>17M71Y</t>
  </si>
  <si>
    <t>SWIFT, HANNAH</t>
  </si>
  <si>
    <t>23M79D</t>
  </si>
  <si>
    <t>SHEKARIAN, NASER</t>
  </si>
  <si>
    <t>24N58N</t>
  </si>
  <si>
    <t>OZOBIA, CHARLES</t>
  </si>
  <si>
    <t>Medical, HMO1</t>
  </si>
  <si>
    <t>MATTHEW DAUGHERTY</t>
  </si>
  <si>
    <t>GA</t>
  </si>
  <si>
    <t>32M8H8</t>
  </si>
  <si>
    <t>JACOBS, STEVEN</t>
  </si>
  <si>
    <t xml:space="preserve">, </t>
  </si>
  <si>
    <t>35ND95</t>
  </si>
  <si>
    <t>SHANK, JESSICA</t>
  </si>
  <si>
    <t>HEATHER GESKE</t>
  </si>
  <si>
    <t>36H0M7</t>
  </si>
  <si>
    <t>BALAWAJDER, TERESA</t>
  </si>
  <si>
    <t>Dental, IVDPPO</t>
  </si>
  <si>
    <t>CAROL FOLEY</t>
  </si>
  <si>
    <t>% of Premium</t>
  </si>
  <si>
    <t>PA</t>
  </si>
  <si>
    <t xml:space="preserve"> </t>
  </si>
  <si>
    <t>36M6M7</t>
  </si>
  <si>
    <t>ILORI, MUYIWA</t>
  </si>
  <si>
    <t>36MP65</t>
  </si>
  <si>
    <t>AALAMI HARANDI, DIBA</t>
  </si>
  <si>
    <t>39M88D</t>
  </si>
  <si>
    <t>ERICKSON, LINDA</t>
  </si>
  <si>
    <t>46NE60</t>
  </si>
  <si>
    <t>RULE, SHANNON</t>
  </si>
  <si>
    <t>47M59G</t>
  </si>
  <si>
    <t>MOHAMED, AYA</t>
  </si>
  <si>
    <t>56M32E</t>
  </si>
  <si>
    <t>WILSON, VELICITY</t>
  </si>
  <si>
    <t>61NC97</t>
  </si>
  <si>
    <t>VASUDEVAN, MALATHI</t>
  </si>
  <si>
    <t>62NC24</t>
  </si>
  <si>
    <t>KHORSANDI, HOSNA</t>
  </si>
  <si>
    <t>62NC36</t>
  </si>
  <si>
    <t>GANESH NARAGAM, KIRAN</t>
  </si>
  <si>
    <t>X, SP</t>
  </si>
  <si>
    <t>69CK84</t>
  </si>
  <si>
    <t>WATSON, CURTIS</t>
  </si>
  <si>
    <t>WILLIAM SCHAEFFER</t>
  </si>
  <si>
    <t>VA</t>
  </si>
  <si>
    <t>70MB72</t>
  </si>
  <si>
    <t>RASMUSSEN-GOODWIN, EMILY</t>
  </si>
  <si>
    <t>7Y95N8</t>
  </si>
  <si>
    <t>GAINES, SHERRY</t>
  </si>
  <si>
    <t>82JG05</t>
  </si>
  <si>
    <t>JACKSON, CATHERINE</t>
  </si>
  <si>
    <t>85NN12</t>
  </si>
  <si>
    <t>CHINNAM, SAIKRISHNA</t>
  </si>
  <si>
    <t>91MR97</t>
  </si>
  <si>
    <t>MCELVANY, TARYN</t>
  </si>
  <si>
    <t>97MT87</t>
  </si>
  <si>
    <t>HASSE, KATE</t>
  </si>
  <si>
    <t>99LN83</t>
  </si>
  <si>
    <t>PAPIERZ, JUSTIN</t>
  </si>
  <si>
    <t>Cigna 2025 AZ, CO, IL</t>
  </si>
  <si>
    <t>Cigna Dental</t>
  </si>
  <si>
    <t>Cigna 2025 TN/NC</t>
  </si>
  <si>
    <t>Cigna - VA</t>
  </si>
  <si>
    <t>[PMPM=2]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</si>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</sst>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212529"/>
      <name val="Roboto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6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0" fontId="18" fillId="0" borderId="0" xfId="0" applyFont="1"/>
    <xf numFmtId="0" fontId="0" fillId="33" borderId="0" xfId="0" applyFill="1"/>
    <xf numFmtId="0" fontId="0" fillId="33" borderId="0" xfId="0" applyFill="1" applyAlignment="1">
      <alignment horizontal="right"/>
    </xf>
    <xf numFmtId="0" fontId="18" fillId="33" borderId="0" xfId="0" applyFont="1" applyFill="1"/>
    <xf numFmtId="0" fontId="0" fillId="0" borderId="0" xfId="0" applyFill="1"/>
    <xf numFmtId="0" fontId="0" fillId="0" borderId="0" xfId="0" applyFill="1" applyAlignment="1">
      <alignment horizontal="right"/>
    </xf>
    <xf numFmtId="6" fontId="0" fillId="0" borderId="0" xfId="0" applyNumberFormat="1" applyFill="1"/>
    <xf numFmtId="0" fontId="18" fillId="0" borderId="0" xfId="0" applyFont="1" applyFill="1"/>
    <xf numFmtId="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E6E3-6F15-4427-AB14-1482F7783D53}">
  <dimension ref="A1:P29"/>
  <sheetViews>
    <sheetView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20250301</v>
      </c>
      <c r="J2">
        <v>20250405</v>
      </c>
      <c r="K2">
        <v>0</v>
      </c>
      <c r="L2" t="s">
        <v>24</v>
      </c>
      <c r="M2">
        <v>1</v>
      </c>
      <c r="N2" s="1">
        <v>20</v>
      </c>
      <c r="O2">
        <v>20</v>
      </c>
      <c r="P2" t="s">
        <v>23</v>
      </c>
    </row>
    <row r="3" spans="1:16" x14ac:dyDescent="0.3">
      <c r="A3" t="s">
        <v>25</v>
      </c>
      <c r="B3" t="s">
        <v>26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20250301</v>
      </c>
      <c r="J3">
        <v>20250405</v>
      </c>
      <c r="K3">
        <v>0</v>
      </c>
      <c r="L3" t="s">
        <v>24</v>
      </c>
      <c r="M3">
        <v>1</v>
      </c>
      <c r="N3" s="1">
        <v>20</v>
      </c>
      <c r="O3">
        <v>20</v>
      </c>
      <c r="P3" t="s">
        <v>23</v>
      </c>
    </row>
    <row r="4" spans="1:16" x14ac:dyDescent="0.3">
      <c r="A4" t="s">
        <v>27</v>
      </c>
      <c r="B4" t="s">
        <v>28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20250401</v>
      </c>
      <c r="J4">
        <v>20250405</v>
      </c>
      <c r="K4">
        <v>335.48</v>
      </c>
      <c r="L4" t="s">
        <v>24</v>
      </c>
      <c r="M4">
        <v>1</v>
      </c>
      <c r="N4" s="1">
        <v>20</v>
      </c>
      <c r="O4">
        <v>20</v>
      </c>
      <c r="P4" t="s">
        <v>23</v>
      </c>
    </row>
    <row r="5" spans="1:16" x14ac:dyDescent="0.3">
      <c r="A5" t="s">
        <v>29</v>
      </c>
      <c r="B5" t="s">
        <v>30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20250401</v>
      </c>
      <c r="J5">
        <v>20250405</v>
      </c>
      <c r="K5">
        <v>49.6</v>
      </c>
      <c r="L5" t="s">
        <v>24</v>
      </c>
      <c r="M5">
        <v>1</v>
      </c>
      <c r="N5" s="1">
        <v>20</v>
      </c>
      <c r="O5">
        <v>20</v>
      </c>
      <c r="P5" t="s">
        <v>23</v>
      </c>
    </row>
    <row r="6" spans="1:16" x14ac:dyDescent="0.3">
      <c r="A6" t="s">
        <v>31</v>
      </c>
      <c r="B6" t="s">
        <v>32</v>
      </c>
      <c r="C6" t="s">
        <v>33</v>
      </c>
      <c r="D6" t="s">
        <v>34</v>
      </c>
      <c r="E6" t="s">
        <v>20</v>
      </c>
      <c r="F6" t="s">
        <v>21</v>
      </c>
      <c r="G6" t="s">
        <v>35</v>
      </c>
      <c r="H6" t="s">
        <v>23</v>
      </c>
      <c r="I6">
        <v>20250401</v>
      </c>
      <c r="J6">
        <v>20250405</v>
      </c>
      <c r="K6">
        <v>24.35</v>
      </c>
      <c r="L6" t="s">
        <v>24</v>
      </c>
      <c r="M6">
        <v>1</v>
      </c>
      <c r="N6" s="1">
        <v>22</v>
      </c>
      <c r="O6">
        <v>22</v>
      </c>
      <c r="P6" t="s">
        <v>23</v>
      </c>
    </row>
    <row r="7" spans="1:16" x14ac:dyDescent="0.3">
      <c r="A7" t="s">
        <v>36</v>
      </c>
      <c r="B7" t="s">
        <v>37</v>
      </c>
      <c r="C7" t="s">
        <v>18</v>
      </c>
      <c r="D7" t="s">
        <v>19</v>
      </c>
      <c r="E7" t="s">
        <v>20</v>
      </c>
      <c r="F7" t="s">
        <v>38</v>
      </c>
      <c r="G7" t="s">
        <v>22</v>
      </c>
      <c r="H7" t="s">
        <v>23</v>
      </c>
      <c r="I7">
        <v>20250401</v>
      </c>
      <c r="J7">
        <v>20250405</v>
      </c>
      <c r="K7">
        <v>1055.71</v>
      </c>
      <c r="L7" t="s">
        <v>24</v>
      </c>
      <c r="M7">
        <v>3</v>
      </c>
      <c r="N7" s="1">
        <v>20</v>
      </c>
      <c r="O7">
        <v>60</v>
      </c>
      <c r="P7" t="s">
        <v>23</v>
      </c>
    </row>
    <row r="8" spans="1:16" x14ac:dyDescent="0.3">
      <c r="A8" t="s">
        <v>39</v>
      </c>
      <c r="B8" t="s">
        <v>40</v>
      </c>
      <c r="C8" t="s">
        <v>18</v>
      </c>
      <c r="D8" t="s">
        <v>41</v>
      </c>
      <c r="E8" t="s">
        <v>20</v>
      </c>
      <c r="F8" t="s">
        <v>21</v>
      </c>
      <c r="G8" t="s">
        <v>22</v>
      </c>
      <c r="H8" t="s">
        <v>23</v>
      </c>
      <c r="I8">
        <v>20250401</v>
      </c>
      <c r="J8">
        <v>20250405</v>
      </c>
      <c r="K8">
        <v>226.1</v>
      </c>
      <c r="L8" t="s">
        <v>24</v>
      </c>
      <c r="M8">
        <v>1</v>
      </c>
      <c r="N8" s="1">
        <v>20</v>
      </c>
      <c r="O8">
        <v>20</v>
      </c>
      <c r="P8" t="s">
        <v>23</v>
      </c>
    </row>
    <row r="9" spans="1:1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21</v>
      </c>
      <c r="G9" t="s">
        <v>47</v>
      </c>
      <c r="H9" t="s">
        <v>23</v>
      </c>
      <c r="I9">
        <v>20250401</v>
      </c>
      <c r="J9">
        <v>20250405</v>
      </c>
      <c r="K9">
        <v>79.55</v>
      </c>
      <c r="L9" t="s">
        <v>23</v>
      </c>
      <c r="M9" t="s">
        <v>48</v>
      </c>
      <c r="N9" s="2">
        <v>0.1</v>
      </c>
      <c r="O9">
        <v>7.96</v>
      </c>
      <c r="P9" t="s">
        <v>23</v>
      </c>
    </row>
    <row r="10" spans="1:16" x14ac:dyDescent="0.3">
      <c r="A10" t="s">
        <v>49</v>
      </c>
      <c r="B10" t="s">
        <v>50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20250301</v>
      </c>
      <c r="J10">
        <v>20250405</v>
      </c>
      <c r="K10">
        <v>0</v>
      </c>
      <c r="L10" t="s">
        <v>24</v>
      </c>
      <c r="M10">
        <v>1</v>
      </c>
      <c r="N10" s="1">
        <v>20</v>
      </c>
      <c r="O10">
        <v>20</v>
      </c>
      <c r="P10" t="s">
        <v>23</v>
      </c>
    </row>
    <row r="11" spans="1:16" x14ac:dyDescent="0.3">
      <c r="A11" t="s">
        <v>51</v>
      </c>
      <c r="B11" t="s">
        <v>52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20250301</v>
      </c>
      <c r="J11">
        <v>20250405</v>
      </c>
      <c r="K11">
        <v>0</v>
      </c>
      <c r="L11" t="s">
        <v>24</v>
      </c>
      <c r="M11">
        <v>1</v>
      </c>
      <c r="N11" s="1">
        <v>20</v>
      </c>
      <c r="O11">
        <v>20</v>
      </c>
      <c r="P11" t="s">
        <v>23</v>
      </c>
    </row>
    <row r="12" spans="1:16" x14ac:dyDescent="0.3">
      <c r="A12" t="s">
        <v>53</v>
      </c>
      <c r="B12" t="s">
        <v>54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>
        <v>20250401</v>
      </c>
      <c r="J12">
        <v>20250405</v>
      </c>
      <c r="K12">
        <v>642</v>
      </c>
      <c r="L12" t="s">
        <v>24</v>
      </c>
      <c r="M12">
        <v>1</v>
      </c>
      <c r="N12" s="1">
        <v>20</v>
      </c>
      <c r="O12">
        <v>20</v>
      </c>
      <c r="P12" t="s">
        <v>23</v>
      </c>
    </row>
    <row r="13" spans="1:16" x14ac:dyDescent="0.3">
      <c r="A13" t="s">
        <v>55</v>
      </c>
      <c r="B13" t="s">
        <v>56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>
        <v>20250401</v>
      </c>
      <c r="J13">
        <v>20250405</v>
      </c>
      <c r="K13">
        <v>97.91</v>
      </c>
      <c r="L13" t="s">
        <v>24</v>
      </c>
      <c r="M13">
        <v>1</v>
      </c>
      <c r="N13" s="1">
        <v>20</v>
      </c>
      <c r="O13">
        <v>20</v>
      </c>
      <c r="P13" t="s">
        <v>23</v>
      </c>
    </row>
    <row r="14" spans="1:16" x14ac:dyDescent="0.3">
      <c r="A14" t="s">
        <v>57</v>
      </c>
      <c r="B14" t="s">
        <v>58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20250301</v>
      </c>
      <c r="J14">
        <v>20250405</v>
      </c>
      <c r="K14">
        <v>0</v>
      </c>
      <c r="L14" t="s">
        <v>24</v>
      </c>
      <c r="M14">
        <v>1</v>
      </c>
      <c r="N14" s="1">
        <v>20</v>
      </c>
      <c r="O14">
        <v>20</v>
      </c>
      <c r="P14" t="s">
        <v>23</v>
      </c>
    </row>
    <row r="15" spans="1:16" x14ac:dyDescent="0.3">
      <c r="A15" t="s">
        <v>59</v>
      </c>
      <c r="B15" t="s">
        <v>60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>
        <v>20250401</v>
      </c>
      <c r="J15">
        <v>20250405</v>
      </c>
      <c r="K15">
        <v>20.03</v>
      </c>
      <c r="L15" t="s">
        <v>24</v>
      </c>
      <c r="M15">
        <v>1</v>
      </c>
      <c r="N15" s="1">
        <v>20</v>
      </c>
      <c r="O15">
        <v>20</v>
      </c>
      <c r="P15" t="s">
        <v>23</v>
      </c>
    </row>
    <row r="16" spans="1:16" x14ac:dyDescent="0.3">
      <c r="A16" t="s">
        <v>61</v>
      </c>
      <c r="B16" t="s">
        <v>62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>
        <v>20250301</v>
      </c>
      <c r="J16">
        <v>20250405</v>
      </c>
      <c r="K16">
        <v>0</v>
      </c>
      <c r="L16" t="s">
        <v>24</v>
      </c>
      <c r="M16">
        <v>1</v>
      </c>
      <c r="N16" s="1">
        <v>20</v>
      </c>
      <c r="O16">
        <v>20</v>
      </c>
      <c r="P16" t="s">
        <v>23</v>
      </c>
    </row>
    <row r="17" spans="1:16" x14ac:dyDescent="0.3">
      <c r="A17" t="s">
        <v>63</v>
      </c>
      <c r="B17" t="s">
        <v>64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>
        <v>20250301</v>
      </c>
      <c r="J17">
        <v>20250405</v>
      </c>
      <c r="K17">
        <v>0</v>
      </c>
      <c r="L17" t="s">
        <v>24</v>
      </c>
      <c r="M17">
        <v>2</v>
      </c>
      <c r="N17" s="1">
        <v>20</v>
      </c>
      <c r="O17">
        <v>40</v>
      </c>
      <c r="P17" t="s">
        <v>23</v>
      </c>
    </row>
    <row r="18" spans="1:16" x14ac:dyDescent="0.3">
      <c r="A18" t="s">
        <v>65</v>
      </c>
      <c r="B18" t="s">
        <v>66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>
        <v>20250301</v>
      </c>
      <c r="J18">
        <v>20250405</v>
      </c>
      <c r="K18">
        <v>341.16</v>
      </c>
      <c r="L18" t="s">
        <v>67</v>
      </c>
      <c r="M18">
        <v>1</v>
      </c>
      <c r="N18" s="1">
        <v>20</v>
      </c>
      <c r="O18">
        <v>20</v>
      </c>
      <c r="P18" t="s">
        <v>23</v>
      </c>
    </row>
    <row r="19" spans="1:16" x14ac:dyDescent="0.3">
      <c r="A19" t="s">
        <v>68</v>
      </c>
      <c r="B19" t="s">
        <v>69</v>
      </c>
      <c r="C19" t="s">
        <v>18</v>
      </c>
      <c r="D19" t="s">
        <v>70</v>
      </c>
      <c r="E19" t="s">
        <v>20</v>
      </c>
      <c r="F19" t="s">
        <v>21</v>
      </c>
      <c r="G19" t="s">
        <v>71</v>
      </c>
      <c r="H19" t="s">
        <v>23</v>
      </c>
      <c r="I19">
        <v>20250201</v>
      </c>
      <c r="J19">
        <v>20250405</v>
      </c>
      <c r="K19">
        <v>-468.22</v>
      </c>
      <c r="L19" t="s">
        <v>23</v>
      </c>
      <c r="M19">
        <v>-1</v>
      </c>
      <c r="N19" s="1">
        <v>20</v>
      </c>
      <c r="O19">
        <v>-20</v>
      </c>
      <c r="P19" t="s">
        <v>23</v>
      </c>
    </row>
    <row r="20" spans="1:16" x14ac:dyDescent="0.3">
      <c r="A20" t="s">
        <v>68</v>
      </c>
      <c r="B20" t="s">
        <v>69</v>
      </c>
      <c r="C20" t="s">
        <v>18</v>
      </c>
      <c r="D20" t="s">
        <v>70</v>
      </c>
      <c r="E20" t="s">
        <v>20</v>
      </c>
      <c r="F20" t="s">
        <v>21</v>
      </c>
      <c r="G20" t="s">
        <v>71</v>
      </c>
      <c r="H20" t="s">
        <v>23</v>
      </c>
      <c r="I20">
        <v>20250301</v>
      </c>
      <c r="J20">
        <v>20250405</v>
      </c>
      <c r="K20">
        <v>-468.22</v>
      </c>
      <c r="L20" t="s">
        <v>23</v>
      </c>
      <c r="M20">
        <v>-1</v>
      </c>
      <c r="N20" s="1">
        <v>20</v>
      </c>
      <c r="O20">
        <v>-20</v>
      </c>
      <c r="P20" t="s">
        <v>23</v>
      </c>
    </row>
    <row r="21" spans="1:16" x14ac:dyDescent="0.3">
      <c r="A21" t="s">
        <v>68</v>
      </c>
      <c r="B21" t="s">
        <v>69</v>
      </c>
      <c r="C21" t="s">
        <v>18</v>
      </c>
      <c r="D21" t="s">
        <v>70</v>
      </c>
      <c r="E21" t="s">
        <v>20</v>
      </c>
      <c r="F21" t="s">
        <v>21</v>
      </c>
      <c r="G21" t="s">
        <v>71</v>
      </c>
      <c r="H21" t="s">
        <v>23</v>
      </c>
      <c r="I21">
        <v>20250301</v>
      </c>
      <c r="J21">
        <v>20250405</v>
      </c>
      <c r="K21">
        <v>468.22</v>
      </c>
      <c r="L21" t="s">
        <v>67</v>
      </c>
      <c r="M21">
        <v>1</v>
      </c>
      <c r="N21" s="1">
        <v>20</v>
      </c>
      <c r="O21">
        <v>20</v>
      </c>
      <c r="P21" t="s">
        <v>23</v>
      </c>
    </row>
    <row r="22" spans="1:16" x14ac:dyDescent="0.3">
      <c r="A22" t="s">
        <v>72</v>
      </c>
      <c r="B22" t="s">
        <v>73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>
        <v>20250401</v>
      </c>
      <c r="J22">
        <v>20250405</v>
      </c>
      <c r="K22">
        <v>340.44</v>
      </c>
      <c r="L22" t="s">
        <v>24</v>
      </c>
      <c r="M22">
        <v>1</v>
      </c>
      <c r="N22" s="1">
        <v>20</v>
      </c>
      <c r="O22">
        <v>20</v>
      </c>
      <c r="P22" t="s">
        <v>23</v>
      </c>
    </row>
    <row r="23" spans="1:16" x14ac:dyDescent="0.3">
      <c r="A23" t="s">
        <v>74</v>
      </c>
      <c r="B23" t="s">
        <v>75</v>
      </c>
      <c r="C23" t="s">
        <v>44</v>
      </c>
      <c r="D23" t="s">
        <v>45</v>
      </c>
      <c r="E23" t="s">
        <v>46</v>
      </c>
      <c r="F23" t="s">
        <v>21</v>
      </c>
      <c r="G23" t="s">
        <v>35</v>
      </c>
      <c r="H23" t="s">
        <v>23</v>
      </c>
      <c r="I23">
        <v>20250401</v>
      </c>
      <c r="J23">
        <v>20250405</v>
      </c>
      <c r="K23">
        <v>51.19</v>
      </c>
      <c r="L23" t="s">
        <v>23</v>
      </c>
      <c r="M23" t="s">
        <v>48</v>
      </c>
      <c r="N23" s="2">
        <v>0.1</v>
      </c>
      <c r="O23">
        <v>5.12</v>
      </c>
      <c r="P23" t="s">
        <v>23</v>
      </c>
    </row>
    <row r="24" spans="1:16" x14ac:dyDescent="0.3">
      <c r="A24" t="s">
        <v>76</v>
      </c>
      <c r="B24" t="s">
        <v>77</v>
      </c>
      <c r="C24" t="s">
        <v>44</v>
      </c>
      <c r="D24" t="s">
        <v>45</v>
      </c>
      <c r="E24" t="s">
        <v>46</v>
      </c>
      <c r="F24" t="s">
        <v>21</v>
      </c>
      <c r="G24" t="s">
        <v>47</v>
      </c>
      <c r="H24" t="s">
        <v>23</v>
      </c>
      <c r="I24">
        <v>20250401</v>
      </c>
      <c r="J24">
        <v>20250405</v>
      </c>
      <c r="K24">
        <v>85.15</v>
      </c>
      <c r="L24" t="s">
        <v>23</v>
      </c>
      <c r="M24" t="s">
        <v>48</v>
      </c>
      <c r="N24" s="2">
        <v>0.1</v>
      </c>
      <c r="O24">
        <v>8.52</v>
      </c>
      <c r="P24" t="s">
        <v>23</v>
      </c>
    </row>
    <row r="25" spans="1:16" x14ac:dyDescent="0.3">
      <c r="A25" t="s">
        <v>78</v>
      </c>
      <c r="B25" t="s">
        <v>79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>
        <v>20250301</v>
      </c>
      <c r="J25">
        <v>20250405</v>
      </c>
      <c r="K25">
        <v>0</v>
      </c>
      <c r="L25" t="s">
        <v>24</v>
      </c>
      <c r="M25">
        <v>1</v>
      </c>
      <c r="N25" s="1">
        <v>20</v>
      </c>
      <c r="O25">
        <v>20</v>
      </c>
      <c r="P25" t="s">
        <v>23</v>
      </c>
    </row>
    <row r="26" spans="1:16" x14ac:dyDescent="0.3">
      <c r="A26" t="s">
        <v>80</v>
      </c>
      <c r="B26" t="s">
        <v>81</v>
      </c>
      <c r="C26" t="s">
        <v>18</v>
      </c>
      <c r="D26" t="s">
        <v>41</v>
      </c>
      <c r="E26" t="s">
        <v>20</v>
      </c>
      <c r="F26" t="s">
        <v>21</v>
      </c>
      <c r="G26" t="s">
        <v>22</v>
      </c>
      <c r="H26" t="s">
        <v>23</v>
      </c>
      <c r="I26">
        <v>20250401</v>
      </c>
      <c r="J26">
        <v>20250405</v>
      </c>
      <c r="K26">
        <v>231.32</v>
      </c>
      <c r="L26" t="s">
        <v>24</v>
      </c>
      <c r="M26">
        <v>1</v>
      </c>
      <c r="N26" s="1">
        <v>20</v>
      </c>
      <c r="O26">
        <v>20</v>
      </c>
      <c r="P26" t="s">
        <v>23</v>
      </c>
    </row>
    <row r="27" spans="1:16" x14ac:dyDescent="0.3">
      <c r="A27" t="s">
        <v>82</v>
      </c>
      <c r="B27" t="s">
        <v>83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>
        <v>20250301</v>
      </c>
      <c r="J27">
        <v>20250405</v>
      </c>
      <c r="K27">
        <v>247.9</v>
      </c>
      <c r="L27" t="s">
        <v>24</v>
      </c>
      <c r="M27">
        <v>1</v>
      </c>
      <c r="N27" s="1">
        <v>20</v>
      </c>
      <c r="O27">
        <v>20</v>
      </c>
      <c r="P27" t="s">
        <v>23</v>
      </c>
    </row>
    <row r="28" spans="1:16" x14ac:dyDescent="0.3">
      <c r="A28" t="s">
        <v>84</v>
      </c>
      <c r="B28" t="s">
        <v>85</v>
      </c>
      <c r="C28" t="s">
        <v>18</v>
      </c>
      <c r="D28" t="s">
        <v>41</v>
      </c>
      <c r="E28" t="s">
        <v>20</v>
      </c>
      <c r="F28" t="s">
        <v>21</v>
      </c>
      <c r="G28" t="s">
        <v>22</v>
      </c>
      <c r="H28" t="s">
        <v>23</v>
      </c>
      <c r="I28">
        <v>20250401</v>
      </c>
      <c r="J28">
        <v>20250405</v>
      </c>
      <c r="K28">
        <v>347.64</v>
      </c>
      <c r="L28" t="s">
        <v>24</v>
      </c>
      <c r="M28">
        <v>1</v>
      </c>
      <c r="N28" s="1">
        <v>20</v>
      </c>
      <c r="O28">
        <v>20</v>
      </c>
      <c r="P28" t="s">
        <v>23</v>
      </c>
    </row>
    <row r="29" spans="1:16" x14ac:dyDescent="0.3">
      <c r="O29">
        <f>SUM(O2:O28)</f>
        <v>483.6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D380-52C4-4B04-A168-9991B37056CB}">
  <dimension ref="A1:Q28"/>
  <sheetViews>
    <sheetView tabSelected="1" workbookViewId="0">
      <selection sqref="A1:XFD1048576"/>
    </sheetView>
  </sheetViews>
  <sheetFormatPr defaultRowHeight="14.4" x14ac:dyDescent="0.3"/>
  <cols>
    <col min="3" max="3" width="27.21875" bestFit="1" customWidth="1"/>
    <col min="4" max="4" width="15.6640625" bestFit="1" customWidth="1"/>
    <col min="5" max="5" width="20.21875" bestFit="1" customWidth="1"/>
    <col min="6" max="6" width="20.21875" customWidth="1"/>
    <col min="7" max="7" width="12.88671875" bestFit="1" customWidth="1"/>
    <col min="9" max="9" width="12.109375" bestFit="1" customWidth="1"/>
    <col min="10" max="10" width="12.109375" customWidth="1"/>
    <col min="11" max="11" width="15.109375" style="3" customWidth="1"/>
    <col min="17" max="17" width="22.88671875" bestFit="1" customWidth="1"/>
  </cols>
  <sheetData>
    <row r="1" spans="1:17" x14ac:dyDescent="0.3">
      <c r="A1" t="s">
        <v>0</v>
      </c>
      <c r="C1" t="s">
        <v>1</v>
      </c>
      <c r="D1" t="s">
        <v>2</v>
      </c>
      <c r="E1" t="s">
        <v>3</v>
      </c>
      <c r="G1" t="s">
        <v>4</v>
      </c>
      <c r="H1" t="s">
        <v>6</v>
      </c>
      <c r="I1" t="s">
        <v>8</v>
      </c>
      <c r="K1" s="3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7" ht="15.6" x14ac:dyDescent="0.3">
      <c r="A2" t="s">
        <v>16</v>
      </c>
      <c r="B2" t="str">
        <f>CONCATENATE(A2,2)</f>
        <v>08M74D2</v>
      </c>
      <c r="C2" t="s">
        <v>17</v>
      </c>
      <c r="D2" t="s">
        <v>18</v>
      </c>
      <c r="E2" t="s">
        <v>19</v>
      </c>
      <c r="F2">
        <v>6634327</v>
      </c>
      <c r="G2" t="s">
        <v>20</v>
      </c>
      <c r="H2" t="s">
        <v>22</v>
      </c>
      <c r="I2">
        <v>20250301</v>
      </c>
      <c r="J2" t="str">
        <f>TEXT(DATE(LEFT(I2,4), MID(I2,5,2), RIGHT(I2,2)), "M/d/yyyy")</f>
        <v>3/1/2025</v>
      </c>
      <c r="K2" s="3">
        <v>20250405</v>
      </c>
      <c r="L2">
        <v>1</v>
      </c>
      <c r="M2" t="s">
        <v>24</v>
      </c>
      <c r="O2" s="1">
        <v>20</v>
      </c>
      <c r="P2">
        <v>20</v>
      </c>
      <c r="Q2" s="4" t="s">
        <v>86</v>
      </c>
    </row>
    <row r="3" spans="1:17" ht="15.6" x14ac:dyDescent="0.3">
      <c r="A3" t="s">
        <v>25</v>
      </c>
      <c r="B3" t="str">
        <f t="shared" ref="B3:B22" si="0">CONCATENATE(A3,2)</f>
        <v>10M8K82</v>
      </c>
      <c r="C3" t="s">
        <v>26</v>
      </c>
      <c r="D3" t="s">
        <v>18</v>
      </c>
      <c r="E3" t="s">
        <v>19</v>
      </c>
      <c r="F3">
        <v>6634327</v>
      </c>
      <c r="G3" t="s">
        <v>20</v>
      </c>
      <c r="H3" t="s">
        <v>22</v>
      </c>
      <c r="I3">
        <v>20250301</v>
      </c>
      <c r="J3" t="str">
        <f t="shared" ref="J3:J28" si="1">TEXT(DATE(LEFT(I3,4), MID(I3,5,2), RIGHT(I3,2)), "M/d/yyyy")</f>
        <v>3/1/2025</v>
      </c>
      <c r="K3" s="3">
        <v>20250405</v>
      </c>
      <c r="L3">
        <v>1</v>
      </c>
      <c r="M3" t="s">
        <v>24</v>
      </c>
      <c r="O3" s="1">
        <v>20</v>
      </c>
      <c r="P3">
        <v>20</v>
      </c>
      <c r="Q3" s="4" t="s">
        <v>86</v>
      </c>
    </row>
    <row r="4" spans="1:17" ht="15.6" x14ac:dyDescent="0.3">
      <c r="A4" t="s">
        <v>27</v>
      </c>
      <c r="B4" t="str">
        <f t="shared" si="0"/>
        <v>17M71Y2</v>
      </c>
      <c r="C4" t="s">
        <v>28</v>
      </c>
      <c r="D4" t="s">
        <v>18</v>
      </c>
      <c r="E4" t="s">
        <v>19</v>
      </c>
      <c r="F4">
        <v>6634327</v>
      </c>
      <c r="G4" t="s">
        <v>20</v>
      </c>
      <c r="H4" t="s">
        <v>22</v>
      </c>
      <c r="I4">
        <v>20250401</v>
      </c>
      <c r="J4" t="str">
        <f t="shared" si="1"/>
        <v>4/1/2025</v>
      </c>
      <c r="K4" s="3">
        <v>20250405</v>
      </c>
      <c r="L4">
        <v>1</v>
      </c>
      <c r="M4" t="s">
        <v>24</v>
      </c>
      <c r="O4" s="1">
        <v>20</v>
      </c>
      <c r="P4">
        <v>20</v>
      </c>
      <c r="Q4" s="4" t="s">
        <v>86</v>
      </c>
    </row>
    <row r="5" spans="1:17" ht="15.6" x14ac:dyDescent="0.3">
      <c r="A5" t="s">
        <v>29</v>
      </c>
      <c r="B5" t="str">
        <f t="shared" si="0"/>
        <v>23M79D2</v>
      </c>
      <c r="C5" t="s">
        <v>30</v>
      </c>
      <c r="D5" t="s">
        <v>18</v>
      </c>
      <c r="E5" t="s">
        <v>19</v>
      </c>
      <c r="F5">
        <v>6634327</v>
      </c>
      <c r="G5" t="s">
        <v>20</v>
      </c>
      <c r="H5" t="s">
        <v>22</v>
      </c>
      <c r="I5">
        <v>20250401</v>
      </c>
      <c r="J5" t="str">
        <f t="shared" si="1"/>
        <v>4/1/2025</v>
      </c>
      <c r="K5" s="3">
        <v>20250405</v>
      </c>
      <c r="L5">
        <v>1</v>
      </c>
      <c r="M5" t="s">
        <v>24</v>
      </c>
      <c r="O5" s="1">
        <v>20</v>
      </c>
      <c r="P5">
        <v>20</v>
      </c>
      <c r="Q5" s="4" t="s">
        <v>86</v>
      </c>
    </row>
    <row r="6" spans="1:17" ht="15.6" x14ac:dyDescent="0.3">
      <c r="A6" t="s">
        <v>31</v>
      </c>
      <c r="B6" t="str">
        <f t="shared" si="0"/>
        <v>24N58N2</v>
      </c>
      <c r="C6" t="s">
        <v>32</v>
      </c>
      <c r="D6" t="s">
        <v>33</v>
      </c>
      <c r="E6" t="s">
        <v>34</v>
      </c>
      <c r="F6">
        <v>1706194</v>
      </c>
      <c r="G6" t="s">
        <v>20</v>
      </c>
      <c r="H6" t="s">
        <v>35</v>
      </c>
      <c r="I6">
        <v>20250401</v>
      </c>
      <c r="J6" t="str">
        <f t="shared" si="1"/>
        <v>4/1/2025</v>
      </c>
      <c r="K6" s="3">
        <v>20250405</v>
      </c>
      <c r="L6">
        <v>1</v>
      </c>
      <c r="M6" t="s">
        <v>24</v>
      </c>
      <c r="O6" s="1">
        <v>22</v>
      </c>
      <c r="P6">
        <v>22</v>
      </c>
      <c r="Q6" s="4" t="s">
        <v>88</v>
      </c>
    </row>
    <row r="7" spans="1:17" ht="15.6" x14ac:dyDescent="0.3">
      <c r="A7" t="s">
        <v>36</v>
      </c>
      <c r="B7" t="str">
        <f t="shared" si="0"/>
        <v>32M8H82</v>
      </c>
      <c r="C7" t="s">
        <v>37</v>
      </c>
      <c r="D7" t="s">
        <v>18</v>
      </c>
      <c r="E7" t="s">
        <v>19</v>
      </c>
      <c r="F7">
        <v>6634327</v>
      </c>
      <c r="G7" t="s">
        <v>20</v>
      </c>
      <c r="H7" t="s">
        <v>22</v>
      </c>
      <c r="I7">
        <v>20250401</v>
      </c>
      <c r="J7" t="str">
        <f t="shared" si="1"/>
        <v>4/1/2025</v>
      </c>
      <c r="K7" s="3">
        <v>20250405</v>
      </c>
      <c r="L7">
        <v>1</v>
      </c>
      <c r="M7" t="s">
        <v>24</v>
      </c>
      <c r="N7" t="s">
        <v>91</v>
      </c>
      <c r="O7" s="1">
        <v>20</v>
      </c>
      <c r="P7">
        <v>60</v>
      </c>
      <c r="Q7" s="4" t="s">
        <v>86</v>
      </c>
    </row>
    <row r="8" spans="1:17" ht="15.6" x14ac:dyDescent="0.3">
      <c r="A8" t="s">
        <v>39</v>
      </c>
      <c r="B8" t="str">
        <f t="shared" si="0"/>
        <v>35ND952</v>
      </c>
      <c r="C8" t="s">
        <v>40</v>
      </c>
      <c r="D8" t="s">
        <v>18</v>
      </c>
      <c r="E8" t="s">
        <v>41</v>
      </c>
      <c r="F8">
        <v>16865615</v>
      </c>
      <c r="G8" t="s">
        <v>20</v>
      </c>
      <c r="H8" t="s">
        <v>22</v>
      </c>
      <c r="I8">
        <v>20250401</v>
      </c>
      <c r="J8" t="str">
        <f t="shared" si="1"/>
        <v>4/1/2025</v>
      </c>
      <c r="K8" s="3">
        <v>20250405</v>
      </c>
      <c r="L8">
        <v>1</v>
      </c>
      <c r="M8" t="s">
        <v>24</v>
      </c>
      <c r="O8" s="1">
        <v>20</v>
      </c>
      <c r="P8">
        <v>20</v>
      </c>
      <c r="Q8" s="4" t="s">
        <v>86</v>
      </c>
    </row>
    <row r="9" spans="1:17" s="5" customFormat="1" ht="15.6" x14ac:dyDescent="0.3">
      <c r="A9" s="5" t="s">
        <v>42</v>
      </c>
      <c r="B9" t="str">
        <f>CONCATENATE(A9,7)</f>
        <v>36H0M77</v>
      </c>
      <c r="C9" s="5" t="s">
        <v>43</v>
      </c>
      <c r="D9" s="5" t="s">
        <v>44</v>
      </c>
      <c r="E9" s="5" t="s">
        <v>45</v>
      </c>
      <c r="F9" s="5">
        <v>17425766</v>
      </c>
      <c r="G9" s="5" t="s">
        <v>46</v>
      </c>
      <c r="H9" s="5" t="s">
        <v>47</v>
      </c>
      <c r="I9" s="5">
        <v>20250401</v>
      </c>
      <c r="J9" s="5" t="str">
        <f t="shared" si="1"/>
        <v>4/1/2025</v>
      </c>
      <c r="K9" s="6">
        <v>20250405</v>
      </c>
      <c r="L9" s="5">
        <v>79.55</v>
      </c>
      <c r="M9" s="5" t="s">
        <v>23</v>
      </c>
      <c r="N9" s="5" t="s">
        <v>48</v>
      </c>
      <c r="O9" s="12">
        <v>0.1</v>
      </c>
      <c r="P9" s="5">
        <v>7.96</v>
      </c>
      <c r="Q9" s="7" t="s">
        <v>87</v>
      </c>
    </row>
    <row r="10" spans="1:17" ht="15.6" x14ac:dyDescent="0.3">
      <c r="A10" t="s">
        <v>49</v>
      </c>
      <c r="B10" t="str">
        <f t="shared" si="0"/>
        <v>36M6M72</v>
      </c>
      <c r="C10" t="s">
        <v>50</v>
      </c>
      <c r="D10" t="s">
        <v>18</v>
      </c>
      <c r="E10" t="s">
        <v>19</v>
      </c>
      <c r="F10">
        <v>6634327</v>
      </c>
      <c r="G10" t="s">
        <v>20</v>
      </c>
      <c r="H10" t="s">
        <v>22</v>
      </c>
      <c r="I10">
        <v>20250301</v>
      </c>
      <c r="J10" t="str">
        <f t="shared" si="1"/>
        <v>3/1/2025</v>
      </c>
      <c r="K10" s="3">
        <v>20250405</v>
      </c>
      <c r="L10">
        <v>1</v>
      </c>
      <c r="M10" t="s">
        <v>24</v>
      </c>
      <c r="O10" s="1">
        <v>20</v>
      </c>
      <c r="P10">
        <v>20</v>
      </c>
      <c r="Q10" s="4" t="s">
        <v>86</v>
      </c>
    </row>
    <row r="11" spans="1:17" ht="15.6" x14ac:dyDescent="0.3">
      <c r="A11" t="s">
        <v>51</v>
      </c>
      <c r="B11" t="str">
        <f t="shared" si="0"/>
        <v>36MP652</v>
      </c>
      <c r="C11" t="s">
        <v>52</v>
      </c>
      <c r="D11" t="s">
        <v>18</v>
      </c>
      <c r="E11" t="s">
        <v>19</v>
      </c>
      <c r="F11">
        <v>6634327</v>
      </c>
      <c r="G11" t="s">
        <v>20</v>
      </c>
      <c r="H11" t="s">
        <v>22</v>
      </c>
      <c r="I11">
        <v>20250301</v>
      </c>
      <c r="J11" t="str">
        <f t="shared" si="1"/>
        <v>3/1/2025</v>
      </c>
      <c r="K11" s="3">
        <v>20250405</v>
      </c>
      <c r="L11">
        <v>1</v>
      </c>
      <c r="M11" t="s">
        <v>24</v>
      </c>
      <c r="O11" s="1">
        <v>20</v>
      </c>
      <c r="P11">
        <v>20</v>
      </c>
      <c r="Q11" s="4" t="s">
        <v>86</v>
      </c>
    </row>
    <row r="12" spans="1:17" ht="15.6" x14ac:dyDescent="0.3">
      <c r="A12" t="s">
        <v>53</v>
      </c>
      <c r="B12" t="str">
        <f t="shared" si="0"/>
        <v>39M88D2</v>
      </c>
      <c r="C12" t="s">
        <v>54</v>
      </c>
      <c r="D12" t="s">
        <v>18</v>
      </c>
      <c r="E12" t="s">
        <v>19</v>
      </c>
      <c r="F12">
        <v>6634327</v>
      </c>
      <c r="G12" t="s">
        <v>20</v>
      </c>
      <c r="H12" t="s">
        <v>22</v>
      </c>
      <c r="I12">
        <v>20250401</v>
      </c>
      <c r="J12" t="str">
        <f t="shared" si="1"/>
        <v>4/1/2025</v>
      </c>
      <c r="K12" s="3">
        <v>20250405</v>
      </c>
      <c r="L12">
        <v>1</v>
      </c>
      <c r="M12" t="s">
        <v>24</v>
      </c>
      <c r="O12" s="1">
        <v>20</v>
      </c>
      <c r="P12">
        <v>20</v>
      </c>
      <c r="Q12" s="4" t="s">
        <v>86</v>
      </c>
    </row>
    <row r="13" spans="1:17" ht="15.6" x14ac:dyDescent="0.3">
      <c r="A13" t="s">
        <v>55</v>
      </c>
      <c r="B13" t="str">
        <f t="shared" si="0"/>
        <v>46NE602</v>
      </c>
      <c r="C13" t="s">
        <v>56</v>
      </c>
      <c r="D13" t="s">
        <v>18</v>
      </c>
      <c r="E13" t="s">
        <v>19</v>
      </c>
      <c r="F13">
        <v>6634327</v>
      </c>
      <c r="G13" t="s">
        <v>20</v>
      </c>
      <c r="H13" t="s">
        <v>22</v>
      </c>
      <c r="I13">
        <v>20250401</v>
      </c>
      <c r="J13" t="str">
        <f t="shared" si="1"/>
        <v>4/1/2025</v>
      </c>
      <c r="K13" s="3">
        <v>20250405</v>
      </c>
      <c r="L13">
        <v>1</v>
      </c>
      <c r="M13" t="s">
        <v>24</v>
      </c>
      <c r="O13" s="1">
        <v>20</v>
      </c>
      <c r="P13">
        <v>20</v>
      </c>
      <c r="Q13" s="4" t="s">
        <v>86</v>
      </c>
    </row>
    <row r="14" spans="1:17" ht="15.6" x14ac:dyDescent="0.3">
      <c r="A14" t="s">
        <v>57</v>
      </c>
      <c r="B14" t="str">
        <f t="shared" si="0"/>
        <v>47M59G2</v>
      </c>
      <c r="C14" t="s">
        <v>58</v>
      </c>
      <c r="D14" t="s">
        <v>18</v>
      </c>
      <c r="E14" t="s">
        <v>19</v>
      </c>
      <c r="F14">
        <v>6634327</v>
      </c>
      <c r="G14" t="s">
        <v>20</v>
      </c>
      <c r="H14" t="s">
        <v>22</v>
      </c>
      <c r="I14">
        <v>20250301</v>
      </c>
      <c r="J14" t="str">
        <f t="shared" si="1"/>
        <v>3/1/2025</v>
      </c>
      <c r="K14" s="3">
        <v>20250405</v>
      </c>
      <c r="L14">
        <v>1</v>
      </c>
      <c r="M14" t="s">
        <v>24</v>
      </c>
      <c r="O14" s="1">
        <v>20</v>
      </c>
      <c r="P14">
        <v>20</v>
      </c>
      <c r="Q14" s="4" t="s">
        <v>86</v>
      </c>
    </row>
    <row r="15" spans="1:17" ht="15.6" x14ac:dyDescent="0.3">
      <c r="A15" t="s">
        <v>59</v>
      </c>
      <c r="B15" t="str">
        <f t="shared" si="0"/>
        <v>56M32E2</v>
      </c>
      <c r="C15" t="s">
        <v>60</v>
      </c>
      <c r="D15" t="s">
        <v>18</v>
      </c>
      <c r="E15" t="s">
        <v>19</v>
      </c>
      <c r="F15">
        <v>6634327</v>
      </c>
      <c r="G15" t="s">
        <v>20</v>
      </c>
      <c r="H15" t="s">
        <v>22</v>
      </c>
      <c r="I15">
        <v>20250401</v>
      </c>
      <c r="J15" t="str">
        <f t="shared" si="1"/>
        <v>4/1/2025</v>
      </c>
      <c r="K15" s="3">
        <v>20250405</v>
      </c>
      <c r="L15">
        <v>1</v>
      </c>
      <c r="M15" t="s">
        <v>24</v>
      </c>
      <c r="O15" s="1">
        <v>20</v>
      </c>
      <c r="P15">
        <v>20</v>
      </c>
      <c r="Q15" s="4" t="s">
        <v>86</v>
      </c>
    </row>
    <row r="16" spans="1:17" ht="15.6" x14ac:dyDescent="0.3">
      <c r="A16" t="s">
        <v>61</v>
      </c>
      <c r="B16" t="str">
        <f t="shared" si="0"/>
        <v>61NC972</v>
      </c>
      <c r="C16" t="s">
        <v>62</v>
      </c>
      <c r="D16" t="s">
        <v>18</v>
      </c>
      <c r="E16" t="s">
        <v>19</v>
      </c>
      <c r="F16">
        <v>6634327</v>
      </c>
      <c r="G16" t="s">
        <v>20</v>
      </c>
      <c r="H16" t="s">
        <v>22</v>
      </c>
      <c r="I16">
        <v>20250301</v>
      </c>
      <c r="J16" t="str">
        <f t="shared" si="1"/>
        <v>3/1/2025</v>
      </c>
      <c r="K16" s="3">
        <v>20250405</v>
      </c>
      <c r="L16">
        <v>1</v>
      </c>
      <c r="M16" t="s">
        <v>24</v>
      </c>
      <c r="O16" s="1">
        <v>20</v>
      </c>
      <c r="P16">
        <v>20</v>
      </c>
      <c r="Q16" s="4" t="s">
        <v>86</v>
      </c>
    </row>
    <row r="17" spans="1:17" ht="15.6" x14ac:dyDescent="0.3">
      <c r="A17" t="s">
        <v>63</v>
      </c>
      <c r="B17" t="str">
        <f t="shared" si="0"/>
        <v>62NC242</v>
      </c>
      <c r="C17" t="s">
        <v>64</v>
      </c>
      <c r="D17" t="s">
        <v>18</v>
      </c>
      <c r="E17" t="s">
        <v>19</v>
      </c>
      <c r="F17">
        <v>6634327</v>
      </c>
      <c r="G17" t="s">
        <v>20</v>
      </c>
      <c r="H17" t="s">
        <v>22</v>
      </c>
      <c r="I17">
        <v>20250301</v>
      </c>
      <c r="J17" t="str">
        <f t="shared" si="1"/>
        <v>3/1/2025</v>
      </c>
      <c r="K17" s="3">
        <v>20250405</v>
      </c>
      <c r="L17">
        <v>1</v>
      </c>
      <c r="M17" t="s">
        <v>24</v>
      </c>
      <c r="N17" t="s">
        <v>90</v>
      </c>
      <c r="O17" s="1">
        <v>20</v>
      </c>
      <c r="P17">
        <v>40</v>
      </c>
      <c r="Q17" s="4" t="s">
        <v>86</v>
      </c>
    </row>
    <row r="18" spans="1:17" ht="15.6" x14ac:dyDescent="0.3">
      <c r="A18" t="s">
        <v>65</v>
      </c>
      <c r="B18" t="str">
        <f t="shared" si="0"/>
        <v>62NC362</v>
      </c>
      <c r="C18" t="s">
        <v>66</v>
      </c>
      <c r="D18" t="s">
        <v>18</v>
      </c>
      <c r="E18" t="s">
        <v>19</v>
      </c>
      <c r="F18">
        <v>6634327</v>
      </c>
      <c r="G18" t="s">
        <v>20</v>
      </c>
      <c r="H18" t="s">
        <v>22</v>
      </c>
      <c r="I18">
        <v>20250301</v>
      </c>
      <c r="J18" t="str">
        <f t="shared" si="1"/>
        <v>3/1/2025</v>
      </c>
      <c r="K18" s="3">
        <v>20250405</v>
      </c>
      <c r="L18">
        <v>1</v>
      </c>
      <c r="M18" t="s">
        <v>67</v>
      </c>
      <c r="O18" s="1">
        <v>20</v>
      </c>
      <c r="P18">
        <v>20</v>
      </c>
      <c r="Q18" s="4" t="s">
        <v>86</v>
      </c>
    </row>
    <row r="19" spans="1:17" s="8" customFormat="1" ht="15.6" x14ac:dyDescent="0.3">
      <c r="A19" s="8" t="s">
        <v>68</v>
      </c>
      <c r="B19" t="str">
        <f t="shared" si="0"/>
        <v>69CK842</v>
      </c>
      <c r="C19" s="8" t="s">
        <v>69</v>
      </c>
      <c r="D19" s="8" t="s">
        <v>18</v>
      </c>
      <c r="E19" s="8" t="s">
        <v>70</v>
      </c>
      <c r="F19" s="8">
        <v>18010408</v>
      </c>
      <c r="G19" s="8" t="s">
        <v>20</v>
      </c>
      <c r="H19" s="8" t="s">
        <v>71</v>
      </c>
      <c r="I19" s="8">
        <v>20250201</v>
      </c>
      <c r="J19" s="8" t="str">
        <f t="shared" si="1"/>
        <v>2/1/2025</v>
      </c>
      <c r="K19" s="9">
        <v>20250405</v>
      </c>
      <c r="L19" s="8">
        <v>-1</v>
      </c>
      <c r="M19" s="8" t="s">
        <v>23</v>
      </c>
      <c r="O19" s="10">
        <v>20</v>
      </c>
      <c r="P19" s="8">
        <v>-20</v>
      </c>
      <c r="Q19" s="11" t="s">
        <v>89</v>
      </c>
    </row>
    <row r="20" spans="1:17" s="8" customFormat="1" ht="15.6" x14ac:dyDescent="0.3">
      <c r="A20" s="8" t="s">
        <v>68</v>
      </c>
      <c r="B20" t="str">
        <f t="shared" si="0"/>
        <v>69CK842</v>
      </c>
      <c r="C20" s="8" t="s">
        <v>69</v>
      </c>
      <c r="D20" s="8" t="s">
        <v>18</v>
      </c>
      <c r="E20" s="8" t="s">
        <v>70</v>
      </c>
      <c r="F20" s="8">
        <v>18010408</v>
      </c>
      <c r="G20" s="8" t="s">
        <v>20</v>
      </c>
      <c r="H20" s="8" t="s">
        <v>71</v>
      </c>
      <c r="I20" s="8">
        <v>20250301</v>
      </c>
      <c r="J20" s="8" t="str">
        <f t="shared" si="1"/>
        <v>3/1/2025</v>
      </c>
      <c r="K20" s="9">
        <v>20250405</v>
      </c>
      <c r="L20" s="8">
        <v>-1</v>
      </c>
      <c r="M20" s="8" t="s">
        <v>23</v>
      </c>
      <c r="O20" s="10">
        <v>20</v>
      </c>
      <c r="P20" s="8">
        <v>-20</v>
      </c>
      <c r="Q20" s="11" t="s">
        <v>89</v>
      </c>
    </row>
    <row r="21" spans="1:17" s="8" customFormat="1" ht="15.6" x14ac:dyDescent="0.3">
      <c r="A21" s="8" t="s">
        <v>68</v>
      </c>
      <c r="B21" t="str">
        <f t="shared" si="0"/>
        <v>69CK842</v>
      </c>
      <c r="C21" s="8" t="s">
        <v>69</v>
      </c>
      <c r="D21" s="8" t="s">
        <v>18</v>
      </c>
      <c r="E21" s="8" t="s">
        <v>70</v>
      </c>
      <c r="F21" s="8">
        <v>18010408</v>
      </c>
      <c r="G21" s="8" t="s">
        <v>20</v>
      </c>
      <c r="H21" s="8" t="s">
        <v>71</v>
      </c>
      <c r="I21" s="8">
        <v>20250301</v>
      </c>
      <c r="J21" s="8" t="str">
        <f t="shared" si="1"/>
        <v>3/1/2025</v>
      </c>
      <c r="K21" s="9">
        <v>20250405</v>
      </c>
      <c r="L21" s="8">
        <v>1</v>
      </c>
      <c r="M21" s="8" t="s">
        <v>67</v>
      </c>
      <c r="O21" s="10">
        <v>20</v>
      </c>
      <c r="P21" s="8">
        <v>20</v>
      </c>
      <c r="Q21" s="11" t="s">
        <v>89</v>
      </c>
    </row>
    <row r="22" spans="1:17" ht="15.6" x14ac:dyDescent="0.3">
      <c r="A22" t="s">
        <v>72</v>
      </c>
      <c r="B22" t="str">
        <f t="shared" si="0"/>
        <v>70MB722</v>
      </c>
      <c r="C22" t="s">
        <v>73</v>
      </c>
      <c r="D22" t="s">
        <v>18</v>
      </c>
      <c r="E22" t="s">
        <v>19</v>
      </c>
      <c r="F22">
        <v>6634327</v>
      </c>
      <c r="G22" t="s">
        <v>20</v>
      </c>
      <c r="H22" t="s">
        <v>22</v>
      </c>
      <c r="I22">
        <v>20250401</v>
      </c>
      <c r="J22" t="str">
        <f t="shared" si="1"/>
        <v>4/1/2025</v>
      </c>
      <c r="K22" s="3">
        <v>20250405</v>
      </c>
      <c r="L22">
        <v>1</v>
      </c>
      <c r="M22" t="s">
        <v>24</v>
      </c>
      <c r="O22" s="1">
        <v>20</v>
      </c>
      <c r="P22">
        <v>20</v>
      </c>
      <c r="Q22" s="4" t="s">
        <v>86</v>
      </c>
    </row>
    <row r="23" spans="1:17" s="5" customFormat="1" ht="15.6" x14ac:dyDescent="0.3">
      <c r="A23" s="5" t="s">
        <v>74</v>
      </c>
      <c r="B23" t="str">
        <f t="shared" ref="B23:B24" si="2">CONCATENATE(A23,7)</f>
        <v>7Y95N87</v>
      </c>
      <c r="C23" s="5" t="s">
        <v>75</v>
      </c>
      <c r="D23" s="5" t="s">
        <v>44</v>
      </c>
      <c r="E23" s="5" t="s">
        <v>45</v>
      </c>
      <c r="F23" s="5">
        <v>17425766</v>
      </c>
      <c r="G23" s="5" t="s">
        <v>46</v>
      </c>
      <c r="H23" s="5" t="s">
        <v>35</v>
      </c>
      <c r="I23" s="5">
        <v>20250401</v>
      </c>
      <c r="J23" s="5" t="str">
        <f t="shared" si="1"/>
        <v>4/1/2025</v>
      </c>
      <c r="K23" s="6">
        <v>20250405</v>
      </c>
      <c r="L23" s="5">
        <v>51.19</v>
      </c>
      <c r="M23" s="5" t="s">
        <v>23</v>
      </c>
      <c r="N23" s="5" t="s">
        <v>48</v>
      </c>
      <c r="O23" s="12">
        <v>0.1</v>
      </c>
      <c r="P23" s="5">
        <v>5.12</v>
      </c>
      <c r="Q23" s="7" t="s">
        <v>87</v>
      </c>
    </row>
    <row r="24" spans="1:17" s="5" customFormat="1" ht="15.6" x14ac:dyDescent="0.3">
      <c r="A24" s="5" t="s">
        <v>76</v>
      </c>
      <c r="B24" t="str">
        <f t="shared" si="2"/>
        <v>82JG057</v>
      </c>
      <c r="C24" s="5" t="s">
        <v>77</v>
      </c>
      <c r="D24" s="5" t="s">
        <v>44</v>
      </c>
      <c r="E24" s="5" t="s">
        <v>45</v>
      </c>
      <c r="F24" s="5">
        <v>17425766</v>
      </c>
      <c r="G24" s="5" t="s">
        <v>46</v>
      </c>
      <c r="H24" s="5" t="s">
        <v>47</v>
      </c>
      <c r="I24" s="5">
        <v>20250401</v>
      </c>
      <c r="J24" s="5" t="str">
        <f t="shared" si="1"/>
        <v>4/1/2025</v>
      </c>
      <c r="K24" s="6">
        <v>20250405</v>
      </c>
      <c r="L24" s="5">
        <v>85.15</v>
      </c>
      <c r="M24" s="5" t="s">
        <v>23</v>
      </c>
      <c r="N24" s="5" t="s">
        <v>48</v>
      </c>
      <c r="O24" s="12">
        <v>0.1</v>
      </c>
      <c r="P24" s="5">
        <v>8.52</v>
      </c>
      <c r="Q24" s="7" t="s">
        <v>87</v>
      </c>
    </row>
    <row r="25" spans="1:17" ht="15.6" x14ac:dyDescent="0.3">
      <c r="A25" t="s">
        <v>78</v>
      </c>
      <c r="B25" t="str">
        <f t="shared" ref="B25:B28" si="3">CONCATENATE(A25,2)</f>
        <v>85NN122</v>
      </c>
      <c r="C25" t="s">
        <v>79</v>
      </c>
      <c r="D25" t="s">
        <v>18</v>
      </c>
      <c r="E25" t="s">
        <v>19</v>
      </c>
      <c r="F25">
        <v>6634327</v>
      </c>
      <c r="G25" t="s">
        <v>20</v>
      </c>
      <c r="H25" t="s">
        <v>22</v>
      </c>
      <c r="I25">
        <v>20250301</v>
      </c>
      <c r="J25" t="str">
        <f t="shared" si="1"/>
        <v>3/1/2025</v>
      </c>
      <c r="K25" s="3">
        <v>20250405</v>
      </c>
      <c r="L25">
        <v>1</v>
      </c>
      <c r="M25" t="s">
        <v>24</v>
      </c>
      <c r="O25" s="1">
        <v>20</v>
      </c>
      <c r="P25">
        <v>20</v>
      </c>
      <c r="Q25" s="4" t="s">
        <v>86</v>
      </c>
    </row>
    <row r="26" spans="1:17" ht="15.6" x14ac:dyDescent="0.3">
      <c r="A26" t="s">
        <v>80</v>
      </c>
      <c r="B26" t="str">
        <f t="shared" si="3"/>
        <v>91MR972</v>
      </c>
      <c r="C26" t="s">
        <v>81</v>
      </c>
      <c r="D26" t="s">
        <v>18</v>
      </c>
      <c r="E26" t="s">
        <v>41</v>
      </c>
      <c r="F26">
        <v>16865615</v>
      </c>
      <c r="G26" t="s">
        <v>20</v>
      </c>
      <c r="H26" t="s">
        <v>22</v>
      </c>
      <c r="I26">
        <v>20250401</v>
      </c>
      <c r="J26" t="str">
        <f t="shared" si="1"/>
        <v>4/1/2025</v>
      </c>
      <c r="K26" s="3">
        <v>20250405</v>
      </c>
      <c r="L26">
        <v>1</v>
      </c>
      <c r="M26" t="s">
        <v>24</v>
      </c>
      <c r="O26" s="1">
        <v>20</v>
      </c>
      <c r="P26">
        <v>20</v>
      </c>
      <c r="Q26" s="4" t="s">
        <v>86</v>
      </c>
    </row>
    <row r="27" spans="1:17" ht="15.6" x14ac:dyDescent="0.3">
      <c r="A27" t="s">
        <v>82</v>
      </c>
      <c r="B27" t="str">
        <f t="shared" si="3"/>
        <v>97MT872</v>
      </c>
      <c r="C27" t="s">
        <v>83</v>
      </c>
      <c r="D27" t="s">
        <v>18</v>
      </c>
      <c r="E27" t="s">
        <v>19</v>
      </c>
      <c r="F27">
        <v>6634327</v>
      </c>
      <c r="G27" t="s">
        <v>20</v>
      </c>
      <c r="H27" t="s">
        <v>22</v>
      </c>
      <c r="I27">
        <v>20250301</v>
      </c>
      <c r="J27" t="str">
        <f t="shared" si="1"/>
        <v>3/1/2025</v>
      </c>
      <c r="K27" s="3">
        <v>20250405</v>
      </c>
      <c r="L27">
        <v>1</v>
      </c>
      <c r="M27" t="s">
        <v>24</v>
      </c>
      <c r="O27" s="1">
        <v>20</v>
      </c>
      <c r="P27">
        <v>20</v>
      </c>
      <c r="Q27" s="4" t="s">
        <v>86</v>
      </c>
    </row>
    <row r="28" spans="1:17" ht="15.6" x14ac:dyDescent="0.3">
      <c r="A28" t="s">
        <v>84</v>
      </c>
      <c r="B28" t="str">
        <f t="shared" si="3"/>
        <v>99LN832</v>
      </c>
      <c r="C28" t="s">
        <v>85</v>
      </c>
      <c r="D28" t="s">
        <v>18</v>
      </c>
      <c r="E28" t="s">
        <v>41</v>
      </c>
      <c r="F28">
        <v>16865615</v>
      </c>
      <c r="G28" t="s">
        <v>20</v>
      </c>
      <c r="H28" t="s">
        <v>22</v>
      </c>
      <c r="I28">
        <v>20250401</v>
      </c>
      <c r="J28" t="str">
        <f t="shared" si="1"/>
        <v>4/1/2025</v>
      </c>
      <c r="K28" s="3">
        <v>20250405</v>
      </c>
      <c r="L28">
        <v>1</v>
      </c>
      <c r="M28" t="s">
        <v>24</v>
      </c>
      <c r="O28" s="1">
        <v>20</v>
      </c>
      <c r="P28">
        <v>20</v>
      </c>
      <c r="Q28" s="4" t="s">
        <v>86</v>
      </c>
    </row>
  </sheetData>
  <pageMargins left="0.7" right="0.7" top="0.75" bottom="0.75" header="0.3" footer="0.3"/>
  <ignoredErrors>
    <ignoredError sqref="B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export-554662-20250405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</cp:lastModifiedBy>
  <dcterms:created xsi:type="dcterms:W3CDTF">2025-04-10T19:13:27Z</dcterms:created>
  <dcterms:modified xsi:type="dcterms:W3CDTF">2025-04-15T20:02:54Z</dcterms:modified>
</cp:coreProperties>
</file>