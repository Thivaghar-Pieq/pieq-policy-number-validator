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\2025\Cigna 7-8-25\"/>
    </mc:Choice>
  </mc:AlternateContent>
  <xr:revisionPtr revIDLastSave="0" documentId="13_ncr:1_{BDAB6D55-2B3F-48F8-A5E0-2E122B0DE781}" xr6:coauthVersionLast="47" xr6:coauthVersionMax="47" xr10:uidLastSave="{00000000-0000-0000-0000-000000000000}"/>
  <bookViews>
    <workbookView xWindow="28680" yWindow="-120" windowWidth="29040" windowHeight="16440" xr2:uid="{8636C315-B63B-4108-BC7E-AC9E9E6B7CA4}"/>
  </bookViews>
  <sheets>
    <sheet name="export-554662-20250708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2" i="2"/>
  <c r="B18" i="2"/>
  <c r="B17" i="2"/>
  <c r="B14" i="2"/>
  <c r="B13" i="2"/>
  <c r="B11" i="2"/>
  <c r="B10" i="2"/>
  <c r="B9" i="2"/>
  <c r="B8" i="2"/>
  <c r="B7" i="2"/>
  <c r="B6" i="2"/>
  <c r="B5" i="2"/>
  <c r="B4" i="2"/>
  <c r="B3" i="2"/>
  <c r="B2" i="2"/>
  <c r="B16" i="2"/>
  <c r="B15" i="2"/>
  <c r="B12" i="2"/>
</calcChain>
</file>

<file path=xl/sharedStrings.xml><?xml version="1.0" encoding="utf-8"?>
<sst xmlns="http://schemas.openxmlformats.org/spreadsheetml/2006/main" count="327" uniqueCount="75">
  <si>
    <t>Subscriber ID</t>
  </si>
  <si>
    <t>Customer Name</t>
  </si>
  <si>
    <t>Product</t>
  </si>
  <si>
    <t>Writing Agent</t>
  </si>
  <si>
    <t>Comm Basis</t>
  </si>
  <si>
    <t>Member Code/Rate group</t>
  </si>
  <si>
    <t>State/Region</t>
  </si>
  <si>
    <t>Advance Duration</t>
  </si>
  <si>
    <t>Policy Period</t>
  </si>
  <si>
    <t>Commission Payment Date</t>
  </si>
  <si>
    <t>Premium</t>
  </si>
  <si>
    <t>Code</t>
  </si>
  <si>
    <t>Member Count</t>
  </si>
  <si>
    <t>Comm Rate</t>
  </si>
  <si>
    <t>Commission</t>
  </si>
  <si>
    <t>Comments</t>
  </si>
  <si>
    <t>08M74D</t>
  </si>
  <si>
    <t>STUTHI PAUL PEDAPATI, RAJ</t>
  </si>
  <si>
    <t>Medical, HOAPIN</t>
  </si>
  <si>
    <t>JOEL LEE</t>
  </si>
  <si>
    <t>PMPM</t>
  </si>
  <si>
    <t xml:space="preserve">S, </t>
  </si>
  <si>
    <t>CO</t>
  </si>
  <si>
    <t>null</t>
  </si>
  <si>
    <t>X, CP</t>
  </si>
  <si>
    <t>17M71Y</t>
  </si>
  <si>
    <t>SWIFT, HANNAH</t>
  </si>
  <si>
    <t>24N58N</t>
  </si>
  <si>
    <t>OZOBIA, CHARLES</t>
  </si>
  <si>
    <t>Medical, HMO1</t>
  </si>
  <si>
    <t>MATTHEW DAUGHERTY</t>
  </si>
  <si>
    <t>GA</t>
  </si>
  <si>
    <t>32M8H8</t>
  </si>
  <si>
    <t>JACOBS, STEVEN</t>
  </si>
  <si>
    <t xml:space="preserve">, </t>
  </si>
  <si>
    <t>36M6M7</t>
  </si>
  <si>
    <t>ILORI, MUYIWA</t>
  </si>
  <si>
    <t>36MP65</t>
  </si>
  <si>
    <t>AALAMI HARANDI, DIBA</t>
  </si>
  <si>
    <t>47M59G</t>
  </si>
  <si>
    <t>MOHAMED, AYA</t>
  </si>
  <si>
    <t>61NC97</t>
  </si>
  <si>
    <t>VASUDEVAN, MALATHI</t>
  </si>
  <si>
    <t>62NC24</t>
  </si>
  <si>
    <t>KHORSANDI, HOSNA</t>
  </si>
  <si>
    <t>62NC36</t>
  </si>
  <si>
    <t>GANESH NARAGAM, KIRAN</t>
  </si>
  <si>
    <t>65MP81</t>
  </si>
  <si>
    <t>DRUMHELLER, GARY</t>
  </si>
  <si>
    <t>Dental, IVDPPO</t>
  </si>
  <si>
    <t>CAROL FOLEY</t>
  </si>
  <si>
    <t>% of Premium</t>
  </si>
  <si>
    <t>PA</t>
  </si>
  <si>
    <t xml:space="preserve"> </t>
  </si>
  <si>
    <t>69CK84</t>
  </si>
  <si>
    <t>WATSON, CURTIS</t>
  </si>
  <si>
    <t>WILLIAM SCHAEFFER</t>
  </si>
  <si>
    <t>VA</t>
  </si>
  <si>
    <t>70MB72</t>
  </si>
  <si>
    <t>RASMUSSEN-GOODWIN, EMILY</t>
  </si>
  <si>
    <t>7Y95N8</t>
  </si>
  <si>
    <t>GAINES, SHERRY</t>
  </si>
  <si>
    <t>82JG05</t>
  </si>
  <si>
    <t>JACKSON, CATHERINE</t>
  </si>
  <si>
    <t>85NN12</t>
  </si>
  <si>
    <t>CHINNAM, SAIKRISHNA</t>
  </si>
  <si>
    <t>97MT87</t>
  </si>
  <si>
    <t>HASSE, KATE</t>
  </si>
  <si>
    <t>[PMPM=2]</t>
  </si>
  <si>
    <t>[PMPM=3]</t>
  </si>
  <si>
    <t>Cigna DVH</t>
  </si>
  <si>
    <t>Cigna 2025 AZ, CO, IL</t>
  </si>
  <si>
    <t>Cigna (2025) - GA</t>
  </si>
  <si>
    <t>Cigna - VA</t>
  </si>
  <si>
    <t>17425766old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</si>
</sst>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6" fontId="0" fillId="0" borderId="0" xfId="0" applyNumberFormat="1"/>
    <xf numFmtId="9" fontId="0" fillId="0" borderId="0" xfId="0" applyNumberFormat="1"/>
    <xf numFmtId="0" fontId="0" fillId="0" borderId="0" xfId="0" applyFill="1"/>
    <xf numFmtId="0" fontId="0" fillId="0" borderId="0" xfId="0" applyFill="1" applyAlignment="1">
      <alignment horizontal="right"/>
    </xf>
    <xf numFmtId="6" fontId="0" fillId="0" borderId="0" xfId="0" applyNumberFormat="1" applyFill="1"/>
    <xf numFmtId="9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BC00A-8EB0-4B49-98E5-22E9B27BB309}">
  <dimension ref="A1:P18"/>
  <sheetViews>
    <sheetView tabSelected="1" workbookViewId="0">
      <selection activeCell="O1" sqref="O1:O1048576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20250601</v>
      </c>
      <c r="J2">
        <v>20250708</v>
      </c>
      <c r="K2">
        <v>0</v>
      </c>
      <c r="L2" t="s">
        <v>24</v>
      </c>
      <c r="M2">
        <v>1</v>
      </c>
      <c r="N2" s="1">
        <v>20</v>
      </c>
      <c r="O2">
        <v>20</v>
      </c>
      <c r="P2" t="s">
        <v>23</v>
      </c>
    </row>
    <row r="3" spans="1:16" x14ac:dyDescent="0.25">
      <c r="A3" t="s">
        <v>25</v>
      </c>
      <c r="B3" t="s">
        <v>26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>
        <v>20250701</v>
      </c>
      <c r="J3">
        <v>20250708</v>
      </c>
      <c r="K3">
        <v>335.48</v>
      </c>
      <c r="L3" t="s">
        <v>24</v>
      </c>
      <c r="M3">
        <v>1</v>
      </c>
      <c r="N3" s="1">
        <v>20</v>
      </c>
      <c r="O3">
        <v>20</v>
      </c>
      <c r="P3" t="s">
        <v>23</v>
      </c>
    </row>
    <row r="4" spans="1:16" x14ac:dyDescent="0.25">
      <c r="A4" t="s">
        <v>27</v>
      </c>
      <c r="B4" t="s">
        <v>28</v>
      </c>
      <c r="C4" t="s">
        <v>29</v>
      </c>
      <c r="D4" t="s">
        <v>30</v>
      </c>
      <c r="E4" t="s">
        <v>20</v>
      </c>
      <c r="F4" t="s">
        <v>21</v>
      </c>
      <c r="G4" t="s">
        <v>31</v>
      </c>
      <c r="H4" t="s">
        <v>23</v>
      </c>
      <c r="I4">
        <v>20250701</v>
      </c>
      <c r="J4">
        <v>20250708</v>
      </c>
      <c r="K4">
        <v>24.35</v>
      </c>
      <c r="L4" t="s">
        <v>24</v>
      </c>
      <c r="M4">
        <v>1</v>
      </c>
      <c r="N4" s="1">
        <v>22</v>
      </c>
      <c r="O4">
        <v>22</v>
      </c>
      <c r="P4" t="s">
        <v>23</v>
      </c>
    </row>
    <row r="5" spans="1:16" x14ac:dyDescent="0.25">
      <c r="A5" t="s">
        <v>32</v>
      </c>
      <c r="B5" t="s">
        <v>33</v>
      </c>
      <c r="C5" t="s">
        <v>18</v>
      </c>
      <c r="D5" t="s">
        <v>19</v>
      </c>
      <c r="E5" t="s">
        <v>20</v>
      </c>
      <c r="F5" t="s">
        <v>34</v>
      </c>
      <c r="G5" t="s">
        <v>22</v>
      </c>
      <c r="H5" t="s">
        <v>23</v>
      </c>
      <c r="I5">
        <v>20250701</v>
      </c>
      <c r="J5">
        <v>20250708</v>
      </c>
      <c r="K5">
        <v>1055.71</v>
      </c>
      <c r="L5" t="s">
        <v>24</v>
      </c>
      <c r="M5">
        <v>3</v>
      </c>
      <c r="N5" s="1">
        <v>20</v>
      </c>
      <c r="O5">
        <v>60</v>
      </c>
      <c r="P5" t="s">
        <v>23</v>
      </c>
    </row>
    <row r="6" spans="1:16" x14ac:dyDescent="0.25">
      <c r="A6" t="s">
        <v>35</v>
      </c>
      <c r="B6" t="s">
        <v>36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>
        <v>20250601</v>
      </c>
      <c r="J6">
        <v>20250708</v>
      </c>
      <c r="K6">
        <v>0</v>
      </c>
      <c r="L6" t="s">
        <v>24</v>
      </c>
      <c r="M6">
        <v>1</v>
      </c>
      <c r="N6" s="1">
        <v>20</v>
      </c>
      <c r="O6">
        <v>20</v>
      </c>
      <c r="P6" t="s">
        <v>23</v>
      </c>
    </row>
    <row r="7" spans="1:16" x14ac:dyDescent="0.25">
      <c r="A7" t="s">
        <v>37</v>
      </c>
      <c r="B7" t="s">
        <v>38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>
        <v>20250601</v>
      </c>
      <c r="J7">
        <v>20250708</v>
      </c>
      <c r="K7">
        <v>0</v>
      </c>
      <c r="L7" t="s">
        <v>24</v>
      </c>
      <c r="M7">
        <v>1</v>
      </c>
      <c r="N7" s="1">
        <v>20</v>
      </c>
      <c r="O7">
        <v>20</v>
      </c>
      <c r="P7" t="s">
        <v>23</v>
      </c>
    </row>
    <row r="8" spans="1:16" x14ac:dyDescent="0.25">
      <c r="A8" t="s">
        <v>39</v>
      </c>
      <c r="B8" t="s">
        <v>40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>
        <v>20250601</v>
      </c>
      <c r="J8">
        <v>20250708</v>
      </c>
      <c r="K8">
        <v>0</v>
      </c>
      <c r="L8" t="s">
        <v>24</v>
      </c>
      <c r="M8">
        <v>1</v>
      </c>
      <c r="N8" s="1">
        <v>20</v>
      </c>
      <c r="O8">
        <v>20</v>
      </c>
      <c r="P8" t="s">
        <v>23</v>
      </c>
    </row>
    <row r="9" spans="1:16" x14ac:dyDescent="0.25">
      <c r="A9" t="s">
        <v>41</v>
      </c>
      <c r="B9" t="s">
        <v>42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>
        <v>20250601</v>
      </c>
      <c r="J9">
        <v>20250708</v>
      </c>
      <c r="K9">
        <v>0</v>
      </c>
      <c r="L9" t="s">
        <v>24</v>
      </c>
      <c r="M9">
        <v>1</v>
      </c>
      <c r="N9" s="1">
        <v>20</v>
      </c>
      <c r="O9">
        <v>20</v>
      </c>
      <c r="P9" t="s">
        <v>23</v>
      </c>
    </row>
    <row r="10" spans="1:16" x14ac:dyDescent="0.25">
      <c r="A10" t="s">
        <v>43</v>
      </c>
      <c r="B10" t="s">
        <v>44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>
        <v>20250601</v>
      </c>
      <c r="J10">
        <v>20250708</v>
      </c>
      <c r="K10">
        <v>0</v>
      </c>
      <c r="L10" t="s">
        <v>24</v>
      </c>
      <c r="M10">
        <v>2</v>
      </c>
      <c r="N10" s="1">
        <v>20</v>
      </c>
      <c r="O10">
        <v>40</v>
      </c>
      <c r="P10" t="s">
        <v>23</v>
      </c>
    </row>
    <row r="11" spans="1:16" x14ac:dyDescent="0.25">
      <c r="A11" t="s">
        <v>45</v>
      </c>
      <c r="B11" t="s">
        <v>46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>
        <v>20250601</v>
      </c>
      <c r="J11">
        <v>20250708</v>
      </c>
      <c r="K11">
        <v>0</v>
      </c>
      <c r="L11" t="s">
        <v>24</v>
      </c>
      <c r="M11">
        <v>1</v>
      </c>
      <c r="N11" s="1">
        <v>20</v>
      </c>
      <c r="O11">
        <v>20</v>
      </c>
      <c r="P11" t="s">
        <v>23</v>
      </c>
    </row>
    <row r="12" spans="1:16" x14ac:dyDescent="0.25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t="s">
        <v>21</v>
      </c>
      <c r="G12" t="s">
        <v>52</v>
      </c>
      <c r="H12" t="s">
        <v>23</v>
      </c>
      <c r="I12">
        <v>20250601</v>
      </c>
      <c r="J12">
        <v>20250708</v>
      </c>
      <c r="K12">
        <v>52</v>
      </c>
      <c r="L12" t="s">
        <v>23</v>
      </c>
      <c r="M12" t="s">
        <v>53</v>
      </c>
      <c r="N12" s="2">
        <v>0.2</v>
      </c>
      <c r="O12">
        <v>10.4</v>
      </c>
      <c r="P12" t="s">
        <v>23</v>
      </c>
    </row>
    <row r="13" spans="1:16" x14ac:dyDescent="0.25">
      <c r="A13" t="s">
        <v>54</v>
      </c>
      <c r="B13" t="s">
        <v>55</v>
      </c>
      <c r="C13" t="s">
        <v>18</v>
      </c>
      <c r="D13" t="s">
        <v>56</v>
      </c>
      <c r="E13" t="s">
        <v>20</v>
      </c>
      <c r="F13" t="s">
        <v>21</v>
      </c>
      <c r="G13" t="s">
        <v>57</v>
      </c>
      <c r="H13" t="s">
        <v>23</v>
      </c>
      <c r="I13">
        <v>20250701</v>
      </c>
      <c r="J13">
        <v>20250708</v>
      </c>
      <c r="K13">
        <v>26.86</v>
      </c>
      <c r="L13" t="s">
        <v>24</v>
      </c>
      <c r="M13">
        <v>1</v>
      </c>
      <c r="N13" s="1">
        <v>20</v>
      </c>
      <c r="O13">
        <v>20</v>
      </c>
      <c r="P13" t="s">
        <v>23</v>
      </c>
    </row>
    <row r="14" spans="1:16" x14ac:dyDescent="0.25">
      <c r="A14" t="s">
        <v>58</v>
      </c>
      <c r="B14" t="s">
        <v>59</v>
      </c>
      <c r="C14" t="s">
        <v>18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>
        <v>20250701</v>
      </c>
      <c r="J14">
        <v>20250708</v>
      </c>
      <c r="K14">
        <v>340.44</v>
      </c>
      <c r="L14" t="s">
        <v>24</v>
      </c>
      <c r="M14">
        <v>1</v>
      </c>
      <c r="N14" s="1">
        <v>20</v>
      </c>
      <c r="O14">
        <v>20</v>
      </c>
      <c r="P14" t="s">
        <v>23</v>
      </c>
    </row>
    <row r="15" spans="1:16" x14ac:dyDescent="0.25">
      <c r="A15" t="s">
        <v>60</v>
      </c>
      <c r="B15" t="s">
        <v>61</v>
      </c>
      <c r="C15" t="s">
        <v>49</v>
      </c>
      <c r="D15" t="s">
        <v>50</v>
      </c>
      <c r="E15" t="s">
        <v>51</v>
      </c>
      <c r="F15" t="s">
        <v>21</v>
      </c>
      <c r="G15" t="s">
        <v>31</v>
      </c>
      <c r="H15" t="s">
        <v>23</v>
      </c>
      <c r="I15">
        <v>20250701</v>
      </c>
      <c r="J15">
        <v>20250708</v>
      </c>
      <c r="K15">
        <v>52.72</v>
      </c>
      <c r="L15" t="s">
        <v>23</v>
      </c>
      <c r="M15" t="s">
        <v>53</v>
      </c>
      <c r="N15" s="2">
        <v>0.1</v>
      </c>
      <c r="O15">
        <v>5.27</v>
      </c>
      <c r="P15" t="s">
        <v>23</v>
      </c>
    </row>
    <row r="16" spans="1:16" x14ac:dyDescent="0.25">
      <c r="A16" t="s">
        <v>62</v>
      </c>
      <c r="B16" t="s">
        <v>63</v>
      </c>
      <c r="C16" t="s">
        <v>49</v>
      </c>
      <c r="D16" t="s">
        <v>50</v>
      </c>
      <c r="E16" t="s">
        <v>51</v>
      </c>
      <c r="F16" t="s">
        <v>21</v>
      </c>
      <c r="G16" t="s">
        <v>52</v>
      </c>
      <c r="H16" t="s">
        <v>23</v>
      </c>
      <c r="I16">
        <v>20250701</v>
      </c>
      <c r="J16">
        <v>20250708</v>
      </c>
      <c r="K16">
        <v>85.15</v>
      </c>
      <c r="L16" t="s">
        <v>23</v>
      </c>
      <c r="M16" t="s">
        <v>53</v>
      </c>
      <c r="N16" s="2">
        <v>0.1</v>
      </c>
      <c r="O16">
        <v>8.52</v>
      </c>
      <c r="P16" t="s">
        <v>23</v>
      </c>
    </row>
    <row r="17" spans="1:16" x14ac:dyDescent="0.25">
      <c r="A17" t="s">
        <v>64</v>
      </c>
      <c r="B17" t="s">
        <v>65</v>
      </c>
      <c r="C17" t="s">
        <v>18</v>
      </c>
      <c r="D17" t="s">
        <v>19</v>
      </c>
      <c r="E17" t="s">
        <v>20</v>
      </c>
      <c r="F17" t="s">
        <v>21</v>
      </c>
      <c r="G17" t="s">
        <v>22</v>
      </c>
      <c r="H17" t="s">
        <v>23</v>
      </c>
      <c r="I17">
        <v>20250601</v>
      </c>
      <c r="J17">
        <v>20250708</v>
      </c>
      <c r="K17">
        <v>0</v>
      </c>
      <c r="L17" t="s">
        <v>24</v>
      </c>
      <c r="M17">
        <v>1</v>
      </c>
      <c r="N17" s="1">
        <v>20</v>
      </c>
      <c r="O17">
        <v>20</v>
      </c>
      <c r="P17" t="s">
        <v>23</v>
      </c>
    </row>
    <row r="18" spans="1:16" x14ac:dyDescent="0.25">
      <c r="A18" t="s">
        <v>66</v>
      </c>
      <c r="B18" t="s">
        <v>67</v>
      </c>
      <c r="C18" t="s">
        <v>18</v>
      </c>
      <c r="D18" t="s">
        <v>19</v>
      </c>
      <c r="E18" t="s">
        <v>20</v>
      </c>
      <c r="F18" t="s">
        <v>21</v>
      </c>
      <c r="G18" t="s">
        <v>22</v>
      </c>
      <c r="H18" t="s">
        <v>23</v>
      </c>
      <c r="I18">
        <v>20250701</v>
      </c>
      <c r="J18">
        <v>20250708</v>
      </c>
      <c r="K18">
        <v>244.9</v>
      </c>
      <c r="L18" t="s">
        <v>24</v>
      </c>
      <c r="M18">
        <v>1</v>
      </c>
      <c r="N18" s="1">
        <v>20</v>
      </c>
      <c r="O18">
        <v>20</v>
      </c>
      <c r="P18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FEF90-468D-4519-B8BF-C2450B9334B8}">
  <dimension ref="A1:P18"/>
  <sheetViews>
    <sheetView workbookViewId="0">
      <selection activeCell="O1" sqref="O1:O1048576"/>
    </sheetView>
  </sheetViews>
  <sheetFormatPr defaultRowHeight="15" x14ac:dyDescent="0.25"/>
  <cols>
    <col min="1" max="1" width="12.7109375" style="3" bestFit="1" customWidth="1"/>
    <col min="2" max="2" width="12.7109375" style="3" customWidth="1"/>
    <col min="3" max="3" width="28" style="3" bestFit="1" customWidth="1"/>
    <col min="4" max="4" width="16.140625" style="3" bestFit="1" customWidth="1"/>
    <col min="5" max="5" width="20.85546875" style="3" bestFit="1" customWidth="1"/>
    <col min="6" max="6" width="20.85546875" style="4" customWidth="1"/>
    <col min="7" max="7" width="13.28515625" style="3" bestFit="1" customWidth="1"/>
    <col min="8" max="8" width="12" style="3" bestFit="1" customWidth="1"/>
    <col min="9" max="9" width="12.42578125" style="3" bestFit="1" customWidth="1"/>
    <col min="10" max="10" width="12.42578125" style="3" customWidth="1"/>
    <col min="11" max="11" width="25" style="3" bestFit="1" customWidth="1"/>
    <col min="12" max="12" width="9" style="3" bestFit="1" customWidth="1"/>
    <col min="13" max="13" width="13.85546875" style="3" bestFit="1" customWidth="1"/>
    <col min="14" max="14" width="11" style="3" bestFit="1" customWidth="1"/>
    <col min="15" max="15" width="12.140625" style="3" bestFit="1" customWidth="1"/>
    <col min="16" max="16384" width="9.140625" style="3"/>
  </cols>
  <sheetData>
    <row r="1" spans="1:16" x14ac:dyDescent="0.25">
      <c r="A1" s="3" t="s">
        <v>0</v>
      </c>
      <c r="C1" s="3" t="s">
        <v>1</v>
      </c>
      <c r="D1" s="3" t="s">
        <v>2</v>
      </c>
      <c r="E1" s="3" t="s">
        <v>3</v>
      </c>
      <c r="G1" s="3" t="s">
        <v>4</v>
      </c>
      <c r="H1" s="3" t="s">
        <v>6</v>
      </c>
      <c r="I1" s="3" t="s">
        <v>8</v>
      </c>
      <c r="K1" s="3" t="s">
        <v>9</v>
      </c>
      <c r="L1" s="3" t="s">
        <v>10</v>
      </c>
      <c r="M1" s="3" t="s">
        <v>12</v>
      </c>
      <c r="N1" s="3" t="s">
        <v>13</v>
      </c>
      <c r="O1" s="3" t="s">
        <v>14</v>
      </c>
    </row>
    <row r="2" spans="1:16" x14ac:dyDescent="0.25">
      <c r="A2" s="3" t="s">
        <v>16</v>
      </c>
      <c r="B2" s="3" t="str">
        <f>CONCATENATE(A2,2)</f>
        <v>08M74D2</v>
      </c>
      <c r="C2" s="3" t="s">
        <v>17</v>
      </c>
      <c r="D2" s="3" t="s">
        <v>18</v>
      </c>
      <c r="E2" s="3" t="s">
        <v>19</v>
      </c>
      <c r="F2" s="4">
        <v>6634327</v>
      </c>
      <c r="G2" s="3" t="s">
        <v>20</v>
      </c>
      <c r="H2" s="3" t="s">
        <v>22</v>
      </c>
      <c r="I2" s="3">
        <v>20250601</v>
      </c>
      <c r="J2" s="3" t="str">
        <f>TEXT(DATE(LEFT(I2,4), MID(I2,5,2), RIGHT(I2,2)), "M/d/yyyy")</f>
        <v>6/1/2025</v>
      </c>
      <c r="K2" s="3">
        <v>20250708</v>
      </c>
      <c r="L2" s="3">
        <v>1</v>
      </c>
      <c r="N2" s="5">
        <v>20</v>
      </c>
      <c r="O2" s="3">
        <v>20</v>
      </c>
      <c r="P2" s="3" t="s">
        <v>71</v>
      </c>
    </row>
    <row r="3" spans="1:16" x14ac:dyDescent="0.25">
      <c r="A3" s="3" t="s">
        <v>25</v>
      </c>
      <c r="B3" s="3" t="str">
        <f t="shared" ref="B3:B11" si="0">CONCATENATE(A3,2)</f>
        <v>17M71Y2</v>
      </c>
      <c r="C3" s="3" t="s">
        <v>26</v>
      </c>
      <c r="D3" s="3" t="s">
        <v>18</v>
      </c>
      <c r="E3" s="3" t="s">
        <v>19</v>
      </c>
      <c r="F3" s="4">
        <v>6634327</v>
      </c>
      <c r="G3" s="3" t="s">
        <v>20</v>
      </c>
      <c r="H3" s="3" t="s">
        <v>22</v>
      </c>
      <c r="I3" s="3">
        <v>20250701</v>
      </c>
      <c r="J3" s="3" t="str">
        <f t="shared" ref="J3:J18" si="1">TEXT(DATE(LEFT(I3,4), MID(I3,5,2), RIGHT(I3,2)), "M/d/yyyy")</f>
        <v>7/1/2025</v>
      </c>
      <c r="K3" s="3">
        <v>20250708</v>
      </c>
      <c r="L3" s="3">
        <v>1</v>
      </c>
      <c r="N3" s="5">
        <v>20</v>
      </c>
      <c r="O3" s="3">
        <v>20</v>
      </c>
      <c r="P3" s="3" t="s">
        <v>71</v>
      </c>
    </row>
    <row r="4" spans="1:16" x14ac:dyDescent="0.25">
      <c r="A4" s="3" t="s">
        <v>27</v>
      </c>
      <c r="B4" s="3" t="str">
        <f t="shared" si="0"/>
        <v>24N58N2</v>
      </c>
      <c r="C4" s="3" t="s">
        <v>28</v>
      </c>
      <c r="D4" s="3" t="s">
        <v>29</v>
      </c>
      <c r="E4" s="3" t="s">
        <v>30</v>
      </c>
      <c r="F4" s="4">
        <v>1706194</v>
      </c>
      <c r="G4" s="3" t="s">
        <v>20</v>
      </c>
      <c r="H4" s="3" t="s">
        <v>31</v>
      </c>
      <c r="I4" s="3">
        <v>20250701</v>
      </c>
      <c r="J4" s="3" t="str">
        <f t="shared" si="1"/>
        <v>7/1/2025</v>
      </c>
      <c r="K4" s="3">
        <v>20250708</v>
      </c>
      <c r="L4" s="3">
        <v>1</v>
      </c>
      <c r="N4" s="5">
        <v>22</v>
      </c>
      <c r="O4" s="3">
        <v>22</v>
      </c>
      <c r="P4" s="3" t="s">
        <v>72</v>
      </c>
    </row>
    <row r="5" spans="1:16" x14ac:dyDescent="0.25">
      <c r="A5" s="3" t="s">
        <v>32</v>
      </c>
      <c r="B5" s="3" t="str">
        <f t="shared" si="0"/>
        <v>32M8H82</v>
      </c>
      <c r="C5" s="3" t="s">
        <v>33</v>
      </c>
      <c r="D5" s="3" t="s">
        <v>18</v>
      </c>
      <c r="E5" s="3" t="s">
        <v>19</v>
      </c>
      <c r="F5" s="4">
        <v>6634327</v>
      </c>
      <c r="G5" s="3" t="s">
        <v>20</v>
      </c>
      <c r="H5" s="3" t="s">
        <v>22</v>
      </c>
      <c r="I5" s="3">
        <v>20250701</v>
      </c>
      <c r="J5" s="3" t="str">
        <f t="shared" si="1"/>
        <v>7/1/2025</v>
      </c>
      <c r="K5" s="3">
        <v>20250708</v>
      </c>
      <c r="L5" s="3">
        <v>1</v>
      </c>
      <c r="M5" s="3" t="s">
        <v>69</v>
      </c>
      <c r="N5" s="5">
        <v>20</v>
      </c>
      <c r="O5" s="3">
        <v>60</v>
      </c>
      <c r="P5" s="3" t="s">
        <v>71</v>
      </c>
    </row>
    <row r="6" spans="1:16" x14ac:dyDescent="0.25">
      <c r="A6" s="3" t="s">
        <v>35</v>
      </c>
      <c r="B6" s="3" t="str">
        <f t="shared" si="0"/>
        <v>36M6M72</v>
      </c>
      <c r="C6" s="3" t="s">
        <v>36</v>
      </c>
      <c r="D6" s="3" t="s">
        <v>18</v>
      </c>
      <c r="E6" s="3" t="s">
        <v>19</v>
      </c>
      <c r="F6" s="4">
        <v>6634327</v>
      </c>
      <c r="G6" s="3" t="s">
        <v>20</v>
      </c>
      <c r="H6" s="3" t="s">
        <v>22</v>
      </c>
      <c r="I6" s="3">
        <v>20250601</v>
      </c>
      <c r="J6" s="3" t="str">
        <f t="shared" si="1"/>
        <v>6/1/2025</v>
      </c>
      <c r="K6" s="3">
        <v>20250708</v>
      </c>
      <c r="L6" s="3">
        <v>1</v>
      </c>
      <c r="N6" s="5">
        <v>20</v>
      </c>
      <c r="O6" s="3">
        <v>20</v>
      </c>
      <c r="P6" s="3" t="s">
        <v>71</v>
      </c>
    </row>
    <row r="7" spans="1:16" x14ac:dyDescent="0.25">
      <c r="A7" s="3" t="s">
        <v>37</v>
      </c>
      <c r="B7" s="3" t="str">
        <f t="shared" si="0"/>
        <v>36MP652</v>
      </c>
      <c r="C7" s="3" t="s">
        <v>38</v>
      </c>
      <c r="D7" s="3" t="s">
        <v>18</v>
      </c>
      <c r="E7" s="3" t="s">
        <v>19</v>
      </c>
      <c r="F7" s="4">
        <v>6634327</v>
      </c>
      <c r="G7" s="3" t="s">
        <v>20</v>
      </c>
      <c r="H7" s="3" t="s">
        <v>22</v>
      </c>
      <c r="I7" s="3">
        <v>20250601</v>
      </c>
      <c r="J7" s="3" t="str">
        <f t="shared" si="1"/>
        <v>6/1/2025</v>
      </c>
      <c r="K7" s="3">
        <v>20250708</v>
      </c>
      <c r="L7" s="3">
        <v>1</v>
      </c>
      <c r="N7" s="5">
        <v>20</v>
      </c>
      <c r="O7" s="3">
        <v>20</v>
      </c>
      <c r="P7" s="3" t="s">
        <v>71</v>
      </c>
    </row>
    <row r="8" spans="1:16" x14ac:dyDescent="0.25">
      <c r="A8" s="3" t="s">
        <v>39</v>
      </c>
      <c r="B8" s="3" t="str">
        <f t="shared" si="0"/>
        <v>47M59G2</v>
      </c>
      <c r="C8" s="3" t="s">
        <v>40</v>
      </c>
      <c r="D8" s="3" t="s">
        <v>18</v>
      </c>
      <c r="E8" s="3" t="s">
        <v>19</v>
      </c>
      <c r="F8" s="4">
        <v>6634327</v>
      </c>
      <c r="G8" s="3" t="s">
        <v>20</v>
      </c>
      <c r="H8" s="3" t="s">
        <v>22</v>
      </c>
      <c r="I8" s="3">
        <v>20250601</v>
      </c>
      <c r="J8" s="3" t="str">
        <f t="shared" si="1"/>
        <v>6/1/2025</v>
      </c>
      <c r="K8" s="3">
        <v>20250708</v>
      </c>
      <c r="L8" s="3">
        <v>1</v>
      </c>
      <c r="N8" s="5">
        <v>20</v>
      </c>
      <c r="O8" s="3">
        <v>20</v>
      </c>
      <c r="P8" s="3" t="s">
        <v>71</v>
      </c>
    </row>
    <row r="9" spans="1:16" x14ac:dyDescent="0.25">
      <c r="A9" s="3" t="s">
        <v>41</v>
      </c>
      <c r="B9" s="3" t="str">
        <f t="shared" si="0"/>
        <v>61NC972</v>
      </c>
      <c r="C9" s="3" t="s">
        <v>42</v>
      </c>
      <c r="D9" s="3" t="s">
        <v>18</v>
      </c>
      <c r="E9" s="3" t="s">
        <v>19</v>
      </c>
      <c r="F9" s="4">
        <v>6634327</v>
      </c>
      <c r="G9" s="3" t="s">
        <v>20</v>
      </c>
      <c r="H9" s="3" t="s">
        <v>22</v>
      </c>
      <c r="I9" s="3">
        <v>20250601</v>
      </c>
      <c r="J9" s="3" t="str">
        <f t="shared" si="1"/>
        <v>6/1/2025</v>
      </c>
      <c r="K9" s="3">
        <v>20250708</v>
      </c>
      <c r="L9" s="3">
        <v>1</v>
      </c>
      <c r="N9" s="5">
        <v>20</v>
      </c>
      <c r="O9" s="3">
        <v>20</v>
      </c>
      <c r="P9" s="3" t="s">
        <v>71</v>
      </c>
    </row>
    <row r="10" spans="1:16" x14ac:dyDescent="0.25">
      <c r="A10" s="3" t="s">
        <v>43</v>
      </c>
      <c r="B10" s="3" t="str">
        <f t="shared" si="0"/>
        <v>62NC242</v>
      </c>
      <c r="C10" s="3" t="s">
        <v>44</v>
      </c>
      <c r="D10" s="3" t="s">
        <v>18</v>
      </c>
      <c r="E10" s="3" t="s">
        <v>19</v>
      </c>
      <c r="F10" s="4">
        <v>6634327</v>
      </c>
      <c r="G10" s="3" t="s">
        <v>20</v>
      </c>
      <c r="H10" s="3" t="s">
        <v>22</v>
      </c>
      <c r="I10" s="3">
        <v>20250601</v>
      </c>
      <c r="J10" s="3" t="str">
        <f t="shared" si="1"/>
        <v>6/1/2025</v>
      </c>
      <c r="K10" s="3">
        <v>20250708</v>
      </c>
      <c r="L10" s="3">
        <v>1</v>
      </c>
      <c r="M10" s="3" t="s">
        <v>68</v>
      </c>
      <c r="N10" s="5">
        <v>20</v>
      </c>
      <c r="O10" s="3">
        <v>40</v>
      </c>
      <c r="P10" s="3" t="s">
        <v>71</v>
      </c>
    </row>
    <row r="11" spans="1:16" x14ac:dyDescent="0.25">
      <c r="A11" s="3" t="s">
        <v>45</v>
      </c>
      <c r="B11" s="3" t="str">
        <f t="shared" si="0"/>
        <v>62NC362</v>
      </c>
      <c r="C11" s="3" t="s">
        <v>46</v>
      </c>
      <c r="D11" s="3" t="s">
        <v>18</v>
      </c>
      <c r="E11" s="3" t="s">
        <v>19</v>
      </c>
      <c r="F11" s="4">
        <v>6634327</v>
      </c>
      <c r="G11" s="3" t="s">
        <v>20</v>
      </c>
      <c r="H11" s="3" t="s">
        <v>22</v>
      </c>
      <c r="I11" s="3">
        <v>20250601</v>
      </c>
      <c r="J11" s="3" t="str">
        <f t="shared" si="1"/>
        <v>6/1/2025</v>
      </c>
      <c r="K11" s="3">
        <v>20250708</v>
      </c>
      <c r="L11" s="3">
        <v>1</v>
      </c>
      <c r="N11" s="5">
        <v>20</v>
      </c>
      <c r="O11" s="3">
        <v>20</v>
      </c>
      <c r="P11" s="3" t="s">
        <v>71</v>
      </c>
    </row>
    <row r="12" spans="1:16" x14ac:dyDescent="0.25">
      <c r="A12" s="3" t="s">
        <v>47</v>
      </c>
      <c r="B12" s="3" t="str">
        <f>CONCATENATE(A12,7)</f>
        <v>65MP817</v>
      </c>
      <c r="C12" s="3" t="s">
        <v>48</v>
      </c>
      <c r="D12" s="3" t="s">
        <v>49</v>
      </c>
      <c r="E12" s="3" t="s">
        <v>50</v>
      </c>
      <c r="F12" s="4">
        <v>17425766</v>
      </c>
      <c r="G12" s="3" t="s">
        <v>51</v>
      </c>
      <c r="H12" s="3" t="s">
        <v>52</v>
      </c>
      <c r="I12" s="3">
        <v>20250601</v>
      </c>
      <c r="J12" s="3" t="str">
        <f t="shared" si="1"/>
        <v>6/1/2025</v>
      </c>
      <c r="K12" s="3">
        <v>20250708</v>
      </c>
      <c r="L12" s="3">
        <v>52</v>
      </c>
      <c r="M12" s="3" t="s">
        <v>53</v>
      </c>
      <c r="N12" s="6">
        <v>0.2</v>
      </c>
      <c r="O12" s="3">
        <v>10.4</v>
      </c>
      <c r="P12" s="3" t="s">
        <v>70</v>
      </c>
    </row>
    <row r="13" spans="1:16" x14ac:dyDescent="0.25">
      <c r="A13" s="3" t="s">
        <v>54</v>
      </c>
      <c r="B13" s="3" t="str">
        <f t="shared" ref="B13:B14" si="2">CONCATENATE(A13,2)</f>
        <v>69CK842</v>
      </c>
      <c r="C13" s="3" t="s">
        <v>55</v>
      </c>
      <c r="D13" s="3" t="s">
        <v>18</v>
      </c>
      <c r="E13" s="3" t="s">
        <v>56</v>
      </c>
      <c r="F13" s="4">
        <v>18010408</v>
      </c>
      <c r="G13" s="3" t="s">
        <v>20</v>
      </c>
      <c r="H13" s="3" t="s">
        <v>57</v>
      </c>
      <c r="I13" s="3">
        <v>20250701</v>
      </c>
      <c r="J13" s="3" t="str">
        <f t="shared" si="1"/>
        <v>7/1/2025</v>
      </c>
      <c r="K13" s="3">
        <v>20250708</v>
      </c>
      <c r="L13" s="3">
        <v>1</v>
      </c>
      <c r="N13" s="5">
        <v>20</v>
      </c>
      <c r="O13" s="3">
        <v>20</v>
      </c>
      <c r="P13" s="3" t="s">
        <v>73</v>
      </c>
    </row>
    <row r="14" spans="1:16" x14ac:dyDescent="0.25">
      <c r="A14" s="3" t="s">
        <v>58</v>
      </c>
      <c r="B14" s="3" t="str">
        <f t="shared" si="2"/>
        <v>70MB722</v>
      </c>
      <c r="C14" s="3" t="s">
        <v>59</v>
      </c>
      <c r="D14" s="3" t="s">
        <v>18</v>
      </c>
      <c r="E14" s="3" t="s">
        <v>19</v>
      </c>
      <c r="F14" s="4">
        <v>6634327</v>
      </c>
      <c r="G14" s="3" t="s">
        <v>20</v>
      </c>
      <c r="H14" s="3" t="s">
        <v>22</v>
      </c>
      <c r="I14" s="3">
        <v>20250701</v>
      </c>
      <c r="J14" s="3" t="str">
        <f t="shared" si="1"/>
        <v>7/1/2025</v>
      </c>
      <c r="K14" s="3">
        <v>20250708</v>
      </c>
      <c r="L14" s="3">
        <v>1</v>
      </c>
      <c r="N14" s="5">
        <v>20</v>
      </c>
      <c r="O14" s="3">
        <v>20</v>
      </c>
      <c r="P14" s="3" t="s">
        <v>71</v>
      </c>
    </row>
    <row r="15" spans="1:16" x14ac:dyDescent="0.25">
      <c r="A15" s="3" t="s">
        <v>60</v>
      </c>
      <c r="B15" s="3" t="str">
        <f t="shared" ref="B15:B16" si="3">CONCATENATE(A15,7)</f>
        <v>7Y95N87</v>
      </c>
      <c r="C15" s="3" t="s">
        <v>61</v>
      </c>
      <c r="D15" s="3" t="s">
        <v>49</v>
      </c>
      <c r="E15" s="3" t="s">
        <v>50</v>
      </c>
      <c r="F15" s="4" t="s">
        <v>74</v>
      </c>
      <c r="G15" s="3" t="s">
        <v>51</v>
      </c>
      <c r="H15" s="3" t="s">
        <v>31</v>
      </c>
      <c r="I15" s="3">
        <v>20250701</v>
      </c>
      <c r="J15" s="3" t="str">
        <f t="shared" si="1"/>
        <v>7/1/2025</v>
      </c>
      <c r="K15" s="3">
        <v>20250708</v>
      </c>
      <c r="L15" s="3">
        <v>52.72</v>
      </c>
      <c r="M15" s="3" t="s">
        <v>53</v>
      </c>
      <c r="N15" s="6">
        <v>0.1</v>
      </c>
      <c r="O15" s="3">
        <v>5.27</v>
      </c>
      <c r="P15" s="3" t="s">
        <v>70</v>
      </c>
    </row>
    <row r="16" spans="1:16" x14ac:dyDescent="0.25">
      <c r="A16" s="3" t="s">
        <v>62</v>
      </c>
      <c r="B16" s="3" t="str">
        <f t="shared" si="3"/>
        <v>82JG057</v>
      </c>
      <c r="C16" s="3" t="s">
        <v>63</v>
      </c>
      <c r="D16" s="3" t="s">
        <v>49</v>
      </c>
      <c r="E16" s="3" t="s">
        <v>50</v>
      </c>
      <c r="F16" s="4" t="s">
        <v>74</v>
      </c>
      <c r="G16" s="3" t="s">
        <v>51</v>
      </c>
      <c r="H16" s="3" t="s">
        <v>52</v>
      </c>
      <c r="I16" s="3">
        <v>20250701</v>
      </c>
      <c r="J16" s="3" t="str">
        <f t="shared" si="1"/>
        <v>7/1/2025</v>
      </c>
      <c r="K16" s="3">
        <v>20250708</v>
      </c>
      <c r="L16" s="3">
        <v>85.15</v>
      </c>
      <c r="M16" s="3" t="s">
        <v>53</v>
      </c>
      <c r="N16" s="6">
        <v>0.1</v>
      </c>
      <c r="O16" s="3">
        <v>8.52</v>
      </c>
      <c r="P16" s="3" t="s">
        <v>70</v>
      </c>
    </row>
    <row r="17" spans="1:16" x14ac:dyDescent="0.25">
      <c r="A17" s="3" t="s">
        <v>64</v>
      </c>
      <c r="B17" s="3" t="str">
        <f t="shared" ref="B17:B18" si="4">CONCATENATE(A17,2)</f>
        <v>85NN122</v>
      </c>
      <c r="C17" s="3" t="s">
        <v>65</v>
      </c>
      <c r="D17" s="3" t="s">
        <v>18</v>
      </c>
      <c r="E17" s="3" t="s">
        <v>19</v>
      </c>
      <c r="F17" s="4">
        <v>6634327</v>
      </c>
      <c r="G17" s="3" t="s">
        <v>20</v>
      </c>
      <c r="H17" s="3" t="s">
        <v>22</v>
      </c>
      <c r="I17" s="3">
        <v>20250601</v>
      </c>
      <c r="J17" s="3" t="str">
        <f t="shared" si="1"/>
        <v>6/1/2025</v>
      </c>
      <c r="K17" s="3">
        <v>20250708</v>
      </c>
      <c r="L17" s="3">
        <v>1</v>
      </c>
      <c r="N17" s="5">
        <v>20</v>
      </c>
      <c r="O17" s="3">
        <v>20</v>
      </c>
      <c r="P17" s="3" t="s">
        <v>71</v>
      </c>
    </row>
    <row r="18" spans="1:16" x14ac:dyDescent="0.25">
      <c r="A18" s="3" t="s">
        <v>66</v>
      </c>
      <c r="B18" s="3" t="str">
        <f t="shared" si="4"/>
        <v>97MT872</v>
      </c>
      <c r="C18" s="3" t="s">
        <v>67</v>
      </c>
      <c r="D18" s="3" t="s">
        <v>18</v>
      </c>
      <c r="E18" s="3" t="s">
        <v>19</v>
      </c>
      <c r="F18" s="4">
        <v>6634327</v>
      </c>
      <c r="G18" s="3" t="s">
        <v>20</v>
      </c>
      <c r="H18" s="3" t="s">
        <v>22</v>
      </c>
      <c r="I18" s="3">
        <v>20250701</v>
      </c>
      <c r="J18" s="3" t="str">
        <f t="shared" si="1"/>
        <v>7/1/2025</v>
      </c>
      <c r="K18" s="3">
        <v>20250708</v>
      </c>
      <c r="L18" s="3">
        <v>1</v>
      </c>
      <c r="N18" s="5">
        <v>20</v>
      </c>
      <c r="O18" s="3">
        <v>20</v>
      </c>
      <c r="P18" s="3" t="s">
        <v>71</v>
      </c>
    </row>
  </sheetData>
  <pageMargins left="0.7" right="0.7" top="0.75" bottom="0.75" header="0.3" footer="0.3"/>
  <ignoredErrors>
    <ignoredError sqref="B1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export-554662-20250708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Cabel, Denisse Raeka</cp:lastModifiedBy>
  <dcterms:created xsi:type="dcterms:W3CDTF">2025-07-14T17:23:12Z</dcterms:created>
  <dcterms:modified xsi:type="dcterms:W3CDTF">2025-07-15T13:05:13Z</dcterms:modified>
</cp:coreProperties>
</file>