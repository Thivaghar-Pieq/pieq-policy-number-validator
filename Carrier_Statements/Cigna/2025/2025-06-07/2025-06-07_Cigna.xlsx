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6-7-25\"/>
    </mc:Choice>
  </mc:AlternateContent>
  <xr:revisionPtr revIDLastSave="0" documentId="13_ncr:1_{462D68D0-7CC8-471F-86F6-67C3152A8456}" xr6:coauthVersionLast="47" xr6:coauthVersionMax="47" xr10:uidLastSave="{00000000-0000-0000-0000-000000000000}"/>
  <bookViews>
    <workbookView xWindow="28680" yWindow="-120" windowWidth="29040" windowHeight="16440" activeTab="1" xr2:uid="{14A8764C-555C-47EC-B26E-441DEF847B84}"/>
  </bookViews>
  <sheets>
    <sheet name="export-554662-20250607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" i="2"/>
  <c r="B2" i="2"/>
  <c r="B20" i="2"/>
  <c r="B19" i="2"/>
  <c r="B22" i="2"/>
  <c r="B21" i="2"/>
  <c r="B5" i="2"/>
  <c r="B4" i="2"/>
  <c r="B18" i="2"/>
  <c r="B17" i="2"/>
  <c r="B23" i="2"/>
  <c r="B16" i="2"/>
  <c r="B15" i="2"/>
  <c r="B14" i="2"/>
  <c r="B13" i="2"/>
  <c r="B12" i="2"/>
  <c r="B11" i="2"/>
  <c r="B10" i="2"/>
  <c r="B3" i="2"/>
  <c r="B9" i="2"/>
  <c r="B8" i="2"/>
  <c r="B7" i="2"/>
  <c r="B6" i="2"/>
</calcChain>
</file>

<file path=xl/sharedStrings.xml><?xml version="1.0" encoding="utf-8"?>
<sst xmlns="http://schemas.openxmlformats.org/spreadsheetml/2006/main" count="406" uniqueCount="88">
  <si>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</si>
  <si>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</si>
  <si>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</si>
  <si>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</si>
  <si>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</si>
  <si>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</si>
  <si>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</si>
  <si>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</si>
  <si>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</si>
  <si>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</si>
  <si>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</si>
  <si>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</si>
  <si>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</si>
  <si>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</si>
  <si>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</si>
  <si>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</si>
  <si>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08M74D</t>
  </si>
  <si>
    <t>STUTHI PAUL PEDAPATI, RAJ</t>
  </si>
  <si>
    <t>Medical, HOAPIN</t>
  </si>
  <si>
    <t>JOEL LEE</t>
  </si>
  <si>
    <t>PMPM</t>
  </si>
  <si>
    <t xml:space="preserve">S, </t>
  </si>
  <si>
    <t>CO</t>
  </si>
  <si>
    <t>null</t>
  </si>
  <si>
    <t>X, SP</t>
  </si>
  <si>
    <t>10M8K8</t>
  </si>
  <si>
    <t>ZHOU, SHITIAN</t>
  </si>
  <si>
    <t>X, CP</t>
  </si>
  <si>
    <t>17M71Y</t>
  </si>
  <si>
    <t>SWIFT, HANNAH</t>
  </si>
  <si>
    <t>23M79D</t>
  </si>
  <si>
    <t>SHEKARIAN, NASER</t>
  </si>
  <si>
    <t>24N58N</t>
  </si>
  <si>
    <t>OZOBIA, CHARLES</t>
  </si>
  <si>
    <t>Medical, HMO1</t>
  </si>
  <si>
    <t>MATTHEW DAUGHERTY</t>
  </si>
  <si>
    <t>GA</t>
  </si>
  <si>
    <t>32M8H8</t>
  </si>
  <si>
    <t>JACOBS, STEVEN</t>
  </si>
  <si>
    <t xml:space="preserve">, </t>
  </si>
  <si>
    <t>35ND95</t>
  </si>
  <si>
    <t>SHANK, JESSICA</t>
  </si>
  <si>
    <t>HEATHER GESKE</t>
  </si>
  <si>
    <t>36M6M7</t>
  </si>
  <si>
    <t>ILORI, MUYIWA</t>
  </si>
  <si>
    <t>36MP65</t>
  </si>
  <si>
    <t>AALAMI HARANDI, DIBA</t>
  </si>
  <si>
    <t>39M88D</t>
  </si>
  <si>
    <t>ERICKSON, LINDA</t>
  </si>
  <si>
    <t>47M59G</t>
  </si>
  <si>
    <t>MOHAMED, AYA</t>
  </si>
  <si>
    <t>56L91L</t>
  </si>
  <si>
    <t>FLYNN, DARWIN</t>
  </si>
  <si>
    <t>TX</t>
  </si>
  <si>
    <t>56M32E</t>
  </si>
  <si>
    <t>WILSON, VELICITY</t>
  </si>
  <si>
    <t>61NC97</t>
  </si>
  <si>
    <t>VASUDEVAN, MALATHI</t>
  </si>
  <si>
    <t>62NC24</t>
  </si>
  <si>
    <t>KHORSANDI, HOSNA</t>
  </si>
  <si>
    <t>62NC36</t>
  </si>
  <si>
    <t>GANESH NARAGAM, KIRAN</t>
  </si>
  <si>
    <t>69CK84</t>
  </si>
  <si>
    <t>WATSON, CURTIS</t>
  </si>
  <si>
    <t>WILLIAM SCHAEFFER</t>
  </si>
  <si>
    <t>VA</t>
  </si>
  <si>
    <t>70MB72</t>
  </si>
  <si>
    <t>RASMUSSEN-GOODWIN, EMILY</t>
  </si>
  <si>
    <t>7Y95N8</t>
  </si>
  <si>
    <t>GAINES, SHERRY</t>
  </si>
  <si>
    <t>Dental, IVDPPO</t>
  </si>
  <si>
    <t>CAROL FOLEY</t>
  </si>
  <si>
    <t>% of Premium</t>
  </si>
  <si>
    <t xml:space="preserve"> </t>
  </si>
  <si>
    <t>85NN12</t>
  </si>
  <si>
    <t>CHINNAM, SAIKRISHNA</t>
  </si>
  <si>
    <t>91MR97</t>
  </si>
  <si>
    <t>MCELVANY, TARYN</t>
  </si>
  <si>
    <t>99LN83</t>
  </si>
  <si>
    <t>PAPIERZ, JUSTIN</t>
  </si>
  <si>
    <t>[PMPM=2]</t>
  </si>
  <si>
    <t>[PMPM=3]</t>
  </si>
  <si>
    <t>Cigna 2025 AZ, CO, IL</t>
  </si>
  <si>
    <t>Cigna (2025) - GA</t>
  </si>
  <si>
    <t>Cigna Dental</t>
  </si>
  <si>
    <t>Cigna - VA</t>
  </si>
  <si>
    <t>Cigna - TX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</si>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</sst>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6" fontId="0" fillId="0" borderId="0" xfId="0" applyNumberFormat="1"/>
    <xf numFmtId="9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C47D-679A-4079-AD09-6F7B5E6F4C92}">
  <dimension ref="A1:P23"/>
  <sheetViews>
    <sheetView workbookViewId="0">
      <selection sqref="A1:XFD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20250501</v>
      </c>
      <c r="J2">
        <v>20250607</v>
      </c>
      <c r="K2">
        <v>341.16</v>
      </c>
      <c r="L2" t="s">
        <v>24</v>
      </c>
      <c r="M2">
        <v>1</v>
      </c>
      <c r="N2" s="1">
        <v>20</v>
      </c>
      <c r="O2">
        <v>20</v>
      </c>
      <c r="P2" t="s">
        <v>23</v>
      </c>
    </row>
    <row r="3" spans="1:16" x14ac:dyDescent="0.25">
      <c r="A3" t="s">
        <v>25</v>
      </c>
      <c r="B3" t="s">
        <v>26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20250501</v>
      </c>
      <c r="J3">
        <v>20250607</v>
      </c>
      <c r="K3">
        <v>0</v>
      </c>
      <c r="L3" t="s">
        <v>27</v>
      </c>
      <c r="M3">
        <v>1</v>
      </c>
      <c r="N3" s="1">
        <v>20</v>
      </c>
      <c r="O3">
        <v>20</v>
      </c>
      <c r="P3" t="s">
        <v>23</v>
      </c>
    </row>
    <row r="4" spans="1:16" x14ac:dyDescent="0.25">
      <c r="A4" t="s">
        <v>28</v>
      </c>
      <c r="B4" t="s">
        <v>29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>
        <v>20250601</v>
      </c>
      <c r="J4">
        <v>20250607</v>
      </c>
      <c r="K4">
        <v>335.48</v>
      </c>
      <c r="L4" t="s">
        <v>27</v>
      </c>
      <c r="M4">
        <v>1</v>
      </c>
      <c r="N4" s="1">
        <v>20</v>
      </c>
      <c r="O4">
        <v>20</v>
      </c>
      <c r="P4" t="s">
        <v>23</v>
      </c>
    </row>
    <row r="5" spans="1:16" x14ac:dyDescent="0.25">
      <c r="A5" t="s">
        <v>30</v>
      </c>
      <c r="B5" t="s">
        <v>31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>
        <v>20250601</v>
      </c>
      <c r="J5">
        <v>20250607</v>
      </c>
      <c r="K5">
        <v>49.6</v>
      </c>
      <c r="L5" t="s">
        <v>27</v>
      </c>
      <c r="M5">
        <v>1</v>
      </c>
      <c r="N5" s="1">
        <v>20</v>
      </c>
      <c r="O5">
        <v>20</v>
      </c>
      <c r="P5" t="s">
        <v>23</v>
      </c>
    </row>
    <row r="6" spans="1:16" x14ac:dyDescent="0.25">
      <c r="A6" t="s">
        <v>32</v>
      </c>
      <c r="B6" t="s">
        <v>33</v>
      </c>
      <c r="C6" t="s">
        <v>34</v>
      </c>
      <c r="D6" t="s">
        <v>35</v>
      </c>
      <c r="E6" t="s">
        <v>20</v>
      </c>
      <c r="F6" t="s">
        <v>21</v>
      </c>
      <c r="G6" t="s">
        <v>36</v>
      </c>
      <c r="H6" t="s">
        <v>23</v>
      </c>
      <c r="I6">
        <v>20250601</v>
      </c>
      <c r="J6">
        <v>20250607</v>
      </c>
      <c r="K6">
        <v>24.35</v>
      </c>
      <c r="L6" t="s">
        <v>27</v>
      </c>
      <c r="M6">
        <v>1</v>
      </c>
      <c r="N6" s="1">
        <v>22</v>
      </c>
      <c r="O6">
        <v>22</v>
      </c>
      <c r="P6" t="s">
        <v>23</v>
      </c>
    </row>
    <row r="7" spans="1:16" x14ac:dyDescent="0.25">
      <c r="A7" t="s">
        <v>37</v>
      </c>
      <c r="B7" t="s">
        <v>38</v>
      </c>
      <c r="C7" t="s">
        <v>18</v>
      </c>
      <c r="D7" t="s">
        <v>19</v>
      </c>
      <c r="E7" t="s">
        <v>20</v>
      </c>
      <c r="F7" t="s">
        <v>39</v>
      </c>
      <c r="G7" t="s">
        <v>22</v>
      </c>
      <c r="H7" t="s">
        <v>23</v>
      </c>
      <c r="I7">
        <v>20250601</v>
      </c>
      <c r="J7">
        <v>20250607</v>
      </c>
      <c r="K7">
        <v>1055.71</v>
      </c>
      <c r="L7" t="s">
        <v>27</v>
      </c>
      <c r="M7">
        <v>3</v>
      </c>
      <c r="N7" s="1">
        <v>20</v>
      </c>
      <c r="O7">
        <v>60</v>
      </c>
      <c r="P7" t="s">
        <v>23</v>
      </c>
    </row>
    <row r="8" spans="1:16" x14ac:dyDescent="0.25">
      <c r="A8" t="s">
        <v>40</v>
      </c>
      <c r="B8" t="s">
        <v>41</v>
      </c>
      <c r="C8" t="s">
        <v>18</v>
      </c>
      <c r="D8" t="s">
        <v>42</v>
      </c>
      <c r="E8" t="s">
        <v>20</v>
      </c>
      <c r="F8" t="s">
        <v>21</v>
      </c>
      <c r="G8" t="s">
        <v>22</v>
      </c>
      <c r="H8" t="s">
        <v>23</v>
      </c>
      <c r="I8">
        <v>20250601</v>
      </c>
      <c r="J8">
        <v>20250607</v>
      </c>
      <c r="K8">
        <v>226.1</v>
      </c>
      <c r="L8" t="s">
        <v>27</v>
      </c>
      <c r="M8">
        <v>1</v>
      </c>
      <c r="N8" s="1">
        <v>20</v>
      </c>
      <c r="O8">
        <v>20</v>
      </c>
      <c r="P8" t="s">
        <v>23</v>
      </c>
    </row>
    <row r="9" spans="1:16" x14ac:dyDescent="0.25">
      <c r="A9" t="s">
        <v>43</v>
      </c>
      <c r="B9" t="s">
        <v>44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>
        <v>20250501</v>
      </c>
      <c r="J9">
        <v>20250607</v>
      </c>
      <c r="K9">
        <v>0</v>
      </c>
      <c r="L9" t="s">
        <v>27</v>
      </c>
      <c r="M9">
        <v>1</v>
      </c>
      <c r="N9" s="1">
        <v>20</v>
      </c>
      <c r="O9">
        <v>20</v>
      </c>
      <c r="P9" t="s">
        <v>23</v>
      </c>
    </row>
    <row r="10" spans="1:16" x14ac:dyDescent="0.25">
      <c r="A10" t="s">
        <v>45</v>
      </c>
      <c r="B10" t="s">
        <v>46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>
        <v>20250501</v>
      </c>
      <c r="J10">
        <v>20250607</v>
      </c>
      <c r="K10">
        <v>0</v>
      </c>
      <c r="L10" t="s">
        <v>27</v>
      </c>
      <c r="M10">
        <v>1</v>
      </c>
      <c r="N10" s="1">
        <v>20</v>
      </c>
      <c r="O10">
        <v>20</v>
      </c>
      <c r="P10" t="s">
        <v>23</v>
      </c>
    </row>
    <row r="11" spans="1:16" x14ac:dyDescent="0.25">
      <c r="A11" t="s">
        <v>47</v>
      </c>
      <c r="B11" t="s">
        <v>48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20250601</v>
      </c>
      <c r="J11">
        <v>20250607</v>
      </c>
      <c r="K11">
        <v>689.46</v>
      </c>
      <c r="L11" t="s">
        <v>27</v>
      </c>
      <c r="M11">
        <v>1</v>
      </c>
      <c r="N11" s="1">
        <v>20</v>
      </c>
      <c r="O11">
        <v>20</v>
      </c>
      <c r="P11" t="s">
        <v>23</v>
      </c>
    </row>
    <row r="12" spans="1:16" x14ac:dyDescent="0.25">
      <c r="A12" t="s">
        <v>49</v>
      </c>
      <c r="B12" t="s">
        <v>50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>
        <v>20250501</v>
      </c>
      <c r="J12">
        <v>20250607</v>
      </c>
      <c r="K12">
        <v>0</v>
      </c>
      <c r="L12" t="s">
        <v>27</v>
      </c>
      <c r="M12">
        <v>1</v>
      </c>
      <c r="N12" s="1">
        <v>20</v>
      </c>
      <c r="O12">
        <v>20</v>
      </c>
      <c r="P12" t="s">
        <v>23</v>
      </c>
    </row>
    <row r="13" spans="1:16" x14ac:dyDescent="0.25">
      <c r="A13" t="s">
        <v>51</v>
      </c>
      <c r="B13" t="s">
        <v>52</v>
      </c>
      <c r="C13" t="s">
        <v>34</v>
      </c>
      <c r="D13" t="s">
        <v>35</v>
      </c>
      <c r="E13" t="s">
        <v>20</v>
      </c>
      <c r="F13" t="s">
        <v>21</v>
      </c>
      <c r="G13" t="s">
        <v>53</v>
      </c>
      <c r="H13" t="s">
        <v>23</v>
      </c>
      <c r="I13">
        <v>20250601</v>
      </c>
      <c r="J13">
        <v>20250607</v>
      </c>
      <c r="K13">
        <v>167.83</v>
      </c>
      <c r="L13" t="s">
        <v>27</v>
      </c>
      <c r="M13">
        <v>1</v>
      </c>
      <c r="N13" s="1">
        <v>25</v>
      </c>
      <c r="O13">
        <v>25</v>
      </c>
      <c r="P13" t="s">
        <v>23</v>
      </c>
    </row>
    <row r="14" spans="1:16" x14ac:dyDescent="0.25">
      <c r="A14" t="s">
        <v>54</v>
      </c>
      <c r="B14" t="s">
        <v>55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>
        <v>20250601</v>
      </c>
      <c r="J14">
        <v>20250607</v>
      </c>
      <c r="K14">
        <v>20.03</v>
      </c>
      <c r="L14" t="s">
        <v>27</v>
      </c>
      <c r="M14">
        <v>1</v>
      </c>
      <c r="N14" s="1">
        <v>20</v>
      </c>
      <c r="O14">
        <v>20</v>
      </c>
      <c r="P14" t="s">
        <v>23</v>
      </c>
    </row>
    <row r="15" spans="1:16" x14ac:dyDescent="0.25">
      <c r="A15" t="s">
        <v>56</v>
      </c>
      <c r="B15" t="s">
        <v>57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>
        <v>20250501</v>
      </c>
      <c r="J15">
        <v>20250607</v>
      </c>
      <c r="K15">
        <v>0</v>
      </c>
      <c r="L15" t="s">
        <v>27</v>
      </c>
      <c r="M15">
        <v>1</v>
      </c>
      <c r="N15" s="1">
        <v>20</v>
      </c>
      <c r="O15">
        <v>20</v>
      </c>
      <c r="P15" t="s">
        <v>23</v>
      </c>
    </row>
    <row r="16" spans="1:16" x14ac:dyDescent="0.25">
      <c r="A16" t="s">
        <v>58</v>
      </c>
      <c r="B16" t="s">
        <v>59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>
        <v>20250501</v>
      </c>
      <c r="J16">
        <v>20250607</v>
      </c>
      <c r="K16">
        <v>0</v>
      </c>
      <c r="L16" t="s">
        <v>27</v>
      </c>
      <c r="M16">
        <v>2</v>
      </c>
      <c r="N16" s="1">
        <v>20</v>
      </c>
      <c r="O16">
        <v>40</v>
      </c>
      <c r="P16" t="s">
        <v>23</v>
      </c>
    </row>
    <row r="17" spans="1:16" x14ac:dyDescent="0.25">
      <c r="A17" t="s">
        <v>60</v>
      </c>
      <c r="B17" t="s">
        <v>61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>
        <v>20250501</v>
      </c>
      <c r="J17">
        <v>20250607</v>
      </c>
      <c r="K17">
        <v>0</v>
      </c>
      <c r="L17" t="s">
        <v>27</v>
      </c>
      <c r="M17">
        <v>1</v>
      </c>
      <c r="N17" s="1">
        <v>20</v>
      </c>
      <c r="O17">
        <v>20</v>
      </c>
      <c r="P17" t="s">
        <v>23</v>
      </c>
    </row>
    <row r="18" spans="1:16" x14ac:dyDescent="0.25">
      <c r="A18" t="s">
        <v>62</v>
      </c>
      <c r="B18" t="s">
        <v>63</v>
      </c>
      <c r="C18" t="s">
        <v>18</v>
      </c>
      <c r="D18" t="s">
        <v>64</v>
      </c>
      <c r="E18" t="s">
        <v>20</v>
      </c>
      <c r="F18" t="s">
        <v>21</v>
      </c>
      <c r="G18" t="s">
        <v>65</v>
      </c>
      <c r="H18" t="s">
        <v>23</v>
      </c>
      <c r="I18">
        <v>20250601</v>
      </c>
      <c r="J18">
        <v>20250607</v>
      </c>
      <c r="K18">
        <v>26.86</v>
      </c>
      <c r="L18" t="s">
        <v>27</v>
      </c>
      <c r="M18">
        <v>1</v>
      </c>
      <c r="N18" s="1">
        <v>20</v>
      </c>
      <c r="O18">
        <v>20</v>
      </c>
      <c r="P18" t="s">
        <v>23</v>
      </c>
    </row>
    <row r="19" spans="1:16" x14ac:dyDescent="0.25">
      <c r="A19" t="s">
        <v>66</v>
      </c>
      <c r="B19" t="s">
        <v>67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>
        <v>20250601</v>
      </c>
      <c r="J19">
        <v>20250607</v>
      </c>
      <c r="K19">
        <v>340.44</v>
      </c>
      <c r="L19" t="s">
        <v>27</v>
      </c>
      <c r="M19">
        <v>1</v>
      </c>
      <c r="N19" s="1">
        <v>20</v>
      </c>
      <c r="O19">
        <v>20</v>
      </c>
      <c r="P19" t="s">
        <v>23</v>
      </c>
    </row>
    <row r="20" spans="1:16" x14ac:dyDescent="0.25">
      <c r="A20" t="s">
        <v>68</v>
      </c>
      <c r="B20" t="s">
        <v>69</v>
      </c>
      <c r="C20" t="s">
        <v>70</v>
      </c>
      <c r="D20" t="s">
        <v>71</v>
      </c>
      <c r="E20" t="s">
        <v>72</v>
      </c>
      <c r="F20" t="s">
        <v>21</v>
      </c>
      <c r="G20" t="s">
        <v>36</v>
      </c>
      <c r="H20" t="s">
        <v>23</v>
      </c>
      <c r="I20">
        <v>20250601</v>
      </c>
      <c r="J20">
        <v>20250607</v>
      </c>
      <c r="K20">
        <v>51.19</v>
      </c>
      <c r="L20" t="s">
        <v>23</v>
      </c>
      <c r="M20" t="s">
        <v>73</v>
      </c>
      <c r="N20" s="2">
        <v>0.1</v>
      </c>
      <c r="O20">
        <v>5.12</v>
      </c>
      <c r="P20" t="s">
        <v>23</v>
      </c>
    </row>
    <row r="21" spans="1:16" x14ac:dyDescent="0.25">
      <c r="A21" t="s">
        <v>74</v>
      </c>
      <c r="B21" t="s">
        <v>75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>
        <v>20250501</v>
      </c>
      <c r="J21">
        <v>20250607</v>
      </c>
      <c r="K21">
        <v>0</v>
      </c>
      <c r="L21" t="s">
        <v>27</v>
      </c>
      <c r="M21">
        <v>1</v>
      </c>
      <c r="N21" s="1">
        <v>20</v>
      </c>
      <c r="O21">
        <v>20</v>
      </c>
      <c r="P21" t="s">
        <v>23</v>
      </c>
    </row>
    <row r="22" spans="1:16" x14ac:dyDescent="0.25">
      <c r="A22" t="s">
        <v>76</v>
      </c>
      <c r="B22" t="s">
        <v>77</v>
      </c>
      <c r="C22" t="s">
        <v>18</v>
      </c>
      <c r="D22" t="s">
        <v>42</v>
      </c>
      <c r="E22" t="s">
        <v>20</v>
      </c>
      <c r="F22" t="s">
        <v>21</v>
      </c>
      <c r="G22" t="s">
        <v>22</v>
      </c>
      <c r="H22" t="s">
        <v>23</v>
      </c>
      <c r="I22">
        <v>20250601</v>
      </c>
      <c r="J22">
        <v>20250607</v>
      </c>
      <c r="K22">
        <v>231.32</v>
      </c>
      <c r="L22" t="s">
        <v>27</v>
      </c>
      <c r="M22">
        <v>1</v>
      </c>
      <c r="N22" s="1">
        <v>20</v>
      </c>
      <c r="O22">
        <v>20</v>
      </c>
      <c r="P22" t="s">
        <v>23</v>
      </c>
    </row>
    <row r="23" spans="1:16" x14ac:dyDescent="0.25">
      <c r="A23" t="s">
        <v>78</v>
      </c>
      <c r="B23" t="s">
        <v>79</v>
      </c>
      <c r="C23" t="s">
        <v>18</v>
      </c>
      <c r="D23" t="s">
        <v>42</v>
      </c>
      <c r="E23" t="s">
        <v>20</v>
      </c>
      <c r="F23" t="s">
        <v>21</v>
      </c>
      <c r="G23" t="s">
        <v>22</v>
      </c>
      <c r="H23" t="s">
        <v>23</v>
      </c>
      <c r="I23">
        <v>20250601</v>
      </c>
      <c r="J23">
        <v>20250607</v>
      </c>
      <c r="K23">
        <v>347.64</v>
      </c>
      <c r="L23" t="s">
        <v>27</v>
      </c>
      <c r="M23">
        <v>1</v>
      </c>
      <c r="N23" s="1">
        <v>20</v>
      </c>
      <c r="O23">
        <v>20</v>
      </c>
      <c r="P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CF3E-760A-4B88-A3D2-B7D6DE3966CA}">
  <dimension ref="A1:P23"/>
  <sheetViews>
    <sheetView tabSelected="1" workbookViewId="0">
      <selection activeCell="M2" sqref="M2:M23"/>
    </sheetView>
  </sheetViews>
  <sheetFormatPr defaultRowHeight="15" x14ac:dyDescent="0.25"/>
  <cols>
    <col min="1" max="1" width="12.7109375" bestFit="1" customWidth="1"/>
    <col min="2" max="2" width="12.7109375" customWidth="1"/>
    <col min="3" max="3" width="28" bestFit="1" customWidth="1"/>
    <col min="4" max="4" width="16.140625" bestFit="1" customWidth="1"/>
    <col min="5" max="5" width="20.85546875" bestFit="1" customWidth="1"/>
    <col min="6" max="6" width="20.85546875" customWidth="1"/>
    <col min="7" max="7" width="13.28515625" bestFit="1" customWidth="1"/>
    <col min="8" max="8" width="12" bestFit="1" customWidth="1"/>
    <col min="9" max="9" width="12" customWidth="1"/>
    <col min="10" max="11" width="15.85546875" customWidth="1"/>
    <col min="12" max="12" width="9" bestFit="1" customWidth="1"/>
    <col min="13" max="13" width="13.85546875" bestFit="1" customWidth="1"/>
    <col min="14" max="14" width="11" bestFit="1" customWidth="1"/>
    <col min="15" max="15" width="12.140625" bestFit="1" customWidth="1"/>
  </cols>
  <sheetData>
    <row r="1" spans="1:16" x14ac:dyDescent="0.25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6</v>
      </c>
      <c r="J1" t="s">
        <v>8</v>
      </c>
      <c r="L1" t="s">
        <v>10</v>
      </c>
      <c r="M1" t="s">
        <v>12</v>
      </c>
      <c r="N1" t="s">
        <v>13</v>
      </c>
      <c r="O1" t="s">
        <v>14</v>
      </c>
    </row>
    <row r="2" spans="1:16" x14ac:dyDescent="0.25">
      <c r="A2" t="s">
        <v>68</v>
      </c>
      <c r="B2" t="str">
        <f>CONCATENATE(A2,7)</f>
        <v>7Y95N87</v>
      </c>
      <c r="C2" t="s">
        <v>69</v>
      </c>
      <c r="D2" t="s">
        <v>70</v>
      </c>
      <c r="E2" t="s">
        <v>71</v>
      </c>
      <c r="F2" t="s">
        <v>87</v>
      </c>
      <c r="G2" t="s">
        <v>72</v>
      </c>
      <c r="H2" t="s">
        <v>36</v>
      </c>
      <c r="I2" s="3">
        <v>45658</v>
      </c>
      <c r="J2" s="4">
        <v>20250601</v>
      </c>
      <c r="K2" s="4" t="str">
        <f>TEXT(DATE(LEFT(J2,4), MID(J2,5,2), RIGHT(J2,2)), "M/d/yyyy")</f>
        <v>6/1/2025</v>
      </c>
      <c r="L2">
        <v>51.19</v>
      </c>
      <c r="M2" t="s">
        <v>73</v>
      </c>
      <c r="N2" s="2">
        <v>0.1</v>
      </c>
      <c r="O2">
        <v>5.12</v>
      </c>
      <c r="P2" t="s">
        <v>84</v>
      </c>
    </row>
    <row r="3" spans="1:16" x14ac:dyDescent="0.25">
      <c r="A3" t="s">
        <v>40</v>
      </c>
      <c r="B3" t="str">
        <f>CONCATENATE(A3,2)</f>
        <v>35ND952</v>
      </c>
      <c r="C3" t="s">
        <v>41</v>
      </c>
      <c r="D3" t="s">
        <v>18</v>
      </c>
      <c r="E3" t="s">
        <v>42</v>
      </c>
      <c r="F3">
        <v>16865615</v>
      </c>
      <c r="G3" t="s">
        <v>20</v>
      </c>
      <c r="H3" t="s">
        <v>22</v>
      </c>
      <c r="I3" s="3">
        <v>45658</v>
      </c>
      <c r="J3" s="4">
        <v>20250601</v>
      </c>
      <c r="K3" s="4" t="str">
        <f t="shared" ref="K3:K23" si="0">TEXT(DATE(LEFT(J3,4), MID(J3,5,2), RIGHT(J3,2)), "M/d/yyyy")</f>
        <v>6/1/2025</v>
      </c>
      <c r="L3">
        <v>1</v>
      </c>
      <c r="N3" s="1">
        <v>20</v>
      </c>
      <c r="O3">
        <v>20</v>
      </c>
      <c r="P3" t="s">
        <v>82</v>
      </c>
    </row>
    <row r="4" spans="1:16" x14ac:dyDescent="0.25">
      <c r="A4" t="s">
        <v>76</v>
      </c>
      <c r="B4" t="str">
        <f>CONCATENATE(A4,2)</f>
        <v>91MR972</v>
      </c>
      <c r="C4" t="s">
        <v>77</v>
      </c>
      <c r="D4" t="s">
        <v>18</v>
      </c>
      <c r="E4" t="s">
        <v>42</v>
      </c>
      <c r="F4">
        <v>16865615</v>
      </c>
      <c r="G4" t="s">
        <v>20</v>
      </c>
      <c r="H4" t="s">
        <v>22</v>
      </c>
      <c r="I4" s="3">
        <v>45658</v>
      </c>
      <c r="J4" s="4">
        <v>20250601</v>
      </c>
      <c r="K4" s="4" t="str">
        <f t="shared" si="0"/>
        <v>6/1/2025</v>
      </c>
      <c r="L4">
        <v>1</v>
      </c>
      <c r="N4" s="1">
        <v>20</v>
      </c>
      <c r="O4">
        <v>20</v>
      </c>
      <c r="P4" t="s">
        <v>82</v>
      </c>
    </row>
    <row r="5" spans="1:16" x14ac:dyDescent="0.25">
      <c r="A5" t="s">
        <v>78</v>
      </c>
      <c r="B5" t="str">
        <f>CONCATENATE(A5,2)</f>
        <v>99LN832</v>
      </c>
      <c r="C5" t="s">
        <v>79</v>
      </c>
      <c r="D5" t="s">
        <v>18</v>
      </c>
      <c r="E5" t="s">
        <v>42</v>
      </c>
      <c r="F5">
        <v>16865615</v>
      </c>
      <c r="G5" t="s">
        <v>20</v>
      </c>
      <c r="H5" t="s">
        <v>22</v>
      </c>
      <c r="I5" s="3">
        <v>45658</v>
      </c>
      <c r="J5" s="4">
        <v>20250601</v>
      </c>
      <c r="K5" s="4" t="str">
        <f t="shared" si="0"/>
        <v>6/1/2025</v>
      </c>
      <c r="L5">
        <v>1</v>
      </c>
      <c r="N5" s="1">
        <v>20</v>
      </c>
      <c r="O5">
        <v>20</v>
      </c>
      <c r="P5" t="s">
        <v>82</v>
      </c>
    </row>
    <row r="6" spans="1:16" x14ac:dyDescent="0.25">
      <c r="A6" t="s">
        <v>16</v>
      </c>
      <c r="B6" t="str">
        <f>CONCATENATE(A6,2)</f>
        <v>08M74D2</v>
      </c>
      <c r="C6" t="s">
        <v>17</v>
      </c>
      <c r="D6" t="s">
        <v>18</v>
      </c>
      <c r="E6" t="s">
        <v>19</v>
      </c>
      <c r="F6">
        <v>6634327</v>
      </c>
      <c r="G6" t="s">
        <v>20</v>
      </c>
      <c r="H6" t="s">
        <v>22</v>
      </c>
      <c r="I6" s="3">
        <v>45658</v>
      </c>
      <c r="J6" s="4">
        <v>20250501</v>
      </c>
      <c r="K6" s="4" t="str">
        <f t="shared" si="0"/>
        <v>5/1/2025</v>
      </c>
      <c r="L6">
        <v>1</v>
      </c>
      <c r="N6" s="1">
        <v>20</v>
      </c>
      <c r="O6">
        <v>20</v>
      </c>
      <c r="P6" t="s">
        <v>82</v>
      </c>
    </row>
    <row r="7" spans="1:16" x14ac:dyDescent="0.25">
      <c r="A7" t="s">
        <v>25</v>
      </c>
      <c r="B7" t="str">
        <f>CONCATENATE(A7,2)</f>
        <v>10M8K82</v>
      </c>
      <c r="C7" t="s">
        <v>26</v>
      </c>
      <c r="D7" t="s">
        <v>18</v>
      </c>
      <c r="E7" t="s">
        <v>19</v>
      </c>
      <c r="F7">
        <v>6634327</v>
      </c>
      <c r="G7" t="s">
        <v>20</v>
      </c>
      <c r="H7" t="s">
        <v>22</v>
      </c>
      <c r="I7" s="3">
        <v>45658</v>
      </c>
      <c r="J7" s="4">
        <v>20250501</v>
      </c>
      <c r="K7" s="4" t="str">
        <f t="shared" si="0"/>
        <v>5/1/2025</v>
      </c>
      <c r="L7">
        <v>1</v>
      </c>
      <c r="N7" s="1">
        <v>20</v>
      </c>
      <c r="O7">
        <v>20</v>
      </c>
      <c r="P7" t="s">
        <v>82</v>
      </c>
    </row>
    <row r="8" spans="1:16" x14ac:dyDescent="0.25">
      <c r="A8" t="s">
        <v>28</v>
      </c>
      <c r="B8" t="str">
        <f>CONCATENATE(A8,2)</f>
        <v>17M71Y2</v>
      </c>
      <c r="C8" t="s">
        <v>29</v>
      </c>
      <c r="D8" t="s">
        <v>18</v>
      </c>
      <c r="E8" t="s">
        <v>19</v>
      </c>
      <c r="F8">
        <v>6634327</v>
      </c>
      <c r="G8" t="s">
        <v>20</v>
      </c>
      <c r="H8" t="s">
        <v>22</v>
      </c>
      <c r="I8" s="3">
        <v>45658</v>
      </c>
      <c r="J8" s="4">
        <v>20250601</v>
      </c>
      <c r="K8" s="4" t="str">
        <f t="shared" si="0"/>
        <v>6/1/2025</v>
      </c>
      <c r="L8">
        <v>1</v>
      </c>
      <c r="N8" s="1">
        <v>20</v>
      </c>
      <c r="O8">
        <v>20</v>
      </c>
      <c r="P8" t="s">
        <v>82</v>
      </c>
    </row>
    <row r="9" spans="1:16" x14ac:dyDescent="0.25">
      <c r="A9" t="s">
        <v>30</v>
      </c>
      <c r="B9" t="str">
        <f>CONCATENATE(A9,2)</f>
        <v>23M79D2</v>
      </c>
      <c r="C9" t="s">
        <v>31</v>
      </c>
      <c r="D9" t="s">
        <v>18</v>
      </c>
      <c r="E9" t="s">
        <v>19</v>
      </c>
      <c r="F9">
        <v>6634327</v>
      </c>
      <c r="G9" t="s">
        <v>20</v>
      </c>
      <c r="H9" t="s">
        <v>22</v>
      </c>
      <c r="I9" s="3">
        <v>45658</v>
      </c>
      <c r="J9" s="4">
        <v>20250601</v>
      </c>
      <c r="K9" s="4" t="str">
        <f t="shared" si="0"/>
        <v>6/1/2025</v>
      </c>
      <c r="L9">
        <v>1</v>
      </c>
      <c r="N9" s="1">
        <v>20</v>
      </c>
      <c r="O9">
        <v>20</v>
      </c>
      <c r="P9" t="s">
        <v>82</v>
      </c>
    </row>
    <row r="10" spans="1:16" x14ac:dyDescent="0.25">
      <c r="A10" t="s">
        <v>43</v>
      </c>
      <c r="B10" t="str">
        <f>CONCATENATE(A10,2)</f>
        <v>36M6M72</v>
      </c>
      <c r="C10" t="s">
        <v>44</v>
      </c>
      <c r="D10" t="s">
        <v>18</v>
      </c>
      <c r="E10" t="s">
        <v>19</v>
      </c>
      <c r="F10">
        <v>6634327</v>
      </c>
      <c r="G10" t="s">
        <v>20</v>
      </c>
      <c r="H10" t="s">
        <v>22</v>
      </c>
      <c r="I10" s="3">
        <v>45658</v>
      </c>
      <c r="J10" s="4">
        <v>20250501</v>
      </c>
      <c r="K10" s="4" t="str">
        <f t="shared" si="0"/>
        <v>5/1/2025</v>
      </c>
      <c r="L10">
        <v>1</v>
      </c>
      <c r="N10" s="1">
        <v>20</v>
      </c>
      <c r="O10">
        <v>20</v>
      </c>
      <c r="P10" t="s">
        <v>82</v>
      </c>
    </row>
    <row r="11" spans="1:16" x14ac:dyDescent="0.25">
      <c r="A11" t="s">
        <v>45</v>
      </c>
      <c r="B11" t="str">
        <f>CONCATENATE(A11,2)</f>
        <v>36MP652</v>
      </c>
      <c r="C11" t="s">
        <v>46</v>
      </c>
      <c r="D11" t="s">
        <v>18</v>
      </c>
      <c r="E11" t="s">
        <v>19</v>
      </c>
      <c r="F11">
        <v>6634327</v>
      </c>
      <c r="G11" t="s">
        <v>20</v>
      </c>
      <c r="H11" t="s">
        <v>22</v>
      </c>
      <c r="I11" s="3">
        <v>45658</v>
      </c>
      <c r="J11" s="4">
        <v>20250501</v>
      </c>
      <c r="K11" s="4" t="str">
        <f t="shared" si="0"/>
        <v>5/1/2025</v>
      </c>
      <c r="L11">
        <v>1</v>
      </c>
      <c r="N11" s="1">
        <v>20</v>
      </c>
      <c r="O11">
        <v>20</v>
      </c>
      <c r="P11" t="s">
        <v>82</v>
      </c>
    </row>
    <row r="12" spans="1:16" x14ac:dyDescent="0.25">
      <c r="A12" t="s">
        <v>47</v>
      </c>
      <c r="B12" t="str">
        <f>CONCATENATE(A12,2)</f>
        <v>39M88D2</v>
      </c>
      <c r="C12" t="s">
        <v>48</v>
      </c>
      <c r="D12" t="s">
        <v>18</v>
      </c>
      <c r="E12" t="s">
        <v>19</v>
      </c>
      <c r="F12">
        <v>6634327</v>
      </c>
      <c r="G12" t="s">
        <v>20</v>
      </c>
      <c r="H12" t="s">
        <v>22</v>
      </c>
      <c r="I12" s="3">
        <v>45658</v>
      </c>
      <c r="J12" s="4">
        <v>20250601</v>
      </c>
      <c r="K12" s="4" t="str">
        <f t="shared" si="0"/>
        <v>6/1/2025</v>
      </c>
      <c r="L12">
        <v>1</v>
      </c>
      <c r="N12" s="1">
        <v>20</v>
      </c>
      <c r="O12">
        <v>20</v>
      </c>
      <c r="P12" t="s">
        <v>82</v>
      </c>
    </row>
    <row r="13" spans="1:16" x14ac:dyDescent="0.25">
      <c r="A13" t="s">
        <v>49</v>
      </c>
      <c r="B13" t="str">
        <f>CONCATENATE(A13,2)</f>
        <v>47M59G2</v>
      </c>
      <c r="C13" t="s">
        <v>50</v>
      </c>
      <c r="D13" t="s">
        <v>18</v>
      </c>
      <c r="E13" t="s">
        <v>19</v>
      </c>
      <c r="F13">
        <v>6634327</v>
      </c>
      <c r="G13" t="s">
        <v>20</v>
      </c>
      <c r="H13" t="s">
        <v>22</v>
      </c>
      <c r="I13" s="3">
        <v>45658</v>
      </c>
      <c r="J13" s="4">
        <v>20250501</v>
      </c>
      <c r="K13" s="4" t="str">
        <f t="shared" si="0"/>
        <v>5/1/2025</v>
      </c>
      <c r="L13">
        <v>1</v>
      </c>
      <c r="N13" s="1">
        <v>20</v>
      </c>
      <c r="O13">
        <v>20</v>
      </c>
      <c r="P13" t="s">
        <v>82</v>
      </c>
    </row>
    <row r="14" spans="1:16" x14ac:dyDescent="0.25">
      <c r="A14" t="s">
        <v>54</v>
      </c>
      <c r="B14" t="str">
        <f>CONCATENATE(A14,2)</f>
        <v>56M32E2</v>
      </c>
      <c r="C14" t="s">
        <v>55</v>
      </c>
      <c r="D14" t="s">
        <v>18</v>
      </c>
      <c r="E14" t="s">
        <v>19</v>
      </c>
      <c r="F14">
        <v>6634327</v>
      </c>
      <c r="G14" t="s">
        <v>20</v>
      </c>
      <c r="H14" t="s">
        <v>22</v>
      </c>
      <c r="I14" s="3">
        <v>45658</v>
      </c>
      <c r="J14" s="4">
        <v>20250601</v>
      </c>
      <c r="K14" s="4" t="str">
        <f t="shared" si="0"/>
        <v>6/1/2025</v>
      </c>
      <c r="L14">
        <v>1</v>
      </c>
      <c r="N14" s="1">
        <v>20</v>
      </c>
      <c r="O14">
        <v>20</v>
      </c>
      <c r="P14" t="s">
        <v>82</v>
      </c>
    </row>
    <row r="15" spans="1:16" x14ac:dyDescent="0.25">
      <c r="A15" t="s">
        <v>56</v>
      </c>
      <c r="B15" t="str">
        <f>CONCATENATE(A15,2)</f>
        <v>61NC972</v>
      </c>
      <c r="C15" t="s">
        <v>57</v>
      </c>
      <c r="D15" t="s">
        <v>18</v>
      </c>
      <c r="E15" t="s">
        <v>19</v>
      </c>
      <c r="F15">
        <v>6634327</v>
      </c>
      <c r="G15" t="s">
        <v>20</v>
      </c>
      <c r="H15" t="s">
        <v>22</v>
      </c>
      <c r="I15" s="3">
        <v>45658</v>
      </c>
      <c r="J15" s="4">
        <v>20250501</v>
      </c>
      <c r="K15" s="4" t="str">
        <f t="shared" si="0"/>
        <v>5/1/2025</v>
      </c>
      <c r="L15">
        <v>1</v>
      </c>
      <c r="N15" s="1">
        <v>20</v>
      </c>
      <c r="O15">
        <v>20</v>
      </c>
      <c r="P15" t="s">
        <v>82</v>
      </c>
    </row>
    <row r="16" spans="1:16" x14ac:dyDescent="0.25">
      <c r="A16" t="s">
        <v>60</v>
      </c>
      <c r="B16" t="str">
        <f>CONCATENATE(A16,2)</f>
        <v>62NC362</v>
      </c>
      <c r="C16" t="s">
        <v>61</v>
      </c>
      <c r="D16" t="s">
        <v>18</v>
      </c>
      <c r="E16" t="s">
        <v>19</v>
      </c>
      <c r="F16">
        <v>6634327</v>
      </c>
      <c r="G16" t="s">
        <v>20</v>
      </c>
      <c r="H16" t="s">
        <v>22</v>
      </c>
      <c r="I16" s="3">
        <v>45658</v>
      </c>
      <c r="J16" s="4">
        <v>20250501</v>
      </c>
      <c r="K16" s="4" t="str">
        <f t="shared" si="0"/>
        <v>5/1/2025</v>
      </c>
      <c r="L16">
        <v>1</v>
      </c>
      <c r="N16" s="1">
        <v>20</v>
      </c>
      <c r="O16">
        <v>20</v>
      </c>
      <c r="P16" t="s">
        <v>82</v>
      </c>
    </row>
    <row r="17" spans="1:16" x14ac:dyDescent="0.25">
      <c r="A17" t="s">
        <v>66</v>
      </c>
      <c r="B17" t="str">
        <f>CONCATENATE(A17,2)</f>
        <v>70MB722</v>
      </c>
      <c r="C17" t="s">
        <v>67</v>
      </c>
      <c r="D17" t="s">
        <v>18</v>
      </c>
      <c r="E17" t="s">
        <v>19</v>
      </c>
      <c r="F17">
        <v>6634327</v>
      </c>
      <c r="G17" t="s">
        <v>20</v>
      </c>
      <c r="H17" t="s">
        <v>22</v>
      </c>
      <c r="I17" s="3">
        <v>45658</v>
      </c>
      <c r="J17" s="4">
        <v>20250601</v>
      </c>
      <c r="K17" s="4" t="str">
        <f t="shared" si="0"/>
        <v>6/1/2025</v>
      </c>
      <c r="L17">
        <v>1</v>
      </c>
      <c r="N17" s="1">
        <v>20</v>
      </c>
      <c r="O17">
        <v>20</v>
      </c>
      <c r="P17" t="s">
        <v>82</v>
      </c>
    </row>
    <row r="18" spans="1:16" x14ac:dyDescent="0.25">
      <c r="A18" t="s">
        <v>74</v>
      </c>
      <c r="B18" t="str">
        <f>CONCATENATE(A18,2)</f>
        <v>85NN122</v>
      </c>
      <c r="C18" t="s">
        <v>75</v>
      </c>
      <c r="D18" t="s">
        <v>18</v>
      </c>
      <c r="E18" t="s">
        <v>19</v>
      </c>
      <c r="F18">
        <v>6634327</v>
      </c>
      <c r="G18" t="s">
        <v>20</v>
      </c>
      <c r="H18" t="s">
        <v>22</v>
      </c>
      <c r="I18" s="3">
        <v>45658</v>
      </c>
      <c r="J18" s="4">
        <v>20250501</v>
      </c>
      <c r="K18" s="4" t="str">
        <f t="shared" si="0"/>
        <v>5/1/2025</v>
      </c>
      <c r="L18">
        <v>1</v>
      </c>
      <c r="N18" s="1">
        <v>20</v>
      </c>
      <c r="O18">
        <v>20</v>
      </c>
      <c r="P18" t="s">
        <v>82</v>
      </c>
    </row>
    <row r="19" spans="1:16" x14ac:dyDescent="0.25">
      <c r="A19" t="s">
        <v>58</v>
      </c>
      <c r="B19" t="str">
        <f>CONCATENATE(A19,2)</f>
        <v>62NC242</v>
      </c>
      <c r="C19" t="s">
        <v>59</v>
      </c>
      <c r="D19" t="s">
        <v>18</v>
      </c>
      <c r="E19" t="s">
        <v>19</v>
      </c>
      <c r="F19">
        <v>6634327</v>
      </c>
      <c r="G19" t="s">
        <v>20</v>
      </c>
      <c r="H19" t="s">
        <v>22</v>
      </c>
      <c r="I19" s="3">
        <v>45658</v>
      </c>
      <c r="J19" s="4">
        <v>20250501</v>
      </c>
      <c r="K19" s="4" t="str">
        <f t="shared" si="0"/>
        <v>5/1/2025</v>
      </c>
      <c r="L19">
        <v>1</v>
      </c>
      <c r="M19" t="s">
        <v>80</v>
      </c>
      <c r="N19" s="1">
        <v>20</v>
      </c>
      <c r="O19">
        <v>40</v>
      </c>
      <c r="P19" t="s">
        <v>82</v>
      </c>
    </row>
    <row r="20" spans="1:16" x14ac:dyDescent="0.25">
      <c r="A20" t="s">
        <v>37</v>
      </c>
      <c r="B20" t="str">
        <f>CONCATENATE(A20,2)</f>
        <v>32M8H82</v>
      </c>
      <c r="C20" t="s">
        <v>38</v>
      </c>
      <c r="D20" t="s">
        <v>18</v>
      </c>
      <c r="E20" t="s">
        <v>19</v>
      </c>
      <c r="F20">
        <v>6634327</v>
      </c>
      <c r="G20" t="s">
        <v>20</v>
      </c>
      <c r="H20" t="s">
        <v>22</v>
      </c>
      <c r="I20" s="3">
        <v>45658</v>
      </c>
      <c r="J20" s="4">
        <v>20250601</v>
      </c>
      <c r="K20" s="4" t="str">
        <f t="shared" si="0"/>
        <v>6/1/2025</v>
      </c>
      <c r="L20">
        <v>1</v>
      </c>
      <c r="M20" t="s">
        <v>81</v>
      </c>
      <c r="N20" s="1">
        <v>20</v>
      </c>
      <c r="O20">
        <v>60</v>
      </c>
      <c r="P20" t="s">
        <v>82</v>
      </c>
    </row>
    <row r="21" spans="1:16" x14ac:dyDescent="0.25">
      <c r="A21" t="s">
        <v>32</v>
      </c>
      <c r="B21" t="str">
        <f>CONCATENATE(A21,2)</f>
        <v>24N58N2</v>
      </c>
      <c r="C21" t="s">
        <v>33</v>
      </c>
      <c r="D21" t="s">
        <v>34</v>
      </c>
      <c r="E21" t="s">
        <v>35</v>
      </c>
      <c r="F21">
        <v>1706194</v>
      </c>
      <c r="G21" t="s">
        <v>20</v>
      </c>
      <c r="H21" t="s">
        <v>36</v>
      </c>
      <c r="I21" s="3">
        <v>45658</v>
      </c>
      <c r="J21" s="4">
        <v>20250601</v>
      </c>
      <c r="K21" s="4" t="str">
        <f t="shared" si="0"/>
        <v>6/1/2025</v>
      </c>
      <c r="L21">
        <v>1</v>
      </c>
      <c r="N21" s="1">
        <v>22</v>
      </c>
      <c r="O21">
        <v>22</v>
      </c>
      <c r="P21" t="s">
        <v>83</v>
      </c>
    </row>
    <row r="22" spans="1:16" x14ac:dyDescent="0.25">
      <c r="A22" t="s">
        <v>51</v>
      </c>
      <c r="B22" t="str">
        <f>CONCATENATE(A22,2)</f>
        <v>56L91L2</v>
      </c>
      <c r="C22" t="s">
        <v>52</v>
      </c>
      <c r="D22" t="s">
        <v>34</v>
      </c>
      <c r="E22" t="s">
        <v>35</v>
      </c>
      <c r="F22">
        <v>1706194</v>
      </c>
      <c r="G22" t="s">
        <v>20</v>
      </c>
      <c r="H22" t="s">
        <v>53</v>
      </c>
      <c r="I22" s="3">
        <v>45658</v>
      </c>
      <c r="J22" s="4">
        <v>20250601</v>
      </c>
      <c r="K22" s="4" t="str">
        <f t="shared" si="0"/>
        <v>6/1/2025</v>
      </c>
      <c r="L22">
        <v>1</v>
      </c>
      <c r="N22" s="1">
        <v>25</v>
      </c>
      <c r="O22">
        <v>25</v>
      </c>
      <c r="P22" t="s">
        <v>86</v>
      </c>
    </row>
    <row r="23" spans="1:16" x14ac:dyDescent="0.25">
      <c r="A23" t="s">
        <v>62</v>
      </c>
      <c r="B23" t="str">
        <f>CONCATENATE(A23,2)</f>
        <v>69CK842</v>
      </c>
      <c r="C23" t="s">
        <v>63</v>
      </c>
      <c r="D23" t="s">
        <v>18</v>
      </c>
      <c r="E23" t="s">
        <v>64</v>
      </c>
      <c r="F23">
        <v>18010408</v>
      </c>
      <c r="G23" t="s">
        <v>20</v>
      </c>
      <c r="H23" t="s">
        <v>65</v>
      </c>
      <c r="I23" s="3">
        <v>45658</v>
      </c>
      <c r="J23" s="4">
        <v>20250601</v>
      </c>
      <c r="K23" s="4" t="str">
        <f t="shared" si="0"/>
        <v>6/1/2025</v>
      </c>
      <c r="L23">
        <v>1</v>
      </c>
      <c r="N23" s="1">
        <v>20</v>
      </c>
      <c r="O23">
        <v>20</v>
      </c>
      <c r="P23" t="s">
        <v>85</v>
      </c>
    </row>
  </sheetData>
  <sortState xmlns:xlrd2="http://schemas.microsoft.com/office/spreadsheetml/2017/richdata2" ref="A2:T23">
    <sortCondition ref="E2:E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export-554662-20250607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2025-06-12T16:02:34Z</dcterms:created>
  <dcterms:modified xsi:type="dcterms:W3CDTF">2025-06-17T13:15:42Z</dcterms:modified>
</cp:coreProperties>
</file>