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3-22-25\"/>
    </mc:Choice>
  </mc:AlternateContent>
  <xr:revisionPtr revIDLastSave="0" documentId="8_{CCC959FE-68C6-4892-8E00-E1E121C50354}" xr6:coauthVersionLast="47" xr6:coauthVersionMax="47" xr10:uidLastSave="{00000000-0000-0000-0000-000000000000}"/>
  <bookViews>
    <workbookView xWindow="28680" yWindow="-120" windowWidth="29040" windowHeight="16440" activeTab="1" xr2:uid="{4291C746-F114-420E-9E4B-70672E9AD40D}"/>
  </bookViews>
  <sheets>
    <sheet name="export-554662-20250322" sheetId="1" r:id="rId1"/>
    <sheet name="Cigna ACA 3-22-25" sheetId="2" r:id="rId2"/>
  </sheets>
  <calcPr calcId="0"/>
</workbook>
</file>

<file path=xl/calcChain.xml><?xml version="1.0" encoding="utf-8"?>
<calcChain xmlns="http://schemas.openxmlformats.org/spreadsheetml/2006/main">
  <c r="B4" i="2" l="1"/>
  <c r="B5" i="2"/>
  <c r="B3" i="2"/>
</calcChain>
</file>

<file path=xl/sharedStrings.xml><?xml version="1.0" encoding="utf-8"?>
<sst xmlns="http://schemas.openxmlformats.org/spreadsheetml/2006/main" count="123" uniqueCount="39">
  <si>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</si>
  <si>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</si>
  <si>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</si>
  <si>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</si>
  <si>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</si>
  <si>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</si>
  <si>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</si>
  <si>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</si>
  <si>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</si>
  <si>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</si>
  <si>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</si>
  <si>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</si>
  <si>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</si>
  <si>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</si>
  <si>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</si>
  <si>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</si>
  <si>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0W486R</t>
  </si>
  <si>
    <t>MARTIN, BENNY</t>
  </si>
  <si>
    <t>Medical, HMO1</t>
  </si>
  <si>
    <t>ASHLEY TEIPEL</t>
  </si>
  <si>
    <t>PMPM</t>
  </si>
  <si>
    <t xml:space="preserve">S, </t>
  </si>
  <si>
    <t>TX</t>
  </si>
  <si>
    <t>null</t>
  </si>
  <si>
    <t>X, SP</t>
  </si>
  <si>
    <t>36H0M7</t>
  </si>
  <si>
    <t>BALAWAJDER, TERESA</t>
  </si>
  <si>
    <t>Dental, IVDPPO</t>
  </si>
  <si>
    <t>CAROL FOLEY</t>
  </si>
  <si>
    <t>% of Premium</t>
  </si>
  <si>
    <t>PA</t>
  </si>
  <si>
    <t xml:space="preserve"> </t>
  </si>
  <si>
    <t>79A4G5</t>
  </si>
  <si>
    <t>SMITH, KRISTIN</t>
  </si>
  <si>
    <t>82JG05</t>
  </si>
  <si>
    <t>JACKSON, CATHERINE</t>
  </si>
  <si>
    <t>Cigna - TX</t>
  </si>
  <si>
    <t>Cigna Dental</t>
  </si>
  <si>
    <t>Cigna DVH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</si>
</sst>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A9E2-5466-4EA8-9853-ECED5CBDEA3B}">
  <dimension ref="A1:P5"/>
  <sheetViews>
    <sheetView workbookViewId="0">
      <selection sqref="A1:XFD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20250301</v>
      </c>
      <c r="J2">
        <v>20250322</v>
      </c>
      <c r="K2">
        <v>0</v>
      </c>
      <c r="L2" t="s">
        <v>24</v>
      </c>
      <c r="M2">
        <v>2</v>
      </c>
      <c r="N2" s="1">
        <v>25</v>
      </c>
      <c r="O2">
        <v>50</v>
      </c>
      <c r="P2" t="s">
        <v>23</v>
      </c>
    </row>
    <row r="3" spans="1:16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21</v>
      </c>
      <c r="G3" t="s">
        <v>30</v>
      </c>
      <c r="H3" t="s">
        <v>23</v>
      </c>
      <c r="I3">
        <v>20250301</v>
      </c>
      <c r="J3">
        <v>20250322</v>
      </c>
      <c r="K3">
        <v>79.55</v>
      </c>
      <c r="L3" t="s">
        <v>23</v>
      </c>
      <c r="M3" t="s">
        <v>31</v>
      </c>
      <c r="N3" s="2">
        <v>0.1</v>
      </c>
      <c r="O3">
        <v>7.96</v>
      </c>
      <c r="P3" t="s">
        <v>23</v>
      </c>
    </row>
    <row r="4" spans="1:16" x14ac:dyDescent="0.25">
      <c r="A4" t="s">
        <v>32</v>
      </c>
      <c r="B4" t="s">
        <v>33</v>
      </c>
      <c r="C4" t="s">
        <v>27</v>
      </c>
      <c r="D4" t="s">
        <v>28</v>
      </c>
      <c r="E4" t="s">
        <v>29</v>
      </c>
      <c r="F4" t="s">
        <v>21</v>
      </c>
      <c r="G4" t="s">
        <v>30</v>
      </c>
      <c r="H4" t="s">
        <v>23</v>
      </c>
      <c r="I4">
        <v>20250301</v>
      </c>
      <c r="J4">
        <v>20250322</v>
      </c>
      <c r="K4">
        <v>114.31</v>
      </c>
      <c r="L4" t="s">
        <v>23</v>
      </c>
      <c r="M4" t="s">
        <v>31</v>
      </c>
      <c r="N4" s="2">
        <v>0.1</v>
      </c>
      <c r="O4">
        <v>11.43</v>
      </c>
      <c r="P4" t="s">
        <v>23</v>
      </c>
    </row>
    <row r="5" spans="1:16" x14ac:dyDescent="0.25">
      <c r="A5" t="s">
        <v>34</v>
      </c>
      <c r="B5" t="s">
        <v>35</v>
      </c>
      <c r="C5" t="s">
        <v>27</v>
      </c>
      <c r="D5" t="s">
        <v>28</v>
      </c>
      <c r="E5" t="s">
        <v>29</v>
      </c>
      <c r="F5" t="s">
        <v>21</v>
      </c>
      <c r="G5" t="s">
        <v>30</v>
      </c>
      <c r="H5" t="s">
        <v>23</v>
      </c>
      <c r="I5">
        <v>20250301</v>
      </c>
      <c r="J5">
        <v>20250322</v>
      </c>
      <c r="K5">
        <v>85.15</v>
      </c>
      <c r="L5" t="s">
        <v>23</v>
      </c>
      <c r="M5" t="s">
        <v>31</v>
      </c>
      <c r="N5" s="2">
        <v>0.2</v>
      </c>
      <c r="O5">
        <v>17.03</v>
      </c>
      <c r="P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BAE2-6E72-4A41-8008-4C1C4D8A90D4}">
  <dimension ref="A1:S5"/>
  <sheetViews>
    <sheetView tabSelected="1" workbookViewId="0">
      <selection activeCell="G20" sqref="G20"/>
    </sheetView>
  </sheetViews>
  <sheetFormatPr defaultRowHeight="15" x14ac:dyDescent="0.25"/>
  <cols>
    <col min="1" max="1" width="12.5703125" bestFit="1" customWidth="1"/>
    <col min="2" max="2" width="12.5703125" customWidth="1"/>
    <col min="3" max="3" width="20.5703125" bestFit="1" customWidth="1"/>
    <col min="4" max="4" width="14.85546875" bestFit="1" customWidth="1"/>
    <col min="5" max="5" width="13.5703125" bestFit="1" customWidth="1"/>
    <col min="6" max="6" width="13.5703125" customWidth="1"/>
    <col min="7" max="7" width="13.5703125" bestFit="1" customWidth="1"/>
    <col min="8" max="8" width="24.42578125" bestFit="1" customWidth="1"/>
    <col min="9" max="9" width="12.5703125" bestFit="1" customWidth="1"/>
    <col min="10" max="10" width="16.85546875" bestFit="1" customWidth="1"/>
    <col min="11" max="11" width="12.5703125" bestFit="1" customWidth="1"/>
    <col min="12" max="12" width="25.140625" bestFit="1" customWidth="1"/>
    <col min="14" max="14" width="5.5703125" bestFit="1" customWidth="1"/>
    <col min="15" max="15" width="14.42578125" bestFit="1" customWidth="1"/>
    <col min="16" max="16" width="11.140625" bestFit="1" customWidth="1"/>
    <col min="17" max="17" width="11.85546875" bestFit="1" customWidth="1"/>
    <col min="18" max="18" width="10.5703125" bestFit="1" customWidth="1"/>
  </cols>
  <sheetData>
    <row r="1" spans="1:19" x14ac:dyDescent="0.25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9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>
        <v>20436925</v>
      </c>
      <c r="G2" t="s">
        <v>20</v>
      </c>
      <c r="H2" t="s">
        <v>21</v>
      </c>
      <c r="I2" t="s">
        <v>22</v>
      </c>
      <c r="J2" t="s">
        <v>23</v>
      </c>
      <c r="K2">
        <v>20250301</v>
      </c>
      <c r="L2">
        <v>20250322</v>
      </c>
      <c r="M2">
        <v>0</v>
      </c>
      <c r="N2" t="s">
        <v>24</v>
      </c>
      <c r="O2">
        <v>2</v>
      </c>
      <c r="P2" s="1">
        <v>25</v>
      </c>
      <c r="Q2">
        <v>50</v>
      </c>
      <c r="R2" t="s">
        <v>23</v>
      </c>
      <c r="S2" t="s">
        <v>36</v>
      </c>
    </row>
    <row r="3" spans="1:19" x14ac:dyDescent="0.25">
      <c r="A3" t="s">
        <v>25</v>
      </c>
      <c r="B3" t="str">
        <f>CONCATENATE(A3,7)</f>
        <v>36H0M77</v>
      </c>
      <c r="C3" t="s">
        <v>26</v>
      </c>
      <c r="D3" t="s">
        <v>27</v>
      </c>
      <c r="E3" t="s">
        <v>28</v>
      </c>
      <c r="F3">
        <v>17425766</v>
      </c>
      <c r="G3" t="s">
        <v>29</v>
      </c>
      <c r="H3" t="s">
        <v>21</v>
      </c>
      <c r="I3" t="s">
        <v>30</v>
      </c>
      <c r="J3" t="s">
        <v>23</v>
      </c>
      <c r="K3">
        <v>20250301</v>
      </c>
      <c r="L3">
        <v>20250322</v>
      </c>
      <c r="M3">
        <v>79.55</v>
      </c>
      <c r="N3" t="s">
        <v>23</v>
      </c>
      <c r="O3" t="s">
        <v>31</v>
      </c>
      <c r="P3" s="2">
        <v>0.1</v>
      </c>
      <c r="Q3">
        <v>7.96</v>
      </c>
      <c r="R3" t="s">
        <v>23</v>
      </c>
      <c r="S3" t="s">
        <v>37</v>
      </c>
    </row>
    <row r="4" spans="1:19" x14ac:dyDescent="0.25">
      <c r="A4" t="s">
        <v>32</v>
      </c>
      <c r="B4" t="str">
        <f t="shared" ref="B4:B5" si="0">CONCATENATE(A4,7)</f>
        <v>79A4G57</v>
      </c>
      <c r="C4" t="s">
        <v>33</v>
      </c>
      <c r="D4" t="s">
        <v>27</v>
      </c>
      <c r="E4" t="s">
        <v>28</v>
      </c>
      <c r="F4">
        <v>17425766</v>
      </c>
      <c r="G4" t="s">
        <v>29</v>
      </c>
      <c r="H4" t="s">
        <v>21</v>
      </c>
      <c r="I4" t="s">
        <v>30</v>
      </c>
      <c r="J4" t="s">
        <v>23</v>
      </c>
      <c r="K4">
        <v>20250301</v>
      </c>
      <c r="L4">
        <v>20250322</v>
      </c>
      <c r="M4">
        <v>114.31</v>
      </c>
      <c r="N4" t="s">
        <v>23</v>
      </c>
      <c r="O4" t="s">
        <v>31</v>
      </c>
      <c r="P4" s="2">
        <v>0.1</v>
      </c>
      <c r="Q4">
        <v>11.43</v>
      </c>
      <c r="R4" t="s">
        <v>23</v>
      </c>
      <c r="S4" t="s">
        <v>37</v>
      </c>
    </row>
    <row r="5" spans="1:19" x14ac:dyDescent="0.25">
      <c r="A5" t="s">
        <v>34</v>
      </c>
      <c r="B5" t="str">
        <f t="shared" si="0"/>
        <v>82JG057</v>
      </c>
      <c r="C5" t="s">
        <v>35</v>
      </c>
      <c r="D5" t="s">
        <v>27</v>
      </c>
      <c r="E5" t="s">
        <v>28</v>
      </c>
      <c r="F5">
        <v>17425766</v>
      </c>
      <c r="G5" t="s">
        <v>29</v>
      </c>
      <c r="H5" t="s">
        <v>21</v>
      </c>
      <c r="I5" t="s">
        <v>30</v>
      </c>
      <c r="J5" t="s">
        <v>23</v>
      </c>
      <c r="K5">
        <v>20250301</v>
      </c>
      <c r="L5">
        <v>20250322</v>
      </c>
      <c r="M5">
        <v>85.15</v>
      </c>
      <c r="N5" t="s">
        <v>23</v>
      </c>
      <c r="O5" t="s">
        <v>31</v>
      </c>
      <c r="P5" s="2">
        <v>0.2</v>
      </c>
      <c r="Q5">
        <v>17.03</v>
      </c>
      <c r="R5" t="s">
        <v>23</v>
      </c>
      <c r="S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export-554662-20250322</vt:lpstr>
      <vt:lpstr>Cigna ACA 3-22-25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2025-03-24T14:56:05Z</dcterms:created>
  <dcterms:modified xsi:type="dcterms:W3CDTF">2025-03-24T14:56:21Z</dcterms:modified>
</cp:coreProperties>
</file>