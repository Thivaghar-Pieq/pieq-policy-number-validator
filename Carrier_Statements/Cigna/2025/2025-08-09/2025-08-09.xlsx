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8-9-25\"/>
    </mc:Choice>
  </mc:AlternateContent>
  <xr:revisionPtr revIDLastSave="0" documentId="13_ncr:1_{9F0D55E0-9F38-46BB-92A0-B2DE1939EF9B}" xr6:coauthVersionLast="47" xr6:coauthVersionMax="47" xr10:uidLastSave="{00000000-0000-0000-0000-000000000000}"/>
  <bookViews>
    <workbookView xWindow="28680" yWindow="-120" windowWidth="29040" windowHeight="16440" activeTab="1" xr2:uid="{92B83374-A7EF-4018-A224-BA924B12B487}"/>
  </bookViews>
  <sheets>
    <sheet name="export-554662-20250809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1" i="2" l="1"/>
  <c r="B33" i="2"/>
  <c r="B31" i="2"/>
  <c r="B45" i="2"/>
  <c r="B32" i="2"/>
  <c r="B43" i="2"/>
  <c r="B40" i="2"/>
  <c r="B44" i="2"/>
  <c r="B46" i="2"/>
  <c r="B34" i="2"/>
  <c r="B35" i="2"/>
  <c r="B36" i="2"/>
  <c r="B37" i="2"/>
  <c r="B38" i="2"/>
  <c r="B39" i="2"/>
  <c r="B47" i="2"/>
  <c r="B42" i="2"/>
  <c r="B15" i="2"/>
  <c r="B12" i="2"/>
  <c r="B11" i="2"/>
  <c r="B4" i="2"/>
  <c r="B21" i="2"/>
  <c r="B7" i="2"/>
  <c r="B24" i="2"/>
  <c r="B20" i="2"/>
  <c r="B8" i="2"/>
  <c r="B14" i="2"/>
  <c r="B27" i="2"/>
  <c r="B18" i="2"/>
  <c r="B22" i="2"/>
  <c r="B2" i="2"/>
  <c r="B10" i="2"/>
  <c r="B26" i="2"/>
  <c r="B28" i="2"/>
  <c r="B25" i="2"/>
  <c r="B30" i="2"/>
  <c r="B9" i="2"/>
  <c r="B3" i="2"/>
  <c r="B16" i="2"/>
  <c r="B19" i="2"/>
  <c r="B29" i="2"/>
  <c r="B13" i="2"/>
  <c r="B17" i="2"/>
  <c r="B6" i="2"/>
  <c r="B23" i="2"/>
  <c r="B5" i="2"/>
  <c r="J23" i="2"/>
  <c r="J6" i="2"/>
  <c r="J7" i="2"/>
  <c r="J17" i="2"/>
  <c r="J13" i="2"/>
  <c r="J29" i="2"/>
  <c r="J19" i="2"/>
  <c r="J16" i="2"/>
  <c r="J3" i="2"/>
  <c r="J9" i="2"/>
  <c r="J30" i="2"/>
  <c r="J25" i="2"/>
  <c r="J28" i="2"/>
  <c r="J26" i="2"/>
  <c r="J10" i="2"/>
  <c r="J2" i="2"/>
  <c r="J21" i="2"/>
  <c r="J4" i="2"/>
  <c r="J11" i="2"/>
  <c r="J12" i="2"/>
  <c r="J22" i="2"/>
  <c r="J18" i="2"/>
  <c r="J27" i="2"/>
  <c r="J14" i="2"/>
  <c r="J8" i="2"/>
  <c r="J20" i="2"/>
  <c r="J15" i="2"/>
  <c r="J24" i="2"/>
  <c r="J42" i="2"/>
  <c r="J41" i="2"/>
  <c r="J33" i="2"/>
  <c r="J31" i="2"/>
  <c r="J45" i="2"/>
  <c r="J32" i="2"/>
  <c r="J43" i="2"/>
  <c r="J40" i="2"/>
  <c r="J44" i="2"/>
  <c r="J46" i="2"/>
  <c r="J34" i="2"/>
  <c r="J35" i="2"/>
  <c r="J36" i="2"/>
  <c r="J37" i="2"/>
  <c r="J38" i="2"/>
  <c r="J39" i="2"/>
  <c r="J47" i="2"/>
  <c r="J5" i="2"/>
</calcChain>
</file>

<file path=xl/sharedStrings.xml><?xml version="1.0" encoding="utf-8"?>
<sst xmlns="http://schemas.openxmlformats.org/spreadsheetml/2006/main" count="871" uniqueCount="129">
  <si>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</si>
  <si>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</si>
  <si>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</si>
  <si>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</si>
  <si>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</si>
  <si>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</si>
  <si>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</si>
  <si>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</si>
  <si>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</si>
  <si>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</si>
  <si>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</si>
  <si>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</si>
  <si>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</si>
  <si>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</si>
  <si>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</si>
  <si>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</si>
  <si>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</si>
  <si>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</si>
  <si>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</si>
  <si>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</si>
  <si>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</si>
  <si>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</si>
  <si>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</si>
  <si>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</si>
  <si>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</si>
  <si>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</si>
  <si>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</si>
  <si>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08M74D</t>
  </si>
  <si>
    <t>STUTHI PAUL PEDAPATI, RAJ</t>
  </si>
  <si>
    <t>Medical, HOAPIN</t>
  </si>
  <si>
    <t>JOEL LEE</t>
  </si>
  <si>
    <t>PMPM</t>
  </si>
  <si>
    <t>CO</t>
  </si>
  <si>
    <t>X, CP</t>
  </si>
  <si>
    <t>11EQ73</t>
  </si>
  <si>
    <t>POETA, JULIA</t>
  </si>
  <si>
    <t>PA</t>
  </si>
  <si>
    <t>13L90K</t>
  </si>
  <si>
    <t>BRAMBLEY, JEANNE</t>
  </si>
  <si>
    <t>NJ</t>
  </si>
  <si>
    <t>19C09G</t>
  </si>
  <si>
    <t>GUCCIONE, ROBERT</t>
  </si>
  <si>
    <t>1Y207E</t>
  </si>
  <si>
    <t>FOLEY, CAROL</t>
  </si>
  <si>
    <t>22C81W</t>
  </si>
  <si>
    <t>TISSERAND, CAROL</t>
  </si>
  <si>
    <t>23M79D</t>
  </si>
  <si>
    <t>SHEKARIAN, NASER</t>
  </si>
  <si>
    <t>62NC24</t>
  </si>
  <si>
    <t>KHORSANDI, HOSNA</t>
  </si>
  <si>
    <t>62NC36</t>
  </si>
  <si>
    <t>GANESH NARAGAM, KIRAN</t>
  </si>
  <si>
    <t>24L45K</t>
  </si>
  <si>
    <t>KERN, CATHERINE</t>
  </si>
  <si>
    <t>24N58N</t>
  </si>
  <si>
    <t>OZOBIA, CHARLES</t>
  </si>
  <si>
    <t>Medical, HMO1</t>
  </si>
  <si>
    <t>MATTHEW DAUGHERTY</t>
  </si>
  <si>
    <t>GA</t>
  </si>
  <si>
    <t>63K9V7</t>
  </si>
  <si>
    <t>GODWIN, LYNDA</t>
  </si>
  <si>
    <t>36H0M7</t>
  </si>
  <si>
    <t>BALAWAJDER, TERESA</t>
  </si>
  <si>
    <t>36H9M6</t>
  </si>
  <si>
    <t>CAUTILLI, JOSEPH</t>
  </si>
  <si>
    <t>35L86T</t>
  </si>
  <si>
    <t>VILANUEVA, JOHANI</t>
  </si>
  <si>
    <t>HEATHER GESKE</t>
  </si>
  <si>
    <t>37H4M8</t>
  </si>
  <si>
    <t>POWER, WILLIAM</t>
  </si>
  <si>
    <t>37H4M9</t>
  </si>
  <si>
    <t>SUMMERS, DANIELLE</t>
  </si>
  <si>
    <t>38H6M6</t>
  </si>
  <si>
    <t>SANTILLI, LYNN</t>
  </si>
  <si>
    <t>36M6M7</t>
  </si>
  <si>
    <t>ILORI, MUYIWA</t>
  </si>
  <si>
    <t>17M71Y</t>
  </si>
  <si>
    <t>SWIFT, HANNAH</t>
  </si>
  <si>
    <t>39H0M3</t>
  </si>
  <si>
    <t>DERON, JOE</t>
  </si>
  <si>
    <t>85L9M5</t>
  </si>
  <si>
    <t>ASEBEDO, ISRAEL</t>
  </si>
  <si>
    <t>47M59G</t>
  </si>
  <si>
    <t>MOHAMED, AYA</t>
  </si>
  <si>
    <t>56M9L5</t>
  </si>
  <si>
    <t>NABOR, JODI</t>
  </si>
  <si>
    <t>JACOB YALE</t>
  </si>
  <si>
    <t>IL</t>
  </si>
  <si>
    <t>61NC97</t>
  </si>
  <si>
    <t>VASUDEVAN, MALATHI</t>
  </si>
  <si>
    <t>69M79F</t>
  </si>
  <si>
    <t>BAUCOM, JONATHAN</t>
  </si>
  <si>
    <t>RICHARD YALE</t>
  </si>
  <si>
    <t>WI</t>
  </si>
  <si>
    <t>65MP81</t>
  </si>
  <si>
    <t>DRUMHELLER, GARY</t>
  </si>
  <si>
    <t>33L80Y</t>
  </si>
  <si>
    <t>NEHER, DORIS</t>
  </si>
  <si>
    <t>69CK84</t>
  </si>
  <si>
    <t>WATSON, CURTIS</t>
  </si>
  <si>
    <t>WILLIAM SCHAEFFER</t>
  </si>
  <si>
    <t>VA</t>
  </si>
  <si>
    <t>76H3P5</t>
  </si>
  <si>
    <t>HARVAN, ALBERT</t>
  </si>
  <si>
    <t>79A4G5</t>
  </si>
  <si>
    <t>SMITH, KRISTIN</t>
  </si>
  <si>
    <t>7Y95N8</t>
  </si>
  <si>
    <t>GAINES, SHERRY</t>
  </si>
  <si>
    <t>91MR97</t>
  </si>
  <si>
    <t>MCELVANY, TARYN</t>
  </si>
  <si>
    <t>Producer of Record</t>
  </si>
  <si>
    <t>88GC66</t>
  </si>
  <si>
    <t>BRESLIN, PATRICK</t>
  </si>
  <si>
    <t>96L3R8</t>
  </si>
  <si>
    <t>KRYGER, CHRISTOPHER</t>
  </si>
  <si>
    <t>OR</t>
  </si>
  <si>
    <t>89MQ99</t>
  </si>
  <si>
    <t>GEORGIOU, MARISSA</t>
  </si>
  <si>
    <t>56L91L</t>
  </si>
  <si>
    <t>FLYNN, DARWIN</t>
  </si>
  <si>
    <t>TX</t>
  </si>
  <si>
    <t>09L0F9</t>
  </si>
  <si>
    <t>POPE, TIMOTHY</t>
  </si>
  <si>
    <t>[PMPM=2]</t>
  </si>
  <si>
    <t>Cigna DVH</t>
  </si>
  <si>
    <t>Cigna (2025) - GA</t>
  </si>
  <si>
    <t>Cigna 2025 AZ, CO, IL</t>
  </si>
  <si>
    <t>Cigna - VA</t>
  </si>
  <si>
    <t>Cigna -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</si>
</sst>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6" fontId="0" fillId="0" borderId="0" xfId="0" applyNumberFormat="1"/>
    <xf numFmtId="0" fontId="18" fillId="0" borderId="0" xfId="0" applyFont="1"/>
    <xf numFmtId="6" fontId="18" fillId="0" borderId="0" xfId="0" applyNumberFormat="1" applyFont="1"/>
    <xf numFmtId="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213F-7ECB-4BE5-8852-76C3450F2252}">
  <dimension ref="A1:R47"/>
  <sheetViews>
    <sheetView topLeftCell="A10" workbookViewId="0">
      <selection activeCell="A10" sqref="A1:XFD104857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20250801</v>
      </c>
      <c r="J2">
        <v>20250809</v>
      </c>
      <c r="K2">
        <v>32</v>
      </c>
      <c r="L2" t="s">
        <v>25</v>
      </c>
      <c r="M2" t="s">
        <v>26</v>
      </c>
      <c r="N2" s="1">
        <v>0.1</v>
      </c>
      <c r="O2">
        <v>3.2</v>
      </c>
      <c r="P2" t="s">
        <v>25</v>
      </c>
    </row>
    <row r="3" spans="1:1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23</v>
      </c>
      <c r="G3" t="s">
        <v>32</v>
      </c>
      <c r="H3" t="s">
        <v>25</v>
      </c>
      <c r="I3">
        <v>20250701</v>
      </c>
      <c r="J3">
        <v>20250809</v>
      </c>
      <c r="K3">
        <v>0</v>
      </c>
      <c r="L3" t="s">
        <v>33</v>
      </c>
      <c r="M3">
        <v>1</v>
      </c>
      <c r="N3" s="2">
        <v>20</v>
      </c>
      <c r="O3">
        <v>20</v>
      </c>
      <c r="P3" t="s">
        <v>25</v>
      </c>
    </row>
    <row r="4" spans="1:18" x14ac:dyDescent="0.25">
      <c r="A4" t="s">
        <v>34</v>
      </c>
      <c r="B4" t="s">
        <v>35</v>
      </c>
      <c r="C4" t="s">
        <v>20</v>
      </c>
      <c r="D4" t="s">
        <v>21</v>
      </c>
      <c r="E4" t="s">
        <v>22</v>
      </c>
      <c r="F4" t="s">
        <v>23</v>
      </c>
      <c r="G4" t="s">
        <v>36</v>
      </c>
      <c r="H4" t="s">
        <v>25</v>
      </c>
      <c r="I4">
        <v>20250801</v>
      </c>
      <c r="J4">
        <v>20250809</v>
      </c>
      <c r="K4">
        <v>39.42</v>
      </c>
      <c r="L4" t="s">
        <v>25</v>
      </c>
      <c r="M4" t="s">
        <v>26</v>
      </c>
      <c r="N4" s="1">
        <v>0.1</v>
      </c>
      <c r="O4">
        <v>3.94</v>
      </c>
      <c r="P4" t="s">
        <v>25</v>
      </c>
    </row>
    <row r="5" spans="1:18" x14ac:dyDescent="0.25">
      <c r="A5" t="s">
        <v>37</v>
      </c>
      <c r="B5" t="s">
        <v>38</v>
      </c>
      <c r="C5" t="s">
        <v>20</v>
      </c>
      <c r="D5" t="s">
        <v>21</v>
      </c>
      <c r="E5" t="s">
        <v>22</v>
      </c>
      <c r="F5" t="s">
        <v>23</v>
      </c>
      <c r="G5" t="s">
        <v>39</v>
      </c>
      <c r="H5" t="s">
        <v>25</v>
      </c>
      <c r="I5">
        <v>20250801</v>
      </c>
      <c r="J5">
        <v>20250809</v>
      </c>
      <c r="K5">
        <v>43</v>
      </c>
      <c r="L5" t="s">
        <v>25</v>
      </c>
      <c r="M5" t="s">
        <v>26</v>
      </c>
      <c r="N5" s="1">
        <v>0.1</v>
      </c>
      <c r="O5">
        <v>4.3</v>
      </c>
      <c r="P5" t="s">
        <v>25</v>
      </c>
    </row>
    <row r="6" spans="1:18" x14ac:dyDescent="0.25">
      <c r="A6" t="s">
        <v>37</v>
      </c>
      <c r="B6" t="s">
        <v>38</v>
      </c>
      <c r="C6" t="s">
        <v>20</v>
      </c>
      <c r="D6" t="s">
        <v>21</v>
      </c>
      <c r="E6" t="s">
        <v>22</v>
      </c>
      <c r="F6" t="s">
        <v>23</v>
      </c>
      <c r="G6" t="s">
        <v>39</v>
      </c>
      <c r="H6" t="s">
        <v>25</v>
      </c>
      <c r="I6">
        <v>20250701</v>
      </c>
      <c r="J6">
        <v>20250809</v>
      </c>
      <c r="K6">
        <v>43</v>
      </c>
      <c r="L6" t="s">
        <v>25</v>
      </c>
      <c r="M6" t="s">
        <v>26</v>
      </c>
      <c r="N6" s="1">
        <v>0.2</v>
      </c>
      <c r="O6">
        <v>8.6</v>
      </c>
      <c r="P6" t="s">
        <v>25</v>
      </c>
    </row>
    <row r="7" spans="1:18" x14ac:dyDescent="0.25">
      <c r="A7" t="s">
        <v>40</v>
      </c>
      <c r="B7" t="s">
        <v>41</v>
      </c>
      <c r="C7" t="s">
        <v>20</v>
      </c>
      <c r="D7" t="s">
        <v>21</v>
      </c>
      <c r="E7" t="s">
        <v>22</v>
      </c>
      <c r="F7" t="s">
        <v>23</v>
      </c>
      <c r="G7" t="s">
        <v>36</v>
      </c>
      <c r="H7" t="s">
        <v>25</v>
      </c>
      <c r="I7">
        <v>20250801</v>
      </c>
      <c r="J7">
        <v>20250809</v>
      </c>
      <c r="K7">
        <v>41</v>
      </c>
      <c r="L7" t="s">
        <v>25</v>
      </c>
      <c r="M7" t="s">
        <v>26</v>
      </c>
      <c r="N7" s="1">
        <v>0.1</v>
      </c>
      <c r="O7">
        <v>4.0999999999999996</v>
      </c>
      <c r="P7" t="s">
        <v>25</v>
      </c>
    </row>
    <row r="8" spans="1:18" x14ac:dyDescent="0.25">
      <c r="A8" t="s">
        <v>42</v>
      </c>
      <c r="B8" t="s">
        <v>43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>
        <v>20250801</v>
      </c>
      <c r="J8">
        <v>20250809</v>
      </c>
      <c r="K8">
        <v>36.65</v>
      </c>
      <c r="L8" t="s">
        <v>25</v>
      </c>
      <c r="M8" t="s">
        <v>26</v>
      </c>
      <c r="N8" s="1">
        <v>0.1</v>
      </c>
      <c r="O8">
        <v>3.67</v>
      </c>
      <c r="P8" t="s">
        <v>25</v>
      </c>
    </row>
    <row r="9" spans="1:18" x14ac:dyDescent="0.25">
      <c r="A9" t="s">
        <v>44</v>
      </c>
      <c r="B9" t="s">
        <v>45</v>
      </c>
      <c r="C9" t="s">
        <v>20</v>
      </c>
      <c r="D9" t="s">
        <v>21</v>
      </c>
      <c r="E9" t="s">
        <v>22</v>
      </c>
      <c r="F9" t="s">
        <v>23</v>
      </c>
      <c r="G9" t="s">
        <v>36</v>
      </c>
      <c r="H9" t="s">
        <v>25</v>
      </c>
      <c r="I9">
        <v>20250801</v>
      </c>
      <c r="J9">
        <v>20250809</v>
      </c>
      <c r="K9">
        <v>77</v>
      </c>
      <c r="L9" t="s">
        <v>25</v>
      </c>
      <c r="M9" t="s">
        <v>26</v>
      </c>
      <c r="N9" s="1">
        <v>0.1</v>
      </c>
      <c r="O9">
        <v>7.7</v>
      </c>
      <c r="P9" t="s">
        <v>25</v>
      </c>
    </row>
    <row r="10" spans="1:18" x14ac:dyDescent="0.25">
      <c r="A10" t="s">
        <v>46</v>
      </c>
      <c r="B10" t="s">
        <v>47</v>
      </c>
      <c r="C10" t="s">
        <v>29</v>
      </c>
      <c r="D10" t="s">
        <v>30</v>
      </c>
      <c r="E10" t="s">
        <v>31</v>
      </c>
      <c r="F10" t="s">
        <v>23</v>
      </c>
      <c r="G10" t="s">
        <v>32</v>
      </c>
      <c r="H10" t="s">
        <v>25</v>
      </c>
      <c r="I10">
        <v>20250801</v>
      </c>
      <c r="J10">
        <v>20250809</v>
      </c>
      <c r="K10">
        <v>49.6</v>
      </c>
      <c r="L10" t="s">
        <v>33</v>
      </c>
      <c r="M10">
        <v>1</v>
      </c>
      <c r="N10" s="2">
        <v>20</v>
      </c>
      <c r="O10">
        <v>20</v>
      </c>
      <c r="P10" t="s">
        <v>25</v>
      </c>
    </row>
    <row r="11" spans="1:18" x14ac:dyDescent="0.25">
      <c r="A11" t="s">
        <v>48</v>
      </c>
      <c r="B11" t="s">
        <v>49</v>
      </c>
      <c r="C11" t="s">
        <v>29</v>
      </c>
      <c r="D11" t="s">
        <v>30</v>
      </c>
      <c r="E11" t="s">
        <v>31</v>
      </c>
      <c r="F11" t="s">
        <v>23</v>
      </c>
      <c r="G11" t="s">
        <v>32</v>
      </c>
      <c r="H11" t="s">
        <v>25</v>
      </c>
      <c r="I11">
        <v>20250701</v>
      </c>
      <c r="J11">
        <v>20250809</v>
      </c>
      <c r="K11">
        <v>0</v>
      </c>
      <c r="L11" t="s">
        <v>33</v>
      </c>
      <c r="M11">
        <v>2</v>
      </c>
      <c r="N11" s="2">
        <v>20</v>
      </c>
      <c r="O11">
        <v>40</v>
      </c>
      <c r="P11" t="s">
        <v>25</v>
      </c>
    </row>
    <row r="12" spans="1:18" x14ac:dyDescent="0.25">
      <c r="A12" t="s">
        <v>50</v>
      </c>
      <c r="B12" t="s">
        <v>51</v>
      </c>
      <c r="C12" t="s">
        <v>29</v>
      </c>
      <c r="D12" t="s">
        <v>30</v>
      </c>
      <c r="E12" t="s">
        <v>31</v>
      </c>
      <c r="F12" t="s">
        <v>23</v>
      </c>
      <c r="G12" t="s">
        <v>32</v>
      </c>
      <c r="H12" t="s">
        <v>25</v>
      </c>
      <c r="I12">
        <v>20250701</v>
      </c>
      <c r="J12">
        <v>20250809</v>
      </c>
      <c r="K12">
        <v>0</v>
      </c>
      <c r="L12" t="s">
        <v>33</v>
      </c>
      <c r="M12">
        <v>1</v>
      </c>
      <c r="N12" s="2">
        <v>20</v>
      </c>
      <c r="O12">
        <v>20</v>
      </c>
      <c r="P12" t="s">
        <v>25</v>
      </c>
    </row>
    <row r="13" spans="1:18" x14ac:dyDescent="0.25">
      <c r="A13" t="s">
        <v>52</v>
      </c>
      <c r="B13" t="s">
        <v>53</v>
      </c>
      <c r="C13" t="s">
        <v>20</v>
      </c>
      <c r="D13" t="s">
        <v>21</v>
      </c>
      <c r="E13" t="s">
        <v>22</v>
      </c>
      <c r="F13" t="s">
        <v>23</v>
      </c>
      <c r="G13" t="s">
        <v>36</v>
      </c>
      <c r="H13" t="s">
        <v>25</v>
      </c>
      <c r="I13">
        <v>20250801</v>
      </c>
      <c r="J13">
        <v>20250809</v>
      </c>
      <c r="K13">
        <v>53.85</v>
      </c>
      <c r="L13" t="s">
        <v>25</v>
      </c>
      <c r="M13" t="s">
        <v>26</v>
      </c>
      <c r="N13" s="1">
        <v>0.1</v>
      </c>
      <c r="O13">
        <v>5.39</v>
      </c>
      <c r="P13" t="s">
        <v>25</v>
      </c>
    </row>
    <row r="14" spans="1:18" x14ac:dyDescent="0.25">
      <c r="A14" t="s">
        <v>54</v>
      </c>
      <c r="B14" t="s">
        <v>55</v>
      </c>
      <c r="C14" t="s">
        <v>56</v>
      </c>
      <c r="D14" t="s">
        <v>57</v>
      </c>
      <c r="E14" t="s">
        <v>31</v>
      </c>
      <c r="F14" t="s">
        <v>23</v>
      </c>
      <c r="G14" t="s">
        <v>58</v>
      </c>
      <c r="H14" t="s">
        <v>25</v>
      </c>
      <c r="I14">
        <v>20250801</v>
      </c>
      <c r="J14">
        <v>20250809</v>
      </c>
      <c r="K14">
        <v>24.35</v>
      </c>
      <c r="L14" t="s">
        <v>33</v>
      </c>
      <c r="M14">
        <v>1</v>
      </c>
      <c r="N14" s="2">
        <v>22</v>
      </c>
      <c r="O14">
        <v>22</v>
      </c>
      <c r="P14" t="s">
        <v>25</v>
      </c>
    </row>
    <row r="15" spans="1:18" x14ac:dyDescent="0.25">
      <c r="A15" t="s">
        <v>59</v>
      </c>
      <c r="B15" t="s">
        <v>60</v>
      </c>
      <c r="C15" t="s">
        <v>20</v>
      </c>
      <c r="D15" t="s">
        <v>21</v>
      </c>
      <c r="E15" t="s">
        <v>22</v>
      </c>
      <c r="F15" t="s">
        <v>23</v>
      </c>
      <c r="G15" t="s">
        <v>36</v>
      </c>
      <c r="H15" t="s">
        <v>25</v>
      </c>
      <c r="I15">
        <v>20250801</v>
      </c>
      <c r="J15">
        <v>20250809</v>
      </c>
      <c r="K15">
        <v>70.3</v>
      </c>
      <c r="L15" t="s">
        <v>25</v>
      </c>
      <c r="M15" t="s">
        <v>26</v>
      </c>
      <c r="N15" s="1">
        <v>0.1</v>
      </c>
      <c r="O15">
        <v>7.03</v>
      </c>
      <c r="P15" t="s">
        <v>25</v>
      </c>
    </row>
    <row r="16" spans="1:18" x14ac:dyDescent="0.25">
      <c r="A16" t="s">
        <v>61</v>
      </c>
      <c r="B16" t="s">
        <v>62</v>
      </c>
      <c r="C16" t="s">
        <v>20</v>
      </c>
      <c r="D16" t="s">
        <v>21</v>
      </c>
      <c r="E16" t="s">
        <v>22</v>
      </c>
      <c r="F16" t="s">
        <v>23</v>
      </c>
      <c r="G16" t="s">
        <v>36</v>
      </c>
      <c r="H16" t="s">
        <v>25</v>
      </c>
      <c r="I16">
        <v>20250801</v>
      </c>
      <c r="J16">
        <v>20250809</v>
      </c>
      <c r="K16">
        <v>79.55</v>
      </c>
      <c r="L16" t="s">
        <v>25</v>
      </c>
      <c r="M16" t="s">
        <v>26</v>
      </c>
      <c r="N16" s="1">
        <v>0.1</v>
      </c>
      <c r="O16">
        <v>7.96</v>
      </c>
      <c r="P16" t="s">
        <v>25</v>
      </c>
    </row>
    <row r="17" spans="1:16" x14ac:dyDescent="0.25">
      <c r="A17" t="s">
        <v>63</v>
      </c>
      <c r="B17" t="s">
        <v>64</v>
      </c>
      <c r="C17" t="s">
        <v>20</v>
      </c>
      <c r="D17" t="s">
        <v>21</v>
      </c>
      <c r="E17" t="s">
        <v>22</v>
      </c>
      <c r="F17" t="s">
        <v>23</v>
      </c>
      <c r="G17" t="s">
        <v>36</v>
      </c>
      <c r="H17" t="s">
        <v>25</v>
      </c>
      <c r="I17">
        <v>20250801</v>
      </c>
      <c r="J17">
        <v>20250809</v>
      </c>
      <c r="K17">
        <v>112.7</v>
      </c>
      <c r="L17" t="s">
        <v>25</v>
      </c>
      <c r="M17" t="s">
        <v>26</v>
      </c>
      <c r="N17" s="1">
        <v>0.1</v>
      </c>
      <c r="O17">
        <v>11.27</v>
      </c>
      <c r="P17" t="s">
        <v>25</v>
      </c>
    </row>
    <row r="18" spans="1:16" x14ac:dyDescent="0.25">
      <c r="A18" t="s">
        <v>65</v>
      </c>
      <c r="B18" t="s">
        <v>66</v>
      </c>
      <c r="C18" t="s">
        <v>20</v>
      </c>
      <c r="D18" t="s">
        <v>67</v>
      </c>
      <c r="E18" t="s">
        <v>22</v>
      </c>
      <c r="F18" t="s">
        <v>23</v>
      </c>
      <c r="G18" t="s">
        <v>32</v>
      </c>
      <c r="H18" t="s">
        <v>25</v>
      </c>
      <c r="I18">
        <v>20250801</v>
      </c>
      <c r="J18">
        <v>20250809</v>
      </c>
      <c r="K18">
        <v>139.18</v>
      </c>
      <c r="L18" t="s">
        <v>25</v>
      </c>
      <c r="M18" t="s">
        <v>26</v>
      </c>
      <c r="N18" s="1">
        <v>0.1</v>
      </c>
      <c r="O18">
        <v>13.92</v>
      </c>
      <c r="P18" t="s">
        <v>25</v>
      </c>
    </row>
    <row r="19" spans="1:16" x14ac:dyDescent="0.25">
      <c r="A19" t="s">
        <v>68</v>
      </c>
      <c r="B19" t="s">
        <v>69</v>
      </c>
      <c r="C19" t="s">
        <v>20</v>
      </c>
      <c r="D19" t="s">
        <v>21</v>
      </c>
      <c r="E19" t="s">
        <v>22</v>
      </c>
      <c r="F19" t="s">
        <v>23</v>
      </c>
      <c r="G19" t="s">
        <v>36</v>
      </c>
      <c r="H19" t="s">
        <v>25</v>
      </c>
      <c r="I19">
        <v>20250801</v>
      </c>
      <c r="J19">
        <v>20250809</v>
      </c>
      <c r="K19">
        <v>52</v>
      </c>
      <c r="L19" t="s">
        <v>25</v>
      </c>
      <c r="M19" t="s">
        <v>26</v>
      </c>
      <c r="N19" s="1">
        <v>0.1</v>
      </c>
      <c r="O19">
        <v>5.2</v>
      </c>
      <c r="P19" t="s">
        <v>25</v>
      </c>
    </row>
    <row r="20" spans="1:16" x14ac:dyDescent="0.25">
      <c r="A20" t="s">
        <v>70</v>
      </c>
      <c r="B20" t="s">
        <v>71</v>
      </c>
      <c r="C20" t="s">
        <v>20</v>
      </c>
      <c r="D20" t="s">
        <v>21</v>
      </c>
      <c r="E20" t="s">
        <v>22</v>
      </c>
      <c r="F20" t="s">
        <v>23</v>
      </c>
      <c r="G20" t="s">
        <v>36</v>
      </c>
      <c r="H20" t="s">
        <v>25</v>
      </c>
      <c r="I20">
        <v>20250801</v>
      </c>
      <c r="J20">
        <v>20250809</v>
      </c>
      <c r="K20">
        <v>43</v>
      </c>
      <c r="L20" t="s">
        <v>25</v>
      </c>
      <c r="M20" t="s">
        <v>26</v>
      </c>
      <c r="N20" s="1">
        <v>0.1</v>
      </c>
      <c r="O20">
        <v>4.3</v>
      </c>
      <c r="P20" t="s">
        <v>25</v>
      </c>
    </row>
    <row r="21" spans="1:16" x14ac:dyDescent="0.25">
      <c r="A21" t="s">
        <v>72</v>
      </c>
      <c r="B21" t="s">
        <v>73</v>
      </c>
      <c r="C21" t="s">
        <v>20</v>
      </c>
      <c r="D21" t="s">
        <v>21</v>
      </c>
      <c r="E21" t="s">
        <v>22</v>
      </c>
      <c r="F21" t="s">
        <v>23</v>
      </c>
      <c r="G21" t="s">
        <v>36</v>
      </c>
      <c r="H21" t="s">
        <v>25</v>
      </c>
      <c r="I21">
        <v>20250801</v>
      </c>
      <c r="J21">
        <v>20250809</v>
      </c>
      <c r="K21">
        <v>145.85</v>
      </c>
      <c r="L21" t="s">
        <v>25</v>
      </c>
      <c r="M21" t="s">
        <v>26</v>
      </c>
      <c r="N21" s="1">
        <v>0.1</v>
      </c>
      <c r="O21">
        <v>14.59</v>
      </c>
      <c r="P21" t="s">
        <v>25</v>
      </c>
    </row>
    <row r="22" spans="1:16" x14ac:dyDescent="0.25">
      <c r="A22" t="s">
        <v>74</v>
      </c>
      <c r="B22" t="s">
        <v>75</v>
      </c>
      <c r="C22" t="s">
        <v>29</v>
      </c>
      <c r="D22" t="s">
        <v>30</v>
      </c>
      <c r="E22" t="s">
        <v>31</v>
      </c>
      <c r="F22" t="s">
        <v>23</v>
      </c>
      <c r="G22" t="s">
        <v>32</v>
      </c>
      <c r="H22" t="s">
        <v>25</v>
      </c>
      <c r="I22">
        <v>20250701</v>
      </c>
      <c r="J22">
        <v>20250809</v>
      </c>
      <c r="K22">
        <v>0</v>
      </c>
      <c r="L22" t="s">
        <v>33</v>
      </c>
      <c r="M22">
        <v>1</v>
      </c>
      <c r="N22" s="2">
        <v>20</v>
      </c>
      <c r="O22">
        <v>20</v>
      </c>
      <c r="P22" t="s">
        <v>25</v>
      </c>
    </row>
    <row r="23" spans="1:16" x14ac:dyDescent="0.25">
      <c r="A23" t="s">
        <v>76</v>
      </c>
      <c r="B23" t="s">
        <v>77</v>
      </c>
      <c r="C23" t="s">
        <v>29</v>
      </c>
      <c r="D23" t="s">
        <v>30</v>
      </c>
      <c r="E23" t="s">
        <v>31</v>
      </c>
      <c r="F23" t="s">
        <v>23</v>
      </c>
      <c r="G23" t="s">
        <v>32</v>
      </c>
      <c r="H23" t="s">
        <v>25</v>
      </c>
      <c r="I23">
        <v>20250801</v>
      </c>
      <c r="J23">
        <v>20250809</v>
      </c>
      <c r="K23">
        <v>335.48</v>
      </c>
      <c r="L23" t="s">
        <v>33</v>
      </c>
      <c r="M23">
        <v>1</v>
      </c>
      <c r="N23" s="2">
        <v>20</v>
      </c>
      <c r="O23">
        <v>20</v>
      </c>
      <c r="P23" t="s">
        <v>25</v>
      </c>
    </row>
    <row r="24" spans="1:16" x14ac:dyDescent="0.25">
      <c r="A24" t="s">
        <v>78</v>
      </c>
      <c r="B24" t="s">
        <v>79</v>
      </c>
      <c r="C24" t="s">
        <v>20</v>
      </c>
      <c r="D24" t="s">
        <v>21</v>
      </c>
      <c r="E24" t="s">
        <v>22</v>
      </c>
      <c r="F24" t="s">
        <v>23</v>
      </c>
      <c r="G24" t="s">
        <v>36</v>
      </c>
      <c r="H24" t="s">
        <v>25</v>
      </c>
      <c r="I24">
        <v>20250801</v>
      </c>
      <c r="J24">
        <v>20250809</v>
      </c>
      <c r="K24">
        <v>43</v>
      </c>
      <c r="L24" t="s">
        <v>25</v>
      </c>
      <c r="M24" t="s">
        <v>26</v>
      </c>
      <c r="N24" s="1">
        <v>0.1</v>
      </c>
      <c r="O24">
        <v>4.3</v>
      </c>
      <c r="P24" t="s">
        <v>25</v>
      </c>
    </row>
    <row r="25" spans="1:16" x14ac:dyDescent="0.25">
      <c r="A25" t="s">
        <v>80</v>
      </c>
      <c r="B25" t="s">
        <v>81</v>
      </c>
      <c r="C25" t="s">
        <v>20</v>
      </c>
      <c r="D25" t="s">
        <v>67</v>
      </c>
      <c r="E25" t="s">
        <v>22</v>
      </c>
      <c r="F25" t="s">
        <v>23</v>
      </c>
      <c r="G25" t="s">
        <v>32</v>
      </c>
      <c r="H25" t="s">
        <v>25</v>
      </c>
      <c r="I25">
        <v>20250801</v>
      </c>
      <c r="J25">
        <v>20250809</v>
      </c>
      <c r="K25">
        <v>35.06</v>
      </c>
      <c r="L25" t="s">
        <v>25</v>
      </c>
      <c r="M25" t="s">
        <v>26</v>
      </c>
      <c r="N25" s="1">
        <v>0.1</v>
      </c>
      <c r="O25">
        <v>3.51</v>
      </c>
      <c r="P25" t="s">
        <v>25</v>
      </c>
    </row>
    <row r="26" spans="1:16" x14ac:dyDescent="0.25">
      <c r="A26" t="s">
        <v>82</v>
      </c>
      <c r="B26" t="s">
        <v>83</v>
      </c>
      <c r="C26" t="s">
        <v>29</v>
      </c>
      <c r="D26" t="s">
        <v>30</v>
      </c>
      <c r="E26" t="s">
        <v>31</v>
      </c>
      <c r="F26" t="s">
        <v>23</v>
      </c>
      <c r="G26" t="s">
        <v>32</v>
      </c>
      <c r="H26" t="s">
        <v>25</v>
      </c>
      <c r="I26">
        <v>20250701</v>
      </c>
      <c r="J26">
        <v>20250809</v>
      </c>
      <c r="K26">
        <v>0</v>
      </c>
      <c r="L26" t="s">
        <v>33</v>
      </c>
      <c r="M26">
        <v>1</v>
      </c>
      <c r="N26" s="2">
        <v>20</v>
      </c>
      <c r="O26">
        <v>20</v>
      </c>
      <c r="P26" t="s">
        <v>25</v>
      </c>
    </row>
    <row r="27" spans="1:16" x14ac:dyDescent="0.25">
      <c r="A27" t="s">
        <v>84</v>
      </c>
      <c r="B27" t="s">
        <v>85</v>
      </c>
      <c r="C27" t="s">
        <v>20</v>
      </c>
      <c r="D27" t="s">
        <v>86</v>
      </c>
      <c r="E27" t="s">
        <v>22</v>
      </c>
      <c r="F27" t="s">
        <v>23</v>
      </c>
      <c r="G27" t="s">
        <v>87</v>
      </c>
      <c r="H27" t="s">
        <v>25</v>
      </c>
      <c r="I27">
        <v>20250801</v>
      </c>
      <c r="J27">
        <v>20250809</v>
      </c>
      <c r="K27">
        <v>120.17</v>
      </c>
      <c r="L27" t="s">
        <v>25</v>
      </c>
      <c r="M27" t="s">
        <v>26</v>
      </c>
      <c r="N27" s="1">
        <v>0.2</v>
      </c>
      <c r="O27">
        <v>24.03</v>
      </c>
      <c r="P27" t="s">
        <v>25</v>
      </c>
    </row>
    <row r="28" spans="1:16" x14ac:dyDescent="0.25">
      <c r="A28" t="s">
        <v>88</v>
      </c>
      <c r="B28" t="s">
        <v>89</v>
      </c>
      <c r="C28" t="s">
        <v>29</v>
      </c>
      <c r="D28" t="s">
        <v>30</v>
      </c>
      <c r="E28" t="s">
        <v>31</v>
      </c>
      <c r="F28" t="s">
        <v>23</v>
      </c>
      <c r="G28" t="s">
        <v>32</v>
      </c>
      <c r="H28" t="s">
        <v>25</v>
      </c>
      <c r="I28">
        <v>20250701</v>
      </c>
      <c r="J28">
        <v>20250809</v>
      </c>
      <c r="K28">
        <v>0</v>
      </c>
      <c r="L28" t="s">
        <v>33</v>
      </c>
      <c r="M28">
        <v>1</v>
      </c>
      <c r="N28" s="2">
        <v>20</v>
      </c>
      <c r="O28">
        <v>20</v>
      </c>
      <c r="P28" t="s">
        <v>25</v>
      </c>
    </row>
    <row r="29" spans="1:16" x14ac:dyDescent="0.25">
      <c r="A29" t="s">
        <v>90</v>
      </c>
      <c r="B29" t="s">
        <v>91</v>
      </c>
      <c r="C29" t="s">
        <v>20</v>
      </c>
      <c r="D29" t="s">
        <v>92</v>
      </c>
      <c r="E29" t="s">
        <v>22</v>
      </c>
      <c r="F29" t="s">
        <v>23</v>
      </c>
      <c r="G29" t="s">
        <v>93</v>
      </c>
      <c r="H29" t="s">
        <v>25</v>
      </c>
      <c r="I29">
        <v>20250801</v>
      </c>
      <c r="J29">
        <v>20250809</v>
      </c>
      <c r="K29">
        <v>200.63</v>
      </c>
      <c r="L29" t="s">
        <v>25</v>
      </c>
      <c r="M29" t="s">
        <v>26</v>
      </c>
      <c r="N29" s="1">
        <v>0.2</v>
      </c>
      <c r="O29">
        <v>40.130000000000003</v>
      </c>
      <c r="P29" t="s">
        <v>25</v>
      </c>
    </row>
    <row r="30" spans="1:16" x14ac:dyDescent="0.25">
      <c r="A30" t="s">
        <v>94</v>
      </c>
      <c r="B30" t="s">
        <v>95</v>
      </c>
      <c r="C30" t="s">
        <v>20</v>
      </c>
      <c r="D30" t="s">
        <v>21</v>
      </c>
      <c r="E30" t="s">
        <v>22</v>
      </c>
      <c r="F30" t="s">
        <v>23</v>
      </c>
      <c r="G30" t="s">
        <v>36</v>
      </c>
      <c r="H30" t="s">
        <v>25</v>
      </c>
      <c r="I30">
        <v>20250801</v>
      </c>
      <c r="J30">
        <v>20250809</v>
      </c>
      <c r="K30">
        <v>52</v>
      </c>
      <c r="L30" t="s">
        <v>25</v>
      </c>
      <c r="M30" t="s">
        <v>26</v>
      </c>
      <c r="N30" s="1">
        <v>0.2</v>
      </c>
      <c r="O30">
        <v>10.4</v>
      </c>
      <c r="P30" t="s">
        <v>25</v>
      </c>
    </row>
    <row r="31" spans="1:16" x14ac:dyDescent="0.25">
      <c r="A31" t="s">
        <v>94</v>
      </c>
      <c r="B31" t="s">
        <v>95</v>
      </c>
      <c r="C31" t="s">
        <v>20</v>
      </c>
      <c r="D31" t="s">
        <v>21</v>
      </c>
      <c r="E31" t="s">
        <v>22</v>
      </c>
      <c r="F31" t="s">
        <v>23</v>
      </c>
      <c r="G31" t="s">
        <v>36</v>
      </c>
      <c r="H31" t="s">
        <v>25</v>
      </c>
      <c r="I31">
        <v>20250701</v>
      </c>
      <c r="J31">
        <v>20250809</v>
      </c>
      <c r="K31">
        <v>52</v>
      </c>
      <c r="L31" t="s">
        <v>25</v>
      </c>
      <c r="M31" t="s">
        <v>26</v>
      </c>
      <c r="N31" s="1">
        <v>0.2</v>
      </c>
      <c r="O31">
        <v>10.4</v>
      </c>
      <c r="P31" t="s">
        <v>25</v>
      </c>
    </row>
    <row r="32" spans="1:16" x14ac:dyDescent="0.25">
      <c r="A32" t="s">
        <v>96</v>
      </c>
      <c r="B32" t="s">
        <v>97</v>
      </c>
      <c r="C32" t="s">
        <v>20</v>
      </c>
      <c r="D32" t="s">
        <v>21</v>
      </c>
      <c r="E32" t="s">
        <v>22</v>
      </c>
      <c r="F32" t="s">
        <v>23</v>
      </c>
      <c r="G32" t="s">
        <v>36</v>
      </c>
      <c r="H32" t="s">
        <v>25</v>
      </c>
      <c r="I32">
        <v>20250801</v>
      </c>
      <c r="J32">
        <v>20250809</v>
      </c>
      <c r="K32">
        <v>57.77</v>
      </c>
      <c r="L32" t="s">
        <v>25</v>
      </c>
      <c r="M32" t="s">
        <v>26</v>
      </c>
      <c r="N32" s="1">
        <v>0.1</v>
      </c>
      <c r="O32">
        <v>5.78</v>
      </c>
      <c r="P32" t="s">
        <v>25</v>
      </c>
    </row>
    <row r="33" spans="1:16" x14ac:dyDescent="0.25">
      <c r="A33" t="s">
        <v>98</v>
      </c>
      <c r="B33" t="s">
        <v>99</v>
      </c>
      <c r="C33" t="s">
        <v>29</v>
      </c>
      <c r="D33" t="s">
        <v>100</v>
      </c>
      <c r="E33" t="s">
        <v>31</v>
      </c>
      <c r="F33" t="s">
        <v>23</v>
      </c>
      <c r="G33" t="s">
        <v>101</v>
      </c>
      <c r="H33" t="s">
        <v>25</v>
      </c>
      <c r="I33">
        <v>20250801</v>
      </c>
      <c r="J33">
        <v>20250809</v>
      </c>
      <c r="K33">
        <v>26.86</v>
      </c>
      <c r="L33" t="s">
        <v>33</v>
      </c>
      <c r="M33">
        <v>1</v>
      </c>
      <c r="N33" s="2">
        <v>20</v>
      </c>
      <c r="O33">
        <v>20</v>
      </c>
      <c r="P33" t="s">
        <v>25</v>
      </c>
    </row>
    <row r="34" spans="1:16" x14ac:dyDescent="0.25">
      <c r="A34" t="s">
        <v>102</v>
      </c>
      <c r="B34" t="s">
        <v>103</v>
      </c>
      <c r="C34" t="s">
        <v>20</v>
      </c>
      <c r="D34" t="s">
        <v>21</v>
      </c>
      <c r="E34" t="s">
        <v>22</v>
      </c>
      <c r="F34" t="s">
        <v>23</v>
      </c>
      <c r="G34" t="s">
        <v>36</v>
      </c>
      <c r="H34" t="s">
        <v>25</v>
      </c>
      <c r="I34">
        <v>20250801</v>
      </c>
      <c r="J34">
        <v>20250809</v>
      </c>
      <c r="K34">
        <v>76.150000000000006</v>
      </c>
      <c r="L34" t="s">
        <v>25</v>
      </c>
      <c r="M34" t="s">
        <v>26</v>
      </c>
      <c r="N34" s="1">
        <v>0.1</v>
      </c>
      <c r="O34">
        <v>7.62</v>
      </c>
      <c r="P34" t="s">
        <v>25</v>
      </c>
    </row>
    <row r="35" spans="1:16" x14ac:dyDescent="0.25">
      <c r="A35" t="s">
        <v>104</v>
      </c>
      <c r="B35" t="s">
        <v>105</v>
      </c>
      <c r="C35" t="s">
        <v>20</v>
      </c>
      <c r="D35" t="s">
        <v>21</v>
      </c>
      <c r="E35" t="s">
        <v>22</v>
      </c>
      <c r="F35" t="s">
        <v>23</v>
      </c>
      <c r="G35" t="s">
        <v>36</v>
      </c>
      <c r="H35" t="s">
        <v>25</v>
      </c>
      <c r="I35">
        <v>20250801</v>
      </c>
      <c r="J35">
        <v>20250809</v>
      </c>
      <c r="K35">
        <v>114.31</v>
      </c>
      <c r="L35" t="s">
        <v>25</v>
      </c>
      <c r="M35" t="s">
        <v>26</v>
      </c>
      <c r="N35" s="1">
        <v>0.1</v>
      </c>
      <c r="O35">
        <v>11.43</v>
      </c>
      <c r="P35" t="s">
        <v>25</v>
      </c>
    </row>
    <row r="36" spans="1:16" x14ac:dyDescent="0.25">
      <c r="A36" t="s">
        <v>106</v>
      </c>
      <c r="B36" t="s">
        <v>107</v>
      </c>
      <c r="C36" t="s">
        <v>20</v>
      </c>
      <c r="D36" t="s">
        <v>21</v>
      </c>
      <c r="E36" t="s">
        <v>22</v>
      </c>
      <c r="F36" t="s">
        <v>23</v>
      </c>
      <c r="G36" t="s">
        <v>58</v>
      </c>
      <c r="H36" t="s">
        <v>25</v>
      </c>
      <c r="I36">
        <v>20250801</v>
      </c>
      <c r="J36">
        <v>20250809</v>
      </c>
      <c r="K36">
        <v>52.72</v>
      </c>
      <c r="L36" t="s">
        <v>25</v>
      </c>
      <c r="M36" t="s">
        <v>26</v>
      </c>
      <c r="N36" s="1">
        <v>0.1</v>
      </c>
      <c r="O36">
        <v>5.27</v>
      </c>
      <c r="P36" t="s">
        <v>25</v>
      </c>
    </row>
    <row r="37" spans="1:16" x14ac:dyDescent="0.25">
      <c r="A37" t="s">
        <v>108</v>
      </c>
      <c r="B37" t="s">
        <v>109</v>
      </c>
      <c r="C37" t="s">
        <v>29</v>
      </c>
      <c r="D37" t="s">
        <v>67</v>
      </c>
      <c r="E37" t="s">
        <v>31</v>
      </c>
      <c r="F37" t="s">
        <v>23</v>
      </c>
      <c r="G37" t="s">
        <v>32</v>
      </c>
      <c r="H37" t="s">
        <v>25</v>
      </c>
      <c r="I37">
        <v>20250601</v>
      </c>
      <c r="J37">
        <v>20250809</v>
      </c>
      <c r="K37">
        <v>-231.32</v>
      </c>
      <c r="L37" t="s">
        <v>25</v>
      </c>
      <c r="M37">
        <v>-1</v>
      </c>
      <c r="N37" s="2">
        <v>20</v>
      </c>
      <c r="O37">
        <v>-20</v>
      </c>
      <c r="P37" t="s">
        <v>110</v>
      </c>
    </row>
    <row r="38" spans="1:16" x14ac:dyDescent="0.25">
      <c r="A38" t="s">
        <v>108</v>
      </c>
      <c r="B38" t="s">
        <v>109</v>
      </c>
      <c r="C38" t="s">
        <v>29</v>
      </c>
      <c r="D38" t="s">
        <v>67</v>
      </c>
      <c r="E38" t="s">
        <v>31</v>
      </c>
      <c r="F38" t="s">
        <v>23</v>
      </c>
      <c r="G38" t="s">
        <v>32</v>
      </c>
      <c r="H38" t="s">
        <v>25</v>
      </c>
      <c r="I38">
        <v>20250501</v>
      </c>
      <c r="J38">
        <v>20250809</v>
      </c>
      <c r="K38">
        <v>-231.32</v>
      </c>
      <c r="L38" t="s">
        <v>25</v>
      </c>
      <c r="M38">
        <v>-1</v>
      </c>
      <c r="N38" s="2">
        <v>20</v>
      </c>
      <c r="O38">
        <v>-20</v>
      </c>
      <c r="P38" t="s">
        <v>110</v>
      </c>
    </row>
    <row r="39" spans="1:16" x14ac:dyDescent="0.25">
      <c r="A39" t="s">
        <v>108</v>
      </c>
      <c r="B39" t="s">
        <v>109</v>
      </c>
      <c r="C39" t="s">
        <v>29</v>
      </c>
      <c r="D39" t="s">
        <v>67</v>
      </c>
      <c r="E39" t="s">
        <v>31</v>
      </c>
      <c r="F39" t="s">
        <v>23</v>
      </c>
      <c r="G39" t="s">
        <v>32</v>
      </c>
      <c r="H39" t="s">
        <v>25</v>
      </c>
      <c r="I39">
        <v>20250201</v>
      </c>
      <c r="J39">
        <v>20250809</v>
      </c>
      <c r="K39">
        <v>-231.32</v>
      </c>
      <c r="L39" t="s">
        <v>25</v>
      </c>
      <c r="M39">
        <v>-1</v>
      </c>
      <c r="N39" s="2">
        <v>20</v>
      </c>
      <c r="O39">
        <v>-20</v>
      </c>
      <c r="P39" t="s">
        <v>110</v>
      </c>
    </row>
    <row r="40" spans="1:16" x14ac:dyDescent="0.25">
      <c r="A40" t="s">
        <v>108</v>
      </c>
      <c r="B40" t="s">
        <v>109</v>
      </c>
      <c r="C40" t="s">
        <v>29</v>
      </c>
      <c r="D40" t="s">
        <v>67</v>
      </c>
      <c r="E40" t="s">
        <v>31</v>
      </c>
      <c r="F40" t="s">
        <v>23</v>
      </c>
      <c r="G40" t="s">
        <v>32</v>
      </c>
      <c r="H40" t="s">
        <v>25</v>
      </c>
      <c r="I40">
        <v>20250401</v>
      </c>
      <c r="J40">
        <v>20250809</v>
      </c>
      <c r="K40">
        <v>-231.32</v>
      </c>
      <c r="L40" t="s">
        <v>25</v>
      </c>
      <c r="M40">
        <v>-1</v>
      </c>
      <c r="N40" s="2">
        <v>20</v>
      </c>
      <c r="O40">
        <v>-20</v>
      </c>
      <c r="P40" t="s">
        <v>110</v>
      </c>
    </row>
    <row r="41" spans="1:16" x14ac:dyDescent="0.25">
      <c r="A41" t="s">
        <v>108</v>
      </c>
      <c r="B41" t="s">
        <v>109</v>
      </c>
      <c r="C41" t="s">
        <v>29</v>
      </c>
      <c r="D41" t="s">
        <v>67</v>
      </c>
      <c r="E41" t="s">
        <v>31</v>
      </c>
      <c r="F41" t="s">
        <v>23</v>
      </c>
      <c r="G41" t="s">
        <v>32</v>
      </c>
      <c r="H41" t="s">
        <v>25</v>
      </c>
      <c r="I41">
        <v>20250101</v>
      </c>
      <c r="J41">
        <v>20250809</v>
      </c>
      <c r="K41">
        <v>-231.32</v>
      </c>
      <c r="L41" t="s">
        <v>25</v>
      </c>
      <c r="M41">
        <v>-1</v>
      </c>
      <c r="N41" s="2">
        <v>20</v>
      </c>
      <c r="O41">
        <v>-20</v>
      </c>
      <c r="P41" t="s">
        <v>110</v>
      </c>
    </row>
    <row r="42" spans="1:16" x14ac:dyDescent="0.25">
      <c r="A42" t="s">
        <v>108</v>
      </c>
      <c r="B42" t="s">
        <v>109</v>
      </c>
      <c r="C42" t="s">
        <v>29</v>
      </c>
      <c r="D42" t="s">
        <v>67</v>
      </c>
      <c r="E42" t="s">
        <v>31</v>
      </c>
      <c r="F42" t="s">
        <v>23</v>
      </c>
      <c r="G42" t="s">
        <v>32</v>
      </c>
      <c r="H42" t="s">
        <v>25</v>
      </c>
      <c r="I42">
        <v>20250301</v>
      </c>
      <c r="J42">
        <v>20250809</v>
      </c>
      <c r="K42">
        <v>-231.32</v>
      </c>
      <c r="L42" t="s">
        <v>25</v>
      </c>
      <c r="M42">
        <v>-1</v>
      </c>
      <c r="N42" s="2">
        <v>20</v>
      </c>
      <c r="O42">
        <v>-20</v>
      </c>
      <c r="P42" t="s">
        <v>110</v>
      </c>
    </row>
    <row r="43" spans="1:16" x14ac:dyDescent="0.25">
      <c r="A43" t="s">
        <v>111</v>
      </c>
      <c r="B43" t="s">
        <v>112</v>
      </c>
      <c r="C43" t="s">
        <v>20</v>
      </c>
      <c r="D43" t="s">
        <v>21</v>
      </c>
      <c r="E43" t="s">
        <v>22</v>
      </c>
      <c r="F43" t="s">
        <v>23</v>
      </c>
      <c r="G43" t="s">
        <v>36</v>
      </c>
      <c r="H43" t="s">
        <v>25</v>
      </c>
      <c r="I43">
        <v>20250801</v>
      </c>
      <c r="J43">
        <v>20250809</v>
      </c>
      <c r="K43">
        <v>68.3</v>
      </c>
      <c r="L43" t="s">
        <v>25</v>
      </c>
      <c r="M43" t="s">
        <v>26</v>
      </c>
      <c r="N43" s="1">
        <v>0.1</v>
      </c>
      <c r="O43">
        <v>6.83</v>
      </c>
      <c r="P43" t="s">
        <v>25</v>
      </c>
    </row>
    <row r="44" spans="1:16" x14ac:dyDescent="0.25">
      <c r="A44" t="s">
        <v>113</v>
      </c>
      <c r="B44" t="s">
        <v>114</v>
      </c>
      <c r="C44" t="s">
        <v>20</v>
      </c>
      <c r="D44" t="s">
        <v>21</v>
      </c>
      <c r="E44" t="s">
        <v>22</v>
      </c>
      <c r="F44" t="s">
        <v>23</v>
      </c>
      <c r="G44" t="s">
        <v>115</v>
      </c>
      <c r="H44" t="s">
        <v>25</v>
      </c>
      <c r="I44">
        <v>20250801</v>
      </c>
      <c r="J44">
        <v>20250809</v>
      </c>
      <c r="K44">
        <v>54</v>
      </c>
      <c r="L44" t="s">
        <v>25</v>
      </c>
      <c r="M44" t="s">
        <v>26</v>
      </c>
      <c r="N44" s="1">
        <v>0.1</v>
      </c>
      <c r="O44">
        <v>5.4</v>
      </c>
      <c r="P44" t="s">
        <v>25</v>
      </c>
    </row>
    <row r="45" spans="1:16" x14ac:dyDescent="0.25">
      <c r="A45" t="s">
        <v>116</v>
      </c>
      <c r="B45" t="s">
        <v>117</v>
      </c>
      <c r="C45" t="s">
        <v>20</v>
      </c>
      <c r="D45" t="s">
        <v>21</v>
      </c>
      <c r="E45" t="s">
        <v>22</v>
      </c>
      <c r="F45" t="s">
        <v>23</v>
      </c>
      <c r="G45" t="s">
        <v>36</v>
      </c>
      <c r="H45" t="s">
        <v>25</v>
      </c>
      <c r="I45">
        <v>20250801</v>
      </c>
      <c r="J45">
        <v>20250809</v>
      </c>
      <c r="K45">
        <v>43</v>
      </c>
      <c r="L45" t="s">
        <v>25</v>
      </c>
      <c r="M45" t="s">
        <v>26</v>
      </c>
      <c r="N45" s="1">
        <v>0.2</v>
      </c>
      <c r="O45">
        <v>8.6</v>
      </c>
      <c r="P45" t="s">
        <v>25</v>
      </c>
    </row>
    <row r="46" spans="1:16" x14ac:dyDescent="0.25">
      <c r="A46" t="s">
        <v>118</v>
      </c>
      <c r="B46" t="s">
        <v>119</v>
      </c>
      <c r="C46" t="s">
        <v>56</v>
      </c>
      <c r="D46" t="s">
        <v>57</v>
      </c>
      <c r="E46" t="s">
        <v>31</v>
      </c>
      <c r="F46" t="s">
        <v>23</v>
      </c>
      <c r="G46" t="s">
        <v>120</v>
      </c>
      <c r="H46" t="s">
        <v>25</v>
      </c>
      <c r="I46">
        <v>20250801</v>
      </c>
      <c r="J46">
        <v>20250809</v>
      </c>
      <c r="K46">
        <v>167.83</v>
      </c>
      <c r="L46" t="s">
        <v>33</v>
      </c>
      <c r="M46">
        <v>1</v>
      </c>
      <c r="N46" s="2">
        <v>25</v>
      </c>
      <c r="O46">
        <v>25</v>
      </c>
      <c r="P46" t="s">
        <v>25</v>
      </c>
    </row>
    <row r="47" spans="1:16" x14ac:dyDescent="0.25">
      <c r="A47" t="s">
        <v>121</v>
      </c>
      <c r="B47" t="s">
        <v>122</v>
      </c>
      <c r="C47" t="s">
        <v>20</v>
      </c>
      <c r="D47" t="s">
        <v>21</v>
      </c>
      <c r="E47" t="s">
        <v>22</v>
      </c>
      <c r="F47" t="s">
        <v>23</v>
      </c>
      <c r="G47" t="s">
        <v>36</v>
      </c>
      <c r="H47" t="s">
        <v>25</v>
      </c>
      <c r="I47">
        <v>20250801</v>
      </c>
      <c r="J47">
        <v>20250809</v>
      </c>
      <c r="K47">
        <v>146.72</v>
      </c>
      <c r="L47" t="s">
        <v>25</v>
      </c>
      <c r="M47" t="s">
        <v>26</v>
      </c>
      <c r="N47" s="1">
        <v>0.1</v>
      </c>
      <c r="O47">
        <v>14.67</v>
      </c>
      <c r="P4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B171-53F6-4E98-B561-9CCEABA99B3D}">
  <dimension ref="A1:U47"/>
  <sheetViews>
    <sheetView tabSelected="1" workbookViewId="0">
      <selection activeCell="G25" sqref="G25"/>
    </sheetView>
  </sheetViews>
  <sheetFormatPr defaultRowHeight="15" x14ac:dyDescent="0.25"/>
  <cols>
    <col min="3" max="3" width="25.28515625" bestFit="1" customWidth="1"/>
    <col min="4" max="4" width="16.140625" bestFit="1" customWidth="1"/>
    <col min="5" max="5" width="20.85546875" bestFit="1" customWidth="1"/>
    <col min="6" max="6" width="20.85546875" customWidth="1"/>
    <col min="7" max="7" width="13.28515625" bestFit="1" customWidth="1"/>
    <col min="16" max="16" width="10.140625" bestFit="1" customWidth="1"/>
  </cols>
  <sheetData>
    <row r="1" spans="1:16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6</v>
      </c>
      <c r="I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</row>
    <row r="2" spans="1:16" x14ac:dyDescent="0.25">
      <c r="A2" t="s">
        <v>80</v>
      </c>
      <c r="B2" t="str">
        <f>CONCATENATE(A2,7)</f>
        <v>85L9M57</v>
      </c>
      <c r="C2" t="s">
        <v>81</v>
      </c>
      <c r="D2" t="s">
        <v>20</v>
      </c>
      <c r="E2" t="s">
        <v>67</v>
      </c>
      <c r="F2">
        <v>16865615</v>
      </c>
      <c r="G2" t="s">
        <v>22</v>
      </c>
      <c r="H2" t="s">
        <v>32</v>
      </c>
      <c r="I2">
        <v>20250801</v>
      </c>
      <c r="J2" t="str">
        <f>TEXT(DATE(LEFT(I2,4), MID(I2,5,2), RIGHT(I2,2)), "M/d/yyyy")</f>
        <v>8/1/2025</v>
      </c>
      <c r="K2">
        <v>20250809</v>
      </c>
      <c r="L2">
        <v>35.06</v>
      </c>
      <c r="M2" t="s">
        <v>26</v>
      </c>
      <c r="N2" s="1">
        <v>0.1</v>
      </c>
      <c r="O2">
        <v>3.51</v>
      </c>
      <c r="P2" t="s">
        <v>124</v>
      </c>
    </row>
    <row r="3" spans="1:16" x14ac:dyDescent="0.25">
      <c r="A3" t="s">
        <v>61</v>
      </c>
      <c r="B3" t="str">
        <f>CONCATENATE(A3,7)</f>
        <v>36H0M77</v>
      </c>
      <c r="C3" t="s">
        <v>62</v>
      </c>
      <c r="D3" t="s">
        <v>20</v>
      </c>
      <c r="E3" t="s">
        <v>21</v>
      </c>
      <c r="F3">
        <v>17425766</v>
      </c>
      <c r="G3" t="s">
        <v>22</v>
      </c>
      <c r="H3" t="s">
        <v>36</v>
      </c>
      <c r="I3">
        <v>20250801</v>
      </c>
      <c r="J3" t="str">
        <f>TEXT(DATE(LEFT(I3,4), MID(I3,5,2), RIGHT(I3,2)), "M/d/yyyy")</f>
        <v>8/1/2025</v>
      </c>
      <c r="K3">
        <v>20250809</v>
      </c>
      <c r="L3">
        <v>79.55</v>
      </c>
      <c r="M3" t="s">
        <v>26</v>
      </c>
      <c r="N3" s="1">
        <v>0.1</v>
      </c>
      <c r="O3">
        <v>7.96</v>
      </c>
      <c r="P3" t="s">
        <v>124</v>
      </c>
    </row>
    <row r="4" spans="1:16" x14ac:dyDescent="0.25">
      <c r="A4" t="s">
        <v>90</v>
      </c>
      <c r="B4" t="str">
        <f>CONCATENATE(A4,8)</f>
        <v>69M79F8</v>
      </c>
      <c r="C4" t="s">
        <v>91</v>
      </c>
      <c r="D4" t="s">
        <v>20</v>
      </c>
      <c r="E4" t="s">
        <v>92</v>
      </c>
      <c r="F4">
        <v>16633294</v>
      </c>
      <c r="G4" t="s">
        <v>22</v>
      </c>
      <c r="H4" t="s">
        <v>93</v>
      </c>
      <c r="I4">
        <v>20250801</v>
      </c>
      <c r="J4" t="str">
        <f>TEXT(DATE(LEFT(I4,4), MID(I4,5,2), RIGHT(I4,2)), "M/d/yyyy")</f>
        <v>8/1/2025</v>
      </c>
      <c r="K4">
        <v>20250809</v>
      </c>
      <c r="L4">
        <v>200.63</v>
      </c>
      <c r="M4" t="s">
        <v>26</v>
      </c>
      <c r="N4" s="1">
        <v>0.2</v>
      </c>
      <c r="O4">
        <v>40.130000000000003</v>
      </c>
      <c r="P4" t="s">
        <v>124</v>
      </c>
    </row>
    <row r="5" spans="1:16" x14ac:dyDescent="0.25">
      <c r="A5" t="s">
        <v>18</v>
      </c>
      <c r="B5" t="str">
        <f>CONCATENATE(A5,7)</f>
        <v>01DT827</v>
      </c>
      <c r="C5" t="s">
        <v>19</v>
      </c>
      <c r="D5" t="s">
        <v>20</v>
      </c>
      <c r="E5" t="s">
        <v>21</v>
      </c>
      <c r="F5">
        <v>17425766</v>
      </c>
      <c r="G5" t="s">
        <v>22</v>
      </c>
      <c r="H5" t="s">
        <v>24</v>
      </c>
      <c r="I5">
        <v>20250801</v>
      </c>
      <c r="J5" t="str">
        <f>TEXT(DATE(LEFT(I5,4), MID(I5,5,2), RIGHT(I5,2)), "M/d/yyyy")</f>
        <v>8/1/2025</v>
      </c>
      <c r="K5">
        <v>20250809</v>
      </c>
      <c r="L5">
        <v>32</v>
      </c>
      <c r="M5" t="s">
        <v>26</v>
      </c>
      <c r="N5" s="1">
        <v>0.1</v>
      </c>
      <c r="O5">
        <v>3.2</v>
      </c>
      <c r="P5" t="s">
        <v>124</v>
      </c>
    </row>
    <row r="6" spans="1:16" x14ac:dyDescent="0.25">
      <c r="A6" t="s">
        <v>37</v>
      </c>
      <c r="B6" t="str">
        <f>CONCATENATE(A6,7)</f>
        <v>13L90K7</v>
      </c>
      <c r="C6" t="s">
        <v>38</v>
      </c>
      <c r="D6" t="s">
        <v>20</v>
      </c>
      <c r="E6" t="s">
        <v>21</v>
      </c>
      <c r="F6">
        <v>17425766</v>
      </c>
      <c r="G6" t="s">
        <v>22</v>
      </c>
      <c r="H6" t="s">
        <v>39</v>
      </c>
      <c r="I6">
        <v>20250801</v>
      </c>
      <c r="J6" t="str">
        <f>TEXT(DATE(LEFT(I6,4), MID(I6,5,2), RIGHT(I6,2)), "M/d/yyyy")</f>
        <v>8/1/2025</v>
      </c>
      <c r="K6">
        <v>20250809</v>
      </c>
      <c r="L6">
        <v>43</v>
      </c>
      <c r="M6" t="s">
        <v>26</v>
      </c>
      <c r="N6" s="1">
        <v>0.1</v>
      </c>
      <c r="O6">
        <v>4.3</v>
      </c>
      <c r="P6" t="s">
        <v>124</v>
      </c>
    </row>
    <row r="7" spans="1:16" x14ac:dyDescent="0.25">
      <c r="A7" t="s">
        <v>37</v>
      </c>
      <c r="B7" t="str">
        <f>CONCATENATE(A7,8)</f>
        <v>13L90K8</v>
      </c>
      <c r="C7" t="s">
        <v>38</v>
      </c>
      <c r="D7" t="s">
        <v>20</v>
      </c>
      <c r="E7" t="s">
        <v>21</v>
      </c>
      <c r="F7">
        <v>17425766</v>
      </c>
      <c r="G7" t="s">
        <v>22</v>
      </c>
      <c r="H7" t="s">
        <v>39</v>
      </c>
      <c r="I7">
        <v>20250701</v>
      </c>
      <c r="J7" t="str">
        <f>TEXT(DATE(LEFT(I7,4), MID(I7,5,2), RIGHT(I7,2)), "M/d/yyyy")</f>
        <v>7/1/2025</v>
      </c>
      <c r="K7">
        <v>20250809</v>
      </c>
      <c r="L7">
        <v>43</v>
      </c>
      <c r="M7" t="s">
        <v>26</v>
      </c>
      <c r="N7" s="1">
        <v>0.2</v>
      </c>
      <c r="O7">
        <v>8.6</v>
      </c>
      <c r="P7" t="s">
        <v>124</v>
      </c>
    </row>
    <row r="8" spans="1:16" x14ac:dyDescent="0.25">
      <c r="A8" t="s">
        <v>111</v>
      </c>
      <c r="B8" t="str">
        <f>CONCATENATE(A8,7)</f>
        <v>88GC667</v>
      </c>
      <c r="C8" t="s">
        <v>112</v>
      </c>
      <c r="D8" t="s">
        <v>20</v>
      </c>
      <c r="E8" t="s">
        <v>21</v>
      </c>
      <c r="F8">
        <v>17425766</v>
      </c>
      <c r="G8" t="s">
        <v>22</v>
      </c>
      <c r="H8" t="s">
        <v>36</v>
      </c>
      <c r="I8">
        <v>20250801</v>
      </c>
      <c r="J8" t="str">
        <f>TEXT(DATE(LEFT(I8,4), MID(I8,5,2), RIGHT(I8,2)), "M/d/yyyy")</f>
        <v>8/1/2025</v>
      </c>
      <c r="K8">
        <v>20250809</v>
      </c>
      <c r="L8">
        <v>68.3</v>
      </c>
      <c r="M8" t="s">
        <v>26</v>
      </c>
      <c r="N8" s="1">
        <v>0.1</v>
      </c>
      <c r="O8">
        <v>6.83</v>
      </c>
      <c r="P8" t="s">
        <v>124</v>
      </c>
    </row>
    <row r="9" spans="1:16" x14ac:dyDescent="0.25">
      <c r="A9" t="s">
        <v>63</v>
      </c>
      <c r="B9" t="str">
        <f>CONCATENATE(A9,7)</f>
        <v>36H9M67</v>
      </c>
      <c r="C9" t="s">
        <v>64</v>
      </c>
      <c r="D9" t="s">
        <v>20</v>
      </c>
      <c r="E9" t="s">
        <v>21</v>
      </c>
      <c r="F9">
        <v>17425766</v>
      </c>
      <c r="G9" t="s">
        <v>22</v>
      </c>
      <c r="H9" t="s">
        <v>36</v>
      </c>
      <c r="I9">
        <v>20250801</v>
      </c>
      <c r="J9" t="str">
        <f>TEXT(DATE(LEFT(I9,4), MID(I9,5,2), RIGHT(I9,2)), "M/d/yyyy")</f>
        <v>8/1/2025</v>
      </c>
      <c r="K9">
        <v>20250809</v>
      </c>
      <c r="L9">
        <v>112.7</v>
      </c>
      <c r="M9" t="s">
        <v>26</v>
      </c>
      <c r="N9" s="1">
        <v>0.1</v>
      </c>
      <c r="O9">
        <v>11.27</v>
      </c>
      <c r="P9" t="s">
        <v>124</v>
      </c>
    </row>
    <row r="10" spans="1:16" x14ac:dyDescent="0.25">
      <c r="A10" t="s">
        <v>78</v>
      </c>
      <c r="B10" t="str">
        <f>CONCATENATE(A10,7)</f>
        <v>39H0M37</v>
      </c>
      <c r="C10" t="s">
        <v>79</v>
      </c>
      <c r="D10" t="s">
        <v>20</v>
      </c>
      <c r="E10" t="s">
        <v>21</v>
      </c>
      <c r="F10">
        <v>17425766</v>
      </c>
      <c r="G10" t="s">
        <v>22</v>
      </c>
      <c r="H10" t="s">
        <v>36</v>
      </c>
      <c r="I10">
        <v>20250801</v>
      </c>
      <c r="J10" t="str">
        <f>TEXT(DATE(LEFT(I10,4), MID(I10,5,2), RIGHT(I10,2)), "M/d/yyyy")</f>
        <v>8/1/2025</v>
      </c>
      <c r="K10">
        <v>20250809</v>
      </c>
      <c r="L10">
        <v>43</v>
      </c>
      <c r="M10" t="s">
        <v>26</v>
      </c>
      <c r="N10" s="1">
        <v>0.1</v>
      </c>
      <c r="O10">
        <v>4.3</v>
      </c>
      <c r="P10" t="s">
        <v>124</v>
      </c>
    </row>
    <row r="11" spans="1:16" x14ac:dyDescent="0.25">
      <c r="A11" t="s">
        <v>94</v>
      </c>
      <c r="B11" t="str">
        <f>CONCATENATE(A11,8)</f>
        <v>65MP818</v>
      </c>
      <c r="C11" t="s">
        <v>95</v>
      </c>
      <c r="D11" t="s">
        <v>20</v>
      </c>
      <c r="E11" t="s">
        <v>21</v>
      </c>
      <c r="F11">
        <v>17425766</v>
      </c>
      <c r="G11" t="s">
        <v>22</v>
      </c>
      <c r="H11" t="s">
        <v>36</v>
      </c>
      <c r="I11">
        <v>20250801</v>
      </c>
      <c r="J11" t="str">
        <f>TEXT(DATE(LEFT(I11,4), MID(I11,5,2), RIGHT(I11,2)), "M/d/yyyy")</f>
        <v>8/1/2025</v>
      </c>
      <c r="K11">
        <v>20250809</v>
      </c>
      <c r="L11">
        <v>52</v>
      </c>
      <c r="M11" t="s">
        <v>26</v>
      </c>
      <c r="N11" s="1">
        <v>0.2</v>
      </c>
      <c r="O11">
        <v>10.4</v>
      </c>
      <c r="P11" t="s">
        <v>124</v>
      </c>
    </row>
    <row r="12" spans="1:16" x14ac:dyDescent="0.25">
      <c r="A12" t="s">
        <v>94</v>
      </c>
      <c r="B12" t="str">
        <f>CONCATENATE(A12,8)</f>
        <v>65MP818</v>
      </c>
      <c r="C12" t="s">
        <v>95</v>
      </c>
      <c r="D12" t="s">
        <v>20</v>
      </c>
      <c r="E12" t="s">
        <v>21</v>
      </c>
      <c r="F12">
        <v>17425766</v>
      </c>
      <c r="G12" t="s">
        <v>22</v>
      </c>
      <c r="H12" t="s">
        <v>36</v>
      </c>
      <c r="I12">
        <v>20250701</v>
      </c>
      <c r="J12" t="str">
        <f>TEXT(DATE(LEFT(I12,4), MID(I12,5,2), RIGHT(I12,2)), "M/d/yyyy")</f>
        <v>7/1/2025</v>
      </c>
      <c r="K12">
        <v>20250809</v>
      </c>
      <c r="L12">
        <v>52</v>
      </c>
      <c r="M12" t="s">
        <v>26</v>
      </c>
      <c r="N12" s="1">
        <v>0.2</v>
      </c>
      <c r="O12">
        <v>10.4</v>
      </c>
      <c r="P12" t="s">
        <v>124</v>
      </c>
    </row>
    <row r="13" spans="1:16" x14ac:dyDescent="0.25">
      <c r="A13" t="s">
        <v>42</v>
      </c>
      <c r="B13" t="str">
        <f>CONCATENATE(A13,7)</f>
        <v>1Y207E7</v>
      </c>
      <c r="C13" t="s">
        <v>43</v>
      </c>
      <c r="D13" t="s">
        <v>20</v>
      </c>
      <c r="E13" t="s">
        <v>21</v>
      </c>
      <c r="F13">
        <v>17425766</v>
      </c>
      <c r="G13" t="s">
        <v>22</v>
      </c>
      <c r="H13" t="s">
        <v>24</v>
      </c>
      <c r="I13">
        <v>20250801</v>
      </c>
      <c r="J13" t="str">
        <f>TEXT(DATE(LEFT(I13,4), MID(I13,5,2), RIGHT(I13,2)), "M/d/yyyy")</f>
        <v>8/1/2025</v>
      </c>
      <c r="K13">
        <v>20250809</v>
      </c>
      <c r="L13">
        <v>36.65</v>
      </c>
      <c r="M13" t="s">
        <v>26</v>
      </c>
      <c r="N13" s="1">
        <v>0.1</v>
      </c>
      <c r="O13">
        <v>3.67</v>
      </c>
      <c r="P13" t="s">
        <v>124</v>
      </c>
    </row>
    <row r="14" spans="1:16" x14ac:dyDescent="0.25">
      <c r="A14" t="s">
        <v>106</v>
      </c>
      <c r="B14" t="str">
        <f>CONCATENATE(A14,7)</f>
        <v>7Y95N87</v>
      </c>
      <c r="C14" t="s">
        <v>107</v>
      </c>
      <c r="D14" t="s">
        <v>20</v>
      </c>
      <c r="E14" t="s">
        <v>21</v>
      </c>
      <c r="F14">
        <v>17425766</v>
      </c>
      <c r="G14" t="s">
        <v>22</v>
      </c>
      <c r="H14" t="s">
        <v>58</v>
      </c>
      <c r="I14">
        <v>20250801</v>
      </c>
      <c r="J14" t="str">
        <f>TEXT(DATE(LEFT(I14,4), MID(I14,5,2), RIGHT(I14,2)), "M/d/yyyy")</f>
        <v>8/1/2025</v>
      </c>
      <c r="K14">
        <v>20250809</v>
      </c>
      <c r="L14">
        <v>52.72</v>
      </c>
      <c r="M14" t="s">
        <v>26</v>
      </c>
      <c r="N14" s="1">
        <v>0.1</v>
      </c>
      <c r="O14">
        <v>5.27</v>
      </c>
      <c r="P14" t="s">
        <v>124</v>
      </c>
    </row>
    <row r="15" spans="1:16" x14ac:dyDescent="0.25">
      <c r="A15" t="s">
        <v>116</v>
      </c>
      <c r="B15" t="str">
        <f>CONCATENATE(A15,8)</f>
        <v>89MQ998</v>
      </c>
      <c r="C15" t="s">
        <v>117</v>
      </c>
      <c r="D15" t="s">
        <v>20</v>
      </c>
      <c r="E15" t="s">
        <v>21</v>
      </c>
      <c r="F15">
        <v>17425766</v>
      </c>
      <c r="G15" t="s">
        <v>22</v>
      </c>
      <c r="H15" t="s">
        <v>36</v>
      </c>
      <c r="I15">
        <v>20250801</v>
      </c>
      <c r="J15" t="str">
        <f>TEXT(DATE(LEFT(I15,4), MID(I15,5,2), RIGHT(I15,2)), "M/d/yyyy")</f>
        <v>8/1/2025</v>
      </c>
      <c r="K15">
        <v>20250809</v>
      </c>
      <c r="L15">
        <v>43</v>
      </c>
      <c r="M15" t="s">
        <v>26</v>
      </c>
      <c r="N15" s="1">
        <v>0.2</v>
      </c>
      <c r="O15">
        <v>8.6</v>
      </c>
      <c r="P15" t="s">
        <v>124</v>
      </c>
    </row>
    <row r="16" spans="1:16" x14ac:dyDescent="0.25">
      <c r="A16" t="s">
        <v>59</v>
      </c>
      <c r="B16" t="str">
        <f>CONCATENATE(A16,7)</f>
        <v>63K9V77</v>
      </c>
      <c r="C16" t="s">
        <v>60</v>
      </c>
      <c r="D16" t="s">
        <v>20</v>
      </c>
      <c r="E16" t="s">
        <v>21</v>
      </c>
      <c r="F16">
        <v>17425766</v>
      </c>
      <c r="G16" t="s">
        <v>22</v>
      </c>
      <c r="H16" t="s">
        <v>36</v>
      </c>
      <c r="I16">
        <v>20250801</v>
      </c>
      <c r="J16" t="str">
        <f>TEXT(DATE(LEFT(I16,4), MID(I16,5,2), RIGHT(I16,2)), "M/d/yyyy")</f>
        <v>8/1/2025</v>
      </c>
      <c r="K16">
        <v>20250809</v>
      </c>
      <c r="L16">
        <v>70.3</v>
      </c>
      <c r="M16" t="s">
        <v>26</v>
      </c>
      <c r="N16" s="1">
        <v>0.1</v>
      </c>
      <c r="O16">
        <v>7.03</v>
      </c>
      <c r="P16" t="s">
        <v>124</v>
      </c>
    </row>
    <row r="17" spans="1:21" x14ac:dyDescent="0.25">
      <c r="A17" t="s">
        <v>40</v>
      </c>
      <c r="B17" t="str">
        <f>CONCATENATE(A17,7)</f>
        <v>19C09G7</v>
      </c>
      <c r="C17" t="s">
        <v>41</v>
      </c>
      <c r="D17" t="s">
        <v>20</v>
      </c>
      <c r="E17" t="s">
        <v>21</v>
      </c>
      <c r="F17">
        <v>17425766</v>
      </c>
      <c r="G17" t="s">
        <v>22</v>
      </c>
      <c r="H17" t="s">
        <v>36</v>
      </c>
      <c r="I17">
        <v>20250801</v>
      </c>
      <c r="J17" t="str">
        <f>TEXT(DATE(LEFT(I17,4), MID(I17,5,2), RIGHT(I17,2)), "M/d/yyyy")</f>
        <v>8/1/2025</v>
      </c>
      <c r="K17">
        <v>20250809</v>
      </c>
      <c r="L17">
        <v>41</v>
      </c>
      <c r="M17" t="s">
        <v>26</v>
      </c>
      <c r="N17" s="1">
        <v>0.1</v>
      </c>
      <c r="O17">
        <v>4.0999999999999996</v>
      </c>
      <c r="P17" t="s">
        <v>124</v>
      </c>
    </row>
    <row r="18" spans="1:21" x14ac:dyDescent="0.25">
      <c r="A18" t="s">
        <v>102</v>
      </c>
      <c r="B18" t="str">
        <f>CONCATENATE(A18,7)</f>
        <v>76H3P57</v>
      </c>
      <c r="C18" t="s">
        <v>103</v>
      </c>
      <c r="D18" t="s">
        <v>20</v>
      </c>
      <c r="E18" t="s">
        <v>21</v>
      </c>
      <c r="F18">
        <v>17425766</v>
      </c>
      <c r="G18" t="s">
        <v>22</v>
      </c>
      <c r="H18" t="s">
        <v>36</v>
      </c>
      <c r="I18">
        <v>20250801</v>
      </c>
      <c r="J18" t="str">
        <f>TEXT(DATE(LEFT(I18,4), MID(I18,5,2), RIGHT(I18,2)), "M/d/yyyy")</f>
        <v>8/1/2025</v>
      </c>
      <c r="K18">
        <v>20250809</v>
      </c>
      <c r="L18">
        <v>76.150000000000006</v>
      </c>
      <c r="M18" t="s">
        <v>26</v>
      </c>
      <c r="N18" s="1">
        <v>0.1</v>
      </c>
      <c r="O18">
        <v>7.62</v>
      </c>
      <c r="P18" t="s">
        <v>124</v>
      </c>
    </row>
    <row r="19" spans="1:21" x14ac:dyDescent="0.25">
      <c r="A19" t="s">
        <v>52</v>
      </c>
      <c r="B19" t="str">
        <f>CONCATENATE(A19,7)</f>
        <v>24L45K7</v>
      </c>
      <c r="C19" t="s">
        <v>53</v>
      </c>
      <c r="D19" t="s">
        <v>20</v>
      </c>
      <c r="E19" t="s">
        <v>21</v>
      </c>
      <c r="F19">
        <v>17425766</v>
      </c>
      <c r="G19" t="s">
        <v>22</v>
      </c>
      <c r="H19" t="s">
        <v>36</v>
      </c>
      <c r="I19">
        <v>20250801</v>
      </c>
      <c r="J19" t="str">
        <f>TEXT(DATE(LEFT(I19,4), MID(I19,5,2), RIGHT(I19,2)), "M/d/yyyy")</f>
        <v>8/1/2025</v>
      </c>
      <c r="K19">
        <v>20250809</v>
      </c>
      <c r="L19">
        <v>53.85</v>
      </c>
      <c r="M19" t="s">
        <v>26</v>
      </c>
      <c r="N19" s="1">
        <v>0.1</v>
      </c>
      <c r="O19">
        <v>5.39</v>
      </c>
      <c r="P19" t="s">
        <v>124</v>
      </c>
    </row>
    <row r="20" spans="1:21" x14ac:dyDescent="0.25">
      <c r="A20" t="s">
        <v>113</v>
      </c>
      <c r="B20" t="str">
        <f>CONCATENATE(A20,7)</f>
        <v>96L3R87</v>
      </c>
      <c r="C20" t="s">
        <v>114</v>
      </c>
      <c r="D20" t="s">
        <v>20</v>
      </c>
      <c r="E20" t="s">
        <v>21</v>
      </c>
      <c r="F20">
        <v>17425766</v>
      </c>
      <c r="G20" t="s">
        <v>22</v>
      </c>
      <c r="H20" t="s">
        <v>115</v>
      </c>
      <c r="I20">
        <v>20250801</v>
      </c>
      <c r="J20" t="str">
        <f>TEXT(DATE(LEFT(I20,4), MID(I20,5,2), RIGHT(I20,2)), "M/d/yyyy")</f>
        <v>8/1/2025</v>
      </c>
      <c r="K20">
        <v>20250809</v>
      </c>
      <c r="L20">
        <v>54</v>
      </c>
      <c r="M20" t="s">
        <v>26</v>
      </c>
      <c r="N20" s="1">
        <v>0.1</v>
      </c>
      <c r="O20">
        <v>5.4</v>
      </c>
      <c r="P20" t="s">
        <v>124</v>
      </c>
    </row>
    <row r="21" spans="1:21" x14ac:dyDescent="0.25">
      <c r="A21" s="3" t="s">
        <v>84</v>
      </c>
      <c r="B21" s="3" t="str">
        <f>CONCATENATE(A21,8)</f>
        <v>56M9L58</v>
      </c>
      <c r="C21" s="3" t="s">
        <v>85</v>
      </c>
      <c r="D21" s="3" t="s">
        <v>20</v>
      </c>
      <c r="E21" s="3" t="s">
        <v>86</v>
      </c>
      <c r="F21" s="3">
        <v>18754354</v>
      </c>
      <c r="G21" s="3" t="s">
        <v>22</v>
      </c>
      <c r="H21" s="3" t="s">
        <v>87</v>
      </c>
      <c r="I21" s="3">
        <v>20250801</v>
      </c>
      <c r="J21" s="3" t="str">
        <f>TEXT(DATE(LEFT(I21,4), MID(I21,5,2), RIGHT(I21,2)), "M/d/yyyy")</f>
        <v>8/1/2025</v>
      </c>
      <c r="K21" s="3">
        <v>20250809</v>
      </c>
      <c r="L21" s="3">
        <v>120.17</v>
      </c>
      <c r="M21" s="3" t="s">
        <v>26</v>
      </c>
      <c r="N21" s="5">
        <v>0.2</v>
      </c>
      <c r="O21" s="3">
        <v>24.03</v>
      </c>
      <c r="P21" s="3" t="s">
        <v>124</v>
      </c>
      <c r="Q21" s="3"/>
      <c r="R21" s="3"/>
      <c r="S21" s="3"/>
      <c r="T21" s="3"/>
      <c r="U21" s="3"/>
    </row>
    <row r="22" spans="1:21" x14ac:dyDescent="0.25">
      <c r="A22" t="s">
        <v>96</v>
      </c>
      <c r="B22" t="str">
        <f>CONCATENATE(A22,7)</f>
        <v>33L80Y7</v>
      </c>
      <c r="C22" t="s">
        <v>97</v>
      </c>
      <c r="D22" t="s">
        <v>20</v>
      </c>
      <c r="E22" t="s">
        <v>21</v>
      </c>
      <c r="F22">
        <v>17425766</v>
      </c>
      <c r="G22" t="s">
        <v>22</v>
      </c>
      <c r="H22" t="s">
        <v>36</v>
      </c>
      <c r="I22">
        <v>20250801</v>
      </c>
      <c r="J22" t="str">
        <f>TEXT(DATE(LEFT(I22,4), MID(I22,5,2), RIGHT(I22,2)), "M/d/yyyy")</f>
        <v>8/1/2025</v>
      </c>
      <c r="K22">
        <v>20250809</v>
      </c>
      <c r="L22">
        <v>57.77</v>
      </c>
      <c r="M22" t="s">
        <v>26</v>
      </c>
      <c r="N22" s="1">
        <v>0.1</v>
      </c>
      <c r="O22">
        <v>5.78</v>
      </c>
      <c r="P22" t="s">
        <v>124</v>
      </c>
    </row>
    <row r="23" spans="1:21" x14ac:dyDescent="0.25">
      <c r="A23" t="s">
        <v>34</v>
      </c>
      <c r="B23" t="str">
        <f>CONCATENATE(A23,7)</f>
        <v>11EQ737</v>
      </c>
      <c r="C23" t="s">
        <v>35</v>
      </c>
      <c r="D23" t="s">
        <v>20</v>
      </c>
      <c r="E23" t="s">
        <v>21</v>
      </c>
      <c r="F23">
        <v>17425766</v>
      </c>
      <c r="G23" t="s">
        <v>22</v>
      </c>
      <c r="H23" t="s">
        <v>36</v>
      </c>
      <c r="I23">
        <v>20250801</v>
      </c>
      <c r="J23" t="str">
        <f>TEXT(DATE(LEFT(I23,4), MID(I23,5,2), RIGHT(I23,2)), "M/d/yyyy")</f>
        <v>8/1/2025</v>
      </c>
      <c r="K23">
        <v>20250809</v>
      </c>
      <c r="L23">
        <v>39.42</v>
      </c>
      <c r="M23" t="s">
        <v>26</v>
      </c>
      <c r="N23" s="1">
        <v>0.1</v>
      </c>
      <c r="O23">
        <v>3.94</v>
      </c>
      <c r="P23" t="s">
        <v>124</v>
      </c>
    </row>
    <row r="24" spans="1:21" x14ac:dyDescent="0.25">
      <c r="A24" t="s">
        <v>121</v>
      </c>
      <c r="B24" t="str">
        <f>CONCATENATE(A24,7)</f>
        <v>09L0F97</v>
      </c>
      <c r="C24" t="s">
        <v>122</v>
      </c>
      <c r="D24" t="s">
        <v>20</v>
      </c>
      <c r="E24" t="s">
        <v>21</v>
      </c>
      <c r="F24">
        <v>17425766</v>
      </c>
      <c r="G24" t="s">
        <v>22</v>
      </c>
      <c r="H24" t="s">
        <v>36</v>
      </c>
      <c r="I24">
        <v>20250801</v>
      </c>
      <c r="J24" t="str">
        <f>TEXT(DATE(LEFT(I24,4), MID(I24,5,2), RIGHT(I24,2)), "M/d/yyyy")</f>
        <v>8/1/2025</v>
      </c>
      <c r="K24">
        <v>20250809</v>
      </c>
      <c r="L24">
        <v>146.72</v>
      </c>
      <c r="M24" t="s">
        <v>26</v>
      </c>
      <c r="N24" s="1">
        <v>0.1</v>
      </c>
      <c r="O24">
        <v>14.67</v>
      </c>
      <c r="P24" t="s">
        <v>124</v>
      </c>
    </row>
    <row r="25" spans="1:21" x14ac:dyDescent="0.25">
      <c r="A25" t="s">
        <v>68</v>
      </c>
      <c r="B25" t="str">
        <f>CONCATENATE(A25,7)</f>
        <v>37H4M87</v>
      </c>
      <c r="C25" t="s">
        <v>69</v>
      </c>
      <c r="D25" t="s">
        <v>20</v>
      </c>
      <c r="E25" t="s">
        <v>21</v>
      </c>
      <c r="F25">
        <v>17425766</v>
      </c>
      <c r="G25" t="s">
        <v>22</v>
      </c>
      <c r="H25" t="s">
        <v>36</v>
      </c>
      <c r="I25">
        <v>20250801</v>
      </c>
      <c r="J25" t="str">
        <f>TEXT(DATE(LEFT(I25,4), MID(I25,5,2), RIGHT(I25,2)), "M/d/yyyy")</f>
        <v>8/1/2025</v>
      </c>
      <c r="K25">
        <v>20250809</v>
      </c>
      <c r="L25">
        <v>52</v>
      </c>
      <c r="M25" t="s">
        <v>26</v>
      </c>
      <c r="N25" s="1">
        <v>0.1</v>
      </c>
      <c r="O25">
        <v>5.2</v>
      </c>
      <c r="P25" t="s">
        <v>124</v>
      </c>
    </row>
    <row r="26" spans="1:21" x14ac:dyDescent="0.25">
      <c r="A26" t="s">
        <v>72</v>
      </c>
      <c r="B26" t="str">
        <f>CONCATENATE(A26,7)</f>
        <v>38H6M67</v>
      </c>
      <c r="C26" t="s">
        <v>73</v>
      </c>
      <c r="D26" t="s">
        <v>20</v>
      </c>
      <c r="E26" t="s">
        <v>21</v>
      </c>
      <c r="F26">
        <v>17425766</v>
      </c>
      <c r="G26" t="s">
        <v>22</v>
      </c>
      <c r="H26" t="s">
        <v>36</v>
      </c>
      <c r="I26">
        <v>20250801</v>
      </c>
      <c r="J26" t="str">
        <f>TEXT(DATE(LEFT(I26,4), MID(I26,5,2), RIGHT(I26,2)), "M/d/yyyy")</f>
        <v>8/1/2025</v>
      </c>
      <c r="K26">
        <v>20250809</v>
      </c>
      <c r="L26">
        <v>145.85</v>
      </c>
      <c r="M26" t="s">
        <v>26</v>
      </c>
      <c r="N26" s="1">
        <v>0.1</v>
      </c>
      <c r="O26">
        <v>14.59</v>
      </c>
      <c r="P26" t="s">
        <v>124</v>
      </c>
    </row>
    <row r="27" spans="1:21" x14ac:dyDescent="0.25">
      <c r="A27" t="s">
        <v>104</v>
      </c>
      <c r="B27" t="str">
        <f>CONCATENATE(A27,7)</f>
        <v>79A4G57</v>
      </c>
      <c r="C27" t="s">
        <v>105</v>
      </c>
      <c r="D27" t="s">
        <v>20</v>
      </c>
      <c r="E27" t="s">
        <v>21</v>
      </c>
      <c r="F27">
        <v>17425766</v>
      </c>
      <c r="G27" t="s">
        <v>22</v>
      </c>
      <c r="H27" t="s">
        <v>36</v>
      </c>
      <c r="I27">
        <v>20250801</v>
      </c>
      <c r="J27" t="str">
        <f>TEXT(DATE(LEFT(I27,4), MID(I27,5,2), RIGHT(I27,2)), "M/d/yyyy")</f>
        <v>8/1/2025</v>
      </c>
      <c r="K27">
        <v>20250809</v>
      </c>
      <c r="L27">
        <v>114.31</v>
      </c>
      <c r="M27" t="s">
        <v>26</v>
      </c>
      <c r="N27" s="1">
        <v>0.1</v>
      </c>
      <c r="O27">
        <v>11.43</v>
      </c>
      <c r="P27" t="s">
        <v>124</v>
      </c>
    </row>
    <row r="28" spans="1:21" x14ac:dyDescent="0.25">
      <c r="A28" t="s">
        <v>70</v>
      </c>
      <c r="B28" t="str">
        <f>CONCATENATE(A28,7)</f>
        <v>37H4M97</v>
      </c>
      <c r="C28" t="s">
        <v>71</v>
      </c>
      <c r="D28" t="s">
        <v>20</v>
      </c>
      <c r="E28" t="s">
        <v>21</v>
      </c>
      <c r="F28">
        <v>17425766</v>
      </c>
      <c r="G28" t="s">
        <v>22</v>
      </c>
      <c r="H28" t="s">
        <v>36</v>
      </c>
      <c r="I28">
        <v>20250801</v>
      </c>
      <c r="J28" t="str">
        <f>TEXT(DATE(LEFT(I28,4), MID(I28,5,2), RIGHT(I28,2)), "M/d/yyyy")</f>
        <v>8/1/2025</v>
      </c>
      <c r="K28">
        <v>20250809</v>
      </c>
      <c r="L28">
        <v>43</v>
      </c>
      <c r="M28" t="s">
        <v>26</v>
      </c>
      <c r="N28" s="1">
        <v>0.1</v>
      </c>
      <c r="O28">
        <v>4.3</v>
      </c>
      <c r="P28" t="s">
        <v>124</v>
      </c>
    </row>
    <row r="29" spans="1:21" s="3" customFormat="1" x14ac:dyDescent="0.25">
      <c r="A29" t="s">
        <v>44</v>
      </c>
      <c r="B29" t="str">
        <f>CONCATENATE(A29,7)</f>
        <v>22C81W7</v>
      </c>
      <c r="C29" t="s">
        <v>45</v>
      </c>
      <c r="D29" t="s">
        <v>20</v>
      </c>
      <c r="E29" t="s">
        <v>21</v>
      </c>
      <c r="F29">
        <v>17425766</v>
      </c>
      <c r="G29" t="s">
        <v>22</v>
      </c>
      <c r="H29" t="s">
        <v>36</v>
      </c>
      <c r="I29">
        <v>20250801</v>
      </c>
      <c r="J29" t="str">
        <f>TEXT(DATE(LEFT(I29,4), MID(I29,5,2), RIGHT(I29,2)), "M/d/yyyy")</f>
        <v>8/1/2025</v>
      </c>
      <c r="K29">
        <v>20250809</v>
      </c>
      <c r="L29">
        <v>77</v>
      </c>
      <c r="M29" t="s">
        <v>26</v>
      </c>
      <c r="N29" s="1">
        <v>0.1</v>
      </c>
      <c r="O29">
        <v>7.7</v>
      </c>
      <c r="P29" t="s">
        <v>124</v>
      </c>
      <c r="Q29"/>
      <c r="R29"/>
      <c r="S29"/>
      <c r="T29"/>
      <c r="U29"/>
    </row>
    <row r="30" spans="1:21" s="3" customFormat="1" x14ac:dyDescent="0.25">
      <c r="A30" t="s">
        <v>65</v>
      </c>
      <c r="B30" t="str">
        <f>CONCATENATE(A30,7)</f>
        <v>35L86T7</v>
      </c>
      <c r="C30" t="s">
        <v>66</v>
      </c>
      <c r="D30" t="s">
        <v>20</v>
      </c>
      <c r="E30" t="s">
        <v>67</v>
      </c>
      <c r="F30">
        <v>16865615</v>
      </c>
      <c r="G30" t="s">
        <v>22</v>
      </c>
      <c r="H30" t="s">
        <v>32</v>
      </c>
      <c r="I30">
        <v>20250801</v>
      </c>
      <c r="J30" t="str">
        <f>TEXT(DATE(LEFT(I30,4), MID(I30,5,2), RIGHT(I30,2)), "M/d/yyyy")</f>
        <v>8/1/2025</v>
      </c>
      <c r="K30">
        <v>20250809</v>
      </c>
      <c r="L30">
        <v>139.18</v>
      </c>
      <c r="M30" t="s">
        <v>26</v>
      </c>
      <c r="N30" s="1">
        <v>0.1</v>
      </c>
      <c r="O30">
        <v>13.92</v>
      </c>
      <c r="P30" t="s">
        <v>124</v>
      </c>
      <c r="Q30"/>
      <c r="R30"/>
      <c r="S30"/>
      <c r="T30"/>
      <c r="U30"/>
    </row>
    <row r="31" spans="1:21" s="3" customFormat="1" x14ac:dyDescent="0.25">
      <c r="A31" t="s">
        <v>50</v>
      </c>
      <c r="B31" t="str">
        <f>CONCATENATE(A31,2)</f>
        <v>62NC362</v>
      </c>
      <c r="C31" t="s">
        <v>51</v>
      </c>
      <c r="D31" t="s">
        <v>29</v>
      </c>
      <c r="E31" t="s">
        <v>30</v>
      </c>
      <c r="F31">
        <v>6634327</v>
      </c>
      <c r="G31" t="s">
        <v>31</v>
      </c>
      <c r="H31" t="s">
        <v>32</v>
      </c>
      <c r="I31">
        <v>20250701</v>
      </c>
      <c r="J31" t="str">
        <f>TEXT(DATE(LEFT(I31,4), MID(I31,5,2), RIGHT(I31,2)), "M/d/yyyy")</f>
        <v>7/1/2025</v>
      </c>
      <c r="K31">
        <v>20250809</v>
      </c>
      <c r="L31">
        <v>1</v>
      </c>
      <c r="M31"/>
      <c r="N31" s="2">
        <v>20</v>
      </c>
      <c r="O31">
        <v>20</v>
      </c>
      <c r="P31" t="s">
        <v>126</v>
      </c>
      <c r="Q31"/>
      <c r="R31"/>
      <c r="S31"/>
      <c r="T31"/>
      <c r="U31"/>
    </row>
    <row r="32" spans="1:21" s="3" customFormat="1" x14ac:dyDescent="0.25">
      <c r="A32" t="s">
        <v>74</v>
      </c>
      <c r="B32" t="str">
        <f>CONCATENATE(A32,2)</f>
        <v>36M6M72</v>
      </c>
      <c r="C32" t="s">
        <v>75</v>
      </c>
      <c r="D32" t="s">
        <v>29</v>
      </c>
      <c r="E32" t="s">
        <v>30</v>
      </c>
      <c r="F32">
        <v>6634327</v>
      </c>
      <c r="G32" t="s">
        <v>31</v>
      </c>
      <c r="H32" t="s">
        <v>32</v>
      </c>
      <c r="I32">
        <v>20250701</v>
      </c>
      <c r="J32" t="str">
        <f>TEXT(DATE(LEFT(I32,4), MID(I32,5,2), RIGHT(I32,2)), "M/d/yyyy")</f>
        <v>7/1/2025</v>
      </c>
      <c r="K32">
        <v>20250809</v>
      </c>
      <c r="L32">
        <v>1</v>
      </c>
      <c r="M32"/>
      <c r="N32" s="2">
        <v>20</v>
      </c>
      <c r="O32">
        <v>20</v>
      </c>
      <c r="P32" t="s">
        <v>126</v>
      </c>
      <c r="Q32"/>
      <c r="R32"/>
      <c r="S32"/>
      <c r="T32"/>
      <c r="U32"/>
    </row>
    <row r="33" spans="1:21" s="3" customFormat="1" x14ac:dyDescent="0.25">
      <c r="A33" t="s">
        <v>48</v>
      </c>
      <c r="B33" t="str">
        <f>CONCATENATE(A33,2)</f>
        <v>62NC242</v>
      </c>
      <c r="C33" t="s">
        <v>49</v>
      </c>
      <c r="D33" t="s">
        <v>29</v>
      </c>
      <c r="E33" t="s">
        <v>30</v>
      </c>
      <c r="F33">
        <v>6634327</v>
      </c>
      <c r="G33" t="s">
        <v>31</v>
      </c>
      <c r="H33" t="s">
        <v>32</v>
      </c>
      <c r="I33">
        <v>20250701</v>
      </c>
      <c r="J33" t="str">
        <f>TEXT(DATE(LEFT(I33,4), MID(I33,5,2), RIGHT(I33,2)), "M/d/yyyy")</f>
        <v>7/1/2025</v>
      </c>
      <c r="K33">
        <v>20250809</v>
      </c>
      <c r="L33">
        <v>1</v>
      </c>
      <c r="M33" t="s">
        <v>123</v>
      </c>
      <c r="N33" s="2">
        <v>20</v>
      </c>
      <c r="O33">
        <v>40</v>
      </c>
      <c r="P33" t="s">
        <v>126</v>
      </c>
      <c r="Q33"/>
      <c r="R33"/>
      <c r="S33"/>
      <c r="T33"/>
      <c r="U33"/>
    </row>
    <row r="34" spans="1:21" s="3" customFormat="1" x14ac:dyDescent="0.25">
      <c r="A34" s="3" t="s">
        <v>108</v>
      </c>
      <c r="B34" s="3" t="str">
        <f>CONCATENATE(A34,2)</f>
        <v>91MR972</v>
      </c>
      <c r="C34" s="3" t="s">
        <v>109</v>
      </c>
      <c r="D34" s="3" t="s">
        <v>29</v>
      </c>
      <c r="E34" s="3" t="s">
        <v>67</v>
      </c>
      <c r="F34" s="3">
        <v>16865615</v>
      </c>
      <c r="G34" s="3" t="s">
        <v>31</v>
      </c>
      <c r="H34" s="3" t="s">
        <v>32</v>
      </c>
      <c r="I34" s="3">
        <v>20250601</v>
      </c>
      <c r="J34" s="3" t="str">
        <f>TEXT(DATE(LEFT(I34,4), MID(I34,5,2), RIGHT(I34,2)), "M/d/yyyy")</f>
        <v>6/1/2025</v>
      </c>
      <c r="K34" s="3">
        <v>20250809</v>
      </c>
      <c r="L34" s="3">
        <v>-1</v>
      </c>
      <c r="N34" s="4">
        <v>20</v>
      </c>
      <c r="O34" s="3">
        <v>-20</v>
      </c>
      <c r="P34" s="3" t="s">
        <v>126</v>
      </c>
    </row>
    <row r="35" spans="1:21" s="3" customFormat="1" x14ac:dyDescent="0.25">
      <c r="A35" s="3" t="s">
        <v>108</v>
      </c>
      <c r="B35" s="3" t="str">
        <f>CONCATENATE(A35,2)</f>
        <v>91MR972</v>
      </c>
      <c r="C35" s="3" t="s">
        <v>109</v>
      </c>
      <c r="D35" s="3" t="s">
        <v>29</v>
      </c>
      <c r="E35" s="3" t="s">
        <v>67</v>
      </c>
      <c r="F35" s="3">
        <v>16865615</v>
      </c>
      <c r="G35" s="3" t="s">
        <v>31</v>
      </c>
      <c r="H35" s="3" t="s">
        <v>32</v>
      </c>
      <c r="I35" s="3">
        <v>20250501</v>
      </c>
      <c r="J35" s="3" t="str">
        <f>TEXT(DATE(LEFT(I35,4), MID(I35,5,2), RIGHT(I35,2)), "M/d/yyyy")</f>
        <v>5/1/2025</v>
      </c>
      <c r="K35" s="3">
        <v>20250809</v>
      </c>
      <c r="L35" s="3">
        <v>-1</v>
      </c>
      <c r="N35" s="4">
        <v>20</v>
      </c>
      <c r="O35" s="3">
        <v>-20</v>
      </c>
      <c r="P35" s="3" t="s">
        <v>126</v>
      </c>
    </row>
    <row r="36" spans="1:21" x14ac:dyDescent="0.25">
      <c r="A36" s="3" t="s">
        <v>108</v>
      </c>
      <c r="B36" s="3" t="str">
        <f>CONCATENATE(A36,2)</f>
        <v>91MR972</v>
      </c>
      <c r="C36" s="3" t="s">
        <v>109</v>
      </c>
      <c r="D36" s="3" t="s">
        <v>29</v>
      </c>
      <c r="E36" s="3" t="s">
        <v>67</v>
      </c>
      <c r="F36" s="3">
        <v>16865615</v>
      </c>
      <c r="G36" s="3" t="s">
        <v>31</v>
      </c>
      <c r="H36" s="3" t="s">
        <v>32</v>
      </c>
      <c r="I36" s="3">
        <v>20250201</v>
      </c>
      <c r="J36" s="3" t="str">
        <f>TEXT(DATE(LEFT(I36,4), MID(I36,5,2), RIGHT(I36,2)), "M/d/yyyy")</f>
        <v>2/1/2025</v>
      </c>
      <c r="K36" s="3">
        <v>20250809</v>
      </c>
      <c r="L36" s="3">
        <v>-1</v>
      </c>
      <c r="M36" s="3"/>
      <c r="N36" s="4">
        <v>20</v>
      </c>
      <c r="O36" s="3">
        <v>-20</v>
      </c>
      <c r="P36" s="3" t="s">
        <v>126</v>
      </c>
      <c r="Q36" s="3"/>
      <c r="R36" s="3"/>
      <c r="S36" s="3"/>
      <c r="T36" s="3"/>
      <c r="U36" s="3"/>
    </row>
    <row r="37" spans="1:21" x14ac:dyDescent="0.25">
      <c r="A37" s="3" t="s">
        <v>108</v>
      </c>
      <c r="B37" s="3" t="str">
        <f>CONCATENATE(A37,2)</f>
        <v>91MR972</v>
      </c>
      <c r="C37" s="3" t="s">
        <v>109</v>
      </c>
      <c r="D37" s="3" t="s">
        <v>29</v>
      </c>
      <c r="E37" s="3" t="s">
        <v>67</v>
      </c>
      <c r="F37" s="3">
        <v>16865615</v>
      </c>
      <c r="G37" s="3" t="s">
        <v>31</v>
      </c>
      <c r="H37" s="3" t="s">
        <v>32</v>
      </c>
      <c r="I37" s="3">
        <v>20250401</v>
      </c>
      <c r="J37" s="3" t="str">
        <f>TEXT(DATE(LEFT(I37,4), MID(I37,5,2), RIGHT(I37,2)), "M/d/yyyy")</f>
        <v>4/1/2025</v>
      </c>
      <c r="K37" s="3">
        <v>20250809</v>
      </c>
      <c r="L37" s="3">
        <v>-1</v>
      </c>
      <c r="M37" s="3"/>
      <c r="N37" s="4">
        <v>20</v>
      </c>
      <c r="O37" s="3">
        <v>-20</v>
      </c>
      <c r="P37" s="3" t="s">
        <v>126</v>
      </c>
      <c r="Q37" s="3"/>
      <c r="R37" s="3"/>
      <c r="S37" s="3"/>
      <c r="T37" s="3"/>
      <c r="U37" s="3"/>
    </row>
    <row r="38" spans="1:21" x14ac:dyDescent="0.25">
      <c r="A38" s="3" t="s">
        <v>108</v>
      </c>
      <c r="B38" s="3" t="str">
        <f>CONCATENATE(A38,2)</f>
        <v>91MR972</v>
      </c>
      <c r="C38" s="3" t="s">
        <v>109</v>
      </c>
      <c r="D38" s="3" t="s">
        <v>29</v>
      </c>
      <c r="E38" s="3" t="s">
        <v>67</v>
      </c>
      <c r="F38" s="3">
        <v>16865615</v>
      </c>
      <c r="G38" s="3" t="s">
        <v>31</v>
      </c>
      <c r="H38" s="3" t="s">
        <v>32</v>
      </c>
      <c r="I38" s="3">
        <v>20250101</v>
      </c>
      <c r="J38" s="3" t="str">
        <f>TEXT(DATE(LEFT(I38,4), MID(I38,5,2), RIGHT(I38,2)), "M/d/yyyy")</f>
        <v>1/1/2025</v>
      </c>
      <c r="K38" s="3">
        <v>20250809</v>
      </c>
      <c r="L38" s="3">
        <v>-1</v>
      </c>
      <c r="M38" s="3"/>
      <c r="N38" s="4">
        <v>20</v>
      </c>
      <c r="O38" s="3">
        <v>-20</v>
      </c>
      <c r="P38" s="3" t="s">
        <v>126</v>
      </c>
      <c r="Q38" s="3"/>
      <c r="R38" s="3"/>
      <c r="S38" s="3"/>
      <c r="T38" s="3"/>
      <c r="U38" s="3"/>
    </row>
    <row r="39" spans="1:21" x14ac:dyDescent="0.25">
      <c r="A39" s="3" t="s">
        <v>108</v>
      </c>
      <c r="B39" s="3" t="str">
        <f>CONCATENATE(A39,2)</f>
        <v>91MR972</v>
      </c>
      <c r="C39" s="3" t="s">
        <v>109</v>
      </c>
      <c r="D39" s="3" t="s">
        <v>29</v>
      </c>
      <c r="E39" s="3" t="s">
        <v>67</v>
      </c>
      <c r="F39" s="3">
        <v>16865615</v>
      </c>
      <c r="G39" s="3" t="s">
        <v>31</v>
      </c>
      <c r="H39" s="3" t="s">
        <v>32</v>
      </c>
      <c r="I39" s="3">
        <v>20250301</v>
      </c>
      <c r="J39" s="3" t="str">
        <f>TEXT(DATE(LEFT(I39,4), MID(I39,5,2), RIGHT(I39,2)), "M/d/yyyy")</f>
        <v>3/1/2025</v>
      </c>
      <c r="K39" s="3">
        <v>20250809</v>
      </c>
      <c r="L39" s="3">
        <v>-1</v>
      </c>
      <c r="M39" s="3"/>
      <c r="N39" s="4">
        <v>20</v>
      </c>
      <c r="O39" s="3">
        <v>-20</v>
      </c>
      <c r="P39" s="3" t="s">
        <v>126</v>
      </c>
      <c r="Q39" s="3"/>
      <c r="R39" s="3"/>
      <c r="S39" s="3"/>
      <c r="T39" s="3"/>
      <c r="U39" s="3"/>
    </row>
    <row r="40" spans="1:21" x14ac:dyDescent="0.25">
      <c r="A40" t="s">
        <v>82</v>
      </c>
      <c r="B40" t="str">
        <f>CONCATENATE(A40,2)</f>
        <v>47M59G2</v>
      </c>
      <c r="C40" t="s">
        <v>83</v>
      </c>
      <c r="D40" t="s">
        <v>29</v>
      </c>
      <c r="E40" t="s">
        <v>30</v>
      </c>
      <c r="F40">
        <v>6634327</v>
      </c>
      <c r="G40" t="s">
        <v>31</v>
      </c>
      <c r="H40" t="s">
        <v>32</v>
      </c>
      <c r="I40">
        <v>20250701</v>
      </c>
      <c r="J40" t="str">
        <f>TEXT(DATE(LEFT(I40,4), MID(I40,5,2), RIGHT(I40,2)), "M/d/yyyy")</f>
        <v>7/1/2025</v>
      </c>
      <c r="K40">
        <v>20250809</v>
      </c>
      <c r="L40">
        <v>1</v>
      </c>
      <c r="N40" s="2">
        <v>20</v>
      </c>
      <c r="O40">
        <v>20</v>
      </c>
      <c r="P40" t="s">
        <v>126</v>
      </c>
    </row>
    <row r="41" spans="1:21" x14ac:dyDescent="0.25">
      <c r="A41" t="s">
        <v>46</v>
      </c>
      <c r="B41" t="str">
        <f>CONCATENATE(A41,2)</f>
        <v>23M79D2</v>
      </c>
      <c r="C41" t="s">
        <v>47</v>
      </c>
      <c r="D41" t="s">
        <v>29</v>
      </c>
      <c r="E41" t="s">
        <v>30</v>
      </c>
      <c r="F41">
        <v>6634327</v>
      </c>
      <c r="G41" t="s">
        <v>31</v>
      </c>
      <c r="H41" t="s">
        <v>32</v>
      </c>
      <c r="I41">
        <v>20250801</v>
      </c>
      <c r="J41" t="str">
        <f>TEXT(DATE(LEFT(I41,4), MID(I41,5,2), RIGHT(I41,2)), "M/d/yyyy")</f>
        <v>8/1/2025</v>
      </c>
      <c r="K41">
        <v>20250809</v>
      </c>
      <c r="L41">
        <v>1</v>
      </c>
      <c r="N41" s="2">
        <v>20</v>
      </c>
      <c r="O41">
        <v>20</v>
      </c>
      <c r="P41" t="s">
        <v>126</v>
      </c>
    </row>
    <row r="42" spans="1:21" x14ac:dyDescent="0.25">
      <c r="A42" t="s">
        <v>27</v>
      </c>
      <c r="B42" t="str">
        <f>CONCATENATE(A42,2)</f>
        <v>08M74D2</v>
      </c>
      <c r="C42" t="s">
        <v>28</v>
      </c>
      <c r="D42" t="s">
        <v>29</v>
      </c>
      <c r="E42" t="s">
        <v>30</v>
      </c>
      <c r="F42">
        <v>6634327</v>
      </c>
      <c r="G42" t="s">
        <v>31</v>
      </c>
      <c r="H42" t="s">
        <v>32</v>
      </c>
      <c r="I42">
        <v>20250701</v>
      </c>
      <c r="J42" t="str">
        <f>TEXT(DATE(LEFT(I42,4), MID(I42,5,2), RIGHT(I42,2)), "M/d/yyyy")</f>
        <v>7/1/2025</v>
      </c>
      <c r="K42">
        <v>20250809</v>
      </c>
      <c r="L42">
        <v>1</v>
      </c>
      <c r="N42" s="2">
        <v>20</v>
      </c>
      <c r="O42">
        <v>20</v>
      </c>
      <c r="P42" t="s">
        <v>126</v>
      </c>
    </row>
    <row r="43" spans="1:21" x14ac:dyDescent="0.25">
      <c r="A43" t="s">
        <v>76</v>
      </c>
      <c r="B43" t="str">
        <f>CONCATENATE(A43,2)</f>
        <v>17M71Y2</v>
      </c>
      <c r="C43" t="s">
        <v>77</v>
      </c>
      <c r="D43" t="s">
        <v>29</v>
      </c>
      <c r="E43" t="s">
        <v>30</v>
      </c>
      <c r="F43">
        <v>6634327</v>
      </c>
      <c r="G43" t="s">
        <v>31</v>
      </c>
      <c r="H43" t="s">
        <v>32</v>
      </c>
      <c r="I43">
        <v>20250801</v>
      </c>
      <c r="J43" t="str">
        <f>TEXT(DATE(LEFT(I43,4), MID(I43,5,2), RIGHT(I43,2)), "M/d/yyyy")</f>
        <v>8/1/2025</v>
      </c>
      <c r="K43">
        <v>20250809</v>
      </c>
      <c r="L43">
        <v>1</v>
      </c>
      <c r="N43" s="2">
        <v>20</v>
      </c>
      <c r="O43">
        <v>20</v>
      </c>
      <c r="P43" t="s">
        <v>126</v>
      </c>
    </row>
    <row r="44" spans="1:21" x14ac:dyDescent="0.25">
      <c r="A44" t="s">
        <v>88</v>
      </c>
      <c r="B44" t="str">
        <f>CONCATENATE(A44,2)</f>
        <v>61NC972</v>
      </c>
      <c r="C44" t="s">
        <v>89</v>
      </c>
      <c r="D44" t="s">
        <v>29</v>
      </c>
      <c r="E44" t="s">
        <v>30</v>
      </c>
      <c r="F44">
        <v>6634327</v>
      </c>
      <c r="G44" t="s">
        <v>31</v>
      </c>
      <c r="H44" t="s">
        <v>32</v>
      </c>
      <c r="I44">
        <v>20250701</v>
      </c>
      <c r="J44" t="str">
        <f>TEXT(DATE(LEFT(I44,4), MID(I44,5,2), RIGHT(I44,2)), "M/d/yyyy")</f>
        <v>7/1/2025</v>
      </c>
      <c r="K44">
        <v>20250809</v>
      </c>
      <c r="L44">
        <v>1</v>
      </c>
      <c r="N44" s="2">
        <v>20</v>
      </c>
      <c r="O44">
        <v>20</v>
      </c>
      <c r="P44" t="s">
        <v>126</v>
      </c>
    </row>
    <row r="45" spans="1:21" x14ac:dyDescent="0.25">
      <c r="A45" t="s">
        <v>54</v>
      </c>
      <c r="B45" t="str">
        <f>CONCATENATE(A45,2)</f>
        <v>24N58N2</v>
      </c>
      <c r="C45" t="s">
        <v>55</v>
      </c>
      <c r="D45" t="s">
        <v>56</v>
      </c>
      <c r="E45" t="s">
        <v>57</v>
      </c>
      <c r="F45">
        <v>1706194</v>
      </c>
      <c r="G45" t="s">
        <v>31</v>
      </c>
      <c r="H45" t="s">
        <v>58</v>
      </c>
      <c r="I45">
        <v>20250801</v>
      </c>
      <c r="J45" t="str">
        <f>TEXT(DATE(LEFT(I45,4), MID(I45,5,2), RIGHT(I45,2)), "M/d/yyyy")</f>
        <v>8/1/2025</v>
      </c>
      <c r="K45">
        <v>20250809</v>
      </c>
      <c r="L45">
        <v>1</v>
      </c>
      <c r="N45" s="2">
        <v>22</v>
      </c>
      <c r="O45">
        <v>22</v>
      </c>
      <c r="P45" t="s">
        <v>125</v>
      </c>
    </row>
    <row r="46" spans="1:21" x14ac:dyDescent="0.25">
      <c r="A46" t="s">
        <v>98</v>
      </c>
      <c r="B46" t="str">
        <f>CONCATENATE(A46,2)</f>
        <v>69CK842</v>
      </c>
      <c r="C46" t="s">
        <v>99</v>
      </c>
      <c r="D46" t="s">
        <v>29</v>
      </c>
      <c r="E46" t="s">
        <v>100</v>
      </c>
      <c r="F46">
        <v>18010408</v>
      </c>
      <c r="G46" t="s">
        <v>31</v>
      </c>
      <c r="H46" t="s">
        <v>101</v>
      </c>
      <c r="I46">
        <v>20250801</v>
      </c>
      <c r="J46" t="str">
        <f>TEXT(DATE(LEFT(I46,4), MID(I46,5,2), RIGHT(I46,2)), "M/d/yyyy")</f>
        <v>8/1/2025</v>
      </c>
      <c r="K46">
        <v>20250809</v>
      </c>
      <c r="L46">
        <v>1</v>
      </c>
      <c r="N46" s="2">
        <v>20</v>
      </c>
      <c r="O46">
        <v>20</v>
      </c>
      <c r="P46" t="s">
        <v>127</v>
      </c>
    </row>
    <row r="47" spans="1:21" x14ac:dyDescent="0.25">
      <c r="A47" t="s">
        <v>118</v>
      </c>
      <c r="B47" t="str">
        <f>CONCATENATE(A47,2)</f>
        <v>56L91L2</v>
      </c>
      <c r="C47" t="s">
        <v>119</v>
      </c>
      <c r="D47" t="s">
        <v>56</v>
      </c>
      <c r="E47" t="s">
        <v>57</v>
      </c>
      <c r="F47">
        <v>1706194</v>
      </c>
      <c r="G47" t="s">
        <v>31</v>
      </c>
      <c r="H47" t="s">
        <v>120</v>
      </c>
      <c r="I47">
        <v>20250801</v>
      </c>
      <c r="J47" t="str">
        <f>TEXT(DATE(LEFT(I47,4), MID(I47,5,2), RIGHT(I47,2)), "M/d/yyyy")</f>
        <v>8/1/2025</v>
      </c>
      <c r="K47">
        <v>20250809</v>
      </c>
      <c r="L47">
        <v>1</v>
      </c>
      <c r="N47" s="2">
        <v>25</v>
      </c>
      <c r="O47">
        <v>25</v>
      </c>
      <c r="P47" t="s">
        <v>128</v>
      </c>
    </row>
  </sheetData>
  <sortState xmlns:xlrd2="http://schemas.microsoft.com/office/spreadsheetml/2017/richdata2" ref="A2:U47">
    <sortCondition descending="1" ref="P2:P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export-554662-20250809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2025-08-15T17:01:35Z</dcterms:created>
  <dcterms:modified xsi:type="dcterms:W3CDTF">2025-08-18T15:55:29Z</dcterms:modified>
</cp:coreProperties>
</file>