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5-3-25\"/>
    </mc:Choice>
  </mc:AlternateContent>
  <xr:revisionPtr revIDLastSave="0" documentId="13_ncr:1_{500E87EC-CFAF-452A-AD49-345EFCC0688B}" xr6:coauthVersionLast="47" xr6:coauthVersionMax="47" xr10:uidLastSave="{00000000-0000-0000-0000-000000000000}"/>
  <bookViews>
    <workbookView xWindow="28680" yWindow="-120" windowWidth="29040" windowHeight="16440" activeTab="1" xr2:uid="{404A9DAA-06DE-468D-9FA8-36E82D0641AB}"/>
  </bookViews>
  <sheets>
    <sheet name="export-554662-20250503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25" i="2" l="1"/>
  <c r="B24" i="2"/>
  <c r="B7" i="2"/>
  <c r="B23" i="2"/>
  <c r="B6" i="2"/>
  <c r="B22" i="2"/>
  <c r="B21" i="2"/>
  <c r="B20" i="2"/>
  <c r="B19" i="2"/>
  <c r="B18" i="2"/>
  <c r="B17" i="2"/>
  <c r="B16" i="2"/>
  <c r="B15" i="2"/>
  <c r="B14" i="2"/>
  <c r="B13" i="2"/>
  <c r="B5" i="2"/>
  <c r="B12" i="2"/>
  <c r="B11" i="2"/>
  <c r="B10" i="2"/>
  <c r="B9" i="2"/>
  <c r="B8" i="2"/>
  <c r="B2" i="2"/>
  <c r="B3" i="2"/>
  <c r="L9" i="2"/>
  <c r="L10" i="2"/>
  <c r="L11" i="2"/>
  <c r="L24" i="2"/>
  <c r="L12" i="2"/>
  <c r="L2" i="2"/>
  <c r="L5" i="2"/>
  <c r="L13" i="2"/>
  <c r="L14" i="2"/>
  <c r="L15" i="2"/>
  <c r="L16" i="2"/>
  <c r="L17" i="2"/>
  <c r="L18" i="2"/>
  <c r="L19" i="2"/>
  <c r="L20" i="2"/>
  <c r="L3" i="2"/>
  <c r="L25" i="2"/>
  <c r="L21" i="2"/>
  <c r="L4" i="2"/>
  <c r="L22" i="2"/>
  <c r="L6" i="2"/>
  <c r="L23" i="2"/>
  <c r="L7" i="2"/>
  <c r="L8" i="2"/>
</calcChain>
</file>

<file path=xl/sharedStrings.xml><?xml version="1.0" encoding="utf-8"?>
<sst xmlns="http://schemas.openxmlformats.org/spreadsheetml/2006/main" count="520" uniqueCount="90">
  <si>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</si>
  <si>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</si>
  <si>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</si>
  <si>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</si>
  <si>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</si>
  <si>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</si>
  <si>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</si>
  <si>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</si>
  <si>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</si>
  <si>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</si>
  <si>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</si>
  <si>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</si>
  <si>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</si>
  <si>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</si>
  <si>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</si>
  <si>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</si>
  <si>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08M74D</t>
  </si>
  <si>
    <t>STUTHI PAUL PEDAPATI, RAJ</t>
  </si>
  <si>
    <t>Medical, HOAPIN</t>
  </si>
  <si>
    <t>JOEL LEE</t>
  </si>
  <si>
    <t>PMPM</t>
  </si>
  <si>
    <t xml:space="preserve">S, </t>
  </si>
  <si>
    <t>CO</t>
  </si>
  <si>
    <t>null</t>
  </si>
  <si>
    <t>X, CP</t>
  </si>
  <si>
    <t>10M8K8</t>
  </si>
  <si>
    <t>ZHOU, SHITIAN</t>
  </si>
  <si>
    <t>X, SP</t>
  </si>
  <si>
    <t>17M71Y</t>
  </si>
  <si>
    <t>SWIFT, HANNAH</t>
  </si>
  <si>
    <t>23M79D</t>
  </si>
  <si>
    <t>SHEKARIAN, NASER</t>
  </si>
  <si>
    <t>24N58N</t>
  </si>
  <si>
    <t>OZOBIA, CHARLES</t>
  </si>
  <si>
    <t>Medical, HMO1</t>
  </si>
  <si>
    <t>MATTHEW DAUGHERTY</t>
  </si>
  <si>
    <t>GA</t>
  </si>
  <si>
    <t>32M8H8</t>
  </si>
  <si>
    <t>JACOBS, STEVEN</t>
  </si>
  <si>
    <t xml:space="preserve">, </t>
  </si>
  <si>
    <t>33L80Y</t>
  </si>
  <si>
    <t>NEHER, DORIS</t>
  </si>
  <si>
    <t>Dental, IVDPPO</t>
  </si>
  <si>
    <t>CAROL FOLEY</t>
  </si>
  <si>
    <t>% of Premium</t>
  </si>
  <si>
    <t>PA</t>
  </si>
  <si>
    <t xml:space="preserve"> </t>
  </si>
  <si>
    <t>35ND95</t>
  </si>
  <si>
    <t>SHANK, JESSICA</t>
  </si>
  <si>
    <t>HEATHER GESKE</t>
  </si>
  <si>
    <t>36M6M7</t>
  </si>
  <si>
    <t>ILORI, MUYIWA</t>
  </si>
  <si>
    <t>36MP65</t>
  </si>
  <si>
    <t>AALAMI HARANDI, DIBA</t>
  </si>
  <si>
    <t>39M88D</t>
  </si>
  <si>
    <t>ERICKSON, LINDA</t>
  </si>
  <si>
    <t>47M59G</t>
  </si>
  <si>
    <t>MOHAMED, AYA</t>
  </si>
  <si>
    <t>56M32E</t>
  </si>
  <si>
    <t>WILSON, VELICITY</t>
  </si>
  <si>
    <t>61NC97</t>
  </si>
  <si>
    <t>VASUDEVAN, MALATHI</t>
  </si>
  <si>
    <t>62NC24</t>
  </si>
  <si>
    <t>KHORSANDI, HOSNA</t>
  </si>
  <si>
    <t>62NC36</t>
  </si>
  <si>
    <t>GANESH NARAGAM, KIRAN</t>
  </si>
  <si>
    <t>65MP81</t>
  </si>
  <si>
    <t>DRUMHELLER, GARY</t>
  </si>
  <si>
    <t>69CK84</t>
  </si>
  <si>
    <t>WATSON, CURTIS</t>
  </si>
  <si>
    <t>WILLIAM SCHAEFFER</t>
  </si>
  <si>
    <t>VA</t>
  </si>
  <si>
    <t>70MB72</t>
  </si>
  <si>
    <t>RASMUSSEN-GOODWIN, EMILY</t>
  </si>
  <si>
    <t>82JG05</t>
  </si>
  <si>
    <t>JACKSON, CATHERINE</t>
  </si>
  <si>
    <t>85NN12</t>
  </si>
  <si>
    <t>CHINNAM, SAIKRISHNA</t>
  </si>
  <si>
    <t>91MR97</t>
  </si>
  <si>
    <t>MCELVANY, TARYN</t>
  </si>
  <si>
    <t>97MT87</t>
  </si>
  <si>
    <t>HASSE, KATE</t>
  </si>
  <si>
    <t>99LN83</t>
  </si>
  <si>
    <t>PAPIERZ, JUSTIN</t>
  </si>
  <si>
    <t>Cigna 2025 AZ, CO, IL</t>
  </si>
  <si>
    <t>Cigna (2025) - GA</t>
  </si>
  <si>
    <t>Cigna - VA</t>
  </si>
  <si>
    <t>Cigna DVH</t>
  </si>
  <si>
    <t>[PMPM=3]</t>
  </si>
  <si>
    <t>[PMPM=2]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</si>
</sst>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DD9D-801C-4BC7-ADBB-E229F22A2489}">
  <dimension ref="A1:P25"/>
  <sheetViews>
    <sheetView workbookViewId="0">
      <selection sqref="A1:XFD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20250401</v>
      </c>
      <c r="J2">
        <v>20250503</v>
      </c>
      <c r="K2">
        <v>0</v>
      </c>
      <c r="L2" t="s">
        <v>24</v>
      </c>
      <c r="M2">
        <v>1</v>
      </c>
      <c r="N2" s="1">
        <v>20</v>
      </c>
      <c r="O2">
        <v>20</v>
      </c>
      <c r="P2" t="s">
        <v>23</v>
      </c>
    </row>
    <row r="3" spans="1:16" x14ac:dyDescent="0.25">
      <c r="A3" t="s">
        <v>25</v>
      </c>
      <c r="B3" t="s">
        <v>26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20250401</v>
      </c>
      <c r="J3">
        <v>20250503</v>
      </c>
      <c r="K3">
        <v>342.53</v>
      </c>
      <c r="L3" t="s">
        <v>27</v>
      </c>
      <c r="M3">
        <v>1</v>
      </c>
      <c r="N3" s="1">
        <v>20</v>
      </c>
      <c r="O3">
        <v>20</v>
      </c>
      <c r="P3" t="s">
        <v>23</v>
      </c>
    </row>
    <row r="4" spans="1:16" x14ac:dyDescent="0.25">
      <c r="A4" t="s">
        <v>28</v>
      </c>
      <c r="B4" t="s">
        <v>29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>
        <v>20250501</v>
      </c>
      <c r="J4">
        <v>20250503</v>
      </c>
      <c r="K4">
        <v>335.48</v>
      </c>
      <c r="L4" t="s">
        <v>24</v>
      </c>
      <c r="M4">
        <v>1</v>
      </c>
      <c r="N4" s="1">
        <v>20</v>
      </c>
      <c r="O4">
        <v>20</v>
      </c>
      <c r="P4" t="s">
        <v>23</v>
      </c>
    </row>
    <row r="5" spans="1:16" x14ac:dyDescent="0.25">
      <c r="A5" t="s">
        <v>30</v>
      </c>
      <c r="B5" t="s">
        <v>31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>
        <v>20250501</v>
      </c>
      <c r="J5">
        <v>20250503</v>
      </c>
      <c r="K5">
        <v>49.6</v>
      </c>
      <c r="L5" t="s">
        <v>24</v>
      </c>
      <c r="M5">
        <v>1</v>
      </c>
      <c r="N5" s="1">
        <v>20</v>
      </c>
      <c r="O5">
        <v>20</v>
      </c>
      <c r="P5" t="s">
        <v>23</v>
      </c>
    </row>
    <row r="6" spans="1:16" x14ac:dyDescent="0.25">
      <c r="A6" t="s">
        <v>32</v>
      </c>
      <c r="B6" t="s">
        <v>33</v>
      </c>
      <c r="C6" t="s">
        <v>34</v>
      </c>
      <c r="D6" t="s">
        <v>35</v>
      </c>
      <c r="E6" t="s">
        <v>20</v>
      </c>
      <c r="F6" t="s">
        <v>21</v>
      </c>
      <c r="G6" t="s">
        <v>36</v>
      </c>
      <c r="H6" t="s">
        <v>23</v>
      </c>
      <c r="I6">
        <v>20250501</v>
      </c>
      <c r="J6">
        <v>20250503</v>
      </c>
      <c r="K6">
        <v>24.35</v>
      </c>
      <c r="L6" t="s">
        <v>24</v>
      </c>
      <c r="M6">
        <v>1</v>
      </c>
      <c r="N6" s="1">
        <v>22</v>
      </c>
      <c r="O6">
        <v>22</v>
      </c>
      <c r="P6" t="s">
        <v>23</v>
      </c>
    </row>
    <row r="7" spans="1:16" x14ac:dyDescent="0.25">
      <c r="A7" t="s">
        <v>37</v>
      </c>
      <c r="B7" t="s">
        <v>38</v>
      </c>
      <c r="C7" t="s">
        <v>18</v>
      </c>
      <c r="D7" t="s">
        <v>19</v>
      </c>
      <c r="E7" t="s">
        <v>20</v>
      </c>
      <c r="F7" t="s">
        <v>39</v>
      </c>
      <c r="G7" t="s">
        <v>22</v>
      </c>
      <c r="H7" t="s">
        <v>23</v>
      </c>
      <c r="I7">
        <v>20250501</v>
      </c>
      <c r="J7">
        <v>20250503</v>
      </c>
      <c r="K7">
        <v>1055.71</v>
      </c>
      <c r="L7" t="s">
        <v>24</v>
      </c>
      <c r="M7">
        <v>3</v>
      </c>
      <c r="N7" s="1">
        <v>20</v>
      </c>
      <c r="O7">
        <v>60</v>
      </c>
      <c r="P7" t="s">
        <v>23</v>
      </c>
    </row>
    <row r="8" spans="1:16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21</v>
      </c>
      <c r="G8" t="s">
        <v>45</v>
      </c>
      <c r="H8" t="s">
        <v>23</v>
      </c>
      <c r="I8">
        <v>20250501</v>
      </c>
      <c r="J8">
        <v>20250503</v>
      </c>
      <c r="K8">
        <v>36.92</v>
      </c>
      <c r="L8" t="s">
        <v>23</v>
      </c>
      <c r="M8" t="s">
        <v>46</v>
      </c>
      <c r="N8" s="2">
        <v>0.2</v>
      </c>
      <c r="O8">
        <v>7.38</v>
      </c>
      <c r="P8" t="s">
        <v>23</v>
      </c>
    </row>
    <row r="9" spans="1:16" x14ac:dyDescent="0.25">
      <c r="A9" t="s">
        <v>47</v>
      </c>
      <c r="B9" t="s">
        <v>48</v>
      </c>
      <c r="C9" t="s">
        <v>18</v>
      </c>
      <c r="D9" t="s">
        <v>49</v>
      </c>
      <c r="E9" t="s">
        <v>20</v>
      </c>
      <c r="F9" t="s">
        <v>21</v>
      </c>
      <c r="G9" t="s">
        <v>22</v>
      </c>
      <c r="H9" t="s">
        <v>23</v>
      </c>
      <c r="I9">
        <v>20250501</v>
      </c>
      <c r="J9">
        <v>20250503</v>
      </c>
      <c r="K9">
        <v>226.1</v>
      </c>
      <c r="L9" t="s">
        <v>24</v>
      </c>
      <c r="M9">
        <v>1</v>
      </c>
      <c r="N9" s="1">
        <v>20</v>
      </c>
      <c r="O9">
        <v>20</v>
      </c>
      <c r="P9" t="s">
        <v>23</v>
      </c>
    </row>
    <row r="10" spans="1:16" x14ac:dyDescent="0.25">
      <c r="A10" t="s">
        <v>50</v>
      </c>
      <c r="B10" t="s">
        <v>51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>
        <v>20250401</v>
      </c>
      <c r="J10">
        <v>20250503</v>
      </c>
      <c r="K10">
        <v>0</v>
      </c>
      <c r="L10" t="s">
        <v>24</v>
      </c>
      <c r="M10">
        <v>1</v>
      </c>
      <c r="N10" s="1">
        <v>20</v>
      </c>
      <c r="O10">
        <v>20</v>
      </c>
      <c r="P10" t="s">
        <v>23</v>
      </c>
    </row>
    <row r="11" spans="1:16" x14ac:dyDescent="0.25">
      <c r="A11" t="s">
        <v>52</v>
      </c>
      <c r="B11" t="s">
        <v>53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>
        <v>20250401</v>
      </c>
      <c r="J11">
        <v>20250503</v>
      </c>
      <c r="K11">
        <v>0</v>
      </c>
      <c r="L11" t="s">
        <v>24</v>
      </c>
      <c r="M11">
        <v>1</v>
      </c>
      <c r="N11" s="1">
        <v>20</v>
      </c>
      <c r="O11">
        <v>20</v>
      </c>
      <c r="P11" t="s">
        <v>23</v>
      </c>
    </row>
    <row r="12" spans="1:16" x14ac:dyDescent="0.25">
      <c r="A12" t="s">
        <v>54</v>
      </c>
      <c r="B12" t="s">
        <v>55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>
        <v>20250501</v>
      </c>
      <c r="J12">
        <v>20250503</v>
      </c>
      <c r="K12">
        <v>642</v>
      </c>
      <c r="L12" t="s">
        <v>24</v>
      </c>
      <c r="M12">
        <v>1</v>
      </c>
      <c r="N12" s="1">
        <v>20</v>
      </c>
      <c r="O12">
        <v>20</v>
      </c>
      <c r="P12" t="s">
        <v>23</v>
      </c>
    </row>
    <row r="13" spans="1:16" x14ac:dyDescent="0.25">
      <c r="A13" t="s">
        <v>56</v>
      </c>
      <c r="B13" t="s">
        <v>57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>
        <v>20250401</v>
      </c>
      <c r="J13">
        <v>20250503</v>
      </c>
      <c r="K13">
        <v>0</v>
      </c>
      <c r="L13" t="s">
        <v>24</v>
      </c>
      <c r="M13">
        <v>1</v>
      </c>
      <c r="N13" s="1">
        <v>20</v>
      </c>
      <c r="O13">
        <v>20</v>
      </c>
      <c r="P13" t="s">
        <v>23</v>
      </c>
    </row>
    <row r="14" spans="1:16" x14ac:dyDescent="0.25">
      <c r="A14" t="s">
        <v>58</v>
      </c>
      <c r="B14" t="s">
        <v>59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>
        <v>20250501</v>
      </c>
      <c r="J14">
        <v>20250503</v>
      </c>
      <c r="K14">
        <v>20.03</v>
      </c>
      <c r="L14" t="s">
        <v>24</v>
      </c>
      <c r="M14">
        <v>1</v>
      </c>
      <c r="N14" s="1">
        <v>20</v>
      </c>
      <c r="O14">
        <v>20</v>
      </c>
      <c r="P14" t="s">
        <v>23</v>
      </c>
    </row>
    <row r="15" spans="1:16" x14ac:dyDescent="0.25">
      <c r="A15" t="s">
        <v>60</v>
      </c>
      <c r="B15" t="s">
        <v>61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>
        <v>20250401</v>
      </c>
      <c r="J15">
        <v>20250503</v>
      </c>
      <c r="K15">
        <v>0</v>
      </c>
      <c r="L15" t="s">
        <v>24</v>
      </c>
      <c r="M15">
        <v>1</v>
      </c>
      <c r="N15" s="1">
        <v>20</v>
      </c>
      <c r="O15">
        <v>20</v>
      </c>
      <c r="P15" t="s">
        <v>23</v>
      </c>
    </row>
    <row r="16" spans="1:16" x14ac:dyDescent="0.25">
      <c r="A16" t="s">
        <v>62</v>
      </c>
      <c r="B16" t="s">
        <v>63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>
        <v>20250401</v>
      </c>
      <c r="J16">
        <v>20250503</v>
      </c>
      <c r="K16">
        <v>0</v>
      </c>
      <c r="L16" t="s">
        <v>24</v>
      </c>
      <c r="M16">
        <v>2</v>
      </c>
      <c r="N16" s="1">
        <v>20</v>
      </c>
      <c r="O16">
        <v>40</v>
      </c>
      <c r="P16" t="s">
        <v>23</v>
      </c>
    </row>
    <row r="17" spans="1:16" x14ac:dyDescent="0.25">
      <c r="A17" t="s">
        <v>64</v>
      </c>
      <c r="B17" t="s">
        <v>65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>
        <v>20250401</v>
      </c>
      <c r="J17">
        <v>20250503</v>
      </c>
      <c r="K17">
        <v>0</v>
      </c>
      <c r="L17" t="s">
        <v>24</v>
      </c>
      <c r="M17">
        <v>1</v>
      </c>
      <c r="N17" s="1">
        <v>20</v>
      </c>
      <c r="O17">
        <v>20</v>
      </c>
      <c r="P17" t="s">
        <v>23</v>
      </c>
    </row>
    <row r="18" spans="1:16" x14ac:dyDescent="0.25">
      <c r="A18" t="s">
        <v>66</v>
      </c>
      <c r="B18" t="s">
        <v>67</v>
      </c>
      <c r="C18" t="s">
        <v>42</v>
      </c>
      <c r="D18" t="s">
        <v>43</v>
      </c>
      <c r="E18" t="s">
        <v>44</v>
      </c>
      <c r="F18" t="s">
        <v>21</v>
      </c>
      <c r="G18" t="s">
        <v>45</v>
      </c>
      <c r="H18" t="s">
        <v>23</v>
      </c>
      <c r="I18">
        <v>20250401</v>
      </c>
      <c r="J18">
        <v>20250503</v>
      </c>
      <c r="K18">
        <v>52</v>
      </c>
      <c r="L18" t="s">
        <v>23</v>
      </c>
      <c r="M18" t="s">
        <v>46</v>
      </c>
      <c r="N18" s="2">
        <v>0.2</v>
      </c>
      <c r="O18">
        <v>10.4</v>
      </c>
      <c r="P18" t="s">
        <v>23</v>
      </c>
    </row>
    <row r="19" spans="1:16" x14ac:dyDescent="0.25">
      <c r="A19" t="s">
        <v>68</v>
      </c>
      <c r="B19" t="s">
        <v>69</v>
      </c>
      <c r="C19" t="s">
        <v>18</v>
      </c>
      <c r="D19" t="s">
        <v>70</v>
      </c>
      <c r="E19" t="s">
        <v>20</v>
      </c>
      <c r="F19" t="s">
        <v>21</v>
      </c>
      <c r="G19" t="s">
        <v>71</v>
      </c>
      <c r="H19" t="s">
        <v>23</v>
      </c>
      <c r="I19">
        <v>20250501</v>
      </c>
      <c r="J19">
        <v>20250503</v>
      </c>
      <c r="K19">
        <v>26.86</v>
      </c>
      <c r="L19" t="s">
        <v>24</v>
      </c>
      <c r="M19">
        <v>1</v>
      </c>
      <c r="N19" s="1">
        <v>20</v>
      </c>
      <c r="O19">
        <v>20</v>
      </c>
      <c r="P19" t="s">
        <v>23</v>
      </c>
    </row>
    <row r="20" spans="1:16" x14ac:dyDescent="0.25">
      <c r="A20" t="s">
        <v>72</v>
      </c>
      <c r="B20" t="s">
        <v>73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>
        <v>20250501</v>
      </c>
      <c r="J20">
        <v>20250503</v>
      </c>
      <c r="K20">
        <v>340.44</v>
      </c>
      <c r="L20" t="s">
        <v>24</v>
      </c>
      <c r="M20">
        <v>1</v>
      </c>
      <c r="N20" s="1">
        <v>20</v>
      </c>
      <c r="O20">
        <v>20</v>
      </c>
      <c r="P20" t="s">
        <v>23</v>
      </c>
    </row>
    <row r="21" spans="1:16" x14ac:dyDescent="0.25">
      <c r="A21" t="s">
        <v>74</v>
      </c>
      <c r="B21" t="s">
        <v>75</v>
      </c>
      <c r="C21" t="s">
        <v>42</v>
      </c>
      <c r="D21" t="s">
        <v>43</v>
      </c>
      <c r="E21" t="s">
        <v>44</v>
      </c>
      <c r="F21" t="s">
        <v>21</v>
      </c>
      <c r="G21" t="s">
        <v>45</v>
      </c>
      <c r="H21" t="s">
        <v>23</v>
      </c>
      <c r="I21">
        <v>20250501</v>
      </c>
      <c r="J21">
        <v>20250503</v>
      </c>
      <c r="K21">
        <v>85.15</v>
      </c>
      <c r="L21" t="s">
        <v>23</v>
      </c>
      <c r="M21" t="s">
        <v>46</v>
      </c>
      <c r="N21" s="2">
        <v>0.1</v>
      </c>
      <c r="O21">
        <v>8.52</v>
      </c>
      <c r="P21" t="s">
        <v>23</v>
      </c>
    </row>
    <row r="22" spans="1:16" x14ac:dyDescent="0.25">
      <c r="A22" t="s">
        <v>76</v>
      </c>
      <c r="B22" t="s">
        <v>77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>
        <v>20250401</v>
      </c>
      <c r="J22">
        <v>20250503</v>
      </c>
      <c r="K22">
        <v>0</v>
      </c>
      <c r="L22" t="s">
        <v>24</v>
      </c>
      <c r="M22">
        <v>1</v>
      </c>
      <c r="N22" s="1">
        <v>20</v>
      </c>
      <c r="O22">
        <v>20</v>
      </c>
      <c r="P22" t="s">
        <v>23</v>
      </c>
    </row>
    <row r="23" spans="1:16" x14ac:dyDescent="0.25">
      <c r="A23" t="s">
        <v>78</v>
      </c>
      <c r="B23" t="s">
        <v>79</v>
      </c>
      <c r="C23" t="s">
        <v>18</v>
      </c>
      <c r="D23" t="s">
        <v>49</v>
      </c>
      <c r="E23" t="s">
        <v>20</v>
      </c>
      <c r="F23" t="s">
        <v>21</v>
      </c>
      <c r="G23" t="s">
        <v>22</v>
      </c>
      <c r="H23" t="s">
        <v>23</v>
      </c>
      <c r="I23">
        <v>20250501</v>
      </c>
      <c r="J23">
        <v>20250503</v>
      </c>
      <c r="K23">
        <v>231.32</v>
      </c>
      <c r="L23" t="s">
        <v>24</v>
      </c>
      <c r="M23">
        <v>1</v>
      </c>
      <c r="N23" s="1">
        <v>20</v>
      </c>
      <c r="O23">
        <v>20</v>
      </c>
      <c r="P23" t="s">
        <v>23</v>
      </c>
    </row>
    <row r="24" spans="1:16" x14ac:dyDescent="0.25">
      <c r="A24" t="s">
        <v>80</v>
      </c>
      <c r="B24" t="s">
        <v>81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>
        <v>20250401</v>
      </c>
      <c r="J24">
        <v>20250503</v>
      </c>
      <c r="K24">
        <v>247.9</v>
      </c>
      <c r="L24" t="s">
        <v>24</v>
      </c>
      <c r="M24">
        <v>1</v>
      </c>
      <c r="N24" s="1">
        <v>20</v>
      </c>
      <c r="O24">
        <v>20</v>
      </c>
      <c r="P24" t="s">
        <v>23</v>
      </c>
    </row>
    <row r="25" spans="1:16" x14ac:dyDescent="0.25">
      <c r="A25" t="s">
        <v>82</v>
      </c>
      <c r="B25" t="s">
        <v>83</v>
      </c>
      <c r="C25" t="s">
        <v>18</v>
      </c>
      <c r="D25" t="s">
        <v>49</v>
      </c>
      <c r="E25" t="s">
        <v>20</v>
      </c>
      <c r="F25" t="s">
        <v>21</v>
      </c>
      <c r="G25" t="s">
        <v>22</v>
      </c>
      <c r="H25" t="s">
        <v>23</v>
      </c>
      <c r="I25">
        <v>20250501</v>
      </c>
      <c r="J25">
        <v>20250503</v>
      </c>
      <c r="K25">
        <v>347.64</v>
      </c>
      <c r="L25" t="s">
        <v>24</v>
      </c>
      <c r="M25">
        <v>1</v>
      </c>
      <c r="N25" s="1">
        <v>20</v>
      </c>
      <c r="O25">
        <v>20</v>
      </c>
      <c r="P2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9FA2-073F-4193-9D5D-8113B15D1A70}">
  <dimension ref="A1:T25"/>
  <sheetViews>
    <sheetView tabSelected="1" workbookViewId="0">
      <selection activeCell="T2" sqref="T2:T25"/>
    </sheetView>
  </sheetViews>
  <sheetFormatPr defaultRowHeight="15" x14ac:dyDescent="0.25"/>
  <cols>
    <col min="1" max="1" width="12.7109375" bestFit="1" customWidth="1"/>
    <col min="2" max="2" width="12.7109375" customWidth="1"/>
    <col min="3" max="3" width="28" bestFit="1" customWidth="1"/>
    <col min="4" max="4" width="16.140625" bestFit="1" customWidth="1"/>
    <col min="5" max="5" width="20.85546875" bestFit="1" customWidth="1"/>
    <col min="6" max="6" width="20.85546875" customWidth="1"/>
    <col min="7" max="7" width="13.28515625" bestFit="1" customWidth="1"/>
    <col min="11" max="12" width="12.42578125" customWidth="1"/>
    <col min="13" max="13" width="13.28515625" customWidth="1"/>
    <col min="19" max="19" width="19.28515625" bestFit="1" customWidth="1"/>
  </cols>
  <sheetData>
    <row r="1" spans="1:20" x14ac:dyDescent="0.25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20" x14ac:dyDescent="0.25">
      <c r="A2" t="s">
        <v>40</v>
      </c>
      <c r="B2" t="str">
        <f>CONCATENATE(A2,7)</f>
        <v>33L80Y7</v>
      </c>
      <c r="C2" t="s">
        <v>41</v>
      </c>
      <c r="D2" t="s">
        <v>42</v>
      </c>
      <c r="E2" t="s">
        <v>43</v>
      </c>
      <c r="F2">
        <v>17425766</v>
      </c>
      <c r="G2" t="s">
        <v>44</v>
      </c>
      <c r="H2" t="s">
        <v>21</v>
      </c>
      <c r="I2" t="s">
        <v>45</v>
      </c>
      <c r="J2" t="s">
        <v>23</v>
      </c>
      <c r="K2">
        <v>20250501</v>
      </c>
      <c r="L2" t="str">
        <f>TEXT(DATE(LEFT(K2,4), MID(K2,5,2), RIGHT(K2,2)), "M/d/yyyy")</f>
        <v>5/1/2025</v>
      </c>
      <c r="M2">
        <v>20250503</v>
      </c>
      <c r="N2">
        <v>36.92</v>
      </c>
      <c r="O2" t="s">
        <v>23</v>
      </c>
      <c r="P2" t="s">
        <v>46</v>
      </c>
      <c r="Q2" s="2">
        <v>0.2</v>
      </c>
      <c r="R2">
        <v>7.38</v>
      </c>
      <c r="S2" t="s">
        <v>87</v>
      </c>
    </row>
    <row r="3" spans="1:20" x14ac:dyDescent="0.25">
      <c r="A3" t="s">
        <v>66</v>
      </c>
      <c r="B3" t="str">
        <f>CONCATENATE(A3,7)</f>
        <v>65MP817</v>
      </c>
      <c r="C3" t="s">
        <v>67</v>
      </c>
      <c r="D3" t="s">
        <v>42</v>
      </c>
      <c r="E3" t="s">
        <v>43</v>
      </c>
      <c r="F3">
        <v>17425766</v>
      </c>
      <c r="G3" t="s">
        <v>44</v>
      </c>
      <c r="H3" t="s">
        <v>21</v>
      </c>
      <c r="I3" t="s">
        <v>45</v>
      </c>
      <c r="J3" t="s">
        <v>23</v>
      </c>
      <c r="K3">
        <v>20250401</v>
      </c>
      <c r="L3" t="str">
        <f>TEXT(DATE(LEFT(K3,4), MID(K3,5,2), RIGHT(K3,2)), "M/d/yyyy")</f>
        <v>4/1/2025</v>
      </c>
      <c r="M3">
        <v>20250503</v>
      </c>
      <c r="N3">
        <v>52</v>
      </c>
      <c r="O3" t="s">
        <v>23</v>
      </c>
      <c r="P3" t="s">
        <v>46</v>
      </c>
      <c r="Q3" s="2">
        <v>0.2</v>
      </c>
      <c r="R3">
        <v>10.4</v>
      </c>
      <c r="S3" t="s">
        <v>87</v>
      </c>
    </row>
    <row r="4" spans="1:20" x14ac:dyDescent="0.25">
      <c r="A4" t="s">
        <v>74</v>
      </c>
      <c r="B4" t="s">
        <v>74</v>
      </c>
      <c r="C4" t="s">
        <v>75</v>
      </c>
      <c r="D4" t="s">
        <v>42</v>
      </c>
      <c r="E4" t="s">
        <v>43</v>
      </c>
      <c r="F4">
        <v>17425766</v>
      </c>
      <c r="G4" t="s">
        <v>44</v>
      </c>
      <c r="H4" t="s">
        <v>21</v>
      </c>
      <c r="I4" t="s">
        <v>45</v>
      </c>
      <c r="J4" t="s">
        <v>23</v>
      </c>
      <c r="K4">
        <v>20250501</v>
      </c>
      <c r="L4" t="str">
        <f>TEXT(DATE(LEFT(K4,4), MID(K4,5,2), RIGHT(K4,2)), "M/d/yyyy")</f>
        <v>5/1/2025</v>
      </c>
      <c r="M4">
        <v>20250503</v>
      </c>
      <c r="N4">
        <v>85.15</v>
      </c>
      <c r="O4" t="s">
        <v>23</v>
      </c>
      <c r="P4" t="s">
        <v>46</v>
      </c>
      <c r="Q4" s="2">
        <v>0.1</v>
      </c>
      <c r="R4">
        <v>8.52</v>
      </c>
      <c r="S4" t="s">
        <v>87</v>
      </c>
    </row>
    <row r="5" spans="1:20" x14ac:dyDescent="0.25">
      <c r="A5" t="s">
        <v>47</v>
      </c>
      <c r="B5" t="str">
        <f>CONCATENATE(A5,2)</f>
        <v>35ND952</v>
      </c>
      <c r="C5" t="s">
        <v>48</v>
      </c>
      <c r="D5" t="s">
        <v>18</v>
      </c>
      <c r="E5" t="s">
        <v>49</v>
      </c>
      <c r="F5">
        <v>16865615</v>
      </c>
      <c r="G5" t="s">
        <v>20</v>
      </c>
      <c r="H5" t="s">
        <v>21</v>
      </c>
      <c r="I5" t="s">
        <v>22</v>
      </c>
      <c r="J5" t="s">
        <v>23</v>
      </c>
      <c r="K5">
        <v>20250501</v>
      </c>
      <c r="L5" t="str">
        <f>TEXT(DATE(LEFT(K5,4), MID(K5,5,2), RIGHT(K5,2)), "M/d/yyyy")</f>
        <v>5/1/2025</v>
      </c>
      <c r="M5">
        <v>20250503</v>
      </c>
      <c r="N5">
        <v>1</v>
      </c>
      <c r="O5" t="s">
        <v>24</v>
      </c>
      <c r="P5">
        <v>1</v>
      </c>
      <c r="Q5" s="1">
        <v>20</v>
      </c>
      <c r="R5">
        <v>20</v>
      </c>
      <c r="S5" t="s">
        <v>84</v>
      </c>
    </row>
    <row r="6" spans="1:20" x14ac:dyDescent="0.25">
      <c r="A6" t="s">
        <v>78</v>
      </c>
      <c r="B6" t="str">
        <f>CONCATENATE(A6,2)</f>
        <v>91MR972</v>
      </c>
      <c r="C6" t="s">
        <v>79</v>
      </c>
      <c r="D6" t="s">
        <v>18</v>
      </c>
      <c r="E6" t="s">
        <v>49</v>
      </c>
      <c r="F6">
        <v>16865615</v>
      </c>
      <c r="G6" t="s">
        <v>20</v>
      </c>
      <c r="H6" t="s">
        <v>21</v>
      </c>
      <c r="I6" t="s">
        <v>22</v>
      </c>
      <c r="J6" t="s">
        <v>23</v>
      </c>
      <c r="K6">
        <v>20250501</v>
      </c>
      <c r="L6" t="str">
        <f>TEXT(DATE(LEFT(K6,4), MID(K6,5,2), RIGHT(K6,2)), "M/d/yyyy")</f>
        <v>5/1/2025</v>
      </c>
      <c r="M6">
        <v>20250503</v>
      </c>
      <c r="N6">
        <v>1</v>
      </c>
      <c r="O6" t="s">
        <v>24</v>
      </c>
      <c r="P6">
        <v>1</v>
      </c>
      <c r="Q6" s="1">
        <v>20</v>
      </c>
      <c r="R6">
        <v>20</v>
      </c>
      <c r="S6" t="s">
        <v>84</v>
      </c>
    </row>
    <row r="7" spans="1:20" x14ac:dyDescent="0.25">
      <c r="A7" t="s">
        <v>82</v>
      </c>
      <c r="B7" t="str">
        <f>CONCATENATE(A7,2)</f>
        <v>99LN832</v>
      </c>
      <c r="C7" t="s">
        <v>83</v>
      </c>
      <c r="D7" t="s">
        <v>18</v>
      </c>
      <c r="E7" t="s">
        <v>49</v>
      </c>
      <c r="F7">
        <v>16865615</v>
      </c>
      <c r="G7" t="s">
        <v>20</v>
      </c>
      <c r="H7" t="s">
        <v>21</v>
      </c>
      <c r="I7" t="s">
        <v>22</v>
      </c>
      <c r="J7" t="s">
        <v>23</v>
      </c>
      <c r="K7">
        <v>20250501</v>
      </c>
      <c r="L7" t="str">
        <f>TEXT(DATE(LEFT(K7,4), MID(K7,5,2), RIGHT(K7,2)), "M/d/yyyy")</f>
        <v>5/1/2025</v>
      </c>
      <c r="M7">
        <v>20250503</v>
      </c>
      <c r="N7">
        <v>1</v>
      </c>
      <c r="O7" t="s">
        <v>24</v>
      </c>
      <c r="P7">
        <v>1</v>
      </c>
      <c r="Q7" s="1">
        <v>20</v>
      </c>
      <c r="R7">
        <v>20</v>
      </c>
      <c r="S7" t="s">
        <v>84</v>
      </c>
    </row>
    <row r="8" spans="1:20" x14ac:dyDescent="0.25">
      <c r="A8" t="s">
        <v>16</v>
      </c>
      <c r="B8" t="str">
        <f>CONCATENATE(A8,2)</f>
        <v>08M74D2</v>
      </c>
      <c r="C8" t="s">
        <v>17</v>
      </c>
      <c r="D8" t="s">
        <v>18</v>
      </c>
      <c r="E8" t="s">
        <v>19</v>
      </c>
      <c r="F8">
        <v>6634327</v>
      </c>
      <c r="G8" t="s">
        <v>20</v>
      </c>
      <c r="H8" t="s">
        <v>21</v>
      </c>
      <c r="I8" t="s">
        <v>22</v>
      </c>
      <c r="J8" t="s">
        <v>23</v>
      </c>
      <c r="K8">
        <v>20250401</v>
      </c>
      <c r="L8" t="str">
        <f>TEXT(DATE(LEFT(K8,4), MID(K8,5,2), RIGHT(K8,2)), "M/d/yyyy")</f>
        <v>4/1/2025</v>
      </c>
      <c r="M8">
        <v>20250503</v>
      </c>
      <c r="N8">
        <v>1</v>
      </c>
      <c r="O8" t="s">
        <v>24</v>
      </c>
      <c r="P8">
        <v>1</v>
      </c>
      <c r="Q8" s="1">
        <v>20</v>
      </c>
      <c r="R8">
        <v>20</v>
      </c>
      <c r="S8" t="s">
        <v>84</v>
      </c>
    </row>
    <row r="9" spans="1:20" x14ac:dyDescent="0.25">
      <c r="A9" t="s">
        <v>25</v>
      </c>
      <c r="B9" t="str">
        <f>CONCATENATE(A9,2)</f>
        <v>10M8K82</v>
      </c>
      <c r="C9" t="s">
        <v>26</v>
      </c>
      <c r="D9" t="s">
        <v>18</v>
      </c>
      <c r="E9" t="s">
        <v>19</v>
      </c>
      <c r="F9">
        <v>6634327</v>
      </c>
      <c r="G9" t="s">
        <v>20</v>
      </c>
      <c r="H9" t="s">
        <v>21</v>
      </c>
      <c r="I9" t="s">
        <v>22</v>
      </c>
      <c r="J9" t="s">
        <v>23</v>
      </c>
      <c r="K9">
        <v>20250401</v>
      </c>
      <c r="L9" t="str">
        <f>TEXT(DATE(LEFT(K9,4), MID(K9,5,2), RIGHT(K9,2)), "M/d/yyyy")</f>
        <v>4/1/2025</v>
      </c>
      <c r="M9">
        <v>20250503</v>
      </c>
      <c r="N9">
        <v>1</v>
      </c>
      <c r="O9" t="s">
        <v>27</v>
      </c>
      <c r="P9">
        <v>1</v>
      </c>
      <c r="Q9" s="1">
        <v>20</v>
      </c>
      <c r="R9">
        <v>20</v>
      </c>
      <c r="S9" t="s">
        <v>84</v>
      </c>
    </row>
    <row r="10" spans="1:20" x14ac:dyDescent="0.25">
      <c r="A10" t="s">
        <v>28</v>
      </c>
      <c r="B10" t="str">
        <f>CONCATENATE(A10,2)</f>
        <v>17M71Y2</v>
      </c>
      <c r="C10" t="s">
        <v>29</v>
      </c>
      <c r="D10" t="s">
        <v>18</v>
      </c>
      <c r="E10" t="s">
        <v>19</v>
      </c>
      <c r="F10">
        <v>6634327</v>
      </c>
      <c r="G10" t="s">
        <v>20</v>
      </c>
      <c r="H10" t="s">
        <v>21</v>
      </c>
      <c r="I10" t="s">
        <v>22</v>
      </c>
      <c r="J10" t="s">
        <v>23</v>
      </c>
      <c r="K10">
        <v>20250501</v>
      </c>
      <c r="L10" t="str">
        <f>TEXT(DATE(LEFT(K10,4), MID(K10,5,2), RIGHT(K10,2)), "M/d/yyyy")</f>
        <v>5/1/2025</v>
      </c>
      <c r="M10">
        <v>20250503</v>
      </c>
      <c r="N10">
        <v>1</v>
      </c>
      <c r="O10" t="s">
        <v>24</v>
      </c>
      <c r="P10">
        <v>1</v>
      </c>
      <c r="Q10" s="1">
        <v>20</v>
      </c>
      <c r="R10">
        <v>20</v>
      </c>
      <c r="S10" t="s">
        <v>84</v>
      </c>
    </row>
    <row r="11" spans="1:20" x14ac:dyDescent="0.25">
      <c r="A11" t="s">
        <v>30</v>
      </c>
      <c r="B11" t="str">
        <f>CONCATENATE(A11,2)</f>
        <v>23M79D2</v>
      </c>
      <c r="C11" t="s">
        <v>31</v>
      </c>
      <c r="D11" t="s">
        <v>18</v>
      </c>
      <c r="E11" t="s">
        <v>19</v>
      </c>
      <c r="F11">
        <v>6634327</v>
      </c>
      <c r="G11" t="s">
        <v>20</v>
      </c>
      <c r="H11" t="s">
        <v>21</v>
      </c>
      <c r="I11" t="s">
        <v>22</v>
      </c>
      <c r="J11" t="s">
        <v>23</v>
      </c>
      <c r="K11">
        <v>20250501</v>
      </c>
      <c r="L11" t="str">
        <f>TEXT(DATE(LEFT(K11,4), MID(K11,5,2), RIGHT(K11,2)), "M/d/yyyy")</f>
        <v>5/1/2025</v>
      </c>
      <c r="M11">
        <v>20250503</v>
      </c>
      <c r="N11">
        <v>1</v>
      </c>
      <c r="O11" t="s">
        <v>24</v>
      </c>
      <c r="P11">
        <v>1</v>
      </c>
      <c r="Q11" s="1">
        <v>20</v>
      </c>
      <c r="R11">
        <v>20</v>
      </c>
      <c r="S11" t="s">
        <v>84</v>
      </c>
    </row>
    <row r="12" spans="1:20" x14ac:dyDescent="0.25">
      <c r="A12" t="s">
        <v>37</v>
      </c>
      <c r="B12" t="str">
        <f>CONCATENATE(A12,2)</f>
        <v>32M8H82</v>
      </c>
      <c r="C12" t="s">
        <v>38</v>
      </c>
      <c r="D12" t="s">
        <v>18</v>
      </c>
      <c r="E12" t="s">
        <v>19</v>
      </c>
      <c r="F12">
        <v>6634327</v>
      </c>
      <c r="G12" t="s">
        <v>20</v>
      </c>
      <c r="H12" t="s">
        <v>39</v>
      </c>
      <c r="I12" t="s">
        <v>22</v>
      </c>
      <c r="J12" t="s">
        <v>23</v>
      </c>
      <c r="K12">
        <v>20250501</v>
      </c>
      <c r="L12" t="str">
        <f>TEXT(DATE(LEFT(K12,4), MID(K12,5,2), RIGHT(K12,2)), "M/d/yyyy")</f>
        <v>5/1/2025</v>
      </c>
      <c r="M12">
        <v>20250503</v>
      </c>
      <c r="N12">
        <v>1</v>
      </c>
      <c r="O12" t="s">
        <v>24</v>
      </c>
      <c r="P12">
        <v>3</v>
      </c>
      <c r="Q12" s="1">
        <v>20</v>
      </c>
      <c r="R12">
        <v>60</v>
      </c>
      <c r="S12" t="s">
        <v>84</v>
      </c>
      <c r="T12" t="s">
        <v>88</v>
      </c>
    </row>
    <row r="13" spans="1:20" x14ac:dyDescent="0.25">
      <c r="A13" t="s">
        <v>50</v>
      </c>
      <c r="B13" t="str">
        <f>CONCATENATE(A13,2)</f>
        <v>36M6M72</v>
      </c>
      <c r="C13" t="s">
        <v>51</v>
      </c>
      <c r="D13" t="s">
        <v>18</v>
      </c>
      <c r="E13" t="s">
        <v>19</v>
      </c>
      <c r="F13">
        <v>6634327</v>
      </c>
      <c r="G13" t="s">
        <v>20</v>
      </c>
      <c r="H13" t="s">
        <v>21</v>
      </c>
      <c r="I13" t="s">
        <v>22</v>
      </c>
      <c r="J13" t="s">
        <v>23</v>
      </c>
      <c r="K13">
        <v>20250401</v>
      </c>
      <c r="L13" t="str">
        <f>TEXT(DATE(LEFT(K13,4), MID(K13,5,2), RIGHT(K13,2)), "M/d/yyyy")</f>
        <v>4/1/2025</v>
      </c>
      <c r="M13">
        <v>20250503</v>
      </c>
      <c r="N13">
        <v>1</v>
      </c>
      <c r="O13" t="s">
        <v>24</v>
      </c>
      <c r="P13">
        <v>1</v>
      </c>
      <c r="Q13" s="1">
        <v>20</v>
      </c>
      <c r="R13">
        <v>20</v>
      </c>
      <c r="S13" t="s">
        <v>84</v>
      </c>
    </row>
    <row r="14" spans="1:20" x14ac:dyDescent="0.25">
      <c r="A14" t="s">
        <v>52</v>
      </c>
      <c r="B14" t="str">
        <f>CONCATENATE(A14,2)</f>
        <v>36MP652</v>
      </c>
      <c r="C14" t="s">
        <v>53</v>
      </c>
      <c r="D14" t="s">
        <v>18</v>
      </c>
      <c r="E14" t="s">
        <v>19</v>
      </c>
      <c r="F14">
        <v>6634327</v>
      </c>
      <c r="G14" t="s">
        <v>20</v>
      </c>
      <c r="H14" t="s">
        <v>21</v>
      </c>
      <c r="I14" t="s">
        <v>22</v>
      </c>
      <c r="J14" t="s">
        <v>23</v>
      </c>
      <c r="K14">
        <v>20250401</v>
      </c>
      <c r="L14" t="str">
        <f>TEXT(DATE(LEFT(K14,4), MID(K14,5,2), RIGHT(K14,2)), "M/d/yyyy")</f>
        <v>4/1/2025</v>
      </c>
      <c r="M14">
        <v>20250503</v>
      </c>
      <c r="N14">
        <v>1</v>
      </c>
      <c r="O14" t="s">
        <v>24</v>
      </c>
      <c r="P14">
        <v>1</v>
      </c>
      <c r="Q14" s="1">
        <v>20</v>
      </c>
      <c r="R14">
        <v>20</v>
      </c>
      <c r="S14" t="s">
        <v>84</v>
      </c>
    </row>
    <row r="15" spans="1:20" x14ac:dyDescent="0.25">
      <c r="A15" t="s">
        <v>54</v>
      </c>
      <c r="B15" t="str">
        <f>CONCATENATE(A15,2)</f>
        <v>39M88D2</v>
      </c>
      <c r="C15" t="s">
        <v>55</v>
      </c>
      <c r="D15" t="s">
        <v>18</v>
      </c>
      <c r="E15" t="s">
        <v>19</v>
      </c>
      <c r="F15">
        <v>6634327</v>
      </c>
      <c r="G15" t="s">
        <v>20</v>
      </c>
      <c r="H15" t="s">
        <v>21</v>
      </c>
      <c r="I15" t="s">
        <v>22</v>
      </c>
      <c r="J15" t="s">
        <v>23</v>
      </c>
      <c r="K15">
        <v>20250501</v>
      </c>
      <c r="L15" t="str">
        <f>TEXT(DATE(LEFT(K15,4), MID(K15,5,2), RIGHT(K15,2)), "M/d/yyyy")</f>
        <v>5/1/2025</v>
      </c>
      <c r="M15">
        <v>20250503</v>
      </c>
      <c r="N15">
        <v>1</v>
      </c>
      <c r="O15" t="s">
        <v>24</v>
      </c>
      <c r="P15">
        <v>1</v>
      </c>
      <c r="Q15" s="1">
        <v>20</v>
      </c>
      <c r="R15">
        <v>20</v>
      </c>
      <c r="S15" t="s">
        <v>84</v>
      </c>
    </row>
    <row r="16" spans="1:20" x14ac:dyDescent="0.25">
      <c r="A16" t="s">
        <v>56</v>
      </c>
      <c r="B16" t="str">
        <f>CONCATENATE(A16,2)</f>
        <v>47M59G2</v>
      </c>
      <c r="C16" t="s">
        <v>57</v>
      </c>
      <c r="D16" t="s">
        <v>18</v>
      </c>
      <c r="E16" t="s">
        <v>19</v>
      </c>
      <c r="F16">
        <v>6634327</v>
      </c>
      <c r="G16" t="s">
        <v>20</v>
      </c>
      <c r="H16" t="s">
        <v>21</v>
      </c>
      <c r="I16" t="s">
        <v>22</v>
      </c>
      <c r="J16" t="s">
        <v>23</v>
      </c>
      <c r="K16">
        <v>20250401</v>
      </c>
      <c r="L16" t="str">
        <f>TEXT(DATE(LEFT(K16,4), MID(K16,5,2), RIGHT(K16,2)), "M/d/yyyy")</f>
        <v>4/1/2025</v>
      </c>
      <c r="M16">
        <v>20250503</v>
      </c>
      <c r="N16">
        <v>1</v>
      </c>
      <c r="O16" t="s">
        <v>24</v>
      </c>
      <c r="P16">
        <v>1</v>
      </c>
      <c r="Q16" s="1">
        <v>20</v>
      </c>
      <c r="R16">
        <v>20</v>
      </c>
      <c r="S16" t="s">
        <v>84</v>
      </c>
    </row>
    <row r="17" spans="1:20" x14ac:dyDescent="0.25">
      <c r="A17" t="s">
        <v>58</v>
      </c>
      <c r="B17" t="str">
        <f>CONCATENATE(A17,2)</f>
        <v>56M32E2</v>
      </c>
      <c r="C17" t="s">
        <v>59</v>
      </c>
      <c r="D17" t="s">
        <v>18</v>
      </c>
      <c r="E17" t="s">
        <v>19</v>
      </c>
      <c r="F17">
        <v>6634327</v>
      </c>
      <c r="G17" t="s">
        <v>20</v>
      </c>
      <c r="H17" t="s">
        <v>21</v>
      </c>
      <c r="I17" t="s">
        <v>22</v>
      </c>
      <c r="J17" t="s">
        <v>23</v>
      </c>
      <c r="K17">
        <v>20250501</v>
      </c>
      <c r="L17" t="str">
        <f>TEXT(DATE(LEFT(K17,4), MID(K17,5,2), RIGHT(K17,2)), "M/d/yyyy")</f>
        <v>5/1/2025</v>
      </c>
      <c r="M17">
        <v>20250503</v>
      </c>
      <c r="N17">
        <v>1</v>
      </c>
      <c r="O17" t="s">
        <v>24</v>
      </c>
      <c r="P17">
        <v>1</v>
      </c>
      <c r="Q17" s="1">
        <v>20</v>
      </c>
      <c r="R17">
        <v>20</v>
      </c>
      <c r="S17" t="s">
        <v>84</v>
      </c>
    </row>
    <row r="18" spans="1:20" x14ac:dyDescent="0.25">
      <c r="A18" t="s">
        <v>60</v>
      </c>
      <c r="B18" t="str">
        <f>CONCATENATE(A18,2)</f>
        <v>61NC972</v>
      </c>
      <c r="C18" t="s">
        <v>61</v>
      </c>
      <c r="D18" t="s">
        <v>18</v>
      </c>
      <c r="E18" t="s">
        <v>19</v>
      </c>
      <c r="F18">
        <v>6634327</v>
      </c>
      <c r="G18" t="s">
        <v>20</v>
      </c>
      <c r="H18" t="s">
        <v>21</v>
      </c>
      <c r="I18" t="s">
        <v>22</v>
      </c>
      <c r="J18" t="s">
        <v>23</v>
      </c>
      <c r="K18">
        <v>20250401</v>
      </c>
      <c r="L18" t="str">
        <f>TEXT(DATE(LEFT(K18,4), MID(K18,5,2), RIGHT(K18,2)), "M/d/yyyy")</f>
        <v>4/1/2025</v>
      </c>
      <c r="M18">
        <v>20250503</v>
      </c>
      <c r="N18">
        <v>1</v>
      </c>
      <c r="O18" t="s">
        <v>24</v>
      </c>
      <c r="P18">
        <v>1</v>
      </c>
      <c r="Q18" s="1">
        <v>20</v>
      </c>
      <c r="R18">
        <v>20</v>
      </c>
      <c r="S18" t="s">
        <v>84</v>
      </c>
    </row>
    <row r="19" spans="1:20" x14ac:dyDescent="0.25">
      <c r="A19" t="s">
        <v>62</v>
      </c>
      <c r="B19" t="str">
        <f>CONCATENATE(A19,2)</f>
        <v>62NC242</v>
      </c>
      <c r="C19" t="s">
        <v>63</v>
      </c>
      <c r="D19" t="s">
        <v>18</v>
      </c>
      <c r="E19" t="s">
        <v>19</v>
      </c>
      <c r="F19">
        <v>6634327</v>
      </c>
      <c r="G19" t="s">
        <v>20</v>
      </c>
      <c r="H19" t="s">
        <v>21</v>
      </c>
      <c r="I19" t="s">
        <v>22</v>
      </c>
      <c r="J19" t="s">
        <v>23</v>
      </c>
      <c r="K19">
        <v>20250401</v>
      </c>
      <c r="L19" t="str">
        <f>TEXT(DATE(LEFT(K19,4), MID(K19,5,2), RIGHT(K19,2)), "M/d/yyyy")</f>
        <v>4/1/2025</v>
      </c>
      <c r="M19">
        <v>20250503</v>
      </c>
      <c r="N19">
        <v>1</v>
      </c>
      <c r="O19" t="s">
        <v>24</v>
      </c>
      <c r="P19">
        <v>2</v>
      </c>
      <c r="Q19" s="1">
        <v>20</v>
      </c>
      <c r="R19">
        <v>40</v>
      </c>
      <c r="S19" t="s">
        <v>84</v>
      </c>
      <c r="T19" t="s">
        <v>89</v>
      </c>
    </row>
    <row r="20" spans="1:20" x14ac:dyDescent="0.25">
      <c r="A20" t="s">
        <v>64</v>
      </c>
      <c r="B20" t="str">
        <f>CONCATENATE(A20,2)</f>
        <v>62NC362</v>
      </c>
      <c r="C20" t="s">
        <v>65</v>
      </c>
      <c r="D20" t="s">
        <v>18</v>
      </c>
      <c r="E20" t="s">
        <v>19</v>
      </c>
      <c r="F20">
        <v>6634327</v>
      </c>
      <c r="G20" t="s">
        <v>20</v>
      </c>
      <c r="H20" t="s">
        <v>21</v>
      </c>
      <c r="I20" t="s">
        <v>22</v>
      </c>
      <c r="J20" t="s">
        <v>23</v>
      </c>
      <c r="K20">
        <v>20250401</v>
      </c>
      <c r="L20" t="str">
        <f>TEXT(DATE(LEFT(K20,4), MID(K20,5,2), RIGHT(K20,2)), "M/d/yyyy")</f>
        <v>4/1/2025</v>
      </c>
      <c r="M20">
        <v>20250503</v>
      </c>
      <c r="N20">
        <v>1</v>
      </c>
      <c r="O20" t="s">
        <v>24</v>
      </c>
      <c r="P20">
        <v>1</v>
      </c>
      <c r="Q20" s="1">
        <v>20</v>
      </c>
      <c r="R20">
        <v>20</v>
      </c>
      <c r="S20" t="s">
        <v>84</v>
      </c>
    </row>
    <row r="21" spans="1:20" x14ac:dyDescent="0.25">
      <c r="A21" t="s">
        <v>72</v>
      </c>
      <c r="B21" t="str">
        <f>CONCATENATE(A21,2)</f>
        <v>70MB722</v>
      </c>
      <c r="C21" t="s">
        <v>73</v>
      </c>
      <c r="D21" t="s">
        <v>18</v>
      </c>
      <c r="E21" t="s">
        <v>19</v>
      </c>
      <c r="F21">
        <v>6634327</v>
      </c>
      <c r="G21" t="s">
        <v>20</v>
      </c>
      <c r="H21" t="s">
        <v>21</v>
      </c>
      <c r="I21" t="s">
        <v>22</v>
      </c>
      <c r="J21" t="s">
        <v>23</v>
      </c>
      <c r="K21">
        <v>20250501</v>
      </c>
      <c r="L21" t="str">
        <f>TEXT(DATE(LEFT(K21,4), MID(K21,5,2), RIGHT(K21,2)), "M/d/yyyy")</f>
        <v>5/1/2025</v>
      </c>
      <c r="M21">
        <v>20250503</v>
      </c>
      <c r="N21">
        <v>1</v>
      </c>
      <c r="O21" t="s">
        <v>24</v>
      </c>
      <c r="P21">
        <v>1</v>
      </c>
      <c r="Q21" s="1">
        <v>20</v>
      </c>
      <c r="R21">
        <v>20</v>
      </c>
      <c r="S21" t="s">
        <v>84</v>
      </c>
    </row>
    <row r="22" spans="1:20" x14ac:dyDescent="0.25">
      <c r="A22" t="s">
        <v>76</v>
      </c>
      <c r="B22" t="str">
        <f>CONCATENATE(A22,2)</f>
        <v>85NN122</v>
      </c>
      <c r="C22" t="s">
        <v>77</v>
      </c>
      <c r="D22" t="s">
        <v>18</v>
      </c>
      <c r="E22" t="s">
        <v>19</v>
      </c>
      <c r="F22">
        <v>6634327</v>
      </c>
      <c r="G22" t="s">
        <v>20</v>
      </c>
      <c r="H22" t="s">
        <v>21</v>
      </c>
      <c r="I22" t="s">
        <v>22</v>
      </c>
      <c r="J22" t="s">
        <v>23</v>
      </c>
      <c r="K22">
        <v>20250401</v>
      </c>
      <c r="L22" t="str">
        <f>TEXT(DATE(LEFT(K22,4), MID(K22,5,2), RIGHT(K22,2)), "M/d/yyyy")</f>
        <v>4/1/2025</v>
      </c>
      <c r="M22">
        <v>20250503</v>
      </c>
      <c r="N22">
        <v>1</v>
      </c>
      <c r="O22" t="s">
        <v>24</v>
      </c>
      <c r="P22">
        <v>1</v>
      </c>
      <c r="Q22" s="1">
        <v>20</v>
      </c>
      <c r="R22">
        <v>20</v>
      </c>
      <c r="S22" t="s">
        <v>84</v>
      </c>
    </row>
    <row r="23" spans="1:20" x14ac:dyDescent="0.25">
      <c r="A23" t="s">
        <v>80</v>
      </c>
      <c r="B23" t="str">
        <f>CONCATENATE(A23,2)</f>
        <v>97MT872</v>
      </c>
      <c r="C23" t="s">
        <v>81</v>
      </c>
      <c r="D23" t="s">
        <v>18</v>
      </c>
      <c r="E23" t="s">
        <v>19</v>
      </c>
      <c r="F23">
        <v>6634327</v>
      </c>
      <c r="G23" t="s">
        <v>20</v>
      </c>
      <c r="H23" t="s">
        <v>21</v>
      </c>
      <c r="I23" t="s">
        <v>22</v>
      </c>
      <c r="J23" t="s">
        <v>23</v>
      </c>
      <c r="K23">
        <v>20250401</v>
      </c>
      <c r="L23" t="str">
        <f>TEXT(DATE(LEFT(K23,4), MID(K23,5,2), RIGHT(K23,2)), "M/d/yyyy")</f>
        <v>4/1/2025</v>
      </c>
      <c r="M23">
        <v>20250503</v>
      </c>
      <c r="N23">
        <v>1</v>
      </c>
      <c r="O23" t="s">
        <v>24</v>
      </c>
      <c r="P23">
        <v>1</v>
      </c>
      <c r="Q23" s="1">
        <v>20</v>
      </c>
      <c r="R23">
        <v>20</v>
      </c>
      <c r="S23" t="s">
        <v>84</v>
      </c>
    </row>
    <row r="24" spans="1:20" x14ac:dyDescent="0.25">
      <c r="A24" t="s">
        <v>32</v>
      </c>
      <c r="B24" t="str">
        <f>CONCATENATE(A24,2)</f>
        <v>24N58N2</v>
      </c>
      <c r="C24" t="s">
        <v>33</v>
      </c>
      <c r="D24" t="s">
        <v>34</v>
      </c>
      <c r="E24" t="s">
        <v>35</v>
      </c>
      <c r="F24">
        <v>1706194</v>
      </c>
      <c r="G24" t="s">
        <v>20</v>
      </c>
      <c r="H24" t="s">
        <v>21</v>
      </c>
      <c r="I24" t="s">
        <v>36</v>
      </c>
      <c r="J24" t="s">
        <v>23</v>
      </c>
      <c r="K24">
        <v>20250501</v>
      </c>
      <c r="L24" t="str">
        <f>TEXT(DATE(LEFT(K24,4), MID(K24,5,2), RIGHT(K24,2)), "M/d/yyyy")</f>
        <v>5/1/2025</v>
      </c>
      <c r="M24">
        <v>20250503</v>
      </c>
      <c r="N24">
        <v>1</v>
      </c>
      <c r="O24" t="s">
        <v>24</v>
      </c>
      <c r="P24">
        <v>1</v>
      </c>
      <c r="Q24" s="1">
        <v>22</v>
      </c>
      <c r="R24">
        <v>22</v>
      </c>
      <c r="S24" t="s">
        <v>85</v>
      </c>
    </row>
    <row r="25" spans="1:20" x14ac:dyDescent="0.25">
      <c r="A25" t="s">
        <v>68</v>
      </c>
      <c r="B25" t="str">
        <f>CONCATENATE(A25,2)</f>
        <v>69CK842</v>
      </c>
      <c r="C25" t="s">
        <v>69</v>
      </c>
      <c r="D25" t="s">
        <v>18</v>
      </c>
      <c r="E25" t="s">
        <v>70</v>
      </c>
      <c r="F25">
        <v>18010408</v>
      </c>
      <c r="G25" t="s">
        <v>20</v>
      </c>
      <c r="H25" t="s">
        <v>21</v>
      </c>
      <c r="I25" t="s">
        <v>71</v>
      </c>
      <c r="J25" t="s">
        <v>23</v>
      </c>
      <c r="K25">
        <v>20250501</v>
      </c>
      <c r="L25" t="str">
        <f>TEXT(DATE(LEFT(K25,4), MID(K25,5,2), RIGHT(K25,2)), "M/d/yyyy")</f>
        <v>5/1/2025</v>
      </c>
      <c r="M25">
        <v>20250503</v>
      </c>
      <c r="N25">
        <v>1</v>
      </c>
      <c r="O25" t="s">
        <v>24</v>
      </c>
      <c r="P25">
        <v>1</v>
      </c>
      <c r="Q25" s="1">
        <v>20</v>
      </c>
      <c r="R25">
        <v>20</v>
      </c>
      <c r="S25" t="s">
        <v>86</v>
      </c>
    </row>
  </sheetData>
  <sortState xmlns:xlrd2="http://schemas.microsoft.com/office/spreadsheetml/2017/richdata2" ref="A2:T25">
    <sortCondition ref="E2:E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export-554662-20250503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2025-05-12T13:28:03Z</dcterms:created>
  <dcterms:modified xsi:type="dcterms:W3CDTF">2025-05-12T18:08:19Z</dcterms:modified>
</cp:coreProperties>
</file>