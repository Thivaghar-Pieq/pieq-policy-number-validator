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ort-554662-20251004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yhiyN3kjJKiEPaB9V66gqsHLlZx9mM0sPurENiEizIQ="/>
    </ext>
  </extLst>
</workbook>
</file>

<file path=xl/sharedStrings.xml><?xml version="1.0" encoding="utf-8"?>
<sst xmlns="http://schemas.openxmlformats.org/spreadsheetml/2006/main" count="290" uniqueCount="78">
  <si>
    <t>Subscriber ID</t>
  </si>
  <si>
    <t>Customer Name</t>
  </si>
  <si>
    <t>Product</t>
  </si>
  <si>
    <t>Writing Agent</t>
  </si>
  <si>
    <t>Comm Basis</t>
  </si>
  <si>
    <t>Member Code/Rate group</t>
  </si>
  <si>
    <t>State/Region</t>
  </si>
  <si>
    <t>Advance Duration</t>
  </si>
  <si>
    <t>Policy Period</t>
  </si>
  <si>
    <t>Commission Payment Date</t>
  </si>
  <si>
    <t>Premium</t>
  </si>
  <si>
    <t>Code</t>
  </si>
  <si>
    <t>Member Count</t>
  </si>
  <si>
    <t>Comm Rate</t>
  </si>
  <si>
    <t>Commission</t>
  </si>
  <si>
    <t>Comments</t>
  </si>
  <si>
    <t>Customer Number (Case ID)</t>
  </si>
  <si>
    <t>Writing Agent NPN</t>
  </si>
  <si>
    <t>08M74D</t>
  </si>
  <si>
    <t>STUTHI PAUL PEDAPATI, RAJ</t>
  </si>
  <si>
    <t>Medical, HOAPIN</t>
  </si>
  <si>
    <t>JOEL LEE</t>
  </si>
  <si>
    <t>PMPM</t>
  </si>
  <si>
    <t xml:space="preserve">S, </t>
  </si>
  <si>
    <t>CO</t>
  </si>
  <si>
    <t>null</t>
  </si>
  <si>
    <t>X, CP</t>
  </si>
  <si>
    <t>02M64D</t>
  </si>
  <si>
    <t>62NC24</t>
  </si>
  <si>
    <t>KHORSANDI, HOSNA</t>
  </si>
  <si>
    <t>23NC12</t>
  </si>
  <si>
    <t>62NC36</t>
  </si>
  <si>
    <t>GANESH NARAGAM, KIRAN</t>
  </si>
  <si>
    <t>23NC29</t>
  </si>
  <si>
    <t>36M6M7</t>
  </si>
  <si>
    <t>ILORI, MUYIWA</t>
  </si>
  <si>
    <t>36M6M3</t>
  </si>
  <si>
    <t>17M71Y</t>
  </si>
  <si>
    <t>SWIFT, HANNAH</t>
  </si>
  <si>
    <t>36M84F</t>
  </si>
  <si>
    <t>56M32E</t>
  </si>
  <si>
    <t>WILSON, VELICITY</t>
  </si>
  <si>
    <t>X, SP</t>
  </si>
  <si>
    <t>36M8M1</t>
  </si>
  <si>
    <t>47M59G</t>
  </si>
  <si>
    <t>MOHAMED, AYA</t>
  </si>
  <si>
    <t>47M53G</t>
  </si>
  <si>
    <t>61NC97</t>
  </si>
  <si>
    <t>VASUDEVAN, MALATHI</t>
  </si>
  <si>
    <t>53NC04</t>
  </si>
  <si>
    <t>69CK84</t>
  </si>
  <si>
    <t>WATSON, CURTIS</t>
  </si>
  <si>
    <t>WILLIAM SCHAEFFER</t>
  </si>
  <si>
    <t>VA</t>
  </si>
  <si>
    <t>69CK83</t>
  </si>
  <si>
    <t>0W486R</t>
  </si>
  <si>
    <t>MARTIN, BENNY</t>
  </si>
  <si>
    <t>Medical, HMO1</t>
  </si>
  <si>
    <t>ASHLEY TEIPEL</t>
  </si>
  <si>
    <t>TX</t>
  </si>
  <si>
    <t>7W171Q</t>
  </si>
  <si>
    <t>7Y95N8</t>
  </si>
  <si>
    <t>GAINES, SHERRY</t>
  </si>
  <si>
    <t>Dental, IVDPPO</t>
  </si>
  <si>
    <t>CAROL FOLEY</t>
  </si>
  <si>
    <t>% of Premium</t>
  </si>
  <si>
    <t>GA</t>
  </si>
  <si>
    <t xml:space="preserve"> </t>
  </si>
  <si>
    <t>7Y88N4</t>
  </si>
  <si>
    <t>56L91L</t>
  </si>
  <si>
    <t>FLYNN, DARWIN</t>
  </si>
  <si>
    <t>MATTHEW DAUGHERTY</t>
  </si>
  <si>
    <t>90L29K</t>
  </si>
  <si>
    <t>Cigna 2025 AZ, CO, IL</t>
  </si>
  <si>
    <t>[PMPM=2]</t>
  </si>
  <si>
    <t>Cigna - VA</t>
  </si>
  <si>
    <t>Cigna - TX</t>
  </si>
  <si>
    <t>Cigna Dental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</si>
</sst>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_);[Red]\(&quot;$&quot;#,##0\)"/>
  </numFmts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2" numFmtId="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13"/>
    <col customWidth="1" min="2" max="2" width="26.5"/>
    <col customWidth="1" min="3" max="3" width="15.38"/>
    <col customWidth="1" min="4" max="4" width="22.13"/>
    <col customWidth="1" min="5" max="5" width="12.5"/>
    <col customWidth="1" min="6" max="6" width="22.13"/>
    <col customWidth="1" min="7" max="7" width="11.63"/>
    <col customWidth="1" min="8" max="8" width="15.63"/>
    <col customWidth="1" min="9" max="9" width="11.75"/>
    <col customWidth="1" min="10" max="10" width="23.25"/>
    <col customWidth="1" min="11" max="11" width="8.38"/>
    <col customWidth="1" min="12" max="12" width="5.75"/>
    <col customWidth="1" min="13" max="13" width="13.13"/>
    <col customWidth="1" min="14" max="14" width="10.75"/>
    <col customWidth="1" min="15" max="15" width="11.13"/>
    <col customWidth="1" min="16" max="16" width="9.88"/>
    <col customWidth="1" min="17" max="17" width="24.38"/>
    <col customWidth="1" min="18" max="18" width="16.38"/>
    <col customWidth="1" min="19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>
        <v>2.0250901E7</v>
      </c>
      <c r="J2" s="1">
        <v>2.0251004E7</v>
      </c>
      <c r="K2" s="1">
        <v>0.0</v>
      </c>
      <c r="L2" s="1" t="s">
        <v>26</v>
      </c>
      <c r="M2" s="1">
        <v>1.0</v>
      </c>
      <c r="N2" s="2">
        <v>20.0</v>
      </c>
      <c r="O2" s="1">
        <v>20.0</v>
      </c>
      <c r="P2" s="1" t="s">
        <v>25</v>
      </c>
      <c r="Q2" s="1" t="s">
        <v>27</v>
      </c>
      <c r="R2" s="1">
        <v>6634327.0</v>
      </c>
    </row>
    <row r="3">
      <c r="A3" s="1" t="s">
        <v>28</v>
      </c>
      <c r="B3" s="1" t="s">
        <v>29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>
        <v>2.0250901E7</v>
      </c>
      <c r="J3" s="1">
        <v>2.0251004E7</v>
      </c>
      <c r="K3" s="1">
        <v>0.0</v>
      </c>
      <c r="L3" s="1" t="s">
        <v>26</v>
      </c>
      <c r="M3" s="1">
        <v>2.0</v>
      </c>
      <c r="N3" s="2">
        <v>20.0</v>
      </c>
      <c r="O3" s="1">
        <v>40.0</v>
      </c>
      <c r="P3" s="1" t="s">
        <v>25</v>
      </c>
      <c r="Q3" s="1" t="s">
        <v>30</v>
      </c>
      <c r="R3" s="1">
        <v>6634327.0</v>
      </c>
    </row>
    <row r="4">
      <c r="A4" s="1" t="s">
        <v>31</v>
      </c>
      <c r="B4" s="1" t="s">
        <v>32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24</v>
      </c>
      <c r="H4" s="1" t="s">
        <v>25</v>
      </c>
      <c r="I4" s="1">
        <v>2.0250901E7</v>
      </c>
      <c r="J4" s="1">
        <v>2.0251004E7</v>
      </c>
      <c r="K4" s="1">
        <v>0.0</v>
      </c>
      <c r="L4" s="1" t="s">
        <v>26</v>
      </c>
      <c r="M4" s="1">
        <v>1.0</v>
      </c>
      <c r="N4" s="2">
        <v>20.0</v>
      </c>
      <c r="O4" s="1">
        <v>20.0</v>
      </c>
      <c r="P4" s="1" t="s">
        <v>25</v>
      </c>
      <c r="Q4" s="1" t="s">
        <v>33</v>
      </c>
      <c r="R4" s="1">
        <v>6634327.0</v>
      </c>
    </row>
    <row r="5">
      <c r="A5" s="1" t="s">
        <v>34</v>
      </c>
      <c r="B5" s="1" t="s">
        <v>35</v>
      </c>
      <c r="C5" s="1" t="s">
        <v>20</v>
      </c>
      <c r="D5" s="1" t="s">
        <v>21</v>
      </c>
      <c r="E5" s="1" t="s">
        <v>22</v>
      </c>
      <c r="F5" s="1" t="s">
        <v>23</v>
      </c>
      <c r="G5" s="1" t="s">
        <v>24</v>
      </c>
      <c r="H5" s="1" t="s">
        <v>25</v>
      </c>
      <c r="I5" s="1">
        <v>2.0250901E7</v>
      </c>
      <c r="J5" s="1">
        <v>2.0251004E7</v>
      </c>
      <c r="K5" s="1">
        <v>0.0</v>
      </c>
      <c r="L5" s="1" t="s">
        <v>26</v>
      </c>
      <c r="M5" s="1">
        <v>1.0</v>
      </c>
      <c r="N5" s="2">
        <v>20.0</v>
      </c>
      <c r="O5" s="1">
        <v>20.0</v>
      </c>
      <c r="P5" s="1" t="s">
        <v>25</v>
      </c>
      <c r="Q5" s="1" t="s">
        <v>36</v>
      </c>
      <c r="R5" s="1">
        <v>6634327.0</v>
      </c>
    </row>
    <row r="6">
      <c r="A6" s="1" t="s">
        <v>37</v>
      </c>
      <c r="B6" s="1" t="s">
        <v>38</v>
      </c>
      <c r="C6" s="1" t="s">
        <v>20</v>
      </c>
      <c r="D6" s="1" t="s">
        <v>21</v>
      </c>
      <c r="E6" s="1" t="s">
        <v>22</v>
      </c>
      <c r="F6" s="1" t="s">
        <v>23</v>
      </c>
      <c r="G6" s="1" t="s">
        <v>24</v>
      </c>
      <c r="H6" s="1" t="s">
        <v>25</v>
      </c>
      <c r="I6" s="1">
        <v>2.0251001E7</v>
      </c>
      <c r="J6" s="1">
        <v>2.0251004E7</v>
      </c>
      <c r="K6" s="1">
        <v>335.48</v>
      </c>
      <c r="L6" s="1" t="s">
        <v>26</v>
      </c>
      <c r="M6" s="1">
        <v>1.0</v>
      </c>
      <c r="N6" s="2">
        <v>20.0</v>
      </c>
      <c r="O6" s="1">
        <v>20.0</v>
      </c>
      <c r="P6" s="1" t="s">
        <v>25</v>
      </c>
      <c r="Q6" s="1" t="s">
        <v>39</v>
      </c>
      <c r="R6" s="1">
        <v>6634327.0</v>
      </c>
    </row>
    <row r="7">
      <c r="A7" s="1" t="s">
        <v>40</v>
      </c>
      <c r="B7" s="1" t="s">
        <v>41</v>
      </c>
      <c r="C7" s="1" t="s">
        <v>20</v>
      </c>
      <c r="D7" s="1" t="s">
        <v>21</v>
      </c>
      <c r="E7" s="1" t="s">
        <v>22</v>
      </c>
      <c r="F7" s="1" t="s">
        <v>23</v>
      </c>
      <c r="G7" s="1" t="s">
        <v>24</v>
      </c>
      <c r="H7" s="1" t="s">
        <v>25</v>
      </c>
      <c r="I7" s="1">
        <v>2.0250901E7</v>
      </c>
      <c r="J7" s="1">
        <v>2.0251004E7</v>
      </c>
      <c r="K7" s="1">
        <v>347.1</v>
      </c>
      <c r="L7" s="1" t="s">
        <v>42</v>
      </c>
      <c r="M7" s="1">
        <v>1.0</v>
      </c>
      <c r="N7" s="2">
        <v>20.0</v>
      </c>
      <c r="O7" s="1">
        <v>20.0</v>
      </c>
      <c r="P7" s="1" t="s">
        <v>25</v>
      </c>
      <c r="Q7" s="1" t="s">
        <v>43</v>
      </c>
      <c r="R7" s="1">
        <v>6634327.0</v>
      </c>
    </row>
    <row r="8">
      <c r="A8" s="1" t="s">
        <v>44</v>
      </c>
      <c r="B8" s="1" t="s">
        <v>45</v>
      </c>
      <c r="C8" s="1" t="s">
        <v>20</v>
      </c>
      <c r="D8" s="1" t="s">
        <v>21</v>
      </c>
      <c r="E8" s="1" t="s">
        <v>22</v>
      </c>
      <c r="F8" s="1" t="s">
        <v>23</v>
      </c>
      <c r="G8" s="1" t="s">
        <v>24</v>
      </c>
      <c r="H8" s="1" t="s">
        <v>25</v>
      </c>
      <c r="I8" s="1">
        <v>2.0250901E7</v>
      </c>
      <c r="J8" s="1">
        <v>2.0251004E7</v>
      </c>
      <c r="K8" s="1">
        <v>0.0</v>
      </c>
      <c r="L8" s="1" t="s">
        <v>26</v>
      </c>
      <c r="M8" s="1">
        <v>1.0</v>
      </c>
      <c r="N8" s="2">
        <v>20.0</v>
      </c>
      <c r="O8" s="1">
        <v>20.0</v>
      </c>
      <c r="P8" s="1" t="s">
        <v>25</v>
      </c>
      <c r="Q8" s="1" t="s">
        <v>46</v>
      </c>
      <c r="R8" s="1">
        <v>6634327.0</v>
      </c>
    </row>
    <row r="9">
      <c r="A9" s="1" t="s">
        <v>47</v>
      </c>
      <c r="B9" s="1" t="s">
        <v>48</v>
      </c>
      <c r="C9" s="1" t="s">
        <v>20</v>
      </c>
      <c r="D9" s="1" t="s">
        <v>21</v>
      </c>
      <c r="E9" s="1" t="s">
        <v>22</v>
      </c>
      <c r="F9" s="1" t="s">
        <v>23</v>
      </c>
      <c r="G9" s="1" t="s">
        <v>24</v>
      </c>
      <c r="H9" s="1" t="s">
        <v>25</v>
      </c>
      <c r="I9" s="1">
        <v>2.0250901E7</v>
      </c>
      <c r="J9" s="1">
        <v>2.0251004E7</v>
      </c>
      <c r="K9" s="1">
        <v>0.0</v>
      </c>
      <c r="L9" s="1" t="s">
        <v>26</v>
      </c>
      <c r="M9" s="1">
        <v>1.0</v>
      </c>
      <c r="N9" s="2">
        <v>20.0</v>
      </c>
      <c r="O9" s="1">
        <v>20.0</v>
      </c>
      <c r="P9" s="1" t="s">
        <v>25</v>
      </c>
      <c r="Q9" s="1" t="s">
        <v>49</v>
      </c>
      <c r="R9" s="1">
        <v>6634327.0</v>
      </c>
    </row>
    <row r="10">
      <c r="A10" s="1" t="s">
        <v>50</v>
      </c>
      <c r="B10" s="1" t="s">
        <v>51</v>
      </c>
      <c r="C10" s="1" t="s">
        <v>20</v>
      </c>
      <c r="D10" s="1" t="s">
        <v>52</v>
      </c>
      <c r="E10" s="1" t="s">
        <v>22</v>
      </c>
      <c r="F10" s="1" t="s">
        <v>23</v>
      </c>
      <c r="G10" s="1" t="s">
        <v>53</v>
      </c>
      <c r="H10" s="1" t="s">
        <v>25</v>
      </c>
      <c r="I10" s="1">
        <v>2.0251001E7</v>
      </c>
      <c r="J10" s="1">
        <v>2.0251004E7</v>
      </c>
      <c r="K10" s="1">
        <v>26.86</v>
      </c>
      <c r="L10" s="1" t="s">
        <v>26</v>
      </c>
      <c r="M10" s="1">
        <v>1.0</v>
      </c>
      <c r="N10" s="2">
        <v>20.0</v>
      </c>
      <c r="O10" s="1">
        <v>20.0</v>
      </c>
      <c r="P10" s="1" t="s">
        <v>25</v>
      </c>
      <c r="Q10" s="1" t="s">
        <v>54</v>
      </c>
      <c r="R10" s="1">
        <v>1.8010408E7</v>
      </c>
    </row>
    <row r="11">
      <c r="A11" s="1" t="s">
        <v>55</v>
      </c>
      <c r="B11" s="1" t="s">
        <v>56</v>
      </c>
      <c r="C11" s="1" t="s">
        <v>57</v>
      </c>
      <c r="D11" s="1" t="s">
        <v>58</v>
      </c>
      <c r="E11" s="1" t="s">
        <v>22</v>
      </c>
      <c r="F11" s="1" t="s">
        <v>23</v>
      </c>
      <c r="G11" s="1" t="s">
        <v>59</v>
      </c>
      <c r="H11" s="1" t="s">
        <v>25</v>
      </c>
      <c r="I11" s="1">
        <v>2.0251001E7</v>
      </c>
      <c r="J11" s="1">
        <v>2.0251004E7</v>
      </c>
      <c r="K11" s="1">
        <v>0.0</v>
      </c>
      <c r="L11" s="1" t="s">
        <v>42</v>
      </c>
      <c r="M11" s="1">
        <v>2.0</v>
      </c>
      <c r="N11" s="2">
        <v>25.0</v>
      </c>
      <c r="O11" s="1">
        <v>50.0</v>
      </c>
      <c r="P11" s="1" t="s">
        <v>25</v>
      </c>
      <c r="Q11" s="1" t="s">
        <v>60</v>
      </c>
      <c r="R11" s="1">
        <v>2.0436925E7</v>
      </c>
    </row>
    <row r="12">
      <c r="A12" s="1" t="s">
        <v>61</v>
      </c>
      <c r="B12" s="1" t="s">
        <v>62</v>
      </c>
      <c r="C12" s="1" t="s">
        <v>63</v>
      </c>
      <c r="D12" s="1" t="s">
        <v>64</v>
      </c>
      <c r="E12" s="1" t="s">
        <v>65</v>
      </c>
      <c r="F12" s="1" t="s">
        <v>23</v>
      </c>
      <c r="G12" s="1" t="s">
        <v>66</v>
      </c>
      <c r="H12" s="1" t="s">
        <v>25</v>
      </c>
      <c r="I12" s="1">
        <v>2.0251001E7</v>
      </c>
      <c r="J12" s="1">
        <v>2.0251004E7</v>
      </c>
      <c r="K12" s="1">
        <v>52.72</v>
      </c>
      <c r="L12" s="1" t="s">
        <v>25</v>
      </c>
      <c r="M12" s="1" t="s">
        <v>67</v>
      </c>
      <c r="N12" s="3">
        <v>0.1</v>
      </c>
      <c r="O12" s="1">
        <v>5.27</v>
      </c>
      <c r="P12" s="1" t="s">
        <v>25</v>
      </c>
      <c r="Q12" s="1" t="s">
        <v>68</v>
      </c>
      <c r="R12" s="1">
        <v>1.7425766E7</v>
      </c>
    </row>
    <row r="13">
      <c r="A13" s="1" t="s">
        <v>69</v>
      </c>
      <c r="B13" s="1" t="s">
        <v>70</v>
      </c>
      <c r="C13" s="1" t="s">
        <v>57</v>
      </c>
      <c r="D13" s="1" t="s">
        <v>71</v>
      </c>
      <c r="E13" s="1" t="s">
        <v>22</v>
      </c>
      <c r="F13" s="1" t="s">
        <v>23</v>
      </c>
      <c r="G13" s="1" t="s">
        <v>59</v>
      </c>
      <c r="H13" s="1" t="s">
        <v>25</v>
      </c>
      <c r="I13" s="1">
        <v>2.0251001E7</v>
      </c>
      <c r="J13" s="1">
        <v>2.0251004E7</v>
      </c>
      <c r="K13" s="1">
        <v>167.83</v>
      </c>
      <c r="L13" s="1" t="s">
        <v>26</v>
      </c>
      <c r="M13" s="1">
        <v>1.0</v>
      </c>
      <c r="N13" s="2">
        <v>25.0</v>
      </c>
      <c r="O13" s="1">
        <v>25.0</v>
      </c>
      <c r="P13" s="1" t="s">
        <v>25</v>
      </c>
      <c r="Q13" s="1" t="s">
        <v>72</v>
      </c>
      <c r="R13" s="1">
        <v>1.6378851E7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25.25"/>
    <col customWidth="1" min="4" max="4" width="16.13"/>
    <col customWidth="1" min="5" max="6" width="20.88"/>
    <col customWidth="1" min="7" max="7" width="13.25"/>
    <col customWidth="1" min="8" max="10" width="8.63"/>
    <col customWidth="1" min="11" max="11" width="12.63"/>
    <col customWidth="1" min="12" max="26" width="8.63"/>
  </cols>
  <sheetData>
    <row r="1">
      <c r="A1" s="1" t="s">
        <v>0</v>
      </c>
      <c r="C1" s="1" t="s">
        <v>1</v>
      </c>
      <c r="D1" s="1" t="s">
        <v>2</v>
      </c>
      <c r="E1" s="1" t="s">
        <v>3</v>
      </c>
      <c r="G1" s="1" t="s">
        <v>4</v>
      </c>
      <c r="H1" s="1" t="s">
        <v>5</v>
      </c>
      <c r="I1" s="1" t="s">
        <v>6</v>
      </c>
      <c r="J1" s="1" t="s">
        <v>8</v>
      </c>
      <c r="L1" s="1" t="s">
        <v>9</v>
      </c>
      <c r="M1" s="1" t="s">
        <v>10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>
      <c r="A2" s="1" t="s">
        <v>18</v>
      </c>
      <c r="B2" s="1" t="str">
        <f t="shared" ref="B2:B11" si="1">CONCATENATE(A2,2)</f>
        <v>08M74D2</v>
      </c>
      <c r="C2" s="1" t="s">
        <v>19</v>
      </c>
      <c r="D2" s="1" t="s">
        <v>20</v>
      </c>
      <c r="E2" s="1" t="s">
        <v>21</v>
      </c>
      <c r="F2" s="1">
        <v>6634327.0</v>
      </c>
      <c r="G2" s="1" t="s">
        <v>22</v>
      </c>
      <c r="H2" s="1" t="s">
        <v>23</v>
      </c>
      <c r="I2" s="1" t="s">
        <v>24</v>
      </c>
      <c r="J2" s="1">
        <v>2.0250901E7</v>
      </c>
      <c r="K2" s="1" t="str">
        <f t="shared" ref="K2:K13" si="2">TEXT(DATE(LEFT(J2,4), MID(J2,5,2), RIGHT(J2,2)), "M/d/yyyy")</f>
        <v>9/1/2025</v>
      </c>
      <c r="L2" s="1">
        <v>2.0251004E7</v>
      </c>
      <c r="M2" s="1">
        <v>1.0</v>
      </c>
      <c r="O2" s="2">
        <v>20.0</v>
      </c>
      <c r="P2" s="1">
        <v>20.0</v>
      </c>
      <c r="Q2" s="1" t="s">
        <v>25</v>
      </c>
      <c r="R2" s="1" t="s">
        <v>27</v>
      </c>
      <c r="S2" s="1">
        <v>6634327.0</v>
      </c>
      <c r="T2" s="1" t="s">
        <v>73</v>
      </c>
    </row>
    <row r="3">
      <c r="A3" s="1" t="s">
        <v>28</v>
      </c>
      <c r="B3" s="1" t="str">
        <f t="shared" si="1"/>
        <v>62NC242</v>
      </c>
      <c r="C3" s="1" t="s">
        <v>29</v>
      </c>
      <c r="D3" s="1" t="s">
        <v>20</v>
      </c>
      <c r="E3" s="1" t="s">
        <v>21</v>
      </c>
      <c r="F3" s="1">
        <v>6634327.0</v>
      </c>
      <c r="G3" s="1" t="s">
        <v>22</v>
      </c>
      <c r="H3" s="1" t="s">
        <v>23</v>
      </c>
      <c r="I3" s="1" t="s">
        <v>24</v>
      </c>
      <c r="J3" s="1">
        <v>2.0250901E7</v>
      </c>
      <c r="K3" s="1" t="str">
        <f t="shared" si="2"/>
        <v>9/1/2025</v>
      </c>
      <c r="L3" s="1">
        <v>2.0251004E7</v>
      </c>
      <c r="M3" s="1">
        <v>1.0</v>
      </c>
      <c r="N3" s="1" t="s">
        <v>74</v>
      </c>
      <c r="O3" s="2">
        <v>20.0</v>
      </c>
      <c r="P3" s="1">
        <v>40.0</v>
      </c>
      <c r="Q3" s="1" t="s">
        <v>25</v>
      </c>
      <c r="R3" s="1" t="s">
        <v>30</v>
      </c>
      <c r="S3" s="1">
        <v>6634327.0</v>
      </c>
      <c r="T3" s="1" t="s">
        <v>73</v>
      </c>
    </row>
    <row r="4">
      <c r="A4" s="1" t="s">
        <v>31</v>
      </c>
      <c r="B4" s="1" t="str">
        <f t="shared" si="1"/>
        <v>62NC362</v>
      </c>
      <c r="C4" s="1" t="s">
        <v>32</v>
      </c>
      <c r="D4" s="1" t="s">
        <v>20</v>
      </c>
      <c r="E4" s="1" t="s">
        <v>21</v>
      </c>
      <c r="F4" s="1">
        <v>6634327.0</v>
      </c>
      <c r="G4" s="1" t="s">
        <v>22</v>
      </c>
      <c r="H4" s="1" t="s">
        <v>23</v>
      </c>
      <c r="I4" s="1" t="s">
        <v>24</v>
      </c>
      <c r="J4" s="1">
        <v>2.0250901E7</v>
      </c>
      <c r="K4" s="1" t="str">
        <f t="shared" si="2"/>
        <v>9/1/2025</v>
      </c>
      <c r="L4" s="1">
        <v>2.0251004E7</v>
      </c>
      <c r="M4" s="1">
        <v>1.0</v>
      </c>
      <c r="O4" s="2">
        <v>20.0</v>
      </c>
      <c r="P4" s="1">
        <v>20.0</v>
      </c>
      <c r="Q4" s="1" t="s">
        <v>25</v>
      </c>
      <c r="R4" s="1" t="s">
        <v>33</v>
      </c>
      <c r="S4" s="1">
        <v>6634327.0</v>
      </c>
      <c r="T4" s="1" t="s">
        <v>73</v>
      </c>
    </row>
    <row r="5">
      <c r="A5" s="1" t="s">
        <v>34</v>
      </c>
      <c r="B5" s="1" t="str">
        <f t="shared" si="1"/>
        <v>36M6M72</v>
      </c>
      <c r="C5" s="1" t="s">
        <v>35</v>
      </c>
      <c r="D5" s="1" t="s">
        <v>20</v>
      </c>
      <c r="E5" s="1" t="s">
        <v>21</v>
      </c>
      <c r="F5" s="1">
        <v>6634327.0</v>
      </c>
      <c r="G5" s="1" t="s">
        <v>22</v>
      </c>
      <c r="H5" s="1" t="s">
        <v>23</v>
      </c>
      <c r="I5" s="1" t="s">
        <v>24</v>
      </c>
      <c r="J5" s="1">
        <v>2.0250901E7</v>
      </c>
      <c r="K5" s="1" t="str">
        <f t="shared" si="2"/>
        <v>9/1/2025</v>
      </c>
      <c r="L5" s="1">
        <v>2.0251004E7</v>
      </c>
      <c r="M5" s="1">
        <v>1.0</v>
      </c>
      <c r="O5" s="2">
        <v>20.0</v>
      </c>
      <c r="P5" s="1">
        <v>20.0</v>
      </c>
      <c r="Q5" s="1" t="s">
        <v>25</v>
      </c>
      <c r="R5" s="1" t="s">
        <v>36</v>
      </c>
      <c r="S5" s="1">
        <v>6634327.0</v>
      </c>
      <c r="T5" s="1" t="s">
        <v>73</v>
      </c>
    </row>
    <row r="6">
      <c r="A6" s="1" t="s">
        <v>37</v>
      </c>
      <c r="B6" s="1" t="str">
        <f t="shared" si="1"/>
        <v>17M71Y2</v>
      </c>
      <c r="C6" s="1" t="s">
        <v>38</v>
      </c>
      <c r="D6" s="1" t="s">
        <v>20</v>
      </c>
      <c r="E6" s="1" t="s">
        <v>21</v>
      </c>
      <c r="F6" s="1">
        <v>6634327.0</v>
      </c>
      <c r="G6" s="1" t="s">
        <v>22</v>
      </c>
      <c r="H6" s="1" t="s">
        <v>23</v>
      </c>
      <c r="I6" s="1" t="s">
        <v>24</v>
      </c>
      <c r="J6" s="1">
        <v>2.0251001E7</v>
      </c>
      <c r="K6" s="1" t="str">
        <f t="shared" si="2"/>
        <v>10/1/2025</v>
      </c>
      <c r="L6" s="1">
        <v>2.0251004E7</v>
      </c>
      <c r="M6" s="1">
        <v>1.0</v>
      </c>
      <c r="O6" s="2">
        <v>20.0</v>
      </c>
      <c r="P6" s="1">
        <v>20.0</v>
      </c>
      <c r="Q6" s="1" t="s">
        <v>25</v>
      </c>
      <c r="R6" s="1" t="s">
        <v>39</v>
      </c>
      <c r="S6" s="1">
        <v>6634327.0</v>
      </c>
      <c r="T6" s="1" t="s">
        <v>73</v>
      </c>
    </row>
    <row r="7">
      <c r="A7" s="1" t="s">
        <v>40</v>
      </c>
      <c r="B7" s="1" t="str">
        <f t="shared" si="1"/>
        <v>56M32E2</v>
      </c>
      <c r="C7" s="1" t="s">
        <v>41</v>
      </c>
      <c r="D7" s="1" t="s">
        <v>20</v>
      </c>
      <c r="E7" s="1" t="s">
        <v>21</v>
      </c>
      <c r="F7" s="1">
        <v>6634327.0</v>
      </c>
      <c r="G7" s="1" t="s">
        <v>22</v>
      </c>
      <c r="H7" s="1" t="s">
        <v>23</v>
      </c>
      <c r="I7" s="1" t="s">
        <v>24</v>
      </c>
      <c r="J7" s="1">
        <v>2.0250901E7</v>
      </c>
      <c r="K7" s="1" t="str">
        <f t="shared" si="2"/>
        <v>9/1/2025</v>
      </c>
      <c r="L7" s="1">
        <v>2.0251004E7</v>
      </c>
      <c r="M7" s="1">
        <v>1.0</v>
      </c>
      <c r="O7" s="2">
        <v>20.0</v>
      </c>
      <c r="P7" s="1">
        <v>20.0</v>
      </c>
      <c r="Q7" s="1" t="s">
        <v>25</v>
      </c>
      <c r="R7" s="1" t="s">
        <v>43</v>
      </c>
      <c r="S7" s="1">
        <v>6634327.0</v>
      </c>
      <c r="T7" s="1" t="s">
        <v>73</v>
      </c>
    </row>
    <row r="8">
      <c r="A8" s="1" t="s">
        <v>44</v>
      </c>
      <c r="B8" s="1" t="str">
        <f t="shared" si="1"/>
        <v>47M59G2</v>
      </c>
      <c r="C8" s="1" t="s">
        <v>45</v>
      </c>
      <c r="D8" s="1" t="s">
        <v>20</v>
      </c>
      <c r="E8" s="1" t="s">
        <v>21</v>
      </c>
      <c r="F8" s="1">
        <v>6634327.0</v>
      </c>
      <c r="G8" s="1" t="s">
        <v>22</v>
      </c>
      <c r="H8" s="1" t="s">
        <v>23</v>
      </c>
      <c r="I8" s="1" t="s">
        <v>24</v>
      </c>
      <c r="J8" s="1">
        <v>2.0250901E7</v>
      </c>
      <c r="K8" s="1" t="str">
        <f t="shared" si="2"/>
        <v>9/1/2025</v>
      </c>
      <c r="L8" s="1">
        <v>2.0251004E7</v>
      </c>
      <c r="M8" s="1">
        <v>1.0</v>
      </c>
      <c r="O8" s="2">
        <v>20.0</v>
      </c>
      <c r="P8" s="1">
        <v>20.0</v>
      </c>
      <c r="Q8" s="1" t="s">
        <v>25</v>
      </c>
      <c r="R8" s="1" t="s">
        <v>46</v>
      </c>
      <c r="S8" s="1">
        <v>6634327.0</v>
      </c>
      <c r="T8" s="1" t="s">
        <v>73</v>
      </c>
    </row>
    <row r="9">
      <c r="A9" s="1" t="s">
        <v>47</v>
      </c>
      <c r="B9" s="1" t="str">
        <f t="shared" si="1"/>
        <v>61NC972</v>
      </c>
      <c r="C9" s="1" t="s">
        <v>48</v>
      </c>
      <c r="D9" s="1" t="s">
        <v>20</v>
      </c>
      <c r="E9" s="1" t="s">
        <v>21</v>
      </c>
      <c r="F9" s="1">
        <v>6634327.0</v>
      </c>
      <c r="G9" s="1" t="s">
        <v>22</v>
      </c>
      <c r="H9" s="1" t="s">
        <v>23</v>
      </c>
      <c r="I9" s="1" t="s">
        <v>24</v>
      </c>
      <c r="J9" s="1">
        <v>2.0250901E7</v>
      </c>
      <c r="K9" s="1" t="str">
        <f t="shared" si="2"/>
        <v>9/1/2025</v>
      </c>
      <c r="L9" s="1">
        <v>2.0251004E7</v>
      </c>
      <c r="M9" s="1">
        <v>1.0</v>
      </c>
      <c r="O9" s="2">
        <v>20.0</v>
      </c>
      <c r="P9" s="1">
        <v>20.0</v>
      </c>
      <c r="Q9" s="1" t="s">
        <v>25</v>
      </c>
      <c r="R9" s="1" t="s">
        <v>49</v>
      </c>
      <c r="S9" s="1">
        <v>6634327.0</v>
      </c>
      <c r="T9" s="1" t="s">
        <v>73</v>
      </c>
    </row>
    <row r="10">
      <c r="A10" s="1" t="s">
        <v>50</v>
      </c>
      <c r="B10" s="1" t="str">
        <f t="shared" si="1"/>
        <v>69CK842</v>
      </c>
      <c r="C10" s="1" t="s">
        <v>51</v>
      </c>
      <c r="D10" s="1" t="s">
        <v>20</v>
      </c>
      <c r="E10" s="1" t="s">
        <v>52</v>
      </c>
      <c r="F10" s="1">
        <v>1.8010408E7</v>
      </c>
      <c r="G10" s="1" t="s">
        <v>22</v>
      </c>
      <c r="H10" s="1" t="s">
        <v>23</v>
      </c>
      <c r="I10" s="1" t="s">
        <v>53</v>
      </c>
      <c r="J10" s="1">
        <v>2.0251001E7</v>
      </c>
      <c r="K10" s="1" t="str">
        <f t="shared" si="2"/>
        <v>10/1/2025</v>
      </c>
      <c r="L10" s="1">
        <v>2.0251004E7</v>
      </c>
      <c r="M10" s="1">
        <v>1.0</v>
      </c>
      <c r="O10" s="2">
        <v>20.0</v>
      </c>
      <c r="P10" s="1">
        <v>20.0</v>
      </c>
      <c r="Q10" s="1" t="s">
        <v>25</v>
      </c>
      <c r="R10" s="1" t="s">
        <v>54</v>
      </c>
      <c r="S10" s="1">
        <v>1.8010408E7</v>
      </c>
      <c r="T10" s="1" t="s">
        <v>75</v>
      </c>
    </row>
    <row r="11">
      <c r="A11" s="1" t="s">
        <v>55</v>
      </c>
      <c r="B11" s="1" t="str">
        <f t="shared" si="1"/>
        <v>0W486R2</v>
      </c>
      <c r="C11" s="1" t="s">
        <v>56</v>
      </c>
      <c r="D11" s="1" t="s">
        <v>57</v>
      </c>
      <c r="E11" s="1" t="s">
        <v>58</v>
      </c>
      <c r="F11" s="1">
        <v>2.0436925E7</v>
      </c>
      <c r="G11" s="1" t="s">
        <v>22</v>
      </c>
      <c r="H11" s="1" t="s">
        <v>23</v>
      </c>
      <c r="I11" s="1" t="s">
        <v>59</v>
      </c>
      <c r="J11" s="1">
        <v>2.0251001E7</v>
      </c>
      <c r="K11" s="1" t="str">
        <f t="shared" si="2"/>
        <v>10/1/2025</v>
      </c>
      <c r="L11" s="1">
        <v>2.0251004E7</v>
      </c>
      <c r="M11" s="1">
        <v>1.0</v>
      </c>
      <c r="N11" s="1" t="s">
        <v>74</v>
      </c>
      <c r="O11" s="2">
        <v>25.0</v>
      </c>
      <c r="P11" s="1">
        <v>50.0</v>
      </c>
      <c r="Q11" s="1" t="s">
        <v>25</v>
      </c>
      <c r="R11" s="1" t="s">
        <v>60</v>
      </c>
      <c r="S11" s="1">
        <v>2.0436925E7</v>
      </c>
      <c r="T11" s="1" t="s">
        <v>76</v>
      </c>
    </row>
    <row r="12">
      <c r="A12" s="1" t="s">
        <v>61</v>
      </c>
      <c r="B12" s="1" t="str">
        <f>CONCATENATE(A12,7)</f>
        <v>7Y95N87</v>
      </c>
      <c r="C12" s="1" t="s">
        <v>62</v>
      </c>
      <c r="D12" s="1" t="s">
        <v>63</v>
      </c>
      <c r="E12" s="1" t="s">
        <v>64</v>
      </c>
      <c r="F12" s="1">
        <v>1.7425766E7</v>
      </c>
      <c r="G12" s="1" t="s">
        <v>65</v>
      </c>
      <c r="H12" s="1" t="s">
        <v>23</v>
      </c>
      <c r="I12" s="1" t="s">
        <v>66</v>
      </c>
      <c r="J12" s="1">
        <v>2.0251001E7</v>
      </c>
      <c r="K12" s="1" t="str">
        <f t="shared" si="2"/>
        <v>10/1/2025</v>
      </c>
      <c r="L12" s="1">
        <v>2.0251004E7</v>
      </c>
      <c r="M12" s="1">
        <v>52.72</v>
      </c>
      <c r="N12" s="1" t="s">
        <v>67</v>
      </c>
      <c r="O12" s="3">
        <v>0.1</v>
      </c>
      <c r="P12" s="1">
        <v>5.27</v>
      </c>
      <c r="Q12" s="1" t="s">
        <v>25</v>
      </c>
      <c r="R12" s="1" t="s">
        <v>68</v>
      </c>
      <c r="S12" s="1">
        <v>1.7425766E7</v>
      </c>
      <c r="T12" s="1" t="s">
        <v>77</v>
      </c>
    </row>
    <row r="13">
      <c r="A13" s="1" t="s">
        <v>69</v>
      </c>
      <c r="B13" s="1" t="str">
        <f>CONCATENATE(A13,2)</f>
        <v>56L91L2</v>
      </c>
      <c r="C13" s="1" t="s">
        <v>70</v>
      </c>
      <c r="D13" s="1" t="s">
        <v>57</v>
      </c>
      <c r="E13" s="1" t="s">
        <v>71</v>
      </c>
      <c r="F13" s="1">
        <v>1706194.0</v>
      </c>
      <c r="G13" s="1" t="s">
        <v>22</v>
      </c>
      <c r="H13" s="1" t="s">
        <v>23</v>
      </c>
      <c r="I13" s="1" t="s">
        <v>59</v>
      </c>
      <c r="J13" s="1">
        <v>2.0251001E7</v>
      </c>
      <c r="K13" s="1" t="str">
        <f t="shared" si="2"/>
        <v>10/1/2025</v>
      </c>
      <c r="L13" s="1">
        <v>2.0251004E7</v>
      </c>
      <c r="M13" s="1">
        <v>1.0</v>
      </c>
      <c r="O13" s="2">
        <v>25.0</v>
      </c>
      <c r="P13" s="1">
        <v>25.0</v>
      </c>
      <c r="Q13" s="1" t="s">
        <v>25</v>
      </c>
      <c r="R13" s="1" t="s">
        <v>72</v>
      </c>
      <c r="S13" s="1">
        <v>1.6378851E7</v>
      </c>
      <c r="T13" s="1" t="s">
        <v>76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2025-10-06T18:09:56Z</dcterms:created>
  <dc:creator>Janki Patel</dc:creator>
</cp:coreProperties>
</file>