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404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//l3hEFakc5YopwBsSEyb9p91Eb4YzPfQTslTNSOzgM="/>
    </ext>
  </extLst>
</workbook>
</file>

<file path=xl/sharedStrings.xml><?xml version="1.0" encoding="utf-8"?>
<sst xmlns="http://schemas.openxmlformats.org/spreadsheetml/2006/main" count="137" uniqueCount="41">
  <si>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</si>
  <si>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</si>
  <si>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</si>
  <si>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</si>
  <si>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</si>
  <si>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</si>
  <si>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</si>
  <si>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</si>
  <si>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</si>
  <si>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</si>
  <si>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</si>
  <si>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</si>
  <si>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</si>
  <si>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</si>
  <si>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</si>
  <si>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</si>
  <si>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</si>
  <si>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</si>
  <si>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1Y207E</t>
  </si>
  <si>
    <t>FOLEY, CAROL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</si>
  <si>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</si>
  <si>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</si>
  <si>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</si>
  <si>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</si>
  <si>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</si>
  <si>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</si>
  <si>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</si>
  <si>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1Y086E</t>
  </si>
  <si>
    <t>17M71Y</t>
  </si>
  <si>
    <t>SWIFT, HANNAH</t>
  </si>
  <si>
    <t>Medical, HOAPIN</t>
  </si>
  <si>
    <t>JOEL LEE</t>
  </si>
  <si>
    <t>PMPM</t>
  </si>
  <si>
    <t>CO</t>
  </si>
  <si>
    <t>X, CP</t>
  </si>
  <si>
    <t>36M84F</t>
  </si>
  <si>
    <t>61NC97</t>
  </si>
  <si>
    <t>VASUDEVAN, MALATHI</t>
  </si>
  <si>
    <t>Producer of Record</t>
  </si>
  <si>
    <t>53NC04</t>
  </si>
  <si>
    <t>1Y207E7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</si>
</sst>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43"/>
    <col customWidth="1" min="3" max="8" width="8.71"/>
    <col customWidth="1" min="9" max="9" width="12.0"/>
    <col customWidth="1" min="10" max="10" width="23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2.0260401E7</v>
      </c>
      <c r="J2" s="1">
        <v>2.0260404E7</v>
      </c>
      <c r="K2" s="1">
        <v>36.65</v>
      </c>
      <c r="L2" s="1" t="s">
        <v>25</v>
      </c>
      <c r="M2" s="1" t="s">
        <v>26</v>
      </c>
      <c r="N2" s="2">
        <v>0.1</v>
      </c>
      <c r="O2" s="1">
        <v>3.67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23</v>
      </c>
      <c r="G3" s="1" t="s">
        <v>33</v>
      </c>
      <c r="H3" s="1" t="s">
        <v>25</v>
      </c>
      <c r="I3" s="1">
        <v>2.0260401E7</v>
      </c>
      <c r="J3" s="1">
        <v>2.0260404E7</v>
      </c>
      <c r="K3" s="1">
        <v>426.65</v>
      </c>
      <c r="L3" s="1" t="s">
        <v>34</v>
      </c>
      <c r="M3" s="1">
        <v>1.0</v>
      </c>
      <c r="N3" s="3">
        <v>20.0</v>
      </c>
      <c r="O3" s="1">
        <v>20.0</v>
      </c>
      <c r="P3" s="1" t="s">
        <v>25</v>
      </c>
      <c r="Q3" s="1" t="s">
        <v>35</v>
      </c>
      <c r="R3" s="1">
        <v>6634327.0</v>
      </c>
    </row>
    <row r="4">
      <c r="A4" s="1" t="s">
        <v>36</v>
      </c>
      <c r="B4" s="1" t="s">
        <v>37</v>
      </c>
      <c r="C4" s="1" t="s">
        <v>30</v>
      </c>
      <c r="D4" s="1" t="s">
        <v>31</v>
      </c>
      <c r="E4" s="1" t="s">
        <v>32</v>
      </c>
      <c r="F4" s="1" t="s">
        <v>23</v>
      </c>
      <c r="G4" s="1" t="s">
        <v>33</v>
      </c>
      <c r="H4" s="1" t="s">
        <v>25</v>
      </c>
      <c r="I4" s="1">
        <v>2.0260201E7</v>
      </c>
      <c r="J4" s="1">
        <v>2.0260404E7</v>
      </c>
      <c r="K4" s="1">
        <v>-81.08</v>
      </c>
      <c r="L4" s="1" t="s">
        <v>25</v>
      </c>
      <c r="M4" s="1">
        <v>-1.0</v>
      </c>
      <c r="N4" s="3">
        <v>20.0</v>
      </c>
      <c r="O4" s="1">
        <v>-20.0</v>
      </c>
      <c r="P4" s="1" t="s">
        <v>38</v>
      </c>
      <c r="Q4" s="1" t="s">
        <v>39</v>
      </c>
      <c r="R4" s="1">
        <v>6634327.0</v>
      </c>
    </row>
    <row r="5">
      <c r="A5" s="1" t="s">
        <v>36</v>
      </c>
      <c r="B5" s="1" t="s">
        <v>37</v>
      </c>
      <c r="C5" s="1" t="s">
        <v>30</v>
      </c>
      <c r="D5" s="1" t="s">
        <v>31</v>
      </c>
      <c r="E5" s="1" t="s">
        <v>32</v>
      </c>
      <c r="F5" s="1" t="s">
        <v>23</v>
      </c>
      <c r="G5" s="1" t="s">
        <v>33</v>
      </c>
      <c r="H5" s="1" t="s">
        <v>25</v>
      </c>
      <c r="I5" s="1">
        <v>2.0260301E7</v>
      </c>
      <c r="J5" s="1">
        <v>2.0260404E7</v>
      </c>
      <c r="K5" s="1">
        <v>-81.08</v>
      </c>
      <c r="L5" s="1" t="s">
        <v>25</v>
      </c>
      <c r="M5" s="1">
        <v>-1.0</v>
      </c>
      <c r="N5" s="3">
        <v>20.0</v>
      </c>
      <c r="O5" s="1">
        <v>-20.0</v>
      </c>
      <c r="P5" s="1" t="s">
        <v>38</v>
      </c>
      <c r="Q5" s="1" t="s">
        <v>39</v>
      </c>
      <c r="R5" s="1">
        <v>6634327.0</v>
      </c>
    </row>
    <row r="6">
      <c r="A6" s="1" t="s">
        <v>36</v>
      </c>
      <c r="B6" s="1" t="s">
        <v>37</v>
      </c>
      <c r="C6" s="1" t="s">
        <v>30</v>
      </c>
      <c r="D6" s="1" t="s">
        <v>31</v>
      </c>
      <c r="E6" s="1" t="s">
        <v>32</v>
      </c>
      <c r="F6" s="1" t="s">
        <v>23</v>
      </c>
      <c r="G6" s="1" t="s">
        <v>33</v>
      </c>
      <c r="H6" s="1" t="s">
        <v>25</v>
      </c>
      <c r="I6" s="1">
        <v>2.0260101E7</v>
      </c>
      <c r="J6" s="1">
        <v>2.0260404E7</v>
      </c>
      <c r="K6" s="1">
        <v>-81.08</v>
      </c>
      <c r="L6" s="1" t="s">
        <v>25</v>
      </c>
      <c r="M6" s="1">
        <v>-1.0</v>
      </c>
      <c r="N6" s="3">
        <v>20.0</v>
      </c>
      <c r="O6" s="1">
        <v>-20.0</v>
      </c>
      <c r="P6" s="1" t="s">
        <v>38</v>
      </c>
      <c r="Q6" s="1" t="s">
        <v>39</v>
      </c>
      <c r="R6" s="1">
        <v>6634327.0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20.43"/>
    <col customWidth="1" min="4" max="4" width="15.71"/>
    <col customWidth="1" min="5" max="5" width="12.86"/>
    <col customWidth="1" min="6" max="6" width="13.14"/>
    <col customWidth="1" min="7" max="7" width="12.14"/>
    <col customWidth="1" min="8" max="8" width="16.29"/>
    <col customWidth="1" min="9" max="10" width="12.0"/>
    <col customWidth="1" min="11" max="11" width="23.86"/>
    <col customWidth="1" min="12" max="12" width="8.86"/>
    <col customWidth="1" min="13" max="13" width="5.57"/>
    <col customWidth="1" min="14" max="14" width="14.14"/>
    <col customWidth="1" min="15" max="15" width="11.0"/>
    <col customWidth="1" min="16" max="16" width="11.57"/>
    <col customWidth="1" min="17" max="17" width="17.43"/>
    <col customWidth="1" min="18" max="18" width="17.14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</row>
    <row r="2">
      <c r="A2" s="1" t="s">
        <v>18</v>
      </c>
      <c r="B2" s="4" t="s">
        <v>40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24</v>
      </c>
      <c r="H2" s="1" t="s">
        <v>25</v>
      </c>
      <c r="I2" s="1">
        <v>2.0260401E7</v>
      </c>
      <c r="J2" s="1" t="str">
        <f t="shared" ref="J2:J6" si="1">TEXT(DATE(LEFT(I2,4), MID(I2,5,2), RIGHT(I2,2)), "M/d/yyyy") </f>
        <v>4/1/2026</v>
      </c>
      <c r="K2" s="1">
        <v>2.0260404E7</v>
      </c>
      <c r="L2" s="1">
        <v>36.65</v>
      </c>
      <c r="M2" s="1" t="s">
        <v>25</v>
      </c>
      <c r="N2" s="1" t="s">
        <v>26</v>
      </c>
      <c r="O2" s="2">
        <v>0.1</v>
      </c>
      <c r="P2" s="1">
        <v>3.67</v>
      </c>
      <c r="Q2" s="1" t="s">
        <v>25</v>
      </c>
      <c r="R2" s="1">
        <v>1.7425766E7</v>
      </c>
    </row>
    <row r="3">
      <c r="A3" s="1" t="s">
        <v>28</v>
      </c>
      <c r="B3" s="1" t="str">
        <f t="shared" ref="B3:B6" si="2">concat(A3,3)</f>
        <v>17M71Y3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25</v>
      </c>
      <c r="I3" s="1">
        <v>2.0260401E7</v>
      </c>
      <c r="J3" s="1" t="str">
        <f t="shared" si="1"/>
        <v>4/1/2026</v>
      </c>
      <c r="K3" s="1">
        <v>2.0260404E7</v>
      </c>
      <c r="L3" s="1">
        <v>426.65</v>
      </c>
      <c r="M3" s="1" t="s">
        <v>34</v>
      </c>
      <c r="N3" s="1">
        <v>1.0</v>
      </c>
      <c r="O3" s="3">
        <v>20.0</v>
      </c>
      <c r="P3" s="1">
        <v>20.0</v>
      </c>
      <c r="Q3" s="1" t="s">
        <v>25</v>
      </c>
      <c r="R3" s="1">
        <v>6634327.0</v>
      </c>
    </row>
    <row r="4">
      <c r="A4" s="1" t="s">
        <v>36</v>
      </c>
      <c r="B4" s="1" t="str">
        <f t="shared" si="2"/>
        <v>61NC973</v>
      </c>
      <c r="C4" s="1" t="s">
        <v>37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25</v>
      </c>
      <c r="I4" s="1">
        <v>2.0260201E7</v>
      </c>
      <c r="J4" s="1" t="str">
        <f t="shared" si="1"/>
        <v>2/1/2026</v>
      </c>
      <c r="K4" s="1">
        <v>2.0260404E7</v>
      </c>
      <c r="L4" s="1">
        <v>-81.08</v>
      </c>
      <c r="M4" s="1" t="s">
        <v>25</v>
      </c>
      <c r="N4" s="1">
        <v>-1.0</v>
      </c>
      <c r="O4" s="3">
        <v>20.0</v>
      </c>
      <c r="P4" s="1">
        <v>-20.0</v>
      </c>
      <c r="Q4" s="1" t="s">
        <v>38</v>
      </c>
      <c r="R4" s="1">
        <v>6634327.0</v>
      </c>
    </row>
    <row r="5">
      <c r="A5" s="1" t="s">
        <v>36</v>
      </c>
      <c r="B5" s="1" t="str">
        <f t="shared" si="2"/>
        <v>61NC973</v>
      </c>
      <c r="C5" s="1" t="s">
        <v>37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25</v>
      </c>
      <c r="I5" s="1">
        <v>2.0260301E7</v>
      </c>
      <c r="J5" s="1" t="str">
        <f t="shared" si="1"/>
        <v>3/1/2026</v>
      </c>
      <c r="K5" s="1">
        <v>2.0260404E7</v>
      </c>
      <c r="L5" s="1">
        <v>-81.08</v>
      </c>
      <c r="M5" s="1" t="s">
        <v>25</v>
      </c>
      <c r="N5" s="1">
        <v>-1.0</v>
      </c>
      <c r="O5" s="3">
        <v>20.0</v>
      </c>
      <c r="P5" s="1">
        <v>-20.0</v>
      </c>
      <c r="Q5" s="1" t="s">
        <v>38</v>
      </c>
      <c r="R5" s="1">
        <v>6634327.0</v>
      </c>
    </row>
    <row r="6">
      <c r="A6" s="1" t="s">
        <v>36</v>
      </c>
      <c r="B6" s="1" t="str">
        <f t="shared" si="2"/>
        <v>61NC973</v>
      </c>
      <c r="C6" s="1" t="s">
        <v>37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25</v>
      </c>
      <c r="I6" s="1">
        <v>2.0260101E7</v>
      </c>
      <c r="J6" s="1" t="str">
        <f t="shared" si="1"/>
        <v>1/1/2026</v>
      </c>
      <c r="K6" s="1">
        <v>2.0260404E7</v>
      </c>
      <c r="L6" s="1">
        <v>-81.08</v>
      </c>
      <c r="M6" s="1" t="s">
        <v>25</v>
      </c>
      <c r="N6" s="1">
        <v>-1.0</v>
      </c>
      <c r="O6" s="3">
        <v>20.0</v>
      </c>
      <c r="P6" s="1">
        <v>-20.0</v>
      </c>
      <c r="Q6" s="1" t="s">
        <v>38</v>
      </c>
      <c r="R6" s="1">
        <v>6634327.0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2026-05-07T12:20:27Z</dcterms:created>
  <dc:creator>JB Infotech</dc:creator>
</cp:coreProperties>
</file>