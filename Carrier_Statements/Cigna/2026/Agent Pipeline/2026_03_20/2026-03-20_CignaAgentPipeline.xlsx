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  <sheet state="visible" name="Sheet2" sheetId="3" r:id="rId6"/>
  </sheets>
  <definedNames>
    <definedName hidden="1" localSheetId="1" name="_xlnm._FilterDatabase">Sheet1!$A$1:$L$1000</definedName>
    <definedName hidden="1" localSheetId="2" name="_xlnm._FilterDatabase">Sheet2!$A$1:$Z$1000</definedName>
  </definedNames>
  <calcPr/>
  <extLst>
    <ext uri="GoogleSheetsCustomDataVersion2">
      <go:sheetsCustomData xmlns:go="http://customooxmlschemas.google.com/" r:id="rId7" roundtripDataChecksum="oelYvoMQWzKjPhXHd6v+gSkrd9cKqg5ygS5zFet/5BQ="/>
    </ext>
  </extLst>
</workbook>
</file>

<file path=xl/sharedStrings.xml><?xml version="1.0" encoding="utf-8"?>
<sst xmlns="http://schemas.openxmlformats.org/spreadsheetml/2006/main" count="12209" uniqueCount="527">
  <si>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</si>
  <si>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</si>
  <si>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</si>
  <si>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</si>
  <si>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</si>
  <si>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</si>
  <si>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</si>
  <si>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</si>
  <si>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</si>
  <si>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</si>
  <si>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</si>
  <si>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</si>
  <si>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</si>
  <si>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</si>
  <si>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</si>
  <si>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</si>
  <si>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</si>
  <si>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</si>
  <si>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</si>
  <si>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</si>
  <si>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</si>
  <si>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</si>
  <si>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</si>
  <si>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</si>
  <si>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</si>
  <si>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</si>
  <si>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03/20/2026</t>
  </si>
  <si>
    <t>2724258</t>
  </si>
  <si>
    <t>2666642</t>
  </si>
  <si>
    <t>Main Line Benefits LLC</t>
  </si>
  <si>
    <t>6634327</t>
  </si>
  <si>
    <t>03/12/2026</t>
  </si>
  <si>
    <t>Cigna ACA</t>
  </si>
  <si>
    <t>ACA</t>
  </si>
  <si>
    <t/>
  </si>
  <si>
    <t>70T68Q</t>
  </si>
  <si>
    <t>KIRBY, MIA</t>
  </si>
  <si>
    <t>01/01/2026</t>
  </si>
  <si>
    <t>First Year</t>
  </si>
  <si>
    <t>JOEL LEE</t>
  </si>
  <si>
    <t>429101</t>
  </si>
  <si>
    <t>Commission</t>
  </si>
  <si>
    <t>No</t>
  </si>
  <si>
    <t>% of Premium</t>
  </si>
  <si>
    <t>2567156</t>
  </si>
  <si>
    <t>15278437</t>
  </si>
  <si>
    <t>75K3E4</t>
  </si>
  <si>
    <t>DIETZ, JOEL</t>
  </si>
  <si>
    <t>Override</t>
  </si>
  <si>
    <t>PMPM Fee</t>
  </si>
  <si>
    <t>Tier 4</t>
  </si>
  <si>
    <t>2</t>
  </si>
  <si>
    <t>52N5M1</t>
  </si>
  <si>
    <t>BURNETT-TUBBS, LAURA</t>
  </si>
  <si>
    <t>02/16/2026</t>
  </si>
  <si>
    <t>HEATHER GESKE</t>
  </si>
  <si>
    <t>477104</t>
  </si>
  <si>
    <t>1</t>
  </si>
  <si>
    <t>2706212</t>
  </si>
  <si>
    <t>16865615</t>
  </si>
  <si>
    <t>00P2X3</t>
  </si>
  <si>
    <t>OLSON, MICHAEL</t>
  </si>
  <si>
    <t>PMPM</t>
  </si>
  <si>
    <t>33A24G</t>
  </si>
  <si>
    <t>ZORN, ZACHARY</t>
  </si>
  <si>
    <t>4</t>
  </si>
  <si>
    <t>2667838</t>
  </si>
  <si>
    <t>9079571</t>
  </si>
  <si>
    <t>59V97A</t>
  </si>
  <si>
    <t>LINDSAY, HILARY</t>
  </si>
  <si>
    <t>ADAM RICHTER</t>
  </si>
  <si>
    <t>582404</t>
  </si>
  <si>
    <t>07Y45V</t>
  </si>
  <si>
    <t>CARROLL, ANTHONY</t>
  </si>
  <si>
    <t>02/01/2026</t>
  </si>
  <si>
    <t>03/01/2026</t>
  </si>
  <si>
    <t>13Q26A</t>
  </si>
  <si>
    <t>WASILEWSKI, DEANNA</t>
  </si>
  <si>
    <t>TIMOTHY HODGMAN</t>
  </si>
  <si>
    <t>486911</t>
  </si>
  <si>
    <t>2706207</t>
  </si>
  <si>
    <t>18581063</t>
  </si>
  <si>
    <t>97PH88</t>
  </si>
  <si>
    <t>TUCKER, DAVE</t>
  </si>
  <si>
    <t>6Y38Y3</t>
  </si>
  <si>
    <t>KUMARESAN, SMRITI</t>
  </si>
  <si>
    <t>12R0N6</t>
  </si>
  <si>
    <t>SANDOVAL, JUSTIN</t>
  </si>
  <si>
    <t>3T581A</t>
  </si>
  <si>
    <t>SCHWENK, ANNA</t>
  </si>
  <si>
    <t>85E5Y6</t>
  </si>
  <si>
    <t>KARCHNER, HAILEY</t>
  </si>
  <si>
    <t>3V865A</t>
  </si>
  <si>
    <t>MACE, JENNIFER</t>
  </si>
  <si>
    <t>94F68G</t>
  </si>
  <si>
    <t>LOUIS WOOLLEY, VANESSA</t>
  </si>
  <si>
    <t>78JE83</t>
  </si>
  <si>
    <t>FENDT, STEVEN</t>
  </si>
  <si>
    <t>14T06T</t>
  </si>
  <si>
    <t>MORRISON, ANDREW</t>
  </si>
  <si>
    <t>02N6L3</t>
  </si>
  <si>
    <t>CORNIA, JOSSELYN</t>
  </si>
  <si>
    <t>83GU27</t>
  </si>
  <si>
    <t>BENGE, TRAVIS</t>
  </si>
  <si>
    <t>36M6M3</t>
  </si>
  <si>
    <t>ILORI, MUYIWA</t>
  </si>
  <si>
    <t>2660265</t>
  </si>
  <si>
    <t>17425766</t>
  </si>
  <si>
    <t>28X18T</t>
  </si>
  <si>
    <t>KAMAREDDINE, VIVIAN</t>
  </si>
  <si>
    <t>CAROL FOLEY</t>
  </si>
  <si>
    <t>471045</t>
  </si>
  <si>
    <t>03V96C</t>
  </si>
  <si>
    <t>STOVER, VICKI</t>
  </si>
  <si>
    <t>60YQ35</t>
  </si>
  <si>
    <t>HIRSHORN, ANDREA</t>
  </si>
  <si>
    <t>3</t>
  </si>
  <si>
    <t>2687708</t>
  </si>
  <si>
    <t>17437820</t>
  </si>
  <si>
    <t>75G3U9</t>
  </si>
  <si>
    <t>PATTERSON, GENA</t>
  </si>
  <si>
    <t>COLLEEN FINNIGAN</t>
  </si>
  <si>
    <t>491156</t>
  </si>
  <si>
    <t>13A7E8</t>
  </si>
  <si>
    <t>GILLEY, CHARLES</t>
  </si>
  <si>
    <t>2667833</t>
  </si>
  <si>
    <t>8307933</t>
  </si>
  <si>
    <t>7TR068</t>
  </si>
  <si>
    <t>DEAN, JUSTIN</t>
  </si>
  <si>
    <t>GREGORY TEIPEL</t>
  </si>
  <si>
    <t>486832</t>
  </si>
  <si>
    <t>13WG47</t>
  </si>
  <si>
    <t>MANNING, KIMBERLY</t>
  </si>
  <si>
    <t>WILLIAM GESKE</t>
  </si>
  <si>
    <t>660037</t>
  </si>
  <si>
    <t>27C3J7</t>
  </si>
  <si>
    <t>PETERS, HAILEY</t>
  </si>
  <si>
    <t>5V116T</t>
  </si>
  <si>
    <t>STEPHENSON, SARAH</t>
  </si>
  <si>
    <t>56X5B7</t>
  </si>
  <si>
    <t>CHAUDHARY, SITA RAM</t>
  </si>
  <si>
    <t>DANNA GREEN</t>
  </si>
  <si>
    <t>554093</t>
  </si>
  <si>
    <t>75XM16</t>
  </si>
  <si>
    <t>CHAVEZ, SAMUEL</t>
  </si>
  <si>
    <t>90RD48</t>
  </si>
  <si>
    <t>ROMBOUGH, JOELLE</t>
  </si>
  <si>
    <t>07HB72</t>
  </si>
  <si>
    <t>ROSENFIELD, KRISTIE</t>
  </si>
  <si>
    <t>257A3J</t>
  </si>
  <si>
    <t>LOVELL, LALE</t>
  </si>
  <si>
    <t>00UV51</t>
  </si>
  <si>
    <t>JORDAN, SUSAN</t>
  </si>
  <si>
    <t>8Q780M</t>
  </si>
  <si>
    <t>MOTHERWAY, JESSICA</t>
  </si>
  <si>
    <t>36MP38</t>
  </si>
  <si>
    <t>SHANK, JESSICA</t>
  </si>
  <si>
    <t>2706219</t>
  </si>
  <si>
    <t>18754354</t>
  </si>
  <si>
    <t>4L14A4</t>
  </si>
  <si>
    <t>LAHENS, BERBINO</t>
  </si>
  <si>
    <t>JACOB YALE</t>
  </si>
  <si>
    <t>486866</t>
  </si>
  <si>
    <t>15X9T2</t>
  </si>
  <si>
    <t>HOCHSPRUNG, JOHN</t>
  </si>
  <si>
    <t>43WF42</t>
  </si>
  <si>
    <t>MCQUILLEN, WILLIAM</t>
  </si>
  <si>
    <t>91Y92C</t>
  </si>
  <si>
    <t>MANZANARES, ANTHONY</t>
  </si>
  <si>
    <t>JARED KINYUA</t>
  </si>
  <si>
    <t>633553</t>
  </si>
  <si>
    <t>53N6D3</t>
  </si>
  <si>
    <t>CHAFFIN, KATHRYN</t>
  </si>
  <si>
    <t>98AX72</t>
  </si>
  <si>
    <t>SAYE, KYNSI</t>
  </si>
  <si>
    <t>1DF724</t>
  </si>
  <si>
    <t>GOETZ, KONRAD</t>
  </si>
  <si>
    <t>64L6W2</t>
  </si>
  <si>
    <t>RASMUSSEN-GOODWIN, EMILY</t>
  </si>
  <si>
    <t>47EP43</t>
  </si>
  <si>
    <t>KELLER, MARY</t>
  </si>
  <si>
    <t>23A4L7</t>
  </si>
  <si>
    <t>SOBEL, RYAN</t>
  </si>
  <si>
    <t>21M8L7</t>
  </si>
  <si>
    <t>ERICKSON, LINDA</t>
  </si>
  <si>
    <t>08R60X</t>
  </si>
  <si>
    <t>WOODARD, SAGE</t>
  </si>
  <si>
    <t>4G936R</t>
  </si>
  <si>
    <t>THUMMALAPENTA, SRIDHAR</t>
  </si>
  <si>
    <t>42A23C</t>
  </si>
  <si>
    <t>CHESNOKOV, VERONICA</t>
  </si>
  <si>
    <t>3WR646</t>
  </si>
  <si>
    <t>TITUS, TRAVIS</t>
  </si>
  <si>
    <t>23P40B</t>
  </si>
  <si>
    <t>CEFOLA, CHRISTOPHER</t>
  </si>
  <si>
    <t>43A22A</t>
  </si>
  <si>
    <t>ANDERSON, RALEIGH</t>
  </si>
  <si>
    <t>60K7K3</t>
  </si>
  <si>
    <t>MOE, CYNTHIA</t>
  </si>
  <si>
    <t>13CW38</t>
  </si>
  <si>
    <t>CEBALLOS, IDALY</t>
  </si>
  <si>
    <t>86Y86Q</t>
  </si>
  <si>
    <t>JACKSON, ROBIN</t>
  </si>
  <si>
    <t>105AB5</t>
  </si>
  <si>
    <t>HARRIS, SCOTT</t>
  </si>
  <si>
    <t>62J11L</t>
  </si>
  <si>
    <t>PERKINS-WILLIAMS, JOSIE</t>
  </si>
  <si>
    <t>2479978</t>
  </si>
  <si>
    <t>16849453</t>
  </si>
  <si>
    <t>87Y6V1</t>
  </si>
  <si>
    <t>BARTON, DANIELL</t>
  </si>
  <si>
    <t>40X77Q</t>
  </si>
  <si>
    <t>MORAND, JULIA</t>
  </si>
  <si>
    <t>37Y5J7</t>
  </si>
  <si>
    <t>LOTHE, ESHAAN</t>
  </si>
  <si>
    <t>2753997</t>
  </si>
  <si>
    <t>20776610</t>
  </si>
  <si>
    <t>43Y2H8</t>
  </si>
  <si>
    <t>GASPAR, TAMMI</t>
  </si>
  <si>
    <t>GREGG ARENSON</t>
  </si>
  <si>
    <t>663230</t>
  </si>
  <si>
    <t>0G0W53</t>
  </si>
  <si>
    <t>WEBB, RANDALL</t>
  </si>
  <si>
    <t>2584218</t>
  </si>
  <si>
    <t>8046194</t>
  </si>
  <si>
    <t>83YX85</t>
  </si>
  <si>
    <t>ZIMMERMAN, TAYLOR</t>
  </si>
  <si>
    <t>H ALLAN</t>
  </si>
  <si>
    <t>687744</t>
  </si>
  <si>
    <t>22RF43</t>
  </si>
  <si>
    <t>RENSHAW, KEVIN</t>
  </si>
  <si>
    <t>02GQ45</t>
  </si>
  <si>
    <t>SLATER, SARAH</t>
  </si>
  <si>
    <t>4V324D</t>
  </si>
  <si>
    <t>JIMENEZ, FIDEL</t>
  </si>
  <si>
    <t>52V9B5</t>
  </si>
  <si>
    <t>HANSEN CHANCE, LEANN</t>
  </si>
  <si>
    <t>93BW13</t>
  </si>
  <si>
    <t>NUTTER, BLANCA</t>
  </si>
  <si>
    <t>56E53L</t>
  </si>
  <si>
    <t>PHILLIPS, JULIE</t>
  </si>
  <si>
    <t>29X49F</t>
  </si>
  <si>
    <t>BALLARD, KATHERINE</t>
  </si>
  <si>
    <t>2700221</t>
  </si>
  <si>
    <t>19279958</t>
  </si>
  <si>
    <t>42VU77</t>
  </si>
  <si>
    <t>RENGERS, COLLEEN</t>
  </si>
  <si>
    <t>63Q45Q</t>
  </si>
  <si>
    <t>TIBBETTS, AMY</t>
  </si>
  <si>
    <t>01/01/2025</t>
  </si>
  <si>
    <t>Renewal</t>
  </si>
  <si>
    <t>70N3Q9</t>
  </si>
  <si>
    <t>EDMISTON, AJA</t>
  </si>
  <si>
    <t>98BW73</t>
  </si>
  <si>
    <t>BECKMANN, ALLISON</t>
  </si>
  <si>
    <t>62Q90Q</t>
  </si>
  <si>
    <t>YOUKHANA, JAMES</t>
  </si>
  <si>
    <t>62D72J</t>
  </si>
  <si>
    <t>JELINEK, JAY</t>
  </si>
  <si>
    <t>64TB36</t>
  </si>
  <si>
    <t>NEVE, PATRICK</t>
  </si>
  <si>
    <t>43A4T3</t>
  </si>
  <si>
    <t>WHELAN, ANNA</t>
  </si>
  <si>
    <t>11P64E</t>
  </si>
  <si>
    <t>STUCKI, JOSIAH</t>
  </si>
  <si>
    <t>88FB56</t>
  </si>
  <si>
    <t>VAUTIER JR, JAMES</t>
  </si>
  <si>
    <t>74N99X</t>
  </si>
  <si>
    <t>BK, SABITA</t>
  </si>
  <si>
    <t>9W748R</t>
  </si>
  <si>
    <t>KAZMER, PASHA</t>
  </si>
  <si>
    <t>2729668</t>
  </si>
  <si>
    <t>18828278</t>
  </si>
  <si>
    <t>24V99J</t>
  </si>
  <si>
    <t>JACKSON, KENNETH</t>
  </si>
  <si>
    <t>10/01/2025</t>
  </si>
  <si>
    <t>MICHAEL DUNAVANT</t>
  </si>
  <si>
    <t>618782</t>
  </si>
  <si>
    <t>2701440</t>
  </si>
  <si>
    <t>16633294</t>
  </si>
  <si>
    <t>29Q59J</t>
  </si>
  <si>
    <t>KING, PETER</t>
  </si>
  <si>
    <t>RICHARD YALE</t>
  </si>
  <si>
    <t>491856</t>
  </si>
  <si>
    <t>51YQ03</t>
  </si>
  <si>
    <t>FRANKEL, JOEL</t>
  </si>
  <si>
    <t>TERI FOSTER</t>
  </si>
  <si>
    <t>631256</t>
  </si>
  <si>
    <t>2724321</t>
  </si>
  <si>
    <t>21283956</t>
  </si>
  <si>
    <t>86XG36</t>
  </si>
  <si>
    <t>SOLLIT, DEBORAH</t>
  </si>
  <si>
    <t>VICTOR FUENTES</t>
  </si>
  <si>
    <t>646505</t>
  </si>
  <si>
    <t>71Y12D</t>
  </si>
  <si>
    <t>GOTTSCHALK, ROBERT</t>
  </si>
  <si>
    <t>44V0G5</t>
  </si>
  <si>
    <t>JOHNSON, MADELENA</t>
  </si>
  <si>
    <t>2704841</t>
  </si>
  <si>
    <t>21104854</t>
  </si>
  <si>
    <t>96T4W9</t>
  </si>
  <si>
    <t>ROSARIO, BENANCIA</t>
  </si>
  <si>
    <t>BRIAN STROHMAN</t>
  </si>
  <si>
    <t>628002</t>
  </si>
  <si>
    <t>14Y7G2</t>
  </si>
  <si>
    <t>NAPIECEK, KARA</t>
  </si>
  <si>
    <t>3YB559</t>
  </si>
  <si>
    <t>BOLEY, BARBARA</t>
  </si>
  <si>
    <t>98RE80</t>
  </si>
  <si>
    <t>KIRBY, JACLYN</t>
  </si>
  <si>
    <t>5PW177</t>
  </si>
  <si>
    <t>BAXTER, KATHERINE</t>
  </si>
  <si>
    <t>31X01M</t>
  </si>
  <si>
    <t>WOLFSON, ISABELLA</t>
  </si>
  <si>
    <t>78K26G</t>
  </si>
  <si>
    <t>PAPIERZ, JUSTIN</t>
  </si>
  <si>
    <t>33X85A</t>
  </si>
  <si>
    <t>SUNDSTROM, JACQUELINE</t>
  </si>
  <si>
    <t>29R8H2</t>
  </si>
  <si>
    <t>BRYANT, JAMES</t>
  </si>
  <si>
    <t>L7Q508</t>
  </si>
  <si>
    <t>GAMBOA, JOSE</t>
  </si>
  <si>
    <t>99AX15</t>
  </si>
  <si>
    <t>WEYMAN, LYNAE</t>
  </si>
  <si>
    <t>66U1D8</t>
  </si>
  <si>
    <t>SWIEKATUN, VAN</t>
  </si>
  <si>
    <t>35E56X</t>
  </si>
  <si>
    <t>NELSON, MARC</t>
  </si>
  <si>
    <t>64PR19</t>
  </si>
  <si>
    <t>DOUKAGA, JEAN</t>
  </si>
  <si>
    <t>71V12T</t>
  </si>
  <si>
    <t>DOBELBOWER, TYLER</t>
  </si>
  <si>
    <t>35Q0N7</t>
  </si>
  <si>
    <t>ROUNSAVELL, OWEN</t>
  </si>
  <si>
    <t>90Y58D</t>
  </si>
  <si>
    <t>BROWN, RYAN</t>
  </si>
  <si>
    <t>KIRK TIGUE</t>
  </si>
  <si>
    <t>661774</t>
  </si>
  <si>
    <t>5</t>
  </si>
  <si>
    <t>1P16B8</t>
  </si>
  <si>
    <t>ROCHE, KATLYN</t>
  </si>
  <si>
    <t>MATTHEW DAUGHERTY</t>
  </si>
  <si>
    <t>432535</t>
  </si>
  <si>
    <t>319B9U</t>
  </si>
  <si>
    <t>DANDU, HARINI</t>
  </si>
  <si>
    <t>235AL3</t>
  </si>
  <si>
    <t>GILLES, TYLER</t>
  </si>
  <si>
    <t>47U3L0</t>
  </si>
  <si>
    <t>LANCASTER, NICHOLAS</t>
  </si>
  <si>
    <t>06/01/2025</t>
  </si>
  <si>
    <t>41X70X</t>
  </si>
  <si>
    <t>WHITE, CHANTAL</t>
  </si>
  <si>
    <t>RYAN CALTAGIRONE</t>
  </si>
  <si>
    <t>460929</t>
  </si>
  <si>
    <t>86Y5G7</t>
  </si>
  <si>
    <t>BOGART, EVA</t>
  </si>
  <si>
    <t>05Y7V1</t>
  </si>
  <si>
    <t>CORBIERE, LAUREN</t>
  </si>
  <si>
    <t>44X4V9</t>
  </si>
  <si>
    <t>DAVIS, ROBERT</t>
  </si>
  <si>
    <t>63Q30Q</t>
  </si>
  <si>
    <t>HARPER, SHERRI</t>
  </si>
  <si>
    <t>283BE4</t>
  </si>
  <si>
    <t>TOMPKINS, TIRION</t>
  </si>
  <si>
    <t>34C9J4</t>
  </si>
  <si>
    <t>MORRISON, RACHEL</t>
  </si>
  <si>
    <t>49CL66</t>
  </si>
  <si>
    <t>HAHNE, GERALD</t>
  </si>
  <si>
    <t>59V96A</t>
  </si>
  <si>
    <t>CHAPMAN, TIMOTHY</t>
  </si>
  <si>
    <t>6N7Y80</t>
  </si>
  <si>
    <t>GIFFORD, GOLDA</t>
  </si>
  <si>
    <t>6V73F0</t>
  </si>
  <si>
    <t>MARINO, ROSARIO</t>
  </si>
  <si>
    <t>FRANK LISKOVEC</t>
  </si>
  <si>
    <t>459260</t>
  </si>
  <si>
    <t>979A6X</t>
  </si>
  <si>
    <t>BRYANT, HARPER</t>
  </si>
  <si>
    <t>79R3A7</t>
  </si>
  <si>
    <t>HALL, LINDA</t>
  </si>
  <si>
    <t>34A5Q9</t>
  </si>
  <si>
    <t>CRANE, LORI</t>
  </si>
  <si>
    <t>24AT42</t>
  </si>
  <si>
    <t>WOLCOTT, HUNTER</t>
  </si>
  <si>
    <t>751AE6</t>
  </si>
  <si>
    <t>LONGACRE, MICHAEL</t>
  </si>
  <si>
    <t>116AB9</t>
  </si>
  <si>
    <t>GUTIERREZ, ANASTACIA</t>
  </si>
  <si>
    <t>02XK46</t>
  </si>
  <si>
    <t>TOMAN, DENISE</t>
  </si>
  <si>
    <t>47Q67K</t>
  </si>
  <si>
    <t>FRANCIS, CAROLINE</t>
  </si>
  <si>
    <t>96YG23</t>
  </si>
  <si>
    <t>MAZZOLA, SALVATORE</t>
  </si>
  <si>
    <t>JASON HOFFMANN</t>
  </si>
  <si>
    <t>554681</t>
  </si>
  <si>
    <t>66LL67</t>
  </si>
  <si>
    <t>RODECK, KEITH</t>
  </si>
  <si>
    <t>JERALD SKARNULIS</t>
  </si>
  <si>
    <t>434956</t>
  </si>
  <si>
    <t>593A6B</t>
  </si>
  <si>
    <t>RUSSO, KIMBERLY</t>
  </si>
  <si>
    <t>U172U4</t>
  </si>
  <si>
    <t>WATTS, BRIANNA</t>
  </si>
  <si>
    <t>45A4T1</t>
  </si>
  <si>
    <t>HALL, GORDON</t>
  </si>
  <si>
    <t>4G6E17</t>
  </si>
  <si>
    <t>ANDERSON, ROBERT</t>
  </si>
  <si>
    <t>3WR749</t>
  </si>
  <si>
    <t>GREEN, TONI</t>
  </si>
  <si>
    <t>4G650R</t>
  </si>
  <si>
    <t>LORD, REBECCA</t>
  </si>
  <si>
    <t>40P88L</t>
  </si>
  <si>
    <t>LOY, HUNTER</t>
  </si>
  <si>
    <t>0E1Y47</t>
  </si>
  <si>
    <t>BLOOM, TROY</t>
  </si>
  <si>
    <t>2700180</t>
  </si>
  <si>
    <t>16683808</t>
  </si>
  <si>
    <t>14F2K5</t>
  </si>
  <si>
    <t>SCHWETZ, DARRELL</t>
  </si>
  <si>
    <t>JONATHAN ALOFF</t>
  </si>
  <si>
    <t>494043</t>
  </si>
  <si>
    <t>14Y3V2</t>
  </si>
  <si>
    <t>URBASEK, KYLE</t>
  </si>
  <si>
    <t>14WD61</t>
  </si>
  <si>
    <t>RICHARDS, CHERYL</t>
  </si>
  <si>
    <t>27TF81</t>
  </si>
  <si>
    <t>RECTOR, TARA</t>
  </si>
  <si>
    <t>03/01/2025</t>
  </si>
  <si>
    <t>33X1X0</t>
  </si>
  <si>
    <t>GRIFFIN, CHERYL</t>
  </si>
  <si>
    <t>455B8N</t>
  </si>
  <si>
    <t>TERRELL, MARY</t>
  </si>
  <si>
    <t>2728262</t>
  </si>
  <si>
    <t>21313588</t>
  </si>
  <si>
    <t>70Y09D</t>
  </si>
  <si>
    <t>CHASTEEN, MIRANDA</t>
  </si>
  <si>
    <t>42D2X4</t>
  </si>
  <si>
    <t>SJOSTRAND, PETER</t>
  </si>
  <si>
    <t>70A0M1</t>
  </si>
  <si>
    <t>SCHUETTE, JEFF</t>
  </si>
  <si>
    <t>29PQ58</t>
  </si>
  <si>
    <t>PESYAN, KELLY</t>
  </si>
  <si>
    <t>5G360J</t>
  </si>
  <si>
    <t>TRUJILLO, BRENT</t>
  </si>
  <si>
    <t>104AB6</t>
  </si>
  <si>
    <t>HARRIS, ALICIA</t>
  </si>
  <si>
    <t>3Q52L0</t>
  </si>
  <si>
    <t>SCHWIEDER, CHAZ</t>
  </si>
  <si>
    <t>54EL84</t>
  </si>
  <si>
    <t>ATTWOOD, ALAN</t>
  </si>
  <si>
    <t>54GE93</t>
  </si>
  <si>
    <t>WOLLASTON, SCOTT</t>
  </si>
  <si>
    <t>0J6P39</t>
  </si>
  <si>
    <t>SNYDER, JON</t>
  </si>
  <si>
    <t>81GY17</t>
  </si>
  <si>
    <t>MACE, DARWIN</t>
  </si>
  <si>
    <t>82E6Y3</t>
  </si>
  <si>
    <t>WILLIAMS, TERRI</t>
  </si>
  <si>
    <t>24T7X8</t>
  </si>
  <si>
    <t>HICKMAN, KIMBERLY</t>
  </si>
  <si>
    <t>1G24T0</t>
  </si>
  <si>
    <t>URDAHL, MERRILL</t>
  </si>
  <si>
    <t>37MP83</t>
  </si>
  <si>
    <t>HASSE, KATE</t>
  </si>
  <si>
    <t>243B9B</t>
  </si>
  <si>
    <t>HARVEY, TERESA</t>
  </si>
  <si>
    <t>0JH676</t>
  </si>
  <si>
    <t>MASSALE, KIMBERLY</t>
  </si>
  <si>
    <t>2752614</t>
  </si>
  <si>
    <t>21421111</t>
  </si>
  <si>
    <t>2687200</t>
  </si>
  <si>
    <t>16378851</t>
  </si>
  <si>
    <t>59V3L3</t>
  </si>
  <si>
    <t>DAVIES, GYLLIAN</t>
  </si>
  <si>
    <t>09/01/2025</t>
  </si>
  <si>
    <t>958B9J</t>
  </si>
  <si>
    <t>HARRIS, AMY</t>
  </si>
  <si>
    <t>406B2T</t>
  </si>
  <si>
    <t>SPIECKER, OLIVIA</t>
  </si>
  <si>
    <t>89X1G1</t>
  </si>
  <si>
    <t>MOODY, CHARLES</t>
  </si>
  <si>
    <t>44T58X</t>
  </si>
  <si>
    <t>DAUER, NANCY</t>
  </si>
  <si>
    <t>05/01/2025</t>
  </si>
  <si>
    <t>2667835</t>
  </si>
  <si>
    <t>8977234</t>
  </si>
  <si>
    <t>39X84A</t>
  </si>
  <si>
    <t>MALSCH, CHARLES</t>
  </si>
  <si>
    <t>0V48L1</t>
  </si>
  <si>
    <t>HOFFMAN, REED</t>
  </si>
  <si>
    <t>84N5H4</t>
  </si>
  <si>
    <t>DONNELL, JANA</t>
  </si>
  <si>
    <t>3E627V</t>
  </si>
  <si>
    <t>DANLEY, RONALD</t>
  </si>
  <si>
    <t>U6624Q</t>
  </si>
  <si>
    <t>TAYLOR, RICHARD</t>
  </si>
  <si>
    <t>420BH0</t>
  </si>
  <si>
    <t>FELLERS, JEFFREY</t>
  </si>
  <si>
    <t>2712323</t>
  </si>
  <si>
    <t>20098658</t>
  </si>
  <si>
    <t>2700178</t>
  </si>
  <si>
    <t>8814784</t>
  </si>
  <si>
    <t>952A5X</t>
  </si>
  <si>
    <t>STRAPPELLI, JULIA</t>
  </si>
  <si>
    <t>625B8R</t>
  </si>
  <si>
    <t>KIRKWOOD, CHARLES</t>
  </si>
  <si>
    <t>55YM68</t>
  </si>
  <si>
    <t>HUNT-BYRNES, ALYSSA</t>
  </si>
  <si>
    <t>539BC8</t>
  </si>
  <si>
    <t>SEYMOUR, GEORGE</t>
  </si>
  <si>
    <t>32XK55</t>
  </si>
  <si>
    <t>SARFO, EMMANUEL</t>
  </si>
  <si>
    <t>Total Amount (Including Agents Net Chargebacks):</t>
  </si>
  <si>
    <t>Payment Amount:</t>
  </si>
  <si>
    <t>prem</t>
  </si>
  <si>
    <t>pro</t>
  </si>
  <si>
    <t>Cigna DVH</t>
  </si>
  <si>
    <t>Main Line Benefits</t>
  </si>
  <si>
    <t>Cigna Ovr</t>
  </si>
  <si>
    <t>Cigna 2025 AZ, CO, IL</t>
  </si>
  <si>
    <t>Cigna 2025 TN/NC</t>
  </si>
  <si>
    <t>Cigna - FL</t>
  </si>
  <si>
    <t>Agent Name</t>
  </si>
  <si>
    <t>Writing Agent ID</t>
  </si>
  <si>
    <t>19279958old</t>
  </si>
  <si>
    <t>SCOTT FINE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</si>
</sst>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6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1" fillId="2" fontId="1" numFmtId="4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/>
    </xf>
    <xf borderId="0" fillId="0" fontId="2" numFmtId="4" xfId="0" applyAlignment="1" applyFont="1" applyNumberFormat="1">
      <alignment horizontal="right" vertical="center"/>
    </xf>
    <xf borderId="0" fillId="0" fontId="4" numFmtId="0" xfId="0" applyFont="1"/>
    <xf borderId="0" fillId="0" fontId="2" numFmtId="0" xfId="0" applyAlignment="1" applyFont="1">
      <alignment horizontal="left" readingOrder="0" vertical="center"/>
    </xf>
    <xf borderId="0" fillId="0" fontId="4" numFmtId="4" xfId="0" applyFont="1" applyNumberFormat="1"/>
    <xf borderId="0" fillId="0" fontId="3" numFmtId="4" xfId="0" applyAlignment="1" applyFont="1" applyNumberFormat="1">
      <alignment horizontal="right" vertical="center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4" width="13.86"/>
    <col customWidth="1" min="5" max="5" width="17.29"/>
    <col customWidth="1" min="6" max="6" width="12.0"/>
    <col customWidth="1" min="7" max="7" width="24.14"/>
    <col customWidth="1" min="8" max="8" width="13.86"/>
    <col customWidth="1" min="9" max="9" width="32.57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4.14"/>
    <col customWidth="1" min="15" max="15" width="19.0"/>
    <col customWidth="1" min="16" max="16" width="22.43"/>
    <col customWidth="1" min="17" max="17" width="32.57"/>
    <col customWidth="1" min="18" max="18" width="27.43"/>
    <col customWidth="1" min="19" max="19" width="24.14"/>
    <col customWidth="1" min="20" max="20" width="39.43"/>
    <col customWidth="1" min="21" max="21" width="56.43"/>
    <col customWidth="1" min="22" max="22" width="20.71"/>
    <col customWidth="1" min="23" max="23" width="27.43"/>
    <col customWidth="1" min="24" max="24" width="52.86"/>
    <col customWidth="1" min="25" max="25" width="12.0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34</v>
      </c>
      <c r="V2" s="2" t="s">
        <v>34</v>
      </c>
      <c r="W2" s="2" t="s">
        <v>34</v>
      </c>
      <c r="X2" s="2" t="s">
        <v>34</v>
      </c>
      <c r="Y2" s="3">
        <v>9.06</v>
      </c>
    </row>
    <row r="3">
      <c r="A3" s="2" t="s">
        <v>25</v>
      </c>
      <c r="B3" s="2" t="s">
        <v>26</v>
      </c>
      <c r="C3" s="2" t="s">
        <v>44</v>
      </c>
      <c r="D3" s="2" t="s">
        <v>28</v>
      </c>
      <c r="E3" s="2" t="s">
        <v>29</v>
      </c>
      <c r="F3" s="2" t="s">
        <v>45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46</v>
      </c>
      <c r="L3" s="2" t="s">
        <v>47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48</v>
      </c>
      <c r="S3" s="2" t="s">
        <v>42</v>
      </c>
      <c r="T3" s="2" t="s">
        <v>49</v>
      </c>
      <c r="U3" s="2" t="s">
        <v>50</v>
      </c>
      <c r="V3" s="2" t="s">
        <v>51</v>
      </c>
      <c r="W3" s="2" t="s">
        <v>34</v>
      </c>
      <c r="X3" s="2" t="s">
        <v>34</v>
      </c>
      <c r="Y3" s="3">
        <v>6.0</v>
      </c>
    </row>
    <row r="4">
      <c r="A4" s="2" t="s">
        <v>25</v>
      </c>
      <c r="B4" s="2" t="s">
        <v>26</v>
      </c>
      <c r="C4" s="2" t="s">
        <v>44</v>
      </c>
      <c r="D4" s="2" t="s">
        <v>28</v>
      </c>
      <c r="E4" s="2" t="s">
        <v>29</v>
      </c>
      <c r="F4" s="2" t="s">
        <v>45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52</v>
      </c>
      <c r="L4" s="2" t="s">
        <v>53</v>
      </c>
      <c r="M4" s="2" t="s">
        <v>34</v>
      </c>
      <c r="N4" s="2" t="s">
        <v>54</v>
      </c>
      <c r="O4" s="2" t="s">
        <v>38</v>
      </c>
      <c r="P4" s="2" t="s">
        <v>55</v>
      </c>
      <c r="Q4" s="2" t="s">
        <v>56</v>
      </c>
      <c r="R4" s="2" t="s">
        <v>48</v>
      </c>
      <c r="S4" s="2" t="s">
        <v>42</v>
      </c>
      <c r="T4" s="2" t="s">
        <v>49</v>
      </c>
      <c r="U4" s="2" t="s">
        <v>50</v>
      </c>
      <c r="V4" s="2" t="s">
        <v>57</v>
      </c>
      <c r="W4" s="2" t="s">
        <v>34</v>
      </c>
      <c r="X4" s="2" t="s">
        <v>34</v>
      </c>
      <c r="Y4" s="3">
        <v>3.0</v>
      </c>
    </row>
    <row r="5">
      <c r="A5" s="2" t="s">
        <v>25</v>
      </c>
      <c r="B5" s="2" t="s">
        <v>26</v>
      </c>
      <c r="C5" s="2" t="s">
        <v>58</v>
      </c>
      <c r="D5" s="2" t="s">
        <v>28</v>
      </c>
      <c r="E5" s="2" t="s">
        <v>29</v>
      </c>
      <c r="F5" s="2" t="s">
        <v>59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60</v>
      </c>
      <c r="L5" s="2" t="s">
        <v>61</v>
      </c>
      <c r="M5" s="2" t="s">
        <v>34</v>
      </c>
      <c r="N5" s="2" t="s">
        <v>37</v>
      </c>
      <c r="O5" s="2" t="s">
        <v>38</v>
      </c>
      <c r="P5" s="2" t="s">
        <v>55</v>
      </c>
      <c r="Q5" s="2" t="s">
        <v>56</v>
      </c>
      <c r="R5" s="2" t="s">
        <v>41</v>
      </c>
      <c r="S5" s="2" t="s">
        <v>42</v>
      </c>
      <c r="T5" s="2" t="s">
        <v>62</v>
      </c>
      <c r="U5" s="2" t="s">
        <v>34</v>
      </c>
      <c r="V5" s="2" t="s">
        <v>57</v>
      </c>
      <c r="W5" s="2" t="s">
        <v>34</v>
      </c>
      <c r="X5" s="2" t="s">
        <v>34</v>
      </c>
      <c r="Y5" s="3">
        <v>20.0</v>
      </c>
    </row>
    <row r="6">
      <c r="A6" s="2" t="s">
        <v>25</v>
      </c>
      <c r="B6" s="2" t="s">
        <v>26</v>
      </c>
      <c r="C6" s="2" t="s">
        <v>58</v>
      </c>
      <c r="D6" s="2" t="s">
        <v>28</v>
      </c>
      <c r="E6" s="2" t="s">
        <v>29</v>
      </c>
      <c r="F6" s="2" t="s">
        <v>59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63</v>
      </c>
      <c r="L6" s="2" t="s">
        <v>64</v>
      </c>
      <c r="M6" s="2" t="s">
        <v>34</v>
      </c>
      <c r="N6" s="2" t="s">
        <v>37</v>
      </c>
      <c r="O6" s="2" t="s">
        <v>38</v>
      </c>
      <c r="P6" s="2" t="s">
        <v>55</v>
      </c>
      <c r="Q6" s="2" t="s">
        <v>56</v>
      </c>
      <c r="R6" s="2" t="s">
        <v>41</v>
      </c>
      <c r="S6" s="2" t="s">
        <v>42</v>
      </c>
      <c r="T6" s="2" t="s">
        <v>62</v>
      </c>
      <c r="U6" s="2" t="s">
        <v>34</v>
      </c>
      <c r="V6" s="2" t="s">
        <v>65</v>
      </c>
      <c r="W6" s="2" t="s">
        <v>34</v>
      </c>
      <c r="X6" s="2" t="s">
        <v>34</v>
      </c>
      <c r="Y6" s="3">
        <v>80.0</v>
      </c>
    </row>
    <row r="7">
      <c r="A7" s="2" t="s">
        <v>25</v>
      </c>
      <c r="B7" s="2" t="s">
        <v>26</v>
      </c>
      <c r="C7" s="2" t="s">
        <v>66</v>
      </c>
      <c r="D7" s="2" t="s">
        <v>28</v>
      </c>
      <c r="E7" s="2" t="s">
        <v>29</v>
      </c>
      <c r="F7" s="2" t="s">
        <v>67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68</v>
      </c>
      <c r="L7" s="2" t="s">
        <v>69</v>
      </c>
      <c r="M7" s="2" t="s">
        <v>34</v>
      </c>
      <c r="N7" s="2" t="s">
        <v>37</v>
      </c>
      <c r="O7" s="2" t="s">
        <v>38</v>
      </c>
      <c r="P7" s="2" t="s">
        <v>70</v>
      </c>
      <c r="Q7" s="2" t="s">
        <v>71</v>
      </c>
      <c r="R7" s="2" t="s">
        <v>41</v>
      </c>
      <c r="S7" s="2" t="s">
        <v>42</v>
      </c>
      <c r="T7" s="2" t="s">
        <v>62</v>
      </c>
      <c r="U7" s="2" t="s">
        <v>34</v>
      </c>
      <c r="V7" s="2" t="s">
        <v>51</v>
      </c>
      <c r="W7" s="2" t="s">
        <v>34</v>
      </c>
      <c r="X7" s="2" t="s">
        <v>34</v>
      </c>
      <c r="Y7" s="3">
        <v>44.0</v>
      </c>
    </row>
    <row r="8">
      <c r="A8" s="2" t="s">
        <v>25</v>
      </c>
      <c r="B8" s="2" t="s">
        <v>26</v>
      </c>
      <c r="C8" s="2" t="s">
        <v>44</v>
      </c>
      <c r="D8" s="2" t="s">
        <v>28</v>
      </c>
      <c r="E8" s="2" t="s">
        <v>29</v>
      </c>
      <c r="F8" s="2" t="s">
        <v>45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72</v>
      </c>
      <c r="L8" s="2" t="s">
        <v>73</v>
      </c>
      <c r="M8" s="2" t="s">
        <v>34</v>
      </c>
      <c r="N8" s="2" t="s">
        <v>74</v>
      </c>
      <c r="O8" s="2" t="s">
        <v>38</v>
      </c>
      <c r="P8" s="2" t="s">
        <v>70</v>
      </c>
      <c r="Q8" s="2" t="s">
        <v>71</v>
      </c>
      <c r="R8" s="2" t="s">
        <v>48</v>
      </c>
      <c r="S8" s="2" t="s">
        <v>42</v>
      </c>
      <c r="T8" s="2" t="s">
        <v>49</v>
      </c>
      <c r="U8" s="2" t="s">
        <v>50</v>
      </c>
      <c r="V8" s="2" t="s">
        <v>51</v>
      </c>
      <c r="W8" s="2" t="s">
        <v>34</v>
      </c>
      <c r="X8" s="2" t="s">
        <v>34</v>
      </c>
      <c r="Y8" s="3">
        <v>6.0</v>
      </c>
    </row>
    <row r="9">
      <c r="A9" s="2" t="s">
        <v>25</v>
      </c>
      <c r="B9" s="2" t="s">
        <v>26</v>
      </c>
      <c r="C9" s="2" t="s">
        <v>44</v>
      </c>
      <c r="D9" s="2" t="s">
        <v>28</v>
      </c>
      <c r="E9" s="2" t="s">
        <v>29</v>
      </c>
      <c r="F9" s="2" t="s">
        <v>45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72</v>
      </c>
      <c r="L9" s="2" t="s">
        <v>73</v>
      </c>
      <c r="M9" s="2" t="s">
        <v>34</v>
      </c>
      <c r="N9" s="2" t="s">
        <v>75</v>
      </c>
      <c r="O9" s="2" t="s">
        <v>38</v>
      </c>
      <c r="P9" s="2" t="s">
        <v>70</v>
      </c>
      <c r="Q9" s="2" t="s">
        <v>71</v>
      </c>
      <c r="R9" s="2" t="s">
        <v>48</v>
      </c>
      <c r="S9" s="2" t="s">
        <v>42</v>
      </c>
      <c r="T9" s="2" t="s">
        <v>49</v>
      </c>
      <c r="U9" s="2" t="s">
        <v>50</v>
      </c>
      <c r="V9" s="2" t="s">
        <v>51</v>
      </c>
      <c r="W9" s="2" t="s">
        <v>34</v>
      </c>
      <c r="X9" s="2" t="s">
        <v>34</v>
      </c>
      <c r="Y9" s="3">
        <v>6.0</v>
      </c>
    </row>
    <row r="10">
      <c r="A10" s="2" t="s">
        <v>25</v>
      </c>
      <c r="B10" s="2" t="s">
        <v>26</v>
      </c>
      <c r="C10" s="2" t="s">
        <v>44</v>
      </c>
      <c r="D10" s="2" t="s">
        <v>28</v>
      </c>
      <c r="E10" s="2" t="s">
        <v>29</v>
      </c>
      <c r="F10" s="2" t="s">
        <v>45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76</v>
      </c>
      <c r="L10" s="2" t="s">
        <v>77</v>
      </c>
      <c r="M10" s="2" t="s">
        <v>34</v>
      </c>
      <c r="N10" s="2" t="s">
        <v>37</v>
      </c>
      <c r="O10" s="2" t="s">
        <v>38</v>
      </c>
      <c r="P10" s="2" t="s">
        <v>78</v>
      </c>
      <c r="Q10" s="2" t="s">
        <v>79</v>
      </c>
      <c r="R10" s="2" t="s">
        <v>48</v>
      </c>
      <c r="S10" s="2" t="s">
        <v>42</v>
      </c>
      <c r="T10" s="2" t="s">
        <v>49</v>
      </c>
      <c r="U10" s="2" t="s">
        <v>50</v>
      </c>
      <c r="V10" s="2" t="s">
        <v>57</v>
      </c>
      <c r="W10" s="2" t="s">
        <v>34</v>
      </c>
      <c r="X10" s="2" t="s">
        <v>34</v>
      </c>
      <c r="Y10" s="3">
        <v>3.0</v>
      </c>
    </row>
    <row r="11">
      <c r="A11" s="2" t="s">
        <v>25</v>
      </c>
      <c r="B11" s="2" t="s">
        <v>26</v>
      </c>
      <c r="C11" s="2" t="s">
        <v>80</v>
      </c>
      <c r="D11" s="2" t="s">
        <v>28</v>
      </c>
      <c r="E11" s="2" t="s">
        <v>29</v>
      </c>
      <c r="F11" s="2" t="s">
        <v>81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76</v>
      </c>
      <c r="L11" s="2" t="s">
        <v>77</v>
      </c>
      <c r="M11" s="2" t="s">
        <v>34</v>
      </c>
      <c r="N11" s="2" t="s">
        <v>37</v>
      </c>
      <c r="O11" s="2" t="s">
        <v>38</v>
      </c>
      <c r="P11" s="2" t="s">
        <v>78</v>
      </c>
      <c r="Q11" s="2" t="s">
        <v>79</v>
      </c>
      <c r="R11" s="2" t="s">
        <v>41</v>
      </c>
      <c r="S11" s="2" t="s">
        <v>42</v>
      </c>
      <c r="T11" s="2" t="s">
        <v>62</v>
      </c>
      <c r="U11" s="2" t="s">
        <v>34</v>
      </c>
      <c r="V11" s="2" t="s">
        <v>57</v>
      </c>
      <c r="W11" s="2" t="s">
        <v>34</v>
      </c>
      <c r="X11" s="2" t="s">
        <v>34</v>
      </c>
      <c r="Y11" s="3">
        <v>22.0</v>
      </c>
    </row>
    <row r="12">
      <c r="A12" s="2" t="s">
        <v>25</v>
      </c>
      <c r="B12" s="2" t="s">
        <v>26</v>
      </c>
      <c r="C12" s="2" t="s">
        <v>44</v>
      </c>
      <c r="D12" s="2" t="s">
        <v>28</v>
      </c>
      <c r="E12" s="2" t="s">
        <v>29</v>
      </c>
      <c r="F12" s="2" t="s">
        <v>45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82</v>
      </c>
      <c r="L12" s="2" t="s">
        <v>83</v>
      </c>
      <c r="M12" s="2" t="s">
        <v>34</v>
      </c>
      <c r="N12" s="2" t="s">
        <v>74</v>
      </c>
      <c r="O12" s="2" t="s">
        <v>38</v>
      </c>
      <c r="P12" s="2" t="s">
        <v>39</v>
      </c>
      <c r="Q12" s="2" t="s">
        <v>40</v>
      </c>
      <c r="R12" s="2" t="s">
        <v>48</v>
      </c>
      <c r="S12" s="2" t="s">
        <v>42</v>
      </c>
      <c r="T12" s="2" t="s">
        <v>49</v>
      </c>
      <c r="U12" s="2" t="s">
        <v>50</v>
      </c>
      <c r="V12" s="2" t="s">
        <v>57</v>
      </c>
      <c r="W12" s="2" t="s">
        <v>34</v>
      </c>
      <c r="X12" s="2" t="s">
        <v>34</v>
      </c>
      <c r="Y12" s="3">
        <v>3.0</v>
      </c>
    </row>
    <row r="13">
      <c r="A13" s="2" t="s">
        <v>25</v>
      </c>
      <c r="B13" s="2" t="s">
        <v>26</v>
      </c>
      <c r="C13" s="2" t="s">
        <v>44</v>
      </c>
      <c r="D13" s="2" t="s">
        <v>28</v>
      </c>
      <c r="E13" s="2" t="s">
        <v>29</v>
      </c>
      <c r="F13" s="2" t="s">
        <v>45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84</v>
      </c>
      <c r="L13" s="2" t="s">
        <v>85</v>
      </c>
      <c r="M13" s="2" t="s">
        <v>34</v>
      </c>
      <c r="N13" s="2" t="s">
        <v>37</v>
      </c>
      <c r="O13" s="2" t="s">
        <v>38</v>
      </c>
      <c r="P13" s="2" t="s">
        <v>39</v>
      </c>
      <c r="Q13" s="2" t="s">
        <v>40</v>
      </c>
      <c r="R13" s="2" t="s">
        <v>48</v>
      </c>
      <c r="S13" s="2" t="s">
        <v>42</v>
      </c>
      <c r="T13" s="2" t="s">
        <v>49</v>
      </c>
      <c r="U13" s="2" t="s">
        <v>50</v>
      </c>
      <c r="V13" s="2" t="s">
        <v>51</v>
      </c>
      <c r="W13" s="2" t="s">
        <v>34</v>
      </c>
      <c r="X13" s="2" t="s">
        <v>34</v>
      </c>
      <c r="Y13" s="3">
        <v>6.0</v>
      </c>
    </row>
    <row r="14">
      <c r="A14" s="2" t="s">
        <v>25</v>
      </c>
      <c r="B14" s="2" t="s">
        <v>26</v>
      </c>
      <c r="C14" s="2" t="s">
        <v>44</v>
      </c>
      <c r="D14" s="2" t="s">
        <v>28</v>
      </c>
      <c r="E14" s="2" t="s">
        <v>29</v>
      </c>
      <c r="F14" s="2" t="s">
        <v>45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86</v>
      </c>
      <c r="L14" s="2" t="s">
        <v>87</v>
      </c>
      <c r="M14" s="2" t="s">
        <v>34</v>
      </c>
      <c r="N14" s="2" t="s">
        <v>37</v>
      </c>
      <c r="O14" s="2" t="s">
        <v>38</v>
      </c>
      <c r="P14" s="2" t="s">
        <v>39</v>
      </c>
      <c r="Q14" s="2" t="s">
        <v>40</v>
      </c>
      <c r="R14" s="2" t="s">
        <v>48</v>
      </c>
      <c r="S14" s="2" t="s">
        <v>42</v>
      </c>
      <c r="T14" s="2" t="s">
        <v>49</v>
      </c>
      <c r="U14" s="2" t="s">
        <v>50</v>
      </c>
      <c r="V14" s="2" t="s">
        <v>57</v>
      </c>
      <c r="W14" s="2" t="s">
        <v>34</v>
      </c>
      <c r="X14" s="2" t="s">
        <v>34</v>
      </c>
      <c r="Y14" s="3">
        <v>3.0</v>
      </c>
    </row>
    <row r="15">
      <c r="A15" s="2" t="s">
        <v>25</v>
      </c>
      <c r="B15" s="2" t="s">
        <v>26</v>
      </c>
      <c r="C15" s="2" t="s">
        <v>44</v>
      </c>
      <c r="D15" s="2" t="s">
        <v>28</v>
      </c>
      <c r="E15" s="2" t="s">
        <v>29</v>
      </c>
      <c r="F15" s="2" t="s">
        <v>45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88</v>
      </c>
      <c r="L15" s="2" t="s">
        <v>89</v>
      </c>
      <c r="M15" s="2" t="s">
        <v>34</v>
      </c>
      <c r="N15" s="2" t="s">
        <v>37</v>
      </c>
      <c r="O15" s="2" t="s">
        <v>38</v>
      </c>
      <c r="P15" s="2" t="s">
        <v>39</v>
      </c>
      <c r="Q15" s="2" t="s">
        <v>40</v>
      </c>
      <c r="R15" s="2" t="s">
        <v>48</v>
      </c>
      <c r="S15" s="2" t="s">
        <v>42</v>
      </c>
      <c r="T15" s="2" t="s">
        <v>49</v>
      </c>
      <c r="U15" s="2" t="s">
        <v>50</v>
      </c>
      <c r="V15" s="2" t="s">
        <v>57</v>
      </c>
      <c r="W15" s="2" t="s">
        <v>34</v>
      </c>
      <c r="X15" s="2" t="s">
        <v>34</v>
      </c>
      <c r="Y15" s="3">
        <v>3.0</v>
      </c>
    </row>
    <row r="16">
      <c r="A16" s="2" t="s">
        <v>25</v>
      </c>
      <c r="B16" s="2" t="s">
        <v>26</v>
      </c>
      <c r="C16" s="2" t="s">
        <v>44</v>
      </c>
      <c r="D16" s="2" t="s">
        <v>28</v>
      </c>
      <c r="E16" s="2" t="s">
        <v>29</v>
      </c>
      <c r="F16" s="2" t="s">
        <v>45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90</v>
      </c>
      <c r="L16" s="2" t="s">
        <v>91</v>
      </c>
      <c r="M16" s="2" t="s">
        <v>34</v>
      </c>
      <c r="N16" s="2" t="s">
        <v>74</v>
      </c>
      <c r="O16" s="2" t="s">
        <v>38</v>
      </c>
      <c r="P16" s="2" t="s">
        <v>39</v>
      </c>
      <c r="Q16" s="2" t="s">
        <v>40</v>
      </c>
      <c r="R16" s="2" t="s">
        <v>48</v>
      </c>
      <c r="S16" s="2" t="s">
        <v>42</v>
      </c>
      <c r="T16" s="2" t="s">
        <v>49</v>
      </c>
      <c r="U16" s="2" t="s">
        <v>50</v>
      </c>
      <c r="V16" s="2" t="s">
        <v>57</v>
      </c>
      <c r="W16" s="2" t="s">
        <v>34</v>
      </c>
      <c r="X16" s="2" t="s">
        <v>34</v>
      </c>
      <c r="Y16" s="3">
        <v>3.0</v>
      </c>
    </row>
    <row r="17">
      <c r="A17" s="2" t="s">
        <v>25</v>
      </c>
      <c r="B17" s="2" t="s">
        <v>26</v>
      </c>
      <c r="C17" s="2" t="s">
        <v>44</v>
      </c>
      <c r="D17" s="2" t="s">
        <v>28</v>
      </c>
      <c r="E17" s="2" t="s">
        <v>29</v>
      </c>
      <c r="F17" s="2" t="s">
        <v>45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92</v>
      </c>
      <c r="L17" s="2" t="s">
        <v>93</v>
      </c>
      <c r="M17" s="2" t="s">
        <v>34</v>
      </c>
      <c r="N17" s="2" t="s">
        <v>37</v>
      </c>
      <c r="O17" s="2" t="s">
        <v>38</v>
      </c>
      <c r="P17" s="2" t="s">
        <v>39</v>
      </c>
      <c r="Q17" s="2" t="s">
        <v>40</v>
      </c>
      <c r="R17" s="2" t="s">
        <v>48</v>
      </c>
      <c r="S17" s="2" t="s">
        <v>42</v>
      </c>
      <c r="T17" s="2" t="s">
        <v>49</v>
      </c>
      <c r="U17" s="2" t="s">
        <v>50</v>
      </c>
      <c r="V17" s="2" t="s">
        <v>57</v>
      </c>
      <c r="W17" s="2" t="s">
        <v>34</v>
      </c>
      <c r="X17" s="2" t="s">
        <v>34</v>
      </c>
      <c r="Y17" s="3">
        <v>3.0</v>
      </c>
    </row>
    <row r="18">
      <c r="A18" s="2" t="s">
        <v>25</v>
      </c>
      <c r="B18" s="2" t="s">
        <v>26</v>
      </c>
      <c r="C18" s="2" t="s">
        <v>44</v>
      </c>
      <c r="D18" s="2" t="s">
        <v>28</v>
      </c>
      <c r="E18" s="2" t="s">
        <v>29</v>
      </c>
      <c r="F18" s="2" t="s">
        <v>45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94</v>
      </c>
      <c r="L18" s="2" t="s">
        <v>95</v>
      </c>
      <c r="M18" s="2" t="s">
        <v>34</v>
      </c>
      <c r="N18" s="2" t="s">
        <v>37</v>
      </c>
      <c r="O18" s="2" t="s">
        <v>38</v>
      </c>
      <c r="P18" s="2" t="s">
        <v>39</v>
      </c>
      <c r="Q18" s="2" t="s">
        <v>40</v>
      </c>
      <c r="R18" s="2" t="s">
        <v>48</v>
      </c>
      <c r="S18" s="2" t="s">
        <v>42</v>
      </c>
      <c r="T18" s="2" t="s">
        <v>49</v>
      </c>
      <c r="U18" s="2" t="s">
        <v>50</v>
      </c>
      <c r="V18" s="2" t="s">
        <v>51</v>
      </c>
      <c r="W18" s="2" t="s">
        <v>34</v>
      </c>
      <c r="X18" s="2" t="s">
        <v>34</v>
      </c>
      <c r="Y18" s="3">
        <v>6.0</v>
      </c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96</v>
      </c>
      <c r="L19" s="2" t="s">
        <v>97</v>
      </c>
      <c r="M19" s="2" t="s">
        <v>34</v>
      </c>
      <c r="N19" s="2" t="s">
        <v>37</v>
      </c>
      <c r="O19" s="2" t="s">
        <v>38</v>
      </c>
      <c r="P19" s="2" t="s">
        <v>39</v>
      </c>
      <c r="Q19" s="2" t="s">
        <v>40</v>
      </c>
      <c r="R19" s="2" t="s">
        <v>41</v>
      </c>
      <c r="S19" s="2" t="s">
        <v>42</v>
      </c>
      <c r="T19" s="2" t="s">
        <v>62</v>
      </c>
      <c r="U19" s="2" t="s">
        <v>34</v>
      </c>
      <c r="V19" s="2" t="s">
        <v>57</v>
      </c>
      <c r="W19" s="2" t="s">
        <v>34</v>
      </c>
      <c r="X19" s="2" t="s">
        <v>34</v>
      </c>
      <c r="Y19" s="3">
        <v>20.0</v>
      </c>
    </row>
    <row r="20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98</v>
      </c>
      <c r="L20" s="2" t="s">
        <v>99</v>
      </c>
      <c r="M20" s="2" t="s">
        <v>34</v>
      </c>
      <c r="N20" s="2" t="s">
        <v>37</v>
      </c>
      <c r="O20" s="2" t="s">
        <v>38</v>
      </c>
      <c r="P20" s="2" t="s">
        <v>39</v>
      </c>
      <c r="Q20" s="2" t="s">
        <v>40</v>
      </c>
      <c r="R20" s="2" t="s">
        <v>41</v>
      </c>
      <c r="S20" s="2" t="s">
        <v>42</v>
      </c>
      <c r="T20" s="2" t="s">
        <v>62</v>
      </c>
      <c r="U20" s="2" t="s">
        <v>34</v>
      </c>
      <c r="V20" s="2" t="s">
        <v>51</v>
      </c>
      <c r="W20" s="2" t="s">
        <v>34</v>
      </c>
      <c r="X20" s="2" t="s">
        <v>34</v>
      </c>
      <c r="Y20" s="3">
        <v>40.0</v>
      </c>
    </row>
    <row r="21" ht="15.75" customHeight="1">
      <c r="A21" s="2" t="s">
        <v>25</v>
      </c>
      <c r="B21" s="2" t="s">
        <v>26</v>
      </c>
      <c r="C21" s="2" t="s">
        <v>44</v>
      </c>
      <c r="D21" s="2" t="s">
        <v>28</v>
      </c>
      <c r="E21" s="2" t="s">
        <v>29</v>
      </c>
      <c r="F21" s="2" t="s">
        <v>45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100</v>
      </c>
      <c r="L21" s="2" t="s">
        <v>101</v>
      </c>
      <c r="M21" s="2" t="s">
        <v>34</v>
      </c>
      <c r="N21" s="2" t="s">
        <v>37</v>
      </c>
      <c r="O21" s="2" t="s">
        <v>38</v>
      </c>
      <c r="P21" s="2" t="s">
        <v>39</v>
      </c>
      <c r="Q21" s="2" t="s">
        <v>40</v>
      </c>
      <c r="R21" s="2" t="s">
        <v>48</v>
      </c>
      <c r="S21" s="2" t="s">
        <v>42</v>
      </c>
      <c r="T21" s="2" t="s">
        <v>49</v>
      </c>
      <c r="U21" s="2" t="s">
        <v>50</v>
      </c>
      <c r="V21" s="2" t="s">
        <v>57</v>
      </c>
      <c r="W21" s="2" t="s">
        <v>34</v>
      </c>
      <c r="X21" s="2" t="s">
        <v>34</v>
      </c>
      <c r="Y21" s="3">
        <v>3.0</v>
      </c>
    </row>
    <row r="22" ht="15.75" customHeight="1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102</v>
      </c>
      <c r="L22" s="2" t="s">
        <v>103</v>
      </c>
      <c r="M22" s="2" t="s">
        <v>34</v>
      </c>
      <c r="N22" s="2" t="s">
        <v>37</v>
      </c>
      <c r="O22" s="2" t="s">
        <v>38</v>
      </c>
      <c r="P22" s="2" t="s">
        <v>39</v>
      </c>
      <c r="Q22" s="2" t="s">
        <v>40</v>
      </c>
      <c r="R22" s="2" t="s">
        <v>41</v>
      </c>
      <c r="S22" s="2" t="s">
        <v>42</v>
      </c>
      <c r="T22" s="2" t="s">
        <v>62</v>
      </c>
      <c r="U22" s="2" t="s">
        <v>34</v>
      </c>
      <c r="V22" s="2" t="s">
        <v>57</v>
      </c>
      <c r="W22" s="2" t="s">
        <v>34</v>
      </c>
      <c r="X22" s="2" t="s">
        <v>34</v>
      </c>
      <c r="Y22" s="3">
        <v>20.0</v>
      </c>
    </row>
    <row r="23" ht="15.75" customHeight="1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104</v>
      </c>
      <c r="L23" s="2" t="s">
        <v>105</v>
      </c>
      <c r="M23" s="2" t="s">
        <v>34</v>
      </c>
      <c r="N23" s="2" t="s">
        <v>37</v>
      </c>
      <c r="O23" s="2" t="s">
        <v>38</v>
      </c>
      <c r="P23" s="2" t="s">
        <v>39</v>
      </c>
      <c r="Q23" s="2" t="s">
        <v>40</v>
      </c>
      <c r="R23" s="2" t="s">
        <v>41</v>
      </c>
      <c r="S23" s="2" t="s">
        <v>42</v>
      </c>
      <c r="T23" s="2" t="s">
        <v>62</v>
      </c>
      <c r="U23" s="2" t="s">
        <v>34</v>
      </c>
      <c r="V23" s="2" t="s">
        <v>57</v>
      </c>
      <c r="W23" s="2" t="s">
        <v>34</v>
      </c>
      <c r="X23" s="2" t="s">
        <v>34</v>
      </c>
      <c r="Y23" s="3">
        <v>20.0</v>
      </c>
    </row>
    <row r="24" ht="15.75" customHeight="1">
      <c r="A24" s="2" t="s">
        <v>25</v>
      </c>
      <c r="B24" s="2" t="s">
        <v>26</v>
      </c>
      <c r="C24" s="2" t="s">
        <v>106</v>
      </c>
      <c r="D24" s="2" t="s">
        <v>28</v>
      </c>
      <c r="E24" s="2" t="s">
        <v>29</v>
      </c>
      <c r="F24" s="2" t="s">
        <v>107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108</v>
      </c>
      <c r="L24" s="2" t="s">
        <v>109</v>
      </c>
      <c r="M24" s="2" t="s">
        <v>34</v>
      </c>
      <c r="N24" s="2" t="s">
        <v>37</v>
      </c>
      <c r="O24" s="2" t="s">
        <v>38</v>
      </c>
      <c r="P24" s="2" t="s">
        <v>110</v>
      </c>
      <c r="Q24" s="2" t="s">
        <v>111</v>
      </c>
      <c r="R24" s="2" t="s">
        <v>41</v>
      </c>
      <c r="S24" s="2" t="s">
        <v>42</v>
      </c>
      <c r="T24" s="2" t="s">
        <v>62</v>
      </c>
      <c r="U24" s="2" t="s">
        <v>34</v>
      </c>
      <c r="V24" s="2" t="s">
        <v>57</v>
      </c>
      <c r="W24" s="2" t="s">
        <v>34</v>
      </c>
      <c r="X24" s="2" t="s">
        <v>34</v>
      </c>
      <c r="Y24" s="3">
        <v>27.0</v>
      </c>
    </row>
    <row r="25" ht="15.75" customHeight="1">
      <c r="A25" s="2" t="s">
        <v>25</v>
      </c>
      <c r="B25" s="2" t="s">
        <v>26</v>
      </c>
      <c r="C25" s="2" t="s">
        <v>44</v>
      </c>
      <c r="D25" s="2" t="s">
        <v>28</v>
      </c>
      <c r="E25" s="2" t="s">
        <v>29</v>
      </c>
      <c r="F25" s="2" t="s">
        <v>45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112</v>
      </c>
      <c r="L25" s="2" t="s">
        <v>113</v>
      </c>
      <c r="M25" s="2" t="s">
        <v>34</v>
      </c>
      <c r="N25" s="2" t="s">
        <v>37</v>
      </c>
      <c r="O25" s="2" t="s">
        <v>38</v>
      </c>
      <c r="P25" s="2" t="s">
        <v>110</v>
      </c>
      <c r="Q25" s="2" t="s">
        <v>111</v>
      </c>
      <c r="R25" s="2" t="s">
        <v>48</v>
      </c>
      <c r="S25" s="2" t="s">
        <v>42</v>
      </c>
      <c r="T25" s="2" t="s">
        <v>49</v>
      </c>
      <c r="U25" s="2" t="s">
        <v>50</v>
      </c>
      <c r="V25" s="2" t="s">
        <v>57</v>
      </c>
      <c r="W25" s="2" t="s">
        <v>34</v>
      </c>
      <c r="X25" s="2" t="s">
        <v>34</v>
      </c>
      <c r="Y25" s="3">
        <v>3.0</v>
      </c>
    </row>
    <row r="26" ht="15.75" customHeight="1">
      <c r="A26" s="2" t="s">
        <v>25</v>
      </c>
      <c r="B26" s="2" t="s">
        <v>26</v>
      </c>
      <c r="C26" s="2" t="s">
        <v>106</v>
      </c>
      <c r="D26" s="2" t="s">
        <v>28</v>
      </c>
      <c r="E26" s="2" t="s">
        <v>29</v>
      </c>
      <c r="F26" s="2" t="s">
        <v>107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114</v>
      </c>
      <c r="L26" s="2" t="s">
        <v>115</v>
      </c>
      <c r="M26" s="2" t="s">
        <v>34</v>
      </c>
      <c r="N26" s="2" t="s">
        <v>37</v>
      </c>
      <c r="O26" s="2" t="s">
        <v>38</v>
      </c>
      <c r="P26" s="2" t="s">
        <v>110</v>
      </c>
      <c r="Q26" s="2" t="s">
        <v>111</v>
      </c>
      <c r="R26" s="2" t="s">
        <v>41</v>
      </c>
      <c r="S26" s="2" t="s">
        <v>42</v>
      </c>
      <c r="T26" s="2" t="s">
        <v>62</v>
      </c>
      <c r="U26" s="2" t="s">
        <v>34</v>
      </c>
      <c r="V26" s="2" t="s">
        <v>116</v>
      </c>
      <c r="W26" s="2" t="s">
        <v>34</v>
      </c>
      <c r="X26" s="2" t="s">
        <v>34</v>
      </c>
      <c r="Y26" s="3">
        <v>81.0</v>
      </c>
    </row>
    <row r="27" ht="15.75" customHeight="1">
      <c r="A27" s="2" t="s">
        <v>25</v>
      </c>
      <c r="B27" s="2" t="s">
        <v>26</v>
      </c>
      <c r="C27" s="2" t="s">
        <v>117</v>
      </c>
      <c r="D27" s="2" t="s">
        <v>28</v>
      </c>
      <c r="E27" s="2" t="s">
        <v>29</v>
      </c>
      <c r="F27" s="2" t="s">
        <v>118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119</v>
      </c>
      <c r="L27" s="2" t="s">
        <v>120</v>
      </c>
      <c r="M27" s="2" t="s">
        <v>34</v>
      </c>
      <c r="N27" s="2" t="s">
        <v>37</v>
      </c>
      <c r="O27" s="2" t="s">
        <v>38</v>
      </c>
      <c r="P27" s="2" t="s">
        <v>121</v>
      </c>
      <c r="Q27" s="2" t="s">
        <v>122</v>
      </c>
      <c r="R27" s="2" t="s">
        <v>41</v>
      </c>
      <c r="S27" s="2" t="s">
        <v>42</v>
      </c>
      <c r="T27" s="2" t="s">
        <v>62</v>
      </c>
      <c r="U27" s="2" t="s">
        <v>34</v>
      </c>
      <c r="V27" s="2" t="s">
        <v>57</v>
      </c>
      <c r="W27" s="2" t="s">
        <v>34</v>
      </c>
      <c r="X27" s="2" t="s">
        <v>34</v>
      </c>
      <c r="Y27" s="3">
        <v>22.0</v>
      </c>
    </row>
    <row r="28" ht="15.75" customHeight="1">
      <c r="A28" s="2" t="s">
        <v>25</v>
      </c>
      <c r="B28" s="2" t="s">
        <v>26</v>
      </c>
      <c r="C28" s="2" t="s">
        <v>117</v>
      </c>
      <c r="D28" s="2" t="s">
        <v>28</v>
      </c>
      <c r="E28" s="2" t="s">
        <v>29</v>
      </c>
      <c r="F28" s="2" t="s">
        <v>118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123</v>
      </c>
      <c r="L28" s="2" t="s">
        <v>124</v>
      </c>
      <c r="M28" s="2" t="s">
        <v>34</v>
      </c>
      <c r="N28" s="2" t="s">
        <v>37</v>
      </c>
      <c r="O28" s="2" t="s">
        <v>38</v>
      </c>
      <c r="P28" s="2" t="s">
        <v>121</v>
      </c>
      <c r="Q28" s="2" t="s">
        <v>122</v>
      </c>
      <c r="R28" s="2" t="s">
        <v>41</v>
      </c>
      <c r="S28" s="2" t="s">
        <v>42</v>
      </c>
      <c r="T28" s="2" t="s">
        <v>62</v>
      </c>
      <c r="U28" s="2" t="s">
        <v>34</v>
      </c>
      <c r="V28" s="2" t="s">
        <v>57</v>
      </c>
      <c r="W28" s="2" t="s">
        <v>34</v>
      </c>
      <c r="X28" s="2" t="s">
        <v>34</v>
      </c>
      <c r="Y28" s="3">
        <v>22.0</v>
      </c>
    </row>
    <row r="29" ht="15.75" customHeight="1">
      <c r="A29" s="2" t="s">
        <v>25</v>
      </c>
      <c r="B29" s="2" t="s">
        <v>26</v>
      </c>
      <c r="C29" s="2" t="s">
        <v>125</v>
      </c>
      <c r="D29" s="2" t="s">
        <v>28</v>
      </c>
      <c r="E29" s="2" t="s">
        <v>29</v>
      </c>
      <c r="F29" s="2" t="s">
        <v>126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127</v>
      </c>
      <c r="L29" s="2" t="s">
        <v>128</v>
      </c>
      <c r="M29" s="2" t="s">
        <v>34</v>
      </c>
      <c r="N29" s="2" t="s">
        <v>37</v>
      </c>
      <c r="O29" s="2" t="s">
        <v>38</v>
      </c>
      <c r="P29" s="2" t="s">
        <v>129</v>
      </c>
      <c r="Q29" s="2" t="s">
        <v>130</v>
      </c>
      <c r="R29" s="2" t="s">
        <v>41</v>
      </c>
      <c r="S29" s="2" t="s">
        <v>42</v>
      </c>
      <c r="T29" s="2" t="s">
        <v>62</v>
      </c>
      <c r="U29" s="2" t="s">
        <v>34</v>
      </c>
      <c r="V29" s="2" t="s">
        <v>57</v>
      </c>
      <c r="W29" s="2" t="s">
        <v>34</v>
      </c>
      <c r="X29" s="2" t="s">
        <v>34</v>
      </c>
      <c r="Y29" s="3">
        <v>22.0</v>
      </c>
    </row>
    <row r="30" ht="15.75" customHeight="1">
      <c r="A30" s="2" t="s">
        <v>25</v>
      </c>
      <c r="B30" s="2" t="s">
        <v>26</v>
      </c>
      <c r="C30" s="2" t="s">
        <v>44</v>
      </c>
      <c r="D30" s="2" t="s">
        <v>28</v>
      </c>
      <c r="E30" s="2" t="s">
        <v>29</v>
      </c>
      <c r="F30" s="2" t="s">
        <v>45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131</v>
      </c>
      <c r="L30" s="2" t="s">
        <v>132</v>
      </c>
      <c r="M30" s="2" t="s">
        <v>34</v>
      </c>
      <c r="N30" s="2" t="s">
        <v>37</v>
      </c>
      <c r="O30" s="2" t="s">
        <v>38</v>
      </c>
      <c r="P30" s="2" t="s">
        <v>133</v>
      </c>
      <c r="Q30" s="2" t="s">
        <v>134</v>
      </c>
      <c r="R30" s="2" t="s">
        <v>48</v>
      </c>
      <c r="S30" s="2" t="s">
        <v>42</v>
      </c>
      <c r="T30" s="2" t="s">
        <v>49</v>
      </c>
      <c r="U30" s="2" t="s">
        <v>50</v>
      </c>
      <c r="V30" s="2" t="s">
        <v>57</v>
      </c>
      <c r="W30" s="2" t="s">
        <v>34</v>
      </c>
      <c r="X30" s="2" t="s">
        <v>34</v>
      </c>
      <c r="Y30" s="3">
        <v>3.0</v>
      </c>
    </row>
    <row r="31" ht="15.75" customHeight="1">
      <c r="A31" s="2" t="s">
        <v>25</v>
      </c>
      <c r="B31" s="2" t="s">
        <v>26</v>
      </c>
      <c r="C31" s="2" t="s">
        <v>44</v>
      </c>
      <c r="D31" s="2" t="s">
        <v>28</v>
      </c>
      <c r="E31" s="2" t="s">
        <v>29</v>
      </c>
      <c r="F31" s="2" t="s">
        <v>45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135</v>
      </c>
      <c r="L31" s="2" t="s">
        <v>136</v>
      </c>
      <c r="M31" s="2" t="s">
        <v>34</v>
      </c>
      <c r="N31" s="2" t="s">
        <v>37</v>
      </c>
      <c r="O31" s="2" t="s">
        <v>38</v>
      </c>
      <c r="P31" s="2" t="s">
        <v>70</v>
      </c>
      <c r="Q31" s="2" t="s">
        <v>71</v>
      </c>
      <c r="R31" s="2" t="s">
        <v>48</v>
      </c>
      <c r="S31" s="2" t="s">
        <v>42</v>
      </c>
      <c r="T31" s="2" t="s">
        <v>49</v>
      </c>
      <c r="U31" s="2" t="s">
        <v>50</v>
      </c>
      <c r="V31" s="2" t="s">
        <v>57</v>
      </c>
      <c r="W31" s="2" t="s">
        <v>34</v>
      </c>
      <c r="X31" s="2" t="s">
        <v>34</v>
      </c>
      <c r="Y31" s="3">
        <v>3.0</v>
      </c>
    </row>
    <row r="32" ht="15.75" customHeight="1">
      <c r="A32" s="2" t="s">
        <v>25</v>
      </c>
      <c r="B32" s="2" t="s">
        <v>26</v>
      </c>
      <c r="C32" s="2" t="s">
        <v>66</v>
      </c>
      <c r="D32" s="2" t="s">
        <v>28</v>
      </c>
      <c r="E32" s="2" t="s">
        <v>29</v>
      </c>
      <c r="F32" s="2" t="s">
        <v>67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137</v>
      </c>
      <c r="L32" s="2" t="s">
        <v>138</v>
      </c>
      <c r="M32" s="2" t="s">
        <v>34</v>
      </c>
      <c r="N32" s="2" t="s">
        <v>37</v>
      </c>
      <c r="O32" s="2" t="s">
        <v>38</v>
      </c>
      <c r="P32" s="2" t="s">
        <v>70</v>
      </c>
      <c r="Q32" s="2" t="s">
        <v>71</v>
      </c>
      <c r="R32" s="2" t="s">
        <v>41</v>
      </c>
      <c r="S32" s="2" t="s">
        <v>42</v>
      </c>
      <c r="T32" s="2" t="s">
        <v>62</v>
      </c>
      <c r="U32" s="2" t="s">
        <v>34</v>
      </c>
      <c r="V32" s="2" t="s">
        <v>57</v>
      </c>
      <c r="W32" s="2" t="s">
        <v>34</v>
      </c>
      <c r="X32" s="2" t="s">
        <v>34</v>
      </c>
      <c r="Y32" s="3">
        <v>27.0</v>
      </c>
    </row>
    <row r="33" ht="15.75" customHeight="1">
      <c r="A33" s="2" t="s">
        <v>25</v>
      </c>
      <c r="B33" s="2" t="s">
        <v>26</v>
      </c>
      <c r="C33" s="2" t="s">
        <v>44</v>
      </c>
      <c r="D33" s="2" t="s">
        <v>28</v>
      </c>
      <c r="E33" s="2" t="s">
        <v>29</v>
      </c>
      <c r="F33" s="2" t="s">
        <v>45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108</v>
      </c>
      <c r="L33" s="2" t="s">
        <v>109</v>
      </c>
      <c r="M33" s="2" t="s">
        <v>34</v>
      </c>
      <c r="N33" s="2" t="s">
        <v>37</v>
      </c>
      <c r="O33" s="2" t="s">
        <v>38</v>
      </c>
      <c r="P33" s="2" t="s">
        <v>110</v>
      </c>
      <c r="Q33" s="2" t="s">
        <v>111</v>
      </c>
      <c r="R33" s="2" t="s">
        <v>48</v>
      </c>
      <c r="S33" s="2" t="s">
        <v>42</v>
      </c>
      <c r="T33" s="2" t="s">
        <v>49</v>
      </c>
      <c r="U33" s="2" t="s">
        <v>50</v>
      </c>
      <c r="V33" s="2" t="s">
        <v>57</v>
      </c>
      <c r="W33" s="2" t="s">
        <v>34</v>
      </c>
      <c r="X33" s="2" t="s">
        <v>34</v>
      </c>
      <c r="Y33" s="3">
        <v>3.0</v>
      </c>
    </row>
    <row r="34" ht="15.75" customHeight="1">
      <c r="A34" s="2" t="s">
        <v>25</v>
      </c>
      <c r="B34" s="2" t="s">
        <v>26</v>
      </c>
      <c r="C34" s="2" t="s">
        <v>44</v>
      </c>
      <c r="D34" s="2" t="s">
        <v>28</v>
      </c>
      <c r="E34" s="2" t="s">
        <v>29</v>
      </c>
      <c r="F34" s="2" t="s">
        <v>45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123</v>
      </c>
      <c r="L34" s="2" t="s">
        <v>124</v>
      </c>
      <c r="M34" s="2" t="s">
        <v>34</v>
      </c>
      <c r="N34" s="2" t="s">
        <v>37</v>
      </c>
      <c r="O34" s="2" t="s">
        <v>38</v>
      </c>
      <c r="P34" s="2" t="s">
        <v>121</v>
      </c>
      <c r="Q34" s="2" t="s">
        <v>122</v>
      </c>
      <c r="R34" s="2" t="s">
        <v>48</v>
      </c>
      <c r="S34" s="2" t="s">
        <v>42</v>
      </c>
      <c r="T34" s="2" t="s">
        <v>49</v>
      </c>
      <c r="U34" s="2" t="s">
        <v>50</v>
      </c>
      <c r="V34" s="2" t="s">
        <v>57</v>
      </c>
      <c r="W34" s="2" t="s">
        <v>34</v>
      </c>
      <c r="X34" s="2" t="s">
        <v>34</v>
      </c>
      <c r="Y34" s="3">
        <v>3.0</v>
      </c>
    </row>
    <row r="35" ht="15.75" customHeight="1">
      <c r="A35" s="2" t="s">
        <v>25</v>
      </c>
      <c r="B35" s="2" t="s">
        <v>26</v>
      </c>
      <c r="C35" s="2" t="s">
        <v>44</v>
      </c>
      <c r="D35" s="2" t="s">
        <v>28</v>
      </c>
      <c r="E35" s="2" t="s">
        <v>29</v>
      </c>
      <c r="F35" s="2" t="s">
        <v>45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139</v>
      </c>
      <c r="L35" s="2" t="s">
        <v>140</v>
      </c>
      <c r="M35" s="2" t="s">
        <v>34</v>
      </c>
      <c r="N35" s="2" t="s">
        <v>37</v>
      </c>
      <c r="O35" s="2" t="s">
        <v>38</v>
      </c>
      <c r="P35" s="2" t="s">
        <v>141</v>
      </c>
      <c r="Q35" s="2" t="s">
        <v>142</v>
      </c>
      <c r="R35" s="2" t="s">
        <v>48</v>
      </c>
      <c r="S35" s="2" t="s">
        <v>42</v>
      </c>
      <c r="T35" s="2" t="s">
        <v>49</v>
      </c>
      <c r="U35" s="2" t="s">
        <v>50</v>
      </c>
      <c r="V35" s="2" t="s">
        <v>57</v>
      </c>
      <c r="W35" s="2" t="s">
        <v>34</v>
      </c>
      <c r="X35" s="2" t="s">
        <v>34</v>
      </c>
      <c r="Y35" s="3">
        <v>3.0</v>
      </c>
    </row>
    <row r="36" ht="15.75" customHeight="1">
      <c r="A36" s="2" t="s">
        <v>25</v>
      </c>
      <c r="B36" s="2" t="s">
        <v>26</v>
      </c>
      <c r="C36" s="2" t="s">
        <v>44</v>
      </c>
      <c r="D36" s="2" t="s">
        <v>28</v>
      </c>
      <c r="E36" s="2" t="s">
        <v>29</v>
      </c>
      <c r="F36" s="2" t="s">
        <v>45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60</v>
      </c>
      <c r="L36" s="2" t="s">
        <v>61</v>
      </c>
      <c r="M36" s="2" t="s">
        <v>34</v>
      </c>
      <c r="N36" s="2" t="s">
        <v>37</v>
      </c>
      <c r="O36" s="2" t="s">
        <v>38</v>
      </c>
      <c r="P36" s="2" t="s">
        <v>55</v>
      </c>
      <c r="Q36" s="2" t="s">
        <v>56</v>
      </c>
      <c r="R36" s="2" t="s">
        <v>48</v>
      </c>
      <c r="S36" s="2" t="s">
        <v>42</v>
      </c>
      <c r="T36" s="2" t="s">
        <v>49</v>
      </c>
      <c r="U36" s="2" t="s">
        <v>50</v>
      </c>
      <c r="V36" s="2" t="s">
        <v>57</v>
      </c>
      <c r="W36" s="2" t="s">
        <v>34</v>
      </c>
      <c r="X36" s="2" t="s">
        <v>34</v>
      </c>
      <c r="Y36" s="3">
        <v>3.0</v>
      </c>
    </row>
    <row r="37" ht="15.75" customHeight="1">
      <c r="A37" s="2" t="s">
        <v>25</v>
      </c>
      <c r="B37" s="2" t="s">
        <v>26</v>
      </c>
      <c r="C37" s="2" t="s">
        <v>44</v>
      </c>
      <c r="D37" s="2" t="s">
        <v>28</v>
      </c>
      <c r="E37" s="2" t="s">
        <v>29</v>
      </c>
      <c r="F37" s="2" t="s">
        <v>45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143</v>
      </c>
      <c r="L37" s="2" t="s">
        <v>144</v>
      </c>
      <c r="M37" s="2" t="s">
        <v>34</v>
      </c>
      <c r="N37" s="2" t="s">
        <v>37</v>
      </c>
      <c r="O37" s="2" t="s">
        <v>38</v>
      </c>
      <c r="P37" s="2" t="s">
        <v>55</v>
      </c>
      <c r="Q37" s="2" t="s">
        <v>56</v>
      </c>
      <c r="R37" s="2" t="s">
        <v>48</v>
      </c>
      <c r="S37" s="2" t="s">
        <v>42</v>
      </c>
      <c r="T37" s="2" t="s">
        <v>49</v>
      </c>
      <c r="U37" s="2" t="s">
        <v>50</v>
      </c>
      <c r="V37" s="2" t="s">
        <v>51</v>
      </c>
      <c r="W37" s="2" t="s">
        <v>34</v>
      </c>
      <c r="X37" s="2" t="s">
        <v>34</v>
      </c>
      <c r="Y37" s="3">
        <v>6.0</v>
      </c>
    </row>
    <row r="38" ht="15.75" customHeight="1">
      <c r="A38" s="2" t="s">
        <v>25</v>
      </c>
      <c r="B38" s="2" t="s">
        <v>26</v>
      </c>
      <c r="C38" s="2" t="s">
        <v>44</v>
      </c>
      <c r="D38" s="2" t="s">
        <v>28</v>
      </c>
      <c r="E38" s="2" t="s">
        <v>29</v>
      </c>
      <c r="F38" s="2" t="s">
        <v>45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145</v>
      </c>
      <c r="L38" s="2" t="s">
        <v>146</v>
      </c>
      <c r="M38" s="2" t="s">
        <v>34</v>
      </c>
      <c r="N38" s="2" t="s">
        <v>37</v>
      </c>
      <c r="O38" s="2" t="s">
        <v>38</v>
      </c>
      <c r="P38" s="2" t="s">
        <v>55</v>
      </c>
      <c r="Q38" s="2" t="s">
        <v>56</v>
      </c>
      <c r="R38" s="2" t="s">
        <v>48</v>
      </c>
      <c r="S38" s="2" t="s">
        <v>42</v>
      </c>
      <c r="T38" s="2" t="s">
        <v>49</v>
      </c>
      <c r="U38" s="2" t="s">
        <v>50</v>
      </c>
      <c r="V38" s="2" t="s">
        <v>57</v>
      </c>
      <c r="W38" s="2" t="s">
        <v>34</v>
      </c>
      <c r="X38" s="2" t="s">
        <v>34</v>
      </c>
      <c r="Y38" s="3">
        <v>3.0</v>
      </c>
    </row>
    <row r="39" ht="15.75" customHeight="1">
      <c r="A39" s="2" t="s">
        <v>25</v>
      </c>
      <c r="B39" s="2" t="s">
        <v>26</v>
      </c>
      <c r="C39" s="2" t="s">
        <v>44</v>
      </c>
      <c r="D39" s="2" t="s">
        <v>28</v>
      </c>
      <c r="E39" s="2" t="s">
        <v>29</v>
      </c>
      <c r="F39" s="2" t="s">
        <v>45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147</v>
      </c>
      <c r="L39" s="2" t="s">
        <v>148</v>
      </c>
      <c r="M39" s="2" t="s">
        <v>34</v>
      </c>
      <c r="N39" s="2" t="s">
        <v>37</v>
      </c>
      <c r="O39" s="2" t="s">
        <v>38</v>
      </c>
      <c r="P39" s="2" t="s">
        <v>55</v>
      </c>
      <c r="Q39" s="2" t="s">
        <v>56</v>
      </c>
      <c r="R39" s="2" t="s">
        <v>48</v>
      </c>
      <c r="S39" s="2" t="s">
        <v>42</v>
      </c>
      <c r="T39" s="2" t="s">
        <v>49</v>
      </c>
      <c r="U39" s="2" t="s">
        <v>50</v>
      </c>
      <c r="V39" s="2" t="s">
        <v>57</v>
      </c>
      <c r="W39" s="2" t="s">
        <v>34</v>
      </c>
      <c r="X39" s="2" t="s">
        <v>34</v>
      </c>
      <c r="Y39" s="3">
        <v>3.0</v>
      </c>
    </row>
    <row r="40" ht="15.75" customHeight="1">
      <c r="A40" s="2" t="s">
        <v>25</v>
      </c>
      <c r="B40" s="2" t="s">
        <v>26</v>
      </c>
      <c r="C40" s="2" t="s">
        <v>44</v>
      </c>
      <c r="D40" s="2" t="s">
        <v>28</v>
      </c>
      <c r="E40" s="2" t="s">
        <v>29</v>
      </c>
      <c r="F40" s="2" t="s">
        <v>45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149</v>
      </c>
      <c r="L40" s="2" t="s">
        <v>150</v>
      </c>
      <c r="M40" s="2" t="s">
        <v>34</v>
      </c>
      <c r="N40" s="2" t="s">
        <v>74</v>
      </c>
      <c r="O40" s="2" t="s">
        <v>38</v>
      </c>
      <c r="P40" s="2" t="s">
        <v>55</v>
      </c>
      <c r="Q40" s="2" t="s">
        <v>56</v>
      </c>
      <c r="R40" s="2" t="s">
        <v>48</v>
      </c>
      <c r="S40" s="2" t="s">
        <v>42</v>
      </c>
      <c r="T40" s="2" t="s">
        <v>49</v>
      </c>
      <c r="U40" s="2" t="s">
        <v>50</v>
      </c>
      <c r="V40" s="2" t="s">
        <v>51</v>
      </c>
      <c r="W40" s="2" t="s">
        <v>34</v>
      </c>
      <c r="X40" s="2" t="s">
        <v>34</v>
      </c>
      <c r="Y40" s="3">
        <v>6.0</v>
      </c>
    </row>
    <row r="41" ht="15.75" customHeight="1">
      <c r="A41" s="2" t="s">
        <v>25</v>
      </c>
      <c r="B41" s="2" t="s">
        <v>26</v>
      </c>
      <c r="C41" s="2" t="s">
        <v>58</v>
      </c>
      <c r="D41" s="2" t="s">
        <v>28</v>
      </c>
      <c r="E41" s="2" t="s">
        <v>29</v>
      </c>
      <c r="F41" s="2" t="s">
        <v>59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151</v>
      </c>
      <c r="L41" s="2" t="s">
        <v>152</v>
      </c>
      <c r="M41" s="2" t="s">
        <v>34</v>
      </c>
      <c r="N41" s="2" t="s">
        <v>37</v>
      </c>
      <c r="O41" s="2" t="s">
        <v>38</v>
      </c>
      <c r="P41" s="2" t="s">
        <v>55</v>
      </c>
      <c r="Q41" s="2" t="s">
        <v>56</v>
      </c>
      <c r="R41" s="2" t="s">
        <v>41</v>
      </c>
      <c r="S41" s="2" t="s">
        <v>42</v>
      </c>
      <c r="T41" s="2" t="s">
        <v>43</v>
      </c>
      <c r="U41" s="2" t="s">
        <v>34</v>
      </c>
      <c r="V41" s="2" t="s">
        <v>34</v>
      </c>
      <c r="W41" s="2" t="s">
        <v>34</v>
      </c>
      <c r="X41" s="2" t="s">
        <v>34</v>
      </c>
      <c r="Y41" s="3">
        <v>4.76</v>
      </c>
    </row>
    <row r="42" ht="15.75" customHeight="1">
      <c r="A42" s="2" t="s">
        <v>25</v>
      </c>
      <c r="B42" s="2" t="s">
        <v>26</v>
      </c>
      <c r="C42" s="2" t="s">
        <v>58</v>
      </c>
      <c r="D42" s="2" t="s">
        <v>28</v>
      </c>
      <c r="E42" s="2" t="s">
        <v>29</v>
      </c>
      <c r="F42" s="2" t="s">
        <v>59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153</v>
      </c>
      <c r="L42" s="2" t="s">
        <v>154</v>
      </c>
      <c r="M42" s="2" t="s">
        <v>34</v>
      </c>
      <c r="N42" s="2" t="s">
        <v>37</v>
      </c>
      <c r="O42" s="2" t="s">
        <v>38</v>
      </c>
      <c r="P42" s="2" t="s">
        <v>55</v>
      </c>
      <c r="Q42" s="2" t="s">
        <v>56</v>
      </c>
      <c r="R42" s="2" t="s">
        <v>41</v>
      </c>
      <c r="S42" s="2" t="s">
        <v>42</v>
      </c>
      <c r="T42" s="2" t="s">
        <v>62</v>
      </c>
      <c r="U42" s="2" t="s">
        <v>34</v>
      </c>
      <c r="V42" s="2" t="s">
        <v>57</v>
      </c>
      <c r="W42" s="2" t="s">
        <v>34</v>
      </c>
      <c r="X42" s="2" t="s">
        <v>34</v>
      </c>
      <c r="Y42" s="3">
        <v>20.0</v>
      </c>
    </row>
    <row r="43" ht="15.75" customHeight="1">
      <c r="A43" s="2" t="s">
        <v>25</v>
      </c>
      <c r="B43" s="2" t="s">
        <v>26</v>
      </c>
      <c r="C43" s="2" t="s">
        <v>58</v>
      </c>
      <c r="D43" s="2" t="s">
        <v>28</v>
      </c>
      <c r="E43" s="2" t="s">
        <v>29</v>
      </c>
      <c r="F43" s="2" t="s">
        <v>59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143</v>
      </c>
      <c r="L43" s="2" t="s">
        <v>144</v>
      </c>
      <c r="M43" s="2" t="s">
        <v>34</v>
      </c>
      <c r="N43" s="2" t="s">
        <v>37</v>
      </c>
      <c r="O43" s="2" t="s">
        <v>38</v>
      </c>
      <c r="P43" s="2" t="s">
        <v>55</v>
      </c>
      <c r="Q43" s="2" t="s">
        <v>56</v>
      </c>
      <c r="R43" s="2" t="s">
        <v>41</v>
      </c>
      <c r="S43" s="2" t="s">
        <v>42</v>
      </c>
      <c r="T43" s="2" t="s">
        <v>62</v>
      </c>
      <c r="U43" s="2" t="s">
        <v>34</v>
      </c>
      <c r="V43" s="2" t="s">
        <v>51</v>
      </c>
      <c r="W43" s="2" t="s">
        <v>34</v>
      </c>
      <c r="X43" s="2" t="s">
        <v>34</v>
      </c>
      <c r="Y43" s="3">
        <v>40.0</v>
      </c>
    </row>
    <row r="44" ht="15.75" customHeight="1">
      <c r="A44" s="2" t="s">
        <v>25</v>
      </c>
      <c r="B44" s="2" t="s">
        <v>26</v>
      </c>
      <c r="C44" s="2" t="s">
        <v>44</v>
      </c>
      <c r="D44" s="2" t="s">
        <v>28</v>
      </c>
      <c r="E44" s="2" t="s">
        <v>29</v>
      </c>
      <c r="F44" s="2" t="s">
        <v>45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155</v>
      </c>
      <c r="L44" s="2" t="s">
        <v>156</v>
      </c>
      <c r="M44" s="2" t="s">
        <v>34</v>
      </c>
      <c r="N44" s="2" t="s">
        <v>37</v>
      </c>
      <c r="O44" s="2" t="s">
        <v>38</v>
      </c>
      <c r="P44" s="2" t="s">
        <v>55</v>
      </c>
      <c r="Q44" s="2" t="s">
        <v>56</v>
      </c>
      <c r="R44" s="2" t="s">
        <v>48</v>
      </c>
      <c r="S44" s="2" t="s">
        <v>42</v>
      </c>
      <c r="T44" s="2" t="s">
        <v>49</v>
      </c>
      <c r="U44" s="2" t="s">
        <v>50</v>
      </c>
      <c r="V44" s="2" t="s">
        <v>57</v>
      </c>
      <c r="W44" s="2" t="s">
        <v>34</v>
      </c>
      <c r="X44" s="2" t="s">
        <v>34</v>
      </c>
      <c r="Y44" s="3">
        <v>3.0</v>
      </c>
    </row>
    <row r="45" ht="15.75" customHeight="1">
      <c r="A45" s="2" t="s">
        <v>25</v>
      </c>
      <c r="B45" s="2" t="s">
        <v>26</v>
      </c>
      <c r="C45" s="2" t="s">
        <v>157</v>
      </c>
      <c r="D45" s="2" t="s">
        <v>28</v>
      </c>
      <c r="E45" s="2" t="s">
        <v>29</v>
      </c>
      <c r="F45" s="2" t="s">
        <v>158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159</v>
      </c>
      <c r="L45" s="2" t="s">
        <v>160</v>
      </c>
      <c r="M45" s="2" t="s">
        <v>34</v>
      </c>
      <c r="N45" s="2" t="s">
        <v>75</v>
      </c>
      <c r="O45" s="2" t="s">
        <v>38</v>
      </c>
      <c r="P45" s="2" t="s">
        <v>161</v>
      </c>
      <c r="Q45" s="2" t="s">
        <v>162</v>
      </c>
      <c r="R45" s="2" t="s">
        <v>41</v>
      </c>
      <c r="S45" s="2" t="s">
        <v>42</v>
      </c>
      <c r="T45" s="2" t="s">
        <v>62</v>
      </c>
      <c r="U45" s="2" t="s">
        <v>34</v>
      </c>
      <c r="V45" s="2" t="s">
        <v>65</v>
      </c>
      <c r="W45" s="2" t="s">
        <v>34</v>
      </c>
      <c r="X45" s="2" t="s">
        <v>34</v>
      </c>
      <c r="Y45" s="3">
        <v>108.0</v>
      </c>
    </row>
    <row r="46" ht="15.75" customHeight="1">
      <c r="A46" s="2" t="s">
        <v>25</v>
      </c>
      <c r="B46" s="2" t="s">
        <v>26</v>
      </c>
      <c r="C46" s="2" t="s">
        <v>44</v>
      </c>
      <c r="D46" s="2" t="s">
        <v>28</v>
      </c>
      <c r="E46" s="2" t="s">
        <v>29</v>
      </c>
      <c r="F46" s="2" t="s">
        <v>45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163</v>
      </c>
      <c r="L46" s="2" t="s">
        <v>164</v>
      </c>
      <c r="M46" s="2" t="s">
        <v>34</v>
      </c>
      <c r="N46" s="2" t="s">
        <v>37</v>
      </c>
      <c r="O46" s="2" t="s">
        <v>38</v>
      </c>
      <c r="P46" s="2" t="s">
        <v>161</v>
      </c>
      <c r="Q46" s="2" t="s">
        <v>162</v>
      </c>
      <c r="R46" s="2" t="s">
        <v>48</v>
      </c>
      <c r="S46" s="2" t="s">
        <v>42</v>
      </c>
      <c r="T46" s="2" t="s">
        <v>49</v>
      </c>
      <c r="U46" s="2" t="s">
        <v>50</v>
      </c>
      <c r="V46" s="2" t="s">
        <v>57</v>
      </c>
      <c r="W46" s="2" t="s">
        <v>34</v>
      </c>
      <c r="X46" s="2" t="s">
        <v>34</v>
      </c>
      <c r="Y46" s="3">
        <v>3.0</v>
      </c>
    </row>
    <row r="47" ht="15.75" customHeight="1">
      <c r="A47" s="2" t="s">
        <v>25</v>
      </c>
      <c r="B47" s="2" t="s">
        <v>26</v>
      </c>
      <c r="C47" s="2" t="s">
        <v>157</v>
      </c>
      <c r="D47" s="2" t="s">
        <v>28</v>
      </c>
      <c r="E47" s="2" t="s">
        <v>29</v>
      </c>
      <c r="F47" s="2" t="s">
        <v>158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165</v>
      </c>
      <c r="L47" s="2" t="s">
        <v>166</v>
      </c>
      <c r="M47" s="2" t="s">
        <v>34</v>
      </c>
      <c r="N47" s="2" t="s">
        <v>37</v>
      </c>
      <c r="O47" s="2" t="s">
        <v>38</v>
      </c>
      <c r="P47" s="2" t="s">
        <v>161</v>
      </c>
      <c r="Q47" s="2" t="s">
        <v>162</v>
      </c>
      <c r="R47" s="2" t="s">
        <v>41</v>
      </c>
      <c r="S47" s="2" t="s">
        <v>42</v>
      </c>
      <c r="T47" s="2" t="s">
        <v>62</v>
      </c>
      <c r="U47" s="2" t="s">
        <v>34</v>
      </c>
      <c r="V47" s="2" t="s">
        <v>57</v>
      </c>
      <c r="W47" s="2" t="s">
        <v>34</v>
      </c>
      <c r="X47" s="2" t="s">
        <v>34</v>
      </c>
      <c r="Y47" s="3">
        <v>20.0</v>
      </c>
    </row>
    <row r="48" ht="15.75" customHeight="1">
      <c r="A48" s="2" t="s">
        <v>25</v>
      </c>
      <c r="B48" s="2" t="s">
        <v>26</v>
      </c>
      <c r="C48" s="2" t="s">
        <v>44</v>
      </c>
      <c r="D48" s="2" t="s">
        <v>28</v>
      </c>
      <c r="E48" s="2" t="s">
        <v>29</v>
      </c>
      <c r="F48" s="2" t="s">
        <v>45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167</v>
      </c>
      <c r="L48" s="2" t="s">
        <v>168</v>
      </c>
      <c r="M48" s="2" t="s">
        <v>34</v>
      </c>
      <c r="N48" s="2" t="s">
        <v>37</v>
      </c>
      <c r="O48" s="2" t="s">
        <v>38</v>
      </c>
      <c r="P48" s="2" t="s">
        <v>169</v>
      </c>
      <c r="Q48" s="2" t="s">
        <v>170</v>
      </c>
      <c r="R48" s="2" t="s">
        <v>48</v>
      </c>
      <c r="S48" s="2" t="s">
        <v>42</v>
      </c>
      <c r="T48" s="2" t="s">
        <v>49</v>
      </c>
      <c r="U48" s="2" t="s">
        <v>50</v>
      </c>
      <c r="V48" s="2" t="s">
        <v>57</v>
      </c>
      <c r="W48" s="2" t="s">
        <v>34</v>
      </c>
      <c r="X48" s="2" t="s">
        <v>34</v>
      </c>
      <c r="Y48" s="3">
        <v>3.0</v>
      </c>
    </row>
    <row r="49" ht="15.75" customHeight="1">
      <c r="A49" s="2" t="s">
        <v>25</v>
      </c>
      <c r="B49" s="2" t="s">
        <v>26</v>
      </c>
      <c r="C49" s="2" t="s">
        <v>44</v>
      </c>
      <c r="D49" s="2" t="s">
        <v>28</v>
      </c>
      <c r="E49" s="2" t="s">
        <v>29</v>
      </c>
      <c r="F49" s="2" t="s">
        <v>45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171</v>
      </c>
      <c r="L49" s="2" t="s">
        <v>172</v>
      </c>
      <c r="M49" s="2" t="s">
        <v>34</v>
      </c>
      <c r="N49" s="2" t="s">
        <v>37</v>
      </c>
      <c r="O49" s="2" t="s">
        <v>38</v>
      </c>
      <c r="P49" s="2" t="s">
        <v>39</v>
      </c>
      <c r="Q49" s="2" t="s">
        <v>40</v>
      </c>
      <c r="R49" s="2" t="s">
        <v>48</v>
      </c>
      <c r="S49" s="2" t="s">
        <v>42</v>
      </c>
      <c r="T49" s="2" t="s">
        <v>49</v>
      </c>
      <c r="U49" s="2" t="s">
        <v>50</v>
      </c>
      <c r="V49" s="2" t="s">
        <v>57</v>
      </c>
      <c r="W49" s="2" t="s">
        <v>34</v>
      </c>
      <c r="X49" s="2" t="s">
        <v>34</v>
      </c>
      <c r="Y49" s="3">
        <v>3.0</v>
      </c>
    </row>
    <row r="50" ht="15.75" customHeight="1">
      <c r="A50" s="2" t="s">
        <v>25</v>
      </c>
      <c r="B50" s="2" t="s">
        <v>26</v>
      </c>
      <c r="C50" s="2" t="s">
        <v>44</v>
      </c>
      <c r="D50" s="2" t="s">
        <v>28</v>
      </c>
      <c r="E50" s="2" t="s">
        <v>29</v>
      </c>
      <c r="F50" s="2" t="s">
        <v>45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104</v>
      </c>
      <c r="L50" s="2" t="s">
        <v>105</v>
      </c>
      <c r="M50" s="2" t="s">
        <v>34</v>
      </c>
      <c r="N50" s="2" t="s">
        <v>37</v>
      </c>
      <c r="O50" s="2" t="s">
        <v>38</v>
      </c>
      <c r="P50" s="2" t="s">
        <v>39</v>
      </c>
      <c r="Q50" s="2" t="s">
        <v>40</v>
      </c>
      <c r="R50" s="2" t="s">
        <v>48</v>
      </c>
      <c r="S50" s="2" t="s">
        <v>42</v>
      </c>
      <c r="T50" s="2" t="s">
        <v>49</v>
      </c>
      <c r="U50" s="2" t="s">
        <v>50</v>
      </c>
      <c r="V50" s="2" t="s">
        <v>57</v>
      </c>
      <c r="W50" s="2" t="s">
        <v>34</v>
      </c>
      <c r="X50" s="2" t="s">
        <v>34</v>
      </c>
      <c r="Y50" s="3">
        <v>3.0</v>
      </c>
    </row>
    <row r="51" ht="15.75" customHeight="1">
      <c r="A51" s="2" t="s">
        <v>25</v>
      </c>
      <c r="B51" s="2" t="s">
        <v>26</v>
      </c>
      <c r="C51" s="2" t="s">
        <v>44</v>
      </c>
      <c r="D51" s="2" t="s">
        <v>28</v>
      </c>
      <c r="E51" s="2" t="s">
        <v>29</v>
      </c>
      <c r="F51" s="2" t="s">
        <v>45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173</v>
      </c>
      <c r="L51" s="2" t="s">
        <v>174</v>
      </c>
      <c r="M51" s="2" t="s">
        <v>34</v>
      </c>
      <c r="N51" s="2" t="s">
        <v>37</v>
      </c>
      <c r="O51" s="2" t="s">
        <v>38</v>
      </c>
      <c r="P51" s="2" t="s">
        <v>39</v>
      </c>
      <c r="Q51" s="2" t="s">
        <v>40</v>
      </c>
      <c r="R51" s="2" t="s">
        <v>48</v>
      </c>
      <c r="S51" s="2" t="s">
        <v>42</v>
      </c>
      <c r="T51" s="2" t="s">
        <v>49</v>
      </c>
      <c r="U51" s="2" t="s">
        <v>50</v>
      </c>
      <c r="V51" s="2" t="s">
        <v>57</v>
      </c>
      <c r="W51" s="2" t="s">
        <v>34</v>
      </c>
      <c r="X51" s="2" t="s">
        <v>34</v>
      </c>
      <c r="Y51" s="3">
        <v>3.0</v>
      </c>
    </row>
    <row r="52" ht="15.75" customHeight="1">
      <c r="A52" s="2" t="s">
        <v>25</v>
      </c>
      <c r="B52" s="2" t="s">
        <v>26</v>
      </c>
      <c r="C52" s="2" t="s">
        <v>44</v>
      </c>
      <c r="D52" s="2" t="s">
        <v>28</v>
      </c>
      <c r="E52" s="2" t="s">
        <v>29</v>
      </c>
      <c r="F52" s="2" t="s">
        <v>45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175</v>
      </c>
      <c r="L52" s="2" t="s">
        <v>176</v>
      </c>
      <c r="M52" s="2" t="s">
        <v>34</v>
      </c>
      <c r="N52" s="2" t="s">
        <v>37</v>
      </c>
      <c r="O52" s="2" t="s">
        <v>38</v>
      </c>
      <c r="P52" s="2" t="s">
        <v>39</v>
      </c>
      <c r="Q52" s="2" t="s">
        <v>40</v>
      </c>
      <c r="R52" s="2" t="s">
        <v>48</v>
      </c>
      <c r="S52" s="2" t="s">
        <v>42</v>
      </c>
      <c r="T52" s="2" t="s">
        <v>49</v>
      </c>
      <c r="U52" s="2" t="s">
        <v>50</v>
      </c>
      <c r="V52" s="2" t="s">
        <v>57</v>
      </c>
      <c r="W52" s="2" t="s">
        <v>34</v>
      </c>
      <c r="X52" s="2" t="s">
        <v>34</v>
      </c>
      <c r="Y52" s="3">
        <v>3.0</v>
      </c>
    </row>
    <row r="53" ht="15.75" customHeight="1">
      <c r="A53" s="2" t="s">
        <v>25</v>
      </c>
      <c r="B53" s="2" t="s">
        <v>26</v>
      </c>
      <c r="C53" s="2" t="s">
        <v>44</v>
      </c>
      <c r="D53" s="2" t="s">
        <v>28</v>
      </c>
      <c r="E53" s="2" t="s">
        <v>29</v>
      </c>
      <c r="F53" s="2" t="s">
        <v>45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177</v>
      </c>
      <c r="L53" s="2" t="s">
        <v>178</v>
      </c>
      <c r="M53" s="2" t="s">
        <v>34</v>
      </c>
      <c r="N53" s="2" t="s">
        <v>37</v>
      </c>
      <c r="O53" s="2" t="s">
        <v>38</v>
      </c>
      <c r="P53" s="2" t="s">
        <v>39</v>
      </c>
      <c r="Q53" s="2" t="s">
        <v>40</v>
      </c>
      <c r="R53" s="2" t="s">
        <v>48</v>
      </c>
      <c r="S53" s="2" t="s">
        <v>42</v>
      </c>
      <c r="T53" s="2" t="s">
        <v>49</v>
      </c>
      <c r="U53" s="2" t="s">
        <v>50</v>
      </c>
      <c r="V53" s="2" t="s">
        <v>57</v>
      </c>
      <c r="W53" s="2" t="s">
        <v>34</v>
      </c>
      <c r="X53" s="2" t="s">
        <v>34</v>
      </c>
      <c r="Y53" s="3">
        <v>3.0</v>
      </c>
    </row>
    <row r="54" ht="15.75" customHeight="1">
      <c r="A54" s="2" t="s">
        <v>25</v>
      </c>
      <c r="B54" s="2" t="s">
        <v>26</v>
      </c>
      <c r="C54" s="2" t="s">
        <v>44</v>
      </c>
      <c r="D54" s="2" t="s">
        <v>28</v>
      </c>
      <c r="E54" s="2" t="s">
        <v>29</v>
      </c>
      <c r="F54" s="2" t="s">
        <v>45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179</v>
      </c>
      <c r="L54" s="2" t="s">
        <v>180</v>
      </c>
      <c r="M54" s="2" t="s">
        <v>34</v>
      </c>
      <c r="N54" s="2" t="s">
        <v>37</v>
      </c>
      <c r="O54" s="2" t="s">
        <v>38</v>
      </c>
      <c r="P54" s="2" t="s">
        <v>39</v>
      </c>
      <c r="Q54" s="2" t="s">
        <v>40</v>
      </c>
      <c r="R54" s="2" t="s">
        <v>48</v>
      </c>
      <c r="S54" s="2" t="s">
        <v>42</v>
      </c>
      <c r="T54" s="2" t="s">
        <v>49</v>
      </c>
      <c r="U54" s="2" t="s">
        <v>50</v>
      </c>
      <c r="V54" s="2" t="s">
        <v>57</v>
      </c>
      <c r="W54" s="2" t="s">
        <v>34</v>
      </c>
      <c r="X54" s="2" t="s">
        <v>34</v>
      </c>
      <c r="Y54" s="3">
        <v>3.0</v>
      </c>
    </row>
    <row r="55" ht="15.75" customHeight="1">
      <c r="A55" s="2" t="s">
        <v>25</v>
      </c>
      <c r="B55" s="2" t="s">
        <v>26</v>
      </c>
      <c r="C55" s="2" t="s">
        <v>44</v>
      </c>
      <c r="D55" s="2" t="s">
        <v>28</v>
      </c>
      <c r="E55" s="2" t="s">
        <v>29</v>
      </c>
      <c r="F55" s="2" t="s">
        <v>45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181</v>
      </c>
      <c r="L55" s="2" t="s">
        <v>182</v>
      </c>
      <c r="M55" s="2" t="s">
        <v>34</v>
      </c>
      <c r="N55" s="2" t="s">
        <v>37</v>
      </c>
      <c r="O55" s="2" t="s">
        <v>38</v>
      </c>
      <c r="P55" s="2" t="s">
        <v>39</v>
      </c>
      <c r="Q55" s="2" t="s">
        <v>40</v>
      </c>
      <c r="R55" s="2" t="s">
        <v>48</v>
      </c>
      <c r="S55" s="2" t="s">
        <v>42</v>
      </c>
      <c r="T55" s="2" t="s">
        <v>49</v>
      </c>
      <c r="U55" s="2" t="s">
        <v>50</v>
      </c>
      <c r="V55" s="2" t="s">
        <v>57</v>
      </c>
      <c r="W55" s="2" t="s">
        <v>34</v>
      </c>
      <c r="X55" s="2" t="s">
        <v>34</v>
      </c>
      <c r="Y55" s="3">
        <v>3.0</v>
      </c>
    </row>
    <row r="56" ht="15.75" customHeight="1">
      <c r="A56" s="2" t="s">
        <v>25</v>
      </c>
      <c r="B56" s="2" t="s">
        <v>26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183</v>
      </c>
      <c r="L56" s="2" t="s">
        <v>184</v>
      </c>
      <c r="M56" s="2" t="s">
        <v>34</v>
      </c>
      <c r="N56" s="2" t="s">
        <v>37</v>
      </c>
      <c r="O56" s="2" t="s">
        <v>38</v>
      </c>
      <c r="P56" s="2" t="s">
        <v>39</v>
      </c>
      <c r="Q56" s="2" t="s">
        <v>40</v>
      </c>
      <c r="R56" s="2" t="s">
        <v>41</v>
      </c>
      <c r="S56" s="2" t="s">
        <v>42</v>
      </c>
      <c r="T56" s="2" t="s">
        <v>62</v>
      </c>
      <c r="U56" s="2" t="s">
        <v>34</v>
      </c>
      <c r="V56" s="2" t="s">
        <v>57</v>
      </c>
      <c r="W56" s="2" t="s">
        <v>34</v>
      </c>
      <c r="X56" s="2" t="s">
        <v>34</v>
      </c>
      <c r="Y56" s="3">
        <v>20.0</v>
      </c>
    </row>
    <row r="57" ht="15.75" customHeight="1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185</v>
      </c>
      <c r="L57" s="2" t="s">
        <v>186</v>
      </c>
      <c r="M57" s="2" t="s">
        <v>34</v>
      </c>
      <c r="N57" s="2" t="s">
        <v>37</v>
      </c>
      <c r="O57" s="2" t="s">
        <v>38</v>
      </c>
      <c r="P57" s="2" t="s">
        <v>39</v>
      </c>
      <c r="Q57" s="2" t="s">
        <v>40</v>
      </c>
      <c r="R57" s="2" t="s">
        <v>41</v>
      </c>
      <c r="S57" s="2" t="s">
        <v>42</v>
      </c>
      <c r="T57" s="2" t="s">
        <v>62</v>
      </c>
      <c r="U57" s="2" t="s">
        <v>34</v>
      </c>
      <c r="V57" s="2" t="s">
        <v>57</v>
      </c>
      <c r="W57" s="2" t="s">
        <v>34</v>
      </c>
      <c r="X57" s="2" t="s">
        <v>34</v>
      </c>
      <c r="Y57" s="3">
        <v>20.0</v>
      </c>
    </row>
    <row r="58" ht="15.75" customHeight="1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177</v>
      </c>
      <c r="L58" s="2" t="s">
        <v>178</v>
      </c>
      <c r="M58" s="2" t="s">
        <v>34</v>
      </c>
      <c r="N58" s="2" t="s">
        <v>37</v>
      </c>
      <c r="O58" s="2" t="s">
        <v>38</v>
      </c>
      <c r="P58" s="2" t="s">
        <v>39</v>
      </c>
      <c r="Q58" s="2" t="s">
        <v>40</v>
      </c>
      <c r="R58" s="2" t="s">
        <v>41</v>
      </c>
      <c r="S58" s="2" t="s">
        <v>42</v>
      </c>
      <c r="T58" s="2" t="s">
        <v>62</v>
      </c>
      <c r="U58" s="2" t="s">
        <v>34</v>
      </c>
      <c r="V58" s="2" t="s">
        <v>57</v>
      </c>
      <c r="W58" s="2" t="s">
        <v>34</v>
      </c>
      <c r="X58" s="2" t="s">
        <v>34</v>
      </c>
      <c r="Y58" s="3">
        <v>20.0</v>
      </c>
    </row>
    <row r="59" ht="15.75" customHeight="1">
      <c r="A59" s="2" t="s">
        <v>25</v>
      </c>
      <c r="B59" s="2" t="s">
        <v>26</v>
      </c>
      <c r="C59" s="2" t="s">
        <v>44</v>
      </c>
      <c r="D59" s="2" t="s">
        <v>28</v>
      </c>
      <c r="E59" s="2" t="s">
        <v>29</v>
      </c>
      <c r="F59" s="2" t="s">
        <v>45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187</v>
      </c>
      <c r="L59" s="2" t="s">
        <v>188</v>
      </c>
      <c r="M59" s="2" t="s">
        <v>34</v>
      </c>
      <c r="N59" s="2" t="s">
        <v>37</v>
      </c>
      <c r="O59" s="2" t="s">
        <v>38</v>
      </c>
      <c r="P59" s="2" t="s">
        <v>39</v>
      </c>
      <c r="Q59" s="2" t="s">
        <v>40</v>
      </c>
      <c r="R59" s="2" t="s">
        <v>48</v>
      </c>
      <c r="S59" s="2" t="s">
        <v>42</v>
      </c>
      <c r="T59" s="2" t="s">
        <v>49</v>
      </c>
      <c r="U59" s="2" t="s">
        <v>50</v>
      </c>
      <c r="V59" s="2" t="s">
        <v>65</v>
      </c>
      <c r="W59" s="2" t="s">
        <v>34</v>
      </c>
      <c r="X59" s="2" t="s">
        <v>34</v>
      </c>
      <c r="Y59" s="3">
        <v>12.0</v>
      </c>
    </row>
    <row r="60" ht="15.75" customHeight="1">
      <c r="A60" s="2" t="s">
        <v>25</v>
      </c>
      <c r="B60" s="2" t="s">
        <v>26</v>
      </c>
      <c r="C60" s="2" t="s">
        <v>44</v>
      </c>
      <c r="D60" s="2" t="s">
        <v>28</v>
      </c>
      <c r="E60" s="2" t="s">
        <v>29</v>
      </c>
      <c r="F60" s="2" t="s">
        <v>45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189</v>
      </c>
      <c r="L60" s="2" t="s">
        <v>190</v>
      </c>
      <c r="M60" s="2" t="s">
        <v>34</v>
      </c>
      <c r="N60" s="2" t="s">
        <v>37</v>
      </c>
      <c r="O60" s="2" t="s">
        <v>38</v>
      </c>
      <c r="P60" s="2" t="s">
        <v>55</v>
      </c>
      <c r="Q60" s="2" t="s">
        <v>56</v>
      </c>
      <c r="R60" s="2" t="s">
        <v>48</v>
      </c>
      <c r="S60" s="2" t="s">
        <v>42</v>
      </c>
      <c r="T60" s="2" t="s">
        <v>49</v>
      </c>
      <c r="U60" s="2" t="s">
        <v>50</v>
      </c>
      <c r="V60" s="2" t="s">
        <v>57</v>
      </c>
      <c r="W60" s="2" t="s">
        <v>34</v>
      </c>
      <c r="X60" s="2" t="s">
        <v>34</v>
      </c>
      <c r="Y60" s="3">
        <v>3.0</v>
      </c>
    </row>
    <row r="61" ht="15.75" customHeight="1">
      <c r="A61" s="2" t="s">
        <v>25</v>
      </c>
      <c r="B61" s="2" t="s">
        <v>26</v>
      </c>
      <c r="C61" s="2" t="s">
        <v>44</v>
      </c>
      <c r="D61" s="2" t="s">
        <v>28</v>
      </c>
      <c r="E61" s="2" t="s">
        <v>29</v>
      </c>
      <c r="F61" s="2" t="s">
        <v>45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191</v>
      </c>
      <c r="L61" s="2" t="s">
        <v>192</v>
      </c>
      <c r="M61" s="2" t="s">
        <v>34</v>
      </c>
      <c r="N61" s="2" t="s">
        <v>37</v>
      </c>
      <c r="O61" s="2" t="s">
        <v>38</v>
      </c>
      <c r="P61" s="2" t="s">
        <v>55</v>
      </c>
      <c r="Q61" s="2" t="s">
        <v>56</v>
      </c>
      <c r="R61" s="2" t="s">
        <v>48</v>
      </c>
      <c r="S61" s="2" t="s">
        <v>42</v>
      </c>
      <c r="T61" s="2" t="s">
        <v>49</v>
      </c>
      <c r="U61" s="2" t="s">
        <v>50</v>
      </c>
      <c r="V61" s="2" t="s">
        <v>65</v>
      </c>
      <c r="W61" s="2" t="s">
        <v>34</v>
      </c>
      <c r="X61" s="2" t="s">
        <v>34</v>
      </c>
      <c r="Y61" s="3">
        <v>12.0</v>
      </c>
    </row>
    <row r="62" ht="15.75" customHeight="1">
      <c r="A62" s="2" t="s">
        <v>25</v>
      </c>
      <c r="B62" s="2" t="s">
        <v>26</v>
      </c>
      <c r="C62" s="2" t="s">
        <v>157</v>
      </c>
      <c r="D62" s="2" t="s">
        <v>28</v>
      </c>
      <c r="E62" s="2" t="s">
        <v>29</v>
      </c>
      <c r="F62" s="2" t="s">
        <v>158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193</v>
      </c>
      <c r="L62" s="2" t="s">
        <v>194</v>
      </c>
      <c r="M62" s="2" t="s">
        <v>34</v>
      </c>
      <c r="N62" s="2" t="s">
        <v>37</v>
      </c>
      <c r="O62" s="2" t="s">
        <v>38</v>
      </c>
      <c r="P62" s="2" t="s">
        <v>161</v>
      </c>
      <c r="Q62" s="2" t="s">
        <v>162</v>
      </c>
      <c r="R62" s="2" t="s">
        <v>41</v>
      </c>
      <c r="S62" s="2" t="s">
        <v>42</v>
      </c>
      <c r="T62" s="2" t="s">
        <v>62</v>
      </c>
      <c r="U62" s="2" t="s">
        <v>34</v>
      </c>
      <c r="V62" s="2" t="s">
        <v>51</v>
      </c>
      <c r="W62" s="2" t="s">
        <v>34</v>
      </c>
      <c r="X62" s="2" t="s">
        <v>34</v>
      </c>
      <c r="Y62" s="3">
        <v>54.0</v>
      </c>
    </row>
    <row r="63" ht="15.75" customHeight="1">
      <c r="A63" s="2" t="s">
        <v>25</v>
      </c>
      <c r="B63" s="2" t="s">
        <v>26</v>
      </c>
      <c r="C63" s="2" t="s">
        <v>44</v>
      </c>
      <c r="D63" s="2" t="s">
        <v>28</v>
      </c>
      <c r="E63" s="2" t="s">
        <v>29</v>
      </c>
      <c r="F63" s="2" t="s">
        <v>45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195</v>
      </c>
      <c r="L63" s="2" t="s">
        <v>196</v>
      </c>
      <c r="M63" s="2" t="s">
        <v>34</v>
      </c>
      <c r="N63" s="2" t="s">
        <v>37</v>
      </c>
      <c r="O63" s="2" t="s">
        <v>38</v>
      </c>
      <c r="P63" s="2" t="s">
        <v>39</v>
      </c>
      <c r="Q63" s="2" t="s">
        <v>40</v>
      </c>
      <c r="R63" s="2" t="s">
        <v>48</v>
      </c>
      <c r="S63" s="2" t="s">
        <v>42</v>
      </c>
      <c r="T63" s="2" t="s">
        <v>49</v>
      </c>
      <c r="U63" s="2" t="s">
        <v>50</v>
      </c>
      <c r="V63" s="2" t="s">
        <v>57</v>
      </c>
      <c r="W63" s="2" t="s">
        <v>34</v>
      </c>
      <c r="X63" s="2" t="s">
        <v>34</v>
      </c>
      <c r="Y63" s="3">
        <v>3.0</v>
      </c>
    </row>
    <row r="64" ht="15.75" customHeight="1">
      <c r="A64" s="2" t="s">
        <v>25</v>
      </c>
      <c r="B64" s="2" t="s">
        <v>26</v>
      </c>
      <c r="C64" s="2" t="s">
        <v>44</v>
      </c>
      <c r="D64" s="2" t="s">
        <v>28</v>
      </c>
      <c r="E64" s="2" t="s">
        <v>29</v>
      </c>
      <c r="F64" s="2" t="s">
        <v>45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197</v>
      </c>
      <c r="L64" s="2" t="s">
        <v>198</v>
      </c>
      <c r="M64" s="2" t="s">
        <v>34</v>
      </c>
      <c r="N64" s="2" t="s">
        <v>37</v>
      </c>
      <c r="O64" s="2" t="s">
        <v>38</v>
      </c>
      <c r="P64" s="2" t="s">
        <v>39</v>
      </c>
      <c r="Q64" s="2" t="s">
        <v>40</v>
      </c>
      <c r="R64" s="2" t="s">
        <v>48</v>
      </c>
      <c r="S64" s="2" t="s">
        <v>42</v>
      </c>
      <c r="T64" s="2" t="s">
        <v>49</v>
      </c>
      <c r="U64" s="2" t="s">
        <v>50</v>
      </c>
      <c r="V64" s="2" t="s">
        <v>57</v>
      </c>
      <c r="W64" s="2" t="s">
        <v>34</v>
      </c>
      <c r="X64" s="2" t="s">
        <v>34</v>
      </c>
      <c r="Y64" s="3">
        <v>3.0</v>
      </c>
    </row>
    <row r="65" ht="15.75" customHeight="1">
      <c r="A65" s="2" t="s">
        <v>25</v>
      </c>
      <c r="B65" s="2" t="s">
        <v>26</v>
      </c>
      <c r="C65" s="2" t="s">
        <v>44</v>
      </c>
      <c r="D65" s="2" t="s">
        <v>28</v>
      </c>
      <c r="E65" s="2" t="s">
        <v>29</v>
      </c>
      <c r="F65" s="2" t="s">
        <v>45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199</v>
      </c>
      <c r="L65" s="2" t="s">
        <v>200</v>
      </c>
      <c r="M65" s="2" t="s">
        <v>34</v>
      </c>
      <c r="N65" s="2" t="s">
        <v>37</v>
      </c>
      <c r="O65" s="2" t="s">
        <v>38</v>
      </c>
      <c r="P65" s="2" t="s">
        <v>39</v>
      </c>
      <c r="Q65" s="2" t="s">
        <v>40</v>
      </c>
      <c r="R65" s="2" t="s">
        <v>48</v>
      </c>
      <c r="S65" s="2" t="s">
        <v>42</v>
      </c>
      <c r="T65" s="2" t="s">
        <v>49</v>
      </c>
      <c r="U65" s="2" t="s">
        <v>50</v>
      </c>
      <c r="V65" s="2" t="s">
        <v>57</v>
      </c>
      <c r="W65" s="2" t="s">
        <v>34</v>
      </c>
      <c r="X65" s="2" t="s">
        <v>34</v>
      </c>
      <c r="Y65" s="3">
        <v>3.0</v>
      </c>
    </row>
    <row r="66" ht="15.75" customHeight="1">
      <c r="A66" s="2" t="s">
        <v>25</v>
      </c>
      <c r="B66" s="2" t="s">
        <v>26</v>
      </c>
      <c r="C66" s="2" t="s">
        <v>44</v>
      </c>
      <c r="D66" s="2" t="s">
        <v>28</v>
      </c>
      <c r="E66" s="2" t="s">
        <v>29</v>
      </c>
      <c r="F66" s="2" t="s">
        <v>45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201</v>
      </c>
      <c r="L66" s="2" t="s">
        <v>202</v>
      </c>
      <c r="M66" s="2" t="s">
        <v>34</v>
      </c>
      <c r="N66" s="2" t="s">
        <v>74</v>
      </c>
      <c r="O66" s="2" t="s">
        <v>38</v>
      </c>
      <c r="P66" s="2" t="s">
        <v>39</v>
      </c>
      <c r="Q66" s="2" t="s">
        <v>40</v>
      </c>
      <c r="R66" s="2" t="s">
        <v>48</v>
      </c>
      <c r="S66" s="2" t="s">
        <v>42</v>
      </c>
      <c r="T66" s="2" t="s">
        <v>49</v>
      </c>
      <c r="U66" s="2" t="s">
        <v>50</v>
      </c>
      <c r="V66" s="2" t="s">
        <v>57</v>
      </c>
      <c r="W66" s="2" t="s">
        <v>34</v>
      </c>
      <c r="X66" s="2" t="s">
        <v>34</v>
      </c>
      <c r="Y66" s="3">
        <v>3.0</v>
      </c>
    </row>
    <row r="67" ht="15.75" customHeight="1">
      <c r="A67" s="2" t="s">
        <v>25</v>
      </c>
      <c r="B67" s="2" t="s">
        <v>26</v>
      </c>
      <c r="C67" s="2" t="s">
        <v>44</v>
      </c>
      <c r="D67" s="2" t="s">
        <v>28</v>
      </c>
      <c r="E67" s="2" t="s">
        <v>29</v>
      </c>
      <c r="F67" s="2" t="s">
        <v>45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203</v>
      </c>
      <c r="L67" s="2" t="s">
        <v>204</v>
      </c>
      <c r="M67" s="2" t="s">
        <v>34</v>
      </c>
      <c r="N67" s="2" t="s">
        <v>37</v>
      </c>
      <c r="O67" s="2" t="s">
        <v>38</v>
      </c>
      <c r="P67" s="2" t="s">
        <v>39</v>
      </c>
      <c r="Q67" s="2" t="s">
        <v>40</v>
      </c>
      <c r="R67" s="2" t="s">
        <v>48</v>
      </c>
      <c r="S67" s="2" t="s">
        <v>42</v>
      </c>
      <c r="T67" s="2" t="s">
        <v>49</v>
      </c>
      <c r="U67" s="2" t="s">
        <v>50</v>
      </c>
      <c r="V67" s="2" t="s">
        <v>51</v>
      </c>
      <c r="W67" s="2" t="s">
        <v>34</v>
      </c>
      <c r="X67" s="2" t="s">
        <v>34</v>
      </c>
      <c r="Y67" s="3">
        <v>6.0</v>
      </c>
    </row>
    <row r="68" ht="15.75" customHeight="1">
      <c r="A68" s="2" t="s">
        <v>25</v>
      </c>
      <c r="B68" s="2" t="s">
        <v>26</v>
      </c>
      <c r="C68" s="2" t="s">
        <v>117</v>
      </c>
      <c r="D68" s="2" t="s">
        <v>28</v>
      </c>
      <c r="E68" s="2" t="s">
        <v>29</v>
      </c>
      <c r="F68" s="2" t="s">
        <v>118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205</v>
      </c>
      <c r="L68" s="2" t="s">
        <v>206</v>
      </c>
      <c r="M68" s="2" t="s">
        <v>34</v>
      </c>
      <c r="N68" s="2" t="s">
        <v>37</v>
      </c>
      <c r="O68" s="2" t="s">
        <v>38</v>
      </c>
      <c r="P68" s="2" t="s">
        <v>121</v>
      </c>
      <c r="Q68" s="2" t="s">
        <v>122</v>
      </c>
      <c r="R68" s="2" t="s">
        <v>41</v>
      </c>
      <c r="S68" s="2" t="s">
        <v>42</v>
      </c>
      <c r="T68" s="2" t="s">
        <v>62</v>
      </c>
      <c r="U68" s="2" t="s">
        <v>34</v>
      </c>
      <c r="V68" s="2" t="s">
        <v>57</v>
      </c>
      <c r="W68" s="2" t="s">
        <v>34</v>
      </c>
      <c r="X68" s="2" t="s">
        <v>34</v>
      </c>
      <c r="Y68" s="3">
        <v>22.0</v>
      </c>
    </row>
    <row r="69" ht="15.75" customHeight="1">
      <c r="A69" s="2" t="s">
        <v>25</v>
      </c>
      <c r="B69" s="2" t="s">
        <v>26</v>
      </c>
      <c r="C69" s="2" t="s">
        <v>207</v>
      </c>
      <c r="D69" s="2" t="s">
        <v>28</v>
      </c>
      <c r="E69" s="2" t="s">
        <v>29</v>
      </c>
      <c r="F69" s="2" t="s">
        <v>208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209</v>
      </c>
      <c r="L69" s="2" t="s">
        <v>210</v>
      </c>
      <c r="M69" s="2" t="s">
        <v>34</v>
      </c>
      <c r="N69" s="2" t="s">
        <v>74</v>
      </c>
      <c r="O69" s="2" t="s">
        <v>38</v>
      </c>
      <c r="P69" s="2" t="s">
        <v>141</v>
      </c>
      <c r="Q69" s="2" t="s">
        <v>142</v>
      </c>
      <c r="R69" s="2" t="s">
        <v>41</v>
      </c>
      <c r="S69" s="2" t="s">
        <v>42</v>
      </c>
      <c r="T69" s="2" t="s">
        <v>62</v>
      </c>
      <c r="U69" s="2" t="s">
        <v>34</v>
      </c>
      <c r="V69" s="2" t="s">
        <v>57</v>
      </c>
      <c r="W69" s="2" t="s">
        <v>34</v>
      </c>
      <c r="X69" s="2" t="s">
        <v>34</v>
      </c>
      <c r="Y69" s="3">
        <v>22.0</v>
      </c>
    </row>
    <row r="70" ht="15.75" customHeight="1">
      <c r="A70" s="2" t="s">
        <v>25</v>
      </c>
      <c r="B70" s="2" t="s">
        <v>26</v>
      </c>
      <c r="C70" s="2" t="s">
        <v>44</v>
      </c>
      <c r="D70" s="2" t="s">
        <v>28</v>
      </c>
      <c r="E70" s="2" t="s">
        <v>29</v>
      </c>
      <c r="F70" s="2" t="s">
        <v>45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211</v>
      </c>
      <c r="L70" s="2" t="s">
        <v>212</v>
      </c>
      <c r="M70" s="2" t="s">
        <v>34</v>
      </c>
      <c r="N70" s="2" t="s">
        <v>37</v>
      </c>
      <c r="O70" s="2" t="s">
        <v>38</v>
      </c>
      <c r="P70" s="2" t="s">
        <v>141</v>
      </c>
      <c r="Q70" s="2" t="s">
        <v>142</v>
      </c>
      <c r="R70" s="2" t="s">
        <v>48</v>
      </c>
      <c r="S70" s="2" t="s">
        <v>42</v>
      </c>
      <c r="T70" s="2" t="s">
        <v>49</v>
      </c>
      <c r="U70" s="2" t="s">
        <v>50</v>
      </c>
      <c r="V70" s="2" t="s">
        <v>57</v>
      </c>
      <c r="W70" s="2" t="s">
        <v>34</v>
      </c>
      <c r="X70" s="2" t="s">
        <v>34</v>
      </c>
      <c r="Y70" s="3">
        <v>3.0</v>
      </c>
    </row>
    <row r="71" ht="15.75" customHeight="1">
      <c r="A71" s="2" t="s">
        <v>25</v>
      </c>
      <c r="B71" s="2" t="s">
        <v>26</v>
      </c>
      <c r="C71" s="2" t="s">
        <v>207</v>
      </c>
      <c r="D71" s="2" t="s">
        <v>28</v>
      </c>
      <c r="E71" s="2" t="s">
        <v>29</v>
      </c>
      <c r="F71" s="2" t="s">
        <v>208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211</v>
      </c>
      <c r="L71" s="2" t="s">
        <v>212</v>
      </c>
      <c r="M71" s="2" t="s">
        <v>34</v>
      </c>
      <c r="N71" s="2" t="s">
        <v>37</v>
      </c>
      <c r="O71" s="2" t="s">
        <v>38</v>
      </c>
      <c r="P71" s="2" t="s">
        <v>141</v>
      </c>
      <c r="Q71" s="2" t="s">
        <v>142</v>
      </c>
      <c r="R71" s="2" t="s">
        <v>41</v>
      </c>
      <c r="S71" s="2" t="s">
        <v>42</v>
      </c>
      <c r="T71" s="2" t="s">
        <v>62</v>
      </c>
      <c r="U71" s="2" t="s">
        <v>34</v>
      </c>
      <c r="V71" s="2" t="s">
        <v>57</v>
      </c>
      <c r="W71" s="2" t="s">
        <v>34</v>
      </c>
      <c r="X71" s="2" t="s">
        <v>34</v>
      </c>
      <c r="Y71" s="3">
        <v>22.0</v>
      </c>
    </row>
    <row r="72" ht="15.75" customHeight="1">
      <c r="A72" s="2" t="s">
        <v>25</v>
      </c>
      <c r="B72" s="2" t="s">
        <v>26</v>
      </c>
      <c r="C72" s="2" t="s">
        <v>44</v>
      </c>
      <c r="D72" s="2" t="s">
        <v>28</v>
      </c>
      <c r="E72" s="2" t="s">
        <v>29</v>
      </c>
      <c r="F72" s="2" t="s">
        <v>45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213</v>
      </c>
      <c r="L72" s="2" t="s">
        <v>214</v>
      </c>
      <c r="M72" s="2" t="s">
        <v>34</v>
      </c>
      <c r="N72" s="2" t="s">
        <v>54</v>
      </c>
      <c r="O72" s="2" t="s">
        <v>38</v>
      </c>
      <c r="P72" s="2" t="s">
        <v>141</v>
      </c>
      <c r="Q72" s="2" t="s">
        <v>142</v>
      </c>
      <c r="R72" s="2" t="s">
        <v>48</v>
      </c>
      <c r="S72" s="2" t="s">
        <v>42</v>
      </c>
      <c r="T72" s="2" t="s">
        <v>49</v>
      </c>
      <c r="U72" s="2" t="s">
        <v>50</v>
      </c>
      <c r="V72" s="2" t="s">
        <v>57</v>
      </c>
      <c r="W72" s="2" t="s">
        <v>34</v>
      </c>
      <c r="X72" s="2" t="s">
        <v>34</v>
      </c>
      <c r="Y72" s="3">
        <v>3.0</v>
      </c>
    </row>
    <row r="73" ht="15.75" customHeight="1">
      <c r="A73" s="2" t="s">
        <v>25</v>
      </c>
      <c r="B73" s="2" t="s">
        <v>26</v>
      </c>
      <c r="C73" s="2" t="s">
        <v>215</v>
      </c>
      <c r="D73" s="2" t="s">
        <v>28</v>
      </c>
      <c r="E73" s="2" t="s">
        <v>29</v>
      </c>
      <c r="F73" s="2" t="s">
        <v>216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217</v>
      </c>
      <c r="L73" s="2" t="s">
        <v>218</v>
      </c>
      <c r="M73" s="2" t="s">
        <v>34</v>
      </c>
      <c r="N73" s="2" t="s">
        <v>37</v>
      </c>
      <c r="O73" s="2" t="s">
        <v>38</v>
      </c>
      <c r="P73" s="2" t="s">
        <v>219</v>
      </c>
      <c r="Q73" s="2" t="s">
        <v>220</v>
      </c>
      <c r="R73" s="2" t="s">
        <v>41</v>
      </c>
      <c r="S73" s="2" t="s">
        <v>42</v>
      </c>
      <c r="T73" s="2" t="s">
        <v>62</v>
      </c>
      <c r="U73" s="2" t="s">
        <v>34</v>
      </c>
      <c r="V73" s="2" t="s">
        <v>57</v>
      </c>
      <c r="W73" s="2" t="s">
        <v>34</v>
      </c>
      <c r="X73" s="2" t="s">
        <v>34</v>
      </c>
      <c r="Y73" s="3">
        <v>22.0</v>
      </c>
    </row>
    <row r="74" ht="15.75" customHeight="1">
      <c r="A74" s="2" t="s">
        <v>25</v>
      </c>
      <c r="B74" s="2" t="s">
        <v>26</v>
      </c>
      <c r="C74" s="2" t="s">
        <v>125</v>
      </c>
      <c r="D74" s="2" t="s">
        <v>28</v>
      </c>
      <c r="E74" s="2" t="s">
        <v>29</v>
      </c>
      <c r="F74" s="2" t="s">
        <v>126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221</v>
      </c>
      <c r="L74" s="2" t="s">
        <v>222</v>
      </c>
      <c r="M74" s="2" t="s">
        <v>34</v>
      </c>
      <c r="N74" s="2" t="s">
        <v>37</v>
      </c>
      <c r="O74" s="2" t="s">
        <v>38</v>
      </c>
      <c r="P74" s="2" t="s">
        <v>129</v>
      </c>
      <c r="Q74" s="2" t="s">
        <v>130</v>
      </c>
      <c r="R74" s="2" t="s">
        <v>41</v>
      </c>
      <c r="S74" s="2" t="s">
        <v>42</v>
      </c>
      <c r="T74" s="2" t="s">
        <v>62</v>
      </c>
      <c r="U74" s="2" t="s">
        <v>34</v>
      </c>
      <c r="V74" s="2" t="s">
        <v>57</v>
      </c>
      <c r="W74" s="2" t="s">
        <v>34</v>
      </c>
      <c r="X74" s="2" t="s">
        <v>34</v>
      </c>
      <c r="Y74" s="3">
        <v>22.0</v>
      </c>
    </row>
    <row r="75" ht="15.75" customHeight="1">
      <c r="A75" s="2" t="s">
        <v>25</v>
      </c>
      <c r="B75" s="2" t="s">
        <v>26</v>
      </c>
      <c r="C75" s="2" t="s">
        <v>223</v>
      </c>
      <c r="D75" s="2" t="s">
        <v>28</v>
      </c>
      <c r="E75" s="2" t="s">
        <v>29</v>
      </c>
      <c r="F75" s="2" t="s">
        <v>224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225</v>
      </c>
      <c r="L75" s="2" t="s">
        <v>226</v>
      </c>
      <c r="M75" s="2" t="s">
        <v>34</v>
      </c>
      <c r="N75" s="2" t="s">
        <v>74</v>
      </c>
      <c r="O75" s="2" t="s">
        <v>38</v>
      </c>
      <c r="P75" s="2" t="s">
        <v>227</v>
      </c>
      <c r="Q75" s="2" t="s">
        <v>228</v>
      </c>
      <c r="R75" s="2" t="s">
        <v>41</v>
      </c>
      <c r="S75" s="2" t="s">
        <v>42</v>
      </c>
      <c r="T75" s="2" t="s">
        <v>62</v>
      </c>
      <c r="U75" s="2" t="s">
        <v>34</v>
      </c>
      <c r="V75" s="2" t="s">
        <v>57</v>
      </c>
      <c r="W75" s="2" t="s">
        <v>34</v>
      </c>
      <c r="X75" s="2" t="s">
        <v>34</v>
      </c>
      <c r="Y75" s="3">
        <v>22.0</v>
      </c>
    </row>
    <row r="76" ht="15.75" customHeight="1">
      <c r="A76" s="2" t="s">
        <v>25</v>
      </c>
      <c r="B76" s="2" t="s">
        <v>26</v>
      </c>
      <c r="C76" s="2" t="s">
        <v>58</v>
      </c>
      <c r="D76" s="2" t="s">
        <v>28</v>
      </c>
      <c r="E76" s="2" t="s">
        <v>29</v>
      </c>
      <c r="F76" s="2" t="s">
        <v>59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229</v>
      </c>
      <c r="L76" s="2" t="s">
        <v>230</v>
      </c>
      <c r="M76" s="2" t="s">
        <v>34</v>
      </c>
      <c r="N76" s="2" t="s">
        <v>37</v>
      </c>
      <c r="O76" s="2" t="s">
        <v>38</v>
      </c>
      <c r="P76" s="2" t="s">
        <v>55</v>
      </c>
      <c r="Q76" s="2" t="s">
        <v>56</v>
      </c>
      <c r="R76" s="2" t="s">
        <v>41</v>
      </c>
      <c r="S76" s="2" t="s">
        <v>42</v>
      </c>
      <c r="T76" s="2" t="s">
        <v>62</v>
      </c>
      <c r="U76" s="2" t="s">
        <v>34</v>
      </c>
      <c r="V76" s="2" t="s">
        <v>51</v>
      </c>
      <c r="W76" s="2" t="s">
        <v>34</v>
      </c>
      <c r="X76" s="2" t="s">
        <v>34</v>
      </c>
      <c r="Y76" s="3">
        <v>40.0</v>
      </c>
    </row>
    <row r="77" ht="15.75" customHeight="1">
      <c r="A77" s="2" t="s">
        <v>25</v>
      </c>
      <c r="B77" s="2" t="s">
        <v>26</v>
      </c>
      <c r="C77" s="2" t="s">
        <v>44</v>
      </c>
      <c r="D77" s="2" t="s">
        <v>28</v>
      </c>
      <c r="E77" s="2" t="s">
        <v>29</v>
      </c>
      <c r="F77" s="2" t="s">
        <v>45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231</v>
      </c>
      <c r="L77" s="2" t="s">
        <v>232</v>
      </c>
      <c r="M77" s="2" t="s">
        <v>34</v>
      </c>
      <c r="N77" s="2" t="s">
        <v>37</v>
      </c>
      <c r="O77" s="2" t="s">
        <v>38</v>
      </c>
      <c r="P77" s="2" t="s">
        <v>55</v>
      </c>
      <c r="Q77" s="2" t="s">
        <v>56</v>
      </c>
      <c r="R77" s="2" t="s">
        <v>48</v>
      </c>
      <c r="S77" s="2" t="s">
        <v>42</v>
      </c>
      <c r="T77" s="2" t="s">
        <v>49</v>
      </c>
      <c r="U77" s="2" t="s">
        <v>50</v>
      </c>
      <c r="V77" s="2" t="s">
        <v>51</v>
      </c>
      <c r="W77" s="2" t="s">
        <v>34</v>
      </c>
      <c r="X77" s="2" t="s">
        <v>34</v>
      </c>
      <c r="Y77" s="3">
        <v>6.0</v>
      </c>
    </row>
    <row r="78" ht="15.75" customHeight="1">
      <c r="A78" s="2" t="s">
        <v>25</v>
      </c>
      <c r="B78" s="2" t="s">
        <v>26</v>
      </c>
      <c r="C78" s="2" t="s">
        <v>58</v>
      </c>
      <c r="D78" s="2" t="s">
        <v>28</v>
      </c>
      <c r="E78" s="2" t="s">
        <v>29</v>
      </c>
      <c r="F78" s="2" t="s">
        <v>59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233</v>
      </c>
      <c r="L78" s="2" t="s">
        <v>234</v>
      </c>
      <c r="M78" s="2" t="s">
        <v>34</v>
      </c>
      <c r="N78" s="2" t="s">
        <v>37</v>
      </c>
      <c r="O78" s="2" t="s">
        <v>38</v>
      </c>
      <c r="P78" s="2" t="s">
        <v>55</v>
      </c>
      <c r="Q78" s="2" t="s">
        <v>56</v>
      </c>
      <c r="R78" s="2" t="s">
        <v>41</v>
      </c>
      <c r="S78" s="2" t="s">
        <v>42</v>
      </c>
      <c r="T78" s="2" t="s">
        <v>62</v>
      </c>
      <c r="U78" s="2" t="s">
        <v>34</v>
      </c>
      <c r="V78" s="2" t="s">
        <v>65</v>
      </c>
      <c r="W78" s="2" t="s">
        <v>34</v>
      </c>
      <c r="X78" s="2" t="s">
        <v>34</v>
      </c>
      <c r="Y78" s="3">
        <v>80.0</v>
      </c>
    </row>
    <row r="79" ht="15.75" customHeight="1">
      <c r="A79" s="2" t="s">
        <v>25</v>
      </c>
      <c r="B79" s="2" t="s">
        <v>26</v>
      </c>
      <c r="C79" s="2" t="s">
        <v>58</v>
      </c>
      <c r="D79" s="2" t="s">
        <v>28</v>
      </c>
      <c r="E79" s="2" t="s">
        <v>29</v>
      </c>
      <c r="F79" s="2" t="s">
        <v>59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235</v>
      </c>
      <c r="L79" s="2" t="s">
        <v>236</v>
      </c>
      <c r="M79" s="2" t="s">
        <v>34</v>
      </c>
      <c r="N79" s="2" t="s">
        <v>37</v>
      </c>
      <c r="O79" s="2" t="s">
        <v>38</v>
      </c>
      <c r="P79" s="2" t="s">
        <v>55</v>
      </c>
      <c r="Q79" s="2" t="s">
        <v>56</v>
      </c>
      <c r="R79" s="2" t="s">
        <v>41</v>
      </c>
      <c r="S79" s="2" t="s">
        <v>42</v>
      </c>
      <c r="T79" s="2" t="s">
        <v>62</v>
      </c>
      <c r="U79" s="2" t="s">
        <v>34</v>
      </c>
      <c r="V79" s="2" t="s">
        <v>57</v>
      </c>
      <c r="W79" s="2" t="s">
        <v>34</v>
      </c>
      <c r="X79" s="2" t="s">
        <v>34</v>
      </c>
      <c r="Y79" s="3">
        <v>20.0</v>
      </c>
    </row>
    <row r="80" ht="15.75" customHeight="1">
      <c r="A80" s="2" t="s">
        <v>25</v>
      </c>
      <c r="B80" s="2" t="s">
        <v>26</v>
      </c>
      <c r="C80" s="2" t="s">
        <v>58</v>
      </c>
      <c r="D80" s="2" t="s">
        <v>28</v>
      </c>
      <c r="E80" s="2" t="s">
        <v>29</v>
      </c>
      <c r="F80" s="2" t="s">
        <v>59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52</v>
      </c>
      <c r="L80" s="2" t="s">
        <v>53</v>
      </c>
      <c r="M80" s="2" t="s">
        <v>34</v>
      </c>
      <c r="N80" s="2" t="s">
        <v>54</v>
      </c>
      <c r="O80" s="2" t="s">
        <v>38</v>
      </c>
      <c r="P80" s="2" t="s">
        <v>55</v>
      </c>
      <c r="Q80" s="2" t="s">
        <v>56</v>
      </c>
      <c r="R80" s="2" t="s">
        <v>41</v>
      </c>
      <c r="S80" s="2" t="s">
        <v>42</v>
      </c>
      <c r="T80" s="2" t="s">
        <v>62</v>
      </c>
      <c r="U80" s="2" t="s">
        <v>34</v>
      </c>
      <c r="V80" s="2" t="s">
        <v>51</v>
      </c>
      <c r="W80" s="2" t="s">
        <v>34</v>
      </c>
      <c r="X80" s="2" t="s">
        <v>34</v>
      </c>
      <c r="Y80" s="3">
        <v>40.0</v>
      </c>
    </row>
    <row r="81" ht="15.75" customHeight="1">
      <c r="A81" s="2" t="s">
        <v>25</v>
      </c>
      <c r="B81" s="2" t="s">
        <v>26</v>
      </c>
      <c r="C81" s="2" t="s">
        <v>58</v>
      </c>
      <c r="D81" s="2" t="s">
        <v>28</v>
      </c>
      <c r="E81" s="2" t="s">
        <v>29</v>
      </c>
      <c r="F81" s="2" t="s">
        <v>59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237</v>
      </c>
      <c r="L81" s="2" t="s">
        <v>238</v>
      </c>
      <c r="M81" s="2" t="s">
        <v>34</v>
      </c>
      <c r="N81" s="2" t="s">
        <v>37</v>
      </c>
      <c r="O81" s="2" t="s">
        <v>38</v>
      </c>
      <c r="P81" s="2" t="s">
        <v>55</v>
      </c>
      <c r="Q81" s="2" t="s">
        <v>56</v>
      </c>
      <c r="R81" s="2" t="s">
        <v>41</v>
      </c>
      <c r="S81" s="2" t="s">
        <v>42</v>
      </c>
      <c r="T81" s="2" t="s">
        <v>62</v>
      </c>
      <c r="U81" s="2" t="s">
        <v>34</v>
      </c>
      <c r="V81" s="2" t="s">
        <v>57</v>
      </c>
      <c r="W81" s="2" t="s">
        <v>34</v>
      </c>
      <c r="X81" s="2" t="s">
        <v>34</v>
      </c>
      <c r="Y81" s="3">
        <v>20.0</v>
      </c>
    </row>
    <row r="82" ht="15.75" customHeight="1">
      <c r="A82" s="2" t="s">
        <v>25</v>
      </c>
      <c r="B82" s="2" t="s">
        <v>26</v>
      </c>
      <c r="C82" s="2" t="s">
        <v>58</v>
      </c>
      <c r="D82" s="2" t="s">
        <v>28</v>
      </c>
      <c r="E82" s="2" t="s">
        <v>29</v>
      </c>
      <c r="F82" s="2" t="s">
        <v>59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239</v>
      </c>
      <c r="L82" s="2" t="s">
        <v>240</v>
      </c>
      <c r="M82" s="2" t="s">
        <v>34</v>
      </c>
      <c r="N82" s="2" t="s">
        <v>37</v>
      </c>
      <c r="O82" s="2" t="s">
        <v>38</v>
      </c>
      <c r="P82" s="2" t="s">
        <v>55</v>
      </c>
      <c r="Q82" s="2" t="s">
        <v>56</v>
      </c>
      <c r="R82" s="2" t="s">
        <v>41</v>
      </c>
      <c r="S82" s="2" t="s">
        <v>42</v>
      </c>
      <c r="T82" s="2" t="s">
        <v>62</v>
      </c>
      <c r="U82" s="2" t="s">
        <v>34</v>
      </c>
      <c r="V82" s="2" t="s">
        <v>57</v>
      </c>
      <c r="W82" s="2" t="s">
        <v>34</v>
      </c>
      <c r="X82" s="2" t="s">
        <v>34</v>
      </c>
      <c r="Y82" s="3">
        <v>20.0</v>
      </c>
    </row>
    <row r="83" ht="15.75" customHeight="1">
      <c r="A83" s="2" t="s">
        <v>25</v>
      </c>
      <c r="B83" s="2" t="s">
        <v>26</v>
      </c>
      <c r="C83" s="2" t="s">
        <v>58</v>
      </c>
      <c r="D83" s="2" t="s">
        <v>28</v>
      </c>
      <c r="E83" s="2" t="s">
        <v>29</v>
      </c>
      <c r="F83" s="2" t="s">
        <v>59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149</v>
      </c>
      <c r="L83" s="2" t="s">
        <v>150</v>
      </c>
      <c r="M83" s="2" t="s">
        <v>34</v>
      </c>
      <c r="N83" s="2" t="s">
        <v>74</v>
      </c>
      <c r="O83" s="2" t="s">
        <v>38</v>
      </c>
      <c r="P83" s="2" t="s">
        <v>55</v>
      </c>
      <c r="Q83" s="2" t="s">
        <v>56</v>
      </c>
      <c r="R83" s="2" t="s">
        <v>41</v>
      </c>
      <c r="S83" s="2" t="s">
        <v>42</v>
      </c>
      <c r="T83" s="2" t="s">
        <v>62</v>
      </c>
      <c r="U83" s="2" t="s">
        <v>34</v>
      </c>
      <c r="V83" s="2" t="s">
        <v>51</v>
      </c>
      <c r="W83" s="2" t="s">
        <v>34</v>
      </c>
      <c r="X83" s="2" t="s">
        <v>34</v>
      </c>
      <c r="Y83" s="3">
        <v>40.0</v>
      </c>
    </row>
    <row r="84" ht="15.75" customHeight="1">
      <c r="A84" s="2" t="s">
        <v>25</v>
      </c>
      <c r="B84" s="2" t="s">
        <v>26</v>
      </c>
      <c r="C84" s="2" t="s">
        <v>157</v>
      </c>
      <c r="D84" s="2" t="s">
        <v>28</v>
      </c>
      <c r="E84" s="2" t="s">
        <v>29</v>
      </c>
      <c r="F84" s="2" t="s">
        <v>158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163</v>
      </c>
      <c r="L84" s="2" t="s">
        <v>164</v>
      </c>
      <c r="M84" s="2" t="s">
        <v>34</v>
      </c>
      <c r="N84" s="2" t="s">
        <v>37</v>
      </c>
      <c r="O84" s="2" t="s">
        <v>38</v>
      </c>
      <c r="P84" s="2" t="s">
        <v>161</v>
      </c>
      <c r="Q84" s="2" t="s">
        <v>162</v>
      </c>
      <c r="R84" s="2" t="s">
        <v>41</v>
      </c>
      <c r="S84" s="2" t="s">
        <v>42</v>
      </c>
      <c r="T84" s="2" t="s">
        <v>62</v>
      </c>
      <c r="U84" s="2" t="s">
        <v>34</v>
      </c>
      <c r="V84" s="2" t="s">
        <v>57</v>
      </c>
      <c r="W84" s="2" t="s">
        <v>34</v>
      </c>
      <c r="X84" s="2" t="s">
        <v>34</v>
      </c>
      <c r="Y84" s="3">
        <v>22.0</v>
      </c>
    </row>
    <row r="85" ht="15.75" customHeight="1">
      <c r="A85" s="2" t="s">
        <v>25</v>
      </c>
      <c r="B85" s="2" t="s">
        <v>26</v>
      </c>
      <c r="C85" s="2" t="s">
        <v>44</v>
      </c>
      <c r="D85" s="2" t="s">
        <v>28</v>
      </c>
      <c r="E85" s="2" t="s">
        <v>29</v>
      </c>
      <c r="F85" s="2" t="s">
        <v>45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241</v>
      </c>
      <c r="L85" s="2" t="s">
        <v>242</v>
      </c>
      <c r="M85" s="2" t="s">
        <v>34</v>
      </c>
      <c r="N85" s="2" t="s">
        <v>37</v>
      </c>
      <c r="O85" s="2" t="s">
        <v>38</v>
      </c>
      <c r="P85" s="2" t="s">
        <v>161</v>
      </c>
      <c r="Q85" s="2" t="s">
        <v>162</v>
      </c>
      <c r="R85" s="2" t="s">
        <v>48</v>
      </c>
      <c r="S85" s="2" t="s">
        <v>42</v>
      </c>
      <c r="T85" s="2" t="s">
        <v>49</v>
      </c>
      <c r="U85" s="2" t="s">
        <v>50</v>
      </c>
      <c r="V85" s="2" t="s">
        <v>57</v>
      </c>
      <c r="W85" s="2" t="s">
        <v>34</v>
      </c>
      <c r="X85" s="2" t="s">
        <v>34</v>
      </c>
      <c r="Y85" s="3">
        <v>3.0</v>
      </c>
    </row>
    <row r="86" ht="15.75" customHeight="1">
      <c r="A86" s="2" t="s">
        <v>25</v>
      </c>
      <c r="B86" s="2" t="s">
        <v>26</v>
      </c>
      <c r="C86" s="2" t="s">
        <v>243</v>
      </c>
      <c r="D86" s="2" t="s">
        <v>28</v>
      </c>
      <c r="E86" s="2" t="s">
        <v>29</v>
      </c>
      <c r="F86" s="2" t="s">
        <v>244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167</v>
      </c>
      <c r="L86" s="2" t="s">
        <v>168</v>
      </c>
      <c r="M86" s="2" t="s">
        <v>34</v>
      </c>
      <c r="N86" s="2" t="s">
        <v>37</v>
      </c>
      <c r="O86" s="2" t="s">
        <v>38</v>
      </c>
      <c r="P86" s="2" t="s">
        <v>169</v>
      </c>
      <c r="Q86" s="2" t="s">
        <v>170</v>
      </c>
      <c r="R86" s="2" t="s">
        <v>41</v>
      </c>
      <c r="S86" s="2" t="s">
        <v>42</v>
      </c>
      <c r="T86" s="2" t="s">
        <v>62</v>
      </c>
      <c r="U86" s="2" t="s">
        <v>34</v>
      </c>
      <c r="V86" s="2" t="s">
        <v>57</v>
      </c>
      <c r="W86" s="2" t="s">
        <v>34</v>
      </c>
      <c r="X86" s="2" t="s">
        <v>34</v>
      </c>
      <c r="Y86" s="3">
        <v>20.0</v>
      </c>
    </row>
    <row r="87" ht="15.75" customHeight="1">
      <c r="A87" s="2" t="s">
        <v>25</v>
      </c>
      <c r="B87" s="2" t="s">
        <v>26</v>
      </c>
      <c r="C87" s="2" t="s">
        <v>44</v>
      </c>
      <c r="D87" s="2" t="s">
        <v>28</v>
      </c>
      <c r="E87" s="2" t="s">
        <v>29</v>
      </c>
      <c r="F87" s="2" t="s">
        <v>45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245</v>
      </c>
      <c r="L87" s="2" t="s">
        <v>246</v>
      </c>
      <c r="M87" s="2" t="s">
        <v>34</v>
      </c>
      <c r="N87" s="2" t="s">
        <v>74</v>
      </c>
      <c r="O87" s="2" t="s">
        <v>38</v>
      </c>
      <c r="P87" s="2" t="s">
        <v>169</v>
      </c>
      <c r="Q87" s="2" t="s">
        <v>170</v>
      </c>
      <c r="R87" s="2" t="s">
        <v>48</v>
      </c>
      <c r="S87" s="2" t="s">
        <v>42</v>
      </c>
      <c r="T87" s="2" t="s">
        <v>49</v>
      </c>
      <c r="U87" s="2" t="s">
        <v>50</v>
      </c>
      <c r="V87" s="2" t="s">
        <v>57</v>
      </c>
      <c r="W87" s="2" t="s">
        <v>34</v>
      </c>
      <c r="X87" s="2" t="s">
        <v>34</v>
      </c>
      <c r="Y87" s="3">
        <v>3.0</v>
      </c>
    </row>
    <row r="88" ht="15.75" customHeight="1">
      <c r="A88" s="2" t="s">
        <v>25</v>
      </c>
      <c r="B88" s="2" t="s">
        <v>26</v>
      </c>
      <c r="C88" s="2" t="s">
        <v>44</v>
      </c>
      <c r="D88" s="2" t="s">
        <v>28</v>
      </c>
      <c r="E88" s="2" t="s">
        <v>29</v>
      </c>
      <c r="F88" s="2" t="s">
        <v>45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247</v>
      </c>
      <c r="L88" s="2" t="s">
        <v>248</v>
      </c>
      <c r="M88" s="2" t="s">
        <v>34</v>
      </c>
      <c r="N88" s="2" t="s">
        <v>249</v>
      </c>
      <c r="O88" s="2" t="s">
        <v>250</v>
      </c>
      <c r="P88" s="2" t="s">
        <v>39</v>
      </c>
      <c r="Q88" s="2" t="s">
        <v>40</v>
      </c>
      <c r="R88" s="2" t="s">
        <v>48</v>
      </c>
      <c r="S88" s="2" t="s">
        <v>42</v>
      </c>
      <c r="T88" s="2" t="s">
        <v>49</v>
      </c>
      <c r="U88" s="2" t="s">
        <v>50</v>
      </c>
      <c r="V88" s="2" t="s">
        <v>57</v>
      </c>
      <c r="W88" s="2" t="s">
        <v>34</v>
      </c>
      <c r="X88" s="2" t="s">
        <v>34</v>
      </c>
      <c r="Y88" s="3">
        <v>3.0</v>
      </c>
    </row>
    <row r="89" ht="15.75" customHeight="1">
      <c r="A89" s="2" t="s">
        <v>25</v>
      </c>
      <c r="B89" s="2" t="s">
        <v>26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251</v>
      </c>
      <c r="L89" s="2" t="s">
        <v>252</v>
      </c>
      <c r="M89" s="2" t="s">
        <v>34</v>
      </c>
      <c r="N89" s="2" t="s">
        <v>37</v>
      </c>
      <c r="O89" s="2" t="s">
        <v>38</v>
      </c>
      <c r="P89" s="2" t="s">
        <v>39</v>
      </c>
      <c r="Q89" s="2" t="s">
        <v>40</v>
      </c>
      <c r="R89" s="2" t="s">
        <v>41</v>
      </c>
      <c r="S89" s="2" t="s">
        <v>42</v>
      </c>
      <c r="T89" s="2" t="s">
        <v>43</v>
      </c>
      <c r="U89" s="2" t="s">
        <v>34</v>
      </c>
      <c r="V89" s="2" t="s">
        <v>34</v>
      </c>
      <c r="W89" s="2" t="s">
        <v>34</v>
      </c>
      <c r="X89" s="2" t="s">
        <v>34</v>
      </c>
      <c r="Y89" s="3">
        <v>4.53</v>
      </c>
    </row>
    <row r="90" ht="15.75" customHeight="1">
      <c r="A90" s="2" t="s">
        <v>25</v>
      </c>
      <c r="B90" s="2" t="s">
        <v>26</v>
      </c>
      <c r="C90" s="2" t="s">
        <v>44</v>
      </c>
      <c r="D90" s="2" t="s">
        <v>28</v>
      </c>
      <c r="E90" s="2" t="s">
        <v>29</v>
      </c>
      <c r="F90" s="2" t="s">
        <v>45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251</v>
      </c>
      <c r="L90" s="2" t="s">
        <v>252</v>
      </c>
      <c r="M90" s="2" t="s">
        <v>34</v>
      </c>
      <c r="N90" s="2" t="s">
        <v>37</v>
      </c>
      <c r="O90" s="2" t="s">
        <v>38</v>
      </c>
      <c r="P90" s="2" t="s">
        <v>39</v>
      </c>
      <c r="Q90" s="2" t="s">
        <v>40</v>
      </c>
      <c r="R90" s="2" t="s">
        <v>48</v>
      </c>
      <c r="S90" s="2" t="s">
        <v>42</v>
      </c>
      <c r="T90" s="2" t="s">
        <v>49</v>
      </c>
      <c r="U90" s="2" t="s">
        <v>50</v>
      </c>
      <c r="V90" s="2" t="s">
        <v>57</v>
      </c>
      <c r="W90" s="2" t="s">
        <v>34</v>
      </c>
      <c r="X90" s="2" t="s">
        <v>34</v>
      </c>
      <c r="Y90" s="3">
        <v>3.0</v>
      </c>
    </row>
    <row r="91" ht="15.75" customHeight="1">
      <c r="A91" s="2" t="s">
        <v>25</v>
      </c>
      <c r="B91" s="2" t="s">
        <v>26</v>
      </c>
      <c r="C91" s="2" t="s">
        <v>44</v>
      </c>
      <c r="D91" s="2" t="s">
        <v>28</v>
      </c>
      <c r="E91" s="2" t="s">
        <v>29</v>
      </c>
      <c r="F91" s="2" t="s">
        <v>45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253</v>
      </c>
      <c r="L91" s="2" t="s">
        <v>254</v>
      </c>
      <c r="M91" s="2" t="s">
        <v>34</v>
      </c>
      <c r="N91" s="2" t="s">
        <v>37</v>
      </c>
      <c r="O91" s="2" t="s">
        <v>38</v>
      </c>
      <c r="P91" s="2" t="s">
        <v>39</v>
      </c>
      <c r="Q91" s="2" t="s">
        <v>40</v>
      </c>
      <c r="R91" s="2" t="s">
        <v>48</v>
      </c>
      <c r="S91" s="2" t="s">
        <v>42</v>
      </c>
      <c r="T91" s="2" t="s">
        <v>49</v>
      </c>
      <c r="U91" s="2" t="s">
        <v>50</v>
      </c>
      <c r="V91" s="2" t="s">
        <v>57</v>
      </c>
      <c r="W91" s="2" t="s">
        <v>34</v>
      </c>
      <c r="X91" s="2" t="s">
        <v>34</v>
      </c>
      <c r="Y91" s="3">
        <v>3.0</v>
      </c>
    </row>
    <row r="92" ht="15.75" customHeight="1">
      <c r="A92" s="2" t="s">
        <v>25</v>
      </c>
      <c r="B92" s="2" t="s">
        <v>26</v>
      </c>
      <c r="C92" s="2" t="s">
        <v>44</v>
      </c>
      <c r="D92" s="2" t="s">
        <v>28</v>
      </c>
      <c r="E92" s="2" t="s">
        <v>29</v>
      </c>
      <c r="F92" s="2" t="s">
        <v>45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255</v>
      </c>
      <c r="L92" s="2" t="s">
        <v>256</v>
      </c>
      <c r="M92" s="2" t="s">
        <v>34</v>
      </c>
      <c r="N92" s="2" t="s">
        <v>37</v>
      </c>
      <c r="O92" s="2" t="s">
        <v>38</v>
      </c>
      <c r="P92" s="2" t="s">
        <v>39</v>
      </c>
      <c r="Q92" s="2" t="s">
        <v>40</v>
      </c>
      <c r="R92" s="2" t="s">
        <v>48</v>
      </c>
      <c r="S92" s="2" t="s">
        <v>42</v>
      </c>
      <c r="T92" s="2" t="s">
        <v>49</v>
      </c>
      <c r="U92" s="2" t="s">
        <v>50</v>
      </c>
      <c r="V92" s="2" t="s">
        <v>57</v>
      </c>
      <c r="W92" s="2" t="s">
        <v>34</v>
      </c>
      <c r="X92" s="2" t="s">
        <v>34</v>
      </c>
      <c r="Y92" s="3">
        <v>3.0</v>
      </c>
    </row>
    <row r="93" ht="15.75" customHeight="1">
      <c r="A93" s="2" t="s">
        <v>25</v>
      </c>
      <c r="B93" s="2" t="s">
        <v>26</v>
      </c>
      <c r="C93" s="2" t="s">
        <v>44</v>
      </c>
      <c r="D93" s="2" t="s">
        <v>28</v>
      </c>
      <c r="E93" s="2" t="s">
        <v>29</v>
      </c>
      <c r="F93" s="2" t="s">
        <v>45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257</v>
      </c>
      <c r="L93" s="2" t="s">
        <v>258</v>
      </c>
      <c r="M93" s="2" t="s">
        <v>34</v>
      </c>
      <c r="N93" s="2" t="s">
        <v>37</v>
      </c>
      <c r="O93" s="2" t="s">
        <v>38</v>
      </c>
      <c r="P93" s="2" t="s">
        <v>39</v>
      </c>
      <c r="Q93" s="2" t="s">
        <v>40</v>
      </c>
      <c r="R93" s="2" t="s">
        <v>48</v>
      </c>
      <c r="S93" s="2" t="s">
        <v>42</v>
      </c>
      <c r="T93" s="2" t="s">
        <v>49</v>
      </c>
      <c r="U93" s="2" t="s">
        <v>50</v>
      </c>
      <c r="V93" s="2" t="s">
        <v>57</v>
      </c>
      <c r="W93" s="2" t="s">
        <v>34</v>
      </c>
      <c r="X93" s="2" t="s">
        <v>34</v>
      </c>
      <c r="Y93" s="3">
        <v>-3.0</v>
      </c>
    </row>
    <row r="94" ht="15.75" customHeight="1">
      <c r="A94" s="2" t="s">
        <v>25</v>
      </c>
      <c r="B94" s="2" t="s">
        <v>26</v>
      </c>
      <c r="C94" s="2" t="s">
        <v>44</v>
      </c>
      <c r="D94" s="2" t="s">
        <v>28</v>
      </c>
      <c r="E94" s="2" t="s">
        <v>29</v>
      </c>
      <c r="F94" s="2" t="s">
        <v>45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259</v>
      </c>
      <c r="L94" s="2" t="s">
        <v>260</v>
      </c>
      <c r="M94" s="2" t="s">
        <v>34</v>
      </c>
      <c r="N94" s="2" t="s">
        <v>74</v>
      </c>
      <c r="O94" s="2" t="s">
        <v>38</v>
      </c>
      <c r="P94" s="2" t="s">
        <v>39</v>
      </c>
      <c r="Q94" s="2" t="s">
        <v>40</v>
      </c>
      <c r="R94" s="2" t="s">
        <v>48</v>
      </c>
      <c r="S94" s="2" t="s">
        <v>42</v>
      </c>
      <c r="T94" s="2" t="s">
        <v>49</v>
      </c>
      <c r="U94" s="2" t="s">
        <v>50</v>
      </c>
      <c r="V94" s="2" t="s">
        <v>57</v>
      </c>
      <c r="W94" s="2" t="s">
        <v>34</v>
      </c>
      <c r="X94" s="2" t="s">
        <v>34</v>
      </c>
      <c r="Y94" s="3">
        <v>3.0</v>
      </c>
    </row>
    <row r="95" ht="15.75" customHeight="1">
      <c r="A95" s="2" t="s">
        <v>25</v>
      </c>
      <c r="B95" s="2" t="s">
        <v>26</v>
      </c>
      <c r="C95" s="2" t="s">
        <v>44</v>
      </c>
      <c r="D95" s="2" t="s">
        <v>28</v>
      </c>
      <c r="E95" s="2" t="s">
        <v>29</v>
      </c>
      <c r="F95" s="2" t="s">
        <v>45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261</v>
      </c>
      <c r="L95" s="2" t="s">
        <v>262</v>
      </c>
      <c r="M95" s="2" t="s">
        <v>34</v>
      </c>
      <c r="N95" s="2" t="s">
        <v>75</v>
      </c>
      <c r="O95" s="2" t="s">
        <v>38</v>
      </c>
      <c r="P95" s="2" t="s">
        <v>39</v>
      </c>
      <c r="Q95" s="2" t="s">
        <v>40</v>
      </c>
      <c r="R95" s="2" t="s">
        <v>48</v>
      </c>
      <c r="S95" s="2" t="s">
        <v>42</v>
      </c>
      <c r="T95" s="2" t="s">
        <v>49</v>
      </c>
      <c r="U95" s="2" t="s">
        <v>50</v>
      </c>
      <c r="V95" s="2" t="s">
        <v>57</v>
      </c>
      <c r="W95" s="2" t="s">
        <v>34</v>
      </c>
      <c r="X95" s="2" t="s">
        <v>34</v>
      </c>
      <c r="Y95" s="3">
        <v>3.0</v>
      </c>
    </row>
    <row r="96" ht="15.75" customHeight="1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181</v>
      </c>
      <c r="L96" s="2" t="s">
        <v>182</v>
      </c>
      <c r="M96" s="2" t="s">
        <v>34</v>
      </c>
      <c r="N96" s="2" t="s">
        <v>37</v>
      </c>
      <c r="O96" s="2" t="s">
        <v>38</v>
      </c>
      <c r="P96" s="2" t="s">
        <v>39</v>
      </c>
      <c r="Q96" s="2" t="s">
        <v>40</v>
      </c>
      <c r="R96" s="2" t="s">
        <v>41</v>
      </c>
      <c r="S96" s="2" t="s">
        <v>42</v>
      </c>
      <c r="T96" s="2" t="s">
        <v>62</v>
      </c>
      <c r="U96" s="2" t="s">
        <v>34</v>
      </c>
      <c r="V96" s="2" t="s">
        <v>57</v>
      </c>
      <c r="W96" s="2" t="s">
        <v>34</v>
      </c>
      <c r="X96" s="2" t="s">
        <v>34</v>
      </c>
      <c r="Y96" s="3">
        <v>20.0</v>
      </c>
    </row>
    <row r="97" ht="15.75" customHeight="1">
      <c r="A97" s="2" t="s">
        <v>25</v>
      </c>
      <c r="B97" s="2" t="s">
        <v>26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199</v>
      </c>
      <c r="L97" s="2" t="s">
        <v>200</v>
      </c>
      <c r="M97" s="2" t="s">
        <v>34</v>
      </c>
      <c r="N97" s="2" t="s">
        <v>37</v>
      </c>
      <c r="O97" s="2" t="s">
        <v>38</v>
      </c>
      <c r="P97" s="2" t="s">
        <v>39</v>
      </c>
      <c r="Q97" s="2" t="s">
        <v>40</v>
      </c>
      <c r="R97" s="2" t="s">
        <v>41</v>
      </c>
      <c r="S97" s="2" t="s">
        <v>42</v>
      </c>
      <c r="T97" s="2" t="s">
        <v>62</v>
      </c>
      <c r="U97" s="2" t="s">
        <v>34</v>
      </c>
      <c r="V97" s="2" t="s">
        <v>57</v>
      </c>
      <c r="W97" s="2" t="s">
        <v>34</v>
      </c>
      <c r="X97" s="2" t="s">
        <v>34</v>
      </c>
      <c r="Y97" s="3">
        <v>20.0</v>
      </c>
    </row>
    <row r="98" ht="15.75" customHeight="1">
      <c r="A98" s="2" t="s">
        <v>25</v>
      </c>
      <c r="B98" s="2" t="s">
        <v>26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263</v>
      </c>
      <c r="L98" s="2" t="s">
        <v>264</v>
      </c>
      <c r="M98" s="2" t="s">
        <v>34</v>
      </c>
      <c r="N98" s="2" t="s">
        <v>37</v>
      </c>
      <c r="O98" s="2" t="s">
        <v>38</v>
      </c>
      <c r="P98" s="2" t="s">
        <v>39</v>
      </c>
      <c r="Q98" s="2" t="s">
        <v>40</v>
      </c>
      <c r="R98" s="2" t="s">
        <v>41</v>
      </c>
      <c r="S98" s="2" t="s">
        <v>42</v>
      </c>
      <c r="T98" s="2" t="s">
        <v>62</v>
      </c>
      <c r="U98" s="2" t="s">
        <v>34</v>
      </c>
      <c r="V98" s="2" t="s">
        <v>57</v>
      </c>
      <c r="W98" s="2" t="s">
        <v>34</v>
      </c>
      <c r="X98" s="2" t="s">
        <v>34</v>
      </c>
      <c r="Y98" s="3">
        <v>20.0</v>
      </c>
    </row>
    <row r="99" ht="15.75" customHeight="1">
      <c r="A99" s="2" t="s">
        <v>25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30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100</v>
      </c>
      <c r="L99" s="2" t="s">
        <v>101</v>
      </c>
      <c r="M99" s="2" t="s">
        <v>34</v>
      </c>
      <c r="N99" s="2" t="s">
        <v>37</v>
      </c>
      <c r="O99" s="2" t="s">
        <v>38</v>
      </c>
      <c r="P99" s="2" t="s">
        <v>39</v>
      </c>
      <c r="Q99" s="2" t="s">
        <v>40</v>
      </c>
      <c r="R99" s="2" t="s">
        <v>41</v>
      </c>
      <c r="S99" s="2" t="s">
        <v>42</v>
      </c>
      <c r="T99" s="2" t="s">
        <v>62</v>
      </c>
      <c r="U99" s="2" t="s">
        <v>34</v>
      </c>
      <c r="V99" s="2" t="s">
        <v>57</v>
      </c>
      <c r="W99" s="2" t="s">
        <v>34</v>
      </c>
      <c r="X99" s="2" t="s">
        <v>34</v>
      </c>
      <c r="Y99" s="3">
        <v>20.0</v>
      </c>
    </row>
    <row r="100" ht="15.75" customHeight="1">
      <c r="A100" s="2" t="s">
        <v>25</v>
      </c>
      <c r="B100" s="2" t="s">
        <v>26</v>
      </c>
      <c r="C100" s="2" t="s">
        <v>27</v>
      </c>
      <c r="D100" s="2" t="s">
        <v>28</v>
      </c>
      <c r="E100" s="2" t="s">
        <v>29</v>
      </c>
      <c r="F100" s="2" t="s">
        <v>30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265</v>
      </c>
      <c r="L100" s="2" t="s">
        <v>266</v>
      </c>
      <c r="M100" s="2" t="s">
        <v>34</v>
      </c>
      <c r="N100" s="2" t="s">
        <v>37</v>
      </c>
      <c r="O100" s="2" t="s">
        <v>38</v>
      </c>
      <c r="P100" s="2" t="s">
        <v>39</v>
      </c>
      <c r="Q100" s="2" t="s">
        <v>40</v>
      </c>
      <c r="R100" s="2" t="s">
        <v>41</v>
      </c>
      <c r="S100" s="2" t="s">
        <v>42</v>
      </c>
      <c r="T100" s="2" t="s">
        <v>62</v>
      </c>
      <c r="U100" s="2" t="s">
        <v>34</v>
      </c>
      <c r="V100" s="2" t="s">
        <v>57</v>
      </c>
      <c r="W100" s="2" t="s">
        <v>34</v>
      </c>
      <c r="X100" s="2" t="s">
        <v>34</v>
      </c>
      <c r="Y100" s="3">
        <v>20.0</v>
      </c>
    </row>
    <row r="101" ht="15.75" customHeight="1">
      <c r="A101" s="2" t="s">
        <v>25</v>
      </c>
      <c r="B101" s="2" t="s">
        <v>26</v>
      </c>
      <c r="C101" s="2" t="s">
        <v>27</v>
      </c>
      <c r="D101" s="2" t="s">
        <v>28</v>
      </c>
      <c r="E101" s="2" t="s">
        <v>29</v>
      </c>
      <c r="F101" s="2" t="s">
        <v>30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267</v>
      </c>
      <c r="L101" s="2" t="s">
        <v>268</v>
      </c>
      <c r="M101" s="2" t="s">
        <v>34</v>
      </c>
      <c r="N101" s="2" t="s">
        <v>37</v>
      </c>
      <c r="O101" s="2" t="s">
        <v>38</v>
      </c>
      <c r="P101" s="2" t="s">
        <v>39</v>
      </c>
      <c r="Q101" s="2" t="s">
        <v>40</v>
      </c>
      <c r="R101" s="2" t="s">
        <v>41</v>
      </c>
      <c r="S101" s="2" t="s">
        <v>42</v>
      </c>
      <c r="T101" s="2" t="s">
        <v>62</v>
      </c>
      <c r="U101" s="2" t="s">
        <v>34</v>
      </c>
      <c r="V101" s="2" t="s">
        <v>57</v>
      </c>
      <c r="W101" s="2" t="s">
        <v>34</v>
      </c>
      <c r="X101" s="2" t="s">
        <v>34</v>
      </c>
      <c r="Y101" s="3">
        <v>20.0</v>
      </c>
    </row>
    <row r="102" ht="15.75" customHeight="1">
      <c r="A102" s="2" t="s">
        <v>25</v>
      </c>
      <c r="B102" s="2" t="s">
        <v>26</v>
      </c>
      <c r="C102" s="2" t="s">
        <v>27</v>
      </c>
      <c r="D102" s="2" t="s">
        <v>28</v>
      </c>
      <c r="E102" s="2" t="s">
        <v>29</v>
      </c>
      <c r="F102" s="2" t="s">
        <v>30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46</v>
      </c>
      <c r="L102" s="2" t="s">
        <v>47</v>
      </c>
      <c r="M102" s="2" t="s">
        <v>34</v>
      </c>
      <c r="N102" s="2" t="s">
        <v>37</v>
      </c>
      <c r="O102" s="2" t="s">
        <v>38</v>
      </c>
      <c r="P102" s="2" t="s">
        <v>39</v>
      </c>
      <c r="Q102" s="2" t="s">
        <v>40</v>
      </c>
      <c r="R102" s="2" t="s">
        <v>41</v>
      </c>
      <c r="S102" s="2" t="s">
        <v>42</v>
      </c>
      <c r="T102" s="2" t="s">
        <v>62</v>
      </c>
      <c r="U102" s="2" t="s">
        <v>34</v>
      </c>
      <c r="V102" s="2" t="s">
        <v>51</v>
      </c>
      <c r="W102" s="2" t="s">
        <v>34</v>
      </c>
      <c r="X102" s="2" t="s">
        <v>34</v>
      </c>
      <c r="Y102" s="3">
        <v>40.0</v>
      </c>
    </row>
    <row r="103" ht="15.75" customHeight="1">
      <c r="A103" s="2" t="s">
        <v>25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30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253</v>
      </c>
      <c r="L103" s="2" t="s">
        <v>254</v>
      </c>
      <c r="M103" s="2" t="s">
        <v>34</v>
      </c>
      <c r="N103" s="2" t="s">
        <v>37</v>
      </c>
      <c r="O103" s="2" t="s">
        <v>38</v>
      </c>
      <c r="P103" s="2" t="s">
        <v>39</v>
      </c>
      <c r="Q103" s="2" t="s">
        <v>40</v>
      </c>
      <c r="R103" s="2" t="s">
        <v>41</v>
      </c>
      <c r="S103" s="2" t="s">
        <v>42</v>
      </c>
      <c r="T103" s="2" t="s">
        <v>62</v>
      </c>
      <c r="U103" s="2" t="s">
        <v>34</v>
      </c>
      <c r="V103" s="2" t="s">
        <v>57</v>
      </c>
      <c r="W103" s="2" t="s">
        <v>34</v>
      </c>
      <c r="X103" s="2" t="s">
        <v>34</v>
      </c>
      <c r="Y103" s="3">
        <v>20.0</v>
      </c>
    </row>
    <row r="104" ht="15.75" customHeight="1">
      <c r="A104" s="2" t="s">
        <v>25</v>
      </c>
      <c r="B104" s="2" t="s">
        <v>26</v>
      </c>
      <c r="C104" s="2" t="s">
        <v>44</v>
      </c>
      <c r="D104" s="2" t="s">
        <v>28</v>
      </c>
      <c r="E104" s="2" t="s">
        <v>29</v>
      </c>
      <c r="F104" s="2" t="s">
        <v>45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269</v>
      </c>
      <c r="L104" s="2" t="s">
        <v>270</v>
      </c>
      <c r="M104" s="2" t="s">
        <v>34</v>
      </c>
      <c r="N104" s="2" t="s">
        <v>37</v>
      </c>
      <c r="O104" s="2" t="s">
        <v>38</v>
      </c>
      <c r="P104" s="2" t="s">
        <v>39</v>
      </c>
      <c r="Q104" s="2" t="s">
        <v>40</v>
      </c>
      <c r="R104" s="2" t="s">
        <v>48</v>
      </c>
      <c r="S104" s="2" t="s">
        <v>42</v>
      </c>
      <c r="T104" s="2" t="s">
        <v>49</v>
      </c>
      <c r="U104" s="2" t="s">
        <v>50</v>
      </c>
      <c r="V104" s="2" t="s">
        <v>65</v>
      </c>
      <c r="W104" s="2" t="s">
        <v>34</v>
      </c>
      <c r="X104" s="2" t="s">
        <v>34</v>
      </c>
      <c r="Y104" s="3">
        <v>12.0</v>
      </c>
    </row>
    <row r="105" ht="15.75" customHeight="1">
      <c r="A105" s="2" t="s">
        <v>25</v>
      </c>
      <c r="B105" s="2" t="s">
        <v>26</v>
      </c>
      <c r="C105" s="2" t="s">
        <v>271</v>
      </c>
      <c r="D105" s="2" t="s">
        <v>28</v>
      </c>
      <c r="E105" s="2" t="s">
        <v>29</v>
      </c>
      <c r="F105" s="2" t="s">
        <v>272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273</v>
      </c>
      <c r="L105" s="2" t="s">
        <v>274</v>
      </c>
      <c r="M105" s="2" t="s">
        <v>34</v>
      </c>
      <c r="N105" s="2" t="s">
        <v>275</v>
      </c>
      <c r="O105" s="2" t="s">
        <v>38</v>
      </c>
      <c r="P105" s="2" t="s">
        <v>276</v>
      </c>
      <c r="Q105" s="2" t="s">
        <v>277</v>
      </c>
      <c r="R105" s="2" t="s">
        <v>41</v>
      </c>
      <c r="S105" s="2" t="s">
        <v>42</v>
      </c>
      <c r="T105" s="2" t="s">
        <v>43</v>
      </c>
      <c r="U105" s="2" t="s">
        <v>34</v>
      </c>
      <c r="V105" s="2" t="s">
        <v>34</v>
      </c>
      <c r="W105" s="2" t="s">
        <v>34</v>
      </c>
      <c r="X105" s="2" t="s">
        <v>34</v>
      </c>
      <c r="Y105" s="3">
        <v>7.92</v>
      </c>
    </row>
    <row r="106" ht="15.75" customHeight="1">
      <c r="A106" s="2" t="s">
        <v>25</v>
      </c>
      <c r="B106" s="2" t="s">
        <v>26</v>
      </c>
      <c r="C106" s="2" t="s">
        <v>278</v>
      </c>
      <c r="D106" s="2" t="s">
        <v>28</v>
      </c>
      <c r="E106" s="2" t="s">
        <v>29</v>
      </c>
      <c r="F106" s="2" t="s">
        <v>279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280</v>
      </c>
      <c r="L106" s="2" t="s">
        <v>281</v>
      </c>
      <c r="M106" s="2" t="s">
        <v>34</v>
      </c>
      <c r="N106" s="2" t="s">
        <v>37</v>
      </c>
      <c r="O106" s="2" t="s">
        <v>38</v>
      </c>
      <c r="P106" s="2" t="s">
        <v>282</v>
      </c>
      <c r="Q106" s="2" t="s">
        <v>283</v>
      </c>
      <c r="R106" s="2" t="s">
        <v>41</v>
      </c>
      <c r="S106" s="2" t="s">
        <v>42</v>
      </c>
      <c r="T106" s="2" t="s">
        <v>62</v>
      </c>
      <c r="U106" s="2" t="s">
        <v>34</v>
      </c>
      <c r="V106" s="2" t="s">
        <v>57</v>
      </c>
      <c r="W106" s="2" t="s">
        <v>34</v>
      </c>
      <c r="X106" s="2" t="s">
        <v>34</v>
      </c>
      <c r="Y106" s="3">
        <v>27.0</v>
      </c>
    </row>
    <row r="107" ht="15.75" customHeight="1">
      <c r="A107" s="2" t="s">
        <v>25</v>
      </c>
      <c r="B107" s="2" t="s">
        <v>26</v>
      </c>
      <c r="C107" s="2" t="s">
        <v>44</v>
      </c>
      <c r="D107" s="2" t="s">
        <v>28</v>
      </c>
      <c r="E107" s="2" t="s">
        <v>29</v>
      </c>
      <c r="F107" s="2" t="s">
        <v>45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284</v>
      </c>
      <c r="L107" s="2" t="s">
        <v>285</v>
      </c>
      <c r="M107" s="2" t="s">
        <v>34</v>
      </c>
      <c r="N107" s="2" t="s">
        <v>37</v>
      </c>
      <c r="O107" s="2" t="s">
        <v>38</v>
      </c>
      <c r="P107" s="2" t="s">
        <v>286</v>
      </c>
      <c r="Q107" s="2" t="s">
        <v>287</v>
      </c>
      <c r="R107" s="2" t="s">
        <v>48</v>
      </c>
      <c r="S107" s="2" t="s">
        <v>42</v>
      </c>
      <c r="T107" s="2" t="s">
        <v>49</v>
      </c>
      <c r="U107" s="2" t="s">
        <v>50</v>
      </c>
      <c r="V107" s="2" t="s">
        <v>57</v>
      </c>
      <c r="W107" s="2" t="s">
        <v>34</v>
      </c>
      <c r="X107" s="2" t="s">
        <v>34</v>
      </c>
      <c r="Y107" s="3">
        <v>3.0</v>
      </c>
    </row>
    <row r="108" ht="15.75" customHeight="1">
      <c r="A108" s="2" t="s">
        <v>25</v>
      </c>
      <c r="B108" s="2" t="s">
        <v>26</v>
      </c>
      <c r="C108" s="2" t="s">
        <v>288</v>
      </c>
      <c r="D108" s="2" t="s">
        <v>28</v>
      </c>
      <c r="E108" s="2" t="s">
        <v>29</v>
      </c>
      <c r="F108" s="2" t="s">
        <v>289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290</v>
      </c>
      <c r="L108" s="2" t="s">
        <v>291</v>
      </c>
      <c r="M108" s="2" t="s">
        <v>34</v>
      </c>
      <c r="N108" s="2" t="s">
        <v>37</v>
      </c>
      <c r="O108" s="2" t="s">
        <v>38</v>
      </c>
      <c r="P108" s="2" t="s">
        <v>292</v>
      </c>
      <c r="Q108" s="2" t="s">
        <v>293</v>
      </c>
      <c r="R108" s="2" t="s">
        <v>41</v>
      </c>
      <c r="S108" s="2" t="s">
        <v>42</v>
      </c>
      <c r="T108" s="2" t="s">
        <v>62</v>
      </c>
      <c r="U108" s="2" t="s">
        <v>34</v>
      </c>
      <c r="V108" s="2" t="s">
        <v>57</v>
      </c>
      <c r="W108" s="2" t="s">
        <v>34</v>
      </c>
      <c r="X108" s="2" t="s">
        <v>34</v>
      </c>
      <c r="Y108" s="3">
        <v>22.0</v>
      </c>
    </row>
    <row r="109" ht="15.75" customHeight="1">
      <c r="A109" s="2" t="s">
        <v>25</v>
      </c>
      <c r="B109" s="2" t="s">
        <v>26</v>
      </c>
      <c r="C109" s="2" t="s">
        <v>44</v>
      </c>
      <c r="D109" s="2" t="s">
        <v>28</v>
      </c>
      <c r="E109" s="2" t="s">
        <v>29</v>
      </c>
      <c r="F109" s="2" t="s">
        <v>45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294</v>
      </c>
      <c r="L109" s="2" t="s">
        <v>295</v>
      </c>
      <c r="M109" s="2" t="s">
        <v>34</v>
      </c>
      <c r="N109" s="2" t="s">
        <v>37</v>
      </c>
      <c r="O109" s="2" t="s">
        <v>38</v>
      </c>
      <c r="P109" s="2" t="s">
        <v>133</v>
      </c>
      <c r="Q109" s="2" t="s">
        <v>134</v>
      </c>
      <c r="R109" s="2" t="s">
        <v>48</v>
      </c>
      <c r="S109" s="2" t="s">
        <v>42</v>
      </c>
      <c r="T109" s="2" t="s">
        <v>49</v>
      </c>
      <c r="U109" s="2" t="s">
        <v>50</v>
      </c>
      <c r="V109" s="2" t="s">
        <v>57</v>
      </c>
      <c r="W109" s="2" t="s">
        <v>34</v>
      </c>
      <c r="X109" s="2" t="s">
        <v>34</v>
      </c>
      <c r="Y109" s="3">
        <v>3.0</v>
      </c>
    </row>
    <row r="110" ht="15.75" customHeight="1">
      <c r="A110" s="2" t="s">
        <v>25</v>
      </c>
      <c r="B110" s="2" t="s">
        <v>26</v>
      </c>
      <c r="C110" s="2" t="s">
        <v>66</v>
      </c>
      <c r="D110" s="2" t="s">
        <v>28</v>
      </c>
      <c r="E110" s="2" t="s">
        <v>29</v>
      </c>
      <c r="F110" s="2" t="s">
        <v>67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296</v>
      </c>
      <c r="L110" s="2" t="s">
        <v>297</v>
      </c>
      <c r="M110" s="2" t="s">
        <v>34</v>
      </c>
      <c r="N110" s="2" t="s">
        <v>37</v>
      </c>
      <c r="O110" s="2" t="s">
        <v>38</v>
      </c>
      <c r="P110" s="2" t="s">
        <v>70</v>
      </c>
      <c r="Q110" s="2" t="s">
        <v>71</v>
      </c>
      <c r="R110" s="2" t="s">
        <v>41</v>
      </c>
      <c r="S110" s="2" t="s">
        <v>42</v>
      </c>
      <c r="T110" s="2" t="s">
        <v>62</v>
      </c>
      <c r="U110" s="2" t="s">
        <v>34</v>
      </c>
      <c r="V110" s="2" t="s">
        <v>57</v>
      </c>
      <c r="W110" s="2" t="s">
        <v>34</v>
      </c>
      <c r="X110" s="2" t="s">
        <v>34</v>
      </c>
      <c r="Y110" s="3">
        <v>22.0</v>
      </c>
    </row>
    <row r="111" ht="15.75" customHeight="1">
      <c r="A111" s="2" t="s">
        <v>25</v>
      </c>
      <c r="B111" s="2" t="s">
        <v>26</v>
      </c>
      <c r="C111" s="2" t="s">
        <v>298</v>
      </c>
      <c r="D111" s="2" t="s">
        <v>28</v>
      </c>
      <c r="E111" s="2" t="s">
        <v>29</v>
      </c>
      <c r="F111" s="2" t="s">
        <v>299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300</v>
      </c>
      <c r="L111" s="2" t="s">
        <v>301</v>
      </c>
      <c r="M111" s="2" t="s">
        <v>34</v>
      </c>
      <c r="N111" s="2" t="s">
        <v>74</v>
      </c>
      <c r="O111" s="2" t="s">
        <v>38</v>
      </c>
      <c r="P111" s="2" t="s">
        <v>302</v>
      </c>
      <c r="Q111" s="2" t="s">
        <v>303</v>
      </c>
      <c r="R111" s="2" t="s">
        <v>41</v>
      </c>
      <c r="S111" s="2" t="s">
        <v>42</v>
      </c>
      <c r="T111" s="2" t="s">
        <v>43</v>
      </c>
      <c r="U111" s="2" t="s">
        <v>34</v>
      </c>
      <c r="V111" s="2" t="s">
        <v>34</v>
      </c>
      <c r="W111" s="2" t="s">
        <v>34</v>
      </c>
      <c r="X111" s="2" t="s">
        <v>34</v>
      </c>
      <c r="Y111" s="3">
        <v>8.29</v>
      </c>
    </row>
    <row r="112" ht="15.75" customHeight="1">
      <c r="A112" s="2" t="s">
        <v>25</v>
      </c>
      <c r="B112" s="2" t="s">
        <v>26</v>
      </c>
      <c r="C112" s="2" t="s">
        <v>44</v>
      </c>
      <c r="D112" s="2" t="s">
        <v>28</v>
      </c>
      <c r="E112" s="2" t="s">
        <v>29</v>
      </c>
      <c r="F112" s="2" t="s">
        <v>45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114</v>
      </c>
      <c r="L112" s="2" t="s">
        <v>115</v>
      </c>
      <c r="M112" s="2" t="s">
        <v>34</v>
      </c>
      <c r="N112" s="2" t="s">
        <v>37</v>
      </c>
      <c r="O112" s="2" t="s">
        <v>38</v>
      </c>
      <c r="P112" s="2" t="s">
        <v>110</v>
      </c>
      <c r="Q112" s="2" t="s">
        <v>111</v>
      </c>
      <c r="R112" s="2" t="s">
        <v>48</v>
      </c>
      <c r="S112" s="2" t="s">
        <v>42</v>
      </c>
      <c r="T112" s="2" t="s">
        <v>49</v>
      </c>
      <c r="U112" s="2" t="s">
        <v>50</v>
      </c>
      <c r="V112" s="2" t="s">
        <v>116</v>
      </c>
      <c r="W112" s="2" t="s">
        <v>34</v>
      </c>
      <c r="X112" s="2" t="s">
        <v>34</v>
      </c>
      <c r="Y112" s="3">
        <v>9.0</v>
      </c>
    </row>
    <row r="113" ht="15.75" customHeight="1">
      <c r="A113" s="2" t="s">
        <v>25</v>
      </c>
      <c r="B113" s="2" t="s">
        <v>26</v>
      </c>
      <c r="C113" s="2" t="s">
        <v>106</v>
      </c>
      <c r="D113" s="2" t="s">
        <v>28</v>
      </c>
      <c r="E113" s="2" t="s">
        <v>29</v>
      </c>
      <c r="F113" s="2" t="s">
        <v>107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304</v>
      </c>
      <c r="L113" s="2" t="s">
        <v>305</v>
      </c>
      <c r="M113" s="2" t="s">
        <v>34</v>
      </c>
      <c r="N113" s="2" t="s">
        <v>75</v>
      </c>
      <c r="O113" s="2" t="s">
        <v>38</v>
      </c>
      <c r="P113" s="2" t="s">
        <v>110</v>
      </c>
      <c r="Q113" s="2" t="s">
        <v>111</v>
      </c>
      <c r="R113" s="2" t="s">
        <v>41</v>
      </c>
      <c r="S113" s="2" t="s">
        <v>42</v>
      </c>
      <c r="T113" s="2" t="s">
        <v>43</v>
      </c>
      <c r="U113" s="2" t="s">
        <v>34</v>
      </c>
      <c r="V113" s="2" t="s">
        <v>34</v>
      </c>
      <c r="W113" s="2" t="s">
        <v>34</v>
      </c>
      <c r="X113" s="2" t="s">
        <v>34</v>
      </c>
      <c r="Y113" s="3">
        <v>23.83</v>
      </c>
    </row>
    <row r="114" ht="15.75" customHeight="1">
      <c r="A114" s="2" t="s">
        <v>25</v>
      </c>
      <c r="B114" s="2" t="s">
        <v>26</v>
      </c>
      <c r="C114" s="2" t="s">
        <v>117</v>
      </c>
      <c r="D114" s="2" t="s">
        <v>28</v>
      </c>
      <c r="E114" s="2" t="s">
        <v>29</v>
      </c>
      <c r="F114" s="2" t="s">
        <v>118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306</v>
      </c>
      <c r="L114" s="2" t="s">
        <v>307</v>
      </c>
      <c r="M114" s="2" t="s">
        <v>34</v>
      </c>
      <c r="N114" s="2" t="s">
        <v>37</v>
      </c>
      <c r="O114" s="2" t="s">
        <v>38</v>
      </c>
      <c r="P114" s="2" t="s">
        <v>121</v>
      </c>
      <c r="Q114" s="2" t="s">
        <v>122</v>
      </c>
      <c r="R114" s="2" t="s">
        <v>41</v>
      </c>
      <c r="S114" s="2" t="s">
        <v>42</v>
      </c>
      <c r="T114" s="2" t="s">
        <v>62</v>
      </c>
      <c r="U114" s="2" t="s">
        <v>34</v>
      </c>
      <c r="V114" s="2" t="s">
        <v>57</v>
      </c>
      <c r="W114" s="2" t="s">
        <v>34</v>
      </c>
      <c r="X114" s="2" t="s">
        <v>34</v>
      </c>
      <c r="Y114" s="3">
        <v>22.0</v>
      </c>
    </row>
    <row r="115" ht="15.75" customHeight="1">
      <c r="A115" s="2" t="s">
        <v>25</v>
      </c>
      <c r="B115" s="2" t="s">
        <v>26</v>
      </c>
      <c r="C115" s="2" t="s">
        <v>58</v>
      </c>
      <c r="D115" s="2" t="s">
        <v>28</v>
      </c>
      <c r="E115" s="2" t="s">
        <v>29</v>
      </c>
      <c r="F115" s="2" t="s">
        <v>59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308</v>
      </c>
      <c r="L115" s="2" t="s">
        <v>309</v>
      </c>
      <c r="M115" s="2" t="s">
        <v>34</v>
      </c>
      <c r="N115" s="2" t="s">
        <v>37</v>
      </c>
      <c r="O115" s="2" t="s">
        <v>38</v>
      </c>
      <c r="P115" s="2" t="s">
        <v>55</v>
      </c>
      <c r="Q115" s="2" t="s">
        <v>56</v>
      </c>
      <c r="R115" s="2" t="s">
        <v>41</v>
      </c>
      <c r="S115" s="2" t="s">
        <v>42</v>
      </c>
      <c r="T115" s="2" t="s">
        <v>62</v>
      </c>
      <c r="U115" s="2" t="s">
        <v>34</v>
      </c>
      <c r="V115" s="2" t="s">
        <v>57</v>
      </c>
      <c r="W115" s="2" t="s">
        <v>34</v>
      </c>
      <c r="X115" s="2" t="s">
        <v>34</v>
      </c>
      <c r="Y115" s="3">
        <v>20.0</v>
      </c>
    </row>
    <row r="116" ht="15.75" customHeight="1">
      <c r="A116" s="2" t="s">
        <v>25</v>
      </c>
      <c r="B116" s="2" t="s">
        <v>26</v>
      </c>
      <c r="C116" s="2" t="s">
        <v>44</v>
      </c>
      <c r="D116" s="2" t="s">
        <v>28</v>
      </c>
      <c r="E116" s="2" t="s">
        <v>29</v>
      </c>
      <c r="F116" s="2" t="s">
        <v>45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310</v>
      </c>
      <c r="L116" s="2" t="s">
        <v>311</v>
      </c>
      <c r="M116" s="2" t="s">
        <v>34</v>
      </c>
      <c r="N116" s="2" t="s">
        <v>37</v>
      </c>
      <c r="O116" s="2" t="s">
        <v>38</v>
      </c>
      <c r="P116" s="2" t="s">
        <v>55</v>
      </c>
      <c r="Q116" s="2" t="s">
        <v>56</v>
      </c>
      <c r="R116" s="2" t="s">
        <v>48</v>
      </c>
      <c r="S116" s="2" t="s">
        <v>42</v>
      </c>
      <c r="T116" s="2" t="s">
        <v>49</v>
      </c>
      <c r="U116" s="2" t="s">
        <v>50</v>
      </c>
      <c r="V116" s="2" t="s">
        <v>57</v>
      </c>
      <c r="W116" s="2" t="s">
        <v>34</v>
      </c>
      <c r="X116" s="2" t="s">
        <v>34</v>
      </c>
      <c r="Y116" s="3">
        <v>3.0</v>
      </c>
    </row>
    <row r="117" ht="15.75" customHeight="1">
      <c r="A117" s="2" t="s">
        <v>25</v>
      </c>
      <c r="B117" s="2" t="s">
        <v>26</v>
      </c>
      <c r="C117" s="2" t="s">
        <v>58</v>
      </c>
      <c r="D117" s="2" t="s">
        <v>28</v>
      </c>
      <c r="E117" s="2" t="s">
        <v>29</v>
      </c>
      <c r="F117" s="2" t="s">
        <v>59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312</v>
      </c>
      <c r="L117" s="2" t="s">
        <v>313</v>
      </c>
      <c r="M117" s="2" t="s">
        <v>34</v>
      </c>
      <c r="N117" s="2" t="s">
        <v>37</v>
      </c>
      <c r="O117" s="2" t="s">
        <v>38</v>
      </c>
      <c r="P117" s="2" t="s">
        <v>55</v>
      </c>
      <c r="Q117" s="2" t="s">
        <v>56</v>
      </c>
      <c r="R117" s="2" t="s">
        <v>41</v>
      </c>
      <c r="S117" s="2" t="s">
        <v>42</v>
      </c>
      <c r="T117" s="2" t="s">
        <v>62</v>
      </c>
      <c r="U117" s="2" t="s">
        <v>34</v>
      </c>
      <c r="V117" s="2" t="s">
        <v>51</v>
      </c>
      <c r="W117" s="2" t="s">
        <v>34</v>
      </c>
      <c r="X117" s="2" t="s">
        <v>34</v>
      </c>
      <c r="Y117" s="3">
        <v>40.0</v>
      </c>
    </row>
    <row r="118" ht="15.75" customHeight="1">
      <c r="A118" s="2" t="s">
        <v>25</v>
      </c>
      <c r="B118" s="2" t="s">
        <v>26</v>
      </c>
      <c r="C118" s="2" t="s">
        <v>44</v>
      </c>
      <c r="D118" s="2" t="s">
        <v>28</v>
      </c>
      <c r="E118" s="2" t="s">
        <v>29</v>
      </c>
      <c r="F118" s="2" t="s">
        <v>45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229</v>
      </c>
      <c r="L118" s="2" t="s">
        <v>230</v>
      </c>
      <c r="M118" s="2" t="s">
        <v>34</v>
      </c>
      <c r="N118" s="2" t="s">
        <v>37</v>
      </c>
      <c r="O118" s="2" t="s">
        <v>38</v>
      </c>
      <c r="P118" s="2" t="s">
        <v>55</v>
      </c>
      <c r="Q118" s="2" t="s">
        <v>56</v>
      </c>
      <c r="R118" s="2" t="s">
        <v>48</v>
      </c>
      <c r="S118" s="2" t="s">
        <v>42</v>
      </c>
      <c r="T118" s="2" t="s">
        <v>49</v>
      </c>
      <c r="U118" s="2" t="s">
        <v>50</v>
      </c>
      <c r="V118" s="2" t="s">
        <v>51</v>
      </c>
      <c r="W118" s="2" t="s">
        <v>34</v>
      </c>
      <c r="X118" s="2" t="s">
        <v>34</v>
      </c>
      <c r="Y118" s="3">
        <v>6.0</v>
      </c>
    </row>
    <row r="119" ht="15.75" customHeight="1">
      <c r="A119" s="2" t="s">
        <v>25</v>
      </c>
      <c r="B119" s="2" t="s">
        <v>26</v>
      </c>
      <c r="C119" s="2" t="s">
        <v>58</v>
      </c>
      <c r="D119" s="2" t="s">
        <v>28</v>
      </c>
      <c r="E119" s="2" t="s">
        <v>29</v>
      </c>
      <c r="F119" s="2" t="s">
        <v>59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189</v>
      </c>
      <c r="L119" s="2" t="s">
        <v>190</v>
      </c>
      <c r="M119" s="2" t="s">
        <v>34</v>
      </c>
      <c r="N119" s="2" t="s">
        <v>37</v>
      </c>
      <c r="O119" s="2" t="s">
        <v>38</v>
      </c>
      <c r="P119" s="2" t="s">
        <v>55</v>
      </c>
      <c r="Q119" s="2" t="s">
        <v>56</v>
      </c>
      <c r="R119" s="2" t="s">
        <v>41</v>
      </c>
      <c r="S119" s="2" t="s">
        <v>42</v>
      </c>
      <c r="T119" s="2" t="s">
        <v>62</v>
      </c>
      <c r="U119" s="2" t="s">
        <v>34</v>
      </c>
      <c r="V119" s="2" t="s">
        <v>57</v>
      </c>
      <c r="W119" s="2" t="s">
        <v>34</v>
      </c>
      <c r="X119" s="2" t="s">
        <v>34</v>
      </c>
      <c r="Y119" s="3">
        <v>20.0</v>
      </c>
    </row>
    <row r="120" ht="15.75" customHeight="1">
      <c r="A120" s="2" t="s">
        <v>25</v>
      </c>
      <c r="B120" s="2" t="s">
        <v>26</v>
      </c>
      <c r="C120" s="2" t="s">
        <v>58</v>
      </c>
      <c r="D120" s="2" t="s">
        <v>28</v>
      </c>
      <c r="E120" s="2" t="s">
        <v>29</v>
      </c>
      <c r="F120" s="2" t="s">
        <v>59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314</v>
      </c>
      <c r="L120" s="2" t="s">
        <v>315</v>
      </c>
      <c r="M120" s="2" t="s">
        <v>34</v>
      </c>
      <c r="N120" s="2" t="s">
        <v>37</v>
      </c>
      <c r="O120" s="2" t="s">
        <v>38</v>
      </c>
      <c r="P120" s="2" t="s">
        <v>55</v>
      </c>
      <c r="Q120" s="2" t="s">
        <v>56</v>
      </c>
      <c r="R120" s="2" t="s">
        <v>41</v>
      </c>
      <c r="S120" s="2" t="s">
        <v>42</v>
      </c>
      <c r="T120" s="2" t="s">
        <v>62</v>
      </c>
      <c r="U120" s="2" t="s">
        <v>34</v>
      </c>
      <c r="V120" s="2" t="s">
        <v>57</v>
      </c>
      <c r="W120" s="2" t="s">
        <v>34</v>
      </c>
      <c r="X120" s="2" t="s">
        <v>34</v>
      </c>
      <c r="Y120" s="3">
        <v>20.0</v>
      </c>
    </row>
    <row r="121" ht="15.75" customHeight="1">
      <c r="A121" s="2" t="s">
        <v>25</v>
      </c>
      <c r="B121" s="2" t="s">
        <v>26</v>
      </c>
      <c r="C121" s="2" t="s">
        <v>58</v>
      </c>
      <c r="D121" s="2" t="s">
        <v>28</v>
      </c>
      <c r="E121" s="2" t="s">
        <v>29</v>
      </c>
      <c r="F121" s="2" t="s">
        <v>59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316</v>
      </c>
      <c r="L121" s="2" t="s">
        <v>317</v>
      </c>
      <c r="M121" s="2" t="s">
        <v>34</v>
      </c>
      <c r="N121" s="2" t="s">
        <v>37</v>
      </c>
      <c r="O121" s="2" t="s">
        <v>38</v>
      </c>
      <c r="P121" s="2" t="s">
        <v>55</v>
      </c>
      <c r="Q121" s="2" t="s">
        <v>56</v>
      </c>
      <c r="R121" s="2" t="s">
        <v>41</v>
      </c>
      <c r="S121" s="2" t="s">
        <v>42</v>
      </c>
      <c r="T121" s="2" t="s">
        <v>62</v>
      </c>
      <c r="U121" s="2" t="s">
        <v>34</v>
      </c>
      <c r="V121" s="2" t="s">
        <v>51</v>
      </c>
      <c r="W121" s="2" t="s">
        <v>34</v>
      </c>
      <c r="X121" s="2" t="s">
        <v>34</v>
      </c>
      <c r="Y121" s="3">
        <v>40.0</v>
      </c>
    </row>
    <row r="122" ht="15.75" customHeight="1">
      <c r="A122" s="2" t="s">
        <v>25</v>
      </c>
      <c r="B122" s="2" t="s">
        <v>26</v>
      </c>
      <c r="C122" s="2" t="s">
        <v>58</v>
      </c>
      <c r="D122" s="2" t="s">
        <v>28</v>
      </c>
      <c r="E122" s="2" t="s">
        <v>29</v>
      </c>
      <c r="F122" s="2" t="s">
        <v>59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318</v>
      </c>
      <c r="L122" s="2" t="s">
        <v>319</v>
      </c>
      <c r="M122" s="2" t="s">
        <v>34</v>
      </c>
      <c r="N122" s="2" t="s">
        <v>74</v>
      </c>
      <c r="O122" s="2" t="s">
        <v>38</v>
      </c>
      <c r="P122" s="2" t="s">
        <v>55</v>
      </c>
      <c r="Q122" s="2" t="s">
        <v>56</v>
      </c>
      <c r="R122" s="2" t="s">
        <v>41</v>
      </c>
      <c r="S122" s="2" t="s">
        <v>42</v>
      </c>
      <c r="T122" s="2" t="s">
        <v>43</v>
      </c>
      <c r="U122" s="2" t="s">
        <v>34</v>
      </c>
      <c r="V122" s="2" t="s">
        <v>34</v>
      </c>
      <c r="W122" s="2" t="s">
        <v>34</v>
      </c>
      <c r="X122" s="2" t="s">
        <v>34</v>
      </c>
      <c r="Y122" s="3">
        <v>4.31</v>
      </c>
    </row>
    <row r="123" ht="15.75" customHeight="1">
      <c r="A123" s="2" t="s">
        <v>25</v>
      </c>
      <c r="B123" s="2" t="s">
        <v>26</v>
      </c>
      <c r="C123" s="2" t="s">
        <v>44</v>
      </c>
      <c r="D123" s="2" t="s">
        <v>28</v>
      </c>
      <c r="E123" s="2" t="s">
        <v>29</v>
      </c>
      <c r="F123" s="2" t="s">
        <v>45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52</v>
      </c>
      <c r="L123" s="2" t="s">
        <v>53</v>
      </c>
      <c r="M123" s="2" t="s">
        <v>34</v>
      </c>
      <c r="N123" s="2" t="s">
        <v>54</v>
      </c>
      <c r="O123" s="2" t="s">
        <v>38</v>
      </c>
      <c r="P123" s="2" t="s">
        <v>55</v>
      </c>
      <c r="Q123" s="2" t="s">
        <v>56</v>
      </c>
      <c r="R123" s="2" t="s">
        <v>48</v>
      </c>
      <c r="S123" s="2" t="s">
        <v>42</v>
      </c>
      <c r="T123" s="2" t="s">
        <v>49</v>
      </c>
      <c r="U123" s="2" t="s">
        <v>50</v>
      </c>
      <c r="V123" s="2" t="s">
        <v>51</v>
      </c>
      <c r="W123" s="2" t="s">
        <v>34</v>
      </c>
      <c r="X123" s="2" t="s">
        <v>34</v>
      </c>
      <c r="Y123" s="3">
        <v>6.0</v>
      </c>
    </row>
    <row r="124" ht="15.75" customHeight="1">
      <c r="A124" s="2" t="s">
        <v>25</v>
      </c>
      <c r="B124" s="2" t="s">
        <v>26</v>
      </c>
      <c r="C124" s="2" t="s">
        <v>58</v>
      </c>
      <c r="D124" s="2" t="s">
        <v>28</v>
      </c>
      <c r="E124" s="2" t="s">
        <v>29</v>
      </c>
      <c r="F124" s="2" t="s">
        <v>59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145</v>
      </c>
      <c r="L124" s="2" t="s">
        <v>146</v>
      </c>
      <c r="M124" s="2" t="s">
        <v>34</v>
      </c>
      <c r="N124" s="2" t="s">
        <v>37</v>
      </c>
      <c r="O124" s="2" t="s">
        <v>38</v>
      </c>
      <c r="P124" s="2" t="s">
        <v>55</v>
      </c>
      <c r="Q124" s="2" t="s">
        <v>56</v>
      </c>
      <c r="R124" s="2" t="s">
        <v>41</v>
      </c>
      <c r="S124" s="2" t="s">
        <v>42</v>
      </c>
      <c r="T124" s="2" t="s">
        <v>62</v>
      </c>
      <c r="U124" s="2" t="s">
        <v>34</v>
      </c>
      <c r="V124" s="2" t="s">
        <v>57</v>
      </c>
      <c r="W124" s="2" t="s">
        <v>34</v>
      </c>
      <c r="X124" s="2" t="s">
        <v>34</v>
      </c>
      <c r="Y124" s="3">
        <v>20.0</v>
      </c>
    </row>
    <row r="125" ht="15.75" customHeight="1">
      <c r="A125" s="2" t="s">
        <v>25</v>
      </c>
      <c r="B125" s="2" t="s">
        <v>26</v>
      </c>
      <c r="C125" s="2" t="s">
        <v>44</v>
      </c>
      <c r="D125" s="2" t="s">
        <v>28</v>
      </c>
      <c r="E125" s="2" t="s">
        <v>29</v>
      </c>
      <c r="F125" s="2" t="s">
        <v>45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193</v>
      </c>
      <c r="L125" s="2" t="s">
        <v>194</v>
      </c>
      <c r="M125" s="2" t="s">
        <v>34</v>
      </c>
      <c r="N125" s="2" t="s">
        <v>37</v>
      </c>
      <c r="O125" s="2" t="s">
        <v>38</v>
      </c>
      <c r="P125" s="2" t="s">
        <v>161</v>
      </c>
      <c r="Q125" s="2" t="s">
        <v>162</v>
      </c>
      <c r="R125" s="2" t="s">
        <v>48</v>
      </c>
      <c r="S125" s="2" t="s">
        <v>42</v>
      </c>
      <c r="T125" s="2" t="s">
        <v>49</v>
      </c>
      <c r="U125" s="2" t="s">
        <v>50</v>
      </c>
      <c r="V125" s="2" t="s">
        <v>51</v>
      </c>
      <c r="W125" s="2" t="s">
        <v>34</v>
      </c>
      <c r="X125" s="2" t="s">
        <v>34</v>
      </c>
      <c r="Y125" s="3">
        <v>6.0</v>
      </c>
    </row>
    <row r="126" ht="15.75" customHeight="1">
      <c r="A126" s="2" t="s">
        <v>25</v>
      </c>
      <c r="B126" s="2" t="s">
        <v>26</v>
      </c>
      <c r="C126" s="2" t="s">
        <v>44</v>
      </c>
      <c r="D126" s="2" t="s">
        <v>28</v>
      </c>
      <c r="E126" s="2" t="s">
        <v>29</v>
      </c>
      <c r="F126" s="2" t="s">
        <v>45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159</v>
      </c>
      <c r="L126" s="2" t="s">
        <v>160</v>
      </c>
      <c r="M126" s="2" t="s">
        <v>34</v>
      </c>
      <c r="N126" s="2" t="s">
        <v>75</v>
      </c>
      <c r="O126" s="2" t="s">
        <v>38</v>
      </c>
      <c r="P126" s="2" t="s">
        <v>161</v>
      </c>
      <c r="Q126" s="2" t="s">
        <v>162</v>
      </c>
      <c r="R126" s="2" t="s">
        <v>48</v>
      </c>
      <c r="S126" s="2" t="s">
        <v>42</v>
      </c>
      <c r="T126" s="2" t="s">
        <v>49</v>
      </c>
      <c r="U126" s="2" t="s">
        <v>50</v>
      </c>
      <c r="V126" s="2" t="s">
        <v>65</v>
      </c>
      <c r="W126" s="2" t="s">
        <v>34</v>
      </c>
      <c r="X126" s="2" t="s">
        <v>34</v>
      </c>
      <c r="Y126" s="3">
        <v>12.0</v>
      </c>
    </row>
    <row r="127" ht="15.75" customHeight="1">
      <c r="A127" s="2" t="s">
        <v>25</v>
      </c>
      <c r="B127" s="2" t="s">
        <v>26</v>
      </c>
      <c r="C127" s="2" t="s">
        <v>44</v>
      </c>
      <c r="D127" s="2" t="s">
        <v>28</v>
      </c>
      <c r="E127" s="2" t="s">
        <v>29</v>
      </c>
      <c r="F127" s="2" t="s">
        <v>45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320</v>
      </c>
      <c r="L127" s="2" t="s">
        <v>321</v>
      </c>
      <c r="M127" s="2" t="s">
        <v>34</v>
      </c>
      <c r="N127" s="2" t="s">
        <v>74</v>
      </c>
      <c r="O127" s="2" t="s">
        <v>38</v>
      </c>
      <c r="P127" s="2" t="s">
        <v>39</v>
      </c>
      <c r="Q127" s="2" t="s">
        <v>40</v>
      </c>
      <c r="R127" s="2" t="s">
        <v>48</v>
      </c>
      <c r="S127" s="2" t="s">
        <v>42</v>
      </c>
      <c r="T127" s="2" t="s">
        <v>49</v>
      </c>
      <c r="U127" s="2" t="s">
        <v>50</v>
      </c>
      <c r="V127" s="2" t="s">
        <v>116</v>
      </c>
      <c r="W127" s="2" t="s">
        <v>34</v>
      </c>
      <c r="X127" s="2" t="s">
        <v>34</v>
      </c>
      <c r="Y127" s="3">
        <v>9.0</v>
      </c>
    </row>
    <row r="128" ht="15.75" customHeight="1">
      <c r="A128" s="2" t="s">
        <v>25</v>
      </c>
      <c r="B128" s="2" t="s">
        <v>26</v>
      </c>
      <c r="C128" s="2" t="s">
        <v>44</v>
      </c>
      <c r="D128" s="2" t="s">
        <v>28</v>
      </c>
      <c r="E128" s="2" t="s">
        <v>29</v>
      </c>
      <c r="F128" s="2" t="s">
        <v>45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322</v>
      </c>
      <c r="L128" s="2" t="s">
        <v>323</v>
      </c>
      <c r="M128" s="2" t="s">
        <v>34</v>
      </c>
      <c r="N128" s="2" t="s">
        <v>37</v>
      </c>
      <c r="O128" s="2" t="s">
        <v>38</v>
      </c>
      <c r="P128" s="2" t="s">
        <v>39</v>
      </c>
      <c r="Q128" s="2" t="s">
        <v>40</v>
      </c>
      <c r="R128" s="2" t="s">
        <v>48</v>
      </c>
      <c r="S128" s="2" t="s">
        <v>42</v>
      </c>
      <c r="T128" s="2" t="s">
        <v>49</v>
      </c>
      <c r="U128" s="2" t="s">
        <v>50</v>
      </c>
      <c r="V128" s="2" t="s">
        <v>51</v>
      </c>
      <c r="W128" s="2" t="s">
        <v>34</v>
      </c>
      <c r="X128" s="2" t="s">
        <v>34</v>
      </c>
      <c r="Y128" s="3">
        <v>6.0</v>
      </c>
    </row>
    <row r="129" ht="15.75" customHeight="1">
      <c r="A129" s="2" t="s">
        <v>25</v>
      </c>
      <c r="B129" s="2" t="s">
        <v>26</v>
      </c>
      <c r="C129" s="2" t="s">
        <v>44</v>
      </c>
      <c r="D129" s="2" t="s">
        <v>28</v>
      </c>
      <c r="E129" s="2" t="s">
        <v>29</v>
      </c>
      <c r="F129" s="2" t="s">
        <v>45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267</v>
      </c>
      <c r="L129" s="2" t="s">
        <v>268</v>
      </c>
      <c r="M129" s="2" t="s">
        <v>34</v>
      </c>
      <c r="N129" s="2" t="s">
        <v>37</v>
      </c>
      <c r="O129" s="2" t="s">
        <v>38</v>
      </c>
      <c r="P129" s="2" t="s">
        <v>39</v>
      </c>
      <c r="Q129" s="2" t="s">
        <v>40</v>
      </c>
      <c r="R129" s="2" t="s">
        <v>48</v>
      </c>
      <c r="S129" s="2" t="s">
        <v>42</v>
      </c>
      <c r="T129" s="2" t="s">
        <v>49</v>
      </c>
      <c r="U129" s="2" t="s">
        <v>50</v>
      </c>
      <c r="V129" s="2" t="s">
        <v>57</v>
      </c>
      <c r="W129" s="2" t="s">
        <v>34</v>
      </c>
      <c r="X129" s="2" t="s">
        <v>34</v>
      </c>
      <c r="Y129" s="3">
        <v>3.0</v>
      </c>
    </row>
    <row r="130" ht="15.75" customHeight="1">
      <c r="A130" s="2" t="s">
        <v>25</v>
      </c>
      <c r="B130" s="2" t="s">
        <v>26</v>
      </c>
      <c r="C130" s="2" t="s">
        <v>27</v>
      </c>
      <c r="D130" s="2" t="s">
        <v>28</v>
      </c>
      <c r="E130" s="2" t="s">
        <v>29</v>
      </c>
      <c r="F130" s="2" t="s">
        <v>30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324</v>
      </c>
      <c r="L130" s="2" t="s">
        <v>325</v>
      </c>
      <c r="M130" s="2" t="s">
        <v>34</v>
      </c>
      <c r="N130" s="2" t="s">
        <v>37</v>
      </c>
      <c r="O130" s="2" t="s">
        <v>38</v>
      </c>
      <c r="P130" s="2" t="s">
        <v>39</v>
      </c>
      <c r="Q130" s="2" t="s">
        <v>40</v>
      </c>
      <c r="R130" s="2" t="s">
        <v>41</v>
      </c>
      <c r="S130" s="2" t="s">
        <v>42</v>
      </c>
      <c r="T130" s="2" t="s">
        <v>62</v>
      </c>
      <c r="U130" s="2" t="s">
        <v>34</v>
      </c>
      <c r="V130" s="2" t="s">
        <v>57</v>
      </c>
      <c r="W130" s="2" t="s">
        <v>34</v>
      </c>
      <c r="X130" s="2" t="s">
        <v>34</v>
      </c>
      <c r="Y130" s="3">
        <v>-20.0</v>
      </c>
    </row>
    <row r="131" ht="15.75" customHeight="1">
      <c r="A131" s="2" t="s">
        <v>25</v>
      </c>
      <c r="B131" s="2" t="s">
        <v>26</v>
      </c>
      <c r="C131" s="2" t="s">
        <v>44</v>
      </c>
      <c r="D131" s="2" t="s">
        <v>28</v>
      </c>
      <c r="E131" s="2" t="s">
        <v>29</v>
      </c>
      <c r="F131" s="2" t="s">
        <v>45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326</v>
      </c>
      <c r="L131" s="2" t="s">
        <v>327</v>
      </c>
      <c r="M131" s="2" t="s">
        <v>34</v>
      </c>
      <c r="N131" s="2" t="s">
        <v>37</v>
      </c>
      <c r="O131" s="2" t="s">
        <v>38</v>
      </c>
      <c r="P131" s="2" t="s">
        <v>39</v>
      </c>
      <c r="Q131" s="2" t="s">
        <v>40</v>
      </c>
      <c r="R131" s="2" t="s">
        <v>48</v>
      </c>
      <c r="S131" s="2" t="s">
        <v>42</v>
      </c>
      <c r="T131" s="2" t="s">
        <v>49</v>
      </c>
      <c r="U131" s="2" t="s">
        <v>50</v>
      </c>
      <c r="V131" s="2" t="s">
        <v>57</v>
      </c>
      <c r="W131" s="2" t="s">
        <v>34</v>
      </c>
      <c r="X131" s="2" t="s">
        <v>34</v>
      </c>
      <c r="Y131" s="3">
        <v>3.0</v>
      </c>
    </row>
    <row r="132" ht="15.75" customHeight="1">
      <c r="A132" s="2" t="s">
        <v>25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30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247</v>
      </c>
      <c r="L132" s="2" t="s">
        <v>248</v>
      </c>
      <c r="M132" s="2" t="s">
        <v>34</v>
      </c>
      <c r="N132" s="2" t="s">
        <v>249</v>
      </c>
      <c r="O132" s="2" t="s">
        <v>250</v>
      </c>
      <c r="P132" s="2" t="s">
        <v>39</v>
      </c>
      <c r="Q132" s="2" t="s">
        <v>40</v>
      </c>
      <c r="R132" s="2" t="s">
        <v>41</v>
      </c>
      <c r="S132" s="2" t="s">
        <v>42</v>
      </c>
      <c r="T132" s="2" t="s">
        <v>62</v>
      </c>
      <c r="U132" s="2" t="s">
        <v>34</v>
      </c>
      <c r="V132" s="2" t="s">
        <v>57</v>
      </c>
      <c r="W132" s="2" t="s">
        <v>34</v>
      </c>
      <c r="X132" s="2" t="s">
        <v>34</v>
      </c>
      <c r="Y132" s="3">
        <v>20.0</v>
      </c>
    </row>
    <row r="133" ht="15.75" customHeight="1">
      <c r="A133" s="2" t="s">
        <v>25</v>
      </c>
      <c r="B133" s="2" t="s">
        <v>26</v>
      </c>
      <c r="C133" s="2" t="s">
        <v>44</v>
      </c>
      <c r="D133" s="2" t="s">
        <v>28</v>
      </c>
      <c r="E133" s="2" t="s">
        <v>29</v>
      </c>
      <c r="F133" s="2" t="s">
        <v>45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35</v>
      </c>
      <c r="L133" s="2" t="s">
        <v>36</v>
      </c>
      <c r="M133" s="2" t="s">
        <v>34</v>
      </c>
      <c r="N133" s="2" t="s">
        <v>37</v>
      </c>
      <c r="O133" s="2" t="s">
        <v>38</v>
      </c>
      <c r="P133" s="2" t="s">
        <v>39</v>
      </c>
      <c r="Q133" s="2" t="s">
        <v>40</v>
      </c>
      <c r="R133" s="2" t="s">
        <v>48</v>
      </c>
      <c r="S133" s="2" t="s">
        <v>42</v>
      </c>
      <c r="T133" s="2" t="s">
        <v>49</v>
      </c>
      <c r="U133" s="2" t="s">
        <v>50</v>
      </c>
      <c r="V133" s="2" t="s">
        <v>51</v>
      </c>
      <c r="W133" s="2" t="s">
        <v>34</v>
      </c>
      <c r="X133" s="2" t="s">
        <v>34</v>
      </c>
      <c r="Y133" s="3">
        <v>6.0</v>
      </c>
    </row>
    <row r="134" ht="15.75" customHeight="1">
      <c r="A134" s="2" t="s">
        <v>25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30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257</v>
      </c>
      <c r="L134" s="2" t="s">
        <v>258</v>
      </c>
      <c r="M134" s="2" t="s">
        <v>34</v>
      </c>
      <c r="N134" s="2" t="s">
        <v>37</v>
      </c>
      <c r="O134" s="2" t="s">
        <v>38</v>
      </c>
      <c r="P134" s="2" t="s">
        <v>39</v>
      </c>
      <c r="Q134" s="2" t="s">
        <v>40</v>
      </c>
      <c r="R134" s="2" t="s">
        <v>41</v>
      </c>
      <c r="S134" s="2" t="s">
        <v>42</v>
      </c>
      <c r="T134" s="2" t="s">
        <v>62</v>
      </c>
      <c r="U134" s="2" t="s">
        <v>34</v>
      </c>
      <c r="V134" s="2" t="s">
        <v>57</v>
      </c>
      <c r="W134" s="2" t="s">
        <v>34</v>
      </c>
      <c r="X134" s="2" t="s">
        <v>34</v>
      </c>
      <c r="Y134" s="3">
        <v>-20.0</v>
      </c>
    </row>
    <row r="135" ht="15.75" customHeight="1">
      <c r="A135" s="2" t="s">
        <v>25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328</v>
      </c>
      <c r="L135" s="2" t="s">
        <v>329</v>
      </c>
      <c r="M135" s="2" t="s">
        <v>34</v>
      </c>
      <c r="N135" s="2" t="s">
        <v>37</v>
      </c>
      <c r="O135" s="2" t="s">
        <v>38</v>
      </c>
      <c r="P135" s="2" t="s">
        <v>39</v>
      </c>
      <c r="Q135" s="2" t="s">
        <v>40</v>
      </c>
      <c r="R135" s="2" t="s">
        <v>41</v>
      </c>
      <c r="S135" s="2" t="s">
        <v>42</v>
      </c>
      <c r="T135" s="2" t="s">
        <v>62</v>
      </c>
      <c r="U135" s="2" t="s">
        <v>34</v>
      </c>
      <c r="V135" s="2" t="s">
        <v>51</v>
      </c>
      <c r="W135" s="2" t="s">
        <v>34</v>
      </c>
      <c r="X135" s="2" t="s">
        <v>34</v>
      </c>
      <c r="Y135" s="3">
        <v>40.0</v>
      </c>
    </row>
    <row r="136" ht="15.75" customHeight="1">
      <c r="A136" s="2" t="s">
        <v>25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30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88</v>
      </c>
      <c r="L136" s="2" t="s">
        <v>89</v>
      </c>
      <c r="M136" s="2" t="s">
        <v>34</v>
      </c>
      <c r="N136" s="2" t="s">
        <v>37</v>
      </c>
      <c r="O136" s="2" t="s">
        <v>38</v>
      </c>
      <c r="P136" s="2" t="s">
        <v>39</v>
      </c>
      <c r="Q136" s="2" t="s">
        <v>40</v>
      </c>
      <c r="R136" s="2" t="s">
        <v>41</v>
      </c>
      <c r="S136" s="2" t="s">
        <v>42</v>
      </c>
      <c r="T136" s="2" t="s">
        <v>62</v>
      </c>
      <c r="U136" s="2" t="s">
        <v>34</v>
      </c>
      <c r="V136" s="2" t="s">
        <v>57</v>
      </c>
      <c r="W136" s="2" t="s">
        <v>34</v>
      </c>
      <c r="X136" s="2" t="s">
        <v>34</v>
      </c>
      <c r="Y136" s="3">
        <v>20.0</v>
      </c>
    </row>
    <row r="137" ht="15.75" customHeight="1">
      <c r="A137" s="2" t="s">
        <v>25</v>
      </c>
      <c r="B137" s="2" t="s">
        <v>26</v>
      </c>
      <c r="C137" s="2" t="s">
        <v>27</v>
      </c>
      <c r="D137" s="2" t="s">
        <v>28</v>
      </c>
      <c r="E137" s="2" t="s">
        <v>29</v>
      </c>
      <c r="F137" s="2" t="s">
        <v>30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330</v>
      </c>
      <c r="L137" s="2" t="s">
        <v>331</v>
      </c>
      <c r="M137" s="2" t="s">
        <v>34</v>
      </c>
      <c r="N137" s="2" t="s">
        <v>37</v>
      </c>
      <c r="O137" s="2" t="s">
        <v>38</v>
      </c>
      <c r="P137" s="2" t="s">
        <v>39</v>
      </c>
      <c r="Q137" s="2" t="s">
        <v>40</v>
      </c>
      <c r="R137" s="2" t="s">
        <v>41</v>
      </c>
      <c r="S137" s="2" t="s">
        <v>42</v>
      </c>
      <c r="T137" s="2" t="s">
        <v>62</v>
      </c>
      <c r="U137" s="2" t="s">
        <v>34</v>
      </c>
      <c r="V137" s="2" t="s">
        <v>57</v>
      </c>
      <c r="W137" s="2" t="s">
        <v>34</v>
      </c>
      <c r="X137" s="2" t="s">
        <v>34</v>
      </c>
      <c r="Y137" s="3">
        <v>20.0</v>
      </c>
    </row>
    <row r="138" ht="15.75" customHeight="1">
      <c r="A138" s="2" t="s">
        <v>25</v>
      </c>
      <c r="B138" s="2" t="s">
        <v>26</v>
      </c>
      <c r="C138" s="2" t="s">
        <v>27</v>
      </c>
      <c r="D138" s="2" t="s">
        <v>28</v>
      </c>
      <c r="E138" s="2" t="s">
        <v>29</v>
      </c>
      <c r="F138" s="2" t="s">
        <v>30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332</v>
      </c>
      <c r="L138" s="2" t="s">
        <v>333</v>
      </c>
      <c r="M138" s="2" t="s">
        <v>34</v>
      </c>
      <c r="N138" s="2" t="s">
        <v>37</v>
      </c>
      <c r="O138" s="2" t="s">
        <v>38</v>
      </c>
      <c r="P138" s="2" t="s">
        <v>39</v>
      </c>
      <c r="Q138" s="2" t="s">
        <v>40</v>
      </c>
      <c r="R138" s="2" t="s">
        <v>41</v>
      </c>
      <c r="S138" s="2" t="s">
        <v>42</v>
      </c>
      <c r="T138" s="2" t="s">
        <v>62</v>
      </c>
      <c r="U138" s="2" t="s">
        <v>34</v>
      </c>
      <c r="V138" s="2" t="s">
        <v>57</v>
      </c>
      <c r="W138" s="2" t="s">
        <v>34</v>
      </c>
      <c r="X138" s="2" t="s">
        <v>34</v>
      </c>
      <c r="Y138" s="3">
        <v>20.0</v>
      </c>
    </row>
    <row r="139" ht="15.75" customHeight="1">
      <c r="A139" s="2" t="s">
        <v>25</v>
      </c>
      <c r="B139" s="2" t="s">
        <v>26</v>
      </c>
      <c r="C139" s="2" t="s">
        <v>44</v>
      </c>
      <c r="D139" s="2" t="s">
        <v>28</v>
      </c>
      <c r="E139" s="2" t="s">
        <v>29</v>
      </c>
      <c r="F139" s="2" t="s">
        <v>45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334</v>
      </c>
      <c r="L139" s="2" t="s">
        <v>335</v>
      </c>
      <c r="M139" s="2" t="s">
        <v>34</v>
      </c>
      <c r="N139" s="2" t="s">
        <v>37</v>
      </c>
      <c r="O139" s="2" t="s">
        <v>38</v>
      </c>
      <c r="P139" s="2" t="s">
        <v>336</v>
      </c>
      <c r="Q139" s="2" t="s">
        <v>337</v>
      </c>
      <c r="R139" s="2" t="s">
        <v>48</v>
      </c>
      <c r="S139" s="2" t="s">
        <v>42</v>
      </c>
      <c r="T139" s="2" t="s">
        <v>49</v>
      </c>
      <c r="U139" s="2" t="s">
        <v>50</v>
      </c>
      <c r="V139" s="2" t="s">
        <v>338</v>
      </c>
      <c r="W139" s="2" t="s">
        <v>34</v>
      </c>
      <c r="X139" s="2" t="s">
        <v>34</v>
      </c>
      <c r="Y139" s="3">
        <v>15.0</v>
      </c>
    </row>
    <row r="140" ht="15.75" customHeight="1">
      <c r="A140" s="2" t="s">
        <v>25</v>
      </c>
      <c r="B140" s="2" t="s">
        <v>26</v>
      </c>
      <c r="C140" s="2" t="s">
        <v>44</v>
      </c>
      <c r="D140" s="2" t="s">
        <v>28</v>
      </c>
      <c r="E140" s="2" t="s">
        <v>29</v>
      </c>
      <c r="F140" s="2" t="s">
        <v>45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339</v>
      </c>
      <c r="L140" s="2" t="s">
        <v>340</v>
      </c>
      <c r="M140" s="2" t="s">
        <v>34</v>
      </c>
      <c r="N140" s="2" t="s">
        <v>37</v>
      </c>
      <c r="O140" s="2" t="s">
        <v>38</v>
      </c>
      <c r="P140" s="2" t="s">
        <v>341</v>
      </c>
      <c r="Q140" s="2" t="s">
        <v>342</v>
      </c>
      <c r="R140" s="2" t="s">
        <v>48</v>
      </c>
      <c r="S140" s="2" t="s">
        <v>42</v>
      </c>
      <c r="T140" s="2" t="s">
        <v>49</v>
      </c>
      <c r="U140" s="2" t="s">
        <v>50</v>
      </c>
      <c r="V140" s="2" t="s">
        <v>57</v>
      </c>
      <c r="W140" s="2" t="s">
        <v>34</v>
      </c>
      <c r="X140" s="2" t="s">
        <v>34</v>
      </c>
      <c r="Y140" s="3">
        <v>3.0</v>
      </c>
    </row>
    <row r="141" ht="15.75" customHeight="1">
      <c r="A141" s="2" t="s">
        <v>25</v>
      </c>
      <c r="B141" s="2" t="s">
        <v>26</v>
      </c>
      <c r="C141" s="2" t="s">
        <v>271</v>
      </c>
      <c r="D141" s="2" t="s">
        <v>28</v>
      </c>
      <c r="E141" s="2" t="s">
        <v>29</v>
      </c>
      <c r="F141" s="2" t="s">
        <v>272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343</v>
      </c>
      <c r="L141" s="2" t="s">
        <v>344</v>
      </c>
      <c r="M141" s="2" t="s">
        <v>34</v>
      </c>
      <c r="N141" s="2" t="s">
        <v>75</v>
      </c>
      <c r="O141" s="2" t="s">
        <v>38</v>
      </c>
      <c r="P141" s="2" t="s">
        <v>276</v>
      </c>
      <c r="Q141" s="2" t="s">
        <v>277</v>
      </c>
      <c r="R141" s="2" t="s">
        <v>41</v>
      </c>
      <c r="S141" s="2" t="s">
        <v>42</v>
      </c>
      <c r="T141" s="2" t="s">
        <v>43</v>
      </c>
      <c r="U141" s="2" t="s">
        <v>34</v>
      </c>
      <c r="V141" s="2" t="s">
        <v>34</v>
      </c>
      <c r="W141" s="2" t="s">
        <v>34</v>
      </c>
      <c r="X141" s="2" t="s">
        <v>34</v>
      </c>
      <c r="Y141" s="3">
        <v>6.0</v>
      </c>
    </row>
    <row r="142" ht="15.75" customHeight="1">
      <c r="A142" s="2" t="s">
        <v>25</v>
      </c>
      <c r="B142" s="2" t="s">
        <v>26</v>
      </c>
      <c r="C142" s="2" t="s">
        <v>271</v>
      </c>
      <c r="D142" s="2" t="s">
        <v>28</v>
      </c>
      <c r="E142" s="2" t="s">
        <v>29</v>
      </c>
      <c r="F142" s="2" t="s">
        <v>272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345</v>
      </c>
      <c r="L142" s="2" t="s">
        <v>346</v>
      </c>
      <c r="M142" s="2" t="s">
        <v>34</v>
      </c>
      <c r="N142" s="2" t="s">
        <v>37</v>
      </c>
      <c r="O142" s="2" t="s">
        <v>38</v>
      </c>
      <c r="P142" s="2" t="s">
        <v>276</v>
      </c>
      <c r="Q142" s="2" t="s">
        <v>277</v>
      </c>
      <c r="R142" s="2" t="s">
        <v>41</v>
      </c>
      <c r="S142" s="2" t="s">
        <v>42</v>
      </c>
      <c r="T142" s="2" t="s">
        <v>43</v>
      </c>
      <c r="U142" s="2" t="s">
        <v>34</v>
      </c>
      <c r="V142" s="2" t="s">
        <v>34</v>
      </c>
      <c r="W142" s="2" t="s">
        <v>34</v>
      </c>
      <c r="X142" s="2" t="s">
        <v>34</v>
      </c>
      <c r="Y142" s="3">
        <v>6.0</v>
      </c>
    </row>
    <row r="143" ht="15.75" customHeight="1">
      <c r="A143" s="2" t="s">
        <v>25</v>
      </c>
      <c r="B143" s="2" t="s">
        <v>26</v>
      </c>
      <c r="C143" s="2" t="s">
        <v>271</v>
      </c>
      <c r="D143" s="2" t="s">
        <v>28</v>
      </c>
      <c r="E143" s="2" t="s">
        <v>29</v>
      </c>
      <c r="F143" s="2" t="s">
        <v>272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347</v>
      </c>
      <c r="L143" s="2" t="s">
        <v>348</v>
      </c>
      <c r="M143" s="2" t="s">
        <v>34</v>
      </c>
      <c r="N143" s="2" t="s">
        <v>349</v>
      </c>
      <c r="O143" s="2" t="s">
        <v>38</v>
      </c>
      <c r="P143" s="2" t="s">
        <v>276</v>
      </c>
      <c r="Q143" s="2" t="s">
        <v>277</v>
      </c>
      <c r="R143" s="2" t="s">
        <v>41</v>
      </c>
      <c r="S143" s="2" t="s">
        <v>42</v>
      </c>
      <c r="T143" s="2" t="s">
        <v>43</v>
      </c>
      <c r="U143" s="2" t="s">
        <v>34</v>
      </c>
      <c r="V143" s="2" t="s">
        <v>34</v>
      </c>
      <c r="W143" s="2" t="s">
        <v>34</v>
      </c>
      <c r="X143" s="2" t="s">
        <v>34</v>
      </c>
      <c r="Y143" s="3">
        <v>6.6</v>
      </c>
    </row>
    <row r="144" ht="15.75" customHeight="1">
      <c r="A144" s="2" t="s">
        <v>25</v>
      </c>
      <c r="B144" s="2" t="s">
        <v>26</v>
      </c>
      <c r="C144" s="2" t="s">
        <v>44</v>
      </c>
      <c r="D144" s="2" t="s">
        <v>28</v>
      </c>
      <c r="E144" s="2" t="s">
        <v>29</v>
      </c>
      <c r="F144" s="2" t="s">
        <v>45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350</v>
      </c>
      <c r="L144" s="2" t="s">
        <v>351</v>
      </c>
      <c r="M144" s="2" t="s">
        <v>34</v>
      </c>
      <c r="N144" s="2" t="s">
        <v>37</v>
      </c>
      <c r="O144" s="2" t="s">
        <v>38</v>
      </c>
      <c r="P144" s="2" t="s">
        <v>352</v>
      </c>
      <c r="Q144" s="2" t="s">
        <v>353</v>
      </c>
      <c r="R144" s="2" t="s">
        <v>48</v>
      </c>
      <c r="S144" s="2" t="s">
        <v>42</v>
      </c>
      <c r="T144" s="2" t="s">
        <v>49</v>
      </c>
      <c r="U144" s="2" t="s">
        <v>50</v>
      </c>
      <c r="V144" s="2" t="s">
        <v>57</v>
      </c>
      <c r="W144" s="2" t="s">
        <v>34</v>
      </c>
      <c r="X144" s="2" t="s">
        <v>34</v>
      </c>
      <c r="Y144" s="3">
        <v>3.0</v>
      </c>
    </row>
    <row r="145" ht="15.75" customHeight="1">
      <c r="A145" s="2" t="s">
        <v>25</v>
      </c>
      <c r="B145" s="2" t="s">
        <v>26</v>
      </c>
      <c r="C145" s="2" t="s">
        <v>44</v>
      </c>
      <c r="D145" s="2" t="s">
        <v>28</v>
      </c>
      <c r="E145" s="2" t="s">
        <v>29</v>
      </c>
      <c r="F145" s="2" t="s">
        <v>45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354</v>
      </c>
      <c r="L145" s="2" t="s">
        <v>355</v>
      </c>
      <c r="M145" s="2" t="s">
        <v>34</v>
      </c>
      <c r="N145" s="2" t="s">
        <v>37</v>
      </c>
      <c r="O145" s="2" t="s">
        <v>38</v>
      </c>
      <c r="P145" s="2" t="s">
        <v>352</v>
      </c>
      <c r="Q145" s="2" t="s">
        <v>353</v>
      </c>
      <c r="R145" s="2" t="s">
        <v>48</v>
      </c>
      <c r="S145" s="2" t="s">
        <v>42</v>
      </c>
      <c r="T145" s="2" t="s">
        <v>49</v>
      </c>
      <c r="U145" s="2" t="s">
        <v>50</v>
      </c>
      <c r="V145" s="2" t="s">
        <v>51</v>
      </c>
      <c r="W145" s="2" t="s">
        <v>34</v>
      </c>
      <c r="X145" s="2" t="s">
        <v>34</v>
      </c>
      <c r="Y145" s="3">
        <v>6.0</v>
      </c>
    </row>
    <row r="146" ht="15.75" customHeight="1">
      <c r="A146" s="2" t="s">
        <v>25</v>
      </c>
      <c r="B146" s="2" t="s">
        <v>26</v>
      </c>
      <c r="C146" s="2" t="s">
        <v>44</v>
      </c>
      <c r="D146" s="2" t="s">
        <v>28</v>
      </c>
      <c r="E146" s="2" t="s">
        <v>29</v>
      </c>
      <c r="F146" s="2" t="s">
        <v>45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356</v>
      </c>
      <c r="L146" s="2" t="s">
        <v>357</v>
      </c>
      <c r="M146" s="2" t="s">
        <v>34</v>
      </c>
      <c r="N146" s="2" t="s">
        <v>37</v>
      </c>
      <c r="O146" s="2" t="s">
        <v>38</v>
      </c>
      <c r="P146" s="2" t="s">
        <v>133</v>
      </c>
      <c r="Q146" s="2" t="s">
        <v>134</v>
      </c>
      <c r="R146" s="2" t="s">
        <v>48</v>
      </c>
      <c r="S146" s="2" t="s">
        <v>42</v>
      </c>
      <c r="T146" s="2" t="s">
        <v>49</v>
      </c>
      <c r="U146" s="2" t="s">
        <v>50</v>
      </c>
      <c r="V146" s="2" t="s">
        <v>57</v>
      </c>
      <c r="W146" s="2" t="s">
        <v>34</v>
      </c>
      <c r="X146" s="2" t="s">
        <v>34</v>
      </c>
      <c r="Y146" s="3">
        <v>3.0</v>
      </c>
    </row>
    <row r="147" ht="15.75" customHeight="1">
      <c r="A147" s="2" t="s">
        <v>25</v>
      </c>
      <c r="B147" s="2" t="s">
        <v>26</v>
      </c>
      <c r="C147" s="2" t="s">
        <v>58</v>
      </c>
      <c r="D147" s="2" t="s">
        <v>28</v>
      </c>
      <c r="E147" s="2" t="s">
        <v>29</v>
      </c>
      <c r="F147" s="2" t="s">
        <v>59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358</v>
      </c>
      <c r="L147" s="2" t="s">
        <v>359</v>
      </c>
      <c r="M147" s="2" t="s">
        <v>34</v>
      </c>
      <c r="N147" s="2" t="s">
        <v>37</v>
      </c>
      <c r="O147" s="2" t="s">
        <v>38</v>
      </c>
      <c r="P147" s="2" t="s">
        <v>55</v>
      </c>
      <c r="Q147" s="2" t="s">
        <v>56</v>
      </c>
      <c r="R147" s="2" t="s">
        <v>41</v>
      </c>
      <c r="S147" s="2" t="s">
        <v>42</v>
      </c>
      <c r="T147" s="2" t="s">
        <v>62</v>
      </c>
      <c r="U147" s="2" t="s">
        <v>34</v>
      </c>
      <c r="V147" s="2" t="s">
        <v>57</v>
      </c>
      <c r="W147" s="2" t="s">
        <v>34</v>
      </c>
      <c r="X147" s="2" t="s">
        <v>34</v>
      </c>
      <c r="Y147" s="3">
        <v>20.0</v>
      </c>
    </row>
    <row r="148" ht="15.75" customHeight="1">
      <c r="A148" s="2" t="s">
        <v>25</v>
      </c>
      <c r="B148" s="2" t="s">
        <v>26</v>
      </c>
      <c r="C148" s="2" t="s">
        <v>58</v>
      </c>
      <c r="D148" s="2" t="s">
        <v>28</v>
      </c>
      <c r="E148" s="2" t="s">
        <v>29</v>
      </c>
      <c r="F148" s="2" t="s">
        <v>59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360</v>
      </c>
      <c r="L148" s="2" t="s">
        <v>361</v>
      </c>
      <c r="M148" s="2" t="s">
        <v>34</v>
      </c>
      <c r="N148" s="2" t="s">
        <v>37</v>
      </c>
      <c r="O148" s="2" t="s">
        <v>38</v>
      </c>
      <c r="P148" s="2" t="s">
        <v>55</v>
      </c>
      <c r="Q148" s="2" t="s">
        <v>56</v>
      </c>
      <c r="R148" s="2" t="s">
        <v>41</v>
      </c>
      <c r="S148" s="2" t="s">
        <v>42</v>
      </c>
      <c r="T148" s="2" t="s">
        <v>62</v>
      </c>
      <c r="U148" s="2" t="s">
        <v>34</v>
      </c>
      <c r="V148" s="2" t="s">
        <v>57</v>
      </c>
      <c r="W148" s="2" t="s">
        <v>34</v>
      </c>
      <c r="X148" s="2" t="s">
        <v>34</v>
      </c>
      <c r="Y148" s="3">
        <v>20.0</v>
      </c>
    </row>
    <row r="149" ht="15.75" customHeight="1">
      <c r="A149" s="2" t="s">
        <v>25</v>
      </c>
      <c r="B149" s="2" t="s">
        <v>26</v>
      </c>
      <c r="C149" s="2" t="s">
        <v>44</v>
      </c>
      <c r="D149" s="2" t="s">
        <v>28</v>
      </c>
      <c r="E149" s="2" t="s">
        <v>29</v>
      </c>
      <c r="F149" s="2" t="s">
        <v>45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237</v>
      </c>
      <c r="L149" s="2" t="s">
        <v>238</v>
      </c>
      <c r="M149" s="2" t="s">
        <v>34</v>
      </c>
      <c r="N149" s="2" t="s">
        <v>37</v>
      </c>
      <c r="O149" s="2" t="s">
        <v>38</v>
      </c>
      <c r="P149" s="2" t="s">
        <v>55</v>
      </c>
      <c r="Q149" s="2" t="s">
        <v>56</v>
      </c>
      <c r="R149" s="2" t="s">
        <v>48</v>
      </c>
      <c r="S149" s="2" t="s">
        <v>42</v>
      </c>
      <c r="T149" s="2" t="s">
        <v>49</v>
      </c>
      <c r="U149" s="2" t="s">
        <v>50</v>
      </c>
      <c r="V149" s="2" t="s">
        <v>57</v>
      </c>
      <c r="W149" s="2" t="s">
        <v>34</v>
      </c>
      <c r="X149" s="2" t="s">
        <v>34</v>
      </c>
      <c r="Y149" s="3">
        <v>3.0</v>
      </c>
    </row>
    <row r="150" ht="15.75" customHeight="1">
      <c r="A150" s="2" t="s">
        <v>25</v>
      </c>
      <c r="B150" s="2" t="s">
        <v>26</v>
      </c>
      <c r="C150" s="2" t="s">
        <v>44</v>
      </c>
      <c r="D150" s="2" t="s">
        <v>28</v>
      </c>
      <c r="E150" s="2" t="s">
        <v>29</v>
      </c>
      <c r="F150" s="2" t="s">
        <v>45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362</v>
      </c>
      <c r="L150" s="2" t="s">
        <v>363</v>
      </c>
      <c r="M150" s="2" t="s">
        <v>34</v>
      </c>
      <c r="N150" s="2" t="s">
        <v>74</v>
      </c>
      <c r="O150" s="2" t="s">
        <v>38</v>
      </c>
      <c r="P150" s="2" t="s">
        <v>55</v>
      </c>
      <c r="Q150" s="2" t="s">
        <v>56</v>
      </c>
      <c r="R150" s="2" t="s">
        <v>48</v>
      </c>
      <c r="S150" s="2" t="s">
        <v>42</v>
      </c>
      <c r="T150" s="2" t="s">
        <v>49</v>
      </c>
      <c r="U150" s="2" t="s">
        <v>50</v>
      </c>
      <c r="V150" s="2" t="s">
        <v>51</v>
      </c>
      <c r="W150" s="2" t="s">
        <v>34</v>
      </c>
      <c r="X150" s="2" t="s">
        <v>34</v>
      </c>
      <c r="Y150" s="3">
        <v>6.0</v>
      </c>
    </row>
    <row r="151" ht="15.75" customHeight="1">
      <c r="A151" s="2" t="s">
        <v>25</v>
      </c>
      <c r="B151" s="2" t="s">
        <v>26</v>
      </c>
      <c r="C151" s="2" t="s">
        <v>44</v>
      </c>
      <c r="D151" s="2" t="s">
        <v>28</v>
      </c>
      <c r="E151" s="2" t="s">
        <v>29</v>
      </c>
      <c r="F151" s="2" t="s">
        <v>45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318</v>
      </c>
      <c r="L151" s="2" t="s">
        <v>319</v>
      </c>
      <c r="M151" s="2" t="s">
        <v>34</v>
      </c>
      <c r="N151" s="2" t="s">
        <v>74</v>
      </c>
      <c r="O151" s="2" t="s">
        <v>38</v>
      </c>
      <c r="P151" s="2" t="s">
        <v>55</v>
      </c>
      <c r="Q151" s="2" t="s">
        <v>56</v>
      </c>
      <c r="R151" s="2" t="s">
        <v>48</v>
      </c>
      <c r="S151" s="2" t="s">
        <v>42</v>
      </c>
      <c r="T151" s="2" t="s">
        <v>49</v>
      </c>
      <c r="U151" s="2" t="s">
        <v>50</v>
      </c>
      <c r="V151" s="2" t="s">
        <v>51</v>
      </c>
      <c r="W151" s="2" t="s">
        <v>34</v>
      </c>
      <c r="X151" s="2" t="s">
        <v>34</v>
      </c>
      <c r="Y151" s="3">
        <v>6.0</v>
      </c>
    </row>
    <row r="152" ht="15.75" customHeight="1">
      <c r="A152" s="2" t="s">
        <v>25</v>
      </c>
      <c r="B152" s="2" t="s">
        <v>26</v>
      </c>
      <c r="C152" s="2" t="s">
        <v>44</v>
      </c>
      <c r="D152" s="2" t="s">
        <v>28</v>
      </c>
      <c r="E152" s="2" t="s">
        <v>29</v>
      </c>
      <c r="F152" s="2" t="s">
        <v>45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316</v>
      </c>
      <c r="L152" s="2" t="s">
        <v>317</v>
      </c>
      <c r="M152" s="2" t="s">
        <v>34</v>
      </c>
      <c r="N152" s="2" t="s">
        <v>37</v>
      </c>
      <c r="O152" s="2" t="s">
        <v>38</v>
      </c>
      <c r="P152" s="2" t="s">
        <v>55</v>
      </c>
      <c r="Q152" s="2" t="s">
        <v>56</v>
      </c>
      <c r="R152" s="2" t="s">
        <v>48</v>
      </c>
      <c r="S152" s="2" t="s">
        <v>42</v>
      </c>
      <c r="T152" s="2" t="s">
        <v>49</v>
      </c>
      <c r="U152" s="2" t="s">
        <v>50</v>
      </c>
      <c r="V152" s="2" t="s">
        <v>51</v>
      </c>
      <c r="W152" s="2" t="s">
        <v>34</v>
      </c>
      <c r="X152" s="2" t="s">
        <v>34</v>
      </c>
      <c r="Y152" s="3">
        <v>6.0</v>
      </c>
    </row>
    <row r="153" ht="15.75" customHeight="1">
      <c r="A153" s="2" t="s">
        <v>25</v>
      </c>
      <c r="B153" s="2" t="s">
        <v>26</v>
      </c>
      <c r="C153" s="2" t="s">
        <v>44</v>
      </c>
      <c r="D153" s="2" t="s">
        <v>28</v>
      </c>
      <c r="E153" s="2" t="s">
        <v>29</v>
      </c>
      <c r="F153" s="2" t="s">
        <v>45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364</v>
      </c>
      <c r="L153" s="2" t="s">
        <v>365</v>
      </c>
      <c r="M153" s="2" t="s">
        <v>34</v>
      </c>
      <c r="N153" s="2" t="s">
        <v>37</v>
      </c>
      <c r="O153" s="2" t="s">
        <v>38</v>
      </c>
      <c r="P153" s="2" t="s">
        <v>70</v>
      </c>
      <c r="Q153" s="2" t="s">
        <v>71</v>
      </c>
      <c r="R153" s="2" t="s">
        <v>48</v>
      </c>
      <c r="S153" s="2" t="s">
        <v>42</v>
      </c>
      <c r="T153" s="2" t="s">
        <v>49</v>
      </c>
      <c r="U153" s="2" t="s">
        <v>50</v>
      </c>
      <c r="V153" s="2" t="s">
        <v>57</v>
      </c>
      <c r="W153" s="2" t="s">
        <v>34</v>
      </c>
      <c r="X153" s="2" t="s">
        <v>34</v>
      </c>
      <c r="Y153" s="3">
        <v>3.0</v>
      </c>
    </row>
    <row r="154" ht="15.75" customHeight="1">
      <c r="A154" s="2" t="s">
        <v>25</v>
      </c>
      <c r="B154" s="2" t="s">
        <v>26</v>
      </c>
      <c r="C154" s="2" t="s">
        <v>44</v>
      </c>
      <c r="D154" s="2" t="s">
        <v>28</v>
      </c>
      <c r="E154" s="2" t="s">
        <v>29</v>
      </c>
      <c r="F154" s="2" t="s">
        <v>45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366</v>
      </c>
      <c r="L154" s="2" t="s">
        <v>367</v>
      </c>
      <c r="M154" s="2" t="s">
        <v>34</v>
      </c>
      <c r="N154" s="2" t="s">
        <v>37</v>
      </c>
      <c r="O154" s="2" t="s">
        <v>38</v>
      </c>
      <c r="P154" s="2" t="s">
        <v>70</v>
      </c>
      <c r="Q154" s="2" t="s">
        <v>71</v>
      </c>
      <c r="R154" s="2" t="s">
        <v>48</v>
      </c>
      <c r="S154" s="2" t="s">
        <v>42</v>
      </c>
      <c r="T154" s="2" t="s">
        <v>49</v>
      </c>
      <c r="U154" s="2" t="s">
        <v>50</v>
      </c>
      <c r="V154" s="2" t="s">
        <v>57</v>
      </c>
      <c r="W154" s="2" t="s">
        <v>34</v>
      </c>
      <c r="X154" s="2" t="s">
        <v>34</v>
      </c>
      <c r="Y154" s="3">
        <v>3.0</v>
      </c>
    </row>
    <row r="155" ht="15.75" customHeight="1">
      <c r="A155" s="2" t="s">
        <v>25</v>
      </c>
      <c r="B155" s="2" t="s">
        <v>26</v>
      </c>
      <c r="C155" s="2" t="s">
        <v>44</v>
      </c>
      <c r="D155" s="2" t="s">
        <v>28</v>
      </c>
      <c r="E155" s="2" t="s">
        <v>29</v>
      </c>
      <c r="F155" s="2" t="s">
        <v>45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296</v>
      </c>
      <c r="L155" s="2" t="s">
        <v>297</v>
      </c>
      <c r="M155" s="2" t="s">
        <v>34</v>
      </c>
      <c r="N155" s="2" t="s">
        <v>37</v>
      </c>
      <c r="O155" s="2" t="s">
        <v>38</v>
      </c>
      <c r="P155" s="2" t="s">
        <v>70</v>
      </c>
      <c r="Q155" s="2" t="s">
        <v>71</v>
      </c>
      <c r="R155" s="2" t="s">
        <v>48</v>
      </c>
      <c r="S155" s="2" t="s">
        <v>42</v>
      </c>
      <c r="T155" s="2" t="s">
        <v>49</v>
      </c>
      <c r="U155" s="2" t="s">
        <v>50</v>
      </c>
      <c r="V155" s="2" t="s">
        <v>57</v>
      </c>
      <c r="W155" s="2" t="s">
        <v>34</v>
      </c>
      <c r="X155" s="2" t="s">
        <v>34</v>
      </c>
      <c r="Y155" s="3">
        <v>3.0</v>
      </c>
    </row>
    <row r="156" ht="15.75" customHeight="1">
      <c r="A156" s="2" t="s">
        <v>25</v>
      </c>
      <c r="B156" s="2" t="s">
        <v>26</v>
      </c>
      <c r="C156" s="2" t="s">
        <v>44</v>
      </c>
      <c r="D156" s="2" t="s">
        <v>28</v>
      </c>
      <c r="E156" s="2" t="s">
        <v>29</v>
      </c>
      <c r="F156" s="2" t="s">
        <v>45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368</v>
      </c>
      <c r="L156" s="2" t="s">
        <v>369</v>
      </c>
      <c r="M156" s="2" t="s">
        <v>34</v>
      </c>
      <c r="N156" s="2" t="s">
        <v>37</v>
      </c>
      <c r="O156" s="2" t="s">
        <v>38</v>
      </c>
      <c r="P156" s="2" t="s">
        <v>70</v>
      </c>
      <c r="Q156" s="2" t="s">
        <v>71</v>
      </c>
      <c r="R156" s="2" t="s">
        <v>48</v>
      </c>
      <c r="S156" s="2" t="s">
        <v>42</v>
      </c>
      <c r="T156" s="2" t="s">
        <v>49</v>
      </c>
      <c r="U156" s="2" t="s">
        <v>50</v>
      </c>
      <c r="V156" s="2" t="s">
        <v>57</v>
      </c>
      <c r="W156" s="2" t="s">
        <v>34</v>
      </c>
      <c r="X156" s="2" t="s">
        <v>34</v>
      </c>
      <c r="Y156" s="3">
        <v>3.0</v>
      </c>
    </row>
    <row r="157" ht="15.75" customHeight="1">
      <c r="A157" s="2" t="s">
        <v>25</v>
      </c>
      <c r="B157" s="2" t="s">
        <v>26</v>
      </c>
      <c r="C157" s="2" t="s">
        <v>66</v>
      </c>
      <c r="D157" s="2" t="s">
        <v>28</v>
      </c>
      <c r="E157" s="2" t="s">
        <v>29</v>
      </c>
      <c r="F157" s="2" t="s">
        <v>67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135</v>
      </c>
      <c r="L157" s="2" t="s">
        <v>136</v>
      </c>
      <c r="M157" s="2" t="s">
        <v>34</v>
      </c>
      <c r="N157" s="2" t="s">
        <v>37</v>
      </c>
      <c r="O157" s="2" t="s">
        <v>38</v>
      </c>
      <c r="P157" s="2" t="s">
        <v>70</v>
      </c>
      <c r="Q157" s="2" t="s">
        <v>71</v>
      </c>
      <c r="R157" s="2" t="s">
        <v>41</v>
      </c>
      <c r="S157" s="2" t="s">
        <v>42</v>
      </c>
      <c r="T157" s="2" t="s">
        <v>62</v>
      </c>
      <c r="U157" s="2" t="s">
        <v>34</v>
      </c>
      <c r="V157" s="2" t="s">
        <v>57</v>
      </c>
      <c r="W157" s="2" t="s">
        <v>34</v>
      </c>
      <c r="X157" s="2" t="s">
        <v>34</v>
      </c>
      <c r="Y157" s="3">
        <v>22.0</v>
      </c>
    </row>
    <row r="158" ht="15.75" customHeight="1">
      <c r="A158" s="2" t="s">
        <v>25</v>
      </c>
      <c r="B158" s="2" t="s">
        <v>26</v>
      </c>
      <c r="C158" s="2" t="s">
        <v>66</v>
      </c>
      <c r="D158" s="2" t="s">
        <v>28</v>
      </c>
      <c r="E158" s="2" t="s">
        <v>29</v>
      </c>
      <c r="F158" s="2" t="s">
        <v>67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364</v>
      </c>
      <c r="L158" s="2" t="s">
        <v>365</v>
      </c>
      <c r="M158" s="2" t="s">
        <v>34</v>
      </c>
      <c r="N158" s="2" t="s">
        <v>37</v>
      </c>
      <c r="O158" s="2" t="s">
        <v>38</v>
      </c>
      <c r="P158" s="2" t="s">
        <v>70</v>
      </c>
      <c r="Q158" s="2" t="s">
        <v>71</v>
      </c>
      <c r="R158" s="2" t="s">
        <v>41</v>
      </c>
      <c r="S158" s="2" t="s">
        <v>42</v>
      </c>
      <c r="T158" s="2" t="s">
        <v>62</v>
      </c>
      <c r="U158" s="2" t="s">
        <v>34</v>
      </c>
      <c r="V158" s="2" t="s">
        <v>57</v>
      </c>
      <c r="W158" s="2" t="s">
        <v>34</v>
      </c>
      <c r="X158" s="2" t="s">
        <v>34</v>
      </c>
      <c r="Y158" s="3">
        <v>22.0</v>
      </c>
    </row>
    <row r="159" ht="15.75" customHeight="1">
      <c r="A159" s="2" t="s">
        <v>25</v>
      </c>
      <c r="B159" s="2" t="s">
        <v>26</v>
      </c>
      <c r="C159" s="2" t="s">
        <v>66</v>
      </c>
      <c r="D159" s="2" t="s">
        <v>28</v>
      </c>
      <c r="E159" s="2" t="s">
        <v>29</v>
      </c>
      <c r="F159" s="2" t="s">
        <v>67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72</v>
      </c>
      <c r="L159" s="2" t="s">
        <v>73</v>
      </c>
      <c r="M159" s="2" t="s">
        <v>34</v>
      </c>
      <c r="N159" s="2" t="s">
        <v>74</v>
      </c>
      <c r="O159" s="2" t="s">
        <v>38</v>
      </c>
      <c r="P159" s="2" t="s">
        <v>70</v>
      </c>
      <c r="Q159" s="2" t="s">
        <v>71</v>
      </c>
      <c r="R159" s="2" t="s">
        <v>41</v>
      </c>
      <c r="S159" s="2" t="s">
        <v>42</v>
      </c>
      <c r="T159" s="2" t="s">
        <v>62</v>
      </c>
      <c r="U159" s="2" t="s">
        <v>34</v>
      </c>
      <c r="V159" s="2" t="s">
        <v>51</v>
      </c>
      <c r="W159" s="2" t="s">
        <v>34</v>
      </c>
      <c r="X159" s="2" t="s">
        <v>34</v>
      </c>
      <c r="Y159" s="3">
        <v>44.0</v>
      </c>
    </row>
    <row r="160" ht="15.75" customHeight="1">
      <c r="A160" s="2" t="s">
        <v>25</v>
      </c>
      <c r="B160" s="2" t="s">
        <v>26</v>
      </c>
      <c r="C160" s="2" t="s">
        <v>298</v>
      </c>
      <c r="D160" s="2" t="s">
        <v>28</v>
      </c>
      <c r="E160" s="2" t="s">
        <v>29</v>
      </c>
      <c r="F160" s="2" t="s">
        <v>299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300</v>
      </c>
      <c r="L160" s="2" t="s">
        <v>301</v>
      </c>
      <c r="M160" s="2" t="s">
        <v>34</v>
      </c>
      <c r="N160" s="2" t="s">
        <v>75</v>
      </c>
      <c r="O160" s="2" t="s">
        <v>38</v>
      </c>
      <c r="P160" s="2" t="s">
        <v>302</v>
      </c>
      <c r="Q160" s="2" t="s">
        <v>303</v>
      </c>
      <c r="R160" s="2" t="s">
        <v>41</v>
      </c>
      <c r="S160" s="2" t="s">
        <v>42</v>
      </c>
      <c r="T160" s="2" t="s">
        <v>43</v>
      </c>
      <c r="U160" s="2" t="s">
        <v>34</v>
      </c>
      <c r="V160" s="2" t="s">
        <v>34</v>
      </c>
      <c r="W160" s="2" t="s">
        <v>34</v>
      </c>
      <c r="X160" s="2" t="s">
        <v>34</v>
      </c>
      <c r="Y160" s="3">
        <v>8.29</v>
      </c>
    </row>
    <row r="161" ht="15.75" customHeight="1">
      <c r="A161" s="2" t="s">
        <v>25</v>
      </c>
      <c r="B161" s="2" t="s">
        <v>26</v>
      </c>
      <c r="C161" s="2" t="s">
        <v>106</v>
      </c>
      <c r="D161" s="2" t="s">
        <v>28</v>
      </c>
      <c r="E161" s="2" t="s">
        <v>29</v>
      </c>
      <c r="F161" s="2" t="s">
        <v>107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304</v>
      </c>
      <c r="L161" s="2" t="s">
        <v>305</v>
      </c>
      <c r="M161" s="2" t="s">
        <v>34</v>
      </c>
      <c r="N161" s="2" t="s">
        <v>74</v>
      </c>
      <c r="O161" s="2" t="s">
        <v>38</v>
      </c>
      <c r="P161" s="2" t="s">
        <v>110</v>
      </c>
      <c r="Q161" s="2" t="s">
        <v>111</v>
      </c>
      <c r="R161" s="2" t="s">
        <v>41</v>
      </c>
      <c r="S161" s="2" t="s">
        <v>42</v>
      </c>
      <c r="T161" s="2" t="s">
        <v>43</v>
      </c>
      <c r="U161" s="2" t="s">
        <v>34</v>
      </c>
      <c r="V161" s="2" t="s">
        <v>34</v>
      </c>
      <c r="W161" s="2" t="s">
        <v>34</v>
      </c>
      <c r="X161" s="2" t="s">
        <v>34</v>
      </c>
      <c r="Y161" s="3">
        <v>23.83</v>
      </c>
    </row>
    <row r="162" ht="15.75" customHeight="1">
      <c r="A162" s="2" t="s">
        <v>25</v>
      </c>
      <c r="B162" s="2" t="s">
        <v>26</v>
      </c>
      <c r="C162" s="2" t="s">
        <v>44</v>
      </c>
      <c r="D162" s="2" t="s">
        <v>28</v>
      </c>
      <c r="E162" s="2" t="s">
        <v>29</v>
      </c>
      <c r="F162" s="2" t="s">
        <v>45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205</v>
      </c>
      <c r="L162" s="2" t="s">
        <v>206</v>
      </c>
      <c r="M162" s="2" t="s">
        <v>34</v>
      </c>
      <c r="N162" s="2" t="s">
        <v>37</v>
      </c>
      <c r="O162" s="2" t="s">
        <v>38</v>
      </c>
      <c r="P162" s="2" t="s">
        <v>121</v>
      </c>
      <c r="Q162" s="2" t="s">
        <v>122</v>
      </c>
      <c r="R162" s="2" t="s">
        <v>48</v>
      </c>
      <c r="S162" s="2" t="s">
        <v>42</v>
      </c>
      <c r="T162" s="2" t="s">
        <v>49</v>
      </c>
      <c r="U162" s="2" t="s">
        <v>50</v>
      </c>
      <c r="V162" s="2" t="s">
        <v>57</v>
      </c>
      <c r="W162" s="2" t="s">
        <v>34</v>
      </c>
      <c r="X162" s="2" t="s">
        <v>34</v>
      </c>
      <c r="Y162" s="3">
        <v>3.0</v>
      </c>
    </row>
    <row r="163" ht="15.75" customHeight="1">
      <c r="A163" s="2" t="s">
        <v>25</v>
      </c>
      <c r="B163" s="2" t="s">
        <v>26</v>
      </c>
      <c r="C163" s="2" t="s">
        <v>44</v>
      </c>
      <c r="D163" s="2" t="s">
        <v>28</v>
      </c>
      <c r="E163" s="2" t="s">
        <v>29</v>
      </c>
      <c r="F163" s="2" t="s">
        <v>45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119</v>
      </c>
      <c r="L163" s="2" t="s">
        <v>120</v>
      </c>
      <c r="M163" s="2" t="s">
        <v>34</v>
      </c>
      <c r="N163" s="2" t="s">
        <v>37</v>
      </c>
      <c r="O163" s="2" t="s">
        <v>38</v>
      </c>
      <c r="P163" s="2" t="s">
        <v>121</v>
      </c>
      <c r="Q163" s="2" t="s">
        <v>122</v>
      </c>
      <c r="R163" s="2" t="s">
        <v>48</v>
      </c>
      <c r="S163" s="2" t="s">
        <v>42</v>
      </c>
      <c r="T163" s="2" t="s">
        <v>49</v>
      </c>
      <c r="U163" s="2" t="s">
        <v>50</v>
      </c>
      <c r="V163" s="2" t="s">
        <v>57</v>
      </c>
      <c r="W163" s="2" t="s">
        <v>34</v>
      </c>
      <c r="X163" s="2" t="s">
        <v>34</v>
      </c>
      <c r="Y163" s="3">
        <v>3.0</v>
      </c>
    </row>
    <row r="164" ht="15.75" customHeight="1">
      <c r="A164" s="2" t="s">
        <v>25</v>
      </c>
      <c r="B164" s="2" t="s">
        <v>26</v>
      </c>
      <c r="C164" s="2" t="s">
        <v>117</v>
      </c>
      <c r="D164" s="2" t="s">
        <v>28</v>
      </c>
      <c r="E164" s="2" t="s">
        <v>29</v>
      </c>
      <c r="F164" s="2" t="s">
        <v>118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370</v>
      </c>
      <c r="L164" s="2" t="s">
        <v>371</v>
      </c>
      <c r="M164" s="2" t="s">
        <v>34</v>
      </c>
      <c r="N164" s="2" t="s">
        <v>37</v>
      </c>
      <c r="O164" s="2" t="s">
        <v>38</v>
      </c>
      <c r="P164" s="2" t="s">
        <v>121</v>
      </c>
      <c r="Q164" s="2" t="s">
        <v>122</v>
      </c>
      <c r="R164" s="2" t="s">
        <v>41</v>
      </c>
      <c r="S164" s="2" t="s">
        <v>42</v>
      </c>
      <c r="T164" s="2" t="s">
        <v>62</v>
      </c>
      <c r="U164" s="2" t="s">
        <v>34</v>
      </c>
      <c r="V164" s="2" t="s">
        <v>57</v>
      </c>
      <c r="W164" s="2" t="s">
        <v>34</v>
      </c>
      <c r="X164" s="2" t="s">
        <v>34</v>
      </c>
      <c r="Y164" s="3">
        <v>22.0</v>
      </c>
    </row>
    <row r="165" ht="15.75" customHeight="1">
      <c r="A165" s="2" t="s">
        <v>25</v>
      </c>
      <c r="B165" s="2" t="s">
        <v>26</v>
      </c>
      <c r="C165" s="2" t="s">
        <v>117</v>
      </c>
      <c r="D165" s="2" t="s">
        <v>28</v>
      </c>
      <c r="E165" s="2" t="s">
        <v>29</v>
      </c>
      <c r="F165" s="2" t="s">
        <v>118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119</v>
      </c>
      <c r="L165" s="2" t="s">
        <v>120</v>
      </c>
      <c r="M165" s="2" t="s">
        <v>34</v>
      </c>
      <c r="N165" s="2" t="s">
        <v>37</v>
      </c>
      <c r="O165" s="2" t="s">
        <v>38</v>
      </c>
      <c r="P165" s="2" t="s">
        <v>121</v>
      </c>
      <c r="Q165" s="2" t="s">
        <v>122</v>
      </c>
      <c r="R165" s="2" t="s">
        <v>41</v>
      </c>
      <c r="S165" s="2" t="s">
        <v>42</v>
      </c>
      <c r="T165" s="2" t="s">
        <v>62</v>
      </c>
      <c r="U165" s="2" t="s">
        <v>34</v>
      </c>
      <c r="V165" s="2" t="s">
        <v>57</v>
      </c>
      <c r="W165" s="2" t="s">
        <v>34</v>
      </c>
      <c r="X165" s="2" t="s">
        <v>34</v>
      </c>
      <c r="Y165" s="3">
        <v>22.0</v>
      </c>
    </row>
    <row r="166" ht="15.75" customHeight="1">
      <c r="A166" s="2" t="s">
        <v>25</v>
      </c>
      <c r="B166" s="2" t="s">
        <v>26</v>
      </c>
      <c r="C166" s="2" t="s">
        <v>44</v>
      </c>
      <c r="D166" s="2" t="s">
        <v>28</v>
      </c>
      <c r="E166" s="2" t="s">
        <v>29</v>
      </c>
      <c r="F166" s="2" t="s">
        <v>45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209</v>
      </c>
      <c r="L166" s="2" t="s">
        <v>210</v>
      </c>
      <c r="M166" s="2" t="s">
        <v>34</v>
      </c>
      <c r="N166" s="2" t="s">
        <v>74</v>
      </c>
      <c r="O166" s="2" t="s">
        <v>38</v>
      </c>
      <c r="P166" s="2" t="s">
        <v>141</v>
      </c>
      <c r="Q166" s="2" t="s">
        <v>142</v>
      </c>
      <c r="R166" s="2" t="s">
        <v>48</v>
      </c>
      <c r="S166" s="2" t="s">
        <v>42</v>
      </c>
      <c r="T166" s="2" t="s">
        <v>49</v>
      </c>
      <c r="U166" s="2" t="s">
        <v>50</v>
      </c>
      <c r="V166" s="2" t="s">
        <v>57</v>
      </c>
      <c r="W166" s="2" t="s">
        <v>34</v>
      </c>
      <c r="X166" s="2" t="s">
        <v>34</v>
      </c>
      <c r="Y166" s="3">
        <v>3.0</v>
      </c>
    </row>
    <row r="167" ht="15.75" customHeight="1">
      <c r="A167" s="2" t="s">
        <v>25</v>
      </c>
      <c r="B167" s="2" t="s">
        <v>26</v>
      </c>
      <c r="C167" s="2" t="s">
        <v>44</v>
      </c>
      <c r="D167" s="2" t="s">
        <v>28</v>
      </c>
      <c r="E167" s="2" t="s">
        <v>29</v>
      </c>
      <c r="F167" s="2" t="s">
        <v>45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213</v>
      </c>
      <c r="L167" s="2" t="s">
        <v>214</v>
      </c>
      <c r="M167" s="2" t="s">
        <v>34</v>
      </c>
      <c r="N167" s="2" t="s">
        <v>54</v>
      </c>
      <c r="O167" s="2" t="s">
        <v>38</v>
      </c>
      <c r="P167" s="2" t="s">
        <v>141</v>
      </c>
      <c r="Q167" s="2" t="s">
        <v>142</v>
      </c>
      <c r="R167" s="2" t="s">
        <v>48</v>
      </c>
      <c r="S167" s="2" t="s">
        <v>42</v>
      </c>
      <c r="T167" s="2" t="s">
        <v>49</v>
      </c>
      <c r="U167" s="2" t="s">
        <v>50</v>
      </c>
      <c r="V167" s="2" t="s">
        <v>116</v>
      </c>
      <c r="W167" s="2" t="s">
        <v>34</v>
      </c>
      <c r="X167" s="2" t="s">
        <v>34</v>
      </c>
      <c r="Y167" s="3">
        <v>9.0</v>
      </c>
    </row>
    <row r="168" ht="15.75" customHeight="1">
      <c r="A168" s="2" t="s">
        <v>25</v>
      </c>
      <c r="B168" s="2" t="s">
        <v>26</v>
      </c>
      <c r="C168" s="2" t="s">
        <v>207</v>
      </c>
      <c r="D168" s="2" t="s">
        <v>28</v>
      </c>
      <c r="E168" s="2" t="s">
        <v>29</v>
      </c>
      <c r="F168" s="2" t="s">
        <v>208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139</v>
      </c>
      <c r="L168" s="2" t="s">
        <v>140</v>
      </c>
      <c r="M168" s="2" t="s">
        <v>34</v>
      </c>
      <c r="N168" s="2" t="s">
        <v>37</v>
      </c>
      <c r="O168" s="2" t="s">
        <v>38</v>
      </c>
      <c r="P168" s="2" t="s">
        <v>141</v>
      </c>
      <c r="Q168" s="2" t="s">
        <v>142</v>
      </c>
      <c r="R168" s="2" t="s">
        <v>41</v>
      </c>
      <c r="S168" s="2" t="s">
        <v>42</v>
      </c>
      <c r="T168" s="2" t="s">
        <v>62</v>
      </c>
      <c r="U168" s="2" t="s">
        <v>34</v>
      </c>
      <c r="V168" s="2" t="s">
        <v>57</v>
      </c>
      <c r="W168" s="2" t="s">
        <v>34</v>
      </c>
      <c r="X168" s="2" t="s">
        <v>34</v>
      </c>
      <c r="Y168" s="3">
        <v>22.0</v>
      </c>
    </row>
    <row r="169" ht="15.75" customHeight="1">
      <c r="A169" s="2" t="s">
        <v>25</v>
      </c>
      <c r="B169" s="2" t="s">
        <v>26</v>
      </c>
      <c r="C169" s="2" t="s">
        <v>207</v>
      </c>
      <c r="D169" s="2" t="s">
        <v>28</v>
      </c>
      <c r="E169" s="2" t="s">
        <v>29</v>
      </c>
      <c r="F169" s="2" t="s">
        <v>208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213</v>
      </c>
      <c r="L169" s="2" t="s">
        <v>214</v>
      </c>
      <c r="M169" s="2" t="s">
        <v>34</v>
      </c>
      <c r="N169" s="2" t="s">
        <v>54</v>
      </c>
      <c r="O169" s="2" t="s">
        <v>38</v>
      </c>
      <c r="P169" s="2" t="s">
        <v>141</v>
      </c>
      <c r="Q169" s="2" t="s">
        <v>142</v>
      </c>
      <c r="R169" s="2" t="s">
        <v>41</v>
      </c>
      <c r="S169" s="2" t="s">
        <v>42</v>
      </c>
      <c r="T169" s="2" t="s">
        <v>62</v>
      </c>
      <c r="U169" s="2" t="s">
        <v>34</v>
      </c>
      <c r="V169" s="2" t="s">
        <v>57</v>
      </c>
      <c r="W169" s="2" t="s">
        <v>34</v>
      </c>
      <c r="X169" s="2" t="s">
        <v>34</v>
      </c>
      <c r="Y169" s="3">
        <v>22.0</v>
      </c>
    </row>
    <row r="170" ht="15.75" customHeight="1">
      <c r="A170" s="2" t="s">
        <v>25</v>
      </c>
      <c r="B170" s="2" t="s">
        <v>26</v>
      </c>
      <c r="C170" s="2" t="s">
        <v>207</v>
      </c>
      <c r="D170" s="2" t="s">
        <v>28</v>
      </c>
      <c r="E170" s="2" t="s">
        <v>29</v>
      </c>
      <c r="F170" s="2" t="s">
        <v>208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213</v>
      </c>
      <c r="L170" s="2" t="s">
        <v>214</v>
      </c>
      <c r="M170" s="2" t="s">
        <v>34</v>
      </c>
      <c r="N170" s="2" t="s">
        <v>54</v>
      </c>
      <c r="O170" s="2" t="s">
        <v>38</v>
      </c>
      <c r="P170" s="2" t="s">
        <v>141</v>
      </c>
      <c r="Q170" s="2" t="s">
        <v>142</v>
      </c>
      <c r="R170" s="2" t="s">
        <v>41</v>
      </c>
      <c r="S170" s="2" t="s">
        <v>42</v>
      </c>
      <c r="T170" s="2" t="s">
        <v>62</v>
      </c>
      <c r="U170" s="2" t="s">
        <v>34</v>
      </c>
      <c r="V170" s="2" t="s">
        <v>116</v>
      </c>
      <c r="W170" s="2" t="s">
        <v>34</v>
      </c>
      <c r="X170" s="2" t="s">
        <v>34</v>
      </c>
      <c r="Y170" s="3">
        <v>66.0</v>
      </c>
    </row>
    <row r="171" ht="15.75" customHeight="1">
      <c r="A171" s="2" t="s">
        <v>25</v>
      </c>
      <c r="B171" s="2" t="s">
        <v>26</v>
      </c>
      <c r="C171" s="2" t="s">
        <v>44</v>
      </c>
      <c r="D171" s="2" t="s">
        <v>28</v>
      </c>
      <c r="E171" s="2" t="s">
        <v>29</v>
      </c>
      <c r="F171" s="2" t="s">
        <v>45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372</v>
      </c>
      <c r="L171" s="2" t="s">
        <v>373</v>
      </c>
      <c r="M171" s="2" t="s">
        <v>34</v>
      </c>
      <c r="N171" s="2" t="s">
        <v>37</v>
      </c>
      <c r="O171" s="2" t="s">
        <v>38</v>
      </c>
      <c r="P171" s="2" t="s">
        <v>374</v>
      </c>
      <c r="Q171" s="2" t="s">
        <v>375</v>
      </c>
      <c r="R171" s="2" t="s">
        <v>48</v>
      </c>
      <c r="S171" s="2" t="s">
        <v>42</v>
      </c>
      <c r="T171" s="2" t="s">
        <v>49</v>
      </c>
      <c r="U171" s="2" t="s">
        <v>50</v>
      </c>
      <c r="V171" s="2" t="s">
        <v>65</v>
      </c>
      <c r="W171" s="2" t="s">
        <v>34</v>
      </c>
      <c r="X171" s="2" t="s">
        <v>34</v>
      </c>
      <c r="Y171" s="3">
        <v>12.0</v>
      </c>
    </row>
    <row r="172" ht="15.75" customHeight="1">
      <c r="A172" s="2" t="s">
        <v>25</v>
      </c>
      <c r="B172" s="2" t="s">
        <v>26</v>
      </c>
      <c r="C172" s="2" t="s">
        <v>44</v>
      </c>
      <c r="D172" s="2" t="s">
        <v>28</v>
      </c>
      <c r="E172" s="2" t="s">
        <v>29</v>
      </c>
      <c r="F172" s="2" t="s">
        <v>45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217</v>
      </c>
      <c r="L172" s="2" t="s">
        <v>218</v>
      </c>
      <c r="M172" s="2" t="s">
        <v>34</v>
      </c>
      <c r="N172" s="2" t="s">
        <v>37</v>
      </c>
      <c r="O172" s="2" t="s">
        <v>38</v>
      </c>
      <c r="P172" s="2" t="s">
        <v>219</v>
      </c>
      <c r="Q172" s="2" t="s">
        <v>220</v>
      </c>
      <c r="R172" s="2" t="s">
        <v>48</v>
      </c>
      <c r="S172" s="2" t="s">
        <v>42</v>
      </c>
      <c r="T172" s="2" t="s">
        <v>49</v>
      </c>
      <c r="U172" s="2" t="s">
        <v>50</v>
      </c>
      <c r="V172" s="2" t="s">
        <v>57</v>
      </c>
      <c r="W172" s="2" t="s">
        <v>34</v>
      </c>
      <c r="X172" s="2" t="s">
        <v>34</v>
      </c>
      <c r="Y172" s="3">
        <v>3.0</v>
      </c>
    </row>
    <row r="173" ht="15.75" customHeight="1">
      <c r="A173" s="2" t="s">
        <v>25</v>
      </c>
      <c r="B173" s="2" t="s">
        <v>26</v>
      </c>
      <c r="C173" s="2" t="s">
        <v>44</v>
      </c>
      <c r="D173" s="2" t="s">
        <v>28</v>
      </c>
      <c r="E173" s="2" t="s">
        <v>29</v>
      </c>
      <c r="F173" s="2" t="s">
        <v>45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221</v>
      </c>
      <c r="L173" s="2" t="s">
        <v>222</v>
      </c>
      <c r="M173" s="2" t="s">
        <v>34</v>
      </c>
      <c r="N173" s="2" t="s">
        <v>37</v>
      </c>
      <c r="O173" s="2" t="s">
        <v>38</v>
      </c>
      <c r="P173" s="2" t="s">
        <v>129</v>
      </c>
      <c r="Q173" s="2" t="s">
        <v>130</v>
      </c>
      <c r="R173" s="2" t="s">
        <v>48</v>
      </c>
      <c r="S173" s="2" t="s">
        <v>42</v>
      </c>
      <c r="T173" s="2" t="s">
        <v>49</v>
      </c>
      <c r="U173" s="2" t="s">
        <v>50</v>
      </c>
      <c r="V173" s="2" t="s">
        <v>57</v>
      </c>
      <c r="W173" s="2" t="s">
        <v>34</v>
      </c>
      <c r="X173" s="2" t="s">
        <v>34</v>
      </c>
      <c r="Y173" s="3">
        <v>3.0</v>
      </c>
    </row>
    <row r="174" ht="15.75" customHeight="1">
      <c r="A174" s="2" t="s">
        <v>25</v>
      </c>
      <c r="B174" s="2" t="s">
        <v>26</v>
      </c>
      <c r="C174" s="2" t="s">
        <v>44</v>
      </c>
      <c r="D174" s="2" t="s">
        <v>28</v>
      </c>
      <c r="E174" s="2" t="s">
        <v>29</v>
      </c>
      <c r="F174" s="2" t="s">
        <v>45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127</v>
      </c>
      <c r="L174" s="2" t="s">
        <v>128</v>
      </c>
      <c r="M174" s="2" t="s">
        <v>34</v>
      </c>
      <c r="N174" s="2" t="s">
        <v>37</v>
      </c>
      <c r="O174" s="2" t="s">
        <v>38</v>
      </c>
      <c r="P174" s="2" t="s">
        <v>129</v>
      </c>
      <c r="Q174" s="2" t="s">
        <v>130</v>
      </c>
      <c r="R174" s="2" t="s">
        <v>48</v>
      </c>
      <c r="S174" s="2" t="s">
        <v>42</v>
      </c>
      <c r="T174" s="2" t="s">
        <v>49</v>
      </c>
      <c r="U174" s="2" t="s">
        <v>50</v>
      </c>
      <c r="V174" s="2" t="s">
        <v>57</v>
      </c>
      <c r="W174" s="2" t="s">
        <v>34</v>
      </c>
      <c r="X174" s="2" t="s">
        <v>34</v>
      </c>
      <c r="Y174" s="3">
        <v>3.0</v>
      </c>
    </row>
    <row r="175" ht="15.75" customHeight="1">
      <c r="A175" s="2" t="s">
        <v>25</v>
      </c>
      <c r="B175" s="2" t="s">
        <v>26</v>
      </c>
      <c r="C175" s="2" t="s">
        <v>44</v>
      </c>
      <c r="D175" s="2" t="s">
        <v>28</v>
      </c>
      <c r="E175" s="2" t="s">
        <v>29</v>
      </c>
      <c r="F175" s="2" t="s">
        <v>45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225</v>
      </c>
      <c r="L175" s="2" t="s">
        <v>226</v>
      </c>
      <c r="M175" s="2" t="s">
        <v>34</v>
      </c>
      <c r="N175" s="2" t="s">
        <v>74</v>
      </c>
      <c r="O175" s="2" t="s">
        <v>38</v>
      </c>
      <c r="P175" s="2" t="s">
        <v>227</v>
      </c>
      <c r="Q175" s="2" t="s">
        <v>228</v>
      </c>
      <c r="R175" s="2" t="s">
        <v>48</v>
      </c>
      <c r="S175" s="2" t="s">
        <v>42</v>
      </c>
      <c r="T175" s="2" t="s">
        <v>49</v>
      </c>
      <c r="U175" s="2" t="s">
        <v>50</v>
      </c>
      <c r="V175" s="2" t="s">
        <v>57</v>
      </c>
      <c r="W175" s="2" t="s">
        <v>34</v>
      </c>
      <c r="X175" s="2" t="s">
        <v>34</v>
      </c>
      <c r="Y175" s="3">
        <v>3.0</v>
      </c>
    </row>
    <row r="176" ht="15.75" customHeight="1">
      <c r="A176" s="2" t="s">
        <v>25</v>
      </c>
      <c r="B176" s="2" t="s">
        <v>26</v>
      </c>
      <c r="C176" s="2" t="s">
        <v>58</v>
      </c>
      <c r="D176" s="2" t="s">
        <v>28</v>
      </c>
      <c r="E176" s="2" t="s">
        <v>29</v>
      </c>
      <c r="F176" s="2" t="s">
        <v>59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376</v>
      </c>
      <c r="L176" s="2" t="s">
        <v>377</v>
      </c>
      <c r="M176" s="2" t="s">
        <v>34</v>
      </c>
      <c r="N176" s="2" t="s">
        <v>74</v>
      </c>
      <c r="O176" s="2" t="s">
        <v>38</v>
      </c>
      <c r="P176" s="2" t="s">
        <v>55</v>
      </c>
      <c r="Q176" s="2" t="s">
        <v>56</v>
      </c>
      <c r="R176" s="2" t="s">
        <v>41</v>
      </c>
      <c r="S176" s="2" t="s">
        <v>42</v>
      </c>
      <c r="T176" s="2" t="s">
        <v>43</v>
      </c>
      <c r="U176" s="2" t="s">
        <v>34</v>
      </c>
      <c r="V176" s="2" t="s">
        <v>34</v>
      </c>
      <c r="W176" s="2" t="s">
        <v>34</v>
      </c>
      <c r="X176" s="2" t="s">
        <v>34</v>
      </c>
      <c r="Y176" s="3">
        <v>2.86</v>
      </c>
    </row>
    <row r="177" ht="15.75" customHeight="1">
      <c r="A177" s="2" t="s">
        <v>25</v>
      </c>
      <c r="B177" s="2" t="s">
        <v>26</v>
      </c>
      <c r="C177" s="2" t="s">
        <v>44</v>
      </c>
      <c r="D177" s="2" t="s">
        <v>28</v>
      </c>
      <c r="E177" s="2" t="s">
        <v>29</v>
      </c>
      <c r="F177" s="2" t="s">
        <v>45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360</v>
      </c>
      <c r="L177" s="2" t="s">
        <v>361</v>
      </c>
      <c r="M177" s="2" t="s">
        <v>34</v>
      </c>
      <c r="N177" s="2" t="s">
        <v>37</v>
      </c>
      <c r="O177" s="2" t="s">
        <v>38</v>
      </c>
      <c r="P177" s="2" t="s">
        <v>55</v>
      </c>
      <c r="Q177" s="2" t="s">
        <v>56</v>
      </c>
      <c r="R177" s="2" t="s">
        <v>48</v>
      </c>
      <c r="S177" s="2" t="s">
        <v>42</v>
      </c>
      <c r="T177" s="2" t="s">
        <v>49</v>
      </c>
      <c r="U177" s="2" t="s">
        <v>50</v>
      </c>
      <c r="V177" s="2" t="s">
        <v>57</v>
      </c>
      <c r="W177" s="2" t="s">
        <v>34</v>
      </c>
      <c r="X177" s="2" t="s">
        <v>34</v>
      </c>
      <c r="Y177" s="3">
        <v>3.0</v>
      </c>
    </row>
    <row r="178" ht="15.75" customHeight="1">
      <c r="A178" s="2" t="s">
        <v>25</v>
      </c>
      <c r="B178" s="2" t="s">
        <v>26</v>
      </c>
      <c r="C178" s="2" t="s">
        <v>44</v>
      </c>
      <c r="D178" s="2" t="s">
        <v>28</v>
      </c>
      <c r="E178" s="2" t="s">
        <v>29</v>
      </c>
      <c r="F178" s="2" t="s">
        <v>45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378</v>
      </c>
      <c r="L178" s="2" t="s">
        <v>379</v>
      </c>
      <c r="M178" s="2" t="s">
        <v>34</v>
      </c>
      <c r="N178" s="2" t="s">
        <v>37</v>
      </c>
      <c r="O178" s="2" t="s">
        <v>38</v>
      </c>
      <c r="P178" s="2" t="s">
        <v>55</v>
      </c>
      <c r="Q178" s="2" t="s">
        <v>56</v>
      </c>
      <c r="R178" s="2" t="s">
        <v>48</v>
      </c>
      <c r="S178" s="2" t="s">
        <v>42</v>
      </c>
      <c r="T178" s="2" t="s">
        <v>49</v>
      </c>
      <c r="U178" s="2" t="s">
        <v>50</v>
      </c>
      <c r="V178" s="2" t="s">
        <v>57</v>
      </c>
      <c r="W178" s="2" t="s">
        <v>34</v>
      </c>
      <c r="X178" s="2" t="s">
        <v>34</v>
      </c>
      <c r="Y178" s="3">
        <v>3.0</v>
      </c>
    </row>
    <row r="179" ht="15.75" customHeight="1">
      <c r="A179" s="2" t="s">
        <v>25</v>
      </c>
      <c r="B179" s="2" t="s">
        <v>26</v>
      </c>
      <c r="C179" s="2" t="s">
        <v>44</v>
      </c>
      <c r="D179" s="2" t="s">
        <v>28</v>
      </c>
      <c r="E179" s="2" t="s">
        <v>29</v>
      </c>
      <c r="F179" s="2" t="s">
        <v>45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235</v>
      </c>
      <c r="L179" s="2" t="s">
        <v>236</v>
      </c>
      <c r="M179" s="2" t="s">
        <v>34</v>
      </c>
      <c r="N179" s="2" t="s">
        <v>37</v>
      </c>
      <c r="O179" s="2" t="s">
        <v>38</v>
      </c>
      <c r="P179" s="2" t="s">
        <v>55</v>
      </c>
      <c r="Q179" s="2" t="s">
        <v>56</v>
      </c>
      <c r="R179" s="2" t="s">
        <v>48</v>
      </c>
      <c r="S179" s="2" t="s">
        <v>42</v>
      </c>
      <c r="T179" s="2" t="s">
        <v>49</v>
      </c>
      <c r="U179" s="2" t="s">
        <v>50</v>
      </c>
      <c r="V179" s="2" t="s">
        <v>57</v>
      </c>
      <c r="W179" s="2" t="s">
        <v>34</v>
      </c>
      <c r="X179" s="2" t="s">
        <v>34</v>
      </c>
      <c r="Y179" s="3">
        <v>3.0</v>
      </c>
    </row>
    <row r="180" ht="15.75" customHeight="1">
      <c r="A180" s="2" t="s">
        <v>25</v>
      </c>
      <c r="B180" s="2" t="s">
        <v>26</v>
      </c>
      <c r="C180" s="2" t="s">
        <v>44</v>
      </c>
      <c r="D180" s="2" t="s">
        <v>28</v>
      </c>
      <c r="E180" s="2" t="s">
        <v>29</v>
      </c>
      <c r="F180" s="2" t="s">
        <v>45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380</v>
      </c>
      <c r="L180" s="2" t="s">
        <v>381</v>
      </c>
      <c r="M180" s="2" t="s">
        <v>34</v>
      </c>
      <c r="N180" s="2" t="s">
        <v>37</v>
      </c>
      <c r="O180" s="2" t="s">
        <v>38</v>
      </c>
      <c r="P180" s="2" t="s">
        <v>55</v>
      </c>
      <c r="Q180" s="2" t="s">
        <v>56</v>
      </c>
      <c r="R180" s="2" t="s">
        <v>48</v>
      </c>
      <c r="S180" s="2" t="s">
        <v>42</v>
      </c>
      <c r="T180" s="2" t="s">
        <v>49</v>
      </c>
      <c r="U180" s="2" t="s">
        <v>50</v>
      </c>
      <c r="V180" s="2" t="s">
        <v>57</v>
      </c>
      <c r="W180" s="2" t="s">
        <v>34</v>
      </c>
      <c r="X180" s="2" t="s">
        <v>34</v>
      </c>
      <c r="Y180" s="3">
        <v>3.0</v>
      </c>
    </row>
    <row r="181" ht="15.75" customHeight="1">
      <c r="A181" s="2" t="s">
        <v>25</v>
      </c>
      <c r="B181" s="2" t="s">
        <v>26</v>
      </c>
      <c r="C181" s="2" t="s">
        <v>44</v>
      </c>
      <c r="D181" s="2" t="s">
        <v>28</v>
      </c>
      <c r="E181" s="2" t="s">
        <v>29</v>
      </c>
      <c r="F181" s="2" t="s">
        <v>45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308</v>
      </c>
      <c r="L181" s="2" t="s">
        <v>309</v>
      </c>
      <c r="M181" s="2" t="s">
        <v>34</v>
      </c>
      <c r="N181" s="2" t="s">
        <v>37</v>
      </c>
      <c r="O181" s="2" t="s">
        <v>38</v>
      </c>
      <c r="P181" s="2" t="s">
        <v>55</v>
      </c>
      <c r="Q181" s="2" t="s">
        <v>56</v>
      </c>
      <c r="R181" s="2" t="s">
        <v>48</v>
      </c>
      <c r="S181" s="2" t="s">
        <v>42</v>
      </c>
      <c r="T181" s="2" t="s">
        <v>49</v>
      </c>
      <c r="U181" s="2" t="s">
        <v>50</v>
      </c>
      <c r="V181" s="2" t="s">
        <v>57</v>
      </c>
      <c r="W181" s="2" t="s">
        <v>34</v>
      </c>
      <c r="X181" s="2" t="s">
        <v>34</v>
      </c>
      <c r="Y181" s="3">
        <v>3.0</v>
      </c>
    </row>
    <row r="182" ht="15.75" customHeight="1">
      <c r="A182" s="2" t="s">
        <v>25</v>
      </c>
      <c r="B182" s="2" t="s">
        <v>26</v>
      </c>
      <c r="C182" s="2" t="s">
        <v>44</v>
      </c>
      <c r="D182" s="2" t="s">
        <v>28</v>
      </c>
      <c r="E182" s="2" t="s">
        <v>29</v>
      </c>
      <c r="F182" s="2" t="s">
        <v>45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239</v>
      </c>
      <c r="L182" s="2" t="s">
        <v>240</v>
      </c>
      <c r="M182" s="2" t="s">
        <v>34</v>
      </c>
      <c r="N182" s="2" t="s">
        <v>37</v>
      </c>
      <c r="O182" s="2" t="s">
        <v>38</v>
      </c>
      <c r="P182" s="2" t="s">
        <v>55</v>
      </c>
      <c r="Q182" s="2" t="s">
        <v>56</v>
      </c>
      <c r="R182" s="2" t="s">
        <v>48</v>
      </c>
      <c r="S182" s="2" t="s">
        <v>42</v>
      </c>
      <c r="T182" s="2" t="s">
        <v>49</v>
      </c>
      <c r="U182" s="2" t="s">
        <v>50</v>
      </c>
      <c r="V182" s="2" t="s">
        <v>57</v>
      </c>
      <c r="W182" s="2" t="s">
        <v>34</v>
      </c>
      <c r="X182" s="2" t="s">
        <v>34</v>
      </c>
      <c r="Y182" s="3">
        <v>3.0</v>
      </c>
    </row>
    <row r="183" ht="15.75" customHeight="1">
      <c r="A183" s="2" t="s">
        <v>25</v>
      </c>
      <c r="B183" s="2" t="s">
        <v>26</v>
      </c>
      <c r="C183" s="2" t="s">
        <v>44</v>
      </c>
      <c r="D183" s="2" t="s">
        <v>28</v>
      </c>
      <c r="E183" s="2" t="s">
        <v>29</v>
      </c>
      <c r="F183" s="2" t="s">
        <v>45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153</v>
      </c>
      <c r="L183" s="2" t="s">
        <v>154</v>
      </c>
      <c r="M183" s="2" t="s">
        <v>34</v>
      </c>
      <c r="N183" s="2" t="s">
        <v>37</v>
      </c>
      <c r="O183" s="2" t="s">
        <v>38</v>
      </c>
      <c r="P183" s="2" t="s">
        <v>55</v>
      </c>
      <c r="Q183" s="2" t="s">
        <v>56</v>
      </c>
      <c r="R183" s="2" t="s">
        <v>48</v>
      </c>
      <c r="S183" s="2" t="s">
        <v>42</v>
      </c>
      <c r="T183" s="2" t="s">
        <v>49</v>
      </c>
      <c r="U183" s="2" t="s">
        <v>50</v>
      </c>
      <c r="V183" s="2" t="s">
        <v>57</v>
      </c>
      <c r="W183" s="2" t="s">
        <v>34</v>
      </c>
      <c r="X183" s="2" t="s">
        <v>34</v>
      </c>
      <c r="Y183" s="3">
        <v>3.0</v>
      </c>
    </row>
    <row r="184" ht="15.75" customHeight="1">
      <c r="A184" s="2" t="s">
        <v>25</v>
      </c>
      <c r="B184" s="2" t="s">
        <v>26</v>
      </c>
      <c r="C184" s="2" t="s">
        <v>44</v>
      </c>
      <c r="D184" s="2" t="s">
        <v>28</v>
      </c>
      <c r="E184" s="2" t="s">
        <v>29</v>
      </c>
      <c r="F184" s="2" t="s">
        <v>45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358</v>
      </c>
      <c r="L184" s="2" t="s">
        <v>359</v>
      </c>
      <c r="M184" s="2" t="s">
        <v>34</v>
      </c>
      <c r="N184" s="2" t="s">
        <v>37</v>
      </c>
      <c r="O184" s="2" t="s">
        <v>38</v>
      </c>
      <c r="P184" s="2" t="s">
        <v>55</v>
      </c>
      <c r="Q184" s="2" t="s">
        <v>56</v>
      </c>
      <c r="R184" s="2" t="s">
        <v>48</v>
      </c>
      <c r="S184" s="2" t="s">
        <v>42</v>
      </c>
      <c r="T184" s="2" t="s">
        <v>49</v>
      </c>
      <c r="U184" s="2" t="s">
        <v>50</v>
      </c>
      <c r="V184" s="2" t="s">
        <v>57</v>
      </c>
      <c r="W184" s="2" t="s">
        <v>34</v>
      </c>
      <c r="X184" s="2" t="s">
        <v>34</v>
      </c>
      <c r="Y184" s="3">
        <v>3.0</v>
      </c>
    </row>
    <row r="185" ht="15.75" customHeight="1">
      <c r="A185" s="2" t="s">
        <v>25</v>
      </c>
      <c r="B185" s="2" t="s">
        <v>26</v>
      </c>
      <c r="C185" s="2" t="s">
        <v>44</v>
      </c>
      <c r="D185" s="2" t="s">
        <v>28</v>
      </c>
      <c r="E185" s="2" t="s">
        <v>29</v>
      </c>
      <c r="F185" s="2" t="s">
        <v>45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382</v>
      </c>
      <c r="L185" s="2" t="s">
        <v>383</v>
      </c>
      <c r="M185" s="2" t="s">
        <v>34</v>
      </c>
      <c r="N185" s="2" t="s">
        <v>37</v>
      </c>
      <c r="O185" s="2" t="s">
        <v>38</v>
      </c>
      <c r="P185" s="2" t="s">
        <v>55</v>
      </c>
      <c r="Q185" s="2" t="s">
        <v>56</v>
      </c>
      <c r="R185" s="2" t="s">
        <v>48</v>
      </c>
      <c r="S185" s="2" t="s">
        <v>42</v>
      </c>
      <c r="T185" s="2" t="s">
        <v>49</v>
      </c>
      <c r="U185" s="2" t="s">
        <v>50</v>
      </c>
      <c r="V185" s="2" t="s">
        <v>57</v>
      </c>
      <c r="W185" s="2" t="s">
        <v>34</v>
      </c>
      <c r="X185" s="2" t="s">
        <v>34</v>
      </c>
      <c r="Y185" s="3">
        <v>3.0</v>
      </c>
    </row>
    <row r="186" ht="15.75" customHeight="1">
      <c r="A186" s="2" t="s">
        <v>25</v>
      </c>
      <c r="B186" s="2" t="s">
        <v>26</v>
      </c>
      <c r="C186" s="2" t="s">
        <v>44</v>
      </c>
      <c r="D186" s="2" t="s">
        <v>28</v>
      </c>
      <c r="E186" s="2" t="s">
        <v>29</v>
      </c>
      <c r="F186" s="2" t="s">
        <v>45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314</v>
      </c>
      <c r="L186" s="2" t="s">
        <v>315</v>
      </c>
      <c r="M186" s="2" t="s">
        <v>34</v>
      </c>
      <c r="N186" s="2" t="s">
        <v>37</v>
      </c>
      <c r="O186" s="2" t="s">
        <v>38</v>
      </c>
      <c r="P186" s="2" t="s">
        <v>55</v>
      </c>
      <c r="Q186" s="2" t="s">
        <v>56</v>
      </c>
      <c r="R186" s="2" t="s">
        <v>48</v>
      </c>
      <c r="S186" s="2" t="s">
        <v>42</v>
      </c>
      <c r="T186" s="2" t="s">
        <v>49</v>
      </c>
      <c r="U186" s="2" t="s">
        <v>50</v>
      </c>
      <c r="V186" s="2" t="s">
        <v>57</v>
      </c>
      <c r="W186" s="2" t="s">
        <v>34</v>
      </c>
      <c r="X186" s="2" t="s">
        <v>34</v>
      </c>
      <c r="Y186" s="3">
        <v>3.0</v>
      </c>
    </row>
    <row r="187" ht="15.75" customHeight="1">
      <c r="A187" s="2" t="s">
        <v>25</v>
      </c>
      <c r="B187" s="2" t="s">
        <v>26</v>
      </c>
      <c r="C187" s="2" t="s">
        <v>44</v>
      </c>
      <c r="D187" s="2" t="s">
        <v>28</v>
      </c>
      <c r="E187" s="2" t="s">
        <v>29</v>
      </c>
      <c r="F187" s="2" t="s">
        <v>45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384</v>
      </c>
      <c r="L187" s="2" t="s">
        <v>385</v>
      </c>
      <c r="M187" s="2" t="s">
        <v>34</v>
      </c>
      <c r="N187" s="2" t="s">
        <v>74</v>
      </c>
      <c r="O187" s="2" t="s">
        <v>38</v>
      </c>
      <c r="P187" s="2" t="s">
        <v>55</v>
      </c>
      <c r="Q187" s="2" t="s">
        <v>56</v>
      </c>
      <c r="R187" s="2" t="s">
        <v>48</v>
      </c>
      <c r="S187" s="2" t="s">
        <v>42</v>
      </c>
      <c r="T187" s="2" t="s">
        <v>49</v>
      </c>
      <c r="U187" s="2" t="s">
        <v>50</v>
      </c>
      <c r="V187" s="2" t="s">
        <v>57</v>
      </c>
      <c r="W187" s="2" t="s">
        <v>34</v>
      </c>
      <c r="X187" s="2" t="s">
        <v>34</v>
      </c>
      <c r="Y187" s="3">
        <v>3.0</v>
      </c>
    </row>
    <row r="188" ht="15.75" customHeight="1">
      <c r="A188" s="2" t="s">
        <v>25</v>
      </c>
      <c r="B188" s="2" t="s">
        <v>26</v>
      </c>
      <c r="C188" s="2" t="s">
        <v>44</v>
      </c>
      <c r="D188" s="2" t="s">
        <v>28</v>
      </c>
      <c r="E188" s="2" t="s">
        <v>29</v>
      </c>
      <c r="F188" s="2" t="s">
        <v>45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312</v>
      </c>
      <c r="L188" s="2" t="s">
        <v>313</v>
      </c>
      <c r="M188" s="2" t="s">
        <v>34</v>
      </c>
      <c r="N188" s="2" t="s">
        <v>37</v>
      </c>
      <c r="O188" s="2" t="s">
        <v>38</v>
      </c>
      <c r="P188" s="2" t="s">
        <v>55</v>
      </c>
      <c r="Q188" s="2" t="s">
        <v>56</v>
      </c>
      <c r="R188" s="2" t="s">
        <v>48</v>
      </c>
      <c r="S188" s="2" t="s">
        <v>42</v>
      </c>
      <c r="T188" s="2" t="s">
        <v>49</v>
      </c>
      <c r="U188" s="2" t="s">
        <v>50</v>
      </c>
      <c r="V188" s="2" t="s">
        <v>51</v>
      </c>
      <c r="W188" s="2" t="s">
        <v>34</v>
      </c>
      <c r="X188" s="2" t="s">
        <v>34</v>
      </c>
      <c r="Y188" s="3">
        <v>6.0</v>
      </c>
    </row>
    <row r="189" ht="15.75" customHeight="1">
      <c r="A189" s="2" t="s">
        <v>25</v>
      </c>
      <c r="B189" s="2" t="s">
        <v>26</v>
      </c>
      <c r="C189" s="2" t="s">
        <v>58</v>
      </c>
      <c r="D189" s="2" t="s">
        <v>28</v>
      </c>
      <c r="E189" s="2" t="s">
        <v>29</v>
      </c>
      <c r="F189" s="2" t="s">
        <v>59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378</v>
      </c>
      <c r="L189" s="2" t="s">
        <v>379</v>
      </c>
      <c r="M189" s="2" t="s">
        <v>34</v>
      </c>
      <c r="N189" s="2" t="s">
        <v>37</v>
      </c>
      <c r="O189" s="2" t="s">
        <v>38</v>
      </c>
      <c r="P189" s="2" t="s">
        <v>55</v>
      </c>
      <c r="Q189" s="2" t="s">
        <v>56</v>
      </c>
      <c r="R189" s="2" t="s">
        <v>41</v>
      </c>
      <c r="S189" s="2" t="s">
        <v>42</v>
      </c>
      <c r="T189" s="2" t="s">
        <v>62</v>
      </c>
      <c r="U189" s="2" t="s">
        <v>34</v>
      </c>
      <c r="V189" s="2" t="s">
        <v>57</v>
      </c>
      <c r="W189" s="2" t="s">
        <v>34</v>
      </c>
      <c r="X189" s="2" t="s">
        <v>34</v>
      </c>
      <c r="Y189" s="3">
        <v>20.0</v>
      </c>
    </row>
    <row r="190" ht="15.75" customHeight="1">
      <c r="A190" s="2" t="s">
        <v>25</v>
      </c>
      <c r="B190" s="2" t="s">
        <v>26</v>
      </c>
      <c r="C190" s="2" t="s">
        <v>58</v>
      </c>
      <c r="D190" s="2" t="s">
        <v>28</v>
      </c>
      <c r="E190" s="2" t="s">
        <v>29</v>
      </c>
      <c r="F190" s="2" t="s">
        <v>59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380</v>
      </c>
      <c r="L190" s="2" t="s">
        <v>381</v>
      </c>
      <c r="M190" s="2" t="s">
        <v>34</v>
      </c>
      <c r="N190" s="2" t="s">
        <v>37</v>
      </c>
      <c r="O190" s="2" t="s">
        <v>38</v>
      </c>
      <c r="P190" s="2" t="s">
        <v>55</v>
      </c>
      <c r="Q190" s="2" t="s">
        <v>56</v>
      </c>
      <c r="R190" s="2" t="s">
        <v>41</v>
      </c>
      <c r="S190" s="2" t="s">
        <v>42</v>
      </c>
      <c r="T190" s="2" t="s">
        <v>62</v>
      </c>
      <c r="U190" s="2" t="s">
        <v>34</v>
      </c>
      <c r="V190" s="2" t="s">
        <v>57</v>
      </c>
      <c r="W190" s="2" t="s">
        <v>34</v>
      </c>
      <c r="X190" s="2" t="s">
        <v>34</v>
      </c>
      <c r="Y190" s="3">
        <v>20.0</v>
      </c>
    </row>
    <row r="191" ht="15.75" customHeight="1">
      <c r="A191" s="2" t="s">
        <v>25</v>
      </c>
      <c r="B191" s="2" t="s">
        <v>26</v>
      </c>
      <c r="C191" s="2" t="s">
        <v>58</v>
      </c>
      <c r="D191" s="2" t="s">
        <v>28</v>
      </c>
      <c r="E191" s="2" t="s">
        <v>29</v>
      </c>
      <c r="F191" s="2" t="s">
        <v>59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310</v>
      </c>
      <c r="L191" s="2" t="s">
        <v>311</v>
      </c>
      <c r="M191" s="2" t="s">
        <v>34</v>
      </c>
      <c r="N191" s="2" t="s">
        <v>37</v>
      </c>
      <c r="O191" s="2" t="s">
        <v>38</v>
      </c>
      <c r="P191" s="2" t="s">
        <v>55</v>
      </c>
      <c r="Q191" s="2" t="s">
        <v>56</v>
      </c>
      <c r="R191" s="2" t="s">
        <v>41</v>
      </c>
      <c r="S191" s="2" t="s">
        <v>42</v>
      </c>
      <c r="T191" s="2" t="s">
        <v>62</v>
      </c>
      <c r="U191" s="2" t="s">
        <v>34</v>
      </c>
      <c r="V191" s="2" t="s">
        <v>57</v>
      </c>
      <c r="W191" s="2" t="s">
        <v>34</v>
      </c>
      <c r="X191" s="2" t="s">
        <v>34</v>
      </c>
      <c r="Y191" s="3">
        <v>20.0</v>
      </c>
    </row>
    <row r="192" ht="15.75" customHeight="1">
      <c r="A192" s="2" t="s">
        <v>25</v>
      </c>
      <c r="B192" s="2" t="s">
        <v>26</v>
      </c>
      <c r="C192" s="2" t="s">
        <v>58</v>
      </c>
      <c r="D192" s="2" t="s">
        <v>28</v>
      </c>
      <c r="E192" s="2" t="s">
        <v>29</v>
      </c>
      <c r="F192" s="2" t="s">
        <v>59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147</v>
      </c>
      <c r="L192" s="2" t="s">
        <v>148</v>
      </c>
      <c r="M192" s="2" t="s">
        <v>34</v>
      </c>
      <c r="N192" s="2" t="s">
        <v>37</v>
      </c>
      <c r="O192" s="2" t="s">
        <v>38</v>
      </c>
      <c r="P192" s="2" t="s">
        <v>55</v>
      </c>
      <c r="Q192" s="2" t="s">
        <v>56</v>
      </c>
      <c r="R192" s="2" t="s">
        <v>41</v>
      </c>
      <c r="S192" s="2" t="s">
        <v>42</v>
      </c>
      <c r="T192" s="2" t="s">
        <v>62</v>
      </c>
      <c r="U192" s="2" t="s">
        <v>34</v>
      </c>
      <c r="V192" s="2" t="s">
        <v>57</v>
      </c>
      <c r="W192" s="2" t="s">
        <v>34</v>
      </c>
      <c r="X192" s="2" t="s">
        <v>34</v>
      </c>
      <c r="Y192" s="3">
        <v>20.0</v>
      </c>
    </row>
    <row r="193" ht="15.75" customHeight="1">
      <c r="A193" s="2" t="s">
        <v>25</v>
      </c>
      <c r="B193" s="2" t="s">
        <v>26</v>
      </c>
      <c r="C193" s="2" t="s">
        <v>58</v>
      </c>
      <c r="D193" s="2" t="s">
        <v>28</v>
      </c>
      <c r="E193" s="2" t="s">
        <v>29</v>
      </c>
      <c r="F193" s="2" t="s">
        <v>59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382</v>
      </c>
      <c r="L193" s="2" t="s">
        <v>383</v>
      </c>
      <c r="M193" s="2" t="s">
        <v>34</v>
      </c>
      <c r="N193" s="2" t="s">
        <v>37</v>
      </c>
      <c r="O193" s="2" t="s">
        <v>38</v>
      </c>
      <c r="P193" s="2" t="s">
        <v>55</v>
      </c>
      <c r="Q193" s="2" t="s">
        <v>56</v>
      </c>
      <c r="R193" s="2" t="s">
        <v>41</v>
      </c>
      <c r="S193" s="2" t="s">
        <v>42</v>
      </c>
      <c r="T193" s="2" t="s">
        <v>62</v>
      </c>
      <c r="U193" s="2" t="s">
        <v>34</v>
      </c>
      <c r="V193" s="2" t="s">
        <v>57</v>
      </c>
      <c r="W193" s="2" t="s">
        <v>34</v>
      </c>
      <c r="X193" s="2" t="s">
        <v>34</v>
      </c>
      <c r="Y193" s="3">
        <v>20.0</v>
      </c>
    </row>
    <row r="194" ht="15.75" customHeight="1">
      <c r="A194" s="2" t="s">
        <v>25</v>
      </c>
      <c r="B194" s="2" t="s">
        <v>26</v>
      </c>
      <c r="C194" s="2" t="s">
        <v>58</v>
      </c>
      <c r="D194" s="2" t="s">
        <v>28</v>
      </c>
      <c r="E194" s="2" t="s">
        <v>29</v>
      </c>
      <c r="F194" s="2" t="s">
        <v>59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384</v>
      </c>
      <c r="L194" s="2" t="s">
        <v>385</v>
      </c>
      <c r="M194" s="2" t="s">
        <v>34</v>
      </c>
      <c r="N194" s="2" t="s">
        <v>74</v>
      </c>
      <c r="O194" s="2" t="s">
        <v>38</v>
      </c>
      <c r="P194" s="2" t="s">
        <v>55</v>
      </c>
      <c r="Q194" s="2" t="s">
        <v>56</v>
      </c>
      <c r="R194" s="2" t="s">
        <v>41</v>
      </c>
      <c r="S194" s="2" t="s">
        <v>42</v>
      </c>
      <c r="T194" s="2" t="s">
        <v>62</v>
      </c>
      <c r="U194" s="2" t="s">
        <v>34</v>
      </c>
      <c r="V194" s="2" t="s">
        <v>57</v>
      </c>
      <c r="W194" s="2" t="s">
        <v>34</v>
      </c>
      <c r="X194" s="2" t="s">
        <v>34</v>
      </c>
      <c r="Y194" s="3">
        <v>20.0</v>
      </c>
    </row>
    <row r="195" ht="15.75" customHeight="1">
      <c r="A195" s="2" t="s">
        <v>25</v>
      </c>
      <c r="B195" s="2" t="s">
        <v>26</v>
      </c>
      <c r="C195" s="2" t="s">
        <v>58</v>
      </c>
      <c r="D195" s="2" t="s">
        <v>28</v>
      </c>
      <c r="E195" s="2" t="s">
        <v>29</v>
      </c>
      <c r="F195" s="2" t="s">
        <v>59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386</v>
      </c>
      <c r="L195" s="2" t="s">
        <v>387</v>
      </c>
      <c r="M195" s="2" t="s">
        <v>34</v>
      </c>
      <c r="N195" s="2" t="s">
        <v>74</v>
      </c>
      <c r="O195" s="2" t="s">
        <v>38</v>
      </c>
      <c r="P195" s="2" t="s">
        <v>55</v>
      </c>
      <c r="Q195" s="2" t="s">
        <v>56</v>
      </c>
      <c r="R195" s="2" t="s">
        <v>41</v>
      </c>
      <c r="S195" s="2" t="s">
        <v>42</v>
      </c>
      <c r="T195" s="2" t="s">
        <v>62</v>
      </c>
      <c r="U195" s="2" t="s">
        <v>34</v>
      </c>
      <c r="V195" s="2" t="s">
        <v>57</v>
      </c>
      <c r="W195" s="2" t="s">
        <v>34</v>
      </c>
      <c r="X195" s="2" t="s">
        <v>34</v>
      </c>
      <c r="Y195" s="3">
        <v>22.0</v>
      </c>
    </row>
    <row r="196" ht="15.75" customHeight="1">
      <c r="A196" s="2" t="s">
        <v>25</v>
      </c>
      <c r="B196" s="2" t="s">
        <v>26</v>
      </c>
      <c r="C196" s="2" t="s">
        <v>44</v>
      </c>
      <c r="D196" s="2" t="s">
        <v>28</v>
      </c>
      <c r="E196" s="2" t="s">
        <v>29</v>
      </c>
      <c r="F196" s="2" t="s">
        <v>45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63</v>
      </c>
      <c r="L196" s="2" t="s">
        <v>64</v>
      </c>
      <c r="M196" s="2" t="s">
        <v>34</v>
      </c>
      <c r="N196" s="2" t="s">
        <v>37</v>
      </c>
      <c r="O196" s="2" t="s">
        <v>38</v>
      </c>
      <c r="P196" s="2" t="s">
        <v>55</v>
      </c>
      <c r="Q196" s="2" t="s">
        <v>56</v>
      </c>
      <c r="R196" s="2" t="s">
        <v>48</v>
      </c>
      <c r="S196" s="2" t="s">
        <v>42</v>
      </c>
      <c r="T196" s="2" t="s">
        <v>49</v>
      </c>
      <c r="U196" s="2" t="s">
        <v>50</v>
      </c>
      <c r="V196" s="2" t="s">
        <v>65</v>
      </c>
      <c r="W196" s="2" t="s">
        <v>34</v>
      </c>
      <c r="X196" s="2" t="s">
        <v>34</v>
      </c>
      <c r="Y196" s="3">
        <v>12.0</v>
      </c>
    </row>
    <row r="197" ht="15.75" customHeight="1">
      <c r="A197" s="2" t="s">
        <v>25</v>
      </c>
      <c r="B197" s="2" t="s">
        <v>26</v>
      </c>
      <c r="C197" s="2" t="s">
        <v>58</v>
      </c>
      <c r="D197" s="2" t="s">
        <v>28</v>
      </c>
      <c r="E197" s="2" t="s">
        <v>29</v>
      </c>
      <c r="F197" s="2" t="s">
        <v>59</v>
      </c>
      <c r="G197" s="2" t="s">
        <v>31</v>
      </c>
      <c r="H197" s="2" t="s">
        <v>32</v>
      </c>
      <c r="I197" s="2" t="s">
        <v>33</v>
      </c>
      <c r="J197" s="2" t="s">
        <v>34</v>
      </c>
      <c r="K197" s="2" t="s">
        <v>231</v>
      </c>
      <c r="L197" s="2" t="s">
        <v>232</v>
      </c>
      <c r="M197" s="2" t="s">
        <v>34</v>
      </c>
      <c r="N197" s="2" t="s">
        <v>37</v>
      </c>
      <c r="O197" s="2" t="s">
        <v>38</v>
      </c>
      <c r="P197" s="2" t="s">
        <v>55</v>
      </c>
      <c r="Q197" s="2" t="s">
        <v>56</v>
      </c>
      <c r="R197" s="2" t="s">
        <v>41</v>
      </c>
      <c r="S197" s="2" t="s">
        <v>42</v>
      </c>
      <c r="T197" s="2" t="s">
        <v>62</v>
      </c>
      <c r="U197" s="2" t="s">
        <v>34</v>
      </c>
      <c r="V197" s="2" t="s">
        <v>51</v>
      </c>
      <c r="W197" s="2" t="s">
        <v>34</v>
      </c>
      <c r="X197" s="2" t="s">
        <v>34</v>
      </c>
      <c r="Y197" s="3">
        <v>40.0</v>
      </c>
    </row>
    <row r="198" ht="15.75" customHeight="1">
      <c r="A198" s="2" t="s">
        <v>25</v>
      </c>
      <c r="B198" s="2" t="s">
        <v>26</v>
      </c>
      <c r="C198" s="2" t="s">
        <v>58</v>
      </c>
      <c r="D198" s="2" t="s">
        <v>28</v>
      </c>
      <c r="E198" s="2" t="s">
        <v>29</v>
      </c>
      <c r="F198" s="2" t="s">
        <v>59</v>
      </c>
      <c r="G198" s="2" t="s">
        <v>31</v>
      </c>
      <c r="H198" s="2" t="s">
        <v>32</v>
      </c>
      <c r="I198" s="2" t="s">
        <v>33</v>
      </c>
      <c r="J198" s="2" t="s">
        <v>34</v>
      </c>
      <c r="K198" s="2" t="s">
        <v>318</v>
      </c>
      <c r="L198" s="2" t="s">
        <v>319</v>
      </c>
      <c r="M198" s="2" t="s">
        <v>34</v>
      </c>
      <c r="N198" s="2" t="s">
        <v>74</v>
      </c>
      <c r="O198" s="2" t="s">
        <v>38</v>
      </c>
      <c r="P198" s="2" t="s">
        <v>55</v>
      </c>
      <c r="Q198" s="2" t="s">
        <v>56</v>
      </c>
      <c r="R198" s="2" t="s">
        <v>41</v>
      </c>
      <c r="S198" s="2" t="s">
        <v>42</v>
      </c>
      <c r="T198" s="2" t="s">
        <v>62</v>
      </c>
      <c r="U198" s="2" t="s">
        <v>34</v>
      </c>
      <c r="V198" s="2" t="s">
        <v>51</v>
      </c>
      <c r="W198" s="2" t="s">
        <v>34</v>
      </c>
      <c r="X198" s="2" t="s">
        <v>34</v>
      </c>
      <c r="Y198" s="3">
        <v>40.0</v>
      </c>
    </row>
    <row r="199" ht="15.75" customHeight="1">
      <c r="A199" s="2" t="s">
        <v>25</v>
      </c>
      <c r="B199" s="2" t="s">
        <v>26</v>
      </c>
      <c r="C199" s="2" t="s">
        <v>58</v>
      </c>
      <c r="D199" s="2" t="s">
        <v>28</v>
      </c>
      <c r="E199" s="2" t="s">
        <v>29</v>
      </c>
      <c r="F199" s="2" t="s">
        <v>59</v>
      </c>
      <c r="G199" s="2" t="s">
        <v>31</v>
      </c>
      <c r="H199" s="2" t="s">
        <v>32</v>
      </c>
      <c r="I199" s="2" t="s">
        <v>33</v>
      </c>
      <c r="J199" s="2" t="s">
        <v>34</v>
      </c>
      <c r="K199" s="2" t="s">
        <v>362</v>
      </c>
      <c r="L199" s="2" t="s">
        <v>363</v>
      </c>
      <c r="M199" s="2" t="s">
        <v>34</v>
      </c>
      <c r="N199" s="2" t="s">
        <v>74</v>
      </c>
      <c r="O199" s="2" t="s">
        <v>38</v>
      </c>
      <c r="P199" s="2" t="s">
        <v>55</v>
      </c>
      <c r="Q199" s="2" t="s">
        <v>56</v>
      </c>
      <c r="R199" s="2" t="s">
        <v>41</v>
      </c>
      <c r="S199" s="2" t="s">
        <v>42</v>
      </c>
      <c r="T199" s="2" t="s">
        <v>62</v>
      </c>
      <c r="U199" s="2" t="s">
        <v>34</v>
      </c>
      <c r="V199" s="2" t="s">
        <v>51</v>
      </c>
      <c r="W199" s="2" t="s">
        <v>34</v>
      </c>
      <c r="X199" s="2" t="s">
        <v>34</v>
      </c>
      <c r="Y199" s="3">
        <v>40.0</v>
      </c>
    </row>
    <row r="200" ht="15.75" customHeight="1">
      <c r="A200" s="2" t="s">
        <v>25</v>
      </c>
      <c r="B200" s="2" t="s">
        <v>26</v>
      </c>
      <c r="C200" s="2" t="s">
        <v>58</v>
      </c>
      <c r="D200" s="2" t="s">
        <v>28</v>
      </c>
      <c r="E200" s="2" t="s">
        <v>29</v>
      </c>
      <c r="F200" s="2" t="s">
        <v>59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191</v>
      </c>
      <c r="L200" s="2" t="s">
        <v>192</v>
      </c>
      <c r="M200" s="2" t="s">
        <v>34</v>
      </c>
      <c r="N200" s="2" t="s">
        <v>37</v>
      </c>
      <c r="O200" s="2" t="s">
        <v>38</v>
      </c>
      <c r="P200" s="2" t="s">
        <v>55</v>
      </c>
      <c r="Q200" s="2" t="s">
        <v>56</v>
      </c>
      <c r="R200" s="2" t="s">
        <v>41</v>
      </c>
      <c r="S200" s="2" t="s">
        <v>42</v>
      </c>
      <c r="T200" s="2" t="s">
        <v>62</v>
      </c>
      <c r="U200" s="2" t="s">
        <v>34</v>
      </c>
      <c r="V200" s="2" t="s">
        <v>65</v>
      </c>
      <c r="W200" s="2" t="s">
        <v>34</v>
      </c>
      <c r="X200" s="2" t="s">
        <v>34</v>
      </c>
      <c r="Y200" s="3">
        <v>80.0</v>
      </c>
    </row>
    <row r="201" ht="15.75" customHeight="1">
      <c r="A201" s="2" t="s">
        <v>25</v>
      </c>
      <c r="B201" s="2" t="s">
        <v>26</v>
      </c>
      <c r="C201" s="2" t="s">
        <v>44</v>
      </c>
      <c r="D201" s="2" t="s">
        <v>28</v>
      </c>
      <c r="E201" s="2" t="s">
        <v>29</v>
      </c>
      <c r="F201" s="2" t="s">
        <v>45</v>
      </c>
      <c r="G201" s="2" t="s">
        <v>31</v>
      </c>
      <c r="H201" s="2" t="s">
        <v>32</v>
      </c>
      <c r="I201" s="2" t="s">
        <v>33</v>
      </c>
      <c r="J201" s="2" t="s">
        <v>34</v>
      </c>
      <c r="K201" s="2" t="s">
        <v>165</v>
      </c>
      <c r="L201" s="2" t="s">
        <v>166</v>
      </c>
      <c r="M201" s="2" t="s">
        <v>34</v>
      </c>
      <c r="N201" s="2" t="s">
        <v>37</v>
      </c>
      <c r="O201" s="2" t="s">
        <v>38</v>
      </c>
      <c r="P201" s="2" t="s">
        <v>161</v>
      </c>
      <c r="Q201" s="2" t="s">
        <v>162</v>
      </c>
      <c r="R201" s="2" t="s">
        <v>48</v>
      </c>
      <c r="S201" s="2" t="s">
        <v>42</v>
      </c>
      <c r="T201" s="2" t="s">
        <v>49</v>
      </c>
      <c r="U201" s="2" t="s">
        <v>50</v>
      </c>
      <c r="V201" s="2" t="s">
        <v>57</v>
      </c>
      <c r="W201" s="2" t="s">
        <v>34</v>
      </c>
      <c r="X201" s="2" t="s">
        <v>34</v>
      </c>
      <c r="Y201" s="3">
        <v>3.0</v>
      </c>
    </row>
    <row r="202" ht="15.75" customHeight="1">
      <c r="A202" s="2" t="s">
        <v>25</v>
      </c>
      <c r="B202" s="2" t="s">
        <v>26</v>
      </c>
      <c r="C202" s="2" t="s">
        <v>44</v>
      </c>
      <c r="D202" s="2" t="s">
        <v>28</v>
      </c>
      <c r="E202" s="2" t="s">
        <v>29</v>
      </c>
      <c r="F202" s="2" t="s">
        <v>45</v>
      </c>
      <c r="G202" s="2" t="s">
        <v>31</v>
      </c>
      <c r="H202" s="2" t="s">
        <v>32</v>
      </c>
      <c r="I202" s="2" t="s">
        <v>33</v>
      </c>
      <c r="J202" s="2" t="s">
        <v>34</v>
      </c>
      <c r="K202" s="2" t="s">
        <v>388</v>
      </c>
      <c r="L202" s="2" t="s">
        <v>389</v>
      </c>
      <c r="M202" s="2" t="s">
        <v>34</v>
      </c>
      <c r="N202" s="2" t="s">
        <v>37</v>
      </c>
      <c r="O202" s="2" t="s">
        <v>38</v>
      </c>
      <c r="P202" s="2" t="s">
        <v>161</v>
      </c>
      <c r="Q202" s="2" t="s">
        <v>162</v>
      </c>
      <c r="R202" s="2" t="s">
        <v>48</v>
      </c>
      <c r="S202" s="2" t="s">
        <v>42</v>
      </c>
      <c r="T202" s="2" t="s">
        <v>49</v>
      </c>
      <c r="U202" s="2" t="s">
        <v>50</v>
      </c>
      <c r="V202" s="2" t="s">
        <v>57</v>
      </c>
      <c r="W202" s="2" t="s">
        <v>34</v>
      </c>
      <c r="X202" s="2" t="s">
        <v>34</v>
      </c>
      <c r="Y202" s="3">
        <v>3.0</v>
      </c>
    </row>
    <row r="203" ht="15.75" customHeight="1">
      <c r="A203" s="2" t="s">
        <v>25</v>
      </c>
      <c r="B203" s="2" t="s">
        <v>26</v>
      </c>
      <c r="C203" s="2" t="s">
        <v>44</v>
      </c>
      <c r="D203" s="2" t="s">
        <v>28</v>
      </c>
      <c r="E203" s="2" t="s">
        <v>29</v>
      </c>
      <c r="F203" s="2" t="s">
        <v>45</v>
      </c>
      <c r="G203" s="2" t="s">
        <v>31</v>
      </c>
      <c r="H203" s="2" t="s">
        <v>32</v>
      </c>
      <c r="I203" s="2" t="s">
        <v>33</v>
      </c>
      <c r="J203" s="2" t="s">
        <v>34</v>
      </c>
      <c r="K203" s="2" t="s">
        <v>388</v>
      </c>
      <c r="L203" s="2" t="s">
        <v>389</v>
      </c>
      <c r="M203" s="2" t="s">
        <v>34</v>
      </c>
      <c r="N203" s="2" t="s">
        <v>74</v>
      </c>
      <c r="O203" s="2" t="s">
        <v>38</v>
      </c>
      <c r="P203" s="2" t="s">
        <v>161</v>
      </c>
      <c r="Q203" s="2" t="s">
        <v>162</v>
      </c>
      <c r="R203" s="2" t="s">
        <v>48</v>
      </c>
      <c r="S203" s="2" t="s">
        <v>42</v>
      </c>
      <c r="T203" s="2" t="s">
        <v>49</v>
      </c>
      <c r="U203" s="2" t="s">
        <v>50</v>
      </c>
      <c r="V203" s="2" t="s">
        <v>57</v>
      </c>
      <c r="W203" s="2" t="s">
        <v>34</v>
      </c>
      <c r="X203" s="2" t="s">
        <v>34</v>
      </c>
      <c r="Y203" s="3">
        <v>3.0</v>
      </c>
    </row>
    <row r="204" ht="15.75" customHeight="1">
      <c r="A204" s="2" t="s">
        <v>25</v>
      </c>
      <c r="B204" s="2" t="s">
        <v>26</v>
      </c>
      <c r="C204" s="2" t="s">
        <v>157</v>
      </c>
      <c r="D204" s="2" t="s">
        <v>28</v>
      </c>
      <c r="E204" s="2" t="s">
        <v>29</v>
      </c>
      <c r="F204" s="2" t="s">
        <v>158</v>
      </c>
      <c r="G204" s="2" t="s">
        <v>31</v>
      </c>
      <c r="H204" s="2" t="s">
        <v>32</v>
      </c>
      <c r="I204" s="2" t="s">
        <v>33</v>
      </c>
      <c r="J204" s="2" t="s">
        <v>34</v>
      </c>
      <c r="K204" s="2" t="s">
        <v>388</v>
      </c>
      <c r="L204" s="2" t="s">
        <v>389</v>
      </c>
      <c r="M204" s="2" t="s">
        <v>34</v>
      </c>
      <c r="N204" s="2" t="s">
        <v>37</v>
      </c>
      <c r="O204" s="2" t="s">
        <v>38</v>
      </c>
      <c r="P204" s="2" t="s">
        <v>161</v>
      </c>
      <c r="Q204" s="2" t="s">
        <v>162</v>
      </c>
      <c r="R204" s="2" t="s">
        <v>41</v>
      </c>
      <c r="S204" s="2" t="s">
        <v>42</v>
      </c>
      <c r="T204" s="2" t="s">
        <v>62</v>
      </c>
      <c r="U204" s="2" t="s">
        <v>34</v>
      </c>
      <c r="V204" s="2" t="s">
        <v>57</v>
      </c>
      <c r="W204" s="2" t="s">
        <v>34</v>
      </c>
      <c r="X204" s="2" t="s">
        <v>34</v>
      </c>
      <c r="Y204" s="3">
        <v>22.0</v>
      </c>
    </row>
    <row r="205" ht="15.75" customHeight="1">
      <c r="A205" s="2" t="s">
        <v>25</v>
      </c>
      <c r="B205" s="2" t="s">
        <v>26</v>
      </c>
      <c r="C205" s="2" t="s">
        <v>157</v>
      </c>
      <c r="D205" s="2" t="s">
        <v>28</v>
      </c>
      <c r="E205" s="2" t="s">
        <v>29</v>
      </c>
      <c r="F205" s="2" t="s">
        <v>158</v>
      </c>
      <c r="G205" s="2" t="s">
        <v>31</v>
      </c>
      <c r="H205" s="2" t="s">
        <v>32</v>
      </c>
      <c r="I205" s="2" t="s">
        <v>33</v>
      </c>
      <c r="J205" s="2" t="s">
        <v>34</v>
      </c>
      <c r="K205" s="2" t="s">
        <v>388</v>
      </c>
      <c r="L205" s="2" t="s">
        <v>389</v>
      </c>
      <c r="M205" s="2" t="s">
        <v>34</v>
      </c>
      <c r="N205" s="2" t="s">
        <v>74</v>
      </c>
      <c r="O205" s="2" t="s">
        <v>38</v>
      </c>
      <c r="P205" s="2" t="s">
        <v>161</v>
      </c>
      <c r="Q205" s="2" t="s">
        <v>162</v>
      </c>
      <c r="R205" s="2" t="s">
        <v>41</v>
      </c>
      <c r="S205" s="2" t="s">
        <v>42</v>
      </c>
      <c r="T205" s="2" t="s">
        <v>62</v>
      </c>
      <c r="U205" s="2" t="s">
        <v>34</v>
      </c>
      <c r="V205" s="2" t="s">
        <v>57</v>
      </c>
      <c r="W205" s="2" t="s">
        <v>34</v>
      </c>
      <c r="X205" s="2" t="s">
        <v>34</v>
      </c>
      <c r="Y205" s="3">
        <v>22.0</v>
      </c>
    </row>
    <row r="206" ht="15.75" customHeight="1">
      <c r="A206" s="2" t="s">
        <v>25</v>
      </c>
      <c r="B206" s="2" t="s">
        <v>26</v>
      </c>
      <c r="C206" s="2" t="s">
        <v>157</v>
      </c>
      <c r="D206" s="2" t="s">
        <v>28</v>
      </c>
      <c r="E206" s="2" t="s">
        <v>29</v>
      </c>
      <c r="F206" s="2" t="s">
        <v>158</v>
      </c>
      <c r="G206" s="2" t="s">
        <v>31</v>
      </c>
      <c r="H206" s="2" t="s">
        <v>32</v>
      </c>
      <c r="I206" s="2" t="s">
        <v>33</v>
      </c>
      <c r="J206" s="2" t="s">
        <v>34</v>
      </c>
      <c r="K206" s="2" t="s">
        <v>241</v>
      </c>
      <c r="L206" s="2" t="s">
        <v>242</v>
      </c>
      <c r="M206" s="2" t="s">
        <v>34</v>
      </c>
      <c r="N206" s="2" t="s">
        <v>37</v>
      </c>
      <c r="O206" s="2" t="s">
        <v>38</v>
      </c>
      <c r="P206" s="2" t="s">
        <v>161</v>
      </c>
      <c r="Q206" s="2" t="s">
        <v>162</v>
      </c>
      <c r="R206" s="2" t="s">
        <v>41</v>
      </c>
      <c r="S206" s="2" t="s">
        <v>42</v>
      </c>
      <c r="T206" s="2" t="s">
        <v>62</v>
      </c>
      <c r="U206" s="2" t="s">
        <v>34</v>
      </c>
      <c r="V206" s="2" t="s">
        <v>57</v>
      </c>
      <c r="W206" s="2" t="s">
        <v>34</v>
      </c>
      <c r="X206" s="2" t="s">
        <v>34</v>
      </c>
      <c r="Y206" s="3">
        <v>27.0</v>
      </c>
    </row>
    <row r="207" ht="15.75" customHeight="1">
      <c r="A207" s="2" t="s">
        <v>25</v>
      </c>
      <c r="B207" s="2" t="s">
        <v>26</v>
      </c>
      <c r="C207" s="2" t="s">
        <v>243</v>
      </c>
      <c r="D207" s="2" t="s">
        <v>28</v>
      </c>
      <c r="E207" s="2" t="s">
        <v>29</v>
      </c>
      <c r="F207" s="2" t="s">
        <v>244</v>
      </c>
      <c r="G207" s="2" t="s">
        <v>31</v>
      </c>
      <c r="H207" s="2" t="s">
        <v>32</v>
      </c>
      <c r="I207" s="2" t="s">
        <v>33</v>
      </c>
      <c r="J207" s="2" t="s">
        <v>34</v>
      </c>
      <c r="K207" s="2" t="s">
        <v>390</v>
      </c>
      <c r="L207" s="2" t="s">
        <v>391</v>
      </c>
      <c r="M207" s="2" t="s">
        <v>34</v>
      </c>
      <c r="N207" s="2" t="s">
        <v>74</v>
      </c>
      <c r="O207" s="2" t="s">
        <v>38</v>
      </c>
      <c r="P207" s="2" t="s">
        <v>169</v>
      </c>
      <c r="Q207" s="2" t="s">
        <v>170</v>
      </c>
      <c r="R207" s="2" t="s">
        <v>41</v>
      </c>
      <c r="S207" s="2" t="s">
        <v>42</v>
      </c>
      <c r="T207" s="2" t="s">
        <v>43</v>
      </c>
      <c r="U207" s="2" t="s">
        <v>34</v>
      </c>
      <c r="V207" s="2" t="s">
        <v>34</v>
      </c>
      <c r="W207" s="2" t="s">
        <v>34</v>
      </c>
      <c r="X207" s="2" t="s">
        <v>34</v>
      </c>
      <c r="Y207" s="3">
        <v>5.11</v>
      </c>
    </row>
    <row r="208" ht="15.75" customHeight="1">
      <c r="A208" s="2" t="s">
        <v>25</v>
      </c>
      <c r="B208" s="2" t="s">
        <v>26</v>
      </c>
      <c r="C208" s="2" t="s">
        <v>243</v>
      </c>
      <c r="D208" s="2" t="s">
        <v>28</v>
      </c>
      <c r="E208" s="2" t="s">
        <v>29</v>
      </c>
      <c r="F208" s="2" t="s">
        <v>244</v>
      </c>
      <c r="G208" s="2" t="s">
        <v>31</v>
      </c>
      <c r="H208" s="2" t="s">
        <v>32</v>
      </c>
      <c r="I208" s="2" t="s">
        <v>33</v>
      </c>
      <c r="J208" s="2" t="s">
        <v>34</v>
      </c>
      <c r="K208" s="2" t="s">
        <v>390</v>
      </c>
      <c r="L208" s="2" t="s">
        <v>391</v>
      </c>
      <c r="M208" s="2" t="s">
        <v>34</v>
      </c>
      <c r="N208" s="2" t="s">
        <v>75</v>
      </c>
      <c r="O208" s="2" t="s">
        <v>38</v>
      </c>
      <c r="P208" s="2" t="s">
        <v>169</v>
      </c>
      <c r="Q208" s="2" t="s">
        <v>170</v>
      </c>
      <c r="R208" s="2" t="s">
        <v>41</v>
      </c>
      <c r="S208" s="2" t="s">
        <v>42</v>
      </c>
      <c r="T208" s="2" t="s">
        <v>43</v>
      </c>
      <c r="U208" s="2" t="s">
        <v>34</v>
      </c>
      <c r="V208" s="2" t="s">
        <v>34</v>
      </c>
      <c r="W208" s="2" t="s">
        <v>34</v>
      </c>
      <c r="X208" s="2" t="s">
        <v>34</v>
      </c>
      <c r="Y208" s="3">
        <v>5.11</v>
      </c>
    </row>
    <row r="209" ht="15.75" customHeight="1">
      <c r="A209" s="2" t="s">
        <v>25</v>
      </c>
      <c r="B209" s="2" t="s">
        <v>26</v>
      </c>
      <c r="C209" s="2" t="s">
        <v>243</v>
      </c>
      <c r="D209" s="2" t="s">
        <v>28</v>
      </c>
      <c r="E209" s="2" t="s">
        <v>29</v>
      </c>
      <c r="F209" s="2" t="s">
        <v>244</v>
      </c>
      <c r="G209" s="2" t="s">
        <v>31</v>
      </c>
      <c r="H209" s="2" t="s">
        <v>32</v>
      </c>
      <c r="I209" s="2" t="s">
        <v>33</v>
      </c>
      <c r="J209" s="2" t="s">
        <v>34</v>
      </c>
      <c r="K209" s="2" t="s">
        <v>245</v>
      </c>
      <c r="L209" s="2" t="s">
        <v>246</v>
      </c>
      <c r="M209" s="2" t="s">
        <v>34</v>
      </c>
      <c r="N209" s="2" t="s">
        <v>74</v>
      </c>
      <c r="O209" s="2" t="s">
        <v>38</v>
      </c>
      <c r="P209" s="2" t="s">
        <v>169</v>
      </c>
      <c r="Q209" s="2" t="s">
        <v>170</v>
      </c>
      <c r="R209" s="2" t="s">
        <v>41</v>
      </c>
      <c r="S209" s="2" t="s">
        <v>42</v>
      </c>
      <c r="T209" s="2" t="s">
        <v>62</v>
      </c>
      <c r="U209" s="2" t="s">
        <v>34</v>
      </c>
      <c r="V209" s="2" t="s">
        <v>57</v>
      </c>
      <c r="W209" s="2" t="s">
        <v>34</v>
      </c>
      <c r="X209" s="2" t="s">
        <v>34</v>
      </c>
      <c r="Y209" s="3">
        <v>20.0</v>
      </c>
    </row>
    <row r="210" ht="15.75" customHeight="1">
      <c r="A210" s="2" t="s">
        <v>25</v>
      </c>
      <c r="B210" s="2" t="s">
        <v>26</v>
      </c>
      <c r="C210" s="2" t="s">
        <v>44</v>
      </c>
      <c r="D210" s="2" t="s">
        <v>28</v>
      </c>
      <c r="E210" s="2" t="s">
        <v>29</v>
      </c>
      <c r="F210" s="2" t="s">
        <v>45</v>
      </c>
      <c r="G210" s="2" t="s">
        <v>31</v>
      </c>
      <c r="H210" s="2" t="s">
        <v>32</v>
      </c>
      <c r="I210" s="2" t="s">
        <v>33</v>
      </c>
      <c r="J210" s="2" t="s">
        <v>34</v>
      </c>
      <c r="K210" s="2" t="s">
        <v>392</v>
      </c>
      <c r="L210" s="2" t="s">
        <v>393</v>
      </c>
      <c r="M210" s="2" t="s">
        <v>34</v>
      </c>
      <c r="N210" s="2" t="s">
        <v>37</v>
      </c>
      <c r="O210" s="2" t="s">
        <v>38</v>
      </c>
      <c r="P210" s="2" t="s">
        <v>394</v>
      </c>
      <c r="Q210" s="2" t="s">
        <v>395</v>
      </c>
      <c r="R210" s="2" t="s">
        <v>41</v>
      </c>
      <c r="S210" s="2" t="s">
        <v>42</v>
      </c>
      <c r="T210" s="2" t="s">
        <v>49</v>
      </c>
      <c r="U210" s="2" t="s">
        <v>50</v>
      </c>
      <c r="V210" s="2" t="s">
        <v>57</v>
      </c>
      <c r="W210" s="2" t="s">
        <v>34</v>
      </c>
      <c r="X210" s="2" t="s">
        <v>34</v>
      </c>
      <c r="Y210" s="3">
        <v>3.0</v>
      </c>
    </row>
    <row r="211" ht="15.75" customHeight="1">
      <c r="A211" s="2" t="s">
        <v>25</v>
      </c>
      <c r="B211" s="2" t="s">
        <v>26</v>
      </c>
      <c r="C211" s="2" t="s">
        <v>44</v>
      </c>
      <c r="D211" s="2" t="s">
        <v>28</v>
      </c>
      <c r="E211" s="2" t="s">
        <v>29</v>
      </c>
      <c r="F211" s="2" t="s">
        <v>45</v>
      </c>
      <c r="G211" s="2" t="s">
        <v>31</v>
      </c>
      <c r="H211" s="2" t="s">
        <v>32</v>
      </c>
      <c r="I211" s="2" t="s">
        <v>33</v>
      </c>
      <c r="J211" s="2" t="s">
        <v>34</v>
      </c>
      <c r="K211" s="2" t="s">
        <v>392</v>
      </c>
      <c r="L211" s="2" t="s">
        <v>393</v>
      </c>
      <c r="M211" s="2" t="s">
        <v>34</v>
      </c>
      <c r="N211" s="2" t="s">
        <v>37</v>
      </c>
      <c r="O211" s="2" t="s">
        <v>38</v>
      </c>
      <c r="P211" s="2" t="s">
        <v>394</v>
      </c>
      <c r="Q211" s="2" t="s">
        <v>395</v>
      </c>
      <c r="R211" s="2" t="s">
        <v>41</v>
      </c>
      <c r="S211" s="2" t="s">
        <v>42</v>
      </c>
      <c r="T211" s="2" t="s">
        <v>62</v>
      </c>
      <c r="U211" s="2" t="s">
        <v>34</v>
      </c>
      <c r="V211" s="2" t="s">
        <v>57</v>
      </c>
      <c r="W211" s="2" t="s">
        <v>34</v>
      </c>
      <c r="X211" s="2" t="s">
        <v>34</v>
      </c>
      <c r="Y211" s="3">
        <v>27.0</v>
      </c>
    </row>
    <row r="212" ht="15.75" customHeight="1">
      <c r="A212" s="2" t="s">
        <v>25</v>
      </c>
      <c r="B212" s="2" t="s">
        <v>26</v>
      </c>
      <c r="C212" s="2" t="s">
        <v>44</v>
      </c>
      <c r="D212" s="2" t="s">
        <v>28</v>
      </c>
      <c r="E212" s="2" t="s">
        <v>29</v>
      </c>
      <c r="F212" s="2" t="s">
        <v>45</v>
      </c>
      <c r="G212" s="2" t="s">
        <v>31</v>
      </c>
      <c r="H212" s="2" t="s">
        <v>32</v>
      </c>
      <c r="I212" s="2" t="s">
        <v>33</v>
      </c>
      <c r="J212" s="2" t="s">
        <v>34</v>
      </c>
      <c r="K212" s="2" t="s">
        <v>396</v>
      </c>
      <c r="L212" s="2" t="s">
        <v>397</v>
      </c>
      <c r="M212" s="2" t="s">
        <v>34</v>
      </c>
      <c r="N212" s="2" t="s">
        <v>37</v>
      </c>
      <c r="O212" s="2" t="s">
        <v>38</v>
      </c>
      <c r="P212" s="2" t="s">
        <v>398</v>
      </c>
      <c r="Q212" s="2" t="s">
        <v>399</v>
      </c>
      <c r="R212" s="2" t="s">
        <v>48</v>
      </c>
      <c r="S212" s="2" t="s">
        <v>42</v>
      </c>
      <c r="T212" s="2" t="s">
        <v>49</v>
      </c>
      <c r="U212" s="2" t="s">
        <v>50</v>
      </c>
      <c r="V212" s="2" t="s">
        <v>57</v>
      </c>
      <c r="W212" s="2" t="s">
        <v>34</v>
      </c>
      <c r="X212" s="2" t="s">
        <v>34</v>
      </c>
      <c r="Y212" s="3">
        <v>3.0</v>
      </c>
    </row>
    <row r="213" ht="15.75" customHeight="1">
      <c r="A213" s="2" t="s">
        <v>25</v>
      </c>
      <c r="B213" s="2" t="s">
        <v>26</v>
      </c>
      <c r="C213" s="2" t="s">
        <v>44</v>
      </c>
      <c r="D213" s="2" t="s">
        <v>28</v>
      </c>
      <c r="E213" s="2" t="s">
        <v>29</v>
      </c>
      <c r="F213" s="2" t="s">
        <v>45</v>
      </c>
      <c r="G213" s="2" t="s">
        <v>31</v>
      </c>
      <c r="H213" s="2" t="s">
        <v>32</v>
      </c>
      <c r="I213" s="2" t="s">
        <v>33</v>
      </c>
      <c r="J213" s="2" t="s">
        <v>34</v>
      </c>
      <c r="K213" s="2" t="s">
        <v>400</v>
      </c>
      <c r="L213" s="2" t="s">
        <v>401</v>
      </c>
      <c r="M213" s="2" t="s">
        <v>34</v>
      </c>
      <c r="N213" s="2" t="s">
        <v>74</v>
      </c>
      <c r="O213" s="2" t="s">
        <v>38</v>
      </c>
      <c r="P213" s="2" t="s">
        <v>39</v>
      </c>
      <c r="Q213" s="2" t="s">
        <v>40</v>
      </c>
      <c r="R213" s="2" t="s">
        <v>48</v>
      </c>
      <c r="S213" s="2" t="s">
        <v>42</v>
      </c>
      <c r="T213" s="2" t="s">
        <v>49</v>
      </c>
      <c r="U213" s="2" t="s">
        <v>50</v>
      </c>
      <c r="V213" s="2" t="s">
        <v>65</v>
      </c>
      <c r="W213" s="2" t="s">
        <v>34</v>
      </c>
      <c r="X213" s="2" t="s">
        <v>34</v>
      </c>
      <c r="Y213" s="3">
        <v>12.0</v>
      </c>
    </row>
    <row r="214" ht="15.75" customHeight="1">
      <c r="A214" s="2" t="s">
        <v>25</v>
      </c>
      <c r="B214" s="2" t="s">
        <v>26</v>
      </c>
      <c r="C214" s="2" t="s">
        <v>27</v>
      </c>
      <c r="D214" s="2" t="s">
        <v>28</v>
      </c>
      <c r="E214" s="2" t="s">
        <v>29</v>
      </c>
      <c r="F214" s="2" t="s">
        <v>30</v>
      </c>
      <c r="G214" s="2" t="s">
        <v>31</v>
      </c>
      <c r="H214" s="2" t="s">
        <v>32</v>
      </c>
      <c r="I214" s="2" t="s">
        <v>33</v>
      </c>
      <c r="J214" s="2" t="s">
        <v>34</v>
      </c>
      <c r="K214" s="2" t="s">
        <v>402</v>
      </c>
      <c r="L214" s="2" t="s">
        <v>403</v>
      </c>
      <c r="M214" s="2" t="s">
        <v>34</v>
      </c>
      <c r="N214" s="2" t="s">
        <v>37</v>
      </c>
      <c r="O214" s="2" t="s">
        <v>38</v>
      </c>
      <c r="P214" s="2" t="s">
        <v>39</v>
      </c>
      <c r="Q214" s="2" t="s">
        <v>40</v>
      </c>
      <c r="R214" s="2" t="s">
        <v>41</v>
      </c>
      <c r="S214" s="2" t="s">
        <v>42</v>
      </c>
      <c r="T214" s="2" t="s">
        <v>62</v>
      </c>
      <c r="U214" s="2" t="s">
        <v>34</v>
      </c>
      <c r="V214" s="2" t="s">
        <v>57</v>
      </c>
      <c r="W214" s="2" t="s">
        <v>34</v>
      </c>
      <c r="X214" s="2" t="s">
        <v>34</v>
      </c>
      <c r="Y214" s="3">
        <v>20.0</v>
      </c>
    </row>
    <row r="215" ht="15.75" customHeight="1">
      <c r="A215" s="2" t="s">
        <v>25</v>
      </c>
      <c r="B215" s="2" t="s">
        <v>26</v>
      </c>
      <c r="C215" s="2" t="s">
        <v>27</v>
      </c>
      <c r="D215" s="2" t="s">
        <v>28</v>
      </c>
      <c r="E215" s="2" t="s">
        <v>29</v>
      </c>
      <c r="F215" s="2" t="s">
        <v>30</v>
      </c>
      <c r="G215" s="2" t="s">
        <v>31</v>
      </c>
      <c r="H215" s="2" t="s">
        <v>32</v>
      </c>
      <c r="I215" s="2" t="s">
        <v>33</v>
      </c>
      <c r="J215" s="2" t="s">
        <v>34</v>
      </c>
      <c r="K215" s="2" t="s">
        <v>104</v>
      </c>
      <c r="L215" s="2" t="s">
        <v>105</v>
      </c>
      <c r="M215" s="2" t="s">
        <v>34</v>
      </c>
      <c r="N215" s="2" t="s">
        <v>74</v>
      </c>
      <c r="O215" s="2" t="s">
        <v>38</v>
      </c>
      <c r="P215" s="2" t="s">
        <v>39</v>
      </c>
      <c r="Q215" s="2" t="s">
        <v>40</v>
      </c>
      <c r="R215" s="2" t="s">
        <v>41</v>
      </c>
      <c r="S215" s="2" t="s">
        <v>42</v>
      </c>
      <c r="T215" s="2" t="s">
        <v>62</v>
      </c>
      <c r="U215" s="2" t="s">
        <v>34</v>
      </c>
      <c r="V215" s="2" t="s">
        <v>57</v>
      </c>
      <c r="W215" s="2" t="s">
        <v>34</v>
      </c>
      <c r="X215" s="2" t="s">
        <v>34</v>
      </c>
      <c r="Y215" s="3">
        <v>20.0</v>
      </c>
    </row>
    <row r="216" ht="15.75" customHeight="1">
      <c r="A216" s="2" t="s">
        <v>25</v>
      </c>
      <c r="B216" s="2" t="s">
        <v>26</v>
      </c>
      <c r="C216" s="2" t="s">
        <v>27</v>
      </c>
      <c r="D216" s="2" t="s">
        <v>28</v>
      </c>
      <c r="E216" s="2" t="s">
        <v>29</v>
      </c>
      <c r="F216" s="2" t="s">
        <v>30</v>
      </c>
      <c r="G216" s="2" t="s">
        <v>31</v>
      </c>
      <c r="H216" s="2" t="s">
        <v>32</v>
      </c>
      <c r="I216" s="2" t="s">
        <v>33</v>
      </c>
      <c r="J216" s="2" t="s">
        <v>34</v>
      </c>
      <c r="K216" s="2" t="s">
        <v>175</v>
      </c>
      <c r="L216" s="2" t="s">
        <v>176</v>
      </c>
      <c r="M216" s="2" t="s">
        <v>34</v>
      </c>
      <c r="N216" s="2" t="s">
        <v>37</v>
      </c>
      <c r="O216" s="2" t="s">
        <v>38</v>
      </c>
      <c r="P216" s="2" t="s">
        <v>39</v>
      </c>
      <c r="Q216" s="2" t="s">
        <v>40</v>
      </c>
      <c r="R216" s="2" t="s">
        <v>41</v>
      </c>
      <c r="S216" s="2" t="s">
        <v>42</v>
      </c>
      <c r="T216" s="2" t="s">
        <v>62</v>
      </c>
      <c r="U216" s="2" t="s">
        <v>34</v>
      </c>
      <c r="V216" s="2" t="s">
        <v>57</v>
      </c>
      <c r="W216" s="2" t="s">
        <v>34</v>
      </c>
      <c r="X216" s="2" t="s">
        <v>34</v>
      </c>
      <c r="Y216" s="3">
        <v>20.0</v>
      </c>
    </row>
    <row r="217" ht="15.75" customHeight="1">
      <c r="A217" s="2" t="s">
        <v>25</v>
      </c>
      <c r="B217" s="2" t="s">
        <v>26</v>
      </c>
      <c r="C217" s="2" t="s">
        <v>27</v>
      </c>
      <c r="D217" s="2" t="s">
        <v>28</v>
      </c>
      <c r="E217" s="2" t="s">
        <v>29</v>
      </c>
      <c r="F217" s="2" t="s">
        <v>30</v>
      </c>
      <c r="G217" s="2" t="s">
        <v>31</v>
      </c>
      <c r="H217" s="2" t="s">
        <v>32</v>
      </c>
      <c r="I217" s="2" t="s">
        <v>33</v>
      </c>
      <c r="J217" s="2" t="s">
        <v>34</v>
      </c>
      <c r="K217" s="2" t="s">
        <v>326</v>
      </c>
      <c r="L217" s="2" t="s">
        <v>327</v>
      </c>
      <c r="M217" s="2" t="s">
        <v>34</v>
      </c>
      <c r="N217" s="2" t="s">
        <v>37</v>
      </c>
      <c r="O217" s="2" t="s">
        <v>38</v>
      </c>
      <c r="P217" s="2" t="s">
        <v>39</v>
      </c>
      <c r="Q217" s="2" t="s">
        <v>40</v>
      </c>
      <c r="R217" s="2" t="s">
        <v>41</v>
      </c>
      <c r="S217" s="2" t="s">
        <v>42</v>
      </c>
      <c r="T217" s="2" t="s">
        <v>62</v>
      </c>
      <c r="U217" s="2" t="s">
        <v>34</v>
      </c>
      <c r="V217" s="2" t="s">
        <v>57</v>
      </c>
      <c r="W217" s="2" t="s">
        <v>34</v>
      </c>
      <c r="X217" s="2" t="s">
        <v>34</v>
      </c>
      <c r="Y217" s="3">
        <v>20.0</v>
      </c>
    </row>
    <row r="218" ht="15.75" customHeight="1">
      <c r="A218" s="2" t="s">
        <v>25</v>
      </c>
      <c r="B218" s="2" t="s">
        <v>26</v>
      </c>
      <c r="C218" s="2" t="s">
        <v>27</v>
      </c>
      <c r="D218" s="2" t="s">
        <v>28</v>
      </c>
      <c r="E218" s="2" t="s">
        <v>29</v>
      </c>
      <c r="F218" s="2" t="s">
        <v>30</v>
      </c>
      <c r="G218" s="2" t="s">
        <v>31</v>
      </c>
      <c r="H218" s="2" t="s">
        <v>32</v>
      </c>
      <c r="I218" s="2" t="s">
        <v>33</v>
      </c>
      <c r="J218" s="2" t="s">
        <v>34</v>
      </c>
      <c r="K218" s="2" t="s">
        <v>404</v>
      </c>
      <c r="L218" s="2" t="s">
        <v>405</v>
      </c>
      <c r="M218" s="2" t="s">
        <v>34</v>
      </c>
      <c r="N218" s="2" t="s">
        <v>37</v>
      </c>
      <c r="O218" s="2" t="s">
        <v>38</v>
      </c>
      <c r="P218" s="2" t="s">
        <v>39</v>
      </c>
      <c r="Q218" s="2" t="s">
        <v>40</v>
      </c>
      <c r="R218" s="2" t="s">
        <v>41</v>
      </c>
      <c r="S218" s="2" t="s">
        <v>42</v>
      </c>
      <c r="T218" s="2" t="s">
        <v>62</v>
      </c>
      <c r="U218" s="2" t="s">
        <v>34</v>
      </c>
      <c r="V218" s="2" t="s">
        <v>57</v>
      </c>
      <c r="W218" s="2" t="s">
        <v>34</v>
      </c>
      <c r="X218" s="2" t="s">
        <v>34</v>
      </c>
      <c r="Y218" s="3">
        <v>20.0</v>
      </c>
    </row>
    <row r="219" ht="15.75" customHeight="1">
      <c r="A219" s="2" t="s">
        <v>25</v>
      </c>
      <c r="B219" s="2" t="s">
        <v>26</v>
      </c>
      <c r="C219" s="2" t="s">
        <v>27</v>
      </c>
      <c r="D219" s="2" t="s">
        <v>28</v>
      </c>
      <c r="E219" s="2" t="s">
        <v>29</v>
      </c>
      <c r="F219" s="2" t="s">
        <v>30</v>
      </c>
      <c r="G219" s="2" t="s">
        <v>31</v>
      </c>
      <c r="H219" s="2" t="s">
        <v>32</v>
      </c>
      <c r="I219" s="2" t="s">
        <v>33</v>
      </c>
      <c r="J219" s="2" t="s">
        <v>34</v>
      </c>
      <c r="K219" s="2" t="s">
        <v>406</v>
      </c>
      <c r="L219" s="2" t="s">
        <v>407</v>
      </c>
      <c r="M219" s="2" t="s">
        <v>34</v>
      </c>
      <c r="N219" s="2" t="s">
        <v>37</v>
      </c>
      <c r="O219" s="2" t="s">
        <v>38</v>
      </c>
      <c r="P219" s="2" t="s">
        <v>39</v>
      </c>
      <c r="Q219" s="2" t="s">
        <v>40</v>
      </c>
      <c r="R219" s="2" t="s">
        <v>41</v>
      </c>
      <c r="S219" s="2" t="s">
        <v>42</v>
      </c>
      <c r="T219" s="2" t="s">
        <v>62</v>
      </c>
      <c r="U219" s="2" t="s">
        <v>34</v>
      </c>
      <c r="V219" s="2" t="s">
        <v>116</v>
      </c>
      <c r="W219" s="2" t="s">
        <v>34</v>
      </c>
      <c r="X219" s="2" t="s">
        <v>34</v>
      </c>
      <c r="Y219" s="3">
        <v>60.0</v>
      </c>
    </row>
    <row r="220" ht="15.75" customHeight="1">
      <c r="A220" s="2" t="s">
        <v>25</v>
      </c>
      <c r="B220" s="2" t="s">
        <v>26</v>
      </c>
      <c r="C220" s="2" t="s">
        <v>27</v>
      </c>
      <c r="D220" s="2" t="s">
        <v>28</v>
      </c>
      <c r="E220" s="2" t="s">
        <v>29</v>
      </c>
      <c r="F220" s="2" t="s">
        <v>30</v>
      </c>
      <c r="G220" s="2" t="s">
        <v>31</v>
      </c>
      <c r="H220" s="2" t="s">
        <v>32</v>
      </c>
      <c r="I220" s="2" t="s">
        <v>33</v>
      </c>
      <c r="J220" s="2" t="s">
        <v>34</v>
      </c>
      <c r="K220" s="2" t="s">
        <v>408</v>
      </c>
      <c r="L220" s="2" t="s">
        <v>409</v>
      </c>
      <c r="M220" s="2" t="s">
        <v>34</v>
      </c>
      <c r="N220" s="2" t="s">
        <v>37</v>
      </c>
      <c r="O220" s="2" t="s">
        <v>38</v>
      </c>
      <c r="P220" s="2" t="s">
        <v>39</v>
      </c>
      <c r="Q220" s="2" t="s">
        <v>40</v>
      </c>
      <c r="R220" s="2" t="s">
        <v>41</v>
      </c>
      <c r="S220" s="2" t="s">
        <v>42</v>
      </c>
      <c r="T220" s="2" t="s">
        <v>62</v>
      </c>
      <c r="U220" s="2" t="s">
        <v>34</v>
      </c>
      <c r="V220" s="2" t="s">
        <v>51</v>
      </c>
      <c r="W220" s="2" t="s">
        <v>34</v>
      </c>
      <c r="X220" s="2" t="s">
        <v>34</v>
      </c>
      <c r="Y220" s="3">
        <v>40.0</v>
      </c>
    </row>
    <row r="221" ht="15.75" customHeight="1">
      <c r="A221" s="2" t="s">
        <v>25</v>
      </c>
      <c r="B221" s="2" t="s">
        <v>26</v>
      </c>
      <c r="C221" s="2" t="s">
        <v>27</v>
      </c>
      <c r="D221" s="2" t="s">
        <v>28</v>
      </c>
      <c r="E221" s="2" t="s">
        <v>29</v>
      </c>
      <c r="F221" s="2" t="s">
        <v>30</v>
      </c>
      <c r="G221" s="2" t="s">
        <v>31</v>
      </c>
      <c r="H221" s="2" t="s">
        <v>32</v>
      </c>
      <c r="I221" s="2" t="s">
        <v>33</v>
      </c>
      <c r="J221" s="2" t="s">
        <v>34</v>
      </c>
      <c r="K221" s="2" t="s">
        <v>410</v>
      </c>
      <c r="L221" s="2" t="s">
        <v>411</v>
      </c>
      <c r="M221" s="2" t="s">
        <v>34</v>
      </c>
      <c r="N221" s="2" t="s">
        <v>37</v>
      </c>
      <c r="O221" s="2" t="s">
        <v>38</v>
      </c>
      <c r="P221" s="2" t="s">
        <v>39</v>
      </c>
      <c r="Q221" s="2" t="s">
        <v>40</v>
      </c>
      <c r="R221" s="2" t="s">
        <v>41</v>
      </c>
      <c r="S221" s="2" t="s">
        <v>42</v>
      </c>
      <c r="T221" s="2" t="s">
        <v>62</v>
      </c>
      <c r="U221" s="2" t="s">
        <v>34</v>
      </c>
      <c r="V221" s="2" t="s">
        <v>57</v>
      </c>
      <c r="W221" s="2" t="s">
        <v>34</v>
      </c>
      <c r="X221" s="2" t="s">
        <v>34</v>
      </c>
      <c r="Y221" s="3">
        <v>20.0</v>
      </c>
    </row>
    <row r="222" ht="15.75" customHeight="1">
      <c r="A222" s="2" t="s">
        <v>25</v>
      </c>
      <c r="B222" s="2" t="s">
        <v>26</v>
      </c>
      <c r="C222" s="2" t="s">
        <v>27</v>
      </c>
      <c r="D222" s="2" t="s">
        <v>28</v>
      </c>
      <c r="E222" s="2" t="s">
        <v>29</v>
      </c>
      <c r="F222" s="2" t="s">
        <v>30</v>
      </c>
      <c r="G222" s="2" t="s">
        <v>31</v>
      </c>
      <c r="H222" s="2" t="s">
        <v>32</v>
      </c>
      <c r="I222" s="2" t="s">
        <v>33</v>
      </c>
      <c r="J222" s="2" t="s">
        <v>34</v>
      </c>
      <c r="K222" s="2" t="s">
        <v>412</v>
      </c>
      <c r="L222" s="2" t="s">
        <v>413</v>
      </c>
      <c r="M222" s="2" t="s">
        <v>34</v>
      </c>
      <c r="N222" s="2" t="s">
        <v>37</v>
      </c>
      <c r="O222" s="2" t="s">
        <v>38</v>
      </c>
      <c r="P222" s="2" t="s">
        <v>39</v>
      </c>
      <c r="Q222" s="2" t="s">
        <v>40</v>
      </c>
      <c r="R222" s="2" t="s">
        <v>41</v>
      </c>
      <c r="S222" s="2" t="s">
        <v>42</v>
      </c>
      <c r="T222" s="2" t="s">
        <v>62</v>
      </c>
      <c r="U222" s="2" t="s">
        <v>34</v>
      </c>
      <c r="V222" s="2" t="s">
        <v>57</v>
      </c>
      <c r="W222" s="2" t="s">
        <v>34</v>
      </c>
      <c r="X222" s="2" t="s">
        <v>34</v>
      </c>
      <c r="Y222" s="3">
        <v>20.0</v>
      </c>
    </row>
    <row r="223" ht="15.75" customHeight="1">
      <c r="A223" s="2" t="s">
        <v>25</v>
      </c>
      <c r="B223" s="2" t="s">
        <v>26</v>
      </c>
      <c r="C223" s="2" t="s">
        <v>27</v>
      </c>
      <c r="D223" s="2" t="s">
        <v>28</v>
      </c>
      <c r="E223" s="2" t="s">
        <v>29</v>
      </c>
      <c r="F223" s="2" t="s">
        <v>30</v>
      </c>
      <c r="G223" s="2" t="s">
        <v>31</v>
      </c>
      <c r="H223" s="2" t="s">
        <v>32</v>
      </c>
      <c r="I223" s="2" t="s">
        <v>33</v>
      </c>
      <c r="J223" s="2" t="s">
        <v>34</v>
      </c>
      <c r="K223" s="2" t="s">
        <v>84</v>
      </c>
      <c r="L223" s="2" t="s">
        <v>85</v>
      </c>
      <c r="M223" s="2" t="s">
        <v>34</v>
      </c>
      <c r="N223" s="2" t="s">
        <v>37</v>
      </c>
      <c r="O223" s="2" t="s">
        <v>38</v>
      </c>
      <c r="P223" s="2" t="s">
        <v>39</v>
      </c>
      <c r="Q223" s="2" t="s">
        <v>40</v>
      </c>
      <c r="R223" s="2" t="s">
        <v>41</v>
      </c>
      <c r="S223" s="2" t="s">
        <v>42</v>
      </c>
      <c r="T223" s="2" t="s">
        <v>62</v>
      </c>
      <c r="U223" s="2" t="s">
        <v>34</v>
      </c>
      <c r="V223" s="2" t="s">
        <v>51</v>
      </c>
      <c r="W223" s="2" t="s">
        <v>34</v>
      </c>
      <c r="X223" s="2" t="s">
        <v>34</v>
      </c>
      <c r="Y223" s="3">
        <v>40.0</v>
      </c>
    </row>
    <row r="224" ht="15.75" customHeight="1">
      <c r="A224" s="2" t="s">
        <v>25</v>
      </c>
      <c r="B224" s="2" t="s">
        <v>26</v>
      </c>
      <c r="C224" s="2" t="s">
        <v>44</v>
      </c>
      <c r="D224" s="2" t="s">
        <v>28</v>
      </c>
      <c r="E224" s="2" t="s">
        <v>29</v>
      </c>
      <c r="F224" s="2" t="s">
        <v>45</v>
      </c>
      <c r="G224" s="2" t="s">
        <v>31</v>
      </c>
      <c r="H224" s="2" t="s">
        <v>32</v>
      </c>
      <c r="I224" s="2" t="s">
        <v>33</v>
      </c>
      <c r="J224" s="2" t="s">
        <v>34</v>
      </c>
      <c r="K224" s="2" t="s">
        <v>414</v>
      </c>
      <c r="L224" s="2" t="s">
        <v>415</v>
      </c>
      <c r="M224" s="2" t="s">
        <v>34</v>
      </c>
      <c r="N224" s="2" t="s">
        <v>37</v>
      </c>
      <c r="O224" s="2" t="s">
        <v>38</v>
      </c>
      <c r="P224" s="2" t="s">
        <v>39</v>
      </c>
      <c r="Q224" s="2" t="s">
        <v>40</v>
      </c>
      <c r="R224" s="2" t="s">
        <v>48</v>
      </c>
      <c r="S224" s="2" t="s">
        <v>42</v>
      </c>
      <c r="T224" s="2" t="s">
        <v>49</v>
      </c>
      <c r="U224" s="2" t="s">
        <v>50</v>
      </c>
      <c r="V224" s="2" t="s">
        <v>65</v>
      </c>
      <c r="W224" s="2" t="s">
        <v>34</v>
      </c>
      <c r="X224" s="2" t="s">
        <v>34</v>
      </c>
      <c r="Y224" s="3">
        <v>12.0</v>
      </c>
    </row>
    <row r="225" ht="15.75" customHeight="1">
      <c r="A225" s="2" t="s">
        <v>25</v>
      </c>
      <c r="B225" s="2" t="s">
        <v>26</v>
      </c>
      <c r="C225" s="2" t="s">
        <v>416</v>
      </c>
      <c r="D225" s="2" t="s">
        <v>28</v>
      </c>
      <c r="E225" s="2" t="s">
        <v>29</v>
      </c>
      <c r="F225" s="2" t="s">
        <v>417</v>
      </c>
      <c r="G225" s="2" t="s">
        <v>31</v>
      </c>
      <c r="H225" s="2" t="s">
        <v>32</v>
      </c>
      <c r="I225" s="2" t="s">
        <v>33</v>
      </c>
      <c r="J225" s="2" t="s">
        <v>34</v>
      </c>
      <c r="K225" s="2" t="s">
        <v>418</v>
      </c>
      <c r="L225" s="2" t="s">
        <v>419</v>
      </c>
      <c r="M225" s="2" t="s">
        <v>34</v>
      </c>
      <c r="N225" s="2" t="s">
        <v>37</v>
      </c>
      <c r="O225" s="2" t="s">
        <v>38</v>
      </c>
      <c r="P225" s="2" t="s">
        <v>420</v>
      </c>
      <c r="Q225" s="2" t="s">
        <v>421</v>
      </c>
      <c r="R225" s="2" t="s">
        <v>41</v>
      </c>
      <c r="S225" s="2" t="s">
        <v>42</v>
      </c>
      <c r="T225" s="2" t="s">
        <v>62</v>
      </c>
      <c r="U225" s="2" t="s">
        <v>34</v>
      </c>
      <c r="V225" s="2" t="s">
        <v>57</v>
      </c>
      <c r="W225" s="2" t="s">
        <v>34</v>
      </c>
      <c r="X225" s="2" t="s">
        <v>34</v>
      </c>
      <c r="Y225" s="3">
        <v>27.0</v>
      </c>
    </row>
    <row r="226" ht="15.75" customHeight="1">
      <c r="A226" s="2" t="s">
        <v>25</v>
      </c>
      <c r="B226" s="2" t="s">
        <v>26</v>
      </c>
      <c r="C226" s="2" t="s">
        <v>271</v>
      </c>
      <c r="D226" s="2" t="s">
        <v>28</v>
      </c>
      <c r="E226" s="2" t="s">
        <v>29</v>
      </c>
      <c r="F226" s="2" t="s">
        <v>272</v>
      </c>
      <c r="G226" s="2" t="s">
        <v>31</v>
      </c>
      <c r="H226" s="2" t="s">
        <v>32</v>
      </c>
      <c r="I226" s="2" t="s">
        <v>33</v>
      </c>
      <c r="J226" s="2" t="s">
        <v>34</v>
      </c>
      <c r="K226" s="2" t="s">
        <v>422</v>
      </c>
      <c r="L226" s="2" t="s">
        <v>423</v>
      </c>
      <c r="M226" s="2" t="s">
        <v>34</v>
      </c>
      <c r="N226" s="2" t="s">
        <v>37</v>
      </c>
      <c r="O226" s="2" t="s">
        <v>38</v>
      </c>
      <c r="P226" s="2" t="s">
        <v>276</v>
      </c>
      <c r="Q226" s="2" t="s">
        <v>277</v>
      </c>
      <c r="R226" s="2" t="s">
        <v>41</v>
      </c>
      <c r="S226" s="2" t="s">
        <v>42</v>
      </c>
      <c r="T226" s="2" t="s">
        <v>62</v>
      </c>
      <c r="U226" s="2" t="s">
        <v>34</v>
      </c>
      <c r="V226" s="2" t="s">
        <v>57</v>
      </c>
      <c r="W226" s="2" t="s">
        <v>34</v>
      </c>
      <c r="X226" s="2" t="s">
        <v>34</v>
      </c>
      <c r="Y226" s="3">
        <v>22.0</v>
      </c>
    </row>
    <row r="227" ht="15.75" customHeight="1">
      <c r="A227" s="2" t="s">
        <v>25</v>
      </c>
      <c r="B227" s="2" t="s">
        <v>26</v>
      </c>
      <c r="C227" s="2" t="s">
        <v>271</v>
      </c>
      <c r="D227" s="2" t="s">
        <v>28</v>
      </c>
      <c r="E227" s="2" t="s">
        <v>29</v>
      </c>
      <c r="F227" s="2" t="s">
        <v>272</v>
      </c>
      <c r="G227" s="2" t="s">
        <v>31</v>
      </c>
      <c r="H227" s="2" t="s">
        <v>32</v>
      </c>
      <c r="I227" s="2" t="s">
        <v>33</v>
      </c>
      <c r="J227" s="2" t="s">
        <v>34</v>
      </c>
      <c r="K227" s="2" t="s">
        <v>424</v>
      </c>
      <c r="L227" s="2" t="s">
        <v>425</v>
      </c>
      <c r="M227" s="2" t="s">
        <v>34</v>
      </c>
      <c r="N227" s="2" t="s">
        <v>74</v>
      </c>
      <c r="O227" s="2" t="s">
        <v>38</v>
      </c>
      <c r="P227" s="2" t="s">
        <v>276</v>
      </c>
      <c r="Q227" s="2" t="s">
        <v>277</v>
      </c>
      <c r="R227" s="2" t="s">
        <v>41</v>
      </c>
      <c r="S227" s="2" t="s">
        <v>42</v>
      </c>
      <c r="T227" s="2" t="s">
        <v>43</v>
      </c>
      <c r="U227" s="2" t="s">
        <v>34</v>
      </c>
      <c r="V227" s="2" t="s">
        <v>34</v>
      </c>
      <c r="W227" s="2" t="s">
        <v>34</v>
      </c>
      <c r="X227" s="2" t="s">
        <v>34</v>
      </c>
      <c r="Y227" s="3">
        <v>7.92</v>
      </c>
    </row>
    <row r="228" ht="15.75" customHeight="1">
      <c r="A228" s="2" t="s">
        <v>25</v>
      </c>
      <c r="B228" s="2" t="s">
        <v>26</v>
      </c>
      <c r="C228" s="2" t="s">
        <v>271</v>
      </c>
      <c r="D228" s="2" t="s">
        <v>28</v>
      </c>
      <c r="E228" s="2" t="s">
        <v>29</v>
      </c>
      <c r="F228" s="2" t="s">
        <v>272</v>
      </c>
      <c r="G228" s="2" t="s">
        <v>31</v>
      </c>
      <c r="H228" s="2" t="s">
        <v>32</v>
      </c>
      <c r="I228" s="2" t="s">
        <v>33</v>
      </c>
      <c r="J228" s="2" t="s">
        <v>34</v>
      </c>
      <c r="K228" s="2" t="s">
        <v>426</v>
      </c>
      <c r="L228" s="2" t="s">
        <v>427</v>
      </c>
      <c r="M228" s="2" t="s">
        <v>34</v>
      </c>
      <c r="N228" s="2" t="s">
        <v>428</v>
      </c>
      <c r="O228" s="2" t="s">
        <v>250</v>
      </c>
      <c r="P228" s="2" t="s">
        <v>276</v>
      </c>
      <c r="Q228" s="2" t="s">
        <v>277</v>
      </c>
      <c r="R228" s="2" t="s">
        <v>41</v>
      </c>
      <c r="S228" s="2" t="s">
        <v>42</v>
      </c>
      <c r="T228" s="2" t="s">
        <v>43</v>
      </c>
      <c r="U228" s="2" t="s">
        <v>34</v>
      </c>
      <c r="V228" s="2" t="s">
        <v>34</v>
      </c>
      <c r="W228" s="2" t="s">
        <v>34</v>
      </c>
      <c r="X228" s="2" t="s">
        <v>34</v>
      </c>
      <c r="Y228" s="3">
        <v>3.24</v>
      </c>
    </row>
    <row r="229" ht="15.75" customHeight="1">
      <c r="A229" s="2" t="s">
        <v>25</v>
      </c>
      <c r="B229" s="2" t="s">
        <v>26</v>
      </c>
      <c r="C229" s="2" t="s">
        <v>271</v>
      </c>
      <c r="D229" s="2" t="s">
        <v>28</v>
      </c>
      <c r="E229" s="2" t="s">
        <v>29</v>
      </c>
      <c r="F229" s="2" t="s">
        <v>272</v>
      </c>
      <c r="G229" s="2" t="s">
        <v>31</v>
      </c>
      <c r="H229" s="2" t="s">
        <v>32</v>
      </c>
      <c r="I229" s="2" t="s">
        <v>33</v>
      </c>
      <c r="J229" s="2" t="s">
        <v>34</v>
      </c>
      <c r="K229" s="2" t="s">
        <v>429</v>
      </c>
      <c r="L229" s="2" t="s">
        <v>430</v>
      </c>
      <c r="M229" s="2" t="s">
        <v>34</v>
      </c>
      <c r="N229" s="2" t="s">
        <v>37</v>
      </c>
      <c r="O229" s="2" t="s">
        <v>38</v>
      </c>
      <c r="P229" s="2" t="s">
        <v>276</v>
      </c>
      <c r="Q229" s="2" t="s">
        <v>277</v>
      </c>
      <c r="R229" s="2" t="s">
        <v>41</v>
      </c>
      <c r="S229" s="2" t="s">
        <v>42</v>
      </c>
      <c r="T229" s="2" t="s">
        <v>43</v>
      </c>
      <c r="U229" s="2" t="s">
        <v>34</v>
      </c>
      <c r="V229" s="2" t="s">
        <v>34</v>
      </c>
      <c r="W229" s="2" t="s">
        <v>34</v>
      </c>
      <c r="X229" s="2" t="s">
        <v>34</v>
      </c>
      <c r="Y229" s="3">
        <v>7.2</v>
      </c>
    </row>
    <row r="230" ht="15.75" customHeight="1">
      <c r="A230" s="2" t="s">
        <v>25</v>
      </c>
      <c r="B230" s="2" t="s">
        <v>26</v>
      </c>
      <c r="C230" s="2" t="s">
        <v>271</v>
      </c>
      <c r="D230" s="2" t="s">
        <v>28</v>
      </c>
      <c r="E230" s="2" t="s">
        <v>29</v>
      </c>
      <c r="F230" s="2" t="s">
        <v>272</v>
      </c>
      <c r="G230" s="2" t="s">
        <v>31</v>
      </c>
      <c r="H230" s="2" t="s">
        <v>32</v>
      </c>
      <c r="I230" s="2" t="s">
        <v>33</v>
      </c>
      <c r="J230" s="2" t="s">
        <v>34</v>
      </c>
      <c r="K230" s="2" t="s">
        <v>431</v>
      </c>
      <c r="L230" s="2" t="s">
        <v>432</v>
      </c>
      <c r="M230" s="2" t="s">
        <v>34</v>
      </c>
      <c r="N230" s="2" t="s">
        <v>75</v>
      </c>
      <c r="O230" s="2" t="s">
        <v>38</v>
      </c>
      <c r="P230" s="2" t="s">
        <v>276</v>
      </c>
      <c r="Q230" s="2" t="s">
        <v>277</v>
      </c>
      <c r="R230" s="2" t="s">
        <v>41</v>
      </c>
      <c r="S230" s="2" t="s">
        <v>42</v>
      </c>
      <c r="T230" s="2" t="s">
        <v>43</v>
      </c>
      <c r="U230" s="2" t="s">
        <v>34</v>
      </c>
      <c r="V230" s="2" t="s">
        <v>34</v>
      </c>
      <c r="W230" s="2" t="s">
        <v>34</v>
      </c>
      <c r="X230" s="2" t="s">
        <v>34</v>
      </c>
      <c r="Y230" s="3">
        <v>7.2</v>
      </c>
    </row>
    <row r="231" ht="15.75" customHeight="1">
      <c r="A231" s="2" t="s">
        <v>25</v>
      </c>
      <c r="B231" s="2" t="s">
        <v>26</v>
      </c>
      <c r="C231" s="2" t="s">
        <v>433</v>
      </c>
      <c r="D231" s="2" t="s">
        <v>28</v>
      </c>
      <c r="E231" s="2" t="s">
        <v>29</v>
      </c>
      <c r="F231" s="2" t="s">
        <v>434</v>
      </c>
      <c r="G231" s="2" t="s">
        <v>31</v>
      </c>
      <c r="H231" s="2" t="s">
        <v>32</v>
      </c>
      <c r="I231" s="2" t="s">
        <v>33</v>
      </c>
      <c r="J231" s="2" t="s">
        <v>34</v>
      </c>
      <c r="K231" s="2" t="s">
        <v>131</v>
      </c>
      <c r="L231" s="2" t="s">
        <v>132</v>
      </c>
      <c r="M231" s="2" t="s">
        <v>34</v>
      </c>
      <c r="N231" s="2" t="s">
        <v>37</v>
      </c>
      <c r="O231" s="2" t="s">
        <v>38</v>
      </c>
      <c r="P231" s="2" t="s">
        <v>133</v>
      </c>
      <c r="Q231" s="2" t="s">
        <v>134</v>
      </c>
      <c r="R231" s="2" t="s">
        <v>41</v>
      </c>
      <c r="S231" s="2" t="s">
        <v>42</v>
      </c>
      <c r="T231" s="2" t="s">
        <v>62</v>
      </c>
      <c r="U231" s="2" t="s">
        <v>34</v>
      </c>
      <c r="V231" s="2" t="s">
        <v>57</v>
      </c>
      <c r="W231" s="2" t="s">
        <v>34</v>
      </c>
      <c r="X231" s="2" t="s">
        <v>34</v>
      </c>
      <c r="Y231" s="3">
        <v>20.0</v>
      </c>
    </row>
    <row r="232" ht="15.75" customHeight="1">
      <c r="A232" s="2" t="s">
        <v>25</v>
      </c>
      <c r="B232" s="2" t="s">
        <v>26</v>
      </c>
      <c r="C232" s="2" t="s">
        <v>433</v>
      </c>
      <c r="D232" s="2" t="s">
        <v>28</v>
      </c>
      <c r="E232" s="2" t="s">
        <v>29</v>
      </c>
      <c r="F232" s="2" t="s">
        <v>434</v>
      </c>
      <c r="G232" s="2" t="s">
        <v>31</v>
      </c>
      <c r="H232" s="2" t="s">
        <v>32</v>
      </c>
      <c r="I232" s="2" t="s">
        <v>33</v>
      </c>
      <c r="J232" s="2" t="s">
        <v>34</v>
      </c>
      <c r="K232" s="2" t="s">
        <v>435</v>
      </c>
      <c r="L232" s="2" t="s">
        <v>436</v>
      </c>
      <c r="M232" s="2" t="s">
        <v>34</v>
      </c>
      <c r="N232" s="2" t="s">
        <v>37</v>
      </c>
      <c r="O232" s="2" t="s">
        <v>38</v>
      </c>
      <c r="P232" s="2" t="s">
        <v>133</v>
      </c>
      <c r="Q232" s="2" t="s">
        <v>134</v>
      </c>
      <c r="R232" s="2" t="s">
        <v>41</v>
      </c>
      <c r="S232" s="2" t="s">
        <v>42</v>
      </c>
      <c r="T232" s="2" t="s">
        <v>62</v>
      </c>
      <c r="U232" s="2" t="s">
        <v>34</v>
      </c>
      <c r="V232" s="2" t="s">
        <v>57</v>
      </c>
      <c r="W232" s="2" t="s">
        <v>34</v>
      </c>
      <c r="X232" s="2" t="s">
        <v>34</v>
      </c>
      <c r="Y232" s="3">
        <v>20.0</v>
      </c>
    </row>
    <row r="233" ht="15.75" customHeight="1">
      <c r="A233" s="2" t="s">
        <v>25</v>
      </c>
      <c r="B233" s="2" t="s">
        <v>26</v>
      </c>
      <c r="C233" s="2" t="s">
        <v>44</v>
      </c>
      <c r="D233" s="2" t="s">
        <v>28</v>
      </c>
      <c r="E233" s="2" t="s">
        <v>29</v>
      </c>
      <c r="F233" s="2" t="s">
        <v>45</v>
      </c>
      <c r="G233" s="2" t="s">
        <v>31</v>
      </c>
      <c r="H233" s="2" t="s">
        <v>32</v>
      </c>
      <c r="I233" s="2" t="s">
        <v>33</v>
      </c>
      <c r="J233" s="2" t="s">
        <v>34</v>
      </c>
      <c r="K233" s="2" t="s">
        <v>370</v>
      </c>
      <c r="L233" s="2" t="s">
        <v>371</v>
      </c>
      <c r="M233" s="2" t="s">
        <v>34</v>
      </c>
      <c r="N233" s="2" t="s">
        <v>37</v>
      </c>
      <c r="O233" s="2" t="s">
        <v>38</v>
      </c>
      <c r="P233" s="2" t="s">
        <v>121</v>
      </c>
      <c r="Q233" s="2" t="s">
        <v>122</v>
      </c>
      <c r="R233" s="2" t="s">
        <v>48</v>
      </c>
      <c r="S233" s="2" t="s">
        <v>42</v>
      </c>
      <c r="T233" s="2" t="s">
        <v>49</v>
      </c>
      <c r="U233" s="2" t="s">
        <v>50</v>
      </c>
      <c r="V233" s="2" t="s">
        <v>57</v>
      </c>
      <c r="W233" s="2" t="s">
        <v>34</v>
      </c>
      <c r="X233" s="2" t="s">
        <v>34</v>
      </c>
      <c r="Y233" s="3">
        <v>3.0</v>
      </c>
    </row>
    <row r="234" ht="15.75" customHeight="1">
      <c r="A234" s="2" t="s">
        <v>25</v>
      </c>
      <c r="B234" s="2" t="s">
        <v>26</v>
      </c>
      <c r="C234" s="2" t="s">
        <v>44</v>
      </c>
      <c r="D234" s="2" t="s">
        <v>28</v>
      </c>
      <c r="E234" s="2" t="s">
        <v>29</v>
      </c>
      <c r="F234" s="2" t="s">
        <v>45</v>
      </c>
      <c r="G234" s="2" t="s">
        <v>31</v>
      </c>
      <c r="H234" s="2" t="s">
        <v>32</v>
      </c>
      <c r="I234" s="2" t="s">
        <v>33</v>
      </c>
      <c r="J234" s="2" t="s">
        <v>34</v>
      </c>
      <c r="K234" s="2" t="s">
        <v>408</v>
      </c>
      <c r="L234" s="2" t="s">
        <v>409</v>
      </c>
      <c r="M234" s="2" t="s">
        <v>34</v>
      </c>
      <c r="N234" s="2" t="s">
        <v>37</v>
      </c>
      <c r="O234" s="2" t="s">
        <v>38</v>
      </c>
      <c r="P234" s="2" t="s">
        <v>39</v>
      </c>
      <c r="Q234" s="2" t="s">
        <v>40</v>
      </c>
      <c r="R234" s="2" t="s">
        <v>48</v>
      </c>
      <c r="S234" s="2" t="s">
        <v>42</v>
      </c>
      <c r="T234" s="2" t="s">
        <v>49</v>
      </c>
      <c r="U234" s="2" t="s">
        <v>50</v>
      </c>
      <c r="V234" s="2" t="s">
        <v>51</v>
      </c>
      <c r="W234" s="2" t="s">
        <v>34</v>
      </c>
      <c r="X234" s="2" t="s">
        <v>34</v>
      </c>
      <c r="Y234" s="3">
        <v>6.0</v>
      </c>
    </row>
    <row r="235" ht="15.75" customHeight="1">
      <c r="A235" s="2" t="s">
        <v>25</v>
      </c>
      <c r="B235" s="2" t="s">
        <v>26</v>
      </c>
      <c r="C235" s="2" t="s">
        <v>44</v>
      </c>
      <c r="D235" s="2" t="s">
        <v>28</v>
      </c>
      <c r="E235" s="2" t="s">
        <v>29</v>
      </c>
      <c r="F235" s="2" t="s">
        <v>45</v>
      </c>
      <c r="G235" s="2" t="s">
        <v>31</v>
      </c>
      <c r="H235" s="2" t="s">
        <v>32</v>
      </c>
      <c r="I235" s="2" t="s">
        <v>33</v>
      </c>
      <c r="J235" s="2" t="s">
        <v>34</v>
      </c>
      <c r="K235" s="2" t="s">
        <v>437</v>
      </c>
      <c r="L235" s="2" t="s">
        <v>438</v>
      </c>
      <c r="M235" s="2" t="s">
        <v>34</v>
      </c>
      <c r="N235" s="2" t="s">
        <v>37</v>
      </c>
      <c r="O235" s="2" t="s">
        <v>38</v>
      </c>
      <c r="P235" s="2" t="s">
        <v>39</v>
      </c>
      <c r="Q235" s="2" t="s">
        <v>40</v>
      </c>
      <c r="R235" s="2" t="s">
        <v>48</v>
      </c>
      <c r="S235" s="2" t="s">
        <v>42</v>
      </c>
      <c r="T235" s="2" t="s">
        <v>49</v>
      </c>
      <c r="U235" s="2" t="s">
        <v>50</v>
      </c>
      <c r="V235" s="2" t="s">
        <v>51</v>
      </c>
      <c r="W235" s="2" t="s">
        <v>34</v>
      </c>
      <c r="X235" s="2" t="s">
        <v>34</v>
      </c>
      <c r="Y235" s="3">
        <v>6.0</v>
      </c>
    </row>
    <row r="236" ht="15.75" customHeight="1">
      <c r="A236" s="2" t="s">
        <v>25</v>
      </c>
      <c r="B236" s="2" t="s">
        <v>26</v>
      </c>
      <c r="C236" s="2" t="s">
        <v>44</v>
      </c>
      <c r="D236" s="2" t="s">
        <v>28</v>
      </c>
      <c r="E236" s="2" t="s">
        <v>29</v>
      </c>
      <c r="F236" s="2" t="s">
        <v>45</v>
      </c>
      <c r="G236" s="2" t="s">
        <v>31</v>
      </c>
      <c r="H236" s="2" t="s">
        <v>32</v>
      </c>
      <c r="I236" s="2" t="s">
        <v>33</v>
      </c>
      <c r="J236" s="2" t="s">
        <v>34</v>
      </c>
      <c r="K236" s="2" t="s">
        <v>98</v>
      </c>
      <c r="L236" s="2" t="s">
        <v>99</v>
      </c>
      <c r="M236" s="2" t="s">
        <v>34</v>
      </c>
      <c r="N236" s="2" t="s">
        <v>37</v>
      </c>
      <c r="O236" s="2" t="s">
        <v>38</v>
      </c>
      <c r="P236" s="2" t="s">
        <v>39</v>
      </c>
      <c r="Q236" s="2" t="s">
        <v>40</v>
      </c>
      <c r="R236" s="2" t="s">
        <v>48</v>
      </c>
      <c r="S236" s="2" t="s">
        <v>42</v>
      </c>
      <c r="T236" s="2" t="s">
        <v>49</v>
      </c>
      <c r="U236" s="2" t="s">
        <v>50</v>
      </c>
      <c r="V236" s="2" t="s">
        <v>51</v>
      </c>
      <c r="W236" s="2" t="s">
        <v>34</v>
      </c>
      <c r="X236" s="2" t="s">
        <v>34</v>
      </c>
      <c r="Y236" s="3">
        <v>6.0</v>
      </c>
    </row>
    <row r="237" ht="15.75" customHeight="1">
      <c r="A237" s="2" t="s">
        <v>25</v>
      </c>
      <c r="B237" s="2" t="s">
        <v>26</v>
      </c>
      <c r="C237" s="2" t="s">
        <v>44</v>
      </c>
      <c r="D237" s="2" t="s">
        <v>28</v>
      </c>
      <c r="E237" s="2" t="s">
        <v>29</v>
      </c>
      <c r="F237" s="2" t="s">
        <v>45</v>
      </c>
      <c r="G237" s="2" t="s">
        <v>31</v>
      </c>
      <c r="H237" s="2" t="s">
        <v>32</v>
      </c>
      <c r="I237" s="2" t="s">
        <v>33</v>
      </c>
      <c r="J237" s="2" t="s">
        <v>34</v>
      </c>
      <c r="K237" s="2" t="s">
        <v>439</v>
      </c>
      <c r="L237" s="2" t="s">
        <v>440</v>
      </c>
      <c r="M237" s="2" t="s">
        <v>34</v>
      </c>
      <c r="N237" s="2" t="s">
        <v>37</v>
      </c>
      <c r="O237" s="2" t="s">
        <v>38</v>
      </c>
      <c r="P237" s="2" t="s">
        <v>39</v>
      </c>
      <c r="Q237" s="2" t="s">
        <v>40</v>
      </c>
      <c r="R237" s="2" t="s">
        <v>48</v>
      </c>
      <c r="S237" s="2" t="s">
        <v>42</v>
      </c>
      <c r="T237" s="2" t="s">
        <v>49</v>
      </c>
      <c r="U237" s="2" t="s">
        <v>50</v>
      </c>
      <c r="V237" s="2" t="s">
        <v>51</v>
      </c>
      <c r="W237" s="2" t="s">
        <v>34</v>
      </c>
      <c r="X237" s="2" t="s">
        <v>34</v>
      </c>
      <c r="Y237" s="3">
        <v>6.0</v>
      </c>
    </row>
    <row r="238" ht="15.75" customHeight="1">
      <c r="A238" s="2" t="s">
        <v>25</v>
      </c>
      <c r="B238" s="2" t="s">
        <v>26</v>
      </c>
      <c r="C238" s="2" t="s">
        <v>44</v>
      </c>
      <c r="D238" s="2" t="s">
        <v>28</v>
      </c>
      <c r="E238" s="2" t="s">
        <v>29</v>
      </c>
      <c r="F238" s="2" t="s">
        <v>45</v>
      </c>
      <c r="G238" s="2" t="s">
        <v>31</v>
      </c>
      <c r="H238" s="2" t="s">
        <v>32</v>
      </c>
      <c r="I238" s="2" t="s">
        <v>33</v>
      </c>
      <c r="J238" s="2" t="s">
        <v>34</v>
      </c>
      <c r="K238" s="2" t="s">
        <v>328</v>
      </c>
      <c r="L238" s="2" t="s">
        <v>329</v>
      </c>
      <c r="M238" s="2" t="s">
        <v>34</v>
      </c>
      <c r="N238" s="2" t="s">
        <v>37</v>
      </c>
      <c r="O238" s="2" t="s">
        <v>38</v>
      </c>
      <c r="P238" s="2" t="s">
        <v>39</v>
      </c>
      <c r="Q238" s="2" t="s">
        <v>40</v>
      </c>
      <c r="R238" s="2" t="s">
        <v>48</v>
      </c>
      <c r="S238" s="2" t="s">
        <v>42</v>
      </c>
      <c r="T238" s="2" t="s">
        <v>49</v>
      </c>
      <c r="U238" s="2" t="s">
        <v>50</v>
      </c>
      <c r="V238" s="2" t="s">
        <v>51</v>
      </c>
      <c r="W238" s="2" t="s">
        <v>34</v>
      </c>
      <c r="X238" s="2" t="s">
        <v>34</v>
      </c>
      <c r="Y238" s="3">
        <v>6.0</v>
      </c>
    </row>
    <row r="239" ht="15.75" customHeight="1">
      <c r="A239" s="2" t="s">
        <v>25</v>
      </c>
      <c r="B239" s="2" t="s">
        <v>26</v>
      </c>
      <c r="C239" s="2" t="s">
        <v>44</v>
      </c>
      <c r="D239" s="2" t="s">
        <v>28</v>
      </c>
      <c r="E239" s="2" t="s">
        <v>29</v>
      </c>
      <c r="F239" s="2" t="s">
        <v>45</v>
      </c>
      <c r="G239" s="2" t="s">
        <v>31</v>
      </c>
      <c r="H239" s="2" t="s">
        <v>32</v>
      </c>
      <c r="I239" s="2" t="s">
        <v>33</v>
      </c>
      <c r="J239" s="2" t="s">
        <v>34</v>
      </c>
      <c r="K239" s="2" t="s">
        <v>441</v>
      </c>
      <c r="L239" s="2" t="s">
        <v>442</v>
      </c>
      <c r="M239" s="2" t="s">
        <v>34</v>
      </c>
      <c r="N239" s="2" t="s">
        <v>74</v>
      </c>
      <c r="O239" s="2" t="s">
        <v>38</v>
      </c>
      <c r="P239" s="2" t="s">
        <v>39</v>
      </c>
      <c r="Q239" s="2" t="s">
        <v>40</v>
      </c>
      <c r="R239" s="2" t="s">
        <v>48</v>
      </c>
      <c r="S239" s="2" t="s">
        <v>42</v>
      </c>
      <c r="T239" s="2" t="s">
        <v>49</v>
      </c>
      <c r="U239" s="2" t="s">
        <v>50</v>
      </c>
      <c r="V239" s="2" t="s">
        <v>51</v>
      </c>
      <c r="W239" s="2" t="s">
        <v>34</v>
      </c>
      <c r="X239" s="2" t="s">
        <v>34</v>
      </c>
      <c r="Y239" s="3">
        <v>6.0</v>
      </c>
    </row>
    <row r="240" ht="15.75" customHeight="1">
      <c r="A240" s="2" t="s">
        <v>25</v>
      </c>
      <c r="B240" s="2" t="s">
        <v>26</v>
      </c>
      <c r="C240" s="2" t="s">
        <v>44</v>
      </c>
      <c r="D240" s="2" t="s">
        <v>28</v>
      </c>
      <c r="E240" s="2" t="s">
        <v>29</v>
      </c>
      <c r="F240" s="2" t="s">
        <v>45</v>
      </c>
      <c r="G240" s="2" t="s">
        <v>31</v>
      </c>
      <c r="H240" s="2" t="s">
        <v>32</v>
      </c>
      <c r="I240" s="2" t="s">
        <v>33</v>
      </c>
      <c r="J240" s="2" t="s">
        <v>34</v>
      </c>
      <c r="K240" s="2" t="s">
        <v>406</v>
      </c>
      <c r="L240" s="2" t="s">
        <v>407</v>
      </c>
      <c r="M240" s="2" t="s">
        <v>34</v>
      </c>
      <c r="N240" s="2" t="s">
        <v>37</v>
      </c>
      <c r="O240" s="2" t="s">
        <v>38</v>
      </c>
      <c r="P240" s="2" t="s">
        <v>39</v>
      </c>
      <c r="Q240" s="2" t="s">
        <v>40</v>
      </c>
      <c r="R240" s="2" t="s">
        <v>48</v>
      </c>
      <c r="S240" s="2" t="s">
        <v>42</v>
      </c>
      <c r="T240" s="2" t="s">
        <v>49</v>
      </c>
      <c r="U240" s="2" t="s">
        <v>50</v>
      </c>
      <c r="V240" s="2" t="s">
        <v>116</v>
      </c>
      <c r="W240" s="2" t="s">
        <v>34</v>
      </c>
      <c r="X240" s="2" t="s">
        <v>34</v>
      </c>
      <c r="Y240" s="3">
        <v>9.0</v>
      </c>
    </row>
    <row r="241" ht="15.75" customHeight="1">
      <c r="A241" s="2" t="s">
        <v>25</v>
      </c>
      <c r="B241" s="2" t="s">
        <v>26</v>
      </c>
      <c r="C241" s="2" t="s">
        <v>44</v>
      </c>
      <c r="D241" s="2" t="s">
        <v>28</v>
      </c>
      <c r="E241" s="2" t="s">
        <v>29</v>
      </c>
      <c r="F241" s="2" t="s">
        <v>45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443</v>
      </c>
      <c r="L241" s="2" t="s">
        <v>444</v>
      </c>
      <c r="M241" s="2" t="s">
        <v>34</v>
      </c>
      <c r="N241" s="2" t="s">
        <v>37</v>
      </c>
      <c r="O241" s="2" t="s">
        <v>38</v>
      </c>
      <c r="P241" s="2" t="s">
        <v>39</v>
      </c>
      <c r="Q241" s="2" t="s">
        <v>40</v>
      </c>
      <c r="R241" s="2" t="s">
        <v>48</v>
      </c>
      <c r="S241" s="2" t="s">
        <v>42</v>
      </c>
      <c r="T241" s="2" t="s">
        <v>49</v>
      </c>
      <c r="U241" s="2" t="s">
        <v>50</v>
      </c>
      <c r="V241" s="2" t="s">
        <v>116</v>
      </c>
      <c r="W241" s="2" t="s">
        <v>34</v>
      </c>
      <c r="X241" s="2" t="s">
        <v>34</v>
      </c>
      <c r="Y241" s="3">
        <v>9.0</v>
      </c>
    </row>
    <row r="242" ht="15.75" customHeight="1">
      <c r="A242" s="2" t="s">
        <v>25</v>
      </c>
      <c r="B242" s="2" t="s">
        <v>26</v>
      </c>
      <c r="C242" s="2" t="s">
        <v>27</v>
      </c>
      <c r="D242" s="2" t="s">
        <v>28</v>
      </c>
      <c r="E242" s="2" t="s">
        <v>29</v>
      </c>
      <c r="F242" s="2" t="s">
        <v>30</v>
      </c>
      <c r="G242" s="2" t="s">
        <v>31</v>
      </c>
      <c r="H242" s="2" t="s">
        <v>32</v>
      </c>
      <c r="I242" s="2" t="s">
        <v>33</v>
      </c>
      <c r="J242" s="2" t="s">
        <v>34</v>
      </c>
      <c r="K242" s="2" t="s">
        <v>247</v>
      </c>
      <c r="L242" s="2" t="s">
        <v>248</v>
      </c>
      <c r="M242" s="2" t="s">
        <v>34</v>
      </c>
      <c r="N242" s="2" t="s">
        <v>249</v>
      </c>
      <c r="O242" s="2" t="s">
        <v>250</v>
      </c>
      <c r="P242" s="2" t="s">
        <v>39</v>
      </c>
      <c r="Q242" s="2" t="s">
        <v>40</v>
      </c>
      <c r="R242" s="2" t="s">
        <v>41</v>
      </c>
      <c r="S242" s="2" t="s">
        <v>42</v>
      </c>
      <c r="T242" s="2" t="s">
        <v>62</v>
      </c>
      <c r="U242" s="2" t="s">
        <v>34</v>
      </c>
      <c r="V242" s="2" t="s">
        <v>57</v>
      </c>
      <c r="W242" s="2" t="s">
        <v>34</v>
      </c>
      <c r="X242" s="2" t="s">
        <v>34</v>
      </c>
      <c r="Y242" s="3">
        <v>20.0</v>
      </c>
    </row>
    <row r="243" ht="15.75" customHeight="1">
      <c r="A243" s="2" t="s">
        <v>25</v>
      </c>
      <c r="B243" s="2" t="s">
        <v>26</v>
      </c>
      <c r="C243" s="2" t="s">
        <v>27</v>
      </c>
      <c r="D243" s="2" t="s">
        <v>28</v>
      </c>
      <c r="E243" s="2" t="s">
        <v>29</v>
      </c>
      <c r="F243" s="2" t="s">
        <v>30</v>
      </c>
      <c r="G243" s="2" t="s">
        <v>31</v>
      </c>
      <c r="H243" s="2" t="s">
        <v>32</v>
      </c>
      <c r="I243" s="2" t="s">
        <v>33</v>
      </c>
      <c r="J243" s="2" t="s">
        <v>34</v>
      </c>
      <c r="K243" s="2" t="s">
        <v>86</v>
      </c>
      <c r="L243" s="2" t="s">
        <v>87</v>
      </c>
      <c r="M243" s="2" t="s">
        <v>34</v>
      </c>
      <c r="N243" s="2" t="s">
        <v>37</v>
      </c>
      <c r="O243" s="2" t="s">
        <v>38</v>
      </c>
      <c r="P243" s="2" t="s">
        <v>39</v>
      </c>
      <c r="Q243" s="2" t="s">
        <v>40</v>
      </c>
      <c r="R243" s="2" t="s">
        <v>41</v>
      </c>
      <c r="S243" s="2" t="s">
        <v>42</v>
      </c>
      <c r="T243" s="2" t="s">
        <v>62</v>
      </c>
      <c r="U243" s="2" t="s">
        <v>34</v>
      </c>
      <c r="V243" s="2" t="s">
        <v>57</v>
      </c>
      <c r="W243" s="2" t="s">
        <v>34</v>
      </c>
      <c r="X243" s="2" t="s">
        <v>34</v>
      </c>
      <c r="Y243" s="3">
        <v>20.0</v>
      </c>
    </row>
    <row r="244" ht="15.75" customHeight="1">
      <c r="A244" s="2" t="s">
        <v>25</v>
      </c>
      <c r="B244" s="2" t="s">
        <v>26</v>
      </c>
      <c r="C244" s="2" t="s">
        <v>27</v>
      </c>
      <c r="D244" s="2" t="s">
        <v>28</v>
      </c>
      <c r="E244" s="2" t="s">
        <v>29</v>
      </c>
      <c r="F244" s="2" t="s">
        <v>30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251</v>
      </c>
      <c r="L244" s="2" t="s">
        <v>252</v>
      </c>
      <c r="M244" s="2" t="s">
        <v>34</v>
      </c>
      <c r="N244" s="2" t="s">
        <v>37</v>
      </c>
      <c r="O244" s="2" t="s">
        <v>38</v>
      </c>
      <c r="P244" s="2" t="s">
        <v>39</v>
      </c>
      <c r="Q244" s="2" t="s">
        <v>40</v>
      </c>
      <c r="R244" s="2" t="s">
        <v>41</v>
      </c>
      <c r="S244" s="2" t="s">
        <v>42</v>
      </c>
      <c r="T244" s="2" t="s">
        <v>62</v>
      </c>
      <c r="U244" s="2" t="s">
        <v>34</v>
      </c>
      <c r="V244" s="2" t="s">
        <v>57</v>
      </c>
      <c r="W244" s="2" t="s">
        <v>34</v>
      </c>
      <c r="X244" s="2" t="s">
        <v>34</v>
      </c>
      <c r="Y244" s="3">
        <v>20.0</v>
      </c>
    </row>
    <row r="245" ht="15.75" customHeight="1">
      <c r="A245" s="2" t="s">
        <v>25</v>
      </c>
      <c r="B245" s="2" t="s">
        <v>26</v>
      </c>
      <c r="C245" s="2" t="s">
        <v>27</v>
      </c>
      <c r="D245" s="2" t="s">
        <v>28</v>
      </c>
      <c r="E245" s="2" t="s">
        <v>29</v>
      </c>
      <c r="F245" s="2" t="s">
        <v>30</v>
      </c>
      <c r="G245" s="2" t="s">
        <v>31</v>
      </c>
      <c r="H245" s="2" t="s">
        <v>32</v>
      </c>
      <c r="I245" s="2" t="s">
        <v>33</v>
      </c>
      <c r="J245" s="2" t="s">
        <v>34</v>
      </c>
      <c r="K245" s="2" t="s">
        <v>445</v>
      </c>
      <c r="L245" s="2" t="s">
        <v>446</v>
      </c>
      <c r="M245" s="2" t="s">
        <v>34</v>
      </c>
      <c r="N245" s="2" t="s">
        <v>37</v>
      </c>
      <c r="O245" s="2" t="s">
        <v>38</v>
      </c>
      <c r="P245" s="2" t="s">
        <v>39</v>
      </c>
      <c r="Q245" s="2" t="s">
        <v>40</v>
      </c>
      <c r="R245" s="2" t="s">
        <v>41</v>
      </c>
      <c r="S245" s="2" t="s">
        <v>42</v>
      </c>
      <c r="T245" s="2" t="s">
        <v>62</v>
      </c>
      <c r="U245" s="2" t="s">
        <v>34</v>
      </c>
      <c r="V245" s="2" t="s">
        <v>57</v>
      </c>
      <c r="W245" s="2" t="s">
        <v>34</v>
      </c>
      <c r="X245" s="2" t="s">
        <v>34</v>
      </c>
      <c r="Y245" s="3">
        <v>20.0</v>
      </c>
    </row>
    <row r="246" ht="15.75" customHeight="1">
      <c r="A246" s="2" t="s">
        <v>25</v>
      </c>
      <c r="B246" s="2" t="s">
        <v>26</v>
      </c>
      <c r="C246" s="2" t="s">
        <v>27</v>
      </c>
      <c r="D246" s="2" t="s">
        <v>28</v>
      </c>
      <c r="E246" s="2" t="s">
        <v>29</v>
      </c>
      <c r="F246" s="2" t="s">
        <v>30</v>
      </c>
      <c r="G246" s="2" t="s">
        <v>31</v>
      </c>
      <c r="H246" s="2" t="s">
        <v>32</v>
      </c>
      <c r="I246" s="2" t="s">
        <v>33</v>
      </c>
      <c r="J246" s="2" t="s">
        <v>34</v>
      </c>
      <c r="K246" s="2" t="s">
        <v>447</v>
      </c>
      <c r="L246" s="2" t="s">
        <v>448</v>
      </c>
      <c r="M246" s="2" t="s">
        <v>34</v>
      </c>
      <c r="N246" s="2" t="s">
        <v>37</v>
      </c>
      <c r="O246" s="2" t="s">
        <v>38</v>
      </c>
      <c r="P246" s="2" t="s">
        <v>39</v>
      </c>
      <c r="Q246" s="2" t="s">
        <v>40</v>
      </c>
      <c r="R246" s="2" t="s">
        <v>41</v>
      </c>
      <c r="S246" s="2" t="s">
        <v>42</v>
      </c>
      <c r="T246" s="2" t="s">
        <v>62</v>
      </c>
      <c r="U246" s="2" t="s">
        <v>34</v>
      </c>
      <c r="V246" s="2" t="s">
        <v>57</v>
      </c>
      <c r="W246" s="2" t="s">
        <v>34</v>
      </c>
      <c r="X246" s="2" t="s">
        <v>34</v>
      </c>
      <c r="Y246" s="3">
        <v>20.0</v>
      </c>
    </row>
    <row r="247" ht="15.75" customHeight="1">
      <c r="A247" s="2" t="s">
        <v>25</v>
      </c>
      <c r="B247" s="2" t="s">
        <v>26</v>
      </c>
      <c r="C247" s="2" t="s">
        <v>27</v>
      </c>
      <c r="D247" s="2" t="s">
        <v>28</v>
      </c>
      <c r="E247" s="2" t="s">
        <v>29</v>
      </c>
      <c r="F247" s="2" t="s">
        <v>30</v>
      </c>
      <c r="G247" s="2" t="s">
        <v>31</v>
      </c>
      <c r="H247" s="2" t="s">
        <v>32</v>
      </c>
      <c r="I247" s="2" t="s">
        <v>33</v>
      </c>
      <c r="J247" s="2" t="s">
        <v>34</v>
      </c>
      <c r="K247" s="2" t="s">
        <v>179</v>
      </c>
      <c r="L247" s="2" t="s">
        <v>180</v>
      </c>
      <c r="M247" s="2" t="s">
        <v>34</v>
      </c>
      <c r="N247" s="2" t="s">
        <v>37</v>
      </c>
      <c r="O247" s="2" t="s">
        <v>38</v>
      </c>
      <c r="P247" s="2" t="s">
        <v>39</v>
      </c>
      <c r="Q247" s="2" t="s">
        <v>40</v>
      </c>
      <c r="R247" s="2" t="s">
        <v>41</v>
      </c>
      <c r="S247" s="2" t="s">
        <v>42</v>
      </c>
      <c r="T247" s="2" t="s">
        <v>62</v>
      </c>
      <c r="U247" s="2" t="s">
        <v>34</v>
      </c>
      <c r="V247" s="2" t="s">
        <v>57</v>
      </c>
      <c r="W247" s="2" t="s">
        <v>34</v>
      </c>
      <c r="X247" s="2" t="s">
        <v>34</v>
      </c>
      <c r="Y247" s="3">
        <v>20.0</v>
      </c>
    </row>
    <row r="248" ht="15.75" customHeight="1">
      <c r="A248" s="2" t="s">
        <v>25</v>
      </c>
      <c r="B248" s="2" t="s">
        <v>26</v>
      </c>
      <c r="C248" s="2" t="s">
        <v>27</v>
      </c>
      <c r="D248" s="2" t="s">
        <v>28</v>
      </c>
      <c r="E248" s="2" t="s">
        <v>29</v>
      </c>
      <c r="F248" s="2" t="s">
        <v>30</v>
      </c>
      <c r="G248" s="2" t="s">
        <v>31</v>
      </c>
      <c r="H248" s="2" t="s">
        <v>32</v>
      </c>
      <c r="I248" s="2" t="s">
        <v>33</v>
      </c>
      <c r="J248" s="2" t="s">
        <v>34</v>
      </c>
      <c r="K248" s="2" t="s">
        <v>171</v>
      </c>
      <c r="L248" s="2" t="s">
        <v>172</v>
      </c>
      <c r="M248" s="2" t="s">
        <v>34</v>
      </c>
      <c r="N248" s="2" t="s">
        <v>37</v>
      </c>
      <c r="O248" s="2" t="s">
        <v>38</v>
      </c>
      <c r="P248" s="2" t="s">
        <v>39</v>
      </c>
      <c r="Q248" s="2" t="s">
        <v>40</v>
      </c>
      <c r="R248" s="2" t="s">
        <v>41</v>
      </c>
      <c r="S248" s="2" t="s">
        <v>42</v>
      </c>
      <c r="T248" s="2" t="s">
        <v>62</v>
      </c>
      <c r="U248" s="2" t="s">
        <v>34</v>
      </c>
      <c r="V248" s="2" t="s">
        <v>57</v>
      </c>
      <c r="W248" s="2" t="s">
        <v>34</v>
      </c>
      <c r="X248" s="2" t="s">
        <v>34</v>
      </c>
      <c r="Y248" s="3">
        <v>20.0</v>
      </c>
    </row>
    <row r="249" ht="15.75" customHeight="1">
      <c r="A249" s="2" t="s">
        <v>25</v>
      </c>
      <c r="B249" s="2" t="s">
        <v>26</v>
      </c>
      <c r="C249" s="2" t="s">
        <v>27</v>
      </c>
      <c r="D249" s="2" t="s">
        <v>28</v>
      </c>
      <c r="E249" s="2" t="s">
        <v>29</v>
      </c>
      <c r="F249" s="2" t="s">
        <v>30</v>
      </c>
      <c r="G249" s="2" t="s">
        <v>31</v>
      </c>
      <c r="H249" s="2" t="s">
        <v>32</v>
      </c>
      <c r="I249" s="2" t="s">
        <v>33</v>
      </c>
      <c r="J249" s="2" t="s">
        <v>34</v>
      </c>
      <c r="K249" s="2" t="s">
        <v>449</v>
      </c>
      <c r="L249" s="2" t="s">
        <v>450</v>
      </c>
      <c r="M249" s="2" t="s">
        <v>34</v>
      </c>
      <c r="N249" s="2" t="s">
        <v>37</v>
      </c>
      <c r="O249" s="2" t="s">
        <v>38</v>
      </c>
      <c r="P249" s="2" t="s">
        <v>39</v>
      </c>
      <c r="Q249" s="2" t="s">
        <v>40</v>
      </c>
      <c r="R249" s="2" t="s">
        <v>41</v>
      </c>
      <c r="S249" s="2" t="s">
        <v>42</v>
      </c>
      <c r="T249" s="2" t="s">
        <v>62</v>
      </c>
      <c r="U249" s="2" t="s">
        <v>34</v>
      </c>
      <c r="V249" s="2" t="s">
        <v>57</v>
      </c>
      <c r="W249" s="2" t="s">
        <v>34</v>
      </c>
      <c r="X249" s="2" t="s">
        <v>34</v>
      </c>
      <c r="Y249" s="3">
        <v>20.0</v>
      </c>
    </row>
    <row r="250" ht="15.75" customHeight="1">
      <c r="A250" s="2" t="s">
        <v>25</v>
      </c>
      <c r="B250" s="2" t="s">
        <v>26</v>
      </c>
      <c r="C250" s="2" t="s">
        <v>27</v>
      </c>
      <c r="D250" s="2" t="s">
        <v>28</v>
      </c>
      <c r="E250" s="2" t="s">
        <v>29</v>
      </c>
      <c r="F250" s="2" t="s">
        <v>30</v>
      </c>
      <c r="G250" s="2" t="s">
        <v>31</v>
      </c>
      <c r="H250" s="2" t="s">
        <v>32</v>
      </c>
      <c r="I250" s="2" t="s">
        <v>33</v>
      </c>
      <c r="J250" s="2" t="s">
        <v>34</v>
      </c>
      <c r="K250" s="2" t="s">
        <v>173</v>
      </c>
      <c r="L250" s="2" t="s">
        <v>174</v>
      </c>
      <c r="M250" s="2" t="s">
        <v>34</v>
      </c>
      <c r="N250" s="2" t="s">
        <v>37</v>
      </c>
      <c r="O250" s="2" t="s">
        <v>38</v>
      </c>
      <c r="P250" s="2" t="s">
        <v>39</v>
      </c>
      <c r="Q250" s="2" t="s">
        <v>40</v>
      </c>
      <c r="R250" s="2" t="s">
        <v>41</v>
      </c>
      <c r="S250" s="2" t="s">
        <v>42</v>
      </c>
      <c r="T250" s="2" t="s">
        <v>62</v>
      </c>
      <c r="U250" s="2" t="s">
        <v>34</v>
      </c>
      <c r="V250" s="2" t="s">
        <v>57</v>
      </c>
      <c r="W250" s="2" t="s">
        <v>34</v>
      </c>
      <c r="X250" s="2" t="s">
        <v>34</v>
      </c>
      <c r="Y250" s="3">
        <v>20.0</v>
      </c>
    </row>
    <row r="251" ht="15.75" customHeight="1">
      <c r="A251" s="2" t="s">
        <v>25</v>
      </c>
      <c r="B251" s="2" t="s">
        <v>26</v>
      </c>
      <c r="C251" s="2" t="s">
        <v>27</v>
      </c>
      <c r="D251" s="2" t="s">
        <v>28</v>
      </c>
      <c r="E251" s="2" t="s">
        <v>29</v>
      </c>
      <c r="F251" s="2" t="s">
        <v>30</v>
      </c>
      <c r="G251" s="2" t="s">
        <v>31</v>
      </c>
      <c r="H251" s="2" t="s">
        <v>32</v>
      </c>
      <c r="I251" s="2" t="s">
        <v>33</v>
      </c>
      <c r="J251" s="2" t="s">
        <v>34</v>
      </c>
      <c r="K251" s="2" t="s">
        <v>255</v>
      </c>
      <c r="L251" s="2" t="s">
        <v>256</v>
      </c>
      <c r="M251" s="2" t="s">
        <v>34</v>
      </c>
      <c r="N251" s="2" t="s">
        <v>37</v>
      </c>
      <c r="O251" s="2" t="s">
        <v>38</v>
      </c>
      <c r="P251" s="2" t="s">
        <v>39</v>
      </c>
      <c r="Q251" s="2" t="s">
        <v>40</v>
      </c>
      <c r="R251" s="2" t="s">
        <v>41</v>
      </c>
      <c r="S251" s="2" t="s">
        <v>42</v>
      </c>
      <c r="T251" s="2" t="s">
        <v>62</v>
      </c>
      <c r="U251" s="2" t="s">
        <v>34</v>
      </c>
      <c r="V251" s="2" t="s">
        <v>57</v>
      </c>
      <c r="W251" s="2" t="s">
        <v>34</v>
      </c>
      <c r="X251" s="2" t="s">
        <v>34</v>
      </c>
      <c r="Y251" s="3">
        <v>20.0</v>
      </c>
    </row>
    <row r="252" ht="15.75" customHeight="1">
      <c r="A252" s="2" t="s">
        <v>25</v>
      </c>
      <c r="B252" s="2" t="s">
        <v>26</v>
      </c>
      <c r="C252" s="2" t="s">
        <v>27</v>
      </c>
      <c r="D252" s="2" t="s">
        <v>28</v>
      </c>
      <c r="E252" s="2" t="s">
        <v>29</v>
      </c>
      <c r="F252" s="2" t="s">
        <v>30</v>
      </c>
      <c r="G252" s="2" t="s">
        <v>31</v>
      </c>
      <c r="H252" s="2" t="s">
        <v>32</v>
      </c>
      <c r="I252" s="2" t="s">
        <v>33</v>
      </c>
      <c r="J252" s="2" t="s">
        <v>34</v>
      </c>
      <c r="K252" s="2" t="s">
        <v>451</v>
      </c>
      <c r="L252" s="2" t="s">
        <v>452</v>
      </c>
      <c r="M252" s="2" t="s">
        <v>34</v>
      </c>
      <c r="N252" s="2" t="s">
        <v>37</v>
      </c>
      <c r="O252" s="2" t="s">
        <v>38</v>
      </c>
      <c r="P252" s="2" t="s">
        <v>39</v>
      </c>
      <c r="Q252" s="2" t="s">
        <v>40</v>
      </c>
      <c r="R252" s="2" t="s">
        <v>41</v>
      </c>
      <c r="S252" s="2" t="s">
        <v>42</v>
      </c>
      <c r="T252" s="2" t="s">
        <v>62</v>
      </c>
      <c r="U252" s="2" t="s">
        <v>34</v>
      </c>
      <c r="V252" s="2" t="s">
        <v>57</v>
      </c>
      <c r="W252" s="2" t="s">
        <v>34</v>
      </c>
      <c r="X252" s="2" t="s">
        <v>34</v>
      </c>
      <c r="Y252" s="3">
        <v>20.0</v>
      </c>
    </row>
    <row r="253" ht="15.75" customHeight="1">
      <c r="A253" s="2" t="s">
        <v>25</v>
      </c>
      <c r="B253" s="2" t="s">
        <v>26</v>
      </c>
      <c r="C253" s="2" t="s">
        <v>27</v>
      </c>
      <c r="D253" s="2" t="s">
        <v>28</v>
      </c>
      <c r="E253" s="2" t="s">
        <v>29</v>
      </c>
      <c r="F253" s="2" t="s">
        <v>30</v>
      </c>
      <c r="G253" s="2" t="s">
        <v>31</v>
      </c>
      <c r="H253" s="2" t="s">
        <v>32</v>
      </c>
      <c r="I253" s="2" t="s">
        <v>33</v>
      </c>
      <c r="J253" s="2" t="s">
        <v>34</v>
      </c>
      <c r="K253" s="2" t="s">
        <v>195</v>
      </c>
      <c r="L253" s="2" t="s">
        <v>196</v>
      </c>
      <c r="M253" s="2" t="s">
        <v>34</v>
      </c>
      <c r="N253" s="2" t="s">
        <v>37</v>
      </c>
      <c r="O253" s="2" t="s">
        <v>38</v>
      </c>
      <c r="P253" s="2" t="s">
        <v>39</v>
      </c>
      <c r="Q253" s="2" t="s">
        <v>40</v>
      </c>
      <c r="R253" s="2" t="s">
        <v>41</v>
      </c>
      <c r="S253" s="2" t="s">
        <v>42</v>
      </c>
      <c r="T253" s="2" t="s">
        <v>62</v>
      </c>
      <c r="U253" s="2" t="s">
        <v>34</v>
      </c>
      <c r="V253" s="2" t="s">
        <v>57</v>
      </c>
      <c r="W253" s="2" t="s">
        <v>34</v>
      </c>
      <c r="X253" s="2" t="s">
        <v>34</v>
      </c>
      <c r="Y253" s="3">
        <v>20.0</v>
      </c>
    </row>
    <row r="254" ht="15.75" customHeight="1">
      <c r="A254" s="2" t="s">
        <v>25</v>
      </c>
      <c r="B254" s="2" t="s">
        <v>26</v>
      </c>
      <c r="C254" s="2" t="s">
        <v>27</v>
      </c>
      <c r="D254" s="2" t="s">
        <v>28</v>
      </c>
      <c r="E254" s="2" t="s">
        <v>29</v>
      </c>
      <c r="F254" s="2" t="s">
        <v>30</v>
      </c>
      <c r="G254" s="2" t="s">
        <v>31</v>
      </c>
      <c r="H254" s="2" t="s">
        <v>32</v>
      </c>
      <c r="I254" s="2" t="s">
        <v>33</v>
      </c>
      <c r="J254" s="2" t="s">
        <v>34</v>
      </c>
      <c r="K254" s="2" t="s">
        <v>453</v>
      </c>
      <c r="L254" s="2" t="s">
        <v>454</v>
      </c>
      <c r="M254" s="2" t="s">
        <v>34</v>
      </c>
      <c r="N254" s="2" t="s">
        <v>37</v>
      </c>
      <c r="O254" s="2" t="s">
        <v>38</v>
      </c>
      <c r="P254" s="2" t="s">
        <v>39</v>
      </c>
      <c r="Q254" s="2" t="s">
        <v>40</v>
      </c>
      <c r="R254" s="2" t="s">
        <v>41</v>
      </c>
      <c r="S254" s="2" t="s">
        <v>42</v>
      </c>
      <c r="T254" s="2" t="s">
        <v>62</v>
      </c>
      <c r="U254" s="2" t="s">
        <v>34</v>
      </c>
      <c r="V254" s="2" t="s">
        <v>57</v>
      </c>
      <c r="W254" s="2" t="s">
        <v>34</v>
      </c>
      <c r="X254" s="2" t="s">
        <v>34</v>
      </c>
      <c r="Y254" s="3">
        <v>20.0</v>
      </c>
    </row>
    <row r="255" ht="15.75" customHeight="1">
      <c r="A255" s="2" t="s">
        <v>25</v>
      </c>
      <c r="B255" s="2" t="s">
        <v>26</v>
      </c>
      <c r="C255" s="2" t="s">
        <v>27</v>
      </c>
      <c r="D255" s="2" t="s">
        <v>28</v>
      </c>
      <c r="E255" s="2" t="s">
        <v>29</v>
      </c>
      <c r="F255" s="2" t="s">
        <v>30</v>
      </c>
      <c r="G255" s="2" t="s">
        <v>31</v>
      </c>
      <c r="H255" s="2" t="s">
        <v>32</v>
      </c>
      <c r="I255" s="2" t="s">
        <v>33</v>
      </c>
      <c r="J255" s="2" t="s">
        <v>34</v>
      </c>
      <c r="K255" s="2" t="s">
        <v>455</v>
      </c>
      <c r="L255" s="2" t="s">
        <v>456</v>
      </c>
      <c r="M255" s="2" t="s">
        <v>34</v>
      </c>
      <c r="N255" s="2" t="s">
        <v>37</v>
      </c>
      <c r="O255" s="2" t="s">
        <v>38</v>
      </c>
      <c r="P255" s="2" t="s">
        <v>39</v>
      </c>
      <c r="Q255" s="2" t="s">
        <v>40</v>
      </c>
      <c r="R255" s="2" t="s">
        <v>41</v>
      </c>
      <c r="S255" s="2" t="s">
        <v>42</v>
      </c>
      <c r="T255" s="2" t="s">
        <v>62</v>
      </c>
      <c r="U255" s="2" t="s">
        <v>34</v>
      </c>
      <c r="V255" s="2" t="s">
        <v>57</v>
      </c>
      <c r="W255" s="2" t="s">
        <v>34</v>
      </c>
      <c r="X255" s="2" t="s">
        <v>34</v>
      </c>
      <c r="Y255" s="3">
        <v>20.0</v>
      </c>
    </row>
    <row r="256" ht="15.75" customHeight="1">
      <c r="A256" s="2" t="s">
        <v>25</v>
      </c>
      <c r="B256" s="2" t="s">
        <v>26</v>
      </c>
      <c r="C256" s="2" t="s">
        <v>27</v>
      </c>
      <c r="D256" s="2" t="s">
        <v>28</v>
      </c>
      <c r="E256" s="2" t="s">
        <v>29</v>
      </c>
      <c r="F256" s="2" t="s">
        <v>30</v>
      </c>
      <c r="G256" s="2" t="s">
        <v>31</v>
      </c>
      <c r="H256" s="2" t="s">
        <v>32</v>
      </c>
      <c r="I256" s="2" t="s">
        <v>33</v>
      </c>
      <c r="J256" s="2" t="s">
        <v>34</v>
      </c>
      <c r="K256" s="2" t="s">
        <v>457</v>
      </c>
      <c r="L256" s="2" t="s">
        <v>458</v>
      </c>
      <c r="M256" s="2" t="s">
        <v>34</v>
      </c>
      <c r="N256" s="2" t="s">
        <v>37</v>
      </c>
      <c r="O256" s="2" t="s">
        <v>38</v>
      </c>
      <c r="P256" s="2" t="s">
        <v>39</v>
      </c>
      <c r="Q256" s="2" t="s">
        <v>40</v>
      </c>
      <c r="R256" s="2" t="s">
        <v>41</v>
      </c>
      <c r="S256" s="2" t="s">
        <v>42</v>
      </c>
      <c r="T256" s="2" t="s">
        <v>62</v>
      </c>
      <c r="U256" s="2" t="s">
        <v>34</v>
      </c>
      <c r="V256" s="2" t="s">
        <v>57</v>
      </c>
      <c r="W256" s="2" t="s">
        <v>34</v>
      </c>
      <c r="X256" s="2" t="s">
        <v>34</v>
      </c>
      <c r="Y256" s="3">
        <v>20.0</v>
      </c>
    </row>
    <row r="257" ht="15.75" customHeight="1">
      <c r="A257" s="2" t="s">
        <v>25</v>
      </c>
      <c r="B257" s="2" t="s">
        <v>26</v>
      </c>
      <c r="C257" s="2" t="s">
        <v>27</v>
      </c>
      <c r="D257" s="2" t="s">
        <v>28</v>
      </c>
      <c r="E257" s="2" t="s">
        <v>29</v>
      </c>
      <c r="F257" s="2" t="s">
        <v>30</v>
      </c>
      <c r="G257" s="2" t="s">
        <v>31</v>
      </c>
      <c r="H257" s="2" t="s">
        <v>32</v>
      </c>
      <c r="I257" s="2" t="s">
        <v>33</v>
      </c>
      <c r="J257" s="2" t="s">
        <v>34</v>
      </c>
      <c r="K257" s="2" t="s">
        <v>459</v>
      </c>
      <c r="L257" s="2" t="s">
        <v>460</v>
      </c>
      <c r="M257" s="2" t="s">
        <v>34</v>
      </c>
      <c r="N257" s="2" t="s">
        <v>37</v>
      </c>
      <c r="O257" s="2" t="s">
        <v>38</v>
      </c>
      <c r="P257" s="2" t="s">
        <v>39</v>
      </c>
      <c r="Q257" s="2" t="s">
        <v>40</v>
      </c>
      <c r="R257" s="2" t="s">
        <v>41</v>
      </c>
      <c r="S257" s="2" t="s">
        <v>42</v>
      </c>
      <c r="T257" s="2" t="s">
        <v>62</v>
      </c>
      <c r="U257" s="2" t="s">
        <v>34</v>
      </c>
      <c r="V257" s="2" t="s">
        <v>57</v>
      </c>
      <c r="W257" s="2" t="s">
        <v>34</v>
      </c>
      <c r="X257" s="2" t="s">
        <v>34</v>
      </c>
      <c r="Y257" s="3">
        <v>20.0</v>
      </c>
    </row>
    <row r="258" ht="15.75" customHeight="1">
      <c r="A258" s="2" t="s">
        <v>25</v>
      </c>
      <c r="B258" s="2" t="s">
        <v>26</v>
      </c>
      <c r="C258" s="2" t="s">
        <v>27</v>
      </c>
      <c r="D258" s="2" t="s">
        <v>28</v>
      </c>
      <c r="E258" s="2" t="s">
        <v>29</v>
      </c>
      <c r="F258" s="2" t="s">
        <v>30</v>
      </c>
      <c r="G258" s="2" t="s">
        <v>31</v>
      </c>
      <c r="H258" s="2" t="s">
        <v>32</v>
      </c>
      <c r="I258" s="2" t="s">
        <v>33</v>
      </c>
      <c r="J258" s="2" t="s">
        <v>34</v>
      </c>
      <c r="K258" s="2" t="s">
        <v>197</v>
      </c>
      <c r="L258" s="2" t="s">
        <v>198</v>
      </c>
      <c r="M258" s="2" t="s">
        <v>34</v>
      </c>
      <c r="N258" s="2" t="s">
        <v>37</v>
      </c>
      <c r="O258" s="2" t="s">
        <v>38</v>
      </c>
      <c r="P258" s="2" t="s">
        <v>39</v>
      </c>
      <c r="Q258" s="2" t="s">
        <v>40</v>
      </c>
      <c r="R258" s="2" t="s">
        <v>41</v>
      </c>
      <c r="S258" s="2" t="s">
        <v>42</v>
      </c>
      <c r="T258" s="2" t="s">
        <v>62</v>
      </c>
      <c r="U258" s="2" t="s">
        <v>34</v>
      </c>
      <c r="V258" s="2" t="s">
        <v>57</v>
      </c>
      <c r="W258" s="2" t="s">
        <v>34</v>
      </c>
      <c r="X258" s="2" t="s">
        <v>34</v>
      </c>
      <c r="Y258" s="3">
        <v>20.0</v>
      </c>
    </row>
    <row r="259" ht="15.75" customHeight="1">
      <c r="A259" s="2" t="s">
        <v>25</v>
      </c>
      <c r="B259" s="2" t="s">
        <v>26</v>
      </c>
      <c r="C259" s="2" t="s">
        <v>27</v>
      </c>
      <c r="D259" s="2" t="s">
        <v>28</v>
      </c>
      <c r="E259" s="2" t="s">
        <v>29</v>
      </c>
      <c r="F259" s="2" t="s">
        <v>30</v>
      </c>
      <c r="G259" s="2" t="s">
        <v>31</v>
      </c>
      <c r="H259" s="2" t="s">
        <v>32</v>
      </c>
      <c r="I259" s="2" t="s">
        <v>33</v>
      </c>
      <c r="J259" s="2" t="s">
        <v>34</v>
      </c>
      <c r="K259" s="2" t="s">
        <v>461</v>
      </c>
      <c r="L259" s="2" t="s">
        <v>462</v>
      </c>
      <c r="M259" s="2" t="s">
        <v>34</v>
      </c>
      <c r="N259" s="2" t="s">
        <v>37</v>
      </c>
      <c r="O259" s="2" t="s">
        <v>38</v>
      </c>
      <c r="P259" s="2" t="s">
        <v>39</v>
      </c>
      <c r="Q259" s="2" t="s">
        <v>40</v>
      </c>
      <c r="R259" s="2" t="s">
        <v>41</v>
      </c>
      <c r="S259" s="2" t="s">
        <v>42</v>
      </c>
      <c r="T259" s="2" t="s">
        <v>62</v>
      </c>
      <c r="U259" s="2" t="s">
        <v>34</v>
      </c>
      <c r="V259" s="2" t="s">
        <v>57</v>
      </c>
      <c r="W259" s="2" t="s">
        <v>34</v>
      </c>
      <c r="X259" s="2" t="s">
        <v>34</v>
      </c>
      <c r="Y259" s="3">
        <v>20.0</v>
      </c>
    </row>
    <row r="260" ht="15.75" customHeight="1">
      <c r="A260" s="2" t="s">
        <v>25</v>
      </c>
      <c r="B260" s="2" t="s">
        <v>26</v>
      </c>
      <c r="C260" s="2" t="s">
        <v>27</v>
      </c>
      <c r="D260" s="2" t="s">
        <v>28</v>
      </c>
      <c r="E260" s="2" t="s">
        <v>29</v>
      </c>
      <c r="F260" s="2" t="s">
        <v>30</v>
      </c>
      <c r="G260" s="2" t="s">
        <v>31</v>
      </c>
      <c r="H260" s="2" t="s">
        <v>32</v>
      </c>
      <c r="I260" s="2" t="s">
        <v>33</v>
      </c>
      <c r="J260" s="2" t="s">
        <v>34</v>
      </c>
      <c r="K260" s="2" t="s">
        <v>92</v>
      </c>
      <c r="L260" s="2" t="s">
        <v>93</v>
      </c>
      <c r="M260" s="2" t="s">
        <v>34</v>
      </c>
      <c r="N260" s="2" t="s">
        <v>37</v>
      </c>
      <c r="O260" s="2" t="s">
        <v>38</v>
      </c>
      <c r="P260" s="2" t="s">
        <v>39</v>
      </c>
      <c r="Q260" s="2" t="s">
        <v>40</v>
      </c>
      <c r="R260" s="2" t="s">
        <v>41</v>
      </c>
      <c r="S260" s="2" t="s">
        <v>42</v>
      </c>
      <c r="T260" s="2" t="s">
        <v>62</v>
      </c>
      <c r="U260" s="2" t="s">
        <v>34</v>
      </c>
      <c r="V260" s="2" t="s">
        <v>57</v>
      </c>
      <c r="W260" s="2" t="s">
        <v>34</v>
      </c>
      <c r="X260" s="2" t="s">
        <v>34</v>
      </c>
      <c r="Y260" s="3">
        <v>20.0</v>
      </c>
    </row>
    <row r="261" ht="15.75" customHeight="1">
      <c r="A261" s="2" t="s">
        <v>25</v>
      </c>
      <c r="B261" s="2" t="s">
        <v>26</v>
      </c>
      <c r="C261" s="2" t="s">
        <v>27</v>
      </c>
      <c r="D261" s="2" t="s">
        <v>28</v>
      </c>
      <c r="E261" s="2" t="s">
        <v>29</v>
      </c>
      <c r="F261" s="2" t="s">
        <v>30</v>
      </c>
      <c r="G261" s="2" t="s">
        <v>31</v>
      </c>
      <c r="H261" s="2" t="s">
        <v>32</v>
      </c>
      <c r="I261" s="2" t="s">
        <v>33</v>
      </c>
      <c r="J261" s="2" t="s">
        <v>34</v>
      </c>
      <c r="K261" s="2" t="s">
        <v>463</v>
      </c>
      <c r="L261" s="2" t="s">
        <v>464</v>
      </c>
      <c r="M261" s="2" t="s">
        <v>34</v>
      </c>
      <c r="N261" s="2" t="s">
        <v>37</v>
      </c>
      <c r="O261" s="2" t="s">
        <v>38</v>
      </c>
      <c r="P261" s="2" t="s">
        <v>39</v>
      </c>
      <c r="Q261" s="2" t="s">
        <v>40</v>
      </c>
      <c r="R261" s="2" t="s">
        <v>41</v>
      </c>
      <c r="S261" s="2" t="s">
        <v>42</v>
      </c>
      <c r="T261" s="2" t="s">
        <v>62</v>
      </c>
      <c r="U261" s="2" t="s">
        <v>34</v>
      </c>
      <c r="V261" s="2" t="s">
        <v>57</v>
      </c>
      <c r="W261" s="2" t="s">
        <v>34</v>
      </c>
      <c r="X261" s="2" t="s">
        <v>34</v>
      </c>
      <c r="Y261" s="3">
        <v>20.0</v>
      </c>
    </row>
    <row r="262" ht="15.75" customHeight="1">
      <c r="A262" s="2" t="s">
        <v>25</v>
      </c>
      <c r="B262" s="2" t="s">
        <v>26</v>
      </c>
      <c r="C262" s="2" t="s">
        <v>27</v>
      </c>
      <c r="D262" s="2" t="s">
        <v>28</v>
      </c>
      <c r="E262" s="2" t="s">
        <v>29</v>
      </c>
      <c r="F262" s="2" t="s">
        <v>30</v>
      </c>
      <c r="G262" s="2" t="s">
        <v>31</v>
      </c>
      <c r="H262" s="2" t="s">
        <v>32</v>
      </c>
      <c r="I262" s="2" t="s">
        <v>33</v>
      </c>
      <c r="J262" s="2" t="s">
        <v>34</v>
      </c>
      <c r="K262" s="2" t="s">
        <v>201</v>
      </c>
      <c r="L262" s="2" t="s">
        <v>202</v>
      </c>
      <c r="M262" s="2" t="s">
        <v>34</v>
      </c>
      <c r="N262" s="2" t="s">
        <v>74</v>
      </c>
      <c r="O262" s="2" t="s">
        <v>38</v>
      </c>
      <c r="P262" s="2" t="s">
        <v>39</v>
      </c>
      <c r="Q262" s="2" t="s">
        <v>40</v>
      </c>
      <c r="R262" s="2" t="s">
        <v>41</v>
      </c>
      <c r="S262" s="2" t="s">
        <v>42</v>
      </c>
      <c r="T262" s="2" t="s">
        <v>62</v>
      </c>
      <c r="U262" s="2" t="s">
        <v>34</v>
      </c>
      <c r="V262" s="2" t="s">
        <v>57</v>
      </c>
      <c r="W262" s="2" t="s">
        <v>34</v>
      </c>
      <c r="X262" s="2" t="s">
        <v>34</v>
      </c>
      <c r="Y262" s="3">
        <v>20.0</v>
      </c>
    </row>
    <row r="263" ht="15.75" customHeight="1">
      <c r="A263" s="2" t="s">
        <v>25</v>
      </c>
      <c r="B263" s="2" t="s">
        <v>26</v>
      </c>
      <c r="C263" s="2" t="s">
        <v>27</v>
      </c>
      <c r="D263" s="2" t="s">
        <v>28</v>
      </c>
      <c r="E263" s="2" t="s">
        <v>29</v>
      </c>
      <c r="F263" s="2" t="s">
        <v>30</v>
      </c>
      <c r="G263" s="2" t="s">
        <v>31</v>
      </c>
      <c r="H263" s="2" t="s">
        <v>32</v>
      </c>
      <c r="I263" s="2" t="s">
        <v>33</v>
      </c>
      <c r="J263" s="2" t="s">
        <v>34</v>
      </c>
      <c r="K263" s="2" t="s">
        <v>261</v>
      </c>
      <c r="L263" s="2" t="s">
        <v>262</v>
      </c>
      <c r="M263" s="2" t="s">
        <v>34</v>
      </c>
      <c r="N263" s="2" t="s">
        <v>75</v>
      </c>
      <c r="O263" s="2" t="s">
        <v>38</v>
      </c>
      <c r="P263" s="2" t="s">
        <v>39</v>
      </c>
      <c r="Q263" s="2" t="s">
        <v>40</v>
      </c>
      <c r="R263" s="2" t="s">
        <v>41</v>
      </c>
      <c r="S263" s="2" t="s">
        <v>42</v>
      </c>
      <c r="T263" s="2" t="s">
        <v>62</v>
      </c>
      <c r="U263" s="2" t="s">
        <v>34</v>
      </c>
      <c r="V263" s="2" t="s">
        <v>57</v>
      </c>
      <c r="W263" s="2" t="s">
        <v>34</v>
      </c>
      <c r="X263" s="2" t="s">
        <v>34</v>
      </c>
      <c r="Y263" s="3">
        <v>20.0</v>
      </c>
    </row>
    <row r="264" ht="15.75" customHeight="1">
      <c r="A264" s="2" t="s">
        <v>25</v>
      </c>
      <c r="B264" s="2" t="s">
        <v>26</v>
      </c>
      <c r="C264" s="2" t="s">
        <v>27</v>
      </c>
      <c r="D264" s="2" t="s">
        <v>28</v>
      </c>
      <c r="E264" s="2" t="s">
        <v>29</v>
      </c>
      <c r="F264" s="2" t="s">
        <v>30</v>
      </c>
      <c r="G264" s="2" t="s">
        <v>31</v>
      </c>
      <c r="H264" s="2" t="s">
        <v>32</v>
      </c>
      <c r="I264" s="2" t="s">
        <v>33</v>
      </c>
      <c r="J264" s="2" t="s">
        <v>34</v>
      </c>
      <c r="K264" s="2" t="s">
        <v>90</v>
      </c>
      <c r="L264" s="2" t="s">
        <v>91</v>
      </c>
      <c r="M264" s="2" t="s">
        <v>34</v>
      </c>
      <c r="N264" s="2" t="s">
        <v>74</v>
      </c>
      <c r="O264" s="2" t="s">
        <v>38</v>
      </c>
      <c r="P264" s="2" t="s">
        <v>39</v>
      </c>
      <c r="Q264" s="2" t="s">
        <v>40</v>
      </c>
      <c r="R264" s="2" t="s">
        <v>41</v>
      </c>
      <c r="S264" s="2" t="s">
        <v>42</v>
      </c>
      <c r="T264" s="2" t="s">
        <v>62</v>
      </c>
      <c r="U264" s="2" t="s">
        <v>34</v>
      </c>
      <c r="V264" s="2" t="s">
        <v>57</v>
      </c>
      <c r="W264" s="2" t="s">
        <v>34</v>
      </c>
      <c r="X264" s="2" t="s">
        <v>34</v>
      </c>
      <c r="Y264" s="3">
        <v>20.0</v>
      </c>
    </row>
    <row r="265" ht="15.75" customHeight="1">
      <c r="A265" s="2" t="s">
        <v>25</v>
      </c>
      <c r="B265" s="2" t="s">
        <v>26</v>
      </c>
      <c r="C265" s="2" t="s">
        <v>27</v>
      </c>
      <c r="D265" s="2" t="s">
        <v>28</v>
      </c>
      <c r="E265" s="2" t="s">
        <v>29</v>
      </c>
      <c r="F265" s="2" t="s">
        <v>30</v>
      </c>
      <c r="G265" s="2" t="s">
        <v>31</v>
      </c>
      <c r="H265" s="2" t="s">
        <v>32</v>
      </c>
      <c r="I265" s="2" t="s">
        <v>33</v>
      </c>
      <c r="J265" s="2" t="s">
        <v>34</v>
      </c>
      <c r="K265" s="2" t="s">
        <v>90</v>
      </c>
      <c r="L265" s="2" t="s">
        <v>91</v>
      </c>
      <c r="M265" s="2" t="s">
        <v>34</v>
      </c>
      <c r="N265" s="2" t="s">
        <v>75</v>
      </c>
      <c r="O265" s="2" t="s">
        <v>38</v>
      </c>
      <c r="P265" s="2" t="s">
        <v>39</v>
      </c>
      <c r="Q265" s="2" t="s">
        <v>40</v>
      </c>
      <c r="R265" s="2" t="s">
        <v>41</v>
      </c>
      <c r="S265" s="2" t="s">
        <v>42</v>
      </c>
      <c r="T265" s="2" t="s">
        <v>62</v>
      </c>
      <c r="U265" s="2" t="s">
        <v>34</v>
      </c>
      <c r="V265" s="2" t="s">
        <v>57</v>
      </c>
      <c r="W265" s="2" t="s">
        <v>34</v>
      </c>
      <c r="X265" s="2" t="s">
        <v>34</v>
      </c>
      <c r="Y265" s="3">
        <v>20.0</v>
      </c>
    </row>
    <row r="266" ht="15.75" customHeight="1">
      <c r="A266" s="2" t="s">
        <v>25</v>
      </c>
      <c r="B266" s="2" t="s">
        <v>26</v>
      </c>
      <c r="C266" s="2" t="s">
        <v>27</v>
      </c>
      <c r="D266" s="2" t="s">
        <v>28</v>
      </c>
      <c r="E266" s="2" t="s">
        <v>29</v>
      </c>
      <c r="F266" s="2" t="s">
        <v>30</v>
      </c>
      <c r="G266" s="2" t="s">
        <v>31</v>
      </c>
      <c r="H266" s="2" t="s">
        <v>32</v>
      </c>
      <c r="I266" s="2" t="s">
        <v>33</v>
      </c>
      <c r="J266" s="2" t="s">
        <v>34</v>
      </c>
      <c r="K266" s="2" t="s">
        <v>259</v>
      </c>
      <c r="L266" s="2" t="s">
        <v>260</v>
      </c>
      <c r="M266" s="2" t="s">
        <v>34</v>
      </c>
      <c r="N266" s="2" t="s">
        <v>74</v>
      </c>
      <c r="O266" s="2" t="s">
        <v>38</v>
      </c>
      <c r="P266" s="2" t="s">
        <v>39</v>
      </c>
      <c r="Q266" s="2" t="s">
        <v>40</v>
      </c>
      <c r="R266" s="2" t="s">
        <v>41</v>
      </c>
      <c r="S266" s="2" t="s">
        <v>42</v>
      </c>
      <c r="T266" s="2" t="s">
        <v>62</v>
      </c>
      <c r="U266" s="2" t="s">
        <v>34</v>
      </c>
      <c r="V266" s="2" t="s">
        <v>57</v>
      </c>
      <c r="W266" s="2" t="s">
        <v>34</v>
      </c>
      <c r="X266" s="2" t="s">
        <v>34</v>
      </c>
      <c r="Y266" s="3">
        <v>20.0</v>
      </c>
    </row>
    <row r="267" ht="15.75" customHeight="1">
      <c r="A267" s="2" t="s">
        <v>25</v>
      </c>
      <c r="B267" s="2" t="s">
        <v>26</v>
      </c>
      <c r="C267" s="2" t="s">
        <v>27</v>
      </c>
      <c r="D267" s="2" t="s">
        <v>28</v>
      </c>
      <c r="E267" s="2" t="s">
        <v>29</v>
      </c>
      <c r="F267" s="2" t="s">
        <v>30</v>
      </c>
      <c r="G267" s="2" t="s">
        <v>31</v>
      </c>
      <c r="H267" s="2" t="s">
        <v>32</v>
      </c>
      <c r="I267" s="2" t="s">
        <v>33</v>
      </c>
      <c r="J267" s="2" t="s">
        <v>34</v>
      </c>
      <c r="K267" s="2" t="s">
        <v>465</v>
      </c>
      <c r="L267" s="2" t="s">
        <v>466</v>
      </c>
      <c r="M267" s="2" t="s">
        <v>34</v>
      </c>
      <c r="N267" s="2" t="s">
        <v>75</v>
      </c>
      <c r="O267" s="2" t="s">
        <v>38</v>
      </c>
      <c r="P267" s="2" t="s">
        <v>39</v>
      </c>
      <c r="Q267" s="2" t="s">
        <v>40</v>
      </c>
      <c r="R267" s="2" t="s">
        <v>41</v>
      </c>
      <c r="S267" s="2" t="s">
        <v>42</v>
      </c>
      <c r="T267" s="2" t="s">
        <v>62</v>
      </c>
      <c r="U267" s="2" t="s">
        <v>34</v>
      </c>
      <c r="V267" s="2" t="s">
        <v>57</v>
      </c>
      <c r="W267" s="2" t="s">
        <v>34</v>
      </c>
      <c r="X267" s="2" t="s">
        <v>34</v>
      </c>
      <c r="Y267" s="3">
        <v>20.0</v>
      </c>
    </row>
    <row r="268" ht="15.75" customHeight="1">
      <c r="A268" s="2" t="s">
        <v>25</v>
      </c>
      <c r="B268" s="2" t="s">
        <v>26</v>
      </c>
      <c r="C268" s="2" t="s">
        <v>27</v>
      </c>
      <c r="D268" s="2" t="s">
        <v>28</v>
      </c>
      <c r="E268" s="2" t="s">
        <v>29</v>
      </c>
      <c r="F268" s="2" t="s">
        <v>30</v>
      </c>
      <c r="G268" s="2" t="s">
        <v>31</v>
      </c>
      <c r="H268" s="2" t="s">
        <v>32</v>
      </c>
      <c r="I268" s="2" t="s">
        <v>33</v>
      </c>
      <c r="J268" s="2" t="s">
        <v>34</v>
      </c>
      <c r="K268" s="2" t="s">
        <v>437</v>
      </c>
      <c r="L268" s="2" t="s">
        <v>438</v>
      </c>
      <c r="M268" s="2" t="s">
        <v>34</v>
      </c>
      <c r="N268" s="2" t="s">
        <v>37</v>
      </c>
      <c r="O268" s="2" t="s">
        <v>38</v>
      </c>
      <c r="P268" s="2" t="s">
        <v>39</v>
      </c>
      <c r="Q268" s="2" t="s">
        <v>40</v>
      </c>
      <c r="R268" s="2" t="s">
        <v>41</v>
      </c>
      <c r="S268" s="2" t="s">
        <v>42</v>
      </c>
      <c r="T268" s="2" t="s">
        <v>62</v>
      </c>
      <c r="U268" s="2" t="s">
        <v>34</v>
      </c>
      <c r="V268" s="2" t="s">
        <v>51</v>
      </c>
      <c r="W268" s="2" t="s">
        <v>34</v>
      </c>
      <c r="X268" s="2" t="s">
        <v>34</v>
      </c>
      <c r="Y268" s="3">
        <v>40.0</v>
      </c>
    </row>
    <row r="269" ht="15.75" customHeight="1">
      <c r="A269" s="2" t="s">
        <v>25</v>
      </c>
      <c r="B269" s="2" t="s">
        <v>26</v>
      </c>
      <c r="C269" s="2" t="s">
        <v>27</v>
      </c>
      <c r="D269" s="2" t="s">
        <v>28</v>
      </c>
      <c r="E269" s="2" t="s">
        <v>29</v>
      </c>
      <c r="F269" s="2" t="s">
        <v>30</v>
      </c>
      <c r="G269" s="2" t="s">
        <v>31</v>
      </c>
      <c r="H269" s="2" t="s">
        <v>32</v>
      </c>
      <c r="I269" s="2" t="s">
        <v>33</v>
      </c>
      <c r="J269" s="2" t="s">
        <v>34</v>
      </c>
      <c r="K269" s="2" t="s">
        <v>35</v>
      </c>
      <c r="L269" s="2" t="s">
        <v>36</v>
      </c>
      <c r="M269" s="2" t="s">
        <v>34</v>
      </c>
      <c r="N269" s="2" t="s">
        <v>37</v>
      </c>
      <c r="O269" s="2" t="s">
        <v>38</v>
      </c>
      <c r="P269" s="2" t="s">
        <v>39</v>
      </c>
      <c r="Q269" s="2" t="s">
        <v>40</v>
      </c>
      <c r="R269" s="2" t="s">
        <v>41</v>
      </c>
      <c r="S269" s="2" t="s">
        <v>42</v>
      </c>
      <c r="T269" s="2" t="s">
        <v>62</v>
      </c>
      <c r="U269" s="2" t="s">
        <v>34</v>
      </c>
      <c r="V269" s="2" t="s">
        <v>51</v>
      </c>
      <c r="W269" s="2" t="s">
        <v>34</v>
      </c>
      <c r="X269" s="2" t="s">
        <v>34</v>
      </c>
      <c r="Y269" s="3">
        <v>40.0</v>
      </c>
    </row>
    <row r="270" ht="15.75" customHeight="1">
      <c r="A270" s="2" t="s">
        <v>25</v>
      </c>
      <c r="B270" s="2" t="s">
        <v>26</v>
      </c>
      <c r="C270" s="2" t="s">
        <v>27</v>
      </c>
      <c r="D270" s="2" t="s">
        <v>28</v>
      </c>
      <c r="E270" s="2" t="s">
        <v>29</v>
      </c>
      <c r="F270" s="2" t="s">
        <v>30</v>
      </c>
      <c r="G270" s="2" t="s">
        <v>31</v>
      </c>
      <c r="H270" s="2" t="s">
        <v>32</v>
      </c>
      <c r="I270" s="2" t="s">
        <v>33</v>
      </c>
      <c r="J270" s="2" t="s">
        <v>34</v>
      </c>
      <c r="K270" s="2" t="s">
        <v>439</v>
      </c>
      <c r="L270" s="2" t="s">
        <v>440</v>
      </c>
      <c r="M270" s="2" t="s">
        <v>34</v>
      </c>
      <c r="N270" s="2" t="s">
        <v>37</v>
      </c>
      <c r="O270" s="2" t="s">
        <v>38</v>
      </c>
      <c r="P270" s="2" t="s">
        <v>39</v>
      </c>
      <c r="Q270" s="2" t="s">
        <v>40</v>
      </c>
      <c r="R270" s="2" t="s">
        <v>41</v>
      </c>
      <c r="S270" s="2" t="s">
        <v>42</v>
      </c>
      <c r="T270" s="2" t="s">
        <v>62</v>
      </c>
      <c r="U270" s="2" t="s">
        <v>34</v>
      </c>
      <c r="V270" s="2" t="s">
        <v>51</v>
      </c>
      <c r="W270" s="2" t="s">
        <v>34</v>
      </c>
      <c r="X270" s="2" t="s">
        <v>34</v>
      </c>
      <c r="Y270" s="3">
        <v>40.0</v>
      </c>
    </row>
    <row r="271" ht="15.75" customHeight="1">
      <c r="A271" s="2" t="s">
        <v>25</v>
      </c>
      <c r="B271" s="2" t="s">
        <v>26</v>
      </c>
      <c r="C271" s="2" t="s">
        <v>27</v>
      </c>
      <c r="D271" s="2" t="s">
        <v>28</v>
      </c>
      <c r="E271" s="2" t="s">
        <v>29</v>
      </c>
      <c r="F271" s="2" t="s">
        <v>30</v>
      </c>
      <c r="G271" s="2" t="s">
        <v>31</v>
      </c>
      <c r="H271" s="2" t="s">
        <v>32</v>
      </c>
      <c r="I271" s="2" t="s">
        <v>33</v>
      </c>
      <c r="J271" s="2" t="s">
        <v>34</v>
      </c>
      <c r="K271" s="2" t="s">
        <v>322</v>
      </c>
      <c r="L271" s="2" t="s">
        <v>323</v>
      </c>
      <c r="M271" s="2" t="s">
        <v>34</v>
      </c>
      <c r="N271" s="2" t="s">
        <v>37</v>
      </c>
      <c r="O271" s="2" t="s">
        <v>38</v>
      </c>
      <c r="P271" s="2" t="s">
        <v>39</v>
      </c>
      <c r="Q271" s="2" t="s">
        <v>40</v>
      </c>
      <c r="R271" s="2" t="s">
        <v>41</v>
      </c>
      <c r="S271" s="2" t="s">
        <v>42</v>
      </c>
      <c r="T271" s="2" t="s">
        <v>62</v>
      </c>
      <c r="U271" s="2" t="s">
        <v>34</v>
      </c>
      <c r="V271" s="2" t="s">
        <v>51</v>
      </c>
      <c r="W271" s="2" t="s">
        <v>34</v>
      </c>
      <c r="X271" s="2" t="s">
        <v>34</v>
      </c>
      <c r="Y271" s="3">
        <v>40.0</v>
      </c>
    </row>
    <row r="272" ht="15.75" customHeight="1">
      <c r="A272" s="2" t="s">
        <v>25</v>
      </c>
      <c r="B272" s="2" t="s">
        <v>26</v>
      </c>
      <c r="C272" s="2" t="s">
        <v>27</v>
      </c>
      <c r="D272" s="2" t="s">
        <v>28</v>
      </c>
      <c r="E272" s="2" t="s">
        <v>29</v>
      </c>
      <c r="F272" s="2" t="s">
        <v>30</v>
      </c>
      <c r="G272" s="2" t="s">
        <v>31</v>
      </c>
      <c r="H272" s="2" t="s">
        <v>32</v>
      </c>
      <c r="I272" s="2" t="s">
        <v>33</v>
      </c>
      <c r="J272" s="2" t="s">
        <v>34</v>
      </c>
      <c r="K272" s="2" t="s">
        <v>94</v>
      </c>
      <c r="L272" s="2" t="s">
        <v>95</v>
      </c>
      <c r="M272" s="2" t="s">
        <v>34</v>
      </c>
      <c r="N272" s="2" t="s">
        <v>37</v>
      </c>
      <c r="O272" s="2" t="s">
        <v>38</v>
      </c>
      <c r="P272" s="2" t="s">
        <v>39</v>
      </c>
      <c r="Q272" s="2" t="s">
        <v>40</v>
      </c>
      <c r="R272" s="2" t="s">
        <v>41</v>
      </c>
      <c r="S272" s="2" t="s">
        <v>42</v>
      </c>
      <c r="T272" s="2" t="s">
        <v>62</v>
      </c>
      <c r="U272" s="2" t="s">
        <v>34</v>
      </c>
      <c r="V272" s="2" t="s">
        <v>51</v>
      </c>
      <c r="W272" s="2" t="s">
        <v>34</v>
      </c>
      <c r="X272" s="2" t="s">
        <v>34</v>
      </c>
      <c r="Y272" s="3">
        <v>40.0</v>
      </c>
    </row>
    <row r="273" ht="15.75" customHeight="1">
      <c r="A273" s="2" t="s">
        <v>25</v>
      </c>
      <c r="B273" s="2" t="s">
        <v>26</v>
      </c>
      <c r="C273" s="2" t="s">
        <v>27</v>
      </c>
      <c r="D273" s="2" t="s">
        <v>28</v>
      </c>
      <c r="E273" s="2" t="s">
        <v>29</v>
      </c>
      <c r="F273" s="2" t="s">
        <v>30</v>
      </c>
      <c r="G273" s="2" t="s">
        <v>31</v>
      </c>
      <c r="H273" s="2" t="s">
        <v>32</v>
      </c>
      <c r="I273" s="2" t="s">
        <v>33</v>
      </c>
      <c r="J273" s="2" t="s">
        <v>34</v>
      </c>
      <c r="K273" s="2" t="s">
        <v>441</v>
      </c>
      <c r="L273" s="2" t="s">
        <v>442</v>
      </c>
      <c r="M273" s="2" t="s">
        <v>34</v>
      </c>
      <c r="N273" s="2" t="s">
        <v>74</v>
      </c>
      <c r="O273" s="2" t="s">
        <v>38</v>
      </c>
      <c r="P273" s="2" t="s">
        <v>39</v>
      </c>
      <c r="Q273" s="2" t="s">
        <v>40</v>
      </c>
      <c r="R273" s="2" t="s">
        <v>41</v>
      </c>
      <c r="S273" s="2" t="s">
        <v>42</v>
      </c>
      <c r="T273" s="2" t="s">
        <v>62</v>
      </c>
      <c r="U273" s="2" t="s">
        <v>34</v>
      </c>
      <c r="V273" s="2" t="s">
        <v>51</v>
      </c>
      <c r="W273" s="2" t="s">
        <v>34</v>
      </c>
      <c r="X273" s="2" t="s">
        <v>34</v>
      </c>
      <c r="Y273" s="3">
        <v>40.0</v>
      </c>
    </row>
    <row r="274" ht="15.75" customHeight="1">
      <c r="A274" s="2" t="s">
        <v>25</v>
      </c>
      <c r="B274" s="2" t="s">
        <v>26</v>
      </c>
      <c r="C274" s="2" t="s">
        <v>27</v>
      </c>
      <c r="D274" s="2" t="s">
        <v>28</v>
      </c>
      <c r="E274" s="2" t="s">
        <v>29</v>
      </c>
      <c r="F274" s="2" t="s">
        <v>30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414</v>
      </c>
      <c r="L274" s="2" t="s">
        <v>415</v>
      </c>
      <c r="M274" s="2" t="s">
        <v>34</v>
      </c>
      <c r="N274" s="2" t="s">
        <v>37</v>
      </c>
      <c r="O274" s="2" t="s">
        <v>38</v>
      </c>
      <c r="P274" s="2" t="s">
        <v>39</v>
      </c>
      <c r="Q274" s="2" t="s">
        <v>40</v>
      </c>
      <c r="R274" s="2" t="s">
        <v>41</v>
      </c>
      <c r="S274" s="2" t="s">
        <v>42</v>
      </c>
      <c r="T274" s="2" t="s">
        <v>62</v>
      </c>
      <c r="U274" s="2" t="s">
        <v>34</v>
      </c>
      <c r="V274" s="2" t="s">
        <v>65</v>
      </c>
      <c r="W274" s="2" t="s">
        <v>34</v>
      </c>
      <c r="X274" s="2" t="s">
        <v>34</v>
      </c>
      <c r="Y274" s="3">
        <v>80.0</v>
      </c>
    </row>
    <row r="275" ht="15.75" customHeight="1">
      <c r="A275" s="2" t="s">
        <v>25</v>
      </c>
      <c r="B275" s="2" t="s">
        <v>26</v>
      </c>
      <c r="C275" s="2" t="s">
        <v>27</v>
      </c>
      <c r="D275" s="2" t="s">
        <v>28</v>
      </c>
      <c r="E275" s="2" t="s">
        <v>29</v>
      </c>
      <c r="F275" s="2" t="s">
        <v>30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187</v>
      </c>
      <c r="L275" s="2" t="s">
        <v>188</v>
      </c>
      <c r="M275" s="2" t="s">
        <v>34</v>
      </c>
      <c r="N275" s="2" t="s">
        <v>37</v>
      </c>
      <c r="O275" s="2" t="s">
        <v>38</v>
      </c>
      <c r="P275" s="2" t="s">
        <v>39</v>
      </c>
      <c r="Q275" s="2" t="s">
        <v>40</v>
      </c>
      <c r="R275" s="2" t="s">
        <v>41</v>
      </c>
      <c r="S275" s="2" t="s">
        <v>42</v>
      </c>
      <c r="T275" s="2" t="s">
        <v>62</v>
      </c>
      <c r="U275" s="2" t="s">
        <v>34</v>
      </c>
      <c r="V275" s="2" t="s">
        <v>65</v>
      </c>
      <c r="W275" s="2" t="s">
        <v>34</v>
      </c>
      <c r="X275" s="2" t="s">
        <v>34</v>
      </c>
      <c r="Y275" s="3">
        <v>80.0</v>
      </c>
    </row>
    <row r="276" ht="15.75" customHeight="1">
      <c r="A276" s="2" t="s">
        <v>25</v>
      </c>
      <c r="B276" s="2" t="s">
        <v>26</v>
      </c>
      <c r="C276" s="2" t="s">
        <v>27</v>
      </c>
      <c r="D276" s="2" t="s">
        <v>28</v>
      </c>
      <c r="E276" s="2" t="s">
        <v>29</v>
      </c>
      <c r="F276" s="2" t="s">
        <v>30</v>
      </c>
      <c r="G276" s="2" t="s">
        <v>31</v>
      </c>
      <c r="H276" s="2" t="s">
        <v>32</v>
      </c>
      <c r="I276" s="2" t="s">
        <v>33</v>
      </c>
      <c r="J276" s="2" t="s">
        <v>34</v>
      </c>
      <c r="K276" s="2" t="s">
        <v>467</v>
      </c>
      <c r="L276" s="2" t="s">
        <v>468</v>
      </c>
      <c r="M276" s="2" t="s">
        <v>34</v>
      </c>
      <c r="N276" s="2" t="s">
        <v>37</v>
      </c>
      <c r="O276" s="2" t="s">
        <v>38</v>
      </c>
      <c r="P276" s="2" t="s">
        <v>39</v>
      </c>
      <c r="Q276" s="2" t="s">
        <v>40</v>
      </c>
      <c r="R276" s="2" t="s">
        <v>41</v>
      </c>
      <c r="S276" s="2" t="s">
        <v>42</v>
      </c>
      <c r="T276" s="2" t="s">
        <v>62</v>
      </c>
      <c r="U276" s="2" t="s">
        <v>34</v>
      </c>
      <c r="V276" s="2" t="s">
        <v>65</v>
      </c>
      <c r="W276" s="2" t="s">
        <v>34</v>
      </c>
      <c r="X276" s="2" t="s">
        <v>34</v>
      </c>
      <c r="Y276" s="3">
        <v>80.0</v>
      </c>
    </row>
    <row r="277" ht="15.75" customHeight="1">
      <c r="A277" s="2" t="s">
        <v>25</v>
      </c>
      <c r="B277" s="2" t="s">
        <v>26</v>
      </c>
      <c r="C277" s="2" t="s">
        <v>27</v>
      </c>
      <c r="D277" s="2" t="s">
        <v>28</v>
      </c>
      <c r="E277" s="2" t="s">
        <v>29</v>
      </c>
      <c r="F277" s="2" t="s">
        <v>30</v>
      </c>
      <c r="G277" s="2" t="s">
        <v>31</v>
      </c>
      <c r="H277" s="2" t="s">
        <v>32</v>
      </c>
      <c r="I277" s="2" t="s">
        <v>33</v>
      </c>
      <c r="J277" s="2" t="s">
        <v>34</v>
      </c>
      <c r="K277" s="2" t="s">
        <v>269</v>
      </c>
      <c r="L277" s="2" t="s">
        <v>270</v>
      </c>
      <c r="M277" s="2" t="s">
        <v>34</v>
      </c>
      <c r="N277" s="2" t="s">
        <v>37</v>
      </c>
      <c r="O277" s="2" t="s">
        <v>38</v>
      </c>
      <c r="P277" s="2" t="s">
        <v>39</v>
      </c>
      <c r="Q277" s="2" t="s">
        <v>40</v>
      </c>
      <c r="R277" s="2" t="s">
        <v>41</v>
      </c>
      <c r="S277" s="2" t="s">
        <v>42</v>
      </c>
      <c r="T277" s="2" t="s">
        <v>62</v>
      </c>
      <c r="U277" s="2" t="s">
        <v>34</v>
      </c>
      <c r="V277" s="2" t="s">
        <v>65</v>
      </c>
      <c r="W277" s="2" t="s">
        <v>34</v>
      </c>
      <c r="X277" s="2" t="s">
        <v>34</v>
      </c>
      <c r="Y277" s="3">
        <v>80.0</v>
      </c>
    </row>
    <row r="278" ht="15.75" customHeight="1">
      <c r="A278" s="2" t="s">
        <v>25</v>
      </c>
      <c r="B278" s="2" t="s">
        <v>26</v>
      </c>
      <c r="C278" s="2" t="s">
        <v>27</v>
      </c>
      <c r="D278" s="2" t="s">
        <v>28</v>
      </c>
      <c r="E278" s="2" t="s">
        <v>29</v>
      </c>
      <c r="F278" s="2" t="s">
        <v>30</v>
      </c>
      <c r="G278" s="2" t="s">
        <v>31</v>
      </c>
      <c r="H278" s="2" t="s">
        <v>32</v>
      </c>
      <c r="I278" s="2" t="s">
        <v>33</v>
      </c>
      <c r="J278" s="2" t="s">
        <v>34</v>
      </c>
      <c r="K278" s="2" t="s">
        <v>400</v>
      </c>
      <c r="L278" s="2" t="s">
        <v>401</v>
      </c>
      <c r="M278" s="2" t="s">
        <v>34</v>
      </c>
      <c r="N278" s="2" t="s">
        <v>74</v>
      </c>
      <c r="O278" s="2" t="s">
        <v>38</v>
      </c>
      <c r="P278" s="2" t="s">
        <v>39</v>
      </c>
      <c r="Q278" s="2" t="s">
        <v>40</v>
      </c>
      <c r="R278" s="2" t="s">
        <v>41</v>
      </c>
      <c r="S278" s="2" t="s">
        <v>42</v>
      </c>
      <c r="T278" s="2" t="s">
        <v>62</v>
      </c>
      <c r="U278" s="2" t="s">
        <v>34</v>
      </c>
      <c r="V278" s="2" t="s">
        <v>65</v>
      </c>
      <c r="W278" s="2" t="s">
        <v>34</v>
      </c>
      <c r="X278" s="2" t="s">
        <v>34</v>
      </c>
      <c r="Y278" s="3">
        <v>80.0</v>
      </c>
    </row>
    <row r="279" ht="15.75" customHeight="1">
      <c r="A279" s="2" t="s">
        <v>25</v>
      </c>
      <c r="B279" s="2" t="s">
        <v>26</v>
      </c>
      <c r="C279" s="2" t="s">
        <v>469</v>
      </c>
      <c r="D279" s="2" t="s">
        <v>28</v>
      </c>
      <c r="E279" s="2" t="s">
        <v>29</v>
      </c>
      <c r="F279" s="2" t="s">
        <v>470</v>
      </c>
      <c r="G279" s="2" t="s">
        <v>31</v>
      </c>
      <c r="H279" s="2" t="s">
        <v>32</v>
      </c>
      <c r="I279" s="2" t="s">
        <v>33</v>
      </c>
      <c r="J279" s="2" t="s">
        <v>34</v>
      </c>
      <c r="K279" s="2" t="s">
        <v>334</v>
      </c>
      <c r="L279" s="2" t="s">
        <v>335</v>
      </c>
      <c r="M279" s="2" t="s">
        <v>34</v>
      </c>
      <c r="N279" s="2" t="s">
        <v>37</v>
      </c>
      <c r="O279" s="2" t="s">
        <v>38</v>
      </c>
      <c r="P279" s="2" t="s">
        <v>336</v>
      </c>
      <c r="Q279" s="2" t="s">
        <v>337</v>
      </c>
      <c r="R279" s="2" t="s">
        <v>41</v>
      </c>
      <c r="S279" s="2" t="s">
        <v>42</v>
      </c>
      <c r="T279" s="2" t="s">
        <v>62</v>
      </c>
      <c r="U279" s="2" t="s">
        <v>34</v>
      </c>
      <c r="V279" s="2" t="s">
        <v>338</v>
      </c>
      <c r="W279" s="2" t="s">
        <v>34</v>
      </c>
      <c r="X279" s="2" t="s">
        <v>34</v>
      </c>
      <c r="Y279" s="3">
        <v>110.0</v>
      </c>
    </row>
    <row r="280" ht="15.75" customHeight="1">
      <c r="A280" s="2" t="s">
        <v>25</v>
      </c>
      <c r="B280" s="2" t="s">
        <v>26</v>
      </c>
      <c r="C280" s="2" t="s">
        <v>471</v>
      </c>
      <c r="D280" s="2" t="s">
        <v>28</v>
      </c>
      <c r="E280" s="2" t="s">
        <v>29</v>
      </c>
      <c r="F280" s="2" t="s">
        <v>472</v>
      </c>
      <c r="G280" s="2" t="s">
        <v>31</v>
      </c>
      <c r="H280" s="2" t="s">
        <v>32</v>
      </c>
      <c r="I280" s="2" t="s">
        <v>33</v>
      </c>
      <c r="J280" s="2" t="s">
        <v>34</v>
      </c>
      <c r="K280" s="2" t="s">
        <v>339</v>
      </c>
      <c r="L280" s="2" t="s">
        <v>340</v>
      </c>
      <c r="M280" s="2" t="s">
        <v>34</v>
      </c>
      <c r="N280" s="2" t="s">
        <v>37</v>
      </c>
      <c r="O280" s="2" t="s">
        <v>38</v>
      </c>
      <c r="P280" s="2" t="s">
        <v>341</v>
      </c>
      <c r="Q280" s="2" t="s">
        <v>342</v>
      </c>
      <c r="R280" s="2" t="s">
        <v>41</v>
      </c>
      <c r="S280" s="2" t="s">
        <v>42</v>
      </c>
      <c r="T280" s="2" t="s">
        <v>62</v>
      </c>
      <c r="U280" s="2" t="s">
        <v>34</v>
      </c>
      <c r="V280" s="2" t="s">
        <v>57</v>
      </c>
      <c r="W280" s="2" t="s">
        <v>34</v>
      </c>
      <c r="X280" s="2" t="s">
        <v>34</v>
      </c>
      <c r="Y280" s="3">
        <v>20.0</v>
      </c>
    </row>
    <row r="281" ht="15.75" customHeight="1">
      <c r="A281" s="2" t="s">
        <v>25</v>
      </c>
      <c r="B281" s="2" t="s">
        <v>26</v>
      </c>
      <c r="C281" s="2" t="s">
        <v>271</v>
      </c>
      <c r="D281" s="2" t="s">
        <v>28</v>
      </c>
      <c r="E281" s="2" t="s">
        <v>29</v>
      </c>
      <c r="F281" s="2" t="s">
        <v>272</v>
      </c>
      <c r="G281" s="2" t="s">
        <v>31</v>
      </c>
      <c r="H281" s="2" t="s">
        <v>32</v>
      </c>
      <c r="I281" s="2" t="s">
        <v>33</v>
      </c>
      <c r="J281" s="2" t="s">
        <v>34</v>
      </c>
      <c r="K281" s="2" t="s">
        <v>473</v>
      </c>
      <c r="L281" s="2" t="s">
        <v>474</v>
      </c>
      <c r="M281" s="2" t="s">
        <v>34</v>
      </c>
      <c r="N281" s="2" t="s">
        <v>475</v>
      </c>
      <c r="O281" s="2" t="s">
        <v>38</v>
      </c>
      <c r="P281" s="2" t="s">
        <v>276</v>
      </c>
      <c r="Q281" s="2" t="s">
        <v>277</v>
      </c>
      <c r="R281" s="2" t="s">
        <v>41</v>
      </c>
      <c r="S281" s="2" t="s">
        <v>42</v>
      </c>
      <c r="T281" s="2" t="s">
        <v>43</v>
      </c>
      <c r="U281" s="2" t="s">
        <v>34</v>
      </c>
      <c r="V281" s="2" t="s">
        <v>34</v>
      </c>
      <c r="W281" s="2" t="s">
        <v>34</v>
      </c>
      <c r="X281" s="2" t="s">
        <v>34</v>
      </c>
      <c r="Y281" s="3">
        <v>5.72</v>
      </c>
    </row>
    <row r="282" ht="15.75" customHeight="1">
      <c r="A282" s="2" t="s">
        <v>25</v>
      </c>
      <c r="B282" s="2" t="s">
        <v>26</v>
      </c>
      <c r="C282" s="2" t="s">
        <v>44</v>
      </c>
      <c r="D282" s="2" t="s">
        <v>28</v>
      </c>
      <c r="E282" s="2" t="s">
        <v>29</v>
      </c>
      <c r="F282" s="2" t="s">
        <v>45</v>
      </c>
      <c r="G282" s="2" t="s">
        <v>31</v>
      </c>
      <c r="H282" s="2" t="s">
        <v>32</v>
      </c>
      <c r="I282" s="2" t="s">
        <v>33</v>
      </c>
      <c r="J282" s="2" t="s">
        <v>34</v>
      </c>
      <c r="K282" s="2" t="s">
        <v>422</v>
      </c>
      <c r="L282" s="2" t="s">
        <v>423</v>
      </c>
      <c r="M282" s="2" t="s">
        <v>34</v>
      </c>
      <c r="N282" s="2" t="s">
        <v>37</v>
      </c>
      <c r="O282" s="2" t="s">
        <v>38</v>
      </c>
      <c r="P282" s="2" t="s">
        <v>276</v>
      </c>
      <c r="Q282" s="2" t="s">
        <v>277</v>
      </c>
      <c r="R282" s="2" t="s">
        <v>48</v>
      </c>
      <c r="S282" s="2" t="s">
        <v>42</v>
      </c>
      <c r="T282" s="2" t="s">
        <v>49</v>
      </c>
      <c r="U282" s="2" t="s">
        <v>50</v>
      </c>
      <c r="V282" s="2" t="s">
        <v>57</v>
      </c>
      <c r="W282" s="2" t="s">
        <v>34</v>
      </c>
      <c r="X282" s="2" t="s">
        <v>34</v>
      </c>
      <c r="Y282" s="3">
        <v>3.0</v>
      </c>
    </row>
    <row r="283" ht="15.75" customHeight="1">
      <c r="A283" s="2" t="s">
        <v>25</v>
      </c>
      <c r="B283" s="2" t="s">
        <v>26</v>
      </c>
      <c r="C283" s="2" t="s">
        <v>271</v>
      </c>
      <c r="D283" s="2" t="s">
        <v>28</v>
      </c>
      <c r="E283" s="2" t="s">
        <v>29</v>
      </c>
      <c r="F283" s="2" t="s">
        <v>272</v>
      </c>
      <c r="G283" s="2" t="s">
        <v>31</v>
      </c>
      <c r="H283" s="2" t="s">
        <v>32</v>
      </c>
      <c r="I283" s="2" t="s">
        <v>33</v>
      </c>
      <c r="J283" s="2" t="s">
        <v>34</v>
      </c>
      <c r="K283" s="2" t="s">
        <v>476</v>
      </c>
      <c r="L283" s="2" t="s">
        <v>477</v>
      </c>
      <c r="M283" s="2" t="s">
        <v>34</v>
      </c>
      <c r="N283" s="2" t="s">
        <v>75</v>
      </c>
      <c r="O283" s="2" t="s">
        <v>38</v>
      </c>
      <c r="P283" s="2" t="s">
        <v>276</v>
      </c>
      <c r="Q283" s="2" t="s">
        <v>277</v>
      </c>
      <c r="R283" s="2" t="s">
        <v>41</v>
      </c>
      <c r="S283" s="2" t="s">
        <v>42</v>
      </c>
      <c r="T283" s="2" t="s">
        <v>43</v>
      </c>
      <c r="U283" s="2" t="s">
        <v>34</v>
      </c>
      <c r="V283" s="2" t="s">
        <v>34</v>
      </c>
      <c r="W283" s="2" t="s">
        <v>34</v>
      </c>
      <c r="X283" s="2" t="s">
        <v>34</v>
      </c>
      <c r="Y283" s="3">
        <v>6.0</v>
      </c>
    </row>
    <row r="284" ht="15.75" customHeight="1">
      <c r="A284" s="2" t="s">
        <v>25</v>
      </c>
      <c r="B284" s="2" t="s">
        <v>26</v>
      </c>
      <c r="C284" s="2" t="s">
        <v>271</v>
      </c>
      <c r="D284" s="2" t="s">
        <v>28</v>
      </c>
      <c r="E284" s="2" t="s">
        <v>29</v>
      </c>
      <c r="F284" s="2" t="s">
        <v>272</v>
      </c>
      <c r="G284" s="2" t="s">
        <v>31</v>
      </c>
      <c r="H284" s="2" t="s">
        <v>32</v>
      </c>
      <c r="I284" s="2" t="s">
        <v>33</v>
      </c>
      <c r="J284" s="2" t="s">
        <v>34</v>
      </c>
      <c r="K284" s="2" t="s">
        <v>478</v>
      </c>
      <c r="L284" s="2" t="s">
        <v>479</v>
      </c>
      <c r="M284" s="2" t="s">
        <v>34</v>
      </c>
      <c r="N284" s="2" t="s">
        <v>75</v>
      </c>
      <c r="O284" s="2" t="s">
        <v>38</v>
      </c>
      <c r="P284" s="2" t="s">
        <v>276</v>
      </c>
      <c r="Q284" s="2" t="s">
        <v>277</v>
      </c>
      <c r="R284" s="2" t="s">
        <v>41</v>
      </c>
      <c r="S284" s="2" t="s">
        <v>42</v>
      </c>
      <c r="T284" s="2" t="s">
        <v>43</v>
      </c>
      <c r="U284" s="2" t="s">
        <v>34</v>
      </c>
      <c r="V284" s="2" t="s">
        <v>34</v>
      </c>
      <c r="W284" s="2" t="s">
        <v>34</v>
      </c>
      <c r="X284" s="2" t="s">
        <v>34</v>
      </c>
      <c r="Y284" s="3">
        <v>6.2</v>
      </c>
    </row>
    <row r="285" ht="15.75" customHeight="1">
      <c r="A285" s="2" t="s">
        <v>25</v>
      </c>
      <c r="B285" s="2" t="s">
        <v>26</v>
      </c>
      <c r="C285" s="2" t="s">
        <v>271</v>
      </c>
      <c r="D285" s="2" t="s">
        <v>28</v>
      </c>
      <c r="E285" s="2" t="s">
        <v>29</v>
      </c>
      <c r="F285" s="2" t="s">
        <v>272</v>
      </c>
      <c r="G285" s="2" t="s">
        <v>31</v>
      </c>
      <c r="H285" s="2" t="s">
        <v>32</v>
      </c>
      <c r="I285" s="2" t="s">
        <v>33</v>
      </c>
      <c r="J285" s="2" t="s">
        <v>34</v>
      </c>
      <c r="K285" s="2" t="s">
        <v>424</v>
      </c>
      <c r="L285" s="2" t="s">
        <v>425</v>
      </c>
      <c r="M285" s="2" t="s">
        <v>34</v>
      </c>
      <c r="N285" s="2" t="s">
        <v>75</v>
      </c>
      <c r="O285" s="2" t="s">
        <v>38</v>
      </c>
      <c r="P285" s="2" t="s">
        <v>276</v>
      </c>
      <c r="Q285" s="2" t="s">
        <v>277</v>
      </c>
      <c r="R285" s="2" t="s">
        <v>41</v>
      </c>
      <c r="S285" s="2" t="s">
        <v>42</v>
      </c>
      <c r="T285" s="2" t="s">
        <v>43</v>
      </c>
      <c r="U285" s="2" t="s">
        <v>34</v>
      </c>
      <c r="V285" s="2" t="s">
        <v>34</v>
      </c>
      <c r="W285" s="2" t="s">
        <v>34</v>
      </c>
      <c r="X285" s="2" t="s">
        <v>34</v>
      </c>
      <c r="Y285" s="3">
        <v>7.92</v>
      </c>
    </row>
    <row r="286" ht="15.75" customHeight="1">
      <c r="A286" s="2" t="s">
        <v>25</v>
      </c>
      <c r="B286" s="2" t="s">
        <v>26</v>
      </c>
      <c r="C286" s="2" t="s">
        <v>271</v>
      </c>
      <c r="D286" s="2" t="s">
        <v>28</v>
      </c>
      <c r="E286" s="2" t="s">
        <v>29</v>
      </c>
      <c r="F286" s="2" t="s">
        <v>272</v>
      </c>
      <c r="G286" s="2" t="s">
        <v>31</v>
      </c>
      <c r="H286" s="2" t="s">
        <v>32</v>
      </c>
      <c r="I286" s="2" t="s">
        <v>33</v>
      </c>
      <c r="J286" s="2" t="s">
        <v>34</v>
      </c>
      <c r="K286" s="2" t="s">
        <v>424</v>
      </c>
      <c r="L286" s="2" t="s">
        <v>425</v>
      </c>
      <c r="M286" s="2" t="s">
        <v>34</v>
      </c>
      <c r="N286" s="2" t="s">
        <v>37</v>
      </c>
      <c r="O286" s="2" t="s">
        <v>38</v>
      </c>
      <c r="P286" s="2" t="s">
        <v>276</v>
      </c>
      <c r="Q286" s="2" t="s">
        <v>277</v>
      </c>
      <c r="R286" s="2" t="s">
        <v>41</v>
      </c>
      <c r="S286" s="2" t="s">
        <v>42</v>
      </c>
      <c r="T286" s="2" t="s">
        <v>43</v>
      </c>
      <c r="U286" s="2" t="s">
        <v>34</v>
      </c>
      <c r="V286" s="2" t="s">
        <v>34</v>
      </c>
      <c r="W286" s="2" t="s">
        <v>34</v>
      </c>
      <c r="X286" s="2" t="s">
        <v>34</v>
      </c>
      <c r="Y286" s="3">
        <v>7.92</v>
      </c>
    </row>
    <row r="287" ht="15.75" customHeight="1">
      <c r="A287" s="2" t="s">
        <v>25</v>
      </c>
      <c r="B287" s="2" t="s">
        <v>26</v>
      </c>
      <c r="C287" s="2" t="s">
        <v>271</v>
      </c>
      <c r="D287" s="2" t="s">
        <v>28</v>
      </c>
      <c r="E287" s="2" t="s">
        <v>29</v>
      </c>
      <c r="F287" s="2" t="s">
        <v>272</v>
      </c>
      <c r="G287" s="2" t="s">
        <v>31</v>
      </c>
      <c r="H287" s="2" t="s">
        <v>32</v>
      </c>
      <c r="I287" s="2" t="s">
        <v>33</v>
      </c>
      <c r="J287" s="2" t="s">
        <v>34</v>
      </c>
      <c r="K287" s="2" t="s">
        <v>480</v>
      </c>
      <c r="L287" s="2" t="s">
        <v>481</v>
      </c>
      <c r="M287" s="2" t="s">
        <v>34</v>
      </c>
      <c r="N287" s="2" t="s">
        <v>37</v>
      </c>
      <c r="O287" s="2" t="s">
        <v>38</v>
      </c>
      <c r="P287" s="2" t="s">
        <v>276</v>
      </c>
      <c r="Q287" s="2" t="s">
        <v>277</v>
      </c>
      <c r="R287" s="2" t="s">
        <v>41</v>
      </c>
      <c r="S287" s="2" t="s">
        <v>42</v>
      </c>
      <c r="T287" s="2" t="s">
        <v>43</v>
      </c>
      <c r="U287" s="2" t="s">
        <v>34</v>
      </c>
      <c r="V287" s="2" t="s">
        <v>34</v>
      </c>
      <c r="W287" s="2" t="s">
        <v>34</v>
      </c>
      <c r="X287" s="2" t="s">
        <v>34</v>
      </c>
      <c r="Y287" s="3">
        <v>13.32</v>
      </c>
    </row>
    <row r="288" ht="15.75" customHeight="1">
      <c r="A288" s="2" t="s">
        <v>25</v>
      </c>
      <c r="B288" s="2" t="s">
        <v>26</v>
      </c>
      <c r="C288" s="2" t="s">
        <v>271</v>
      </c>
      <c r="D288" s="2" t="s">
        <v>28</v>
      </c>
      <c r="E288" s="2" t="s">
        <v>29</v>
      </c>
      <c r="F288" s="2" t="s">
        <v>272</v>
      </c>
      <c r="G288" s="2" t="s">
        <v>31</v>
      </c>
      <c r="H288" s="2" t="s">
        <v>32</v>
      </c>
      <c r="I288" s="2" t="s">
        <v>33</v>
      </c>
      <c r="J288" s="2" t="s">
        <v>34</v>
      </c>
      <c r="K288" s="2" t="s">
        <v>482</v>
      </c>
      <c r="L288" s="2" t="s">
        <v>483</v>
      </c>
      <c r="M288" s="2" t="s">
        <v>34</v>
      </c>
      <c r="N288" s="2" t="s">
        <v>484</v>
      </c>
      <c r="O288" s="2" t="s">
        <v>38</v>
      </c>
      <c r="P288" s="2" t="s">
        <v>276</v>
      </c>
      <c r="Q288" s="2" t="s">
        <v>277</v>
      </c>
      <c r="R288" s="2" t="s">
        <v>41</v>
      </c>
      <c r="S288" s="2" t="s">
        <v>42</v>
      </c>
      <c r="T288" s="2" t="s">
        <v>43</v>
      </c>
      <c r="U288" s="2" t="s">
        <v>34</v>
      </c>
      <c r="V288" s="2" t="s">
        <v>34</v>
      </c>
      <c r="W288" s="2" t="s">
        <v>34</v>
      </c>
      <c r="X288" s="2" t="s">
        <v>34</v>
      </c>
      <c r="Y288" s="3">
        <v>14.65</v>
      </c>
    </row>
    <row r="289" ht="15.75" customHeight="1">
      <c r="A289" s="2" t="s">
        <v>25</v>
      </c>
      <c r="B289" s="2" t="s">
        <v>26</v>
      </c>
      <c r="C289" s="2" t="s">
        <v>44</v>
      </c>
      <c r="D289" s="2" t="s">
        <v>28</v>
      </c>
      <c r="E289" s="2" t="s">
        <v>29</v>
      </c>
      <c r="F289" s="2" t="s">
        <v>45</v>
      </c>
      <c r="G289" s="2" t="s">
        <v>31</v>
      </c>
      <c r="H289" s="2" t="s">
        <v>32</v>
      </c>
      <c r="I289" s="2" t="s">
        <v>33</v>
      </c>
      <c r="J289" s="2" t="s">
        <v>34</v>
      </c>
      <c r="K289" s="2" t="s">
        <v>280</v>
      </c>
      <c r="L289" s="2" t="s">
        <v>281</v>
      </c>
      <c r="M289" s="2" t="s">
        <v>34</v>
      </c>
      <c r="N289" s="2" t="s">
        <v>37</v>
      </c>
      <c r="O289" s="2" t="s">
        <v>38</v>
      </c>
      <c r="P289" s="2" t="s">
        <v>282</v>
      </c>
      <c r="Q289" s="2" t="s">
        <v>283</v>
      </c>
      <c r="R289" s="2" t="s">
        <v>48</v>
      </c>
      <c r="S289" s="2" t="s">
        <v>42</v>
      </c>
      <c r="T289" s="2" t="s">
        <v>49</v>
      </c>
      <c r="U289" s="2" t="s">
        <v>50</v>
      </c>
      <c r="V289" s="2" t="s">
        <v>57</v>
      </c>
      <c r="W289" s="2" t="s">
        <v>34</v>
      </c>
      <c r="X289" s="2" t="s">
        <v>34</v>
      </c>
      <c r="Y289" s="3">
        <v>3.0</v>
      </c>
    </row>
    <row r="290" ht="15.75" customHeight="1">
      <c r="A290" s="2" t="s">
        <v>25</v>
      </c>
      <c r="B290" s="2" t="s">
        <v>26</v>
      </c>
      <c r="C290" s="2" t="s">
        <v>485</v>
      </c>
      <c r="D290" s="2" t="s">
        <v>28</v>
      </c>
      <c r="E290" s="2" t="s">
        <v>29</v>
      </c>
      <c r="F290" s="2" t="s">
        <v>486</v>
      </c>
      <c r="G290" s="2" t="s">
        <v>31</v>
      </c>
      <c r="H290" s="2" t="s">
        <v>32</v>
      </c>
      <c r="I290" s="2" t="s">
        <v>33</v>
      </c>
      <c r="J290" s="2" t="s">
        <v>34</v>
      </c>
      <c r="K290" s="2" t="s">
        <v>350</v>
      </c>
      <c r="L290" s="2" t="s">
        <v>351</v>
      </c>
      <c r="M290" s="2" t="s">
        <v>34</v>
      </c>
      <c r="N290" s="2" t="s">
        <v>37</v>
      </c>
      <c r="O290" s="2" t="s">
        <v>38</v>
      </c>
      <c r="P290" s="2" t="s">
        <v>352</v>
      </c>
      <c r="Q290" s="2" t="s">
        <v>353</v>
      </c>
      <c r="R290" s="2" t="s">
        <v>41</v>
      </c>
      <c r="S290" s="2" t="s">
        <v>42</v>
      </c>
      <c r="T290" s="2" t="s">
        <v>62</v>
      </c>
      <c r="U290" s="2" t="s">
        <v>34</v>
      </c>
      <c r="V290" s="2" t="s">
        <v>57</v>
      </c>
      <c r="W290" s="2" t="s">
        <v>34</v>
      </c>
      <c r="X290" s="2" t="s">
        <v>34</v>
      </c>
      <c r="Y290" s="3">
        <v>22.0</v>
      </c>
    </row>
    <row r="291" ht="15.75" customHeight="1">
      <c r="A291" s="2" t="s">
        <v>25</v>
      </c>
      <c r="B291" s="2" t="s">
        <v>26</v>
      </c>
      <c r="C291" s="2" t="s">
        <v>485</v>
      </c>
      <c r="D291" s="2" t="s">
        <v>28</v>
      </c>
      <c r="E291" s="2" t="s">
        <v>29</v>
      </c>
      <c r="F291" s="2" t="s">
        <v>486</v>
      </c>
      <c r="G291" s="2" t="s">
        <v>31</v>
      </c>
      <c r="H291" s="2" t="s">
        <v>32</v>
      </c>
      <c r="I291" s="2" t="s">
        <v>33</v>
      </c>
      <c r="J291" s="2" t="s">
        <v>34</v>
      </c>
      <c r="K291" s="2" t="s">
        <v>487</v>
      </c>
      <c r="L291" s="2" t="s">
        <v>488</v>
      </c>
      <c r="M291" s="2" t="s">
        <v>34</v>
      </c>
      <c r="N291" s="2" t="s">
        <v>37</v>
      </c>
      <c r="O291" s="2" t="s">
        <v>38</v>
      </c>
      <c r="P291" s="2" t="s">
        <v>352</v>
      </c>
      <c r="Q291" s="2" t="s">
        <v>353</v>
      </c>
      <c r="R291" s="2" t="s">
        <v>41</v>
      </c>
      <c r="S291" s="2" t="s">
        <v>42</v>
      </c>
      <c r="T291" s="2" t="s">
        <v>62</v>
      </c>
      <c r="U291" s="2" t="s">
        <v>34</v>
      </c>
      <c r="V291" s="2" t="s">
        <v>57</v>
      </c>
      <c r="W291" s="2" t="s">
        <v>34</v>
      </c>
      <c r="X291" s="2" t="s">
        <v>34</v>
      </c>
      <c r="Y291" s="3">
        <v>27.0</v>
      </c>
    </row>
    <row r="292" ht="15.75" customHeight="1">
      <c r="A292" s="2" t="s">
        <v>25</v>
      </c>
      <c r="B292" s="2" t="s">
        <v>26</v>
      </c>
      <c r="C292" s="2" t="s">
        <v>27</v>
      </c>
      <c r="D292" s="2" t="s">
        <v>28</v>
      </c>
      <c r="E292" s="2" t="s">
        <v>29</v>
      </c>
      <c r="F292" s="2" t="s">
        <v>30</v>
      </c>
      <c r="G292" s="2" t="s">
        <v>31</v>
      </c>
      <c r="H292" s="2" t="s">
        <v>32</v>
      </c>
      <c r="I292" s="2" t="s">
        <v>33</v>
      </c>
      <c r="J292" s="2" t="s">
        <v>34</v>
      </c>
      <c r="K292" s="2" t="s">
        <v>86</v>
      </c>
      <c r="L292" s="2" t="s">
        <v>87</v>
      </c>
      <c r="M292" s="2" t="s">
        <v>34</v>
      </c>
      <c r="N292" s="2" t="s">
        <v>37</v>
      </c>
      <c r="O292" s="2" t="s">
        <v>38</v>
      </c>
      <c r="P292" s="2" t="s">
        <v>39</v>
      </c>
      <c r="Q292" s="2" t="s">
        <v>40</v>
      </c>
      <c r="R292" s="2" t="s">
        <v>41</v>
      </c>
      <c r="S292" s="2" t="s">
        <v>42</v>
      </c>
      <c r="T292" s="2" t="s">
        <v>43</v>
      </c>
      <c r="U292" s="2" t="s">
        <v>34</v>
      </c>
      <c r="V292" s="2" t="s">
        <v>34</v>
      </c>
      <c r="W292" s="2" t="s">
        <v>34</v>
      </c>
      <c r="X292" s="2" t="s">
        <v>34</v>
      </c>
      <c r="Y292" s="3">
        <v>2.47</v>
      </c>
    </row>
    <row r="293" ht="15.75" customHeight="1">
      <c r="A293" s="2" t="s">
        <v>25</v>
      </c>
      <c r="B293" s="2" t="s">
        <v>26</v>
      </c>
      <c r="C293" s="2" t="s">
        <v>27</v>
      </c>
      <c r="D293" s="2" t="s">
        <v>28</v>
      </c>
      <c r="E293" s="2" t="s">
        <v>29</v>
      </c>
      <c r="F293" s="2" t="s">
        <v>30</v>
      </c>
      <c r="G293" s="2" t="s">
        <v>31</v>
      </c>
      <c r="H293" s="2" t="s">
        <v>32</v>
      </c>
      <c r="I293" s="2" t="s">
        <v>33</v>
      </c>
      <c r="J293" s="2" t="s">
        <v>34</v>
      </c>
      <c r="K293" s="2" t="s">
        <v>443</v>
      </c>
      <c r="L293" s="2" t="s">
        <v>444</v>
      </c>
      <c r="M293" s="2" t="s">
        <v>34</v>
      </c>
      <c r="N293" s="2" t="s">
        <v>37</v>
      </c>
      <c r="O293" s="2" t="s">
        <v>38</v>
      </c>
      <c r="P293" s="2" t="s">
        <v>39</v>
      </c>
      <c r="Q293" s="2" t="s">
        <v>40</v>
      </c>
      <c r="R293" s="2" t="s">
        <v>41</v>
      </c>
      <c r="S293" s="2" t="s">
        <v>42</v>
      </c>
      <c r="T293" s="2" t="s">
        <v>62</v>
      </c>
      <c r="U293" s="2" t="s">
        <v>34</v>
      </c>
      <c r="V293" s="2" t="s">
        <v>116</v>
      </c>
      <c r="W293" s="2" t="s">
        <v>34</v>
      </c>
      <c r="X293" s="2" t="s">
        <v>34</v>
      </c>
      <c r="Y293" s="3">
        <v>60.0</v>
      </c>
    </row>
    <row r="294" ht="15.75" customHeight="1">
      <c r="A294" s="2" t="s">
        <v>25</v>
      </c>
      <c r="B294" s="2" t="s">
        <v>26</v>
      </c>
      <c r="C294" s="2" t="s">
        <v>27</v>
      </c>
      <c r="D294" s="2" t="s">
        <v>28</v>
      </c>
      <c r="E294" s="2" t="s">
        <v>29</v>
      </c>
      <c r="F294" s="2" t="s">
        <v>30</v>
      </c>
      <c r="G294" s="2" t="s">
        <v>31</v>
      </c>
      <c r="H294" s="2" t="s">
        <v>32</v>
      </c>
      <c r="I294" s="2" t="s">
        <v>33</v>
      </c>
      <c r="J294" s="2" t="s">
        <v>34</v>
      </c>
      <c r="K294" s="2" t="s">
        <v>489</v>
      </c>
      <c r="L294" s="2" t="s">
        <v>490</v>
      </c>
      <c r="M294" s="2" t="s">
        <v>34</v>
      </c>
      <c r="N294" s="2" t="s">
        <v>37</v>
      </c>
      <c r="O294" s="2" t="s">
        <v>38</v>
      </c>
      <c r="P294" s="2" t="s">
        <v>39</v>
      </c>
      <c r="Q294" s="2" t="s">
        <v>40</v>
      </c>
      <c r="R294" s="2" t="s">
        <v>41</v>
      </c>
      <c r="S294" s="2" t="s">
        <v>42</v>
      </c>
      <c r="T294" s="2" t="s">
        <v>62</v>
      </c>
      <c r="U294" s="2" t="s">
        <v>34</v>
      </c>
      <c r="V294" s="2" t="s">
        <v>57</v>
      </c>
      <c r="W294" s="2" t="s">
        <v>34</v>
      </c>
      <c r="X294" s="2" t="s">
        <v>34</v>
      </c>
      <c r="Y294" s="3">
        <v>20.0</v>
      </c>
    </row>
    <row r="295" ht="15.75" customHeight="1">
      <c r="A295" s="2" t="s">
        <v>25</v>
      </c>
      <c r="B295" s="2" t="s">
        <v>26</v>
      </c>
      <c r="C295" s="2" t="s">
        <v>44</v>
      </c>
      <c r="D295" s="2" t="s">
        <v>28</v>
      </c>
      <c r="E295" s="2" t="s">
        <v>29</v>
      </c>
      <c r="F295" s="2" t="s">
        <v>45</v>
      </c>
      <c r="G295" s="2" t="s">
        <v>31</v>
      </c>
      <c r="H295" s="2" t="s">
        <v>32</v>
      </c>
      <c r="I295" s="2" t="s">
        <v>33</v>
      </c>
      <c r="J295" s="2" t="s">
        <v>34</v>
      </c>
      <c r="K295" s="2" t="s">
        <v>467</v>
      </c>
      <c r="L295" s="2" t="s">
        <v>468</v>
      </c>
      <c r="M295" s="2" t="s">
        <v>34</v>
      </c>
      <c r="N295" s="2" t="s">
        <v>37</v>
      </c>
      <c r="O295" s="2" t="s">
        <v>38</v>
      </c>
      <c r="P295" s="2" t="s">
        <v>39</v>
      </c>
      <c r="Q295" s="2" t="s">
        <v>40</v>
      </c>
      <c r="R295" s="2" t="s">
        <v>48</v>
      </c>
      <c r="S295" s="2" t="s">
        <v>42</v>
      </c>
      <c r="T295" s="2" t="s">
        <v>49</v>
      </c>
      <c r="U295" s="2" t="s">
        <v>50</v>
      </c>
      <c r="V295" s="2" t="s">
        <v>65</v>
      </c>
      <c r="W295" s="2" t="s">
        <v>34</v>
      </c>
      <c r="X295" s="2" t="s">
        <v>34</v>
      </c>
      <c r="Y295" s="3">
        <v>12.0</v>
      </c>
    </row>
    <row r="296" ht="15.75" customHeight="1">
      <c r="A296" s="2" t="s">
        <v>25</v>
      </c>
      <c r="B296" s="2" t="s">
        <v>26</v>
      </c>
      <c r="C296" s="2" t="s">
        <v>27</v>
      </c>
      <c r="D296" s="2" t="s">
        <v>28</v>
      </c>
      <c r="E296" s="2" t="s">
        <v>29</v>
      </c>
      <c r="F296" s="2" t="s">
        <v>30</v>
      </c>
      <c r="G296" s="2" t="s">
        <v>31</v>
      </c>
      <c r="H296" s="2" t="s">
        <v>32</v>
      </c>
      <c r="I296" s="2" t="s">
        <v>33</v>
      </c>
      <c r="J296" s="2" t="s">
        <v>34</v>
      </c>
      <c r="K296" s="2" t="s">
        <v>491</v>
      </c>
      <c r="L296" s="2" t="s">
        <v>492</v>
      </c>
      <c r="M296" s="2" t="s">
        <v>34</v>
      </c>
      <c r="N296" s="2" t="s">
        <v>37</v>
      </c>
      <c r="O296" s="2" t="s">
        <v>38</v>
      </c>
      <c r="P296" s="2" t="s">
        <v>39</v>
      </c>
      <c r="Q296" s="2" t="s">
        <v>40</v>
      </c>
      <c r="R296" s="2" t="s">
        <v>41</v>
      </c>
      <c r="S296" s="2" t="s">
        <v>42</v>
      </c>
      <c r="T296" s="2" t="s">
        <v>62</v>
      </c>
      <c r="U296" s="2" t="s">
        <v>34</v>
      </c>
      <c r="V296" s="2" t="s">
        <v>57</v>
      </c>
      <c r="W296" s="2" t="s">
        <v>34</v>
      </c>
      <c r="X296" s="2" t="s">
        <v>34</v>
      </c>
      <c r="Y296" s="3">
        <v>20.0</v>
      </c>
    </row>
    <row r="297" ht="15.75" customHeight="1">
      <c r="A297" s="2" t="s">
        <v>25</v>
      </c>
      <c r="B297" s="2" t="s">
        <v>26</v>
      </c>
      <c r="C297" s="2" t="s">
        <v>27</v>
      </c>
      <c r="D297" s="2" t="s">
        <v>28</v>
      </c>
      <c r="E297" s="2" t="s">
        <v>29</v>
      </c>
      <c r="F297" s="2" t="s">
        <v>30</v>
      </c>
      <c r="G297" s="2" t="s">
        <v>31</v>
      </c>
      <c r="H297" s="2" t="s">
        <v>32</v>
      </c>
      <c r="I297" s="2" t="s">
        <v>33</v>
      </c>
      <c r="J297" s="2" t="s">
        <v>34</v>
      </c>
      <c r="K297" s="2" t="s">
        <v>203</v>
      </c>
      <c r="L297" s="2" t="s">
        <v>204</v>
      </c>
      <c r="M297" s="2" t="s">
        <v>34</v>
      </c>
      <c r="N297" s="2" t="s">
        <v>37</v>
      </c>
      <c r="O297" s="2" t="s">
        <v>38</v>
      </c>
      <c r="P297" s="2" t="s">
        <v>39</v>
      </c>
      <c r="Q297" s="2" t="s">
        <v>40</v>
      </c>
      <c r="R297" s="2" t="s">
        <v>41</v>
      </c>
      <c r="S297" s="2" t="s">
        <v>42</v>
      </c>
      <c r="T297" s="2" t="s">
        <v>62</v>
      </c>
      <c r="U297" s="2" t="s">
        <v>34</v>
      </c>
      <c r="V297" s="2" t="s">
        <v>51</v>
      </c>
      <c r="W297" s="2" t="s">
        <v>34</v>
      </c>
      <c r="X297" s="2" t="s">
        <v>34</v>
      </c>
      <c r="Y297" s="3">
        <v>40.0</v>
      </c>
    </row>
    <row r="298" ht="15.75" customHeight="1">
      <c r="A298" s="2" t="s">
        <v>25</v>
      </c>
      <c r="B298" s="2" t="s">
        <v>26</v>
      </c>
      <c r="C298" s="2" t="s">
        <v>27</v>
      </c>
      <c r="D298" s="2" t="s">
        <v>28</v>
      </c>
      <c r="E298" s="2" t="s">
        <v>29</v>
      </c>
      <c r="F298" s="2" t="s">
        <v>30</v>
      </c>
      <c r="G298" s="2" t="s">
        <v>31</v>
      </c>
      <c r="H298" s="2" t="s">
        <v>32</v>
      </c>
      <c r="I298" s="2" t="s">
        <v>33</v>
      </c>
      <c r="J298" s="2" t="s">
        <v>34</v>
      </c>
      <c r="K298" s="2" t="s">
        <v>493</v>
      </c>
      <c r="L298" s="2" t="s">
        <v>494</v>
      </c>
      <c r="M298" s="2" t="s">
        <v>34</v>
      </c>
      <c r="N298" s="2" t="s">
        <v>37</v>
      </c>
      <c r="O298" s="2" t="s">
        <v>38</v>
      </c>
      <c r="P298" s="2" t="s">
        <v>39</v>
      </c>
      <c r="Q298" s="2" t="s">
        <v>40</v>
      </c>
      <c r="R298" s="2" t="s">
        <v>41</v>
      </c>
      <c r="S298" s="2" t="s">
        <v>42</v>
      </c>
      <c r="T298" s="2" t="s">
        <v>62</v>
      </c>
      <c r="U298" s="2" t="s">
        <v>34</v>
      </c>
      <c r="V298" s="2" t="s">
        <v>57</v>
      </c>
      <c r="W298" s="2" t="s">
        <v>34</v>
      </c>
      <c r="X298" s="2" t="s">
        <v>34</v>
      </c>
      <c r="Y298" s="3">
        <v>20.0</v>
      </c>
    </row>
    <row r="299" ht="15.75" customHeight="1">
      <c r="A299" s="2" t="s">
        <v>25</v>
      </c>
      <c r="B299" s="2" t="s">
        <v>26</v>
      </c>
      <c r="C299" s="2" t="s">
        <v>27</v>
      </c>
      <c r="D299" s="2" t="s">
        <v>28</v>
      </c>
      <c r="E299" s="2" t="s">
        <v>29</v>
      </c>
      <c r="F299" s="2" t="s">
        <v>30</v>
      </c>
      <c r="G299" s="2" t="s">
        <v>31</v>
      </c>
      <c r="H299" s="2" t="s">
        <v>32</v>
      </c>
      <c r="I299" s="2" t="s">
        <v>33</v>
      </c>
      <c r="J299" s="2" t="s">
        <v>34</v>
      </c>
      <c r="K299" s="2" t="s">
        <v>495</v>
      </c>
      <c r="L299" s="2" t="s">
        <v>496</v>
      </c>
      <c r="M299" s="2" t="s">
        <v>34</v>
      </c>
      <c r="N299" s="2" t="s">
        <v>37</v>
      </c>
      <c r="O299" s="2" t="s">
        <v>38</v>
      </c>
      <c r="P299" s="2" t="s">
        <v>39</v>
      </c>
      <c r="Q299" s="2" t="s">
        <v>40</v>
      </c>
      <c r="R299" s="2" t="s">
        <v>41</v>
      </c>
      <c r="S299" s="2" t="s">
        <v>42</v>
      </c>
      <c r="T299" s="2" t="s">
        <v>62</v>
      </c>
      <c r="U299" s="2" t="s">
        <v>34</v>
      </c>
      <c r="V299" s="2" t="s">
        <v>57</v>
      </c>
      <c r="W299" s="2" t="s">
        <v>34</v>
      </c>
      <c r="X299" s="2" t="s">
        <v>34</v>
      </c>
      <c r="Y299" s="3">
        <v>20.0</v>
      </c>
    </row>
    <row r="300" ht="15.75" customHeight="1">
      <c r="A300" s="2" t="s">
        <v>25</v>
      </c>
      <c r="B300" s="2" t="s">
        <v>26</v>
      </c>
      <c r="C300" s="2" t="s">
        <v>27</v>
      </c>
      <c r="D300" s="2" t="s">
        <v>28</v>
      </c>
      <c r="E300" s="2" t="s">
        <v>29</v>
      </c>
      <c r="F300" s="2" t="s">
        <v>30</v>
      </c>
      <c r="G300" s="2" t="s">
        <v>31</v>
      </c>
      <c r="H300" s="2" t="s">
        <v>32</v>
      </c>
      <c r="I300" s="2" t="s">
        <v>33</v>
      </c>
      <c r="J300" s="2" t="s">
        <v>34</v>
      </c>
      <c r="K300" s="2" t="s">
        <v>320</v>
      </c>
      <c r="L300" s="2" t="s">
        <v>321</v>
      </c>
      <c r="M300" s="2" t="s">
        <v>34</v>
      </c>
      <c r="N300" s="2" t="s">
        <v>74</v>
      </c>
      <c r="O300" s="2" t="s">
        <v>38</v>
      </c>
      <c r="P300" s="2" t="s">
        <v>39</v>
      </c>
      <c r="Q300" s="2" t="s">
        <v>40</v>
      </c>
      <c r="R300" s="2" t="s">
        <v>41</v>
      </c>
      <c r="S300" s="2" t="s">
        <v>42</v>
      </c>
      <c r="T300" s="2" t="s">
        <v>62</v>
      </c>
      <c r="U300" s="2" t="s">
        <v>34</v>
      </c>
      <c r="V300" s="2" t="s">
        <v>116</v>
      </c>
      <c r="W300" s="2" t="s">
        <v>34</v>
      </c>
      <c r="X300" s="2" t="s">
        <v>34</v>
      </c>
      <c r="Y300" s="3">
        <v>60.0</v>
      </c>
    </row>
    <row r="301" ht="15.75" customHeight="1">
      <c r="A301" s="2" t="s">
        <v>25</v>
      </c>
      <c r="B301" s="2" t="s">
        <v>26</v>
      </c>
      <c r="C301" s="2" t="s">
        <v>27</v>
      </c>
      <c r="D301" s="2" t="s">
        <v>28</v>
      </c>
      <c r="E301" s="2" t="s">
        <v>29</v>
      </c>
      <c r="F301" s="2" t="s">
        <v>30</v>
      </c>
      <c r="G301" s="2" t="s">
        <v>31</v>
      </c>
      <c r="H301" s="2" t="s">
        <v>32</v>
      </c>
      <c r="I301" s="2" t="s">
        <v>33</v>
      </c>
      <c r="J301" s="2" t="s">
        <v>34</v>
      </c>
      <c r="K301" s="2" t="s">
        <v>82</v>
      </c>
      <c r="L301" s="2" t="s">
        <v>83</v>
      </c>
      <c r="M301" s="2" t="s">
        <v>34</v>
      </c>
      <c r="N301" s="2" t="s">
        <v>74</v>
      </c>
      <c r="O301" s="2" t="s">
        <v>38</v>
      </c>
      <c r="P301" s="2" t="s">
        <v>39</v>
      </c>
      <c r="Q301" s="2" t="s">
        <v>40</v>
      </c>
      <c r="R301" s="2" t="s">
        <v>41</v>
      </c>
      <c r="S301" s="2" t="s">
        <v>42</v>
      </c>
      <c r="T301" s="2" t="s">
        <v>62</v>
      </c>
      <c r="U301" s="2" t="s">
        <v>34</v>
      </c>
      <c r="V301" s="2" t="s">
        <v>57</v>
      </c>
      <c r="W301" s="2" t="s">
        <v>34</v>
      </c>
      <c r="X301" s="2" t="s">
        <v>34</v>
      </c>
      <c r="Y301" s="3">
        <v>20.0</v>
      </c>
    </row>
    <row r="302" ht="15.75" customHeight="1">
      <c r="A302" s="2" t="s">
        <v>25</v>
      </c>
      <c r="B302" s="2" t="s">
        <v>26</v>
      </c>
      <c r="C302" s="2" t="s">
        <v>44</v>
      </c>
      <c r="D302" s="2" t="s">
        <v>28</v>
      </c>
      <c r="E302" s="2" t="s">
        <v>29</v>
      </c>
      <c r="F302" s="2" t="s">
        <v>45</v>
      </c>
      <c r="G302" s="2" t="s">
        <v>31</v>
      </c>
      <c r="H302" s="2" t="s">
        <v>32</v>
      </c>
      <c r="I302" s="2" t="s">
        <v>33</v>
      </c>
      <c r="J302" s="2" t="s">
        <v>34</v>
      </c>
      <c r="K302" s="2" t="s">
        <v>418</v>
      </c>
      <c r="L302" s="2" t="s">
        <v>419</v>
      </c>
      <c r="M302" s="2" t="s">
        <v>34</v>
      </c>
      <c r="N302" s="2" t="s">
        <v>37</v>
      </c>
      <c r="O302" s="2" t="s">
        <v>38</v>
      </c>
      <c r="P302" s="2" t="s">
        <v>420</v>
      </c>
      <c r="Q302" s="2" t="s">
        <v>421</v>
      </c>
      <c r="R302" s="2" t="s">
        <v>48</v>
      </c>
      <c r="S302" s="2" t="s">
        <v>42</v>
      </c>
      <c r="T302" s="2" t="s">
        <v>49</v>
      </c>
      <c r="U302" s="2" t="s">
        <v>50</v>
      </c>
      <c r="V302" s="2" t="s">
        <v>57</v>
      </c>
      <c r="W302" s="2" t="s">
        <v>34</v>
      </c>
      <c r="X302" s="2" t="s">
        <v>34</v>
      </c>
      <c r="Y302" s="3">
        <v>3.0</v>
      </c>
    </row>
    <row r="303" ht="15.75" customHeight="1">
      <c r="A303" s="2" t="s">
        <v>25</v>
      </c>
      <c r="B303" s="2" t="s">
        <v>26</v>
      </c>
      <c r="C303" s="2" t="s">
        <v>271</v>
      </c>
      <c r="D303" s="2" t="s">
        <v>28</v>
      </c>
      <c r="E303" s="2" t="s">
        <v>29</v>
      </c>
      <c r="F303" s="2" t="s">
        <v>272</v>
      </c>
      <c r="G303" s="2" t="s">
        <v>31</v>
      </c>
      <c r="H303" s="2" t="s">
        <v>32</v>
      </c>
      <c r="I303" s="2" t="s">
        <v>33</v>
      </c>
      <c r="J303" s="2" t="s">
        <v>34</v>
      </c>
      <c r="K303" s="2" t="s">
        <v>497</v>
      </c>
      <c r="L303" s="2" t="s">
        <v>498</v>
      </c>
      <c r="M303" s="2" t="s">
        <v>34</v>
      </c>
      <c r="N303" s="2" t="s">
        <v>74</v>
      </c>
      <c r="O303" s="2" t="s">
        <v>38</v>
      </c>
      <c r="P303" s="2" t="s">
        <v>276</v>
      </c>
      <c r="Q303" s="2" t="s">
        <v>277</v>
      </c>
      <c r="R303" s="2" t="s">
        <v>41</v>
      </c>
      <c r="S303" s="2" t="s">
        <v>42</v>
      </c>
      <c r="T303" s="2" t="s">
        <v>43</v>
      </c>
      <c r="U303" s="2" t="s">
        <v>34</v>
      </c>
      <c r="V303" s="2" t="s">
        <v>34</v>
      </c>
      <c r="W303" s="2" t="s">
        <v>34</v>
      </c>
      <c r="X303" s="2" t="s">
        <v>34</v>
      </c>
      <c r="Y303" s="3">
        <v>7.2</v>
      </c>
    </row>
    <row r="304" ht="15.75" customHeight="1">
      <c r="A304" s="2" t="s">
        <v>25</v>
      </c>
      <c r="B304" s="2" t="s">
        <v>26</v>
      </c>
      <c r="C304" s="2" t="s">
        <v>44</v>
      </c>
      <c r="D304" s="2" t="s">
        <v>28</v>
      </c>
      <c r="E304" s="2" t="s">
        <v>29</v>
      </c>
      <c r="F304" s="2" t="s">
        <v>45</v>
      </c>
      <c r="G304" s="2" t="s">
        <v>31</v>
      </c>
      <c r="H304" s="2" t="s">
        <v>32</v>
      </c>
      <c r="I304" s="2" t="s">
        <v>33</v>
      </c>
      <c r="J304" s="2" t="s">
        <v>34</v>
      </c>
      <c r="K304" s="2" t="s">
        <v>487</v>
      </c>
      <c r="L304" s="2" t="s">
        <v>488</v>
      </c>
      <c r="M304" s="2" t="s">
        <v>34</v>
      </c>
      <c r="N304" s="2" t="s">
        <v>37</v>
      </c>
      <c r="O304" s="2" t="s">
        <v>38</v>
      </c>
      <c r="P304" s="2" t="s">
        <v>352</v>
      </c>
      <c r="Q304" s="2" t="s">
        <v>353</v>
      </c>
      <c r="R304" s="2" t="s">
        <v>48</v>
      </c>
      <c r="S304" s="2" t="s">
        <v>42</v>
      </c>
      <c r="T304" s="2" t="s">
        <v>49</v>
      </c>
      <c r="U304" s="2" t="s">
        <v>50</v>
      </c>
      <c r="V304" s="2" t="s">
        <v>57</v>
      </c>
      <c r="W304" s="2" t="s">
        <v>34</v>
      </c>
      <c r="X304" s="2" t="s">
        <v>34</v>
      </c>
      <c r="Y304" s="3">
        <v>3.0</v>
      </c>
    </row>
    <row r="305" ht="15.75" customHeight="1">
      <c r="A305" s="2" t="s">
        <v>25</v>
      </c>
      <c r="B305" s="2" t="s">
        <v>26</v>
      </c>
      <c r="C305" s="2" t="s">
        <v>485</v>
      </c>
      <c r="D305" s="2" t="s">
        <v>28</v>
      </c>
      <c r="E305" s="2" t="s">
        <v>29</v>
      </c>
      <c r="F305" s="2" t="s">
        <v>486</v>
      </c>
      <c r="G305" s="2" t="s">
        <v>31</v>
      </c>
      <c r="H305" s="2" t="s">
        <v>32</v>
      </c>
      <c r="I305" s="2" t="s">
        <v>33</v>
      </c>
      <c r="J305" s="2" t="s">
        <v>34</v>
      </c>
      <c r="K305" s="2" t="s">
        <v>354</v>
      </c>
      <c r="L305" s="2" t="s">
        <v>355</v>
      </c>
      <c r="M305" s="2" t="s">
        <v>34</v>
      </c>
      <c r="N305" s="2" t="s">
        <v>37</v>
      </c>
      <c r="O305" s="2" t="s">
        <v>38</v>
      </c>
      <c r="P305" s="2" t="s">
        <v>352</v>
      </c>
      <c r="Q305" s="2" t="s">
        <v>353</v>
      </c>
      <c r="R305" s="2" t="s">
        <v>41</v>
      </c>
      <c r="S305" s="2" t="s">
        <v>42</v>
      </c>
      <c r="T305" s="2" t="s">
        <v>62</v>
      </c>
      <c r="U305" s="2" t="s">
        <v>34</v>
      </c>
      <c r="V305" s="2" t="s">
        <v>51</v>
      </c>
      <c r="W305" s="2" t="s">
        <v>34</v>
      </c>
      <c r="X305" s="2" t="s">
        <v>34</v>
      </c>
      <c r="Y305" s="3">
        <v>44.0</v>
      </c>
    </row>
    <row r="306" ht="15.75" customHeight="1">
      <c r="A306" s="2" t="s">
        <v>25</v>
      </c>
      <c r="B306" s="2" t="s">
        <v>26</v>
      </c>
      <c r="C306" s="2" t="s">
        <v>499</v>
      </c>
      <c r="D306" s="2" t="s">
        <v>28</v>
      </c>
      <c r="E306" s="2" t="s">
        <v>29</v>
      </c>
      <c r="F306" s="2" t="s">
        <v>500</v>
      </c>
      <c r="G306" s="2" t="s">
        <v>31</v>
      </c>
      <c r="H306" s="2" t="s">
        <v>32</v>
      </c>
      <c r="I306" s="2" t="s">
        <v>33</v>
      </c>
      <c r="J306" s="2" t="s">
        <v>34</v>
      </c>
      <c r="K306" s="2" t="s">
        <v>284</v>
      </c>
      <c r="L306" s="2" t="s">
        <v>285</v>
      </c>
      <c r="M306" s="2" t="s">
        <v>34</v>
      </c>
      <c r="N306" s="2" t="s">
        <v>37</v>
      </c>
      <c r="O306" s="2" t="s">
        <v>38</v>
      </c>
      <c r="P306" s="2" t="s">
        <v>286</v>
      </c>
      <c r="Q306" s="2" t="s">
        <v>287</v>
      </c>
      <c r="R306" s="2" t="s">
        <v>41</v>
      </c>
      <c r="S306" s="2" t="s">
        <v>42</v>
      </c>
      <c r="T306" s="2" t="s">
        <v>62</v>
      </c>
      <c r="U306" s="2" t="s">
        <v>34</v>
      </c>
      <c r="V306" s="2" t="s">
        <v>57</v>
      </c>
      <c r="W306" s="2" t="s">
        <v>34</v>
      </c>
      <c r="X306" s="2" t="s">
        <v>34</v>
      </c>
      <c r="Y306" s="3">
        <v>22.0</v>
      </c>
    </row>
    <row r="307" ht="15.75" customHeight="1">
      <c r="A307" s="2" t="s">
        <v>25</v>
      </c>
      <c r="B307" s="2" t="s">
        <v>26</v>
      </c>
      <c r="C307" s="2" t="s">
        <v>44</v>
      </c>
      <c r="D307" s="2" t="s">
        <v>28</v>
      </c>
      <c r="E307" s="2" t="s">
        <v>29</v>
      </c>
      <c r="F307" s="2" t="s">
        <v>45</v>
      </c>
      <c r="G307" s="2" t="s">
        <v>31</v>
      </c>
      <c r="H307" s="2" t="s">
        <v>32</v>
      </c>
      <c r="I307" s="2" t="s">
        <v>33</v>
      </c>
      <c r="J307" s="2" t="s">
        <v>34</v>
      </c>
      <c r="K307" s="2" t="s">
        <v>435</v>
      </c>
      <c r="L307" s="2" t="s">
        <v>436</v>
      </c>
      <c r="M307" s="2" t="s">
        <v>34</v>
      </c>
      <c r="N307" s="2" t="s">
        <v>37</v>
      </c>
      <c r="O307" s="2" t="s">
        <v>38</v>
      </c>
      <c r="P307" s="2" t="s">
        <v>133</v>
      </c>
      <c r="Q307" s="2" t="s">
        <v>134</v>
      </c>
      <c r="R307" s="2" t="s">
        <v>48</v>
      </c>
      <c r="S307" s="2" t="s">
        <v>42</v>
      </c>
      <c r="T307" s="2" t="s">
        <v>49</v>
      </c>
      <c r="U307" s="2" t="s">
        <v>50</v>
      </c>
      <c r="V307" s="2" t="s">
        <v>57</v>
      </c>
      <c r="W307" s="2" t="s">
        <v>34</v>
      </c>
      <c r="X307" s="2" t="s">
        <v>34</v>
      </c>
      <c r="Y307" s="3">
        <v>3.0</v>
      </c>
    </row>
    <row r="308" ht="15.75" customHeight="1">
      <c r="A308" s="2" t="s">
        <v>25</v>
      </c>
      <c r="B308" s="2" t="s">
        <v>26</v>
      </c>
      <c r="C308" s="2" t="s">
        <v>44</v>
      </c>
      <c r="D308" s="2" t="s">
        <v>28</v>
      </c>
      <c r="E308" s="2" t="s">
        <v>29</v>
      </c>
      <c r="F308" s="2" t="s">
        <v>45</v>
      </c>
      <c r="G308" s="2" t="s">
        <v>31</v>
      </c>
      <c r="H308" s="2" t="s">
        <v>32</v>
      </c>
      <c r="I308" s="2" t="s">
        <v>33</v>
      </c>
      <c r="J308" s="2" t="s">
        <v>34</v>
      </c>
      <c r="K308" s="2" t="s">
        <v>68</v>
      </c>
      <c r="L308" s="2" t="s">
        <v>69</v>
      </c>
      <c r="M308" s="2" t="s">
        <v>34</v>
      </c>
      <c r="N308" s="2" t="s">
        <v>37</v>
      </c>
      <c r="O308" s="2" t="s">
        <v>38</v>
      </c>
      <c r="P308" s="2" t="s">
        <v>70</v>
      </c>
      <c r="Q308" s="2" t="s">
        <v>71</v>
      </c>
      <c r="R308" s="2" t="s">
        <v>48</v>
      </c>
      <c r="S308" s="2" t="s">
        <v>42</v>
      </c>
      <c r="T308" s="2" t="s">
        <v>49</v>
      </c>
      <c r="U308" s="2" t="s">
        <v>50</v>
      </c>
      <c r="V308" s="2" t="s">
        <v>51</v>
      </c>
      <c r="W308" s="2" t="s">
        <v>34</v>
      </c>
      <c r="X308" s="2" t="s">
        <v>34</v>
      </c>
      <c r="Y308" s="3">
        <v>6.0</v>
      </c>
    </row>
    <row r="309" ht="15.75" customHeight="1">
      <c r="A309" s="2" t="s">
        <v>25</v>
      </c>
      <c r="B309" s="2" t="s">
        <v>26</v>
      </c>
      <c r="C309" s="2" t="s">
        <v>66</v>
      </c>
      <c r="D309" s="2" t="s">
        <v>28</v>
      </c>
      <c r="E309" s="2" t="s">
        <v>29</v>
      </c>
      <c r="F309" s="2" t="s">
        <v>67</v>
      </c>
      <c r="G309" s="2" t="s">
        <v>31</v>
      </c>
      <c r="H309" s="2" t="s">
        <v>32</v>
      </c>
      <c r="I309" s="2" t="s">
        <v>33</v>
      </c>
      <c r="J309" s="2" t="s">
        <v>34</v>
      </c>
      <c r="K309" s="2" t="s">
        <v>366</v>
      </c>
      <c r="L309" s="2" t="s">
        <v>367</v>
      </c>
      <c r="M309" s="2" t="s">
        <v>34</v>
      </c>
      <c r="N309" s="2" t="s">
        <v>37</v>
      </c>
      <c r="O309" s="2" t="s">
        <v>38</v>
      </c>
      <c r="P309" s="2" t="s">
        <v>70</v>
      </c>
      <c r="Q309" s="2" t="s">
        <v>71</v>
      </c>
      <c r="R309" s="2" t="s">
        <v>41</v>
      </c>
      <c r="S309" s="2" t="s">
        <v>42</v>
      </c>
      <c r="T309" s="2" t="s">
        <v>62</v>
      </c>
      <c r="U309" s="2" t="s">
        <v>34</v>
      </c>
      <c r="V309" s="2" t="s">
        <v>57</v>
      </c>
      <c r="W309" s="2" t="s">
        <v>34</v>
      </c>
      <c r="X309" s="2" t="s">
        <v>34</v>
      </c>
      <c r="Y309" s="3">
        <v>22.0</v>
      </c>
    </row>
    <row r="310" ht="15.75" customHeight="1">
      <c r="A310" s="2" t="s">
        <v>25</v>
      </c>
      <c r="B310" s="2" t="s">
        <v>26</v>
      </c>
      <c r="C310" s="2" t="s">
        <v>66</v>
      </c>
      <c r="D310" s="2" t="s">
        <v>28</v>
      </c>
      <c r="E310" s="2" t="s">
        <v>29</v>
      </c>
      <c r="F310" s="2" t="s">
        <v>67</v>
      </c>
      <c r="G310" s="2" t="s">
        <v>31</v>
      </c>
      <c r="H310" s="2" t="s">
        <v>32</v>
      </c>
      <c r="I310" s="2" t="s">
        <v>33</v>
      </c>
      <c r="J310" s="2" t="s">
        <v>34</v>
      </c>
      <c r="K310" s="2" t="s">
        <v>72</v>
      </c>
      <c r="L310" s="2" t="s">
        <v>73</v>
      </c>
      <c r="M310" s="2" t="s">
        <v>34</v>
      </c>
      <c r="N310" s="2" t="s">
        <v>75</v>
      </c>
      <c r="O310" s="2" t="s">
        <v>38</v>
      </c>
      <c r="P310" s="2" t="s">
        <v>70</v>
      </c>
      <c r="Q310" s="2" t="s">
        <v>71</v>
      </c>
      <c r="R310" s="2" t="s">
        <v>41</v>
      </c>
      <c r="S310" s="2" t="s">
        <v>42</v>
      </c>
      <c r="T310" s="2" t="s">
        <v>62</v>
      </c>
      <c r="U310" s="2" t="s">
        <v>34</v>
      </c>
      <c r="V310" s="2" t="s">
        <v>51</v>
      </c>
      <c r="W310" s="2" t="s">
        <v>34</v>
      </c>
      <c r="X310" s="2" t="s">
        <v>34</v>
      </c>
      <c r="Y310" s="3">
        <v>44.0</v>
      </c>
    </row>
    <row r="311" ht="15.75" customHeight="1">
      <c r="A311" s="2" t="s">
        <v>25</v>
      </c>
      <c r="B311" s="2" t="s">
        <v>26</v>
      </c>
      <c r="C311" s="2" t="s">
        <v>66</v>
      </c>
      <c r="D311" s="2" t="s">
        <v>28</v>
      </c>
      <c r="E311" s="2" t="s">
        <v>29</v>
      </c>
      <c r="F311" s="2" t="s">
        <v>67</v>
      </c>
      <c r="G311" s="2" t="s">
        <v>31</v>
      </c>
      <c r="H311" s="2" t="s">
        <v>32</v>
      </c>
      <c r="I311" s="2" t="s">
        <v>33</v>
      </c>
      <c r="J311" s="2" t="s">
        <v>34</v>
      </c>
      <c r="K311" s="2" t="s">
        <v>368</v>
      </c>
      <c r="L311" s="2" t="s">
        <v>369</v>
      </c>
      <c r="M311" s="2" t="s">
        <v>34</v>
      </c>
      <c r="N311" s="2" t="s">
        <v>37</v>
      </c>
      <c r="O311" s="2" t="s">
        <v>38</v>
      </c>
      <c r="P311" s="2" t="s">
        <v>70</v>
      </c>
      <c r="Q311" s="2" t="s">
        <v>71</v>
      </c>
      <c r="R311" s="2" t="s">
        <v>41</v>
      </c>
      <c r="S311" s="2" t="s">
        <v>42</v>
      </c>
      <c r="T311" s="2" t="s">
        <v>62</v>
      </c>
      <c r="U311" s="2" t="s">
        <v>34</v>
      </c>
      <c r="V311" s="2" t="s">
        <v>57</v>
      </c>
      <c r="W311" s="2" t="s">
        <v>34</v>
      </c>
      <c r="X311" s="2" t="s">
        <v>34</v>
      </c>
      <c r="Y311" s="3">
        <v>22.0</v>
      </c>
    </row>
    <row r="312" ht="15.75" customHeight="1">
      <c r="A312" s="2" t="s">
        <v>25</v>
      </c>
      <c r="B312" s="2" t="s">
        <v>26</v>
      </c>
      <c r="C312" s="2" t="s">
        <v>44</v>
      </c>
      <c r="D312" s="2" t="s">
        <v>28</v>
      </c>
      <c r="E312" s="2" t="s">
        <v>29</v>
      </c>
      <c r="F312" s="2" t="s">
        <v>45</v>
      </c>
      <c r="G312" s="2" t="s">
        <v>31</v>
      </c>
      <c r="H312" s="2" t="s">
        <v>32</v>
      </c>
      <c r="I312" s="2" t="s">
        <v>33</v>
      </c>
      <c r="J312" s="2" t="s">
        <v>34</v>
      </c>
      <c r="K312" s="2" t="s">
        <v>137</v>
      </c>
      <c r="L312" s="2" t="s">
        <v>138</v>
      </c>
      <c r="M312" s="2" t="s">
        <v>34</v>
      </c>
      <c r="N312" s="2" t="s">
        <v>37</v>
      </c>
      <c r="O312" s="2" t="s">
        <v>38</v>
      </c>
      <c r="P312" s="2" t="s">
        <v>70</v>
      </c>
      <c r="Q312" s="2" t="s">
        <v>71</v>
      </c>
      <c r="R312" s="2" t="s">
        <v>48</v>
      </c>
      <c r="S312" s="2" t="s">
        <v>42</v>
      </c>
      <c r="T312" s="2" t="s">
        <v>49</v>
      </c>
      <c r="U312" s="2" t="s">
        <v>50</v>
      </c>
      <c r="V312" s="2" t="s">
        <v>57</v>
      </c>
      <c r="W312" s="2" t="s">
        <v>34</v>
      </c>
      <c r="X312" s="2" t="s">
        <v>34</v>
      </c>
      <c r="Y312" s="3">
        <v>3.0</v>
      </c>
    </row>
    <row r="313" ht="15.75" customHeight="1">
      <c r="A313" s="2" t="s">
        <v>25</v>
      </c>
      <c r="B313" s="2" t="s">
        <v>26</v>
      </c>
      <c r="C313" s="2" t="s">
        <v>106</v>
      </c>
      <c r="D313" s="2" t="s">
        <v>28</v>
      </c>
      <c r="E313" s="2" t="s">
        <v>29</v>
      </c>
      <c r="F313" s="2" t="s">
        <v>107</v>
      </c>
      <c r="G313" s="2" t="s">
        <v>31</v>
      </c>
      <c r="H313" s="2" t="s">
        <v>32</v>
      </c>
      <c r="I313" s="2" t="s">
        <v>33</v>
      </c>
      <c r="J313" s="2" t="s">
        <v>34</v>
      </c>
      <c r="K313" s="2" t="s">
        <v>112</v>
      </c>
      <c r="L313" s="2" t="s">
        <v>113</v>
      </c>
      <c r="M313" s="2" t="s">
        <v>34</v>
      </c>
      <c r="N313" s="2" t="s">
        <v>37</v>
      </c>
      <c r="O313" s="2" t="s">
        <v>38</v>
      </c>
      <c r="P313" s="2" t="s">
        <v>110</v>
      </c>
      <c r="Q313" s="2" t="s">
        <v>111</v>
      </c>
      <c r="R313" s="2" t="s">
        <v>41</v>
      </c>
      <c r="S313" s="2" t="s">
        <v>42</v>
      </c>
      <c r="T313" s="2" t="s">
        <v>62</v>
      </c>
      <c r="U313" s="2" t="s">
        <v>34</v>
      </c>
      <c r="V313" s="2" t="s">
        <v>57</v>
      </c>
      <c r="W313" s="2" t="s">
        <v>34</v>
      </c>
      <c r="X313" s="2" t="s">
        <v>34</v>
      </c>
      <c r="Y313" s="3">
        <v>22.0</v>
      </c>
    </row>
    <row r="314" ht="15.75" customHeight="1">
      <c r="A314" s="2" t="s">
        <v>25</v>
      </c>
      <c r="B314" s="2" t="s">
        <v>26</v>
      </c>
      <c r="C314" s="2" t="s">
        <v>44</v>
      </c>
      <c r="D314" s="2" t="s">
        <v>28</v>
      </c>
      <c r="E314" s="2" t="s">
        <v>29</v>
      </c>
      <c r="F314" s="2" t="s">
        <v>45</v>
      </c>
      <c r="G314" s="2" t="s">
        <v>31</v>
      </c>
      <c r="H314" s="2" t="s">
        <v>32</v>
      </c>
      <c r="I314" s="2" t="s">
        <v>33</v>
      </c>
      <c r="J314" s="2" t="s">
        <v>34</v>
      </c>
      <c r="K314" s="2" t="s">
        <v>119</v>
      </c>
      <c r="L314" s="2" t="s">
        <v>120</v>
      </c>
      <c r="M314" s="2" t="s">
        <v>34</v>
      </c>
      <c r="N314" s="2" t="s">
        <v>37</v>
      </c>
      <c r="O314" s="2" t="s">
        <v>38</v>
      </c>
      <c r="P314" s="2" t="s">
        <v>121</v>
      </c>
      <c r="Q314" s="2" t="s">
        <v>122</v>
      </c>
      <c r="R314" s="2" t="s">
        <v>48</v>
      </c>
      <c r="S314" s="2" t="s">
        <v>42</v>
      </c>
      <c r="T314" s="2" t="s">
        <v>49</v>
      </c>
      <c r="U314" s="2" t="s">
        <v>50</v>
      </c>
      <c r="V314" s="2" t="s">
        <v>57</v>
      </c>
      <c r="W314" s="2" t="s">
        <v>34</v>
      </c>
      <c r="X314" s="2" t="s">
        <v>34</v>
      </c>
      <c r="Y314" s="3">
        <v>3.0</v>
      </c>
    </row>
    <row r="315" ht="15.75" customHeight="1">
      <c r="A315" s="2" t="s">
        <v>25</v>
      </c>
      <c r="B315" s="2" t="s">
        <v>26</v>
      </c>
      <c r="C315" s="2" t="s">
        <v>44</v>
      </c>
      <c r="D315" s="2" t="s">
        <v>28</v>
      </c>
      <c r="E315" s="2" t="s">
        <v>29</v>
      </c>
      <c r="F315" s="2" t="s">
        <v>45</v>
      </c>
      <c r="G315" s="2" t="s">
        <v>31</v>
      </c>
      <c r="H315" s="2" t="s">
        <v>32</v>
      </c>
      <c r="I315" s="2" t="s">
        <v>33</v>
      </c>
      <c r="J315" s="2" t="s">
        <v>34</v>
      </c>
      <c r="K315" s="2" t="s">
        <v>306</v>
      </c>
      <c r="L315" s="2" t="s">
        <v>307</v>
      </c>
      <c r="M315" s="2" t="s">
        <v>34</v>
      </c>
      <c r="N315" s="2" t="s">
        <v>37</v>
      </c>
      <c r="O315" s="2" t="s">
        <v>38</v>
      </c>
      <c r="P315" s="2" t="s">
        <v>121</v>
      </c>
      <c r="Q315" s="2" t="s">
        <v>122</v>
      </c>
      <c r="R315" s="2" t="s">
        <v>48</v>
      </c>
      <c r="S315" s="2" t="s">
        <v>42</v>
      </c>
      <c r="T315" s="2" t="s">
        <v>49</v>
      </c>
      <c r="U315" s="2" t="s">
        <v>50</v>
      </c>
      <c r="V315" s="2" t="s">
        <v>57</v>
      </c>
      <c r="W315" s="2" t="s">
        <v>34</v>
      </c>
      <c r="X315" s="2" t="s">
        <v>34</v>
      </c>
      <c r="Y315" s="3">
        <v>3.0</v>
      </c>
    </row>
    <row r="316" ht="15.75" customHeight="1">
      <c r="A316" s="2" t="s">
        <v>25</v>
      </c>
      <c r="B316" s="2" t="s">
        <v>26</v>
      </c>
      <c r="C316" s="2" t="s">
        <v>501</v>
      </c>
      <c r="D316" s="2" t="s">
        <v>28</v>
      </c>
      <c r="E316" s="2" t="s">
        <v>29</v>
      </c>
      <c r="F316" s="2" t="s">
        <v>502</v>
      </c>
      <c r="G316" s="2" t="s">
        <v>31</v>
      </c>
      <c r="H316" s="2" t="s">
        <v>32</v>
      </c>
      <c r="I316" s="2" t="s">
        <v>33</v>
      </c>
      <c r="J316" s="2" t="s">
        <v>34</v>
      </c>
      <c r="K316" s="2" t="s">
        <v>372</v>
      </c>
      <c r="L316" s="2" t="s">
        <v>373</v>
      </c>
      <c r="M316" s="2" t="s">
        <v>34</v>
      </c>
      <c r="N316" s="2" t="s">
        <v>37</v>
      </c>
      <c r="O316" s="2" t="s">
        <v>38</v>
      </c>
      <c r="P316" s="2" t="s">
        <v>374</v>
      </c>
      <c r="Q316" s="2" t="s">
        <v>375</v>
      </c>
      <c r="R316" s="2" t="s">
        <v>41</v>
      </c>
      <c r="S316" s="2" t="s">
        <v>42</v>
      </c>
      <c r="T316" s="2" t="s">
        <v>62</v>
      </c>
      <c r="U316" s="2" t="s">
        <v>34</v>
      </c>
      <c r="V316" s="2" t="s">
        <v>65</v>
      </c>
      <c r="W316" s="2" t="s">
        <v>34</v>
      </c>
      <c r="X316" s="2" t="s">
        <v>34</v>
      </c>
      <c r="Y316" s="3">
        <v>88.0</v>
      </c>
    </row>
    <row r="317" ht="15.75" customHeight="1">
      <c r="A317" s="2" t="s">
        <v>25</v>
      </c>
      <c r="B317" s="2" t="s">
        <v>26</v>
      </c>
      <c r="C317" s="2" t="s">
        <v>58</v>
      </c>
      <c r="D317" s="2" t="s">
        <v>28</v>
      </c>
      <c r="E317" s="2" t="s">
        <v>29</v>
      </c>
      <c r="F317" s="2" t="s">
        <v>59</v>
      </c>
      <c r="G317" s="2" t="s">
        <v>31</v>
      </c>
      <c r="H317" s="2" t="s">
        <v>32</v>
      </c>
      <c r="I317" s="2" t="s">
        <v>33</v>
      </c>
      <c r="J317" s="2" t="s">
        <v>34</v>
      </c>
      <c r="K317" s="2" t="s">
        <v>155</v>
      </c>
      <c r="L317" s="2" t="s">
        <v>156</v>
      </c>
      <c r="M317" s="2" t="s">
        <v>34</v>
      </c>
      <c r="N317" s="2" t="s">
        <v>37</v>
      </c>
      <c r="O317" s="2" t="s">
        <v>38</v>
      </c>
      <c r="P317" s="2" t="s">
        <v>55</v>
      </c>
      <c r="Q317" s="2" t="s">
        <v>56</v>
      </c>
      <c r="R317" s="2" t="s">
        <v>41</v>
      </c>
      <c r="S317" s="2" t="s">
        <v>42</v>
      </c>
      <c r="T317" s="2" t="s">
        <v>62</v>
      </c>
      <c r="U317" s="2" t="s">
        <v>34</v>
      </c>
      <c r="V317" s="2" t="s">
        <v>57</v>
      </c>
      <c r="W317" s="2" t="s">
        <v>34</v>
      </c>
      <c r="X317" s="2" t="s">
        <v>34</v>
      </c>
      <c r="Y317" s="3">
        <v>20.0</v>
      </c>
    </row>
    <row r="318" ht="15.75" customHeight="1">
      <c r="A318" s="2" t="s">
        <v>25</v>
      </c>
      <c r="B318" s="2" t="s">
        <v>26</v>
      </c>
      <c r="C318" s="2" t="s">
        <v>44</v>
      </c>
      <c r="D318" s="2" t="s">
        <v>28</v>
      </c>
      <c r="E318" s="2" t="s">
        <v>29</v>
      </c>
      <c r="F318" s="2" t="s">
        <v>45</v>
      </c>
      <c r="G318" s="2" t="s">
        <v>31</v>
      </c>
      <c r="H318" s="2" t="s">
        <v>32</v>
      </c>
      <c r="I318" s="2" t="s">
        <v>33</v>
      </c>
      <c r="J318" s="2" t="s">
        <v>34</v>
      </c>
      <c r="K318" s="2" t="s">
        <v>233</v>
      </c>
      <c r="L318" s="2" t="s">
        <v>234</v>
      </c>
      <c r="M318" s="2" t="s">
        <v>34</v>
      </c>
      <c r="N318" s="2" t="s">
        <v>37</v>
      </c>
      <c r="O318" s="2" t="s">
        <v>38</v>
      </c>
      <c r="P318" s="2" t="s">
        <v>55</v>
      </c>
      <c r="Q318" s="2" t="s">
        <v>56</v>
      </c>
      <c r="R318" s="2" t="s">
        <v>48</v>
      </c>
      <c r="S318" s="2" t="s">
        <v>42</v>
      </c>
      <c r="T318" s="2" t="s">
        <v>49</v>
      </c>
      <c r="U318" s="2" t="s">
        <v>50</v>
      </c>
      <c r="V318" s="2" t="s">
        <v>65</v>
      </c>
      <c r="W318" s="2" t="s">
        <v>34</v>
      </c>
      <c r="X318" s="2" t="s">
        <v>34</v>
      </c>
      <c r="Y318" s="3">
        <v>12.0</v>
      </c>
    </row>
    <row r="319" ht="15.75" customHeight="1">
      <c r="A319" s="2" t="s">
        <v>25</v>
      </c>
      <c r="B319" s="2" t="s">
        <v>26</v>
      </c>
      <c r="C319" s="2" t="s">
        <v>44</v>
      </c>
      <c r="D319" s="2" t="s">
        <v>28</v>
      </c>
      <c r="E319" s="2" t="s">
        <v>29</v>
      </c>
      <c r="F319" s="2" t="s">
        <v>45</v>
      </c>
      <c r="G319" s="2" t="s">
        <v>31</v>
      </c>
      <c r="H319" s="2" t="s">
        <v>32</v>
      </c>
      <c r="I319" s="2" t="s">
        <v>33</v>
      </c>
      <c r="J319" s="2" t="s">
        <v>34</v>
      </c>
      <c r="K319" s="2" t="s">
        <v>386</v>
      </c>
      <c r="L319" s="2" t="s">
        <v>387</v>
      </c>
      <c r="M319" s="2" t="s">
        <v>34</v>
      </c>
      <c r="N319" s="2" t="s">
        <v>74</v>
      </c>
      <c r="O319" s="2" t="s">
        <v>38</v>
      </c>
      <c r="P319" s="2" t="s">
        <v>55</v>
      </c>
      <c r="Q319" s="2" t="s">
        <v>56</v>
      </c>
      <c r="R319" s="2" t="s">
        <v>48</v>
      </c>
      <c r="S319" s="2" t="s">
        <v>42</v>
      </c>
      <c r="T319" s="2" t="s">
        <v>49</v>
      </c>
      <c r="U319" s="2" t="s">
        <v>50</v>
      </c>
      <c r="V319" s="2" t="s">
        <v>57</v>
      </c>
      <c r="W319" s="2" t="s">
        <v>34</v>
      </c>
      <c r="X319" s="2" t="s">
        <v>34</v>
      </c>
      <c r="Y319" s="3">
        <v>3.0</v>
      </c>
    </row>
    <row r="320" ht="15.75" customHeight="1">
      <c r="A320" s="2" t="s">
        <v>25</v>
      </c>
      <c r="B320" s="2" t="s">
        <v>26</v>
      </c>
      <c r="C320" s="2" t="s">
        <v>58</v>
      </c>
      <c r="D320" s="2" t="s">
        <v>28</v>
      </c>
      <c r="E320" s="2" t="s">
        <v>29</v>
      </c>
      <c r="F320" s="2" t="s">
        <v>59</v>
      </c>
      <c r="G320" s="2" t="s">
        <v>31</v>
      </c>
      <c r="H320" s="2" t="s">
        <v>32</v>
      </c>
      <c r="I320" s="2" t="s">
        <v>33</v>
      </c>
      <c r="J320" s="2" t="s">
        <v>34</v>
      </c>
      <c r="K320" s="2" t="s">
        <v>52</v>
      </c>
      <c r="L320" s="2" t="s">
        <v>53</v>
      </c>
      <c r="M320" s="2" t="s">
        <v>34</v>
      </c>
      <c r="N320" s="2" t="s">
        <v>54</v>
      </c>
      <c r="O320" s="2" t="s">
        <v>38</v>
      </c>
      <c r="P320" s="2" t="s">
        <v>55</v>
      </c>
      <c r="Q320" s="2" t="s">
        <v>56</v>
      </c>
      <c r="R320" s="2" t="s">
        <v>41</v>
      </c>
      <c r="S320" s="2" t="s">
        <v>42</v>
      </c>
      <c r="T320" s="2" t="s">
        <v>62</v>
      </c>
      <c r="U320" s="2" t="s">
        <v>34</v>
      </c>
      <c r="V320" s="2" t="s">
        <v>57</v>
      </c>
      <c r="W320" s="2" t="s">
        <v>34</v>
      </c>
      <c r="X320" s="2" t="s">
        <v>34</v>
      </c>
      <c r="Y320" s="3">
        <v>20.0</v>
      </c>
    </row>
    <row r="321" ht="15.75" customHeight="1">
      <c r="A321" s="2" t="s">
        <v>25</v>
      </c>
      <c r="B321" s="2" t="s">
        <v>26</v>
      </c>
      <c r="C321" s="2" t="s">
        <v>44</v>
      </c>
      <c r="D321" s="2" t="s">
        <v>28</v>
      </c>
      <c r="E321" s="2" t="s">
        <v>29</v>
      </c>
      <c r="F321" s="2" t="s">
        <v>45</v>
      </c>
      <c r="G321" s="2" t="s">
        <v>31</v>
      </c>
      <c r="H321" s="2" t="s">
        <v>32</v>
      </c>
      <c r="I321" s="2" t="s">
        <v>33</v>
      </c>
      <c r="J321" s="2" t="s">
        <v>34</v>
      </c>
      <c r="K321" s="2" t="s">
        <v>290</v>
      </c>
      <c r="L321" s="2" t="s">
        <v>291</v>
      </c>
      <c r="M321" s="2" t="s">
        <v>34</v>
      </c>
      <c r="N321" s="2" t="s">
        <v>37</v>
      </c>
      <c r="O321" s="2" t="s">
        <v>38</v>
      </c>
      <c r="P321" s="2" t="s">
        <v>292</v>
      </c>
      <c r="Q321" s="2" t="s">
        <v>293</v>
      </c>
      <c r="R321" s="2" t="s">
        <v>48</v>
      </c>
      <c r="S321" s="2" t="s">
        <v>42</v>
      </c>
      <c r="T321" s="2" t="s">
        <v>49</v>
      </c>
      <c r="U321" s="2" t="s">
        <v>50</v>
      </c>
      <c r="V321" s="2" t="s">
        <v>57</v>
      </c>
      <c r="W321" s="2" t="s">
        <v>34</v>
      </c>
      <c r="X321" s="2" t="s">
        <v>34</v>
      </c>
      <c r="Y321" s="3">
        <v>3.0</v>
      </c>
    </row>
    <row r="322" ht="15.75" customHeight="1">
      <c r="A322" s="2" t="s">
        <v>25</v>
      </c>
      <c r="B322" s="2" t="s">
        <v>26</v>
      </c>
      <c r="C322" s="2" t="s">
        <v>44</v>
      </c>
      <c r="D322" s="2" t="s">
        <v>28</v>
      </c>
      <c r="E322" s="2" t="s">
        <v>29</v>
      </c>
      <c r="F322" s="2" t="s">
        <v>45</v>
      </c>
      <c r="G322" s="2" t="s">
        <v>31</v>
      </c>
      <c r="H322" s="2" t="s">
        <v>32</v>
      </c>
      <c r="I322" s="2" t="s">
        <v>33</v>
      </c>
      <c r="J322" s="2" t="s">
        <v>34</v>
      </c>
      <c r="K322" s="2" t="s">
        <v>503</v>
      </c>
      <c r="L322" s="2" t="s">
        <v>504</v>
      </c>
      <c r="M322" s="2" t="s">
        <v>34</v>
      </c>
      <c r="N322" s="2" t="s">
        <v>74</v>
      </c>
      <c r="O322" s="2" t="s">
        <v>38</v>
      </c>
      <c r="P322" s="2" t="s">
        <v>133</v>
      </c>
      <c r="Q322" s="2" t="s">
        <v>134</v>
      </c>
      <c r="R322" s="2" t="s">
        <v>48</v>
      </c>
      <c r="S322" s="2" t="s">
        <v>42</v>
      </c>
      <c r="T322" s="2" t="s">
        <v>49</v>
      </c>
      <c r="U322" s="2" t="s">
        <v>50</v>
      </c>
      <c r="V322" s="2" t="s">
        <v>57</v>
      </c>
      <c r="W322" s="2" t="s">
        <v>34</v>
      </c>
      <c r="X322" s="2" t="s">
        <v>34</v>
      </c>
      <c r="Y322" s="3">
        <v>3.0</v>
      </c>
    </row>
    <row r="323" ht="15.75" customHeight="1">
      <c r="A323" s="2" t="s">
        <v>25</v>
      </c>
      <c r="B323" s="2" t="s">
        <v>26</v>
      </c>
      <c r="C323" s="2" t="s">
        <v>433</v>
      </c>
      <c r="D323" s="2" t="s">
        <v>28</v>
      </c>
      <c r="E323" s="2" t="s">
        <v>29</v>
      </c>
      <c r="F323" s="2" t="s">
        <v>434</v>
      </c>
      <c r="G323" s="2" t="s">
        <v>31</v>
      </c>
      <c r="H323" s="2" t="s">
        <v>32</v>
      </c>
      <c r="I323" s="2" t="s">
        <v>33</v>
      </c>
      <c r="J323" s="2" t="s">
        <v>34</v>
      </c>
      <c r="K323" s="2" t="s">
        <v>505</v>
      </c>
      <c r="L323" s="2" t="s">
        <v>506</v>
      </c>
      <c r="M323" s="2" t="s">
        <v>34</v>
      </c>
      <c r="N323" s="2" t="s">
        <v>75</v>
      </c>
      <c r="O323" s="2" t="s">
        <v>38</v>
      </c>
      <c r="P323" s="2" t="s">
        <v>133</v>
      </c>
      <c r="Q323" s="2" t="s">
        <v>134</v>
      </c>
      <c r="R323" s="2" t="s">
        <v>41</v>
      </c>
      <c r="S323" s="2" t="s">
        <v>42</v>
      </c>
      <c r="T323" s="2" t="s">
        <v>43</v>
      </c>
      <c r="U323" s="2" t="s">
        <v>34</v>
      </c>
      <c r="V323" s="2" t="s">
        <v>34</v>
      </c>
      <c r="W323" s="2" t="s">
        <v>34</v>
      </c>
      <c r="X323" s="2" t="s">
        <v>34</v>
      </c>
      <c r="Y323" s="3">
        <v>8.65</v>
      </c>
    </row>
    <row r="324" ht="15.75" customHeight="1">
      <c r="A324" s="2" t="s">
        <v>25</v>
      </c>
      <c r="B324" s="2" t="s">
        <v>26</v>
      </c>
      <c r="C324" s="2" t="s">
        <v>44</v>
      </c>
      <c r="D324" s="2" t="s">
        <v>28</v>
      </c>
      <c r="E324" s="2" t="s">
        <v>29</v>
      </c>
      <c r="F324" s="2" t="s">
        <v>45</v>
      </c>
      <c r="G324" s="2" t="s">
        <v>31</v>
      </c>
      <c r="H324" s="2" t="s">
        <v>32</v>
      </c>
      <c r="I324" s="2" t="s">
        <v>33</v>
      </c>
      <c r="J324" s="2" t="s">
        <v>34</v>
      </c>
      <c r="K324" s="2" t="s">
        <v>507</v>
      </c>
      <c r="L324" s="2" t="s">
        <v>508</v>
      </c>
      <c r="M324" s="2" t="s">
        <v>34</v>
      </c>
      <c r="N324" s="2" t="s">
        <v>37</v>
      </c>
      <c r="O324" s="2" t="s">
        <v>38</v>
      </c>
      <c r="P324" s="2" t="s">
        <v>133</v>
      </c>
      <c r="Q324" s="2" t="s">
        <v>134</v>
      </c>
      <c r="R324" s="2" t="s">
        <v>48</v>
      </c>
      <c r="S324" s="2" t="s">
        <v>42</v>
      </c>
      <c r="T324" s="2" t="s">
        <v>49</v>
      </c>
      <c r="U324" s="2" t="s">
        <v>50</v>
      </c>
      <c r="V324" s="2" t="s">
        <v>51</v>
      </c>
      <c r="W324" s="2" t="s">
        <v>34</v>
      </c>
      <c r="X324" s="2" t="s">
        <v>34</v>
      </c>
      <c r="Y324" s="3">
        <v>6.0</v>
      </c>
    </row>
    <row r="325" ht="15.75" customHeight="1">
      <c r="A325" s="2" t="s">
        <v>25</v>
      </c>
      <c r="B325" s="2" t="s">
        <v>26</v>
      </c>
      <c r="C325" s="2" t="s">
        <v>433</v>
      </c>
      <c r="D325" s="2" t="s">
        <v>28</v>
      </c>
      <c r="E325" s="2" t="s">
        <v>29</v>
      </c>
      <c r="F325" s="2" t="s">
        <v>434</v>
      </c>
      <c r="G325" s="2" t="s">
        <v>31</v>
      </c>
      <c r="H325" s="2" t="s">
        <v>32</v>
      </c>
      <c r="I325" s="2" t="s">
        <v>33</v>
      </c>
      <c r="J325" s="2" t="s">
        <v>34</v>
      </c>
      <c r="K325" s="2" t="s">
        <v>356</v>
      </c>
      <c r="L325" s="2" t="s">
        <v>357</v>
      </c>
      <c r="M325" s="2" t="s">
        <v>34</v>
      </c>
      <c r="N325" s="2" t="s">
        <v>37</v>
      </c>
      <c r="O325" s="2" t="s">
        <v>38</v>
      </c>
      <c r="P325" s="2" t="s">
        <v>133</v>
      </c>
      <c r="Q325" s="2" t="s">
        <v>134</v>
      </c>
      <c r="R325" s="2" t="s">
        <v>41</v>
      </c>
      <c r="S325" s="2" t="s">
        <v>42</v>
      </c>
      <c r="T325" s="2" t="s">
        <v>62</v>
      </c>
      <c r="U325" s="2" t="s">
        <v>34</v>
      </c>
      <c r="V325" s="2" t="s">
        <v>57</v>
      </c>
      <c r="W325" s="2" t="s">
        <v>34</v>
      </c>
      <c r="X325" s="2" t="s">
        <v>34</v>
      </c>
      <c r="Y325" s="3">
        <v>20.0</v>
      </c>
    </row>
    <row r="326" ht="15.75" customHeight="1">
      <c r="A326" s="2" t="s">
        <v>25</v>
      </c>
      <c r="B326" s="2" t="s">
        <v>26</v>
      </c>
      <c r="C326" s="2" t="s">
        <v>433</v>
      </c>
      <c r="D326" s="2" t="s">
        <v>28</v>
      </c>
      <c r="E326" s="2" t="s">
        <v>29</v>
      </c>
      <c r="F326" s="2" t="s">
        <v>434</v>
      </c>
      <c r="G326" s="2" t="s">
        <v>31</v>
      </c>
      <c r="H326" s="2" t="s">
        <v>32</v>
      </c>
      <c r="I326" s="2" t="s">
        <v>33</v>
      </c>
      <c r="J326" s="2" t="s">
        <v>34</v>
      </c>
      <c r="K326" s="2" t="s">
        <v>294</v>
      </c>
      <c r="L326" s="2" t="s">
        <v>295</v>
      </c>
      <c r="M326" s="2" t="s">
        <v>34</v>
      </c>
      <c r="N326" s="2" t="s">
        <v>37</v>
      </c>
      <c r="O326" s="2" t="s">
        <v>38</v>
      </c>
      <c r="P326" s="2" t="s">
        <v>133</v>
      </c>
      <c r="Q326" s="2" t="s">
        <v>134</v>
      </c>
      <c r="R326" s="2" t="s">
        <v>41</v>
      </c>
      <c r="S326" s="2" t="s">
        <v>42</v>
      </c>
      <c r="T326" s="2" t="s">
        <v>62</v>
      </c>
      <c r="U326" s="2" t="s">
        <v>34</v>
      </c>
      <c r="V326" s="2" t="s">
        <v>57</v>
      </c>
      <c r="W326" s="2" t="s">
        <v>34</v>
      </c>
      <c r="X326" s="2" t="s">
        <v>34</v>
      </c>
      <c r="Y326" s="3">
        <v>20.0</v>
      </c>
    </row>
    <row r="327" ht="15.75" customHeight="1">
      <c r="A327" s="2" t="s">
        <v>25</v>
      </c>
      <c r="B327" s="2" t="s">
        <v>26</v>
      </c>
      <c r="C327" s="2" t="s">
        <v>433</v>
      </c>
      <c r="D327" s="2" t="s">
        <v>28</v>
      </c>
      <c r="E327" s="2" t="s">
        <v>29</v>
      </c>
      <c r="F327" s="2" t="s">
        <v>434</v>
      </c>
      <c r="G327" s="2" t="s">
        <v>31</v>
      </c>
      <c r="H327" s="2" t="s">
        <v>32</v>
      </c>
      <c r="I327" s="2" t="s">
        <v>33</v>
      </c>
      <c r="J327" s="2" t="s">
        <v>34</v>
      </c>
      <c r="K327" s="2" t="s">
        <v>503</v>
      </c>
      <c r="L327" s="2" t="s">
        <v>504</v>
      </c>
      <c r="M327" s="2" t="s">
        <v>34</v>
      </c>
      <c r="N327" s="2" t="s">
        <v>74</v>
      </c>
      <c r="O327" s="2" t="s">
        <v>38</v>
      </c>
      <c r="P327" s="2" t="s">
        <v>133</v>
      </c>
      <c r="Q327" s="2" t="s">
        <v>134</v>
      </c>
      <c r="R327" s="2" t="s">
        <v>41</v>
      </c>
      <c r="S327" s="2" t="s">
        <v>42</v>
      </c>
      <c r="T327" s="2" t="s">
        <v>62</v>
      </c>
      <c r="U327" s="2" t="s">
        <v>34</v>
      </c>
      <c r="V327" s="2" t="s">
        <v>57</v>
      </c>
      <c r="W327" s="2" t="s">
        <v>34</v>
      </c>
      <c r="X327" s="2" t="s">
        <v>34</v>
      </c>
      <c r="Y327" s="3">
        <v>20.0</v>
      </c>
    </row>
    <row r="328" ht="15.75" customHeight="1">
      <c r="A328" s="2" t="s">
        <v>25</v>
      </c>
      <c r="B328" s="2" t="s">
        <v>26</v>
      </c>
      <c r="C328" s="2" t="s">
        <v>433</v>
      </c>
      <c r="D328" s="2" t="s">
        <v>28</v>
      </c>
      <c r="E328" s="2" t="s">
        <v>29</v>
      </c>
      <c r="F328" s="2" t="s">
        <v>434</v>
      </c>
      <c r="G328" s="2" t="s">
        <v>31</v>
      </c>
      <c r="H328" s="2" t="s">
        <v>32</v>
      </c>
      <c r="I328" s="2" t="s">
        <v>33</v>
      </c>
      <c r="J328" s="2" t="s">
        <v>34</v>
      </c>
      <c r="K328" s="2" t="s">
        <v>507</v>
      </c>
      <c r="L328" s="2" t="s">
        <v>508</v>
      </c>
      <c r="M328" s="2" t="s">
        <v>34</v>
      </c>
      <c r="N328" s="2" t="s">
        <v>37</v>
      </c>
      <c r="O328" s="2" t="s">
        <v>38</v>
      </c>
      <c r="P328" s="2" t="s">
        <v>133</v>
      </c>
      <c r="Q328" s="2" t="s">
        <v>134</v>
      </c>
      <c r="R328" s="2" t="s">
        <v>41</v>
      </c>
      <c r="S328" s="2" t="s">
        <v>42</v>
      </c>
      <c r="T328" s="2" t="s">
        <v>62</v>
      </c>
      <c r="U328" s="2" t="s">
        <v>34</v>
      </c>
      <c r="V328" s="2" t="s">
        <v>51</v>
      </c>
      <c r="W328" s="2" t="s">
        <v>34</v>
      </c>
      <c r="X328" s="2" t="s">
        <v>34</v>
      </c>
      <c r="Y328" s="3">
        <v>40.0</v>
      </c>
    </row>
    <row r="329" ht="15.75" customHeight="1">
      <c r="A329" s="2" t="s">
        <v>25</v>
      </c>
      <c r="B329" s="2" t="s">
        <v>26</v>
      </c>
      <c r="C329" s="2" t="s">
        <v>27</v>
      </c>
      <c r="D329" s="2" t="s">
        <v>28</v>
      </c>
      <c r="E329" s="2" t="s">
        <v>29</v>
      </c>
      <c r="F329" s="2" t="s">
        <v>30</v>
      </c>
      <c r="G329" s="2" t="s">
        <v>31</v>
      </c>
      <c r="H329" s="2" t="s">
        <v>32</v>
      </c>
      <c r="I329" s="2" t="s">
        <v>33</v>
      </c>
      <c r="J329" s="2" t="s">
        <v>34</v>
      </c>
      <c r="K329" s="2" t="s">
        <v>509</v>
      </c>
      <c r="L329" s="2" t="s">
        <v>510</v>
      </c>
      <c r="M329" s="2" t="s">
        <v>34</v>
      </c>
      <c r="N329" s="2" t="s">
        <v>37</v>
      </c>
      <c r="O329" s="2" t="s">
        <v>38</v>
      </c>
      <c r="P329" s="2" t="s">
        <v>39</v>
      </c>
      <c r="Q329" s="2" t="s">
        <v>40</v>
      </c>
      <c r="R329" s="2" t="s">
        <v>41</v>
      </c>
      <c r="S329" s="2" t="s">
        <v>42</v>
      </c>
      <c r="T329" s="2" t="s">
        <v>62</v>
      </c>
      <c r="U329" s="2" t="s">
        <v>34</v>
      </c>
      <c r="V329" s="2" t="s">
        <v>57</v>
      </c>
      <c r="W329" s="2" t="s">
        <v>34</v>
      </c>
      <c r="X329" s="2" t="s">
        <v>34</v>
      </c>
      <c r="Y329" s="3">
        <v>-20.0</v>
      </c>
    </row>
    <row r="330" ht="15.75" customHeight="1">
      <c r="A330" s="2" t="s">
        <v>25</v>
      </c>
      <c r="B330" s="2" t="s">
        <v>26</v>
      </c>
      <c r="C330" s="2" t="s">
        <v>44</v>
      </c>
      <c r="D330" s="2" t="s">
        <v>28</v>
      </c>
      <c r="E330" s="2" t="s">
        <v>29</v>
      </c>
      <c r="F330" s="2" t="s">
        <v>45</v>
      </c>
      <c r="G330" s="2" t="s">
        <v>31</v>
      </c>
      <c r="H330" s="2" t="s">
        <v>32</v>
      </c>
      <c r="I330" s="2" t="s">
        <v>33</v>
      </c>
      <c r="J330" s="2" t="s">
        <v>34</v>
      </c>
      <c r="K330" s="2" t="s">
        <v>324</v>
      </c>
      <c r="L330" s="2" t="s">
        <v>325</v>
      </c>
      <c r="M330" s="2" t="s">
        <v>34</v>
      </c>
      <c r="N330" s="2" t="s">
        <v>37</v>
      </c>
      <c r="O330" s="2" t="s">
        <v>38</v>
      </c>
      <c r="P330" s="2" t="s">
        <v>39</v>
      </c>
      <c r="Q330" s="2" t="s">
        <v>40</v>
      </c>
      <c r="R330" s="2" t="s">
        <v>48</v>
      </c>
      <c r="S330" s="2" t="s">
        <v>42</v>
      </c>
      <c r="T330" s="2" t="s">
        <v>49</v>
      </c>
      <c r="U330" s="2" t="s">
        <v>50</v>
      </c>
      <c r="V330" s="2" t="s">
        <v>57</v>
      </c>
      <c r="W330" s="2" t="s">
        <v>34</v>
      </c>
      <c r="X330" s="2" t="s">
        <v>34</v>
      </c>
      <c r="Y330" s="3">
        <v>-3.0</v>
      </c>
    </row>
    <row r="331" ht="15.75" customHeight="1">
      <c r="A331" s="2" t="s">
        <v>25</v>
      </c>
      <c r="B331" s="2" t="s">
        <v>26</v>
      </c>
      <c r="C331" s="2" t="s">
        <v>44</v>
      </c>
      <c r="D331" s="2" t="s">
        <v>28</v>
      </c>
      <c r="E331" s="2" t="s">
        <v>29</v>
      </c>
      <c r="F331" s="2" t="s">
        <v>45</v>
      </c>
      <c r="G331" s="2" t="s">
        <v>31</v>
      </c>
      <c r="H331" s="2" t="s">
        <v>32</v>
      </c>
      <c r="I331" s="2" t="s">
        <v>33</v>
      </c>
      <c r="J331" s="2" t="s">
        <v>34</v>
      </c>
      <c r="K331" s="2" t="s">
        <v>509</v>
      </c>
      <c r="L331" s="2" t="s">
        <v>510</v>
      </c>
      <c r="M331" s="2" t="s">
        <v>34</v>
      </c>
      <c r="N331" s="2" t="s">
        <v>37</v>
      </c>
      <c r="O331" s="2" t="s">
        <v>38</v>
      </c>
      <c r="P331" s="2" t="s">
        <v>39</v>
      </c>
      <c r="Q331" s="2" t="s">
        <v>40</v>
      </c>
      <c r="R331" s="2" t="s">
        <v>48</v>
      </c>
      <c r="S331" s="2" t="s">
        <v>42</v>
      </c>
      <c r="T331" s="2" t="s">
        <v>49</v>
      </c>
      <c r="U331" s="2" t="s">
        <v>50</v>
      </c>
      <c r="V331" s="2" t="s">
        <v>57</v>
      </c>
      <c r="W331" s="2" t="s">
        <v>34</v>
      </c>
      <c r="X331" s="2" t="s">
        <v>34</v>
      </c>
      <c r="Y331" s="3">
        <v>-3.0</v>
      </c>
    </row>
    <row r="332" ht="15.75" customHeight="1">
      <c r="A332" s="2" t="s">
        <v>25</v>
      </c>
      <c r="B332" s="2" t="s">
        <v>26</v>
      </c>
      <c r="C332" s="2" t="s">
        <v>27</v>
      </c>
      <c r="D332" s="2" t="s">
        <v>28</v>
      </c>
      <c r="E332" s="2" t="s">
        <v>29</v>
      </c>
      <c r="F332" s="2" t="s">
        <v>30</v>
      </c>
      <c r="G332" s="2" t="s">
        <v>31</v>
      </c>
      <c r="H332" s="2" t="s">
        <v>32</v>
      </c>
      <c r="I332" s="2" t="s">
        <v>33</v>
      </c>
      <c r="J332" s="2" t="s">
        <v>34</v>
      </c>
      <c r="K332" s="2" t="s">
        <v>511</v>
      </c>
      <c r="L332" s="2" t="s">
        <v>512</v>
      </c>
      <c r="M332" s="2" t="s">
        <v>34</v>
      </c>
      <c r="N332" s="2" t="s">
        <v>37</v>
      </c>
      <c r="O332" s="2" t="s">
        <v>38</v>
      </c>
      <c r="P332" s="2" t="s">
        <v>39</v>
      </c>
      <c r="Q332" s="2" t="s">
        <v>40</v>
      </c>
      <c r="R332" s="2" t="s">
        <v>41</v>
      </c>
      <c r="S332" s="2" t="s">
        <v>42</v>
      </c>
      <c r="T332" s="2" t="s">
        <v>43</v>
      </c>
      <c r="U332" s="2" t="s">
        <v>34</v>
      </c>
      <c r="V332" s="2" t="s">
        <v>34</v>
      </c>
      <c r="W332" s="2" t="s">
        <v>34</v>
      </c>
      <c r="X332" s="2" t="s">
        <v>34</v>
      </c>
      <c r="Y332" s="3">
        <v>4.12</v>
      </c>
    </row>
    <row r="333" ht="15.75" customHeight="1">
      <c r="A333" s="2" t="s">
        <v>25</v>
      </c>
      <c r="B333" s="2" t="s">
        <v>26</v>
      </c>
      <c r="C333" s="2" t="s">
        <v>44</v>
      </c>
      <c r="D333" s="2" t="s">
        <v>28</v>
      </c>
      <c r="E333" s="2" t="s">
        <v>29</v>
      </c>
      <c r="F333" s="2" t="s">
        <v>45</v>
      </c>
      <c r="G333" s="2" t="s">
        <v>31</v>
      </c>
      <c r="H333" s="2" t="s">
        <v>32</v>
      </c>
      <c r="I333" s="2" t="s">
        <v>33</v>
      </c>
      <c r="J333" s="2" t="s">
        <v>34</v>
      </c>
      <c r="K333" s="2" t="s">
        <v>247</v>
      </c>
      <c r="L333" s="2" t="s">
        <v>248</v>
      </c>
      <c r="M333" s="2" t="s">
        <v>34</v>
      </c>
      <c r="N333" s="2" t="s">
        <v>249</v>
      </c>
      <c r="O333" s="2" t="s">
        <v>250</v>
      </c>
      <c r="P333" s="2" t="s">
        <v>39</v>
      </c>
      <c r="Q333" s="2" t="s">
        <v>40</v>
      </c>
      <c r="R333" s="2" t="s">
        <v>48</v>
      </c>
      <c r="S333" s="2" t="s">
        <v>42</v>
      </c>
      <c r="T333" s="2" t="s">
        <v>49</v>
      </c>
      <c r="U333" s="2" t="s">
        <v>50</v>
      </c>
      <c r="V333" s="2" t="s">
        <v>57</v>
      </c>
      <c r="W333" s="2" t="s">
        <v>34</v>
      </c>
      <c r="X333" s="2" t="s">
        <v>34</v>
      </c>
      <c r="Y333" s="3">
        <v>3.0</v>
      </c>
    </row>
    <row r="334" ht="15.75" customHeight="1">
      <c r="A334" s="2" t="s">
        <v>25</v>
      </c>
      <c r="B334" s="2" t="s">
        <v>26</v>
      </c>
      <c r="C334" s="2" t="s">
        <v>44</v>
      </c>
      <c r="D334" s="2" t="s">
        <v>28</v>
      </c>
      <c r="E334" s="2" t="s">
        <v>29</v>
      </c>
      <c r="F334" s="2" t="s">
        <v>45</v>
      </c>
      <c r="G334" s="2" t="s">
        <v>31</v>
      </c>
      <c r="H334" s="2" t="s">
        <v>32</v>
      </c>
      <c r="I334" s="2" t="s">
        <v>33</v>
      </c>
      <c r="J334" s="2" t="s">
        <v>34</v>
      </c>
      <c r="K334" s="2" t="s">
        <v>445</v>
      </c>
      <c r="L334" s="2" t="s">
        <v>446</v>
      </c>
      <c r="M334" s="2" t="s">
        <v>34</v>
      </c>
      <c r="N334" s="2" t="s">
        <v>37</v>
      </c>
      <c r="O334" s="2" t="s">
        <v>38</v>
      </c>
      <c r="P334" s="2" t="s">
        <v>39</v>
      </c>
      <c r="Q334" s="2" t="s">
        <v>40</v>
      </c>
      <c r="R334" s="2" t="s">
        <v>48</v>
      </c>
      <c r="S334" s="2" t="s">
        <v>42</v>
      </c>
      <c r="T334" s="2" t="s">
        <v>49</v>
      </c>
      <c r="U334" s="2" t="s">
        <v>50</v>
      </c>
      <c r="V334" s="2" t="s">
        <v>57</v>
      </c>
      <c r="W334" s="2" t="s">
        <v>34</v>
      </c>
      <c r="X334" s="2" t="s">
        <v>34</v>
      </c>
      <c r="Y334" s="3">
        <v>3.0</v>
      </c>
    </row>
    <row r="335" ht="15.75" customHeight="1">
      <c r="A335" s="2" t="s">
        <v>25</v>
      </c>
      <c r="B335" s="2" t="s">
        <v>26</v>
      </c>
      <c r="C335" s="2" t="s">
        <v>44</v>
      </c>
      <c r="D335" s="2" t="s">
        <v>28</v>
      </c>
      <c r="E335" s="2" t="s">
        <v>29</v>
      </c>
      <c r="F335" s="2" t="s">
        <v>45</v>
      </c>
      <c r="G335" s="2" t="s">
        <v>31</v>
      </c>
      <c r="H335" s="2" t="s">
        <v>32</v>
      </c>
      <c r="I335" s="2" t="s">
        <v>33</v>
      </c>
      <c r="J335" s="2" t="s">
        <v>34</v>
      </c>
      <c r="K335" s="2" t="s">
        <v>447</v>
      </c>
      <c r="L335" s="2" t="s">
        <v>448</v>
      </c>
      <c r="M335" s="2" t="s">
        <v>34</v>
      </c>
      <c r="N335" s="2" t="s">
        <v>37</v>
      </c>
      <c r="O335" s="2" t="s">
        <v>38</v>
      </c>
      <c r="P335" s="2" t="s">
        <v>39</v>
      </c>
      <c r="Q335" s="2" t="s">
        <v>40</v>
      </c>
      <c r="R335" s="2" t="s">
        <v>48</v>
      </c>
      <c r="S335" s="2" t="s">
        <v>42</v>
      </c>
      <c r="T335" s="2" t="s">
        <v>49</v>
      </c>
      <c r="U335" s="2" t="s">
        <v>50</v>
      </c>
      <c r="V335" s="2" t="s">
        <v>57</v>
      </c>
      <c r="W335" s="2" t="s">
        <v>34</v>
      </c>
      <c r="X335" s="2" t="s">
        <v>34</v>
      </c>
      <c r="Y335" s="3">
        <v>3.0</v>
      </c>
    </row>
    <row r="336" ht="15.75" customHeight="1">
      <c r="A336" s="2" t="s">
        <v>25</v>
      </c>
      <c r="B336" s="2" t="s">
        <v>26</v>
      </c>
      <c r="C336" s="2" t="s">
        <v>44</v>
      </c>
      <c r="D336" s="2" t="s">
        <v>28</v>
      </c>
      <c r="E336" s="2" t="s">
        <v>29</v>
      </c>
      <c r="F336" s="2" t="s">
        <v>45</v>
      </c>
      <c r="G336" s="2" t="s">
        <v>31</v>
      </c>
      <c r="H336" s="2" t="s">
        <v>32</v>
      </c>
      <c r="I336" s="2" t="s">
        <v>33</v>
      </c>
      <c r="J336" s="2" t="s">
        <v>34</v>
      </c>
      <c r="K336" s="2" t="s">
        <v>449</v>
      </c>
      <c r="L336" s="2" t="s">
        <v>450</v>
      </c>
      <c r="M336" s="2" t="s">
        <v>34</v>
      </c>
      <c r="N336" s="2" t="s">
        <v>37</v>
      </c>
      <c r="O336" s="2" t="s">
        <v>38</v>
      </c>
      <c r="P336" s="2" t="s">
        <v>39</v>
      </c>
      <c r="Q336" s="2" t="s">
        <v>40</v>
      </c>
      <c r="R336" s="2" t="s">
        <v>48</v>
      </c>
      <c r="S336" s="2" t="s">
        <v>42</v>
      </c>
      <c r="T336" s="2" t="s">
        <v>49</v>
      </c>
      <c r="U336" s="2" t="s">
        <v>50</v>
      </c>
      <c r="V336" s="2" t="s">
        <v>57</v>
      </c>
      <c r="W336" s="2" t="s">
        <v>34</v>
      </c>
      <c r="X336" s="2" t="s">
        <v>34</v>
      </c>
      <c r="Y336" s="3">
        <v>3.0</v>
      </c>
    </row>
    <row r="337" ht="15.75" customHeight="1">
      <c r="A337" s="2" t="s">
        <v>25</v>
      </c>
      <c r="B337" s="2" t="s">
        <v>26</v>
      </c>
      <c r="C337" s="2" t="s">
        <v>44</v>
      </c>
      <c r="D337" s="2" t="s">
        <v>28</v>
      </c>
      <c r="E337" s="2" t="s">
        <v>29</v>
      </c>
      <c r="F337" s="2" t="s">
        <v>45</v>
      </c>
      <c r="G337" s="2" t="s">
        <v>31</v>
      </c>
      <c r="H337" s="2" t="s">
        <v>32</v>
      </c>
      <c r="I337" s="2" t="s">
        <v>33</v>
      </c>
      <c r="J337" s="2" t="s">
        <v>34</v>
      </c>
      <c r="K337" s="2" t="s">
        <v>332</v>
      </c>
      <c r="L337" s="2" t="s">
        <v>333</v>
      </c>
      <c r="M337" s="2" t="s">
        <v>34</v>
      </c>
      <c r="N337" s="2" t="s">
        <v>37</v>
      </c>
      <c r="O337" s="2" t="s">
        <v>38</v>
      </c>
      <c r="P337" s="2" t="s">
        <v>39</v>
      </c>
      <c r="Q337" s="2" t="s">
        <v>40</v>
      </c>
      <c r="R337" s="2" t="s">
        <v>48</v>
      </c>
      <c r="S337" s="2" t="s">
        <v>42</v>
      </c>
      <c r="T337" s="2" t="s">
        <v>49</v>
      </c>
      <c r="U337" s="2" t="s">
        <v>50</v>
      </c>
      <c r="V337" s="2" t="s">
        <v>57</v>
      </c>
      <c r="W337" s="2" t="s">
        <v>34</v>
      </c>
      <c r="X337" s="2" t="s">
        <v>34</v>
      </c>
      <c r="Y337" s="3">
        <v>3.0</v>
      </c>
    </row>
    <row r="338" ht="15.75" customHeight="1">
      <c r="A338" s="2" t="s">
        <v>25</v>
      </c>
      <c r="B338" s="2" t="s">
        <v>26</v>
      </c>
      <c r="C338" s="2" t="s">
        <v>44</v>
      </c>
      <c r="D338" s="2" t="s">
        <v>28</v>
      </c>
      <c r="E338" s="2" t="s">
        <v>29</v>
      </c>
      <c r="F338" s="2" t="s">
        <v>45</v>
      </c>
      <c r="G338" s="2" t="s">
        <v>31</v>
      </c>
      <c r="H338" s="2" t="s">
        <v>32</v>
      </c>
      <c r="I338" s="2" t="s">
        <v>33</v>
      </c>
      <c r="J338" s="2" t="s">
        <v>34</v>
      </c>
      <c r="K338" s="2" t="s">
        <v>263</v>
      </c>
      <c r="L338" s="2" t="s">
        <v>264</v>
      </c>
      <c r="M338" s="2" t="s">
        <v>34</v>
      </c>
      <c r="N338" s="2" t="s">
        <v>37</v>
      </c>
      <c r="O338" s="2" t="s">
        <v>38</v>
      </c>
      <c r="P338" s="2" t="s">
        <v>39</v>
      </c>
      <c r="Q338" s="2" t="s">
        <v>40</v>
      </c>
      <c r="R338" s="2" t="s">
        <v>48</v>
      </c>
      <c r="S338" s="2" t="s">
        <v>42</v>
      </c>
      <c r="T338" s="2" t="s">
        <v>49</v>
      </c>
      <c r="U338" s="2" t="s">
        <v>50</v>
      </c>
      <c r="V338" s="2" t="s">
        <v>57</v>
      </c>
      <c r="W338" s="2" t="s">
        <v>34</v>
      </c>
      <c r="X338" s="2" t="s">
        <v>34</v>
      </c>
      <c r="Y338" s="3">
        <v>3.0</v>
      </c>
    </row>
    <row r="339" ht="15.75" customHeight="1">
      <c r="A339" s="2" t="s">
        <v>25</v>
      </c>
      <c r="B339" s="2" t="s">
        <v>26</v>
      </c>
      <c r="C339" s="2" t="s">
        <v>44</v>
      </c>
      <c r="D339" s="2" t="s">
        <v>28</v>
      </c>
      <c r="E339" s="2" t="s">
        <v>29</v>
      </c>
      <c r="F339" s="2" t="s">
        <v>45</v>
      </c>
      <c r="G339" s="2" t="s">
        <v>31</v>
      </c>
      <c r="H339" s="2" t="s">
        <v>32</v>
      </c>
      <c r="I339" s="2" t="s">
        <v>33</v>
      </c>
      <c r="J339" s="2" t="s">
        <v>34</v>
      </c>
      <c r="K339" s="2" t="s">
        <v>451</v>
      </c>
      <c r="L339" s="2" t="s">
        <v>452</v>
      </c>
      <c r="M339" s="2" t="s">
        <v>34</v>
      </c>
      <c r="N339" s="2" t="s">
        <v>37</v>
      </c>
      <c r="O339" s="2" t="s">
        <v>38</v>
      </c>
      <c r="P339" s="2" t="s">
        <v>39</v>
      </c>
      <c r="Q339" s="2" t="s">
        <v>40</v>
      </c>
      <c r="R339" s="2" t="s">
        <v>48</v>
      </c>
      <c r="S339" s="2" t="s">
        <v>42</v>
      </c>
      <c r="T339" s="2" t="s">
        <v>49</v>
      </c>
      <c r="U339" s="2" t="s">
        <v>50</v>
      </c>
      <c r="V339" s="2" t="s">
        <v>57</v>
      </c>
      <c r="W339" s="2" t="s">
        <v>34</v>
      </c>
      <c r="X339" s="2" t="s">
        <v>34</v>
      </c>
      <c r="Y339" s="3">
        <v>3.0</v>
      </c>
    </row>
    <row r="340" ht="15.75" customHeight="1">
      <c r="A340" s="2" t="s">
        <v>25</v>
      </c>
      <c r="B340" s="2" t="s">
        <v>26</v>
      </c>
      <c r="C340" s="2" t="s">
        <v>44</v>
      </c>
      <c r="D340" s="2" t="s">
        <v>28</v>
      </c>
      <c r="E340" s="2" t="s">
        <v>29</v>
      </c>
      <c r="F340" s="2" t="s">
        <v>45</v>
      </c>
      <c r="G340" s="2" t="s">
        <v>31</v>
      </c>
      <c r="H340" s="2" t="s">
        <v>32</v>
      </c>
      <c r="I340" s="2" t="s">
        <v>33</v>
      </c>
      <c r="J340" s="2" t="s">
        <v>34</v>
      </c>
      <c r="K340" s="2" t="s">
        <v>493</v>
      </c>
      <c r="L340" s="2" t="s">
        <v>494</v>
      </c>
      <c r="M340" s="2" t="s">
        <v>34</v>
      </c>
      <c r="N340" s="2" t="s">
        <v>37</v>
      </c>
      <c r="O340" s="2" t="s">
        <v>38</v>
      </c>
      <c r="P340" s="2" t="s">
        <v>39</v>
      </c>
      <c r="Q340" s="2" t="s">
        <v>40</v>
      </c>
      <c r="R340" s="2" t="s">
        <v>48</v>
      </c>
      <c r="S340" s="2" t="s">
        <v>42</v>
      </c>
      <c r="T340" s="2" t="s">
        <v>49</v>
      </c>
      <c r="U340" s="2" t="s">
        <v>50</v>
      </c>
      <c r="V340" s="2" t="s">
        <v>57</v>
      </c>
      <c r="W340" s="2" t="s">
        <v>34</v>
      </c>
      <c r="X340" s="2" t="s">
        <v>34</v>
      </c>
      <c r="Y340" s="3">
        <v>3.0</v>
      </c>
    </row>
    <row r="341" ht="15.75" customHeight="1">
      <c r="A341" s="2" t="s">
        <v>25</v>
      </c>
      <c r="B341" s="2" t="s">
        <v>26</v>
      </c>
      <c r="C341" s="2" t="s">
        <v>44</v>
      </c>
      <c r="D341" s="2" t="s">
        <v>28</v>
      </c>
      <c r="E341" s="2" t="s">
        <v>29</v>
      </c>
      <c r="F341" s="2" t="s">
        <v>45</v>
      </c>
      <c r="G341" s="2" t="s">
        <v>31</v>
      </c>
      <c r="H341" s="2" t="s">
        <v>32</v>
      </c>
      <c r="I341" s="2" t="s">
        <v>33</v>
      </c>
      <c r="J341" s="2" t="s">
        <v>34</v>
      </c>
      <c r="K341" s="2" t="s">
        <v>265</v>
      </c>
      <c r="L341" s="2" t="s">
        <v>266</v>
      </c>
      <c r="M341" s="2" t="s">
        <v>34</v>
      </c>
      <c r="N341" s="2" t="s">
        <v>37</v>
      </c>
      <c r="O341" s="2" t="s">
        <v>38</v>
      </c>
      <c r="P341" s="2" t="s">
        <v>39</v>
      </c>
      <c r="Q341" s="2" t="s">
        <v>40</v>
      </c>
      <c r="R341" s="2" t="s">
        <v>48</v>
      </c>
      <c r="S341" s="2" t="s">
        <v>42</v>
      </c>
      <c r="T341" s="2" t="s">
        <v>49</v>
      </c>
      <c r="U341" s="2" t="s">
        <v>50</v>
      </c>
      <c r="V341" s="2" t="s">
        <v>57</v>
      </c>
      <c r="W341" s="2" t="s">
        <v>34</v>
      </c>
      <c r="X341" s="2" t="s">
        <v>34</v>
      </c>
      <c r="Y341" s="3">
        <v>3.0</v>
      </c>
    </row>
    <row r="342" ht="15.75" customHeight="1">
      <c r="A342" s="2" t="s">
        <v>25</v>
      </c>
      <c r="B342" s="2" t="s">
        <v>26</v>
      </c>
      <c r="C342" s="2" t="s">
        <v>44</v>
      </c>
      <c r="D342" s="2" t="s">
        <v>28</v>
      </c>
      <c r="E342" s="2" t="s">
        <v>29</v>
      </c>
      <c r="F342" s="2" t="s">
        <v>45</v>
      </c>
      <c r="G342" s="2" t="s">
        <v>31</v>
      </c>
      <c r="H342" s="2" t="s">
        <v>32</v>
      </c>
      <c r="I342" s="2" t="s">
        <v>33</v>
      </c>
      <c r="J342" s="2" t="s">
        <v>34</v>
      </c>
      <c r="K342" s="2" t="s">
        <v>96</v>
      </c>
      <c r="L342" s="2" t="s">
        <v>97</v>
      </c>
      <c r="M342" s="2" t="s">
        <v>34</v>
      </c>
      <c r="N342" s="2" t="s">
        <v>37</v>
      </c>
      <c r="O342" s="2" t="s">
        <v>38</v>
      </c>
      <c r="P342" s="2" t="s">
        <v>39</v>
      </c>
      <c r="Q342" s="2" t="s">
        <v>40</v>
      </c>
      <c r="R342" s="2" t="s">
        <v>48</v>
      </c>
      <c r="S342" s="2" t="s">
        <v>42</v>
      </c>
      <c r="T342" s="2" t="s">
        <v>49</v>
      </c>
      <c r="U342" s="2" t="s">
        <v>50</v>
      </c>
      <c r="V342" s="2" t="s">
        <v>57</v>
      </c>
      <c r="W342" s="2" t="s">
        <v>34</v>
      </c>
      <c r="X342" s="2" t="s">
        <v>34</v>
      </c>
      <c r="Y342" s="3">
        <v>3.0</v>
      </c>
    </row>
    <row r="343" ht="15.75" customHeight="1">
      <c r="A343" s="2" t="s">
        <v>25</v>
      </c>
      <c r="B343" s="2" t="s">
        <v>26</v>
      </c>
      <c r="C343" s="2" t="s">
        <v>44</v>
      </c>
      <c r="D343" s="2" t="s">
        <v>28</v>
      </c>
      <c r="E343" s="2" t="s">
        <v>29</v>
      </c>
      <c r="F343" s="2" t="s">
        <v>45</v>
      </c>
      <c r="G343" s="2" t="s">
        <v>31</v>
      </c>
      <c r="H343" s="2" t="s">
        <v>32</v>
      </c>
      <c r="I343" s="2" t="s">
        <v>33</v>
      </c>
      <c r="J343" s="2" t="s">
        <v>34</v>
      </c>
      <c r="K343" s="2" t="s">
        <v>183</v>
      </c>
      <c r="L343" s="2" t="s">
        <v>184</v>
      </c>
      <c r="M343" s="2" t="s">
        <v>34</v>
      </c>
      <c r="N343" s="2" t="s">
        <v>37</v>
      </c>
      <c r="O343" s="2" t="s">
        <v>38</v>
      </c>
      <c r="P343" s="2" t="s">
        <v>39</v>
      </c>
      <c r="Q343" s="2" t="s">
        <v>40</v>
      </c>
      <c r="R343" s="2" t="s">
        <v>48</v>
      </c>
      <c r="S343" s="2" t="s">
        <v>42</v>
      </c>
      <c r="T343" s="2" t="s">
        <v>49</v>
      </c>
      <c r="U343" s="2" t="s">
        <v>50</v>
      </c>
      <c r="V343" s="2" t="s">
        <v>57</v>
      </c>
      <c r="W343" s="2" t="s">
        <v>34</v>
      </c>
      <c r="X343" s="2" t="s">
        <v>34</v>
      </c>
      <c r="Y343" s="3">
        <v>3.0</v>
      </c>
    </row>
    <row r="344" ht="15.75" customHeight="1">
      <c r="A344" s="2" t="s">
        <v>25</v>
      </c>
      <c r="B344" s="2" t="s">
        <v>26</v>
      </c>
      <c r="C344" s="2" t="s">
        <v>44</v>
      </c>
      <c r="D344" s="2" t="s">
        <v>28</v>
      </c>
      <c r="E344" s="2" t="s">
        <v>29</v>
      </c>
      <c r="F344" s="2" t="s">
        <v>45</v>
      </c>
      <c r="G344" s="2" t="s">
        <v>31</v>
      </c>
      <c r="H344" s="2" t="s">
        <v>32</v>
      </c>
      <c r="I344" s="2" t="s">
        <v>33</v>
      </c>
      <c r="J344" s="2" t="s">
        <v>34</v>
      </c>
      <c r="K344" s="2" t="s">
        <v>412</v>
      </c>
      <c r="L344" s="2" t="s">
        <v>413</v>
      </c>
      <c r="M344" s="2" t="s">
        <v>34</v>
      </c>
      <c r="N344" s="2" t="s">
        <v>37</v>
      </c>
      <c r="O344" s="2" t="s">
        <v>38</v>
      </c>
      <c r="P344" s="2" t="s">
        <v>39</v>
      </c>
      <c r="Q344" s="2" t="s">
        <v>40</v>
      </c>
      <c r="R344" s="2" t="s">
        <v>48</v>
      </c>
      <c r="S344" s="2" t="s">
        <v>42</v>
      </c>
      <c r="T344" s="2" t="s">
        <v>49</v>
      </c>
      <c r="U344" s="2" t="s">
        <v>50</v>
      </c>
      <c r="V344" s="2" t="s">
        <v>57</v>
      </c>
      <c r="W344" s="2" t="s">
        <v>34</v>
      </c>
      <c r="X344" s="2" t="s">
        <v>34</v>
      </c>
      <c r="Y344" s="3">
        <v>3.0</v>
      </c>
    </row>
    <row r="345" ht="15.75" customHeight="1">
      <c r="A345" s="2" t="s">
        <v>25</v>
      </c>
      <c r="B345" s="2" t="s">
        <v>26</v>
      </c>
      <c r="C345" s="2" t="s">
        <v>44</v>
      </c>
      <c r="D345" s="2" t="s">
        <v>28</v>
      </c>
      <c r="E345" s="2" t="s">
        <v>29</v>
      </c>
      <c r="F345" s="2" t="s">
        <v>45</v>
      </c>
      <c r="G345" s="2" t="s">
        <v>31</v>
      </c>
      <c r="H345" s="2" t="s">
        <v>32</v>
      </c>
      <c r="I345" s="2" t="s">
        <v>33</v>
      </c>
      <c r="J345" s="2" t="s">
        <v>34</v>
      </c>
      <c r="K345" s="2" t="s">
        <v>453</v>
      </c>
      <c r="L345" s="2" t="s">
        <v>454</v>
      </c>
      <c r="M345" s="2" t="s">
        <v>34</v>
      </c>
      <c r="N345" s="2" t="s">
        <v>37</v>
      </c>
      <c r="O345" s="2" t="s">
        <v>38</v>
      </c>
      <c r="P345" s="2" t="s">
        <v>39</v>
      </c>
      <c r="Q345" s="2" t="s">
        <v>40</v>
      </c>
      <c r="R345" s="2" t="s">
        <v>48</v>
      </c>
      <c r="S345" s="2" t="s">
        <v>42</v>
      </c>
      <c r="T345" s="2" t="s">
        <v>49</v>
      </c>
      <c r="U345" s="2" t="s">
        <v>50</v>
      </c>
      <c r="V345" s="2" t="s">
        <v>57</v>
      </c>
      <c r="W345" s="2" t="s">
        <v>34</v>
      </c>
      <c r="X345" s="2" t="s">
        <v>34</v>
      </c>
      <c r="Y345" s="3">
        <v>3.0</v>
      </c>
    </row>
    <row r="346" ht="15.75" customHeight="1">
      <c r="A346" s="2" t="s">
        <v>25</v>
      </c>
      <c r="B346" s="2" t="s">
        <v>26</v>
      </c>
      <c r="C346" s="2" t="s">
        <v>44</v>
      </c>
      <c r="D346" s="2" t="s">
        <v>28</v>
      </c>
      <c r="E346" s="2" t="s">
        <v>29</v>
      </c>
      <c r="F346" s="2" t="s">
        <v>45</v>
      </c>
      <c r="G346" s="2" t="s">
        <v>31</v>
      </c>
      <c r="H346" s="2" t="s">
        <v>32</v>
      </c>
      <c r="I346" s="2" t="s">
        <v>33</v>
      </c>
      <c r="J346" s="2" t="s">
        <v>34</v>
      </c>
      <c r="K346" s="2" t="s">
        <v>185</v>
      </c>
      <c r="L346" s="2" t="s">
        <v>186</v>
      </c>
      <c r="M346" s="2" t="s">
        <v>34</v>
      </c>
      <c r="N346" s="2" t="s">
        <v>37</v>
      </c>
      <c r="O346" s="2" t="s">
        <v>38</v>
      </c>
      <c r="P346" s="2" t="s">
        <v>39</v>
      </c>
      <c r="Q346" s="2" t="s">
        <v>40</v>
      </c>
      <c r="R346" s="2" t="s">
        <v>48</v>
      </c>
      <c r="S346" s="2" t="s">
        <v>42</v>
      </c>
      <c r="T346" s="2" t="s">
        <v>49</v>
      </c>
      <c r="U346" s="2" t="s">
        <v>50</v>
      </c>
      <c r="V346" s="2" t="s">
        <v>57</v>
      </c>
      <c r="W346" s="2" t="s">
        <v>34</v>
      </c>
      <c r="X346" s="2" t="s">
        <v>34</v>
      </c>
      <c r="Y346" s="3">
        <v>3.0</v>
      </c>
    </row>
    <row r="347" ht="15.75" customHeight="1">
      <c r="A347" s="2" t="s">
        <v>25</v>
      </c>
      <c r="B347" s="2" t="s">
        <v>26</v>
      </c>
      <c r="C347" s="2" t="s">
        <v>44</v>
      </c>
      <c r="D347" s="2" t="s">
        <v>28</v>
      </c>
      <c r="E347" s="2" t="s">
        <v>29</v>
      </c>
      <c r="F347" s="2" t="s">
        <v>45</v>
      </c>
      <c r="G347" s="2" t="s">
        <v>31</v>
      </c>
      <c r="H347" s="2" t="s">
        <v>32</v>
      </c>
      <c r="I347" s="2" t="s">
        <v>33</v>
      </c>
      <c r="J347" s="2" t="s">
        <v>34</v>
      </c>
      <c r="K347" s="2" t="s">
        <v>491</v>
      </c>
      <c r="L347" s="2" t="s">
        <v>492</v>
      </c>
      <c r="M347" s="2" t="s">
        <v>34</v>
      </c>
      <c r="N347" s="2" t="s">
        <v>37</v>
      </c>
      <c r="O347" s="2" t="s">
        <v>38</v>
      </c>
      <c r="P347" s="2" t="s">
        <v>39</v>
      </c>
      <c r="Q347" s="2" t="s">
        <v>40</v>
      </c>
      <c r="R347" s="2" t="s">
        <v>48</v>
      </c>
      <c r="S347" s="2" t="s">
        <v>42</v>
      </c>
      <c r="T347" s="2" t="s">
        <v>49</v>
      </c>
      <c r="U347" s="2" t="s">
        <v>50</v>
      </c>
      <c r="V347" s="2" t="s">
        <v>57</v>
      </c>
      <c r="W347" s="2" t="s">
        <v>34</v>
      </c>
      <c r="X347" s="2" t="s">
        <v>34</v>
      </c>
      <c r="Y347" s="3">
        <v>3.0</v>
      </c>
    </row>
    <row r="348" ht="15.75" customHeight="1">
      <c r="A348" s="2" t="s">
        <v>25</v>
      </c>
      <c r="B348" s="2" t="s">
        <v>26</v>
      </c>
      <c r="C348" s="2" t="s">
        <v>44</v>
      </c>
      <c r="D348" s="2" t="s">
        <v>28</v>
      </c>
      <c r="E348" s="2" t="s">
        <v>29</v>
      </c>
      <c r="F348" s="2" t="s">
        <v>45</v>
      </c>
      <c r="G348" s="2" t="s">
        <v>31</v>
      </c>
      <c r="H348" s="2" t="s">
        <v>32</v>
      </c>
      <c r="I348" s="2" t="s">
        <v>33</v>
      </c>
      <c r="J348" s="2" t="s">
        <v>34</v>
      </c>
      <c r="K348" s="2" t="s">
        <v>330</v>
      </c>
      <c r="L348" s="2" t="s">
        <v>331</v>
      </c>
      <c r="M348" s="2" t="s">
        <v>34</v>
      </c>
      <c r="N348" s="2" t="s">
        <v>37</v>
      </c>
      <c r="O348" s="2" t="s">
        <v>38</v>
      </c>
      <c r="P348" s="2" t="s">
        <v>39</v>
      </c>
      <c r="Q348" s="2" t="s">
        <v>40</v>
      </c>
      <c r="R348" s="2" t="s">
        <v>48</v>
      </c>
      <c r="S348" s="2" t="s">
        <v>42</v>
      </c>
      <c r="T348" s="2" t="s">
        <v>49</v>
      </c>
      <c r="U348" s="2" t="s">
        <v>50</v>
      </c>
      <c r="V348" s="2" t="s">
        <v>57</v>
      </c>
      <c r="W348" s="2" t="s">
        <v>34</v>
      </c>
      <c r="X348" s="2" t="s">
        <v>34</v>
      </c>
      <c r="Y348" s="3">
        <v>3.0</v>
      </c>
    </row>
    <row r="349" ht="15.75" customHeight="1">
      <c r="A349" s="2" t="s">
        <v>25</v>
      </c>
      <c r="B349" s="2" t="s">
        <v>26</v>
      </c>
      <c r="C349" s="2" t="s">
        <v>44</v>
      </c>
      <c r="D349" s="2" t="s">
        <v>28</v>
      </c>
      <c r="E349" s="2" t="s">
        <v>29</v>
      </c>
      <c r="F349" s="2" t="s">
        <v>45</v>
      </c>
      <c r="G349" s="2" t="s">
        <v>31</v>
      </c>
      <c r="H349" s="2" t="s">
        <v>32</v>
      </c>
      <c r="I349" s="2" t="s">
        <v>33</v>
      </c>
      <c r="J349" s="2" t="s">
        <v>34</v>
      </c>
      <c r="K349" s="2" t="s">
        <v>410</v>
      </c>
      <c r="L349" s="2" t="s">
        <v>411</v>
      </c>
      <c r="M349" s="2" t="s">
        <v>34</v>
      </c>
      <c r="N349" s="2" t="s">
        <v>37</v>
      </c>
      <c r="O349" s="2" t="s">
        <v>38</v>
      </c>
      <c r="P349" s="2" t="s">
        <v>39</v>
      </c>
      <c r="Q349" s="2" t="s">
        <v>40</v>
      </c>
      <c r="R349" s="2" t="s">
        <v>48</v>
      </c>
      <c r="S349" s="2" t="s">
        <v>42</v>
      </c>
      <c r="T349" s="2" t="s">
        <v>49</v>
      </c>
      <c r="U349" s="2" t="s">
        <v>50</v>
      </c>
      <c r="V349" s="2" t="s">
        <v>57</v>
      </c>
      <c r="W349" s="2" t="s">
        <v>34</v>
      </c>
      <c r="X349" s="2" t="s">
        <v>34</v>
      </c>
      <c r="Y349" s="3">
        <v>3.0</v>
      </c>
    </row>
    <row r="350" ht="15.75" customHeight="1">
      <c r="A350" s="2" t="s">
        <v>25</v>
      </c>
      <c r="B350" s="2" t="s">
        <v>26</v>
      </c>
      <c r="C350" s="2" t="s">
        <v>44</v>
      </c>
      <c r="D350" s="2" t="s">
        <v>28</v>
      </c>
      <c r="E350" s="2" t="s">
        <v>29</v>
      </c>
      <c r="F350" s="2" t="s">
        <v>45</v>
      </c>
      <c r="G350" s="2" t="s">
        <v>31</v>
      </c>
      <c r="H350" s="2" t="s">
        <v>32</v>
      </c>
      <c r="I350" s="2" t="s">
        <v>33</v>
      </c>
      <c r="J350" s="2" t="s">
        <v>34</v>
      </c>
      <c r="K350" s="2" t="s">
        <v>455</v>
      </c>
      <c r="L350" s="2" t="s">
        <v>456</v>
      </c>
      <c r="M350" s="2" t="s">
        <v>34</v>
      </c>
      <c r="N350" s="2" t="s">
        <v>37</v>
      </c>
      <c r="O350" s="2" t="s">
        <v>38</v>
      </c>
      <c r="P350" s="2" t="s">
        <v>39</v>
      </c>
      <c r="Q350" s="2" t="s">
        <v>40</v>
      </c>
      <c r="R350" s="2" t="s">
        <v>48</v>
      </c>
      <c r="S350" s="2" t="s">
        <v>42</v>
      </c>
      <c r="T350" s="2" t="s">
        <v>49</v>
      </c>
      <c r="U350" s="2" t="s">
        <v>50</v>
      </c>
      <c r="V350" s="2" t="s">
        <v>57</v>
      </c>
      <c r="W350" s="2" t="s">
        <v>34</v>
      </c>
      <c r="X350" s="2" t="s">
        <v>34</v>
      </c>
      <c r="Y350" s="3">
        <v>3.0</v>
      </c>
    </row>
    <row r="351" ht="15.75" customHeight="1">
      <c r="A351" s="2" t="s">
        <v>25</v>
      </c>
      <c r="B351" s="2" t="s">
        <v>26</v>
      </c>
      <c r="C351" s="2" t="s">
        <v>44</v>
      </c>
      <c r="D351" s="2" t="s">
        <v>28</v>
      </c>
      <c r="E351" s="2" t="s">
        <v>29</v>
      </c>
      <c r="F351" s="2" t="s">
        <v>45</v>
      </c>
      <c r="G351" s="2" t="s">
        <v>31</v>
      </c>
      <c r="H351" s="2" t="s">
        <v>32</v>
      </c>
      <c r="I351" s="2" t="s">
        <v>33</v>
      </c>
      <c r="J351" s="2" t="s">
        <v>34</v>
      </c>
      <c r="K351" s="2" t="s">
        <v>489</v>
      </c>
      <c r="L351" s="2" t="s">
        <v>490</v>
      </c>
      <c r="M351" s="2" t="s">
        <v>34</v>
      </c>
      <c r="N351" s="2" t="s">
        <v>37</v>
      </c>
      <c r="O351" s="2" t="s">
        <v>38</v>
      </c>
      <c r="P351" s="2" t="s">
        <v>39</v>
      </c>
      <c r="Q351" s="2" t="s">
        <v>40</v>
      </c>
      <c r="R351" s="2" t="s">
        <v>48</v>
      </c>
      <c r="S351" s="2" t="s">
        <v>42</v>
      </c>
      <c r="T351" s="2" t="s">
        <v>49</v>
      </c>
      <c r="U351" s="2" t="s">
        <v>50</v>
      </c>
      <c r="V351" s="2" t="s">
        <v>57</v>
      </c>
      <c r="W351" s="2" t="s">
        <v>34</v>
      </c>
      <c r="X351" s="2" t="s">
        <v>34</v>
      </c>
      <c r="Y351" s="3">
        <v>3.0</v>
      </c>
    </row>
    <row r="352" ht="15.75" customHeight="1">
      <c r="A352" s="2" t="s">
        <v>25</v>
      </c>
      <c r="B352" s="2" t="s">
        <v>26</v>
      </c>
      <c r="C352" s="2" t="s">
        <v>44</v>
      </c>
      <c r="D352" s="2" t="s">
        <v>28</v>
      </c>
      <c r="E352" s="2" t="s">
        <v>29</v>
      </c>
      <c r="F352" s="2" t="s">
        <v>45</v>
      </c>
      <c r="G352" s="2" t="s">
        <v>31</v>
      </c>
      <c r="H352" s="2" t="s">
        <v>32</v>
      </c>
      <c r="I352" s="2" t="s">
        <v>33</v>
      </c>
      <c r="J352" s="2" t="s">
        <v>34</v>
      </c>
      <c r="K352" s="2" t="s">
        <v>102</v>
      </c>
      <c r="L352" s="2" t="s">
        <v>103</v>
      </c>
      <c r="M352" s="2" t="s">
        <v>34</v>
      </c>
      <c r="N352" s="2" t="s">
        <v>37</v>
      </c>
      <c r="O352" s="2" t="s">
        <v>38</v>
      </c>
      <c r="P352" s="2" t="s">
        <v>39</v>
      </c>
      <c r="Q352" s="2" t="s">
        <v>40</v>
      </c>
      <c r="R352" s="2" t="s">
        <v>48</v>
      </c>
      <c r="S352" s="2" t="s">
        <v>42</v>
      </c>
      <c r="T352" s="2" t="s">
        <v>49</v>
      </c>
      <c r="U352" s="2" t="s">
        <v>50</v>
      </c>
      <c r="V352" s="2" t="s">
        <v>57</v>
      </c>
      <c r="W352" s="2" t="s">
        <v>34</v>
      </c>
      <c r="X352" s="2" t="s">
        <v>34</v>
      </c>
      <c r="Y352" s="3">
        <v>3.0</v>
      </c>
    </row>
    <row r="353" ht="15.75" customHeight="1">
      <c r="A353" s="2" t="s">
        <v>25</v>
      </c>
      <c r="B353" s="2" t="s">
        <v>26</v>
      </c>
      <c r="C353" s="2" t="s">
        <v>44</v>
      </c>
      <c r="D353" s="2" t="s">
        <v>28</v>
      </c>
      <c r="E353" s="2" t="s">
        <v>29</v>
      </c>
      <c r="F353" s="2" t="s">
        <v>45</v>
      </c>
      <c r="G353" s="2" t="s">
        <v>31</v>
      </c>
      <c r="H353" s="2" t="s">
        <v>32</v>
      </c>
      <c r="I353" s="2" t="s">
        <v>33</v>
      </c>
      <c r="J353" s="2" t="s">
        <v>34</v>
      </c>
      <c r="K353" s="2" t="s">
        <v>457</v>
      </c>
      <c r="L353" s="2" t="s">
        <v>458</v>
      </c>
      <c r="M353" s="2" t="s">
        <v>34</v>
      </c>
      <c r="N353" s="2" t="s">
        <v>37</v>
      </c>
      <c r="O353" s="2" t="s">
        <v>38</v>
      </c>
      <c r="P353" s="2" t="s">
        <v>39</v>
      </c>
      <c r="Q353" s="2" t="s">
        <v>40</v>
      </c>
      <c r="R353" s="2" t="s">
        <v>48</v>
      </c>
      <c r="S353" s="2" t="s">
        <v>42</v>
      </c>
      <c r="T353" s="2" t="s">
        <v>49</v>
      </c>
      <c r="U353" s="2" t="s">
        <v>50</v>
      </c>
      <c r="V353" s="2" t="s">
        <v>57</v>
      </c>
      <c r="W353" s="2" t="s">
        <v>34</v>
      </c>
      <c r="X353" s="2" t="s">
        <v>34</v>
      </c>
      <c r="Y353" s="3">
        <v>3.0</v>
      </c>
    </row>
    <row r="354" ht="15.75" customHeight="1">
      <c r="A354" s="2" t="s">
        <v>25</v>
      </c>
      <c r="B354" s="2" t="s">
        <v>26</v>
      </c>
      <c r="C354" s="2" t="s">
        <v>44</v>
      </c>
      <c r="D354" s="2" t="s">
        <v>28</v>
      </c>
      <c r="E354" s="2" t="s">
        <v>29</v>
      </c>
      <c r="F354" s="2" t="s">
        <v>45</v>
      </c>
      <c r="G354" s="2" t="s">
        <v>31</v>
      </c>
      <c r="H354" s="2" t="s">
        <v>32</v>
      </c>
      <c r="I354" s="2" t="s">
        <v>33</v>
      </c>
      <c r="J354" s="2" t="s">
        <v>34</v>
      </c>
      <c r="K354" s="2" t="s">
        <v>459</v>
      </c>
      <c r="L354" s="2" t="s">
        <v>460</v>
      </c>
      <c r="M354" s="2" t="s">
        <v>34</v>
      </c>
      <c r="N354" s="2" t="s">
        <v>37</v>
      </c>
      <c r="O354" s="2" t="s">
        <v>38</v>
      </c>
      <c r="P354" s="2" t="s">
        <v>39</v>
      </c>
      <c r="Q354" s="2" t="s">
        <v>40</v>
      </c>
      <c r="R354" s="2" t="s">
        <v>48</v>
      </c>
      <c r="S354" s="2" t="s">
        <v>42</v>
      </c>
      <c r="T354" s="2" t="s">
        <v>49</v>
      </c>
      <c r="U354" s="2" t="s">
        <v>50</v>
      </c>
      <c r="V354" s="2" t="s">
        <v>57</v>
      </c>
      <c r="W354" s="2" t="s">
        <v>34</v>
      </c>
      <c r="X354" s="2" t="s">
        <v>34</v>
      </c>
      <c r="Y354" s="3">
        <v>3.0</v>
      </c>
    </row>
    <row r="355" ht="15.75" customHeight="1">
      <c r="A355" s="2" t="s">
        <v>25</v>
      </c>
      <c r="B355" s="2" t="s">
        <v>26</v>
      </c>
      <c r="C355" s="2" t="s">
        <v>44</v>
      </c>
      <c r="D355" s="2" t="s">
        <v>28</v>
      </c>
      <c r="E355" s="2" t="s">
        <v>29</v>
      </c>
      <c r="F355" s="2" t="s">
        <v>45</v>
      </c>
      <c r="G355" s="2" t="s">
        <v>31</v>
      </c>
      <c r="H355" s="2" t="s">
        <v>32</v>
      </c>
      <c r="I355" s="2" t="s">
        <v>33</v>
      </c>
      <c r="J355" s="2" t="s">
        <v>34</v>
      </c>
      <c r="K355" s="2" t="s">
        <v>461</v>
      </c>
      <c r="L355" s="2" t="s">
        <v>462</v>
      </c>
      <c r="M355" s="2" t="s">
        <v>34</v>
      </c>
      <c r="N355" s="2" t="s">
        <v>37</v>
      </c>
      <c r="O355" s="2" t="s">
        <v>38</v>
      </c>
      <c r="P355" s="2" t="s">
        <v>39</v>
      </c>
      <c r="Q355" s="2" t="s">
        <v>40</v>
      </c>
      <c r="R355" s="2" t="s">
        <v>48</v>
      </c>
      <c r="S355" s="2" t="s">
        <v>42</v>
      </c>
      <c r="T355" s="2" t="s">
        <v>49</v>
      </c>
      <c r="U355" s="2" t="s">
        <v>50</v>
      </c>
      <c r="V355" s="2" t="s">
        <v>57</v>
      </c>
      <c r="W355" s="2" t="s">
        <v>34</v>
      </c>
      <c r="X355" s="2" t="s">
        <v>34</v>
      </c>
      <c r="Y355" s="3">
        <v>3.0</v>
      </c>
    </row>
    <row r="356" ht="15.75" customHeight="1">
      <c r="A356" s="2" t="s">
        <v>25</v>
      </c>
      <c r="B356" s="2" t="s">
        <v>26</v>
      </c>
      <c r="C356" s="2" t="s">
        <v>44</v>
      </c>
      <c r="D356" s="2" t="s">
        <v>28</v>
      </c>
      <c r="E356" s="2" t="s">
        <v>29</v>
      </c>
      <c r="F356" s="2" t="s">
        <v>45</v>
      </c>
      <c r="G356" s="2" t="s">
        <v>31</v>
      </c>
      <c r="H356" s="2" t="s">
        <v>32</v>
      </c>
      <c r="I356" s="2" t="s">
        <v>33</v>
      </c>
      <c r="J356" s="2" t="s">
        <v>34</v>
      </c>
      <c r="K356" s="2" t="s">
        <v>404</v>
      </c>
      <c r="L356" s="2" t="s">
        <v>405</v>
      </c>
      <c r="M356" s="2" t="s">
        <v>34</v>
      </c>
      <c r="N356" s="2" t="s">
        <v>37</v>
      </c>
      <c r="O356" s="2" t="s">
        <v>38</v>
      </c>
      <c r="P356" s="2" t="s">
        <v>39</v>
      </c>
      <c r="Q356" s="2" t="s">
        <v>40</v>
      </c>
      <c r="R356" s="2" t="s">
        <v>48</v>
      </c>
      <c r="S356" s="2" t="s">
        <v>42</v>
      </c>
      <c r="T356" s="2" t="s">
        <v>49</v>
      </c>
      <c r="U356" s="2" t="s">
        <v>50</v>
      </c>
      <c r="V356" s="2" t="s">
        <v>57</v>
      </c>
      <c r="W356" s="2" t="s">
        <v>34</v>
      </c>
      <c r="X356" s="2" t="s">
        <v>34</v>
      </c>
      <c r="Y356" s="3">
        <v>3.0</v>
      </c>
    </row>
    <row r="357" ht="15.75" customHeight="1">
      <c r="A357" s="2" t="s">
        <v>25</v>
      </c>
      <c r="B357" s="2" t="s">
        <v>26</v>
      </c>
      <c r="C357" s="2" t="s">
        <v>44</v>
      </c>
      <c r="D357" s="2" t="s">
        <v>28</v>
      </c>
      <c r="E357" s="2" t="s">
        <v>29</v>
      </c>
      <c r="F357" s="2" t="s">
        <v>45</v>
      </c>
      <c r="G357" s="2" t="s">
        <v>31</v>
      </c>
      <c r="H357" s="2" t="s">
        <v>32</v>
      </c>
      <c r="I357" s="2" t="s">
        <v>33</v>
      </c>
      <c r="J357" s="2" t="s">
        <v>34</v>
      </c>
      <c r="K357" s="2" t="s">
        <v>463</v>
      </c>
      <c r="L357" s="2" t="s">
        <v>464</v>
      </c>
      <c r="M357" s="2" t="s">
        <v>34</v>
      </c>
      <c r="N357" s="2" t="s">
        <v>37</v>
      </c>
      <c r="O357" s="2" t="s">
        <v>38</v>
      </c>
      <c r="P357" s="2" t="s">
        <v>39</v>
      </c>
      <c r="Q357" s="2" t="s">
        <v>40</v>
      </c>
      <c r="R357" s="2" t="s">
        <v>48</v>
      </c>
      <c r="S357" s="2" t="s">
        <v>42</v>
      </c>
      <c r="T357" s="2" t="s">
        <v>49</v>
      </c>
      <c r="U357" s="2" t="s">
        <v>50</v>
      </c>
      <c r="V357" s="2" t="s">
        <v>57</v>
      </c>
      <c r="W357" s="2" t="s">
        <v>34</v>
      </c>
      <c r="X357" s="2" t="s">
        <v>34</v>
      </c>
      <c r="Y357" s="3">
        <v>3.0</v>
      </c>
    </row>
    <row r="358" ht="15.75" customHeight="1">
      <c r="A358" s="2" t="s">
        <v>25</v>
      </c>
      <c r="B358" s="2" t="s">
        <v>26</v>
      </c>
      <c r="C358" s="2" t="s">
        <v>44</v>
      </c>
      <c r="D358" s="2" t="s">
        <v>28</v>
      </c>
      <c r="E358" s="2" t="s">
        <v>29</v>
      </c>
      <c r="F358" s="2" t="s">
        <v>45</v>
      </c>
      <c r="G358" s="2" t="s">
        <v>31</v>
      </c>
      <c r="H358" s="2" t="s">
        <v>32</v>
      </c>
      <c r="I358" s="2" t="s">
        <v>33</v>
      </c>
      <c r="J358" s="2" t="s">
        <v>34</v>
      </c>
      <c r="K358" s="2" t="s">
        <v>495</v>
      </c>
      <c r="L358" s="2" t="s">
        <v>496</v>
      </c>
      <c r="M358" s="2" t="s">
        <v>34</v>
      </c>
      <c r="N358" s="2" t="s">
        <v>37</v>
      </c>
      <c r="O358" s="2" t="s">
        <v>38</v>
      </c>
      <c r="P358" s="2" t="s">
        <v>39</v>
      </c>
      <c r="Q358" s="2" t="s">
        <v>40</v>
      </c>
      <c r="R358" s="2" t="s">
        <v>48</v>
      </c>
      <c r="S358" s="2" t="s">
        <v>42</v>
      </c>
      <c r="T358" s="2" t="s">
        <v>49</v>
      </c>
      <c r="U358" s="2" t="s">
        <v>50</v>
      </c>
      <c r="V358" s="2" t="s">
        <v>57</v>
      </c>
      <c r="W358" s="2" t="s">
        <v>34</v>
      </c>
      <c r="X358" s="2" t="s">
        <v>34</v>
      </c>
      <c r="Y358" s="3">
        <v>3.0</v>
      </c>
    </row>
    <row r="359" ht="15.75" customHeight="1">
      <c r="A359" s="2" t="s">
        <v>25</v>
      </c>
      <c r="B359" s="2" t="s">
        <v>26</v>
      </c>
      <c r="C359" s="2" t="s">
        <v>44</v>
      </c>
      <c r="D359" s="2" t="s">
        <v>28</v>
      </c>
      <c r="E359" s="2" t="s">
        <v>29</v>
      </c>
      <c r="F359" s="2" t="s">
        <v>45</v>
      </c>
      <c r="G359" s="2" t="s">
        <v>31</v>
      </c>
      <c r="H359" s="2" t="s">
        <v>32</v>
      </c>
      <c r="I359" s="2" t="s">
        <v>33</v>
      </c>
      <c r="J359" s="2" t="s">
        <v>34</v>
      </c>
      <c r="K359" s="2" t="s">
        <v>402</v>
      </c>
      <c r="L359" s="2" t="s">
        <v>403</v>
      </c>
      <c r="M359" s="2" t="s">
        <v>34</v>
      </c>
      <c r="N359" s="2" t="s">
        <v>37</v>
      </c>
      <c r="O359" s="2" t="s">
        <v>38</v>
      </c>
      <c r="P359" s="2" t="s">
        <v>39</v>
      </c>
      <c r="Q359" s="2" t="s">
        <v>40</v>
      </c>
      <c r="R359" s="2" t="s">
        <v>48</v>
      </c>
      <c r="S359" s="2" t="s">
        <v>42</v>
      </c>
      <c r="T359" s="2" t="s">
        <v>49</v>
      </c>
      <c r="U359" s="2" t="s">
        <v>50</v>
      </c>
      <c r="V359" s="2" t="s">
        <v>57</v>
      </c>
      <c r="W359" s="2" t="s">
        <v>34</v>
      </c>
      <c r="X359" s="2" t="s">
        <v>34</v>
      </c>
      <c r="Y359" s="3">
        <v>3.0</v>
      </c>
    </row>
    <row r="360" ht="15.75" customHeight="1">
      <c r="A360" s="2" t="s">
        <v>25</v>
      </c>
      <c r="B360" s="2" t="s">
        <v>26</v>
      </c>
      <c r="C360" s="2" t="s">
        <v>44</v>
      </c>
      <c r="D360" s="2" t="s">
        <v>28</v>
      </c>
      <c r="E360" s="2" t="s">
        <v>29</v>
      </c>
      <c r="F360" s="2" t="s">
        <v>45</v>
      </c>
      <c r="G360" s="2" t="s">
        <v>31</v>
      </c>
      <c r="H360" s="2" t="s">
        <v>32</v>
      </c>
      <c r="I360" s="2" t="s">
        <v>33</v>
      </c>
      <c r="J360" s="2" t="s">
        <v>34</v>
      </c>
      <c r="K360" s="2" t="s">
        <v>90</v>
      </c>
      <c r="L360" s="2" t="s">
        <v>91</v>
      </c>
      <c r="M360" s="2" t="s">
        <v>34</v>
      </c>
      <c r="N360" s="2" t="s">
        <v>75</v>
      </c>
      <c r="O360" s="2" t="s">
        <v>38</v>
      </c>
      <c r="P360" s="2" t="s">
        <v>39</v>
      </c>
      <c r="Q360" s="2" t="s">
        <v>40</v>
      </c>
      <c r="R360" s="2" t="s">
        <v>48</v>
      </c>
      <c r="S360" s="2" t="s">
        <v>42</v>
      </c>
      <c r="T360" s="2" t="s">
        <v>49</v>
      </c>
      <c r="U360" s="2" t="s">
        <v>50</v>
      </c>
      <c r="V360" s="2" t="s">
        <v>57</v>
      </c>
      <c r="W360" s="2" t="s">
        <v>34</v>
      </c>
      <c r="X360" s="2" t="s">
        <v>34</v>
      </c>
      <c r="Y360" s="3">
        <v>3.0</v>
      </c>
    </row>
    <row r="361" ht="15.75" customHeight="1">
      <c r="A361" s="2" t="s">
        <v>25</v>
      </c>
      <c r="B361" s="2" t="s">
        <v>26</v>
      </c>
      <c r="C361" s="2" t="s">
        <v>44</v>
      </c>
      <c r="D361" s="2" t="s">
        <v>28</v>
      </c>
      <c r="E361" s="2" t="s">
        <v>29</v>
      </c>
      <c r="F361" s="2" t="s">
        <v>45</v>
      </c>
      <c r="G361" s="2" t="s">
        <v>31</v>
      </c>
      <c r="H361" s="2" t="s">
        <v>32</v>
      </c>
      <c r="I361" s="2" t="s">
        <v>33</v>
      </c>
      <c r="J361" s="2" t="s">
        <v>34</v>
      </c>
      <c r="K361" s="2" t="s">
        <v>104</v>
      </c>
      <c r="L361" s="2" t="s">
        <v>105</v>
      </c>
      <c r="M361" s="2" t="s">
        <v>34</v>
      </c>
      <c r="N361" s="2" t="s">
        <v>74</v>
      </c>
      <c r="O361" s="2" t="s">
        <v>38</v>
      </c>
      <c r="P361" s="2" t="s">
        <v>39</v>
      </c>
      <c r="Q361" s="2" t="s">
        <v>40</v>
      </c>
      <c r="R361" s="2" t="s">
        <v>48</v>
      </c>
      <c r="S361" s="2" t="s">
        <v>42</v>
      </c>
      <c r="T361" s="2" t="s">
        <v>49</v>
      </c>
      <c r="U361" s="2" t="s">
        <v>50</v>
      </c>
      <c r="V361" s="2" t="s">
        <v>57</v>
      </c>
      <c r="W361" s="2" t="s">
        <v>34</v>
      </c>
      <c r="X361" s="2" t="s">
        <v>34</v>
      </c>
      <c r="Y361" s="3">
        <v>3.0</v>
      </c>
    </row>
    <row r="362" ht="15.75" customHeight="1">
      <c r="A362" s="2" t="s">
        <v>25</v>
      </c>
      <c r="B362" s="2" t="s">
        <v>26</v>
      </c>
      <c r="C362" s="2" t="s">
        <v>44</v>
      </c>
      <c r="D362" s="2" t="s">
        <v>28</v>
      </c>
      <c r="E362" s="2" t="s">
        <v>29</v>
      </c>
      <c r="F362" s="2" t="s">
        <v>45</v>
      </c>
      <c r="G362" s="2" t="s">
        <v>31</v>
      </c>
      <c r="H362" s="2" t="s">
        <v>32</v>
      </c>
      <c r="I362" s="2" t="s">
        <v>33</v>
      </c>
      <c r="J362" s="2" t="s">
        <v>34</v>
      </c>
      <c r="K362" s="2" t="s">
        <v>465</v>
      </c>
      <c r="L362" s="2" t="s">
        <v>466</v>
      </c>
      <c r="M362" s="2" t="s">
        <v>34</v>
      </c>
      <c r="N362" s="2" t="s">
        <v>75</v>
      </c>
      <c r="O362" s="2" t="s">
        <v>38</v>
      </c>
      <c r="P362" s="2" t="s">
        <v>39</v>
      </c>
      <c r="Q362" s="2" t="s">
        <v>40</v>
      </c>
      <c r="R362" s="2" t="s">
        <v>48</v>
      </c>
      <c r="S362" s="2" t="s">
        <v>42</v>
      </c>
      <c r="T362" s="2" t="s">
        <v>49</v>
      </c>
      <c r="U362" s="2" t="s">
        <v>50</v>
      </c>
      <c r="V362" s="2" t="s">
        <v>57</v>
      </c>
      <c r="W362" s="2" t="s">
        <v>34</v>
      </c>
      <c r="X362" s="2" t="s">
        <v>34</v>
      </c>
      <c r="Y362" s="3">
        <v>3.0</v>
      </c>
    </row>
    <row r="363" ht="15.75" customHeight="1">
      <c r="A363" s="2" t="s">
        <v>25</v>
      </c>
      <c r="B363" s="2" t="s">
        <v>26</v>
      </c>
      <c r="C363" s="2" t="s">
        <v>27</v>
      </c>
      <c r="D363" s="2" t="s">
        <v>28</v>
      </c>
      <c r="E363" s="2" t="s">
        <v>29</v>
      </c>
      <c r="F363" s="2" t="s">
        <v>30</v>
      </c>
      <c r="G363" s="2" t="s">
        <v>31</v>
      </c>
      <c r="H363" s="2" t="s">
        <v>32</v>
      </c>
      <c r="I363" s="2" t="s">
        <v>33</v>
      </c>
      <c r="J363" s="2" t="s">
        <v>34</v>
      </c>
      <c r="K363" s="2" t="s">
        <v>187</v>
      </c>
      <c r="L363" s="2" t="s">
        <v>188</v>
      </c>
      <c r="M363" s="2" t="s">
        <v>34</v>
      </c>
      <c r="N363" s="2" t="s">
        <v>37</v>
      </c>
      <c r="O363" s="2" t="s">
        <v>38</v>
      </c>
      <c r="P363" s="2" t="s">
        <v>39</v>
      </c>
      <c r="Q363" s="2" t="s">
        <v>40</v>
      </c>
      <c r="R363" s="2" t="s">
        <v>41</v>
      </c>
      <c r="S363" s="2" t="s">
        <v>42</v>
      </c>
      <c r="T363" s="2" t="s">
        <v>62</v>
      </c>
      <c r="U363" s="2" t="s">
        <v>34</v>
      </c>
      <c r="V363" s="2" t="s">
        <v>65</v>
      </c>
      <c r="W363" s="2" t="s">
        <v>34</v>
      </c>
      <c r="X363" s="2" t="s">
        <v>34</v>
      </c>
      <c r="Y363" s="3">
        <v>7.0</v>
      </c>
    </row>
    <row r="364" ht="15.75" customHeight="1">
      <c r="A364" s="4" t="s">
        <v>34</v>
      </c>
      <c r="B364" s="4" t="s">
        <v>34</v>
      </c>
      <c r="C364" s="4" t="s">
        <v>34</v>
      </c>
      <c r="D364" s="4" t="s">
        <v>34</v>
      </c>
      <c r="E364" s="4" t="s">
        <v>34</v>
      </c>
      <c r="F364" s="4" t="s">
        <v>34</v>
      </c>
      <c r="G364" s="4" t="s">
        <v>34</v>
      </c>
      <c r="H364" s="4" t="s">
        <v>34</v>
      </c>
      <c r="I364" s="4" t="s">
        <v>34</v>
      </c>
      <c r="J364" s="4" t="s">
        <v>34</v>
      </c>
      <c r="K364" s="4" t="s">
        <v>34</v>
      </c>
      <c r="L364" s="4" t="s">
        <v>34</v>
      </c>
      <c r="M364" s="4" t="s">
        <v>34</v>
      </c>
      <c r="N364" s="4" t="s">
        <v>34</v>
      </c>
      <c r="O364" s="4" t="s">
        <v>34</v>
      </c>
      <c r="P364" s="4" t="s">
        <v>34</v>
      </c>
      <c r="Q364" s="4" t="s">
        <v>34</v>
      </c>
      <c r="R364" s="4" t="s">
        <v>34</v>
      </c>
      <c r="S364" s="4" t="s">
        <v>34</v>
      </c>
      <c r="T364" s="4" t="s">
        <v>34</v>
      </c>
      <c r="U364" s="4" t="s">
        <v>34</v>
      </c>
      <c r="V364" s="4" t="s">
        <v>34</v>
      </c>
      <c r="W364" s="4" t="s">
        <v>34</v>
      </c>
      <c r="X364" s="4" t="s">
        <v>513</v>
      </c>
      <c r="Y364" s="5">
        <v>5746.23</v>
      </c>
    </row>
    <row r="365" ht="15.75" customHeight="1">
      <c r="A365" s="4" t="s">
        <v>34</v>
      </c>
      <c r="B365" s="4" t="s">
        <v>34</v>
      </c>
      <c r="C365" s="4" t="s">
        <v>34</v>
      </c>
      <c r="D365" s="4" t="s">
        <v>34</v>
      </c>
      <c r="E365" s="4" t="s">
        <v>34</v>
      </c>
      <c r="F365" s="4" t="s">
        <v>34</v>
      </c>
      <c r="G365" s="4" t="s">
        <v>34</v>
      </c>
      <c r="H365" s="4" t="s">
        <v>34</v>
      </c>
      <c r="I365" s="4" t="s">
        <v>34</v>
      </c>
      <c r="J365" s="4" t="s">
        <v>34</v>
      </c>
      <c r="K365" s="4" t="s">
        <v>34</v>
      </c>
      <c r="L365" s="4" t="s">
        <v>34</v>
      </c>
      <c r="M365" s="4" t="s">
        <v>34</v>
      </c>
      <c r="N365" s="4" t="s">
        <v>34</v>
      </c>
      <c r="O365" s="4" t="s">
        <v>34</v>
      </c>
      <c r="P365" s="4" t="s">
        <v>34</v>
      </c>
      <c r="Q365" s="4" t="s">
        <v>34</v>
      </c>
      <c r="R365" s="4" t="s">
        <v>34</v>
      </c>
      <c r="S365" s="4" t="s">
        <v>34</v>
      </c>
      <c r="T365" s="4" t="s">
        <v>34</v>
      </c>
      <c r="U365" s="4" t="s">
        <v>34</v>
      </c>
      <c r="V365" s="4" t="s">
        <v>34</v>
      </c>
      <c r="W365" s="4" t="s">
        <v>34</v>
      </c>
      <c r="X365" s="4" t="s">
        <v>514</v>
      </c>
      <c r="Y365" s="5">
        <v>5746.23</v>
      </c>
    </row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1" max="11" width="19.0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 t="s">
        <v>17</v>
      </c>
      <c r="G1" s="1" t="s">
        <v>19</v>
      </c>
      <c r="H1" s="1" t="s">
        <v>21</v>
      </c>
      <c r="I1" s="6" t="s">
        <v>24</v>
      </c>
      <c r="J1" s="7" t="s">
        <v>515</v>
      </c>
      <c r="K1" s="7" t="s">
        <v>516</v>
      </c>
      <c r="L1" s="7"/>
    </row>
    <row r="2">
      <c r="A2" s="2" t="s">
        <v>35</v>
      </c>
      <c r="B2" s="2" t="str">
        <f>concat(A2,8)</f>
        <v>70T68Q8</v>
      </c>
      <c r="C2" s="2" t="s">
        <v>36</v>
      </c>
      <c r="D2" s="2" t="s">
        <v>37</v>
      </c>
      <c r="E2" s="2" t="s">
        <v>39</v>
      </c>
      <c r="F2" s="2" t="s">
        <v>41</v>
      </c>
      <c r="G2" s="2" t="s">
        <v>43</v>
      </c>
      <c r="H2" s="2" t="s">
        <v>34</v>
      </c>
      <c r="I2" s="8">
        <v>9.06</v>
      </c>
      <c r="J2" s="9">
        <f>I2*5</f>
        <v>45.3</v>
      </c>
      <c r="K2" s="7" t="s">
        <v>517</v>
      </c>
    </row>
    <row r="3">
      <c r="A3" s="2" t="s">
        <v>46</v>
      </c>
      <c r="B3" s="2" t="str">
        <f t="shared" ref="B3:B4" si="1">concat(A3,"OVR")</f>
        <v>75K3E4OVR</v>
      </c>
      <c r="C3" s="2" t="s">
        <v>47</v>
      </c>
      <c r="D3" s="2" t="s">
        <v>37</v>
      </c>
      <c r="E3" s="10" t="s">
        <v>518</v>
      </c>
      <c r="F3" s="2" t="s">
        <v>48</v>
      </c>
      <c r="G3" s="2" t="s">
        <v>49</v>
      </c>
      <c r="H3" s="2"/>
      <c r="I3" s="8">
        <v>6.0</v>
      </c>
      <c r="J3" s="11">
        <v>6.0</v>
      </c>
      <c r="K3" s="7" t="s">
        <v>519</v>
      </c>
      <c r="L3" s="7"/>
    </row>
    <row r="4">
      <c r="A4" s="2" t="s">
        <v>52</v>
      </c>
      <c r="B4" s="2" t="str">
        <f t="shared" si="1"/>
        <v>52N5M1OVR</v>
      </c>
      <c r="C4" s="2" t="s">
        <v>53</v>
      </c>
      <c r="D4" s="2" t="s">
        <v>54</v>
      </c>
      <c r="E4" s="10" t="s">
        <v>518</v>
      </c>
      <c r="F4" s="2" t="s">
        <v>48</v>
      </c>
      <c r="G4" s="2" t="s">
        <v>49</v>
      </c>
      <c r="H4" s="2"/>
      <c r="I4" s="8">
        <v>3.0</v>
      </c>
      <c r="J4" s="11">
        <v>3.0</v>
      </c>
      <c r="K4" s="7" t="s">
        <v>519</v>
      </c>
      <c r="L4" s="7"/>
    </row>
    <row r="5">
      <c r="A5" s="2" t="s">
        <v>60</v>
      </c>
      <c r="B5" s="2" t="str">
        <f t="shared" ref="B5:B7" si="2">concat(A5,3)</f>
        <v>00P2X33</v>
      </c>
      <c r="C5" s="2" t="s">
        <v>61</v>
      </c>
      <c r="D5" s="2" t="s">
        <v>37</v>
      </c>
      <c r="E5" s="2" t="s">
        <v>55</v>
      </c>
      <c r="F5" s="2" t="s">
        <v>41</v>
      </c>
      <c r="G5" s="2" t="s">
        <v>62</v>
      </c>
      <c r="H5" s="2" t="s">
        <v>57</v>
      </c>
      <c r="I5" s="8">
        <v>20.0</v>
      </c>
      <c r="J5" s="7">
        <v>1.0</v>
      </c>
      <c r="K5" s="7" t="s">
        <v>520</v>
      </c>
    </row>
    <row r="6">
      <c r="A6" s="2" t="s">
        <v>63</v>
      </c>
      <c r="B6" s="2" t="str">
        <f t="shared" si="2"/>
        <v>33A24G3</v>
      </c>
      <c r="C6" s="2" t="s">
        <v>64</v>
      </c>
      <c r="D6" s="2" t="s">
        <v>37</v>
      </c>
      <c r="E6" s="2" t="s">
        <v>55</v>
      </c>
      <c r="F6" s="2" t="s">
        <v>41</v>
      </c>
      <c r="G6" s="2" t="s">
        <v>62</v>
      </c>
      <c r="H6" s="2" t="s">
        <v>65</v>
      </c>
      <c r="I6" s="8">
        <v>80.0</v>
      </c>
      <c r="J6" s="7">
        <v>1.0</v>
      </c>
      <c r="K6" s="7" t="s">
        <v>520</v>
      </c>
      <c r="L6" s="9" t="str">
        <f t="shared" ref="L6:L7" si="3">IF(H6&gt;1,"[PMPM="&amp;H6&amp;"]","")</f>
        <v>[PMPM=4]</v>
      </c>
    </row>
    <row r="7">
      <c r="A7" s="2" t="s">
        <v>68</v>
      </c>
      <c r="B7" s="2" t="str">
        <f t="shared" si="2"/>
        <v>59V97A3</v>
      </c>
      <c r="C7" s="2" t="s">
        <v>69</v>
      </c>
      <c r="D7" s="2" t="s">
        <v>37</v>
      </c>
      <c r="E7" s="2" t="s">
        <v>70</v>
      </c>
      <c r="F7" s="2" t="s">
        <v>41</v>
      </c>
      <c r="G7" s="2" t="s">
        <v>62</v>
      </c>
      <c r="H7" s="2" t="s">
        <v>51</v>
      </c>
      <c r="I7" s="8">
        <v>44.0</v>
      </c>
      <c r="J7" s="7">
        <v>1.0</v>
      </c>
      <c r="K7" s="7" t="s">
        <v>521</v>
      </c>
      <c r="L7" s="9" t="str">
        <f t="shared" si="3"/>
        <v>[PMPM=2]</v>
      </c>
    </row>
    <row r="8">
      <c r="A8" s="2" t="s">
        <v>72</v>
      </c>
      <c r="B8" s="2" t="str">
        <f t="shared" ref="B8:B10" si="4">concat(A8,"OVR")</f>
        <v>07Y45VOVR</v>
      </c>
      <c r="C8" s="2" t="s">
        <v>73</v>
      </c>
      <c r="D8" s="2" t="s">
        <v>74</v>
      </c>
      <c r="E8" s="10" t="s">
        <v>518</v>
      </c>
      <c r="F8" s="2" t="s">
        <v>48</v>
      </c>
      <c r="G8" s="2" t="s">
        <v>49</v>
      </c>
      <c r="H8" s="2"/>
      <c r="I8" s="8">
        <v>6.0</v>
      </c>
      <c r="J8" s="11">
        <v>6.0</v>
      </c>
      <c r="K8" s="7" t="s">
        <v>519</v>
      </c>
      <c r="L8" s="7"/>
    </row>
    <row r="9">
      <c r="A9" s="2" t="s">
        <v>72</v>
      </c>
      <c r="B9" s="2" t="str">
        <f t="shared" si="4"/>
        <v>07Y45VOVR</v>
      </c>
      <c r="C9" s="2" t="s">
        <v>73</v>
      </c>
      <c r="D9" s="2" t="s">
        <v>75</v>
      </c>
      <c r="E9" s="10" t="s">
        <v>518</v>
      </c>
      <c r="F9" s="2" t="s">
        <v>48</v>
      </c>
      <c r="G9" s="2" t="s">
        <v>49</v>
      </c>
      <c r="H9" s="2"/>
      <c r="I9" s="8">
        <v>6.0</v>
      </c>
      <c r="J9" s="11">
        <v>6.0</v>
      </c>
      <c r="K9" s="7" t="s">
        <v>519</v>
      </c>
      <c r="L9" s="7"/>
    </row>
    <row r="10">
      <c r="A10" s="2" t="s">
        <v>76</v>
      </c>
      <c r="B10" s="2" t="str">
        <f t="shared" si="4"/>
        <v>13Q26AOVR</v>
      </c>
      <c r="C10" s="2" t="s">
        <v>77</v>
      </c>
      <c r="D10" s="2" t="s">
        <v>37</v>
      </c>
      <c r="E10" s="10" t="s">
        <v>518</v>
      </c>
      <c r="F10" s="2" t="s">
        <v>48</v>
      </c>
      <c r="G10" s="2" t="s">
        <v>49</v>
      </c>
      <c r="H10" s="2"/>
      <c r="I10" s="8">
        <v>3.0</v>
      </c>
      <c r="J10" s="11">
        <v>3.0</v>
      </c>
      <c r="K10" s="7" t="s">
        <v>519</v>
      </c>
      <c r="L10" s="7"/>
    </row>
    <row r="11">
      <c r="A11" s="2" t="s">
        <v>76</v>
      </c>
      <c r="B11" s="2" t="str">
        <f>concat(A11,3)</f>
        <v>13Q26A3</v>
      </c>
      <c r="C11" s="2" t="s">
        <v>77</v>
      </c>
      <c r="D11" s="2" t="s">
        <v>37</v>
      </c>
      <c r="E11" s="2" t="s">
        <v>78</v>
      </c>
      <c r="F11" s="2" t="s">
        <v>41</v>
      </c>
      <c r="G11" s="2" t="s">
        <v>62</v>
      </c>
      <c r="H11" s="2" t="s">
        <v>57</v>
      </c>
      <c r="I11" s="8">
        <v>22.0</v>
      </c>
      <c r="J11" s="7">
        <v>1.0</v>
      </c>
      <c r="K11" s="7" t="s">
        <v>521</v>
      </c>
    </row>
    <row r="12">
      <c r="A12" s="2" t="s">
        <v>82</v>
      </c>
      <c r="B12" s="2" t="str">
        <f t="shared" ref="B12:B18" si="5">concat(A12,"OVR")</f>
        <v>97PH88OVR</v>
      </c>
      <c r="C12" s="2" t="s">
        <v>83</v>
      </c>
      <c r="D12" s="2" t="s">
        <v>74</v>
      </c>
      <c r="E12" s="10" t="s">
        <v>518</v>
      </c>
      <c r="F12" s="2" t="s">
        <v>48</v>
      </c>
      <c r="G12" s="2" t="s">
        <v>49</v>
      </c>
      <c r="H12" s="2"/>
      <c r="I12" s="8">
        <v>3.0</v>
      </c>
      <c r="J12" s="11">
        <v>3.0</v>
      </c>
      <c r="K12" s="7" t="s">
        <v>519</v>
      </c>
      <c r="L12" s="7"/>
    </row>
    <row r="13">
      <c r="A13" s="2" t="s">
        <v>84</v>
      </c>
      <c r="B13" s="2" t="str">
        <f t="shared" si="5"/>
        <v>6Y38Y3OVR</v>
      </c>
      <c r="C13" s="2" t="s">
        <v>85</v>
      </c>
      <c r="D13" s="2" t="s">
        <v>37</v>
      </c>
      <c r="E13" s="10" t="s">
        <v>518</v>
      </c>
      <c r="F13" s="2" t="s">
        <v>48</v>
      </c>
      <c r="G13" s="2" t="s">
        <v>49</v>
      </c>
      <c r="H13" s="2"/>
      <c r="I13" s="8">
        <v>6.0</v>
      </c>
      <c r="J13" s="11">
        <v>6.0</v>
      </c>
      <c r="K13" s="7" t="s">
        <v>519</v>
      </c>
      <c r="L13" s="7"/>
    </row>
    <row r="14">
      <c r="A14" s="2" t="s">
        <v>86</v>
      </c>
      <c r="B14" s="2" t="str">
        <f t="shared" si="5"/>
        <v>12R0N6OVR</v>
      </c>
      <c r="C14" s="2" t="s">
        <v>87</v>
      </c>
      <c r="D14" s="2" t="s">
        <v>37</v>
      </c>
      <c r="E14" s="10" t="s">
        <v>518</v>
      </c>
      <c r="F14" s="2" t="s">
        <v>48</v>
      </c>
      <c r="G14" s="2" t="s">
        <v>49</v>
      </c>
      <c r="H14" s="2"/>
      <c r="I14" s="8">
        <v>3.0</v>
      </c>
      <c r="J14" s="11">
        <v>3.0</v>
      </c>
      <c r="K14" s="7" t="s">
        <v>519</v>
      </c>
      <c r="L14" s="7"/>
    </row>
    <row r="15">
      <c r="A15" s="2" t="s">
        <v>88</v>
      </c>
      <c r="B15" s="2" t="str">
        <f t="shared" si="5"/>
        <v>3T581AOVR</v>
      </c>
      <c r="C15" s="2" t="s">
        <v>89</v>
      </c>
      <c r="D15" s="2" t="s">
        <v>37</v>
      </c>
      <c r="E15" s="10" t="s">
        <v>518</v>
      </c>
      <c r="F15" s="2" t="s">
        <v>48</v>
      </c>
      <c r="G15" s="2" t="s">
        <v>49</v>
      </c>
      <c r="H15" s="2"/>
      <c r="I15" s="8">
        <v>3.0</v>
      </c>
      <c r="J15" s="11">
        <v>3.0</v>
      </c>
      <c r="K15" s="7" t="s">
        <v>519</v>
      </c>
      <c r="L15" s="7"/>
    </row>
    <row r="16">
      <c r="A16" s="2" t="s">
        <v>90</v>
      </c>
      <c r="B16" s="2" t="str">
        <f t="shared" si="5"/>
        <v>85E5Y6OVR</v>
      </c>
      <c r="C16" s="2" t="s">
        <v>91</v>
      </c>
      <c r="D16" s="2" t="s">
        <v>74</v>
      </c>
      <c r="E16" s="10" t="s">
        <v>518</v>
      </c>
      <c r="F16" s="2" t="s">
        <v>48</v>
      </c>
      <c r="G16" s="2" t="s">
        <v>49</v>
      </c>
      <c r="H16" s="2"/>
      <c r="I16" s="8">
        <v>3.0</v>
      </c>
      <c r="J16" s="11">
        <v>3.0</v>
      </c>
      <c r="K16" s="7" t="s">
        <v>519</v>
      </c>
      <c r="L16" s="7"/>
    </row>
    <row r="17">
      <c r="A17" s="2" t="s">
        <v>92</v>
      </c>
      <c r="B17" s="2" t="str">
        <f t="shared" si="5"/>
        <v>3V865AOVR</v>
      </c>
      <c r="C17" s="2" t="s">
        <v>93</v>
      </c>
      <c r="D17" s="2" t="s">
        <v>37</v>
      </c>
      <c r="E17" s="10" t="s">
        <v>518</v>
      </c>
      <c r="F17" s="2" t="s">
        <v>48</v>
      </c>
      <c r="G17" s="2" t="s">
        <v>49</v>
      </c>
      <c r="H17" s="2"/>
      <c r="I17" s="8">
        <v>3.0</v>
      </c>
      <c r="J17" s="11">
        <v>3.0</v>
      </c>
      <c r="K17" s="7" t="s">
        <v>519</v>
      </c>
      <c r="L17" s="7"/>
    </row>
    <row r="18">
      <c r="A18" s="2" t="s">
        <v>94</v>
      </c>
      <c r="B18" s="2" t="str">
        <f t="shared" si="5"/>
        <v>94F68GOVR</v>
      </c>
      <c r="C18" s="2" t="s">
        <v>95</v>
      </c>
      <c r="D18" s="2" t="s">
        <v>37</v>
      </c>
      <c r="E18" s="10" t="s">
        <v>518</v>
      </c>
      <c r="F18" s="2" t="s">
        <v>48</v>
      </c>
      <c r="G18" s="2" t="s">
        <v>49</v>
      </c>
      <c r="H18" s="2"/>
      <c r="I18" s="8">
        <v>6.0</v>
      </c>
      <c r="J18" s="11">
        <v>6.0</v>
      </c>
      <c r="K18" s="7" t="s">
        <v>519</v>
      </c>
      <c r="L18" s="7"/>
    </row>
    <row r="19">
      <c r="A19" s="2" t="s">
        <v>96</v>
      </c>
      <c r="B19" s="2" t="str">
        <f t="shared" ref="B19:B20" si="6">concat(A19,3)</f>
        <v>78JE833</v>
      </c>
      <c r="C19" s="2" t="s">
        <v>97</v>
      </c>
      <c r="D19" s="2" t="s">
        <v>37</v>
      </c>
      <c r="E19" s="2" t="s">
        <v>39</v>
      </c>
      <c r="F19" s="2" t="s">
        <v>41</v>
      </c>
      <c r="G19" s="2" t="s">
        <v>62</v>
      </c>
      <c r="H19" s="2" t="s">
        <v>57</v>
      </c>
      <c r="I19" s="8">
        <v>20.0</v>
      </c>
      <c r="J19" s="7">
        <v>1.0</v>
      </c>
      <c r="K19" s="7" t="s">
        <v>520</v>
      </c>
    </row>
    <row r="20">
      <c r="A20" s="2" t="s">
        <v>98</v>
      </c>
      <c r="B20" s="2" t="str">
        <f t="shared" si="6"/>
        <v>14T06T3</v>
      </c>
      <c r="C20" s="2" t="s">
        <v>99</v>
      </c>
      <c r="D20" s="2" t="s">
        <v>37</v>
      </c>
      <c r="E20" s="2" t="s">
        <v>39</v>
      </c>
      <c r="F20" s="2" t="s">
        <v>41</v>
      </c>
      <c r="G20" s="2" t="s">
        <v>62</v>
      </c>
      <c r="H20" s="2" t="s">
        <v>51</v>
      </c>
      <c r="I20" s="8">
        <v>40.0</v>
      </c>
      <c r="J20" s="7">
        <v>1.0</v>
      </c>
      <c r="K20" s="7" t="s">
        <v>520</v>
      </c>
      <c r="L20" s="9" t="str">
        <f>IF(H20&gt;1,"[PMPM="&amp;H20&amp;"]","")</f>
        <v>[PMPM=2]</v>
      </c>
    </row>
    <row r="21">
      <c r="A21" s="2" t="s">
        <v>100</v>
      </c>
      <c r="B21" s="2" t="str">
        <f>concat(A21,"OVR")</f>
        <v>02N6L3OVR</v>
      </c>
      <c r="C21" s="2" t="s">
        <v>101</v>
      </c>
      <c r="D21" s="2" t="s">
        <v>37</v>
      </c>
      <c r="E21" s="10" t="s">
        <v>518</v>
      </c>
      <c r="F21" s="2" t="s">
        <v>48</v>
      </c>
      <c r="G21" s="2" t="s">
        <v>49</v>
      </c>
      <c r="H21" s="2"/>
      <c r="I21" s="8">
        <v>3.0</v>
      </c>
      <c r="J21" s="11">
        <v>3.0</v>
      </c>
      <c r="K21" s="7" t="s">
        <v>519</v>
      </c>
      <c r="L21" s="7"/>
    </row>
    <row r="22">
      <c r="A22" s="2" t="s">
        <v>102</v>
      </c>
      <c r="B22" s="2" t="str">
        <f t="shared" ref="B22:B24" si="7">concat(A22,3)</f>
        <v>83GU273</v>
      </c>
      <c r="C22" s="2" t="s">
        <v>103</v>
      </c>
      <c r="D22" s="2" t="s">
        <v>37</v>
      </c>
      <c r="E22" s="2" t="s">
        <v>39</v>
      </c>
      <c r="F22" s="2" t="s">
        <v>41</v>
      </c>
      <c r="G22" s="2" t="s">
        <v>62</v>
      </c>
      <c r="H22" s="2" t="s">
        <v>57</v>
      </c>
      <c r="I22" s="8">
        <v>20.0</v>
      </c>
      <c r="J22" s="7">
        <v>1.0</v>
      </c>
      <c r="K22" s="7" t="s">
        <v>520</v>
      </c>
    </row>
    <row r="23">
      <c r="A23" s="2" t="s">
        <v>104</v>
      </c>
      <c r="B23" s="2" t="str">
        <f t="shared" si="7"/>
        <v>36M6M33</v>
      </c>
      <c r="C23" s="2" t="s">
        <v>105</v>
      </c>
      <c r="D23" s="2" t="s">
        <v>37</v>
      </c>
      <c r="E23" s="2" t="s">
        <v>39</v>
      </c>
      <c r="F23" s="2" t="s">
        <v>41</v>
      </c>
      <c r="G23" s="2" t="s">
        <v>62</v>
      </c>
      <c r="H23" s="2" t="s">
        <v>57</v>
      </c>
      <c r="I23" s="8">
        <v>20.0</v>
      </c>
      <c r="J23" s="7">
        <v>1.0</v>
      </c>
      <c r="K23" s="7" t="s">
        <v>520</v>
      </c>
    </row>
    <row r="24">
      <c r="A24" s="2" t="s">
        <v>108</v>
      </c>
      <c r="B24" s="2" t="str">
        <f t="shared" si="7"/>
        <v>28X18T3</v>
      </c>
      <c r="C24" s="2" t="s">
        <v>109</v>
      </c>
      <c r="D24" s="2" t="s">
        <v>37</v>
      </c>
      <c r="E24" s="2" t="s">
        <v>110</v>
      </c>
      <c r="F24" s="2" t="s">
        <v>41</v>
      </c>
      <c r="G24" s="2" t="s">
        <v>62</v>
      </c>
      <c r="H24" s="2" t="s">
        <v>57</v>
      </c>
      <c r="I24" s="8">
        <v>27.0</v>
      </c>
      <c r="J24" s="7">
        <v>1.0</v>
      </c>
      <c r="K24" s="7" t="s">
        <v>522</v>
      </c>
    </row>
    <row r="25">
      <c r="A25" s="2" t="s">
        <v>112</v>
      </c>
      <c r="B25" s="2" t="str">
        <f>concat(A25,"OVR")</f>
        <v>03V96COVR</v>
      </c>
      <c r="C25" s="2" t="s">
        <v>113</v>
      </c>
      <c r="D25" s="2" t="s">
        <v>37</v>
      </c>
      <c r="E25" s="10" t="s">
        <v>518</v>
      </c>
      <c r="F25" s="2" t="s">
        <v>48</v>
      </c>
      <c r="G25" s="2" t="s">
        <v>49</v>
      </c>
      <c r="H25" s="2"/>
      <c r="I25" s="8">
        <v>3.0</v>
      </c>
      <c r="J25" s="11">
        <v>3.0</v>
      </c>
      <c r="K25" s="7" t="s">
        <v>519</v>
      </c>
      <c r="L25" s="7"/>
    </row>
    <row r="26">
      <c r="A26" s="2" t="s">
        <v>114</v>
      </c>
      <c r="B26" s="2" t="str">
        <f t="shared" ref="B26:B29" si="8">concat(A26,3)</f>
        <v>60YQ353</v>
      </c>
      <c r="C26" s="2" t="s">
        <v>115</v>
      </c>
      <c r="D26" s="2" t="s">
        <v>37</v>
      </c>
      <c r="E26" s="2" t="s">
        <v>110</v>
      </c>
      <c r="F26" s="2" t="s">
        <v>41</v>
      </c>
      <c r="G26" s="2" t="s">
        <v>62</v>
      </c>
      <c r="H26" s="2" t="s">
        <v>116</v>
      </c>
      <c r="I26" s="8">
        <v>81.0</v>
      </c>
      <c r="J26" s="7">
        <v>1.0</v>
      </c>
      <c r="K26" s="7" t="s">
        <v>522</v>
      </c>
      <c r="L26" s="9" t="str">
        <f>IF(H26&gt;1,"[PMPM="&amp;H26&amp;"]","")</f>
        <v>[PMPM=3]</v>
      </c>
    </row>
    <row r="27">
      <c r="A27" s="2" t="s">
        <v>119</v>
      </c>
      <c r="B27" s="2" t="str">
        <f t="shared" si="8"/>
        <v>75G3U93</v>
      </c>
      <c r="C27" s="2" t="s">
        <v>120</v>
      </c>
      <c r="D27" s="2" t="s">
        <v>37</v>
      </c>
      <c r="E27" s="2" t="s">
        <v>121</v>
      </c>
      <c r="F27" s="2" t="s">
        <v>41</v>
      </c>
      <c r="G27" s="2" t="s">
        <v>62</v>
      </c>
      <c r="H27" s="2" t="s">
        <v>57</v>
      </c>
      <c r="I27" s="8">
        <v>22.0</v>
      </c>
      <c r="J27" s="7">
        <v>1.0</v>
      </c>
      <c r="K27" s="7" t="s">
        <v>521</v>
      </c>
    </row>
    <row r="28">
      <c r="A28" s="2" t="s">
        <v>123</v>
      </c>
      <c r="B28" s="2" t="str">
        <f t="shared" si="8"/>
        <v>13A7E83</v>
      </c>
      <c r="C28" s="2" t="s">
        <v>124</v>
      </c>
      <c r="D28" s="2" t="s">
        <v>37</v>
      </c>
      <c r="E28" s="2" t="s">
        <v>121</v>
      </c>
      <c r="F28" s="2" t="s">
        <v>41</v>
      </c>
      <c r="G28" s="2" t="s">
        <v>62</v>
      </c>
      <c r="H28" s="2" t="s">
        <v>57</v>
      </c>
      <c r="I28" s="8">
        <v>22.0</v>
      </c>
      <c r="J28" s="7">
        <v>1.0</v>
      </c>
      <c r="K28" s="7" t="s">
        <v>521</v>
      </c>
    </row>
    <row r="29">
      <c r="A29" s="2" t="s">
        <v>127</v>
      </c>
      <c r="B29" s="2" t="str">
        <f t="shared" si="8"/>
        <v>7TR0683</v>
      </c>
      <c r="C29" s="2" t="s">
        <v>128</v>
      </c>
      <c r="D29" s="2" t="s">
        <v>37</v>
      </c>
      <c r="E29" s="2" t="s">
        <v>129</v>
      </c>
      <c r="F29" s="2" t="s">
        <v>41</v>
      </c>
      <c r="G29" s="2" t="s">
        <v>62</v>
      </c>
      <c r="H29" s="2" t="s">
        <v>57</v>
      </c>
      <c r="I29" s="8">
        <v>22.0</v>
      </c>
      <c r="J29" s="7">
        <v>1.0</v>
      </c>
      <c r="K29" s="7" t="s">
        <v>521</v>
      </c>
    </row>
    <row r="30">
      <c r="A30" s="2" t="s">
        <v>131</v>
      </c>
      <c r="B30" s="2" t="str">
        <f t="shared" ref="B30:B31" si="9">concat(A30,"OVR")</f>
        <v>13WG47OVR</v>
      </c>
      <c r="C30" s="2" t="s">
        <v>132</v>
      </c>
      <c r="D30" s="2" t="s">
        <v>37</v>
      </c>
      <c r="E30" s="10" t="s">
        <v>518</v>
      </c>
      <c r="F30" s="2" t="s">
        <v>48</v>
      </c>
      <c r="G30" s="2" t="s">
        <v>49</v>
      </c>
      <c r="H30" s="2"/>
      <c r="I30" s="8">
        <v>3.0</v>
      </c>
      <c r="J30" s="11">
        <v>3.0</v>
      </c>
      <c r="K30" s="7" t="s">
        <v>519</v>
      </c>
      <c r="L30" s="7"/>
    </row>
    <row r="31">
      <c r="A31" s="2" t="s">
        <v>135</v>
      </c>
      <c r="B31" s="2" t="str">
        <f t="shared" si="9"/>
        <v>27C3J7OVR</v>
      </c>
      <c r="C31" s="2" t="s">
        <v>136</v>
      </c>
      <c r="D31" s="2" t="s">
        <v>37</v>
      </c>
      <c r="E31" s="10" t="s">
        <v>518</v>
      </c>
      <c r="F31" s="2" t="s">
        <v>48</v>
      </c>
      <c r="G31" s="2" t="s">
        <v>49</v>
      </c>
      <c r="H31" s="2"/>
      <c r="I31" s="8">
        <v>3.0</v>
      </c>
      <c r="J31" s="11">
        <v>3.0</v>
      </c>
      <c r="K31" s="7" t="s">
        <v>519</v>
      </c>
      <c r="L31" s="7"/>
    </row>
    <row r="32">
      <c r="A32" s="2" t="s">
        <v>137</v>
      </c>
      <c r="B32" s="2" t="str">
        <f>concat(A32,3)</f>
        <v>5V116T3</v>
      </c>
      <c r="C32" s="2" t="s">
        <v>138</v>
      </c>
      <c r="D32" s="2" t="s">
        <v>37</v>
      </c>
      <c r="E32" s="2" t="s">
        <v>70</v>
      </c>
      <c r="F32" s="2" t="s">
        <v>41</v>
      </c>
      <c r="G32" s="2" t="s">
        <v>62</v>
      </c>
      <c r="H32" s="2" t="s">
        <v>57</v>
      </c>
      <c r="I32" s="8">
        <v>27.0</v>
      </c>
      <c r="J32" s="7">
        <v>1.0</v>
      </c>
      <c r="K32" s="7" t="s">
        <v>522</v>
      </c>
    </row>
    <row r="33">
      <c r="A33" s="2" t="s">
        <v>108</v>
      </c>
      <c r="B33" s="2" t="str">
        <f t="shared" ref="B33:B40" si="10">concat(A33,"OVR")</f>
        <v>28X18TOVR</v>
      </c>
      <c r="C33" s="2" t="s">
        <v>109</v>
      </c>
      <c r="D33" s="2" t="s">
        <v>37</v>
      </c>
      <c r="E33" s="10" t="s">
        <v>518</v>
      </c>
      <c r="F33" s="2" t="s">
        <v>48</v>
      </c>
      <c r="G33" s="2" t="s">
        <v>49</v>
      </c>
      <c r="H33" s="2"/>
      <c r="I33" s="8">
        <v>3.0</v>
      </c>
      <c r="J33" s="11">
        <v>3.0</v>
      </c>
      <c r="K33" s="7" t="s">
        <v>519</v>
      </c>
      <c r="L33" s="7"/>
    </row>
    <row r="34">
      <c r="A34" s="2" t="s">
        <v>123</v>
      </c>
      <c r="B34" s="2" t="str">
        <f t="shared" si="10"/>
        <v>13A7E8OVR</v>
      </c>
      <c r="C34" s="2" t="s">
        <v>124</v>
      </c>
      <c r="D34" s="2" t="s">
        <v>37</v>
      </c>
      <c r="E34" s="10" t="s">
        <v>518</v>
      </c>
      <c r="F34" s="2" t="s">
        <v>48</v>
      </c>
      <c r="G34" s="2" t="s">
        <v>49</v>
      </c>
      <c r="H34" s="2"/>
      <c r="I34" s="8">
        <v>3.0</v>
      </c>
      <c r="J34" s="11">
        <v>3.0</v>
      </c>
      <c r="K34" s="7" t="s">
        <v>519</v>
      </c>
      <c r="L34" s="7"/>
    </row>
    <row r="35">
      <c r="A35" s="2" t="s">
        <v>139</v>
      </c>
      <c r="B35" s="2" t="str">
        <f t="shared" si="10"/>
        <v>56X5B7OVR</v>
      </c>
      <c r="C35" s="2" t="s">
        <v>140</v>
      </c>
      <c r="D35" s="2" t="s">
        <v>37</v>
      </c>
      <c r="E35" s="10" t="s">
        <v>518</v>
      </c>
      <c r="F35" s="2" t="s">
        <v>48</v>
      </c>
      <c r="G35" s="2" t="s">
        <v>49</v>
      </c>
      <c r="H35" s="2"/>
      <c r="I35" s="8">
        <v>3.0</v>
      </c>
      <c r="J35" s="11">
        <v>3.0</v>
      </c>
      <c r="K35" s="7" t="s">
        <v>519</v>
      </c>
      <c r="L35" s="7"/>
    </row>
    <row r="36">
      <c r="A36" s="2" t="s">
        <v>60</v>
      </c>
      <c r="B36" s="2" t="str">
        <f t="shared" si="10"/>
        <v>00P2X3OVR</v>
      </c>
      <c r="C36" s="2" t="s">
        <v>61</v>
      </c>
      <c r="D36" s="2" t="s">
        <v>37</v>
      </c>
      <c r="E36" s="10" t="s">
        <v>518</v>
      </c>
      <c r="F36" s="2" t="s">
        <v>48</v>
      </c>
      <c r="G36" s="2" t="s">
        <v>49</v>
      </c>
      <c r="H36" s="2"/>
      <c r="I36" s="8">
        <v>3.0</v>
      </c>
      <c r="J36" s="11">
        <v>3.0</v>
      </c>
      <c r="K36" s="7" t="s">
        <v>519</v>
      </c>
      <c r="L36" s="7"/>
    </row>
    <row r="37">
      <c r="A37" s="2" t="s">
        <v>143</v>
      </c>
      <c r="B37" s="2" t="str">
        <f t="shared" si="10"/>
        <v>75XM16OVR</v>
      </c>
      <c r="C37" s="2" t="s">
        <v>144</v>
      </c>
      <c r="D37" s="2" t="s">
        <v>37</v>
      </c>
      <c r="E37" s="10" t="s">
        <v>518</v>
      </c>
      <c r="F37" s="2" t="s">
        <v>48</v>
      </c>
      <c r="G37" s="2" t="s">
        <v>49</v>
      </c>
      <c r="H37" s="2"/>
      <c r="I37" s="8">
        <v>6.0</v>
      </c>
      <c r="J37" s="11">
        <v>6.0</v>
      </c>
      <c r="K37" s="7" t="s">
        <v>519</v>
      </c>
      <c r="L37" s="7"/>
    </row>
    <row r="38">
      <c r="A38" s="2" t="s">
        <v>145</v>
      </c>
      <c r="B38" s="2" t="str">
        <f t="shared" si="10"/>
        <v>90RD48OVR</v>
      </c>
      <c r="C38" s="2" t="s">
        <v>146</v>
      </c>
      <c r="D38" s="2" t="s">
        <v>37</v>
      </c>
      <c r="E38" s="10" t="s">
        <v>518</v>
      </c>
      <c r="F38" s="2" t="s">
        <v>48</v>
      </c>
      <c r="G38" s="2" t="s">
        <v>49</v>
      </c>
      <c r="H38" s="2"/>
      <c r="I38" s="8">
        <v>3.0</v>
      </c>
      <c r="J38" s="11">
        <v>3.0</v>
      </c>
      <c r="K38" s="7" t="s">
        <v>519</v>
      </c>
      <c r="L38" s="7"/>
    </row>
    <row r="39">
      <c r="A39" s="2" t="s">
        <v>147</v>
      </c>
      <c r="B39" s="2" t="str">
        <f t="shared" si="10"/>
        <v>07HB72OVR</v>
      </c>
      <c r="C39" s="2" t="s">
        <v>148</v>
      </c>
      <c r="D39" s="2" t="s">
        <v>37</v>
      </c>
      <c r="E39" s="10" t="s">
        <v>518</v>
      </c>
      <c r="F39" s="2" t="s">
        <v>48</v>
      </c>
      <c r="G39" s="2" t="s">
        <v>49</v>
      </c>
      <c r="H39" s="2"/>
      <c r="I39" s="8">
        <v>3.0</v>
      </c>
      <c r="J39" s="11">
        <v>3.0</v>
      </c>
      <c r="K39" s="7" t="s">
        <v>519</v>
      </c>
      <c r="L39" s="7"/>
    </row>
    <row r="40">
      <c r="A40" s="2" t="s">
        <v>149</v>
      </c>
      <c r="B40" s="2" t="str">
        <f t="shared" si="10"/>
        <v>257A3JOVR</v>
      </c>
      <c r="C40" s="2" t="s">
        <v>150</v>
      </c>
      <c r="D40" s="2" t="s">
        <v>74</v>
      </c>
      <c r="E40" s="10" t="s">
        <v>518</v>
      </c>
      <c r="F40" s="2" t="s">
        <v>48</v>
      </c>
      <c r="G40" s="2" t="s">
        <v>49</v>
      </c>
      <c r="H40" s="2"/>
      <c r="I40" s="8">
        <v>6.0</v>
      </c>
      <c r="J40" s="11">
        <v>6.0</v>
      </c>
      <c r="K40" s="7" t="s">
        <v>519</v>
      </c>
      <c r="L40" s="7"/>
    </row>
    <row r="41">
      <c r="A41" s="2" t="s">
        <v>151</v>
      </c>
      <c r="B41" s="2" t="str">
        <f>concat(A41,8)</f>
        <v>00UV518</v>
      </c>
      <c r="C41" s="2" t="s">
        <v>152</v>
      </c>
      <c r="D41" s="2" t="s">
        <v>37</v>
      </c>
      <c r="E41" s="2" t="s">
        <v>55</v>
      </c>
      <c r="F41" s="2" t="s">
        <v>41</v>
      </c>
      <c r="G41" s="2" t="s">
        <v>43</v>
      </c>
      <c r="H41" s="2" t="s">
        <v>34</v>
      </c>
      <c r="I41" s="8">
        <v>4.76</v>
      </c>
      <c r="J41" s="9">
        <f>I41*5</f>
        <v>23.8</v>
      </c>
      <c r="K41" s="7" t="s">
        <v>517</v>
      </c>
    </row>
    <row r="42">
      <c r="A42" s="2" t="s">
        <v>153</v>
      </c>
      <c r="B42" s="2" t="str">
        <f t="shared" ref="B42:B43" si="11">concat(A42,3)</f>
        <v>8Q780M3</v>
      </c>
      <c r="C42" s="2" t="s">
        <v>154</v>
      </c>
      <c r="D42" s="2" t="s">
        <v>37</v>
      </c>
      <c r="E42" s="2" t="s">
        <v>55</v>
      </c>
      <c r="F42" s="2" t="s">
        <v>41</v>
      </c>
      <c r="G42" s="2" t="s">
        <v>62</v>
      </c>
      <c r="H42" s="2" t="s">
        <v>57</v>
      </c>
      <c r="I42" s="8">
        <v>20.0</v>
      </c>
      <c r="J42" s="7">
        <v>1.0</v>
      </c>
      <c r="K42" s="7" t="s">
        <v>520</v>
      </c>
    </row>
    <row r="43">
      <c r="A43" s="2" t="s">
        <v>143</v>
      </c>
      <c r="B43" s="2" t="str">
        <f t="shared" si="11"/>
        <v>75XM163</v>
      </c>
      <c r="C43" s="2" t="s">
        <v>144</v>
      </c>
      <c r="D43" s="2" t="s">
        <v>37</v>
      </c>
      <c r="E43" s="2" t="s">
        <v>55</v>
      </c>
      <c r="F43" s="2" t="s">
        <v>41</v>
      </c>
      <c r="G43" s="2" t="s">
        <v>62</v>
      </c>
      <c r="H43" s="2" t="s">
        <v>51</v>
      </c>
      <c r="I43" s="8">
        <v>40.0</v>
      </c>
      <c r="J43" s="7">
        <v>1.0</v>
      </c>
      <c r="K43" s="7" t="s">
        <v>520</v>
      </c>
      <c r="L43" s="9" t="str">
        <f>IF(H43&gt;1,"[PMPM="&amp;H43&amp;"]","")</f>
        <v>[PMPM=2]</v>
      </c>
    </row>
    <row r="44">
      <c r="A44" s="2" t="s">
        <v>155</v>
      </c>
      <c r="B44" s="2" t="str">
        <f>concat(A44,"OVR")</f>
        <v>36MP38OVR</v>
      </c>
      <c r="C44" s="2" t="s">
        <v>156</v>
      </c>
      <c r="D44" s="2" t="s">
        <v>37</v>
      </c>
      <c r="E44" s="10" t="s">
        <v>518</v>
      </c>
      <c r="F44" s="2" t="s">
        <v>48</v>
      </c>
      <c r="G44" s="2" t="s">
        <v>49</v>
      </c>
      <c r="H44" s="2"/>
      <c r="I44" s="8">
        <v>3.0</v>
      </c>
      <c r="J44" s="11">
        <v>3.0</v>
      </c>
      <c r="K44" s="7" t="s">
        <v>519</v>
      </c>
      <c r="L44" s="7"/>
    </row>
    <row r="45">
      <c r="A45" s="2" t="s">
        <v>159</v>
      </c>
      <c r="B45" s="2" t="str">
        <f>concat(A45,3)</f>
        <v>4L14A43</v>
      </c>
      <c r="C45" s="2" t="s">
        <v>160</v>
      </c>
      <c r="D45" s="2" t="s">
        <v>75</v>
      </c>
      <c r="E45" s="2" t="s">
        <v>161</v>
      </c>
      <c r="F45" s="2" t="s">
        <v>41</v>
      </c>
      <c r="G45" s="2" t="s">
        <v>62</v>
      </c>
      <c r="H45" s="2" t="s">
        <v>65</v>
      </c>
      <c r="I45" s="8">
        <v>108.0</v>
      </c>
      <c r="J45" s="7">
        <v>1.0</v>
      </c>
      <c r="K45" s="7" t="s">
        <v>522</v>
      </c>
      <c r="L45" s="9" t="str">
        <f>IF(H45&gt;1,"[PMPM="&amp;H45&amp;"]","")</f>
        <v>[PMPM=4]</v>
      </c>
    </row>
    <row r="46">
      <c r="A46" s="2" t="s">
        <v>163</v>
      </c>
      <c r="B46" s="2" t="str">
        <f>concat(A46,"OVR")</f>
        <v>15X9T2OVR</v>
      </c>
      <c r="C46" s="2" t="s">
        <v>164</v>
      </c>
      <c r="D46" s="2" t="s">
        <v>37</v>
      </c>
      <c r="E46" s="10" t="s">
        <v>518</v>
      </c>
      <c r="F46" s="2" t="s">
        <v>48</v>
      </c>
      <c r="G46" s="2" t="s">
        <v>49</v>
      </c>
      <c r="H46" s="2"/>
      <c r="I46" s="8">
        <v>3.0</v>
      </c>
      <c r="J46" s="11">
        <v>3.0</v>
      </c>
      <c r="K46" s="7" t="s">
        <v>519</v>
      </c>
      <c r="L46" s="7"/>
    </row>
    <row r="47">
      <c r="A47" s="2" t="s">
        <v>165</v>
      </c>
      <c r="B47" s="2" t="str">
        <f>concat(A47,3)</f>
        <v>43WF423</v>
      </c>
      <c r="C47" s="2" t="s">
        <v>166</v>
      </c>
      <c r="D47" s="2" t="s">
        <v>37</v>
      </c>
      <c r="E47" s="2" t="s">
        <v>161</v>
      </c>
      <c r="F47" s="2" t="s">
        <v>41</v>
      </c>
      <c r="G47" s="2" t="s">
        <v>62</v>
      </c>
      <c r="H47" s="2" t="s">
        <v>57</v>
      </c>
      <c r="I47" s="8">
        <v>20.0</v>
      </c>
      <c r="J47" s="7">
        <v>1.0</v>
      </c>
      <c r="K47" s="7" t="s">
        <v>520</v>
      </c>
    </row>
    <row r="48">
      <c r="A48" s="2" t="s">
        <v>167</v>
      </c>
      <c r="B48" s="2" t="str">
        <f t="shared" ref="B48:B55" si="12">concat(A48,"OVR")</f>
        <v>91Y92COVR</v>
      </c>
      <c r="C48" s="2" t="s">
        <v>168</v>
      </c>
      <c r="D48" s="2" t="s">
        <v>37</v>
      </c>
      <c r="E48" s="10" t="s">
        <v>518</v>
      </c>
      <c r="F48" s="2" t="s">
        <v>48</v>
      </c>
      <c r="G48" s="2" t="s">
        <v>49</v>
      </c>
      <c r="H48" s="2"/>
      <c r="I48" s="8">
        <v>3.0</v>
      </c>
      <c r="J48" s="11">
        <v>3.0</v>
      </c>
      <c r="K48" s="7" t="s">
        <v>519</v>
      </c>
      <c r="L48" s="7"/>
    </row>
    <row r="49">
      <c r="A49" s="2" t="s">
        <v>171</v>
      </c>
      <c r="B49" s="2" t="str">
        <f t="shared" si="12"/>
        <v>53N6D3OVR</v>
      </c>
      <c r="C49" s="2" t="s">
        <v>172</v>
      </c>
      <c r="D49" s="2" t="s">
        <v>37</v>
      </c>
      <c r="E49" s="10" t="s">
        <v>518</v>
      </c>
      <c r="F49" s="2" t="s">
        <v>48</v>
      </c>
      <c r="G49" s="2" t="s">
        <v>49</v>
      </c>
      <c r="H49" s="2"/>
      <c r="I49" s="8">
        <v>3.0</v>
      </c>
      <c r="J49" s="11">
        <v>3.0</v>
      </c>
      <c r="K49" s="7" t="s">
        <v>519</v>
      </c>
      <c r="L49" s="7"/>
    </row>
    <row r="50">
      <c r="A50" s="2" t="s">
        <v>104</v>
      </c>
      <c r="B50" s="2" t="str">
        <f t="shared" si="12"/>
        <v>36M6M3OVR</v>
      </c>
      <c r="C50" s="2" t="s">
        <v>105</v>
      </c>
      <c r="D50" s="2" t="s">
        <v>37</v>
      </c>
      <c r="E50" s="10" t="s">
        <v>518</v>
      </c>
      <c r="F50" s="2" t="s">
        <v>48</v>
      </c>
      <c r="G50" s="2" t="s">
        <v>49</v>
      </c>
      <c r="H50" s="2"/>
      <c r="I50" s="8">
        <v>3.0</v>
      </c>
      <c r="J50" s="11">
        <v>3.0</v>
      </c>
      <c r="K50" s="7" t="s">
        <v>519</v>
      </c>
      <c r="L50" s="7"/>
    </row>
    <row r="51">
      <c r="A51" s="2" t="s">
        <v>173</v>
      </c>
      <c r="B51" s="2" t="str">
        <f t="shared" si="12"/>
        <v>98AX72OVR</v>
      </c>
      <c r="C51" s="2" t="s">
        <v>174</v>
      </c>
      <c r="D51" s="2" t="s">
        <v>37</v>
      </c>
      <c r="E51" s="10" t="s">
        <v>518</v>
      </c>
      <c r="F51" s="2" t="s">
        <v>48</v>
      </c>
      <c r="G51" s="2" t="s">
        <v>49</v>
      </c>
      <c r="H51" s="2"/>
      <c r="I51" s="8">
        <v>3.0</v>
      </c>
      <c r="J51" s="11">
        <v>3.0</v>
      </c>
      <c r="K51" s="7" t="s">
        <v>519</v>
      </c>
      <c r="L51" s="7"/>
    </row>
    <row r="52">
      <c r="A52" s="2" t="s">
        <v>175</v>
      </c>
      <c r="B52" s="2" t="str">
        <f t="shared" si="12"/>
        <v>1DF724OVR</v>
      </c>
      <c r="C52" s="2" t="s">
        <v>176</v>
      </c>
      <c r="D52" s="2" t="s">
        <v>37</v>
      </c>
      <c r="E52" s="10" t="s">
        <v>518</v>
      </c>
      <c r="F52" s="2" t="s">
        <v>48</v>
      </c>
      <c r="G52" s="2" t="s">
        <v>49</v>
      </c>
      <c r="H52" s="2"/>
      <c r="I52" s="8">
        <v>3.0</v>
      </c>
      <c r="J52" s="11">
        <v>3.0</v>
      </c>
      <c r="K52" s="7" t="s">
        <v>519</v>
      </c>
      <c r="L52" s="7"/>
    </row>
    <row r="53">
      <c r="A53" s="2" t="s">
        <v>177</v>
      </c>
      <c r="B53" s="2" t="str">
        <f t="shared" si="12"/>
        <v>64L6W2OVR</v>
      </c>
      <c r="C53" s="2" t="s">
        <v>178</v>
      </c>
      <c r="D53" s="2" t="s">
        <v>37</v>
      </c>
      <c r="E53" s="10" t="s">
        <v>518</v>
      </c>
      <c r="F53" s="2" t="s">
        <v>48</v>
      </c>
      <c r="G53" s="2" t="s">
        <v>49</v>
      </c>
      <c r="H53" s="2"/>
      <c r="I53" s="8">
        <v>3.0</v>
      </c>
      <c r="J53" s="11">
        <v>3.0</v>
      </c>
      <c r="K53" s="7" t="s">
        <v>519</v>
      </c>
      <c r="L53" s="7"/>
    </row>
    <row r="54">
      <c r="A54" s="2" t="s">
        <v>179</v>
      </c>
      <c r="B54" s="2" t="str">
        <f t="shared" si="12"/>
        <v>47EP43OVR</v>
      </c>
      <c r="C54" s="2" t="s">
        <v>180</v>
      </c>
      <c r="D54" s="2" t="s">
        <v>37</v>
      </c>
      <c r="E54" s="10" t="s">
        <v>518</v>
      </c>
      <c r="F54" s="2" t="s">
        <v>48</v>
      </c>
      <c r="G54" s="2" t="s">
        <v>49</v>
      </c>
      <c r="H54" s="2"/>
      <c r="I54" s="8">
        <v>3.0</v>
      </c>
      <c r="J54" s="11">
        <v>3.0</v>
      </c>
      <c r="K54" s="7" t="s">
        <v>519</v>
      </c>
      <c r="L54" s="7"/>
    </row>
    <row r="55">
      <c r="A55" s="2" t="s">
        <v>181</v>
      </c>
      <c r="B55" s="2" t="str">
        <f t="shared" si="12"/>
        <v>23A4L7OVR</v>
      </c>
      <c r="C55" s="2" t="s">
        <v>182</v>
      </c>
      <c r="D55" s="2" t="s">
        <v>37</v>
      </c>
      <c r="E55" s="10" t="s">
        <v>518</v>
      </c>
      <c r="F55" s="2" t="s">
        <v>48</v>
      </c>
      <c r="G55" s="2" t="s">
        <v>49</v>
      </c>
      <c r="H55" s="2"/>
      <c r="I55" s="8">
        <v>3.0</v>
      </c>
      <c r="J55" s="11">
        <v>3.0</v>
      </c>
      <c r="K55" s="7" t="s">
        <v>519</v>
      </c>
      <c r="L55" s="7"/>
    </row>
    <row r="56">
      <c r="A56" s="2" t="s">
        <v>183</v>
      </c>
      <c r="B56" s="2" t="str">
        <f t="shared" ref="B56:B58" si="13">concat(A56,3)</f>
        <v>21M8L73</v>
      </c>
      <c r="C56" s="2" t="s">
        <v>184</v>
      </c>
      <c r="D56" s="2" t="s">
        <v>37</v>
      </c>
      <c r="E56" s="2" t="s">
        <v>39</v>
      </c>
      <c r="F56" s="2" t="s">
        <v>41</v>
      </c>
      <c r="G56" s="2" t="s">
        <v>62</v>
      </c>
      <c r="H56" s="2" t="s">
        <v>57</v>
      </c>
      <c r="I56" s="8">
        <v>20.0</v>
      </c>
      <c r="J56" s="7">
        <v>1.0</v>
      </c>
      <c r="K56" s="7" t="s">
        <v>520</v>
      </c>
    </row>
    <row r="57">
      <c r="A57" s="2" t="s">
        <v>185</v>
      </c>
      <c r="B57" s="2" t="str">
        <f t="shared" si="13"/>
        <v>08R60X3</v>
      </c>
      <c r="C57" s="2" t="s">
        <v>186</v>
      </c>
      <c r="D57" s="2" t="s">
        <v>37</v>
      </c>
      <c r="E57" s="2" t="s">
        <v>39</v>
      </c>
      <c r="F57" s="2" t="s">
        <v>41</v>
      </c>
      <c r="G57" s="2" t="s">
        <v>62</v>
      </c>
      <c r="H57" s="2" t="s">
        <v>57</v>
      </c>
      <c r="I57" s="8">
        <v>20.0</v>
      </c>
      <c r="J57" s="7">
        <v>1.0</v>
      </c>
      <c r="K57" s="7" t="s">
        <v>520</v>
      </c>
    </row>
    <row r="58">
      <c r="A58" s="2" t="s">
        <v>177</v>
      </c>
      <c r="B58" s="2" t="str">
        <f t="shared" si="13"/>
        <v>64L6W23</v>
      </c>
      <c r="C58" s="2" t="s">
        <v>178</v>
      </c>
      <c r="D58" s="2" t="s">
        <v>37</v>
      </c>
      <c r="E58" s="2" t="s">
        <v>39</v>
      </c>
      <c r="F58" s="2" t="s">
        <v>41</v>
      </c>
      <c r="G58" s="2" t="s">
        <v>62</v>
      </c>
      <c r="H58" s="2" t="s">
        <v>57</v>
      </c>
      <c r="I58" s="8">
        <v>20.0</v>
      </c>
      <c r="J58" s="7">
        <v>1.0</v>
      </c>
      <c r="K58" s="7" t="s">
        <v>520</v>
      </c>
    </row>
    <row r="59">
      <c r="A59" s="2" t="s">
        <v>187</v>
      </c>
      <c r="B59" s="2" t="str">
        <f t="shared" ref="B59:B61" si="14">concat(A59,"OVR")</f>
        <v>4G936ROVR</v>
      </c>
      <c r="C59" s="2" t="s">
        <v>188</v>
      </c>
      <c r="D59" s="2" t="s">
        <v>37</v>
      </c>
      <c r="E59" s="10" t="s">
        <v>518</v>
      </c>
      <c r="F59" s="2" t="s">
        <v>48</v>
      </c>
      <c r="G59" s="2" t="s">
        <v>49</v>
      </c>
      <c r="H59" s="2"/>
      <c r="I59" s="8">
        <v>12.0</v>
      </c>
      <c r="J59" s="11">
        <v>12.0</v>
      </c>
      <c r="K59" s="7" t="s">
        <v>519</v>
      </c>
      <c r="L59" s="7"/>
    </row>
    <row r="60">
      <c r="A60" s="2" t="s">
        <v>189</v>
      </c>
      <c r="B60" s="2" t="str">
        <f t="shared" si="14"/>
        <v>42A23COVR</v>
      </c>
      <c r="C60" s="2" t="s">
        <v>190</v>
      </c>
      <c r="D60" s="2" t="s">
        <v>37</v>
      </c>
      <c r="E60" s="10" t="s">
        <v>518</v>
      </c>
      <c r="F60" s="2" t="s">
        <v>48</v>
      </c>
      <c r="G60" s="2" t="s">
        <v>49</v>
      </c>
      <c r="H60" s="2"/>
      <c r="I60" s="8">
        <v>3.0</v>
      </c>
      <c r="J60" s="11">
        <v>3.0</v>
      </c>
      <c r="K60" s="7" t="s">
        <v>519</v>
      </c>
      <c r="L60" s="7"/>
    </row>
    <row r="61">
      <c r="A61" s="2" t="s">
        <v>191</v>
      </c>
      <c r="B61" s="2" t="str">
        <f t="shared" si="14"/>
        <v>3WR646OVR</v>
      </c>
      <c r="C61" s="2" t="s">
        <v>192</v>
      </c>
      <c r="D61" s="2" t="s">
        <v>37</v>
      </c>
      <c r="E61" s="10" t="s">
        <v>518</v>
      </c>
      <c r="F61" s="2" t="s">
        <v>48</v>
      </c>
      <c r="G61" s="2" t="s">
        <v>49</v>
      </c>
      <c r="H61" s="2"/>
      <c r="I61" s="8">
        <v>12.0</v>
      </c>
      <c r="J61" s="11">
        <v>12.0</v>
      </c>
      <c r="K61" s="7" t="s">
        <v>519</v>
      </c>
      <c r="L61" s="7"/>
    </row>
    <row r="62">
      <c r="A62" s="2" t="s">
        <v>193</v>
      </c>
      <c r="B62" s="2" t="str">
        <f>concat(A62,3)</f>
        <v>23P40B3</v>
      </c>
      <c r="C62" s="2" t="s">
        <v>194</v>
      </c>
      <c r="D62" s="2" t="s">
        <v>37</v>
      </c>
      <c r="E62" s="2" t="s">
        <v>161</v>
      </c>
      <c r="F62" s="2" t="s">
        <v>41</v>
      </c>
      <c r="G62" s="2" t="s">
        <v>62</v>
      </c>
      <c r="H62" s="2" t="s">
        <v>51</v>
      </c>
      <c r="I62" s="8">
        <v>54.0</v>
      </c>
      <c r="J62" s="7">
        <v>1.0</v>
      </c>
      <c r="K62" s="7" t="s">
        <v>522</v>
      </c>
      <c r="L62" s="9" t="str">
        <f>IF(H62&gt;1,"[PMPM="&amp;H62&amp;"]","")</f>
        <v>[PMPM=2]</v>
      </c>
    </row>
    <row r="63">
      <c r="A63" s="2" t="s">
        <v>195</v>
      </c>
      <c r="B63" s="2" t="str">
        <f t="shared" ref="B63:B67" si="15">concat(A63,"OVR")</f>
        <v>43A22AOVR</v>
      </c>
      <c r="C63" s="2" t="s">
        <v>196</v>
      </c>
      <c r="D63" s="2" t="s">
        <v>37</v>
      </c>
      <c r="E63" s="10" t="s">
        <v>518</v>
      </c>
      <c r="F63" s="2" t="s">
        <v>48</v>
      </c>
      <c r="G63" s="2" t="s">
        <v>49</v>
      </c>
      <c r="H63" s="2"/>
      <c r="I63" s="8">
        <v>3.0</v>
      </c>
      <c r="J63" s="11">
        <v>3.0</v>
      </c>
      <c r="K63" s="7" t="s">
        <v>519</v>
      </c>
      <c r="L63" s="7"/>
    </row>
    <row r="64">
      <c r="A64" s="2" t="s">
        <v>197</v>
      </c>
      <c r="B64" s="2" t="str">
        <f t="shared" si="15"/>
        <v>60K7K3OVR</v>
      </c>
      <c r="C64" s="2" t="s">
        <v>198</v>
      </c>
      <c r="D64" s="2" t="s">
        <v>37</v>
      </c>
      <c r="E64" s="10" t="s">
        <v>518</v>
      </c>
      <c r="F64" s="2" t="s">
        <v>48</v>
      </c>
      <c r="G64" s="2" t="s">
        <v>49</v>
      </c>
      <c r="H64" s="2"/>
      <c r="I64" s="8">
        <v>3.0</v>
      </c>
      <c r="J64" s="11">
        <v>3.0</v>
      </c>
      <c r="K64" s="7" t="s">
        <v>519</v>
      </c>
      <c r="L64" s="7"/>
    </row>
    <row r="65">
      <c r="A65" s="2" t="s">
        <v>199</v>
      </c>
      <c r="B65" s="2" t="str">
        <f t="shared" si="15"/>
        <v>13CW38OVR</v>
      </c>
      <c r="C65" s="2" t="s">
        <v>200</v>
      </c>
      <c r="D65" s="2" t="s">
        <v>37</v>
      </c>
      <c r="E65" s="10" t="s">
        <v>518</v>
      </c>
      <c r="F65" s="2" t="s">
        <v>48</v>
      </c>
      <c r="G65" s="2" t="s">
        <v>49</v>
      </c>
      <c r="H65" s="2"/>
      <c r="I65" s="8">
        <v>3.0</v>
      </c>
      <c r="J65" s="11">
        <v>3.0</v>
      </c>
      <c r="K65" s="7" t="s">
        <v>519</v>
      </c>
      <c r="L65" s="7"/>
    </row>
    <row r="66">
      <c r="A66" s="2" t="s">
        <v>201</v>
      </c>
      <c r="B66" s="2" t="str">
        <f t="shared" si="15"/>
        <v>86Y86QOVR</v>
      </c>
      <c r="C66" s="2" t="s">
        <v>202</v>
      </c>
      <c r="D66" s="2" t="s">
        <v>74</v>
      </c>
      <c r="E66" s="10" t="s">
        <v>518</v>
      </c>
      <c r="F66" s="2" t="s">
        <v>48</v>
      </c>
      <c r="G66" s="2" t="s">
        <v>49</v>
      </c>
      <c r="H66" s="2"/>
      <c r="I66" s="8">
        <v>3.0</v>
      </c>
      <c r="J66" s="11">
        <v>3.0</v>
      </c>
      <c r="K66" s="7" t="s">
        <v>519</v>
      </c>
      <c r="L66" s="7"/>
    </row>
    <row r="67">
      <c r="A67" s="2" t="s">
        <v>203</v>
      </c>
      <c r="B67" s="2" t="str">
        <f t="shared" si="15"/>
        <v>105AB5OVR</v>
      </c>
      <c r="C67" s="2" t="s">
        <v>204</v>
      </c>
      <c r="D67" s="2" t="s">
        <v>37</v>
      </c>
      <c r="E67" s="10" t="s">
        <v>518</v>
      </c>
      <c r="F67" s="2" t="s">
        <v>48</v>
      </c>
      <c r="G67" s="2" t="s">
        <v>49</v>
      </c>
      <c r="H67" s="2"/>
      <c r="I67" s="8">
        <v>6.0</v>
      </c>
      <c r="J67" s="11">
        <v>6.0</v>
      </c>
      <c r="K67" s="7" t="s">
        <v>519</v>
      </c>
      <c r="L67" s="7"/>
    </row>
    <row r="68">
      <c r="A68" s="2" t="s">
        <v>205</v>
      </c>
      <c r="B68" s="2" t="str">
        <f t="shared" ref="B68:B69" si="16">concat(A68,3)</f>
        <v>62J11L3</v>
      </c>
      <c r="C68" s="2" t="s">
        <v>206</v>
      </c>
      <c r="D68" s="2" t="s">
        <v>37</v>
      </c>
      <c r="E68" s="2" t="s">
        <v>121</v>
      </c>
      <c r="F68" s="2" t="s">
        <v>41</v>
      </c>
      <c r="G68" s="2" t="s">
        <v>62</v>
      </c>
      <c r="H68" s="2" t="s">
        <v>57</v>
      </c>
      <c r="I68" s="8">
        <v>22.0</v>
      </c>
      <c r="J68" s="7">
        <v>1.0</v>
      </c>
      <c r="K68" s="7" t="s">
        <v>521</v>
      </c>
    </row>
    <row r="69">
      <c r="A69" s="2" t="s">
        <v>209</v>
      </c>
      <c r="B69" s="2" t="str">
        <f t="shared" si="16"/>
        <v>87Y6V13</v>
      </c>
      <c r="C69" s="2" t="s">
        <v>210</v>
      </c>
      <c r="D69" s="2" t="s">
        <v>74</v>
      </c>
      <c r="E69" s="2" t="s">
        <v>141</v>
      </c>
      <c r="F69" s="2" t="s">
        <v>41</v>
      </c>
      <c r="G69" s="2" t="s">
        <v>62</v>
      </c>
      <c r="H69" s="2" t="s">
        <v>57</v>
      </c>
      <c r="I69" s="8">
        <v>22.0</v>
      </c>
      <c r="J69" s="7">
        <v>1.0</v>
      </c>
      <c r="K69" s="7" t="s">
        <v>521</v>
      </c>
    </row>
    <row r="70">
      <c r="A70" s="2" t="s">
        <v>211</v>
      </c>
      <c r="B70" s="2" t="str">
        <f>concat(A70,"OVR")</f>
        <v>40X77QOVR</v>
      </c>
      <c r="C70" s="2" t="s">
        <v>212</v>
      </c>
      <c r="D70" s="2" t="s">
        <v>37</v>
      </c>
      <c r="E70" s="10" t="s">
        <v>518</v>
      </c>
      <c r="F70" s="2" t="s">
        <v>48</v>
      </c>
      <c r="G70" s="2" t="s">
        <v>49</v>
      </c>
      <c r="H70" s="2"/>
      <c r="I70" s="8">
        <v>3.0</v>
      </c>
      <c r="J70" s="11">
        <v>3.0</v>
      </c>
      <c r="K70" s="7" t="s">
        <v>519</v>
      </c>
      <c r="L70" s="7"/>
    </row>
    <row r="71">
      <c r="A71" s="2" t="s">
        <v>211</v>
      </c>
      <c r="B71" s="2" t="str">
        <f>concat(A71,3)</f>
        <v>40X77Q3</v>
      </c>
      <c r="C71" s="2" t="s">
        <v>212</v>
      </c>
      <c r="D71" s="2" t="s">
        <v>37</v>
      </c>
      <c r="E71" s="2" t="s">
        <v>141</v>
      </c>
      <c r="F71" s="2" t="s">
        <v>41</v>
      </c>
      <c r="G71" s="2" t="s">
        <v>62</v>
      </c>
      <c r="H71" s="2" t="s">
        <v>57</v>
      </c>
      <c r="I71" s="8">
        <v>22.0</v>
      </c>
      <c r="J71" s="7">
        <v>1.0</v>
      </c>
      <c r="K71" s="7" t="s">
        <v>521</v>
      </c>
    </row>
    <row r="72">
      <c r="A72" s="2" t="s">
        <v>213</v>
      </c>
      <c r="B72" s="2" t="str">
        <f>concat(A72,"OVR")</f>
        <v>37Y5J7OVR</v>
      </c>
      <c r="C72" s="2" t="s">
        <v>214</v>
      </c>
      <c r="D72" s="2" t="s">
        <v>54</v>
      </c>
      <c r="E72" s="10" t="s">
        <v>518</v>
      </c>
      <c r="F72" s="2" t="s">
        <v>48</v>
      </c>
      <c r="G72" s="2" t="s">
        <v>49</v>
      </c>
      <c r="H72" s="2"/>
      <c r="I72" s="8">
        <v>3.0</v>
      </c>
      <c r="J72" s="11">
        <v>3.0</v>
      </c>
      <c r="K72" s="7" t="s">
        <v>519</v>
      </c>
      <c r="L72" s="7"/>
    </row>
    <row r="73">
      <c r="A73" s="2" t="s">
        <v>217</v>
      </c>
      <c r="B73" s="2" t="str">
        <f t="shared" ref="B73:B76" si="17">concat(A73,3)</f>
        <v>43Y2H83</v>
      </c>
      <c r="C73" s="2" t="s">
        <v>218</v>
      </c>
      <c r="D73" s="2" t="s">
        <v>37</v>
      </c>
      <c r="E73" s="2" t="s">
        <v>219</v>
      </c>
      <c r="F73" s="2" t="s">
        <v>41</v>
      </c>
      <c r="G73" s="2" t="s">
        <v>62</v>
      </c>
      <c r="H73" s="2" t="s">
        <v>57</v>
      </c>
      <c r="I73" s="8">
        <v>22.0</v>
      </c>
      <c r="J73" s="7">
        <v>1.0</v>
      </c>
      <c r="K73" s="7" t="s">
        <v>521</v>
      </c>
    </row>
    <row r="74">
      <c r="A74" s="2" t="s">
        <v>221</v>
      </c>
      <c r="B74" s="2" t="str">
        <f t="shared" si="17"/>
        <v>0G0W533</v>
      </c>
      <c r="C74" s="2" t="s">
        <v>222</v>
      </c>
      <c r="D74" s="2" t="s">
        <v>37</v>
      </c>
      <c r="E74" s="2" t="s">
        <v>129</v>
      </c>
      <c r="F74" s="2" t="s">
        <v>41</v>
      </c>
      <c r="G74" s="2" t="s">
        <v>62</v>
      </c>
      <c r="H74" s="2" t="s">
        <v>57</v>
      </c>
      <c r="I74" s="8">
        <v>22.0</v>
      </c>
      <c r="J74" s="7">
        <v>1.0</v>
      </c>
      <c r="K74" s="7" t="s">
        <v>521</v>
      </c>
    </row>
    <row r="75">
      <c r="A75" s="2" t="s">
        <v>225</v>
      </c>
      <c r="B75" s="2" t="str">
        <f t="shared" si="17"/>
        <v>83YX853</v>
      </c>
      <c r="C75" s="2" t="s">
        <v>226</v>
      </c>
      <c r="D75" s="2" t="s">
        <v>74</v>
      </c>
      <c r="E75" s="2" t="s">
        <v>227</v>
      </c>
      <c r="F75" s="2" t="s">
        <v>41</v>
      </c>
      <c r="G75" s="2" t="s">
        <v>62</v>
      </c>
      <c r="H75" s="2" t="s">
        <v>57</v>
      </c>
      <c r="I75" s="8">
        <v>22.0</v>
      </c>
      <c r="J75" s="7">
        <v>1.0</v>
      </c>
      <c r="K75" s="7" t="s">
        <v>521</v>
      </c>
    </row>
    <row r="76">
      <c r="A76" s="2" t="s">
        <v>229</v>
      </c>
      <c r="B76" s="2" t="str">
        <f t="shared" si="17"/>
        <v>22RF433</v>
      </c>
      <c r="C76" s="2" t="s">
        <v>230</v>
      </c>
      <c r="D76" s="2" t="s">
        <v>37</v>
      </c>
      <c r="E76" s="2" t="s">
        <v>55</v>
      </c>
      <c r="F76" s="2" t="s">
        <v>41</v>
      </c>
      <c r="G76" s="2" t="s">
        <v>62</v>
      </c>
      <c r="H76" s="2" t="s">
        <v>51</v>
      </c>
      <c r="I76" s="8">
        <v>40.0</v>
      </c>
      <c r="J76" s="7">
        <v>1.0</v>
      </c>
      <c r="K76" s="7" t="s">
        <v>520</v>
      </c>
      <c r="L76" s="9" t="str">
        <f>IF(H76&gt;1,"[PMPM="&amp;H76&amp;"]","")</f>
        <v>[PMPM=2]</v>
      </c>
    </row>
    <row r="77">
      <c r="A77" s="2" t="s">
        <v>231</v>
      </c>
      <c r="B77" s="2" t="str">
        <f>concat(A77,"OVR")</f>
        <v>02GQ45OVR</v>
      </c>
      <c r="C77" s="2" t="s">
        <v>232</v>
      </c>
      <c r="D77" s="2" t="s">
        <v>37</v>
      </c>
      <c r="E77" s="10" t="s">
        <v>518</v>
      </c>
      <c r="F77" s="2" t="s">
        <v>48</v>
      </c>
      <c r="G77" s="2" t="s">
        <v>49</v>
      </c>
      <c r="H77" s="2"/>
      <c r="I77" s="8">
        <v>6.0</v>
      </c>
      <c r="J77" s="11">
        <v>6.0</v>
      </c>
      <c r="K77" s="7" t="s">
        <v>519</v>
      </c>
      <c r="L77" s="7"/>
    </row>
    <row r="78">
      <c r="A78" s="2" t="s">
        <v>233</v>
      </c>
      <c r="B78" s="2" t="str">
        <f t="shared" ref="B78:B84" si="18">concat(A78,3)</f>
        <v>4V324D3</v>
      </c>
      <c r="C78" s="2" t="s">
        <v>234</v>
      </c>
      <c r="D78" s="2" t="s">
        <v>37</v>
      </c>
      <c r="E78" s="2" t="s">
        <v>55</v>
      </c>
      <c r="F78" s="2" t="s">
        <v>41</v>
      </c>
      <c r="G78" s="2" t="s">
        <v>62</v>
      </c>
      <c r="H78" s="2" t="s">
        <v>65</v>
      </c>
      <c r="I78" s="8">
        <v>80.0</v>
      </c>
      <c r="J78" s="7">
        <v>1.0</v>
      </c>
      <c r="K78" s="7" t="s">
        <v>520</v>
      </c>
      <c r="L78" s="9" t="str">
        <f>IF(H78&gt;1,"[PMPM="&amp;H78&amp;"]","")</f>
        <v>[PMPM=4]</v>
      </c>
    </row>
    <row r="79">
      <c r="A79" s="2" t="s">
        <v>235</v>
      </c>
      <c r="B79" s="2" t="str">
        <f t="shared" si="18"/>
        <v>52V9B53</v>
      </c>
      <c r="C79" s="2" t="s">
        <v>236</v>
      </c>
      <c r="D79" s="2" t="s">
        <v>37</v>
      </c>
      <c r="E79" s="2" t="s">
        <v>55</v>
      </c>
      <c r="F79" s="2" t="s">
        <v>41</v>
      </c>
      <c r="G79" s="2" t="s">
        <v>62</v>
      </c>
      <c r="H79" s="2" t="s">
        <v>57</v>
      </c>
      <c r="I79" s="8">
        <v>20.0</v>
      </c>
      <c r="J79" s="7">
        <v>1.0</v>
      </c>
      <c r="K79" s="7" t="s">
        <v>520</v>
      </c>
    </row>
    <row r="80">
      <c r="A80" s="2" t="s">
        <v>52</v>
      </c>
      <c r="B80" s="2" t="str">
        <f t="shared" si="18"/>
        <v>52N5M13</v>
      </c>
      <c r="C80" s="2" t="s">
        <v>53</v>
      </c>
      <c r="D80" s="2" t="s">
        <v>54</v>
      </c>
      <c r="E80" s="2" t="s">
        <v>55</v>
      </c>
      <c r="F80" s="2" t="s">
        <v>41</v>
      </c>
      <c r="G80" s="2" t="s">
        <v>62</v>
      </c>
      <c r="H80" s="2" t="s">
        <v>51</v>
      </c>
      <c r="I80" s="8">
        <v>40.0</v>
      </c>
      <c r="J80" s="7">
        <v>1.0</v>
      </c>
      <c r="K80" s="7" t="s">
        <v>520</v>
      </c>
      <c r="L80" s="9" t="str">
        <f>IF(H80&gt;1,"[PMPM="&amp;H80&amp;"]","")</f>
        <v>[PMPM=2]</v>
      </c>
    </row>
    <row r="81">
      <c r="A81" s="2" t="s">
        <v>237</v>
      </c>
      <c r="B81" s="2" t="str">
        <f t="shared" si="18"/>
        <v>93BW133</v>
      </c>
      <c r="C81" s="2" t="s">
        <v>238</v>
      </c>
      <c r="D81" s="2" t="s">
        <v>37</v>
      </c>
      <c r="E81" s="2" t="s">
        <v>55</v>
      </c>
      <c r="F81" s="2" t="s">
        <v>41</v>
      </c>
      <c r="G81" s="2" t="s">
        <v>62</v>
      </c>
      <c r="H81" s="2" t="s">
        <v>57</v>
      </c>
      <c r="I81" s="8">
        <v>20.0</v>
      </c>
      <c r="J81" s="7">
        <v>1.0</v>
      </c>
      <c r="K81" s="7" t="s">
        <v>520</v>
      </c>
    </row>
    <row r="82">
      <c r="A82" s="2" t="s">
        <v>239</v>
      </c>
      <c r="B82" s="2" t="str">
        <f t="shared" si="18"/>
        <v>56E53L3</v>
      </c>
      <c r="C82" s="2" t="s">
        <v>240</v>
      </c>
      <c r="D82" s="2" t="s">
        <v>37</v>
      </c>
      <c r="E82" s="2" t="s">
        <v>55</v>
      </c>
      <c r="F82" s="2" t="s">
        <v>41</v>
      </c>
      <c r="G82" s="2" t="s">
        <v>62</v>
      </c>
      <c r="H82" s="2" t="s">
        <v>57</v>
      </c>
      <c r="I82" s="8">
        <v>20.0</v>
      </c>
      <c r="J82" s="7">
        <v>1.0</v>
      </c>
      <c r="K82" s="7" t="s">
        <v>520</v>
      </c>
    </row>
    <row r="83">
      <c r="A83" s="2" t="s">
        <v>149</v>
      </c>
      <c r="B83" s="2" t="str">
        <f t="shared" si="18"/>
        <v>257A3J3</v>
      </c>
      <c r="C83" s="2" t="s">
        <v>150</v>
      </c>
      <c r="D83" s="2" t="s">
        <v>74</v>
      </c>
      <c r="E83" s="2" t="s">
        <v>55</v>
      </c>
      <c r="F83" s="2" t="s">
        <v>41</v>
      </c>
      <c r="G83" s="2" t="s">
        <v>62</v>
      </c>
      <c r="H83" s="2" t="s">
        <v>51</v>
      </c>
      <c r="I83" s="8">
        <v>40.0</v>
      </c>
      <c r="J83" s="7">
        <v>1.0</v>
      </c>
      <c r="K83" s="7" t="s">
        <v>520</v>
      </c>
      <c r="L83" s="9" t="str">
        <f>IF(H83&gt;1,"[PMPM="&amp;H83&amp;"]","")</f>
        <v>[PMPM=2]</v>
      </c>
    </row>
    <row r="84">
      <c r="A84" s="2" t="s">
        <v>163</v>
      </c>
      <c r="B84" s="2" t="str">
        <f t="shared" si="18"/>
        <v>15X9T23</v>
      </c>
      <c r="C84" s="2" t="s">
        <v>164</v>
      </c>
      <c r="D84" s="2" t="s">
        <v>37</v>
      </c>
      <c r="E84" s="2" t="s">
        <v>161</v>
      </c>
      <c r="F84" s="2" t="s">
        <v>41</v>
      </c>
      <c r="G84" s="2" t="s">
        <v>62</v>
      </c>
      <c r="H84" s="2" t="s">
        <v>57</v>
      </c>
      <c r="I84" s="8">
        <v>22.0</v>
      </c>
      <c r="J84" s="7">
        <v>1.0</v>
      </c>
      <c r="K84" s="7" t="s">
        <v>521</v>
      </c>
    </row>
    <row r="85">
      <c r="A85" s="2" t="s">
        <v>241</v>
      </c>
      <c r="B85" s="2" t="str">
        <f>concat(A85,"OVR")</f>
        <v>29X49FOVR</v>
      </c>
      <c r="C85" s="2" t="s">
        <v>242</v>
      </c>
      <c r="D85" s="2" t="s">
        <v>37</v>
      </c>
      <c r="E85" s="10" t="s">
        <v>518</v>
      </c>
      <c r="F85" s="2" t="s">
        <v>48</v>
      </c>
      <c r="G85" s="2" t="s">
        <v>49</v>
      </c>
      <c r="H85" s="2"/>
      <c r="I85" s="8">
        <v>3.0</v>
      </c>
      <c r="J85" s="11">
        <v>3.0</v>
      </c>
      <c r="K85" s="7" t="s">
        <v>519</v>
      </c>
      <c r="L85" s="7"/>
    </row>
    <row r="86">
      <c r="A86" s="2" t="s">
        <v>167</v>
      </c>
      <c r="B86" s="2" t="str">
        <f>concat(A86,3)</f>
        <v>91Y92C3</v>
      </c>
      <c r="C86" s="2" t="s">
        <v>168</v>
      </c>
      <c r="D86" s="2" t="s">
        <v>37</v>
      </c>
      <c r="E86" s="2" t="s">
        <v>169</v>
      </c>
      <c r="F86" s="2" t="s">
        <v>41</v>
      </c>
      <c r="G86" s="2" t="s">
        <v>62</v>
      </c>
      <c r="H86" s="2" t="s">
        <v>57</v>
      </c>
      <c r="I86" s="8">
        <v>20.0</v>
      </c>
      <c r="J86" s="7">
        <v>1.0</v>
      </c>
      <c r="K86" s="7" t="s">
        <v>520</v>
      </c>
    </row>
    <row r="87">
      <c r="A87" s="2" t="s">
        <v>245</v>
      </c>
      <c r="B87" s="2" t="str">
        <f t="shared" ref="B87:B88" si="19">concat(A87,"OVR")</f>
        <v>42VU77OVR</v>
      </c>
      <c r="C87" s="2" t="s">
        <v>246</v>
      </c>
      <c r="D87" s="2" t="s">
        <v>74</v>
      </c>
      <c r="E87" s="10" t="s">
        <v>518</v>
      </c>
      <c r="F87" s="2" t="s">
        <v>48</v>
      </c>
      <c r="G87" s="2" t="s">
        <v>49</v>
      </c>
      <c r="H87" s="2"/>
      <c r="I87" s="8">
        <v>3.0</v>
      </c>
      <c r="J87" s="11">
        <v>3.0</v>
      </c>
      <c r="K87" s="7" t="s">
        <v>519</v>
      </c>
      <c r="L87" s="7"/>
    </row>
    <row r="88">
      <c r="A88" s="2" t="s">
        <v>247</v>
      </c>
      <c r="B88" s="2" t="str">
        <f t="shared" si="19"/>
        <v>63Q45QOVR</v>
      </c>
      <c r="C88" s="2" t="s">
        <v>248</v>
      </c>
      <c r="D88" s="2" t="s">
        <v>249</v>
      </c>
      <c r="E88" s="10" t="s">
        <v>518</v>
      </c>
      <c r="F88" s="2" t="s">
        <v>48</v>
      </c>
      <c r="G88" s="2" t="s">
        <v>49</v>
      </c>
      <c r="H88" s="2"/>
      <c r="I88" s="8">
        <v>3.0</v>
      </c>
      <c r="J88" s="11">
        <v>3.0</v>
      </c>
      <c r="K88" s="7" t="s">
        <v>519</v>
      </c>
      <c r="L88" s="7"/>
    </row>
    <row r="89">
      <c r="A89" s="2" t="s">
        <v>251</v>
      </c>
      <c r="B89" s="2" t="str">
        <f>concat(A89,8)</f>
        <v>70N3Q98</v>
      </c>
      <c r="C89" s="2" t="s">
        <v>252</v>
      </c>
      <c r="D89" s="2" t="s">
        <v>37</v>
      </c>
      <c r="E89" s="2" t="s">
        <v>39</v>
      </c>
      <c r="F89" s="2" t="s">
        <v>41</v>
      </c>
      <c r="G89" s="2" t="s">
        <v>43</v>
      </c>
      <c r="H89" s="2" t="s">
        <v>34</v>
      </c>
      <c r="I89" s="8">
        <v>4.53</v>
      </c>
      <c r="J89" s="9">
        <f>I89*5</f>
        <v>22.65</v>
      </c>
      <c r="K89" s="7" t="s">
        <v>517</v>
      </c>
    </row>
    <row r="90">
      <c r="A90" s="2" t="s">
        <v>251</v>
      </c>
      <c r="B90" s="2" t="str">
        <f t="shared" ref="B90:B95" si="20">concat(A90,"OVR")</f>
        <v>70N3Q9OVR</v>
      </c>
      <c r="C90" s="2" t="s">
        <v>252</v>
      </c>
      <c r="D90" s="2" t="s">
        <v>37</v>
      </c>
      <c r="E90" s="10" t="s">
        <v>518</v>
      </c>
      <c r="F90" s="2" t="s">
        <v>48</v>
      </c>
      <c r="G90" s="2" t="s">
        <v>49</v>
      </c>
      <c r="H90" s="2"/>
      <c r="I90" s="8">
        <v>3.0</v>
      </c>
      <c r="J90" s="11">
        <v>3.0</v>
      </c>
      <c r="K90" s="7" t="s">
        <v>519</v>
      </c>
      <c r="L90" s="7"/>
    </row>
    <row r="91">
      <c r="A91" s="2" t="s">
        <v>253</v>
      </c>
      <c r="B91" s="2" t="str">
        <f t="shared" si="20"/>
        <v>98BW73OVR</v>
      </c>
      <c r="C91" s="2" t="s">
        <v>254</v>
      </c>
      <c r="D91" s="2" t="s">
        <v>37</v>
      </c>
      <c r="E91" s="10" t="s">
        <v>518</v>
      </c>
      <c r="F91" s="2" t="s">
        <v>48</v>
      </c>
      <c r="G91" s="2" t="s">
        <v>49</v>
      </c>
      <c r="H91" s="2"/>
      <c r="I91" s="8">
        <v>3.0</v>
      </c>
      <c r="J91" s="11">
        <v>3.0</v>
      </c>
      <c r="K91" s="7" t="s">
        <v>519</v>
      </c>
      <c r="L91" s="7"/>
    </row>
    <row r="92">
      <c r="A92" s="2" t="s">
        <v>255</v>
      </c>
      <c r="B92" s="2" t="str">
        <f t="shared" si="20"/>
        <v>62Q90QOVR</v>
      </c>
      <c r="C92" s="2" t="s">
        <v>256</v>
      </c>
      <c r="D92" s="2" t="s">
        <v>37</v>
      </c>
      <c r="E92" s="10" t="s">
        <v>518</v>
      </c>
      <c r="F92" s="2" t="s">
        <v>48</v>
      </c>
      <c r="G92" s="2" t="s">
        <v>49</v>
      </c>
      <c r="H92" s="2"/>
      <c r="I92" s="8">
        <v>3.0</v>
      </c>
      <c r="J92" s="11">
        <v>3.0</v>
      </c>
      <c r="K92" s="7" t="s">
        <v>519</v>
      </c>
      <c r="L92" s="7"/>
    </row>
    <row r="93">
      <c r="A93" s="2" t="s">
        <v>257</v>
      </c>
      <c r="B93" s="2" t="str">
        <f t="shared" si="20"/>
        <v>62D72JOVR</v>
      </c>
      <c r="C93" s="2" t="s">
        <v>258</v>
      </c>
      <c r="D93" s="2" t="s">
        <v>37</v>
      </c>
      <c r="E93" s="10" t="s">
        <v>518</v>
      </c>
      <c r="F93" s="2" t="s">
        <v>48</v>
      </c>
      <c r="G93" s="2" t="s">
        <v>49</v>
      </c>
      <c r="H93" s="2"/>
      <c r="I93" s="8">
        <v>-3.0</v>
      </c>
      <c r="J93" s="11">
        <v>-3.0</v>
      </c>
      <c r="K93" s="7" t="s">
        <v>519</v>
      </c>
      <c r="L93" s="7"/>
    </row>
    <row r="94">
      <c r="A94" s="2" t="s">
        <v>259</v>
      </c>
      <c r="B94" s="2" t="str">
        <f t="shared" si="20"/>
        <v>64TB36OVR</v>
      </c>
      <c r="C94" s="2" t="s">
        <v>260</v>
      </c>
      <c r="D94" s="2" t="s">
        <v>74</v>
      </c>
      <c r="E94" s="10" t="s">
        <v>518</v>
      </c>
      <c r="F94" s="2" t="s">
        <v>48</v>
      </c>
      <c r="G94" s="2" t="s">
        <v>49</v>
      </c>
      <c r="H94" s="2"/>
      <c r="I94" s="8">
        <v>3.0</v>
      </c>
      <c r="J94" s="11">
        <v>3.0</v>
      </c>
      <c r="K94" s="7" t="s">
        <v>519</v>
      </c>
      <c r="L94" s="7"/>
    </row>
    <row r="95">
      <c r="A95" s="2" t="s">
        <v>261</v>
      </c>
      <c r="B95" s="2" t="str">
        <f t="shared" si="20"/>
        <v>43A4T3OVR</v>
      </c>
      <c r="C95" s="2" t="s">
        <v>262</v>
      </c>
      <c r="D95" s="2" t="s">
        <v>75</v>
      </c>
      <c r="E95" s="10" t="s">
        <v>518</v>
      </c>
      <c r="F95" s="2" t="s">
        <v>48</v>
      </c>
      <c r="G95" s="2" t="s">
        <v>49</v>
      </c>
      <c r="H95" s="2"/>
      <c r="I95" s="8">
        <v>3.0</v>
      </c>
      <c r="J95" s="11">
        <v>3.0</v>
      </c>
      <c r="K95" s="7" t="s">
        <v>519</v>
      </c>
      <c r="L95" s="7"/>
    </row>
    <row r="96">
      <c r="A96" s="2" t="s">
        <v>181</v>
      </c>
      <c r="B96" s="2" t="str">
        <f t="shared" ref="B96:B103" si="21">concat(A96,3)</f>
        <v>23A4L73</v>
      </c>
      <c r="C96" s="2" t="s">
        <v>182</v>
      </c>
      <c r="D96" s="2" t="s">
        <v>37</v>
      </c>
      <c r="E96" s="2" t="s">
        <v>39</v>
      </c>
      <c r="F96" s="2" t="s">
        <v>41</v>
      </c>
      <c r="G96" s="2" t="s">
        <v>62</v>
      </c>
      <c r="H96" s="2" t="s">
        <v>57</v>
      </c>
      <c r="I96" s="8">
        <v>20.0</v>
      </c>
      <c r="J96" s="7">
        <v>1.0</v>
      </c>
      <c r="K96" s="7" t="s">
        <v>520</v>
      </c>
    </row>
    <row r="97">
      <c r="A97" s="2" t="s">
        <v>199</v>
      </c>
      <c r="B97" s="2" t="str">
        <f t="shared" si="21"/>
        <v>13CW383</v>
      </c>
      <c r="C97" s="2" t="s">
        <v>200</v>
      </c>
      <c r="D97" s="2" t="s">
        <v>37</v>
      </c>
      <c r="E97" s="2" t="s">
        <v>39</v>
      </c>
      <c r="F97" s="2" t="s">
        <v>41</v>
      </c>
      <c r="G97" s="2" t="s">
        <v>62</v>
      </c>
      <c r="H97" s="2" t="s">
        <v>57</v>
      </c>
      <c r="I97" s="8">
        <v>20.0</v>
      </c>
      <c r="J97" s="7">
        <v>1.0</v>
      </c>
      <c r="K97" s="7" t="s">
        <v>520</v>
      </c>
    </row>
    <row r="98">
      <c r="A98" s="2" t="s">
        <v>263</v>
      </c>
      <c r="B98" s="2" t="str">
        <f t="shared" si="21"/>
        <v>11P64E3</v>
      </c>
      <c r="C98" s="2" t="s">
        <v>264</v>
      </c>
      <c r="D98" s="2" t="s">
        <v>37</v>
      </c>
      <c r="E98" s="2" t="s">
        <v>39</v>
      </c>
      <c r="F98" s="2" t="s">
        <v>41</v>
      </c>
      <c r="G98" s="2" t="s">
        <v>62</v>
      </c>
      <c r="H98" s="2" t="s">
        <v>57</v>
      </c>
      <c r="I98" s="8">
        <v>20.0</v>
      </c>
      <c r="J98" s="7">
        <v>1.0</v>
      </c>
      <c r="K98" s="7" t="s">
        <v>520</v>
      </c>
    </row>
    <row r="99">
      <c r="A99" s="2" t="s">
        <v>100</v>
      </c>
      <c r="B99" s="2" t="str">
        <f t="shared" si="21"/>
        <v>02N6L33</v>
      </c>
      <c r="C99" s="2" t="s">
        <v>101</v>
      </c>
      <c r="D99" s="2" t="s">
        <v>37</v>
      </c>
      <c r="E99" s="2" t="s">
        <v>39</v>
      </c>
      <c r="F99" s="2" t="s">
        <v>41</v>
      </c>
      <c r="G99" s="2" t="s">
        <v>62</v>
      </c>
      <c r="H99" s="2" t="s">
        <v>57</v>
      </c>
      <c r="I99" s="8">
        <v>20.0</v>
      </c>
      <c r="J99" s="7">
        <v>1.0</v>
      </c>
      <c r="K99" s="7" t="s">
        <v>520</v>
      </c>
    </row>
    <row r="100">
      <c r="A100" s="2" t="s">
        <v>265</v>
      </c>
      <c r="B100" s="2" t="str">
        <f t="shared" si="21"/>
        <v>88FB563</v>
      </c>
      <c r="C100" s="2" t="s">
        <v>266</v>
      </c>
      <c r="D100" s="2" t="s">
        <v>37</v>
      </c>
      <c r="E100" s="2" t="s">
        <v>39</v>
      </c>
      <c r="F100" s="2" t="s">
        <v>41</v>
      </c>
      <c r="G100" s="2" t="s">
        <v>62</v>
      </c>
      <c r="H100" s="2" t="s">
        <v>57</v>
      </c>
      <c r="I100" s="8">
        <v>20.0</v>
      </c>
      <c r="J100" s="7">
        <v>1.0</v>
      </c>
      <c r="K100" s="7" t="s">
        <v>520</v>
      </c>
    </row>
    <row r="101">
      <c r="A101" s="2" t="s">
        <v>267</v>
      </c>
      <c r="B101" s="2" t="str">
        <f t="shared" si="21"/>
        <v>74N99X3</v>
      </c>
      <c r="C101" s="2" t="s">
        <v>268</v>
      </c>
      <c r="D101" s="2" t="s">
        <v>37</v>
      </c>
      <c r="E101" s="2" t="s">
        <v>39</v>
      </c>
      <c r="F101" s="2" t="s">
        <v>41</v>
      </c>
      <c r="G101" s="2" t="s">
        <v>62</v>
      </c>
      <c r="H101" s="2" t="s">
        <v>57</v>
      </c>
      <c r="I101" s="8">
        <v>20.0</v>
      </c>
      <c r="J101" s="7">
        <v>1.0</v>
      </c>
      <c r="K101" s="7" t="s">
        <v>520</v>
      </c>
    </row>
    <row r="102">
      <c r="A102" s="2" t="s">
        <v>46</v>
      </c>
      <c r="B102" s="2" t="str">
        <f t="shared" si="21"/>
        <v>75K3E43</v>
      </c>
      <c r="C102" s="2" t="s">
        <v>47</v>
      </c>
      <c r="D102" s="2" t="s">
        <v>37</v>
      </c>
      <c r="E102" s="2" t="s">
        <v>39</v>
      </c>
      <c r="F102" s="2" t="s">
        <v>41</v>
      </c>
      <c r="G102" s="2" t="s">
        <v>62</v>
      </c>
      <c r="H102" s="2" t="s">
        <v>51</v>
      </c>
      <c r="I102" s="8">
        <v>40.0</v>
      </c>
      <c r="J102" s="7">
        <v>1.0</v>
      </c>
      <c r="K102" s="7" t="s">
        <v>520</v>
      </c>
      <c r="L102" s="9" t="str">
        <f>IF(H102&gt;1,"[PMPM="&amp;H102&amp;"]","")</f>
        <v>[PMPM=2]</v>
      </c>
    </row>
    <row r="103">
      <c r="A103" s="2" t="s">
        <v>253</v>
      </c>
      <c r="B103" s="2" t="str">
        <f t="shared" si="21"/>
        <v>98BW733</v>
      </c>
      <c r="C103" s="2" t="s">
        <v>254</v>
      </c>
      <c r="D103" s="2" t="s">
        <v>37</v>
      </c>
      <c r="E103" s="2" t="s">
        <v>39</v>
      </c>
      <c r="F103" s="2" t="s">
        <v>41</v>
      </c>
      <c r="G103" s="2" t="s">
        <v>62</v>
      </c>
      <c r="H103" s="2" t="s">
        <v>57</v>
      </c>
      <c r="I103" s="8">
        <v>20.0</v>
      </c>
      <c r="J103" s="7">
        <v>1.0</v>
      </c>
      <c r="K103" s="7" t="s">
        <v>520</v>
      </c>
    </row>
    <row r="104">
      <c r="A104" s="2" t="s">
        <v>269</v>
      </c>
      <c r="B104" s="2" t="str">
        <f>concat(A104,"OVR")</f>
        <v>9W748ROVR</v>
      </c>
      <c r="C104" s="2" t="s">
        <v>270</v>
      </c>
      <c r="D104" s="2" t="s">
        <v>37</v>
      </c>
      <c r="E104" s="10" t="s">
        <v>518</v>
      </c>
      <c r="F104" s="2" t="s">
        <v>48</v>
      </c>
      <c r="G104" s="2" t="s">
        <v>49</v>
      </c>
      <c r="H104" s="2"/>
      <c r="I104" s="8">
        <v>12.0</v>
      </c>
      <c r="J104" s="11">
        <v>12.0</v>
      </c>
      <c r="K104" s="7" t="s">
        <v>519</v>
      </c>
      <c r="L104" s="7"/>
    </row>
    <row r="105">
      <c r="A105" s="2" t="s">
        <v>273</v>
      </c>
      <c r="B105" s="2" t="str">
        <f>concat(A105,8)</f>
        <v>24V99J8</v>
      </c>
      <c r="C105" s="2" t="s">
        <v>274</v>
      </c>
      <c r="D105" s="2" t="s">
        <v>275</v>
      </c>
      <c r="E105" s="2" t="s">
        <v>276</v>
      </c>
      <c r="F105" s="2" t="s">
        <v>41</v>
      </c>
      <c r="G105" s="2" t="s">
        <v>43</v>
      </c>
      <c r="H105" s="2" t="s">
        <v>34</v>
      </c>
      <c r="I105" s="8">
        <v>7.92</v>
      </c>
      <c r="J105" s="9">
        <f>I105*5</f>
        <v>39.6</v>
      </c>
      <c r="K105" s="7" t="s">
        <v>517</v>
      </c>
    </row>
    <row r="106">
      <c r="A106" s="2" t="s">
        <v>280</v>
      </c>
      <c r="B106" s="2" t="str">
        <f>concat(A106,3)</f>
        <v>29Q59J3</v>
      </c>
      <c r="C106" s="2" t="s">
        <v>281</v>
      </c>
      <c r="D106" s="2" t="s">
        <v>37</v>
      </c>
      <c r="E106" s="2" t="s">
        <v>282</v>
      </c>
      <c r="F106" s="2" t="s">
        <v>41</v>
      </c>
      <c r="G106" s="2" t="s">
        <v>62</v>
      </c>
      <c r="H106" s="2" t="s">
        <v>57</v>
      </c>
      <c r="I106" s="8">
        <v>27.0</v>
      </c>
      <c r="J106" s="7">
        <v>1.0</v>
      </c>
      <c r="K106" s="7" t="s">
        <v>522</v>
      </c>
    </row>
    <row r="107">
      <c r="A107" s="2" t="s">
        <v>284</v>
      </c>
      <c r="B107" s="2" t="str">
        <f>concat(A107,"OVR")</f>
        <v>51YQ03OVR</v>
      </c>
      <c r="C107" s="2" t="s">
        <v>285</v>
      </c>
      <c r="D107" s="2" t="s">
        <v>37</v>
      </c>
      <c r="E107" s="10" t="s">
        <v>518</v>
      </c>
      <c r="F107" s="2" t="s">
        <v>48</v>
      </c>
      <c r="G107" s="2" t="s">
        <v>49</v>
      </c>
      <c r="H107" s="2"/>
      <c r="I107" s="8">
        <v>3.0</v>
      </c>
      <c r="J107" s="11">
        <v>3.0</v>
      </c>
      <c r="K107" s="7" t="s">
        <v>519</v>
      </c>
      <c r="L107" s="7"/>
    </row>
    <row r="108">
      <c r="A108" s="2" t="s">
        <v>290</v>
      </c>
      <c r="B108" s="2" t="str">
        <f>concat(A108,3)</f>
        <v>86XG363</v>
      </c>
      <c r="C108" s="2" t="s">
        <v>291</v>
      </c>
      <c r="D108" s="2" t="s">
        <v>37</v>
      </c>
      <c r="E108" s="2" t="s">
        <v>292</v>
      </c>
      <c r="F108" s="2" t="s">
        <v>41</v>
      </c>
      <c r="G108" s="2" t="s">
        <v>62</v>
      </c>
      <c r="H108" s="2" t="s">
        <v>57</v>
      </c>
      <c r="I108" s="8">
        <v>22.0</v>
      </c>
      <c r="J108" s="7">
        <v>1.0</v>
      </c>
      <c r="K108" s="7" t="s">
        <v>521</v>
      </c>
    </row>
    <row r="109">
      <c r="A109" s="2" t="s">
        <v>294</v>
      </c>
      <c r="B109" s="2" t="str">
        <f>concat(A109,"OVR")</f>
        <v>71Y12DOVR</v>
      </c>
      <c r="C109" s="2" t="s">
        <v>295</v>
      </c>
      <c r="D109" s="2" t="s">
        <v>37</v>
      </c>
      <c r="E109" s="10" t="s">
        <v>518</v>
      </c>
      <c r="F109" s="2" t="s">
        <v>48</v>
      </c>
      <c r="G109" s="2" t="s">
        <v>49</v>
      </c>
      <c r="H109" s="2"/>
      <c r="I109" s="8">
        <v>3.0</v>
      </c>
      <c r="J109" s="11">
        <v>3.0</v>
      </c>
      <c r="K109" s="7" t="s">
        <v>519</v>
      </c>
      <c r="L109" s="7"/>
    </row>
    <row r="110">
      <c r="A110" s="2" t="s">
        <v>296</v>
      </c>
      <c r="B110" s="2" t="str">
        <f>concat(A110,3)</f>
        <v>44V0G53</v>
      </c>
      <c r="C110" s="2" t="s">
        <v>297</v>
      </c>
      <c r="D110" s="2" t="s">
        <v>37</v>
      </c>
      <c r="E110" s="2" t="s">
        <v>70</v>
      </c>
      <c r="F110" s="2" t="s">
        <v>41</v>
      </c>
      <c r="G110" s="2" t="s">
        <v>62</v>
      </c>
      <c r="H110" s="2" t="s">
        <v>57</v>
      </c>
      <c r="I110" s="8">
        <v>22.0</v>
      </c>
      <c r="J110" s="7">
        <v>1.0</v>
      </c>
      <c r="K110" s="7" t="s">
        <v>521</v>
      </c>
    </row>
    <row r="111">
      <c r="A111" s="2" t="s">
        <v>300</v>
      </c>
      <c r="B111" s="2" t="str">
        <f>concat(A111,8)</f>
        <v>96T4W98</v>
      </c>
      <c r="C111" s="2" t="s">
        <v>301</v>
      </c>
      <c r="D111" s="2" t="s">
        <v>74</v>
      </c>
      <c r="E111" s="2" t="s">
        <v>302</v>
      </c>
      <c r="F111" s="2" t="s">
        <v>41</v>
      </c>
      <c r="G111" s="2" t="s">
        <v>43</v>
      </c>
      <c r="H111" s="2" t="s">
        <v>34</v>
      </c>
      <c r="I111" s="8">
        <v>8.29</v>
      </c>
      <c r="J111" s="9">
        <f>I111*5</f>
        <v>41.45</v>
      </c>
      <c r="K111" s="7" t="s">
        <v>517</v>
      </c>
    </row>
    <row r="112">
      <c r="A112" s="2" t="s">
        <v>114</v>
      </c>
      <c r="B112" s="2" t="str">
        <f>concat(A112,"OVR")</f>
        <v>60YQ35OVR</v>
      </c>
      <c r="C112" s="2" t="s">
        <v>115</v>
      </c>
      <c r="D112" s="2" t="s">
        <v>37</v>
      </c>
      <c r="E112" s="10" t="s">
        <v>518</v>
      </c>
      <c r="F112" s="2" t="s">
        <v>48</v>
      </c>
      <c r="G112" s="2" t="s">
        <v>49</v>
      </c>
      <c r="H112" s="2"/>
      <c r="I112" s="8">
        <v>9.0</v>
      </c>
      <c r="J112" s="11">
        <v>9.0</v>
      </c>
      <c r="K112" s="7" t="s">
        <v>519</v>
      </c>
      <c r="L112" s="7"/>
    </row>
    <row r="113">
      <c r="A113" s="2" t="s">
        <v>304</v>
      </c>
      <c r="B113" s="2" t="str">
        <f>concat(A113,8)</f>
        <v>14Y7G28</v>
      </c>
      <c r="C113" s="2" t="s">
        <v>305</v>
      </c>
      <c r="D113" s="2" t="s">
        <v>75</v>
      </c>
      <c r="E113" s="2" t="s">
        <v>110</v>
      </c>
      <c r="F113" s="2" t="s">
        <v>41</v>
      </c>
      <c r="G113" s="2" t="s">
        <v>43</v>
      </c>
      <c r="H113" s="2" t="s">
        <v>34</v>
      </c>
      <c r="I113" s="8">
        <v>23.83</v>
      </c>
      <c r="J113" s="9">
        <f>I113*5</f>
        <v>119.15</v>
      </c>
      <c r="K113" s="7" t="s">
        <v>517</v>
      </c>
    </row>
    <row r="114">
      <c r="A114" s="2" t="s">
        <v>306</v>
      </c>
      <c r="B114" s="2" t="str">
        <f t="shared" ref="B114:B115" si="22">concat(A114,3)</f>
        <v>3YB5593</v>
      </c>
      <c r="C114" s="2" t="s">
        <v>307</v>
      </c>
      <c r="D114" s="2" t="s">
        <v>37</v>
      </c>
      <c r="E114" s="2" t="s">
        <v>121</v>
      </c>
      <c r="F114" s="2" t="s">
        <v>41</v>
      </c>
      <c r="G114" s="2" t="s">
        <v>62</v>
      </c>
      <c r="H114" s="2" t="s">
        <v>57</v>
      </c>
      <c r="I114" s="8">
        <v>22.0</v>
      </c>
      <c r="J114" s="7">
        <v>1.0</v>
      </c>
      <c r="K114" s="7" t="s">
        <v>521</v>
      </c>
    </row>
    <row r="115">
      <c r="A115" s="2" t="s">
        <v>308</v>
      </c>
      <c r="B115" s="2" t="str">
        <f t="shared" si="22"/>
        <v>98RE803</v>
      </c>
      <c r="C115" s="2" t="s">
        <v>309</v>
      </c>
      <c r="D115" s="2" t="s">
        <v>37</v>
      </c>
      <c r="E115" s="2" t="s">
        <v>55</v>
      </c>
      <c r="F115" s="2" t="s">
        <v>41</v>
      </c>
      <c r="G115" s="2" t="s">
        <v>62</v>
      </c>
      <c r="H115" s="2" t="s">
        <v>57</v>
      </c>
      <c r="I115" s="8">
        <v>20.0</v>
      </c>
      <c r="J115" s="7">
        <v>1.0</v>
      </c>
      <c r="K115" s="7" t="s">
        <v>520</v>
      </c>
    </row>
    <row r="116">
      <c r="A116" s="2" t="s">
        <v>310</v>
      </c>
      <c r="B116" s="2" t="str">
        <f>concat(A116,"OVR")</f>
        <v>5PW177OVR</v>
      </c>
      <c r="C116" s="2" t="s">
        <v>311</v>
      </c>
      <c r="D116" s="2" t="s">
        <v>37</v>
      </c>
      <c r="E116" s="10" t="s">
        <v>518</v>
      </c>
      <c r="F116" s="2" t="s">
        <v>48</v>
      </c>
      <c r="G116" s="2" t="s">
        <v>49</v>
      </c>
      <c r="H116" s="2"/>
      <c r="I116" s="8">
        <v>3.0</v>
      </c>
      <c r="J116" s="11">
        <v>3.0</v>
      </c>
      <c r="K116" s="7" t="s">
        <v>519</v>
      </c>
      <c r="L116" s="7"/>
    </row>
    <row r="117">
      <c r="A117" s="2" t="s">
        <v>312</v>
      </c>
      <c r="B117" s="2" t="str">
        <f>concat(A117,3)</f>
        <v>31X01M3</v>
      </c>
      <c r="C117" s="2" t="s">
        <v>313</v>
      </c>
      <c r="D117" s="2" t="s">
        <v>37</v>
      </c>
      <c r="E117" s="2" t="s">
        <v>55</v>
      </c>
      <c r="F117" s="2" t="s">
        <v>41</v>
      </c>
      <c r="G117" s="2" t="s">
        <v>62</v>
      </c>
      <c r="H117" s="2" t="s">
        <v>51</v>
      </c>
      <c r="I117" s="8">
        <v>40.0</v>
      </c>
      <c r="J117" s="7">
        <v>1.0</v>
      </c>
      <c r="K117" s="7" t="s">
        <v>520</v>
      </c>
      <c r="L117" s="9" t="str">
        <f>IF(H117&gt;1,"[PMPM="&amp;H117&amp;"]","")</f>
        <v>[PMPM=2]</v>
      </c>
    </row>
    <row r="118">
      <c r="A118" s="2" t="s">
        <v>229</v>
      </c>
      <c r="B118" s="2" t="str">
        <f>concat(A118,"OVR")</f>
        <v>22RF43OVR</v>
      </c>
      <c r="C118" s="2" t="s">
        <v>230</v>
      </c>
      <c r="D118" s="2" t="s">
        <v>37</v>
      </c>
      <c r="E118" s="10" t="s">
        <v>518</v>
      </c>
      <c r="F118" s="2" t="s">
        <v>48</v>
      </c>
      <c r="G118" s="2" t="s">
        <v>49</v>
      </c>
      <c r="H118" s="2"/>
      <c r="I118" s="8">
        <v>6.0</v>
      </c>
      <c r="J118" s="11">
        <v>6.0</v>
      </c>
      <c r="K118" s="7" t="s">
        <v>519</v>
      </c>
      <c r="L118" s="7"/>
    </row>
    <row r="119">
      <c r="A119" s="2" t="s">
        <v>189</v>
      </c>
      <c r="B119" s="2" t="str">
        <f t="shared" ref="B119:B121" si="23">concat(A119,3)</f>
        <v>42A23C3</v>
      </c>
      <c r="C119" s="2" t="s">
        <v>190</v>
      </c>
      <c r="D119" s="2" t="s">
        <v>37</v>
      </c>
      <c r="E119" s="2" t="s">
        <v>55</v>
      </c>
      <c r="F119" s="2" t="s">
        <v>41</v>
      </c>
      <c r="G119" s="2" t="s">
        <v>62</v>
      </c>
      <c r="H119" s="2" t="s">
        <v>57</v>
      </c>
      <c r="I119" s="8">
        <v>20.0</v>
      </c>
      <c r="J119" s="7">
        <v>1.0</v>
      </c>
      <c r="K119" s="7" t="s">
        <v>520</v>
      </c>
    </row>
    <row r="120">
      <c r="A120" s="2" t="s">
        <v>314</v>
      </c>
      <c r="B120" s="2" t="str">
        <f t="shared" si="23"/>
        <v>78K26G3</v>
      </c>
      <c r="C120" s="2" t="s">
        <v>315</v>
      </c>
      <c r="D120" s="2" t="s">
        <v>37</v>
      </c>
      <c r="E120" s="2" t="s">
        <v>55</v>
      </c>
      <c r="F120" s="2" t="s">
        <v>41</v>
      </c>
      <c r="G120" s="2" t="s">
        <v>62</v>
      </c>
      <c r="H120" s="2" t="s">
        <v>57</v>
      </c>
      <c r="I120" s="8">
        <v>20.0</v>
      </c>
      <c r="J120" s="7">
        <v>1.0</v>
      </c>
      <c r="K120" s="7" t="s">
        <v>520</v>
      </c>
    </row>
    <row r="121">
      <c r="A121" s="2" t="s">
        <v>316</v>
      </c>
      <c r="B121" s="2" t="str">
        <f t="shared" si="23"/>
        <v>33X85A3</v>
      </c>
      <c r="C121" s="2" t="s">
        <v>317</v>
      </c>
      <c r="D121" s="2" t="s">
        <v>37</v>
      </c>
      <c r="E121" s="2" t="s">
        <v>55</v>
      </c>
      <c r="F121" s="2" t="s">
        <v>41</v>
      </c>
      <c r="G121" s="2" t="s">
        <v>62</v>
      </c>
      <c r="H121" s="2" t="s">
        <v>51</v>
      </c>
      <c r="I121" s="8">
        <v>40.0</v>
      </c>
      <c r="J121" s="7">
        <v>1.0</v>
      </c>
      <c r="K121" s="7" t="s">
        <v>520</v>
      </c>
      <c r="L121" s="9" t="str">
        <f>IF(H121&gt;1,"[PMPM="&amp;H121&amp;"]","")</f>
        <v>[PMPM=2]</v>
      </c>
    </row>
    <row r="122">
      <c r="A122" s="2" t="s">
        <v>318</v>
      </c>
      <c r="B122" s="2" t="str">
        <f>concat(A122,8)</f>
        <v>29R8H28</v>
      </c>
      <c r="C122" s="2" t="s">
        <v>319</v>
      </c>
      <c r="D122" s="2" t="s">
        <v>74</v>
      </c>
      <c r="E122" s="2" t="s">
        <v>55</v>
      </c>
      <c r="F122" s="2" t="s">
        <v>41</v>
      </c>
      <c r="G122" s="2" t="s">
        <v>43</v>
      </c>
      <c r="H122" s="2" t="s">
        <v>34</v>
      </c>
      <c r="I122" s="8">
        <v>4.31</v>
      </c>
      <c r="J122" s="9">
        <f>I122*5</f>
        <v>21.55</v>
      </c>
      <c r="K122" s="7" t="s">
        <v>517</v>
      </c>
    </row>
    <row r="123">
      <c r="A123" s="2" t="s">
        <v>52</v>
      </c>
      <c r="B123" s="2" t="str">
        <f>concat(A123,"OVR")</f>
        <v>52N5M1OVR</v>
      </c>
      <c r="C123" s="2" t="s">
        <v>53</v>
      </c>
      <c r="D123" s="2" t="s">
        <v>54</v>
      </c>
      <c r="E123" s="10" t="s">
        <v>518</v>
      </c>
      <c r="F123" s="2" t="s">
        <v>48</v>
      </c>
      <c r="G123" s="2" t="s">
        <v>49</v>
      </c>
      <c r="H123" s="2"/>
      <c r="I123" s="8">
        <v>6.0</v>
      </c>
      <c r="J123" s="11">
        <v>6.0</v>
      </c>
      <c r="K123" s="7" t="s">
        <v>519</v>
      </c>
      <c r="L123" s="7"/>
    </row>
    <row r="124">
      <c r="A124" s="2" t="s">
        <v>145</v>
      </c>
      <c r="B124" s="2" t="str">
        <f>concat(A124,3)</f>
        <v>90RD483</v>
      </c>
      <c r="C124" s="2" t="s">
        <v>146</v>
      </c>
      <c r="D124" s="2" t="s">
        <v>37</v>
      </c>
      <c r="E124" s="2" t="s">
        <v>55</v>
      </c>
      <c r="F124" s="2" t="s">
        <v>41</v>
      </c>
      <c r="G124" s="2" t="s">
        <v>62</v>
      </c>
      <c r="H124" s="2" t="s">
        <v>57</v>
      </c>
      <c r="I124" s="8">
        <v>20.0</v>
      </c>
      <c r="J124" s="7">
        <v>1.0</v>
      </c>
      <c r="K124" s="7" t="s">
        <v>520</v>
      </c>
    </row>
    <row r="125">
      <c r="A125" s="2" t="s">
        <v>193</v>
      </c>
      <c r="B125" s="2" t="str">
        <f t="shared" ref="B125:B129" si="24">concat(A125,"OVR")</f>
        <v>23P40BOVR</v>
      </c>
      <c r="C125" s="2" t="s">
        <v>194</v>
      </c>
      <c r="D125" s="2" t="s">
        <v>37</v>
      </c>
      <c r="E125" s="10" t="s">
        <v>518</v>
      </c>
      <c r="F125" s="2" t="s">
        <v>48</v>
      </c>
      <c r="G125" s="2" t="s">
        <v>49</v>
      </c>
      <c r="H125" s="2"/>
      <c r="I125" s="8">
        <v>6.0</v>
      </c>
      <c r="J125" s="11">
        <v>6.0</v>
      </c>
      <c r="K125" s="7" t="s">
        <v>519</v>
      </c>
      <c r="L125" s="7"/>
    </row>
    <row r="126">
      <c r="A126" s="2" t="s">
        <v>159</v>
      </c>
      <c r="B126" s="2" t="str">
        <f t="shared" si="24"/>
        <v>4L14A4OVR</v>
      </c>
      <c r="C126" s="2" t="s">
        <v>160</v>
      </c>
      <c r="D126" s="2" t="s">
        <v>75</v>
      </c>
      <c r="E126" s="10" t="s">
        <v>518</v>
      </c>
      <c r="F126" s="2" t="s">
        <v>48</v>
      </c>
      <c r="G126" s="2" t="s">
        <v>49</v>
      </c>
      <c r="H126" s="2"/>
      <c r="I126" s="8">
        <v>12.0</v>
      </c>
      <c r="J126" s="11">
        <v>12.0</v>
      </c>
      <c r="K126" s="7" t="s">
        <v>519</v>
      </c>
      <c r="L126" s="7"/>
    </row>
    <row r="127">
      <c r="A127" s="2" t="s">
        <v>320</v>
      </c>
      <c r="B127" s="2" t="str">
        <f t="shared" si="24"/>
        <v>L7Q508OVR</v>
      </c>
      <c r="C127" s="2" t="s">
        <v>321</v>
      </c>
      <c r="D127" s="2" t="s">
        <v>74</v>
      </c>
      <c r="E127" s="10" t="s">
        <v>518</v>
      </c>
      <c r="F127" s="2" t="s">
        <v>48</v>
      </c>
      <c r="G127" s="2" t="s">
        <v>49</v>
      </c>
      <c r="H127" s="2"/>
      <c r="I127" s="8">
        <v>9.0</v>
      </c>
      <c r="J127" s="11">
        <v>9.0</v>
      </c>
      <c r="K127" s="7" t="s">
        <v>519</v>
      </c>
      <c r="L127" s="7"/>
    </row>
    <row r="128">
      <c r="A128" s="2" t="s">
        <v>322</v>
      </c>
      <c r="B128" s="2" t="str">
        <f t="shared" si="24"/>
        <v>99AX15OVR</v>
      </c>
      <c r="C128" s="2" t="s">
        <v>323</v>
      </c>
      <c r="D128" s="2" t="s">
        <v>37</v>
      </c>
      <c r="E128" s="10" t="s">
        <v>518</v>
      </c>
      <c r="F128" s="2" t="s">
        <v>48</v>
      </c>
      <c r="G128" s="2" t="s">
        <v>49</v>
      </c>
      <c r="H128" s="2"/>
      <c r="I128" s="8">
        <v>6.0</v>
      </c>
      <c r="J128" s="11">
        <v>6.0</v>
      </c>
      <c r="K128" s="7" t="s">
        <v>519</v>
      </c>
      <c r="L128" s="7"/>
    </row>
    <row r="129">
      <c r="A129" s="2" t="s">
        <v>267</v>
      </c>
      <c r="B129" s="2" t="str">
        <f t="shared" si="24"/>
        <v>74N99XOVR</v>
      </c>
      <c r="C129" s="2" t="s">
        <v>268</v>
      </c>
      <c r="D129" s="2" t="s">
        <v>37</v>
      </c>
      <c r="E129" s="10" t="s">
        <v>518</v>
      </c>
      <c r="F129" s="2" t="s">
        <v>48</v>
      </c>
      <c r="G129" s="2" t="s">
        <v>49</v>
      </c>
      <c r="H129" s="2"/>
      <c r="I129" s="8">
        <v>3.0</v>
      </c>
      <c r="J129" s="11">
        <v>3.0</v>
      </c>
      <c r="K129" s="7" t="s">
        <v>519</v>
      </c>
      <c r="L129" s="7"/>
    </row>
    <row r="130">
      <c r="A130" s="2" t="s">
        <v>324</v>
      </c>
      <c r="B130" s="2" t="str">
        <f>concat(A130,3)</f>
        <v>66U1D83</v>
      </c>
      <c r="C130" s="2" t="s">
        <v>325</v>
      </c>
      <c r="D130" s="2" t="s">
        <v>37</v>
      </c>
      <c r="E130" s="2" t="s">
        <v>39</v>
      </c>
      <c r="F130" s="2" t="s">
        <v>41</v>
      </c>
      <c r="G130" s="2" t="s">
        <v>62</v>
      </c>
      <c r="H130" s="2" t="s">
        <v>57</v>
      </c>
      <c r="I130" s="8">
        <v>-20.0</v>
      </c>
      <c r="J130" s="7">
        <v>-1.0</v>
      </c>
      <c r="K130" s="7" t="s">
        <v>520</v>
      </c>
    </row>
    <row r="131">
      <c r="A131" s="2" t="s">
        <v>326</v>
      </c>
      <c r="B131" s="2" t="str">
        <f>concat(A131,"OVR")</f>
        <v>35E56XOVR</v>
      </c>
      <c r="C131" s="2" t="s">
        <v>327</v>
      </c>
      <c r="D131" s="2" t="s">
        <v>37</v>
      </c>
      <c r="E131" s="10" t="s">
        <v>518</v>
      </c>
      <c r="F131" s="2" t="s">
        <v>48</v>
      </c>
      <c r="G131" s="2" t="s">
        <v>49</v>
      </c>
      <c r="H131" s="2"/>
      <c r="I131" s="8">
        <v>3.0</v>
      </c>
      <c r="J131" s="11">
        <v>3.0</v>
      </c>
      <c r="K131" s="7" t="s">
        <v>519</v>
      </c>
      <c r="L131" s="7"/>
    </row>
    <row r="132">
      <c r="A132" s="2" t="s">
        <v>247</v>
      </c>
      <c r="B132" s="2" t="str">
        <f>concat(A132,3)</f>
        <v>63Q45Q3</v>
      </c>
      <c r="C132" s="2" t="s">
        <v>248</v>
      </c>
      <c r="D132" s="2" t="s">
        <v>249</v>
      </c>
      <c r="E132" s="2" t="s">
        <v>39</v>
      </c>
      <c r="F132" s="2" t="s">
        <v>41</v>
      </c>
      <c r="G132" s="2" t="s">
        <v>62</v>
      </c>
      <c r="H132" s="2" t="s">
        <v>57</v>
      </c>
      <c r="I132" s="8">
        <v>20.0</v>
      </c>
      <c r="J132" s="7">
        <v>1.0</v>
      </c>
      <c r="K132" s="7" t="s">
        <v>520</v>
      </c>
    </row>
    <row r="133">
      <c r="A133" s="2" t="s">
        <v>35</v>
      </c>
      <c r="B133" s="2" t="str">
        <f>concat(A133,"OVR")</f>
        <v>70T68QOVR</v>
      </c>
      <c r="C133" s="2" t="s">
        <v>36</v>
      </c>
      <c r="D133" s="2" t="s">
        <v>37</v>
      </c>
      <c r="E133" s="10" t="s">
        <v>518</v>
      </c>
      <c r="F133" s="2" t="s">
        <v>48</v>
      </c>
      <c r="G133" s="2" t="s">
        <v>49</v>
      </c>
      <c r="H133" s="2"/>
      <c r="I133" s="8">
        <v>6.0</v>
      </c>
      <c r="J133" s="11">
        <v>6.0</v>
      </c>
      <c r="K133" s="7" t="s">
        <v>519</v>
      </c>
      <c r="L133" s="7"/>
    </row>
    <row r="134">
      <c r="A134" s="2" t="s">
        <v>257</v>
      </c>
      <c r="B134" s="2" t="str">
        <f t="shared" ref="B134:B138" si="25">concat(A134,3)</f>
        <v>62D72J3</v>
      </c>
      <c r="C134" s="2" t="s">
        <v>258</v>
      </c>
      <c r="D134" s="2" t="s">
        <v>37</v>
      </c>
      <c r="E134" s="2" t="s">
        <v>39</v>
      </c>
      <c r="F134" s="2" t="s">
        <v>41</v>
      </c>
      <c r="G134" s="2" t="s">
        <v>62</v>
      </c>
      <c r="H134" s="2" t="s">
        <v>57</v>
      </c>
      <c r="I134" s="8">
        <v>-20.0</v>
      </c>
      <c r="J134" s="7">
        <v>-1.0</v>
      </c>
      <c r="K134" s="7" t="s">
        <v>520</v>
      </c>
    </row>
    <row r="135">
      <c r="A135" s="2" t="s">
        <v>328</v>
      </c>
      <c r="B135" s="2" t="str">
        <f t="shared" si="25"/>
        <v>64PR193</v>
      </c>
      <c r="C135" s="2" t="s">
        <v>329</v>
      </c>
      <c r="D135" s="2" t="s">
        <v>37</v>
      </c>
      <c r="E135" s="2" t="s">
        <v>39</v>
      </c>
      <c r="F135" s="2" t="s">
        <v>41</v>
      </c>
      <c r="G135" s="2" t="s">
        <v>62</v>
      </c>
      <c r="H135" s="2" t="s">
        <v>51</v>
      </c>
      <c r="I135" s="8">
        <v>40.0</v>
      </c>
      <c r="J135" s="7">
        <v>1.0</v>
      </c>
      <c r="K135" s="7" t="s">
        <v>520</v>
      </c>
      <c r="L135" s="9" t="str">
        <f>IF(H135&gt;1,"[PMPM="&amp;H135&amp;"]","")</f>
        <v>[PMPM=2]</v>
      </c>
    </row>
    <row r="136">
      <c r="A136" s="2" t="s">
        <v>88</v>
      </c>
      <c r="B136" s="2" t="str">
        <f t="shared" si="25"/>
        <v>3T581A3</v>
      </c>
      <c r="C136" s="2" t="s">
        <v>89</v>
      </c>
      <c r="D136" s="2" t="s">
        <v>37</v>
      </c>
      <c r="E136" s="2" t="s">
        <v>39</v>
      </c>
      <c r="F136" s="2" t="s">
        <v>41</v>
      </c>
      <c r="G136" s="2" t="s">
        <v>62</v>
      </c>
      <c r="H136" s="2" t="s">
        <v>57</v>
      </c>
      <c r="I136" s="8">
        <v>20.0</v>
      </c>
      <c r="J136" s="7">
        <v>1.0</v>
      </c>
      <c r="K136" s="7" t="s">
        <v>520</v>
      </c>
    </row>
    <row r="137">
      <c r="A137" s="2" t="s">
        <v>330</v>
      </c>
      <c r="B137" s="2" t="str">
        <f t="shared" si="25"/>
        <v>71V12T3</v>
      </c>
      <c r="C137" s="2" t="s">
        <v>331</v>
      </c>
      <c r="D137" s="2" t="s">
        <v>37</v>
      </c>
      <c r="E137" s="2" t="s">
        <v>39</v>
      </c>
      <c r="F137" s="2" t="s">
        <v>41</v>
      </c>
      <c r="G137" s="2" t="s">
        <v>62</v>
      </c>
      <c r="H137" s="2" t="s">
        <v>57</v>
      </c>
      <c r="I137" s="8">
        <v>20.0</v>
      </c>
      <c r="J137" s="7">
        <v>1.0</v>
      </c>
      <c r="K137" s="7" t="s">
        <v>520</v>
      </c>
    </row>
    <row r="138">
      <c r="A138" s="2" t="s">
        <v>332</v>
      </c>
      <c r="B138" s="2" t="str">
        <f t="shared" si="25"/>
        <v>35Q0N73</v>
      </c>
      <c r="C138" s="2" t="s">
        <v>333</v>
      </c>
      <c r="D138" s="2" t="s">
        <v>37</v>
      </c>
      <c r="E138" s="2" t="s">
        <v>39</v>
      </c>
      <c r="F138" s="2" t="s">
        <v>41</v>
      </c>
      <c r="G138" s="2" t="s">
        <v>62</v>
      </c>
      <c r="H138" s="2" t="s">
        <v>57</v>
      </c>
      <c r="I138" s="8">
        <v>20.0</v>
      </c>
      <c r="J138" s="7">
        <v>1.0</v>
      </c>
      <c r="K138" s="7" t="s">
        <v>520</v>
      </c>
    </row>
    <row r="139">
      <c r="A139" s="2" t="s">
        <v>334</v>
      </c>
      <c r="B139" s="2" t="str">
        <f t="shared" ref="B139:B140" si="26">concat(A139,"OVR")</f>
        <v>90Y58DOVR</v>
      </c>
      <c r="C139" s="2" t="s">
        <v>335</v>
      </c>
      <c r="D139" s="2" t="s">
        <v>37</v>
      </c>
      <c r="E139" s="10" t="s">
        <v>518</v>
      </c>
      <c r="F139" s="2" t="s">
        <v>48</v>
      </c>
      <c r="G139" s="2" t="s">
        <v>49</v>
      </c>
      <c r="H139" s="2"/>
      <c r="I139" s="8">
        <v>15.0</v>
      </c>
      <c r="J139" s="11">
        <v>15.0</v>
      </c>
      <c r="K139" s="7" t="s">
        <v>519</v>
      </c>
      <c r="L139" s="7"/>
    </row>
    <row r="140">
      <c r="A140" s="2" t="s">
        <v>339</v>
      </c>
      <c r="B140" s="2" t="str">
        <f t="shared" si="26"/>
        <v>1P16B8OVR</v>
      </c>
      <c r="C140" s="2" t="s">
        <v>340</v>
      </c>
      <c r="D140" s="2" t="s">
        <v>37</v>
      </c>
      <c r="E140" s="10" t="s">
        <v>518</v>
      </c>
      <c r="F140" s="2" t="s">
        <v>48</v>
      </c>
      <c r="G140" s="2" t="s">
        <v>49</v>
      </c>
      <c r="H140" s="2"/>
      <c r="I140" s="8">
        <v>3.0</v>
      </c>
      <c r="J140" s="11">
        <v>3.0</v>
      </c>
      <c r="K140" s="7" t="s">
        <v>519</v>
      </c>
      <c r="L140" s="7"/>
    </row>
    <row r="141">
      <c r="A141" s="2" t="s">
        <v>343</v>
      </c>
      <c r="B141" s="2" t="str">
        <f t="shared" ref="B141:B143" si="27">concat(A141,8)</f>
        <v>319B9U8</v>
      </c>
      <c r="C141" s="2" t="s">
        <v>344</v>
      </c>
      <c r="D141" s="2" t="s">
        <v>75</v>
      </c>
      <c r="E141" s="2" t="s">
        <v>276</v>
      </c>
      <c r="F141" s="2" t="s">
        <v>41</v>
      </c>
      <c r="G141" s="2" t="s">
        <v>43</v>
      </c>
      <c r="H141" s="2" t="s">
        <v>34</v>
      </c>
      <c r="I141" s="8">
        <v>6.0</v>
      </c>
      <c r="J141" s="9">
        <f t="shared" ref="J141:J143" si="28">I141*5</f>
        <v>30</v>
      </c>
      <c r="K141" s="7" t="s">
        <v>517</v>
      </c>
    </row>
    <row r="142">
      <c r="A142" s="2" t="s">
        <v>345</v>
      </c>
      <c r="B142" s="2" t="str">
        <f t="shared" si="27"/>
        <v>235AL38</v>
      </c>
      <c r="C142" s="2" t="s">
        <v>346</v>
      </c>
      <c r="D142" s="2" t="s">
        <v>37</v>
      </c>
      <c r="E142" s="2" t="s">
        <v>276</v>
      </c>
      <c r="F142" s="2" t="s">
        <v>41</v>
      </c>
      <c r="G142" s="2" t="s">
        <v>43</v>
      </c>
      <c r="H142" s="2" t="s">
        <v>34</v>
      </c>
      <c r="I142" s="8">
        <v>6.0</v>
      </c>
      <c r="J142" s="9">
        <f t="shared" si="28"/>
        <v>30</v>
      </c>
      <c r="K142" s="7" t="s">
        <v>517</v>
      </c>
    </row>
    <row r="143">
      <c r="A143" s="2" t="s">
        <v>347</v>
      </c>
      <c r="B143" s="2" t="str">
        <f t="shared" si="27"/>
        <v>47U3L08</v>
      </c>
      <c r="C143" s="2" t="s">
        <v>348</v>
      </c>
      <c r="D143" s="2" t="s">
        <v>349</v>
      </c>
      <c r="E143" s="2" t="s">
        <v>276</v>
      </c>
      <c r="F143" s="2" t="s">
        <v>41</v>
      </c>
      <c r="G143" s="2" t="s">
        <v>43</v>
      </c>
      <c r="H143" s="2" t="s">
        <v>34</v>
      </c>
      <c r="I143" s="8">
        <v>6.6</v>
      </c>
      <c r="J143" s="9">
        <f t="shared" si="28"/>
        <v>33</v>
      </c>
      <c r="K143" s="7" t="s">
        <v>517</v>
      </c>
    </row>
    <row r="144">
      <c r="A144" s="2" t="s">
        <v>350</v>
      </c>
      <c r="B144" s="2" t="str">
        <f t="shared" ref="B144:B146" si="29">concat(A144,"OVR")</f>
        <v>41X70XOVR</v>
      </c>
      <c r="C144" s="2" t="s">
        <v>351</v>
      </c>
      <c r="D144" s="2" t="s">
        <v>37</v>
      </c>
      <c r="E144" s="10" t="s">
        <v>518</v>
      </c>
      <c r="F144" s="2" t="s">
        <v>48</v>
      </c>
      <c r="G144" s="2" t="s">
        <v>49</v>
      </c>
      <c r="H144" s="2"/>
      <c r="I144" s="8">
        <v>3.0</v>
      </c>
      <c r="J144" s="11">
        <v>3.0</v>
      </c>
      <c r="K144" s="7" t="s">
        <v>519</v>
      </c>
      <c r="L144" s="7"/>
    </row>
    <row r="145">
      <c r="A145" s="2" t="s">
        <v>354</v>
      </c>
      <c r="B145" s="2" t="str">
        <f t="shared" si="29"/>
        <v>86Y5G7OVR</v>
      </c>
      <c r="C145" s="2" t="s">
        <v>355</v>
      </c>
      <c r="D145" s="2" t="s">
        <v>37</v>
      </c>
      <c r="E145" s="10" t="s">
        <v>518</v>
      </c>
      <c r="F145" s="2" t="s">
        <v>48</v>
      </c>
      <c r="G145" s="2" t="s">
        <v>49</v>
      </c>
      <c r="H145" s="2"/>
      <c r="I145" s="8">
        <v>6.0</v>
      </c>
      <c r="J145" s="11">
        <v>6.0</v>
      </c>
      <c r="K145" s="7" t="s">
        <v>519</v>
      </c>
      <c r="L145" s="7"/>
    </row>
    <row r="146">
      <c r="A146" s="2" t="s">
        <v>356</v>
      </c>
      <c r="B146" s="2" t="str">
        <f t="shared" si="29"/>
        <v>05Y7V1OVR</v>
      </c>
      <c r="C146" s="2" t="s">
        <v>357</v>
      </c>
      <c r="D146" s="2" t="s">
        <v>37</v>
      </c>
      <c r="E146" s="10" t="s">
        <v>518</v>
      </c>
      <c r="F146" s="2" t="s">
        <v>48</v>
      </c>
      <c r="G146" s="2" t="s">
        <v>49</v>
      </c>
      <c r="H146" s="2"/>
      <c r="I146" s="8">
        <v>3.0</v>
      </c>
      <c r="J146" s="11">
        <v>3.0</v>
      </c>
      <c r="K146" s="7" t="s">
        <v>519</v>
      </c>
      <c r="L146" s="7"/>
    </row>
    <row r="147">
      <c r="A147" s="2" t="s">
        <v>358</v>
      </c>
      <c r="B147" s="2" t="str">
        <f t="shared" ref="B147:B148" si="30">concat(A147,3)</f>
        <v>44X4V93</v>
      </c>
      <c r="C147" s="2" t="s">
        <v>359</v>
      </c>
      <c r="D147" s="2" t="s">
        <v>37</v>
      </c>
      <c r="E147" s="2" t="s">
        <v>55</v>
      </c>
      <c r="F147" s="2" t="s">
        <v>41</v>
      </c>
      <c r="G147" s="2" t="s">
        <v>62</v>
      </c>
      <c r="H147" s="2" t="s">
        <v>57</v>
      </c>
      <c r="I147" s="8">
        <v>20.0</v>
      </c>
      <c r="J147" s="7">
        <v>1.0</v>
      </c>
      <c r="K147" s="7" t="s">
        <v>520</v>
      </c>
    </row>
    <row r="148">
      <c r="A148" s="2" t="s">
        <v>360</v>
      </c>
      <c r="B148" s="2" t="str">
        <f t="shared" si="30"/>
        <v>63Q30Q3</v>
      </c>
      <c r="C148" s="2" t="s">
        <v>361</v>
      </c>
      <c r="D148" s="2" t="s">
        <v>37</v>
      </c>
      <c r="E148" s="2" t="s">
        <v>55</v>
      </c>
      <c r="F148" s="2" t="s">
        <v>41</v>
      </c>
      <c r="G148" s="2" t="s">
        <v>62</v>
      </c>
      <c r="H148" s="2" t="s">
        <v>57</v>
      </c>
      <c r="I148" s="8">
        <v>20.0</v>
      </c>
      <c r="J148" s="7">
        <v>1.0</v>
      </c>
      <c r="K148" s="7" t="s">
        <v>520</v>
      </c>
    </row>
    <row r="149">
      <c r="A149" s="2" t="s">
        <v>237</v>
      </c>
      <c r="B149" s="2" t="str">
        <f t="shared" ref="B149:B156" si="31">concat(A149,"OVR")</f>
        <v>93BW13OVR</v>
      </c>
      <c r="C149" s="2" t="s">
        <v>238</v>
      </c>
      <c r="D149" s="2" t="s">
        <v>37</v>
      </c>
      <c r="E149" s="10" t="s">
        <v>518</v>
      </c>
      <c r="F149" s="2" t="s">
        <v>48</v>
      </c>
      <c r="G149" s="2" t="s">
        <v>49</v>
      </c>
      <c r="H149" s="2"/>
      <c r="I149" s="8">
        <v>3.0</v>
      </c>
      <c r="J149" s="11">
        <v>3.0</v>
      </c>
      <c r="K149" s="7" t="s">
        <v>519</v>
      </c>
      <c r="L149" s="7"/>
    </row>
    <row r="150">
      <c r="A150" s="2" t="s">
        <v>362</v>
      </c>
      <c r="B150" s="2" t="str">
        <f t="shared" si="31"/>
        <v>283BE4OVR</v>
      </c>
      <c r="C150" s="2" t="s">
        <v>363</v>
      </c>
      <c r="D150" s="2" t="s">
        <v>74</v>
      </c>
      <c r="E150" s="10" t="s">
        <v>518</v>
      </c>
      <c r="F150" s="2" t="s">
        <v>48</v>
      </c>
      <c r="G150" s="2" t="s">
        <v>49</v>
      </c>
      <c r="H150" s="2"/>
      <c r="I150" s="8">
        <v>6.0</v>
      </c>
      <c r="J150" s="11">
        <v>6.0</v>
      </c>
      <c r="K150" s="7" t="s">
        <v>519</v>
      </c>
      <c r="L150" s="7"/>
    </row>
    <row r="151">
      <c r="A151" s="2" t="s">
        <v>318</v>
      </c>
      <c r="B151" s="2" t="str">
        <f t="shared" si="31"/>
        <v>29R8H2OVR</v>
      </c>
      <c r="C151" s="2" t="s">
        <v>319</v>
      </c>
      <c r="D151" s="2" t="s">
        <v>74</v>
      </c>
      <c r="E151" s="10" t="s">
        <v>518</v>
      </c>
      <c r="F151" s="2" t="s">
        <v>48</v>
      </c>
      <c r="G151" s="2" t="s">
        <v>49</v>
      </c>
      <c r="H151" s="2"/>
      <c r="I151" s="8">
        <v>6.0</v>
      </c>
      <c r="J151" s="11">
        <v>6.0</v>
      </c>
      <c r="K151" s="7" t="s">
        <v>519</v>
      </c>
      <c r="L151" s="7"/>
    </row>
    <row r="152">
      <c r="A152" s="2" t="s">
        <v>316</v>
      </c>
      <c r="B152" s="2" t="str">
        <f t="shared" si="31"/>
        <v>33X85AOVR</v>
      </c>
      <c r="C152" s="2" t="s">
        <v>317</v>
      </c>
      <c r="D152" s="2" t="s">
        <v>37</v>
      </c>
      <c r="E152" s="10" t="s">
        <v>518</v>
      </c>
      <c r="F152" s="2" t="s">
        <v>48</v>
      </c>
      <c r="G152" s="2" t="s">
        <v>49</v>
      </c>
      <c r="H152" s="2"/>
      <c r="I152" s="8">
        <v>6.0</v>
      </c>
      <c r="J152" s="11">
        <v>6.0</v>
      </c>
      <c r="K152" s="7" t="s">
        <v>519</v>
      </c>
      <c r="L152" s="7"/>
    </row>
    <row r="153">
      <c r="A153" s="2" t="s">
        <v>364</v>
      </c>
      <c r="B153" s="2" t="str">
        <f t="shared" si="31"/>
        <v>34C9J4OVR</v>
      </c>
      <c r="C153" s="2" t="s">
        <v>365</v>
      </c>
      <c r="D153" s="2" t="s">
        <v>37</v>
      </c>
      <c r="E153" s="10" t="s">
        <v>518</v>
      </c>
      <c r="F153" s="2" t="s">
        <v>48</v>
      </c>
      <c r="G153" s="2" t="s">
        <v>49</v>
      </c>
      <c r="H153" s="2"/>
      <c r="I153" s="8">
        <v>3.0</v>
      </c>
      <c r="J153" s="11">
        <v>3.0</v>
      </c>
      <c r="K153" s="7" t="s">
        <v>519</v>
      </c>
      <c r="L153" s="7"/>
    </row>
    <row r="154">
      <c r="A154" s="2" t="s">
        <v>366</v>
      </c>
      <c r="B154" s="2" t="str">
        <f t="shared" si="31"/>
        <v>49CL66OVR</v>
      </c>
      <c r="C154" s="2" t="s">
        <v>367</v>
      </c>
      <c r="D154" s="2" t="s">
        <v>37</v>
      </c>
      <c r="E154" s="10" t="s">
        <v>518</v>
      </c>
      <c r="F154" s="2" t="s">
        <v>48</v>
      </c>
      <c r="G154" s="2" t="s">
        <v>49</v>
      </c>
      <c r="H154" s="2"/>
      <c r="I154" s="8">
        <v>3.0</v>
      </c>
      <c r="J154" s="11">
        <v>3.0</v>
      </c>
      <c r="K154" s="7" t="s">
        <v>519</v>
      </c>
      <c r="L154" s="7"/>
    </row>
    <row r="155">
      <c r="A155" s="2" t="s">
        <v>296</v>
      </c>
      <c r="B155" s="2" t="str">
        <f t="shared" si="31"/>
        <v>44V0G5OVR</v>
      </c>
      <c r="C155" s="2" t="s">
        <v>297</v>
      </c>
      <c r="D155" s="2" t="s">
        <v>37</v>
      </c>
      <c r="E155" s="10" t="s">
        <v>518</v>
      </c>
      <c r="F155" s="2" t="s">
        <v>48</v>
      </c>
      <c r="G155" s="2" t="s">
        <v>49</v>
      </c>
      <c r="H155" s="2"/>
      <c r="I155" s="8">
        <v>3.0</v>
      </c>
      <c r="J155" s="11">
        <v>3.0</v>
      </c>
      <c r="K155" s="7" t="s">
        <v>519</v>
      </c>
      <c r="L155" s="7"/>
    </row>
    <row r="156">
      <c r="A156" s="2" t="s">
        <v>368</v>
      </c>
      <c r="B156" s="2" t="str">
        <f t="shared" si="31"/>
        <v>59V96AOVR</v>
      </c>
      <c r="C156" s="2" t="s">
        <v>369</v>
      </c>
      <c r="D156" s="2" t="s">
        <v>37</v>
      </c>
      <c r="E156" s="10" t="s">
        <v>518</v>
      </c>
      <c r="F156" s="2" t="s">
        <v>48</v>
      </c>
      <c r="G156" s="2" t="s">
        <v>49</v>
      </c>
      <c r="H156" s="2"/>
      <c r="I156" s="8">
        <v>3.0</v>
      </c>
      <c r="J156" s="11">
        <v>3.0</v>
      </c>
      <c r="K156" s="7" t="s">
        <v>519</v>
      </c>
      <c r="L156" s="7"/>
    </row>
    <row r="157">
      <c r="A157" s="2" t="s">
        <v>135</v>
      </c>
      <c r="B157" s="2" t="str">
        <f t="shared" ref="B157:B159" si="32">concat(A157,3)</f>
        <v>27C3J73</v>
      </c>
      <c r="C157" s="2" t="s">
        <v>136</v>
      </c>
      <c r="D157" s="2" t="s">
        <v>37</v>
      </c>
      <c r="E157" s="2" t="s">
        <v>70</v>
      </c>
      <c r="F157" s="2" t="s">
        <v>41</v>
      </c>
      <c r="G157" s="2" t="s">
        <v>62</v>
      </c>
      <c r="H157" s="2" t="s">
        <v>57</v>
      </c>
      <c r="I157" s="8">
        <v>22.0</v>
      </c>
      <c r="J157" s="7">
        <v>1.0</v>
      </c>
      <c r="K157" s="7" t="s">
        <v>521</v>
      </c>
    </row>
    <row r="158">
      <c r="A158" s="2" t="s">
        <v>364</v>
      </c>
      <c r="B158" s="2" t="str">
        <f t="shared" si="32"/>
        <v>34C9J43</v>
      </c>
      <c r="C158" s="2" t="s">
        <v>365</v>
      </c>
      <c r="D158" s="2" t="s">
        <v>37</v>
      </c>
      <c r="E158" s="2" t="s">
        <v>70</v>
      </c>
      <c r="F158" s="2" t="s">
        <v>41</v>
      </c>
      <c r="G158" s="2" t="s">
        <v>62</v>
      </c>
      <c r="H158" s="2" t="s">
        <v>57</v>
      </c>
      <c r="I158" s="8">
        <v>22.0</v>
      </c>
      <c r="J158" s="7">
        <v>1.0</v>
      </c>
      <c r="K158" s="7" t="s">
        <v>521</v>
      </c>
    </row>
    <row r="159">
      <c r="A159" s="2" t="s">
        <v>72</v>
      </c>
      <c r="B159" s="2" t="str">
        <f t="shared" si="32"/>
        <v>07Y45V3</v>
      </c>
      <c r="C159" s="2" t="s">
        <v>73</v>
      </c>
      <c r="D159" s="2" t="s">
        <v>74</v>
      </c>
      <c r="E159" s="2" t="s">
        <v>70</v>
      </c>
      <c r="F159" s="2" t="s">
        <v>41</v>
      </c>
      <c r="G159" s="2" t="s">
        <v>62</v>
      </c>
      <c r="H159" s="2" t="s">
        <v>51</v>
      </c>
      <c r="I159" s="8">
        <v>44.0</v>
      </c>
      <c r="J159" s="7">
        <v>1.0</v>
      </c>
      <c r="K159" s="7" t="s">
        <v>521</v>
      </c>
      <c r="L159" s="9" t="str">
        <f>IF(H159&gt;1,"[PMPM="&amp;H159&amp;"]","")</f>
        <v>[PMPM=2]</v>
      </c>
    </row>
    <row r="160">
      <c r="A160" s="2" t="s">
        <v>300</v>
      </c>
      <c r="B160" s="2" t="str">
        <f t="shared" ref="B160:B161" si="33">concat(A160,8)</f>
        <v>96T4W98</v>
      </c>
      <c r="C160" s="2" t="s">
        <v>301</v>
      </c>
      <c r="D160" s="2" t="s">
        <v>75</v>
      </c>
      <c r="E160" s="2" t="s">
        <v>302</v>
      </c>
      <c r="F160" s="2" t="s">
        <v>41</v>
      </c>
      <c r="G160" s="2" t="s">
        <v>43</v>
      </c>
      <c r="H160" s="2" t="s">
        <v>34</v>
      </c>
      <c r="I160" s="8">
        <v>8.29</v>
      </c>
      <c r="J160" s="9">
        <f t="shared" ref="J160:J161" si="34">I160*5</f>
        <v>41.45</v>
      </c>
      <c r="K160" s="7" t="s">
        <v>517</v>
      </c>
    </row>
    <row r="161">
      <c r="A161" s="2" t="s">
        <v>304</v>
      </c>
      <c r="B161" s="2" t="str">
        <f t="shared" si="33"/>
        <v>14Y7G28</v>
      </c>
      <c r="C161" s="2" t="s">
        <v>305</v>
      </c>
      <c r="D161" s="2" t="s">
        <v>74</v>
      </c>
      <c r="E161" s="2" t="s">
        <v>110</v>
      </c>
      <c r="F161" s="2" t="s">
        <v>41</v>
      </c>
      <c r="G161" s="2" t="s">
        <v>43</v>
      </c>
      <c r="H161" s="2" t="s">
        <v>34</v>
      </c>
      <c r="I161" s="8">
        <v>23.83</v>
      </c>
      <c r="J161" s="9">
        <f t="shared" si="34"/>
        <v>119.15</v>
      </c>
      <c r="K161" s="7" t="s">
        <v>517</v>
      </c>
    </row>
    <row r="162">
      <c r="A162" s="2" t="s">
        <v>205</v>
      </c>
      <c r="B162" s="2" t="str">
        <f t="shared" ref="B162:B163" si="35">concat(A162,"OVR")</f>
        <v>62J11LOVR</v>
      </c>
      <c r="C162" s="2" t="s">
        <v>206</v>
      </c>
      <c r="D162" s="2" t="s">
        <v>37</v>
      </c>
      <c r="E162" s="10" t="s">
        <v>518</v>
      </c>
      <c r="F162" s="2" t="s">
        <v>48</v>
      </c>
      <c r="G162" s="2" t="s">
        <v>49</v>
      </c>
      <c r="H162" s="2"/>
      <c r="I162" s="8">
        <v>3.0</v>
      </c>
      <c r="J162" s="11">
        <v>3.0</v>
      </c>
      <c r="K162" s="7" t="s">
        <v>519</v>
      </c>
      <c r="L162" s="7"/>
    </row>
    <row r="163">
      <c r="A163" s="2" t="s">
        <v>119</v>
      </c>
      <c r="B163" s="2" t="str">
        <f t="shared" si="35"/>
        <v>75G3U9OVR</v>
      </c>
      <c r="C163" s="2" t="s">
        <v>120</v>
      </c>
      <c r="D163" s="2" t="s">
        <v>37</v>
      </c>
      <c r="E163" s="10" t="s">
        <v>518</v>
      </c>
      <c r="F163" s="2" t="s">
        <v>48</v>
      </c>
      <c r="G163" s="2" t="s">
        <v>49</v>
      </c>
      <c r="H163" s="2"/>
      <c r="I163" s="8">
        <v>3.0</v>
      </c>
      <c r="J163" s="11">
        <v>3.0</v>
      </c>
      <c r="K163" s="7" t="s">
        <v>519</v>
      </c>
      <c r="L163" s="7"/>
    </row>
    <row r="164">
      <c r="A164" s="2" t="s">
        <v>370</v>
      </c>
      <c r="B164" s="2" t="str">
        <f t="shared" ref="B164:B165" si="36">concat(A164,3)</f>
        <v>6N7Y803</v>
      </c>
      <c r="C164" s="2" t="s">
        <v>371</v>
      </c>
      <c r="D164" s="2" t="s">
        <v>37</v>
      </c>
      <c r="E164" s="2" t="s">
        <v>121</v>
      </c>
      <c r="F164" s="2" t="s">
        <v>41</v>
      </c>
      <c r="G164" s="2" t="s">
        <v>62</v>
      </c>
      <c r="H164" s="2" t="s">
        <v>57</v>
      </c>
      <c r="I164" s="8">
        <v>22.0</v>
      </c>
      <c r="J164" s="7">
        <v>1.0</v>
      </c>
      <c r="K164" s="7" t="s">
        <v>521</v>
      </c>
    </row>
    <row r="165">
      <c r="A165" s="2" t="s">
        <v>119</v>
      </c>
      <c r="B165" s="2" t="str">
        <f t="shared" si="36"/>
        <v>75G3U93</v>
      </c>
      <c r="C165" s="2" t="s">
        <v>120</v>
      </c>
      <c r="D165" s="2" t="s">
        <v>37</v>
      </c>
      <c r="E165" s="2" t="s">
        <v>121</v>
      </c>
      <c r="F165" s="2" t="s">
        <v>41</v>
      </c>
      <c r="G165" s="2" t="s">
        <v>62</v>
      </c>
      <c r="H165" s="2" t="s">
        <v>57</v>
      </c>
      <c r="I165" s="8">
        <v>22.0</v>
      </c>
      <c r="J165" s="7">
        <v>1.0</v>
      </c>
      <c r="K165" s="7" t="s">
        <v>521</v>
      </c>
    </row>
    <row r="166">
      <c r="A166" s="2" t="s">
        <v>209</v>
      </c>
      <c r="B166" s="2" t="str">
        <f t="shared" ref="B166:B167" si="37">concat(A166,"OVR")</f>
        <v>87Y6V1OVR</v>
      </c>
      <c r="C166" s="2" t="s">
        <v>210</v>
      </c>
      <c r="D166" s="2" t="s">
        <v>74</v>
      </c>
      <c r="E166" s="10" t="s">
        <v>518</v>
      </c>
      <c r="F166" s="2" t="s">
        <v>48</v>
      </c>
      <c r="G166" s="2" t="s">
        <v>49</v>
      </c>
      <c r="H166" s="2"/>
      <c r="I166" s="8">
        <v>3.0</v>
      </c>
      <c r="J166" s="11">
        <v>3.0</v>
      </c>
      <c r="K166" s="7" t="s">
        <v>519</v>
      </c>
      <c r="L166" s="7"/>
    </row>
    <row r="167">
      <c r="A167" s="2" t="s">
        <v>213</v>
      </c>
      <c r="B167" s="2" t="str">
        <f t="shared" si="37"/>
        <v>37Y5J7OVR</v>
      </c>
      <c r="C167" s="2" t="s">
        <v>214</v>
      </c>
      <c r="D167" s="2" t="s">
        <v>54</v>
      </c>
      <c r="E167" s="10" t="s">
        <v>518</v>
      </c>
      <c r="F167" s="2" t="s">
        <v>48</v>
      </c>
      <c r="G167" s="2" t="s">
        <v>49</v>
      </c>
      <c r="H167" s="2"/>
      <c r="I167" s="8">
        <v>9.0</v>
      </c>
      <c r="J167" s="11">
        <v>9.0</v>
      </c>
      <c r="K167" s="7" t="s">
        <v>519</v>
      </c>
      <c r="L167" s="7"/>
    </row>
    <row r="168">
      <c r="A168" s="2" t="s">
        <v>139</v>
      </c>
      <c r="B168" s="2" t="str">
        <f t="shared" ref="B168:B170" si="38">concat(A168,3)</f>
        <v>56X5B73</v>
      </c>
      <c r="C168" s="2" t="s">
        <v>140</v>
      </c>
      <c r="D168" s="2" t="s">
        <v>37</v>
      </c>
      <c r="E168" s="2" t="s">
        <v>141</v>
      </c>
      <c r="F168" s="2" t="s">
        <v>41</v>
      </c>
      <c r="G168" s="2" t="s">
        <v>62</v>
      </c>
      <c r="H168" s="2" t="s">
        <v>57</v>
      </c>
      <c r="I168" s="8">
        <v>22.0</v>
      </c>
      <c r="J168" s="7">
        <v>1.0</v>
      </c>
      <c r="K168" s="7" t="s">
        <v>521</v>
      </c>
    </row>
    <row r="169">
      <c r="A169" s="2" t="s">
        <v>213</v>
      </c>
      <c r="B169" s="2" t="str">
        <f t="shared" si="38"/>
        <v>37Y5J73</v>
      </c>
      <c r="C169" s="2" t="s">
        <v>214</v>
      </c>
      <c r="D169" s="2" t="s">
        <v>54</v>
      </c>
      <c r="E169" s="2" t="s">
        <v>141</v>
      </c>
      <c r="F169" s="2" t="s">
        <v>41</v>
      </c>
      <c r="G169" s="2" t="s">
        <v>62</v>
      </c>
      <c r="H169" s="2" t="s">
        <v>57</v>
      </c>
      <c r="I169" s="8">
        <v>22.0</v>
      </c>
      <c r="J169" s="7">
        <v>1.0</v>
      </c>
      <c r="K169" s="7" t="s">
        <v>521</v>
      </c>
    </row>
    <row r="170">
      <c r="A170" s="2" t="s">
        <v>213</v>
      </c>
      <c r="B170" s="2" t="str">
        <f t="shared" si="38"/>
        <v>37Y5J73</v>
      </c>
      <c r="C170" s="2" t="s">
        <v>214</v>
      </c>
      <c r="D170" s="2" t="s">
        <v>54</v>
      </c>
      <c r="E170" s="2" t="s">
        <v>141</v>
      </c>
      <c r="F170" s="2" t="s">
        <v>41</v>
      </c>
      <c r="G170" s="2" t="s">
        <v>62</v>
      </c>
      <c r="H170" s="2" t="s">
        <v>116</v>
      </c>
      <c r="I170" s="8">
        <v>66.0</v>
      </c>
      <c r="J170" s="7">
        <v>1.0</v>
      </c>
      <c r="K170" s="7" t="s">
        <v>521</v>
      </c>
      <c r="L170" s="9" t="str">
        <f>IF(H170&gt;1,"[PMPM="&amp;H170&amp;"]","")</f>
        <v>[PMPM=3]</v>
      </c>
    </row>
    <row r="171">
      <c r="A171" s="2" t="s">
        <v>372</v>
      </c>
      <c r="B171" s="2" t="str">
        <f t="shared" ref="B171:B175" si="39">concat(A171,"OVR")</f>
        <v>6V73F0OVR</v>
      </c>
      <c r="C171" s="2" t="s">
        <v>373</v>
      </c>
      <c r="D171" s="2" t="s">
        <v>37</v>
      </c>
      <c r="E171" s="10" t="s">
        <v>518</v>
      </c>
      <c r="F171" s="2" t="s">
        <v>48</v>
      </c>
      <c r="G171" s="2" t="s">
        <v>49</v>
      </c>
      <c r="H171" s="2"/>
      <c r="I171" s="8">
        <v>12.0</v>
      </c>
      <c r="J171" s="11">
        <v>12.0</v>
      </c>
      <c r="K171" s="7" t="s">
        <v>519</v>
      </c>
      <c r="L171" s="7"/>
    </row>
    <row r="172">
      <c r="A172" s="2" t="s">
        <v>217</v>
      </c>
      <c r="B172" s="2" t="str">
        <f t="shared" si="39"/>
        <v>43Y2H8OVR</v>
      </c>
      <c r="C172" s="2" t="s">
        <v>218</v>
      </c>
      <c r="D172" s="2" t="s">
        <v>37</v>
      </c>
      <c r="E172" s="10" t="s">
        <v>518</v>
      </c>
      <c r="F172" s="2" t="s">
        <v>48</v>
      </c>
      <c r="G172" s="2" t="s">
        <v>49</v>
      </c>
      <c r="H172" s="2"/>
      <c r="I172" s="8">
        <v>3.0</v>
      </c>
      <c r="J172" s="11">
        <v>3.0</v>
      </c>
      <c r="K172" s="7" t="s">
        <v>519</v>
      </c>
      <c r="L172" s="7"/>
    </row>
    <row r="173">
      <c r="A173" s="2" t="s">
        <v>221</v>
      </c>
      <c r="B173" s="2" t="str">
        <f t="shared" si="39"/>
        <v>0G0W53OVR</v>
      </c>
      <c r="C173" s="2" t="s">
        <v>222</v>
      </c>
      <c r="D173" s="2" t="s">
        <v>37</v>
      </c>
      <c r="E173" s="10" t="s">
        <v>518</v>
      </c>
      <c r="F173" s="2" t="s">
        <v>48</v>
      </c>
      <c r="G173" s="2" t="s">
        <v>49</v>
      </c>
      <c r="H173" s="2"/>
      <c r="I173" s="8">
        <v>3.0</v>
      </c>
      <c r="J173" s="11">
        <v>3.0</v>
      </c>
      <c r="K173" s="7" t="s">
        <v>519</v>
      </c>
      <c r="L173" s="7"/>
    </row>
    <row r="174">
      <c r="A174" s="2" t="s">
        <v>127</v>
      </c>
      <c r="B174" s="2" t="str">
        <f t="shared" si="39"/>
        <v>7TR068OVR</v>
      </c>
      <c r="C174" s="2" t="s">
        <v>128</v>
      </c>
      <c r="D174" s="2" t="s">
        <v>37</v>
      </c>
      <c r="E174" s="10" t="s">
        <v>518</v>
      </c>
      <c r="F174" s="2" t="s">
        <v>48</v>
      </c>
      <c r="G174" s="2" t="s">
        <v>49</v>
      </c>
      <c r="H174" s="2"/>
      <c r="I174" s="8">
        <v>3.0</v>
      </c>
      <c r="J174" s="11">
        <v>3.0</v>
      </c>
      <c r="K174" s="7" t="s">
        <v>519</v>
      </c>
      <c r="L174" s="7"/>
    </row>
    <row r="175">
      <c r="A175" s="2" t="s">
        <v>225</v>
      </c>
      <c r="B175" s="2" t="str">
        <f t="shared" si="39"/>
        <v>83YX85OVR</v>
      </c>
      <c r="C175" s="2" t="s">
        <v>226</v>
      </c>
      <c r="D175" s="2" t="s">
        <v>74</v>
      </c>
      <c r="E175" s="10" t="s">
        <v>518</v>
      </c>
      <c r="F175" s="2" t="s">
        <v>48</v>
      </c>
      <c r="G175" s="2" t="s">
        <v>49</v>
      </c>
      <c r="H175" s="2"/>
      <c r="I175" s="8">
        <v>3.0</v>
      </c>
      <c r="J175" s="11">
        <v>3.0</v>
      </c>
      <c r="K175" s="7" t="s">
        <v>519</v>
      </c>
      <c r="L175" s="7"/>
    </row>
    <row r="176">
      <c r="A176" s="2" t="s">
        <v>376</v>
      </c>
      <c r="B176" s="2" t="str">
        <f>concat(A176,8)</f>
        <v>979A6X8</v>
      </c>
      <c r="C176" s="2" t="s">
        <v>377</v>
      </c>
      <c r="D176" s="2" t="s">
        <v>74</v>
      </c>
      <c r="E176" s="2" t="s">
        <v>55</v>
      </c>
      <c r="F176" s="2" t="s">
        <v>41</v>
      </c>
      <c r="G176" s="2" t="s">
        <v>43</v>
      </c>
      <c r="H176" s="2" t="s">
        <v>34</v>
      </c>
      <c r="I176" s="8">
        <v>2.86</v>
      </c>
      <c r="J176" s="9">
        <f>I176*5</f>
        <v>14.3</v>
      </c>
      <c r="K176" s="7" t="s">
        <v>517</v>
      </c>
    </row>
    <row r="177">
      <c r="A177" s="2" t="s">
        <v>360</v>
      </c>
      <c r="B177" s="2" t="str">
        <f t="shared" ref="B177:B188" si="40">concat(A177,"OVR")</f>
        <v>63Q30QOVR</v>
      </c>
      <c r="C177" s="2" t="s">
        <v>361</v>
      </c>
      <c r="D177" s="2" t="s">
        <v>37</v>
      </c>
      <c r="E177" s="10" t="s">
        <v>518</v>
      </c>
      <c r="F177" s="2" t="s">
        <v>48</v>
      </c>
      <c r="G177" s="2" t="s">
        <v>49</v>
      </c>
      <c r="H177" s="2"/>
      <c r="I177" s="8">
        <v>3.0</v>
      </c>
      <c r="J177" s="11">
        <v>3.0</v>
      </c>
      <c r="K177" s="7" t="s">
        <v>519</v>
      </c>
      <c r="L177" s="7"/>
    </row>
    <row r="178">
      <c r="A178" s="2" t="s">
        <v>378</v>
      </c>
      <c r="B178" s="2" t="str">
        <f t="shared" si="40"/>
        <v>79R3A7OVR</v>
      </c>
      <c r="C178" s="2" t="s">
        <v>379</v>
      </c>
      <c r="D178" s="2" t="s">
        <v>37</v>
      </c>
      <c r="E178" s="10" t="s">
        <v>518</v>
      </c>
      <c r="F178" s="2" t="s">
        <v>48</v>
      </c>
      <c r="G178" s="2" t="s">
        <v>49</v>
      </c>
      <c r="H178" s="2"/>
      <c r="I178" s="8">
        <v>3.0</v>
      </c>
      <c r="J178" s="11">
        <v>3.0</v>
      </c>
      <c r="K178" s="7" t="s">
        <v>519</v>
      </c>
      <c r="L178" s="7"/>
    </row>
    <row r="179">
      <c r="A179" s="2" t="s">
        <v>235</v>
      </c>
      <c r="B179" s="2" t="str">
        <f t="shared" si="40"/>
        <v>52V9B5OVR</v>
      </c>
      <c r="C179" s="2" t="s">
        <v>236</v>
      </c>
      <c r="D179" s="2" t="s">
        <v>37</v>
      </c>
      <c r="E179" s="10" t="s">
        <v>518</v>
      </c>
      <c r="F179" s="2" t="s">
        <v>48</v>
      </c>
      <c r="G179" s="2" t="s">
        <v>49</v>
      </c>
      <c r="H179" s="2"/>
      <c r="I179" s="8">
        <v>3.0</v>
      </c>
      <c r="J179" s="11">
        <v>3.0</v>
      </c>
      <c r="K179" s="7" t="s">
        <v>519</v>
      </c>
      <c r="L179" s="7"/>
    </row>
    <row r="180">
      <c r="A180" s="2" t="s">
        <v>380</v>
      </c>
      <c r="B180" s="2" t="str">
        <f t="shared" si="40"/>
        <v>34A5Q9OVR</v>
      </c>
      <c r="C180" s="2" t="s">
        <v>381</v>
      </c>
      <c r="D180" s="2" t="s">
        <v>37</v>
      </c>
      <c r="E180" s="10" t="s">
        <v>518</v>
      </c>
      <c r="F180" s="2" t="s">
        <v>48</v>
      </c>
      <c r="G180" s="2" t="s">
        <v>49</v>
      </c>
      <c r="H180" s="2"/>
      <c r="I180" s="8">
        <v>3.0</v>
      </c>
      <c r="J180" s="11">
        <v>3.0</v>
      </c>
      <c r="K180" s="7" t="s">
        <v>519</v>
      </c>
      <c r="L180" s="7"/>
    </row>
    <row r="181">
      <c r="A181" s="2" t="s">
        <v>308</v>
      </c>
      <c r="B181" s="2" t="str">
        <f t="shared" si="40"/>
        <v>98RE80OVR</v>
      </c>
      <c r="C181" s="2" t="s">
        <v>309</v>
      </c>
      <c r="D181" s="2" t="s">
        <v>37</v>
      </c>
      <c r="E181" s="10" t="s">
        <v>518</v>
      </c>
      <c r="F181" s="2" t="s">
        <v>48</v>
      </c>
      <c r="G181" s="2" t="s">
        <v>49</v>
      </c>
      <c r="H181" s="2"/>
      <c r="I181" s="8">
        <v>3.0</v>
      </c>
      <c r="J181" s="11">
        <v>3.0</v>
      </c>
      <c r="K181" s="7" t="s">
        <v>519</v>
      </c>
      <c r="L181" s="7"/>
    </row>
    <row r="182">
      <c r="A182" s="2" t="s">
        <v>239</v>
      </c>
      <c r="B182" s="2" t="str">
        <f t="shared" si="40"/>
        <v>56E53LOVR</v>
      </c>
      <c r="C182" s="2" t="s">
        <v>240</v>
      </c>
      <c r="D182" s="2" t="s">
        <v>37</v>
      </c>
      <c r="E182" s="10" t="s">
        <v>518</v>
      </c>
      <c r="F182" s="2" t="s">
        <v>48</v>
      </c>
      <c r="G182" s="2" t="s">
        <v>49</v>
      </c>
      <c r="H182" s="2"/>
      <c r="I182" s="8">
        <v>3.0</v>
      </c>
      <c r="J182" s="11">
        <v>3.0</v>
      </c>
      <c r="K182" s="7" t="s">
        <v>519</v>
      </c>
      <c r="L182" s="7"/>
    </row>
    <row r="183">
      <c r="A183" s="2" t="s">
        <v>153</v>
      </c>
      <c r="B183" s="2" t="str">
        <f t="shared" si="40"/>
        <v>8Q780MOVR</v>
      </c>
      <c r="C183" s="2" t="s">
        <v>154</v>
      </c>
      <c r="D183" s="2" t="s">
        <v>37</v>
      </c>
      <c r="E183" s="10" t="s">
        <v>518</v>
      </c>
      <c r="F183" s="2" t="s">
        <v>48</v>
      </c>
      <c r="G183" s="2" t="s">
        <v>49</v>
      </c>
      <c r="H183" s="2"/>
      <c r="I183" s="8">
        <v>3.0</v>
      </c>
      <c r="J183" s="11">
        <v>3.0</v>
      </c>
      <c r="K183" s="7" t="s">
        <v>519</v>
      </c>
      <c r="L183" s="7"/>
    </row>
    <row r="184">
      <c r="A184" s="2" t="s">
        <v>358</v>
      </c>
      <c r="B184" s="2" t="str">
        <f t="shared" si="40"/>
        <v>44X4V9OVR</v>
      </c>
      <c r="C184" s="2" t="s">
        <v>359</v>
      </c>
      <c r="D184" s="2" t="s">
        <v>37</v>
      </c>
      <c r="E184" s="10" t="s">
        <v>518</v>
      </c>
      <c r="F184" s="2" t="s">
        <v>48</v>
      </c>
      <c r="G184" s="2" t="s">
        <v>49</v>
      </c>
      <c r="H184" s="2"/>
      <c r="I184" s="8">
        <v>3.0</v>
      </c>
      <c r="J184" s="11">
        <v>3.0</v>
      </c>
      <c r="K184" s="7" t="s">
        <v>519</v>
      </c>
      <c r="L184" s="7"/>
    </row>
    <row r="185">
      <c r="A185" s="2" t="s">
        <v>382</v>
      </c>
      <c r="B185" s="2" t="str">
        <f t="shared" si="40"/>
        <v>24AT42OVR</v>
      </c>
      <c r="C185" s="2" t="s">
        <v>383</v>
      </c>
      <c r="D185" s="2" t="s">
        <v>37</v>
      </c>
      <c r="E185" s="10" t="s">
        <v>518</v>
      </c>
      <c r="F185" s="2" t="s">
        <v>48</v>
      </c>
      <c r="G185" s="2" t="s">
        <v>49</v>
      </c>
      <c r="H185" s="2"/>
      <c r="I185" s="8">
        <v>3.0</v>
      </c>
      <c r="J185" s="11">
        <v>3.0</v>
      </c>
      <c r="K185" s="7" t="s">
        <v>519</v>
      </c>
      <c r="L185" s="7"/>
    </row>
    <row r="186">
      <c r="A186" s="2" t="s">
        <v>314</v>
      </c>
      <c r="B186" s="2" t="str">
        <f t="shared" si="40"/>
        <v>78K26GOVR</v>
      </c>
      <c r="C186" s="2" t="s">
        <v>315</v>
      </c>
      <c r="D186" s="2" t="s">
        <v>37</v>
      </c>
      <c r="E186" s="10" t="s">
        <v>518</v>
      </c>
      <c r="F186" s="2" t="s">
        <v>48</v>
      </c>
      <c r="G186" s="2" t="s">
        <v>49</v>
      </c>
      <c r="H186" s="2"/>
      <c r="I186" s="8">
        <v>3.0</v>
      </c>
      <c r="J186" s="11">
        <v>3.0</v>
      </c>
      <c r="K186" s="7" t="s">
        <v>519</v>
      </c>
      <c r="L186" s="7"/>
    </row>
    <row r="187">
      <c r="A187" s="2" t="s">
        <v>384</v>
      </c>
      <c r="B187" s="2" t="str">
        <f t="shared" si="40"/>
        <v>751AE6OVR</v>
      </c>
      <c r="C187" s="2" t="s">
        <v>385</v>
      </c>
      <c r="D187" s="2" t="s">
        <v>74</v>
      </c>
      <c r="E187" s="10" t="s">
        <v>518</v>
      </c>
      <c r="F187" s="2" t="s">
        <v>48</v>
      </c>
      <c r="G187" s="2" t="s">
        <v>49</v>
      </c>
      <c r="H187" s="2"/>
      <c r="I187" s="8">
        <v>3.0</v>
      </c>
      <c r="J187" s="11">
        <v>3.0</v>
      </c>
      <c r="K187" s="7" t="s">
        <v>519</v>
      </c>
      <c r="L187" s="7"/>
    </row>
    <row r="188">
      <c r="A188" s="2" t="s">
        <v>312</v>
      </c>
      <c r="B188" s="2" t="str">
        <f t="shared" si="40"/>
        <v>31X01MOVR</v>
      </c>
      <c r="C188" s="2" t="s">
        <v>313</v>
      </c>
      <c r="D188" s="2" t="s">
        <v>37</v>
      </c>
      <c r="E188" s="10" t="s">
        <v>518</v>
      </c>
      <c r="F188" s="2" t="s">
        <v>48</v>
      </c>
      <c r="G188" s="2" t="s">
        <v>49</v>
      </c>
      <c r="H188" s="2"/>
      <c r="I188" s="8">
        <v>6.0</v>
      </c>
      <c r="J188" s="11">
        <v>6.0</v>
      </c>
      <c r="K188" s="7" t="s">
        <v>519</v>
      </c>
      <c r="L188" s="7"/>
    </row>
    <row r="189">
      <c r="A189" s="2" t="s">
        <v>378</v>
      </c>
      <c r="B189" s="2" t="str">
        <f t="shared" ref="B189:B195" si="41">concat(A189,3)</f>
        <v>79R3A73</v>
      </c>
      <c r="C189" s="2" t="s">
        <v>379</v>
      </c>
      <c r="D189" s="2" t="s">
        <v>37</v>
      </c>
      <c r="E189" s="2" t="s">
        <v>55</v>
      </c>
      <c r="F189" s="2" t="s">
        <v>41</v>
      </c>
      <c r="G189" s="2" t="s">
        <v>62</v>
      </c>
      <c r="H189" s="2" t="s">
        <v>57</v>
      </c>
      <c r="I189" s="8">
        <v>20.0</v>
      </c>
      <c r="J189" s="7">
        <v>1.0</v>
      </c>
      <c r="K189" s="7" t="s">
        <v>520</v>
      </c>
    </row>
    <row r="190">
      <c r="A190" s="2" t="s">
        <v>380</v>
      </c>
      <c r="B190" s="2" t="str">
        <f t="shared" si="41"/>
        <v>34A5Q93</v>
      </c>
      <c r="C190" s="2" t="s">
        <v>381</v>
      </c>
      <c r="D190" s="2" t="s">
        <v>37</v>
      </c>
      <c r="E190" s="2" t="s">
        <v>55</v>
      </c>
      <c r="F190" s="2" t="s">
        <v>41</v>
      </c>
      <c r="G190" s="2" t="s">
        <v>62</v>
      </c>
      <c r="H190" s="2" t="s">
        <v>57</v>
      </c>
      <c r="I190" s="8">
        <v>20.0</v>
      </c>
      <c r="J190" s="7">
        <v>1.0</v>
      </c>
      <c r="K190" s="7" t="s">
        <v>520</v>
      </c>
    </row>
    <row r="191">
      <c r="A191" s="2" t="s">
        <v>310</v>
      </c>
      <c r="B191" s="2" t="str">
        <f t="shared" si="41"/>
        <v>5PW1773</v>
      </c>
      <c r="C191" s="2" t="s">
        <v>311</v>
      </c>
      <c r="D191" s="2" t="s">
        <v>37</v>
      </c>
      <c r="E191" s="2" t="s">
        <v>55</v>
      </c>
      <c r="F191" s="2" t="s">
        <v>41</v>
      </c>
      <c r="G191" s="2" t="s">
        <v>62</v>
      </c>
      <c r="H191" s="2" t="s">
        <v>57</v>
      </c>
      <c r="I191" s="8">
        <v>20.0</v>
      </c>
      <c r="J191" s="7">
        <v>1.0</v>
      </c>
      <c r="K191" s="7" t="s">
        <v>520</v>
      </c>
    </row>
    <row r="192">
      <c r="A192" s="2" t="s">
        <v>147</v>
      </c>
      <c r="B192" s="2" t="str">
        <f t="shared" si="41"/>
        <v>07HB723</v>
      </c>
      <c r="C192" s="2" t="s">
        <v>148</v>
      </c>
      <c r="D192" s="2" t="s">
        <v>37</v>
      </c>
      <c r="E192" s="2" t="s">
        <v>55</v>
      </c>
      <c r="F192" s="2" t="s">
        <v>41</v>
      </c>
      <c r="G192" s="2" t="s">
        <v>62</v>
      </c>
      <c r="H192" s="2" t="s">
        <v>57</v>
      </c>
      <c r="I192" s="8">
        <v>20.0</v>
      </c>
      <c r="J192" s="7">
        <v>1.0</v>
      </c>
      <c r="K192" s="7" t="s">
        <v>520</v>
      </c>
    </row>
    <row r="193">
      <c r="A193" s="2" t="s">
        <v>382</v>
      </c>
      <c r="B193" s="2" t="str">
        <f t="shared" si="41"/>
        <v>24AT423</v>
      </c>
      <c r="C193" s="2" t="s">
        <v>383</v>
      </c>
      <c r="D193" s="2" t="s">
        <v>37</v>
      </c>
      <c r="E193" s="2" t="s">
        <v>55</v>
      </c>
      <c r="F193" s="2" t="s">
        <v>41</v>
      </c>
      <c r="G193" s="2" t="s">
        <v>62</v>
      </c>
      <c r="H193" s="2" t="s">
        <v>57</v>
      </c>
      <c r="I193" s="8">
        <v>20.0</v>
      </c>
      <c r="J193" s="7">
        <v>1.0</v>
      </c>
      <c r="K193" s="7" t="s">
        <v>520</v>
      </c>
    </row>
    <row r="194">
      <c r="A194" s="2" t="s">
        <v>384</v>
      </c>
      <c r="B194" s="2" t="str">
        <f t="shared" si="41"/>
        <v>751AE63</v>
      </c>
      <c r="C194" s="2" t="s">
        <v>385</v>
      </c>
      <c r="D194" s="2" t="s">
        <v>74</v>
      </c>
      <c r="E194" s="2" t="s">
        <v>55</v>
      </c>
      <c r="F194" s="2" t="s">
        <v>41</v>
      </c>
      <c r="G194" s="2" t="s">
        <v>62</v>
      </c>
      <c r="H194" s="2" t="s">
        <v>57</v>
      </c>
      <c r="I194" s="8">
        <v>20.0</v>
      </c>
      <c r="J194" s="7">
        <v>1.0</v>
      </c>
      <c r="K194" s="7" t="s">
        <v>520</v>
      </c>
    </row>
    <row r="195">
      <c r="A195" s="2" t="s">
        <v>386</v>
      </c>
      <c r="B195" s="2" t="str">
        <f t="shared" si="41"/>
        <v>116AB93</v>
      </c>
      <c r="C195" s="2" t="s">
        <v>387</v>
      </c>
      <c r="D195" s="2" t="s">
        <v>74</v>
      </c>
      <c r="E195" s="2" t="s">
        <v>55</v>
      </c>
      <c r="F195" s="2" t="s">
        <v>41</v>
      </c>
      <c r="G195" s="2" t="s">
        <v>62</v>
      </c>
      <c r="H195" s="2" t="s">
        <v>57</v>
      </c>
      <c r="I195" s="8">
        <v>22.0</v>
      </c>
      <c r="J195" s="7">
        <v>1.0</v>
      </c>
      <c r="K195" s="7" t="s">
        <v>521</v>
      </c>
    </row>
    <row r="196">
      <c r="A196" s="2" t="s">
        <v>63</v>
      </c>
      <c r="B196" s="2" t="str">
        <f>concat(A196,"OVR")</f>
        <v>33A24GOVR</v>
      </c>
      <c r="C196" s="2" t="s">
        <v>64</v>
      </c>
      <c r="D196" s="2" t="s">
        <v>37</v>
      </c>
      <c r="E196" s="10" t="s">
        <v>518</v>
      </c>
      <c r="F196" s="2" t="s">
        <v>48</v>
      </c>
      <c r="G196" s="2" t="s">
        <v>49</v>
      </c>
      <c r="H196" s="2"/>
      <c r="I196" s="8">
        <v>12.0</v>
      </c>
      <c r="J196" s="11">
        <v>12.0</v>
      </c>
      <c r="K196" s="7" t="s">
        <v>519</v>
      </c>
      <c r="L196" s="7"/>
    </row>
    <row r="197">
      <c r="A197" s="2" t="s">
        <v>231</v>
      </c>
      <c r="B197" s="2" t="str">
        <f t="shared" ref="B197:B200" si="42">concat(A197,3)</f>
        <v>02GQ453</v>
      </c>
      <c r="C197" s="2" t="s">
        <v>232</v>
      </c>
      <c r="D197" s="2" t="s">
        <v>37</v>
      </c>
      <c r="E197" s="2" t="s">
        <v>55</v>
      </c>
      <c r="F197" s="2" t="s">
        <v>41</v>
      </c>
      <c r="G197" s="2" t="s">
        <v>62</v>
      </c>
      <c r="H197" s="2" t="s">
        <v>51</v>
      </c>
      <c r="I197" s="8">
        <v>40.0</v>
      </c>
      <c r="J197" s="7">
        <v>1.0</v>
      </c>
      <c r="K197" s="7" t="s">
        <v>520</v>
      </c>
      <c r="L197" s="9" t="str">
        <f t="shared" ref="L197:L200" si="43">IF(H197&gt;1,"[PMPM="&amp;H197&amp;"]","")</f>
        <v>[PMPM=2]</v>
      </c>
    </row>
    <row r="198">
      <c r="A198" s="2" t="s">
        <v>318</v>
      </c>
      <c r="B198" s="2" t="str">
        <f t="shared" si="42"/>
        <v>29R8H23</v>
      </c>
      <c r="C198" s="2" t="s">
        <v>319</v>
      </c>
      <c r="D198" s="2" t="s">
        <v>74</v>
      </c>
      <c r="E198" s="2" t="s">
        <v>55</v>
      </c>
      <c r="F198" s="2" t="s">
        <v>41</v>
      </c>
      <c r="G198" s="2" t="s">
        <v>62</v>
      </c>
      <c r="H198" s="2" t="s">
        <v>51</v>
      </c>
      <c r="I198" s="8">
        <v>40.0</v>
      </c>
      <c r="J198" s="7">
        <v>1.0</v>
      </c>
      <c r="K198" s="7" t="s">
        <v>520</v>
      </c>
      <c r="L198" s="9" t="str">
        <f t="shared" si="43"/>
        <v>[PMPM=2]</v>
      </c>
    </row>
    <row r="199">
      <c r="A199" s="2" t="s">
        <v>362</v>
      </c>
      <c r="B199" s="2" t="str">
        <f t="shared" si="42"/>
        <v>283BE43</v>
      </c>
      <c r="C199" s="2" t="s">
        <v>363</v>
      </c>
      <c r="D199" s="2" t="s">
        <v>74</v>
      </c>
      <c r="E199" s="2" t="s">
        <v>55</v>
      </c>
      <c r="F199" s="2" t="s">
        <v>41</v>
      </c>
      <c r="G199" s="2" t="s">
        <v>62</v>
      </c>
      <c r="H199" s="2" t="s">
        <v>51</v>
      </c>
      <c r="I199" s="8">
        <v>40.0</v>
      </c>
      <c r="J199" s="7">
        <v>1.0</v>
      </c>
      <c r="K199" s="7" t="s">
        <v>520</v>
      </c>
      <c r="L199" s="9" t="str">
        <f t="shared" si="43"/>
        <v>[PMPM=2]</v>
      </c>
    </row>
    <row r="200">
      <c r="A200" s="2" t="s">
        <v>191</v>
      </c>
      <c r="B200" s="2" t="str">
        <f t="shared" si="42"/>
        <v>3WR6463</v>
      </c>
      <c r="C200" s="2" t="s">
        <v>192</v>
      </c>
      <c r="D200" s="2" t="s">
        <v>37</v>
      </c>
      <c r="E200" s="2" t="s">
        <v>55</v>
      </c>
      <c r="F200" s="2" t="s">
        <v>41</v>
      </c>
      <c r="G200" s="2" t="s">
        <v>62</v>
      </c>
      <c r="H200" s="2" t="s">
        <v>65</v>
      </c>
      <c r="I200" s="8">
        <v>80.0</v>
      </c>
      <c r="J200" s="7">
        <v>1.0</v>
      </c>
      <c r="K200" s="7" t="s">
        <v>520</v>
      </c>
      <c r="L200" s="9" t="str">
        <f t="shared" si="43"/>
        <v>[PMPM=4]</v>
      </c>
    </row>
    <row r="201">
      <c r="A201" s="2" t="s">
        <v>165</v>
      </c>
      <c r="B201" s="2" t="str">
        <f t="shared" ref="B201:B203" si="44">concat(A201,"OVR")</f>
        <v>43WF42OVR</v>
      </c>
      <c r="C201" s="2" t="s">
        <v>166</v>
      </c>
      <c r="D201" s="2" t="s">
        <v>37</v>
      </c>
      <c r="E201" s="10" t="s">
        <v>518</v>
      </c>
      <c r="F201" s="2" t="s">
        <v>48</v>
      </c>
      <c r="G201" s="2" t="s">
        <v>49</v>
      </c>
      <c r="H201" s="2"/>
      <c r="I201" s="8">
        <v>3.0</v>
      </c>
      <c r="J201" s="11">
        <v>3.0</v>
      </c>
      <c r="K201" s="7" t="s">
        <v>519</v>
      </c>
      <c r="L201" s="7"/>
    </row>
    <row r="202">
      <c r="A202" s="2" t="s">
        <v>388</v>
      </c>
      <c r="B202" s="2" t="str">
        <f t="shared" si="44"/>
        <v>02XK46OVR</v>
      </c>
      <c r="C202" s="2" t="s">
        <v>389</v>
      </c>
      <c r="D202" s="2" t="s">
        <v>37</v>
      </c>
      <c r="E202" s="10" t="s">
        <v>518</v>
      </c>
      <c r="F202" s="2" t="s">
        <v>48</v>
      </c>
      <c r="G202" s="2" t="s">
        <v>49</v>
      </c>
      <c r="H202" s="2"/>
      <c r="I202" s="8">
        <v>3.0</v>
      </c>
      <c r="J202" s="11">
        <v>3.0</v>
      </c>
      <c r="K202" s="7" t="s">
        <v>519</v>
      </c>
      <c r="L202" s="7"/>
    </row>
    <row r="203">
      <c r="A203" s="2" t="s">
        <v>388</v>
      </c>
      <c r="B203" s="2" t="str">
        <f t="shared" si="44"/>
        <v>02XK46OVR</v>
      </c>
      <c r="C203" s="2" t="s">
        <v>389</v>
      </c>
      <c r="D203" s="2" t="s">
        <v>74</v>
      </c>
      <c r="E203" s="10" t="s">
        <v>518</v>
      </c>
      <c r="F203" s="2" t="s">
        <v>48</v>
      </c>
      <c r="G203" s="2" t="s">
        <v>49</v>
      </c>
      <c r="H203" s="2"/>
      <c r="I203" s="8">
        <v>3.0</v>
      </c>
      <c r="J203" s="11">
        <v>3.0</v>
      </c>
      <c r="K203" s="7" t="s">
        <v>519</v>
      </c>
      <c r="L203" s="7"/>
    </row>
    <row r="204">
      <c r="A204" s="2" t="s">
        <v>388</v>
      </c>
      <c r="B204" s="2" t="str">
        <f t="shared" ref="B204:B206" si="45">concat(A204,3)</f>
        <v>02XK463</v>
      </c>
      <c r="C204" s="2" t="s">
        <v>389</v>
      </c>
      <c r="D204" s="2" t="s">
        <v>37</v>
      </c>
      <c r="E204" s="2" t="s">
        <v>161</v>
      </c>
      <c r="F204" s="2" t="s">
        <v>41</v>
      </c>
      <c r="G204" s="2" t="s">
        <v>62</v>
      </c>
      <c r="H204" s="2" t="s">
        <v>57</v>
      </c>
      <c r="I204" s="8">
        <v>22.0</v>
      </c>
      <c r="J204" s="7">
        <v>1.0</v>
      </c>
      <c r="K204" s="7" t="s">
        <v>521</v>
      </c>
    </row>
    <row r="205">
      <c r="A205" s="2" t="s">
        <v>388</v>
      </c>
      <c r="B205" s="2" t="str">
        <f t="shared" si="45"/>
        <v>02XK463</v>
      </c>
      <c r="C205" s="2" t="s">
        <v>389</v>
      </c>
      <c r="D205" s="2" t="s">
        <v>74</v>
      </c>
      <c r="E205" s="2" t="s">
        <v>161</v>
      </c>
      <c r="F205" s="2" t="s">
        <v>41</v>
      </c>
      <c r="G205" s="2" t="s">
        <v>62</v>
      </c>
      <c r="H205" s="2" t="s">
        <v>57</v>
      </c>
      <c r="I205" s="8">
        <v>22.0</v>
      </c>
      <c r="J205" s="7">
        <v>1.0</v>
      </c>
      <c r="K205" s="7" t="s">
        <v>521</v>
      </c>
    </row>
    <row r="206">
      <c r="A206" s="2" t="s">
        <v>241</v>
      </c>
      <c r="B206" s="2" t="str">
        <f t="shared" si="45"/>
        <v>29X49F3</v>
      </c>
      <c r="C206" s="2" t="s">
        <v>242</v>
      </c>
      <c r="D206" s="2" t="s">
        <v>37</v>
      </c>
      <c r="E206" s="2" t="s">
        <v>161</v>
      </c>
      <c r="F206" s="2" t="s">
        <v>41</v>
      </c>
      <c r="G206" s="2" t="s">
        <v>62</v>
      </c>
      <c r="H206" s="2" t="s">
        <v>57</v>
      </c>
      <c r="I206" s="8">
        <v>27.0</v>
      </c>
      <c r="J206" s="7">
        <v>1.0</v>
      </c>
      <c r="K206" s="7" t="s">
        <v>522</v>
      </c>
    </row>
    <row r="207">
      <c r="A207" s="2" t="s">
        <v>390</v>
      </c>
      <c r="B207" s="2" t="str">
        <f t="shared" ref="B207:B208" si="46">concat(A207,8)</f>
        <v>47Q67K8</v>
      </c>
      <c r="C207" s="2" t="s">
        <v>391</v>
      </c>
      <c r="D207" s="2" t="s">
        <v>74</v>
      </c>
      <c r="E207" s="2" t="s">
        <v>169</v>
      </c>
      <c r="F207" s="2" t="s">
        <v>41</v>
      </c>
      <c r="G207" s="2" t="s">
        <v>43</v>
      </c>
      <c r="H207" s="2" t="s">
        <v>34</v>
      </c>
      <c r="I207" s="8">
        <v>5.11</v>
      </c>
      <c r="J207" s="9">
        <f t="shared" ref="J207:J208" si="47">I207*5</f>
        <v>25.55</v>
      </c>
      <c r="K207" s="7" t="s">
        <v>517</v>
      </c>
    </row>
    <row r="208">
      <c r="A208" s="2" t="s">
        <v>390</v>
      </c>
      <c r="B208" s="2" t="str">
        <f t="shared" si="46"/>
        <v>47Q67K8</v>
      </c>
      <c r="C208" s="2" t="s">
        <v>391</v>
      </c>
      <c r="D208" s="2" t="s">
        <v>75</v>
      </c>
      <c r="E208" s="2" t="s">
        <v>169</v>
      </c>
      <c r="F208" s="2" t="s">
        <v>41</v>
      </c>
      <c r="G208" s="2" t="s">
        <v>43</v>
      </c>
      <c r="H208" s="2" t="s">
        <v>34</v>
      </c>
      <c r="I208" s="8">
        <v>5.11</v>
      </c>
      <c r="J208" s="9">
        <f t="shared" si="47"/>
        <v>25.55</v>
      </c>
      <c r="K208" s="7" t="s">
        <v>517</v>
      </c>
    </row>
    <row r="209">
      <c r="A209" s="2" t="s">
        <v>245</v>
      </c>
      <c r="B209" s="2" t="str">
        <f>concat(A209,3)</f>
        <v>42VU773</v>
      </c>
      <c r="C209" s="2" t="s">
        <v>246</v>
      </c>
      <c r="D209" s="2" t="s">
        <v>74</v>
      </c>
      <c r="E209" s="2" t="s">
        <v>169</v>
      </c>
      <c r="F209" s="2" t="s">
        <v>41</v>
      </c>
      <c r="G209" s="2" t="s">
        <v>62</v>
      </c>
      <c r="H209" s="2" t="s">
        <v>57</v>
      </c>
      <c r="I209" s="8">
        <v>20.0</v>
      </c>
      <c r="J209" s="7">
        <v>1.0</v>
      </c>
      <c r="K209" s="7" t="s">
        <v>520</v>
      </c>
    </row>
    <row r="210">
      <c r="A210" s="2" t="s">
        <v>392</v>
      </c>
      <c r="B210" s="2" t="str">
        <f>concat(A210,"OVR")</f>
        <v>96YG23OVR</v>
      </c>
      <c r="C210" s="2" t="s">
        <v>393</v>
      </c>
      <c r="D210" s="2" t="s">
        <v>37</v>
      </c>
      <c r="E210" s="10" t="s">
        <v>518</v>
      </c>
      <c r="F210" s="2" t="s">
        <v>41</v>
      </c>
      <c r="G210" s="2" t="s">
        <v>49</v>
      </c>
      <c r="H210" s="2"/>
      <c r="I210" s="8">
        <v>3.0</v>
      </c>
      <c r="J210" s="11">
        <v>3.0</v>
      </c>
      <c r="K210" s="7" t="s">
        <v>519</v>
      </c>
      <c r="L210" s="7"/>
    </row>
    <row r="211">
      <c r="A211" s="2" t="s">
        <v>392</v>
      </c>
      <c r="B211" s="2" t="str">
        <f>concat(A211,3)</f>
        <v>96YG233</v>
      </c>
      <c r="C211" s="2" t="s">
        <v>393</v>
      </c>
      <c r="D211" s="2" t="s">
        <v>37</v>
      </c>
      <c r="E211" s="2" t="s">
        <v>394</v>
      </c>
      <c r="F211" s="2" t="s">
        <v>41</v>
      </c>
      <c r="G211" s="2" t="s">
        <v>62</v>
      </c>
      <c r="H211" s="2" t="s">
        <v>57</v>
      </c>
      <c r="I211" s="8">
        <v>27.0</v>
      </c>
      <c r="J211" s="7">
        <v>1.0</v>
      </c>
      <c r="K211" s="7" t="s">
        <v>522</v>
      </c>
    </row>
    <row r="212">
      <c r="A212" s="2" t="s">
        <v>396</v>
      </c>
      <c r="B212" s="2" t="str">
        <f t="shared" ref="B212:B213" si="48">concat(A212,"OVR")</f>
        <v>66LL67OVR</v>
      </c>
      <c r="C212" s="2" t="s">
        <v>397</v>
      </c>
      <c r="D212" s="2" t="s">
        <v>37</v>
      </c>
      <c r="E212" s="10" t="s">
        <v>518</v>
      </c>
      <c r="F212" s="2" t="s">
        <v>48</v>
      </c>
      <c r="G212" s="2" t="s">
        <v>49</v>
      </c>
      <c r="H212" s="2"/>
      <c r="I212" s="8">
        <v>3.0</v>
      </c>
      <c r="J212" s="11">
        <v>3.0</v>
      </c>
      <c r="K212" s="7" t="s">
        <v>519</v>
      </c>
      <c r="L212" s="7"/>
    </row>
    <row r="213">
      <c r="A213" s="2" t="s">
        <v>400</v>
      </c>
      <c r="B213" s="2" t="str">
        <f t="shared" si="48"/>
        <v>593A6BOVR</v>
      </c>
      <c r="C213" s="2" t="s">
        <v>401</v>
      </c>
      <c r="D213" s="2" t="s">
        <v>74</v>
      </c>
      <c r="E213" s="10" t="s">
        <v>518</v>
      </c>
      <c r="F213" s="2" t="s">
        <v>48</v>
      </c>
      <c r="G213" s="2" t="s">
        <v>49</v>
      </c>
      <c r="H213" s="2"/>
      <c r="I213" s="8">
        <v>12.0</v>
      </c>
      <c r="J213" s="11">
        <v>12.0</v>
      </c>
      <c r="K213" s="7" t="s">
        <v>519</v>
      </c>
      <c r="L213" s="7"/>
    </row>
    <row r="214">
      <c r="A214" s="2" t="s">
        <v>402</v>
      </c>
      <c r="B214" s="2" t="str">
        <f t="shared" ref="B214:B223" si="49">concat(A214,3)</f>
        <v>U172U43</v>
      </c>
      <c r="C214" s="2" t="s">
        <v>403</v>
      </c>
      <c r="D214" s="2" t="s">
        <v>37</v>
      </c>
      <c r="E214" s="2" t="s">
        <v>39</v>
      </c>
      <c r="F214" s="2" t="s">
        <v>41</v>
      </c>
      <c r="G214" s="2" t="s">
        <v>62</v>
      </c>
      <c r="H214" s="2" t="s">
        <v>57</v>
      </c>
      <c r="I214" s="8">
        <v>20.0</v>
      </c>
      <c r="J214" s="7">
        <v>1.0</v>
      </c>
      <c r="K214" s="7" t="s">
        <v>520</v>
      </c>
    </row>
    <row r="215">
      <c r="A215" s="2" t="s">
        <v>104</v>
      </c>
      <c r="B215" s="2" t="str">
        <f t="shared" si="49"/>
        <v>36M6M33</v>
      </c>
      <c r="C215" s="2" t="s">
        <v>105</v>
      </c>
      <c r="D215" s="2" t="s">
        <v>74</v>
      </c>
      <c r="E215" s="2" t="s">
        <v>39</v>
      </c>
      <c r="F215" s="2" t="s">
        <v>41</v>
      </c>
      <c r="G215" s="2" t="s">
        <v>62</v>
      </c>
      <c r="H215" s="2" t="s">
        <v>57</v>
      </c>
      <c r="I215" s="8">
        <v>20.0</v>
      </c>
      <c r="J215" s="7">
        <v>1.0</v>
      </c>
      <c r="K215" s="7" t="s">
        <v>520</v>
      </c>
    </row>
    <row r="216">
      <c r="A216" s="2" t="s">
        <v>175</v>
      </c>
      <c r="B216" s="2" t="str">
        <f t="shared" si="49"/>
        <v>1DF7243</v>
      </c>
      <c r="C216" s="2" t="s">
        <v>176</v>
      </c>
      <c r="D216" s="2" t="s">
        <v>37</v>
      </c>
      <c r="E216" s="2" t="s">
        <v>39</v>
      </c>
      <c r="F216" s="2" t="s">
        <v>41</v>
      </c>
      <c r="G216" s="2" t="s">
        <v>62</v>
      </c>
      <c r="H216" s="2" t="s">
        <v>57</v>
      </c>
      <c r="I216" s="8">
        <v>20.0</v>
      </c>
      <c r="J216" s="7">
        <v>1.0</v>
      </c>
      <c r="K216" s="7" t="s">
        <v>520</v>
      </c>
    </row>
    <row r="217">
      <c r="A217" s="2" t="s">
        <v>326</v>
      </c>
      <c r="B217" s="2" t="str">
        <f t="shared" si="49"/>
        <v>35E56X3</v>
      </c>
      <c r="C217" s="2" t="s">
        <v>327</v>
      </c>
      <c r="D217" s="2" t="s">
        <v>37</v>
      </c>
      <c r="E217" s="2" t="s">
        <v>39</v>
      </c>
      <c r="F217" s="2" t="s">
        <v>41</v>
      </c>
      <c r="G217" s="2" t="s">
        <v>62</v>
      </c>
      <c r="H217" s="2" t="s">
        <v>57</v>
      </c>
      <c r="I217" s="8">
        <v>20.0</v>
      </c>
      <c r="J217" s="7">
        <v>1.0</v>
      </c>
      <c r="K217" s="7" t="s">
        <v>520</v>
      </c>
    </row>
    <row r="218">
      <c r="A218" s="2" t="s">
        <v>404</v>
      </c>
      <c r="B218" s="2" t="str">
        <f t="shared" si="49"/>
        <v>45A4T13</v>
      </c>
      <c r="C218" s="2" t="s">
        <v>405</v>
      </c>
      <c r="D218" s="2" t="s">
        <v>37</v>
      </c>
      <c r="E218" s="2" t="s">
        <v>39</v>
      </c>
      <c r="F218" s="2" t="s">
        <v>41</v>
      </c>
      <c r="G218" s="2" t="s">
        <v>62</v>
      </c>
      <c r="H218" s="2" t="s">
        <v>57</v>
      </c>
      <c r="I218" s="8">
        <v>20.0</v>
      </c>
      <c r="J218" s="7">
        <v>1.0</v>
      </c>
      <c r="K218" s="7" t="s">
        <v>520</v>
      </c>
    </row>
    <row r="219">
      <c r="A219" s="2" t="s">
        <v>406</v>
      </c>
      <c r="B219" s="2" t="str">
        <f t="shared" si="49"/>
        <v>4G6E173</v>
      </c>
      <c r="C219" s="2" t="s">
        <v>407</v>
      </c>
      <c r="D219" s="2" t="s">
        <v>37</v>
      </c>
      <c r="E219" s="2" t="s">
        <v>39</v>
      </c>
      <c r="F219" s="2" t="s">
        <v>41</v>
      </c>
      <c r="G219" s="2" t="s">
        <v>62</v>
      </c>
      <c r="H219" s="2" t="s">
        <v>116</v>
      </c>
      <c r="I219" s="8">
        <v>60.0</v>
      </c>
      <c r="J219" s="7">
        <v>1.0</v>
      </c>
      <c r="K219" s="7" t="s">
        <v>520</v>
      </c>
      <c r="L219" s="9" t="str">
        <f t="shared" ref="L219:L220" si="50">IF(H219&gt;1,"[PMPM="&amp;H219&amp;"]","")</f>
        <v>[PMPM=3]</v>
      </c>
    </row>
    <row r="220">
      <c r="A220" s="2" t="s">
        <v>408</v>
      </c>
      <c r="B220" s="2" t="str">
        <f t="shared" si="49"/>
        <v>3WR7493</v>
      </c>
      <c r="C220" s="2" t="s">
        <v>409</v>
      </c>
      <c r="D220" s="2" t="s">
        <v>37</v>
      </c>
      <c r="E220" s="2" t="s">
        <v>39</v>
      </c>
      <c r="F220" s="2" t="s">
        <v>41</v>
      </c>
      <c r="G220" s="2" t="s">
        <v>62</v>
      </c>
      <c r="H220" s="2" t="s">
        <v>51</v>
      </c>
      <c r="I220" s="8">
        <v>40.0</v>
      </c>
      <c r="J220" s="7">
        <v>1.0</v>
      </c>
      <c r="K220" s="7" t="s">
        <v>520</v>
      </c>
      <c r="L220" s="9" t="str">
        <f t="shared" si="50"/>
        <v>[PMPM=2]</v>
      </c>
    </row>
    <row r="221">
      <c r="A221" s="2" t="s">
        <v>410</v>
      </c>
      <c r="B221" s="2" t="str">
        <f t="shared" si="49"/>
        <v>4G650R3</v>
      </c>
      <c r="C221" s="2" t="s">
        <v>411</v>
      </c>
      <c r="D221" s="2" t="s">
        <v>37</v>
      </c>
      <c r="E221" s="2" t="s">
        <v>39</v>
      </c>
      <c r="F221" s="2" t="s">
        <v>41</v>
      </c>
      <c r="G221" s="2" t="s">
        <v>62</v>
      </c>
      <c r="H221" s="2" t="s">
        <v>57</v>
      </c>
      <c r="I221" s="8">
        <v>20.0</v>
      </c>
      <c r="J221" s="7">
        <v>1.0</v>
      </c>
      <c r="K221" s="7" t="s">
        <v>520</v>
      </c>
    </row>
    <row r="222">
      <c r="A222" s="2" t="s">
        <v>412</v>
      </c>
      <c r="B222" s="2" t="str">
        <f t="shared" si="49"/>
        <v>40P88L3</v>
      </c>
      <c r="C222" s="2" t="s">
        <v>413</v>
      </c>
      <c r="D222" s="2" t="s">
        <v>37</v>
      </c>
      <c r="E222" s="2" t="s">
        <v>39</v>
      </c>
      <c r="F222" s="2" t="s">
        <v>41</v>
      </c>
      <c r="G222" s="2" t="s">
        <v>62</v>
      </c>
      <c r="H222" s="2" t="s">
        <v>57</v>
      </c>
      <c r="I222" s="8">
        <v>20.0</v>
      </c>
      <c r="J222" s="7">
        <v>1.0</v>
      </c>
      <c r="K222" s="7" t="s">
        <v>520</v>
      </c>
    </row>
    <row r="223">
      <c r="A223" s="2" t="s">
        <v>84</v>
      </c>
      <c r="B223" s="2" t="str">
        <f t="shared" si="49"/>
        <v>6Y38Y33</v>
      </c>
      <c r="C223" s="2" t="s">
        <v>85</v>
      </c>
      <c r="D223" s="2" t="s">
        <v>37</v>
      </c>
      <c r="E223" s="2" t="s">
        <v>39</v>
      </c>
      <c r="F223" s="2" t="s">
        <v>41</v>
      </c>
      <c r="G223" s="2" t="s">
        <v>62</v>
      </c>
      <c r="H223" s="2" t="s">
        <v>51</v>
      </c>
      <c r="I223" s="8">
        <v>40.0</v>
      </c>
      <c r="J223" s="7">
        <v>1.0</v>
      </c>
      <c r="K223" s="7" t="s">
        <v>520</v>
      </c>
      <c r="L223" s="9" t="str">
        <f>IF(H223&gt;1,"[PMPM="&amp;H223&amp;"]","")</f>
        <v>[PMPM=2]</v>
      </c>
    </row>
    <row r="224">
      <c r="A224" s="2" t="s">
        <v>414</v>
      </c>
      <c r="B224" s="2" t="str">
        <f>concat(A224,"OVR")</f>
        <v>0E1Y47OVR</v>
      </c>
      <c r="C224" s="2" t="s">
        <v>415</v>
      </c>
      <c r="D224" s="2" t="s">
        <v>37</v>
      </c>
      <c r="E224" s="10" t="s">
        <v>518</v>
      </c>
      <c r="F224" s="2" t="s">
        <v>48</v>
      </c>
      <c r="G224" s="2" t="s">
        <v>49</v>
      </c>
      <c r="H224" s="2"/>
      <c r="I224" s="8">
        <v>12.0</v>
      </c>
      <c r="J224" s="11">
        <v>12.0</v>
      </c>
      <c r="K224" s="7" t="s">
        <v>519</v>
      </c>
      <c r="L224" s="7"/>
    </row>
    <row r="225">
      <c r="A225" s="2" t="s">
        <v>418</v>
      </c>
      <c r="B225" s="2" t="str">
        <f t="shared" ref="B225:B226" si="51">concat(A225,3)</f>
        <v>14F2K53</v>
      </c>
      <c r="C225" s="2" t="s">
        <v>419</v>
      </c>
      <c r="D225" s="2" t="s">
        <v>37</v>
      </c>
      <c r="E225" s="2" t="s">
        <v>420</v>
      </c>
      <c r="F225" s="2" t="s">
        <v>41</v>
      </c>
      <c r="G225" s="2" t="s">
        <v>62</v>
      </c>
      <c r="H225" s="2" t="s">
        <v>57</v>
      </c>
      <c r="I225" s="8">
        <v>27.0</v>
      </c>
      <c r="J225" s="7">
        <v>1.0</v>
      </c>
      <c r="K225" s="7" t="s">
        <v>522</v>
      </c>
    </row>
    <row r="226">
      <c r="A226" s="2" t="s">
        <v>422</v>
      </c>
      <c r="B226" s="2" t="str">
        <f t="shared" si="51"/>
        <v>14Y3V23</v>
      </c>
      <c r="C226" s="2" t="s">
        <v>423</v>
      </c>
      <c r="D226" s="2" t="s">
        <v>37</v>
      </c>
      <c r="E226" s="2" t="s">
        <v>276</v>
      </c>
      <c r="F226" s="2" t="s">
        <v>41</v>
      </c>
      <c r="G226" s="2" t="s">
        <v>62</v>
      </c>
      <c r="H226" s="2" t="s">
        <v>57</v>
      </c>
      <c r="I226" s="8">
        <v>22.0</v>
      </c>
      <c r="J226" s="7">
        <v>1.0</v>
      </c>
      <c r="K226" s="7" t="s">
        <v>521</v>
      </c>
    </row>
    <row r="227">
      <c r="A227" s="2" t="s">
        <v>424</v>
      </c>
      <c r="B227" s="2" t="str">
        <f t="shared" ref="B227:B230" si="52">concat(A227,8)</f>
        <v>14WD618</v>
      </c>
      <c r="C227" s="2" t="s">
        <v>425</v>
      </c>
      <c r="D227" s="2" t="s">
        <v>74</v>
      </c>
      <c r="E227" s="2" t="s">
        <v>276</v>
      </c>
      <c r="F227" s="2" t="s">
        <v>41</v>
      </c>
      <c r="G227" s="2" t="s">
        <v>43</v>
      </c>
      <c r="H227" s="2" t="s">
        <v>34</v>
      </c>
      <c r="I227" s="8">
        <v>7.92</v>
      </c>
      <c r="J227" s="9">
        <f t="shared" ref="J227:J230" si="53">I227*5</f>
        <v>39.6</v>
      </c>
      <c r="K227" s="7" t="s">
        <v>517</v>
      </c>
    </row>
    <row r="228">
      <c r="A228" s="2" t="s">
        <v>426</v>
      </c>
      <c r="B228" s="2" t="str">
        <f t="shared" si="52"/>
        <v>27TF818</v>
      </c>
      <c r="C228" s="2" t="s">
        <v>427</v>
      </c>
      <c r="D228" s="2" t="s">
        <v>428</v>
      </c>
      <c r="E228" s="2" t="s">
        <v>276</v>
      </c>
      <c r="F228" s="2" t="s">
        <v>41</v>
      </c>
      <c r="G228" s="2" t="s">
        <v>43</v>
      </c>
      <c r="H228" s="2" t="s">
        <v>34</v>
      </c>
      <c r="I228" s="8">
        <v>3.24</v>
      </c>
      <c r="J228" s="9">
        <f t="shared" si="53"/>
        <v>16.2</v>
      </c>
      <c r="K228" s="7" t="s">
        <v>517</v>
      </c>
    </row>
    <row r="229">
      <c r="A229" s="2" t="s">
        <v>429</v>
      </c>
      <c r="B229" s="2" t="str">
        <f t="shared" si="52"/>
        <v>33X1X08</v>
      </c>
      <c r="C229" s="2" t="s">
        <v>430</v>
      </c>
      <c r="D229" s="2" t="s">
        <v>37</v>
      </c>
      <c r="E229" s="2" t="s">
        <v>276</v>
      </c>
      <c r="F229" s="2" t="s">
        <v>41</v>
      </c>
      <c r="G229" s="2" t="s">
        <v>43</v>
      </c>
      <c r="H229" s="2" t="s">
        <v>34</v>
      </c>
      <c r="I229" s="8">
        <v>7.2</v>
      </c>
      <c r="J229" s="9">
        <f t="shared" si="53"/>
        <v>36</v>
      </c>
      <c r="K229" s="7" t="s">
        <v>517</v>
      </c>
    </row>
    <row r="230">
      <c r="A230" s="2" t="s">
        <v>431</v>
      </c>
      <c r="B230" s="2" t="str">
        <f t="shared" si="52"/>
        <v>455B8N8</v>
      </c>
      <c r="C230" s="2" t="s">
        <v>432</v>
      </c>
      <c r="D230" s="2" t="s">
        <v>75</v>
      </c>
      <c r="E230" s="2" t="s">
        <v>276</v>
      </c>
      <c r="F230" s="2" t="s">
        <v>41</v>
      </c>
      <c r="G230" s="2" t="s">
        <v>43</v>
      </c>
      <c r="H230" s="2" t="s">
        <v>34</v>
      </c>
      <c r="I230" s="8">
        <v>7.2</v>
      </c>
      <c r="J230" s="9">
        <f t="shared" si="53"/>
        <v>36</v>
      </c>
      <c r="K230" s="7" t="s">
        <v>517</v>
      </c>
    </row>
    <row r="231">
      <c r="A231" s="2" t="s">
        <v>131</v>
      </c>
      <c r="B231" s="2" t="str">
        <f t="shared" ref="B231:B232" si="54">concat(A231,3)</f>
        <v>13WG473</v>
      </c>
      <c r="C231" s="2" t="s">
        <v>132</v>
      </c>
      <c r="D231" s="2" t="s">
        <v>37</v>
      </c>
      <c r="E231" s="2" t="s">
        <v>133</v>
      </c>
      <c r="F231" s="2" t="s">
        <v>41</v>
      </c>
      <c r="G231" s="2" t="s">
        <v>62</v>
      </c>
      <c r="H231" s="2" t="s">
        <v>57</v>
      </c>
      <c r="I231" s="8">
        <v>20.0</v>
      </c>
      <c r="J231" s="7">
        <v>1.0</v>
      </c>
      <c r="K231" s="7" t="s">
        <v>520</v>
      </c>
    </row>
    <row r="232">
      <c r="A232" s="2" t="s">
        <v>435</v>
      </c>
      <c r="B232" s="2" t="str">
        <f t="shared" si="54"/>
        <v>70Y09D3</v>
      </c>
      <c r="C232" s="2" t="s">
        <v>436</v>
      </c>
      <c r="D232" s="2" t="s">
        <v>37</v>
      </c>
      <c r="E232" s="2" t="s">
        <v>133</v>
      </c>
      <c r="F232" s="2" t="s">
        <v>41</v>
      </c>
      <c r="G232" s="2" t="s">
        <v>62</v>
      </c>
      <c r="H232" s="2" t="s">
        <v>57</v>
      </c>
      <c r="I232" s="8">
        <v>20.0</v>
      </c>
      <c r="J232" s="7">
        <v>1.0</v>
      </c>
      <c r="K232" s="7" t="s">
        <v>520</v>
      </c>
    </row>
    <row r="233">
      <c r="A233" s="2" t="s">
        <v>370</v>
      </c>
      <c r="B233" s="2" t="str">
        <f t="shared" ref="B233:B241" si="55">concat(A233,"OVR")</f>
        <v>6N7Y80OVR</v>
      </c>
      <c r="C233" s="2" t="s">
        <v>371</v>
      </c>
      <c r="D233" s="2" t="s">
        <v>37</v>
      </c>
      <c r="E233" s="10" t="s">
        <v>518</v>
      </c>
      <c r="F233" s="2" t="s">
        <v>48</v>
      </c>
      <c r="G233" s="2" t="s">
        <v>49</v>
      </c>
      <c r="H233" s="2"/>
      <c r="I233" s="8">
        <v>3.0</v>
      </c>
      <c r="J233" s="11">
        <v>3.0</v>
      </c>
      <c r="K233" s="7" t="s">
        <v>519</v>
      </c>
      <c r="L233" s="7"/>
    </row>
    <row r="234">
      <c r="A234" s="2" t="s">
        <v>408</v>
      </c>
      <c r="B234" s="2" t="str">
        <f t="shared" si="55"/>
        <v>3WR749OVR</v>
      </c>
      <c r="C234" s="2" t="s">
        <v>409</v>
      </c>
      <c r="D234" s="2" t="s">
        <v>37</v>
      </c>
      <c r="E234" s="10" t="s">
        <v>518</v>
      </c>
      <c r="F234" s="2" t="s">
        <v>48</v>
      </c>
      <c r="G234" s="2" t="s">
        <v>49</v>
      </c>
      <c r="H234" s="2"/>
      <c r="I234" s="8">
        <v>6.0</v>
      </c>
      <c r="J234" s="11">
        <v>6.0</v>
      </c>
      <c r="K234" s="7" t="s">
        <v>519</v>
      </c>
      <c r="L234" s="7"/>
    </row>
    <row r="235">
      <c r="A235" s="2" t="s">
        <v>437</v>
      </c>
      <c r="B235" s="2" t="str">
        <f t="shared" si="55"/>
        <v>42D2X4OVR</v>
      </c>
      <c r="C235" s="2" t="s">
        <v>438</v>
      </c>
      <c r="D235" s="2" t="s">
        <v>37</v>
      </c>
      <c r="E235" s="10" t="s">
        <v>518</v>
      </c>
      <c r="F235" s="2" t="s">
        <v>48</v>
      </c>
      <c r="G235" s="2" t="s">
        <v>49</v>
      </c>
      <c r="H235" s="2"/>
      <c r="I235" s="8">
        <v>6.0</v>
      </c>
      <c r="J235" s="11">
        <v>6.0</v>
      </c>
      <c r="K235" s="7" t="s">
        <v>519</v>
      </c>
      <c r="L235" s="7"/>
    </row>
    <row r="236">
      <c r="A236" s="2" t="s">
        <v>98</v>
      </c>
      <c r="B236" s="2" t="str">
        <f t="shared" si="55"/>
        <v>14T06TOVR</v>
      </c>
      <c r="C236" s="2" t="s">
        <v>99</v>
      </c>
      <c r="D236" s="2" t="s">
        <v>37</v>
      </c>
      <c r="E236" s="10" t="s">
        <v>518</v>
      </c>
      <c r="F236" s="2" t="s">
        <v>48</v>
      </c>
      <c r="G236" s="2" t="s">
        <v>49</v>
      </c>
      <c r="H236" s="2"/>
      <c r="I236" s="8">
        <v>6.0</v>
      </c>
      <c r="J236" s="11">
        <v>6.0</v>
      </c>
      <c r="K236" s="7" t="s">
        <v>519</v>
      </c>
      <c r="L236" s="7"/>
    </row>
    <row r="237">
      <c r="A237" s="2" t="s">
        <v>439</v>
      </c>
      <c r="B237" s="2" t="str">
        <f t="shared" si="55"/>
        <v>70A0M1OVR</v>
      </c>
      <c r="C237" s="2" t="s">
        <v>440</v>
      </c>
      <c r="D237" s="2" t="s">
        <v>37</v>
      </c>
      <c r="E237" s="10" t="s">
        <v>518</v>
      </c>
      <c r="F237" s="2" t="s">
        <v>48</v>
      </c>
      <c r="G237" s="2" t="s">
        <v>49</v>
      </c>
      <c r="H237" s="2"/>
      <c r="I237" s="8">
        <v>6.0</v>
      </c>
      <c r="J237" s="11">
        <v>6.0</v>
      </c>
      <c r="K237" s="7" t="s">
        <v>519</v>
      </c>
      <c r="L237" s="7"/>
    </row>
    <row r="238">
      <c r="A238" s="2" t="s">
        <v>328</v>
      </c>
      <c r="B238" s="2" t="str">
        <f t="shared" si="55"/>
        <v>64PR19OVR</v>
      </c>
      <c r="C238" s="2" t="s">
        <v>329</v>
      </c>
      <c r="D238" s="2" t="s">
        <v>37</v>
      </c>
      <c r="E238" s="10" t="s">
        <v>518</v>
      </c>
      <c r="F238" s="2" t="s">
        <v>48</v>
      </c>
      <c r="G238" s="2" t="s">
        <v>49</v>
      </c>
      <c r="H238" s="2"/>
      <c r="I238" s="8">
        <v>6.0</v>
      </c>
      <c r="J238" s="11">
        <v>6.0</v>
      </c>
      <c r="K238" s="7" t="s">
        <v>519</v>
      </c>
      <c r="L238" s="7"/>
    </row>
    <row r="239">
      <c r="A239" s="2" t="s">
        <v>441</v>
      </c>
      <c r="B239" s="2" t="str">
        <f t="shared" si="55"/>
        <v>29PQ58OVR</v>
      </c>
      <c r="C239" s="2" t="s">
        <v>442</v>
      </c>
      <c r="D239" s="2" t="s">
        <v>74</v>
      </c>
      <c r="E239" s="10" t="s">
        <v>518</v>
      </c>
      <c r="F239" s="2" t="s">
        <v>48</v>
      </c>
      <c r="G239" s="2" t="s">
        <v>49</v>
      </c>
      <c r="H239" s="2"/>
      <c r="I239" s="8">
        <v>6.0</v>
      </c>
      <c r="J239" s="11">
        <v>6.0</v>
      </c>
      <c r="K239" s="7" t="s">
        <v>519</v>
      </c>
      <c r="L239" s="7"/>
    </row>
    <row r="240">
      <c r="A240" s="2" t="s">
        <v>406</v>
      </c>
      <c r="B240" s="2" t="str">
        <f t="shared" si="55"/>
        <v>4G6E17OVR</v>
      </c>
      <c r="C240" s="2" t="s">
        <v>407</v>
      </c>
      <c r="D240" s="2" t="s">
        <v>37</v>
      </c>
      <c r="E240" s="10" t="s">
        <v>518</v>
      </c>
      <c r="F240" s="2" t="s">
        <v>48</v>
      </c>
      <c r="G240" s="2" t="s">
        <v>49</v>
      </c>
      <c r="H240" s="2"/>
      <c r="I240" s="8">
        <v>9.0</v>
      </c>
      <c r="J240" s="11">
        <v>9.0</v>
      </c>
      <c r="K240" s="7" t="s">
        <v>519</v>
      </c>
      <c r="L240" s="7"/>
    </row>
    <row r="241">
      <c r="A241" s="2" t="s">
        <v>443</v>
      </c>
      <c r="B241" s="2" t="str">
        <f t="shared" si="55"/>
        <v>5G360JOVR</v>
      </c>
      <c r="C241" s="2" t="s">
        <v>444</v>
      </c>
      <c r="D241" s="2" t="s">
        <v>37</v>
      </c>
      <c r="E241" s="10" t="s">
        <v>518</v>
      </c>
      <c r="F241" s="2" t="s">
        <v>48</v>
      </c>
      <c r="G241" s="2" t="s">
        <v>49</v>
      </c>
      <c r="H241" s="2"/>
      <c r="I241" s="8">
        <v>9.0</v>
      </c>
      <c r="J241" s="11">
        <v>9.0</v>
      </c>
      <c r="K241" s="7" t="s">
        <v>519</v>
      </c>
      <c r="L241" s="7"/>
    </row>
    <row r="242">
      <c r="A242" s="2" t="s">
        <v>247</v>
      </c>
      <c r="B242" s="2" t="str">
        <f t="shared" ref="B242:B280" si="56">concat(A242,3)</f>
        <v>63Q45Q3</v>
      </c>
      <c r="C242" s="2" t="s">
        <v>248</v>
      </c>
      <c r="D242" s="2" t="s">
        <v>249</v>
      </c>
      <c r="E242" s="2" t="s">
        <v>39</v>
      </c>
      <c r="F242" s="2" t="s">
        <v>41</v>
      </c>
      <c r="G242" s="2" t="s">
        <v>62</v>
      </c>
      <c r="H242" s="2" t="s">
        <v>57</v>
      </c>
      <c r="I242" s="8">
        <v>20.0</v>
      </c>
      <c r="J242" s="7">
        <v>1.0</v>
      </c>
      <c r="K242" s="7" t="s">
        <v>520</v>
      </c>
    </row>
    <row r="243">
      <c r="A243" s="2" t="s">
        <v>86</v>
      </c>
      <c r="B243" s="2" t="str">
        <f t="shared" si="56"/>
        <v>12R0N63</v>
      </c>
      <c r="C243" s="2" t="s">
        <v>87</v>
      </c>
      <c r="D243" s="2" t="s">
        <v>37</v>
      </c>
      <c r="E243" s="2" t="s">
        <v>39</v>
      </c>
      <c r="F243" s="2" t="s">
        <v>41</v>
      </c>
      <c r="G243" s="2" t="s">
        <v>62</v>
      </c>
      <c r="H243" s="2" t="s">
        <v>57</v>
      </c>
      <c r="I243" s="8">
        <v>20.0</v>
      </c>
      <c r="J243" s="7">
        <v>1.0</v>
      </c>
      <c r="K243" s="7" t="s">
        <v>520</v>
      </c>
    </row>
    <row r="244">
      <c r="A244" s="2" t="s">
        <v>251</v>
      </c>
      <c r="B244" s="2" t="str">
        <f t="shared" si="56"/>
        <v>70N3Q93</v>
      </c>
      <c r="C244" s="2" t="s">
        <v>252</v>
      </c>
      <c r="D244" s="2" t="s">
        <v>37</v>
      </c>
      <c r="E244" s="2" t="s">
        <v>39</v>
      </c>
      <c r="F244" s="2" t="s">
        <v>41</v>
      </c>
      <c r="G244" s="2" t="s">
        <v>62</v>
      </c>
      <c r="H244" s="2" t="s">
        <v>57</v>
      </c>
      <c r="I244" s="8">
        <v>20.0</v>
      </c>
      <c r="J244" s="7">
        <v>1.0</v>
      </c>
      <c r="K244" s="7" t="s">
        <v>520</v>
      </c>
    </row>
    <row r="245">
      <c r="A245" s="2" t="s">
        <v>445</v>
      </c>
      <c r="B245" s="2" t="str">
        <f t="shared" si="56"/>
        <v>104AB63</v>
      </c>
      <c r="C245" s="2" t="s">
        <v>446</v>
      </c>
      <c r="D245" s="2" t="s">
        <v>37</v>
      </c>
      <c r="E245" s="2" t="s">
        <v>39</v>
      </c>
      <c r="F245" s="2" t="s">
        <v>41</v>
      </c>
      <c r="G245" s="2" t="s">
        <v>62</v>
      </c>
      <c r="H245" s="2" t="s">
        <v>57</v>
      </c>
      <c r="I245" s="8">
        <v>20.0</v>
      </c>
      <c r="J245" s="7">
        <v>1.0</v>
      </c>
      <c r="K245" s="7" t="s">
        <v>520</v>
      </c>
    </row>
    <row r="246">
      <c r="A246" s="2" t="s">
        <v>447</v>
      </c>
      <c r="B246" s="2" t="str">
        <f t="shared" si="56"/>
        <v>3Q52L03</v>
      </c>
      <c r="C246" s="2" t="s">
        <v>448</v>
      </c>
      <c r="D246" s="2" t="s">
        <v>37</v>
      </c>
      <c r="E246" s="2" t="s">
        <v>39</v>
      </c>
      <c r="F246" s="2" t="s">
        <v>41</v>
      </c>
      <c r="G246" s="2" t="s">
        <v>62</v>
      </c>
      <c r="H246" s="2" t="s">
        <v>57</v>
      </c>
      <c r="I246" s="8">
        <v>20.0</v>
      </c>
      <c r="J246" s="7">
        <v>1.0</v>
      </c>
      <c r="K246" s="7" t="s">
        <v>520</v>
      </c>
    </row>
    <row r="247">
      <c r="A247" s="2" t="s">
        <v>179</v>
      </c>
      <c r="B247" s="2" t="str">
        <f t="shared" si="56"/>
        <v>47EP433</v>
      </c>
      <c r="C247" s="2" t="s">
        <v>180</v>
      </c>
      <c r="D247" s="2" t="s">
        <v>37</v>
      </c>
      <c r="E247" s="2" t="s">
        <v>39</v>
      </c>
      <c r="F247" s="2" t="s">
        <v>41</v>
      </c>
      <c r="G247" s="2" t="s">
        <v>62</v>
      </c>
      <c r="H247" s="2" t="s">
        <v>57</v>
      </c>
      <c r="I247" s="8">
        <v>20.0</v>
      </c>
      <c r="J247" s="7">
        <v>1.0</v>
      </c>
      <c r="K247" s="7" t="s">
        <v>520</v>
      </c>
    </row>
    <row r="248">
      <c r="A248" s="2" t="s">
        <v>171</v>
      </c>
      <c r="B248" s="2" t="str">
        <f t="shared" si="56"/>
        <v>53N6D33</v>
      </c>
      <c r="C248" s="2" t="s">
        <v>172</v>
      </c>
      <c r="D248" s="2" t="s">
        <v>37</v>
      </c>
      <c r="E248" s="2" t="s">
        <v>39</v>
      </c>
      <c r="F248" s="2" t="s">
        <v>41</v>
      </c>
      <c r="G248" s="2" t="s">
        <v>62</v>
      </c>
      <c r="H248" s="2" t="s">
        <v>57</v>
      </c>
      <c r="I248" s="8">
        <v>20.0</v>
      </c>
      <c r="J248" s="7">
        <v>1.0</v>
      </c>
      <c r="K248" s="7" t="s">
        <v>520</v>
      </c>
    </row>
    <row r="249">
      <c r="A249" s="2" t="s">
        <v>449</v>
      </c>
      <c r="B249" s="2" t="str">
        <f t="shared" si="56"/>
        <v>54EL843</v>
      </c>
      <c r="C249" s="2" t="s">
        <v>450</v>
      </c>
      <c r="D249" s="2" t="s">
        <v>37</v>
      </c>
      <c r="E249" s="2" t="s">
        <v>39</v>
      </c>
      <c r="F249" s="2" t="s">
        <v>41</v>
      </c>
      <c r="G249" s="2" t="s">
        <v>62</v>
      </c>
      <c r="H249" s="2" t="s">
        <v>57</v>
      </c>
      <c r="I249" s="8">
        <v>20.0</v>
      </c>
      <c r="J249" s="7">
        <v>1.0</v>
      </c>
      <c r="K249" s="7" t="s">
        <v>520</v>
      </c>
    </row>
    <row r="250">
      <c r="A250" s="2" t="s">
        <v>173</v>
      </c>
      <c r="B250" s="2" t="str">
        <f t="shared" si="56"/>
        <v>98AX723</v>
      </c>
      <c r="C250" s="2" t="s">
        <v>174</v>
      </c>
      <c r="D250" s="2" t="s">
        <v>37</v>
      </c>
      <c r="E250" s="2" t="s">
        <v>39</v>
      </c>
      <c r="F250" s="2" t="s">
        <v>41</v>
      </c>
      <c r="G250" s="2" t="s">
        <v>62</v>
      </c>
      <c r="H250" s="2" t="s">
        <v>57</v>
      </c>
      <c r="I250" s="8">
        <v>20.0</v>
      </c>
      <c r="J250" s="7">
        <v>1.0</v>
      </c>
      <c r="K250" s="7" t="s">
        <v>520</v>
      </c>
    </row>
    <row r="251">
      <c r="A251" s="2" t="s">
        <v>255</v>
      </c>
      <c r="B251" s="2" t="str">
        <f t="shared" si="56"/>
        <v>62Q90Q3</v>
      </c>
      <c r="C251" s="2" t="s">
        <v>256</v>
      </c>
      <c r="D251" s="2" t="s">
        <v>37</v>
      </c>
      <c r="E251" s="2" t="s">
        <v>39</v>
      </c>
      <c r="F251" s="2" t="s">
        <v>41</v>
      </c>
      <c r="G251" s="2" t="s">
        <v>62</v>
      </c>
      <c r="H251" s="2" t="s">
        <v>57</v>
      </c>
      <c r="I251" s="8">
        <v>20.0</v>
      </c>
      <c r="J251" s="7">
        <v>1.0</v>
      </c>
      <c r="K251" s="7" t="s">
        <v>520</v>
      </c>
    </row>
    <row r="252">
      <c r="A252" s="2" t="s">
        <v>451</v>
      </c>
      <c r="B252" s="2" t="str">
        <f t="shared" si="56"/>
        <v>54GE933</v>
      </c>
      <c r="C252" s="2" t="s">
        <v>452</v>
      </c>
      <c r="D252" s="2" t="s">
        <v>37</v>
      </c>
      <c r="E252" s="2" t="s">
        <v>39</v>
      </c>
      <c r="F252" s="2" t="s">
        <v>41</v>
      </c>
      <c r="G252" s="2" t="s">
        <v>62</v>
      </c>
      <c r="H252" s="2" t="s">
        <v>57</v>
      </c>
      <c r="I252" s="8">
        <v>20.0</v>
      </c>
      <c r="J252" s="7">
        <v>1.0</v>
      </c>
      <c r="K252" s="7" t="s">
        <v>520</v>
      </c>
    </row>
    <row r="253">
      <c r="A253" s="2" t="s">
        <v>195</v>
      </c>
      <c r="B253" s="2" t="str">
        <f t="shared" si="56"/>
        <v>43A22A3</v>
      </c>
      <c r="C253" s="2" t="s">
        <v>196</v>
      </c>
      <c r="D253" s="2" t="s">
        <v>37</v>
      </c>
      <c r="E253" s="2" t="s">
        <v>39</v>
      </c>
      <c r="F253" s="2" t="s">
        <v>41</v>
      </c>
      <c r="G253" s="2" t="s">
        <v>62</v>
      </c>
      <c r="H253" s="2" t="s">
        <v>57</v>
      </c>
      <c r="I253" s="8">
        <v>20.0</v>
      </c>
      <c r="J253" s="7">
        <v>1.0</v>
      </c>
      <c r="K253" s="7" t="s">
        <v>520</v>
      </c>
    </row>
    <row r="254">
      <c r="A254" s="2" t="s">
        <v>453</v>
      </c>
      <c r="B254" s="2" t="str">
        <f t="shared" si="56"/>
        <v>0J6P393</v>
      </c>
      <c r="C254" s="2" t="s">
        <v>454</v>
      </c>
      <c r="D254" s="2" t="s">
        <v>37</v>
      </c>
      <c r="E254" s="2" t="s">
        <v>39</v>
      </c>
      <c r="F254" s="2" t="s">
        <v>41</v>
      </c>
      <c r="G254" s="2" t="s">
        <v>62</v>
      </c>
      <c r="H254" s="2" t="s">
        <v>57</v>
      </c>
      <c r="I254" s="8">
        <v>20.0</v>
      </c>
      <c r="J254" s="7">
        <v>1.0</v>
      </c>
      <c r="K254" s="7" t="s">
        <v>520</v>
      </c>
    </row>
    <row r="255">
      <c r="A255" s="2" t="s">
        <v>455</v>
      </c>
      <c r="B255" s="2" t="str">
        <f t="shared" si="56"/>
        <v>81GY173</v>
      </c>
      <c r="C255" s="2" t="s">
        <v>456</v>
      </c>
      <c r="D255" s="2" t="s">
        <v>37</v>
      </c>
      <c r="E255" s="2" t="s">
        <v>39</v>
      </c>
      <c r="F255" s="2" t="s">
        <v>41</v>
      </c>
      <c r="G255" s="2" t="s">
        <v>62</v>
      </c>
      <c r="H255" s="2" t="s">
        <v>57</v>
      </c>
      <c r="I255" s="8">
        <v>20.0</v>
      </c>
      <c r="J255" s="7">
        <v>1.0</v>
      </c>
      <c r="K255" s="7" t="s">
        <v>520</v>
      </c>
    </row>
    <row r="256">
      <c r="A256" s="2" t="s">
        <v>457</v>
      </c>
      <c r="B256" s="2" t="str">
        <f t="shared" si="56"/>
        <v>82E6Y33</v>
      </c>
      <c r="C256" s="2" t="s">
        <v>458</v>
      </c>
      <c r="D256" s="2" t="s">
        <v>37</v>
      </c>
      <c r="E256" s="2" t="s">
        <v>39</v>
      </c>
      <c r="F256" s="2" t="s">
        <v>41</v>
      </c>
      <c r="G256" s="2" t="s">
        <v>62</v>
      </c>
      <c r="H256" s="2" t="s">
        <v>57</v>
      </c>
      <c r="I256" s="8">
        <v>20.0</v>
      </c>
      <c r="J256" s="7">
        <v>1.0</v>
      </c>
      <c r="K256" s="7" t="s">
        <v>520</v>
      </c>
    </row>
    <row r="257">
      <c r="A257" s="2" t="s">
        <v>459</v>
      </c>
      <c r="B257" s="2" t="str">
        <f t="shared" si="56"/>
        <v>24T7X83</v>
      </c>
      <c r="C257" s="2" t="s">
        <v>460</v>
      </c>
      <c r="D257" s="2" t="s">
        <v>37</v>
      </c>
      <c r="E257" s="2" t="s">
        <v>39</v>
      </c>
      <c r="F257" s="2" t="s">
        <v>41</v>
      </c>
      <c r="G257" s="2" t="s">
        <v>62</v>
      </c>
      <c r="H257" s="2" t="s">
        <v>57</v>
      </c>
      <c r="I257" s="8">
        <v>20.0</v>
      </c>
      <c r="J257" s="7">
        <v>1.0</v>
      </c>
      <c r="K257" s="7" t="s">
        <v>520</v>
      </c>
    </row>
    <row r="258">
      <c r="A258" s="2" t="s">
        <v>197</v>
      </c>
      <c r="B258" s="2" t="str">
        <f t="shared" si="56"/>
        <v>60K7K33</v>
      </c>
      <c r="C258" s="2" t="s">
        <v>198</v>
      </c>
      <c r="D258" s="2" t="s">
        <v>37</v>
      </c>
      <c r="E258" s="2" t="s">
        <v>39</v>
      </c>
      <c r="F258" s="2" t="s">
        <v>41</v>
      </c>
      <c r="G258" s="2" t="s">
        <v>62</v>
      </c>
      <c r="H258" s="2" t="s">
        <v>57</v>
      </c>
      <c r="I258" s="8">
        <v>20.0</v>
      </c>
      <c r="J258" s="7">
        <v>1.0</v>
      </c>
      <c r="K258" s="7" t="s">
        <v>520</v>
      </c>
    </row>
    <row r="259">
      <c r="A259" s="2" t="s">
        <v>461</v>
      </c>
      <c r="B259" s="2" t="str">
        <f t="shared" si="56"/>
        <v>1G24T03</v>
      </c>
      <c r="C259" s="2" t="s">
        <v>462</v>
      </c>
      <c r="D259" s="2" t="s">
        <v>37</v>
      </c>
      <c r="E259" s="2" t="s">
        <v>39</v>
      </c>
      <c r="F259" s="2" t="s">
        <v>41</v>
      </c>
      <c r="G259" s="2" t="s">
        <v>62</v>
      </c>
      <c r="H259" s="2" t="s">
        <v>57</v>
      </c>
      <c r="I259" s="8">
        <v>20.0</v>
      </c>
      <c r="J259" s="7">
        <v>1.0</v>
      </c>
      <c r="K259" s="7" t="s">
        <v>520</v>
      </c>
    </row>
    <row r="260">
      <c r="A260" s="2" t="s">
        <v>92</v>
      </c>
      <c r="B260" s="2" t="str">
        <f t="shared" si="56"/>
        <v>3V865A3</v>
      </c>
      <c r="C260" s="2" t="s">
        <v>93</v>
      </c>
      <c r="D260" s="2" t="s">
        <v>37</v>
      </c>
      <c r="E260" s="2" t="s">
        <v>39</v>
      </c>
      <c r="F260" s="2" t="s">
        <v>41</v>
      </c>
      <c r="G260" s="2" t="s">
        <v>62</v>
      </c>
      <c r="H260" s="2" t="s">
        <v>57</v>
      </c>
      <c r="I260" s="8">
        <v>20.0</v>
      </c>
      <c r="J260" s="7">
        <v>1.0</v>
      </c>
      <c r="K260" s="7" t="s">
        <v>520</v>
      </c>
    </row>
    <row r="261">
      <c r="A261" s="2" t="s">
        <v>463</v>
      </c>
      <c r="B261" s="2" t="str">
        <f t="shared" si="56"/>
        <v>37MP833</v>
      </c>
      <c r="C261" s="2" t="s">
        <v>464</v>
      </c>
      <c r="D261" s="2" t="s">
        <v>37</v>
      </c>
      <c r="E261" s="2" t="s">
        <v>39</v>
      </c>
      <c r="F261" s="2" t="s">
        <v>41</v>
      </c>
      <c r="G261" s="2" t="s">
        <v>62</v>
      </c>
      <c r="H261" s="2" t="s">
        <v>57</v>
      </c>
      <c r="I261" s="8">
        <v>20.0</v>
      </c>
      <c r="J261" s="7">
        <v>1.0</v>
      </c>
      <c r="K261" s="7" t="s">
        <v>520</v>
      </c>
    </row>
    <row r="262">
      <c r="A262" s="2" t="s">
        <v>201</v>
      </c>
      <c r="B262" s="2" t="str">
        <f t="shared" si="56"/>
        <v>86Y86Q3</v>
      </c>
      <c r="C262" s="2" t="s">
        <v>202</v>
      </c>
      <c r="D262" s="2" t="s">
        <v>74</v>
      </c>
      <c r="E262" s="2" t="s">
        <v>39</v>
      </c>
      <c r="F262" s="2" t="s">
        <v>41</v>
      </c>
      <c r="G262" s="2" t="s">
        <v>62</v>
      </c>
      <c r="H262" s="2" t="s">
        <v>57</v>
      </c>
      <c r="I262" s="8">
        <v>20.0</v>
      </c>
      <c r="J262" s="7">
        <v>1.0</v>
      </c>
      <c r="K262" s="7" t="s">
        <v>520</v>
      </c>
    </row>
    <row r="263">
      <c r="A263" s="2" t="s">
        <v>261</v>
      </c>
      <c r="B263" s="2" t="str">
        <f t="shared" si="56"/>
        <v>43A4T33</v>
      </c>
      <c r="C263" s="2" t="s">
        <v>262</v>
      </c>
      <c r="D263" s="2" t="s">
        <v>75</v>
      </c>
      <c r="E263" s="2" t="s">
        <v>39</v>
      </c>
      <c r="F263" s="2" t="s">
        <v>41</v>
      </c>
      <c r="G263" s="2" t="s">
        <v>62</v>
      </c>
      <c r="H263" s="2" t="s">
        <v>57</v>
      </c>
      <c r="I263" s="8">
        <v>20.0</v>
      </c>
      <c r="J263" s="7">
        <v>1.0</v>
      </c>
      <c r="K263" s="7" t="s">
        <v>520</v>
      </c>
    </row>
    <row r="264">
      <c r="A264" s="2" t="s">
        <v>90</v>
      </c>
      <c r="B264" s="2" t="str">
        <f t="shared" si="56"/>
        <v>85E5Y63</v>
      </c>
      <c r="C264" s="2" t="s">
        <v>91</v>
      </c>
      <c r="D264" s="2" t="s">
        <v>74</v>
      </c>
      <c r="E264" s="2" t="s">
        <v>39</v>
      </c>
      <c r="F264" s="2" t="s">
        <v>41</v>
      </c>
      <c r="G264" s="2" t="s">
        <v>62</v>
      </c>
      <c r="H264" s="2" t="s">
        <v>57</v>
      </c>
      <c r="I264" s="8">
        <v>20.0</v>
      </c>
      <c r="J264" s="7">
        <v>1.0</v>
      </c>
      <c r="K264" s="7" t="s">
        <v>520</v>
      </c>
    </row>
    <row r="265">
      <c r="A265" s="2" t="s">
        <v>90</v>
      </c>
      <c r="B265" s="2" t="str">
        <f t="shared" si="56"/>
        <v>85E5Y63</v>
      </c>
      <c r="C265" s="2" t="s">
        <v>91</v>
      </c>
      <c r="D265" s="2" t="s">
        <v>75</v>
      </c>
      <c r="E265" s="2" t="s">
        <v>39</v>
      </c>
      <c r="F265" s="2" t="s">
        <v>41</v>
      </c>
      <c r="G265" s="2" t="s">
        <v>62</v>
      </c>
      <c r="H265" s="2" t="s">
        <v>57</v>
      </c>
      <c r="I265" s="8">
        <v>20.0</v>
      </c>
      <c r="J265" s="7">
        <v>1.0</v>
      </c>
      <c r="K265" s="7" t="s">
        <v>520</v>
      </c>
    </row>
    <row r="266">
      <c r="A266" s="2" t="s">
        <v>259</v>
      </c>
      <c r="B266" s="2" t="str">
        <f t="shared" si="56"/>
        <v>64TB363</v>
      </c>
      <c r="C266" s="2" t="s">
        <v>260</v>
      </c>
      <c r="D266" s="2" t="s">
        <v>74</v>
      </c>
      <c r="E266" s="2" t="s">
        <v>39</v>
      </c>
      <c r="F266" s="2" t="s">
        <v>41</v>
      </c>
      <c r="G266" s="2" t="s">
        <v>62</v>
      </c>
      <c r="H266" s="2" t="s">
        <v>57</v>
      </c>
      <c r="I266" s="8">
        <v>20.0</v>
      </c>
      <c r="J266" s="7">
        <v>1.0</v>
      </c>
      <c r="K266" s="7" t="s">
        <v>520</v>
      </c>
    </row>
    <row r="267">
      <c r="A267" s="2" t="s">
        <v>465</v>
      </c>
      <c r="B267" s="2" t="str">
        <f t="shared" si="56"/>
        <v>243B9B3</v>
      </c>
      <c r="C267" s="2" t="s">
        <v>466</v>
      </c>
      <c r="D267" s="2" t="s">
        <v>75</v>
      </c>
      <c r="E267" s="2" t="s">
        <v>39</v>
      </c>
      <c r="F267" s="2" t="s">
        <v>41</v>
      </c>
      <c r="G267" s="2" t="s">
        <v>62</v>
      </c>
      <c r="H267" s="2" t="s">
        <v>57</v>
      </c>
      <c r="I267" s="8">
        <v>20.0</v>
      </c>
      <c r="J267" s="7">
        <v>1.0</v>
      </c>
      <c r="K267" s="7" t="s">
        <v>520</v>
      </c>
    </row>
    <row r="268">
      <c r="A268" s="2" t="s">
        <v>437</v>
      </c>
      <c r="B268" s="2" t="str">
        <f t="shared" si="56"/>
        <v>42D2X43</v>
      </c>
      <c r="C268" s="2" t="s">
        <v>438</v>
      </c>
      <c r="D268" s="2" t="s">
        <v>37</v>
      </c>
      <c r="E268" s="2" t="s">
        <v>39</v>
      </c>
      <c r="F268" s="2" t="s">
        <v>41</v>
      </c>
      <c r="G268" s="2" t="s">
        <v>62</v>
      </c>
      <c r="H268" s="2" t="s">
        <v>51</v>
      </c>
      <c r="I268" s="8">
        <v>40.0</v>
      </c>
      <c r="J268" s="7">
        <v>1.0</v>
      </c>
      <c r="K268" s="7" t="s">
        <v>520</v>
      </c>
      <c r="L268" s="9" t="str">
        <f t="shared" ref="L268:L279" si="57">IF(H268&gt;1,"[PMPM="&amp;H268&amp;"]","")</f>
        <v>[PMPM=2]</v>
      </c>
    </row>
    <row r="269">
      <c r="A269" s="2" t="s">
        <v>35</v>
      </c>
      <c r="B269" s="2" t="str">
        <f t="shared" si="56"/>
        <v>70T68Q3</v>
      </c>
      <c r="C269" s="2" t="s">
        <v>36</v>
      </c>
      <c r="D269" s="2" t="s">
        <v>37</v>
      </c>
      <c r="E269" s="2" t="s">
        <v>39</v>
      </c>
      <c r="F269" s="2" t="s">
        <v>41</v>
      </c>
      <c r="G269" s="2" t="s">
        <v>62</v>
      </c>
      <c r="H269" s="2" t="s">
        <v>51</v>
      </c>
      <c r="I269" s="8">
        <v>40.0</v>
      </c>
      <c r="J269" s="7">
        <v>1.0</v>
      </c>
      <c r="K269" s="7" t="s">
        <v>520</v>
      </c>
      <c r="L269" s="9" t="str">
        <f t="shared" si="57"/>
        <v>[PMPM=2]</v>
      </c>
    </row>
    <row r="270">
      <c r="A270" s="2" t="s">
        <v>439</v>
      </c>
      <c r="B270" s="2" t="str">
        <f t="shared" si="56"/>
        <v>70A0M13</v>
      </c>
      <c r="C270" s="2" t="s">
        <v>440</v>
      </c>
      <c r="D270" s="2" t="s">
        <v>37</v>
      </c>
      <c r="E270" s="2" t="s">
        <v>39</v>
      </c>
      <c r="F270" s="2" t="s">
        <v>41</v>
      </c>
      <c r="G270" s="2" t="s">
        <v>62</v>
      </c>
      <c r="H270" s="2" t="s">
        <v>51</v>
      </c>
      <c r="I270" s="8">
        <v>40.0</v>
      </c>
      <c r="J270" s="7">
        <v>1.0</v>
      </c>
      <c r="K270" s="7" t="s">
        <v>520</v>
      </c>
      <c r="L270" s="9" t="str">
        <f t="shared" si="57"/>
        <v>[PMPM=2]</v>
      </c>
    </row>
    <row r="271">
      <c r="A271" s="2" t="s">
        <v>322</v>
      </c>
      <c r="B271" s="2" t="str">
        <f t="shared" si="56"/>
        <v>99AX153</v>
      </c>
      <c r="C271" s="2" t="s">
        <v>323</v>
      </c>
      <c r="D271" s="2" t="s">
        <v>37</v>
      </c>
      <c r="E271" s="2" t="s">
        <v>39</v>
      </c>
      <c r="F271" s="2" t="s">
        <v>41</v>
      </c>
      <c r="G271" s="2" t="s">
        <v>62</v>
      </c>
      <c r="H271" s="2" t="s">
        <v>51</v>
      </c>
      <c r="I271" s="8">
        <v>40.0</v>
      </c>
      <c r="J271" s="7">
        <v>1.0</v>
      </c>
      <c r="K271" s="7" t="s">
        <v>520</v>
      </c>
      <c r="L271" s="9" t="str">
        <f t="shared" si="57"/>
        <v>[PMPM=2]</v>
      </c>
    </row>
    <row r="272">
      <c r="A272" s="2" t="s">
        <v>94</v>
      </c>
      <c r="B272" s="2" t="str">
        <f t="shared" si="56"/>
        <v>94F68G3</v>
      </c>
      <c r="C272" s="2" t="s">
        <v>95</v>
      </c>
      <c r="D272" s="2" t="s">
        <v>37</v>
      </c>
      <c r="E272" s="2" t="s">
        <v>39</v>
      </c>
      <c r="F272" s="2" t="s">
        <v>41</v>
      </c>
      <c r="G272" s="2" t="s">
        <v>62</v>
      </c>
      <c r="H272" s="2" t="s">
        <v>51</v>
      </c>
      <c r="I272" s="8">
        <v>40.0</v>
      </c>
      <c r="J272" s="7">
        <v>1.0</v>
      </c>
      <c r="K272" s="7" t="s">
        <v>520</v>
      </c>
      <c r="L272" s="9" t="str">
        <f t="shared" si="57"/>
        <v>[PMPM=2]</v>
      </c>
    </row>
    <row r="273">
      <c r="A273" s="2" t="s">
        <v>441</v>
      </c>
      <c r="B273" s="2" t="str">
        <f t="shared" si="56"/>
        <v>29PQ583</v>
      </c>
      <c r="C273" s="2" t="s">
        <v>442</v>
      </c>
      <c r="D273" s="2" t="s">
        <v>74</v>
      </c>
      <c r="E273" s="2" t="s">
        <v>39</v>
      </c>
      <c r="F273" s="2" t="s">
        <v>41</v>
      </c>
      <c r="G273" s="2" t="s">
        <v>62</v>
      </c>
      <c r="H273" s="2" t="s">
        <v>51</v>
      </c>
      <c r="I273" s="8">
        <v>40.0</v>
      </c>
      <c r="J273" s="7">
        <v>1.0</v>
      </c>
      <c r="K273" s="7" t="s">
        <v>520</v>
      </c>
      <c r="L273" s="9" t="str">
        <f t="shared" si="57"/>
        <v>[PMPM=2]</v>
      </c>
    </row>
    <row r="274">
      <c r="A274" s="2" t="s">
        <v>414</v>
      </c>
      <c r="B274" s="2" t="str">
        <f t="shared" si="56"/>
        <v>0E1Y473</v>
      </c>
      <c r="C274" s="2" t="s">
        <v>415</v>
      </c>
      <c r="D274" s="2" t="s">
        <v>37</v>
      </c>
      <c r="E274" s="2" t="s">
        <v>39</v>
      </c>
      <c r="F274" s="2" t="s">
        <v>41</v>
      </c>
      <c r="G274" s="2" t="s">
        <v>62</v>
      </c>
      <c r="H274" s="2" t="s">
        <v>65</v>
      </c>
      <c r="I274" s="8">
        <v>80.0</v>
      </c>
      <c r="J274" s="7">
        <v>1.0</v>
      </c>
      <c r="K274" s="7" t="s">
        <v>520</v>
      </c>
      <c r="L274" s="9" t="str">
        <f t="shared" si="57"/>
        <v>[PMPM=4]</v>
      </c>
    </row>
    <row r="275">
      <c r="A275" s="2" t="s">
        <v>187</v>
      </c>
      <c r="B275" s="2" t="str">
        <f t="shared" si="56"/>
        <v>4G936R3</v>
      </c>
      <c r="C275" s="2" t="s">
        <v>188</v>
      </c>
      <c r="D275" s="2" t="s">
        <v>37</v>
      </c>
      <c r="E275" s="2" t="s">
        <v>39</v>
      </c>
      <c r="F275" s="2" t="s">
        <v>41</v>
      </c>
      <c r="G275" s="2" t="s">
        <v>62</v>
      </c>
      <c r="H275" s="2" t="s">
        <v>65</v>
      </c>
      <c r="I275" s="8">
        <v>80.0</v>
      </c>
      <c r="J275" s="7">
        <v>1.0</v>
      </c>
      <c r="K275" s="7" t="s">
        <v>520</v>
      </c>
      <c r="L275" s="9" t="str">
        <f t="shared" si="57"/>
        <v>[PMPM=4]</v>
      </c>
    </row>
    <row r="276">
      <c r="A276" s="2" t="s">
        <v>467</v>
      </c>
      <c r="B276" s="2" t="str">
        <f t="shared" si="56"/>
        <v>0JH6763</v>
      </c>
      <c r="C276" s="2" t="s">
        <v>468</v>
      </c>
      <c r="D276" s="2" t="s">
        <v>37</v>
      </c>
      <c r="E276" s="2" t="s">
        <v>39</v>
      </c>
      <c r="F276" s="2" t="s">
        <v>41</v>
      </c>
      <c r="G276" s="2" t="s">
        <v>62</v>
      </c>
      <c r="H276" s="2" t="s">
        <v>65</v>
      </c>
      <c r="I276" s="8">
        <v>80.0</v>
      </c>
      <c r="J276" s="7">
        <v>1.0</v>
      </c>
      <c r="K276" s="7" t="s">
        <v>520</v>
      </c>
      <c r="L276" s="9" t="str">
        <f t="shared" si="57"/>
        <v>[PMPM=4]</v>
      </c>
    </row>
    <row r="277">
      <c r="A277" s="2" t="s">
        <v>269</v>
      </c>
      <c r="B277" s="2" t="str">
        <f t="shared" si="56"/>
        <v>9W748R3</v>
      </c>
      <c r="C277" s="2" t="s">
        <v>270</v>
      </c>
      <c r="D277" s="2" t="s">
        <v>37</v>
      </c>
      <c r="E277" s="2" t="s">
        <v>39</v>
      </c>
      <c r="F277" s="2" t="s">
        <v>41</v>
      </c>
      <c r="G277" s="2" t="s">
        <v>62</v>
      </c>
      <c r="H277" s="2" t="s">
        <v>65</v>
      </c>
      <c r="I277" s="8">
        <v>80.0</v>
      </c>
      <c r="J277" s="7">
        <v>1.0</v>
      </c>
      <c r="K277" s="7" t="s">
        <v>520</v>
      </c>
      <c r="L277" s="9" t="str">
        <f t="shared" si="57"/>
        <v>[PMPM=4]</v>
      </c>
    </row>
    <row r="278">
      <c r="A278" s="2" t="s">
        <v>400</v>
      </c>
      <c r="B278" s="2" t="str">
        <f t="shared" si="56"/>
        <v>593A6B3</v>
      </c>
      <c r="C278" s="2" t="s">
        <v>401</v>
      </c>
      <c r="D278" s="2" t="s">
        <v>74</v>
      </c>
      <c r="E278" s="2" t="s">
        <v>39</v>
      </c>
      <c r="F278" s="2" t="s">
        <v>41</v>
      </c>
      <c r="G278" s="2" t="s">
        <v>62</v>
      </c>
      <c r="H278" s="2" t="s">
        <v>65</v>
      </c>
      <c r="I278" s="8">
        <v>80.0</v>
      </c>
      <c r="J278" s="7">
        <v>1.0</v>
      </c>
      <c r="K278" s="7" t="s">
        <v>520</v>
      </c>
      <c r="L278" s="9" t="str">
        <f t="shared" si="57"/>
        <v>[PMPM=4]</v>
      </c>
    </row>
    <row r="279">
      <c r="A279" s="2" t="s">
        <v>334</v>
      </c>
      <c r="B279" s="2" t="str">
        <f t="shared" si="56"/>
        <v>90Y58D3</v>
      </c>
      <c r="C279" s="2" t="s">
        <v>335</v>
      </c>
      <c r="D279" s="2" t="s">
        <v>37</v>
      </c>
      <c r="E279" s="2" t="s">
        <v>336</v>
      </c>
      <c r="F279" s="2" t="s">
        <v>41</v>
      </c>
      <c r="G279" s="2" t="s">
        <v>62</v>
      </c>
      <c r="H279" s="2" t="s">
        <v>338</v>
      </c>
      <c r="I279" s="8">
        <v>110.0</v>
      </c>
      <c r="J279" s="7">
        <v>1.0</v>
      </c>
      <c r="K279" s="7" t="s">
        <v>521</v>
      </c>
      <c r="L279" s="9" t="str">
        <f t="shared" si="57"/>
        <v>[PMPM=5]</v>
      </c>
    </row>
    <row r="280">
      <c r="A280" s="2" t="s">
        <v>339</v>
      </c>
      <c r="B280" s="2" t="str">
        <f t="shared" si="56"/>
        <v>1P16B83</v>
      </c>
      <c r="C280" s="2" t="s">
        <v>340</v>
      </c>
      <c r="D280" s="2" t="s">
        <v>37</v>
      </c>
      <c r="E280" s="2" t="s">
        <v>341</v>
      </c>
      <c r="F280" s="2" t="s">
        <v>41</v>
      </c>
      <c r="G280" s="2" t="s">
        <v>62</v>
      </c>
      <c r="H280" s="2" t="s">
        <v>57</v>
      </c>
      <c r="I280" s="8">
        <v>20.0</v>
      </c>
      <c r="J280" s="7">
        <v>1.0</v>
      </c>
      <c r="K280" s="7" t="s">
        <v>520</v>
      </c>
    </row>
    <row r="281">
      <c r="A281" s="2" t="s">
        <v>473</v>
      </c>
      <c r="B281" s="2" t="str">
        <f>concat(A281,8)</f>
        <v>59V3L38</v>
      </c>
      <c r="C281" s="2" t="s">
        <v>474</v>
      </c>
      <c r="D281" s="2" t="s">
        <v>475</v>
      </c>
      <c r="E281" s="2" t="s">
        <v>276</v>
      </c>
      <c r="F281" s="2" t="s">
        <v>41</v>
      </c>
      <c r="G281" s="2" t="s">
        <v>43</v>
      </c>
      <c r="H281" s="2" t="s">
        <v>34</v>
      </c>
      <c r="I281" s="8">
        <v>5.72</v>
      </c>
      <c r="J281" s="9">
        <f>I281*5</f>
        <v>28.6</v>
      </c>
      <c r="K281" s="7" t="s">
        <v>517</v>
      </c>
    </row>
    <row r="282">
      <c r="A282" s="2" t="s">
        <v>422</v>
      </c>
      <c r="B282" s="2" t="str">
        <f>concat(A282,"OVR")</f>
        <v>14Y3V2OVR</v>
      </c>
      <c r="C282" s="2" t="s">
        <v>423</v>
      </c>
      <c r="D282" s="2" t="s">
        <v>37</v>
      </c>
      <c r="E282" s="10" t="s">
        <v>518</v>
      </c>
      <c r="F282" s="2" t="s">
        <v>48</v>
      </c>
      <c r="G282" s="2" t="s">
        <v>49</v>
      </c>
      <c r="H282" s="2"/>
      <c r="I282" s="8">
        <v>3.0</v>
      </c>
      <c r="J282" s="11">
        <v>3.0</v>
      </c>
      <c r="K282" s="7" t="s">
        <v>519</v>
      </c>
      <c r="L282" s="7"/>
    </row>
    <row r="283">
      <c r="A283" s="2" t="s">
        <v>476</v>
      </c>
      <c r="B283" s="2" t="str">
        <f t="shared" ref="B283:B288" si="58">concat(A283,8)</f>
        <v>958B9J8</v>
      </c>
      <c r="C283" s="2" t="s">
        <v>477</v>
      </c>
      <c r="D283" s="2" t="s">
        <v>75</v>
      </c>
      <c r="E283" s="2" t="s">
        <v>276</v>
      </c>
      <c r="F283" s="2" t="s">
        <v>41</v>
      </c>
      <c r="G283" s="2" t="s">
        <v>43</v>
      </c>
      <c r="H283" s="2" t="s">
        <v>34</v>
      </c>
      <c r="I283" s="8">
        <v>6.0</v>
      </c>
      <c r="J283" s="9">
        <f t="shared" ref="J283:J288" si="59">I283*5</f>
        <v>30</v>
      </c>
      <c r="K283" s="7" t="s">
        <v>517</v>
      </c>
    </row>
    <row r="284">
      <c r="A284" s="2" t="s">
        <v>478</v>
      </c>
      <c r="B284" s="2" t="str">
        <f t="shared" si="58"/>
        <v>406B2T8</v>
      </c>
      <c r="C284" s="2" t="s">
        <v>479</v>
      </c>
      <c r="D284" s="2" t="s">
        <v>75</v>
      </c>
      <c r="E284" s="2" t="s">
        <v>276</v>
      </c>
      <c r="F284" s="2" t="s">
        <v>41</v>
      </c>
      <c r="G284" s="2" t="s">
        <v>43</v>
      </c>
      <c r="H284" s="2" t="s">
        <v>34</v>
      </c>
      <c r="I284" s="8">
        <v>6.2</v>
      </c>
      <c r="J284" s="9">
        <f t="shared" si="59"/>
        <v>31</v>
      </c>
      <c r="K284" s="7" t="s">
        <v>517</v>
      </c>
    </row>
    <row r="285">
      <c r="A285" s="2" t="s">
        <v>424</v>
      </c>
      <c r="B285" s="2" t="str">
        <f t="shared" si="58"/>
        <v>14WD618</v>
      </c>
      <c r="C285" s="2" t="s">
        <v>425</v>
      </c>
      <c r="D285" s="2" t="s">
        <v>75</v>
      </c>
      <c r="E285" s="2" t="s">
        <v>276</v>
      </c>
      <c r="F285" s="2" t="s">
        <v>41</v>
      </c>
      <c r="G285" s="2" t="s">
        <v>43</v>
      </c>
      <c r="H285" s="2" t="s">
        <v>34</v>
      </c>
      <c r="I285" s="8">
        <v>7.92</v>
      </c>
      <c r="J285" s="9">
        <f t="shared" si="59"/>
        <v>39.6</v>
      </c>
      <c r="K285" s="7" t="s">
        <v>517</v>
      </c>
    </row>
    <row r="286">
      <c r="A286" s="2" t="s">
        <v>424</v>
      </c>
      <c r="B286" s="2" t="str">
        <f t="shared" si="58"/>
        <v>14WD618</v>
      </c>
      <c r="C286" s="2" t="s">
        <v>425</v>
      </c>
      <c r="D286" s="2" t="s">
        <v>37</v>
      </c>
      <c r="E286" s="2" t="s">
        <v>276</v>
      </c>
      <c r="F286" s="2" t="s">
        <v>41</v>
      </c>
      <c r="G286" s="2" t="s">
        <v>43</v>
      </c>
      <c r="H286" s="2" t="s">
        <v>34</v>
      </c>
      <c r="I286" s="8">
        <v>7.92</v>
      </c>
      <c r="J286" s="9">
        <f t="shared" si="59"/>
        <v>39.6</v>
      </c>
      <c r="K286" s="7" t="s">
        <v>517</v>
      </c>
    </row>
    <row r="287">
      <c r="A287" s="2" t="s">
        <v>480</v>
      </c>
      <c r="B287" s="2" t="str">
        <f t="shared" si="58"/>
        <v>89X1G18</v>
      </c>
      <c r="C287" s="2" t="s">
        <v>481</v>
      </c>
      <c r="D287" s="2" t="s">
        <v>37</v>
      </c>
      <c r="E287" s="2" t="s">
        <v>276</v>
      </c>
      <c r="F287" s="2" t="s">
        <v>41</v>
      </c>
      <c r="G287" s="2" t="s">
        <v>43</v>
      </c>
      <c r="H287" s="2" t="s">
        <v>34</v>
      </c>
      <c r="I287" s="8">
        <v>13.32</v>
      </c>
      <c r="J287" s="9">
        <f t="shared" si="59"/>
        <v>66.6</v>
      </c>
      <c r="K287" s="7" t="s">
        <v>517</v>
      </c>
    </row>
    <row r="288">
      <c r="A288" s="2" t="s">
        <v>482</v>
      </c>
      <c r="B288" s="2" t="str">
        <f t="shared" si="58"/>
        <v>44T58X8</v>
      </c>
      <c r="C288" s="2" t="s">
        <v>483</v>
      </c>
      <c r="D288" s="2" t="s">
        <v>484</v>
      </c>
      <c r="E288" s="2" t="s">
        <v>276</v>
      </c>
      <c r="F288" s="2" t="s">
        <v>41</v>
      </c>
      <c r="G288" s="2" t="s">
        <v>43</v>
      </c>
      <c r="H288" s="2" t="s">
        <v>34</v>
      </c>
      <c r="I288" s="8">
        <v>14.65</v>
      </c>
      <c r="J288" s="9">
        <f t="shared" si="59"/>
        <v>73.25</v>
      </c>
      <c r="K288" s="7" t="s">
        <v>517</v>
      </c>
    </row>
    <row r="289">
      <c r="A289" s="2" t="s">
        <v>280</v>
      </c>
      <c r="B289" s="2" t="str">
        <f>concat(A289,"OVR")</f>
        <v>29Q59JOVR</v>
      </c>
      <c r="C289" s="2" t="s">
        <v>281</v>
      </c>
      <c r="D289" s="2" t="s">
        <v>37</v>
      </c>
      <c r="E289" s="10" t="s">
        <v>518</v>
      </c>
      <c r="F289" s="2" t="s">
        <v>48</v>
      </c>
      <c r="G289" s="2" t="s">
        <v>49</v>
      </c>
      <c r="H289" s="2"/>
      <c r="I289" s="8">
        <v>3.0</v>
      </c>
      <c r="J289" s="11">
        <v>3.0</v>
      </c>
      <c r="K289" s="7" t="s">
        <v>519</v>
      </c>
      <c r="L289" s="7"/>
    </row>
    <row r="290">
      <c r="A290" s="2" t="s">
        <v>350</v>
      </c>
      <c r="B290" s="2" t="str">
        <f t="shared" ref="B290:B291" si="60">concat(A290,3)</f>
        <v>41X70X3</v>
      </c>
      <c r="C290" s="2" t="s">
        <v>351</v>
      </c>
      <c r="D290" s="2" t="s">
        <v>37</v>
      </c>
      <c r="E290" s="2" t="s">
        <v>352</v>
      </c>
      <c r="F290" s="2" t="s">
        <v>41</v>
      </c>
      <c r="G290" s="2" t="s">
        <v>62</v>
      </c>
      <c r="H290" s="2" t="s">
        <v>57</v>
      </c>
      <c r="I290" s="8">
        <v>22.0</v>
      </c>
      <c r="J290" s="7">
        <v>1.0</v>
      </c>
      <c r="K290" s="7" t="s">
        <v>521</v>
      </c>
    </row>
    <row r="291">
      <c r="A291" s="2" t="s">
        <v>487</v>
      </c>
      <c r="B291" s="2" t="str">
        <f t="shared" si="60"/>
        <v>39X84A3</v>
      </c>
      <c r="C291" s="2" t="s">
        <v>488</v>
      </c>
      <c r="D291" s="2" t="s">
        <v>37</v>
      </c>
      <c r="E291" s="2" t="s">
        <v>352</v>
      </c>
      <c r="F291" s="2" t="s">
        <v>41</v>
      </c>
      <c r="G291" s="2" t="s">
        <v>62</v>
      </c>
      <c r="H291" s="2" t="s">
        <v>57</v>
      </c>
      <c r="I291" s="8">
        <v>27.0</v>
      </c>
      <c r="J291" s="7">
        <v>1.0</v>
      </c>
      <c r="K291" s="7" t="s">
        <v>522</v>
      </c>
    </row>
    <row r="292">
      <c r="A292" s="2" t="s">
        <v>86</v>
      </c>
      <c r="B292" s="2" t="str">
        <f>concat(A292,8)</f>
        <v>12R0N68</v>
      </c>
      <c r="C292" s="2" t="s">
        <v>87</v>
      </c>
      <c r="D292" s="2" t="s">
        <v>37</v>
      </c>
      <c r="E292" s="2" t="s">
        <v>39</v>
      </c>
      <c r="F292" s="2" t="s">
        <v>41</v>
      </c>
      <c r="G292" s="2" t="s">
        <v>43</v>
      </c>
      <c r="H292" s="2" t="s">
        <v>34</v>
      </c>
      <c r="I292" s="8">
        <v>2.47</v>
      </c>
      <c r="J292" s="9">
        <f>I292*5</f>
        <v>12.35</v>
      </c>
      <c r="K292" s="7" t="s">
        <v>517</v>
      </c>
    </row>
    <row r="293">
      <c r="A293" s="2" t="s">
        <v>443</v>
      </c>
      <c r="B293" s="2" t="str">
        <f t="shared" ref="B293:B294" si="61">concat(A293,3)</f>
        <v>5G360J3</v>
      </c>
      <c r="C293" s="2" t="s">
        <v>444</v>
      </c>
      <c r="D293" s="2" t="s">
        <v>37</v>
      </c>
      <c r="E293" s="2" t="s">
        <v>39</v>
      </c>
      <c r="F293" s="2" t="s">
        <v>41</v>
      </c>
      <c r="G293" s="2" t="s">
        <v>62</v>
      </c>
      <c r="H293" s="2" t="s">
        <v>116</v>
      </c>
      <c r="I293" s="8">
        <v>60.0</v>
      </c>
      <c r="J293" s="7">
        <v>1.0</v>
      </c>
      <c r="K293" s="7" t="s">
        <v>520</v>
      </c>
      <c r="L293" s="9" t="str">
        <f>IF(H293&gt;1,"[PMPM="&amp;H293&amp;"]","")</f>
        <v>[PMPM=3]</v>
      </c>
    </row>
    <row r="294">
      <c r="A294" s="2" t="s">
        <v>489</v>
      </c>
      <c r="B294" s="2" t="str">
        <f t="shared" si="61"/>
        <v>0V48L13</v>
      </c>
      <c r="C294" s="2" t="s">
        <v>490</v>
      </c>
      <c r="D294" s="2" t="s">
        <v>37</v>
      </c>
      <c r="E294" s="2" t="s">
        <v>39</v>
      </c>
      <c r="F294" s="2" t="s">
        <v>41</v>
      </c>
      <c r="G294" s="2" t="s">
        <v>62</v>
      </c>
      <c r="H294" s="2" t="s">
        <v>57</v>
      </c>
      <c r="I294" s="8">
        <v>20.0</v>
      </c>
      <c r="J294" s="7">
        <v>1.0</v>
      </c>
      <c r="K294" s="7" t="s">
        <v>520</v>
      </c>
    </row>
    <row r="295">
      <c r="A295" s="2" t="s">
        <v>467</v>
      </c>
      <c r="B295" s="2" t="str">
        <f>concat(A295,"OVR")</f>
        <v>0JH676OVR</v>
      </c>
      <c r="C295" s="2" t="s">
        <v>468</v>
      </c>
      <c r="D295" s="2" t="s">
        <v>37</v>
      </c>
      <c r="E295" s="10" t="s">
        <v>518</v>
      </c>
      <c r="F295" s="2" t="s">
        <v>48</v>
      </c>
      <c r="G295" s="2" t="s">
        <v>49</v>
      </c>
      <c r="H295" s="2"/>
      <c r="I295" s="8">
        <v>12.0</v>
      </c>
      <c r="J295" s="11">
        <v>12.0</v>
      </c>
      <c r="K295" s="7" t="s">
        <v>519</v>
      </c>
      <c r="L295" s="7"/>
    </row>
    <row r="296">
      <c r="A296" s="2" t="s">
        <v>491</v>
      </c>
      <c r="B296" s="2" t="str">
        <f t="shared" ref="B296:B301" si="62">concat(A296,3)</f>
        <v>84N5H43</v>
      </c>
      <c r="C296" s="2" t="s">
        <v>492</v>
      </c>
      <c r="D296" s="2" t="s">
        <v>37</v>
      </c>
      <c r="E296" s="2" t="s">
        <v>39</v>
      </c>
      <c r="F296" s="2" t="s">
        <v>41</v>
      </c>
      <c r="G296" s="2" t="s">
        <v>62</v>
      </c>
      <c r="H296" s="2" t="s">
        <v>57</v>
      </c>
      <c r="I296" s="8">
        <v>20.0</v>
      </c>
      <c r="J296" s="7">
        <v>1.0</v>
      </c>
      <c r="K296" s="7" t="s">
        <v>520</v>
      </c>
    </row>
    <row r="297">
      <c r="A297" s="2" t="s">
        <v>203</v>
      </c>
      <c r="B297" s="2" t="str">
        <f t="shared" si="62"/>
        <v>105AB53</v>
      </c>
      <c r="C297" s="2" t="s">
        <v>204</v>
      </c>
      <c r="D297" s="2" t="s">
        <v>37</v>
      </c>
      <c r="E297" s="2" t="s">
        <v>39</v>
      </c>
      <c r="F297" s="2" t="s">
        <v>41</v>
      </c>
      <c r="G297" s="2" t="s">
        <v>62</v>
      </c>
      <c r="H297" s="2" t="s">
        <v>51</v>
      </c>
      <c r="I297" s="8">
        <v>40.0</v>
      </c>
      <c r="J297" s="7">
        <v>1.0</v>
      </c>
      <c r="K297" s="7" t="s">
        <v>520</v>
      </c>
      <c r="L297" s="9" t="str">
        <f>IF(H297&gt;1,"[PMPM="&amp;H297&amp;"]","")</f>
        <v>[PMPM=2]</v>
      </c>
    </row>
    <row r="298">
      <c r="A298" s="2" t="s">
        <v>493</v>
      </c>
      <c r="B298" s="2" t="str">
        <f t="shared" si="62"/>
        <v>3E627V3</v>
      </c>
      <c r="C298" s="2" t="s">
        <v>494</v>
      </c>
      <c r="D298" s="2" t="s">
        <v>37</v>
      </c>
      <c r="E298" s="2" t="s">
        <v>39</v>
      </c>
      <c r="F298" s="2" t="s">
        <v>41</v>
      </c>
      <c r="G298" s="2" t="s">
        <v>62</v>
      </c>
      <c r="H298" s="2" t="s">
        <v>57</v>
      </c>
      <c r="I298" s="8">
        <v>20.0</v>
      </c>
      <c r="J298" s="7">
        <v>1.0</v>
      </c>
      <c r="K298" s="7" t="s">
        <v>520</v>
      </c>
    </row>
    <row r="299">
      <c r="A299" s="2" t="s">
        <v>495</v>
      </c>
      <c r="B299" s="2" t="str">
        <f t="shared" si="62"/>
        <v>U6624Q3</v>
      </c>
      <c r="C299" s="2" t="s">
        <v>496</v>
      </c>
      <c r="D299" s="2" t="s">
        <v>37</v>
      </c>
      <c r="E299" s="2" t="s">
        <v>39</v>
      </c>
      <c r="F299" s="2" t="s">
        <v>41</v>
      </c>
      <c r="G299" s="2" t="s">
        <v>62</v>
      </c>
      <c r="H299" s="2" t="s">
        <v>57</v>
      </c>
      <c r="I299" s="8">
        <v>20.0</v>
      </c>
      <c r="J299" s="7">
        <v>1.0</v>
      </c>
      <c r="K299" s="7" t="s">
        <v>520</v>
      </c>
    </row>
    <row r="300">
      <c r="A300" s="2" t="s">
        <v>320</v>
      </c>
      <c r="B300" s="2" t="str">
        <f t="shared" si="62"/>
        <v>L7Q5083</v>
      </c>
      <c r="C300" s="2" t="s">
        <v>321</v>
      </c>
      <c r="D300" s="2" t="s">
        <v>74</v>
      </c>
      <c r="E300" s="2" t="s">
        <v>39</v>
      </c>
      <c r="F300" s="2" t="s">
        <v>41</v>
      </c>
      <c r="G300" s="2" t="s">
        <v>62</v>
      </c>
      <c r="H300" s="2" t="s">
        <v>116</v>
      </c>
      <c r="I300" s="8">
        <v>60.0</v>
      </c>
      <c r="J300" s="7">
        <v>1.0</v>
      </c>
      <c r="K300" s="7" t="s">
        <v>520</v>
      </c>
      <c r="L300" s="9" t="str">
        <f>IF(H300&gt;1,"[PMPM="&amp;H300&amp;"]","")</f>
        <v>[PMPM=3]</v>
      </c>
    </row>
    <row r="301">
      <c r="A301" s="2" t="s">
        <v>82</v>
      </c>
      <c r="B301" s="2" t="str">
        <f t="shared" si="62"/>
        <v>97PH883</v>
      </c>
      <c r="C301" s="2" t="s">
        <v>83</v>
      </c>
      <c r="D301" s="2" t="s">
        <v>74</v>
      </c>
      <c r="E301" s="2" t="s">
        <v>39</v>
      </c>
      <c r="F301" s="2" t="s">
        <v>41</v>
      </c>
      <c r="G301" s="2" t="s">
        <v>62</v>
      </c>
      <c r="H301" s="2" t="s">
        <v>57</v>
      </c>
      <c r="I301" s="8">
        <v>20.0</v>
      </c>
      <c r="J301" s="7">
        <v>1.0</v>
      </c>
      <c r="K301" s="7" t="s">
        <v>520</v>
      </c>
    </row>
    <row r="302">
      <c r="A302" s="2" t="s">
        <v>418</v>
      </c>
      <c r="B302" s="2" t="str">
        <f>concat(A302,"OVR")</f>
        <v>14F2K5OVR</v>
      </c>
      <c r="C302" s="2" t="s">
        <v>419</v>
      </c>
      <c r="D302" s="2" t="s">
        <v>37</v>
      </c>
      <c r="E302" s="10" t="s">
        <v>518</v>
      </c>
      <c r="F302" s="2" t="s">
        <v>48</v>
      </c>
      <c r="G302" s="2" t="s">
        <v>49</v>
      </c>
      <c r="H302" s="2"/>
      <c r="I302" s="8">
        <v>3.0</v>
      </c>
      <c r="J302" s="11">
        <v>3.0</v>
      </c>
      <c r="K302" s="7" t="s">
        <v>519</v>
      </c>
      <c r="L302" s="7"/>
    </row>
    <row r="303">
      <c r="A303" s="2" t="s">
        <v>497</v>
      </c>
      <c r="B303" s="2" t="str">
        <f>concat(A303,8)</f>
        <v>420BH08</v>
      </c>
      <c r="C303" s="2" t="s">
        <v>498</v>
      </c>
      <c r="D303" s="2" t="s">
        <v>74</v>
      </c>
      <c r="E303" s="2" t="s">
        <v>276</v>
      </c>
      <c r="F303" s="2" t="s">
        <v>41</v>
      </c>
      <c r="G303" s="2" t="s">
        <v>43</v>
      </c>
      <c r="H303" s="2" t="s">
        <v>34</v>
      </c>
      <c r="I303" s="8">
        <v>7.2</v>
      </c>
      <c r="J303" s="9">
        <f>I303*5</f>
        <v>36</v>
      </c>
      <c r="K303" s="7" t="s">
        <v>517</v>
      </c>
    </row>
    <row r="304">
      <c r="A304" s="2" t="s">
        <v>487</v>
      </c>
      <c r="B304" s="2" t="str">
        <f>concat(A304,"OVR")</f>
        <v>39X84AOVR</v>
      </c>
      <c r="C304" s="2" t="s">
        <v>488</v>
      </c>
      <c r="D304" s="2" t="s">
        <v>37</v>
      </c>
      <c r="E304" s="10" t="s">
        <v>518</v>
      </c>
      <c r="F304" s="2" t="s">
        <v>48</v>
      </c>
      <c r="G304" s="2" t="s">
        <v>49</v>
      </c>
      <c r="H304" s="2"/>
      <c r="I304" s="8">
        <v>3.0</v>
      </c>
      <c r="J304" s="11">
        <v>3.0</v>
      </c>
      <c r="K304" s="7" t="s">
        <v>519</v>
      </c>
      <c r="L304" s="7"/>
    </row>
    <row r="305">
      <c r="A305" s="2" t="s">
        <v>354</v>
      </c>
      <c r="B305" s="2" t="str">
        <f t="shared" ref="B305:B306" si="63">concat(A305,3)</f>
        <v>86Y5G73</v>
      </c>
      <c r="C305" s="2" t="s">
        <v>355</v>
      </c>
      <c r="D305" s="2" t="s">
        <v>37</v>
      </c>
      <c r="E305" s="2" t="s">
        <v>352</v>
      </c>
      <c r="F305" s="2" t="s">
        <v>41</v>
      </c>
      <c r="G305" s="2" t="s">
        <v>62</v>
      </c>
      <c r="H305" s="2" t="s">
        <v>51</v>
      </c>
      <c r="I305" s="8">
        <v>44.0</v>
      </c>
      <c r="J305" s="7">
        <v>1.0</v>
      </c>
      <c r="K305" s="7" t="s">
        <v>521</v>
      </c>
      <c r="L305" s="9" t="str">
        <f>IF(H305&gt;1,"[PMPM="&amp;H305&amp;"]","")</f>
        <v>[PMPM=2]</v>
      </c>
    </row>
    <row r="306">
      <c r="A306" s="2" t="s">
        <v>284</v>
      </c>
      <c r="B306" s="2" t="str">
        <f t="shared" si="63"/>
        <v>51YQ033</v>
      </c>
      <c r="C306" s="2" t="s">
        <v>285</v>
      </c>
      <c r="D306" s="2" t="s">
        <v>37</v>
      </c>
      <c r="E306" s="2" t="s">
        <v>286</v>
      </c>
      <c r="F306" s="2" t="s">
        <v>41</v>
      </c>
      <c r="G306" s="2" t="s">
        <v>62</v>
      </c>
      <c r="H306" s="2" t="s">
        <v>57</v>
      </c>
      <c r="I306" s="8">
        <v>22.0</v>
      </c>
      <c r="J306" s="7">
        <v>1.0</v>
      </c>
      <c r="K306" s="7" t="s">
        <v>521</v>
      </c>
    </row>
    <row r="307">
      <c r="A307" s="2" t="s">
        <v>435</v>
      </c>
      <c r="B307" s="2" t="str">
        <f t="shared" ref="B307:B308" si="64">concat(A307,"OVR")</f>
        <v>70Y09DOVR</v>
      </c>
      <c r="C307" s="2" t="s">
        <v>436</v>
      </c>
      <c r="D307" s="2" t="s">
        <v>37</v>
      </c>
      <c r="E307" s="10" t="s">
        <v>518</v>
      </c>
      <c r="F307" s="2" t="s">
        <v>48</v>
      </c>
      <c r="G307" s="2" t="s">
        <v>49</v>
      </c>
      <c r="H307" s="2"/>
      <c r="I307" s="8">
        <v>3.0</v>
      </c>
      <c r="J307" s="11">
        <v>3.0</v>
      </c>
      <c r="K307" s="7" t="s">
        <v>519</v>
      </c>
      <c r="L307" s="7"/>
    </row>
    <row r="308">
      <c r="A308" s="2" t="s">
        <v>68</v>
      </c>
      <c r="B308" s="2" t="str">
        <f t="shared" si="64"/>
        <v>59V97AOVR</v>
      </c>
      <c r="C308" s="2" t="s">
        <v>69</v>
      </c>
      <c r="D308" s="2" t="s">
        <v>37</v>
      </c>
      <c r="E308" s="10" t="s">
        <v>518</v>
      </c>
      <c r="F308" s="2" t="s">
        <v>48</v>
      </c>
      <c r="G308" s="2" t="s">
        <v>49</v>
      </c>
      <c r="H308" s="2"/>
      <c r="I308" s="8">
        <v>6.0</v>
      </c>
      <c r="J308" s="11">
        <v>6.0</v>
      </c>
      <c r="K308" s="7" t="s">
        <v>519</v>
      </c>
      <c r="L308" s="7"/>
    </row>
    <row r="309">
      <c r="A309" s="2" t="s">
        <v>366</v>
      </c>
      <c r="B309" s="2" t="str">
        <f t="shared" ref="B309:B311" si="65">concat(A309,3)</f>
        <v>49CL663</v>
      </c>
      <c r="C309" s="2" t="s">
        <v>367</v>
      </c>
      <c r="D309" s="2" t="s">
        <v>37</v>
      </c>
      <c r="E309" s="2" t="s">
        <v>70</v>
      </c>
      <c r="F309" s="2" t="s">
        <v>41</v>
      </c>
      <c r="G309" s="2" t="s">
        <v>62</v>
      </c>
      <c r="H309" s="2" t="s">
        <v>57</v>
      </c>
      <c r="I309" s="8">
        <v>22.0</v>
      </c>
      <c r="J309" s="7">
        <v>1.0</v>
      </c>
      <c r="K309" s="7" t="s">
        <v>521</v>
      </c>
    </row>
    <row r="310">
      <c r="A310" s="2" t="s">
        <v>72</v>
      </c>
      <c r="B310" s="2" t="str">
        <f t="shared" si="65"/>
        <v>07Y45V3</v>
      </c>
      <c r="C310" s="2" t="s">
        <v>73</v>
      </c>
      <c r="D310" s="2" t="s">
        <v>75</v>
      </c>
      <c r="E310" s="2" t="s">
        <v>70</v>
      </c>
      <c r="F310" s="2" t="s">
        <v>41</v>
      </c>
      <c r="G310" s="2" t="s">
        <v>62</v>
      </c>
      <c r="H310" s="2" t="s">
        <v>51</v>
      </c>
      <c r="I310" s="8">
        <v>44.0</v>
      </c>
      <c r="J310" s="7">
        <v>1.0</v>
      </c>
      <c r="K310" s="7" t="s">
        <v>521</v>
      </c>
      <c r="L310" s="9" t="str">
        <f>IF(H310&gt;1,"[PMPM="&amp;H310&amp;"]","")</f>
        <v>[PMPM=2]</v>
      </c>
    </row>
    <row r="311">
      <c r="A311" s="2" t="s">
        <v>368</v>
      </c>
      <c r="B311" s="2" t="str">
        <f t="shared" si="65"/>
        <v>59V96A3</v>
      </c>
      <c r="C311" s="2" t="s">
        <v>369</v>
      </c>
      <c r="D311" s="2" t="s">
        <v>37</v>
      </c>
      <c r="E311" s="2" t="s">
        <v>70</v>
      </c>
      <c r="F311" s="2" t="s">
        <v>41</v>
      </c>
      <c r="G311" s="2" t="s">
        <v>62</v>
      </c>
      <c r="H311" s="2" t="s">
        <v>57</v>
      </c>
      <c r="I311" s="8">
        <v>22.0</v>
      </c>
      <c r="J311" s="7">
        <v>1.0</v>
      </c>
      <c r="K311" s="7" t="s">
        <v>521</v>
      </c>
    </row>
    <row r="312">
      <c r="A312" s="2" t="s">
        <v>137</v>
      </c>
      <c r="B312" s="2" t="str">
        <f>concat(A312,"OVR")</f>
        <v>5V116TOVR</v>
      </c>
      <c r="C312" s="2" t="s">
        <v>138</v>
      </c>
      <c r="D312" s="2" t="s">
        <v>37</v>
      </c>
      <c r="E312" s="10" t="s">
        <v>518</v>
      </c>
      <c r="F312" s="2" t="s">
        <v>48</v>
      </c>
      <c r="G312" s="2" t="s">
        <v>49</v>
      </c>
      <c r="H312" s="2"/>
      <c r="I312" s="8">
        <v>3.0</v>
      </c>
      <c r="J312" s="11">
        <v>3.0</v>
      </c>
      <c r="K312" s="7" t="s">
        <v>519</v>
      </c>
      <c r="L312" s="7"/>
    </row>
    <row r="313">
      <c r="A313" s="2" t="s">
        <v>112</v>
      </c>
      <c r="B313" s="2" t="str">
        <f>concat(A313,3)</f>
        <v>03V96C3</v>
      </c>
      <c r="C313" s="2" t="s">
        <v>113</v>
      </c>
      <c r="D313" s="2" t="s">
        <v>37</v>
      </c>
      <c r="E313" s="2" t="s">
        <v>110</v>
      </c>
      <c r="F313" s="2" t="s">
        <v>41</v>
      </c>
      <c r="G313" s="2" t="s">
        <v>62</v>
      </c>
      <c r="H313" s="2" t="s">
        <v>57</v>
      </c>
      <c r="I313" s="8">
        <v>22.0</v>
      </c>
      <c r="J313" s="7">
        <v>1.0</v>
      </c>
      <c r="K313" s="7" t="s">
        <v>521</v>
      </c>
    </row>
    <row r="314">
      <c r="A314" s="2" t="s">
        <v>119</v>
      </c>
      <c r="B314" s="2" t="str">
        <f t="shared" ref="B314:B315" si="66">concat(A314,"OVR")</f>
        <v>75G3U9OVR</v>
      </c>
      <c r="C314" s="2" t="s">
        <v>120</v>
      </c>
      <c r="D314" s="2" t="s">
        <v>37</v>
      </c>
      <c r="E314" s="10" t="s">
        <v>518</v>
      </c>
      <c r="F314" s="2" t="s">
        <v>48</v>
      </c>
      <c r="G314" s="2" t="s">
        <v>49</v>
      </c>
      <c r="H314" s="2"/>
      <c r="I314" s="8">
        <v>3.0</v>
      </c>
      <c r="J314" s="11">
        <v>3.0</v>
      </c>
      <c r="K314" s="7" t="s">
        <v>519</v>
      </c>
      <c r="L314" s="7"/>
    </row>
    <row r="315">
      <c r="A315" s="2" t="s">
        <v>306</v>
      </c>
      <c r="B315" s="2" t="str">
        <f t="shared" si="66"/>
        <v>3YB559OVR</v>
      </c>
      <c r="C315" s="2" t="s">
        <v>307</v>
      </c>
      <c r="D315" s="2" t="s">
        <v>37</v>
      </c>
      <c r="E315" s="10" t="s">
        <v>518</v>
      </c>
      <c r="F315" s="2" t="s">
        <v>48</v>
      </c>
      <c r="G315" s="2" t="s">
        <v>49</v>
      </c>
      <c r="H315" s="2"/>
      <c r="I315" s="8">
        <v>3.0</v>
      </c>
      <c r="J315" s="11">
        <v>3.0</v>
      </c>
      <c r="K315" s="7" t="s">
        <v>519</v>
      </c>
      <c r="L315" s="7"/>
    </row>
    <row r="316">
      <c r="A316" s="2" t="s">
        <v>372</v>
      </c>
      <c r="B316" s="2" t="str">
        <f t="shared" ref="B316:B317" si="67">concat(A316,3)</f>
        <v>6V73F03</v>
      </c>
      <c r="C316" s="2" t="s">
        <v>373</v>
      </c>
      <c r="D316" s="2" t="s">
        <v>37</v>
      </c>
      <c r="E316" s="2" t="s">
        <v>374</v>
      </c>
      <c r="F316" s="2" t="s">
        <v>41</v>
      </c>
      <c r="G316" s="2" t="s">
        <v>62</v>
      </c>
      <c r="H316" s="2" t="s">
        <v>65</v>
      </c>
      <c r="I316" s="8">
        <v>88.0</v>
      </c>
      <c r="J316" s="7">
        <v>1.0</v>
      </c>
      <c r="K316" s="7" t="s">
        <v>521</v>
      </c>
      <c r="L316" s="9" t="str">
        <f>IF(H316&gt;1,"[PMPM="&amp;H316&amp;"]","")</f>
        <v>[PMPM=4]</v>
      </c>
    </row>
    <row r="317">
      <c r="A317" s="2" t="s">
        <v>155</v>
      </c>
      <c r="B317" s="2" t="str">
        <f t="shared" si="67"/>
        <v>36MP383</v>
      </c>
      <c r="C317" s="2" t="s">
        <v>156</v>
      </c>
      <c r="D317" s="2" t="s">
        <v>37</v>
      </c>
      <c r="E317" s="2" t="s">
        <v>55</v>
      </c>
      <c r="F317" s="2" t="s">
        <v>41</v>
      </c>
      <c r="G317" s="2" t="s">
        <v>62</v>
      </c>
      <c r="H317" s="2" t="s">
        <v>57</v>
      </c>
      <c r="I317" s="8">
        <v>20.0</v>
      </c>
      <c r="J317" s="7">
        <v>1.0</v>
      </c>
      <c r="K317" s="7" t="s">
        <v>520</v>
      </c>
    </row>
    <row r="318">
      <c r="A318" s="2" t="s">
        <v>233</v>
      </c>
      <c r="B318" s="2" t="str">
        <f t="shared" ref="B318:B319" si="68">concat(A318,"OVR")</f>
        <v>4V324DOVR</v>
      </c>
      <c r="C318" s="2" t="s">
        <v>234</v>
      </c>
      <c r="D318" s="2" t="s">
        <v>37</v>
      </c>
      <c r="E318" s="10" t="s">
        <v>518</v>
      </c>
      <c r="F318" s="2" t="s">
        <v>48</v>
      </c>
      <c r="G318" s="2" t="s">
        <v>49</v>
      </c>
      <c r="H318" s="2"/>
      <c r="I318" s="8">
        <v>12.0</v>
      </c>
      <c r="J318" s="11">
        <v>12.0</v>
      </c>
      <c r="K318" s="7" t="s">
        <v>519</v>
      </c>
      <c r="L318" s="7"/>
    </row>
    <row r="319">
      <c r="A319" s="2" t="s">
        <v>386</v>
      </c>
      <c r="B319" s="2" t="str">
        <f t="shared" si="68"/>
        <v>116AB9OVR</v>
      </c>
      <c r="C319" s="2" t="s">
        <v>387</v>
      </c>
      <c r="D319" s="2" t="s">
        <v>74</v>
      </c>
      <c r="E319" s="10" t="s">
        <v>518</v>
      </c>
      <c r="F319" s="2" t="s">
        <v>48</v>
      </c>
      <c r="G319" s="2" t="s">
        <v>49</v>
      </c>
      <c r="H319" s="2"/>
      <c r="I319" s="8">
        <v>3.0</v>
      </c>
      <c r="J319" s="11">
        <v>3.0</v>
      </c>
      <c r="K319" s="7" t="s">
        <v>519</v>
      </c>
      <c r="L319" s="7"/>
    </row>
    <row r="320">
      <c r="A320" s="2" t="s">
        <v>52</v>
      </c>
      <c r="B320" s="2" t="str">
        <f>concat(A320,3)</f>
        <v>52N5M13</v>
      </c>
      <c r="C320" s="2" t="s">
        <v>53</v>
      </c>
      <c r="D320" s="2" t="s">
        <v>54</v>
      </c>
      <c r="E320" s="2" t="s">
        <v>55</v>
      </c>
      <c r="F320" s="2" t="s">
        <v>41</v>
      </c>
      <c r="G320" s="2" t="s">
        <v>62</v>
      </c>
      <c r="H320" s="2" t="s">
        <v>57</v>
      </c>
      <c r="I320" s="8">
        <v>20.0</v>
      </c>
      <c r="J320" s="7">
        <v>1.0</v>
      </c>
      <c r="K320" s="7" t="s">
        <v>520</v>
      </c>
    </row>
    <row r="321">
      <c r="A321" s="2" t="s">
        <v>290</v>
      </c>
      <c r="B321" s="2" t="str">
        <f t="shared" ref="B321:B322" si="69">concat(A321,"OVR")</f>
        <v>86XG36OVR</v>
      </c>
      <c r="C321" s="2" t="s">
        <v>291</v>
      </c>
      <c r="D321" s="2" t="s">
        <v>37</v>
      </c>
      <c r="E321" s="10" t="s">
        <v>518</v>
      </c>
      <c r="F321" s="2" t="s">
        <v>48</v>
      </c>
      <c r="G321" s="2" t="s">
        <v>49</v>
      </c>
      <c r="H321" s="2"/>
      <c r="I321" s="8">
        <v>3.0</v>
      </c>
      <c r="J321" s="11">
        <v>3.0</v>
      </c>
      <c r="K321" s="7" t="s">
        <v>519</v>
      </c>
      <c r="L321" s="7"/>
    </row>
    <row r="322">
      <c r="A322" s="2" t="s">
        <v>503</v>
      </c>
      <c r="B322" s="2" t="str">
        <f t="shared" si="69"/>
        <v>952A5XOVR</v>
      </c>
      <c r="C322" s="2" t="s">
        <v>504</v>
      </c>
      <c r="D322" s="2" t="s">
        <v>74</v>
      </c>
      <c r="E322" s="10" t="s">
        <v>518</v>
      </c>
      <c r="F322" s="2" t="s">
        <v>48</v>
      </c>
      <c r="G322" s="2" t="s">
        <v>49</v>
      </c>
      <c r="H322" s="2"/>
      <c r="I322" s="8">
        <v>3.0</v>
      </c>
      <c r="J322" s="11">
        <v>3.0</v>
      </c>
      <c r="K322" s="7" t="s">
        <v>519</v>
      </c>
      <c r="L322" s="7"/>
    </row>
    <row r="323">
      <c r="A323" s="2" t="s">
        <v>505</v>
      </c>
      <c r="B323" s="2" t="str">
        <f>concat(A323,8)</f>
        <v>625B8R8</v>
      </c>
      <c r="C323" s="2" t="s">
        <v>506</v>
      </c>
      <c r="D323" s="2" t="s">
        <v>75</v>
      </c>
      <c r="E323" s="2" t="s">
        <v>133</v>
      </c>
      <c r="F323" s="2" t="s">
        <v>41</v>
      </c>
      <c r="G323" s="2" t="s">
        <v>43</v>
      </c>
      <c r="H323" s="2" t="s">
        <v>34</v>
      </c>
      <c r="I323" s="8">
        <v>8.65</v>
      </c>
      <c r="J323" s="9">
        <f>I323*5</f>
        <v>43.25</v>
      </c>
      <c r="K323" s="7" t="s">
        <v>517</v>
      </c>
    </row>
    <row r="324">
      <c r="A324" s="2" t="s">
        <v>507</v>
      </c>
      <c r="B324" s="2" t="str">
        <f>concat(A324,"OVR")</f>
        <v>55YM68OVR</v>
      </c>
      <c r="C324" s="2" t="s">
        <v>508</v>
      </c>
      <c r="D324" s="2" t="s">
        <v>37</v>
      </c>
      <c r="E324" s="10" t="s">
        <v>518</v>
      </c>
      <c r="F324" s="2" t="s">
        <v>48</v>
      </c>
      <c r="G324" s="2" t="s">
        <v>49</v>
      </c>
      <c r="H324" s="2"/>
      <c r="I324" s="8">
        <v>6.0</v>
      </c>
      <c r="J324" s="11">
        <v>6.0</v>
      </c>
      <c r="K324" s="7" t="s">
        <v>519</v>
      </c>
      <c r="L324" s="7"/>
    </row>
    <row r="325">
      <c r="A325" s="2" t="s">
        <v>356</v>
      </c>
      <c r="B325" s="2" t="str">
        <f t="shared" ref="B325:B329" si="70">concat(A325,3)</f>
        <v>05Y7V13</v>
      </c>
      <c r="C325" s="2" t="s">
        <v>357</v>
      </c>
      <c r="D325" s="2" t="s">
        <v>37</v>
      </c>
      <c r="E325" s="2" t="s">
        <v>133</v>
      </c>
      <c r="F325" s="2" t="s">
        <v>41</v>
      </c>
      <c r="G325" s="2" t="s">
        <v>62</v>
      </c>
      <c r="H325" s="2" t="s">
        <v>57</v>
      </c>
      <c r="I325" s="8">
        <v>20.0</v>
      </c>
      <c r="J325" s="7">
        <v>1.0</v>
      </c>
      <c r="K325" s="7" t="s">
        <v>520</v>
      </c>
    </row>
    <row r="326">
      <c r="A326" s="2" t="s">
        <v>294</v>
      </c>
      <c r="B326" s="2" t="str">
        <f t="shared" si="70"/>
        <v>71Y12D3</v>
      </c>
      <c r="C326" s="2" t="s">
        <v>295</v>
      </c>
      <c r="D326" s="2" t="s">
        <v>37</v>
      </c>
      <c r="E326" s="2" t="s">
        <v>133</v>
      </c>
      <c r="F326" s="2" t="s">
        <v>41</v>
      </c>
      <c r="G326" s="2" t="s">
        <v>62</v>
      </c>
      <c r="H326" s="2" t="s">
        <v>57</v>
      </c>
      <c r="I326" s="8">
        <v>20.0</v>
      </c>
      <c r="J326" s="7">
        <v>1.0</v>
      </c>
      <c r="K326" s="7" t="s">
        <v>520</v>
      </c>
    </row>
    <row r="327">
      <c r="A327" s="2" t="s">
        <v>503</v>
      </c>
      <c r="B327" s="2" t="str">
        <f t="shared" si="70"/>
        <v>952A5X3</v>
      </c>
      <c r="C327" s="2" t="s">
        <v>504</v>
      </c>
      <c r="D327" s="2" t="s">
        <v>74</v>
      </c>
      <c r="E327" s="2" t="s">
        <v>133</v>
      </c>
      <c r="F327" s="2" t="s">
        <v>41</v>
      </c>
      <c r="G327" s="2" t="s">
        <v>62</v>
      </c>
      <c r="H327" s="2" t="s">
        <v>57</v>
      </c>
      <c r="I327" s="8">
        <v>20.0</v>
      </c>
      <c r="J327" s="7">
        <v>1.0</v>
      </c>
      <c r="K327" s="7" t="s">
        <v>520</v>
      </c>
    </row>
    <row r="328">
      <c r="A328" s="2" t="s">
        <v>507</v>
      </c>
      <c r="B328" s="2" t="str">
        <f t="shared" si="70"/>
        <v>55YM683</v>
      </c>
      <c r="C328" s="2" t="s">
        <v>508</v>
      </c>
      <c r="D328" s="2" t="s">
        <v>37</v>
      </c>
      <c r="E328" s="2" t="s">
        <v>133</v>
      </c>
      <c r="F328" s="2" t="s">
        <v>41</v>
      </c>
      <c r="G328" s="2" t="s">
        <v>62</v>
      </c>
      <c r="H328" s="2" t="s">
        <v>51</v>
      </c>
      <c r="I328" s="8">
        <v>40.0</v>
      </c>
      <c r="J328" s="7">
        <v>1.0</v>
      </c>
      <c r="K328" s="7" t="s">
        <v>520</v>
      </c>
      <c r="L328" s="9" t="str">
        <f>IF(H328&gt;1,"[PMPM="&amp;H328&amp;"]","")</f>
        <v>[PMPM=2]</v>
      </c>
    </row>
    <row r="329">
      <c r="A329" s="2" t="s">
        <v>509</v>
      </c>
      <c r="B329" s="2" t="str">
        <f t="shared" si="70"/>
        <v>539BC83</v>
      </c>
      <c r="C329" s="2" t="s">
        <v>510</v>
      </c>
      <c r="D329" s="2" t="s">
        <v>37</v>
      </c>
      <c r="E329" s="2" t="s">
        <v>39</v>
      </c>
      <c r="F329" s="2" t="s">
        <v>41</v>
      </c>
      <c r="G329" s="2" t="s">
        <v>62</v>
      </c>
      <c r="H329" s="2" t="s">
        <v>57</v>
      </c>
      <c r="I329" s="8">
        <v>-20.0</v>
      </c>
      <c r="J329" s="7">
        <v>-1.0</v>
      </c>
      <c r="K329" s="7" t="s">
        <v>520</v>
      </c>
    </row>
    <row r="330">
      <c r="A330" s="2" t="s">
        <v>324</v>
      </c>
      <c r="B330" s="2" t="str">
        <f t="shared" ref="B330:B331" si="71">concat(A330,"OVR")</f>
        <v>66U1D8OVR</v>
      </c>
      <c r="C330" s="2" t="s">
        <v>325</v>
      </c>
      <c r="D330" s="2" t="s">
        <v>37</v>
      </c>
      <c r="E330" s="10" t="s">
        <v>518</v>
      </c>
      <c r="F330" s="2" t="s">
        <v>48</v>
      </c>
      <c r="G330" s="2" t="s">
        <v>49</v>
      </c>
      <c r="H330" s="2"/>
      <c r="I330" s="8">
        <v>-3.0</v>
      </c>
      <c r="J330" s="11">
        <v>-3.0</v>
      </c>
      <c r="K330" s="7" t="s">
        <v>519</v>
      </c>
      <c r="L330" s="7"/>
    </row>
    <row r="331">
      <c r="A331" s="2" t="s">
        <v>509</v>
      </c>
      <c r="B331" s="2" t="str">
        <f t="shared" si="71"/>
        <v>539BC8OVR</v>
      </c>
      <c r="C331" s="2" t="s">
        <v>510</v>
      </c>
      <c r="D331" s="2" t="s">
        <v>37</v>
      </c>
      <c r="E331" s="10" t="s">
        <v>518</v>
      </c>
      <c r="F331" s="2" t="s">
        <v>48</v>
      </c>
      <c r="G331" s="2" t="s">
        <v>49</v>
      </c>
      <c r="H331" s="2"/>
      <c r="I331" s="8">
        <v>-3.0</v>
      </c>
      <c r="J331" s="11">
        <v>-3.0</v>
      </c>
      <c r="K331" s="7" t="s">
        <v>519</v>
      </c>
      <c r="L331" s="7"/>
    </row>
    <row r="332">
      <c r="A332" s="2" t="s">
        <v>511</v>
      </c>
      <c r="B332" s="2" t="str">
        <f>concat(A332,8)</f>
        <v>32XK558</v>
      </c>
      <c r="C332" s="2" t="s">
        <v>512</v>
      </c>
      <c r="D332" s="2" t="s">
        <v>37</v>
      </c>
      <c r="E332" s="2" t="s">
        <v>39</v>
      </c>
      <c r="F332" s="2" t="s">
        <v>41</v>
      </c>
      <c r="G332" s="2" t="s">
        <v>43</v>
      </c>
      <c r="H332" s="2" t="s">
        <v>34</v>
      </c>
      <c r="I332" s="8">
        <v>4.12</v>
      </c>
      <c r="J332" s="9">
        <f>I332*5</f>
        <v>20.6</v>
      </c>
      <c r="K332" s="7" t="s">
        <v>517</v>
      </c>
    </row>
    <row r="333">
      <c r="A333" s="2" t="s">
        <v>247</v>
      </c>
      <c r="B333" s="2" t="str">
        <f t="shared" ref="B333:B363" si="72">concat(A333,"OVR")</f>
        <v>63Q45QOVR</v>
      </c>
      <c r="C333" s="2" t="s">
        <v>248</v>
      </c>
      <c r="D333" s="2" t="s">
        <v>249</v>
      </c>
      <c r="E333" s="10" t="s">
        <v>518</v>
      </c>
      <c r="F333" s="2" t="s">
        <v>48</v>
      </c>
      <c r="G333" s="2" t="s">
        <v>49</v>
      </c>
      <c r="H333" s="2"/>
      <c r="I333" s="8">
        <v>3.0</v>
      </c>
      <c r="J333" s="11">
        <v>3.0</v>
      </c>
      <c r="K333" s="7" t="s">
        <v>519</v>
      </c>
      <c r="L333" s="7"/>
    </row>
    <row r="334">
      <c r="A334" s="2" t="s">
        <v>445</v>
      </c>
      <c r="B334" s="2" t="str">
        <f t="shared" si="72"/>
        <v>104AB6OVR</v>
      </c>
      <c r="C334" s="2" t="s">
        <v>446</v>
      </c>
      <c r="D334" s="2" t="s">
        <v>37</v>
      </c>
      <c r="E334" s="10" t="s">
        <v>518</v>
      </c>
      <c r="F334" s="2" t="s">
        <v>48</v>
      </c>
      <c r="G334" s="2" t="s">
        <v>49</v>
      </c>
      <c r="H334" s="2"/>
      <c r="I334" s="8">
        <v>3.0</v>
      </c>
      <c r="J334" s="11">
        <v>3.0</v>
      </c>
      <c r="K334" s="7" t="s">
        <v>519</v>
      </c>
      <c r="L334" s="7"/>
    </row>
    <row r="335">
      <c r="A335" s="2" t="s">
        <v>447</v>
      </c>
      <c r="B335" s="2" t="str">
        <f t="shared" si="72"/>
        <v>3Q52L0OVR</v>
      </c>
      <c r="C335" s="2" t="s">
        <v>448</v>
      </c>
      <c r="D335" s="2" t="s">
        <v>37</v>
      </c>
      <c r="E335" s="10" t="s">
        <v>518</v>
      </c>
      <c r="F335" s="2" t="s">
        <v>48</v>
      </c>
      <c r="G335" s="2" t="s">
        <v>49</v>
      </c>
      <c r="H335" s="2"/>
      <c r="I335" s="8">
        <v>3.0</v>
      </c>
      <c r="J335" s="11">
        <v>3.0</v>
      </c>
      <c r="K335" s="7" t="s">
        <v>519</v>
      </c>
      <c r="L335" s="7"/>
    </row>
    <row r="336">
      <c r="A336" s="2" t="s">
        <v>449</v>
      </c>
      <c r="B336" s="2" t="str">
        <f t="shared" si="72"/>
        <v>54EL84OVR</v>
      </c>
      <c r="C336" s="2" t="s">
        <v>450</v>
      </c>
      <c r="D336" s="2" t="s">
        <v>37</v>
      </c>
      <c r="E336" s="10" t="s">
        <v>518</v>
      </c>
      <c r="F336" s="2" t="s">
        <v>48</v>
      </c>
      <c r="G336" s="2" t="s">
        <v>49</v>
      </c>
      <c r="H336" s="2"/>
      <c r="I336" s="8">
        <v>3.0</v>
      </c>
      <c r="J336" s="11">
        <v>3.0</v>
      </c>
      <c r="K336" s="7" t="s">
        <v>519</v>
      </c>
      <c r="L336" s="7"/>
    </row>
    <row r="337">
      <c r="A337" s="2" t="s">
        <v>332</v>
      </c>
      <c r="B337" s="2" t="str">
        <f t="shared" si="72"/>
        <v>35Q0N7OVR</v>
      </c>
      <c r="C337" s="2" t="s">
        <v>333</v>
      </c>
      <c r="D337" s="2" t="s">
        <v>37</v>
      </c>
      <c r="E337" s="10" t="s">
        <v>518</v>
      </c>
      <c r="F337" s="2" t="s">
        <v>48</v>
      </c>
      <c r="G337" s="2" t="s">
        <v>49</v>
      </c>
      <c r="H337" s="2"/>
      <c r="I337" s="8">
        <v>3.0</v>
      </c>
      <c r="J337" s="11">
        <v>3.0</v>
      </c>
      <c r="K337" s="7" t="s">
        <v>519</v>
      </c>
      <c r="L337" s="7"/>
    </row>
    <row r="338">
      <c r="A338" s="2" t="s">
        <v>263</v>
      </c>
      <c r="B338" s="2" t="str">
        <f t="shared" si="72"/>
        <v>11P64EOVR</v>
      </c>
      <c r="C338" s="2" t="s">
        <v>264</v>
      </c>
      <c r="D338" s="2" t="s">
        <v>37</v>
      </c>
      <c r="E338" s="10" t="s">
        <v>518</v>
      </c>
      <c r="F338" s="2" t="s">
        <v>48</v>
      </c>
      <c r="G338" s="2" t="s">
        <v>49</v>
      </c>
      <c r="H338" s="2"/>
      <c r="I338" s="8">
        <v>3.0</v>
      </c>
      <c r="J338" s="11">
        <v>3.0</v>
      </c>
      <c r="K338" s="7" t="s">
        <v>519</v>
      </c>
      <c r="L338" s="7"/>
    </row>
    <row r="339">
      <c r="A339" s="2" t="s">
        <v>451</v>
      </c>
      <c r="B339" s="2" t="str">
        <f t="shared" si="72"/>
        <v>54GE93OVR</v>
      </c>
      <c r="C339" s="2" t="s">
        <v>452</v>
      </c>
      <c r="D339" s="2" t="s">
        <v>37</v>
      </c>
      <c r="E339" s="10" t="s">
        <v>518</v>
      </c>
      <c r="F339" s="2" t="s">
        <v>48</v>
      </c>
      <c r="G339" s="2" t="s">
        <v>49</v>
      </c>
      <c r="H339" s="2"/>
      <c r="I339" s="8">
        <v>3.0</v>
      </c>
      <c r="J339" s="11">
        <v>3.0</v>
      </c>
      <c r="K339" s="7" t="s">
        <v>519</v>
      </c>
      <c r="L339" s="7"/>
    </row>
    <row r="340">
      <c r="A340" s="2" t="s">
        <v>493</v>
      </c>
      <c r="B340" s="2" t="str">
        <f t="shared" si="72"/>
        <v>3E627VOVR</v>
      </c>
      <c r="C340" s="2" t="s">
        <v>494</v>
      </c>
      <c r="D340" s="2" t="s">
        <v>37</v>
      </c>
      <c r="E340" s="10" t="s">
        <v>518</v>
      </c>
      <c r="F340" s="2" t="s">
        <v>48</v>
      </c>
      <c r="G340" s="2" t="s">
        <v>49</v>
      </c>
      <c r="H340" s="2"/>
      <c r="I340" s="8">
        <v>3.0</v>
      </c>
      <c r="J340" s="11">
        <v>3.0</v>
      </c>
      <c r="K340" s="7" t="s">
        <v>519</v>
      </c>
      <c r="L340" s="7"/>
    </row>
    <row r="341">
      <c r="A341" s="2" t="s">
        <v>265</v>
      </c>
      <c r="B341" s="2" t="str">
        <f t="shared" si="72"/>
        <v>88FB56OVR</v>
      </c>
      <c r="C341" s="2" t="s">
        <v>266</v>
      </c>
      <c r="D341" s="2" t="s">
        <v>37</v>
      </c>
      <c r="E341" s="10" t="s">
        <v>518</v>
      </c>
      <c r="F341" s="2" t="s">
        <v>48</v>
      </c>
      <c r="G341" s="2" t="s">
        <v>49</v>
      </c>
      <c r="H341" s="2"/>
      <c r="I341" s="8">
        <v>3.0</v>
      </c>
      <c r="J341" s="11">
        <v>3.0</v>
      </c>
      <c r="K341" s="7" t="s">
        <v>519</v>
      </c>
      <c r="L341" s="7"/>
    </row>
    <row r="342">
      <c r="A342" s="2" t="s">
        <v>96</v>
      </c>
      <c r="B342" s="2" t="str">
        <f t="shared" si="72"/>
        <v>78JE83OVR</v>
      </c>
      <c r="C342" s="2" t="s">
        <v>97</v>
      </c>
      <c r="D342" s="2" t="s">
        <v>37</v>
      </c>
      <c r="E342" s="10" t="s">
        <v>518</v>
      </c>
      <c r="F342" s="2" t="s">
        <v>48</v>
      </c>
      <c r="G342" s="2" t="s">
        <v>49</v>
      </c>
      <c r="H342" s="2"/>
      <c r="I342" s="8">
        <v>3.0</v>
      </c>
      <c r="J342" s="11">
        <v>3.0</v>
      </c>
      <c r="K342" s="7" t="s">
        <v>519</v>
      </c>
      <c r="L342" s="7"/>
    </row>
    <row r="343">
      <c r="A343" s="2" t="s">
        <v>183</v>
      </c>
      <c r="B343" s="2" t="str">
        <f t="shared" si="72"/>
        <v>21M8L7OVR</v>
      </c>
      <c r="C343" s="2" t="s">
        <v>184</v>
      </c>
      <c r="D343" s="2" t="s">
        <v>37</v>
      </c>
      <c r="E343" s="10" t="s">
        <v>518</v>
      </c>
      <c r="F343" s="2" t="s">
        <v>48</v>
      </c>
      <c r="G343" s="2" t="s">
        <v>49</v>
      </c>
      <c r="H343" s="2"/>
      <c r="I343" s="8">
        <v>3.0</v>
      </c>
      <c r="J343" s="11">
        <v>3.0</v>
      </c>
      <c r="K343" s="7" t="s">
        <v>519</v>
      </c>
      <c r="L343" s="7"/>
    </row>
    <row r="344">
      <c r="A344" s="2" t="s">
        <v>412</v>
      </c>
      <c r="B344" s="2" t="str">
        <f t="shared" si="72"/>
        <v>40P88LOVR</v>
      </c>
      <c r="C344" s="2" t="s">
        <v>413</v>
      </c>
      <c r="D344" s="2" t="s">
        <v>37</v>
      </c>
      <c r="E344" s="10" t="s">
        <v>518</v>
      </c>
      <c r="F344" s="2" t="s">
        <v>48</v>
      </c>
      <c r="G344" s="2" t="s">
        <v>49</v>
      </c>
      <c r="H344" s="2"/>
      <c r="I344" s="8">
        <v>3.0</v>
      </c>
      <c r="J344" s="11">
        <v>3.0</v>
      </c>
      <c r="K344" s="7" t="s">
        <v>519</v>
      </c>
      <c r="L344" s="7"/>
    </row>
    <row r="345">
      <c r="A345" s="2" t="s">
        <v>453</v>
      </c>
      <c r="B345" s="2" t="str">
        <f t="shared" si="72"/>
        <v>0J6P39OVR</v>
      </c>
      <c r="C345" s="2" t="s">
        <v>454</v>
      </c>
      <c r="D345" s="2" t="s">
        <v>37</v>
      </c>
      <c r="E345" s="10" t="s">
        <v>518</v>
      </c>
      <c r="F345" s="2" t="s">
        <v>48</v>
      </c>
      <c r="G345" s="2" t="s">
        <v>49</v>
      </c>
      <c r="H345" s="2"/>
      <c r="I345" s="8">
        <v>3.0</v>
      </c>
      <c r="J345" s="11">
        <v>3.0</v>
      </c>
      <c r="K345" s="7" t="s">
        <v>519</v>
      </c>
      <c r="L345" s="7"/>
    </row>
    <row r="346">
      <c r="A346" s="2" t="s">
        <v>185</v>
      </c>
      <c r="B346" s="2" t="str">
        <f t="shared" si="72"/>
        <v>08R60XOVR</v>
      </c>
      <c r="C346" s="2" t="s">
        <v>186</v>
      </c>
      <c r="D346" s="2" t="s">
        <v>37</v>
      </c>
      <c r="E346" s="10" t="s">
        <v>518</v>
      </c>
      <c r="F346" s="2" t="s">
        <v>48</v>
      </c>
      <c r="G346" s="2" t="s">
        <v>49</v>
      </c>
      <c r="H346" s="2"/>
      <c r="I346" s="8">
        <v>3.0</v>
      </c>
      <c r="J346" s="11">
        <v>3.0</v>
      </c>
      <c r="K346" s="7" t="s">
        <v>519</v>
      </c>
      <c r="L346" s="7"/>
    </row>
    <row r="347">
      <c r="A347" s="2" t="s">
        <v>491</v>
      </c>
      <c r="B347" s="2" t="str">
        <f t="shared" si="72"/>
        <v>84N5H4OVR</v>
      </c>
      <c r="C347" s="2" t="s">
        <v>492</v>
      </c>
      <c r="D347" s="2" t="s">
        <v>37</v>
      </c>
      <c r="E347" s="10" t="s">
        <v>518</v>
      </c>
      <c r="F347" s="2" t="s">
        <v>48</v>
      </c>
      <c r="G347" s="2" t="s">
        <v>49</v>
      </c>
      <c r="H347" s="2"/>
      <c r="I347" s="8">
        <v>3.0</v>
      </c>
      <c r="J347" s="11">
        <v>3.0</v>
      </c>
      <c r="K347" s="7" t="s">
        <v>519</v>
      </c>
      <c r="L347" s="7"/>
    </row>
    <row r="348">
      <c r="A348" s="2" t="s">
        <v>330</v>
      </c>
      <c r="B348" s="2" t="str">
        <f t="shared" si="72"/>
        <v>71V12TOVR</v>
      </c>
      <c r="C348" s="2" t="s">
        <v>331</v>
      </c>
      <c r="D348" s="2" t="s">
        <v>37</v>
      </c>
      <c r="E348" s="10" t="s">
        <v>518</v>
      </c>
      <c r="F348" s="2" t="s">
        <v>48</v>
      </c>
      <c r="G348" s="2" t="s">
        <v>49</v>
      </c>
      <c r="H348" s="2"/>
      <c r="I348" s="8">
        <v>3.0</v>
      </c>
      <c r="J348" s="11">
        <v>3.0</v>
      </c>
      <c r="K348" s="7" t="s">
        <v>519</v>
      </c>
      <c r="L348" s="7"/>
    </row>
    <row r="349">
      <c r="A349" s="2" t="s">
        <v>410</v>
      </c>
      <c r="B349" s="2" t="str">
        <f t="shared" si="72"/>
        <v>4G650ROVR</v>
      </c>
      <c r="C349" s="2" t="s">
        <v>411</v>
      </c>
      <c r="D349" s="2" t="s">
        <v>37</v>
      </c>
      <c r="E349" s="10" t="s">
        <v>518</v>
      </c>
      <c r="F349" s="2" t="s">
        <v>48</v>
      </c>
      <c r="G349" s="2" t="s">
        <v>49</v>
      </c>
      <c r="H349" s="2"/>
      <c r="I349" s="8">
        <v>3.0</v>
      </c>
      <c r="J349" s="11">
        <v>3.0</v>
      </c>
      <c r="K349" s="7" t="s">
        <v>519</v>
      </c>
      <c r="L349" s="7"/>
    </row>
    <row r="350">
      <c r="A350" s="2" t="s">
        <v>455</v>
      </c>
      <c r="B350" s="2" t="str">
        <f t="shared" si="72"/>
        <v>81GY17OVR</v>
      </c>
      <c r="C350" s="2" t="s">
        <v>456</v>
      </c>
      <c r="D350" s="2" t="s">
        <v>37</v>
      </c>
      <c r="E350" s="10" t="s">
        <v>518</v>
      </c>
      <c r="F350" s="2" t="s">
        <v>48</v>
      </c>
      <c r="G350" s="2" t="s">
        <v>49</v>
      </c>
      <c r="H350" s="2"/>
      <c r="I350" s="8">
        <v>3.0</v>
      </c>
      <c r="J350" s="11">
        <v>3.0</v>
      </c>
      <c r="K350" s="7" t="s">
        <v>519</v>
      </c>
      <c r="L350" s="7"/>
    </row>
    <row r="351">
      <c r="A351" s="2" t="s">
        <v>489</v>
      </c>
      <c r="B351" s="2" t="str">
        <f t="shared" si="72"/>
        <v>0V48L1OVR</v>
      </c>
      <c r="C351" s="2" t="s">
        <v>490</v>
      </c>
      <c r="D351" s="2" t="s">
        <v>37</v>
      </c>
      <c r="E351" s="10" t="s">
        <v>518</v>
      </c>
      <c r="F351" s="2" t="s">
        <v>48</v>
      </c>
      <c r="G351" s="2" t="s">
        <v>49</v>
      </c>
      <c r="H351" s="2"/>
      <c r="I351" s="8">
        <v>3.0</v>
      </c>
      <c r="J351" s="11">
        <v>3.0</v>
      </c>
      <c r="K351" s="7" t="s">
        <v>519</v>
      </c>
      <c r="L351" s="7"/>
    </row>
    <row r="352">
      <c r="A352" s="2" t="s">
        <v>102</v>
      </c>
      <c r="B352" s="2" t="str">
        <f t="shared" si="72"/>
        <v>83GU27OVR</v>
      </c>
      <c r="C352" s="2" t="s">
        <v>103</v>
      </c>
      <c r="D352" s="2" t="s">
        <v>37</v>
      </c>
      <c r="E352" s="10" t="s">
        <v>518</v>
      </c>
      <c r="F352" s="2" t="s">
        <v>48</v>
      </c>
      <c r="G352" s="2" t="s">
        <v>49</v>
      </c>
      <c r="H352" s="2"/>
      <c r="I352" s="8">
        <v>3.0</v>
      </c>
      <c r="J352" s="11">
        <v>3.0</v>
      </c>
      <c r="K352" s="7" t="s">
        <v>519</v>
      </c>
      <c r="L352" s="7"/>
    </row>
    <row r="353">
      <c r="A353" s="2" t="s">
        <v>457</v>
      </c>
      <c r="B353" s="2" t="str">
        <f t="shared" si="72"/>
        <v>82E6Y3OVR</v>
      </c>
      <c r="C353" s="2" t="s">
        <v>458</v>
      </c>
      <c r="D353" s="2" t="s">
        <v>37</v>
      </c>
      <c r="E353" s="10" t="s">
        <v>518</v>
      </c>
      <c r="F353" s="2" t="s">
        <v>48</v>
      </c>
      <c r="G353" s="2" t="s">
        <v>49</v>
      </c>
      <c r="H353" s="2"/>
      <c r="I353" s="8">
        <v>3.0</v>
      </c>
      <c r="J353" s="11">
        <v>3.0</v>
      </c>
      <c r="K353" s="7" t="s">
        <v>519</v>
      </c>
      <c r="L353" s="7"/>
    </row>
    <row r="354">
      <c r="A354" s="2" t="s">
        <v>459</v>
      </c>
      <c r="B354" s="2" t="str">
        <f t="shared" si="72"/>
        <v>24T7X8OVR</v>
      </c>
      <c r="C354" s="2" t="s">
        <v>460</v>
      </c>
      <c r="D354" s="2" t="s">
        <v>37</v>
      </c>
      <c r="E354" s="10" t="s">
        <v>518</v>
      </c>
      <c r="F354" s="2" t="s">
        <v>48</v>
      </c>
      <c r="G354" s="2" t="s">
        <v>49</v>
      </c>
      <c r="H354" s="2"/>
      <c r="I354" s="8">
        <v>3.0</v>
      </c>
      <c r="J354" s="11">
        <v>3.0</v>
      </c>
      <c r="K354" s="7" t="s">
        <v>519</v>
      </c>
      <c r="L354" s="7"/>
    </row>
    <row r="355">
      <c r="A355" s="2" t="s">
        <v>461</v>
      </c>
      <c r="B355" s="2" t="str">
        <f t="shared" si="72"/>
        <v>1G24T0OVR</v>
      </c>
      <c r="C355" s="2" t="s">
        <v>462</v>
      </c>
      <c r="D355" s="2" t="s">
        <v>37</v>
      </c>
      <c r="E355" s="10" t="s">
        <v>518</v>
      </c>
      <c r="F355" s="2" t="s">
        <v>48</v>
      </c>
      <c r="G355" s="2" t="s">
        <v>49</v>
      </c>
      <c r="H355" s="2"/>
      <c r="I355" s="8">
        <v>3.0</v>
      </c>
      <c r="J355" s="11">
        <v>3.0</v>
      </c>
      <c r="K355" s="7" t="s">
        <v>519</v>
      </c>
      <c r="L355" s="7"/>
    </row>
    <row r="356">
      <c r="A356" s="2" t="s">
        <v>404</v>
      </c>
      <c r="B356" s="2" t="str">
        <f t="shared" si="72"/>
        <v>45A4T1OVR</v>
      </c>
      <c r="C356" s="2" t="s">
        <v>405</v>
      </c>
      <c r="D356" s="2" t="s">
        <v>37</v>
      </c>
      <c r="E356" s="10" t="s">
        <v>518</v>
      </c>
      <c r="F356" s="2" t="s">
        <v>48</v>
      </c>
      <c r="G356" s="2" t="s">
        <v>49</v>
      </c>
      <c r="H356" s="2"/>
      <c r="I356" s="8">
        <v>3.0</v>
      </c>
      <c r="J356" s="11">
        <v>3.0</v>
      </c>
      <c r="K356" s="7" t="s">
        <v>519</v>
      </c>
      <c r="L356" s="7"/>
    </row>
    <row r="357">
      <c r="A357" s="2" t="s">
        <v>463</v>
      </c>
      <c r="B357" s="2" t="str">
        <f t="shared" si="72"/>
        <v>37MP83OVR</v>
      </c>
      <c r="C357" s="2" t="s">
        <v>464</v>
      </c>
      <c r="D357" s="2" t="s">
        <v>37</v>
      </c>
      <c r="E357" s="10" t="s">
        <v>518</v>
      </c>
      <c r="F357" s="2" t="s">
        <v>48</v>
      </c>
      <c r="G357" s="2" t="s">
        <v>49</v>
      </c>
      <c r="H357" s="2"/>
      <c r="I357" s="8">
        <v>3.0</v>
      </c>
      <c r="J357" s="11">
        <v>3.0</v>
      </c>
      <c r="K357" s="7" t="s">
        <v>519</v>
      </c>
      <c r="L357" s="7"/>
    </row>
    <row r="358">
      <c r="A358" s="2" t="s">
        <v>495</v>
      </c>
      <c r="B358" s="2" t="str">
        <f t="shared" si="72"/>
        <v>U6624QOVR</v>
      </c>
      <c r="C358" s="2" t="s">
        <v>496</v>
      </c>
      <c r="D358" s="2" t="s">
        <v>37</v>
      </c>
      <c r="E358" s="10" t="s">
        <v>518</v>
      </c>
      <c r="F358" s="2" t="s">
        <v>48</v>
      </c>
      <c r="G358" s="2" t="s">
        <v>49</v>
      </c>
      <c r="H358" s="2"/>
      <c r="I358" s="8">
        <v>3.0</v>
      </c>
      <c r="J358" s="11">
        <v>3.0</v>
      </c>
      <c r="K358" s="7" t="s">
        <v>519</v>
      </c>
      <c r="L358" s="7"/>
    </row>
    <row r="359">
      <c r="A359" s="2" t="s">
        <v>402</v>
      </c>
      <c r="B359" s="2" t="str">
        <f t="shared" si="72"/>
        <v>U172U4OVR</v>
      </c>
      <c r="C359" s="2" t="s">
        <v>403</v>
      </c>
      <c r="D359" s="2" t="s">
        <v>37</v>
      </c>
      <c r="E359" s="10" t="s">
        <v>518</v>
      </c>
      <c r="F359" s="2" t="s">
        <v>48</v>
      </c>
      <c r="G359" s="2" t="s">
        <v>49</v>
      </c>
      <c r="H359" s="2"/>
      <c r="I359" s="8">
        <v>3.0</v>
      </c>
      <c r="J359" s="11">
        <v>3.0</v>
      </c>
      <c r="K359" s="7" t="s">
        <v>519</v>
      </c>
      <c r="L359" s="7"/>
    </row>
    <row r="360">
      <c r="A360" s="2" t="s">
        <v>90</v>
      </c>
      <c r="B360" s="2" t="str">
        <f t="shared" si="72"/>
        <v>85E5Y6OVR</v>
      </c>
      <c r="C360" s="2" t="s">
        <v>91</v>
      </c>
      <c r="D360" s="2" t="s">
        <v>75</v>
      </c>
      <c r="E360" s="10" t="s">
        <v>518</v>
      </c>
      <c r="F360" s="2" t="s">
        <v>48</v>
      </c>
      <c r="G360" s="2" t="s">
        <v>49</v>
      </c>
      <c r="H360" s="2"/>
      <c r="I360" s="8">
        <v>3.0</v>
      </c>
      <c r="J360" s="11">
        <v>3.0</v>
      </c>
      <c r="K360" s="7" t="s">
        <v>519</v>
      </c>
      <c r="L360" s="7"/>
    </row>
    <row r="361">
      <c r="A361" s="2" t="s">
        <v>104</v>
      </c>
      <c r="B361" s="2" t="str">
        <f t="shared" si="72"/>
        <v>36M6M3OVR</v>
      </c>
      <c r="C361" s="2" t="s">
        <v>105</v>
      </c>
      <c r="D361" s="2" t="s">
        <v>74</v>
      </c>
      <c r="E361" s="10" t="s">
        <v>518</v>
      </c>
      <c r="F361" s="2" t="s">
        <v>48</v>
      </c>
      <c r="G361" s="2" t="s">
        <v>49</v>
      </c>
      <c r="H361" s="2"/>
      <c r="I361" s="8">
        <v>3.0</v>
      </c>
      <c r="J361" s="11">
        <v>3.0</v>
      </c>
      <c r="K361" s="7" t="s">
        <v>519</v>
      </c>
      <c r="L361" s="7"/>
    </row>
    <row r="362">
      <c r="A362" s="2" t="s">
        <v>465</v>
      </c>
      <c r="B362" s="2" t="str">
        <f t="shared" si="72"/>
        <v>243B9BOVR</v>
      </c>
      <c r="C362" s="2" t="s">
        <v>466</v>
      </c>
      <c r="D362" s="2" t="s">
        <v>75</v>
      </c>
      <c r="E362" s="10" t="s">
        <v>518</v>
      </c>
      <c r="F362" s="2" t="s">
        <v>48</v>
      </c>
      <c r="G362" s="2" t="s">
        <v>49</v>
      </c>
      <c r="H362" s="2"/>
      <c r="I362" s="8">
        <v>3.0</v>
      </c>
      <c r="J362" s="11">
        <v>3.0</v>
      </c>
      <c r="K362" s="7" t="s">
        <v>519</v>
      </c>
      <c r="L362" s="7"/>
    </row>
    <row r="363">
      <c r="A363" s="2" t="s">
        <v>187</v>
      </c>
      <c r="B363" s="2" t="str">
        <f t="shared" si="72"/>
        <v>4G936ROVR</v>
      </c>
      <c r="C363" s="2" t="s">
        <v>188</v>
      </c>
      <c r="D363" s="2" t="s">
        <v>37</v>
      </c>
      <c r="E363" s="10" t="s">
        <v>518</v>
      </c>
      <c r="F363" s="2" t="s">
        <v>41</v>
      </c>
      <c r="G363" s="2" t="s">
        <v>62</v>
      </c>
      <c r="H363" s="2" t="s">
        <v>65</v>
      </c>
      <c r="I363" s="8">
        <v>7.0</v>
      </c>
      <c r="J363" s="8">
        <v>7.0</v>
      </c>
      <c r="K363" s="7" t="s">
        <v>519</v>
      </c>
    </row>
    <row r="364">
      <c r="A364" s="4" t="s">
        <v>34</v>
      </c>
      <c r="B364" s="4"/>
      <c r="C364" s="4" t="s">
        <v>34</v>
      </c>
      <c r="D364" s="4" t="s">
        <v>34</v>
      </c>
      <c r="E364" s="4" t="s">
        <v>34</v>
      </c>
      <c r="F364" s="4" t="s">
        <v>34</v>
      </c>
      <c r="G364" s="4" t="s">
        <v>34</v>
      </c>
      <c r="H364" s="4" t="s">
        <v>34</v>
      </c>
      <c r="I364" s="12">
        <v>5746.23</v>
      </c>
    </row>
    <row r="365">
      <c r="A365" s="4" t="s">
        <v>34</v>
      </c>
      <c r="B365" s="4"/>
      <c r="C365" s="4" t="s">
        <v>34</v>
      </c>
      <c r="D365" s="4" t="s">
        <v>34</v>
      </c>
      <c r="E365" s="4" t="s">
        <v>34</v>
      </c>
      <c r="F365" s="4" t="s">
        <v>34</v>
      </c>
      <c r="G365" s="4" t="s">
        <v>34</v>
      </c>
      <c r="H365" s="4" t="s">
        <v>34</v>
      </c>
      <c r="I365" s="12">
        <v>5746.23</v>
      </c>
    </row>
    <row r="366">
      <c r="I366" s="11"/>
    </row>
    <row r="367">
      <c r="I367" s="11"/>
    </row>
    <row r="368">
      <c r="I368" s="11"/>
    </row>
    <row r="369">
      <c r="I369" s="11"/>
    </row>
    <row r="370">
      <c r="I370" s="11"/>
    </row>
    <row r="371">
      <c r="I371" s="11"/>
    </row>
    <row r="372">
      <c r="I372" s="11"/>
    </row>
    <row r="373">
      <c r="I373" s="11"/>
    </row>
    <row r="374">
      <c r="I374" s="11"/>
    </row>
    <row r="375">
      <c r="I375" s="11"/>
    </row>
    <row r="376">
      <c r="I376" s="11"/>
    </row>
    <row r="377">
      <c r="I377" s="11"/>
    </row>
    <row r="378">
      <c r="I378" s="11"/>
    </row>
    <row r="379">
      <c r="I379" s="11"/>
    </row>
    <row r="380">
      <c r="I380" s="11"/>
    </row>
    <row r="381">
      <c r="I381" s="11"/>
    </row>
    <row r="382">
      <c r="I382" s="11"/>
    </row>
    <row r="383">
      <c r="I383" s="11"/>
    </row>
    <row r="384">
      <c r="I384" s="11"/>
    </row>
    <row r="385">
      <c r="I385" s="11"/>
    </row>
    <row r="386">
      <c r="I386" s="11"/>
    </row>
    <row r="387">
      <c r="I387" s="11"/>
    </row>
    <row r="388">
      <c r="I388" s="11"/>
    </row>
    <row r="389">
      <c r="I389" s="11"/>
    </row>
    <row r="390">
      <c r="I390" s="11"/>
    </row>
    <row r="391">
      <c r="I391" s="11"/>
    </row>
    <row r="392">
      <c r="I392" s="11"/>
    </row>
    <row r="393">
      <c r="I393" s="11"/>
    </row>
    <row r="394">
      <c r="I394" s="11"/>
    </row>
    <row r="395">
      <c r="I395" s="11"/>
    </row>
    <row r="396">
      <c r="I396" s="11"/>
    </row>
    <row r="397">
      <c r="I397" s="11"/>
    </row>
    <row r="398">
      <c r="I398" s="11"/>
    </row>
    <row r="399">
      <c r="I399" s="11"/>
    </row>
    <row r="400">
      <c r="I400" s="11"/>
    </row>
    <row r="401">
      <c r="I401" s="11"/>
    </row>
    <row r="402">
      <c r="I402" s="11"/>
    </row>
    <row r="403">
      <c r="I403" s="11"/>
    </row>
    <row r="404">
      <c r="I404" s="11"/>
    </row>
    <row r="405">
      <c r="I405" s="11"/>
    </row>
    <row r="406">
      <c r="I406" s="11"/>
    </row>
    <row r="407">
      <c r="I407" s="11"/>
    </row>
    <row r="408">
      <c r="I408" s="11"/>
    </row>
    <row r="409">
      <c r="I409" s="11"/>
    </row>
    <row r="410">
      <c r="I410" s="11"/>
    </row>
    <row r="411">
      <c r="I411" s="11"/>
    </row>
    <row r="412">
      <c r="I412" s="11"/>
    </row>
    <row r="413">
      <c r="I413" s="11"/>
    </row>
    <row r="414">
      <c r="I414" s="11"/>
    </row>
    <row r="415">
      <c r="I415" s="11"/>
    </row>
    <row r="416">
      <c r="I416" s="11"/>
    </row>
    <row r="417">
      <c r="I417" s="11"/>
    </row>
    <row r="418">
      <c r="I418" s="11"/>
    </row>
    <row r="419">
      <c r="I419" s="11"/>
    </row>
    <row r="420">
      <c r="I420" s="11"/>
    </row>
    <row r="421">
      <c r="I421" s="11"/>
    </row>
    <row r="422">
      <c r="I422" s="11"/>
    </row>
    <row r="423">
      <c r="I423" s="11"/>
    </row>
    <row r="424">
      <c r="I424" s="11"/>
    </row>
    <row r="425">
      <c r="I425" s="11"/>
    </row>
    <row r="426">
      <c r="I426" s="11"/>
    </row>
    <row r="427">
      <c r="I427" s="11"/>
    </row>
    <row r="428">
      <c r="I428" s="11"/>
    </row>
    <row r="429">
      <c r="I429" s="11"/>
    </row>
    <row r="430">
      <c r="I430" s="11"/>
    </row>
    <row r="431">
      <c r="I431" s="11"/>
    </row>
    <row r="432">
      <c r="I432" s="11"/>
    </row>
    <row r="433">
      <c r="I433" s="11"/>
    </row>
    <row r="434">
      <c r="I434" s="11"/>
    </row>
    <row r="435">
      <c r="I435" s="11"/>
    </row>
    <row r="436">
      <c r="I436" s="11"/>
    </row>
    <row r="437">
      <c r="I437" s="11"/>
    </row>
    <row r="438">
      <c r="I438" s="11"/>
    </row>
    <row r="439">
      <c r="I439" s="11"/>
    </row>
    <row r="440">
      <c r="I440" s="11"/>
    </row>
    <row r="441">
      <c r="I441" s="11"/>
    </row>
    <row r="442">
      <c r="I442" s="11"/>
    </row>
    <row r="443">
      <c r="I443" s="11"/>
    </row>
    <row r="444">
      <c r="I444" s="11"/>
    </row>
    <row r="445">
      <c r="I445" s="11"/>
    </row>
    <row r="446">
      <c r="I446" s="11"/>
    </row>
    <row r="447">
      <c r="I447" s="11"/>
    </row>
    <row r="448">
      <c r="I448" s="11"/>
    </row>
    <row r="449">
      <c r="I449" s="11"/>
    </row>
    <row r="450">
      <c r="I450" s="11"/>
    </row>
    <row r="451">
      <c r="I451" s="11"/>
    </row>
    <row r="452">
      <c r="I452" s="11"/>
    </row>
    <row r="453">
      <c r="I453" s="11"/>
    </row>
    <row r="454">
      <c r="I454" s="11"/>
    </row>
    <row r="455">
      <c r="I455" s="11"/>
    </row>
    <row r="456">
      <c r="I456" s="11"/>
    </row>
    <row r="457">
      <c r="I457" s="11"/>
    </row>
    <row r="458">
      <c r="I458" s="11"/>
    </row>
    <row r="459">
      <c r="I459" s="11"/>
    </row>
    <row r="460">
      <c r="I460" s="11"/>
    </row>
    <row r="461">
      <c r="I461" s="11"/>
    </row>
    <row r="462">
      <c r="I462" s="11"/>
    </row>
    <row r="463">
      <c r="I463" s="11"/>
    </row>
    <row r="464">
      <c r="I464" s="11"/>
    </row>
    <row r="465">
      <c r="I465" s="11"/>
    </row>
    <row r="466">
      <c r="I466" s="11"/>
    </row>
    <row r="467">
      <c r="I467" s="11"/>
    </row>
    <row r="468">
      <c r="I468" s="11"/>
    </row>
    <row r="469">
      <c r="I469" s="11"/>
    </row>
    <row r="470">
      <c r="I470" s="11"/>
    </row>
    <row r="471">
      <c r="I471" s="11"/>
    </row>
    <row r="472">
      <c r="I472" s="11"/>
    </row>
    <row r="473">
      <c r="I473" s="11"/>
    </row>
    <row r="474">
      <c r="I474" s="11"/>
    </row>
    <row r="475">
      <c r="I475" s="11"/>
    </row>
    <row r="476">
      <c r="I476" s="11"/>
    </row>
    <row r="477">
      <c r="I477" s="11"/>
    </row>
    <row r="478">
      <c r="I478" s="11"/>
    </row>
    <row r="479">
      <c r="I479" s="11"/>
    </row>
    <row r="480">
      <c r="I480" s="11"/>
    </row>
    <row r="481">
      <c r="I481" s="11"/>
    </row>
    <row r="482">
      <c r="I482" s="11"/>
    </row>
    <row r="483">
      <c r="I483" s="11"/>
    </row>
    <row r="484">
      <c r="I484" s="11"/>
    </row>
    <row r="485">
      <c r="I485" s="11"/>
    </row>
    <row r="486">
      <c r="I486" s="11"/>
    </row>
    <row r="487">
      <c r="I487" s="11"/>
    </row>
    <row r="488">
      <c r="I488" s="11"/>
    </row>
    <row r="489">
      <c r="I489" s="11"/>
    </row>
    <row r="490">
      <c r="I490" s="11"/>
    </row>
    <row r="491">
      <c r="I491" s="11"/>
    </row>
    <row r="492">
      <c r="I492" s="11"/>
    </row>
    <row r="493">
      <c r="I493" s="11"/>
    </row>
    <row r="494">
      <c r="I494" s="11"/>
    </row>
    <row r="495">
      <c r="I495" s="11"/>
    </row>
    <row r="496">
      <c r="I496" s="11"/>
    </row>
    <row r="497">
      <c r="I497" s="11"/>
    </row>
    <row r="498">
      <c r="I498" s="11"/>
    </row>
    <row r="499">
      <c r="I499" s="11"/>
    </row>
    <row r="500">
      <c r="I500" s="11"/>
    </row>
    <row r="501">
      <c r="I501" s="11"/>
    </row>
    <row r="502">
      <c r="I502" s="11"/>
    </row>
    <row r="503">
      <c r="I503" s="11"/>
    </row>
    <row r="504">
      <c r="I504" s="11"/>
    </row>
    <row r="505">
      <c r="I505" s="11"/>
    </row>
    <row r="506">
      <c r="I506" s="11"/>
    </row>
    <row r="507">
      <c r="I507" s="11"/>
    </row>
    <row r="508">
      <c r="I508" s="11"/>
    </row>
    <row r="509">
      <c r="I509" s="11"/>
    </row>
    <row r="510">
      <c r="I510" s="11"/>
    </row>
    <row r="511">
      <c r="I511" s="11"/>
    </row>
    <row r="512">
      <c r="I512" s="11"/>
    </row>
    <row r="513">
      <c r="I513" s="11"/>
    </row>
    <row r="514">
      <c r="I514" s="11"/>
    </row>
    <row r="515">
      <c r="I515" s="11"/>
    </row>
    <row r="516">
      <c r="I516" s="11"/>
    </row>
    <row r="517">
      <c r="I517" s="11"/>
    </row>
    <row r="518">
      <c r="I518" s="11"/>
    </row>
    <row r="519">
      <c r="I519" s="11"/>
    </row>
    <row r="520">
      <c r="I520" s="11"/>
    </row>
    <row r="521">
      <c r="I521" s="11"/>
    </row>
    <row r="522">
      <c r="I522" s="11"/>
    </row>
    <row r="523">
      <c r="I523" s="11"/>
    </row>
    <row r="524">
      <c r="I524" s="11"/>
    </row>
    <row r="525">
      <c r="I525" s="11"/>
    </row>
    <row r="526">
      <c r="I526" s="11"/>
    </row>
    <row r="527">
      <c r="I527" s="11"/>
    </row>
    <row r="528">
      <c r="I528" s="11"/>
    </row>
    <row r="529">
      <c r="I529" s="11"/>
    </row>
    <row r="530">
      <c r="I530" s="11"/>
    </row>
    <row r="531">
      <c r="I531" s="11"/>
    </row>
    <row r="532">
      <c r="I532" s="11"/>
    </row>
    <row r="533">
      <c r="I533" s="11"/>
    </row>
    <row r="534">
      <c r="I534" s="11"/>
    </row>
    <row r="535">
      <c r="I535" s="11"/>
    </row>
    <row r="536">
      <c r="I536" s="11"/>
    </row>
    <row r="537">
      <c r="I537" s="11"/>
    </row>
    <row r="538">
      <c r="I538" s="11"/>
    </row>
    <row r="539">
      <c r="I539" s="11"/>
    </row>
    <row r="540">
      <c r="I540" s="11"/>
    </row>
    <row r="541">
      <c r="I541" s="11"/>
    </row>
    <row r="542">
      <c r="I542" s="11"/>
    </row>
    <row r="543">
      <c r="I543" s="11"/>
    </row>
    <row r="544">
      <c r="I544" s="11"/>
    </row>
    <row r="545">
      <c r="I545" s="11"/>
    </row>
    <row r="546">
      <c r="I546" s="11"/>
    </row>
    <row r="547">
      <c r="I547" s="11"/>
    </row>
    <row r="548">
      <c r="I548" s="11"/>
    </row>
    <row r="549">
      <c r="I549" s="11"/>
    </row>
    <row r="550">
      <c r="I550" s="11"/>
    </row>
    <row r="551">
      <c r="I551" s="11"/>
    </row>
    <row r="552">
      <c r="I552" s="11"/>
    </row>
    <row r="553">
      <c r="I553" s="11"/>
    </row>
    <row r="554">
      <c r="I554" s="11"/>
    </row>
    <row r="555">
      <c r="I555" s="11"/>
    </row>
    <row r="556">
      <c r="I556" s="11"/>
    </row>
    <row r="557">
      <c r="I557" s="11"/>
    </row>
    <row r="558">
      <c r="I558" s="11"/>
    </row>
    <row r="559">
      <c r="I559" s="11"/>
    </row>
    <row r="560">
      <c r="I560" s="11"/>
    </row>
    <row r="561">
      <c r="I561" s="11"/>
    </row>
    <row r="562">
      <c r="I562" s="11"/>
    </row>
    <row r="563">
      <c r="I563" s="11"/>
    </row>
    <row r="564">
      <c r="I564" s="11"/>
    </row>
    <row r="565">
      <c r="I565" s="11"/>
    </row>
    <row r="566">
      <c r="I566" s="11"/>
    </row>
    <row r="567">
      <c r="I567" s="11"/>
    </row>
    <row r="568">
      <c r="I568" s="11"/>
    </row>
    <row r="569">
      <c r="I569" s="11"/>
    </row>
    <row r="570">
      <c r="I570" s="11"/>
    </row>
    <row r="571">
      <c r="I571" s="11"/>
    </row>
    <row r="572">
      <c r="I572" s="11"/>
    </row>
    <row r="573">
      <c r="I573" s="11"/>
    </row>
    <row r="574">
      <c r="I574" s="11"/>
    </row>
    <row r="575">
      <c r="I575" s="11"/>
    </row>
    <row r="576">
      <c r="I576" s="11"/>
    </row>
    <row r="577">
      <c r="I577" s="11"/>
    </row>
    <row r="578">
      <c r="I578" s="11"/>
    </row>
    <row r="579">
      <c r="I579" s="11"/>
    </row>
    <row r="580">
      <c r="I580" s="11"/>
    </row>
    <row r="581">
      <c r="I581" s="11"/>
    </row>
    <row r="582">
      <c r="I582" s="11"/>
    </row>
    <row r="583">
      <c r="I583" s="11"/>
    </row>
    <row r="584">
      <c r="I584" s="11"/>
    </row>
    <row r="585">
      <c r="I585" s="11"/>
    </row>
    <row r="586">
      <c r="I586" s="11"/>
    </row>
    <row r="587">
      <c r="I587" s="11"/>
    </row>
    <row r="588">
      <c r="I588" s="11"/>
    </row>
    <row r="589">
      <c r="I589" s="11"/>
    </row>
    <row r="590">
      <c r="I590" s="11"/>
    </row>
    <row r="591">
      <c r="I591" s="11"/>
    </row>
    <row r="592">
      <c r="I592" s="11"/>
    </row>
    <row r="593">
      <c r="I593" s="11"/>
    </row>
    <row r="594">
      <c r="I594" s="11"/>
    </row>
    <row r="595">
      <c r="I595" s="11"/>
    </row>
    <row r="596">
      <c r="I596" s="11"/>
    </row>
    <row r="597">
      <c r="I597" s="11"/>
    </row>
    <row r="598">
      <c r="I598" s="11"/>
    </row>
    <row r="599">
      <c r="I599" s="11"/>
    </row>
    <row r="600">
      <c r="I600" s="11"/>
    </row>
    <row r="601">
      <c r="I601" s="11"/>
    </row>
    <row r="602">
      <c r="I602" s="11"/>
    </row>
    <row r="603">
      <c r="I603" s="11"/>
    </row>
    <row r="604">
      <c r="I604" s="11"/>
    </row>
    <row r="605">
      <c r="I605" s="11"/>
    </row>
    <row r="606">
      <c r="I606" s="11"/>
    </row>
    <row r="607">
      <c r="I607" s="11"/>
    </row>
    <row r="608">
      <c r="I608" s="11"/>
    </row>
    <row r="609">
      <c r="I609" s="11"/>
    </row>
    <row r="610">
      <c r="I610" s="11"/>
    </row>
    <row r="611">
      <c r="I611" s="11"/>
    </row>
    <row r="612">
      <c r="I612" s="11"/>
    </row>
    <row r="613">
      <c r="I613" s="11"/>
    </row>
    <row r="614">
      <c r="I614" s="11"/>
    </row>
    <row r="615">
      <c r="I615" s="11"/>
    </row>
    <row r="616">
      <c r="I616" s="11"/>
    </row>
    <row r="617">
      <c r="I617" s="11"/>
    </row>
    <row r="618">
      <c r="I618" s="11"/>
    </row>
    <row r="619">
      <c r="I619" s="11"/>
    </row>
    <row r="620">
      <c r="I620" s="11"/>
    </row>
    <row r="621">
      <c r="I621" s="11"/>
    </row>
    <row r="622">
      <c r="I622" s="11"/>
    </row>
    <row r="623">
      <c r="I623" s="11"/>
    </row>
    <row r="624">
      <c r="I624" s="11"/>
    </row>
    <row r="625">
      <c r="I625" s="11"/>
    </row>
    <row r="626">
      <c r="I626" s="11"/>
    </row>
    <row r="627">
      <c r="I627" s="11"/>
    </row>
    <row r="628">
      <c r="I628" s="11"/>
    </row>
    <row r="629">
      <c r="I629" s="11"/>
    </row>
    <row r="630">
      <c r="I630" s="11"/>
    </row>
    <row r="631">
      <c r="I631" s="11"/>
    </row>
    <row r="632">
      <c r="I632" s="11"/>
    </row>
    <row r="633">
      <c r="I633" s="11"/>
    </row>
    <row r="634">
      <c r="I634" s="11"/>
    </row>
    <row r="635">
      <c r="I635" s="11"/>
    </row>
    <row r="636">
      <c r="I636" s="11"/>
    </row>
    <row r="637">
      <c r="I637" s="11"/>
    </row>
    <row r="638">
      <c r="I638" s="11"/>
    </row>
    <row r="639">
      <c r="I639" s="11"/>
    </row>
    <row r="640">
      <c r="I640" s="11"/>
    </row>
    <row r="641">
      <c r="I641" s="11"/>
    </row>
    <row r="642">
      <c r="I642" s="11"/>
    </row>
    <row r="643">
      <c r="I643" s="11"/>
    </row>
    <row r="644">
      <c r="I644" s="11"/>
    </row>
    <row r="645">
      <c r="I645" s="11"/>
    </row>
    <row r="646">
      <c r="I646" s="11"/>
    </row>
    <row r="647">
      <c r="I647" s="11"/>
    </row>
    <row r="648">
      <c r="I648" s="11"/>
    </row>
    <row r="649">
      <c r="I649" s="11"/>
    </row>
    <row r="650">
      <c r="I650" s="11"/>
    </row>
    <row r="651">
      <c r="I651" s="11"/>
    </row>
    <row r="652">
      <c r="I652" s="11"/>
    </row>
    <row r="653">
      <c r="I653" s="11"/>
    </row>
    <row r="654">
      <c r="I654" s="11"/>
    </row>
    <row r="655">
      <c r="I655" s="11"/>
    </row>
    <row r="656">
      <c r="I656" s="11"/>
    </row>
    <row r="657">
      <c r="I657" s="11"/>
    </row>
    <row r="658">
      <c r="I658" s="11"/>
    </row>
    <row r="659">
      <c r="I659" s="11"/>
    </row>
    <row r="660">
      <c r="I660" s="11"/>
    </row>
    <row r="661">
      <c r="I661" s="11"/>
    </row>
    <row r="662">
      <c r="I662" s="11"/>
    </row>
    <row r="663">
      <c r="I663" s="11"/>
    </row>
    <row r="664">
      <c r="I664" s="11"/>
    </row>
    <row r="665">
      <c r="I665" s="11"/>
    </row>
    <row r="666">
      <c r="I666" s="11"/>
    </row>
    <row r="667">
      <c r="I667" s="11"/>
    </row>
    <row r="668">
      <c r="I668" s="11"/>
    </row>
    <row r="669">
      <c r="I669" s="11"/>
    </row>
    <row r="670">
      <c r="I670" s="11"/>
    </row>
    <row r="671">
      <c r="I671" s="11"/>
    </row>
    <row r="672">
      <c r="I672" s="11"/>
    </row>
    <row r="673">
      <c r="I673" s="11"/>
    </row>
    <row r="674">
      <c r="I674" s="11"/>
    </row>
    <row r="675">
      <c r="I675" s="11"/>
    </row>
    <row r="676">
      <c r="I676" s="11"/>
    </row>
    <row r="677">
      <c r="I677" s="11"/>
    </row>
    <row r="678">
      <c r="I678" s="11"/>
    </row>
    <row r="679">
      <c r="I679" s="11"/>
    </row>
    <row r="680">
      <c r="I680" s="11"/>
    </row>
    <row r="681">
      <c r="I681" s="11"/>
    </row>
    <row r="682">
      <c r="I682" s="11"/>
    </row>
    <row r="683">
      <c r="I683" s="11"/>
    </row>
    <row r="684">
      <c r="I684" s="11"/>
    </row>
    <row r="685">
      <c r="I685" s="11"/>
    </row>
    <row r="686">
      <c r="I686" s="11"/>
    </row>
    <row r="687">
      <c r="I687" s="11"/>
    </row>
    <row r="688">
      <c r="I688" s="11"/>
    </row>
    <row r="689">
      <c r="I689" s="11"/>
    </row>
    <row r="690">
      <c r="I690" s="11"/>
    </row>
    <row r="691">
      <c r="I691" s="11"/>
    </row>
    <row r="692">
      <c r="I692" s="11"/>
    </row>
    <row r="693">
      <c r="I693" s="11"/>
    </row>
    <row r="694">
      <c r="I694" s="11"/>
    </row>
    <row r="695">
      <c r="I695" s="11"/>
    </row>
    <row r="696">
      <c r="I696" s="11"/>
    </row>
    <row r="697">
      <c r="I697" s="11"/>
    </row>
    <row r="698">
      <c r="I698" s="11"/>
    </row>
    <row r="699">
      <c r="I699" s="11"/>
    </row>
    <row r="700">
      <c r="I700" s="11"/>
    </row>
    <row r="701">
      <c r="I701" s="11"/>
    </row>
    <row r="702">
      <c r="I702" s="11"/>
    </row>
    <row r="703">
      <c r="I703" s="11"/>
    </row>
    <row r="704">
      <c r="I704" s="11"/>
    </row>
    <row r="705">
      <c r="I705" s="11"/>
    </row>
    <row r="706">
      <c r="I706" s="11"/>
    </row>
    <row r="707">
      <c r="I707" s="11"/>
    </row>
    <row r="708">
      <c r="I708" s="11"/>
    </row>
    <row r="709">
      <c r="I709" s="11"/>
    </row>
    <row r="710">
      <c r="I710" s="11"/>
    </row>
    <row r="711">
      <c r="I711" s="11"/>
    </row>
    <row r="712">
      <c r="I712" s="11"/>
    </row>
    <row r="713">
      <c r="I713" s="11"/>
    </row>
    <row r="714">
      <c r="I714" s="11"/>
    </row>
    <row r="715">
      <c r="I715" s="11"/>
    </row>
    <row r="716">
      <c r="I716" s="11"/>
    </row>
    <row r="717">
      <c r="I717" s="11"/>
    </row>
    <row r="718">
      <c r="I718" s="11"/>
    </row>
    <row r="719">
      <c r="I719" s="11"/>
    </row>
    <row r="720">
      <c r="I720" s="11"/>
    </row>
    <row r="721">
      <c r="I721" s="11"/>
    </row>
    <row r="722">
      <c r="I722" s="11"/>
    </row>
    <row r="723">
      <c r="I723" s="11"/>
    </row>
    <row r="724">
      <c r="I724" s="11"/>
    </row>
    <row r="725">
      <c r="I725" s="11"/>
    </row>
    <row r="726">
      <c r="I726" s="11"/>
    </row>
    <row r="727">
      <c r="I727" s="11"/>
    </row>
    <row r="728">
      <c r="I728" s="11"/>
    </row>
    <row r="729">
      <c r="I729" s="11"/>
    </row>
    <row r="730">
      <c r="I730" s="11"/>
    </row>
    <row r="731">
      <c r="I731" s="11"/>
    </row>
    <row r="732">
      <c r="I732" s="11"/>
    </row>
    <row r="733">
      <c r="I733" s="11"/>
    </row>
    <row r="734">
      <c r="I734" s="11"/>
    </row>
    <row r="735">
      <c r="I735" s="11"/>
    </row>
    <row r="736">
      <c r="I736" s="11"/>
    </row>
    <row r="737">
      <c r="I737" s="11"/>
    </row>
    <row r="738">
      <c r="I738" s="11"/>
    </row>
    <row r="739">
      <c r="I739" s="11"/>
    </row>
    <row r="740">
      <c r="I740" s="11"/>
    </row>
    <row r="741">
      <c r="I741" s="11"/>
    </row>
    <row r="742">
      <c r="I742" s="11"/>
    </row>
    <row r="743">
      <c r="I743" s="11"/>
    </row>
    <row r="744">
      <c r="I744" s="11"/>
    </row>
    <row r="745">
      <c r="I745" s="11"/>
    </row>
    <row r="746">
      <c r="I746" s="11"/>
    </row>
    <row r="747">
      <c r="I747" s="11"/>
    </row>
    <row r="748">
      <c r="I748" s="11"/>
    </row>
    <row r="749">
      <c r="I749" s="11"/>
    </row>
    <row r="750">
      <c r="I750" s="11"/>
    </row>
    <row r="751">
      <c r="I751" s="11"/>
    </row>
    <row r="752">
      <c r="I752" s="11"/>
    </row>
    <row r="753">
      <c r="I753" s="11"/>
    </row>
    <row r="754">
      <c r="I754" s="11"/>
    </row>
    <row r="755">
      <c r="I755" s="11"/>
    </row>
    <row r="756">
      <c r="I756" s="11"/>
    </row>
    <row r="757">
      <c r="I757" s="11"/>
    </row>
    <row r="758">
      <c r="I758" s="11"/>
    </row>
    <row r="759">
      <c r="I759" s="11"/>
    </row>
    <row r="760">
      <c r="I760" s="11"/>
    </row>
    <row r="761">
      <c r="I761" s="11"/>
    </row>
    <row r="762">
      <c r="I762" s="11"/>
    </row>
    <row r="763">
      <c r="I763" s="11"/>
    </row>
    <row r="764">
      <c r="I764" s="11"/>
    </row>
    <row r="765">
      <c r="I765" s="11"/>
    </row>
    <row r="766">
      <c r="I766" s="11"/>
    </row>
    <row r="767">
      <c r="I767" s="11"/>
    </row>
    <row r="768">
      <c r="I768" s="11"/>
    </row>
    <row r="769">
      <c r="I769" s="11"/>
    </row>
    <row r="770">
      <c r="I770" s="11"/>
    </row>
    <row r="771">
      <c r="I771" s="11"/>
    </row>
    <row r="772">
      <c r="I772" s="11"/>
    </row>
    <row r="773">
      <c r="I773" s="11"/>
    </row>
    <row r="774">
      <c r="I774" s="11"/>
    </row>
    <row r="775">
      <c r="I775" s="11"/>
    </row>
    <row r="776">
      <c r="I776" s="11"/>
    </row>
    <row r="777">
      <c r="I777" s="11"/>
    </row>
    <row r="778">
      <c r="I778" s="11"/>
    </row>
    <row r="779">
      <c r="I779" s="11"/>
    </row>
    <row r="780">
      <c r="I780" s="11"/>
    </row>
    <row r="781">
      <c r="I781" s="11"/>
    </row>
    <row r="782">
      <c r="I782" s="11"/>
    </row>
    <row r="783">
      <c r="I783" s="11"/>
    </row>
    <row r="784">
      <c r="I784" s="11"/>
    </row>
    <row r="785">
      <c r="I785" s="11"/>
    </row>
    <row r="786">
      <c r="I786" s="11"/>
    </row>
    <row r="787">
      <c r="I787" s="11"/>
    </row>
    <row r="788">
      <c r="I788" s="11"/>
    </row>
    <row r="789">
      <c r="I789" s="11"/>
    </row>
    <row r="790">
      <c r="I790" s="11"/>
    </row>
    <row r="791">
      <c r="I791" s="11"/>
    </row>
    <row r="792">
      <c r="I792" s="11"/>
    </row>
    <row r="793">
      <c r="I793" s="11"/>
    </row>
    <row r="794">
      <c r="I794" s="11"/>
    </row>
    <row r="795">
      <c r="I795" s="11"/>
    </row>
    <row r="796">
      <c r="I796" s="11"/>
    </row>
    <row r="797">
      <c r="I797" s="11"/>
    </row>
    <row r="798">
      <c r="I798" s="11"/>
    </row>
    <row r="799">
      <c r="I799" s="11"/>
    </row>
    <row r="800">
      <c r="I800" s="11"/>
    </row>
    <row r="801">
      <c r="I801" s="11"/>
    </row>
    <row r="802">
      <c r="I802" s="11"/>
    </row>
    <row r="803">
      <c r="I803" s="11"/>
    </row>
    <row r="804">
      <c r="I804" s="11"/>
    </row>
    <row r="805">
      <c r="I805" s="11"/>
    </row>
    <row r="806">
      <c r="I806" s="11"/>
    </row>
    <row r="807">
      <c r="I807" s="11"/>
    </row>
    <row r="808">
      <c r="I808" s="11"/>
    </row>
    <row r="809">
      <c r="I809" s="11"/>
    </row>
    <row r="810">
      <c r="I810" s="11"/>
    </row>
    <row r="811">
      <c r="I811" s="11"/>
    </row>
    <row r="812">
      <c r="I812" s="11"/>
    </row>
    <row r="813">
      <c r="I813" s="11"/>
    </row>
    <row r="814">
      <c r="I814" s="11"/>
    </row>
    <row r="815">
      <c r="I815" s="11"/>
    </row>
    <row r="816">
      <c r="I816" s="11"/>
    </row>
    <row r="817">
      <c r="I817" s="11"/>
    </row>
    <row r="818">
      <c r="I818" s="11"/>
    </row>
    <row r="819">
      <c r="I819" s="11"/>
    </row>
    <row r="820">
      <c r="I820" s="11"/>
    </row>
    <row r="821">
      <c r="I821" s="11"/>
    </row>
    <row r="822">
      <c r="I822" s="11"/>
    </row>
    <row r="823">
      <c r="I823" s="11"/>
    </row>
    <row r="824">
      <c r="I824" s="11"/>
    </row>
    <row r="825">
      <c r="I825" s="11"/>
    </row>
    <row r="826">
      <c r="I826" s="11"/>
    </row>
    <row r="827">
      <c r="I827" s="11"/>
    </row>
    <row r="828">
      <c r="I828" s="11"/>
    </row>
    <row r="829">
      <c r="I829" s="11"/>
    </row>
    <row r="830">
      <c r="I830" s="11"/>
    </row>
    <row r="831">
      <c r="I831" s="11"/>
    </row>
    <row r="832">
      <c r="I832" s="11"/>
    </row>
    <row r="833">
      <c r="I833" s="11"/>
    </row>
    <row r="834">
      <c r="I834" s="11"/>
    </row>
    <row r="835">
      <c r="I835" s="11"/>
    </row>
    <row r="836">
      <c r="I836" s="11"/>
    </row>
    <row r="837">
      <c r="I837" s="11"/>
    </row>
    <row r="838">
      <c r="I838" s="11"/>
    </row>
    <row r="839">
      <c r="I839" s="11"/>
    </row>
    <row r="840">
      <c r="I840" s="11"/>
    </row>
    <row r="841">
      <c r="I841" s="11"/>
    </row>
    <row r="842">
      <c r="I842" s="11"/>
    </row>
    <row r="843">
      <c r="I843" s="11"/>
    </row>
    <row r="844">
      <c r="I844" s="11"/>
    </row>
    <row r="845">
      <c r="I845" s="11"/>
    </row>
    <row r="846">
      <c r="I846" s="11"/>
    </row>
    <row r="847">
      <c r="I847" s="11"/>
    </row>
    <row r="848">
      <c r="I848" s="11"/>
    </row>
    <row r="849">
      <c r="I849" s="11"/>
    </row>
    <row r="850">
      <c r="I850" s="11"/>
    </row>
    <row r="851">
      <c r="I851" s="11"/>
    </row>
    <row r="852">
      <c r="I852" s="11"/>
    </row>
    <row r="853">
      <c r="I853" s="11"/>
    </row>
    <row r="854">
      <c r="I854" s="11"/>
    </row>
    <row r="855">
      <c r="I855" s="11"/>
    </row>
    <row r="856">
      <c r="I856" s="11"/>
    </row>
    <row r="857">
      <c r="I857" s="11"/>
    </row>
    <row r="858">
      <c r="I858" s="11"/>
    </row>
    <row r="859">
      <c r="I859" s="11"/>
    </row>
    <row r="860">
      <c r="I860" s="11"/>
    </row>
    <row r="861">
      <c r="I861" s="11"/>
    </row>
    <row r="862">
      <c r="I862" s="11"/>
    </row>
    <row r="863">
      <c r="I863" s="11"/>
    </row>
    <row r="864">
      <c r="I864" s="11"/>
    </row>
    <row r="865">
      <c r="I865" s="11"/>
    </row>
    <row r="866">
      <c r="I866" s="11"/>
    </row>
    <row r="867">
      <c r="I867" s="11"/>
    </row>
    <row r="868">
      <c r="I868" s="11"/>
    </row>
    <row r="869">
      <c r="I869" s="11"/>
    </row>
    <row r="870">
      <c r="I870" s="11"/>
    </row>
    <row r="871">
      <c r="I871" s="11"/>
    </row>
    <row r="872">
      <c r="I872" s="11"/>
    </row>
    <row r="873">
      <c r="I873" s="11"/>
    </row>
    <row r="874">
      <c r="I874" s="11"/>
    </row>
    <row r="875">
      <c r="I875" s="11"/>
    </row>
    <row r="876">
      <c r="I876" s="11"/>
    </row>
    <row r="877">
      <c r="I877" s="11"/>
    </row>
    <row r="878">
      <c r="I878" s="11"/>
    </row>
    <row r="879">
      <c r="I879" s="11"/>
    </row>
    <row r="880">
      <c r="I880" s="11"/>
    </row>
    <row r="881">
      <c r="I881" s="11"/>
    </row>
    <row r="882">
      <c r="I882" s="11"/>
    </row>
    <row r="883">
      <c r="I883" s="11"/>
    </row>
    <row r="884">
      <c r="I884" s="11"/>
    </row>
    <row r="885">
      <c r="I885" s="11"/>
    </row>
    <row r="886">
      <c r="I886" s="11"/>
    </row>
    <row r="887">
      <c r="I887" s="11"/>
    </row>
    <row r="888">
      <c r="I888" s="11"/>
    </row>
    <row r="889">
      <c r="I889" s="11"/>
    </row>
    <row r="890">
      <c r="I890" s="11"/>
    </row>
    <row r="891">
      <c r="I891" s="11"/>
    </row>
    <row r="892">
      <c r="I892" s="11"/>
    </row>
    <row r="893">
      <c r="I893" s="11"/>
    </row>
    <row r="894">
      <c r="I894" s="11"/>
    </row>
    <row r="895">
      <c r="I895" s="11"/>
    </row>
    <row r="896">
      <c r="I896" s="11"/>
    </row>
    <row r="897">
      <c r="I897" s="11"/>
    </row>
    <row r="898">
      <c r="I898" s="11"/>
    </row>
    <row r="899">
      <c r="I899" s="11"/>
    </row>
    <row r="900">
      <c r="I900" s="11"/>
    </row>
    <row r="901">
      <c r="I901" s="11"/>
    </row>
    <row r="902">
      <c r="I902" s="11"/>
    </row>
    <row r="903">
      <c r="I903" s="11"/>
    </row>
    <row r="904">
      <c r="I904" s="11"/>
    </row>
    <row r="905">
      <c r="I905" s="11"/>
    </row>
    <row r="906">
      <c r="I906" s="11"/>
    </row>
    <row r="907">
      <c r="I907" s="11"/>
    </row>
    <row r="908">
      <c r="I908" s="11"/>
    </row>
    <row r="909">
      <c r="I909" s="11"/>
    </row>
    <row r="910">
      <c r="I910" s="11"/>
    </row>
    <row r="911">
      <c r="I911" s="11"/>
    </row>
    <row r="912">
      <c r="I912" s="11"/>
    </row>
    <row r="913">
      <c r="I913" s="11"/>
    </row>
    <row r="914">
      <c r="I914" s="11"/>
    </row>
    <row r="915">
      <c r="I915" s="11"/>
    </row>
    <row r="916">
      <c r="I916" s="11"/>
    </row>
    <row r="917">
      <c r="I917" s="11"/>
    </row>
    <row r="918">
      <c r="I918" s="11"/>
    </row>
    <row r="919">
      <c r="I919" s="11"/>
    </row>
    <row r="920">
      <c r="I920" s="11"/>
    </row>
    <row r="921">
      <c r="I921" s="11"/>
    </row>
    <row r="922">
      <c r="I922" s="11"/>
    </row>
    <row r="923">
      <c r="I923" s="11"/>
    </row>
    <row r="924">
      <c r="I924" s="11"/>
    </row>
    <row r="925">
      <c r="I925" s="11"/>
    </row>
    <row r="926">
      <c r="I926" s="11"/>
    </row>
    <row r="927">
      <c r="I927" s="11"/>
    </row>
    <row r="928">
      <c r="I928" s="11"/>
    </row>
    <row r="929">
      <c r="I929" s="11"/>
    </row>
    <row r="930">
      <c r="I930" s="11"/>
    </row>
    <row r="931">
      <c r="I931" s="11"/>
    </row>
    <row r="932">
      <c r="I932" s="11"/>
    </row>
    <row r="933">
      <c r="I933" s="11"/>
    </row>
    <row r="934">
      <c r="I934" s="11"/>
    </row>
    <row r="935">
      <c r="I935" s="11"/>
    </row>
    <row r="936">
      <c r="I936" s="11"/>
    </row>
    <row r="937">
      <c r="I937" s="11"/>
    </row>
    <row r="938">
      <c r="I938" s="11"/>
    </row>
    <row r="939">
      <c r="I939" s="11"/>
    </row>
    <row r="940">
      <c r="I940" s="11"/>
    </row>
    <row r="941">
      <c r="I941" s="11"/>
    </row>
    <row r="942">
      <c r="I942" s="11"/>
    </row>
    <row r="943">
      <c r="I943" s="11"/>
    </row>
    <row r="944">
      <c r="I944" s="11"/>
    </row>
    <row r="945">
      <c r="I945" s="11"/>
    </row>
    <row r="946">
      <c r="I946" s="11"/>
    </row>
    <row r="947">
      <c r="I947" s="11"/>
    </row>
    <row r="948">
      <c r="I948" s="11"/>
    </row>
    <row r="949">
      <c r="I949" s="11"/>
    </row>
    <row r="950">
      <c r="I950" s="11"/>
    </row>
    <row r="951">
      <c r="I951" s="11"/>
    </row>
    <row r="952">
      <c r="I952" s="11"/>
    </row>
    <row r="953">
      <c r="I953" s="11"/>
    </row>
    <row r="954">
      <c r="I954" s="11"/>
    </row>
    <row r="955">
      <c r="I955" s="11"/>
    </row>
    <row r="956">
      <c r="I956" s="11"/>
    </row>
    <row r="957">
      <c r="I957" s="11"/>
    </row>
    <row r="958">
      <c r="I958" s="11"/>
    </row>
    <row r="959">
      <c r="I959" s="11"/>
    </row>
    <row r="960">
      <c r="I960" s="11"/>
    </row>
    <row r="961">
      <c r="I961" s="11"/>
    </row>
    <row r="962">
      <c r="I962" s="11"/>
    </row>
    <row r="963">
      <c r="I963" s="11"/>
    </row>
    <row r="964">
      <c r="I964" s="11"/>
    </row>
    <row r="965">
      <c r="I965" s="11"/>
    </row>
    <row r="966">
      <c r="I966" s="11"/>
    </row>
    <row r="967">
      <c r="I967" s="11"/>
    </row>
    <row r="968">
      <c r="I968" s="11"/>
    </row>
    <row r="969">
      <c r="I969" s="11"/>
    </row>
    <row r="970">
      <c r="I970" s="11"/>
    </row>
    <row r="971">
      <c r="I971" s="11"/>
    </row>
    <row r="972">
      <c r="I972" s="11"/>
    </row>
    <row r="973">
      <c r="I973" s="11"/>
    </row>
    <row r="974">
      <c r="I974" s="11"/>
    </row>
    <row r="975">
      <c r="I975" s="11"/>
    </row>
    <row r="976">
      <c r="I976" s="11"/>
    </row>
    <row r="977">
      <c r="I977" s="11"/>
    </row>
    <row r="978">
      <c r="I978" s="11"/>
    </row>
    <row r="979">
      <c r="I979" s="11"/>
    </row>
    <row r="980">
      <c r="I980" s="11"/>
    </row>
    <row r="981">
      <c r="I981" s="11"/>
    </row>
    <row r="982">
      <c r="I982" s="11"/>
    </row>
    <row r="983">
      <c r="I983" s="11"/>
    </row>
    <row r="984">
      <c r="I984" s="11"/>
    </row>
    <row r="985">
      <c r="I985" s="11"/>
    </row>
    <row r="986">
      <c r="I986" s="11"/>
    </row>
    <row r="987">
      <c r="I987" s="11"/>
    </row>
    <row r="988">
      <c r="I988" s="11"/>
    </row>
    <row r="989">
      <c r="I989" s="11"/>
    </row>
    <row r="990">
      <c r="I990" s="11"/>
    </row>
    <row r="991">
      <c r="I991" s="11"/>
    </row>
    <row r="992">
      <c r="I992" s="11"/>
    </row>
    <row r="993">
      <c r="I993" s="11"/>
    </row>
    <row r="994">
      <c r="I994" s="11"/>
    </row>
    <row r="995">
      <c r="I995" s="11"/>
    </row>
    <row r="996">
      <c r="I996" s="11"/>
    </row>
    <row r="997">
      <c r="I997" s="11"/>
    </row>
    <row r="998">
      <c r="I998" s="11"/>
    </row>
    <row r="999">
      <c r="I999" s="11"/>
    </row>
    <row r="1000">
      <c r="I1000" s="11"/>
    </row>
  </sheetData>
  <autoFilter ref="$A$1:$L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</cols>
  <sheetData>
    <row r="1">
      <c r="A1" s="13" t="s">
        <v>523</v>
      </c>
      <c r="D1" s="7" t="s">
        <v>523</v>
      </c>
      <c r="E1" s="7" t="s">
        <v>524</v>
      </c>
    </row>
    <row r="2">
      <c r="A2" s="13" t="s">
        <v>70</v>
      </c>
      <c r="B2" s="9">
        <f t="shared" ref="B2:B10" si="1">VLOOKUP(A2,D:E,2,false)</f>
        <v>9079571</v>
      </c>
      <c r="D2" s="7" t="s">
        <v>70</v>
      </c>
      <c r="E2" s="7">
        <v>9079571.0</v>
      </c>
    </row>
    <row r="3">
      <c r="A3" s="13" t="s">
        <v>70</v>
      </c>
      <c r="B3" s="9">
        <f t="shared" si="1"/>
        <v>9079571</v>
      </c>
      <c r="D3" s="7" t="s">
        <v>70</v>
      </c>
      <c r="E3" s="7">
        <v>9079571.0</v>
      </c>
    </row>
    <row r="4">
      <c r="A4" s="13" t="s">
        <v>70</v>
      </c>
      <c r="B4" s="9">
        <f t="shared" si="1"/>
        <v>9079571</v>
      </c>
      <c r="D4" s="7" t="s">
        <v>70</v>
      </c>
      <c r="E4" s="7">
        <v>9079571.0</v>
      </c>
    </row>
    <row r="5">
      <c r="A5" s="13" t="s">
        <v>70</v>
      </c>
      <c r="B5" s="9">
        <f t="shared" si="1"/>
        <v>9079571</v>
      </c>
      <c r="D5" s="7" t="s">
        <v>70</v>
      </c>
      <c r="E5" s="7">
        <v>9079571.0</v>
      </c>
    </row>
    <row r="6">
      <c r="A6" s="13" t="s">
        <v>70</v>
      </c>
      <c r="B6" s="9">
        <f t="shared" si="1"/>
        <v>9079571</v>
      </c>
      <c r="D6" s="7" t="s">
        <v>70</v>
      </c>
      <c r="E6" s="7">
        <v>9079571.0</v>
      </c>
    </row>
    <row r="7">
      <c r="A7" s="13" t="s">
        <v>70</v>
      </c>
      <c r="B7" s="9">
        <f t="shared" si="1"/>
        <v>9079571</v>
      </c>
      <c r="D7" s="7" t="s">
        <v>70</v>
      </c>
      <c r="E7" s="7">
        <v>9079571.0</v>
      </c>
    </row>
    <row r="8">
      <c r="A8" s="13" t="s">
        <v>70</v>
      </c>
      <c r="B8" s="9">
        <f t="shared" si="1"/>
        <v>9079571</v>
      </c>
      <c r="D8" s="7" t="s">
        <v>70</v>
      </c>
      <c r="E8" s="7">
        <v>9079571.0</v>
      </c>
    </row>
    <row r="9">
      <c r="A9" s="13" t="s">
        <v>70</v>
      </c>
      <c r="B9" s="9">
        <f t="shared" si="1"/>
        <v>9079571</v>
      </c>
      <c r="D9" s="7" t="s">
        <v>70</v>
      </c>
      <c r="E9" s="7">
        <v>9079571.0</v>
      </c>
    </row>
    <row r="10">
      <c r="A10" s="13" t="s">
        <v>70</v>
      </c>
      <c r="B10" s="9">
        <f t="shared" si="1"/>
        <v>9079571</v>
      </c>
      <c r="D10" s="7" t="s">
        <v>110</v>
      </c>
      <c r="E10" s="7">
        <v>1.7425766E7</v>
      </c>
    </row>
    <row r="11">
      <c r="A11" s="13" t="s">
        <v>302</v>
      </c>
      <c r="B11" s="7">
        <v>2.1104854E7</v>
      </c>
      <c r="D11" s="7" t="s">
        <v>110</v>
      </c>
      <c r="E11" s="7">
        <v>1.7425766E7</v>
      </c>
    </row>
    <row r="12">
      <c r="A12" s="13" t="s">
        <v>302</v>
      </c>
      <c r="B12" s="7">
        <v>2.1104854E7</v>
      </c>
      <c r="D12" s="7" t="s">
        <v>110</v>
      </c>
      <c r="E12" s="7">
        <v>1.7425766E7</v>
      </c>
    </row>
    <row r="13">
      <c r="A13" s="13" t="s">
        <v>110</v>
      </c>
      <c r="B13" s="9">
        <f t="shared" ref="B13:B29" si="2">VLOOKUP(A13,D:E,2,false)</f>
        <v>17425766</v>
      </c>
      <c r="D13" s="7" t="s">
        <v>121</v>
      </c>
      <c r="E13" s="7">
        <v>1.743782E7</v>
      </c>
    </row>
    <row r="14">
      <c r="A14" s="13" t="s">
        <v>110</v>
      </c>
      <c r="B14" s="9">
        <f t="shared" si="2"/>
        <v>17425766</v>
      </c>
      <c r="D14" s="7" t="s">
        <v>121</v>
      </c>
      <c r="E14" s="7">
        <v>1.743782E7</v>
      </c>
    </row>
    <row r="15">
      <c r="A15" s="13" t="s">
        <v>110</v>
      </c>
      <c r="B15" s="9">
        <f t="shared" si="2"/>
        <v>17425766</v>
      </c>
      <c r="D15" s="7" t="s">
        <v>121</v>
      </c>
      <c r="E15" s="7">
        <v>1.743782E7</v>
      </c>
    </row>
    <row r="16">
      <c r="A16" s="13" t="s">
        <v>110</v>
      </c>
      <c r="B16" s="9">
        <f t="shared" si="2"/>
        <v>17425766</v>
      </c>
      <c r="D16" s="7" t="s">
        <v>121</v>
      </c>
      <c r="E16" s="7">
        <v>1.743782E7</v>
      </c>
    </row>
    <row r="17">
      <c r="A17" s="13" t="s">
        <v>110</v>
      </c>
      <c r="B17" s="9">
        <f t="shared" si="2"/>
        <v>17425766</v>
      </c>
      <c r="D17" s="7" t="s">
        <v>121</v>
      </c>
      <c r="E17" s="7">
        <v>1.743782E7</v>
      </c>
    </row>
    <row r="18">
      <c r="A18" s="13" t="s">
        <v>121</v>
      </c>
      <c r="B18" s="9">
        <f t="shared" si="2"/>
        <v>17437820</v>
      </c>
      <c r="D18" s="7" t="s">
        <v>141</v>
      </c>
      <c r="E18" s="7">
        <v>1.6849453E7</v>
      </c>
    </row>
    <row r="19">
      <c r="A19" s="13" t="s">
        <v>121</v>
      </c>
      <c r="B19" s="9">
        <f t="shared" si="2"/>
        <v>17437820</v>
      </c>
      <c r="D19" s="7" t="s">
        <v>141</v>
      </c>
      <c r="E19" s="7">
        <v>1.6849453E7</v>
      </c>
    </row>
    <row r="20">
      <c r="A20" s="13" t="s">
        <v>121</v>
      </c>
      <c r="B20" s="9">
        <f t="shared" si="2"/>
        <v>17437820</v>
      </c>
      <c r="D20" s="7" t="s">
        <v>374</v>
      </c>
      <c r="E20" s="7">
        <v>8814784.0</v>
      </c>
    </row>
    <row r="21">
      <c r="A21" s="13" t="s">
        <v>121</v>
      </c>
      <c r="B21" s="9">
        <f t="shared" si="2"/>
        <v>17437820</v>
      </c>
      <c r="D21" s="7" t="s">
        <v>129</v>
      </c>
      <c r="E21" s="7">
        <v>8307933.0</v>
      </c>
    </row>
    <row r="22">
      <c r="A22" s="13" t="s">
        <v>121</v>
      </c>
      <c r="B22" s="9">
        <f t="shared" si="2"/>
        <v>17437820</v>
      </c>
      <c r="D22" s="7" t="s">
        <v>129</v>
      </c>
      <c r="E22" s="7">
        <v>8307933.0</v>
      </c>
    </row>
    <row r="23">
      <c r="A23" s="13" t="s">
        <v>121</v>
      </c>
      <c r="B23" s="9">
        <f t="shared" si="2"/>
        <v>17437820</v>
      </c>
      <c r="D23" s="7" t="s">
        <v>55</v>
      </c>
      <c r="E23" s="7">
        <v>1.6865615E7</v>
      </c>
    </row>
    <row r="24">
      <c r="A24" s="13" t="s">
        <v>141</v>
      </c>
      <c r="B24" s="9">
        <f t="shared" si="2"/>
        <v>16849453</v>
      </c>
      <c r="D24" s="7" t="s">
        <v>55</v>
      </c>
      <c r="E24" s="7">
        <v>1.6865615E7</v>
      </c>
    </row>
    <row r="25">
      <c r="A25" s="13" t="s">
        <v>141</v>
      </c>
      <c r="B25" s="9">
        <f t="shared" si="2"/>
        <v>16849453</v>
      </c>
      <c r="D25" s="7" t="s">
        <v>55</v>
      </c>
      <c r="E25" s="7">
        <v>1.6865615E7</v>
      </c>
    </row>
    <row r="26">
      <c r="A26" s="13" t="s">
        <v>141</v>
      </c>
      <c r="B26" s="9">
        <f t="shared" si="2"/>
        <v>16849453</v>
      </c>
      <c r="D26" s="7" t="s">
        <v>55</v>
      </c>
      <c r="E26" s="7">
        <v>1.6865615E7</v>
      </c>
    </row>
    <row r="27">
      <c r="A27" s="13" t="s">
        <v>141</v>
      </c>
      <c r="B27" s="9">
        <f t="shared" si="2"/>
        <v>16849453</v>
      </c>
      <c r="D27" s="7" t="s">
        <v>55</v>
      </c>
      <c r="E27" s="7">
        <v>1.6865615E7</v>
      </c>
    </row>
    <row r="28">
      <c r="A28" s="13" t="s">
        <v>141</v>
      </c>
      <c r="B28" s="9">
        <f t="shared" si="2"/>
        <v>16849453</v>
      </c>
      <c r="D28" s="7" t="s">
        <v>55</v>
      </c>
      <c r="E28" s="7">
        <v>1.6865615E7</v>
      </c>
    </row>
    <row r="29">
      <c r="A29" s="13" t="s">
        <v>374</v>
      </c>
      <c r="B29" s="9">
        <f t="shared" si="2"/>
        <v>8814784</v>
      </c>
      <c r="D29" s="7" t="s">
        <v>55</v>
      </c>
      <c r="E29" s="7">
        <v>1.6865615E7</v>
      </c>
    </row>
    <row r="30">
      <c r="A30" s="13" t="s">
        <v>219</v>
      </c>
      <c r="B30" s="7">
        <v>2.077661E7</v>
      </c>
      <c r="D30" s="7" t="s">
        <v>55</v>
      </c>
      <c r="E30" s="7">
        <v>1.6865615E7</v>
      </c>
    </row>
    <row r="31">
      <c r="A31" s="13" t="s">
        <v>129</v>
      </c>
      <c r="B31" s="9">
        <f t="shared" ref="B31:B32" si="3">VLOOKUP(A31,D:E,2,false)</f>
        <v>8307933</v>
      </c>
      <c r="D31" s="7" t="s">
        <v>55</v>
      </c>
      <c r="E31" s="7">
        <v>1.6865615E7</v>
      </c>
    </row>
    <row r="32">
      <c r="A32" s="13" t="s">
        <v>129</v>
      </c>
      <c r="B32" s="9">
        <f t="shared" si="3"/>
        <v>8307933</v>
      </c>
      <c r="D32" s="7" t="s">
        <v>55</v>
      </c>
      <c r="E32" s="7">
        <v>1.6865615E7</v>
      </c>
    </row>
    <row r="33">
      <c r="A33" s="13" t="s">
        <v>227</v>
      </c>
      <c r="B33" s="7">
        <v>8046194.0</v>
      </c>
      <c r="D33" s="7" t="s">
        <v>55</v>
      </c>
      <c r="E33" s="7">
        <v>1.6865615E7</v>
      </c>
    </row>
    <row r="34">
      <c r="A34" s="13" t="s">
        <v>55</v>
      </c>
      <c r="B34" s="9">
        <f t="shared" ref="B34:B163" si="4">VLOOKUP(A34,D:E,2,false)</f>
        <v>16865615</v>
      </c>
      <c r="D34" s="7" t="s">
        <v>55</v>
      </c>
      <c r="E34" s="7">
        <v>1.6865615E7</v>
      </c>
    </row>
    <row r="35">
      <c r="A35" s="13" t="s">
        <v>55</v>
      </c>
      <c r="B35" s="9">
        <f t="shared" si="4"/>
        <v>16865615</v>
      </c>
      <c r="D35" s="7" t="s">
        <v>55</v>
      </c>
      <c r="E35" s="7">
        <v>1.6865615E7</v>
      </c>
    </row>
    <row r="36">
      <c r="A36" s="13" t="s">
        <v>55</v>
      </c>
      <c r="B36" s="9">
        <f t="shared" si="4"/>
        <v>16865615</v>
      </c>
      <c r="D36" s="7" t="s">
        <v>55</v>
      </c>
      <c r="E36" s="7">
        <v>1.6865615E7</v>
      </c>
    </row>
    <row r="37">
      <c r="A37" s="13" t="s">
        <v>55</v>
      </c>
      <c r="B37" s="9">
        <f t="shared" si="4"/>
        <v>16865615</v>
      </c>
      <c r="D37" s="7" t="s">
        <v>55</v>
      </c>
      <c r="E37" s="7">
        <v>1.6865615E7</v>
      </c>
    </row>
    <row r="38">
      <c r="A38" s="13" t="s">
        <v>55</v>
      </c>
      <c r="B38" s="9">
        <f t="shared" si="4"/>
        <v>16865615</v>
      </c>
      <c r="D38" s="7" t="s">
        <v>55</v>
      </c>
      <c r="E38" s="7">
        <v>1.6865615E7</v>
      </c>
    </row>
    <row r="39">
      <c r="A39" s="13" t="s">
        <v>55</v>
      </c>
      <c r="B39" s="9">
        <f t="shared" si="4"/>
        <v>16865615</v>
      </c>
      <c r="D39" s="7" t="s">
        <v>55</v>
      </c>
      <c r="E39" s="7">
        <v>1.6865615E7</v>
      </c>
    </row>
    <row r="40">
      <c r="A40" s="13" t="s">
        <v>55</v>
      </c>
      <c r="B40" s="9">
        <f t="shared" si="4"/>
        <v>16865615</v>
      </c>
      <c r="D40" s="7" t="s">
        <v>55</v>
      </c>
      <c r="E40" s="7">
        <v>1.6865615E7</v>
      </c>
    </row>
    <row r="41">
      <c r="A41" s="13" t="s">
        <v>55</v>
      </c>
      <c r="B41" s="9">
        <f t="shared" si="4"/>
        <v>16865615</v>
      </c>
      <c r="D41" s="7" t="s">
        <v>55</v>
      </c>
      <c r="E41" s="7">
        <v>1.6865615E7</v>
      </c>
    </row>
    <row r="42">
      <c r="A42" s="13" t="s">
        <v>55</v>
      </c>
      <c r="B42" s="9">
        <f t="shared" si="4"/>
        <v>16865615</v>
      </c>
      <c r="D42" s="7" t="s">
        <v>55</v>
      </c>
      <c r="E42" s="7">
        <v>1.6865615E7</v>
      </c>
    </row>
    <row r="43">
      <c r="A43" s="13" t="s">
        <v>55</v>
      </c>
      <c r="B43" s="9">
        <f t="shared" si="4"/>
        <v>16865615</v>
      </c>
      <c r="D43" s="7" t="s">
        <v>55</v>
      </c>
      <c r="E43" s="7">
        <v>1.6865615E7</v>
      </c>
    </row>
    <row r="44">
      <c r="A44" s="13" t="s">
        <v>55</v>
      </c>
      <c r="B44" s="9">
        <f t="shared" si="4"/>
        <v>16865615</v>
      </c>
      <c r="D44" s="7" t="s">
        <v>55</v>
      </c>
      <c r="E44" s="7">
        <v>1.6865615E7</v>
      </c>
    </row>
    <row r="45">
      <c r="A45" s="13" t="s">
        <v>55</v>
      </c>
      <c r="B45" s="9">
        <f t="shared" si="4"/>
        <v>16865615</v>
      </c>
      <c r="D45" s="7" t="s">
        <v>55</v>
      </c>
      <c r="E45" s="7">
        <v>1.6865615E7</v>
      </c>
    </row>
    <row r="46">
      <c r="A46" s="13" t="s">
        <v>55</v>
      </c>
      <c r="B46" s="9">
        <f t="shared" si="4"/>
        <v>16865615</v>
      </c>
      <c r="D46" s="7" t="s">
        <v>55</v>
      </c>
      <c r="E46" s="7">
        <v>1.6865615E7</v>
      </c>
    </row>
    <row r="47">
      <c r="A47" s="13" t="s">
        <v>55</v>
      </c>
      <c r="B47" s="9">
        <f t="shared" si="4"/>
        <v>16865615</v>
      </c>
      <c r="D47" s="7" t="s">
        <v>55</v>
      </c>
      <c r="E47" s="7">
        <v>1.6865615E7</v>
      </c>
    </row>
    <row r="48">
      <c r="A48" s="13" t="s">
        <v>55</v>
      </c>
      <c r="B48" s="9">
        <f t="shared" si="4"/>
        <v>16865615</v>
      </c>
      <c r="D48" s="7" t="s">
        <v>55</v>
      </c>
      <c r="E48" s="7">
        <v>1.6865615E7</v>
      </c>
    </row>
    <row r="49">
      <c r="A49" s="13" t="s">
        <v>55</v>
      </c>
      <c r="B49" s="9">
        <f t="shared" si="4"/>
        <v>16865615</v>
      </c>
      <c r="D49" s="7" t="s">
        <v>55</v>
      </c>
      <c r="E49" s="7">
        <v>1.6865615E7</v>
      </c>
    </row>
    <row r="50">
      <c r="A50" s="13" t="s">
        <v>55</v>
      </c>
      <c r="B50" s="9">
        <f t="shared" si="4"/>
        <v>16865615</v>
      </c>
      <c r="D50" s="7" t="s">
        <v>55</v>
      </c>
      <c r="E50" s="7">
        <v>1.6865615E7</v>
      </c>
    </row>
    <row r="51">
      <c r="A51" s="13" t="s">
        <v>55</v>
      </c>
      <c r="B51" s="9">
        <f t="shared" si="4"/>
        <v>16865615</v>
      </c>
      <c r="D51" s="7" t="s">
        <v>55</v>
      </c>
      <c r="E51" s="7">
        <v>1.6865615E7</v>
      </c>
    </row>
    <row r="52">
      <c r="A52" s="13" t="s">
        <v>55</v>
      </c>
      <c r="B52" s="9">
        <f t="shared" si="4"/>
        <v>16865615</v>
      </c>
      <c r="D52" s="7" t="s">
        <v>55</v>
      </c>
      <c r="E52" s="7">
        <v>1.6865615E7</v>
      </c>
    </row>
    <row r="53">
      <c r="A53" s="13" t="s">
        <v>55</v>
      </c>
      <c r="B53" s="9">
        <f t="shared" si="4"/>
        <v>16865615</v>
      </c>
      <c r="D53" s="7" t="s">
        <v>55</v>
      </c>
      <c r="E53" s="7">
        <v>1.6865615E7</v>
      </c>
    </row>
    <row r="54">
      <c r="A54" s="13" t="s">
        <v>55</v>
      </c>
      <c r="B54" s="9">
        <f t="shared" si="4"/>
        <v>16865615</v>
      </c>
      <c r="D54" s="7" t="s">
        <v>55</v>
      </c>
      <c r="E54" s="7">
        <v>1.6865615E7</v>
      </c>
    </row>
    <row r="55">
      <c r="A55" s="13" t="s">
        <v>55</v>
      </c>
      <c r="B55" s="9">
        <f t="shared" si="4"/>
        <v>16865615</v>
      </c>
      <c r="D55" s="7" t="s">
        <v>161</v>
      </c>
      <c r="E55" s="7">
        <v>1.8754354E7</v>
      </c>
    </row>
    <row r="56">
      <c r="A56" s="13" t="s">
        <v>55</v>
      </c>
      <c r="B56" s="9">
        <f t="shared" si="4"/>
        <v>16865615</v>
      </c>
      <c r="D56" s="7" t="s">
        <v>161</v>
      </c>
      <c r="E56" s="7">
        <v>1.8754354E7</v>
      </c>
    </row>
    <row r="57">
      <c r="A57" s="13" t="s">
        <v>55</v>
      </c>
      <c r="B57" s="9">
        <f t="shared" si="4"/>
        <v>16865615</v>
      </c>
      <c r="D57" s="7" t="s">
        <v>161</v>
      </c>
      <c r="E57" s="7">
        <v>1.8754354E7</v>
      </c>
    </row>
    <row r="58">
      <c r="A58" s="13" t="s">
        <v>55</v>
      </c>
      <c r="B58" s="9">
        <f t="shared" si="4"/>
        <v>16865615</v>
      </c>
      <c r="D58" s="7" t="s">
        <v>161</v>
      </c>
      <c r="E58" s="7">
        <v>1.8754354E7</v>
      </c>
    </row>
    <row r="59">
      <c r="A59" s="13" t="s">
        <v>55</v>
      </c>
      <c r="B59" s="9">
        <f t="shared" si="4"/>
        <v>16865615</v>
      </c>
      <c r="D59" s="7" t="s">
        <v>169</v>
      </c>
      <c r="E59" s="7">
        <v>1.9279958E7</v>
      </c>
    </row>
    <row r="60">
      <c r="A60" s="13" t="s">
        <v>55</v>
      </c>
      <c r="B60" s="9">
        <f t="shared" si="4"/>
        <v>16865615</v>
      </c>
      <c r="D60" s="7" t="s">
        <v>169</v>
      </c>
      <c r="E60" s="7">
        <v>1.9279958E7</v>
      </c>
    </row>
    <row r="61">
      <c r="A61" s="13" t="s">
        <v>55</v>
      </c>
      <c r="B61" s="9">
        <f t="shared" si="4"/>
        <v>16865615</v>
      </c>
      <c r="D61" s="7" t="s">
        <v>169</v>
      </c>
      <c r="E61" s="7">
        <v>1.9279958E7</v>
      </c>
    </row>
    <row r="62">
      <c r="A62" s="13" t="s">
        <v>55</v>
      </c>
      <c r="B62" s="9">
        <f t="shared" si="4"/>
        <v>16865615</v>
      </c>
      <c r="D62" s="7" t="s">
        <v>169</v>
      </c>
      <c r="E62" s="7" t="s">
        <v>525</v>
      </c>
    </row>
    <row r="63">
      <c r="A63" s="13" t="s">
        <v>55</v>
      </c>
      <c r="B63" s="9">
        <f t="shared" si="4"/>
        <v>16865615</v>
      </c>
      <c r="D63" s="7" t="s">
        <v>169</v>
      </c>
      <c r="E63" s="7">
        <v>1.9279958E7</v>
      </c>
    </row>
    <row r="64">
      <c r="A64" s="13" t="s">
        <v>55</v>
      </c>
      <c r="B64" s="9">
        <f t="shared" si="4"/>
        <v>16865615</v>
      </c>
      <c r="D64" s="7" t="s">
        <v>169</v>
      </c>
      <c r="E64" s="7" t="s">
        <v>525</v>
      </c>
    </row>
    <row r="65">
      <c r="A65" s="13" t="s">
        <v>55</v>
      </c>
      <c r="B65" s="9">
        <f t="shared" si="4"/>
        <v>16865615</v>
      </c>
      <c r="D65" s="7" t="s">
        <v>169</v>
      </c>
      <c r="E65" s="7">
        <v>1.9279958E7</v>
      </c>
    </row>
    <row r="66">
      <c r="A66" s="13" t="s">
        <v>55</v>
      </c>
      <c r="B66" s="9">
        <f t="shared" si="4"/>
        <v>16865615</v>
      </c>
      <c r="D66" s="7" t="s">
        <v>169</v>
      </c>
      <c r="E66" s="7">
        <v>1.9279958E7</v>
      </c>
    </row>
    <row r="67">
      <c r="A67" s="13" t="s">
        <v>55</v>
      </c>
      <c r="B67" s="9">
        <f t="shared" si="4"/>
        <v>16865615</v>
      </c>
      <c r="D67" s="7" t="s">
        <v>394</v>
      </c>
      <c r="E67" s="7">
        <v>1.5278437E7</v>
      </c>
    </row>
    <row r="68">
      <c r="A68" s="13" t="s">
        <v>55</v>
      </c>
      <c r="B68" s="9">
        <f t="shared" si="4"/>
        <v>16865615</v>
      </c>
      <c r="D68" s="7" t="s">
        <v>39</v>
      </c>
      <c r="E68" s="7">
        <v>6634327.0</v>
      </c>
    </row>
    <row r="69">
      <c r="A69" s="13" t="s">
        <v>161</v>
      </c>
      <c r="B69" s="9">
        <f t="shared" si="4"/>
        <v>18754354</v>
      </c>
      <c r="D69" s="7" t="s">
        <v>39</v>
      </c>
      <c r="E69" s="7">
        <v>6634327.0</v>
      </c>
    </row>
    <row r="70">
      <c r="A70" s="13" t="s">
        <v>161</v>
      </c>
      <c r="B70" s="9">
        <f t="shared" si="4"/>
        <v>18754354</v>
      </c>
      <c r="D70" s="7" t="s">
        <v>39</v>
      </c>
      <c r="E70" s="7">
        <v>6634327.0</v>
      </c>
    </row>
    <row r="71">
      <c r="A71" s="13" t="s">
        <v>161</v>
      </c>
      <c r="B71" s="9">
        <f t="shared" si="4"/>
        <v>18754354</v>
      </c>
      <c r="D71" s="7" t="s">
        <v>39</v>
      </c>
      <c r="E71" s="7">
        <v>6634327.0</v>
      </c>
    </row>
    <row r="72">
      <c r="A72" s="13" t="s">
        <v>161</v>
      </c>
      <c r="B72" s="9">
        <f t="shared" si="4"/>
        <v>18754354</v>
      </c>
      <c r="D72" s="7" t="s">
        <v>39</v>
      </c>
      <c r="E72" s="7">
        <v>6634327.0</v>
      </c>
    </row>
    <row r="73">
      <c r="A73" s="13" t="s">
        <v>161</v>
      </c>
      <c r="B73" s="9">
        <f t="shared" si="4"/>
        <v>18754354</v>
      </c>
      <c r="D73" s="7" t="s">
        <v>39</v>
      </c>
      <c r="E73" s="7">
        <v>6634327.0</v>
      </c>
    </row>
    <row r="74">
      <c r="A74" s="13" t="s">
        <v>161</v>
      </c>
      <c r="B74" s="9">
        <f t="shared" si="4"/>
        <v>18754354</v>
      </c>
      <c r="D74" s="7" t="s">
        <v>39</v>
      </c>
      <c r="E74" s="7">
        <v>6634327.0</v>
      </c>
    </row>
    <row r="75">
      <c r="A75" s="13" t="s">
        <v>161</v>
      </c>
      <c r="B75" s="9">
        <f t="shared" si="4"/>
        <v>18754354</v>
      </c>
      <c r="D75" s="7" t="s">
        <v>39</v>
      </c>
      <c r="E75" s="7">
        <v>6634327.0</v>
      </c>
    </row>
    <row r="76">
      <c r="A76" s="13" t="s">
        <v>169</v>
      </c>
      <c r="B76" s="9">
        <f t="shared" si="4"/>
        <v>19279958</v>
      </c>
      <c r="D76" s="7" t="s">
        <v>39</v>
      </c>
      <c r="E76" s="7">
        <v>6634327.0</v>
      </c>
    </row>
    <row r="77">
      <c r="A77" s="13" t="s">
        <v>169</v>
      </c>
      <c r="B77" s="9">
        <f t="shared" si="4"/>
        <v>19279958</v>
      </c>
      <c r="D77" s="7" t="s">
        <v>39</v>
      </c>
      <c r="E77" s="7">
        <v>6634327.0</v>
      </c>
    </row>
    <row r="78">
      <c r="A78" s="13" t="s">
        <v>169</v>
      </c>
      <c r="B78" s="9">
        <f t="shared" si="4"/>
        <v>19279958</v>
      </c>
      <c r="D78" s="7" t="s">
        <v>39</v>
      </c>
      <c r="E78" s="7">
        <v>6634327.0</v>
      </c>
    </row>
    <row r="79">
      <c r="A79" s="13" t="s">
        <v>169</v>
      </c>
      <c r="B79" s="9">
        <f t="shared" si="4"/>
        <v>19279958</v>
      </c>
      <c r="D79" s="7" t="s">
        <v>39</v>
      </c>
      <c r="E79" s="7">
        <v>6634327.0</v>
      </c>
    </row>
    <row r="80">
      <c r="A80" s="13" t="s">
        <v>394</v>
      </c>
      <c r="B80" s="9">
        <f t="shared" si="4"/>
        <v>15278437</v>
      </c>
      <c r="D80" s="7" t="s">
        <v>39</v>
      </c>
      <c r="E80" s="7">
        <v>6634327.0</v>
      </c>
    </row>
    <row r="81">
      <c r="A81" s="13" t="s">
        <v>39</v>
      </c>
      <c r="B81" s="9">
        <f t="shared" si="4"/>
        <v>6634327</v>
      </c>
      <c r="D81" s="7" t="s">
        <v>39</v>
      </c>
      <c r="E81" s="7">
        <v>6634327.0</v>
      </c>
    </row>
    <row r="82">
      <c r="A82" s="13" t="s">
        <v>39</v>
      </c>
      <c r="B82" s="9">
        <f t="shared" si="4"/>
        <v>6634327</v>
      </c>
      <c r="D82" s="7" t="s">
        <v>39</v>
      </c>
      <c r="E82" s="7">
        <v>6634327.0</v>
      </c>
    </row>
    <row r="83">
      <c r="A83" s="13" t="s">
        <v>39</v>
      </c>
      <c r="B83" s="9">
        <f t="shared" si="4"/>
        <v>6634327</v>
      </c>
      <c r="D83" s="7" t="s">
        <v>39</v>
      </c>
      <c r="E83" s="7">
        <v>6634327.0</v>
      </c>
    </row>
    <row r="84">
      <c r="A84" s="13" t="s">
        <v>39</v>
      </c>
      <c r="B84" s="9">
        <f t="shared" si="4"/>
        <v>6634327</v>
      </c>
      <c r="D84" s="7" t="s">
        <v>39</v>
      </c>
      <c r="E84" s="7">
        <v>6634327.0</v>
      </c>
    </row>
    <row r="85">
      <c r="A85" s="13" t="s">
        <v>39</v>
      </c>
      <c r="B85" s="9">
        <f t="shared" si="4"/>
        <v>6634327</v>
      </c>
      <c r="D85" s="7" t="s">
        <v>39</v>
      </c>
      <c r="E85" s="7">
        <v>6634327.0</v>
      </c>
    </row>
    <row r="86">
      <c r="A86" s="13" t="s">
        <v>39</v>
      </c>
      <c r="B86" s="9">
        <f t="shared" si="4"/>
        <v>6634327</v>
      </c>
      <c r="D86" s="7" t="s">
        <v>39</v>
      </c>
      <c r="E86" s="7">
        <v>6634327.0</v>
      </c>
    </row>
    <row r="87">
      <c r="A87" s="13" t="s">
        <v>39</v>
      </c>
      <c r="B87" s="9">
        <f t="shared" si="4"/>
        <v>6634327</v>
      </c>
      <c r="D87" s="7" t="s">
        <v>39</v>
      </c>
      <c r="E87" s="7">
        <v>6634327.0</v>
      </c>
    </row>
    <row r="88">
      <c r="A88" s="13" t="s">
        <v>39</v>
      </c>
      <c r="B88" s="9">
        <f t="shared" si="4"/>
        <v>6634327</v>
      </c>
      <c r="D88" s="7" t="s">
        <v>39</v>
      </c>
      <c r="E88" s="7">
        <v>6634327.0</v>
      </c>
    </row>
    <row r="89">
      <c r="A89" s="13" t="s">
        <v>39</v>
      </c>
      <c r="B89" s="9">
        <f t="shared" si="4"/>
        <v>6634327</v>
      </c>
      <c r="D89" s="7" t="s">
        <v>39</v>
      </c>
      <c r="E89" s="7">
        <v>6634327.0</v>
      </c>
    </row>
    <row r="90">
      <c r="A90" s="13" t="s">
        <v>39</v>
      </c>
      <c r="B90" s="9">
        <f t="shared" si="4"/>
        <v>6634327</v>
      </c>
      <c r="D90" s="7" t="s">
        <v>39</v>
      </c>
      <c r="E90" s="7">
        <v>6634327.0</v>
      </c>
    </row>
    <row r="91">
      <c r="A91" s="13" t="s">
        <v>39</v>
      </c>
      <c r="B91" s="9">
        <f t="shared" si="4"/>
        <v>6634327</v>
      </c>
      <c r="D91" s="7" t="s">
        <v>39</v>
      </c>
      <c r="E91" s="7">
        <v>6634327.0</v>
      </c>
    </row>
    <row r="92">
      <c r="A92" s="13" t="s">
        <v>39</v>
      </c>
      <c r="B92" s="9">
        <f t="shared" si="4"/>
        <v>6634327</v>
      </c>
      <c r="D92" s="7" t="s">
        <v>39</v>
      </c>
      <c r="E92" s="7">
        <v>6634327.0</v>
      </c>
    </row>
    <row r="93">
      <c r="A93" s="13" t="s">
        <v>39</v>
      </c>
      <c r="B93" s="9">
        <f t="shared" si="4"/>
        <v>6634327</v>
      </c>
      <c r="D93" s="7" t="s">
        <v>39</v>
      </c>
      <c r="E93" s="7">
        <v>6634327.0</v>
      </c>
    </row>
    <row r="94">
      <c r="A94" s="13" t="s">
        <v>39</v>
      </c>
      <c r="B94" s="9">
        <f t="shared" si="4"/>
        <v>6634327</v>
      </c>
      <c r="D94" s="7" t="s">
        <v>39</v>
      </c>
      <c r="E94" s="7">
        <v>6634327.0</v>
      </c>
    </row>
    <row r="95">
      <c r="A95" s="13" t="s">
        <v>39</v>
      </c>
      <c r="B95" s="9">
        <f t="shared" si="4"/>
        <v>6634327</v>
      </c>
      <c r="D95" s="7" t="s">
        <v>39</v>
      </c>
      <c r="E95" s="7">
        <v>6634327.0</v>
      </c>
    </row>
    <row r="96">
      <c r="A96" s="13" t="s">
        <v>39</v>
      </c>
      <c r="B96" s="9">
        <f t="shared" si="4"/>
        <v>6634327</v>
      </c>
      <c r="D96" s="7" t="s">
        <v>39</v>
      </c>
      <c r="E96" s="7">
        <v>6634327.0</v>
      </c>
    </row>
    <row r="97">
      <c r="A97" s="13" t="s">
        <v>39</v>
      </c>
      <c r="B97" s="9">
        <f t="shared" si="4"/>
        <v>6634327</v>
      </c>
      <c r="D97" s="7" t="s">
        <v>39</v>
      </c>
      <c r="E97" s="7">
        <v>6634327.0</v>
      </c>
    </row>
    <row r="98">
      <c r="A98" s="13" t="s">
        <v>39</v>
      </c>
      <c r="B98" s="9">
        <f t="shared" si="4"/>
        <v>6634327</v>
      </c>
      <c r="D98" s="7" t="s">
        <v>39</v>
      </c>
      <c r="E98" s="7">
        <v>6634327.0</v>
      </c>
    </row>
    <row r="99">
      <c r="A99" s="13" t="s">
        <v>39</v>
      </c>
      <c r="B99" s="9">
        <f t="shared" si="4"/>
        <v>6634327</v>
      </c>
      <c r="D99" s="7" t="s">
        <v>39</v>
      </c>
      <c r="E99" s="7">
        <v>6634327.0</v>
      </c>
    </row>
    <row r="100">
      <c r="A100" s="13" t="s">
        <v>39</v>
      </c>
      <c r="B100" s="9">
        <f t="shared" si="4"/>
        <v>6634327</v>
      </c>
      <c r="D100" s="7" t="s">
        <v>39</v>
      </c>
      <c r="E100" s="7">
        <v>6634327.0</v>
      </c>
    </row>
    <row r="101">
      <c r="A101" s="13" t="s">
        <v>39</v>
      </c>
      <c r="B101" s="9">
        <f t="shared" si="4"/>
        <v>6634327</v>
      </c>
      <c r="D101" s="7" t="s">
        <v>39</v>
      </c>
      <c r="E101" s="7">
        <v>6634327.0</v>
      </c>
    </row>
    <row r="102">
      <c r="A102" s="13" t="s">
        <v>39</v>
      </c>
      <c r="B102" s="9">
        <f t="shared" si="4"/>
        <v>6634327</v>
      </c>
      <c r="D102" s="7" t="s">
        <v>39</v>
      </c>
      <c r="E102" s="7">
        <v>6634327.0</v>
      </c>
    </row>
    <row r="103">
      <c r="A103" s="13" t="s">
        <v>39</v>
      </c>
      <c r="B103" s="9">
        <f t="shared" si="4"/>
        <v>6634327</v>
      </c>
      <c r="D103" s="7" t="s">
        <v>39</v>
      </c>
      <c r="E103" s="7">
        <v>6634327.0</v>
      </c>
    </row>
    <row r="104">
      <c r="A104" s="13" t="s">
        <v>39</v>
      </c>
      <c r="B104" s="9">
        <f t="shared" si="4"/>
        <v>6634327</v>
      </c>
      <c r="D104" s="7" t="s">
        <v>39</v>
      </c>
      <c r="E104" s="7">
        <v>6634327.0</v>
      </c>
    </row>
    <row r="105">
      <c r="A105" s="13" t="s">
        <v>39</v>
      </c>
      <c r="B105" s="9">
        <f t="shared" si="4"/>
        <v>6634327</v>
      </c>
      <c r="D105" s="7" t="s">
        <v>39</v>
      </c>
      <c r="E105" s="7">
        <v>6634327.0</v>
      </c>
    </row>
    <row r="106">
      <c r="A106" s="13" t="s">
        <v>39</v>
      </c>
      <c r="B106" s="9">
        <f t="shared" si="4"/>
        <v>6634327</v>
      </c>
      <c r="D106" s="7" t="s">
        <v>39</v>
      </c>
      <c r="E106" s="7">
        <v>6634327.0</v>
      </c>
    </row>
    <row r="107">
      <c r="A107" s="13" t="s">
        <v>39</v>
      </c>
      <c r="B107" s="9">
        <f t="shared" si="4"/>
        <v>6634327</v>
      </c>
      <c r="D107" s="7" t="s">
        <v>39</v>
      </c>
      <c r="E107" s="7">
        <v>6634327.0</v>
      </c>
    </row>
    <row r="108">
      <c r="A108" s="13" t="s">
        <v>39</v>
      </c>
      <c r="B108" s="9">
        <f t="shared" si="4"/>
        <v>6634327</v>
      </c>
      <c r="D108" s="7" t="s">
        <v>39</v>
      </c>
      <c r="E108" s="7">
        <v>6634327.0</v>
      </c>
    </row>
    <row r="109">
      <c r="A109" s="13" t="s">
        <v>39</v>
      </c>
      <c r="B109" s="9">
        <f t="shared" si="4"/>
        <v>6634327</v>
      </c>
      <c r="D109" s="7" t="s">
        <v>39</v>
      </c>
      <c r="E109" s="7">
        <v>6634327.0</v>
      </c>
    </row>
    <row r="110">
      <c r="A110" s="13" t="s">
        <v>39</v>
      </c>
      <c r="B110" s="9">
        <f t="shared" si="4"/>
        <v>6634327</v>
      </c>
      <c r="D110" s="7" t="s">
        <v>39</v>
      </c>
      <c r="E110" s="7">
        <v>6634327.0</v>
      </c>
    </row>
    <row r="111">
      <c r="A111" s="13" t="s">
        <v>39</v>
      </c>
      <c r="B111" s="9">
        <f t="shared" si="4"/>
        <v>6634327</v>
      </c>
      <c r="D111" s="7" t="s">
        <v>39</v>
      </c>
      <c r="E111" s="7">
        <v>6634327.0</v>
      </c>
    </row>
    <row r="112">
      <c r="A112" s="13" t="s">
        <v>39</v>
      </c>
      <c r="B112" s="9">
        <f t="shared" si="4"/>
        <v>6634327</v>
      </c>
      <c r="D112" s="7" t="s">
        <v>39</v>
      </c>
      <c r="E112" s="7">
        <v>6634327.0</v>
      </c>
    </row>
    <row r="113">
      <c r="A113" s="13" t="s">
        <v>39</v>
      </c>
      <c r="B113" s="9">
        <f t="shared" si="4"/>
        <v>6634327</v>
      </c>
      <c r="D113" s="7" t="s">
        <v>39</v>
      </c>
      <c r="E113" s="7">
        <v>6634327.0</v>
      </c>
    </row>
    <row r="114">
      <c r="A114" s="13" t="s">
        <v>39</v>
      </c>
      <c r="B114" s="9">
        <f t="shared" si="4"/>
        <v>6634327</v>
      </c>
      <c r="D114" s="7" t="s">
        <v>39</v>
      </c>
      <c r="E114" s="7">
        <v>6634327.0</v>
      </c>
    </row>
    <row r="115">
      <c r="A115" s="13" t="s">
        <v>39</v>
      </c>
      <c r="B115" s="9">
        <f t="shared" si="4"/>
        <v>6634327</v>
      </c>
      <c r="D115" s="7" t="s">
        <v>39</v>
      </c>
      <c r="E115" s="7">
        <v>6634327.0</v>
      </c>
    </row>
    <row r="116">
      <c r="A116" s="13" t="s">
        <v>39</v>
      </c>
      <c r="B116" s="9">
        <f t="shared" si="4"/>
        <v>6634327</v>
      </c>
      <c r="D116" s="7" t="s">
        <v>39</v>
      </c>
      <c r="E116" s="7">
        <v>6634327.0</v>
      </c>
    </row>
    <row r="117">
      <c r="A117" s="13" t="s">
        <v>39</v>
      </c>
      <c r="B117" s="9">
        <f t="shared" si="4"/>
        <v>6634327</v>
      </c>
      <c r="D117" s="7" t="s">
        <v>39</v>
      </c>
      <c r="E117" s="7">
        <v>6634327.0</v>
      </c>
    </row>
    <row r="118">
      <c r="A118" s="13" t="s">
        <v>39</v>
      </c>
      <c r="B118" s="9">
        <f t="shared" si="4"/>
        <v>6634327</v>
      </c>
      <c r="D118" s="7" t="s">
        <v>39</v>
      </c>
      <c r="E118" s="7">
        <v>6634327.0</v>
      </c>
    </row>
    <row r="119">
      <c r="A119" s="13" t="s">
        <v>39</v>
      </c>
      <c r="B119" s="9">
        <f t="shared" si="4"/>
        <v>6634327</v>
      </c>
      <c r="D119" s="7" t="s">
        <v>39</v>
      </c>
      <c r="E119" s="7">
        <v>6634327.0</v>
      </c>
    </row>
    <row r="120">
      <c r="A120" s="13" t="s">
        <v>39</v>
      </c>
      <c r="B120" s="9">
        <f t="shared" si="4"/>
        <v>6634327</v>
      </c>
      <c r="D120" s="7" t="s">
        <v>39</v>
      </c>
      <c r="E120" s="7">
        <v>6634327.0</v>
      </c>
    </row>
    <row r="121">
      <c r="A121" s="13" t="s">
        <v>39</v>
      </c>
      <c r="B121" s="9">
        <f t="shared" si="4"/>
        <v>6634327</v>
      </c>
      <c r="D121" s="7" t="s">
        <v>39</v>
      </c>
      <c r="E121" s="7">
        <v>6634327.0</v>
      </c>
    </row>
    <row r="122">
      <c r="A122" s="13" t="s">
        <v>39</v>
      </c>
      <c r="B122" s="9">
        <f t="shared" si="4"/>
        <v>6634327</v>
      </c>
      <c r="D122" s="7" t="s">
        <v>39</v>
      </c>
      <c r="E122" s="7">
        <v>6634327.0</v>
      </c>
    </row>
    <row r="123">
      <c r="A123" s="13" t="s">
        <v>39</v>
      </c>
      <c r="B123" s="9">
        <f t="shared" si="4"/>
        <v>6634327</v>
      </c>
      <c r="D123" s="7" t="s">
        <v>39</v>
      </c>
      <c r="E123" s="7">
        <v>6634327.0</v>
      </c>
    </row>
    <row r="124">
      <c r="A124" s="13" t="s">
        <v>39</v>
      </c>
      <c r="B124" s="9">
        <f t="shared" si="4"/>
        <v>6634327</v>
      </c>
      <c r="D124" s="7" t="s">
        <v>39</v>
      </c>
      <c r="E124" s="7">
        <v>6634327.0</v>
      </c>
    </row>
    <row r="125">
      <c r="A125" s="13" t="s">
        <v>39</v>
      </c>
      <c r="B125" s="9">
        <f t="shared" si="4"/>
        <v>6634327</v>
      </c>
      <c r="D125" s="7" t="s">
        <v>39</v>
      </c>
      <c r="E125" s="7">
        <v>6634327.0</v>
      </c>
    </row>
    <row r="126">
      <c r="A126" s="13" t="s">
        <v>39</v>
      </c>
      <c r="B126" s="9">
        <f t="shared" si="4"/>
        <v>6634327</v>
      </c>
      <c r="D126" s="7" t="s">
        <v>39</v>
      </c>
      <c r="E126" s="7">
        <v>6634327.0</v>
      </c>
    </row>
    <row r="127">
      <c r="A127" s="13" t="s">
        <v>39</v>
      </c>
      <c r="B127" s="9">
        <f t="shared" si="4"/>
        <v>6634327</v>
      </c>
      <c r="D127" s="7" t="s">
        <v>39</v>
      </c>
      <c r="E127" s="7">
        <v>6634327.0</v>
      </c>
    </row>
    <row r="128">
      <c r="A128" s="13" t="s">
        <v>39</v>
      </c>
      <c r="B128" s="9">
        <f t="shared" si="4"/>
        <v>6634327</v>
      </c>
      <c r="D128" s="7" t="s">
        <v>39</v>
      </c>
      <c r="E128" s="7">
        <v>6634327.0</v>
      </c>
    </row>
    <row r="129">
      <c r="A129" s="13" t="s">
        <v>39</v>
      </c>
      <c r="B129" s="9">
        <f t="shared" si="4"/>
        <v>6634327</v>
      </c>
      <c r="D129" s="7" t="s">
        <v>39</v>
      </c>
      <c r="E129" s="7">
        <v>6634327.0</v>
      </c>
    </row>
    <row r="130">
      <c r="A130" s="13" t="s">
        <v>39</v>
      </c>
      <c r="B130" s="9">
        <f t="shared" si="4"/>
        <v>6634327</v>
      </c>
      <c r="D130" s="7" t="s">
        <v>39</v>
      </c>
      <c r="E130" s="7">
        <v>6634327.0</v>
      </c>
    </row>
    <row r="131">
      <c r="A131" s="13" t="s">
        <v>39</v>
      </c>
      <c r="B131" s="9">
        <f t="shared" si="4"/>
        <v>6634327</v>
      </c>
      <c r="D131" s="7" t="s">
        <v>39</v>
      </c>
      <c r="E131" s="7">
        <v>6634327.0</v>
      </c>
    </row>
    <row r="132">
      <c r="A132" s="13" t="s">
        <v>39</v>
      </c>
      <c r="B132" s="9">
        <f t="shared" si="4"/>
        <v>6634327</v>
      </c>
      <c r="D132" s="7" t="s">
        <v>39</v>
      </c>
      <c r="E132" s="7">
        <v>6634327.0</v>
      </c>
    </row>
    <row r="133">
      <c r="A133" s="13" t="s">
        <v>39</v>
      </c>
      <c r="B133" s="9">
        <f t="shared" si="4"/>
        <v>6634327</v>
      </c>
      <c r="D133" s="7" t="s">
        <v>39</v>
      </c>
      <c r="E133" s="7">
        <v>6634327.0</v>
      </c>
    </row>
    <row r="134">
      <c r="A134" s="13" t="s">
        <v>39</v>
      </c>
      <c r="B134" s="9">
        <f t="shared" si="4"/>
        <v>6634327</v>
      </c>
      <c r="D134" s="7" t="s">
        <v>39</v>
      </c>
      <c r="E134" s="7">
        <v>6634327.0</v>
      </c>
    </row>
    <row r="135">
      <c r="A135" s="13" t="s">
        <v>39</v>
      </c>
      <c r="B135" s="9">
        <f t="shared" si="4"/>
        <v>6634327</v>
      </c>
      <c r="D135" s="7" t="s">
        <v>39</v>
      </c>
      <c r="E135" s="7">
        <v>6634327.0</v>
      </c>
    </row>
    <row r="136">
      <c r="A136" s="13" t="s">
        <v>39</v>
      </c>
      <c r="B136" s="9">
        <f t="shared" si="4"/>
        <v>6634327</v>
      </c>
      <c r="D136" s="7" t="s">
        <v>39</v>
      </c>
      <c r="E136" s="7">
        <v>6634327.0</v>
      </c>
    </row>
    <row r="137">
      <c r="A137" s="13" t="s">
        <v>39</v>
      </c>
      <c r="B137" s="9">
        <f t="shared" si="4"/>
        <v>6634327</v>
      </c>
      <c r="D137" s="7" t="s">
        <v>39</v>
      </c>
      <c r="E137" s="7">
        <v>6634327.0</v>
      </c>
    </row>
    <row r="138">
      <c r="A138" s="13" t="s">
        <v>39</v>
      </c>
      <c r="B138" s="9">
        <f t="shared" si="4"/>
        <v>6634327</v>
      </c>
      <c r="D138" s="7" t="s">
        <v>39</v>
      </c>
      <c r="E138" s="7">
        <v>6634327.0</v>
      </c>
    </row>
    <row r="139">
      <c r="A139" s="13" t="s">
        <v>39</v>
      </c>
      <c r="B139" s="9">
        <f t="shared" si="4"/>
        <v>6634327</v>
      </c>
      <c r="D139" s="7" t="s">
        <v>39</v>
      </c>
      <c r="E139" s="7">
        <v>6634327.0</v>
      </c>
    </row>
    <row r="140">
      <c r="A140" s="13" t="s">
        <v>39</v>
      </c>
      <c r="B140" s="9">
        <f t="shared" si="4"/>
        <v>6634327</v>
      </c>
      <c r="D140" s="7" t="s">
        <v>39</v>
      </c>
      <c r="E140" s="7">
        <v>6634327.0</v>
      </c>
    </row>
    <row r="141">
      <c r="A141" s="13" t="s">
        <v>39</v>
      </c>
      <c r="B141" s="9">
        <f t="shared" si="4"/>
        <v>6634327</v>
      </c>
      <c r="D141" s="7" t="s">
        <v>39</v>
      </c>
      <c r="E141" s="7">
        <v>6634327.0</v>
      </c>
    </row>
    <row r="142">
      <c r="A142" s="13" t="s">
        <v>39</v>
      </c>
      <c r="B142" s="9">
        <f t="shared" si="4"/>
        <v>6634327</v>
      </c>
      <c r="D142" s="7" t="s">
        <v>39</v>
      </c>
      <c r="E142" s="7">
        <v>6634327.0</v>
      </c>
    </row>
    <row r="143">
      <c r="A143" s="13" t="s">
        <v>39</v>
      </c>
      <c r="B143" s="9">
        <f t="shared" si="4"/>
        <v>6634327</v>
      </c>
      <c r="D143" s="7" t="s">
        <v>39</v>
      </c>
      <c r="E143" s="7">
        <v>6634327.0</v>
      </c>
    </row>
    <row r="144">
      <c r="A144" s="13" t="s">
        <v>39</v>
      </c>
      <c r="B144" s="9">
        <f t="shared" si="4"/>
        <v>6634327</v>
      </c>
      <c r="D144" s="7" t="s">
        <v>39</v>
      </c>
      <c r="E144" s="7">
        <v>6634327.0</v>
      </c>
    </row>
    <row r="145">
      <c r="A145" s="13" t="s">
        <v>39</v>
      </c>
      <c r="B145" s="9">
        <f t="shared" si="4"/>
        <v>6634327</v>
      </c>
      <c r="D145" s="7" t="s">
        <v>420</v>
      </c>
      <c r="E145" s="7">
        <v>1.6683808E7</v>
      </c>
    </row>
    <row r="146">
      <c r="A146" s="13" t="s">
        <v>39</v>
      </c>
      <c r="B146" s="9">
        <f t="shared" si="4"/>
        <v>6634327</v>
      </c>
      <c r="D146" s="7" t="s">
        <v>518</v>
      </c>
      <c r="E146" s="7">
        <v>2.0411454E7</v>
      </c>
    </row>
    <row r="147">
      <c r="A147" s="13" t="s">
        <v>39</v>
      </c>
      <c r="B147" s="9">
        <f t="shared" si="4"/>
        <v>6634327</v>
      </c>
      <c r="D147" s="7" t="s">
        <v>518</v>
      </c>
      <c r="E147" s="7">
        <v>2.0411454E7</v>
      </c>
    </row>
    <row r="148">
      <c r="A148" s="13" t="s">
        <v>39</v>
      </c>
      <c r="B148" s="9">
        <f t="shared" si="4"/>
        <v>6634327</v>
      </c>
      <c r="D148" s="7" t="s">
        <v>518</v>
      </c>
      <c r="E148" s="7">
        <v>2.0411454E7</v>
      </c>
    </row>
    <row r="149">
      <c r="A149" s="13" t="s">
        <v>39</v>
      </c>
      <c r="B149" s="9">
        <f t="shared" si="4"/>
        <v>6634327</v>
      </c>
      <c r="D149" s="7" t="s">
        <v>518</v>
      </c>
      <c r="E149" s="7">
        <v>2.0411454E7</v>
      </c>
    </row>
    <row r="150">
      <c r="A150" s="13" t="s">
        <v>39</v>
      </c>
      <c r="B150" s="9">
        <f t="shared" si="4"/>
        <v>6634327</v>
      </c>
      <c r="D150" s="7" t="s">
        <v>518</v>
      </c>
      <c r="E150" s="7">
        <v>2.0411454E7</v>
      </c>
    </row>
    <row r="151">
      <c r="A151" s="13" t="s">
        <v>39</v>
      </c>
      <c r="B151" s="9">
        <f t="shared" si="4"/>
        <v>6634327</v>
      </c>
      <c r="D151" s="7" t="s">
        <v>518</v>
      </c>
      <c r="E151" s="7">
        <v>2.0411454E7</v>
      </c>
    </row>
    <row r="152">
      <c r="A152" s="13" t="s">
        <v>39</v>
      </c>
      <c r="B152" s="9">
        <f t="shared" si="4"/>
        <v>6634327</v>
      </c>
      <c r="D152" s="7" t="s">
        <v>518</v>
      </c>
      <c r="E152" s="7">
        <v>2.0411454E7</v>
      </c>
    </row>
    <row r="153">
      <c r="A153" s="13" t="s">
        <v>39</v>
      </c>
      <c r="B153" s="9">
        <f t="shared" si="4"/>
        <v>6634327</v>
      </c>
      <c r="D153" s="7" t="s">
        <v>518</v>
      </c>
      <c r="E153" s="7">
        <v>2.0411454E7</v>
      </c>
    </row>
    <row r="154">
      <c r="A154" s="13" t="s">
        <v>39</v>
      </c>
      <c r="B154" s="9">
        <f t="shared" si="4"/>
        <v>6634327</v>
      </c>
      <c r="D154" s="7" t="s">
        <v>518</v>
      </c>
      <c r="E154" s="7">
        <v>2.0411454E7</v>
      </c>
    </row>
    <row r="155">
      <c r="A155" s="13" t="s">
        <v>39</v>
      </c>
      <c r="B155" s="9">
        <f t="shared" si="4"/>
        <v>6634327</v>
      </c>
      <c r="D155" s="7" t="s">
        <v>518</v>
      </c>
      <c r="E155" s="7">
        <v>2.0411454E7</v>
      </c>
    </row>
    <row r="156">
      <c r="A156" s="13" t="s">
        <v>39</v>
      </c>
      <c r="B156" s="9">
        <f t="shared" si="4"/>
        <v>6634327</v>
      </c>
      <c r="D156" s="7" t="s">
        <v>518</v>
      </c>
      <c r="E156" s="7">
        <v>2.0411454E7</v>
      </c>
    </row>
    <row r="157">
      <c r="A157" s="13" t="s">
        <v>39</v>
      </c>
      <c r="B157" s="9">
        <f t="shared" si="4"/>
        <v>6634327</v>
      </c>
      <c r="D157" s="7" t="s">
        <v>518</v>
      </c>
      <c r="E157" s="7">
        <v>2.0411454E7</v>
      </c>
    </row>
    <row r="158">
      <c r="A158" s="13" t="s">
        <v>39</v>
      </c>
      <c r="B158" s="9">
        <f t="shared" si="4"/>
        <v>6634327</v>
      </c>
      <c r="D158" s="7" t="s">
        <v>518</v>
      </c>
      <c r="E158" s="7">
        <v>2.0411454E7</v>
      </c>
    </row>
    <row r="159">
      <c r="A159" s="13" t="s">
        <v>39</v>
      </c>
      <c r="B159" s="9">
        <f t="shared" si="4"/>
        <v>6634327</v>
      </c>
      <c r="D159" s="7" t="s">
        <v>518</v>
      </c>
      <c r="E159" s="7">
        <v>2.0411454E7</v>
      </c>
    </row>
    <row r="160">
      <c r="A160" s="13" t="s">
        <v>39</v>
      </c>
      <c r="B160" s="9">
        <f t="shared" si="4"/>
        <v>6634327</v>
      </c>
      <c r="D160" s="7" t="s">
        <v>518</v>
      </c>
      <c r="E160" s="7">
        <v>2.0411454E7</v>
      </c>
    </row>
    <row r="161">
      <c r="A161" s="13" t="s">
        <v>39</v>
      </c>
      <c r="B161" s="9">
        <f t="shared" si="4"/>
        <v>6634327</v>
      </c>
      <c r="D161" s="7" t="s">
        <v>518</v>
      </c>
      <c r="E161" s="7">
        <v>2.0411454E7</v>
      </c>
    </row>
    <row r="162">
      <c r="A162" s="13" t="s">
        <v>39</v>
      </c>
      <c r="B162" s="9">
        <f t="shared" si="4"/>
        <v>6634327</v>
      </c>
      <c r="D162" s="7" t="s">
        <v>518</v>
      </c>
      <c r="E162" s="7">
        <v>2.0411454E7</v>
      </c>
    </row>
    <row r="163">
      <c r="A163" s="13" t="s">
        <v>420</v>
      </c>
      <c r="B163" s="9">
        <f t="shared" si="4"/>
        <v>16683808</v>
      </c>
      <c r="D163" s="7" t="s">
        <v>518</v>
      </c>
      <c r="E163" s="7">
        <v>2.0411454E7</v>
      </c>
    </row>
    <row r="164">
      <c r="A164" s="13" t="s">
        <v>336</v>
      </c>
      <c r="B164" s="7">
        <v>2.1421111E7</v>
      </c>
      <c r="D164" s="7" t="s">
        <v>518</v>
      </c>
      <c r="E164" s="7">
        <v>2.0411454E7</v>
      </c>
    </row>
    <row r="165">
      <c r="A165" s="13" t="s">
        <v>518</v>
      </c>
      <c r="B165" s="9">
        <f t="shared" ref="B165:B355" si="5">VLOOKUP(A165,D:E,2,false)</f>
        <v>20411454</v>
      </c>
      <c r="D165" s="7" t="s">
        <v>518</v>
      </c>
      <c r="E165" s="7">
        <v>2.0411454E7</v>
      </c>
    </row>
    <row r="166">
      <c r="A166" s="13" t="s">
        <v>518</v>
      </c>
      <c r="B166" s="9">
        <f t="shared" si="5"/>
        <v>20411454</v>
      </c>
      <c r="D166" s="7" t="s">
        <v>518</v>
      </c>
      <c r="E166" s="7">
        <v>2.0411454E7</v>
      </c>
    </row>
    <row r="167">
      <c r="A167" s="13" t="s">
        <v>518</v>
      </c>
      <c r="B167" s="9">
        <f t="shared" si="5"/>
        <v>20411454</v>
      </c>
      <c r="D167" s="7" t="s">
        <v>518</v>
      </c>
      <c r="E167" s="7">
        <v>2.0411454E7</v>
      </c>
    </row>
    <row r="168">
      <c r="A168" s="13" t="s">
        <v>518</v>
      </c>
      <c r="B168" s="9">
        <f t="shared" si="5"/>
        <v>20411454</v>
      </c>
      <c r="D168" s="7" t="s">
        <v>518</v>
      </c>
      <c r="E168" s="7">
        <v>2.0411454E7</v>
      </c>
    </row>
    <row r="169">
      <c r="A169" s="13" t="s">
        <v>518</v>
      </c>
      <c r="B169" s="9">
        <f t="shared" si="5"/>
        <v>20411454</v>
      </c>
      <c r="D169" s="7" t="s">
        <v>518</v>
      </c>
      <c r="E169" s="7">
        <v>2.0411454E7</v>
      </c>
    </row>
    <row r="170">
      <c r="A170" s="13" t="s">
        <v>518</v>
      </c>
      <c r="B170" s="9">
        <f t="shared" si="5"/>
        <v>20411454</v>
      </c>
      <c r="D170" s="7" t="s">
        <v>518</v>
      </c>
      <c r="E170" s="7">
        <v>2.0411454E7</v>
      </c>
    </row>
    <row r="171">
      <c r="A171" s="13" t="s">
        <v>518</v>
      </c>
      <c r="B171" s="9">
        <f t="shared" si="5"/>
        <v>20411454</v>
      </c>
      <c r="D171" s="7" t="s">
        <v>518</v>
      </c>
      <c r="E171" s="7">
        <v>2.0411454E7</v>
      </c>
    </row>
    <row r="172">
      <c r="A172" s="13" t="s">
        <v>518</v>
      </c>
      <c r="B172" s="9">
        <f t="shared" si="5"/>
        <v>20411454</v>
      </c>
      <c r="D172" s="7" t="s">
        <v>518</v>
      </c>
      <c r="E172" s="7">
        <v>2.0411454E7</v>
      </c>
    </row>
    <row r="173">
      <c r="A173" s="13" t="s">
        <v>518</v>
      </c>
      <c r="B173" s="9">
        <f t="shared" si="5"/>
        <v>20411454</v>
      </c>
      <c r="D173" s="7" t="s">
        <v>518</v>
      </c>
      <c r="E173" s="7">
        <v>2.0411454E7</v>
      </c>
    </row>
    <row r="174">
      <c r="A174" s="13" t="s">
        <v>518</v>
      </c>
      <c r="B174" s="9">
        <f t="shared" si="5"/>
        <v>20411454</v>
      </c>
      <c r="D174" s="7" t="s">
        <v>518</v>
      </c>
      <c r="E174" s="7">
        <v>2.0411454E7</v>
      </c>
    </row>
    <row r="175">
      <c r="A175" s="13" t="s">
        <v>518</v>
      </c>
      <c r="B175" s="9">
        <f t="shared" si="5"/>
        <v>20411454</v>
      </c>
      <c r="D175" s="7" t="s">
        <v>518</v>
      </c>
      <c r="E175" s="7">
        <v>2.0411454E7</v>
      </c>
    </row>
    <row r="176">
      <c r="A176" s="13" t="s">
        <v>518</v>
      </c>
      <c r="B176" s="9">
        <f t="shared" si="5"/>
        <v>20411454</v>
      </c>
      <c r="D176" s="7" t="s">
        <v>518</v>
      </c>
      <c r="E176" s="7">
        <v>2.0411454E7</v>
      </c>
    </row>
    <row r="177">
      <c r="A177" s="13" t="s">
        <v>518</v>
      </c>
      <c r="B177" s="9">
        <f t="shared" si="5"/>
        <v>20411454</v>
      </c>
      <c r="D177" s="7" t="s">
        <v>518</v>
      </c>
      <c r="E177" s="7">
        <v>2.0411454E7</v>
      </c>
    </row>
    <row r="178">
      <c r="A178" s="13" t="s">
        <v>518</v>
      </c>
      <c r="B178" s="9">
        <f t="shared" si="5"/>
        <v>20411454</v>
      </c>
      <c r="D178" s="7" t="s">
        <v>518</v>
      </c>
      <c r="E178" s="7">
        <v>2.0411454E7</v>
      </c>
    </row>
    <row r="179">
      <c r="A179" s="13" t="s">
        <v>518</v>
      </c>
      <c r="B179" s="9">
        <f t="shared" si="5"/>
        <v>20411454</v>
      </c>
      <c r="D179" s="7" t="s">
        <v>518</v>
      </c>
      <c r="E179" s="7">
        <v>2.0411454E7</v>
      </c>
    </row>
    <row r="180">
      <c r="A180" s="13" t="s">
        <v>518</v>
      </c>
      <c r="B180" s="9">
        <f t="shared" si="5"/>
        <v>20411454</v>
      </c>
      <c r="D180" s="7" t="s">
        <v>518</v>
      </c>
      <c r="E180" s="7">
        <v>2.0411454E7</v>
      </c>
    </row>
    <row r="181">
      <c r="A181" s="13" t="s">
        <v>518</v>
      </c>
      <c r="B181" s="9">
        <f t="shared" si="5"/>
        <v>20411454</v>
      </c>
      <c r="D181" s="7" t="s">
        <v>518</v>
      </c>
      <c r="E181" s="7">
        <v>2.0411454E7</v>
      </c>
    </row>
    <row r="182">
      <c r="A182" s="13" t="s">
        <v>518</v>
      </c>
      <c r="B182" s="9">
        <f t="shared" si="5"/>
        <v>20411454</v>
      </c>
      <c r="D182" s="7" t="s">
        <v>518</v>
      </c>
      <c r="E182" s="7">
        <v>2.0411454E7</v>
      </c>
    </row>
    <row r="183">
      <c r="A183" s="13" t="s">
        <v>518</v>
      </c>
      <c r="B183" s="9">
        <f t="shared" si="5"/>
        <v>20411454</v>
      </c>
      <c r="D183" s="7" t="s">
        <v>518</v>
      </c>
      <c r="E183" s="7">
        <v>2.0411454E7</v>
      </c>
    </row>
    <row r="184">
      <c r="A184" s="13" t="s">
        <v>518</v>
      </c>
      <c r="B184" s="9">
        <f t="shared" si="5"/>
        <v>20411454</v>
      </c>
      <c r="D184" s="7" t="s">
        <v>518</v>
      </c>
      <c r="E184" s="7">
        <v>2.0411454E7</v>
      </c>
    </row>
    <row r="185">
      <c r="A185" s="13" t="s">
        <v>518</v>
      </c>
      <c r="B185" s="9">
        <f t="shared" si="5"/>
        <v>20411454</v>
      </c>
      <c r="D185" s="7" t="s">
        <v>518</v>
      </c>
      <c r="E185" s="7">
        <v>2.0411454E7</v>
      </c>
    </row>
    <row r="186">
      <c r="A186" s="13" t="s">
        <v>518</v>
      </c>
      <c r="B186" s="9">
        <f t="shared" si="5"/>
        <v>20411454</v>
      </c>
      <c r="D186" s="7" t="s">
        <v>518</v>
      </c>
      <c r="E186" s="7">
        <v>2.0411454E7</v>
      </c>
    </row>
    <row r="187">
      <c r="A187" s="13" t="s">
        <v>518</v>
      </c>
      <c r="B187" s="9">
        <f t="shared" si="5"/>
        <v>20411454</v>
      </c>
      <c r="D187" s="7" t="s">
        <v>518</v>
      </c>
      <c r="E187" s="7">
        <v>2.0411454E7</v>
      </c>
    </row>
    <row r="188">
      <c r="A188" s="13" t="s">
        <v>518</v>
      </c>
      <c r="B188" s="9">
        <f t="shared" si="5"/>
        <v>20411454</v>
      </c>
      <c r="D188" s="7" t="s">
        <v>518</v>
      </c>
      <c r="E188" s="7">
        <v>2.0411454E7</v>
      </c>
    </row>
    <row r="189">
      <c r="A189" s="13" t="s">
        <v>518</v>
      </c>
      <c r="B189" s="9">
        <f t="shared" si="5"/>
        <v>20411454</v>
      </c>
      <c r="D189" s="7" t="s">
        <v>518</v>
      </c>
      <c r="E189" s="7">
        <v>2.0411454E7</v>
      </c>
    </row>
    <row r="190">
      <c r="A190" s="13" t="s">
        <v>518</v>
      </c>
      <c r="B190" s="9">
        <f t="shared" si="5"/>
        <v>20411454</v>
      </c>
      <c r="D190" s="7" t="s">
        <v>518</v>
      </c>
      <c r="E190" s="7">
        <v>2.0411454E7</v>
      </c>
    </row>
    <row r="191">
      <c r="A191" s="13" t="s">
        <v>518</v>
      </c>
      <c r="B191" s="9">
        <f t="shared" si="5"/>
        <v>20411454</v>
      </c>
      <c r="D191" s="7" t="s">
        <v>518</v>
      </c>
      <c r="E191" s="7">
        <v>2.0411454E7</v>
      </c>
    </row>
    <row r="192">
      <c r="A192" s="13" t="s">
        <v>518</v>
      </c>
      <c r="B192" s="9">
        <f t="shared" si="5"/>
        <v>20411454</v>
      </c>
      <c r="D192" s="7" t="s">
        <v>518</v>
      </c>
      <c r="E192" s="7">
        <v>2.0411454E7</v>
      </c>
    </row>
    <row r="193">
      <c r="A193" s="13" t="s">
        <v>518</v>
      </c>
      <c r="B193" s="9">
        <f t="shared" si="5"/>
        <v>20411454</v>
      </c>
      <c r="D193" s="7" t="s">
        <v>518</v>
      </c>
      <c r="E193" s="7">
        <v>2.0411454E7</v>
      </c>
    </row>
    <row r="194">
      <c r="A194" s="13" t="s">
        <v>518</v>
      </c>
      <c r="B194" s="9">
        <f t="shared" si="5"/>
        <v>20411454</v>
      </c>
      <c r="D194" s="7" t="s">
        <v>518</v>
      </c>
      <c r="E194" s="7">
        <v>2.0411454E7</v>
      </c>
    </row>
    <row r="195">
      <c r="A195" s="13" t="s">
        <v>518</v>
      </c>
      <c r="B195" s="9">
        <f t="shared" si="5"/>
        <v>20411454</v>
      </c>
      <c r="D195" s="7" t="s">
        <v>518</v>
      </c>
      <c r="E195" s="7">
        <v>2.0411454E7</v>
      </c>
    </row>
    <row r="196">
      <c r="A196" s="13" t="s">
        <v>518</v>
      </c>
      <c r="B196" s="9">
        <f t="shared" si="5"/>
        <v>20411454</v>
      </c>
      <c r="D196" s="7" t="s">
        <v>518</v>
      </c>
      <c r="E196" s="7">
        <v>2.0411454E7</v>
      </c>
    </row>
    <row r="197">
      <c r="A197" s="13" t="s">
        <v>518</v>
      </c>
      <c r="B197" s="9">
        <f t="shared" si="5"/>
        <v>20411454</v>
      </c>
      <c r="D197" s="7" t="s">
        <v>518</v>
      </c>
      <c r="E197" s="7">
        <v>2.0411454E7</v>
      </c>
    </row>
    <row r="198">
      <c r="A198" s="13" t="s">
        <v>518</v>
      </c>
      <c r="B198" s="9">
        <f t="shared" si="5"/>
        <v>20411454</v>
      </c>
      <c r="D198" s="7" t="s">
        <v>518</v>
      </c>
      <c r="E198" s="7">
        <v>2.0411454E7</v>
      </c>
    </row>
    <row r="199">
      <c r="A199" s="13" t="s">
        <v>518</v>
      </c>
      <c r="B199" s="9">
        <f t="shared" si="5"/>
        <v>20411454</v>
      </c>
      <c r="D199" s="7" t="s">
        <v>518</v>
      </c>
      <c r="E199" s="7">
        <v>2.0411454E7</v>
      </c>
    </row>
    <row r="200">
      <c r="A200" s="13" t="s">
        <v>518</v>
      </c>
      <c r="B200" s="9">
        <f t="shared" si="5"/>
        <v>20411454</v>
      </c>
      <c r="D200" s="7" t="s">
        <v>518</v>
      </c>
      <c r="E200" s="7">
        <v>2.0411454E7</v>
      </c>
    </row>
    <row r="201">
      <c r="A201" s="13" t="s">
        <v>518</v>
      </c>
      <c r="B201" s="9">
        <f t="shared" si="5"/>
        <v>20411454</v>
      </c>
      <c r="D201" s="7" t="s">
        <v>518</v>
      </c>
      <c r="E201" s="7">
        <v>2.0411454E7</v>
      </c>
    </row>
    <row r="202">
      <c r="A202" s="13" t="s">
        <v>518</v>
      </c>
      <c r="B202" s="9">
        <f t="shared" si="5"/>
        <v>20411454</v>
      </c>
      <c r="D202" s="7" t="s">
        <v>518</v>
      </c>
      <c r="E202" s="7">
        <v>2.0411454E7</v>
      </c>
    </row>
    <row r="203">
      <c r="A203" s="13" t="s">
        <v>518</v>
      </c>
      <c r="B203" s="9">
        <f t="shared" si="5"/>
        <v>20411454</v>
      </c>
      <c r="D203" s="7" t="s">
        <v>518</v>
      </c>
      <c r="E203" s="7">
        <v>2.0411454E7</v>
      </c>
    </row>
    <row r="204">
      <c r="A204" s="13" t="s">
        <v>518</v>
      </c>
      <c r="B204" s="9">
        <f t="shared" si="5"/>
        <v>20411454</v>
      </c>
      <c r="D204" s="7" t="s">
        <v>518</v>
      </c>
      <c r="E204" s="7">
        <v>2.0411454E7</v>
      </c>
    </row>
    <row r="205">
      <c r="A205" s="13" t="s">
        <v>518</v>
      </c>
      <c r="B205" s="9">
        <f t="shared" si="5"/>
        <v>20411454</v>
      </c>
      <c r="D205" s="7" t="s">
        <v>518</v>
      </c>
      <c r="E205" s="7">
        <v>2.0411454E7</v>
      </c>
    </row>
    <row r="206">
      <c r="A206" s="13" t="s">
        <v>518</v>
      </c>
      <c r="B206" s="9">
        <f t="shared" si="5"/>
        <v>20411454</v>
      </c>
      <c r="D206" s="7" t="s">
        <v>518</v>
      </c>
      <c r="E206" s="7">
        <v>2.0411454E7</v>
      </c>
    </row>
    <row r="207">
      <c r="A207" s="13" t="s">
        <v>518</v>
      </c>
      <c r="B207" s="9">
        <f t="shared" si="5"/>
        <v>20411454</v>
      </c>
      <c r="D207" s="7" t="s">
        <v>518</v>
      </c>
      <c r="E207" s="7">
        <v>2.0411454E7</v>
      </c>
    </row>
    <row r="208">
      <c r="A208" s="13" t="s">
        <v>518</v>
      </c>
      <c r="B208" s="9">
        <f t="shared" si="5"/>
        <v>20411454</v>
      </c>
      <c r="D208" s="7" t="s">
        <v>518</v>
      </c>
      <c r="E208" s="7">
        <v>2.0411454E7</v>
      </c>
    </row>
    <row r="209">
      <c r="A209" s="13" t="s">
        <v>518</v>
      </c>
      <c r="B209" s="9">
        <f t="shared" si="5"/>
        <v>20411454</v>
      </c>
      <c r="D209" s="7" t="s">
        <v>518</v>
      </c>
      <c r="E209" s="7">
        <v>2.0411454E7</v>
      </c>
    </row>
    <row r="210">
      <c r="A210" s="13" t="s">
        <v>518</v>
      </c>
      <c r="B210" s="9">
        <f t="shared" si="5"/>
        <v>20411454</v>
      </c>
      <c r="D210" s="7" t="s">
        <v>518</v>
      </c>
      <c r="E210" s="7">
        <v>2.0411454E7</v>
      </c>
    </row>
    <row r="211">
      <c r="A211" s="13" t="s">
        <v>518</v>
      </c>
      <c r="B211" s="9">
        <f t="shared" si="5"/>
        <v>20411454</v>
      </c>
      <c r="D211" s="7" t="s">
        <v>518</v>
      </c>
      <c r="E211" s="7">
        <v>2.0411454E7</v>
      </c>
    </row>
    <row r="212">
      <c r="A212" s="13" t="s">
        <v>518</v>
      </c>
      <c r="B212" s="9">
        <f t="shared" si="5"/>
        <v>20411454</v>
      </c>
      <c r="D212" s="7" t="s">
        <v>518</v>
      </c>
      <c r="E212" s="7">
        <v>2.0411454E7</v>
      </c>
    </row>
    <row r="213">
      <c r="A213" s="13" t="s">
        <v>518</v>
      </c>
      <c r="B213" s="9">
        <f t="shared" si="5"/>
        <v>20411454</v>
      </c>
      <c r="D213" s="7" t="s">
        <v>518</v>
      </c>
      <c r="E213" s="7">
        <v>2.0411454E7</v>
      </c>
    </row>
    <row r="214">
      <c r="A214" s="13" t="s">
        <v>518</v>
      </c>
      <c r="B214" s="9">
        <f t="shared" si="5"/>
        <v>20411454</v>
      </c>
      <c r="D214" s="7" t="s">
        <v>518</v>
      </c>
      <c r="E214" s="7">
        <v>2.0411454E7</v>
      </c>
    </row>
    <row r="215">
      <c r="A215" s="13" t="s">
        <v>518</v>
      </c>
      <c r="B215" s="9">
        <f t="shared" si="5"/>
        <v>20411454</v>
      </c>
      <c r="D215" s="7" t="s">
        <v>518</v>
      </c>
      <c r="E215" s="7">
        <v>2.0411454E7</v>
      </c>
    </row>
    <row r="216">
      <c r="A216" s="13" t="s">
        <v>518</v>
      </c>
      <c r="B216" s="9">
        <f t="shared" si="5"/>
        <v>20411454</v>
      </c>
      <c r="D216" s="7" t="s">
        <v>518</v>
      </c>
      <c r="E216" s="7">
        <v>2.0411454E7</v>
      </c>
    </row>
    <row r="217">
      <c r="A217" s="13" t="s">
        <v>518</v>
      </c>
      <c r="B217" s="9">
        <f t="shared" si="5"/>
        <v>20411454</v>
      </c>
      <c r="D217" s="7" t="s">
        <v>518</v>
      </c>
      <c r="E217" s="7">
        <v>2.0411454E7</v>
      </c>
    </row>
    <row r="218">
      <c r="A218" s="13" t="s">
        <v>518</v>
      </c>
      <c r="B218" s="9">
        <f t="shared" si="5"/>
        <v>20411454</v>
      </c>
      <c r="D218" s="7" t="s">
        <v>518</v>
      </c>
      <c r="E218" s="7">
        <v>2.0411454E7</v>
      </c>
    </row>
    <row r="219">
      <c r="A219" s="13" t="s">
        <v>518</v>
      </c>
      <c r="B219" s="9">
        <f t="shared" si="5"/>
        <v>20411454</v>
      </c>
      <c r="D219" s="7" t="s">
        <v>518</v>
      </c>
      <c r="E219" s="7">
        <v>2.0411454E7</v>
      </c>
    </row>
    <row r="220">
      <c r="A220" s="13" t="s">
        <v>518</v>
      </c>
      <c r="B220" s="9">
        <f t="shared" si="5"/>
        <v>20411454</v>
      </c>
      <c r="D220" s="7" t="s">
        <v>518</v>
      </c>
      <c r="E220" s="7">
        <v>2.0411454E7</v>
      </c>
    </row>
    <row r="221">
      <c r="A221" s="13" t="s">
        <v>518</v>
      </c>
      <c r="B221" s="9">
        <f t="shared" si="5"/>
        <v>20411454</v>
      </c>
      <c r="D221" s="7" t="s">
        <v>518</v>
      </c>
      <c r="E221" s="7">
        <v>2.0411454E7</v>
      </c>
    </row>
    <row r="222">
      <c r="A222" s="13" t="s">
        <v>518</v>
      </c>
      <c r="B222" s="9">
        <f t="shared" si="5"/>
        <v>20411454</v>
      </c>
      <c r="D222" s="7" t="s">
        <v>518</v>
      </c>
      <c r="E222" s="7">
        <v>2.0411454E7</v>
      </c>
    </row>
    <row r="223">
      <c r="A223" s="13" t="s">
        <v>518</v>
      </c>
      <c r="B223" s="9">
        <f t="shared" si="5"/>
        <v>20411454</v>
      </c>
      <c r="D223" s="7" t="s">
        <v>518</v>
      </c>
      <c r="E223" s="7">
        <v>2.0411454E7</v>
      </c>
    </row>
    <row r="224">
      <c r="A224" s="13" t="s">
        <v>518</v>
      </c>
      <c r="B224" s="9">
        <f t="shared" si="5"/>
        <v>20411454</v>
      </c>
      <c r="D224" s="7" t="s">
        <v>518</v>
      </c>
      <c r="E224" s="7">
        <v>2.0411454E7</v>
      </c>
    </row>
    <row r="225">
      <c r="A225" s="13" t="s">
        <v>518</v>
      </c>
      <c r="B225" s="9">
        <f t="shared" si="5"/>
        <v>20411454</v>
      </c>
      <c r="D225" s="7" t="s">
        <v>518</v>
      </c>
      <c r="E225" s="7">
        <v>2.0411454E7</v>
      </c>
    </row>
    <row r="226">
      <c r="A226" s="13" t="s">
        <v>518</v>
      </c>
      <c r="B226" s="9">
        <f t="shared" si="5"/>
        <v>20411454</v>
      </c>
      <c r="D226" s="7" t="s">
        <v>518</v>
      </c>
      <c r="E226" s="7">
        <v>2.0411454E7</v>
      </c>
    </row>
    <row r="227">
      <c r="A227" s="13" t="s">
        <v>518</v>
      </c>
      <c r="B227" s="9">
        <f t="shared" si="5"/>
        <v>20411454</v>
      </c>
      <c r="D227" s="7" t="s">
        <v>518</v>
      </c>
      <c r="E227" s="7">
        <v>2.0411454E7</v>
      </c>
    </row>
    <row r="228">
      <c r="A228" s="13" t="s">
        <v>518</v>
      </c>
      <c r="B228" s="9">
        <f t="shared" si="5"/>
        <v>20411454</v>
      </c>
      <c r="D228" s="7" t="s">
        <v>518</v>
      </c>
      <c r="E228" s="7">
        <v>2.0411454E7</v>
      </c>
    </row>
    <row r="229">
      <c r="A229" s="13" t="s">
        <v>518</v>
      </c>
      <c r="B229" s="9">
        <f t="shared" si="5"/>
        <v>20411454</v>
      </c>
      <c r="D229" s="7" t="s">
        <v>518</v>
      </c>
      <c r="E229" s="7">
        <v>2.0411454E7</v>
      </c>
    </row>
    <row r="230">
      <c r="A230" s="13" t="s">
        <v>518</v>
      </c>
      <c r="B230" s="9">
        <f t="shared" si="5"/>
        <v>20411454</v>
      </c>
      <c r="D230" s="7" t="s">
        <v>518</v>
      </c>
      <c r="E230" s="7">
        <v>2.0411454E7</v>
      </c>
    </row>
    <row r="231">
      <c r="A231" s="13" t="s">
        <v>518</v>
      </c>
      <c r="B231" s="9">
        <f t="shared" si="5"/>
        <v>20411454</v>
      </c>
      <c r="D231" s="7" t="s">
        <v>518</v>
      </c>
      <c r="E231" s="7">
        <v>2.0411454E7</v>
      </c>
    </row>
    <row r="232">
      <c r="A232" s="13" t="s">
        <v>518</v>
      </c>
      <c r="B232" s="9">
        <f t="shared" si="5"/>
        <v>20411454</v>
      </c>
      <c r="D232" s="7" t="s">
        <v>518</v>
      </c>
      <c r="E232" s="7">
        <v>2.0411454E7</v>
      </c>
    </row>
    <row r="233">
      <c r="A233" s="13" t="s">
        <v>518</v>
      </c>
      <c r="B233" s="9">
        <f t="shared" si="5"/>
        <v>20411454</v>
      </c>
      <c r="D233" s="7" t="s">
        <v>518</v>
      </c>
      <c r="E233" s="7">
        <v>2.0411454E7</v>
      </c>
    </row>
    <row r="234">
      <c r="A234" s="13" t="s">
        <v>518</v>
      </c>
      <c r="B234" s="9">
        <f t="shared" si="5"/>
        <v>20411454</v>
      </c>
      <c r="D234" s="7" t="s">
        <v>518</v>
      </c>
      <c r="E234" s="7">
        <v>2.0411454E7</v>
      </c>
    </row>
    <row r="235">
      <c r="A235" s="13" t="s">
        <v>518</v>
      </c>
      <c r="B235" s="9">
        <f t="shared" si="5"/>
        <v>20411454</v>
      </c>
      <c r="D235" s="7" t="s">
        <v>518</v>
      </c>
      <c r="E235" s="7">
        <v>2.0411454E7</v>
      </c>
    </row>
    <row r="236">
      <c r="A236" s="13" t="s">
        <v>518</v>
      </c>
      <c r="B236" s="9">
        <f t="shared" si="5"/>
        <v>20411454</v>
      </c>
      <c r="D236" s="7" t="s">
        <v>518</v>
      </c>
      <c r="E236" s="7">
        <v>2.0411454E7</v>
      </c>
    </row>
    <row r="237">
      <c r="A237" s="13" t="s">
        <v>518</v>
      </c>
      <c r="B237" s="9">
        <f t="shared" si="5"/>
        <v>20411454</v>
      </c>
      <c r="D237" s="7" t="s">
        <v>518</v>
      </c>
      <c r="E237" s="7">
        <v>2.0411454E7</v>
      </c>
    </row>
    <row r="238">
      <c r="A238" s="13" t="s">
        <v>518</v>
      </c>
      <c r="B238" s="9">
        <f t="shared" si="5"/>
        <v>20411454</v>
      </c>
      <c r="D238" s="7" t="s">
        <v>518</v>
      </c>
      <c r="E238" s="7">
        <v>2.0411454E7</v>
      </c>
    </row>
    <row r="239">
      <c r="A239" s="13" t="s">
        <v>518</v>
      </c>
      <c r="B239" s="9">
        <f t="shared" si="5"/>
        <v>20411454</v>
      </c>
      <c r="D239" s="7" t="s">
        <v>518</v>
      </c>
      <c r="E239" s="7">
        <v>2.0411454E7</v>
      </c>
    </row>
    <row r="240">
      <c r="A240" s="13" t="s">
        <v>518</v>
      </c>
      <c r="B240" s="9">
        <f t="shared" si="5"/>
        <v>20411454</v>
      </c>
      <c r="D240" s="7" t="s">
        <v>518</v>
      </c>
      <c r="E240" s="7">
        <v>2.0411454E7</v>
      </c>
    </row>
    <row r="241">
      <c r="A241" s="13" t="s">
        <v>518</v>
      </c>
      <c r="B241" s="9">
        <f t="shared" si="5"/>
        <v>20411454</v>
      </c>
      <c r="D241" s="7" t="s">
        <v>518</v>
      </c>
      <c r="E241" s="7">
        <v>2.0411454E7</v>
      </c>
    </row>
    <row r="242">
      <c r="A242" s="13" t="s">
        <v>518</v>
      </c>
      <c r="B242" s="9">
        <f t="shared" si="5"/>
        <v>20411454</v>
      </c>
      <c r="D242" s="7" t="s">
        <v>518</v>
      </c>
      <c r="E242" s="7">
        <v>2.0411454E7</v>
      </c>
    </row>
    <row r="243">
      <c r="A243" s="13" t="s">
        <v>518</v>
      </c>
      <c r="B243" s="9">
        <f t="shared" si="5"/>
        <v>20411454</v>
      </c>
      <c r="D243" s="7" t="s">
        <v>518</v>
      </c>
      <c r="E243" s="7">
        <v>2.0411454E7</v>
      </c>
    </row>
    <row r="244">
      <c r="A244" s="13" t="s">
        <v>518</v>
      </c>
      <c r="B244" s="9">
        <f t="shared" si="5"/>
        <v>20411454</v>
      </c>
      <c r="D244" s="7" t="s">
        <v>518</v>
      </c>
      <c r="E244" s="7">
        <v>2.0411454E7</v>
      </c>
    </row>
    <row r="245">
      <c r="A245" s="13" t="s">
        <v>518</v>
      </c>
      <c r="B245" s="9">
        <f t="shared" si="5"/>
        <v>20411454</v>
      </c>
      <c r="D245" s="7" t="s">
        <v>518</v>
      </c>
      <c r="E245" s="7">
        <v>2.0411454E7</v>
      </c>
    </row>
    <row r="246">
      <c r="A246" s="13" t="s">
        <v>518</v>
      </c>
      <c r="B246" s="9">
        <f t="shared" si="5"/>
        <v>20411454</v>
      </c>
      <c r="D246" s="7" t="s">
        <v>518</v>
      </c>
      <c r="E246" s="7">
        <v>2.0411454E7</v>
      </c>
    </row>
    <row r="247">
      <c r="A247" s="13" t="s">
        <v>518</v>
      </c>
      <c r="B247" s="9">
        <f t="shared" si="5"/>
        <v>20411454</v>
      </c>
      <c r="D247" s="7" t="s">
        <v>518</v>
      </c>
      <c r="E247" s="7">
        <v>2.0411454E7</v>
      </c>
    </row>
    <row r="248">
      <c r="A248" s="13" t="s">
        <v>518</v>
      </c>
      <c r="B248" s="9">
        <f t="shared" si="5"/>
        <v>20411454</v>
      </c>
      <c r="D248" s="7" t="s">
        <v>518</v>
      </c>
      <c r="E248" s="7">
        <v>2.0411454E7</v>
      </c>
    </row>
    <row r="249">
      <c r="A249" s="13" t="s">
        <v>518</v>
      </c>
      <c r="B249" s="9">
        <f t="shared" si="5"/>
        <v>20411454</v>
      </c>
      <c r="D249" s="7" t="s">
        <v>518</v>
      </c>
      <c r="E249" s="7">
        <v>2.0411454E7</v>
      </c>
    </row>
    <row r="250">
      <c r="A250" s="13" t="s">
        <v>518</v>
      </c>
      <c r="B250" s="9">
        <f t="shared" si="5"/>
        <v>20411454</v>
      </c>
      <c r="D250" s="7" t="s">
        <v>518</v>
      </c>
      <c r="E250" s="7">
        <v>2.0411454E7</v>
      </c>
    </row>
    <row r="251">
      <c r="A251" s="13" t="s">
        <v>518</v>
      </c>
      <c r="B251" s="9">
        <f t="shared" si="5"/>
        <v>20411454</v>
      </c>
      <c r="D251" s="7" t="s">
        <v>518</v>
      </c>
      <c r="E251" s="7">
        <v>2.0411454E7</v>
      </c>
    </row>
    <row r="252">
      <c r="A252" s="13" t="s">
        <v>518</v>
      </c>
      <c r="B252" s="9">
        <f t="shared" si="5"/>
        <v>20411454</v>
      </c>
      <c r="D252" s="7" t="s">
        <v>518</v>
      </c>
      <c r="E252" s="7">
        <v>2.0411454E7</v>
      </c>
    </row>
    <row r="253">
      <c r="A253" s="13" t="s">
        <v>518</v>
      </c>
      <c r="B253" s="9">
        <f t="shared" si="5"/>
        <v>20411454</v>
      </c>
      <c r="D253" s="7" t="s">
        <v>518</v>
      </c>
      <c r="E253" s="7">
        <v>2.0411454E7</v>
      </c>
    </row>
    <row r="254">
      <c r="A254" s="13" t="s">
        <v>518</v>
      </c>
      <c r="B254" s="9">
        <f t="shared" si="5"/>
        <v>20411454</v>
      </c>
      <c r="D254" s="7" t="s">
        <v>518</v>
      </c>
      <c r="E254" s="7">
        <v>2.0411454E7</v>
      </c>
    </row>
    <row r="255">
      <c r="A255" s="13" t="s">
        <v>518</v>
      </c>
      <c r="B255" s="9">
        <f t="shared" si="5"/>
        <v>20411454</v>
      </c>
      <c r="D255" s="7" t="s">
        <v>518</v>
      </c>
      <c r="E255" s="7">
        <v>2.0411454E7</v>
      </c>
    </row>
    <row r="256">
      <c r="A256" s="13" t="s">
        <v>518</v>
      </c>
      <c r="B256" s="9">
        <f t="shared" si="5"/>
        <v>20411454</v>
      </c>
      <c r="D256" s="7" t="s">
        <v>518</v>
      </c>
      <c r="E256" s="7">
        <v>2.0411454E7</v>
      </c>
    </row>
    <row r="257">
      <c r="A257" s="13" t="s">
        <v>518</v>
      </c>
      <c r="B257" s="9">
        <f t="shared" si="5"/>
        <v>20411454</v>
      </c>
      <c r="D257" s="7" t="s">
        <v>518</v>
      </c>
      <c r="E257" s="7">
        <v>2.0411454E7</v>
      </c>
    </row>
    <row r="258">
      <c r="A258" s="13" t="s">
        <v>518</v>
      </c>
      <c r="B258" s="9">
        <f t="shared" si="5"/>
        <v>20411454</v>
      </c>
      <c r="D258" s="7" t="s">
        <v>518</v>
      </c>
      <c r="E258" s="7">
        <v>2.0411454E7</v>
      </c>
    </row>
    <row r="259">
      <c r="A259" s="13" t="s">
        <v>518</v>
      </c>
      <c r="B259" s="9">
        <f t="shared" si="5"/>
        <v>20411454</v>
      </c>
      <c r="D259" s="7" t="s">
        <v>518</v>
      </c>
      <c r="E259" s="7">
        <v>2.0411454E7</v>
      </c>
    </row>
    <row r="260">
      <c r="A260" s="13" t="s">
        <v>518</v>
      </c>
      <c r="B260" s="9">
        <f t="shared" si="5"/>
        <v>20411454</v>
      </c>
      <c r="D260" s="7" t="s">
        <v>518</v>
      </c>
      <c r="E260" s="7">
        <v>2.0411454E7</v>
      </c>
    </row>
    <row r="261">
      <c r="A261" s="13" t="s">
        <v>518</v>
      </c>
      <c r="B261" s="9">
        <f t="shared" si="5"/>
        <v>20411454</v>
      </c>
      <c r="D261" s="7" t="s">
        <v>518</v>
      </c>
      <c r="E261" s="7">
        <v>2.0411454E7</v>
      </c>
    </row>
    <row r="262">
      <c r="A262" s="13" t="s">
        <v>518</v>
      </c>
      <c r="B262" s="9">
        <f t="shared" si="5"/>
        <v>20411454</v>
      </c>
      <c r="D262" s="7" t="s">
        <v>518</v>
      </c>
      <c r="E262" s="7">
        <v>2.0411454E7</v>
      </c>
    </row>
    <row r="263">
      <c r="A263" s="13" t="s">
        <v>518</v>
      </c>
      <c r="B263" s="9">
        <f t="shared" si="5"/>
        <v>20411454</v>
      </c>
      <c r="D263" s="7" t="s">
        <v>518</v>
      </c>
      <c r="E263" s="7">
        <v>2.0411454E7</v>
      </c>
    </row>
    <row r="264">
      <c r="A264" s="13" t="s">
        <v>518</v>
      </c>
      <c r="B264" s="9">
        <f t="shared" si="5"/>
        <v>20411454</v>
      </c>
      <c r="D264" s="7" t="s">
        <v>518</v>
      </c>
      <c r="E264" s="7">
        <v>2.0411454E7</v>
      </c>
    </row>
    <row r="265">
      <c r="A265" s="13" t="s">
        <v>518</v>
      </c>
      <c r="B265" s="9">
        <f t="shared" si="5"/>
        <v>20411454</v>
      </c>
      <c r="D265" s="7" t="s">
        <v>518</v>
      </c>
      <c r="E265" s="7">
        <v>2.0411454E7</v>
      </c>
    </row>
    <row r="266">
      <c r="A266" s="13" t="s">
        <v>518</v>
      </c>
      <c r="B266" s="9">
        <f t="shared" si="5"/>
        <v>20411454</v>
      </c>
      <c r="D266" s="7" t="s">
        <v>518</v>
      </c>
      <c r="E266" s="7">
        <v>2.0411454E7</v>
      </c>
    </row>
    <row r="267">
      <c r="A267" s="13" t="s">
        <v>518</v>
      </c>
      <c r="B267" s="9">
        <f t="shared" si="5"/>
        <v>20411454</v>
      </c>
      <c r="D267" s="7" t="s">
        <v>518</v>
      </c>
      <c r="E267" s="7">
        <v>2.0411454E7</v>
      </c>
    </row>
    <row r="268">
      <c r="A268" s="13" t="s">
        <v>518</v>
      </c>
      <c r="B268" s="9">
        <f t="shared" si="5"/>
        <v>20411454</v>
      </c>
      <c r="D268" s="7" t="s">
        <v>518</v>
      </c>
      <c r="E268" s="7">
        <v>2.0411454E7</v>
      </c>
    </row>
    <row r="269">
      <c r="A269" s="13" t="s">
        <v>518</v>
      </c>
      <c r="B269" s="9">
        <f t="shared" si="5"/>
        <v>20411454</v>
      </c>
      <c r="D269" s="7" t="s">
        <v>518</v>
      </c>
      <c r="E269" s="7">
        <v>2.0411454E7</v>
      </c>
    </row>
    <row r="270">
      <c r="A270" s="13" t="s">
        <v>518</v>
      </c>
      <c r="B270" s="9">
        <f t="shared" si="5"/>
        <v>20411454</v>
      </c>
      <c r="D270" s="7" t="s">
        <v>518</v>
      </c>
      <c r="E270" s="7">
        <v>2.0411454E7</v>
      </c>
    </row>
    <row r="271">
      <c r="A271" s="13" t="s">
        <v>518</v>
      </c>
      <c r="B271" s="9">
        <f t="shared" si="5"/>
        <v>20411454</v>
      </c>
      <c r="D271" s="7" t="s">
        <v>518</v>
      </c>
      <c r="E271" s="7">
        <v>2.0411454E7</v>
      </c>
    </row>
    <row r="272">
      <c r="A272" s="13" t="s">
        <v>518</v>
      </c>
      <c r="B272" s="9">
        <f t="shared" si="5"/>
        <v>20411454</v>
      </c>
      <c r="D272" s="7" t="s">
        <v>518</v>
      </c>
      <c r="E272" s="7">
        <v>2.0411454E7</v>
      </c>
    </row>
    <row r="273">
      <c r="A273" s="13" t="s">
        <v>518</v>
      </c>
      <c r="B273" s="9">
        <f t="shared" si="5"/>
        <v>20411454</v>
      </c>
      <c r="D273" s="7" t="s">
        <v>518</v>
      </c>
      <c r="E273" s="7">
        <v>2.0411454E7</v>
      </c>
    </row>
    <row r="274">
      <c r="A274" s="13" t="s">
        <v>518</v>
      </c>
      <c r="B274" s="9">
        <f t="shared" si="5"/>
        <v>20411454</v>
      </c>
      <c r="D274" s="7" t="s">
        <v>518</v>
      </c>
      <c r="E274" s="7">
        <v>2.0411454E7</v>
      </c>
    </row>
    <row r="275">
      <c r="A275" s="13" t="s">
        <v>518</v>
      </c>
      <c r="B275" s="9">
        <f t="shared" si="5"/>
        <v>20411454</v>
      </c>
      <c r="D275" s="7" t="s">
        <v>518</v>
      </c>
      <c r="E275" s="7">
        <v>2.0411454E7</v>
      </c>
    </row>
    <row r="276">
      <c r="A276" s="13" t="s">
        <v>518</v>
      </c>
      <c r="B276" s="9">
        <f t="shared" si="5"/>
        <v>20411454</v>
      </c>
      <c r="D276" s="7" t="s">
        <v>518</v>
      </c>
      <c r="E276" s="7">
        <v>2.0411454E7</v>
      </c>
    </row>
    <row r="277">
      <c r="A277" s="13" t="s">
        <v>518</v>
      </c>
      <c r="B277" s="9">
        <f t="shared" si="5"/>
        <v>20411454</v>
      </c>
      <c r="D277" s="7" t="s">
        <v>518</v>
      </c>
      <c r="E277" s="7">
        <v>2.0411454E7</v>
      </c>
    </row>
    <row r="278">
      <c r="A278" s="13" t="s">
        <v>518</v>
      </c>
      <c r="B278" s="9">
        <f t="shared" si="5"/>
        <v>20411454</v>
      </c>
      <c r="D278" s="7" t="s">
        <v>518</v>
      </c>
      <c r="E278" s="7">
        <v>2.0411454E7</v>
      </c>
    </row>
    <row r="279">
      <c r="A279" s="13" t="s">
        <v>518</v>
      </c>
      <c r="B279" s="9">
        <f t="shared" si="5"/>
        <v>20411454</v>
      </c>
      <c r="D279" s="7" t="s">
        <v>518</v>
      </c>
      <c r="E279" s="7">
        <v>2.0411454E7</v>
      </c>
    </row>
    <row r="280">
      <c r="A280" s="13" t="s">
        <v>518</v>
      </c>
      <c r="B280" s="9">
        <f t="shared" si="5"/>
        <v>20411454</v>
      </c>
      <c r="D280" s="7" t="s">
        <v>518</v>
      </c>
      <c r="E280" s="7">
        <v>2.0411454E7</v>
      </c>
    </row>
    <row r="281">
      <c r="A281" s="13" t="s">
        <v>518</v>
      </c>
      <c r="B281" s="9">
        <f t="shared" si="5"/>
        <v>20411454</v>
      </c>
      <c r="D281" s="7" t="s">
        <v>518</v>
      </c>
      <c r="E281" s="7">
        <v>2.0411454E7</v>
      </c>
    </row>
    <row r="282">
      <c r="A282" s="13" t="s">
        <v>518</v>
      </c>
      <c r="B282" s="9">
        <f t="shared" si="5"/>
        <v>20411454</v>
      </c>
      <c r="D282" s="7" t="s">
        <v>518</v>
      </c>
      <c r="E282" s="7">
        <v>2.0411454E7</v>
      </c>
    </row>
    <row r="283">
      <c r="A283" s="13" t="s">
        <v>518</v>
      </c>
      <c r="B283" s="9">
        <f t="shared" si="5"/>
        <v>20411454</v>
      </c>
      <c r="D283" s="7" t="s">
        <v>518</v>
      </c>
      <c r="E283" s="7">
        <v>2.0411454E7</v>
      </c>
    </row>
    <row r="284">
      <c r="A284" s="13" t="s">
        <v>518</v>
      </c>
      <c r="B284" s="9">
        <f t="shared" si="5"/>
        <v>20411454</v>
      </c>
      <c r="D284" s="7" t="s">
        <v>518</v>
      </c>
      <c r="E284" s="7">
        <v>2.0411454E7</v>
      </c>
    </row>
    <row r="285">
      <c r="A285" s="13" t="s">
        <v>518</v>
      </c>
      <c r="B285" s="9">
        <f t="shared" si="5"/>
        <v>20411454</v>
      </c>
      <c r="D285" s="7" t="s">
        <v>518</v>
      </c>
      <c r="E285" s="7">
        <v>2.0411454E7</v>
      </c>
    </row>
    <row r="286">
      <c r="A286" s="13" t="s">
        <v>518</v>
      </c>
      <c r="B286" s="9">
        <f t="shared" si="5"/>
        <v>20411454</v>
      </c>
      <c r="D286" s="7" t="s">
        <v>518</v>
      </c>
      <c r="E286" s="7">
        <v>2.0411454E7</v>
      </c>
    </row>
    <row r="287">
      <c r="A287" s="13" t="s">
        <v>518</v>
      </c>
      <c r="B287" s="9">
        <f t="shared" si="5"/>
        <v>20411454</v>
      </c>
      <c r="D287" s="7" t="s">
        <v>518</v>
      </c>
      <c r="E287" s="7">
        <v>2.0411454E7</v>
      </c>
    </row>
    <row r="288">
      <c r="A288" s="13" t="s">
        <v>518</v>
      </c>
      <c r="B288" s="9">
        <f t="shared" si="5"/>
        <v>20411454</v>
      </c>
      <c r="D288" s="7" t="s">
        <v>518</v>
      </c>
      <c r="E288" s="7">
        <v>2.0411454E7</v>
      </c>
    </row>
    <row r="289">
      <c r="A289" s="13" t="s">
        <v>518</v>
      </c>
      <c r="B289" s="9">
        <f t="shared" si="5"/>
        <v>20411454</v>
      </c>
      <c r="D289" s="7" t="s">
        <v>518</v>
      </c>
      <c r="E289" s="7">
        <v>2.0411454E7</v>
      </c>
    </row>
    <row r="290">
      <c r="A290" s="13" t="s">
        <v>518</v>
      </c>
      <c r="B290" s="9">
        <f t="shared" si="5"/>
        <v>20411454</v>
      </c>
      <c r="D290" s="7" t="s">
        <v>518</v>
      </c>
      <c r="E290" s="7">
        <v>2.0411454E7</v>
      </c>
    </row>
    <row r="291">
      <c r="A291" s="13" t="s">
        <v>518</v>
      </c>
      <c r="B291" s="9">
        <f t="shared" si="5"/>
        <v>20411454</v>
      </c>
      <c r="D291" s="7" t="s">
        <v>518</v>
      </c>
      <c r="E291" s="7">
        <v>2.0411454E7</v>
      </c>
    </row>
    <row r="292">
      <c r="A292" s="13" t="s">
        <v>518</v>
      </c>
      <c r="B292" s="9">
        <f t="shared" si="5"/>
        <v>20411454</v>
      </c>
      <c r="D292" s="7" t="s">
        <v>518</v>
      </c>
      <c r="E292" s="7">
        <v>2.0411454E7</v>
      </c>
    </row>
    <row r="293">
      <c r="A293" s="13" t="s">
        <v>518</v>
      </c>
      <c r="B293" s="9">
        <f t="shared" si="5"/>
        <v>20411454</v>
      </c>
      <c r="D293" s="7" t="s">
        <v>518</v>
      </c>
      <c r="E293" s="7">
        <v>2.0411454E7</v>
      </c>
    </row>
    <row r="294">
      <c r="A294" s="13" t="s">
        <v>518</v>
      </c>
      <c r="B294" s="9">
        <f t="shared" si="5"/>
        <v>20411454</v>
      </c>
      <c r="D294" s="7" t="s">
        <v>518</v>
      </c>
      <c r="E294" s="7">
        <v>2.0411454E7</v>
      </c>
    </row>
    <row r="295">
      <c r="A295" s="13" t="s">
        <v>518</v>
      </c>
      <c r="B295" s="9">
        <f t="shared" si="5"/>
        <v>20411454</v>
      </c>
      <c r="D295" s="7" t="s">
        <v>518</v>
      </c>
      <c r="E295" s="7">
        <v>2.0411454E7</v>
      </c>
    </row>
    <row r="296">
      <c r="A296" s="13" t="s">
        <v>518</v>
      </c>
      <c r="B296" s="9">
        <f t="shared" si="5"/>
        <v>20411454</v>
      </c>
      <c r="D296" s="7" t="s">
        <v>518</v>
      </c>
      <c r="E296" s="7">
        <v>2.0411454E7</v>
      </c>
    </row>
    <row r="297">
      <c r="A297" s="13" t="s">
        <v>518</v>
      </c>
      <c r="B297" s="9">
        <f t="shared" si="5"/>
        <v>20411454</v>
      </c>
      <c r="D297" s="7" t="s">
        <v>518</v>
      </c>
      <c r="E297" s="7">
        <v>2.0411454E7</v>
      </c>
    </row>
    <row r="298">
      <c r="A298" s="13" t="s">
        <v>518</v>
      </c>
      <c r="B298" s="9">
        <f t="shared" si="5"/>
        <v>20411454</v>
      </c>
      <c r="D298" s="7" t="s">
        <v>341</v>
      </c>
      <c r="E298" s="7">
        <v>1706194.0</v>
      </c>
    </row>
    <row r="299">
      <c r="A299" s="13" t="s">
        <v>518</v>
      </c>
      <c r="B299" s="9">
        <f t="shared" si="5"/>
        <v>20411454</v>
      </c>
      <c r="D299" s="7" t="s">
        <v>276</v>
      </c>
      <c r="E299" s="7">
        <v>1.8828278E7</v>
      </c>
    </row>
    <row r="300">
      <c r="A300" s="13" t="s">
        <v>518</v>
      </c>
      <c r="B300" s="9">
        <f t="shared" si="5"/>
        <v>20411454</v>
      </c>
      <c r="D300" s="7" t="s">
        <v>276</v>
      </c>
      <c r="E300" s="7">
        <v>1.8828278E7</v>
      </c>
    </row>
    <row r="301">
      <c r="A301" s="13" t="s">
        <v>518</v>
      </c>
      <c r="B301" s="9">
        <f t="shared" si="5"/>
        <v>20411454</v>
      </c>
      <c r="D301" s="7" t="s">
        <v>276</v>
      </c>
      <c r="E301" s="7">
        <v>1.8828278E7</v>
      </c>
    </row>
    <row r="302">
      <c r="A302" s="13" t="s">
        <v>518</v>
      </c>
      <c r="B302" s="9">
        <f t="shared" si="5"/>
        <v>20411454</v>
      </c>
      <c r="D302" s="7" t="s">
        <v>276</v>
      </c>
      <c r="E302" s="7">
        <v>1.8828278E7</v>
      </c>
    </row>
    <row r="303">
      <c r="A303" s="13" t="s">
        <v>518</v>
      </c>
      <c r="B303" s="9">
        <f t="shared" si="5"/>
        <v>20411454</v>
      </c>
      <c r="D303" s="7" t="s">
        <v>276</v>
      </c>
      <c r="E303" s="7">
        <v>1.8828278E7</v>
      </c>
    </row>
    <row r="304">
      <c r="A304" s="13" t="s">
        <v>518</v>
      </c>
      <c r="B304" s="9">
        <f t="shared" si="5"/>
        <v>20411454</v>
      </c>
      <c r="D304" s="7" t="s">
        <v>276</v>
      </c>
      <c r="E304" s="7">
        <v>1.8828278E7</v>
      </c>
    </row>
    <row r="305">
      <c r="A305" s="13" t="s">
        <v>518</v>
      </c>
      <c r="B305" s="9">
        <f t="shared" si="5"/>
        <v>20411454</v>
      </c>
      <c r="D305" s="7" t="s">
        <v>276</v>
      </c>
      <c r="E305" s="7">
        <v>1.8828278E7</v>
      </c>
    </row>
    <row r="306">
      <c r="A306" s="13" t="s">
        <v>518</v>
      </c>
      <c r="B306" s="9">
        <f t="shared" si="5"/>
        <v>20411454</v>
      </c>
      <c r="D306" s="7" t="s">
        <v>276</v>
      </c>
      <c r="E306" s="7">
        <v>1.8828278E7</v>
      </c>
    </row>
    <row r="307">
      <c r="A307" s="13" t="s">
        <v>518</v>
      </c>
      <c r="B307" s="9">
        <f t="shared" si="5"/>
        <v>20411454</v>
      </c>
      <c r="D307" s="7" t="s">
        <v>276</v>
      </c>
      <c r="E307" s="7">
        <v>1.8828278E7</v>
      </c>
    </row>
    <row r="308">
      <c r="A308" s="13" t="s">
        <v>518</v>
      </c>
      <c r="B308" s="9">
        <f t="shared" si="5"/>
        <v>20411454</v>
      </c>
      <c r="D308" s="7" t="s">
        <v>276</v>
      </c>
      <c r="E308" s="7">
        <v>1.8828278E7</v>
      </c>
    </row>
    <row r="309">
      <c r="A309" s="13" t="s">
        <v>518</v>
      </c>
      <c r="B309" s="9">
        <f t="shared" si="5"/>
        <v>20411454</v>
      </c>
      <c r="D309" s="7" t="s">
        <v>276</v>
      </c>
      <c r="E309" s="7">
        <v>1.8828278E7</v>
      </c>
    </row>
    <row r="310">
      <c r="A310" s="13" t="s">
        <v>518</v>
      </c>
      <c r="B310" s="9">
        <f t="shared" si="5"/>
        <v>20411454</v>
      </c>
      <c r="D310" s="7" t="s">
        <v>276</v>
      </c>
      <c r="E310" s="7">
        <v>1.8828278E7</v>
      </c>
    </row>
    <row r="311">
      <c r="A311" s="13" t="s">
        <v>518</v>
      </c>
      <c r="B311" s="9">
        <f t="shared" si="5"/>
        <v>20411454</v>
      </c>
      <c r="D311" s="7" t="s">
        <v>276</v>
      </c>
      <c r="E311" s="7">
        <v>1.8828278E7</v>
      </c>
    </row>
    <row r="312">
      <c r="A312" s="13" t="s">
        <v>518</v>
      </c>
      <c r="B312" s="9">
        <f t="shared" si="5"/>
        <v>20411454</v>
      </c>
      <c r="D312" s="7" t="s">
        <v>276</v>
      </c>
      <c r="E312" s="7">
        <v>1.8828278E7</v>
      </c>
    </row>
    <row r="313">
      <c r="A313" s="13" t="s">
        <v>518</v>
      </c>
      <c r="B313" s="9">
        <f t="shared" si="5"/>
        <v>20411454</v>
      </c>
      <c r="D313" s="7" t="s">
        <v>276</v>
      </c>
      <c r="E313" s="7">
        <v>1.8828278E7</v>
      </c>
    </row>
    <row r="314">
      <c r="A314" s="13" t="s">
        <v>518</v>
      </c>
      <c r="B314" s="9">
        <f t="shared" si="5"/>
        <v>20411454</v>
      </c>
      <c r="D314" s="7" t="s">
        <v>276</v>
      </c>
      <c r="E314" s="7">
        <v>1.8828278E7</v>
      </c>
    </row>
    <row r="315">
      <c r="A315" s="13" t="s">
        <v>518</v>
      </c>
      <c r="B315" s="9">
        <f t="shared" si="5"/>
        <v>20411454</v>
      </c>
      <c r="D315" s="7" t="s">
        <v>276</v>
      </c>
      <c r="E315" s="7">
        <v>1.8828278E7</v>
      </c>
    </row>
    <row r="316">
      <c r="A316" s="13" t="s">
        <v>518</v>
      </c>
      <c r="B316" s="9">
        <f t="shared" si="5"/>
        <v>20411454</v>
      </c>
      <c r="D316" s="7" t="s">
        <v>282</v>
      </c>
      <c r="E316" s="7">
        <v>1.6633294E7</v>
      </c>
    </row>
    <row r="317">
      <c r="A317" s="13" t="s">
        <v>518</v>
      </c>
      <c r="B317" s="9">
        <f t="shared" si="5"/>
        <v>20411454</v>
      </c>
      <c r="D317" s="7" t="s">
        <v>352</v>
      </c>
      <c r="E317" s="7">
        <v>8977234.0</v>
      </c>
    </row>
    <row r="318">
      <c r="A318" s="13" t="s">
        <v>518</v>
      </c>
      <c r="B318" s="9">
        <f t="shared" si="5"/>
        <v>20411454</v>
      </c>
      <c r="D318" s="7" t="s">
        <v>352</v>
      </c>
      <c r="E318" s="7">
        <v>8977234.0</v>
      </c>
    </row>
    <row r="319">
      <c r="A319" s="13" t="s">
        <v>518</v>
      </c>
      <c r="B319" s="9">
        <f t="shared" si="5"/>
        <v>20411454</v>
      </c>
      <c r="D319" s="7" t="s">
        <v>352</v>
      </c>
      <c r="E319" s="7">
        <v>8977234.0</v>
      </c>
    </row>
    <row r="320">
      <c r="A320" s="13" t="s">
        <v>518</v>
      </c>
      <c r="B320" s="9">
        <f t="shared" si="5"/>
        <v>20411454</v>
      </c>
      <c r="D320" s="7" t="s">
        <v>352</v>
      </c>
      <c r="E320" s="7">
        <v>8977234.0</v>
      </c>
    </row>
    <row r="321">
      <c r="A321" s="13" t="s">
        <v>518</v>
      </c>
      <c r="B321" s="9">
        <f t="shared" si="5"/>
        <v>20411454</v>
      </c>
      <c r="D321" s="7" t="s">
        <v>526</v>
      </c>
      <c r="E321" s="7">
        <v>1.910664E7</v>
      </c>
    </row>
    <row r="322">
      <c r="A322" s="13" t="s">
        <v>518</v>
      </c>
      <c r="B322" s="9">
        <f t="shared" si="5"/>
        <v>20411454</v>
      </c>
      <c r="D322" s="7" t="s">
        <v>286</v>
      </c>
      <c r="E322" s="7">
        <v>2.0098658E7</v>
      </c>
    </row>
    <row r="323">
      <c r="A323" s="13" t="s">
        <v>518</v>
      </c>
      <c r="B323" s="9">
        <f t="shared" si="5"/>
        <v>20411454</v>
      </c>
      <c r="D323" s="7" t="s">
        <v>78</v>
      </c>
      <c r="E323" s="7">
        <v>1.8581063E7</v>
      </c>
    </row>
    <row r="324">
      <c r="A324" s="13" t="s">
        <v>518</v>
      </c>
      <c r="B324" s="9">
        <f t="shared" si="5"/>
        <v>20411454</v>
      </c>
      <c r="D324" s="7" t="s">
        <v>133</v>
      </c>
      <c r="E324" s="7">
        <v>2.1313588E7</v>
      </c>
    </row>
    <row r="325">
      <c r="A325" s="13" t="s">
        <v>518</v>
      </c>
      <c r="B325" s="9">
        <f t="shared" si="5"/>
        <v>20411454</v>
      </c>
      <c r="D325" s="7" t="s">
        <v>133</v>
      </c>
      <c r="E325" s="7">
        <v>2.1313588E7</v>
      </c>
    </row>
    <row r="326">
      <c r="A326" s="13" t="s">
        <v>518</v>
      </c>
      <c r="B326" s="9">
        <f t="shared" si="5"/>
        <v>20411454</v>
      </c>
      <c r="D326" s="7" t="s">
        <v>133</v>
      </c>
      <c r="E326" s="7">
        <v>2.1313588E7</v>
      </c>
    </row>
    <row r="327">
      <c r="A327" s="13" t="s">
        <v>518</v>
      </c>
      <c r="B327" s="9">
        <f t="shared" si="5"/>
        <v>20411454</v>
      </c>
      <c r="D327" s="7" t="s">
        <v>133</v>
      </c>
      <c r="E327" s="7">
        <v>2.1313588E7</v>
      </c>
    </row>
    <row r="328">
      <c r="A328" s="13" t="s">
        <v>518</v>
      </c>
      <c r="B328" s="9">
        <f t="shared" si="5"/>
        <v>20411454</v>
      </c>
      <c r="D328" s="7" t="s">
        <v>133</v>
      </c>
      <c r="E328" s="7">
        <v>2.1313588E7</v>
      </c>
    </row>
    <row r="329">
      <c r="A329" s="13" t="s">
        <v>518</v>
      </c>
      <c r="B329" s="9">
        <f t="shared" si="5"/>
        <v>20411454</v>
      </c>
    </row>
    <row r="330">
      <c r="A330" s="13" t="s">
        <v>518</v>
      </c>
      <c r="B330" s="9">
        <f t="shared" si="5"/>
        <v>20411454</v>
      </c>
    </row>
    <row r="331">
      <c r="A331" s="13" t="s">
        <v>518</v>
      </c>
      <c r="B331" s="9">
        <f t="shared" si="5"/>
        <v>20411454</v>
      </c>
    </row>
    <row r="332">
      <c r="A332" s="13" t="s">
        <v>341</v>
      </c>
      <c r="B332" s="9">
        <f t="shared" si="5"/>
        <v>1706194</v>
      </c>
    </row>
    <row r="333">
      <c r="A333" s="13" t="s">
        <v>276</v>
      </c>
      <c r="B333" s="9">
        <f t="shared" si="5"/>
        <v>18828278</v>
      </c>
    </row>
    <row r="334">
      <c r="A334" s="13" t="s">
        <v>276</v>
      </c>
      <c r="B334" s="9">
        <f t="shared" si="5"/>
        <v>18828278</v>
      </c>
    </row>
    <row r="335">
      <c r="A335" s="13" t="s">
        <v>276</v>
      </c>
      <c r="B335" s="9">
        <f t="shared" si="5"/>
        <v>18828278</v>
      </c>
    </row>
    <row r="336">
      <c r="A336" s="13" t="s">
        <v>276</v>
      </c>
      <c r="B336" s="9">
        <f t="shared" si="5"/>
        <v>18828278</v>
      </c>
    </row>
    <row r="337">
      <c r="A337" s="13" t="s">
        <v>276</v>
      </c>
      <c r="B337" s="9">
        <f t="shared" si="5"/>
        <v>18828278</v>
      </c>
    </row>
    <row r="338">
      <c r="A338" s="13" t="s">
        <v>276</v>
      </c>
      <c r="B338" s="9">
        <f t="shared" si="5"/>
        <v>18828278</v>
      </c>
    </row>
    <row r="339">
      <c r="A339" s="13" t="s">
        <v>276</v>
      </c>
      <c r="B339" s="9">
        <f t="shared" si="5"/>
        <v>18828278</v>
      </c>
    </row>
    <row r="340">
      <c r="A340" s="13" t="s">
        <v>276</v>
      </c>
      <c r="B340" s="9">
        <f t="shared" si="5"/>
        <v>18828278</v>
      </c>
    </row>
    <row r="341">
      <c r="A341" s="13" t="s">
        <v>276</v>
      </c>
      <c r="B341" s="9">
        <f t="shared" si="5"/>
        <v>18828278</v>
      </c>
    </row>
    <row r="342">
      <c r="A342" s="13" t="s">
        <v>276</v>
      </c>
      <c r="B342" s="9">
        <f t="shared" si="5"/>
        <v>18828278</v>
      </c>
    </row>
    <row r="343">
      <c r="A343" s="13" t="s">
        <v>276</v>
      </c>
      <c r="B343" s="9">
        <f t="shared" si="5"/>
        <v>18828278</v>
      </c>
    </row>
    <row r="344">
      <c r="A344" s="13" t="s">
        <v>276</v>
      </c>
      <c r="B344" s="9">
        <f t="shared" si="5"/>
        <v>18828278</v>
      </c>
    </row>
    <row r="345">
      <c r="A345" s="13" t="s">
        <v>276</v>
      </c>
      <c r="B345" s="9">
        <f t="shared" si="5"/>
        <v>18828278</v>
      </c>
    </row>
    <row r="346">
      <c r="A346" s="13" t="s">
        <v>276</v>
      </c>
      <c r="B346" s="9">
        <f t="shared" si="5"/>
        <v>18828278</v>
      </c>
    </row>
    <row r="347">
      <c r="A347" s="13" t="s">
        <v>276</v>
      </c>
      <c r="B347" s="9">
        <f t="shared" si="5"/>
        <v>18828278</v>
      </c>
    </row>
    <row r="348">
      <c r="A348" s="13" t="s">
        <v>276</v>
      </c>
      <c r="B348" s="9">
        <f t="shared" si="5"/>
        <v>18828278</v>
      </c>
    </row>
    <row r="349">
      <c r="A349" s="13" t="s">
        <v>276</v>
      </c>
      <c r="B349" s="9">
        <f t="shared" si="5"/>
        <v>18828278</v>
      </c>
    </row>
    <row r="350">
      <c r="A350" s="13" t="s">
        <v>282</v>
      </c>
      <c r="B350" s="9">
        <f t="shared" si="5"/>
        <v>16633294</v>
      </c>
    </row>
    <row r="351">
      <c r="A351" s="13" t="s">
        <v>352</v>
      </c>
      <c r="B351" s="9">
        <f t="shared" si="5"/>
        <v>8977234</v>
      </c>
    </row>
    <row r="352">
      <c r="A352" s="13" t="s">
        <v>352</v>
      </c>
      <c r="B352" s="9">
        <f t="shared" si="5"/>
        <v>8977234</v>
      </c>
    </row>
    <row r="353">
      <c r="A353" s="13" t="s">
        <v>352</v>
      </c>
      <c r="B353" s="9">
        <f t="shared" si="5"/>
        <v>8977234</v>
      </c>
    </row>
    <row r="354">
      <c r="A354" s="13" t="s">
        <v>286</v>
      </c>
      <c r="B354" s="9">
        <f t="shared" si="5"/>
        <v>20098658</v>
      </c>
    </row>
    <row r="355">
      <c r="A355" s="13" t="s">
        <v>78</v>
      </c>
      <c r="B355" s="9">
        <f t="shared" si="5"/>
        <v>18581063</v>
      </c>
    </row>
    <row r="356">
      <c r="A356" s="13" t="s">
        <v>292</v>
      </c>
      <c r="B356" s="7">
        <v>2.1283956E7</v>
      </c>
    </row>
    <row r="357">
      <c r="A357" s="13" t="s">
        <v>133</v>
      </c>
      <c r="B357" s="9">
        <f t="shared" ref="B357:B363" si="6">VLOOKUP(A357,D:E,2,false)</f>
        <v>21313588</v>
      </c>
    </row>
    <row r="358">
      <c r="A358" s="13" t="s">
        <v>133</v>
      </c>
      <c r="B358" s="9">
        <f t="shared" si="6"/>
        <v>21313588</v>
      </c>
    </row>
    <row r="359">
      <c r="A359" s="13" t="s">
        <v>133</v>
      </c>
      <c r="B359" s="9">
        <f t="shared" si="6"/>
        <v>21313588</v>
      </c>
    </row>
    <row r="360">
      <c r="A360" s="13" t="s">
        <v>133</v>
      </c>
      <c r="B360" s="9">
        <f t="shared" si="6"/>
        <v>21313588</v>
      </c>
    </row>
    <row r="361">
      <c r="A361" s="13" t="s">
        <v>133</v>
      </c>
      <c r="B361" s="9">
        <f t="shared" si="6"/>
        <v>21313588</v>
      </c>
    </row>
    <row r="362">
      <c r="A362" s="13" t="s">
        <v>133</v>
      </c>
      <c r="B362" s="9">
        <f t="shared" si="6"/>
        <v>21313588</v>
      </c>
    </row>
    <row r="363">
      <c r="A363" s="13" t="s">
        <v>133</v>
      </c>
      <c r="B363" s="9">
        <f t="shared" si="6"/>
        <v>21313588</v>
      </c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autoFilter ref="$A$1:$Z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2026-03-20T07:26:12Z</dcterms:created>
  <dc:creator>JB Infotech</dc:creator>
</cp:coreProperties>
</file>