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2026\As earned\2-27-26\"/>
    </mc:Choice>
  </mc:AlternateContent>
  <xr:revisionPtr revIDLastSave="0" documentId="13_ncr:1_{1620AB11-BDF1-4AFB-BFE2-E49F40570C31}" xr6:coauthVersionLast="47" xr6:coauthVersionMax="47" xr10:uidLastSave="{00000000-0000-0000-0000-000000000000}"/>
  <bookViews>
    <workbookView xWindow="-120" yWindow="-120" windowWidth="29040" windowHeight="16440" activeTab="1" xr2:uid="{25B40D62-1F90-42A6-9299-AC4E7B31E042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I28" i="2" l="1"/>
  <c r="I29" i="2"/>
  <c r="I12" i="2"/>
  <c r="I13" i="2"/>
  <c r="I14" i="2"/>
  <c r="I15" i="2"/>
  <c r="I3" i="2"/>
  <c r="I16" i="2"/>
  <c r="I17" i="2"/>
  <c r="I18" i="2"/>
  <c r="I19" i="2"/>
  <c r="I51" i="2"/>
  <c r="I4" i="2"/>
  <c r="I5" i="2"/>
  <c r="I20" i="2"/>
  <c r="I6" i="2"/>
  <c r="I21" i="2"/>
  <c r="I35" i="2"/>
  <c r="I7" i="2"/>
  <c r="I68" i="2"/>
  <c r="I33" i="2"/>
  <c r="I52" i="2"/>
  <c r="I54" i="2"/>
  <c r="I22" i="2"/>
  <c r="I40" i="2"/>
  <c r="I41" i="2"/>
  <c r="I8" i="2"/>
  <c r="I9" i="2"/>
  <c r="I42" i="2"/>
  <c r="I36" i="2"/>
  <c r="I30" i="2"/>
  <c r="I67" i="2"/>
  <c r="I47" i="2"/>
  <c r="I45" i="2"/>
  <c r="I60" i="2"/>
  <c r="I61" i="2"/>
  <c r="I62" i="2"/>
  <c r="I55" i="2"/>
  <c r="I56" i="2"/>
  <c r="I57" i="2"/>
  <c r="I48" i="2"/>
  <c r="I49" i="2"/>
  <c r="I50" i="2"/>
  <c r="I63" i="2"/>
  <c r="I64" i="2"/>
  <c r="I2" i="2"/>
  <c r="I37" i="2"/>
  <c r="I34" i="2"/>
  <c r="I31" i="2"/>
  <c r="I44" i="2"/>
  <c r="I43" i="2"/>
  <c r="I23" i="2"/>
  <c r="I38" i="2"/>
  <c r="I39" i="2"/>
  <c r="I46" i="2"/>
  <c r="I58" i="2"/>
  <c r="I65" i="2"/>
  <c r="I66" i="2"/>
  <c r="I53" i="2"/>
  <c r="I59" i="2"/>
  <c r="I24" i="2"/>
  <c r="I10" i="2"/>
  <c r="I25" i="2"/>
  <c r="I26" i="2"/>
  <c r="I32" i="2"/>
  <c r="I11" i="2"/>
  <c r="I27" i="2"/>
</calcChain>
</file>

<file path=xl/sharedStrings.xml><?xml version="1.0" encoding="utf-8"?>
<sst xmlns="http://schemas.openxmlformats.org/spreadsheetml/2006/main" count="2012" uniqueCount="371">
  <si>
    <t>Commission Agent Name</t>
  </si>
  <si>
    <t>Commission Agent Number</t>
  </si>
  <si>
    <t>Commission Agent Status</t>
  </si>
  <si>
    <t>Commission Agent Contracted Date</t>
  </si>
  <si>
    <t>Commission Agent Terminated Date</t>
  </si>
  <si>
    <t>Company</t>
  </si>
  <si>
    <t>Statement Date</t>
  </si>
  <si>
    <t>Writing Agent Name</t>
  </si>
  <si>
    <t>Writing Agent Number</t>
  </si>
  <si>
    <t>Source</t>
  </si>
  <si>
    <t>Policy Number</t>
  </si>
  <si>
    <t>Initial Prem Indicator</t>
  </si>
  <si>
    <t>Insured Name</t>
  </si>
  <si>
    <t>Plan Code</t>
  </si>
  <si>
    <t>Product Type</t>
  </si>
  <si>
    <t>Issue Date</t>
  </si>
  <si>
    <t>Paid Date</t>
  </si>
  <si>
    <t>Billing Frequency</t>
  </si>
  <si>
    <t>Comm type</t>
  </si>
  <si>
    <t>Amount Invested</t>
  </si>
  <si>
    <t>Comm Premium or Gross Comm</t>
  </si>
  <si>
    <t>PSOP</t>
  </si>
  <si>
    <t>Split%</t>
  </si>
  <si>
    <t>Comm%</t>
  </si>
  <si>
    <t>Comm Amount</t>
  </si>
  <si>
    <t>Earned Adv %</t>
  </si>
  <si>
    <t>Earned Adv Amount</t>
  </si>
  <si>
    <t xml:space="preserve">Main Line Benefits Llc </t>
  </si>
  <si>
    <t>094KK27066</t>
  </si>
  <si>
    <t>Terminated</t>
  </si>
  <si>
    <t>09/06/2024</t>
  </si>
  <si>
    <t>04/21/2025</t>
  </si>
  <si>
    <t>Transamerica Life Insurance Co.</t>
  </si>
  <si>
    <t>02/27/2026</t>
  </si>
  <si>
    <t>WALENGA, DALE J</t>
  </si>
  <si>
    <t>0094173481</t>
  </si>
  <si>
    <t>CYBERLIFE 10.01</t>
  </si>
  <si>
    <t>6602036702</t>
  </si>
  <si>
    <t>N</t>
  </si>
  <si>
    <t>Lowe</t>
  </si>
  <si>
    <t>TD554A</t>
  </si>
  <si>
    <t>Ord Life</t>
  </si>
  <si>
    <t>03/24/2025</t>
  </si>
  <si>
    <t>03/24/2026</t>
  </si>
  <si>
    <t>Monthly</t>
  </si>
  <si>
    <t>OW 1st Yr</t>
  </si>
  <si>
    <t>02/24/2026</t>
  </si>
  <si>
    <t xml:space="preserve">PORTUGAL, GARY </t>
  </si>
  <si>
    <t>0094173945</t>
  </si>
  <si>
    <t>6602141191</t>
  </si>
  <si>
    <t>Gomez Salgado</t>
  </si>
  <si>
    <t>TD5G4D</t>
  </si>
  <si>
    <t>07/27/2025</t>
  </si>
  <si>
    <t>6602249822</t>
  </si>
  <si>
    <t>12/09/2025</t>
  </si>
  <si>
    <t>03/09/2026</t>
  </si>
  <si>
    <t>6602299871</t>
  </si>
  <si>
    <t>Y</t>
  </si>
  <si>
    <t>Valentin</t>
  </si>
  <si>
    <t>TD560C</t>
  </si>
  <si>
    <t>02/04/2026</t>
  </si>
  <si>
    <t>03/04/2026</t>
  </si>
  <si>
    <t xml:space="preserve">PETRUNGARO, ANDREA </t>
  </si>
  <si>
    <t>0094175599</t>
  </si>
  <si>
    <t>6602088836</t>
  </si>
  <si>
    <t>Savastano</t>
  </si>
  <si>
    <t>TD545B</t>
  </si>
  <si>
    <t>05/01/2025</t>
  </si>
  <si>
    <t>03/01/2026</t>
  </si>
  <si>
    <t>WERNER, STEVEN D</t>
  </si>
  <si>
    <t>0094176097</t>
  </si>
  <si>
    <t>6602136573</t>
  </si>
  <si>
    <t>Rosenblat</t>
  </si>
  <si>
    <t>07/14/2025</t>
  </si>
  <si>
    <t>03/14/2026</t>
  </si>
  <si>
    <t>6602136587</t>
  </si>
  <si>
    <t>PARDUE, THOMAS D</t>
  </si>
  <si>
    <t>0094177200</t>
  </si>
  <si>
    <t>6602087872</t>
  </si>
  <si>
    <t>Carroll</t>
  </si>
  <si>
    <t>TD551C</t>
  </si>
  <si>
    <t>05/27/2025</t>
  </si>
  <si>
    <t>6602087960</t>
  </si>
  <si>
    <t>MLSR156747</t>
  </si>
  <si>
    <t>Active</t>
  </si>
  <si>
    <t/>
  </si>
  <si>
    <t>RICHTER, PETER L</t>
  </si>
  <si>
    <t>MLSR112897</t>
  </si>
  <si>
    <t>6602183190</t>
  </si>
  <si>
    <t>Stephens</t>
  </si>
  <si>
    <t>09/05/2025</t>
  </si>
  <si>
    <t>03/05/2026</t>
  </si>
  <si>
    <t>RICHTER, ADAM J</t>
  </si>
  <si>
    <t>MLSR113135</t>
  </si>
  <si>
    <t>Individual AFP</t>
  </si>
  <si>
    <t>FEXB147928</t>
  </si>
  <si>
    <t>Whitelock</t>
  </si>
  <si>
    <t>TAFEST01</t>
  </si>
  <si>
    <t>09/01/2025</t>
  </si>
  <si>
    <t>FEXB148377</t>
  </si>
  <si>
    <t>Hemsley</t>
  </si>
  <si>
    <t>TAFEGR01</t>
  </si>
  <si>
    <t>09/02/2025</t>
  </si>
  <si>
    <t>03/02/2026</t>
  </si>
  <si>
    <t>FEXB191214</t>
  </si>
  <si>
    <t>Primikirios</t>
  </si>
  <si>
    <t>10/16/2025</t>
  </si>
  <si>
    <t>03/16/2026</t>
  </si>
  <si>
    <t>FEXB191242</t>
  </si>
  <si>
    <t>FEXB198796</t>
  </si>
  <si>
    <t>Geary</t>
  </si>
  <si>
    <t>10/23/2025</t>
  </si>
  <si>
    <t>03/23/2026</t>
  </si>
  <si>
    <t>FEXB239147</t>
  </si>
  <si>
    <t>Fortier</t>
  </si>
  <si>
    <t>11/26/2025</t>
  </si>
  <si>
    <t>02/26/2026</t>
  </si>
  <si>
    <t>FEXB251004</t>
  </si>
  <si>
    <t>Dick</t>
  </si>
  <si>
    <t>12/07/2025</t>
  </si>
  <si>
    <t>03/07/2026</t>
  </si>
  <si>
    <t>FEXB260728</t>
  </si>
  <si>
    <t>Davis</t>
  </si>
  <si>
    <t>12/13/2025</t>
  </si>
  <si>
    <t>03/13/2026</t>
  </si>
  <si>
    <t>6602188799</t>
  </si>
  <si>
    <t>Harry</t>
  </si>
  <si>
    <t>TD5E6D</t>
  </si>
  <si>
    <t>09/11/2025</t>
  </si>
  <si>
    <t>03/11/2026</t>
  </si>
  <si>
    <t xml:space="preserve">MCCORKLE, MICHELLE </t>
  </si>
  <si>
    <t>MLSR126064</t>
  </si>
  <si>
    <t>FEX467271</t>
  </si>
  <si>
    <t>Rowan</t>
  </si>
  <si>
    <t>TD12KU</t>
  </si>
  <si>
    <t>10/01/2025</t>
  </si>
  <si>
    <t>INSKIPT, DEBORAH L</t>
  </si>
  <si>
    <t>MLSR126103</t>
  </si>
  <si>
    <t>LFT094494</t>
  </si>
  <si>
    <t>Donald Nencioni</t>
  </si>
  <si>
    <t>TD12KF</t>
  </si>
  <si>
    <t>01/28/2026</t>
  </si>
  <si>
    <t>01/28/2027</t>
  </si>
  <si>
    <t>Annual</t>
  </si>
  <si>
    <t>KUCAN, THOMAS P</t>
  </si>
  <si>
    <t>MLSR129779</t>
  </si>
  <si>
    <t>FEXB172200</t>
  </si>
  <si>
    <t>Harbaugh</t>
  </si>
  <si>
    <t>YALE, JACOB D</t>
  </si>
  <si>
    <t>MLSR137413</t>
  </si>
  <si>
    <t>6602159017</t>
  </si>
  <si>
    <t>Jurcak</t>
  </si>
  <si>
    <t>TD555B</t>
  </si>
  <si>
    <t>10/08/2025</t>
  </si>
  <si>
    <t>03/08/2026</t>
  </si>
  <si>
    <t>6602176176</t>
  </si>
  <si>
    <t>Lenhoff</t>
  </si>
  <si>
    <t>09/16/2025</t>
  </si>
  <si>
    <t>6602176202</t>
  </si>
  <si>
    <t>6602191133</t>
  </si>
  <si>
    <t>Kaufmann</t>
  </si>
  <si>
    <t>11/12/2025</t>
  </si>
  <si>
    <t>03/12/2026</t>
  </si>
  <si>
    <t>6602191155</t>
  </si>
  <si>
    <t>09/27/2025</t>
  </si>
  <si>
    <t>6602268955</t>
  </si>
  <si>
    <t>Edwards</t>
  </si>
  <si>
    <t>TD555A</t>
  </si>
  <si>
    <t>01/20/2026</t>
  </si>
  <si>
    <t>03/20/2026</t>
  </si>
  <si>
    <t xml:space="preserve">TAUGNER, CHRISTIAN </t>
  </si>
  <si>
    <t>MLSR137518</t>
  </si>
  <si>
    <t>6602118959</t>
  </si>
  <si>
    <t>Denton</t>
  </si>
  <si>
    <t>06/27/2025</t>
  </si>
  <si>
    <t>6602171749</t>
  </si>
  <si>
    <t>Paeplow</t>
  </si>
  <si>
    <t>09/03/2025</t>
  </si>
  <si>
    <t>03/03/2026</t>
  </si>
  <si>
    <t>6602234573</t>
  </si>
  <si>
    <t>Dantonio</t>
  </si>
  <si>
    <t>11/13/2025</t>
  </si>
  <si>
    <t>6602263711</t>
  </si>
  <si>
    <t>Sanders</t>
  </si>
  <si>
    <t>02/25/2026</t>
  </si>
  <si>
    <t>03/25/2026</t>
  </si>
  <si>
    <t>ZANA, NASANDELGER M</t>
  </si>
  <si>
    <t>MLSR137577</t>
  </si>
  <si>
    <t>6602214405</t>
  </si>
  <si>
    <t>Battulga</t>
  </si>
  <si>
    <t>11/10/2025</t>
  </si>
  <si>
    <t>02/10/2026</t>
  </si>
  <si>
    <t>6602232153</t>
  </si>
  <si>
    <t>Tsend</t>
  </si>
  <si>
    <t>11/20/2025</t>
  </si>
  <si>
    <t>02/20/2026</t>
  </si>
  <si>
    <t>6602235706</t>
  </si>
  <si>
    <t>Banzragch</t>
  </si>
  <si>
    <t>12/26/2025</t>
  </si>
  <si>
    <t>6602239949</t>
  </si>
  <si>
    <t>Sosorbaram</t>
  </si>
  <si>
    <t>11/24/2025</t>
  </si>
  <si>
    <t>6602255479</t>
  </si>
  <si>
    <t>Shovgor</t>
  </si>
  <si>
    <t>TD534F</t>
  </si>
  <si>
    <t>01/07/2026</t>
  </si>
  <si>
    <t>SANTOS, RICARDO D</t>
  </si>
  <si>
    <t>MLSR137602</t>
  </si>
  <si>
    <t>6602173120</t>
  </si>
  <si>
    <t>Santos</t>
  </si>
  <si>
    <t>GESKE, HEATHER M</t>
  </si>
  <si>
    <t>MLSR138219</t>
  </si>
  <si>
    <t>6602131288</t>
  </si>
  <si>
    <t>Whitaker</t>
  </si>
  <si>
    <t>08/05/2025</t>
  </si>
  <si>
    <t>6602258298</t>
  </si>
  <si>
    <t>Senzig</t>
  </si>
  <si>
    <t>01/08/2026</t>
  </si>
  <si>
    <t>CHOI, ANDREW J</t>
  </si>
  <si>
    <t>MLSR139816</t>
  </si>
  <si>
    <t>FEX483964</t>
  </si>
  <si>
    <t>Rusnak</t>
  </si>
  <si>
    <t>TD12KI</t>
  </si>
  <si>
    <t>12/25/2025</t>
  </si>
  <si>
    <t>FEX483966</t>
  </si>
  <si>
    <t>TD12K7</t>
  </si>
  <si>
    <t>FEX485167</t>
  </si>
  <si>
    <t>Go Medina</t>
  </si>
  <si>
    <t>12/28/2025</t>
  </si>
  <si>
    <t>02/28/2026</t>
  </si>
  <si>
    <t>FEX485170</t>
  </si>
  <si>
    <t>Medina</t>
  </si>
  <si>
    <t>FEX488409</t>
  </si>
  <si>
    <t>Gross</t>
  </si>
  <si>
    <t>01/01/2026</t>
  </si>
  <si>
    <t>MLSR143153</t>
  </si>
  <si>
    <t>6602218096</t>
  </si>
  <si>
    <t>Cooper</t>
  </si>
  <si>
    <t>12/10/2025</t>
  </si>
  <si>
    <t>03/10/2026</t>
  </si>
  <si>
    <t>BERTHELSEN, HEIDI M</t>
  </si>
  <si>
    <t>MLSR170115</t>
  </si>
  <si>
    <t>FEXB223150</t>
  </si>
  <si>
    <t>Parker</t>
  </si>
  <si>
    <t>FEXB223163</t>
  </si>
  <si>
    <t>FEXB223951</t>
  </si>
  <si>
    <t>Wondra</t>
  </si>
  <si>
    <t>FEXB242193</t>
  </si>
  <si>
    <t>Amoura</t>
  </si>
  <si>
    <t>12/01/2025</t>
  </si>
  <si>
    <t>FEXB242725</t>
  </si>
  <si>
    <t>Suchsland</t>
  </si>
  <si>
    <t>FEXB251519</t>
  </si>
  <si>
    <t>Perry</t>
  </si>
  <si>
    <t>12/08/2025</t>
  </si>
  <si>
    <t>FEXB252358</t>
  </si>
  <si>
    <t>Franks</t>
  </si>
  <si>
    <t>FEXB253191</t>
  </si>
  <si>
    <t>Rivera</t>
  </si>
  <si>
    <t>02/21/2026</t>
  </si>
  <si>
    <t>FEXB259135</t>
  </si>
  <si>
    <t>Wetherbee</t>
  </si>
  <si>
    <t>12/12/2025</t>
  </si>
  <si>
    <t>FEXB259151</t>
  </si>
  <si>
    <t>FEXB265505</t>
  </si>
  <si>
    <t>Wicks</t>
  </si>
  <si>
    <t>12/17/2025</t>
  </si>
  <si>
    <t>03/17/2026</t>
  </si>
  <si>
    <t>BRANDT, STEVEN K</t>
  </si>
  <si>
    <t>MLSR170457</t>
  </si>
  <si>
    <t>6602202592</t>
  </si>
  <si>
    <t>Miller</t>
  </si>
  <si>
    <t>11/07/2025</t>
  </si>
  <si>
    <t>MLSR170622</t>
  </si>
  <si>
    <t>6602238849</t>
  </si>
  <si>
    <t>Lacy</t>
  </si>
  <si>
    <t>6602287664</t>
  </si>
  <si>
    <t>Juarez</t>
  </si>
  <si>
    <t>01/27/2026</t>
  </si>
  <si>
    <t>03/27/2026</t>
  </si>
  <si>
    <t>TD5Y14</t>
  </si>
  <si>
    <t>MLSR171034</t>
  </si>
  <si>
    <t>6602065974</t>
  </si>
  <si>
    <t>Apelian</t>
  </si>
  <si>
    <t>08/15/2025</t>
  </si>
  <si>
    <t>03/15/2026</t>
  </si>
  <si>
    <t>6602223210</t>
  </si>
  <si>
    <t>Herenadez</t>
  </si>
  <si>
    <t>10/27/2025</t>
  </si>
  <si>
    <t xml:space="preserve">LYTLE, DOMINIC </t>
  </si>
  <si>
    <t>MLSR179936</t>
  </si>
  <si>
    <t>6602217769</t>
  </si>
  <si>
    <t>Gorantla</t>
  </si>
  <si>
    <t>11/11/2025</t>
  </si>
  <si>
    <t>Trendsetter LB 15 Year 105 2023</t>
  </si>
  <si>
    <t>Trendsetter LB 20 25 30 Year 115 2023</t>
  </si>
  <si>
    <t>Trendsetter Super 20 25 30 Year LB 15 2024</t>
  </si>
  <si>
    <t>FFIUL 125 2024</t>
  </si>
  <si>
    <t>Lifetime WL A48 150</t>
  </si>
  <si>
    <t>10 Pay Solution 186 2024</t>
  </si>
  <si>
    <t>Trendsetter Super 15 Year</t>
  </si>
  <si>
    <t>Trendsetter LB 20 25 30 Year 2025</t>
  </si>
  <si>
    <t>Immediate Solution (185)</t>
  </si>
  <si>
    <t>Easy Solution (187)</t>
  </si>
  <si>
    <t>Immediate Solution replacement 6.75</t>
  </si>
  <si>
    <t>TAYLOR E STEPHENS</t>
  </si>
  <si>
    <t>CHRISTOPHER WHITELOCK</t>
  </si>
  <si>
    <t>LAKISHA HEMSLEY</t>
  </si>
  <si>
    <t>SANDRA PRIMIKIRIOS</t>
  </si>
  <si>
    <t>DEMETRIOS PRIMIKIRIOS</t>
  </si>
  <si>
    <t>GEORGE GEARY</t>
  </si>
  <si>
    <t>PAUL FORTIER</t>
  </si>
  <si>
    <t>RALPH DICK</t>
  </si>
  <si>
    <t>GERROD DAVIS</t>
  </si>
  <si>
    <t>DJUAN TUCKER HARRY</t>
  </si>
  <si>
    <t>MICHELLE STASKO</t>
  </si>
  <si>
    <t>VICTORIA NENCIONI</t>
  </si>
  <si>
    <t>CHERYL HARBAUGH</t>
  </si>
  <si>
    <t>KAREN JURCAK</t>
  </si>
  <si>
    <t>KELLY LENHOFF</t>
  </si>
  <si>
    <t>COREY LENHOFF</t>
  </si>
  <si>
    <t>ANTHONY E KAUFMANN</t>
  </si>
  <si>
    <t>ANNE KAUFMANN</t>
  </si>
  <si>
    <t>RYAN EDWARDS</t>
  </si>
  <si>
    <t>MICHELLE DENTON</t>
  </si>
  <si>
    <t>ALICIA PAEPLOW</t>
  </si>
  <si>
    <t>DANIEL DANTONIO</t>
  </si>
  <si>
    <t>MATTHEW SANDERS</t>
  </si>
  <si>
    <t>NARMANDAKH BATTULGA</t>
  </si>
  <si>
    <t>MUNKHBAATAR TSEND</t>
  </si>
  <si>
    <t>ALTANTSETSEG BANZRAGCH</t>
  </si>
  <si>
    <t>ARIUNTUNGALAG SOSORBARAM</t>
  </si>
  <si>
    <t>ENKHJAVKHLAN SHOVGOR</t>
  </si>
  <si>
    <t>RICARDO D SANTOS</t>
  </si>
  <si>
    <t>EMILY WHITAKER</t>
  </si>
  <si>
    <t>DIANA SENZIG</t>
  </si>
  <si>
    <t>MAUREEN RUSNAK</t>
  </si>
  <si>
    <t>GEORGE RUSNAK</t>
  </si>
  <si>
    <t>ANNIE GO MEDINA</t>
  </si>
  <si>
    <t>LEANDRO MEDINA</t>
  </si>
  <si>
    <t>WILLIAM GROSS</t>
  </si>
  <si>
    <t>RUSSELL COOPER</t>
  </si>
  <si>
    <t>MARK PARKER</t>
  </si>
  <si>
    <t>PAMELA PARKER</t>
  </si>
  <si>
    <t>DANIEL WONDRA</t>
  </si>
  <si>
    <t>NADIA AMOURA</t>
  </si>
  <si>
    <t>SCOTT SUCHSLAND</t>
  </si>
  <si>
    <t>STEFANIE PERRY</t>
  </si>
  <si>
    <t>DAVID FRANKS</t>
  </si>
  <si>
    <t>FRAIDA RIVERA</t>
  </si>
  <si>
    <t>KIM WETHERBEE</t>
  </si>
  <si>
    <t>STEVEN WETHERBEE</t>
  </si>
  <si>
    <t>CHRISTOPHER WICKS</t>
  </si>
  <si>
    <t>AMY S MILLER</t>
  </si>
  <si>
    <t>MICHAEL LACY</t>
  </si>
  <si>
    <t>MARIAH JUAREZ</t>
  </si>
  <si>
    <t>JENNIFER APELIAN</t>
  </si>
  <si>
    <t>NICHOLAS HERENADEZ</t>
  </si>
  <si>
    <t>GOPI GORANTLA</t>
  </si>
  <si>
    <t>Octavio Gomez Salgado</t>
  </si>
  <si>
    <t>Hannah Rosenblat</t>
  </si>
  <si>
    <t>Joshua Rosenblat</t>
  </si>
  <si>
    <t>Edward Carroll</t>
  </si>
  <si>
    <t>Susan Carroll</t>
  </si>
  <si>
    <t>17528908N</t>
  </si>
  <si>
    <t>19681796AV9</t>
  </si>
  <si>
    <t>18710070N</t>
  </si>
  <si>
    <t>NB</t>
  </si>
  <si>
    <t>AV</t>
  </si>
  <si>
    <t>RN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</si>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</sst>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 applyAlignment="1">
      <alignment horizontal="left" wrapText="1"/>
    </xf>
    <xf numFmtId="0" fontId="0" fillId="3" borderId="0" xfId="0" applyFill="1" applyAlignment="1">
      <alignment wrapText="1"/>
    </xf>
    <xf numFmtId="0" fontId="0" fillId="3" borderId="0" xfId="0" applyFill="1" applyAlignment="1">
      <alignment horizontal="left" wrapText="1"/>
    </xf>
    <xf numFmtId="0" fontId="1" fillId="0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1" fillId="4" borderId="0" xfId="0" applyFont="1" applyFill="1" applyAlignment="1">
      <alignment horizontal="left" wrapText="1"/>
    </xf>
  </cellXfs>
  <cellStyles count="1"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7E593-8090-4743-82F7-EBF423E5222B}">
  <sheetPr>
    <outlinePr summaryBelow="0" summaryRight="0"/>
    <pageSetUpPr autoPageBreaks="0" fitToPage="1"/>
  </sheetPr>
  <dimension ref="A1:AA68"/>
  <sheetViews>
    <sheetView topLeftCell="I1" workbookViewId="0">
      <selection activeCell="L12" sqref="L12"/>
    </sheetView>
  </sheetViews>
  <sheetFormatPr defaultRowHeight="12.75" x14ac:dyDescent="0.2"/>
  <cols>
    <col min="1" max="256" width="33.140625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>
        <v>0</v>
      </c>
      <c r="U2">
        <v>88.83</v>
      </c>
      <c r="V2">
        <v>0</v>
      </c>
      <c r="W2">
        <v>1</v>
      </c>
      <c r="X2">
        <v>1.05</v>
      </c>
      <c r="Y2">
        <v>93.27</v>
      </c>
      <c r="Z2">
        <v>0</v>
      </c>
      <c r="AA2">
        <v>0</v>
      </c>
    </row>
    <row r="3" spans="1:27" x14ac:dyDescent="0.2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46</v>
      </c>
      <c r="R3" t="s">
        <v>44</v>
      </c>
      <c r="S3" t="s">
        <v>45</v>
      </c>
      <c r="T3">
        <v>0</v>
      </c>
      <c r="U3">
        <v>88.83</v>
      </c>
      <c r="V3">
        <v>0</v>
      </c>
      <c r="W3">
        <v>1</v>
      </c>
      <c r="X3">
        <v>1.05</v>
      </c>
      <c r="Y3">
        <v>93.27</v>
      </c>
      <c r="Z3">
        <v>0</v>
      </c>
      <c r="AA3">
        <v>0</v>
      </c>
    </row>
    <row r="4" spans="1:27" x14ac:dyDescent="0.2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47</v>
      </c>
      <c r="I4" t="s">
        <v>48</v>
      </c>
      <c r="J4" t="s">
        <v>36</v>
      </c>
      <c r="K4" t="s">
        <v>49</v>
      </c>
      <c r="L4" t="s">
        <v>38</v>
      </c>
      <c r="M4" t="s">
        <v>50</v>
      </c>
      <c r="N4" t="s">
        <v>51</v>
      </c>
      <c r="O4" t="s">
        <v>41</v>
      </c>
      <c r="P4" t="s">
        <v>52</v>
      </c>
      <c r="Q4" t="s">
        <v>33</v>
      </c>
      <c r="R4" t="s">
        <v>44</v>
      </c>
      <c r="S4" t="s">
        <v>45</v>
      </c>
      <c r="T4">
        <v>0</v>
      </c>
      <c r="U4">
        <v>47.26</v>
      </c>
      <c r="V4">
        <v>0</v>
      </c>
      <c r="W4">
        <v>1</v>
      </c>
      <c r="X4">
        <v>1.1499999999999999</v>
      </c>
      <c r="Y4">
        <v>54.35</v>
      </c>
      <c r="Z4">
        <v>0</v>
      </c>
      <c r="AA4">
        <v>0</v>
      </c>
    </row>
    <row r="5" spans="1:27" x14ac:dyDescent="0.2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47</v>
      </c>
      <c r="I5" t="s">
        <v>48</v>
      </c>
      <c r="J5" t="s">
        <v>36</v>
      </c>
      <c r="K5" t="s">
        <v>53</v>
      </c>
      <c r="L5" t="s">
        <v>38</v>
      </c>
      <c r="M5" t="s">
        <v>50</v>
      </c>
      <c r="N5" t="s">
        <v>51</v>
      </c>
      <c r="O5" t="s">
        <v>41</v>
      </c>
      <c r="P5" t="s">
        <v>54</v>
      </c>
      <c r="Q5" t="s">
        <v>55</v>
      </c>
      <c r="R5" t="s">
        <v>44</v>
      </c>
      <c r="S5" t="s">
        <v>45</v>
      </c>
      <c r="T5">
        <v>0</v>
      </c>
      <c r="U5">
        <v>42.25</v>
      </c>
      <c r="V5">
        <v>0</v>
      </c>
      <c r="W5">
        <v>1</v>
      </c>
      <c r="X5">
        <v>1.1499999999999999</v>
      </c>
      <c r="Y5">
        <v>48.59</v>
      </c>
      <c r="Z5">
        <v>0</v>
      </c>
      <c r="AA5">
        <v>0</v>
      </c>
    </row>
    <row r="6" spans="1:27" x14ac:dyDescent="0.2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47</v>
      </c>
      <c r="I6" t="s">
        <v>48</v>
      </c>
      <c r="J6" t="s">
        <v>36</v>
      </c>
      <c r="K6" t="s">
        <v>56</v>
      </c>
      <c r="L6" t="s">
        <v>57</v>
      </c>
      <c r="M6" t="s">
        <v>58</v>
      </c>
      <c r="N6" t="s">
        <v>59</v>
      </c>
      <c r="O6" t="s">
        <v>41</v>
      </c>
      <c r="P6" t="s">
        <v>60</v>
      </c>
      <c r="Q6" t="s">
        <v>61</v>
      </c>
      <c r="R6" t="s">
        <v>44</v>
      </c>
      <c r="S6" t="s">
        <v>45</v>
      </c>
      <c r="T6">
        <v>0</v>
      </c>
      <c r="U6">
        <v>158.1</v>
      </c>
      <c r="V6">
        <v>0</v>
      </c>
      <c r="W6">
        <v>1</v>
      </c>
      <c r="X6">
        <v>1.1499999999999999</v>
      </c>
      <c r="Y6">
        <v>181.82</v>
      </c>
      <c r="Z6">
        <v>0</v>
      </c>
      <c r="AA6">
        <v>0</v>
      </c>
    </row>
    <row r="7" spans="1:27" x14ac:dyDescent="0.2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62</v>
      </c>
      <c r="I7" t="s">
        <v>63</v>
      </c>
      <c r="J7" t="s">
        <v>36</v>
      </c>
      <c r="K7" t="s">
        <v>64</v>
      </c>
      <c r="L7" t="s">
        <v>38</v>
      </c>
      <c r="M7" t="s">
        <v>65</v>
      </c>
      <c r="N7" t="s">
        <v>66</v>
      </c>
      <c r="O7" t="s">
        <v>41</v>
      </c>
      <c r="P7" t="s">
        <v>67</v>
      </c>
      <c r="Q7" t="s">
        <v>68</v>
      </c>
      <c r="R7" t="s">
        <v>44</v>
      </c>
      <c r="S7" t="s">
        <v>45</v>
      </c>
      <c r="T7">
        <v>0</v>
      </c>
      <c r="U7">
        <v>53.32</v>
      </c>
      <c r="V7">
        <v>0</v>
      </c>
      <c r="W7">
        <v>1</v>
      </c>
      <c r="X7">
        <v>1.1499999999999999</v>
      </c>
      <c r="Y7">
        <v>61.32</v>
      </c>
      <c r="Z7">
        <v>0</v>
      </c>
      <c r="AA7">
        <v>0</v>
      </c>
    </row>
    <row r="8" spans="1:27" x14ac:dyDescent="0.2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69</v>
      </c>
      <c r="I8" t="s">
        <v>70</v>
      </c>
      <c r="J8" t="s">
        <v>36</v>
      </c>
      <c r="K8" t="s">
        <v>71</v>
      </c>
      <c r="L8" t="s">
        <v>38</v>
      </c>
      <c r="M8" t="s">
        <v>72</v>
      </c>
      <c r="N8" t="s">
        <v>51</v>
      </c>
      <c r="O8" t="s">
        <v>41</v>
      </c>
      <c r="P8" t="s">
        <v>73</v>
      </c>
      <c r="Q8" t="s">
        <v>74</v>
      </c>
      <c r="R8" t="s">
        <v>44</v>
      </c>
      <c r="S8" t="s">
        <v>45</v>
      </c>
      <c r="T8">
        <v>0</v>
      </c>
      <c r="U8">
        <v>87.55</v>
      </c>
      <c r="V8">
        <v>0</v>
      </c>
      <c r="W8">
        <v>1</v>
      </c>
      <c r="X8">
        <v>1.1499999999999999</v>
      </c>
      <c r="Y8">
        <v>100.68</v>
      </c>
      <c r="Z8">
        <v>0</v>
      </c>
      <c r="AA8">
        <v>0</v>
      </c>
    </row>
    <row r="9" spans="1:27" x14ac:dyDescent="0.2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69</v>
      </c>
      <c r="I9" t="s">
        <v>70</v>
      </c>
      <c r="J9" t="s">
        <v>36</v>
      </c>
      <c r="K9" t="s">
        <v>75</v>
      </c>
      <c r="L9" t="s">
        <v>38</v>
      </c>
      <c r="M9" t="s">
        <v>72</v>
      </c>
      <c r="N9" t="s">
        <v>51</v>
      </c>
      <c r="O9" t="s">
        <v>41</v>
      </c>
      <c r="P9" t="s">
        <v>73</v>
      </c>
      <c r="Q9" t="s">
        <v>74</v>
      </c>
      <c r="R9" t="s">
        <v>44</v>
      </c>
      <c r="S9" t="s">
        <v>45</v>
      </c>
      <c r="T9">
        <v>0</v>
      </c>
      <c r="U9">
        <v>170.85</v>
      </c>
      <c r="V9">
        <v>0</v>
      </c>
      <c r="W9">
        <v>1</v>
      </c>
      <c r="X9">
        <v>1.1499999999999999</v>
      </c>
      <c r="Y9">
        <v>196.48</v>
      </c>
      <c r="Z9">
        <v>0</v>
      </c>
      <c r="AA9">
        <v>0</v>
      </c>
    </row>
    <row r="10" spans="1:27" x14ac:dyDescent="0.2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 t="s">
        <v>33</v>
      </c>
      <c r="H10" t="s">
        <v>76</v>
      </c>
      <c r="I10" t="s">
        <v>77</v>
      </c>
      <c r="J10" t="s">
        <v>36</v>
      </c>
      <c r="K10" t="s">
        <v>78</v>
      </c>
      <c r="L10" t="s">
        <v>38</v>
      </c>
      <c r="M10" t="s">
        <v>79</v>
      </c>
      <c r="N10" t="s">
        <v>80</v>
      </c>
      <c r="O10" t="s">
        <v>41</v>
      </c>
      <c r="P10" t="s">
        <v>81</v>
      </c>
      <c r="Q10" t="s">
        <v>33</v>
      </c>
      <c r="R10" t="s">
        <v>44</v>
      </c>
      <c r="S10" t="s">
        <v>45</v>
      </c>
      <c r="T10">
        <v>0</v>
      </c>
      <c r="U10">
        <v>80.84</v>
      </c>
      <c r="V10">
        <v>0</v>
      </c>
      <c r="W10">
        <v>1</v>
      </c>
      <c r="X10">
        <v>1.25</v>
      </c>
      <c r="Y10">
        <v>101.05</v>
      </c>
      <c r="Z10">
        <v>0</v>
      </c>
      <c r="AA10">
        <v>0</v>
      </c>
    </row>
    <row r="11" spans="1:27" x14ac:dyDescent="0.2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 t="s">
        <v>33</v>
      </c>
      <c r="H11" t="s">
        <v>76</v>
      </c>
      <c r="I11" t="s">
        <v>77</v>
      </c>
      <c r="J11" t="s">
        <v>36</v>
      </c>
      <c r="K11" t="s">
        <v>82</v>
      </c>
      <c r="L11" t="s">
        <v>38</v>
      </c>
      <c r="M11" t="s">
        <v>79</v>
      </c>
      <c r="N11" t="s">
        <v>80</v>
      </c>
      <c r="O11" t="s">
        <v>41</v>
      </c>
      <c r="P11" t="s">
        <v>81</v>
      </c>
      <c r="Q11" t="s">
        <v>33</v>
      </c>
      <c r="R11" t="s">
        <v>44</v>
      </c>
      <c r="S11" t="s">
        <v>45</v>
      </c>
      <c r="T11">
        <v>0</v>
      </c>
      <c r="U11">
        <v>56.76</v>
      </c>
      <c r="V11">
        <v>0</v>
      </c>
      <c r="W11">
        <v>1</v>
      </c>
      <c r="X11">
        <v>1.25</v>
      </c>
      <c r="Y11">
        <v>70.95</v>
      </c>
      <c r="Z11">
        <v>0</v>
      </c>
      <c r="AA11">
        <v>0</v>
      </c>
    </row>
    <row r="12" spans="1:27" x14ac:dyDescent="0.2">
      <c r="A12" t="s">
        <v>27</v>
      </c>
      <c r="B12" t="s">
        <v>83</v>
      </c>
      <c r="C12" t="s">
        <v>84</v>
      </c>
      <c r="D12" t="s">
        <v>30</v>
      </c>
      <c r="E12" t="s">
        <v>85</v>
      </c>
      <c r="F12" t="s">
        <v>32</v>
      </c>
      <c r="G12" t="s">
        <v>33</v>
      </c>
      <c r="H12" t="s">
        <v>86</v>
      </c>
      <c r="I12" t="s">
        <v>87</v>
      </c>
      <c r="J12" t="s">
        <v>36</v>
      </c>
      <c r="K12" t="s">
        <v>88</v>
      </c>
      <c r="L12" t="s">
        <v>38</v>
      </c>
      <c r="M12" t="s">
        <v>89</v>
      </c>
      <c r="N12" t="s">
        <v>59</v>
      </c>
      <c r="O12" t="s">
        <v>41</v>
      </c>
      <c r="P12" t="s">
        <v>90</v>
      </c>
      <c r="Q12" t="s">
        <v>91</v>
      </c>
      <c r="R12" t="s">
        <v>44</v>
      </c>
      <c r="S12" t="s">
        <v>45</v>
      </c>
      <c r="T12">
        <v>0</v>
      </c>
      <c r="U12">
        <v>44.63</v>
      </c>
      <c r="V12">
        <v>0</v>
      </c>
      <c r="W12">
        <v>1</v>
      </c>
      <c r="X12">
        <v>1.1499999999999999</v>
      </c>
      <c r="Y12">
        <v>51.32</v>
      </c>
      <c r="Z12">
        <v>0.25</v>
      </c>
      <c r="AA12">
        <v>12.83</v>
      </c>
    </row>
    <row r="13" spans="1:27" x14ac:dyDescent="0.2">
      <c r="A13" t="s">
        <v>27</v>
      </c>
      <c r="B13" t="s">
        <v>83</v>
      </c>
      <c r="C13" t="s">
        <v>84</v>
      </c>
      <c r="D13" t="s">
        <v>30</v>
      </c>
      <c r="E13" t="s">
        <v>85</v>
      </c>
      <c r="F13" t="s">
        <v>32</v>
      </c>
      <c r="G13" t="s">
        <v>33</v>
      </c>
      <c r="H13" t="s">
        <v>92</v>
      </c>
      <c r="I13" t="s">
        <v>93</v>
      </c>
      <c r="J13" t="s">
        <v>94</v>
      </c>
      <c r="K13" t="s">
        <v>95</v>
      </c>
      <c r="L13" t="s">
        <v>38</v>
      </c>
      <c r="M13" t="s">
        <v>96</v>
      </c>
      <c r="N13" t="s">
        <v>97</v>
      </c>
      <c r="O13" t="s">
        <v>41</v>
      </c>
      <c r="P13" t="s">
        <v>98</v>
      </c>
      <c r="Q13" t="s">
        <v>68</v>
      </c>
      <c r="R13" t="s">
        <v>44</v>
      </c>
      <c r="S13" t="s">
        <v>45</v>
      </c>
      <c r="T13">
        <v>0</v>
      </c>
      <c r="U13">
        <v>164.56</v>
      </c>
      <c r="V13">
        <v>0</v>
      </c>
      <c r="W13">
        <v>1</v>
      </c>
      <c r="X13">
        <v>1.5</v>
      </c>
      <c r="Y13">
        <v>246.84</v>
      </c>
      <c r="Z13">
        <v>0.25</v>
      </c>
      <c r="AA13">
        <v>61.71</v>
      </c>
    </row>
    <row r="14" spans="1:27" x14ac:dyDescent="0.2">
      <c r="A14" t="s">
        <v>27</v>
      </c>
      <c r="B14" t="s">
        <v>83</v>
      </c>
      <c r="C14" t="s">
        <v>84</v>
      </c>
      <c r="D14" t="s">
        <v>30</v>
      </c>
      <c r="E14" t="s">
        <v>85</v>
      </c>
      <c r="F14" t="s">
        <v>32</v>
      </c>
      <c r="G14" t="s">
        <v>33</v>
      </c>
      <c r="H14" t="s">
        <v>92</v>
      </c>
      <c r="I14" t="s">
        <v>93</v>
      </c>
      <c r="J14" t="s">
        <v>94</v>
      </c>
      <c r="K14" t="s">
        <v>99</v>
      </c>
      <c r="L14" t="s">
        <v>38</v>
      </c>
      <c r="M14" t="s">
        <v>100</v>
      </c>
      <c r="N14" t="s">
        <v>101</v>
      </c>
      <c r="O14" t="s">
        <v>41</v>
      </c>
      <c r="P14" t="s">
        <v>102</v>
      </c>
      <c r="Q14" t="s">
        <v>103</v>
      </c>
      <c r="R14" t="s">
        <v>44</v>
      </c>
      <c r="S14" t="s">
        <v>45</v>
      </c>
      <c r="T14">
        <v>0</v>
      </c>
      <c r="U14">
        <v>65.48</v>
      </c>
      <c r="V14">
        <v>0</v>
      </c>
      <c r="W14">
        <v>1</v>
      </c>
      <c r="X14">
        <v>1.08</v>
      </c>
      <c r="Y14">
        <v>70.72</v>
      </c>
      <c r="Z14">
        <v>0.25</v>
      </c>
      <c r="AA14">
        <v>17.68</v>
      </c>
    </row>
    <row r="15" spans="1:27" x14ac:dyDescent="0.2">
      <c r="A15" t="s">
        <v>27</v>
      </c>
      <c r="B15" t="s">
        <v>83</v>
      </c>
      <c r="C15" t="s">
        <v>84</v>
      </c>
      <c r="D15" t="s">
        <v>30</v>
      </c>
      <c r="E15" t="s">
        <v>85</v>
      </c>
      <c r="F15" t="s">
        <v>32</v>
      </c>
      <c r="G15" t="s">
        <v>33</v>
      </c>
      <c r="H15" t="s">
        <v>92</v>
      </c>
      <c r="I15" t="s">
        <v>93</v>
      </c>
      <c r="J15" t="s">
        <v>94</v>
      </c>
      <c r="K15" t="s">
        <v>104</v>
      </c>
      <c r="L15" t="s">
        <v>38</v>
      </c>
      <c r="M15" t="s">
        <v>105</v>
      </c>
      <c r="N15" t="s">
        <v>97</v>
      </c>
      <c r="O15" t="s">
        <v>41</v>
      </c>
      <c r="P15" t="s">
        <v>106</v>
      </c>
      <c r="Q15" t="s">
        <v>107</v>
      </c>
      <c r="R15" t="s">
        <v>44</v>
      </c>
      <c r="S15" t="s">
        <v>45</v>
      </c>
      <c r="T15">
        <v>0</v>
      </c>
      <c r="U15">
        <v>58.13</v>
      </c>
      <c r="V15">
        <v>0</v>
      </c>
      <c r="W15">
        <v>1</v>
      </c>
      <c r="X15">
        <v>1.5</v>
      </c>
      <c r="Y15">
        <v>87.2</v>
      </c>
      <c r="Z15">
        <v>0.999</v>
      </c>
      <c r="AA15">
        <v>87.11</v>
      </c>
    </row>
    <row r="16" spans="1:27" x14ac:dyDescent="0.2">
      <c r="A16" t="s">
        <v>27</v>
      </c>
      <c r="B16" t="s">
        <v>83</v>
      </c>
      <c r="C16" t="s">
        <v>84</v>
      </c>
      <c r="D16" t="s">
        <v>30</v>
      </c>
      <c r="E16" t="s">
        <v>85</v>
      </c>
      <c r="F16" t="s">
        <v>32</v>
      </c>
      <c r="G16" t="s">
        <v>33</v>
      </c>
      <c r="H16" t="s">
        <v>92</v>
      </c>
      <c r="I16" t="s">
        <v>93</v>
      </c>
      <c r="J16" t="s">
        <v>94</v>
      </c>
      <c r="K16" t="s">
        <v>108</v>
      </c>
      <c r="L16" t="s">
        <v>38</v>
      </c>
      <c r="M16" t="s">
        <v>105</v>
      </c>
      <c r="N16" t="s">
        <v>97</v>
      </c>
      <c r="O16" t="s">
        <v>41</v>
      </c>
      <c r="P16" t="s">
        <v>106</v>
      </c>
      <c r="Q16" t="s">
        <v>107</v>
      </c>
      <c r="R16" t="s">
        <v>44</v>
      </c>
      <c r="S16" t="s">
        <v>45</v>
      </c>
      <c r="T16">
        <v>0</v>
      </c>
      <c r="U16">
        <v>79.28</v>
      </c>
      <c r="V16">
        <v>0</v>
      </c>
      <c r="W16">
        <v>1</v>
      </c>
      <c r="X16">
        <v>1.5</v>
      </c>
      <c r="Y16">
        <v>118.92</v>
      </c>
      <c r="Z16">
        <v>0.999</v>
      </c>
      <c r="AA16">
        <v>118.8</v>
      </c>
    </row>
    <row r="17" spans="1:27" x14ac:dyDescent="0.2">
      <c r="A17" t="s">
        <v>27</v>
      </c>
      <c r="B17" t="s">
        <v>83</v>
      </c>
      <c r="C17" t="s">
        <v>84</v>
      </c>
      <c r="D17" t="s">
        <v>30</v>
      </c>
      <c r="E17" t="s">
        <v>85</v>
      </c>
      <c r="F17" t="s">
        <v>32</v>
      </c>
      <c r="G17" t="s">
        <v>33</v>
      </c>
      <c r="H17" t="s">
        <v>92</v>
      </c>
      <c r="I17" t="s">
        <v>93</v>
      </c>
      <c r="J17" t="s">
        <v>94</v>
      </c>
      <c r="K17" t="s">
        <v>109</v>
      </c>
      <c r="L17" t="s">
        <v>38</v>
      </c>
      <c r="M17" t="s">
        <v>110</v>
      </c>
      <c r="N17" t="s">
        <v>97</v>
      </c>
      <c r="O17" t="s">
        <v>41</v>
      </c>
      <c r="P17" t="s">
        <v>111</v>
      </c>
      <c r="Q17" t="s">
        <v>112</v>
      </c>
      <c r="R17" t="s">
        <v>44</v>
      </c>
      <c r="S17" t="s">
        <v>45</v>
      </c>
      <c r="T17">
        <v>0</v>
      </c>
      <c r="U17">
        <v>110.16</v>
      </c>
      <c r="V17">
        <v>0</v>
      </c>
      <c r="W17">
        <v>1</v>
      </c>
      <c r="X17">
        <v>1.5</v>
      </c>
      <c r="Y17">
        <v>165.24</v>
      </c>
      <c r="Z17">
        <v>0.25</v>
      </c>
      <c r="AA17">
        <v>41.31</v>
      </c>
    </row>
    <row r="18" spans="1:27" x14ac:dyDescent="0.2">
      <c r="A18" t="s">
        <v>27</v>
      </c>
      <c r="B18" t="s">
        <v>83</v>
      </c>
      <c r="C18" t="s">
        <v>84</v>
      </c>
      <c r="D18" t="s">
        <v>30</v>
      </c>
      <c r="E18" t="s">
        <v>85</v>
      </c>
      <c r="F18" t="s">
        <v>32</v>
      </c>
      <c r="G18" t="s">
        <v>33</v>
      </c>
      <c r="H18" t="s">
        <v>92</v>
      </c>
      <c r="I18" t="s">
        <v>93</v>
      </c>
      <c r="J18" t="s">
        <v>94</v>
      </c>
      <c r="K18" t="s">
        <v>113</v>
      </c>
      <c r="L18" t="s">
        <v>38</v>
      </c>
      <c r="M18" t="s">
        <v>114</v>
      </c>
      <c r="N18" t="s">
        <v>97</v>
      </c>
      <c r="O18" t="s">
        <v>41</v>
      </c>
      <c r="P18" t="s">
        <v>115</v>
      </c>
      <c r="Q18" t="s">
        <v>116</v>
      </c>
      <c r="R18" t="s">
        <v>44</v>
      </c>
      <c r="S18" t="s">
        <v>45</v>
      </c>
      <c r="T18">
        <v>0</v>
      </c>
      <c r="U18">
        <v>153.94</v>
      </c>
      <c r="V18">
        <v>0</v>
      </c>
      <c r="W18">
        <v>1</v>
      </c>
      <c r="X18">
        <v>1.5</v>
      </c>
      <c r="Y18">
        <v>230.91</v>
      </c>
      <c r="Z18">
        <v>0.25</v>
      </c>
      <c r="AA18">
        <v>57.73</v>
      </c>
    </row>
    <row r="19" spans="1:27" x14ac:dyDescent="0.2">
      <c r="A19" t="s">
        <v>27</v>
      </c>
      <c r="B19" t="s">
        <v>83</v>
      </c>
      <c r="C19" t="s">
        <v>84</v>
      </c>
      <c r="D19" t="s">
        <v>30</v>
      </c>
      <c r="E19" t="s">
        <v>85</v>
      </c>
      <c r="F19" t="s">
        <v>32</v>
      </c>
      <c r="G19" t="s">
        <v>33</v>
      </c>
      <c r="H19" t="s">
        <v>92</v>
      </c>
      <c r="I19" t="s">
        <v>93</v>
      </c>
      <c r="J19" t="s">
        <v>94</v>
      </c>
      <c r="K19" t="s">
        <v>117</v>
      </c>
      <c r="L19" t="s">
        <v>38</v>
      </c>
      <c r="M19" t="s">
        <v>118</v>
      </c>
      <c r="N19" t="s">
        <v>97</v>
      </c>
      <c r="O19" t="s">
        <v>41</v>
      </c>
      <c r="P19" t="s">
        <v>119</v>
      </c>
      <c r="Q19" t="s">
        <v>120</v>
      </c>
      <c r="R19" t="s">
        <v>44</v>
      </c>
      <c r="S19" t="s">
        <v>45</v>
      </c>
      <c r="T19">
        <v>0</v>
      </c>
      <c r="U19">
        <v>238.32</v>
      </c>
      <c r="V19">
        <v>0</v>
      </c>
      <c r="W19">
        <v>1</v>
      </c>
      <c r="X19">
        <v>1.5</v>
      </c>
      <c r="Y19">
        <v>357.48</v>
      </c>
      <c r="Z19">
        <v>0.25</v>
      </c>
      <c r="AA19">
        <v>89.37</v>
      </c>
    </row>
    <row r="20" spans="1:27" x14ac:dyDescent="0.2">
      <c r="A20" t="s">
        <v>27</v>
      </c>
      <c r="B20" t="s">
        <v>83</v>
      </c>
      <c r="C20" t="s">
        <v>84</v>
      </c>
      <c r="D20" t="s">
        <v>30</v>
      </c>
      <c r="E20" t="s">
        <v>85</v>
      </c>
      <c r="F20" t="s">
        <v>32</v>
      </c>
      <c r="G20" t="s">
        <v>33</v>
      </c>
      <c r="H20" t="s">
        <v>92</v>
      </c>
      <c r="I20" t="s">
        <v>93</v>
      </c>
      <c r="J20" t="s">
        <v>94</v>
      </c>
      <c r="K20" t="s">
        <v>121</v>
      </c>
      <c r="L20" t="s">
        <v>38</v>
      </c>
      <c r="M20" t="s">
        <v>122</v>
      </c>
      <c r="N20" t="s">
        <v>97</v>
      </c>
      <c r="O20" t="s">
        <v>41</v>
      </c>
      <c r="P20" t="s">
        <v>123</v>
      </c>
      <c r="Q20" t="s">
        <v>124</v>
      </c>
      <c r="R20" t="s">
        <v>44</v>
      </c>
      <c r="S20" t="s">
        <v>45</v>
      </c>
      <c r="T20">
        <v>0</v>
      </c>
      <c r="U20">
        <v>50</v>
      </c>
      <c r="V20">
        <v>0</v>
      </c>
      <c r="W20">
        <v>1</v>
      </c>
      <c r="X20">
        <v>1.5</v>
      </c>
      <c r="Y20">
        <v>75</v>
      </c>
      <c r="Z20">
        <v>0.25</v>
      </c>
      <c r="AA20">
        <v>18.75</v>
      </c>
    </row>
    <row r="21" spans="1:27" x14ac:dyDescent="0.2">
      <c r="A21" t="s">
        <v>27</v>
      </c>
      <c r="B21" t="s">
        <v>83</v>
      </c>
      <c r="C21" t="s">
        <v>84</v>
      </c>
      <c r="D21" t="s">
        <v>30</v>
      </c>
      <c r="E21" t="s">
        <v>85</v>
      </c>
      <c r="F21" t="s">
        <v>32</v>
      </c>
      <c r="G21" t="s">
        <v>33</v>
      </c>
      <c r="H21" t="s">
        <v>92</v>
      </c>
      <c r="I21" t="s">
        <v>93</v>
      </c>
      <c r="J21" t="s">
        <v>36</v>
      </c>
      <c r="K21" t="s">
        <v>125</v>
      </c>
      <c r="L21" t="s">
        <v>38</v>
      </c>
      <c r="M21" t="s">
        <v>126</v>
      </c>
      <c r="N21" t="s">
        <v>127</v>
      </c>
      <c r="O21" t="s">
        <v>41</v>
      </c>
      <c r="P21" t="s">
        <v>128</v>
      </c>
      <c r="Q21" t="s">
        <v>129</v>
      </c>
      <c r="R21" t="s">
        <v>44</v>
      </c>
      <c r="S21" t="s">
        <v>45</v>
      </c>
      <c r="T21">
        <v>0</v>
      </c>
      <c r="U21">
        <v>74.819999999999993</v>
      </c>
      <c r="V21">
        <v>0</v>
      </c>
      <c r="W21">
        <v>1</v>
      </c>
      <c r="X21">
        <v>1.25</v>
      </c>
      <c r="Y21">
        <v>93.53</v>
      </c>
      <c r="Z21">
        <v>0.25</v>
      </c>
      <c r="AA21">
        <v>23.38</v>
      </c>
    </row>
    <row r="22" spans="1:27" x14ac:dyDescent="0.2">
      <c r="A22" t="s">
        <v>27</v>
      </c>
      <c r="B22" t="s">
        <v>83</v>
      </c>
      <c r="C22" t="s">
        <v>84</v>
      </c>
      <c r="D22" t="s">
        <v>30</v>
      </c>
      <c r="E22" t="s">
        <v>85</v>
      </c>
      <c r="F22" t="s">
        <v>32</v>
      </c>
      <c r="G22" t="s">
        <v>33</v>
      </c>
      <c r="H22" t="s">
        <v>130</v>
      </c>
      <c r="I22" t="s">
        <v>131</v>
      </c>
      <c r="J22" t="s">
        <v>94</v>
      </c>
      <c r="K22" t="s">
        <v>132</v>
      </c>
      <c r="L22" t="s">
        <v>38</v>
      </c>
      <c r="M22" t="s">
        <v>133</v>
      </c>
      <c r="N22" t="s">
        <v>134</v>
      </c>
      <c r="O22" t="s">
        <v>41</v>
      </c>
      <c r="P22" t="s">
        <v>135</v>
      </c>
      <c r="Q22" t="s">
        <v>68</v>
      </c>
      <c r="R22" t="s">
        <v>44</v>
      </c>
      <c r="S22" t="s">
        <v>45</v>
      </c>
      <c r="T22">
        <v>0</v>
      </c>
      <c r="U22">
        <v>52.91</v>
      </c>
      <c r="V22">
        <v>0</v>
      </c>
      <c r="W22">
        <v>1</v>
      </c>
      <c r="X22">
        <v>1.18</v>
      </c>
      <c r="Y22">
        <v>62.43</v>
      </c>
      <c r="Z22">
        <v>0.25</v>
      </c>
      <c r="AA22">
        <v>15.61</v>
      </c>
    </row>
    <row r="23" spans="1:27" x14ac:dyDescent="0.2">
      <c r="A23" t="s">
        <v>27</v>
      </c>
      <c r="B23" t="s">
        <v>83</v>
      </c>
      <c r="C23" t="s">
        <v>84</v>
      </c>
      <c r="D23" t="s">
        <v>30</v>
      </c>
      <c r="E23" t="s">
        <v>85</v>
      </c>
      <c r="F23" t="s">
        <v>32</v>
      </c>
      <c r="G23" t="s">
        <v>33</v>
      </c>
      <c r="H23" t="s">
        <v>136</v>
      </c>
      <c r="I23" t="s">
        <v>137</v>
      </c>
      <c r="J23" t="s">
        <v>94</v>
      </c>
      <c r="K23" t="s">
        <v>138</v>
      </c>
      <c r="L23" t="s">
        <v>38</v>
      </c>
      <c r="M23" t="s">
        <v>139</v>
      </c>
      <c r="N23" t="s">
        <v>140</v>
      </c>
      <c r="O23" t="s">
        <v>41</v>
      </c>
      <c r="P23" t="s">
        <v>141</v>
      </c>
      <c r="Q23" t="s">
        <v>142</v>
      </c>
      <c r="R23" t="s">
        <v>143</v>
      </c>
      <c r="S23" t="s">
        <v>45</v>
      </c>
      <c r="T23">
        <v>0</v>
      </c>
      <c r="U23">
        <v>879.5</v>
      </c>
      <c r="V23">
        <v>0</v>
      </c>
      <c r="W23">
        <v>1</v>
      </c>
      <c r="X23">
        <v>1.5</v>
      </c>
      <c r="Y23">
        <v>1319.25</v>
      </c>
      <c r="Z23">
        <v>0.25</v>
      </c>
      <c r="AA23">
        <v>329.81</v>
      </c>
    </row>
    <row r="24" spans="1:27" x14ac:dyDescent="0.2">
      <c r="A24" t="s">
        <v>27</v>
      </c>
      <c r="B24" t="s">
        <v>83</v>
      </c>
      <c r="C24" t="s">
        <v>84</v>
      </c>
      <c r="D24" t="s">
        <v>30</v>
      </c>
      <c r="E24" t="s">
        <v>85</v>
      </c>
      <c r="F24" t="s">
        <v>32</v>
      </c>
      <c r="G24" t="s">
        <v>33</v>
      </c>
      <c r="H24" t="s">
        <v>144</v>
      </c>
      <c r="I24" t="s">
        <v>145</v>
      </c>
      <c r="J24" t="s">
        <v>94</v>
      </c>
      <c r="K24" t="s">
        <v>146</v>
      </c>
      <c r="L24" t="s">
        <v>38</v>
      </c>
      <c r="M24" t="s">
        <v>147</v>
      </c>
      <c r="N24" t="s">
        <v>97</v>
      </c>
      <c r="O24" t="s">
        <v>41</v>
      </c>
      <c r="P24" t="s">
        <v>135</v>
      </c>
      <c r="Q24" t="s">
        <v>68</v>
      </c>
      <c r="R24" t="s">
        <v>44</v>
      </c>
      <c r="S24" t="s">
        <v>45</v>
      </c>
      <c r="T24">
        <v>0</v>
      </c>
      <c r="U24">
        <v>75.569999999999993</v>
      </c>
      <c r="V24">
        <v>0</v>
      </c>
      <c r="W24">
        <v>1</v>
      </c>
      <c r="X24">
        <v>1.5</v>
      </c>
      <c r="Y24">
        <v>113.36</v>
      </c>
      <c r="Z24">
        <v>0.25</v>
      </c>
      <c r="AA24">
        <v>28.34</v>
      </c>
    </row>
    <row r="25" spans="1:27" x14ac:dyDescent="0.2">
      <c r="A25" t="s">
        <v>27</v>
      </c>
      <c r="B25" t="s">
        <v>83</v>
      </c>
      <c r="C25" t="s">
        <v>84</v>
      </c>
      <c r="D25" t="s">
        <v>30</v>
      </c>
      <c r="E25" t="s">
        <v>85</v>
      </c>
      <c r="F25" t="s">
        <v>32</v>
      </c>
      <c r="G25" t="s">
        <v>33</v>
      </c>
      <c r="H25" t="s">
        <v>148</v>
      </c>
      <c r="I25" t="s">
        <v>149</v>
      </c>
      <c r="J25" t="s">
        <v>36</v>
      </c>
      <c r="K25" t="s">
        <v>150</v>
      </c>
      <c r="L25" t="s">
        <v>38</v>
      </c>
      <c r="M25" t="s">
        <v>151</v>
      </c>
      <c r="N25" t="s">
        <v>152</v>
      </c>
      <c r="O25" t="s">
        <v>41</v>
      </c>
      <c r="P25" t="s">
        <v>153</v>
      </c>
      <c r="Q25" t="s">
        <v>154</v>
      </c>
      <c r="R25" t="s">
        <v>44</v>
      </c>
      <c r="S25" t="s">
        <v>45</v>
      </c>
      <c r="T25">
        <v>0</v>
      </c>
      <c r="U25">
        <v>41.82</v>
      </c>
      <c r="V25">
        <v>0</v>
      </c>
      <c r="W25">
        <v>1</v>
      </c>
      <c r="X25">
        <v>1.1000000000000001</v>
      </c>
      <c r="Y25">
        <v>46</v>
      </c>
      <c r="Z25">
        <v>0.25</v>
      </c>
      <c r="AA25">
        <v>11.5</v>
      </c>
    </row>
    <row r="26" spans="1:27" x14ac:dyDescent="0.2">
      <c r="A26" t="s">
        <v>27</v>
      </c>
      <c r="B26" t="s">
        <v>83</v>
      </c>
      <c r="C26" t="s">
        <v>84</v>
      </c>
      <c r="D26" t="s">
        <v>30</v>
      </c>
      <c r="E26" t="s">
        <v>85</v>
      </c>
      <c r="F26" t="s">
        <v>32</v>
      </c>
      <c r="G26" t="s">
        <v>33</v>
      </c>
      <c r="H26" t="s">
        <v>148</v>
      </c>
      <c r="I26" t="s">
        <v>149</v>
      </c>
      <c r="J26" t="s">
        <v>36</v>
      </c>
      <c r="K26" t="s">
        <v>155</v>
      </c>
      <c r="L26" t="s">
        <v>38</v>
      </c>
      <c r="M26" t="s">
        <v>156</v>
      </c>
      <c r="N26" t="s">
        <v>59</v>
      </c>
      <c r="O26" t="s">
        <v>41</v>
      </c>
      <c r="P26" t="s">
        <v>157</v>
      </c>
      <c r="Q26" t="s">
        <v>107</v>
      </c>
      <c r="R26" t="s">
        <v>44</v>
      </c>
      <c r="S26" t="s">
        <v>45</v>
      </c>
      <c r="T26">
        <v>0</v>
      </c>
      <c r="U26">
        <v>35.700000000000003</v>
      </c>
      <c r="V26">
        <v>0</v>
      </c>
      <c r="W26">
        <v>1</v>
      </c>
      <c r="X26">
        <v>1.1499999999999999</v>
      </c>
      <c r="Y26">
        <v>41.06</v>
      </c>
      <c r="Z26">
        <v>0.25</v>
      </c>
      <c r="AA26">
        <v>10.27</v>
      </c>
    </row>
    <row r="27" spans="1:27" x14ac:dyDescent="0.2">
      <c r="A27" t="s">
        <v>27</v>
      </c>
      <c r="B27" t="s">
        <v>83</v>
      </c>
      <c r="C27" t="s">
        <v>84</v>
      </c>
      <c r="D27" t="s">
        <v>30</v>
      </c>
      <c r="E27" t="s">
        <v>85</v>
      </c>
      <c r="F27" t="s">
        <v>32</v>
      </c>
      <c r="G27" t="s">
        <v>33</v>
      </c>
      <c r="H27" t="s">
        <v>148</v>
      </c>
      <c r="I27" t="s">
        <v>149</v>
      </c>
      <c r="J27" t="s">
        <v>36</v>
      </c>
      <c r="K27" t="s">
        <v>158</v>
      </c>
      <c r="L27" t="s">
        <v>38</v>
      </c>
      <c r="M27" t="s">
        <v>156</v>
      </c>
      <c r="N27" t="s">
        <v>51</v>
      </c>
      <c r="O27" t="s">
        <v>41</v>
      </c>
      <c r="P27" t="s">
        <v>128</v>
      </c>
      <c r="Q27" t="s">
        <v>129</v>
      </c>
      <c r="R27" t="s">
        <v>44</v>
      </c>
      <c r="S27" t="s">
        <v>45</v>
      </c>
      <c r="T27">
        <v>0</v>
      </c>
      <c r="U27">
        <v>136.43</v>
      </c>
      <c r="V27">
        <v>0</v>
      </c>
      <c r="W27">
        <v>1</v>
      </c>
      <c r="X27">
        <v>1.1499999999999999</v>
      </c>
      <c r="Y27">
        <v>156.88999999999999</v>
      </c>
      <c r="Z27">
        <v>0.25</v>
      </c>
      <c r="AA27">
        <v>39.22</v>
      </c>
    </row>
    <row r="28" spans="1:27" x14ac:dyDescent="0.2">
      <c r="A28" t="s">
        <v>27</v>
      </c>
      <c r="B28" t="s">
        <v>83</v>
      </c>
      <c r="C28" t="s">
        <v>84</v>
      </c>
      <c r="D28" t="s">
        <v>30</v>
      </c>
      <c r="E28" t="s">
        <v>85</v>
      </c>
      <c r="F28" t="s">
        <v>32</v>
      </c>
      <c r="G28" t="s">
        <v>33</v>
      </c>
      <c r="H28" t="s">
        <v>148</v>
      </c>
      <c r="I28" t="s">
        <v>149</v>
      </c>
      <c r="J28" t="s">
        <v>36</v>
      </c>
      <c r="K28" t="s">
        <v>159</v>
      </c>
      <c r="L28" t="s">
        <v>38</v>
      </c>
      <c r="M28" t="s">
        <v>160</v>
      </c>
      <c r="N28" t="s">
        <v>51</v>
      </c>
      <c r="O28" t="s">
        <v>41</v>
      </c>
      <c r="P28" t="s">
        <v>161</v>
      </c>
      <c r="Q28" t="s">
        <v>162</v>
      </c>
      <c r="R28" t="s">
        <v>44</v>
      </c>
      <c r="S28" t="s">
        <v>45</v>
      </c>
      <c r="T28">
        <v>0</v>
      </c>
      <c r="U28">
        <v>284.75</v>
      </c>
      <c r="V28">
        <v>0</v>
      </c>
      <c r="W28">
        <v>1</v>
      </c>
      <c r="X28">
        <v>1.1499999999999999</v>
      </c>
      <c r="Y28">
        <v>327.45999999999998</v>
      </c>
      <c r="Z28">
        <v>0.25</v>
      </c>
      <c r="AA28">
        <v>81.87</v>
      </c>
    </row>
    <row r="29" spans="1:27" x14ac:dyDescent="0.2">
      <c r="A29" t="s">
        <v>27</v>
      </c>
      <c r="B29" t="s">
        <v>83</v>
      </c>
      <c r="C29" t="s">
        <v>84</v>
      </c>
      <c r="D29" t="s">
        <v>30</v>
      </c>
      <c r="E29" t="s">
        <v>85</v>
      </c>
      <c r="F29" t="s">
        <v>32</v>
      </c>
      <c r="G29" t="s">
        <v>33</v>
      </c>
      <c r="H29" t="s">
        <v>148</v>
      </c>
      <c r="I29" t="s">
        <v>149</v>
      </c>
      <c r="J29" t="s">
        <v>36</v>
      </c>
      <c r="K29" t="s">
        <v>163</v>
      </c>
      <c r="L29" t="s">
        <v>38</v>
      </c>
      <c r="M29" t="s">
        <v>160</v>
      </c>
      <c r="N29" t="s">
        <v>51</v>
      </c>
      <c r="O29" t="s">
        <v>41</v>
      </c>
      <c r="P29" t="s">
        <v>164</v>
      </c>
      <c r="Q29" t="s">
        <v>33</v>
      </c>
      <c r="R29" t="s">
        <v>44</v>
      </c>
      <c r="S29" t="s">
        <v>45</v>
      </c>
      <c r="T29">
        <v>0</v>
      </c>
      <c r="U29">
        <v>79.05</v>
      </c>
      <c r="V29">
        <v>0</v>
      </c>
      <c r="W29">
        <v>1</v>
      </c>
      <c r="X29">
        <v>1.1499999999999999</v>
      </c>
      <c r="Y29">
        <v>90.91</v>
      </c>
      <c r="Z29">
        <v>0.25</v>
      </c>
      <c r="AA29">
        <v>22.73</v>
      </c>
    </row>
    <row r="30" spans="1:27" x14ac:dyDescent="0.2">
      <c r="A30" t="s">
        <v>27</v>
      </c>
      <c r="B30" t="s">
        <v>83</v>
      </c>
      <c r="C30" t="s">
        <v>84</v>
      </c>
      <c r="D30" t="s">
        <v>30</v>
      </c>
      <c r="E30" t="s">
        <v>85</v>
      </c>
      <c r="F30" t="s">
        <v>32</v>
      </c>
      <c r="G30" t="s">
        <v>33</v>
      </c>
      <c r="H30" t="s">
        <v>148</v>
      </c>
      <c r="I30" t="s">
        <v>149</v>
      </c>
      <c r="J30" t="s">
        <v>36</v>
      </c>
      <c r="K30" t="s">
        <v>165</v>
      </c>
      <c r="L30" t="s">
        <v>38</v>
      </c>
      <c r="M30" t="s">
        <v>166</v>
      </c>
      <c r="N30" t="s">
        <v>167</v>
      </c>
      <c r="O30" t="s">
        <v>41</v>
      </c>
      <c r="P30" t="s">
        <v>168</v>
      </c>
      <c r="Q30" t="s">
        <v>169</v>
      </c>
      <c r="R30" t="s">
        <v>44</v>
      </c>
      <c r="S30" t="s">
        <v>45</v>
      </c>
      <c r="T30">
        <v>0</v>
      </c>
      <c r="U30">
        <v>59.93</v>
      </c>
      <c r="V30">
        <v>0</v>
      </c>
      <c r="W30">
        <v>1</v>
      </c>
      <c r="X30">
        <v>1.05</v>
      </c>
      <c r="Y30">
        <v>62.93</v>
      </c>
      <c r="Z30">
        <v>0.25</v>
      </c>
      <c r="AA30">
        <v>15.73</v>
      </c>
    </row>
    <row r="31" spans="1:27" x14ac:dyDescent="0.2">
      <c r="A31" t="s">
        <v>27</v>
      </c>
      <c r="B31" t="s">
        <v>83</v>
      </c>
      <c r="C31" t="s">
        <v>84</v>
      </c>
      <c r="D31" t="s">
        <v>30</v>
      </c>
      <c r="E31" t="s">
        <v>85</v>
      </c>
      <c r="F31" t="s">
        <v>32</v>
      </c>
      <c r="G31" t="s">
        <v>33</v>
      </c>
      <c r="H31" t="s">
        <v>170</v>
      </c>
      <c r="I31" t="s">
        <v>171</v>
      </c>
      <c r="J31" t="s">
        <v>36</v>
      </c>
      <c r="K31" t="s">
        <v>172</v>
      </c>
      <c r="L31" t="s">
        <v>38</v>
      </c>
      <c r="M31" t="s">
        <v>173</v>
      </c>
      <c r="N31" t="s">
        <v>80</v>
      </c>
      <c r="O31" t="s">
        <v>41</v>
      </c>
      <c r="P31" t="s">
        <v>174</v>
      </c>
      <c r="Q31" t="s">
        <v>33</v>
      </c>
      <c r="R31" t="s">
        <v>44</v>
      </c>
      <c r="S31" t="s">
        <v>45</v>
      </c>
      <c r="T31">
        <v>0</v>
      </c>
      <c r="U31">
        <v>38.96</v>
      </c>
      <c r="V31">
        <v>0</v>
      </c>
      <c r="W31">
        <v>1</v>
      </c>
      <c r="X31">
        <v>1.25</v>
      </c>
      <c r="Y31">
        <v>48.7</v>
      </c>
      <c r="Z31">
        <v>0.25</v>
      </c>
      <c r="AA31">
        <v>12.18</v>
      </c>
    </row>
    <row r="32" spans="1:27" x14ac:dyDescent="0.2">
      <c r="A32" t="s">
        <v>27</v>
      </c>
      <c r="B32" t="s">
        <v>83</v>
      </c>
      <c r="C32" t="s">
        <v>84</v>
      </c>
      <c r="D32" t="s">
        <v>30</v>
      </c>
      <c r="E32" t="s">
        <v>85</v>
      </c>
      <c r="F32" t="s">
        <v>32</v>
      </c>
      <c r="G32" t="s">
        <v>33</v>
      </c>
      <c r="H32" t="s">
        <v>170</v>
      </c>
      <c r="I32" t="s">
        <v>171</v>
      </c>
      <c r="J32" t="s">
        <v>36</v>
      </c>
      <c r="K32" t="s">
        <v>175</v>
      </c>
      <c r="L32" t="s">
        <v>38</v>
      </c>
      <c r="M32" t="s">
        <v>176</v>
      </c>
      <c r="N32" t="s">
        <v>127</v>
      </c>
      <c r="O32" t="s">
        <v>41</v>
      </c>
      <c r="P32" t="s">
        <v>177</v>
      </c>
      <c r="Q32" t="s">
        <v>178</v>
      </c>
      <c r="R32" t="s">
        <v>44</v>
      </c>
      <c r="S32" t="s">
        <v>45</v>
      </c>
      <c r="T32">
        <v>0</v>
      </c>
      <c r="U32">
        <v>30.1</v>
      </c>
      <c r="V32">
        <v>0</v>
      </c>
      <c r="W32">
        <v>1</v>
      </c>
      <c r="X32">
        <v>1.25</v>
      </c>
      <c r="Y32">
        <v>37.630000000000003</v>
      </c>
      <c r="Z32">
        <v>0.25</v>
      </c>
      <c r="AA32">
        <v>9.41</v>
      </c>
    </row>
    <row r="33" spans="1:27" x14ac:dyDescent="0.2">
      <c r="A33" t="s">
        <v>27</v>
      </c>
      <c r="B33" t="s">
        <v>83</v>
      </c>
      <c r="C33" t="s">
        <v>84</v>
      </c>
      <c r="D33" t="s">
        <v>30</v>
      </c>
      <c r="E33" t="s">
        <v>85</v>
      </c>
      <c r="F33" t="s">
        <v>32</v>
      </c>
      <c r="G33" t="s">
        <v>33</v>
      </c>
      <c r="H33" t="s">
        <v>170</v>
      </c>
      <c r="I33" t="s">
        <v>171</v>
      </c>
      <c r="J33" t="s">
        <v>36</v>
      </c>
      <c r="K33" t="s">
        <v>179</v>
      </c>
      <c r="L33" t="s">
        <v>38</v>
      </c>
      <c r="M33" t="s">
        <v>180</v>
      </c>
      <c r="N33" t="s">
        <v>127</v>
      </c>
      <c r="O33" t="s">
        <v>41</v>
      </c>
      <c r="P33" t="s">
        <v>181</v>
      </c>
      <c r="Q33" t="s">
        <v>124</v>
      </c>
      <c r="R33" t="s">
        <v>44</v>
      </c>
      <c r="S33" t="s">
        <v>45</v>
      </c>
      <c r="T33">
        <v>0</v>
      </c>
      <c r="U33">
        <v>67.94</v>
      </c>
      <c r="V33">
        <v>0</v>
      </c>
      <c r="W33">
        <v>1</v>
      </c>
      <c r="X33">
        <v>1.25</v>
      </c>
      <c r="Y33">
        <v>84.93</v>
      </c>
      <c r="Z33">
        <v>0.25</v>
      </c>
      <c r="AA33">
        <v>21.23</v>
      </c>
    </row>
    <row r="34" spans="1:27" x14ac:dyDescent="0.2">
      <c r="A34" t="s">
        <v>27</v>
      </c>
      <c r="B34" t="s">
        <v>83</v>
      </c>
      <c r="C34" t="s">
        <v>84</v>
      </c>
      <c r="D34" t="s">
        <v>30</v>
      </c>
      <c r="E34" t="s">
        <v>85</v>
      </c>
      <c r="F34" t="s">
        <v>32</v>
      </c>
      <c r="G34" t="s">
        <v>33</v>
      </c>
      <c r="H34" t="s">
        <v>170</v>
      </c>
      <c r="I34" t="s">
        <v>171</v>
      </c>
      <c r="J34" t="s">
        <v>36</v>
      </c>
      <c r="K34" t="s">
        <v>182</v>
      </c>
      <c r="L34" t="s">
        <v>57</v>
      </c>
      <c r="M34" t="s">
        <v>183</v>
      </c>
      <c r="N34" t="s">
        <v>59</v>
      </c>
      <c r="O34" t="s">
        <v>41</v>
      </c>
      <c r="P34" t="s">
        <v>184</v>
      </c>
      <c r="Q34" t="s">
        <v>185</v>
      </c>
      <c r="R34" t="s">
        <v>44</v>
      </c>
      <c r="S34" t="s">
        <v>45</v>
      </c>
      <c r="T34">
        <v>0</v>
      </c>
      <c r="U34">
        <v>250.75</v>
      </c>
      <c r="V34">
        <v>0</v>
      </c>
      <c r="W34">
        <v>1</v>
      </c>
      <c r="X34">
        <v>1.1499999999999999</v>
      </c>
      <c r="Y34">
        <v>288.36</v>
      </c>
      <c r="Z34">
        <v>0.25</v>
      </c>
      <c r="AA34">
        <v>72.09</v>
      </c>
    </row>
    <row r="35" spans="1:27" x14ac:dyDescent="0.2">
      <c r="A35" t="s">
        <v>27</v>
      </c>
      <c r="B35" t="s">
        <v>83</v>
      </c>
      <c r="C35" t="s">
        <v>84</v>
      </c>
      <c r="D35" t="s">
        <v>30</v>
      </c>
      <c r="E35" t="s">
        <v>85</v>
      </c>
      <c r="F35" t="s">
        <v>32</v>
      </c>
      <c r="G35" t="s">
        <v>33</v>
      </c>
      <c r="H35" t="s">
        <v>186</v>
      </c>
      <c r="I35" t="s">
        <v>187</v>
      </c>
      <c r="J35" t="s">
        <v>36</v>
      </c>
      <c r="K35" t="s">
        <v>188</v>
      </c>
      <c r="L35" t="s">
        <v>38</v>
      </c>
      <c r="M35" t="s">
        <v>189</v>
      </c>
      <c r="N35" t="s">
        <v>167</v>
      </c>
      <c r="O35" t="s">
        <v>41</v>
      </c>
      <c r="P35" t="s">
        <v>190</v>
      </c>
      <c r="Q35" t="s">
        <v>191</v>
      </c>
      <c r="R35" t="s">
        <v>44</v>
      </c>
      <c r="S35" t="s">
        <v>45</v>
      </c>
      <c r="T35">
        <v>0</v>
      </c>
      <c r="U35">
        <v>19.13</v>
      </c>
      <c r="V35">
        <v>0</v>
      </c>
      <c r="W35">
        <v>1</v>
      </c>
      <c r="X35">
        <v>1.05</v>
      </c>
      <c r="Y35">
        <v>20.09</v>
      </c>
      <c r="Z35">
        <v>0.25</v>
      </c>
      <c r="AA35">
        <v>5.0199999999999996</v>
      </c>
    </row>
    <row r="36" spans="1:27" x14ac:dyDescent="0.2">
      <c r="A36" t="s">
        <v>27</v>
      </c>
      <c r="B36" t="s">
        <v>83</v>
      </c>
      <c r="C36" t="s">
        <v>84</v>
      </c>
      <c r="D36" t="s">
        <v>30</v>
      </c>
      <c r="E36" t="s">
        <v>85</v>
      </c>
      <c r="F36" t="s">
        <v>32</v>
      </c>
      <c r="G36" t="s">
        <v>33</v>
      </c>
      <c r="H36" t="s">
        <v>186</v>
      </c>
      <c r="I36" t="s">
        <v>187</v>
      </c>
      <c r="J36" t="s">
        <v>36</v>
      </c>
      <c r="K36" t="s">
        <v>192</v>
      </c>
      <c r="L36" t="s">
        <v>38</v>
      </c>
      <c r="M36" t="s">
        <v>193</v>
      </c>
      <c r="N36" t="s">
        <v>152</v>
      </c>
      <c r="O36" t="s">
        <v>41</v>
      </c>
      <c r="P36" t="s">
        <v>194</v>
      </c>
      <c r="Q36" t="s">
        <v>195</v>
      </c>
      <c r="R36" t="s">
        <v>44</v>
      </c>
      <c r="S36" t="s">
        <v>45</v>
      </c>
      <c r="T36">
        <v>0</v>
      </c>
      <c r="U36">
        <v>35.28</v>
      </c>
      <c r="V36">
        <v>0</v>
      </c>
      <c r="W36">
        <v>1</v>
      </c>
      <c r="X36">
        <v>1.1000000000000001</v>
      </c>
      <c r="Y36">
        <v>38.81</v>
      </c>
      <c r="Z36">
        <v>0.25</v>
      </c>
      <c r="AA36">
        <v>9.6999999999999993</v>
      </c>
    </row>
    <row r="37" spans="1:27" x14ac:dyDescent="0.2">
      <c r="A37" t="s">
        <v>27</v>
      </c>
      <c r="B37" t="s">
        <v>83</v>
      </c>
      <c r="C37" t="s">
        <v>84</v>
      </c>
      <c r="D37" t="s">
        <v>30</v>
      </c>
      <c r="E37" t="s">
        <v>85</v>
      </c>
      <c r="F37" t="s">
        <v>32</v>
      </c>
      <c r="G37" t="s">
        <v>33</v>
      </c>
      <c r="H37" t="s">
        <v>186</v>
      </c>
      <c r="I37" t="s">
        <v>187</v>
      </c>
      <c r="J37" t="s">
        <v>36</v>
      </c>
      <c r="K37" t="s">
        <v>196</v>
      </c>
      <c r="L37" t="s">
        <v>38</v>
      </c>
      <c r="M37" t="s">
        <v>197</v>
      </c>
      <c r="N37" t="s">
        <v>167</v>
      </c>
      <c r="O37" t="s">
        <v>41</v>
      </c>
      <c r="P37" t="s">
        <v>198</v>
      </c>
      <c r="Q37" t="s">
        <v>116</v>
      </c>
      <c r="R37" t="s">
        <v>44</v>
      </c>
      <c r="S37" t="s">
        <v>45</v>
      </c>
      <c r="T37">
        <v>0</v>
      </c>
      <c r="U37">
        <v>26.35</v>
      </c>
      <c r="V37">
        <v>0</v>
      </c>
      <c r="W37">
        <v>1</v>
      </c>
      <c r="X37">
        <v>1.05</v>
      </c>
      <c r="Y37">
        <v>27.67</v>
      </c>
      <c r="Z37">
        <v>0.25</v>
      </c>
      <c r="AA37">
        <v>6.92</v>
      </c>
    </row>
    <row r="38" spans="1:27" x14ac:dyDescent="0.2">
      <c r="A38" t="s">
        <v>27</v>
      </c>
      <c r="B38" t="s">
        <v>83</v>
      </c>
      <c r="C38" t="s">
        <v>84</v>
      </c>
      <c r="D38" t="s">
        <v>30</v>
      </c>
      <c r="E38" t="s">
        <v>85</v>
      </c>
      <c r="F38" t="s">
        <v>32</v>
      </c>
      <c r="G38" t="s">
        <v>33</v>
      </c>
      <c r="H38" t="s">
        <v>186</v>
      </c>
      <c r="I38" t="s">
        <v>187</v>
      </c>
      <c r="J38" t="s">
        <v>36</v>
      </c>
      <c r="K38" t="s">
        <v>199</v>
      </c>
      <c r="L38" t="s">
        <v>38</v>
      </c>
      <c r="M38" t="s">
        <v>200</v>
      </c>
      <c r="N38" t="s">
        <v>66</v>
      </c>
      <c r="O38" t="s">
        <v>41</v>
      </c>
      <c r="P38" t="s">
        <v>201</v>
      </c>
      <c r="Q38" t="s">
        <v>46</v>
      </c>
      <c r="R38" t="s">
        <v>44</v>
      </c>
      <c r="S38" t="s">
        <v>45</v>
      </c>
      <c r="T38">
        <v>0</v>
      </c>
      <c r="U38">
        <v>53.32</v>
      </c>
      <c r="V38">
        <v>0</v>
      </c>
      <c r="W38">
        <v>1</v>
      </c>
      <c r="X38">
        <v>1.1499999999999999</v>
      </c>
      <c r="Y38">
        <v>61.32</v>
      </c>
      <c r="Z38">
        <v>0.25</v>
      </c>
      <c r="AA38">
        <v>15.33</v>
      </c>
    </row>
    <row r="39" spans="1:27" x14ac:dyDescent="0.2">
      <c r="A39" t="s">
        <v>27</v>
      </c>
      <c r="B39" t="s">
        <v>83</v>
      </c>
      <c r="C39" t="s">
        <v>84</v>
      </c>
      <c r="D39" t="s">
        <v>30</v>
      </c>
      <c r="E39" t="s">
        <v>85</v>
      </c>
      <c r="F39" t="s">
        <v>32</v>
      </c>
      <c r="G39" t="s">
        <v>33</v>
      </c>
      <c r="H39" t="s">
        <v>186</v>
      </c>
      <c r="I39" t="s">
        <v>187</v>
      </c>
      <c r="J39" t="s">
        <v>36</v>
      </c>
      <c r="K39" t="s">
        <v>199</v>
      </c>
      <c r="L39" t="s">
        <v>38</v>
      </c>
      <c r="M39" t="s">
        <v>200</v>
      </c>
      <c r="N39" t="s">
        <v>66</v>
      </c>
      <c r="O39" t="s">
        <v>41</v>
      </c>
      <c r="P39" t="s">
        <v>201</v>
      </c>
      <c r="Q39" t="s">
        <v>43</v>
      </c>
      <c r="R39" t="s">
        <v>44</v>
      </c>
      <c r="S39" t="s">
        <v>45</v>
      </c>
      <c r="T39">
        <v>0</v>
      </c>
      <c r="U39">
        <v>53.32</v>
      </c>
      <c r="V39">
        <v>0</v>
      </c>
      <c r="W39">
        <v>1</v>
      </c>
      <c r="X39">
        <v>1.1499999999999999</v>
      </c>
      <c r="Y39">
        <v>61.32</v>
      </c>
      <c r="Z39">
        <v>0.25</v>
      </c>
      <c r="AA39">
        <v>15.33</v>
      </c>
    </row>
    <row r="40" spans="1:27" x14ac:dyDescent="0.2">
      <c r="A40" t="s">
        <v>27</v>
      </c>
      <c r="B40" t="s">
        <v>83</v>
      </c>
      <c r="C40" t="s">
        <v>84</v>
      </c>
      <c r="D40" t="s">
        <v>30</v>
      </c>
      <c r="E40" t="s">
        <v>85</v>
      </c>
      <c r="F40" t="s">
        <v>32</v>
      </c>
      <c r="G40" t="s">
        <v>33</v>
      </c>
      <c r="H40" t="s">
        <v>186</v>
      </c>
      <c r="I40" t="s">
        <v>187</v>
      </c>
      <c r="J40" t="s">
        <v>36</v>
      </c>
      <c r="K40" t="s">
        <v>202</v>
      </c>
      <c r="L40" t="s">
        <v>38</v>
      </c>
      <c r="M40" t="s">
        <v>203</v>
      </c>
      <c r="N40" t="s">
        <v>204</v>
      </c>
      <c r="O40" t="s">
        <v>41</v>
      </c>
      <c r="P40" t="s">
        <v>205</v>
      </c>
      <c r="Q40" t="s">
        <v>120</v>
      </c>
      <c r="R40" t="s">
        <v>44</v>
      </c>
      <c r="S40" t="s">
        <v>45</v>
      </c>
      <c r="T40">
        <v>0</v>
      </c>
      <c r="U40">
        <v>94.6</v>
      </c>
      <c r="V40">
        <v>0</v>
      </c>
      <c r="W40">
        <v>1</v>
      </c>
      <c r="X40">
        <v>1.25</v>
      </c>
      <c r="Y40">
        <v>118.25</v>
      </c>
      <c r="Z40">
        <v>0.25</v>
      </c>
      <c r="AA40">
        <v>29.56</v>
      </c>
    </row>
    <row r="41" spans="1:27" x14ac:dyDescent="0.2">
      <c r="A41" t="s">
        <v>27</v>
      </c>
      <c r="B41" t="s">
        <v>83</v>
      </c>
      <c r="C41" t="s">
        <v>84</v>
      </c>
      <c r="D41" t="s">
        <v>30</v>
      </c>
      <c r="E41" t="s">
        <v>85</v>
      </c>
      <c r="F41" t="s">
        <v>32</v>
      </c>
      <c r="G41" t="s">
        <v>33</v>
      </c>
      <c r="H41" t="s">
        <v>206</v>
      </c>
      <c r="I41" t="s">
        <v>207</v>
      </c>
      <c r="J41" t="s">
        <v>36</v>
      </c>
      <c r="K41" t="s">
        <v>208</v>
      </c>
      <c r="L41" t="s">
        <v>38</v>
      </c>
      <c r="M41" t="s">
        <v>209</v>
      </c>
      <c r="N41" t="s">
        <v>80</v>
      </c>
      <c r="O41" t="s">
        <v>41</v>
      </c>
      <c r="P41" t="s">
        <v>128</v>
      </c>
      <c r="Q41" t="s">
        <v>129</v>
      </c>
      <c r="R41" t="s">
        <v>44</v>
      </c>
      <c r="S41" t="s">
        <v>45</v>
      </c>
      <c r="T41">
        <v>0</v>
      </c>
      <c r="U41">
        <v>99.55</v>
      </c>
      <c r="V41">
        <v>0</v>
      </c>
      <c r="W41">
        <v>1</v>
      </c>
      <c r="X41">
        <v>1.25</v>
      </c>
      <c r="Y41">
        <v>124.44</v>
      </c>
      <c r="Z41">
        <v>0.25</v>
      </c>
      <c r="AA41">
        <v>31.11</v>
      </c>
    </row>
    <row r="42" spans="1:27" x14ac:dyDescent="0.2">
      <c r="A42" t="s">
        <v>27</v>
      </c>
      <c r="B42" t="s">
        <v>83</v>
      </c>
      <c r="C42" t="s">
        <v>84</v>
      </c>
      <c r="D42" t="s">
        <v>30</v>
      </c>
      <c r="E42" t="s">
        <v>85</v>
      </c>
      <c r="F42" t="s">
        <v>32</v>
      </c>
      <c r="G42" t="s">
        <v>33</v>
      </c>
      <c r="H42" t="s">
        <v>210</v>
      </c>
      <c r="I42" t="s">
        <v>211</v>
      </c>
      <c r="J42" t="s">
        <v>36</v>
      </c>
      <c r="K42" t="s">
        <v>212</v>
      </c>
      <c r="L42" t="s">
        <v>38</v>
      </c>
      <c r="M42" t="s">
        <v>213</v>
      </c>
      <c r="N42" t="s">
        <v>80</v>
      </c>
      <c r="O42" t="s">
        <v>41</v>
      </c>
      <c r="P42" t="s">
        <v>214</v>
      </c>
      <c r="Q42" t="s">
        <v>91</v>
      </c>
      <c r="R42" t="s">
        <v>44</v>
      </c>
      <c r="S42" t="s">
        <v>45</v>
      </c>
      <c r="T42">
        <v>0</v>
      </c>
      <c r="U42">
        <v>25.59</v>
      </c>
      <c r="V42">
        <v>0</v>
      </c>
      <c r="W42">
        <v>1</v>
      </c>
      <c r="X42">
        <v>1.25</v>
      </c>
      <c r="Y42">
        <v>31.99</v>
      </c>
      <c r="Z42">
        <v>0.25</v>
      </c>
      <c r="AA42">
        <v>8</v>
      </c>
    </row>
    <row r="43" spans="1:27" x14ac:dyDescent="0.2">
      <c r="A43" t="s">
        <v>27</v>
      </c>
      <c r="B43" t="s">
        <v>83</v>
      </c>
      <c r="C43" t="s">
        <v>84</v>
      </c>
      <c r="D43" t="s">
        <v>30</v>
      </c>
      <c r="E43" t="s">
        <v>85</v>
      </c>
      <c r="F43" t="s">
        <v>32</v>
      </c>
      <c r="G43" t="s">
        <v>33</v>
      </c>
      <c r="H43" t="s">
        <v>210</v>
      </c>
      <c r="I43" t="s">
        <v>211</v>
      </c>
      <c r="J43" t="s">
        <v>36</v>
      </c>
      <c r="K43" t="s">
        <v>215</v>
      </c>
      <c r="L43" t="s">
        <v>38</v>
      </c>
      <c r="M43" t="s">
        <v>216</v>
      </c>
      <c r="N43" t="s">
        <v>127</v>
      </c>
      <c r="O43" t="s">
        <v>41</v>
      </c>
      <c r="P43" t="s">
        <v>217</v>
      </c>
      <c r="Q43" t="s">
        <v>154</v>
      </c>
      <c r="R43" t="s">
        <v>44</v>
      </c>
      <c r="S43" t="s">
        <v>45</v>
      </c>
      <c r="T43">
        <v>0</v>
      </c>
      <c r="U43">
        <v>161.68</v>
      </c>
      <c r="V43">
        <v>0</v>
      </c>
      <c r="W43">
        <v>1</v>
      </c>
      <c r="X43">
        <v>1.25</v>
      </c>
      <c r="Y43">
        <v>202.1</v>
      </c>
      <c r="Z43">
        <v>0.25</v>
      </c>
      <c r="AA43">
        <v>50.53</v>
      </c>
    </row>
    <row r="44" spans="1:27" x14ac:dyDescent="0.2">
      <c r="A44" t="s">
        <v>27</v>
      </c>
      <c r="B44" t="s">
        <v>83</v>
      </c>
      <c r="C44" t="s">
        <v>84</v>
      </c>
      <c r="D44" t="s">
        <v>30</v>
      </c>
      <c r="E44" t="s">
        <v>85</v>
      </c>
      <c r="F44" t="s">
        <v>32</v>
      </c>
      <c r="G44" t="s">
        <v>33</v>
      </c>
      <c r="H44" t="s">
        <v>218</v>
      </c>
      <c r="I44" t="s">
        <v>219</v>
      </c>
      <c r="J44" t="s">
        <v>94</v>
      </c>
      <c r="K44" t="s">
        <v>220</v>
      </c>
      <c r="L44" t="s">
        <v>38</v>
      </c>
      <c r="M44" t="s">
        <v>221</v>
      </c>
      <c r="N44" t="s">
        <v>222</v>
      </c>
      <c r="O44" t="s">
        <v>41</v>
      </c>
      <c r="P44" t="s">
        <v>223</v>
      </c>
      <c r="Q44" t="s">
        <v>185</v>
      </c>
      <c r="R44" t="s">
        <v>44</v>
      </c>
      <c r="S44" t="s">
        <v>45</v>
      </c>
      <c r="T44">
        <v>0</v>
      </c>
      <c r="U44">
        <v>81.650000000000006</v>
      </c>
      <c r="V44">
        <v>0</v>
      </c>
      <c r="W44">
        <v>1</v>
      </c>
      <c r="X44">
        <v>1.35</v>
      </c>
      <c r="Y44">
        <v>110.23</v>
      </c>
      <c r="Z44">
        <v>0.25</v>
      </c>
      <c r="AA44">
        <v>27.56</v>
      </c>
    </row>
    <row r="45" spans="1:27" x14ac:dyDescent="0.2">
      <c r="A45" t="s">
        <v>27</v>
      </c>
      <c r="B45" t="s">
        <v>83</v>
      </c>
      <c r="C45" t="s">
        <v>84</v>
      </c>
      <c r="D45" t="s">
        <v>30</v>
      </c>
      <c r="E45" t="s">
        <v>85</v>
      </c>
      <c r="F45" t="s">
        <v>32</v>
      </c>
      <c r="G45" t="s">
        <v>33</v>
      </c>
      <c r="H45" t="s">
        <v>218</v>
      </c>
      <c r="I45" t="s">
        <v>219</v>
      </c>
      <c r="J45" t="s">
        <v>94</v>
      </c>
      <c r="K45" t="s">
        <v>224</v>
      </c>
      <c r="L45" t="s">
        <v>38</v>
      </c>
      <c r="M45" t="s">
        <v>221</v>
      </c>
      <c r="N45" t="s">
        <v>225</v>
      </c>
      <c r="O45" t="s">
        <v>41</v>
      </c>
      <c r="P45" t="s">
        <v>223</v>
      </c>
      <c r="Q45" t="s">
        <v>185</v>
      </c>
      <c r="R45" t="s">
        <v>44</v>
      </c>
      <c r="S45" t="s">
        <v>45</v>
      </c>
      <c r="T45">
        <v>0</v>
      </c>
      <c r="U45">
        <v>109.43</v>
      </c>
      <c r="V45">
        <v>0</v>
      </c>
      <c r="W45">
        <v>1</v>
      </c>
      <c r="X45">
        <v>0.88</v>
      </c>
      <c r="Y45">
        <v>96.3</v>
      </c>
      <c r="Z45">
        <v>0.25</v>
      </c>
      <c r="AA45">
        <v>24.08</v>
      </c>
    </row>
    <row r="46" spans="1:27" x14ac:dyDescent="0.2">
      <c r="A46" t="s">
        <v>27</v>
      </c>
      <c r="B46" t="s">
        <v>83</v>
      </c>
      <c r="C46" t="s">
        <v>84</v>
      </c>
      <c r="D46" t="s">
        <v>30</v>
      </c>
      <c r="E46" t="s">
        <v>85</v>
      </c>
      <c r="F46" t="s">
        <v>32</v>
      </c>
      <c r="G46" t="s">
        <v>33</v>
      </c>
      <c r="H46" t="s">
        <v>218</v>
      </c>
      <c r="I46" t="s">
        <v>219</v>
      </c>
      <c r="J46" t="s">
        <v>94</v>
      </c>
      <c r="K46" t="s">
        <v>226</v>
      </c>
      <c r="L46" t="s">
        <v>38</v>
      </c>
      <c r="M46" t="s">
        <v>227</v>
      </c>
      <c r="N46" t="s">
        <v>222</v>
      </c>
      <c r="O46" t="s">
        <v>41</v>
      </c>
      <c r="P46" t="s">
        <v>228</v>
      </c>
      <c r="Q46" t="s">
        <v>229</v>
      </c>
      <c r="R46" t="s">
        <v>44</v>
      </c>
      <c r="S46" t="s">
        <v>45</v>
      </c>
      <c r="T46">
        <v>0</v>
      </c>
      <c r="U46">
        <v>73.88</v>
      </c>
      <c r="V46">
        <v>0</v>
      </c>
      <c r="W46">
        <v>1</v>
      </c>
      <c r="X46">
        <v>6.7500000000000004E-2</v>
      </c>
      <c r="Y46">
        <v>4.99</v>
      </c>
      <c r="Z46">
        <v>0.25</v>
      </c>
      <c r="AA46">
        <v>1.25</v>
      </c>
    </row>
    <row r="47" spans="1:27" x14ac:dyDescent="0.2">
      <c r="A47" t="s">
        <v>27</v>
      </c>
      <c r="B47" t="s">
        <v>83</v>
      </c>
      <c r="C47" t="s">
        <v>84</v>
      </c>
      <c r="D47" t="s">
        <v>30</v>
      </c>
      <c r="E47" t="s">
        <v>85</v>
      </c>
      <c r="F47" t="s">
        <v>32</v>
      </c>
      <c r="G47" t="s">
        <v>33</v>
      </c>
      <c r="H47" t="s">
        <v>218</v>
      </c>
      <c r="I47" t="s">
        <v>219</v>
      </c>
      <c r="J47" t="s">
        <v>94</v>
      </c>
      <c r="K47" t="s">
        <v>230</v>
      </c>
      <c r="L47" t="s">
        <v>38</v>
      </c>
      <c r="M47" t="s">
        <v>231</v>
      </c>
      <c r="N47" t="s">
        <v>225</v>
      </c>
      <c r="O47" t="s">
        <v>41</v>
      </c>
      <c r="P47" t="s">
        <v>228</v>
      </c>
      <c r="Q47" t="s">
        <v>229</v>
      </c>
      <c r="R47" t="s">
        <v>44</v>
      </c>
      <c r="S47" t="s">
        <v>45</v>
      </c>
      <c r="T47">
        <v>0</v>
      </c>
      <c r="U47">
        <v>103.53</v>
      </c>
      <c r="V47">
        <v>0</v>
      </c>
      <c r="W47">
        <v>1</v>
      </c>
      <c r="X47">
        <v>0.88</v>
      </c>
      <c r="Y47">
        <v>91.11</v>
      </c>
      <c r="Z47">
        <v>0.25</v>
      </c>
      <c r="AA47">
        <v>22.78</v>
      </c>
    </row>
    <row r="48" spans="1:27" x14ac:dyDescent="0.2">
      <c r="A48" t="s">
        <v>27</v>
      </c>
      <c r="B48" t="s">
        <v>83</v>
      </c>
      <c r="C48" t="s">
        <v>84</v>
      </c>
      <c r="D48" t="s">
        <v>30</v>
      </c>
      <c r="E48" t="s">
        <v>85</v>
      </c>
      <c r="F48" t="s">
        <v>32</v>
      </c>
      <c r="G48" t="s">
        <v>33</v>
      </c>
      <c r="H48" t="s">
        <v>218</v>
      </c>
      <c r="I48" t="s">
        <v>219</v>
      </c>
      <c r="J48" t="s">
        <v>94</v>
      </c>
      <c r="K48" t="s">
        <v>232</v>
      </c>
      <c r="L48" t="s">
        <v>38</v>
      </c>
      <c r="M48" t="s">
        <v>233</v>
      </c>
      <c r="N48" t="s">
        <v>222</v>
      </c>
      <c r="O48" t="s">
        <v>41</v>
      </c>
      <c r="P48" t="s">
        <v>234</v>
      </c>
      <c r="Q48" t="s">
        <v>68</v>
      </c>
      <c r="R48" t="s">
        <v>44</v>
      </c>
      <c r="S48" t="s">
        <v>45</v>
      </c>
      <c r="T48">
        <v>0</v>
      </c>
      <c r="U48">
        <v>89.78</v>
      </c>
      <c r="V48">
        <v>0</v>
      </c>
      <c r="W48">
        <v>1</v>
      </c>
      <c r="X48">
        <v>6.7500000000000004E-2</v>
      </c>
      <c r="Y48">
        <v>6.06</v>
      </c>
      <c r="Z48">
        <v>0.25</v>
      </c>
      <c r="AA48">
        <v>1.52</v>
      </c>
    </row>
    <row r="49" spans="1:27" x14ac:dyDescent="0.2">
      <c r="A49" t="s">
        <v>27</v>
      </c>
      <c r="B49" t="s">
        <v>83</v>
      </c>
      <c r="C49" t="s">
        <v>84</v>
      </c>
      <c r="D49" t="s">
        <v>30</v>
      </c>
      <c r="E49" t="s">
        <v>85</v>
      </c>
      <c r="F49" t="s">
        <v>32</v>
      </c>
      <c r="G49" t="s">
        <v>33</v>
      </c>
      <c r="H49" t="s">
        <v>34</v>
      </c>
      <c r="I49" t="s">
        <v>235</v>
      </c>
      <c r="J49" t="s">
        <v>36</v>
      </c>
      <c r="K49" t="s">
        <v>236</v>
      </c>
      <c r="L49" t="s">
        <v>38</v>
      </c>
      <c r="M49" t="s">
        <v>237</v>
      </c>
      <c r="N49" t="s">
        <v>152</v>
      </c>
      <c r="O49" t="s">
        <v>41</v>
      </c>
      <c r="P49" t="s">
        <v>238</v>
      </c>
      <c r="Q49" t="s">
        <v>239</v>
      </c>
      <c r="R49" t="s">
        <v>44</v>
      </c>
      <c r="S49" t="s">
        <v>45</v>
      </c>
      <c r="T49">
        <v>0</v>
      </c>
      <c r="U49">
        <v>205.02</v>
      </c>
      <c r="V49">
        <v>0</v>
      </c>
      <c r="W49">
        <v>1</v>
      </c>
      <c r="X49">
        <v>1.1000000000000001</v>
      </c>
      <c r="Y49">
        <v>225.52</v>
      </c>
      <c r="Z49">
        <v>0.25</v>
      </c>
      <c r="AA49">
        <v>56.38</v>
      </c>
    </row>
    <row r="50" spans="1:27" x14ac:dyDescent="0.2">
      <c r="A50" t="s">
        <v>27</v>
      </c>
      <c r="B50" t="s">
        <v>83</v>
      </c>
      <c r="C50" t="s">
        <v>84</v>
      </c>
      <c r="D50" t="s">
        <v>30</v>
      </c>
      <c r="E50" t="s">
        <v>85</v>
      </c>
      <c r="F50" t="s">
        <v>32</v>
      </c>
      <c r="G50" t="s">
        <v>33</v>
      </c>
      <c r="H50" t="s">
        <v>240</v>
      </c>
      <c r="I50" t="s">
        <v>241</v>
      </c>
      <c r="J50" t="s">
        <v>94</v>
      </c>
      <c r="K50" t="s">
        <v>242</v>
      </c>
      <c r="L50" t="s">
        <v>38</v>
      </c>
      <c r="M50" t="s">
        <v>243</v>
      </c>
      <c r="N50" t="s">
        <v>97</v>
      </c>
      <c r="O50" t="s">
        <v>41</v>
      </c>
      <c r="P50" t="s">
        <v>181</v>
      </c>
      <c r="Q50" t="s">
        <v>124</v>
      </c>
      <c r="R50" t="s">
        <v>44</v>
      </c>
      <c r="S50" t="s">
        <v>45</v>
      </c>
      <c r="T50">
        <v>0</v>
      </c>
      <c r="U50">
        <v>200</v>
      </c>
      <c r="V50">
        <v>0</v>
      </c>
      <c r="W50">
        <v>1</v>
      </c>
      <c r="X50">
        <v>1.5</v>
      </c>
      <c r="Y50">
        <v>300</v>
      </c>
      <c r="Z50">
        <v>0.25</v>
      </c>
      <c r="AA50">
        <v>75</v>
      </c>
    </row>
    <row r="51" spans="1:27" x14ac:dyDescent="0.2">
      <c r="A51" t="s">
        <v>27</v>
      </c>
      <c r="B51" t="s">
        <v>83</v>
      </c>
      <c r="C51" t="s">
        <v>84</v>
      </c>
      <c r="D51" t="s">
        <v>30</v>
      </c>
      <c r="E51" t="s">
        <v>85</v>
      </c>
      <c r="F51" t="s">
        <v>32</v>
      </c>
      <c r="G51" t="s">
        <v>33</v>
      </c>
      <c r="H51" t="s">
        <v>240</v>
      </c>
      <c r="I51" t="s">
        <v>241</v>
      </c>
      <c r="J51" t="s">
        <v>94</v>
      </c>
      <c r="K51" t="s">
        <v>244</v>
      </c>
      <c r="L51" t="s">
        <v>38</v>
      </c>
      <c r="M51" t="s">
        <v>243</v>
      </c>
      <c r="N51" t="s">
        <v>97</v>
      </c>
      <c r="O51" t="s">
        <v>41</v>
      </c>
      <c r="P51" t="s">
        <v>181</v>
      </c>
      <c r="Q51" t="s">
        <v>124</v>
      </c>
      <c r="R51" t="s">
        <v>44</v>
      </c>
      <c r="S51" t="s">
        <v>45</v>
      </c>
      <c r="T51">
        <v>0</v>
      </c>
      <c r="U51">
        <v>200</v>
      </c>
      <c r="V51">
        <v>0</v>
      </c>
      <c r="W51">
        <v>1</v>
      </c>
      <c r="X51">
        <v>1.5</v>
      </c>
      <c r="Y51">
        <v>300</v>
      </c>
      <c r="Z51">
        <v>0.25</v>
      </c>
      <c r="AA51">
        <v>75</v>
      </c>
    </row>
    <row r="52" spans="1:27" x14ac:dyDescent="0.2">
      <c r="A52" t="s">
        <v>27</v>
      </c>
      <c r="B52" t="s">
        <v>83</v>
      </c>
      <c r="C52" t="s">
        <v>84</v>
      </c>
      <c r="D52" t="s">
        <v>30</v>
      </c>
      <c r="E52" t="s">
        <v>85</v>
      </c>
      <c r="F52" t="s">
        <v>32</v>
      </c>
      <c r="G52" t="s">
        <v>33</v>
      </c>
      <c r="H52" t="s">
        <v>240</v>
      </c>
      <c r="I52" t="s">
        <v>241</v>
      </c>
      <c r="J52" t="s">
        <v>94</v>
      </c>
      <c r="K52" t="s">
        <v>245</v>
      </c>
      <c r="L52" t="s">
        <v>38</v>
      </c>
      <c r="M52" t="s">
        <v>246</v>
      </c>
      <c r="N52" t="s">
        <v>97</v>
      </c>
      <c r="O52" t="s">
        <v>41</v>
      </c>
      <c r="P52" t="s">
        <v>181</v>
      </c>
      <c r="Q52" t="s">
        <v>124</v>
      </c>
      <c r="R52" t="s">
        <v>44</v>
      </c>
      <c r="S52" t="s">
        <v>45</v>
      </c>
      <c r="T52">
        <v>0</v>
      </c>
      <c r="U52">
        <v>100</v>
      </c>
      <c r="V52">
        <v>0</v>
      </c>
      <c r="W52">
        <v>1</v>
      </c>
      <c r="X52">
        <v>1.5</v>
      </c>
      <c r="Y52">
        <v>150</v>
      </c>
      <c r="Z52">
        <v>0.25</v>
      </c>
      <c r="AA52">
        <v>37.5</v>
      </c>
    </row>
    <row r="53" spans="1:27" x14ac:dyDescent="0.2">
      <c r="A53" t="s">
        <v>27</v>
      </c>
      <c r="B53" t="s">
        <v>83</v>
      </c>
      <c r="C53" t="s">
        <v>84</v>
      </c>
      <c r="D53" t="s">
        <v>30</v>
      </c>
      <c r="E53" t="s">
        <v>85</v>
      </c>
      <c r="F53" t="s">
        <v>32</v>
      </c>
      <c r="G53" t="s">
        <v>33</v>
      </c>
      <c r="H53" t="s">
        <v>240</v>
      </c>
      <c r="I53" t="s">
        <v>241</v>
      </c>
      <c r="J53" t="s">
        <v>94</v>
      </c>
      <c r="K53" t="s">
        <v>247</v>
      </c>
      <c r="L53" t="s">
        <v>38</v>
      </c>
      <c r="M53" t="s">
        <v>248</v>
      </c>
      <c r="N53" t="s">
        <v>97</v>
      </c>
      <c r="O53" t="s">
        <v>41</v>
      </c>
      <c r="P53" t="s">
        <v>249</v>
      </c>
      <c r="Q53" t="s">
        <v>68</v>
      </c>
      <c r="R53" t="s">
        <v>44</v>
      </c>
      <c r="S53" t="s">
        <v>45</v>
      </c>
      <c r="T53">
        <v>0</v>
      </c>
      <c r="U53">
        <v>168.22</v>
      </c>
      <c r="V53">
        <v>0</v>
      </c>
      <c r="W53">
        <v>1</v>
      </c>
      <c r="X53">
        <v>1.5</v>
      </c>
      <c r="Y53">
        <v>252.33</v>
      </c>
      <c r="Z53">
        <v>0.25</v>
      </c>
      <c r="AA53">
        <v>63.08</v>
      </c>
    </row>
    <row r="54" spans="1:27" x14ac:dyDescent="0.2">
      <c r="A54" t="s">
        <v>27</v>
      </c>
      <c r="B54" t="s">
        <v>83</v>
      </c>
      <c r="C54" t="s">
        <v>84</v>
      </c>
      <c r="D54" t="s">
        <v>30</v>
      </c>
      <c r="E54" t="s">
        <v>85</v>
      </c>
      <c r="F54" t="s">
        <v>32</v>
      </c>
      <c r="G54" t="s">
        <v>33</v>
      </c>
      <c r="H54" t="s">
        <v>240</v>
      </c>
      <c r="I54" t="s">
        <v>241</v>
      </c>
      <c r="J54" t="s">
        <v>94</v>
      </c>
      <c r="K54" t="s">
        <v>250</v>
      </c>
      <c r="L54" t="s">
        <v>38</v>
      </c>
      <c r="M54" t="s">
        <v>251</v>
      </c>
      <c r="N54" t="s">
        <v>97</v>
      </c>
      <c r="O54" t="s">
        <v>41</v>
      </c>
      <c r="P54" t="s">
        <v>249</v>
      </c>
      <c r="Q54" t="s">
        <v>68</v>
      </c>
      <c r="R54" t="s">
        <v>44</v>
      </c>
      <c r="S54" t="s">
        <v>45</v>
      </c>
      <c r="T54">
        <v>0</v>
      </c>
      <c r="U54">
        <v>164.85</v>
      </c>
      <c r="V54">
        <v>0</v>
      </c>
      <c r="W54">
        <v>1</v>
      </c>
      <c r="X54">
        <v>1.5</v>
      </c>
      <c r="Y54">
        <v>247.28</v>
      </c>
      <c r="Z54">
        <v>0.25</v>
      </c>
      <c r="AA54">
        <v>61.82</v>
      </c>
    </row>
    <row r="55" spans="1:27" x14ac:dyDescent="0.2">
      <c r="A55" t="s">
        <v>27</v>
      </c>
      <c r="B55" t="s">
        <v>83</v>
      </c>
      <c r="C55" t="s">
        <v>84</v>
      </c>
      <c r="D55" t="s">
        <v>30</v>
      </c>
      <c r="E55" t="s">
        <v>85</v>
      </c>
      <c r="F55" t="s">
        <v>32</v>
      </c>
      <c r="G55" t="s">
        <v>33</v>
      </c>
      <c r="H55" t="s">
        <v>240</v>
      </c>
      <c r="I55" t="s">
        <v>241</v>
      </c>
      <c r="J55" t="s">
        <v>94</v>
      </c>
      <c r="K55" t="s">
        <v>252</v>
      </c>
      <c r="L55" t="s">
        <v>38</v>
      </c>
      <c r="M55" t="s">
        <v>253</v>
      </c>
      <c r="N55" t="s">
        <v>97</v>
      </c>
      <c r="O55" t="s">
        <v>41</v>
      </c>
      <c r="P55" t="s">
        <v>254</v>
      </c>
      <c r="Q55" t="s">
        <v>154</v>
      </c>
      <c r="R55" t="s">
        <v>44</v>
      </c>
      <c r="S55" t="s">
        <v>45</v>
      </c>
      <c r="T55">
        <v>0</v>
      </c>
      <c r="U55">
        <v>168.22</v>
      </c>
      <c r="V55">
        <v>0</v>
      </c>
      <c r="W55">
        <v>1</v>
      </c>
      <c r="X55">
        <v>1.5</v>
      </c>
      <c r="Y55">
        <v>252.33</v>
      </c>
      <c r="Z55">
        <v>0.25</v>
      </c>
      <c r="AA55">
        <v>63.08</v>
      </c>
    </row>
    <row r="56" spans="1:27" x14ac:dyDescent="0.2">
      <c r="A56" t="s">
        <v>27</v>
      </c>
      <c r="B56" t="s">
        <v>83</v>
      </c>
      <c r="C56" t="s">
        <v>84</v>
      </c>
      <c r="D56" t="s">
        <v>30</v>
      </c>
      <c r="E56" t="s">
        <v>85</v>
      </c>
      <c r="F56" t="s">
        <v>32</v>
      </c>
      <c r="G56" t="s">
        <v>33</v>
      </c>
      <c r="H56" t="s">
        <v>240</v>
      </c>
      <c r="I56" t="s">
        <v>241</v>
      </c>
      <c r="J56" t="s">
        <v>94</v>
      </c>
      <c r="K56" t="s">
        <v>255</v>
      </c>
      <c r="L56" t="s">
        <v>38</v>
      </c>
      <c r="M56" t="s">
        <v>256</v>
      </c>
      <c r="N56" t="s">
        <v>97</v>
      </c>
      <c r="O56" t="s">
        <v>41</v>
      </c>
      <c r="P56" t="s">
        <v>254</v>
      </c>
      <c r="Q56" t="s">
        <v>154</v>
      </c>
      <c r="R56" t="s">
        <v>44</v>
      </c>
      <c r="S56" t="s">
        <v>45</v>
      </c>
      <c r="T56">
        <v>0</v>
      </c>
      <c r="U56">
        <v>206.79</v>
      </c>
      <c r="V56">
        <v>0</v>
      </c>
      <c r="W56">
        <v>1</v>
      </c>
      <c r="X56">
        <v>1.5</v>
      </c>
      <c r="Y56">
        <v>310.19</v>
      </c>
      <c r="Z56">
        <v>0.25</v>
      </c>
      <c r="AA56">
        <v>77.55</v>
      </c>
    </row>
    <row r="57" spans="1:27" x14ac:dyDescent="0.2">
      <c r="A57" t="s">
        <v>27</v>
      </c>
      <c r="B57" t="s">
        <v>83</v>
      </c>
      <c r="C57" t="s">
        <v>84</v>
      </c>
      <c r="D57" t="s">
        <v>30</v>
      </c>
      <c r="E57" t="s">
        <v>85</v>
      </c>
      <c r="F57" t="s">
        <v>32</v>
      </c>
      <c r="G57" t="s">
        <v>33</v>
      </c>
      <c r="H57" t="s">
        <v>240</v>
      </c>
      <c r="I57" t="s">
        <v>241</v>
      </c>
      <c r="J57" t="s">
        <v>94</v>
      </c>
      <c r="K57" t="s">
        <v>257</v>
      </c>
      <c r="L57" t="s">
        <v>38</v>
      </c>
      <c r="M57" t="s">
        <v>258</v>
      </c>
      <c r="N57" t="s">
        <v>97</v>
      </c>
      <c r="O57" t="s">
        <v>41</v>
      </c>
      <c r="P57" t="s">
        <v>54</v>
      </c>
      <c r="Q57" t="s">
        <v>259</v>
      </c>
      <c r="R57" t="s">
        <v>44</v>
      </c>
      <c r="S57" t="s">
        <v>45</v>
      </c>
      <c r="T57">
        <v>0</v>
      </c>
      <c r="U57">
        <v>-91.43</v>
      </c>
      <c r="V57">
        <v>0</v>
      </c>
      <c r="W57">
        <v>1</v>
      </c>
      <c r="X57">
        <v>1.5</v>
      </c>
      <c r="Y57">
        <v>-137.15</v>
      </c>
      <c r="Z57">
        <v>0.25</v>
      </c>
      <c r="AA57">
        <v>-34.29</v>
      </c>
    </row>
    <row r="58" spans="1:27" x14ac:dyDescent="0.2">
      <c r="A58" t="s">
        <v>27</v>
      </c>
      <c r="B58" t="s">
        <v>83</v>
      </c>
      <c r="C58" t="s">
        <v>84</v>
      </c>
      <c r="D58" t="s">
        <v>30</v>
      </c>
      <c r="E58" t="s">
        <v>85</v>
      </c>
      <c r="F58" t="s">
        <v>32</v>
      </c>
      <c r="G58" t="s">
        <v>33</v>
      </c>
      <c r="H58" t="s">
        <v>240</v>
      </c>
      <c r="I58" t="s">
        <v>241</v>
      </c>
      <c r="J58" t="s">
        <v>94</v>
      </c>
      <c r="K58" t="s">
        <v>257</v>
      </c>
      <c r="L58" t="s">
        <v>38</v>
      </c>
      <c r="M58" t="s">
        <v>258</v>
      </c>
      <c r="N58" t="s">
        <v>97</v>
      </c>
      <c r="O58" t="s">
        <v>41</v>
      </c>
      <c r="P58" t="s">
        <v>54</v>
      </c>
      <c r="Q58" t="s">
        <v>55</v>
      </c>
      <c r="R58" t="s">
        <v>44</v>
      </c>
      <c r="S58" t="s">
        <v>45</v>
      </c>
      <c r="T58">
        <v>0</v>
      </c>
      <c r="U58">
        <v>160</v>
      </c>
      <c r="V58">
        <v>0</v>
      </c>
      <c r="W58">
        <v>1</v>
      </c>
      <c r="X58">
        <v>1.5</v>
      </c>
      <c r="Y58">
        <v>240</v>
      </c>
      <c r="Z58">
        <v>0.25</v>
      </c>
      <c r="AA58">
        <v>60</v>
      </c>
    </row>
    <row r="59" spans="1:27" x14ac:dyDescent="0.2">
      <c r="A59" t="s">
        <v>27</v>
      </c>
      <c r="B59" t="s">
        <v>83</v>
      </c>
      <c r="C59" t="s">
        <v>84</v>
      </c>
      <c r="D59" t="s">
        <v>30</v>
      </c>
      <c r="E59" t="s">
        <v>85</v>
      </c>
      <c r="F59" t="s">
        <v>32</v>
      </c>
      <c r="G59" t="s">
        <v>33</v>
      </c>
      <c r="H59" t="s">
        <v>240</v>
      </c>
      <c r="I59" t="s">
        <v>241</v>
      </c>
      <c r="J59" t="s">
        <v>94</v>
      </c>
      <c r="K59" t="s">
        <v>260</v>
      </c>
      <c r="L59" t="s">
        <v>38</v>
      </c>
      <c r="M59" t="s">
        <v>261</v>
      </c>
      <c r="N59" t="s">
        <v>97</v>
      </c>
      <c r="O59" t="s">
        <v>41</v>
      </c>
      <c r="P59" t="s">
        <v>262</v>
      </c>
      <c r="Q59" t="s">
        <v>162</v>
      </c>
      <c r="R59" t="s">
        <v>44</v>
      </c>
      <c r="S59" t="s">
        <v>45</v>
      </c>
      <c r="T59">
        <v>0</v>
      </c>
      <c r="U59">
        <v>230</v>
      </c>
      <c r="V59">
        <v>0</v>
      </c>
      <c r="W59">
        <v>1</v>
      </c>
      <c r="X59">
        <v>1.5</v>
      </c>
      <c r="Y59">
        <v>345</v>
      </c>
      <c r="Z59">
        <v>0.25</v>
      </c>
      <c r="AA59">
        <v>86.25</v>
      </c>
    </row>
    <row r="60" spans="1:27" x14ac:dyDescent="0.2">
      <c r="A60" t="s">
        <v>27</v>
      </c>
      <c r="B60" t="s">
        <v>83</v>
      </c>
      <c r="C60" t="s">
        <v>84</v>
      </c>
      <c r="D60" t="s">
        <v>30</v>
      </c>
      <c r="E60" t="s">
        <v>85</v>
      </c>
      <c r="F60" t="s">
        <v>32</v>
      </c>
      <c r="G60" t="s">
        <v>33</v>
      </c>
      <c r="H60" t="s">
        <v>240</v>
      </c>
      <c r="I60" t="s">
        <v>241</v>
      </c>
      <c r="J60" t="s">
        <v>94</v>
      </c>
      <c r="K60" t="s">
        <v>263</v>
      </c>
      <c r="L60" t="s">
        <v>38</v>
      </c>
      <c r="M60" t="s">
        <v>261</v>
      </c>
      <c r="N60" t="s">
        <v>97</v>
      </c>
      <c r="O60" t="s">
        <v>41</v>
      </c>
      <c r="P60" t="s">
        <v>262</v>
      </c>
      <c r="Q60" t="s">
        <v>162</v>
      </c>
      <c r="R60" t="s">
        <v>44</v>
      </c>
      <c r="S60" t="s">
        <v>45</v>
      </c>
      <c r="T60">
        <v>0</v>
      </c>
      <c r="U60">
        <v>230</v>
      </c>
      <c r="V60">
        <v>0</v>
      </c>
      <c r="W60">
        <v>1</v>
      </c>
      <c r="X60">
        <v>1.5</v>
      </c>
      <c r="Y60">
        <v>345</v>
      </c>
      <c r="Z60">
        <v>0.25</v>
      </c>
      <c r="AA60">
        <v>86.25</v>
      </c>
    </row>
    <row r="61" spans="1:27" x14ac:dyDescent="0.2">
      <c r="A61" t="s">
        <v>27</v>
      </c>
      <c r="B61" t="s">
        <v>83</v>
      </c>
      <c r="C61" t="s">
        <v>84</v>
      </c>
      <c r="D61" t="s">
        <v>30</v>
      </c>
      <c r="E61" t="s">
        <v>85</v>
      </c>
      <c r="F61" t="s">
        <v>32</v>
      </c>
      <c r="G61" t="s">
        <v>33</v>
      </c>
      <c r="H61" t="s">
        <v>240</v>
      </c>
      <c r="I61" t="s">
        <v>241</v>
      </c>
      <c r="J61" t="s">
        <v>94</v>
      </c>
      <c r="K61" t="s">
        <v>264</v>
      </c>
      <c r="L61" t="s">
        <v>38</v>
      </c>
      <c r="M61" t="s">
        <v>265</v>
      </c>
      <c r="N61" t="s">
        <v>97</v>
      </c>
      <c r="O61" t="s">
        <v>41</v>
      </c>
      <c r="P61" t="s">
        <v>266</v>
      </c>
      <c r="Q61" t="s">
        <v>267</v>
      </c>
      <c r="R61" t="s">
        <v>44</v>
      </c>
      <c r="S61" t="s">
        <v>45</v>
      </c>
      <c r="T61">
        <v>0</v>
      </c>
      <c r="U61">
        <v>193.29</v>
      </c>
      <c r="V61">
        <v>0</v>
      </c>
      <c r="W61">
        <v>1</v>
      </c>
      <c r="X61">
        <v>1.5</v>
      </c>
      <c r="Y61">
        <v>289.94</v>
      </c>
      <c r="Z61">
        <v>0.25</v>
      </c>
      <c r="AA61">
        <v>72.489999999999995</v>
      </c>
    </row>
    <row r="62" spans="1:27" x14ac:dyDescent="0.2">
      <c r="A62" t="s">
        <v>27</v>
      </c>
      <c r="B62" t="s">
        <v>83</v>
      </c>
      <c r="C62" t="s">
        <v>84</v>
      </c>
      <c r="D62" t="s">
        <v>30</v>
      </c>
      <c r="E62" t="s">
        <v>85</v>
      </c>
      <c r="F62" t="s">
        <v>32</v>
      </c>
      <c r="G62" t="s">
        <v>33</v>
      </c>
      <c r="H62" t="s">
        <v>268</v>
      </c>
      <c r="I62" t="s">
        <v>269</v>
      </c>
      <c r="J62" t="s">
        <v>36</v>
      </c>
      <c r="K62" t="s">
        <v>270</v>
      </c>
      <c r="L62" t="s">
        <v>38</v>
      </c>
      <c r="M62" t="s">
        <v>271</v>
      </c>
      <c r="N62" t="s">
        <v>59</v>
      </c>
      <c r="O62" t="s">
        <v>41</v>
      </c>
      <c r="P62" t="s">
        <v>272</v>
      </c>
      <c r="Q62" t="s">
        <v>120</v>
      </c>
      <c r="R62" t="s">
        <v>44</v>
      </c>
      <c r="S62" t="s">
        <v>45</v>
      </c>
      <c r="T62">
        <v>0</v>
      </c>
      <c r="U62">
        <v>263.93</v>
      </c>
      <c r="V62">
        <v>0</v>
      </c>
      <c r="W62">
        <v>1</v>
      </c>
      <c r="X62">
        <v>1.1499999999999999</v>
      </c>
      <c r="Y62">
        <v>303.52</v>
      </c>
      <c r="Z62">
        <v>0.25</v>
      </c>
      <c r="AA62">
        <v>75.88</v>
      </c>
    </row>
    <row r="63" spans="1:27" x14ac:dyDescent="0.2">
      <c r="A63" t="s">
        <v>27</v>
      </c>
      <c r="B63" t="s">
        <v>83</v>
      </c>
      <c r="C63" t="s">
        <v>84</v>
      </c>
      <c r="D63" t="s">
        <v>30</v>
      </c>
      <c r="E63" t="s">
        <v>85</v>
      </c>
      <c r="F63" t="s">
        <v>32</v>
      </c>
      <c r="G63" t="s">
        <v>33</v>
      </c>
      <c r="H63" t="s">
        <v>76</v>
      </c>
      <c r="I63" t="s">
        <v>273</v>
      </c>
      <c r="J63" t="s">
        <v>36</v>
      </c>
      <c r="K63" t="s">
        <v>274</v>
      </c>
      <c r="L63" t="s">
        <v>38</v>
      </c>
      <c r="M63" t="s">
        <v>275</v>
      </c>
      <c r="N63" t="s">
        <v>59</v>
      </c>
      <c r="O63" t="s">
        <v>41</v>
      </c>
      <c r="P63" t="s">
        <v>115</v>
      </c>
      <c r="Q63" t="s">
        <v>116</v>
      </c>
      <c r="R63" t="s">
        <v>44</v>
      </c>
      <c r="S63" t="s">
        <v>45</v>
      </c>
      <c r="T63">
        <v>0</v>
      </c>
      <c r="U63">
        <v>133.44999999999999</v>
      </c>
      <c r="V63">
        <v>0</v>
      </c>
      <c r="W63">
        <v>1</v>
      </c>
      <c r="X63">
        <v>1.1499999999999999</v>
      </c>
      <c r="Y63">
        <v>153.47</v>
      </c>
      <c r="Z63">
        <v>0.25</v>
      </c>
      <c r="AA63">
        <v>38.369999999999997</v>
      </c>
    </row>
    <row r="64" spans="1:27" x14ac:dyDescent="0.2">
      <c r="A64" t="s">
        <v>27</v>
      </c>
      <c r="B64" t="s">
        <v>83</v>
      </c>
      <c r="C64" t="s">
        <v>84</v>
      </c>
      <c r="D64" t="s">
        <v>30</v>
      </c>
      <c r="E64" t="s">
        <v>85</v>
      </c>
      <c r="F64" t="s">
        <v>32</v>
      </c>
      <c r="G64" t="s">
        <v>33</v>
      </c>
      <c r="H64" t="s">
        <v>76</v>
      </c>
      <c r="I64" t="s">
        <v>273</v>
      </c>
      <c r="J64" t="s">
        <v>36</v>
      </c>
      <c r="K64" t="s">
        <v>276</v>
      </c>
      <c r="L64" t="s">
        <v>38</v>
      </c>
      <c r="M64" t="s">
        <v>277</v>
      </c>
      <c r="N64" t="s">
        <v>204</v>
      </c>
      <c r="O64" t="s">
        <v>41</v>
      </c>
      <c r="P64" t="s">
        <v>278</v>
      </c>
      <c r="Q64" t="s">
        <v>279</v>
      </c>
      <c r="R64" t="s">
        <v>44</v>
      </c>
      <c r="S64" t="s">
        <v>45</v>
      </c>
      <c r="T64">
        <v>0</v>
      </c>
      <c r="U64">
        <v>23.22</v>
      </c>
      <c r="V64">
        <v>0</v>
      </c>
      <c r="W64">
        <v>1</v>
      </c>
      <c r="X64">
        <v>1.25</v>
      </c>
      <c r="Y64">
        <v>29.03</v>
      </c>
      <c r="Z64">
        <v>0.25</v>
      </c>
      <c r="AA64">
        <v>7.26</v>
      </c>
    </row>
    <row r="65" spans="1:27" x14ac:dyDescent="0.2">
      <c r="A65" t="s">
        <v>27</v>
      </c>
      <c r="B65" t="s">
        <v>83</v>
      </c>
      <c r="C65" t="s">
        <v>84</v>
      </c>
      <c r="D65" t="s">
        <v>30</v>
      </c>
      <c r="E65" t="s">
        <v>85</v>
      </c>
      <c r="F65" t="s">
        <v>32</v>
      </c>
      <c r="G65" t="s">
        <v>33</v>
      </c>
      <c r="H65" t="s">
        <v>76</v>
      </c>
      <c r="I65" t="s">
        <v>273</v>
      </c>
      <c r="J65" t="s">
        <v>36</v>
      </c>
      <c r="K65" t="s">
        <v>276</v>
      </c>
      <c r="L65" t="s">
        <v>38</v>
      </c>
      <c r="M65" t="s">
        <v>277</v>
      </c>
      <c r="N65" t="s">
        <v>280</v>
      </c>
      <c r="O65" t="s">
        <v>41</v>
      </c>
      <c r="P65" t="s">
        <v>278</v>
      </c>
      <c r="Q65" t="s">
        <v>279</v>
      </c>
      <c r="R65" t="s">
        <v>44</v>
      </c>
      <c r="S65" t="s">
        <v>45</v>
      </c>
      <c r="T65">
        <v>0</v>
      </c>
      <c r="U65">
        <v>5.16</v>
      </c>
      <c r="V65">
        <v>0</v>
      </c>
      <c r="W65">
        <v>1</v>
      </c>
      <c r="X65">
        <v>1.25</v>
      </c>
      <c r="Y65">
        <v>6.45</v>
      </c>
      <c r="Z65">
        <v>0.25</v>
      </c>
      <c r="AA65">
        <v>1.61</v>
      </c>
    </row>
    <row r="66" spans="1:27" x14ac:dyDescent="0.2">
      <c r="A66" t="s">
        <v>27</v>
      </c>
      <c r="B66" t="s">
        <v>83</v>
      </c>
      <c r="C66" t="s">
        <v>84</v>
      </c>
      <c r="D66" t="s">
        <v>30</v>
      </c>
      <c r="E66" t="s">
        <v>85</v>
      </c>
      <c r="F66" t="s">
        <v>32</v>
      </c>
      <c r="G66" t="s">
        <v>33</v>
      </c>
      <c r="H66" t="s">
        <v>62</v>
      </c>
      <c r="I66" t="s">
        <v>281</v>
      </c>
      <c r="J66" t="s">
        <v>36</v>
      </c>
      <c r="K66" t="s">
        <v>282</v>
      </c>
      <c r="L66" t="s">
        <v>38</v>
      </c>
      <c r="M66" t="s">
        <v>283</v>
      </c>
      <c r="N66" t="s">
        <v>66</v>
      </c>
      <c r="O66" t="s">
        <v>41</v>
      </c>
      <c r="P66" t="s">
        <v>284</v>
      </c>
      <c r="Q66" t="s">
        <v>285</v>
      </c>
      <c r="R66" t="s">
        <v>44</v>
      </c>
      <c r="S66" t="s">
        <v>45</v>
      </c>
      <c r="T66">
        <v>0</v>
      </c>
      <c r="U66">
        <v>143.62</v>
      </c>
      <c r="V66">
        <v>0</v>
      </c>
      <c r="W66">
        <v>1</v>
      </c>
      <c r="X66">
        <v>1.1499999999999999</v>
      </c>
      <c r="Y66">
        <v>165.16</v>
      </c>
      <c r="Z66">
        <v>0.25</v>
      </c>
      <c r="AA66">
        <v>41.29</v>
      </c>
    </row>
    <row r="67" spans="1:27" x14ac:dyDescent="0.2">
      <c r="A67" t="s">
        <v>27</v>
      </c>
      <c r="B67" t="s">
        <v>83</v>
      </c>
      <c r="C67" t="s">
        <v>84</v>
      </c>
      <c r="D67" t="s">
        <v>30</v>
      </c>
      <c r="E67" t="s">
        <v>85</v>
      </c>
      <c r="F67" t="s">
        <v>32</v>
      </c>
      <c r="G67" t="s">
        <v>33</v>
      </c>
      <c r="H67" t="s">
        <v>62</v>
      </c>
      <c r="I67" t="s">
        <v>281</v>
      </c>
      <c r="J67" t="s">
        <v>36</v>
      </c>
      <c r="K67" t="s">
        <v>286</v>
      </c>
      <c r="L67" t="s">
        <v>38</v>
      </c>
      <c r="M67" t="s">
        <v>287</v>
      </c>
      <c r="N67" t="s">
        <v>66</v>
      </c>
      <c r="O67" t="s">
        <v>41</v>
      </c>
      <c r="P67" t="s">
        <v>288</v>
      </c>
      <c r="Q67" t="s">
        <v>33</v>
      </c>
      <c r="R67" t="s">
        <v>44</v>
      </c>
      <c r="S67" t="s">
        <v>45</v>
      </c>
      <c r="T67">
        <v>0</v>
      </c>
      <c r="U67">
        <v>30.53</v>
      </c>
      <c r="V67">
        <v>0</v>
      </c>
      <c r="W67">
        <v>1</v>
      </c>
      <c r="X67">
        <v>1.1499999999999999</v>
      </c>
      <c r="Y67">
        <v>35.11</v>
      </c>
      <c r="Z67">
        <v>0.25</v>
      </c>
      <c r="AA67">
        <v>8.7799999999999994</v>
      </c>
    </row>
    <row r="68" spans="1:27" x14ac:dyDescent="0.2">
      <c r="A68" t="s">
        <v>27</v>
      </c>
      <c r="B68" t="s">
        <v>83</v>
      </c>
      <c r="C68" t="s">
        <v>84</v>
      </c>
      <c r="D68" t="s">
        <v>30</v>
      </c>
      <c r="E68" t="s">
        <v>85</v>
      </c>
      <c r="F68" t="s">
        <v>32</v>
      </c>
      <c r="G68" t="s">
        <v>33</v>
      </c>
      <c r="H68" t="s">
        <v>289</v>
      </c>
      <c r="I68" t="s">
        <v>290</v>
      </c>
      <c r="J68" t="s">
        <v>36</v>
      </c>
      <c r="K68" t="s">
        <v>291</v>
      </c>
      <c r="L68" t="s">
        <v>38</v>
      </c>
      <c r="M68" t="s">
        <v>292</v>
      </c>
      <c r="N68" t="s">
        <v>204</v>
      </c>
      <c r="O68" t="s">
        <v>41</v>
      </c>
      <c r="P68" t="s">
        <v>293</v>
      </c>
      <c r="Q68" t="s">
        <v>129</v>
      </c>
      <c r="R68" t="s">
        <v>44</v>
      </c>
      <c r="S68" t="s">
        <v>45</v>
      </c>
      <c r="T68">
        <v>0</v>
      </c>
      <c r="U68">
        <v>170.28</v>
      </c>
      <c r="V68">
        <v>0</v>
      </c>
      <c r="W68">
        <v>1</v>
      </c>
      <c r="X68">
        <v>1.25</v>
      </c>
      <c r="Y68">
        <v>212.85</v>
      </c>
      <c r="Z68">
        <v>0.25</v>
      </c>
      <c r="AA68">
        <v>53.21</v>
      </c>
    </row>
  </sheetData>
  <printOptions gridLines="1"/>
  <pageMargins left="0.25" right="0.75" top="0.25" bottom="0.25" header="0.5" footer="0.5"/>
  <pageSetup fitToWidth="0" fitToHeight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69B26-271C-4FDA-AC75-EC98CC314EF9}">
  <dimension ref="A1:AD68"/>
  <sheetViews>
    <sheetView tabSelected="1" topLeftCell="A40" workbookViewId="0">
      <selection activeCell="D65" sqref="D65"/>
    </sheetView>
  </sheetViews>
  <sheetFormatPr defaultRowHeight="12.75" x14ac:dyDescent="0.2"/>
  <cols>
    <col min="1" max="1" width="23.5703125" bestFit="1" customWidth="1"/>
    <col min="2" max="2" width="12.7109375" customWidth="1"/>
    <col min="3" max="3" width="18.140625" customWidth="1"/>
    <col min="4" max="4" width="14.42578125" customWidth="1"/>
    <col min="5" max="5" width="6.42578125" customWidth="1"/>
    <col min="6" max="6" width="14" customWidth="1"/>
    <col min="7" max="7" width="13" customWidth="1"/>
    <col min="8" max="8" width="11.5703125" customWidth="1"/>
    <col min="9" max="9" width="9.28515625" customWidth="1"/>
    <col min="10" max="10" width="9.140625" customWidth="1"/>
    <col min="11" max="11" width="8.7109375" customWidth="1"/>
    <col min="12" max="12" width="11.140625" customWidth="1"/>
    <col min="13" max="13" width="8.28515625" customWidth="1"/>
    <col min="14" max="14" width="8.140625" customWidth="1"/>
    <col min="15" max="15" width="38.85546875" bestFit="1" customWidth="1"/>
    <col min="16" max="243" width="33.140625" customWidth="1"/>
  </cols>
  <sheetData>
    <row r="1" spans="1:30" ht="51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H1" t="s">
        <v>16</v>
      </c>
      <c r="L1" t="s">
        <v>20</v>
      </c>
      <c r="M1" t="s">
        <v>23</v>
      </c>
      <c r="N1" t="s">
        <v>24</v>
      </c>
    </row>
    <row r="2" spans="1:30" s="4" customFormat="1" ht="15" customHeight="1" x14ac:dyDescent="0.2">
      <c r="A2" s="4" t="s">
        <v>170</v>
      </c>
      <c r="B2" s="7" t="s">
        <v>365</v>
      </c>
      <c r="C2" s="4" t="s">
        <v>36</v>
      </c>
      <c r="D2" s="5">
        <v>6602263711</v>
      </c>
      <c r="E2" s="4" t="s">
        <v>57</v>
      </c>
      <c r="F2" s="4" t="s">
        <v>183</v>
      </c>
      <c r="G2" s="4" t="s">
        <v>184</v>
      </c>
      <c r="H2" s="4" t="s">
        <v>185</v>
      </c>
      <c r="I2" s="4">
        <f>DATEDIF(G2,H2,"M")</f>
        <v>1</v>
      </c>
      <c r="J2" s="7" t="s">
        <v>367</v>
      </c>
      <c r="K2" s="7" t="s">
        <v>368</v>
      </c>
      <c r="L2" s="4">
        <v>250.75</v>
      </c>
      <c r="M2" s="4">
        <v>1.1499999999999999</v>
      </c>
      <c r="N2" s="4">
        <v>288.36</v>
      </c>
      <c r="O2" s="4" t="s">
        <v>296</v>
      </c>
      <c r="P2" s="4" t="s">
        <v>327</v>
      </c>
    </row>
    <row r="3" spans="1:30" s="8" customFormat="1" ht="15" customHeight="1" x14ac:dyDescent="0.2">
      <c r="A3" s="8" t="s">
        <v>240</v>
      </c>
      <c r="B3" s="8">
        <v>19617796</v>
      </c>
      <c r="C3" s="8" t="s">
        <v>94</v>
      </c>
      <c r="D3" s="9" t="s">
        <v>257</v>
      </c>
      <c r="E3" s="8" t="s">
        <v>38</v>
      </c>
      <c r="F3" s="8" t="s">
        <v>258</v>
      </c>
      <c r="G3" s="8" t="s">
        <v>54</v>
      </c>
      <c r="H3" s="8" t="s">
        <v>259</v>
      </c>
      <c r="I3" s="8">
        <f>DATEDIF(G3,H3,"M")</f>
        <v>2</v>
      </c>
      <c r="J3" s="8" t="s">
        <v>369</v>
      </c>
      <c r="K3" s="8" t="s">
        <v>370</v>
      </c>
      <c r="L3" s="8">
        <v>-91.43</v>
      </c>
      <c r="M3" s="8">
        <v>1.5</v>
      </c>
      <c r="N3" s="8">
        <v>-137.15</v>
      </c>
      <c r="O3" s="8" t="s">
        <v>298</v>
      </c>
      <c r="P3" s="8" t="s">
        <v>349</v>
      </c>
    </row>
    <row r="4" spans="1:30" s="4" customFormat="1" ht="15" customHeight="1" x14ac:dyDescent="0.2">
      <c r="A4" s="4" t="s">
        <v>218</v>
      </c>
      <c r="B4" s="4">
        <v>7470776</v>
      </c>
      <c r="C4" s="4" t="s">
        <v>94</v>
      </c>
      <c r="D4" s="5" t="s">
        <v>226</v>
      </c>
      <c r="E4" s="4" t="s">
        <v>38</v>
      </c>
      <c r="F4" s="4" t="s">
        <v>227</v>
      </c>
      <c r="G4" s="4" t="s">
        <v>228</v>
      </c>
      <c r="H4" s="4" t="s">
        <v>229</v>
      </c>
      <c r="I4" s="4">
        <f>DATEDIF(G4,H4,"M")</f>
        <v>2</v>
      </c>
      <c r="J4" s="7" t="s">
        <v>369</v>
      </c>
      <c r="K4" s="7" t="s">
        <v>370</v>
      </c>
      <c r="L4" s="4">
        <v>73.88</v>
      </c>
      <c r="M4" s="4">
        <v>6.7500000000000004E-2</v>
      </c>
      <c r="N4" s="4">
        <v>4.99</v>
      </c>
      <c r="O4" s="4" t="s">
        <v>304</v>
      </c>
      <c r="P4" s="4" t="s">
        <v>338</v>
      </c>
    </row>
    <row r="5" spans="1:30" s="4" customFormat="1" ht="15" customHeight="1" x14ac:dyDescent="0.2">
      <c r="A5" s="4" t="s">
        <v>218</v>
      </c>
      <c r="B5" s="4">
        <v>7470776</v>
      </c>
      <c r="C5" s="4" t="s">
        <v>94</v>
      </c>
      <c r="D5" s="5" t="s">
        <v>232</v>
      </c>
      <c r="E5" s="4" t="s">
        <v>38</v>
      </c>
      <c r="F5" s="4" t="s">
        <v>233</v>
      </c>
      <c r="G5" s="4" t="s">
        <v>234</v>
      </c>
      <c r="H5" s="4" t="s">
        <v>68</v>
      </c>
      <c r="I5" s="4">
        <f>DATEDIF(G5,H5,"M")</f>
        <v>2</v>
      </c>
      <c r="J5" s="7" t="s">
        <v>369</v>
      </c>
      <c r="K5" s="7" t="s">
        <v>370</v>
      </c>
      <c r="L5" s="4">
        <v>89.78</v>
      </c>
      <c r="M5" s="4">
        <v>6.7500000000000004E-2</v>
      </c>
      <c r="N5" s="4">
        <v>6.06</v>
      </c>
      <c r="O5" s="4" t="s">
        <v>304</v>
      </c>
      <c r="P5" s="4" t="s">
        <v>340</v>
      </c>
    </row>
    <row r="6" spans="1:30" s="4" customFormat="1" ht="15" customHeight="1" x14ac:dyDescent="0.2">
      <c r="A6" s="4" t="s">
        <v>218</v>
      </c>
      <c r="B6" s="4">
        <v>7470776</v>
      </c>
      <c r="C6" s="4" t="s">
        <v>94</v>
      </c>
      <c r="D6" s="5" t="s">
        <v>230</v>
      </c>
      <c r="E6" s="4" t="s">
        <v>38</v>
      </c>
      <c r="F6" s="4" t="s">
        <v>231</v>
      </c>
      <c r="G6" s="4" t="s">
        <v>228</v>
      </c>
      <c r="H6" s="4" t="s">
        <v>229</v>
      </c>
      <c r="I6" s="4">
        <f>DATEDIF(G6,H6,"M")</f>
        <v>2</v>
      </c>
      <c r="J6" s="7" t="s">
        <v>369</v>
      </c>
      <c r="K6" s="7" t="s">
        <v>370</v>
      </c>
      <c r="L6" s="4">
        <v>103.53</v>
      </c>
      <c r="M6" s="4">
        <v>0.88</v>
      </c>
      <c r="N6" s="4">
        <v>91.11</v>
      </c>
      <c r="O6" s="4" t="s">
        <v>303</v>
      </c>
      <c r="P6" s="4" t="s">
        <v>339</v>
      </c>
    </row>
    <row r="7" spans="1:30" s="4" customFormat="1" ht="15" customHeight="1" x14ac:dyDescent="0.2">
      <c r="A7" s="4" t="s">
        <v>210</v>
      </c>
      <c r="B7" s="4">
        <v>16865615</v>
      </c>
      <c r="C7" s="4" t="s">
        <v>36</v>
      </c>
      <c r="D7" s="5">
        <v>6602258298</v>
      </c>
      <c r="E7" s="4" t="s">
        <v>38</v>
      </c>
      <c r="F7" s="4" t="s">
        <v>216</v>
      </c>
      <c r="G7" s="4" t="s">
        <v>217</v>
      </c>
      <c r="H7" s="4" t="s">
        <v>154</v>
      </c>
      <c r="I7" s="4">
        <f>DATEDIF(G7,H7,"M")</f>
        <v>2</v>
      </c>
      <c r="J7" s="7" t="s">
        <v>369</v>
      </c>
      <c r="K7" s="7" t="s">
        <v>370</v>
      </c>
      <c r="L7" s="4">
        <v>161.68</v>
      </c>
      <c r="M7" s="4">
        <v>1.25</v>
      </c>
      <c r="N7" s="4">
        <v>202.1</v>
      </c>
      <c r="O7" s="4" t="s">
        <v>297</v>
      </c>
      <c r="P7" s="4" t="s">
        <v>335</v>
      </c>
    </row>
    <row r="8" spans="1:30" s="4" customFormat="1" ht="15" customHeight="1" x14ac:dyDescent="0.2">
      <c r="A8" s="4" t="s">
        <v>76</v>
      </c>
      <c r="B8" s="4">
        <v>371819</v>
      </c>
      <c r="C8" s="4" t="s">
        <v>36</v>
      </c>
      <c r="D8" s="5">
        <v>6602287664</v>
      </c>
      <c r="E8" s="4" t="s">
        <v>38</v>
      </c>
      <c r="F8" s="4" t="s">
        <v>277</v>
      </c>
      <c r="G8" s="4" t="s">
        <v>278</v>
      </c>
      <c r="H8" s="4" t="s">
        <v>279</v>
      </c>
      <c r="I8" s="4">
        <f>DATEDIF(G8,H8,"M")</f>
        <v>2</v>
      </c>
      <c r="J8" s="7" t="s">
        <v>369</v>
      </c>
      <c r="K8" s="7" t="s">
        <v>370</v>
      </c>
      <c r="L8" s="4">
        <v>23.22</v>
      </c>
      <c r="M8" s="4">
        <v>1.25</v>
      </c>
      <c r="N8" s="4">
        <v>29.03</v>
      </c>
      <c r="O8" s="4" t="s">
        <v>301</v>
      </c>
      <c r="P8" s="4" t="s">
        <v>355</v>
      </c>
    </row>
    <row r="9" spans="1:30" s="4" customFormat="1" ht="15" customHeight="1" x14ac:dyDescent="0.2">
      <c r="A9" s="4" t="s">
        <v>76</v>
      </c>
      <c r="B9" s="4">
        <v>371819</v>
      </c>
      <c r="C9" s="4" t="s">
        <v>36</v>
      </c>
      <c r="D9" s="5">
        <v>6602287664</v>
      </c>
      <c r="E9" s="4" t="s">
        <v>38</v>
      </c>
      <c r="F9" s="4" t="s">
        <v>277</v>
      </c>
      <c r="G9" s="4" t="s">
        <v>278</v>
      </c>
      <c r="H9" s="4" t="s">
        <v>279</v>
      </c>
      <c r="I9" s="4">
        <f>DATEDIF(G9,H9,"M")</f>
        <v>2</v>
      </c>
      <c r="J9" s="7" t="s">
        <v>369</v>
      </c>
      <c r="K9" s="7" t="s">
        <v>370</v>
      </c>
      <c r="L9" s="4">
        <v>5.16</v>
      </c>
      <c r="M9" s="4">
        <v>1.25</v>
      </c>
      <c r="N9" s="4">
        <v>6.45</v>
      </c>
      <c r="O9" s="4" t="s">
        <v>301</v>
      </c>
      <c r="P9" s="4" t="s">
        <v>355</v>
      </c>
    </row>
    <row r="10" spans="1:30" s="4" customFormat="1" ht="15" customHeight="1" x14ac:dyDescent="0.2">
      <c r="A10" s="4" t="s">
        <v>186</v>
      </c>
      <c r="B10" s="4">
        <v>20220688</v>
      </c>
      <c r="C10" s="4" t="s">
        <v>36</v>
      </c>
      <c r="D10" s="5">
        <v>6602235706</v>
      </c>
      <c r="E10" s="4" t="s">
        <v>38</v>
      </c>
      <c r="F10" s="4" t="s">
        <v>197</v>
      </c>
      <c r="G10" s="4" t="s">
        <v>198</v>
      </c>
      <c r="H10" s="4" t="s">
        <v>116</v>
      </c>
      <c r="I10" s="4">
        <f>DATEDIF(G10,H10,"M")</f>
        <v>2</v>
      </c>
      <c r="J10" s="7" t="s">
        <v>369</v>
      </c>
      <c r="K10" s="7" t="s">
        <v>370</v>
      </c>
      <c r="L10" s="4">
        <v>26.35</v>
      </c>
      <c r="M10" s="4">
        <v>1.05</v>
      </c>
      <c r="N10" s="4">
        <v>27.67</v>
      </c>
      <c r="O10" s="4" t="s">
        <v>294</v>
      </c>
      <c r="P10" s="4" t="s">
        <v>330</v>
      </c>
    </row>
    <row r="11" spans="1:30" s="4" customFormat="1" ht="15" customHeight="1" x14ac:dyDescent="0.2">
      <c r="A11" s="4" t="s">
        <v>186</v>
      </c>
      <c r="B11" s="4">
        <v>20220688</v>
      </c>
      <c r="C11" s="4" t="s">
        <v>36</v>
      </c>
      <c r="D11" s="5">
        <v>6602255479</v>
      </c>
      <c r="E11" s="4" t="s">
        <v>38</v>
      </c>
      <c r="F11" s="4" t="s">
        <v>203</v>
      </c>
      <c r="G11" s="4" t="s">
        <v>205</v>
      </c>
      <c r="H11" s="4" t="s">
        <v>120</v>
      </c>
      <c r="I11" s="4">
        <f>DATEDIF(G11,H11,"M")</f>
        <v>2</v>
      </c>
      <c r="J11" s="7" t="s">
        <v>369</v>
      </c>
      <c r="K11" s="7" t="s">
        <v>370</v>
      </c>
      <c r="L11" s="4">
        <v>94.6</v>
      </c>
      <c r="M11" s="4">
        <v>1.25</v>
      </c>
      <c r="N11" s="4">
        <v>118.25</v>
      </c>
      <c r="O11" s="4" t="s">
        <v>297</v>
      </c>
      <c r="P11" s="4" t="s">
        <v>332</v>
      </c>
    </row>
    <row r="12" spans="1:30" s="4" customFormat="1" ht="15" customHeight="1" x14ac:dyDescent="0.2">
      <c r="A12" s="4" t="s">
        <v>240</v>
      </c>
      <c r="B12" s="4">
        <v>19617796</v>
      </c>
      <c r="C12" s="4" t="s">
        <v>94</v>
      </c>
      <c r="D12" s="5" t="s">
        <v>247</v>
      </c>
      <c r="E12" s="4" t="s">
        <v>38</v>
      </c>
      <c r="F12" s="4" t="s">
        <v>248</v>
      </c>
      <c r="G12" s="4" t="s">
        <v>249</v>
      </c>
      <c r="H12" s="4" t="s">
        <v>68</v>
      </c>
      <c r="I12" s="4">
        <f>DATEDIF(G12,H12,"M")</f>
        <v>3</v>
      </c>
      <c r="J12" s="7" t="s">
        <v>369</v>
      </c>
      <c r="K12" s="7" t="s">
        <v>370</v>
      </c>
      <c r="L12" s="4">
        <v>168.22</v>
      </c>
      <c r="M12" s="4">
        <v>1.5</v>
      </c>
      <c r="N12" s="4">
        <v>252.33</v>
      </c>
      <c r="O12" s="4" t="s">
        <v>298</v>
      </c>
      <c r="P12" s="4" t="s">
        <v>345</v>
      </c>
    </row>
    <row r="13" spans="1:30" s="4" customFormat="1" ht="15" customHeight="1" x14ac:dyDescent="0.2">
      <c r="A13" s="4" t="s">
        <v>240</v>
      </c>
      <c r="B13" s="4">
        <v>19617796</v>
      </c>
      <c r="C13" s="4" t="s">
        <v>94</v>
      </c>
      <c r="D13" s="5" t="s">
        <v>250</v>
      </c>
      <c r="E13" s="4" t="s">
        <v>38</v>
      </c>
      <c r="F13" s="4" t="s">
        <v>251</v>
      </c>
      <c r="G13" s="4" t="s">
        <v>249</v>
      </c>
      <c r="H13" s="4" t="s">
        <v>68</v>
      </c>
      <c r="I13" s="4">
        <f>DATEDIF(G13,H13,"M")</f>
        <v>3</v>
      </c>
      <c r="J13" s="7" t="s">
        <v>369</v>
      </c>
      <c r="K13" s="7" t="s">
        <v>370</v>
      </c>
      <c r="L13" s="4">
        <v>164.85</v>
      </c>
      <c r="M13" s="4">
        <v>1.5</v>
      </c>
      <c r="N13" s="4">
        <v>247.28</v>
      </c>
      <c r="O13" s="4" t="s">
        <v>298</v>
      </c>
      <c r="P13" s="4" t="s">
        <v>346</v>
      </c>
    </row>
    <row r="14" spans="1:30" ht="15" customHeight="1" x14ac:dyDescent="0.2">
      <c r="A14" s="4" t="s">
        <v>240</v>
      </c>
      <c r="B14" s="4">
        <v>19617796</v>
      </c>
      <c r="C14" s="4" t="s">
        <v>94</v>
      </c>
      <c r="D14" s="5" t="s">
        <v>252</v>
      </c>
      <c r="E14" s="4" t="s">
        <v>38</v>
      </c>
      <c r="F14" s="4" t="s">
        <v>253</v>
      </c>
      <c r="G14" s="4" t="s">
        <v>254</v>
      </c>
      <c r="H14" s="4" t="s">
        <v>154</v>
      </c>
      <c r="I14" s="4">
        <f>DATEDIF(G14,H14,"M")</f>
        <v>3</v>
      </c>
      <c r="J14" s="7" t="s">
        <v>369</v>
      </c>
      <c r="K14" s="7" t="s">
        <v>370</v>
      </c>
      <c r="L14" s="4">
        <v>168.22</v>
      </c>
      <c r="M14" s="4">
        <v>1.5</v>
      </c>
      <c r="N14" s="4">
        <v>252.33</v>
      </c>
      <c r="O14" s="4" t="s">
        <v>298</v>
      </c>
      <c r="P14" s="4" t="s">
        <v>347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s="4" customFormat="1" ht="15" customHeight="1" x14ac:dyDescent="0.2">
      <c r="A15" s="4" t="s">
        <v>240</v>
      </c>
      <c r="B15" s="4">
        <v>19617796</v>
      </c>
      <c r="C15" s="4" t="s">
        <v>94</v>
      </c>
      <c r="D15" s="5" t="s">
        <v>255</v>
      </c>
      <c r="E15" s="4" t="s">
        <v>38</v>
      </c>
      <c r="F15" s="4" t="s">
        <v>256</v>
      </c>
      <c r="G15" s="4" t="s">
        <v>254</v>
      </c>
      <c r="H15" s="4" t="s">
        <v>154</v>
      </c>
      <c r="I15" s="4">
        <f>DATEDIF(G15,H15,"M")</f>
        <v>3</v>
      </c>
      <c r="J15" s="7" t="s">
        <v>369</v>
      </c>
      <c r="K15" s="7" t="s">
        <v>370</v>
      </c>
      <c r="L15" s="4">
        <v>206.79</v>
      </c>
      <c r="M15" s="4">
        <v>1.5</v>
      </c>
      <c r="N15" s="4">
        <v>310.19</v>
      </c>
      <c r="O15" s="4" t="s">
        <v>298</v>
      </c>
      <c r="P15" s="4" t="s">
        <v>348</v>
      </c>
    </row>
    <row r="16" spans="1:30" s="4" customFormat="1" ht="15" customHeight="1" x14ac:dyDescent="0.2">
      <c r="A16" s="4" t="s">
        <v>240</v>
      </c>
      <c r="B16" s="4">
        <v>19617796</v>
      </c>
      <c r="C16" s="4" t="s">
        <v>94</v>
      </c>
      <c r="D16" s="5" t="s">
        <v>257</v>
      </c>
      <c r="E16" s="4" t="s">
        <v>38</v>
      </c>
      <c r="F16" s="4" t="s">
        <v>258</v>
      </c>
      <c r="G16" s="4" t="s">
        <v>54</v>
      </c>
      <c r="H16" s="4" t="s">
        <v>55</v>
      </c>
      <c r="I16" s="4">
        <f>DATEDIF(G16,H16,"M")</f>
        <v>3</v>
      </c>
      <c r="J16" s="7" t="s">
        <v>369</v>
      </c>
      <c r="K16" s="7" t="s">
        <v>370</v>
      </c>
      <c r="L16" s="4">
        <v>160</v>
      </c>
      <c r="M16" s="4">
        <v>1.5</v>
      </c>
      <c r="N16" s="4">
        <v>240</v>
      </c>
      <c r="O16" s="4" t="s">
        <v>298</v>
      </c>
      <c r="P16" s="4" t="s">
        <v>349</v>
      </c>
    </row>
    <row r="17" spans="1:30" s="4" customFormat="1" ht="15" customHeight="1" x14ac:dyDescent="0.2">
      <c r="A17" s="4" t="s">
        <v>240</v>
      </c>
      <c r="B17" s="4">
        <v>19617796</v>
      </c>
      <c r="C17" s="4" t="s">
        <v>94</v>
      </c>
      <c r="D17" s="5" t="s">
        <v>260</v>
      </c>
      <c r="E17" s="4" t="s">
        <v>38</v>
      </c>
      <c r="F17" s="4" t="s">
        <v>261</v>
      </c>
      <c r="G17" s="4" t="s">
        <v>262</v>
      </c>
      <c r="H17" s="4" t="s">
        <v>162</v>
      </c>
      <c r="I17" s="4">
        <f>DATEDIF(G17,H17,"M")</f>
        <v>3</v>
      </c>
      <c r="J17" s="7" t="s">
        <v>369</v>
      </c>
      <c r="K17" s="7" t="s">
        <v>370</v>
      </c>
      <c r="L17" s="4">
        <v>230</v>
      </c>
      <c r="M17" s="4">
        <v>1.5</v>
      </c>
      <c r="N17" s="4">
        <v>345</v>
      </c>
      <c r="O17" s="4" t="s">
        <v>298</v>
      </c>
      <c r="P17" s="4" t="s">
        <v>350</v>
      </c>
    </row>
    <row r="18" spans="1:30" s="4" customFormat="1" ht="15" customHeight="1" x14ac:dyDescent="0.2">
      <c r="A18" s="4" t="s">
        <v>240</v>
      </c>
      <c r="B18" s="4">
        <v>19617796</v>
      </c>
      <c r="C18" s="4" t="s">
        <v>94</v>
      </c>
      <c r="D18" s="5" t="s">
        <v>263</v>
      </c>
      <c r="E18" s="4" t="s">
        <v>38</v>
      </c>
      <c r="F18" s="4" t="s">
        <v>261</v>
      </c>
      <c r="G18" s="4" t="s">
        <v>262</v>
      </c>
      <c r="H18" s="4" t="s">
        <v>162</v>
      </c>
      <c r="I18" s="4">
        <f>DATEDIF(G18,H18,"M")</f>
        <v>3</v>
      </c>
      <c r="J18" s="7" t="s">
        <v>369</v>
      </c>
      <c r="K18" s="7" t="s">
        <v>370</v>
      </c>
      <c r="L18" s="4">
        <v>230</v>
      </c>
      <c r="M18" s="4">
        <v>1.5</v>
      </c>
      <c r="N18" s="4">
        <v>345</v>
      </c>
      <c r="O18" s="4" t="s">
        <v>298</v>
      </c>
      <c r="P18" s="4" t="s">
        <v>351</v>
      </c>
    </row>
    <row r="19" spans="1:30" s="4" customFormat="1" ht="15" customHeight="1" x14ac:dyDescent="0.2">
      <c r="A19" s="4" t="s">
        <v>240</v>
      </c>
      <c r="B19" s="4">
        <v>19617796</v>
      </c>
      <c r="C19" s="4" t="s">
        <v>94</v>
      </c>
      <c r="D19" s="5" t="s">
        <v>264</v>
      </c>
      <c r="E19" s="4" t="s">
        <v>38</v>
      </c>
      <c r="F19" s="4" t="s">
        <v>265</v>
      </c>
      <c r="G19" s="4" t="s">
        <v>266</v>
      </c>
      <c r="H19" s="4" t="s">
        <v>267</v>
      </c>
      <c r="I19" s="4">
        <f>DATEDIF(G19,H19,"M")</f>
        <v>3</v>
      </c>
      <c r="J19" s="7" t="s">
        <v>369</v>
      </c>
      <c r="K19" s="7" t="s">
        <v>370</v>
      </c>
      <c r="L19" s="4">
        <v>193.29</v>
      </c>
      <c r="M19" s="4">
        <v>1.5</v>
      </c>
      <c r="N19" s="4">
        <v>289.94</v>
      </c>
      <c r="O19" s="4" t="s">
        <v>298</v>
      </c>
      <c r="P19" s="4" t="s">
        <v>352</v>
      </c>
    </row>
    <row r="20" spans="1:30" s="4" customFormat="1" ht="15" customHeight="1" x14ac:dyDescent="0.2">
      <c r="A20" s="4" t="s">
        <v>218</v>
      </c>
      <c r="B20" s="4">
        <v>7470776</v>
      </c>
      <c r="C20" s="4" t="s">
        <v>94</v>
      </c>
      <c r="D20" s="5" t="s">
        <v>224</v>
      </c>
      <c r="E20" s="4" t="s">
        <v>38</v>
      </c>
      <c r="F20" s="4" t="s">
        <v>221</v>
      </c>
      <c r="G20" s="4" t="s">
        <v>223</v>
      </c>
      <c r="H20" s="4" t="s">
        <v>185</v>
      </c>
      <c r="I20" s="4">
        <f>DATEDIF(G20,H20,"M")</f>
        <v>3</v>
      </c>
      <c r="J20" s="7" t="s">
        <v>369</v>
      </c>
      <c r="K20" s="7" t="s">
        <v>370</v>
      </c>
      <c r="L20" s="4">
        <v>109.43</v>
      </c>
      <c r="M20" s="4">
        <v>0.88</v>
      </c>
      <c r="N20" s="4">
        <v>96.3</v>
      </c>
      <c r="O20" s="4" t="s">
        <v>303</v>
      </c>
      <c r="P20" s="4" t="s">
        <v>337</v>
      </c>
    </row>
    <row r="21" spans="1:30" s="4" customFormat="1" ht="15" customHeight="1" x14ac:dyDescent="0.2">
      <c r="A21" s="4" t="s">
        <v>218</v>
      </c>
      <c r="B21" s="4">
        <v>7470776</v>
      </c>
      <c r="C21" s="4" t="s">
        <v>94</v>
      </c>
      <c r="D21" s="5" t="s">
        <v>220</v>
      </c>
      <c r="E21" s="4" t="s">
        <v>38</v>
      </c>
      <c r="F21" s="4" t="s">
        <v>221</v>
      </c>
      <c r="G21" s="4" t="s">
        <v>223</v>
      </c>
      <c r="H21" s="4" t="s">
        <v>185</v>
      </c>
      <c r="I21" s="4">
        <f>DATEDIF(G21,H21,"M")</f>
        <v>3</v>
      </c>
      <c r="J21" s="7" t="s">
        <v>369</v>
      </c>
      <c r="K21" s="7" t="s">
        <v>370</v>
      </c>
      <c r="L21" s="4">
        <v>81.650000000000006</v>
      </c>
      <c r="M21" s="4">
        <v>1.35</v>
      </c>
      <c r="N21" s="4">
        <v>110.23</v>
      </c>
      <c r="O21" s="4" t="s">
        <v>302</v>
      </c>
      <c r="P21" s="4" t="s">
        <v>336</v>
      </c>
    </row>
    <row r="22" spans="1:30" s="2" customFormat="1" ht="15" customHeight="1" x14ac:dyDescent="0.2">
      <c r="A22" s="4" t="s">
        <v>76</v>
      </c>
      <c r="B22" s="4">
        <v>371819</v>
      </c>
      <c r="C22" s="4" t="s">
        <v>36</v>
      </c>
      <c r="D22" s="5">
        <v>6602238849</v>
      </c>
      <c r="E22" s="4" t="s">
        <v>38</v>
      </c>
      <c r="F22" s="4" t="s">
        <v>275</v>
      </c>
      <c r="G22" s="4" t="s">
        <v>115</v>
      </c>
      <c r="H22" s="4" t="s">
        <v>116</v>
      </c>
      <c r="I22" s="4">
        <f>DATEDIF(G22,H22,"M")</f>
        <v>3</v>
      </c>
      <c r="J22" s="7" t="s">
        <v>369</v>
      </c>
      <c r="K22" s="7" t="s">
        <v>370</v>
      </c>
      <c r="L22" s="4">
        <v>133.44999999999999</v>
      </c>
      <c r="M22" s="4">
        <v>1.1499999999999999</v>
      </c>
      <c r="N22" s="4">
        <v>153.47</v>
      </c>
      <c r="O22" s="4" t="s">
        <v>295</v>
      </c>
      <c r="P22" s="4" t="s">
        <v>354</v>
      </c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s="4" customFormat="1" ht="15" customHeight="1" x14ac:dyDescent="0.2">
      <c r="A23" s="4" t="s">
        <v>34</v>
      </c>
      <c r="B23" s="4">
        <v>8325282</v>
      </c>
      <c r="C23" s="4" t="s">
        <v>36</v>
      </c>
      <c r="D23" s="5">
        <v>6602218096</v>
      </c>
      <c r="E23" s="4" t="s">
        <v>38</v>
      </c>
      <c r="F23" s="4" t="s">
        <v>237</v>
      </c>
      <c r="G23" s="4" t="s">
        <v>238</v>
      </c>
      <c r="H23" s="4" t="s">
        <v>239</v>
      </c>
      <c r="I23" s="4">
        <f>DATEDIF(G23,H23,"M")</f>
        <v>3</v>
      </c>
      <c r="J23" s="7" t="s">
        <v>369</v>
      </c>
      <c r="K23" s="7" t="s">
        <v>370</v>
      </c>
      <c r="L23" s="4">
        <v>205.02</v>
      </c>
      <c r="M23" s="4">
        <v>1.1000000000000001</v>
      </c>
      <c r="N23" s="4">
        <v>225.52</v>
      </c>
      <c r="O23" s="4" t="s">
        <v>300</v>
      </c>
      <c r="P23" s="4" t="s">
        <v>341</v>
      </c>
    </row>
    <row r="24" spans="1:30" ht="15" customHeight="1" x14ac:dyDescent="0.2">
      <c r="A24" s="4" t="s">
        <v>186</v>
      </c>
      <c r="B24" s="4">
        <v>20220688</v>
      </c>
      <c r="C24" s="4" t="s">
        <v>36</v>
      </c>
      <c r="D24" s="5">
        <v>6602214405</v>
      </c>
      <c r="E24" s="4" t="s">
        <v>38</v>
      </c>
      <c r="F24" s="4" t="s">
        <v>189</v>
      </c>
      <c r="G24" s="4" t="s">
        <v>190</v>
      </c>
      <c r="H24" s="4" t="s">
        <v>191</v>
      </c>
      <c r="I24" s="4">
        <f>DATEDIF(G24,H24,"M")</f>
        <v>3</v>
      </c>
      <c r="J24" s="7" t="s">
        <v>369</v>
      </c>
      <c r="K24" s="7" t="s">
        <v>370</v>
      </c>
      <c r="L24" s="4">
        <v>19.13</v>
      </c>
      <c r="M24" s="4">
        <v>1.05</v>
      </c>
      <c r="N24" s="4">
        <v>20.09</v>
      </c>
      <c r="O24" s="4" t="s">
        <v>294</v>
      </c>
      <c r="P24" s="4" t="s">
        <v>328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ht="15" customHeight="1" x14ac:dyDescent="0.2">
      <c r="A25" s="4" t="s">
        <v>186</v>
      </c>
      <c r="B25" s="4">
        <v>20220688</v>
      </c>
      <c r="C25" s="4" t="s">
        <v>36</v>
      </c>
      <c r="D25" s="5">
        <v>6602232153</v>
      </c>
      <c r="E25" s="4" t="s">
        <v>38</v>
      </c>
      <c r="F25" s="4" t="s">
        <v>193</v>
      </c>
      <c r="G25" s="4" t="s">
        <v>194</v>
      </c>
      <c r="H25" s="4" t="s">
        <v>195</v>
      </c>
      <c r="I25" s="4">
        <f>DATEDIF(G25,H25,"M")</f>
        <v>3</v>
      </c>
      <c r="J25" s="7" t="s">
        <v>369</v>
      </c>
      <c r="K25" s="7" t="s">
        <v>370</v>
      </c>
      <c r="L25" s="4">
        <v>35.28</v>
      </c>
      <c r="M25" s="4">
        <v>1.1000000000000001</v>
      </c>
      <c r="N25" s="4">
        <v>38.81</v>
      </c>
      <c r="O25" s="4" t="s">
        <v>300</v>
      </c>
      <c r="P25" s="4" t="s">
        <v>329</v>
      </c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s="4" customFormat="1" ht="15" customHeight="1" x14ac:dyDescent="0.2">
      <c r="A26" s="4" t="s">
        <v>186</v>
      </c>
      <c r="B26" s="4">
        <v>20220688</v>
      </c>
      <c r="C26" s="4" t="s">
        <v>36</v>
      </c>
      <c r="D26" s="5">
        <v>6602239949</v>
      </c>
      <c r="E26" s="4" t="s">
        <v>38</v>
      </c>
      <c r="F26" s="4" t="s">
        <v>200</v>
      </c>
      <c r="G26" s="4" t="s">
        <v>201</v>
      </c>
      <c r="H26" s="4" t="s">
        <v>46</v>
      </c>
      <c r="I26" s="4">
        <f>DATEDIF(G26,H26,"M")</f>
        <v>3</v>
      </c>
      <c r="J26" s="7" t="s">
        <v>369</v>
      </c>
      <c r="K26" s="7" t="s">
        <v>370</v>
      </c>
      <c r="L26" s="4">
        <v>53.32</v>
      </c>
      <c r="M26" s="4">
        <v>1.1499999999999999</v>
      </c>
      <c r="N26" s="4">
        <v>61.32</v>
      </c>
      <c r="O26" s="4" t="s">
        <v>295</v>
      </c>
      <c r="P26" s="4" t="s">
        <v>331</v>
      </c>
    </row>
    <row r="27" spans="1:30" s="4" customFormat="1" ht="15" customHeight="1" x14ac:dyDescent="0.2">
      <c r="A27" s="4" t="s">
        <v>240</v>
      </c>
      <c r="B27" s="4">
        <v>19617796</v>
      </c>
      <c r="C27" s="4" t="s">
        <v>94</v>
      </c>
      <c r="D27" s="5" t="s">
        <v>242</v>
      </c>
      <c r="E27" s="4" t="s">
        <v>38</v>
      </c>
      <c r="F27" s="4" t="s">
        <v>243</v>
      </c>
      <c r="G27" s="4" t="s">
        <v>181</v>
      </c>
      <c r="H27" s="4" t="s">
        <v>124</v>
      </c>
      <c r="I27" s="4">
        <f>DATEDIF(G27,H27,"M")</f>
        <v>4</v>
      </c>
      <c r="J27" s="7" t="s">
        <v>369</v>
      </c>
      <c r="K27" s="7" t="s">
        <v>370</v>
      </c>
      <c r="L27" s="4">
        <v>200</v>
      </c>
      <c r="M27" s="4">
        <v>1.5</v>
      </c>
      <c r="N27" s="4">
        <v>300</v>
      </c>
      <c r="O27" s="4" t="s">
        <v>298</v>
      </c>
      <c r="P27" s="4" t="s">
        <v>342</v>
      </c>
    </row>
    <row r="28" spans="1:30" s="4" customFormat="1" ht="15" customHeight="1" x14ac:dyDescent="0.2">
      <c r="A28" s="4" t="s">
        <v>240</v>
      </c>
      <c r="B28" s="4">
        <v>19617796</v>
      </c>
      <c r="C28" s="4" t="s">
        <v>94</v>
      </c>
      <c r="D28" s="5" t="s">
        <v>244</v>
      </c>
      <c r="E28" s="4" t="s">
        <v>38</v>
      </c>
      <c r="F28" s="4" t="s">
        <v>243</v>
      </c>
      <c r="G28" s="4" t="s">
        <v>181</v>
      </c>
      <c r="H28" s="4" t="s">
        <v>124</v>
      </c>
      <c r="I28" s="4">
        <f>DATEDIF(G28,H28,"M")</f>
        <v>4</v>
      </c>
      <c r="J28" s="7" t="s">
        <v>369</v>
      </c>
      <c r="K28" s="7" t="s">
        <v>370</v>
      </c>
      <c r="L28" s="4">
        <v>200</v>
      </c>
      <c r="M28" s="4">
        <v>1.5</v>
      </c>
      <c r="N28" s="4">
        <v>300</v>
      </c>
      <c r="O28" s="4" t="s">
        <v>298</v>
      </c>
      <c r="P28" s="4" t="s">
        <v>343</v>
      </c>
    </row>
    <row r="29" spans="1:30" s="4" customFormat="1" ht="15" customHeight="1" x14ac:dyDescent="0.2">
      <c r="A29" s="4" t="s">
        <v>240</v>
      </c>
      <c r="B29" s="4">
        <v>19617796</v>
      </c>
      <c r="C29" s="4" t="s">
        <v>94</v>
      </c>
      <c r="D29" s="5" t="s">
        <v>245</v>
      </c>
      <c r="E29" s="4" t="s">
        <v>38</v>
      </c>
      <c r="F29" s="4" t="s">
        <v>246</v>
      </c>
      <c r="G29" s="4" t="s">
        <v>181</v>
      </c>
      <c r="H29" s="4" t="s">
        <v>124</v>
      </c>
      <c r="I29" s="4">
        <f>DATEDIF(G29,H29,"M")</f>
        <v>4</v>
      </c>
      <c r="J29" s="7" t="s">
        <v>369</v>
      </c>
      <c r="K29" s="7" t="s">
        <v>370</v>
      </c>
      <c r="L29" s="4">
        <v>100</v>
      </c>
      <c r="M29" s="4">
        <v>1.5</v>
      </c>
      <c r="N29" s="4">
        <v>150</v>
      </c>
      <c r="O29" s="4" t="s">
        <v>298</v>
      </c>
      <c r="P29" s="4" t="s">
        <v>344</v>
      </c>
    </row>
    <row r="30" spans="1:30" s="4" customFormat="1" ht="15" customHeight="1" x14ac:dyDescent="0.2">
      <c r="A30" s="4" t="s">
        <v>62</v>
      </c>
      <c r="B30" s="4">
        <v>16912722</v>
      </c>
      <c r="C30" s="4" t="s">
        <v>36</v>
      </c>
      <c r="D30" s="5">
        <v>6602223210</v>
      </c>
      <c r="E30" s="4" t="s">
        <v>38</v>
      </c>
      <c r="F30" s="4" t="s">
        <v>287</v>
      </c>
      <c r="G30" s="4" t="s">
        <v>288</v>
      </c>
      <c r="H30" s="4" t="s">
        <v>33</v>
      </c>
      <c r="I30" s="4">
        <f>DATEDIF(G30,H30,"M")</f>
        <v>4</v>
      </c>
      <c r="J30" s="7" t="s">
        <v>369</v>
      </c>
      <c r="K30" s="7" t="s">
        <v>370</v>
      </c>
      <c r="L30" s="4">
        <v>30.53</v>
      </c>
      <c r="M30" s="4">
        <v>1.1499999999999999</v>
      </c>
      <c r="N30" s="4">
        <v>35.11</v>
      </c>
      <c r="O30" s="4" t="s">
        <v>296</v>
      </c>
      <c r="P30" s="4" t="s">
        <v>357</v>
      </c>
    </row>
    <row r="31" spans="1:30" s="4" customFormat="1" ht="15" customHeight="1" x14ac:dyDescent="0.2">
      <c r="A31" s="4" t="s">
        <v>170</v>
      </c>
      <c r="B31" s="4">
        <v>19681796</v>
      </c>
      <c r="C31" s="4" t="s">
        <v>36</v>
      </c>
      <c r="D31" s="5">
        <v>6602234573</v>
      </c>
      <c r="E31" s="4" t="s">
        <v>38</v>
      </c>
      <c r="F31" s="4" t="s">
        <v>180</v>
      </c>
      <c r="G31" s="4" t="s">
        <v>181</v>
      </c>
      <c r="H31" s="4" t="s">
        <v>124</v>
      </c>
      <c r="I31" s="4">
        <f>DATEDIF(G31,H31,"M")</f>
        <v>4</v>
      </c>
      <c r="J31" s="7" t="s">
        <v>369</v>
      </c>
      <c r="K31" s="7" t="s">
        <v>370</v>
      </c>
      <c r="L31" s="4">
        <v>67.94</v>
      </c>
      <c r="M31" s="4">
        <v>1.25</v>
      </c>
      <c r="N31" s="4">
        <v>84.93</v>
      </c>
      <c r="O31" s="4" t="s">
        <v>301</v>
      </c>
      <c r="P31" s="4" t="s">
        <v>326</v>
      </c>
    </row>
    <row r="32" spans="1:30" s="4" customFormat="1" ht="15" customHeight="1" x14ac:dyDescent="0.2">
      <c r="A32" s="4" t="s">
        <v>186</v>
      </c>
      <c r="B32" s="4">
        <v>20220688</v>
      </c>
      <c r="C32" s="4" t="s">
        <v>36</v>
      </c>
      <c r="D32" s="5">
        <v>6602239949</v>
      </c>
      <c r="E32" s="4" t="s">
        <v>38</v>
      </c>
      <c r="F32" s="4" t="s">
        <v>200</v>
      </c>
      <c r="G32" s="4" t="s">
        <v>201</v>
      </c>
      <c r="H32" s="4" t="s">
        <v>43</v>
      </c>
      <c r="I32" s="4">
        <f>DATEDIF(G32,H32,"M")</f>
        <v>4</v>
      </c>
      <c r="J32" s="7" t="s">
        <v>369</v>
      </c>
      <c r="K32" s="7" t="s">
        <v>370</v>
      </c>
      <c r="L32" s="4">
        <v>53.32</v>
      </c>
      <c r="M32" s="4">
        <v>1.1499999999999999</v>
      </c>
      <c r="N32" s="4">
        <v>61.32</v>
      </c>
      <c r="O32" s="4" t="s">
        <v>295</v>
      </c>
      <c r="P32" s="4" t="s">
        <v>331</v>
      </c>
    </row>
    <row r="33" spans="1:30" s="4" customFormat="1" ht="15" customHeight="1" x14ac:dyDescent="0.2">
      <c r="A33" s="4" t="s">
        <v>144</v>
      </c>
      <c r="B33" s="4">
        <v>16202925</v>
      </c>
      <c r="C33" s="4" t="s">
        <v>94</v>
      </c>
      <c r="D33" s="5" t="s">
        <v>146</v>
      </c>
      <c r="E33" s="4" t="s">
        <v>38</v>
      </c>
      <c r="F33" s="4" t="s">
        <v>147</v>
      </c>
      <c r="G33" s="4" t="s">
        <v>135</v>
      </c>
      <c r="H33" s="4" t="s">
        <v>68</v>
      </c>
      <c r="I33" s="4">
        <f>DATEDIF(G33,H33,"M")</f>
        <v>5</v>
      </c>
      <c r="J33" s="7" t="s">
        <v>369</v>
      </c>
      <c r="K33" s="7" t="s">
        <v>370</v>
      </c>
      <c r="L33" s="4">
        <v>75.569999999999993</v>
      </c>
      <c r="M33" s="4">
        <v>1.5</v>
      </c>
      <c r="N33" s="4">
        <v>113.36</v>
      </c>
      <c r="O33" s="4" t="s">
        <v>298</v>
      </c>
      <c r="P33" s="4" t="s">
        <v>317</v>
      </c>
    </row>
    <row r="34" spans="1:30" s="1" customFormat="1" ht="15" customHeight="1" x14ac:dyDescent="0.2">
      <c r="A34" s="4" t="s">
        <v>170</v>
      </c>
      <c r="B34" s="4">
        <v>19681796</v>
      </c>
      <c r="C34" s="4" t="s">
        <v>36</v>
      </c>
      <c r="D34" s="5">
        <v>6602171749</v>
      </c>
      <c r="E34" s="4" t="s">
        <v>38</v>
      </c>
      <c r="F34" s="4" t="s">
        <v>176</v>
      </c>
      <c r="G34" s="4" t="s">
        <v>177</v>
      </c>
      <c r="H34" s="4" t="s">
        <v>178</v>
      </c>
      <c r="I34" s="4">
        <f>DATEDIF(G34,H34,"M")</f>
        <v>6</v>
      </c>
      <c r="J34" s="7" t="s">
        <v>369</v>
      </c>
      <c r="K34" s="7" t="s">
        <v>370</v>
      </c>
      <c r="L34" s="4">
        <v>30.1</v>
      </c>
      <c r="M34" s="4">
        <v>1.25</v>
      </c>
      <c r="N34" s="4">
        <v>37.630000000000003</v>
      </c>
      <c r="O34" s="4" t="s">
        <v>297</v>
      </c>
      <c r="P34" s="4" t="s">
        <v>325</v>
      </c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ht="15" customHeight="1" x14ac:dyDescent="0.2">
      <c r="A35" s="4" t="s">
        <v>210</v>
      </c>
      <c r="B35" s="4">
        <v>16865615</v>
      </c>
      <c r="C35" s="4" t="s">
        <v>36</v>
      </c>
      <c r="D35" s="5">
        <v>6602131288</v>
      </c>
      <c r="E35" s="4" t="s">
        <v>38</v>
      </c>
      <c r="F35" s="4" t="s">
        <v>213</v>
      </c>
      <c r="G35" s="4" t="s">
        <v>214</v>
      </c>
      <c r="H35" s="4" t="s">
        <v>91</v>
      </c>
      <c r="I35" s="4">
        <f>DATEDIF(G35,H35,"M")</f>
        <v>7</v>
      </c>
      <c r="J35" s="7" t="s">
        <v>369</v>
      </c>
      <c r="K35" s="7" t="s">
        <v>370</v>
      </c>
      <c r="L35" s="4">
        <v>25.59</v>
      </c>
      <c r="M35" s="4">
        <v>1.25</v>
      </c>
      <c r="N35" s="4">
        <v>31.99</v>
      </c>
      <c r="O35" s="4" t="s">
        <v>297</v>
      </c>
      <c r="P35" s="4" t="s">
        <v>334</v>
      </c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s="2" customFormat="1" ht="15" customHeight="1" x14ac:dyDescent="0.2">
      <c r="A36" s="4" t="s">
        <v>62</v>
      </c>
      <c r="B36" s="4">
        <v>16912722</v>
      </c>
      <c r="C36" s="4" t="s">
        <v>36</v>
      </c>
      <c r="D36" s="5">
        <v>6602065974</v>
      </c>
      <c r="E36" s="4" t="s">
        <v>38</v>
      </c>
      <c r="F36" s="4" t="s">
        <v>283</v>
      </c>
      <c r="G36" s="4" t="s">
        <v>284</v>
      </c>
      <c r="H36" s="4" t="s">
        <v>285</v>
      </c>
      <c r="I36" s="4">
        <f>DATEDIF(G36,H36,"M")</f>
        <v>7</v>
      </c>
      <c r="J36" s="7" t="s">
        <v>369</v>
      </c>
      <c r="K36" s="7" t="s">
        <v>370</v>
      </c>
      <c r="L36" s="4">
        <v>143.62</v>
      </c>
      <c r="M36" s="4">
        <v>1.1499999999999999</v>
      </c>
      <c r="N36" s="4">
        <v>165.16</v>
      </c>
      <c r="O36" s="4" t="s">
        <v>296</v>
      </c>
      <c r="P36" s="4" t="s">
        <v>356</v>
      </c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ht="15" customHeight="1" x14ac:dyDescent="0.2">
      <c r="A37" s="4" t="s">
        <v>170</v>
      </c>
      <c r="B37" s="4">
        <v>19681796</v>
      </c>
      <c r="C37" s="4" t="s">
        <v>36</v>
      </c>
      <c r="D37" s="5">
        <v>6602118959</v>
      </c>
      <c r="E37" s="4" t="s">
        <v>38</v>
      </c>
      <c r="F37" s="4" t="s">
        <v>173</v>
      </c>
      <c r="G37" s="4" t="s">
        <v>174</v>
      </c>
      <c r="H37" s="4" t="s">
        <v>33</v>
      </c>
      <c r="I37" s="4">
        <f>DATEDIF(G37,H37,"M")</f>
        <v>8</v>
      </c>
      <c r="J37" s="7" t="s">
        <v>369</v>
      </c>
      <c r="K37" s="7" t="s">
        <v>370</v>
      </c>
      <c r="L37" s="4">
        <v>38.96</v>
      </c>
      <c r="M37" s="4">
        <v>1.25</v>
      </c>
      <c r="N37" s="4">
        <v>48.7</v>
      </c>
      <c r="O37" s="4" t="s">
        <v>297</v>
      </c>
      <c r="P37" s="4" t="s">
        <v>324</v>
      </c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ht="15" customHeight="1" x14ac:dyDescent="0.2">
      <c r="A38" s="4" t="s">
        <v>69</v>
      </c>
      <c r="B38" s="4">
        <v>19481808</v>
      </c>
      <c r="C38" s="4" t="s">
        <v>36</v>
      </c>
      <c r="D38" s="5">
        <v>6602136573</v>
      </c>
      <c r="E38" s="4" t="s">
        <v>38</v>
      </c>
      <c r="F38" s="7" t="s">
        <v>72</v>
      </c>
      <c r="G38" s="4" t="s">
        <v>73</v>
      </c>
      <c r="H38" s="4" t="s">
        <v>74</v>
      </c>
      <c r="I38" s="4">
        <f>DATEDIF(G38,H38,"M")</f>
        <v>8</v>
      </c>
      <c r="J38" s="7" t="s">
        <v>369</v>
      </c>
      <c r="K38" s="7" t="s">
        <v>370</v>
      </c>
      <c r="L38" s="4">
        <v>87.55</v>
      </c>
      <c r="M38" s="4">
        <v>1.1499999999999999</v>
      </c>
      <c r="N38" s="4">
        <v>100.68</v>
      </c>
      <c r="O38" s="4" t="s">
        <v>295</v>
      </c>
      <c r="P38" s="7" t="s">
        <v>360</v>
      </c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ht="15" customHeight="1" x14ac:dyDescent="0.2">
      <c r="A39" s="4" t="s">
        <v>69</v>
      </c>
      <c r="B39" s="4">
        <v>19481808</v>
      </c>
      <c r="C39" s="4" t="s">
        <v>36</v>
      </c>
      <c r="D39" s="5">
        <v>6602136587</v>
      </c>
      <c r="E39" s="4" t="s">
        <v>38</v>
      </c>
      <c r="F39" s="7" t="s">
        <v>72</v>
      </c>
      <c r="G39" s="4" t="s">
        <v>73</v>
      </c>
      <c r="H39" s="4" t="s">
        <v>74</v>
      </c>
      <c r="I39" s="4">
        <f>DATEDIF(G39,H39,"M")</f>
        <v>8</v>
      </c>
      <c r="J39" s="7" t="s">
        <v>369</v>
      </c>
      <c r="K39" s="7" t="s">
        <v>370</v>
      </c>
      <c r="L39" s="4">
        <v>170.85</v>
      </c>
      <c r="M39" s="4">
        <v>1.1499999999999999</v>
      </c>
      <c r="N39" s="4">
        <v>196.48</v>
      </c>
      <c r="O39" s="4" t="s">
        <v>295</v>
      </c>
      <c r="P39" s="7" t="s">
        <v>361</v>
      </c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ht="15" customHeight="1" x14ac:dyDescent="0.2">
      <c r="A40" s="4" t="s">
        <v>76</v>
      </c>
      <c r="B40" s="4">
        <v>371819</v>
      </c>
      <c r="C40" s="4" t="s">
        <v>36</v>
      </c>
      <c r="D40" s="5">
        <v>6602087872</v>
      </c>
      <c r="E40" s="4" t="s">
        <v>38</v>
      </c>
      <c r="F40" s="7" t="s">
        <v>79</v>
      </c>
      <c r="G40" s="4" t="s">
        <v>81</v>
      </c>
      <c r="H40" s="4" t="s">
        <v>33</v>
      </c>
      <c r="I40" s="4">
        <f>DATEDIF(G40,H40,"M")</f>
        <v>9</v>
      </c>
      <c r="J40" s="7" t="s">
        <v>369</v>
      </c>
      <c r="K40" s="7" t="s">
        <v>370</v>
      </c>
      <c r="L40" s="4">
        <v>80.84</v>
      </c>
      <c r="M40" s="4">
        <v>1.25</v>
      </c>
      <c r="N40" s="4">
        <v>101.05</v>
      </c>
      <c r="O40" s="4" t="s">
        <v>297</v>
      </c>
      <c r="P40" s="7" t="s">
        <v>362</v>
      </c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ht="15" customHeight="1" x14ac:dyDescent="0.2">
      <c r="A41" s="4" t="s">
        <v>76</v>
      </c>
      <c r="B41" s="4">
        <v>371819</v>
      </c>
      <c r="C41" s="4" t="s">
        <v>36</v>
      </c>
      <c r="D41" s="5">
        <v>6602087960</v>
      </c>
      <c r="E41" s="4" t="s">
        <v>38</v>
      </c>
      <c r="F41" s="7" t="s">
        <v>79</v>
      </c>
      <c r="G41" s="4" t="s">
        <v>81</v>
      </c>
      <c r="H41" s="4" t="s">
        <v>33</v>
      </c>
      <c r="I41" s="4">
        <f>DATEDIF(G41,H41,"M")</f>
        <v>9</v>
      </c>
      <c r="J41" s="7" t="s">
        <v>369</v>
      </c>
      <c r="K41" s="7" t="s">
        <v>370</v>
      </c>
      <c r="L41" s="4">
        <v>56.76</v>
      </c>
      <c r="M41" s="4">
        <v>1.25</v>
      </c>
      <c r="N41" s="4">
        <v>70.95</v>
      </c>
      <c r="O41" s="4" t="s">
        <v>297</v>
      </c>
      <c r="P41" s="7" t="s">
        <v>363</v>
      </c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ht="15" customHeight="1" x14ac:dyDescent="0.2">
      <c r="A42" s="4" t="s">
        <v>62</v>
      </c>
      <c r="B42" s="4">
        <v>16912722</v>
      </c>
      <c r="C42" s="4" t="s">
        <v>36</v>
      </c>
      <c r="D42" s="5">
        <v>6602088836</v>
      </c>
      <c r="E42" s="4" t="s">
        <v>38</v>
      </c>
      <c r="F42" s="4" t="s">
        <v>65</v>
      </c>
      <c r="G42" s="4" t="s">
        <v>67</v>
      </c>
      <c r="H42" s="4" t="s">
        <v>68</v>
      </c>
      <c r="I42" s="4">
        <f>DATEDIF(G42,H42,"M")</f>
        <v>10</v>
      </c>
      <c r="J42" s="7" t="s">
        <v>369</v>
      </c>
      <c r="K42" s="7" t="s">
        <v>370</v>
      </c>
      <c r="L42" s="4">
        <v>53.32</v>
      </c>
      <c r="M42" s="4">
        <v>1.1499999999999999</v>
      </c>
      <c r="N42" s="4">
        <v>61.32</v>
      </c>
      <c r="O42" s="4" t="s">
        <v>295</v>
      </c>
      <c r="P42" s="4" t="s">
        <v>65</v>
      </c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ht="15" customHeight="1" x14ac:dyDescent="0.2">
      <c r="A43" s="4" t="s">
        <v>34</v>
      </c>
      <c r="B43" s="4">
        <v>8325282</v>
      </c>
      <c r="C43" s="4" t="s">
        <v>36</v>
      </c>
      <c r="D43" s="5">
        <v>6602036702</v>
      </c>
      <c r="E43" s="4" t="s">
        <v>38</v>
      </c>
      <c r="F43" s="4" t="s">
        <v>39</v>
      </c>
      <c r="G43" s="4" t="s">
        <v>42</v>
      </c>
      <c r="H43" s="4" t="s">
        <v>46</v>
      </c>
      <c r="I43" s="4">
        <f>DATEDIF(G43,H43,"M")</f>
        <v>11</v>
      </c>
      <c r="J43" s="7" t="s">
        <v>369</v>
      </c>
      <c r="K43" s="7" t="s">
        <v>370</v>
      </c>
      <c r="L43" s="4">
        <v>88.83</v>
      </c>
      <c r="M43" s="4">
        <v>1.05</v>
      </c>
      <c r="N43" s="4">
        <v>93.27</v>
      </c>
      <c r="O43" s="4" t="s">
        <v>294</v>
      </c>
      <c r="P43" s="4" t="s">
        <v>39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ht="15" customHeight="1" x14ac:dyDescent="0.2">
      <c r="A44" s="4" t="s">
        <v>34</v>
      </c>
      <c r="B44" s="4">
        <v>8325282</v>
      </c>
      <c r="C44" s="4" t="s">
        <v>36</v>
      </c>
      <c r="D44" s="5">
        <v>6602036702</v>
      </c>
      <c r="E44" s="4" t="s">
        <v>38</v>
      </c>
      <c r="F44" s="4" t="s">
        <v>39</v>
      </c>
      <c r="G44" s="4" t="s">
        <v>42</v>
      </c>
      <c r="H44" s="4" t="s">
        <v>43</v>
      </c>
      <c r="I44" s="4">
        <f>DATEDIF(G44,H44,"M")</f>
        <v>12</v>
      </c>
      <c r="J44" s="7" t="s">
        <v>369</v>
      </c>
      <c r="K44" s="7" t="s">
        <v>370</v>
      </c>
      <c r="L44" s="4">
        <v>88.83</v>
      </c>
      <c r="M44" s="4">
        <v>1.05</v>
      </c>
      <c r="N44" s="4">
        <v>93.27</v>
      </c>
      <c r="O44" s="4" t="s">
        <v>294</v>
      </c>
      <c r="P44" s="4" t="s">
        <v>39</v>
      </c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s="2" customFormat="1" ht="15" customHeight="1" x14ac:dyDescent="0.2">
      <c r="A45" s="2" t="s">
        <v>47</v>
      </c>
      <c r="B45" s="2">
        <v>9213293</v>
      </c>
      <c r="C45" s="2" t="s">
        <v>36</v>
      </c>
      <c r="D45" s="3">
        <v>6602299871</v>
      </c>
      <c r="E45" s="2" t="s">
        <v>57</v>
      </c>
      <c r="F45" s="2" t="s">
        <v>58</v>
      </c>
      <c r="G45" s="2" t="s">
        <v>60</v>
      </c>
      <c r="H45" s="2" t="s">
        <v>61</v>
      </c>
      <c r="I45" s="2">
        <f>DATEDIF(G45,H45,"M")</f>
        <v>1</v>
      </c>
      <c r="J45" s="6" t="s">
        <v>369</v>
      </c>
      <c r="K45" s="6" t="s">
        <v>370</v>
      </c>
      <c r="L45" s="2">
        <v>158.1</v>
      </c>
      <c r="M45" s="2">
        <v>1.1499999999999999</v>
      </c>
      <c r="N45" s="2">
        <v>181.82</v>
      </c>
      <c r="O45" s="2" t="s">
        <v>296</v>
      </c>
      <c r="P45" s="2" t="s">
        <v>58</v>
      </c>
    </row>
    <row r="46" spans="1:30" s="2" customFormat="1" ht="15" customHeight="1" x14ac:dyDescent="0.2">
      <c r="A46" s="2" t="s">
        <v>148</v>
      </c>
      <c r="B46" s="2">
        <v>18754354</v>
      </c>
      <c r="C46" s="2" t="s">
        <v>36</v>
      </c>
      <c r="D46" s="3">
        <v>6602268955</v>
      </c>
      <c r="E46" s="2" t="s">
        <v>38</v>
      </c>
      <c r="F46" s="2" t="s">
        <v>166</v>
      </c>
      <c r="G46" s="2" t="s">
        <v>168</v>
      </c>
      <c r="H46" s="2" t="s">
        <v>169</v>
      </c>
      <c r="I46" s="2">
        <f>DATEDIF(G46,H46,"M")</f>
        <v>2</v>
      </c>
      <c r="J46" s="6" t="s">
        <v>369</v>
      </c>
      <c r="K46" s="6" t="s">
        <v>370</v>
      </c>
      <c r="L46" s="2">
        <v>59.93</v>
      </c>
      <c r="M46" s="2">
        <v>1.05</v>
      </c>
      <c r="N46" s="2">
        <v>62.93</v>
      </c>
      <c r="O46" s="2" t="s">
        <v>294</v>
      </c>
      <c r="P46" s="2" t="s">
        <v>323</v>
      </c>
    </row>
    <row r="47" spans="1:30" s="2" customFormat="1" ht="15" customHeight="1" x14ac:dyDescent="0.2">
      <c r="A47" s="2" t="s">
        <v>47</v>
      </c>
      <c r="B47" s="2">
        <v>9213293</v>
      </c>
      <c r="C47" s="2" t="s">
        <v>36</v>
      </c>
      <c r="D47" s="3">
        <v>6602249822</v>
      </c>
      <c r="E47" s="2" t="s">
        <v>38</v>
      </c>
      <c r="F47" s="2" t="s">
        <v>50</v>
      </c>
      <c r="G47" s="2" t="s">
        <v>54</v>
      </c>
      <c r="H47" s="2" t="s">
        <v>55</v>
      </c>
      <c r="I47" s="2">
        <f>DATEDIF(G47,H47,"M")</f>
        <v>3</v>
      </c>
      <c r="J47" s="6" t="s">
        <v>369</v>
      </c>
      <c r="K47" s="6" t="s">
        <v>370</v>
      </c>
      <c r="L47" s="2">
        <v>42.25</v>
      </c>
      <c r="M47" s="2">
        <v>1.1499999999999999</v>
      </c>
      <c r="N47" s="2">
        <v>48.59</v>
      </c>
      <c r="O47" s="2" t="s">
        <v>296</v>
      </c>
      <c r="P47" s="6" t="s">
        <v>359</v>
      </c>
    </row>
    <row r="48" spans="1:30" s="2" customFormat="1" ht="15" customHeight="1" x14ac:dyDescent="0.2">
      <c r="A48" s="2" t="s">
        <v>92</v>
      </c>
      <c r="B48" s="2">
        <v>9079571</v>
      </c>
      <c r="C48" s="2" t="s">
        <v>94</v>
      </c>
      <c r="D48" s="3" t="s">
        <v>113</v>
      </c>
      <c r="E48" s="2" t="s">
        <v>38</v>
      </c>
      <c r="F48" s="2" t="s">
        <v>114</v>
      </c>
      <c r="G48" s="2" t="s">
        <v>115</v>
      </c>
      <c r="H48" s="2" t="s">
        <v>116</v>
      </c>
      <c r="I48" s="2">
        <f>DATEDIF(G48,H48,"M")</f>
        <v>3</v>
      </c>
      <c r="J48" s="6" t="s">
        <v>369</v>
      </c>
      <c r="K48" s="6" t="s">
        <v>370</v>
      </c>
      <c r="L48" s="2">
        <v>153.94</v>
      </c>
      <c r="M48" s="2">
        <v>1.5</v>
      </c>
      <c r="N48" s="2">
        <v>230.91</v>
      </c>
      <c r="O48" s="2" t="s">
        <v>298</v>
      </c>
      <c r="P48" s="2" t="s">
        <v>311</v>
      </c>
    </row>
    <row r="49" spans="1:16" s="2" customFormat="1" ht="15" customHeight="1" x14ac:dyDescent="0.2">
      <c r="A49" s="2" t="s">
        <v>92</v>
      </c>
      <c r="B49" s="2">
        <v>9079571</v>
      </c>
      <c r="C49" s="2" t="s">
        <v>94</v>
      </c>
      <c r="D49" s="3" t="s">
        <v>117</v>
      </c>
      <c r="E49" s="2" t="s">
        <v>38</v>
      </c>
      <c r="F49" s="2" t="s">
        <v>118</v>
      </c>
      <c r="G49" s="2" t="s">
        <v>119</v>
      </c>
      <c r="H49" s="2" t="s">
        <v>120</v>
      </c>
      <c r="I49" s="2">
        <f>DATEDIF(G49,H49,"M")</f>
        <v>3</v>
      </c>
      <c r="J49" s="6" t="s">
        <v>369</v>
      </c>
      <c r="K49" s="6" t="s">
        <v>370</v>
      </c>
      <c r="L49" s="2">
        <v>238.32</v>
      </c>
      <c r="M49" s="2">
        <v>1.5</v>
      </c>
      <c r="N49" s="2">
        <v>357.48</v>
      </c>
      <c r="O49" s="2" t="s">
        <v>298</v>
      </c>
      <c r="P49" s="2" t="s">
        <v>312</v>
      </c>
    </row>
    <row r="50" spans="1:16" s="2" customFormat="1" ht="15" customHeight="1" x14ac:dyDescent="0.2">
      <c r="A50" s="2" t="s">
        <v>92</v>
      </c>
      <c r="B50" s="2">
        <v>9079571</v>
      </c>
      <c r="C50" s="2" t="s">
        <v>94</v>
      </c>
      <c r="D50" s="3" t="s">
        <v>121</v>
      </c>
      <c r="E50" s="2" t="s">
        <v>38</v>
      </c>
      <c r="F50" s="2" t="s">
        <v>122</v>
      </c>
      <c r="G50" s="2" t="s">
        <v>123</v>
      </c>
      <c r="H50" s="2" t="s">
        <v>124</v>
      </c>
      <c r="I50" s="2">
        <f>DATEDIF(G50,H50,"M")</f>
        <v>3</v>
      </c>
      <c r="J50" s="6" t="s">
        <v>369</v>
      </c>
      <c r="K50" s="6" t="s">
        <v>370</v>
      </c>
      <c r="L50" s="2">
        <v>50</v>
      </c>
      <c r="M50" s="2">
        <v>1.5</v>
      </c>
      <c r="N50" s="2">
        <v>75</v>
      </c>
      <c r="O50" s="2" t="s">
        <v>298</v>
      </c>
      <c r="P50" s="2" t="s">
        <v>313</v>
      </c>
    </row>
    <row r="51" spans="1:16" s="2" customFormat="1" ht="15" customHeight="1" x14ac:dyDescent="0.2">
      <c r="A51" s="2" t="s">
        <v>268</v>
      </c>
      <c r="B51" s="2">
        <v>19491313</v>
      </c>
      <c r="C51" s="2" t="s">
        <v>36</v>
      </c>
      <c r="D51" s="3">
        <v>6602202592</v>
      </c>
      <c r="E51" s="2" t="s">
        <v>38</v>
      </c>
      <c r="F51" s="2" t="s">
        <v>271</v>
      </c>
      <c r="G51" s="2" t="s">
        <v>272</v>
      </c>
      <c r="H51" s="2" t="s">
        <v>120</v>
      </c>
      <c r="I51" s="2">
        <f>DATEDIF(G51,H51,"M")</f>
        <v>4</v>
      </c>
      <c r="J51" s="6" t="s">
        <v>369</v>
      </c>
      <c r="K51" s="6" t="s">
        <v>370</v>
      </c>
      <c r="L51" s="2">
        <v>263.93</v>
      </c>
      <c r="M51" s="2">
        <v>1.1499999999999999</v>
      </c>
      <c r="N51" s="2">
        <v>303.52</v>
      </c>
      <c r="O51" s="2" t="s">
        <v>296</v>
      </c>
      <c r="P51" s="2" t="s">
        <v>353</v>
      </c>
    </row>
    <row r="52" spans="1:16" s="2" customFormat="1" ht="15" customHeight="1" x14ac:dyDescent="0.2">
      <c r="A52" s="2" t="s">
        <v>289</v>
      </c>
      <c r="B52" s="2">
        <v>21621622</v>
      </c>
      <c r="C52" s="2" t="s">
        <v>36</v>
      </c>
      <c r="D52" s="3">
        <v>6602217769</v>
      </c>
      <c r="E52" s="2" t="s">
        <v>38</v>
      </c>
      <c r="F52" s="2" t="s">
        <v>292</v>
      </c>
      <c r="G52" s="2" t="s">
        <v>293</v>
      </c>
      <c r="H52" s="2" t="s">
        <v>129</v>
      </c>
      <c r="I52" s="2">
        <f>DATEDIF(G52,H52,"M")</f>
        <v>4</v>
      </c>
      <c r="J52" s="6" t="s">
        <v>369</v>
      </c>
      <c r="K52" s="6" t="s">
        <v>370</v>
      </c>
      <c r="L52" s="2">
        <v>170.28</v>
      </c>
      <c r="M52" s="2">
        <v>1.25</v>
      </c>
      <c r="N52" s="2">
        <v>212.85</v>
      </c>
      <c r="O52" s="2" t="s">
        <v>301</v>
      </c>
      <c r="P52" s="2" t="s">
        <v>358</v>
      </c>
    </row>
    <row r="53" spans="1:16" s="2" customFormat="1" ht="15" customHeight="1" x14ac:dyDescent="0.2">
      <c r="A53" s="2" t="s">
        <v>148</v>
      </c>
      <c r="B53" s="2">
        <v>18754354</v>
      </c>
      <c r="C53" s="2" t="s">
        <v>36</v>
      </c>
      <c r="D53" s="3">
        <v>6602191133</v>
      </c>
      <c r="E53" s="2" t="s">
        <v>38</v>
      </c>
      <c r="F53" s="2" t="s">
        <v>160</v>
      </c>
      <c r="G53" s="2" t="s">
        <v>161</v>
      </c>
      <c r="H53" s="2" t="s">
        <v>162</v>
      </c>
      <c r="I53" s="2">
        <f>DATEDIF(G53,H53,"M")</f>
        <v>4</v>
      </c>
      <c r="J53" s="6" t="s">
        <v>369</v>
      </c>
      <c r="K53" s="6" t="s">
        <v>370</v>
      </c>
      <c r="L53" s="2">
        <v>284.75</v>
      </c>
      <c r="M53" s="2">
        <v>1.1499999999999999</v>
      </c>
      <c r="N53" s="2">
        <v>327.45999999999998</v>
      </c>
      <c r="O53" s="2" t="s">
        <v>296</v>
      </c>
      <c r="P53" s="2" t="s">
        <v>321</v>
      </c>
    </row>
    <row r="54" spans="1:16" s="2" customFormat="1" ht="15" customHeight="1" x14ac:dyDescent="0.2">
      <c r="A54" s="2" t="s">
        <v>130</v>
      </c>
      <c r="B54" s="6" t="s">
        <v>366</v>
      </c>
      <c r="C54" s="2" t="s">
        <v>94</v>
      </c>
      <c r="D54" s="3" t="s">
        <v>132</v>
      </c>
      <c r="E54" s="2" t="s">
        <v>38</v>
      </c>
      <c r="F54" s="2" t="s">
        <v>133</v>
      </c>
      <c r="G54" s="2" t="s">
        <v>135</v>
      </c>
      <c r="H54" s="2" t="s">
        <v>68</v>
      </c>
      <c r="I54" s="2">
        <f>DATEDIF(G54,H54,"M")</f>
        <v>5</v>
      </c>
      <c r="J54" s="6" t="s">
        <v>369</v>
      </c>
      <c r="K54" s="6" t="s">
        <v>370</v>
      </c>
      <c r="L54" s="2">
        <v>52.91</v>
      </c>
      <c r="M54" s="2">
        <v>1.18</v>
      </c>
      <c r="N54" s="2">
        <v>62.43</v>
      </c>
      <c r="O54" s="2" t="s">
        <v>299</v>
      </c>
      <c r="P54" s="2" t="s">
        <v>315</v>
      </c>
    </row>
    <row r="55" spans="1:16" s="2" customFormat="1" ht="15" customHeight="1" x14ac:dyDescent="0.2">
      <c r="A55" s="2" t="s">
        <v>92</v>
      </c>
      <c r="B55" s="2">
        <v>9079571</v>
      </c>
      <c r="C55" s="2" t="s">
        <v>94</v>
      </c>
      <c r="D55" s="3" t="s">
        <v>104</v>
      </c>
      <c r="E55" s="2" t="s">
        <v>38</v>
      </c>
      <c r="F55" s="2" t="s">
        <v>105</v>
      </c>
      <c r="G55" s="2" t="s">
        <v>106</v>
      </c>
      <c r="H55" s="2" t="s">
        <v>107</v>
      </c>
      <c r="I55" s="2">
        <f>DATEDIF(G55,H55,"M")</f>
        <v>5</v>
      </c>
      <c r="J55" s="6" t="s">
        <v>369</v>
      </c>
      <c r="K55" s="6" t="s">
        <v>370</v>
      </c>
      <c r="L55" s="2">
        <v>58.13</v>
      </c>
      <c r="M55" s="2">
        <v>1.5</v>
      </c>
      <c r="N55" s="2">
        <v>87.2</v>
      </c>
      <c r="O55" s="2" t="s">
        <v>298</v>
      </c>
      <c r="P55" s="2" t="s">
        <v>308</v>
      </c>
    </row>
    <row r="56" spans="1:16" s="2" customFormat="1" ht="15" customHeight="1" x14ac:dyDescent="0.2">
      <c r="A56" s="2" t="s">
        <v>92</v>
      </c>
      <c r="B56" s="2">
        <v>9079571</v>
      </c>
      <c r="C56" s="2" t="s">
        <v>94</v>
      </c>
      <c r="D56" s="3" t="s">
        <v>108</v>
      </c>
      <c r="E56" s="2" t="s">
        <v>38</v>
      </c>
      <c r="F56" s="2" t="s">
        <v>105</v>
      </c>
      <c r="G56" s="2" t="s">
        <v>106</v>
      </c>
      <c r="H56" s="2" t="s">
        <v>107</v>
      </c>
      <c r="I56" s="2">
        <f>DATEDIF(G56,H56,"M")</f>
        <v>5</v>
      </c>
      <c r="J56" s="6" t="s">
        <v>369</v>
      </c>
      <c r="K56" s="6" t="s">
        <v>370</v>
      </c>
      <c r="L56" s="2">
        <v>79.28</v>
      </c>
      <c r="M56" s="2">
        <v>1.5</v>
      </c>
      <c r="N56" s="2">
        <v>118.92</v>
      </c>
      <c r="O56" s="2" t="s">
        <v>298</v>
      </c>
      <c r="P56" s="2" t="s">
        <v>309</v>
      </c>
    </row>
    <row r="57" spans="1:16" s="2" customFormat="1" ht="15" customHeight="1" x14ac:dyDescent="0.2">
      <c r="A57" s="2" t="s">
        <v>92</v>
      </c>
      <c r="B57" s="2">
        <v>9079571</v>
      </c>
      <c r="C57" s="2" t="s">
        <v>94</v>
      </c>
      <c r="D57" s="3" t="s">
        <v>109</v>
      </c>
      <c r="E57" s="2" t="s">
        <v>38</v>
      </c>
      <c r="F57" s="2" t="s">
        <v>110</v>
      </c>
      <c r="G57" s="2" t="s">
        <v>111</v>
      </c>
      <c r="H57" s="2" t="s">
        <v>112</v>
      </c>
      <c r="I57" s="2">
        <f>DATEDIF(G57,H57,"M")</f>
        <v>5</v>
      </c>
      <c r="J57" s="6" t="s">
        <v>369</v>
      </c>
      <c r="K57" s="6" t="s">
        <v>370</v>
      </c>
      <c r="L57" s="2">
        <v>110.16</v>
      </c>
      <c r="M57" s="2">
        <v>1.5</v>
      </c>
      <c r="N57" s="2">
        <v>165.24</v>
      </c>
      <c r="O57" s="2" t="s">
        <v>298</v>
      </c>
      <c r="P57" s="2" t="s">
        <v>310</v>
      </c>
    </row>
    <row r="58" spans="1:16" s="2" customFormat="1" ht="15" customHeight="1" x14ac:dyDescent="0.2">
      <c r="A58" s="2" t="s">
        <v>148</v>
      </c>
      <c r="B58" s="2">
        <v>18754354</v>
      </c>
      <c r="C58" s="2" t="s">
        <v>36</v>
      </c>
      <c r="D58" s="3">
        <v>6602159017</v>
      </c>
      <c r="E58" s="2" t="s">
        <v>38</v>
      </c>
      <c r="F58" s="2" t="s">
        <v>151</v>
      </c>
      <c r="G58" s="2" t="s">
        <v>153</v>
      </c>
      <c r="H58" s="2" t="s">
        <v>154</v>
      </c>
      <c r="I58" s="2">
        <f>DATEDIF(G58,H58,"M")</f>
        <v>5</v>
      </c>
      <c r="J58" s="6" t="s">
        <v>369</v>
      </c>
      <c r="K58" s="6" t="s">
        <v>370</v>
      </c>
      <c r="L58" s="2">
        <v>41.82</v>
      </c>
      <c r="M58" s="2">
        <v>1.1000000000000001</v>
      </c>
      <c r="N58" s="2">
        <v>46</v>
      </c>
      <c r="O58" s="2" t="s">
        <v>300</v>
      </c>
      <c r="P58" s="2" t="s">
        <v>318</v>
      </c>
    </row>
    <row r="59" spans="1:16" s="2" customFormat="1" ht="15" customHeight="1" x14ac:dyDescent="0.2">
      <c r="A59" s="2" t="s">
        <v>148</v>
      </c>
      <c r="B59" s="2">
        <v>18754354</v>
      </c>
      <c r="C59" s="2" t="s">
        <v>36</v>
      </c>
      <c r="D59" s="3">
        <v>6602191155</v>
      </c>
      <c r="E59" s="2" t="s">
        <v>38</v>
      </c>
      <c r="F59" s="2" t="s">
        <v>160</v>
      </c>
      <c r="G59" s="2" t="s">
        <v>164</v>
      </c>
      <c r="H59" s="2" t="s">
        <v>33</v>
      </c>
      <c r="I59" s="2">
        <f>DATEDIF(G59,H59,"M")</f>
        <v>5</v>
      </c>
      <c r="J59" s="6" t="s">
        <v>369</v>
      </c>
      <c r="K59" s="6" t="s">
        <v>370</v>
      </c>
      <c r="L59" s="2">
        <v>79.05</v>
      </c>
      <c r="M59" s="2">
        <v>1.1499999999999999</v>
      </c>
      <c r="N59" s="2">
        <v>90.91</v>
      </c>
      <c r="O59" s="2" t="s">
        <v>296</v>
      </c>
      <c r="P59" s="2" t="s">
        <v>322</v>
      </c>
    </row>
    <row r="60" spans="1:16" s="2" customFormat="1" ht="15" customHeight="1" x14ac:dyDescent="0.2">
      <c r="A60" s="2" t="s">
        <v>92</v>
      </c>
      <c r="B60" s="2">
        <v>9079571</v>
      </c>
      <c r="C60" s="2" t="s">
        <v>94</v>
      </c>
      <c r="D60" s="3" t="s">
        <v>99</v>
      </c>
      <c r="E60" s="2" t="s">
        <v>38</v>
      </c>
      <c r="F60" s="2" t="s">
        <v>100</v>
      </c>
      <c r="G60" s="2" t="s">
        <v>102</v>
      </c>
      <c r="H60" s="2" t="s">
        <v>103</v>
      </c>
      <c r="I60" s="2">
        <f>DATEDIF(G60,H60,"M")</f>
        <v>6</v>
      </c>
      <c r="J60" s="6" t="s">
        <v>369</v>
      </c>
      <c r="K60" s="6" t="s">
        <v>370</v>
      </c>
      <c r="L60" s="2">
        <v>65.48</v>
      </c>
      <c r="M60" s="2">
        <v>1.08</v>
      </c>
      <c r="N60" s="2">
        <v>70.72</v>
      </c>
      <c r="O60" s="2" t="s">
        <v>294</v>
      </c>
      <c r="P60" s="2" t="s">
        <v>307</v>
      </c>
    </row>
    <row r="61" spans="1:16" s="2" customFormat="1" ht="15" customHeight="1" x14ac:dyDescent="0.2">
      <c r="A61" s="2" t="s">
        <v>92</v>
      </c>
      <c r="B61" s="2">
        <v>9079571</v>
      </c>
      <c r="C61" s="2" t="s">
        <v>36</v>
      </c>
      <c r="D61" s="3">
        <v>6602188799</v>
      </c>
      <c r="E61" s="2" t="s">
        <v>38</v>
      </c>
      <c r="F61" s="2" t="s">
        <v>126</v>
      </c>
      <c r="G61" s="2" t="s">
        <v>128</v>
      </c>
      <c r="H61" s="2" t="s">
        <v>129</v>
      </c>
      <c r="I61" s="2">
        <f>DATEDIF(G61,H61,"M")</f>
        <v>6</v>
      </c>
      <c r="J61" s="6" t="s">
        <v>369</v>
      </c>
      <c r="K61" s="6" t="s">
        <v>370</v>
      </c>
      <c r="L61" s="2">
        <v>74.819999999999993</v>
      </c>
      <c r="M61" s="2">
        <v>1.25</v>
      </c>
      <c r="N61" s="2">
        <v>93.53</v>
      </c>
      <c r="O61" s="2" t="s">
        <v>297</v>
      </c>
      <c r="P61" s="2" t="s">
        <v>314</v>
      </c>
    </row>
    <row r="62" spans="1:16" s="2" customFormat="1" ht="15" customHeight="1" x14ac:dyDescent="0.2">
      <c r="A62" s="2" t="s">
        <v>92</v>
      </c>
      <c r="B62" s="2">
        <v>9079571</v>
      </c>
      <c r="C62" s="2" t="s">
        <v>94</v>
      </c>
      <c r="D62" s="3" t="s">
        <v>95</v>
      </c>
      <c r="E62" s="2" t="s">
        <v>38</v>
      </c>
      <c r="F62" s="2" t="s">
        <v>96</v>
      </c>
      <c r="G62" s="2" t="s">
        <v>98</v>
      </c>
      <c r="H62" s="2" t="s">
        <v>68</v>
      </c>
      <c r="I62" s="2">
        <f>DATEDIF(G62,H62,"M")</f>
        <v>6</v>
      </c>
      <c r="J62" s="6" t="s">
        <v>369</v>
      </c>
      <c r="K62" s="6" t="s">
        <v>370</v>
      </c>
      <c r="L62" s="2">
        <v>164.56</v>
      </c>
      <c r="M62" s="2">
        <v>1.5</v>
      </c>
      <c r="N62" s="2">
        <v>246.84</v>
      </c>
      <c r="O62" s="2" t="s">
        <v>298</v>
      </c>
      <c r="P62" s="2" t="s">
        <v>306</v>
      </c>
    </row>
    <row r="63" spans="1:16" s="2" customFormat="1" ht="15" customHeight="1" x14ac:dyDescent="0.2">
      <c r="A63" s="2" t="s">
        <v>86</v>
      </c>
      <c r="B63" s="2">
        <v>16509456</v>
      </c>
      <c r="C63" s="2" t="s">
        <v>36</v>
      </c>
      <c r="D63" s="3">
        <v>6602183190</v>
      </c>
      <c r="E63" s="2" t="s">
        <v>38</v>
      </c>
      <c r="F63" s="2" t="s">
        <v>89</v>
      </c>
      <c r="G63" s="2" t="s">
        <v>90</v>
      </c>
      <c r="H63" s="2" t="s">
        <v>91</v>
      </c>
      <c r="I63" s="2">
        <f>DATEDIF(G63,H63,"M")</f>
        <v>6</v>
      </c>
      <c r="J63" s="6" t="s">
        <v>369</v>
      </c>
      <c r="K63" s="6" t="s">
        <v>370</v>
      </c>
      <c r="L63" s="2">
        <v>44.63</v>
      </c>
      <c r="M63" s="2">
        <v>1.1499999999999999</v>
      </c>
      <c r="N63" s="2">
        <v>51.32</v>
      </c>
      <c r="O63" s="2" t="s">
        <v>296</v>
      </c>
      <c r="P63" s="2" t="s">
        <v>305</v>
      </c>
    </row>
    <row r="64" spans="1:16" s="2" customFormat="1" ht="15" customHeight="1" x14ac:dyDescent="0.2">
      <c r="A64" s="2" t="s">
        <v>206</v>
      </c>
      <c r="B64" s="2">
        <v>19200754</v>
      </c>
      <c r="C64" s="2" t="s">
        <v>36</v>
      </c>
      <c r="D64" s="3">
        <v>6602173120</v>
      </c>
      <c r="E64" s="2" t="s">
        <v>38</v>
      </c>
      <c r="F64" s="2" t="s">
        <v>209</v>
      </c>
      <c r="G64" s="2" t="s">
        <v>128</v>
      </c>
      <c r="H64" s="2" t="s">
        <v>129</v>
      </c>
      <c r="I64" s="2">
        <f>DATEDIF(G64,H64,"M")</f>
        <v>6</v>
      </c>
      <c r="J64" s="6" t="s">
        <v>369</v>
      </c>
      <c r="K64" s="6" t="s">
        <v>370</v>
      </c>
      <c r="L64" s="2">
        <v>99.55</v>
      </c>
      <c r="M64" s="2">
        <v>1.25</v>
      </c>
      <c r="N64" s="2">
        <v>124.44</v>
      </c>
      <c r="O64" s="2" t="s">
        <v>301</v>
      </c>
      <c r="P64" s="2" t="s">
        <v>333</v>
      </c>
    </row>
    <row r="65" spans="1:16" s="2" customFormat="1" ht="15" customHeight="1" x14ac:dyDescent="0.2">
      <c r="A65" s="2" t="s">
        <v>148</v>
      </c>
      <c r="B65" s="2">
        <v>18754354</v>
      </c>
      <c r="C65" s="2" t="s">
        <v>36</v>
      </c>
      <c r="D65" s="3">
        <v>6602176176</v>
      </c>
      <c r="E65" s="2" t="s">
        <v>38</v>
      </c>
      <c r="F65" s="2" t="s">
        <v>156</v>
      </c>
      <c r="G65" s="2" t="s">
        <v>157</v>
      </c>
      <c r="H65" s="2" t="s">
        <v>107</v>
      </c>
      <c r="I65" s="2">
        <f>DATEDIF(G65,H65,"M")</f>
        <v>6</v>
      </c>
      <c r="J65" s="6" t="s">
        <v>369</v>
      </c>
      <c r="K65" s="6" t="s">
        <v>370</v>
      </c>
      <c r="L65" s="2">
        <v>35.700000000000003</v>
      </c>
      <c r="M65" s="2">
        <v>1.1499999999999999</v>
      </c>
      <c r="N65" s="2">
        <v>41.06</v>
      </c>
      <c r="O65" s="2" t="s">
        <v>296</v>
      </c>
      <c r="P65" s="2" t="s">
        <v>319</v>
      </c>
    </row>
    <row r="66" spans="1:16" s="2" customFormat="1" ht="15" customHeight="1" x14ac:dyDescent="0.2">
      <c r="A66" s="2" t="s">
        <v>148</v>
      </c>
      <c r="B66" s="2">
        <v>18754354</v>
      </c>
      <c r="C66" s="2" t="s">
        <v>36</v>
      </c>
      <c r="D66" s="3">
        <v>6602176202</v>
      </c>
      <c r="E66" s="2" t="s">
        <v>38</v>
      </c>
      <c r="F66" s="2" t="s">
        <v>156</v>
      </c>
      <c r="G66" s="2" t="s">
        <v>128</v>
      </c>
      <c r="H66" s="2" t="s">
        <v>129</v>
      </c>
      <c r="I66" s="2">
        <f>DATEDIF(G66,H66,"M")</f>
        <v>6</v>
      </c>
      <c r="J66" s="6" t="s">
        <v>369</v>
      </c>
      <c r="K66" s="6" t="s">
        <v>370</v>
      </c>
      <c r="L66" s="2">
        <v>136.43</v>
      </c>
      <c r="M66" s="2">
        <v>1.1499999999999999</v>
      </c>
      <c r="N66" s="2">
        <v>156.88999999999999</v>
      </c>
      <c r="O66" s="2" t="s">
        <v>296</v>
      </c>
      <c r="P66" s="2" t="s">
        <v>320</v>
      </c>
    </row>
    <row r="67" spans="1:16" s="2" customFormat="1" ht="15" customHeight="1" x14ac:dyDescent="0.2">
      <c r="A67" s="2" t="s">
        <v>47</v>
      </c>
      <c r="B67" s="2">
        <v>9213293</v>
      </c>
      <c r="C67" s="2" t="s">
        <v>36</v>
      </c>
      <c r="D67" s="3">
        <v>6602141191</v>
      </c>
      <c r="E67" s="2" t="s">
        <v>38</v>
      </c>
      <c r="F67" s="2" t="s">
        <v>50</v>
      </c>
      <c r="G67" s="2" t="s">
        <v>52</v>
      </c>
      <c r="H67" s="2" t="s">
        <v>33</v>
      </c>
      <c r="I67" s="2">
        <f>DATEDIF(G67,H67,"M")</f>
        <v>7</v>
      </c>
      <c r="J67" s="6" t="s">
        <v>369</v>
      </c>
      <c r="K67" s="6" t="s">
        <v>370</v>
      </c>
      <c r="L67" s="2">
        <v>47.26</v>
      </c>
      <c r="M67" s="2">
        <v>1.1499999999999999</v>
      </c>
      <c r="N67" s="2">
        <v>54.35</v>
      </c>
      <c r="O67" s="2" t="s">
        <v>295</v>
      </c>
      <c r="P67" s="6" t="s">
        <v>359</v>
      </c>
    </row>
    <row r="68" spans="1:16" s="2" customFormat="1" ht="15" customHeight="1" x14ac:dyDescent="0.2">
      <c r="A68" s="2" t="s">
        <v>136</v>
      </c>
      <c r="B68" s="6" t="s">
        <v>364</v>
      </c>
      <c r="C68" s="2" t="s">
        <v>94</v>
      </c>
      <c r="D68" s="3" t="s">
        <v>138</v>
      </c>
      <c r="E68" s="2" t="s">
        <v>38</v>
      </c>
      <c r="F68" s="2" t="s">
        <v>139</v>
      </c>
      <c r="G68" s="2" t="s">
        <v>141</v>
      </c>
      <c r="H68" s="2" t="s">
        <v>142</v>
      </c>
      <c r="I68" s="2">
        <f>DATEDIF(G68,H68,"M")</f>
        <v>12</v>
      </c>
      <c r="J68" s="6" t="s">
        <v>369</v>
      </c>
      <c r="K68" s="6" t="s">
        <v>370</v>
      </c>
      <c r="L68" s="2">
        <v>879.5</v>
      </c>
      <c r="M68" s="2">
        <v>1.5</v>
      </c>
      <c r="N68" s="2">
        <v>1319.25</v>
      </c>
      <c r="O68" s="2" t="s">
        <v>298</v>
      </c>
      <c r="P68" s="2" t="s">
        <v>316</v>
      </c>
    </row>
  </sheetData>
  <sortState xmlns:xlrd2="http://schemas.microsoft.com/office/spreadsheetml/2017/richdata2" ref="A2:AD68">
    <sortCondition sortBy="cellColor" ref="A2:A68" dxfId="1"/>
    <sortCondition ref="I2:I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2026-03-07T09:48:08Z</dcterms:created>
  <dcterms:modified xsi:type="dcterms:W3CDTF">2026-03-10T18:24:36Z</dcterms:modified>
</cp:coreProperties>
</file>