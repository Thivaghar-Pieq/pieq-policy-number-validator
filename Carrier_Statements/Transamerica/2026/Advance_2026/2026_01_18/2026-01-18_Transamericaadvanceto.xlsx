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 2026\1-18-26 to 1-24-26\"/>
    </mc:Choice>
  </mc:AlternateContent>
  <xr:revisionPtr revIDLastSave="0" documentId="13_ncr:1_{09E4E6F9-AD18-4983-A8DE-DE7D7A50E705}" xr6:coauthVersionLast="47" xr6:coauthVersionMax="47" xr10:uidLastSave="{00000000-0000-0000-0000-000000000000}"/>
  <bookViews>
    <workbookView xWindow="-57720" yWindow="-45" windowWidth="29040" windowHeight="15720" activeTab="1" xr2:uid="{68068327-4521-4F5C-A268-A12AC9EF6ECA}"/>
  </bookViews>
  <sheets>
    <sheet name="Sheet0" sheetId="1" r:id="rId1"/>
    <sheet name="clea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2" i="2"/>
</calcChain>
</file>

<file path=xl/sharedStrings.xml><?xml version="1.0" encoding="utf-8"?>
<sst xmlns="http://schemas.openxmlformats.org/spreadsheetml/2006/main" count="115" uniqueCount="69">
  <si>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</si>
  <si>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</si>
  <si>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</si>
  <si>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</si>
  <si>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</si>
  <si>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</si>
  <si>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</si>
  <si>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</si>
  <si>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</si>
  <si>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</si>
  <si>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</si>
  <si>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</si>
  <si>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</si>
  <si>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</si>
  <si>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</si>
  <si>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</si>
  <si>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</si>
  <si>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</si>
  <si>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</si>
  <si>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</si>
  <si>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</si>
  <si>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</si>
  <si>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</si>
  <si>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</si>
  <si>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</si>
  <si>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</si>
  <si>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</si>
  <si>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</si>
  <si>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</si>
  <si>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</si>
  <si>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</si>
  <si>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</si>
  <si>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</si>
  <si>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</si>
  <si>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</si>
  <si>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</si>
  <si>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</si>
  <si>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</si>
  <si>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</si>
  <si>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</si>
  <si>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</si>
  <si>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</si>
  <si>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</si>
  <si>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Wojtasik</t>
  </si>
  <si>
    <t>Jay</t>
  </si>
  <si>
    <t>OW Placed Adv</t>
  </si>
  <si>
    <t>Zana</t>
  </si>
  <si>
    <t>Nasandelger</t>
  </si>
  <si>
    <t/>
  </si>
  <si>
    <t>MLSR137577</t>
  </si>
  <si>
    <t>Edwards</t>
  </si>
  <si>
    <t>Ryan</t>
  </si>
  <si>
    <t>Yale</t>
  </si>
  <si>
    <t>Jacob</t>
  </si>
  <si>
    <t>MLSR137413</t>
  </si>
  <si>
    <t>EFT2220113</t>
  </si>
  <si>
    <t>PAYEE ADVANCE EFT 0 MAIN LINE BENEFITS LLC</t>
  </si>
  <si>
    <t>name</t>
  </si>
  <si>
    <t>Jay Wojtasik</t>
  </si>
  <si>
    <t>Ryan Edwards</t>
  </si>
  <si>
    <t>Nasandelger Zana</t>
  </si>
  <si>
    <t>Jacob Yale</t>
  </si>
  <si>
    <t>20220688AV9</t>
  </si>
  <si>
    <t>com %</t>
  </si>
  <si>
    <t>mlb premium</t>
  </si>
  <si>
    <t>mlb comm</t>
  </si>
  <si>
    <t>Trendsetter LB 15 Year 105 2023</t>
  </si>
  <si>
    <t>product</t>
  </si>
  <si>
    <t>Trendsetter Super 20 25 30 Year LB 15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</si>
</sst>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8E3C-BA30-4BC5-8CAF-C11EAEDC2B09}">
  <dimension ref="A1:AL4"/>
  <sheetViews>
    <sheetView workbookViewId="0">
      <selection sqref="A1:XFD1048576"/>
    </sheetView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46042</v>
      </c>
      <c r="G2" s="2">
        <v>6602232514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>
        <v>838.44</v>
      </c>
      <c r="P2">
        <v>1</v>
      </c>
      <c r="Q2">
        <v>1.1499999999999999</v>
      </c>
      <c r="R2">
        <v>0.75</v>
      </c>
      <c r="S2">
        <v>723</v>
      </c>
      <c r="T2">
        <v>0</v>
      </c>
      <c r="U2">
        <v>0</v>
      </c>
    </row>
    <row r="3" spans="1:38" x14ac:dyDescent="0.2">
      <c r="A3" t="s">
        <v>38</v>
      </c>
      <c r="B3" t="s">
        <v>39</v>
      </c>
      <c r="C3" t="s">
        <v>40</v>
      </c>
      <c r="D3" t="s">
        <v>41</v>
      </c>
      <c r="E3" t="s">
        <v>42</v>
      </c>
      <c r="F3" s="1">
        <v>46042</v>
      </c>
      <c r="G3" s="2">
        <v>6602268955</v>
      </c>
      <c r="H3" t="s">
        <v>50</v>
      </c>
      <c r="I3" t="s">
        <v>51</v>
      </c>
      <c r="J3" t="s">
        <v>45</v>
      </c>
      <c r="K3" t="s">
        <v>52</v>
      </c>
      <c r="L3" t="s">
        <v>53</v>
      </c>
      <c r="M3" t="s">
        <v>48</v>
      </c>
      <c r="N3" t="s">
        <v>54</v>
      </c>
      <c r="O3">
        <v>719.16</v>
      </c>
      <c r="P3">
        <v>1</v>
      </c>
      <c r="Q3">
        <v>1.05</v>
      </c>
      <c r="R3">
        <v>0.75</v>
      </c>
      <c r="S3">
        <v>566</v>
      </c>
      <c r="T3">
        <v>0</v>
      </c>
      <c r="U3">
        <v>0</v>
      </c>
    </row>
    <row r="4" spans="1:38" x14ac:dyDescent="0.2"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1289</v>
      </c>
      <c r="AI4" t="s">
        <v>55</v>
      </c>
      <c r="AJ4">
        <v>1289</v>
      </c>
      <c r="AK4" t="s">
        <v>56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C4F84-737A-4DD2-B224-C6942BE31F76}">
  <dimension ref="A1:AJ3"/>
  <sheetViews>
    <sheetView tabSelected="1" workbookViewId="0">
      <selection activeCell="B3" sqref="B3"/>
    </sheetView>
  </sheetViews>
  <sheetFormatPr defaultRowHeight="12.75" x14ac:dyDescent="0.2"/>
  <cols>
    <col min="1" max="19" width="16" customWidth="1"/>
    <col min="20" max="20" width="38.85546875" bestFit="1" customWidth="1"/>
    <col min="21" max="254" width="16" customWidth="1"/>
  </cols>
  <sheetData>
    <row r="1" spans="1:36" x14ac:dyDescent="0.2">
      <c r="A1" t="s">
        <v>5</v>
      </c>
      <c r="B1" t="s">
        <v>6</v>
      </c>
      <c r="C1" t="s">
        <v>7</v>
      </c>
      <c r="D1" t="s">
        <v>8</v>
      </c>
      <c r="E1" s="3" t="s">
        <v>57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s="3" t="s">
        <v>64</v>
      </c>
      <c r="L1" s="3" t="s">
        <v>65</v>
      </c>
      <c r="M1" t="s">
        <v>15</v>
      </c>
      <c r="N1" t="s">
        <v>16</v>
      </c>
      <c r="O1" s="3" t="s">
        <v>63</v>
      </c>
      <c r="P1" t="s">
        <v>17</v>
      </c>
      <c r="Q1" t="s">
        <v>18</v>
      </c>
      <c r="R1" t="s">
        <v>19</v>
      </c>
      <c r="S1" t="s">
        <v>20</v>
      </c>
      <c r="T1" s="3" t="s">
        <v>67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</row>
    <row r="2" spans="1:36" x14ac:dyDescent="0.2">
      <c r="A2" s="1">
        <v>46042</v>
      </c>
      <c r="B2" s="2">
        <v>6602232514</v>
      </c>
      <c r="C2" t="s">
        <v>43</v>
      </c>
      <c r="D2" t="s">
        <v>44</v>
      </c>
      <c r="E2" t="s">
        <v>58</v>
      </c>
      <c r="F2" t="s">
        <v>46</v>
      </c>
      <c r="G2" t="s">
        <v>47</v>
      </c>
      <c r="H2" t="s">
        <v>60</v>
      </c>
      <c r="I2" s="3" t="s">
        <v>62</v>
      </c>
      <c r="J2">
        <v>838.44</v>
      </c>
      <c r="K2">
        <v>69.87</v>
      </c>
      <c r="L2">
        <v>80.333333333333329</v>
      </c>
      <c r="M2">
        <v>1</v>
      </c>
      <c r="N2">
        <v>1.1499999999999999</v>
      </c>
      <c r="O2">
        <f>SUM(N2*100)</f>
        <v>114.99999999999999</v>
      </c>
      <c r="P2">
        <v>0.75</v>
      </c>
      <c r="Q2">
        <v>723</v>
      </c>
      <c r="R2">
        <v>0</v>
      </c>
      <c r="S2">
        <v>0</v>
      </c>
      <c r="T2" t="s">
        <v>68</v>
      </c>
    </row>
    <row r="3" spans="1:36" x14ac:dyDescent="0.2">
      <c r="A3" s="1">
        <v>46042</v>
      </c>
      <c r="B3" s="2">
        <v>6602268955</v>
      </c>
      <c r="C3" t="s">
        <v>50</v>
      </c>
      <c r="D3" t="s">
        <v>51</v>
      </c>
      <c r="E3" t="s">
        <v>59</v>
      </c>
      <c r="F3" t="s">
        <v>52</v>
      </c>
      <c r="G3" t="s">
        <v>53</v>
      </c>
      <c r="H3" t="s">
        <v>61</v>
      </c>
      <c r="I3">
        <v>18754354</v>
      </c>
      <c r="J3">
        <v>719.16</v>
      </c>
      <c r="K3">
        <v>59.93</v>
      </c>
      <c r="L3">
        <v>62.888888888888886</v>
      </c>
      <c r="M3">
        <v>1</v>
      </c>
      <c r="N3">
        <v>1.05</v>
      </c>
      <c r="O3">
        <f t="shared" ref="O3" si="0">SUM(N3*100)</f>
        <v>105</v>
      </c>
      <c r="P3">
        <v>0.75</v>
      </c>
      <c r="Q3">
        <v>566</v>
      </c>
      <c r="R3">
        <v>0</v>
      </c>
      <c r="S3">
        <v>0</v>
      </c>
      <c r="T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Janki Patel</cp:lastModifiedBy>
  <dcterms:created xsi:type="dcterms:W3CDTF">2026-01-23T12:46:24Z</dcterms:created>
  <dcterms:modified xsi:type="dcterms:W3CDTF">2026-01-26T21:15:35Z</dcterms:modified>
</cp:coreProperties>
</file>