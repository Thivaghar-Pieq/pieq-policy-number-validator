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Transamerica\2026\advance 2026\2026-05-17\"/>
    </mc:Choice>
  </mc:AlternateContent>
  <xr:revisionPtr revIDLastSave="0" documentId="13_ncr:1_{CD6F65AB-1B3F-420B-B3A4-FE79D62C2920}" xr6:coauthVersionLast="47" xr6:coauthVersionMax="47" xr10:uidLastSave="{00000000-0000-0000-0000-000000000000}"/>
  <bookViews>
    <workbookView xWindow="-120" yWindow="-120" windowWidth="29040" windowHeight="15720" activeTab="1" xr2:uid="{E9368C46-AD2E-474C-9882-328E70E0C5EC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J2" i="2"/>
  <c r="H3" i="2"/>
  <c r="J3" i="2" s="1"/>
  <c r="H7" i="2"/>
  <c r="H4" i="2"/>
  <c r="J4" i="2" s="1"/>
  <c r="H5" i="2"/>
  <c r="J5" i="2" s="1"/>
  <c r="H2" i="2"/>
</calcChain>
</file>

<file path=xl/sharedStrings.xml><?xml version="1.0" encoding="utf-8"?>
<sst xmlns="http://schemas.openxmlformats.org/spreadsheetml/2006/main" count="178" uniqueCount="82">
  <si>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</si>
  <si>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</si>
  <si>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</si>
  <si>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</si>
  <si>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</si>
  <si>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</si>
  <si>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</si>
  <si>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</si>
  <si>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</si>
  <si>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</si>
  <si>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</si>
  <si>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</si>
  <si>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</si>
  <si>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</si>
  <si>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</si>
  <si>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</si>
  <si>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</si>
  <si>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</si>
  <si>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</si>
  <si>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</si>
  <si>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</si>
  <si>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</si>
  <si>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</si>
  <si>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</si>
  <si>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</si>
  <si>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</si>
  <si>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</si>
  <si>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</si>
  <si>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</si>
  <si>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</si>
  <si>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</si>
  <si>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</si>
  <si>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</si>
  <si>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</si>
  <si>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</si>
  <si>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</si>
  <si>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</si>
  <si>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</si>
  <si>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</si>
  <si>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</si>
  <si>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</si>
  <si>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</si>
  <si>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</si>
  <si>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6602377642</t>
  </si>
  <si>
    <t>Maguire</t>
  </si>
  <si>
    <t>Joseph</t>
  </si>
  <si>
    <t>OW Placed Adv</t>
  </si>
  <si>
    <t>Richter</t>
  </si>
  <si>
    <t>Adam</t>
  </si>
  <si>
    <t/>
  </si>
  <si>
    <t>MLSR113135</t>
  </si>
  <si>
    <t>EFT2326866</t>
  </si>
  <si>
    <t>PAYEE ADVANCE EFT 0 MAIN LINE BENEFITS LLC</t>
  </si>
  <si>
    <t>6602364117</t>
  </si>
  <si>
    <t>Savasky</t>
  </si>
  <si>
    <t>Jane</t>
  </si>
  <si>
    <t>Shepard</t>
  </si>
  <si>
    <t>Ryan</t>
  </si>
  <si>
    <t>MLSR177830</t>
  </si>
  <si>
    <t>EFT2335087</t>
  </si>
  <si>
    <t>Knobloch</t>
  </si>
  <si>
    <t>Austin</t>
  </si>
  <si>
    <t>Yale</t>
  </si>
  <si>
    <t>Jacob</t>
  </si>
  <si>
    <t>MLSR137413</t>
  </si>
  <si>
    <t>EFT2333803</t>
  </si>
  <si>
    <t>6602330522</t>
  </si>
  <si>
    <t>Guzman</t>
  </si>
  <si>
    <t>Mayra</t>
  </si>
  <si>
    <t>OW Not Taken C/B</t>
  </si>
  <si>
    <t>Richard</t>
  </si>
  <si>
    <t>MLSR137300</t>
  </si>
  <si>
    <t>6602341961</t>
  </si>
  <si>
    <t>Jones</t>
  </si>
  <si>
    <t>John</t>
  </si>
  <si>
    <t>Green</t>
  </si>
  <si>
    <t>Danna</t>
  </si>
  <si>
    <t>MLSR139749</t>
  </si>
  <si>
    <t>6602387657</t>
  </si>
  <si>
    <t>Sarah</t>
  </si>
  <si>
    <t>Trendsetter LB 20 25 30 Year 2025</t>
  </si>
  <si>
    <t>Trendsetter Super 20 25 30 Year LB 15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</si>
</sst>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0" borderId="0" xfId="0" applyNumberFormat="1"/>
    <xf numFmtId="14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0" fontId="1" fillId="0" borderId="0" xfId="0" applyFont="1"/>
    <xf numFmtId="9" fontId="0" fillId="3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D991-0AFD-4FB9-A7B0-E6E27978FC62}">
  <dimension ref="A1:AL10"/>
  <sheetViews>
    <sheetView topLeftCell="F1" workbookViewId="0">
      <selection activeCell="G6" sqref="G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46154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2136.2399999999998</v>
      </c>
      <c r="P2">
        <v>1</v>
      </c>
      <c r="Q2">
        <v>1.25</v>
      </c>
      <c r="R2">
        <v>0.75</v>
      </c>
      <c r="S2">
        <v>1500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51</v>
      </c>
      <c r="AJ3">
        <v>1500</v>
      </c>
      <c r="AK3" t="s">
        <v>52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46163</v>
      </c>
      <c r="G4" t="s">
        <v>53</v>
      </c>
      <c r="H4" t="s">
        <v>54</v>
      </c>
      <c r="I4" t="s">
        <v>55</v>
      </c>
      <c r="J4" t="s">
        <v>46</v>
      </c>
      <c r="K4" t="s">
        <v>56</v>
      </c>
      <c r="L4" t="s">
        <v>57</v>
      </c>
      <c r="M4" t="s">
        <v>49</v>
      </c>
      <c r="N4" t="s">
        <v>58</v>
      </c>
      <c r="O4">
        <v>3103.32</v>
      </c>
      <c r="P4">
        <v>1</v>
      </c>
      <c r="Q4">
        <v>1.1499999999999999</v>
      </c>
      <c r="R4">
        <v>0.75</v>
      </c>
      <c r="S4">
        <v>1500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1500</v>
      </c>
      <c r="AI5" t="s">
        <v>59</v>
      </c>
      <c r="AJ5">
        <v>1500</v>
      </c>
      <c r="AK5" t="s">
        <v>52</v>
      </c>
    </row>
    <row r="6" spans="1:3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>
        <v>46162</v>
      </c>
      <c r="G6">
        <v>6602387617</v>
      </c>
      <c r="H6" t="s">
        <v>60</v>
      </c>
      <c r="I6" t="s">
        <v>61</v>
      </c>
      <c r="J6" t="s">
        <v>46</v>
      </c>
      <c r="K6" t="s">
        <v>62</v>
      </c>
      <c r="L6" t="s">
        <v>63</v>
      </c>
      <c r="M6" t="s">
        <v>49</v>
      </c>
      <c r="N6" t="s">
        <v>64</v>
      </c>
      <c r="O6">
        <v>1091.4000000000001</v>
      </c>
      <c r="P6">
        <v>1</v>
      </c>
      <c r="Q6">
        <v>0.54049999999999998</v>
      </c>
      <c r="R6">
        <v>0.75</v>
      </c>
      <c r="S6">
        <v>442</v>
      </c>
      <c r="T6">
        <v>0</v>
      </c>
      <c r="U6">
        <v>0</v>
      </c>
    </row>
    <row r="7" spans="1:38" x14ac:dyDescent="0.2"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442</v>
      </c>
      <c r="AI7" t="s">
        <v>65</v>
      </c>
      <c r="AJ7">
        <v>442</v>
      </c>
      <c r="AK7" t="s">
        <v>52</v>
      </c>
    </row>
    <row r="8" spans="1:38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>
        <v>46161</v>
      </c>
      <c r="G8" t="s">
        <v>66</v>
      </c>
      <c r="H8" t="s">
        <v>67</v>
      </c>
      <c r="I8" t="s">
        <v>68</v>
      </c>
      <c r="J8" t="s">
        <v>69</v>
      </c>
      <c r="K8" t="s">
        <v>62</v>
      </c>
      <c r="L8" t="s">
        <v>70</v>
      </c>
      <c r="M8" t="s">
        <v>49</v>
      </c>
      <c r="N8" t="s">
        <v>71</v>
      </c>
      <c r="O8">
        <v>0</v>
      </c>
      <c r="P8">
        <v>1</v>
      </c>
      <c r="Q8">
        <v>1.25</v>
      </c>
      <c r="R8">
        <v>0</v>
      </c>
      <c r="S8">
        <v>0</v>
      </c>
      <c r="T8">
        <v>0</v>
      </c>
      <c r="U8">
        <v>-648</v>
      </c>
    </row>
    <row r="9" spans="1:38" x14ac:dyDescent="0.2">
      <c r="A9" t="s">
        <v>38</v>
      </c>
      <c r="B9" t="s">
        <v>39</v>
      </c>
      <c r="C9" t="s">
        <v>40</v>
      </c>
      <c r="D9" t="s">
        <v>41</v>
      </c>
      <c r="E9" t="s">
        <v>42</v>
      </c>
      <c r="F9" s="1">
        <v>46161</v>
      </c>
      <c r="G9" t="s">
        <v>72</v>
      </c>
      <c r="H9" t="s">
        <v>73</v>
      </c>
      <c r="I9" t="s">
        <v>74</v>
      </c>
      <c r="J9" t="s">
        <v>46</v>
      </c>
      <c r="K9" t="s">
        <v>75</v>
      </c>
      <c r="L9" t="s">
        <v>76</v>
      </c>
      <c r="M9" t="s">
        <v>49</v>
      </c>
      <c r="N9" t="s">
        <v>77</v>
      </c>
      <c r="O9">
        <v>1208.76</v>
      </c>
      <c r="P9">
        <v>1</v>
      </c>
      <c r="Q9">
        <v>1.1499999999999999</v>
      </c>
      <c r="R9">
        <v>0.75</v>
      </c>
      <c r="S9">
        <v>1043</v>
      </c>
      <c r="T9">
        <v>0</v>
      </c>
      <c r="U9">
        <v>0</v>
      </c>
    </row>
    <row r="10" spans="1:38" x14ac:dyDescent="0.2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1">
        <v>46161</v>
      </c>
      <c r="G10" t="s">
        <v>78</v>
      </c>
      <c r="H10" t="s">
        <v>60</v>
      </c>
      <c r="I10" t="s">
        <v>79</v>
      </c>
      <c r="J10" t="s">
        <v>46</v>
      </c>
      <c r="K10" t="s">
        <v>62</v>
      </c>
      <c r="L10" t="s">
        <v>63</v>
      </c>
      <c r="M10" t="s">
        <v>49</v>
      </c>
      <c r="N10" t="s">
        <v>64</v>
      </c>
      <c r="O10">
        <v>469.2</v>
      </c>
      <c r="P10">
        <v>1</v>
      </c>
      <c r="Q10">
        <v>1.1499999999999999</v>
      </c>
      <c r="R10">
        <v>0.75</v>
      </c>
      <c r="S10">
        <v>405</v>
      </c>
      <c r="T10">
        <v>0</v>
      </c>
      <c r="U10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AEA0-75C2-4E87-AB1C-24E1FA40E5D3}">
  <dimension ref="A1:AD9"/>
  <sheetViews>
    <sheetView tabSelected="1" topLeftCell="B1" workbookViewId="0">
      <selection activeCell="H13" sqref="H13:I13"/>
    </sheetView>
  </sheetViews>
  <sheetFormatPr defaultRowHeight="12.75" x14ac:dyDescent="0.2"/>
  <cols>
    <col min="1" max="248" width="16" customWidth="1"/>
  </cols>
  <sheetData>
    <row r="1" spans="1:30" x14ac:dyDescent="0.2">
      <c r="A1" t="s">
        <v>5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14</v>
      </c>
      <c r="I1" t="s">
        <v>16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2">
      <c r="A2" s="1">
        <v>46154</v>
      </c>
      <c r="B2">
        <v>6602377642</v>
      </c>
      <c r="C2" t="s">
        <v>44</v>
      </c>
      <c r="D2" t="s">
        <v>45</v>
      </c>
      <c r="E2" t="s">
        <v>47</v>
      </c>
      <c r="F2" t="s">
        <v>48</v>
      </c>
      <c r="G2">
        <v>2136.2399999999998</v>
      </c>
      <c r="H2">
        <f>G2/12</f>
        <v>178.01999999999998</v>
      </c>
      <c r="I2">
        <v>1.25</v>
      </c>
      <c r="J2" s="4">
        <f>H2*I2</f>
        <v>222.52499999999998</v>
      </c>
      <c r="K2">
        <v>1500</v>
      </c>
      <c r="L2">
        <v>0</v>
      </c>
      <c r="M2">
        <v>0</v>
      </c>
      <c r="N2" t="s">
        <v>80</v>
      </c>
    </row>
    <row r="3" spans="1:30" x14ac:dyDescent="0.2">
      <c r="A3" s="1">
        <v>46163</v>
      </c>
      <c r="B3">
        <v>6602364117</v>
      </c>
      <c r="C3" t="s">
        <v>54</v>
      </c>
      <c r="D3" s="8" t="s">
        <v>55</v>
      </c>
      <c r="E3" t="s">
        <v>56</v>
      </c>
      <c r="F3" t="s">
        <v>57</v>
      </c>
      <c r="G3">
        <v>3103.32</v>
      </c>
      <c r="H3">
        <f t="shared" ref="H3:H5" si="0">G3/12</f>
        <v>258.61</v>
      </c>
      <c r="I3">
        <v>1.1499999999999999</v>
      </c>
      <c r="J3" s="4">
        <f t="shared" ref="J3:J5" si="1">H3*I3</f>
        <v>297.4015</v>
      </c>
      <c r="K3">
        <v>1500</v>
      </c>
      <c r="L3">
        <v>0</v>
      </c>
      <c r="M3">
        <v>0</v>
      </c>
      <c r="N3" t="s">
        <v>81</v>
      </c>
    </row>
    <row r="4" spans="1:30" x14ac:dyDescent="0.2">
      <c r="A4" s="1">
        <v>46161</v>
      </c>
      <c r="B4">
        <v>6602341961</v>
      </c>
      <c r="C4" t="s">
        <v>73</v>
      </c>
      <c r="D4" t="s">
        <v>74</v>
      </c>
      <c r="E4" t="s">
        <v>75</v>
      </c>
      <c r="F4" t="s">
        <v>76</v>
      </c>
      <c r="G4">
        <v>1208.76</v>
      </c>
      <c r="H4">
        <f t="shared" si="0"/>
        <v>100.73</v>
      </c>
      <c r="I4">
        <v>1.1499999999999999</v>
      </c>
      <c r="J4" s="4">
        <f t="shared" si="1"/>
        <v>115.8395</v>
      </c>
      <c r="K4">
        <v>1043</v>
      </c>
      <c r="L4">
        <v>0</v>
      </c>
      <c r="M4">
        <v>0</v>
      </c>
      <c r="N4" t="s">
        <v>81</v>
      </c>
    </row>
    <row r="5" spans="1:30" x14ac:dyDescent="0.2">
      <c r="A5" s="1">
        <v>46161</v>
      </c>
      <c r="B5">
        <v>6602387657</v>
      </c>
      <c r="C5" t="s">
        <v>60</v>
      </c>
      <c r="D5" t="s">
        <v>79</v>
      </c>
      <c r="E5" t="s">
        <v>62</v>
      </c>
      <c r="F5" t="s">
        <v>63</v>
      </c>
      <c r="G5">
        <v>469.2</v>
      </c>
      <c r="H5">
        <f t="shared" si="0"/>
        <v>39.1</v>
      </c>
      <c r="I5">
        <v>1.1499999999999999</v>
      </c>
      <c r="J5" s="4">
        <f t="shared" si="1"/>
        <v>44.964999999999996</v>
      </c>
      <c r="K5">
        <v>405</v>
      </c>
      <c r="L5">
        <v>0</v>
      </c>
      <c r="M5">
        <v>0</v>
      </c>
      <c r="N5" t="s">
        <v>81</v>
      </c>
    </row>
    <row r="7" spans="1:30" s="6" customFormat="1" x14ac:dyDescent="0.2">
      <c r="A7" s="5">
        <v>46162</v>
      </c>
      <c r="B7" s="6">
        <v>6602387617</v>
      </c>
      <c r="C7" s="6" t="s">
        <v>60</v>
      </c>
      <c r="D7" s="6" t="s">
        <v>61</v>
      </c>
      <c r="E7" s="6" t="s">
        <v>62</v>
      </c>
      <c r="F7" s="6" t="s">
        <v>63</v>
      </c>
      <c r="G7" s="6">
        <v>1091.4000000000001</v>
      </c>
      <c r="H7" s="6">
        <f>G7/12</f>
        <v>90.95</v>
      </c>
      <c r="I7" s="9">
        <v>0.54049999999999998</v>
      </c>
      <c r="J7" s="7">
        <f>H7*I7</f>
        <v>49.158475000000003</v>
      </c>
      <c r="K7" s="6">
        <v>442</v>
      </c>
      <c r="L7" s="6">
        <v>0</v>
      </c>
      <c r="M7" s="6">
        <v>0</v>
      </c>
    </row>
    <row r="9" spans="1:30" s="2" customFormat="1" x14ac:dyDescent="0.2">
      <c r="A9" s="3">
        <v>46161</v>
      </c>
      <c r="B9" s="2" t="s">
        <v>66</v>
      </c>
      <c r="C9" s="2" t="s">
        <v>67</v>
      </c>
      <c r="D9" s="2" t="s">
        <v>68</v>
      </c>
      <c r="E9" s="2" t="s">
        <v>62</v>
      </c>
      <c r="F9" s="2" t="s">
        <v>70</v>
      </c>
      <c r="G9" s="2">
        <v>0</v>
      </c>
      <c r="H9" s="2">
        <v>1</v>
      </c>
      <c r="I9" s="2">
        <v>1.25</v>
      </c>
      <c r="J9" s="2">
        <v>0</v>
      </c>
      <c r="K9" s="2">
        <v>0</v>
      </c>
      <c r="L9" s="2">
        <v>0</v>
      </c>
      <c r="M9" s="2">
        <v>-648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2026-05-22T08:15:51Z</dcterms:created>
  <dcterms:modified xsi:type="dcterms:W3CDTF">2026-05-28T18:08:01Z</dcterms:modified>
</cp:coreProperties>
</file>