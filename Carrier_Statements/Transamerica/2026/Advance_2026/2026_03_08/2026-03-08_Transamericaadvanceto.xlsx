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2026\advance 2026\3-8-26 to 3-14-26\"/>
    </mc:Choice>
  </mc:AlternateContent>
  <xr:revisionPtr revIDLastSave="0" documentId="13_ncr:1_{3A986728-8EB8-494E-BFD8-DEAB57A37B65}" xr6:coauthVersionLast="47" xr6:coauthVersionMax="47" xr10:uidLastSave="{00000000-0000-0000-0000-000000000000}"/>
  <bookViews>
    <workbookView xWindow="-120" yWindow="-120" windowWidth="29040" windowHeight="16440" activeTab="1" xr2:uid="{8C02AE84-152E-4E32-AF39-3C4EBE4C464E}"/>
  </bookViews>
  <sheets>
    <sheet name="Sheet0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N2" i="2" l="1"/>
  <c r="M3" i="2"/>
  <c r="N3" i="2" s="1"/>
  <c r="M4" i="2"/>
  <c r="N4" i="2" s="1"/>
  <c r="M5" i="2"/>
  <c r="N5" i="2" s="1"/>
  <c r="M6" i="2"/>
  <c r="N6" i="2" s="1"/>
  <c r="M7" i="2"/>
  <c r="N7" i="2" s="1"/>
  <c r="M2" i="2"/>
  <c r="D3" i="2"/>
  <c r="D4" i="2"/>
  <c r="D5" i="2"/>
  <c r="D6" i="2"/>
  <c r="D7" i="2"/>
  <c r="D2" i="2"/>
  <c r="H3" i="2"/>
  <c r="H4" i="2"/>
  <c r="H5" i="2"/>
  <c r="H6" i="2"/>
  <c r="H7" i="2"/>
  <c r="H2" i="2"/>
</calcChain>
</file>

<file path=xl/sharedStrings.xml><?xml version="1.0" encoding="utf-8"?>
<sst xmlns="http://schemas.openxmlformats.org/spreadsheetml/2006/main" count="171" uniqueCount="80">
  <si>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</si>
  <si>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</si>
  <si>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</si>
  <si>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</si>
  <si>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</si>
  <si>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</si>
  <si>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</si>
  <si>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</si>
  <si>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</si>
  <si>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</si>
  <si>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</si>
  <si>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</si>
  <si>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</si>
  <si>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</si>
  <si>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</si>
  <si>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</si>
  <si>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</si>
  <si>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</si>
  <si>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</si>
  <si>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</si>
  <si>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</si>
  <si>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</si>
  <si>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</si>
  <si>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</si>
  <si>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</si>
  <si>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</si>
  <si>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</si>
  <si>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</si>
  <si>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</si>
  <si>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</si>
  <si>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</si>
  <si>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</si>
  <si>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</si>
  <si>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</si>
  <si>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</si>
  <si>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</si>
  <si>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</si>
  <si>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</si>
  <si>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</si>
  <si>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</si>
  <si>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</si>
  <si>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</si>
  <si>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</si>
  <si>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Horn</t>
  </si>
  <si>
    <t>Arthur</t>
  </si>
  <si>
    <t>OW Placed Adv</t>
  </si>
  <si>
    <t>Richter</t>
  </si>
  <si>
    <t>Peter</t>
  </si>
  <si>
    <t/>
  </si>
  <si>
    <t>MLSR112897</t>
  </si>
  <si>
    <t>EFT2270790</t>
  </si>
  <si>
    <t>PAYEE ADVANCE EFT 0 MAIN LINE BENEFITS LLC</t>
  </si>
  <si>
    <t>Lauren</t>
  </si>
  <si>
    <t>Pellegrino</t>
  </si>
  <si>
    <t>Sammy</t>
  </si>
  <si>
    <t>Taugner</t>
  </si>
  <si>
    <t>Christian</t>
  </si>
  <si>
    <t>MLSR137518</t>
  </si>
  <si>
    <t>EFT2269574</t>
  </si>
  <si>
    <t>Im</t>
  </si>
  <si>
    <t>Sonary</t>
  </si>
  <si>
    <t>Shulman</t>
  </si>
  <si>
    <t>Jake</t>
  </si>
  <si>
    <t>MLSR165860</t>
  </si>
  <si>
    <t>Long</t>
  </si>
  <si>
    <t>Kit</t>
  </si>
  <si>
    <t>EFT2266874</t>
  </si>
  <si>
    <t>Guzman</t>
  </si>
  <si>
    <t>Mayra</t>
  </si>
  <si>
    <t>Yale</t>
  </si>
  <si>
    <t>Richard</t>
  </si>
  <si>
    <t>MLSR137300</t>
  </si>
  <si>
    <t>EFT2265518</t>
  </si>
  <si>
    <t>Comm Premium</t>
  </si>
  <si>
    <t>Comm Amount</t>
  </si>
  <si>
    <t>Trendsetter Super 20 25 30 Year LB 15 2024</t>
  </si>
  <si>
    <t>Trendsetter LB 20 25 30 Year 2025</t>
  </si>
  <si>
    <t>16509456AV9</t>
  </si>
  <si>
    <t>19681796AV9</t>
  </si>
  <si>
    <t>16633294AV9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</si>
</sst>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2" fontId="0" fillId="0" borderId="0" xfId="0" applyNumberFormat="1"/>
    <xf numFmtId="9" fontId="0" fillId="0" borderId="0" xfId="1" applyFont="1"/>
    <xf numFmtId="0" fontId="0" fillId="2" borderId="0" xfId="0" applyNumberFormat="1" applyFill="1" applyAlignment="1">
      <alignment horizontal="left"/>
    </xf>
    <xf numFmtId="0" fontId="0" fillId="2" borderId="0" xfId="0" applyFill="1"/>
    <xf numFmtId="9" fontId="0" fillId="2" borderId="0" xfId="1" applyFont="1" applyFill="1"/>
    <xf numFmtId="2" fontId="0" fillId="2" borderId="0" xfId="0" applyNumberFormat="1" applyFill="1"/>
    <xf numFmtId="0" fontId="1" fillId="2" borderId="0" xfId="0" applyFont="1" applyFill="1"/>
    <xf numFmtId="14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CB5F1-AE3B-4D83-B701-A6033C1ADCBB}">
  <dimension ref="A1:AL11"/>
  <sheetViews>
    <sheetView workbookViewId="0">
      <selection sqref="A1:XFD1048576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46094</v>
      </c>
      <c r="G2" s="2">
        <v>6602276805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>
        <v>2091</v>
      </c>
      <c r="P2">
        <v>1</v>
      </c>
      <c r="Q2">
        <v>1.1499999999999999</v>
      </c>
      <c r="R2">
        <v>0.75</v>
      </c>
      <c r="S2">
        <v>1500</v>
      </c>
      <c r="T2">
        <v>0</v>
      </c>
      <c r="U2">
        <v>0</v>
      </c>
    </row>
    <row r="3" spans="1:38" x14ac:dyDescent="0.2">
      <c r="G3" s="3"/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1500</v>
      </c>
      <c r="AI3" t="s">
        <v>50</v>
      </c>
      <c r="AJ3">
        <v>1500</v>
      </c>
      <c r="AK3" t="s">
        <v>51</v>
      </c>
    </row>
    <row r="4" spans="1:38" x14ac:dyDescent="0.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s="1">
        <v>46093</v>
      </c>
      <c r="G4" s="2">
        <v>6602276751</v>
      </c>
      <c r="H4" t="s">
        <v>43</v>
      </c>
      <c r="I4" t="s">
        <v>52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>
        <v>887.4</v>
      </c>
      <c r="P4">
        <v>1</v>
      </c>
      <c r="Q4">
        <v>1.1499999999999999</v>
      </c>
      <c r="R4">
        <v>0.75</v>
      </c>
      <c r="S4">
        <v>765</v>
      </c>
      <c r="T4">
        <v>0</v>
      </c>
      <c r="U4">
        <v>0</v>
      </c>
    </row>
    <row r="5" spans="1:38" x14ac:dyDescent="0.2">
      <c r="A5" t="s">
        <v>38</v>
      </c>
      <c r="B5" t="s">
        <v>39</v>
      </c>
      <c r="C5" t="s">
        <v>40</v>
      </c>
      <c r="D5" t="s">
        <v>41</v>
      </c>
      <c r="E5" t="s">
        <v>42</v>
      </c>
      <c r="F5" s="1">
        <v>46093</v>
      </c>
      <c r="G5" s="2">
        <v>6602327346</v>
      </c>
      <c r="H5" t="s">
        <v>53</v>
      </c>
      <c r="I5" t="s">
        <v>54</v>
      </c>
      <c r="J5" t="s">
        <v>45</v>
      </c>
      <c r="K5" t="s">
        <v>55</v>
      </c>
      <c r="L5" t="s">
        <v>56</v>
      </c>
      <c r="M5" t="s">
        <v>48</v>
      </c>
      <c r="N5" t="s">
        <v>57</v>
      </c>
      <c r="O5">
        <v>1093.92</v>
      </c>
      <c r="P5">
        <v>1</v>
      </c>
      <c r="Q5">
        <v>1.25</v>
      </c>
      <c r="R5">
        <v>0.75</v>
      </c>
      <c r="S5">
        <v>1026</v>
      </c>
      <c r="T5">
        <v>0</v>
      </c>
      <c r="U5">
        <v>0</v>
      </c>
    </row>
    <row r="6" spans="1:38" x14ac:dyDescent="0.2">
      <c r="G6" s="3"/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1791</v>
      </c>
      <c r="AI6" t="s">
        <v>58</v>
      </c>
      <c r="AJ6">
        <v>1791</v>
      </c>
      <c r="AK6" t="s">
        <v>51</v>
      </c>
    </row>
    <row r="7" spans="1:38" x14ac:dyDescent="0.2">
      <c r="A7" t="s">
        <v>38</v>
      </c>
      <c r="B7" t="s">
        <v>39</v>
      </c>
      <c r="C7" t="s">
        <v>40</v>
      </c>
      <c r="D7" t="s">
        <v>41</v>
      </c>
      <c r="E7" t="s">
        <v>42</v>
      </c>
      <c r="F7" s="1">
        <v>46091</v>
      </c>
      <c r="G7" s="2">
        <v>6602316534</v>
      </c>
      <c r="H7" t="s">
        <v>59</v>
      </c>
      <c r="I7" t="s">
        <v>60</v>
      </c>
      <c r="J7" t="s">
        <v>45</v>
      </c>
      <c r="K7" t="s">
        <v>61</v>
      </c>
      <c r="L7" t="s">
        <v>62</v>
      </c>
      <c r="M7" t="s">
        <v>48</v>
      </c>
      <c r="N7" t="s">
        <v>63</v>
      </c>
      <c r="O7">
        <v>1795.2</v>
      </c>
      <c r="P7">
        <v>1</v>
      </c>
      <c r="Q7">
        <v>1.1499999999999999</v>
      </c>
      <c r="R7">
        <v>0.75</v>
      </c>
      <c r="S7">
        <v>1500</v>
      </c>
      <c r="T7">
        <v>0</v>
      </c>
      <c r="U7">
        <v>0</v>
      </c>
    </row>
    <row r="8" spans="1:38" x14ac:dyDescent="0.2">
      <c r="A8" t="s">
        <v>38</v>
      </c>
      <c r="B8" t="s">
        <v>39</v>
      </c>
      <c r="C8" t="s">
        <v>40</v>
      </c>
      <c r="D8" t="s">
        <v>41</v>
      </c>
      <c r="E8" t="s">
        <v>42</v>
      </c>
      <c r="F8" s="1">
        <v>46091</v>
      </c>
      <c r="G8" s="2">
        <v>6602316681</v>
      </c>
      <c r="H8" t="s">
        <v>64</v>
      </c>
      <c r="I8" t="s">
        <v>65</v>
      </c>
      <c r="J8" t="s">
        <v>45</v>
      </c>
      <c r="K8" t="s">
        <v>61</v>
      </c>
      <c r="L8" t="s">
        <v>62</v>
      </c>
      <c r="M8" t="s">
        <v>48</v>
      </c>
      <c r="N8" t="s">
        <v>63</v>
      </c>
      <c r="O8">
        <v>2162.4</v>
      </c>
      <c r="P8">
        <v>1</v>
      </c>
      <c r="Q8">
        <v>1.1499999999999999</v>
      </c>
      <c r="R8">
        <v>0.75</v>
      </c>
      <c r="S8">
        <v>1500</v>
      </c>
      <c r="T8">
        <v>0</v>
      </c>
      <c r="U8">
        <v>0</v>
      </c>
    </row>
    <row r="9" spans="1:38" x14ac:dyDescent="0.2">
      <c r="G9" s="3"/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3000</v>
      </c>
      <c r="AI9" t="s">
        <v>66</v>
      </c>
      <c r="AJ9">
        <v>3000</v>
      </c>
      <c r="AK9" t="s">
        <v>51</v>
      </c>
    </row>
    <row r="10" spans="1:38" x14ac:dyDescent="0.2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s="1">
        <v>46090</v>
      </c>
      <c r="G10" s="2">
        <v>6602330522</v>
      </c>
      <c r="H10" t="s">
        <v>67</v>
      </c>
      <c r="I10" t="s">
        <v>68</v>
      </c>
      <c r="J10" t="s">
        <v>45</v>
      </c>
      <c r="K10" t="s">
        <v>69</v>
      </c>
      <c r="L10" t="s">
        <v>70</v>
      </c>
      <c r="M10" t="s">
        <v>48</v>
      </c>
      <c r="N10" t="s">
        <v>71</v>
      </c>
      <c r="O10">
        <v>691.44</v>
      </c>
      <c r="P10">
        <v>1</v>
      </c>
      <c r="Q10">
        <v>1.25</v>
      </c>
      <c r="R10">
        <v>0.75</v>
      </c>
      <c r="S10">
        <v>648</v>
      </c>
      <c r="T10">
        <v>0</v>
      </c>
      <c r="U10">
        <v>0</v>
      </c>
    </row>
    <row r="11" spans="1:38" x14ac:dyDescent="0.2"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648</v>
      </c>
      <c r="AI11" t="s">
        <v>72</v>
      </c>
      <c r="AJ11">
        <v>648</v>
      </c>
      <c r="AK11" t="s">
        <v>51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831D-242F-4E31-B2C6-09DC58DBA209}">
  <dimension ref="A1:R7"/>
  <sheetViews>
    <sheetView tabSelected="1" topLeftCell="H1" workbookViewId="0">
      <selection activeCell="Q2" sqref="Q2:R7"/>
    </sheetView>
  </sheetViews>
  <sheetFormatPr defaultRowHeight="12.75" x14ac:dyDescent="0.2"/>
  <cols>
    <col min="1" max="1" width="16" customWidth="1"/>
    <col min="2" max="2" width="11.28515625" customWidth="1"/>
    <col min="3" max="4" width="12" customWidth="1"/>
    <col min="5" max="5" width="16" customWidth="1"/>
    <col min="6" max="6" width="12.42578125" customWidth="1"/>
    <col min="7" max="7" width="12.7109375" customWidth="1"/>
    <col min="8" max="15" width="16" customWidth="1"/>
    <col min="16" max="16" width="38.85546875" bestFit="1" customWidth="1"/>
    <col min="17" max="229" width="16" customWidth="1"/>
  </cols>
  <sheetData>
    <row r="1" spans="1:18" x14ac:dyDescent="0.2">
      <c r="A1" t="s">
        <v>6</v>
      </c>
      <c r="B1" t="s">
        <v>7</v>
      </c>
      <c r="C1" t="s">
        <v>8</v>
      </c>
      <c r="E1" t="s">
        <v>9</v>
      </c>
      <c r="F1" t="s">
        <v>10</v>
      </c>
      <c r="G1" t="s">
        <v>11</v>
      </c>
      <c r="H1" t="s">
        <v>12</v>
      </c>
      <c r="J1" t="s">
        <v>14</v>
      </c>
      <c r="K1" t="s">
        <v>16</v>
      </c>
      <c r="L1" t="s">
        <v>17</v>
      </c>
      <c r="M1" s="4" t="s">
        <v>73</v>
      </c>
      <c r="N1" s="4" t="s">
        <v>74</v>
      </c>
      <c r="O1" t="s">
        <v>18</v>
      </c>
    </row>
    <row r="2" spans="1:18" s="8" customFormat="1" x14ac:dyDescent="0.2">
      <c r="A2" s="7">
        <v>6602276805</v>
      </c>
      <c r="B2" s="8" t="s">
        <v>43</v>
      </c>
      <c r="C2" s="8" t="s">
        <v>44</v>
      </c>
      <c r="D2" s="8" t="str">
        <f>CONCATENATE(C2," ",B2)</f>
        <v>Arthur Horn</v>
      </c>
      <c r="E2" s="8" t="s">
        <v>45</v>
      </c>
      <c r="F2" s="8" t="s">
        <v>46</v>
      </c>
      <c r="G2" s="8" t="s">
        <v>47</v>
      </c>
      <c r="H2" s="8" t="str">
        <f>CONCATENATE(G2," ",F2)</f>
        <v>Peter Richter</v>
      </c>
      <c r="I2" s="11" t="s">
        <v>77</v>
      </c>
      <c r="J2" s="8">
        <v>2091</v>
      </c>
      <c r="K2" s="9">
        <v>1.1499999999999999</v>
      </c>
      <c r="L2" s="8">
        <v>0.75</v>
      </c>
      <c r="M2" s="8">
        <f>J2/12</f>
        <v>174.25</v>
      </c>
      <c r="N2" s="10">
        <f>M2*K2</f>
        <v>200.38749999999999</v>
      </c>
      <c r="O2" s="8">
        <v>1500</v>
      </c>
      <c r="P2" s="8" t="s">
        <v>75</v>
      </c>
      <c r="Q2" s="12">
        <v>46094</v>
      </c>
      <c r="R2" s="12">
        <v>46125</v>
      </c>
    </row>
    <row r="3" spans="1:18" s="8" customFormat="1" x14ac:dyDescent="0.2">
      <c r="A3" s="7">
        <v>6602276751</v>
      </c>
      <c r="B3" s="8" t="s">
        <v>43</v>
      </c>
      <c r="C3" s="8" t="s">
        <v>52</v>
      </c>
      <c r="D3" s="8" t="str">
        <f t="shared" ref="D3:D7" si="0">CONCATENATE(C3," ",B3)</f>
        <v>Lauren Horn</v>
      </c>
      <c r="E3" s="8" t="s">
        <v>45</v>
      </c>
      <c r="F3" s="8" t="s">
        <v>46</v>
      </c>
      <c r="G3" s="8" t="s">
        <v>47</v>
      </c>
      <c r="H3" s="8" t="str">
        <f t="shared" ref="H3:H7" si="1">CONCATENATE(G3," ",F3)</f>
        <v>Peter Richter</v>
      </c>
      <c r="I3" s="11" t="s">
        <v>77</v>
      </c>
      <c r="J3" s="8">
        <v>887.4</v>
      </c>
      <c r="K3" s="9">
        <v>1.1499999999999999</v>
      </c>
      <c r="L3" s="8">
        <v>0.75</v>
      </c>
      <c r="M3" s="8">
        <f t="shared" ref="M3:M7" si="2">J3/12</f>
        <v>73.95</v>
      </c>
      <c r="N3" s="10">
        <f t="shared" ref="N3:N7" si="3">M3*K3</f>
        <v>85.04249999999999</v>
      </c>
      <c r="O3" s="8">
        <v>765</v>
      </c>
      <c r="P3" s="8" t="s">
        <v>75</v>
      </c>
      <c r="Q3" s="12">
        <v>46093</v>
      </c>
      <c r="R3" s="12">
        <v>46124</v>
      </c>
    </row>
    <row r="4" spans="1:18" s="8" customFormat="1" x14ac:dyDescent="0.2">
      <c r="A4" s="7">
        <v>6602327346</v>
      </c>
      <c r="B4" s="8" t="s">
        <v>53</v>
      </c>
      <c r="C4" s="8" t="s">
        <v>54</v>
      </c>
      <c r="D4" s="8" t="str">
        <f t="shared" si="0"/>
        <v>Sammy Pellegrino</v>
      </c>
      <c r="E4" s="8" t="s">
        <v>45</v>
      </c>
      <c r="F4" s="8" t="s">
        <v>55</v>
      </c>
      <c r="G4" s="8" t="s">
        <v>56</v>
      </c>
      <c r="H4" s="8" t="str">
        <f t="shared" si="1"/>
        <v>Christian Taugner</v>
      </c>
      <c r="I4" s="11" t="s">
        <v>78</v>
      </c>
      <c r="J4" s="8">
        <v>1093.92</v>
      </c>
      <c r="K4" s="9">
        <v>1.25</v>
      </c>
      <c r="L4" s="8">
        <v>0.75</v>
      </c>
      <c r="M4" s="8">
        <f t="shared" si="2"/>
        <v>91.160000000000011</v>
      </c>
      <c r="N4" s="10">
        <f t="shared" si="3"/>
        <v>113.95000000000002</v>
      </c>
      <c r="O4" s="8">
        <v>1026</v>
      </c>
      <c r="P4" s="8" t="s">
        <v>76</v>
      </c>
      <c r="Q4" s="12">
        <v>46093</v>
      </c>
      <c r="R4" s="12">
        <v>46124</v>
      </c>
    </row>
    <row r="5" spans="1:18" x14ac:dyDescent="0.2">
      <c r="A5" s="2">
        <v>6602316534</v>
      </c>
      <c r="B5" t="s">
        <v>59</v>
      </c>
      <c r="C5" t="s">
        <v>60</v>
      </c>
      <c r="D5" t="str">
        <f t="shared" si="0"/>
        <v>Sonary Im</v>
      </c>
      <c r="E5" t="s">
        <v>45</v>
      </c>
      <c r="F5" t="s">
        <v>61</v>
      </c>
      <c r="G5" t="s">
        <v>62</v>
      </c>
      <c r="H5" t="str">
        <f t="shared" si="1"/>
        <v>Jake Shulman</v>
      </c>
      <c r="I5">
        <v>18201929</v>
      </c>
      <c r="J5">
        <v>1795.2</v>
      </c>
      <c r="K5" s="6">
        <v>1.1499999999999999</v>
      </c>
      <c r="L5">
        <v>0.75</v>
      </c>
      <c r="M5">
        <f t="shared" si="2"/>
        <v>149.6</v>
      </c>
      <c r="N5" s="5">
        <f t="shared" si="3"/>
        <v>172.04</v>
      </c>
      <c r="O5">
        <v>1500</v>
      </c>
      <c r="P5" t="s">
        <v>75</v>
      </c>
      <c r="Q5" s="1">
        <v>46091</v>
      </c>
      <c r="R5" s="1">
        <v>46122</v>
      </c>
    </row>
    <row r="6" spans="1:18" x14ac:dyDescent="0.2">
      <c r="A6" s="2">
        <v>6602316681</v>
      </c>
      <c r="B6" t="s">
        <v>64</v>
      </c>
      <c r="C6" t="s">
        <v>65</v>
      </c>
      <c r="D6" t="str">
        <f t="shared" si="0"/>
        <v>Kit Long</v>
      </c>
      <c r="E6" t="s">
        <v>45</v>
      </c>
      <c r="F6" t="s">
        <v>61</v>
      </c>
      <c r="G6" t="s">
        <v>62</v>
      </c>
      <c r="H6" t="str">
        <f t="shared" si="1"/>
        <v>Jake Shulman</v>
      </c>
      <c r="I6">
        <v>18201929</v>
      </c>
      <c r="J6">
        <v>2162.4</v>
      </c>
      <c r="K6" s="6">
        <v>1.1499999999999999</v>
      </c>
      <c r="L6">
        <v>0.75</v>
      </c>
      <c r="M6">
        <f t="shared" si="2"/>
        <v>180.20000000000002</v>
      </c>
      <c r="N6" s="5">
        <f t="shared" si="3"/>
        <v>207.23</v>
      </c>
      <c r="O6">
        <v>1500</v>
      </c>
      <c r="P6" t="s">
        <v>75</v>
      </c>
      <c r="Q6" s="1">
        <v>46091</v>
      </c>
      <c r="R6" s="1">
        <v>46122</v>
      </c>
    </row>
    <row r="7" spans="1:18" s="8" customFormat="1" x14ac:dyDescent="0.2">
      <c r="A7" s="7">
        <v>6602330522</v>
      </c>
      <c r="B7" s="8" t="s">
        <v>67</v>
      </c>
      <c r="C7" s="8" t="s">
        <v>68</v>
      </c>
      <c r="D7" s="8" t="str">
        <f t="shared" si="0"/>
        <v>Mayra Guzman</v>
      </c>
      <c r="E7" s="8" t="s">
        <v>45</v>
      </c>
      <c r="F7" s="8" t="s">
        <v>69</v>
      </c>
      <c r="G7" s="8" t="s">
        <v>70</v>
      </c>
      <c r="H7" s="8" t="str">
        <f t="shared" si="1"/>
        <v>Richard Yale</v>
      </c>
      <c r="I7" s="11" t="s">
        <v>79</v>
      </c>
      <c r="J7" s="8">
        <v>691.44</v>
      </c>
      <c r="K7" s="9">
        <v>1.25</v>
      </c>
      <c r="L7" s="8">
        <v>0.75</v>
      </c>
      <c r="M7" s="8">
        <f t="shared" si="2"/>
        <v>57.620000000000005</v>
      </c>
      <c r="N7" s="10">
        <f t="shared" si="3"/>
        <v>72.025000000000006</v>
      </c>
      <c r="O7" s="8">
        <v>648</v>
      </c>
      <c r="P7" s="8" t="s">
        <v>76</v>
      </c>
      <c r="Q7" s="12">
        <v>46090</v>
      </c>
      <c r="R7" s="12">
        <v>46121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2026-03-16T10:39:25Z</dcterms:created>
  <dcterms:modified xsi:type="dcterms:W3CDTF">2026-03-16T18:44:33Z</dcterms:modified>
</cp:coreProperties>
</file>