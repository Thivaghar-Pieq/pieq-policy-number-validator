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 Statements\Transamerica\2026\advance 2026\2026-05-31\"/>
    </mc:Choice>
  </mc:AlternateContent>
  <xr:revisionPtr revIDLastSave="0" documentId="13_ncr:1_{1F7F7A8E-6FC6-426C-9DF7-1DA95FD37D80}" xr6:coauthVersionLast="47" xr6:coauthVersionMax="47" xr10:uidLastSave="{00000000-0000-0000-0000-000000000000}"/>
  <bookViews>
    <workbookView xWindow="-120" yWindow="-120" windowWidth="29040" windowHeight="15720" xr2:uid="{D5F86D4E-F98D-4422-BECD-F65DC14B0821}"/>
  </bookViews>
  <sheets>
    <sheet name="Sheet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" i="1" l="1"/>
  <c r="Q5" i="1"/>
  <c r="Q4" i="1"/>
  <c r="Q2" i="1"/>
  <c r="P7" i="1"/>
  <c r="P5" i="1"/>
  <c r="P4" i="1"/>
  <c r="P2" i="1"/>
</calcChain>
</file>

<file path=xl/sharedStrings.xml><?xml version="1.0" encoding="utf-8"?>
<sst xmlns="http://schemas.openxmlformats.org/spreadsheetml/2006/main" count="96" uniqueCount="60">
  <si>
    <t>Commission Agent Last Name</t>
  </si>
  <si>
    <t>Commission Agent First Name</t>
  </si>
  <si>
    <t>Commission Agent Business Name</t>
  </si>
  <si>
    <t>Commission Agent Number</t>
  </si>
  <si>
    <t>Statutory Company Name</t>
  </si>
  <si>
    <t>Transaction Date</t>
  </si>
  <si>
    <t>Policy Number</t>
  </si>
  <si>
    <t>Insured Last Name</t>
  </si>
  <si>
    <t>Insured First Name</t>
  </si>
  <si>
    <t>Description</t>
  </si>
  <si>
    <t>Writing Agent Last Name</t>
  </si>
  <si>
    <t>Writing Agent First Name</t>
  </si>
  <si>
    <t>Writing Agent Business Name</t>
  </si>
  <si>
    <t>Writing Agent Number</t>
  </si>
  <si>
    <t>Commission Premium</t>
  </si>
  <si>
    <t>Split %</t>
  </si>
  <si>
    <t>Commission %</t>
  </si>
  <si>
    <t>Adv %</t>
  </si>
  <si>
    <t>Advance Amount</t>
  </si>
  <si>
    <t>Writing Agent Over Advance</t>
  </si>
  <si>
    <t>Overwrite Over Advance</t>
  </si>
  <si>
    <t>Commission Amount</t>
  </si>
  <si>
    <t>PSOP Amount</t>
  </si>
  <si>
    <t>Net Commission Amount</t>
  </si>
  <si>
    <t>Writing Agent Chargeback</t>
  </si>
  <si>
    <t>Overwrite Chargeback</t>
  </si>
  <si>
    <t>Writing Agent Balance Forward</t>
  </si>
  <si>
    <t>Overwrite Agent Balance Forward</t>
  </si>
  <si>
    <t>Writing Agent Less Recovery Amount</t>
  </si>
  <si>
    <t>Overwrite Agent Less Recovery Amount</t>
  </si>
  <si>
    <t>Writing Agent Ending Balance</t>
  </si>
  <si>
    <t>Overwrite Agent Ending Balance</t>
  </si>
  <si>
    <t>Writing Agent Total Adavance Amount</t>
  </si>
  <si>
    <t>Overwrite Agent Total Adavance Amount</t>
  </si>
  <si>
    <t>Payment Type Reference Number</t>
  </si>
  <si>
    <t>Payment Amount</t>
  </si>
  <si>
    <t>Payee Advance Check Line</t>
  </si>
  <si>
    <t>Payee Advance Check Amount</t>
  </si>
  <si>
    <t>Hoffmann</t>
  </si>
  <si>
    <t>Jason</t>
  </si>
  <si>
    <t>Main Line Benefits Llc</t>
  </si>
  <si>
    <t>MLSR156747</t>
  </si>
  <si>
    <t>Transamerica Life Insurance Company</t>
  </si>
  <si>
    <t>Cleary</t>
  </si>
  <si>
    <t>Vincent</t>
  </si>
  <si>
    <t>OW Placed Adv</t>
  </si>
  <si>
    <t>Max</t>
  </si>
  <si>
    <t>Ronald</t>
  </si>
  <si>
    <t/>
  </si>
  <si>
    <t>MLSR170743</t>
  </si>
  <si>
    <t>EFT2346814</t>
  </si>
  <si>
    <t>PAYEE ADVANCE EFT 0 MAIN LINE BENEFITS LLC</t>
  </si>
  <si>
    <t>Cavey</t>
  </si>
  <si>
    <t>Matthew</t>
  </si>
  <si>
    <t>EFT2345064</t>
  </si>
  <si>
    <t>Carr</t>
  </si>
  <si>
    <t>Brandon Joseph</t>
  </si>
  <si>
    <t>EFT2343369</t>
  </si>
  <si>
    <t>Trendsetter Super 20 25 30 Year LB 15 2024</t>
  </si>
  <si>
    <t>Trendsetter LB 20 25 30 Year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</si>
</sst>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729EA-F8F3-4A14-84B8-CBAA4DD694E7}">
  <dimension ref="A1:AN8"/>
  <sheetViews>
    <sheetView tabSelected="1" topLeftCell="E1" workbookViewId="0">
      <selection activeCell="H10" sqref="H10:H15"/>
    </sheetView>
  </sheetViews>
  <sheetFormatPr defaultRowHeight="12.75" x14ac:dyDescent="0.2"/>
  <cols>
    <col min="1" max="258" width="16" customWidth="1"/>
  </cols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</row>
    <row r="2" spans="1:40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s="1">
        <v>46177</v>
      </c>
      <c r="G2" s="2">
        <v>6602342677</v>
      </c>
      <c r="H2" t="s">
        <v>43</v>
      </c>
      <c r="I2" t="s">
        <v>44</v>
      </c>
      <c r="J2" t="s">
        <v>45</v>
      </c>
      <c r="K2" t="s">
        <v>46</v>
      </c>
      <c r="L2" t="s">
        <v>47</v>
      </c>
      <c r="M2" t="s">
        <v>48</v>
      </c>
      <c r="N2" t="s">
        <v>49</v>
      </c>
      <c r="O2">
        <v>3999.99</v>
      </c>
      <c r="P2" s="3">
        <f>O2/12</f>
        <v>333.33249999999998</v>
      </c>
      <c r="Q2" s="3">
        <f>P2*S2</f>
        <v>383.33237499999996</v>
      </c>
      <c r="R2">
        <v>1</v>
      </c>
      <c r="S2">
        <v>1.1499999999999999</v>
      </c>
      <c r="T2">
        <v>0.75</v>
      </c>
      <c r="U2">
        <v>1500</v>
      </c>
      <c r="V2">
        <v>0</v>
      </c>
      <c r="W2">
        <v>0</v>
      </c>
      <c r="X2" t="s">
        <v>58</v>
      </c>
    </row>
    <row r="3" spans="1:40" x14ac:dyDescent="0.2"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1500</v>
      </c>
      <c r="AK3" t="s">
        <v>50</v>
      </c>
      <c r="AL3">
        <v>1500</v>
      </c>
      <c r="AM3" t="s">
        <v>51</v>
      </c>
    </row>
    <row r="4" spans="1:40" x14ac:dyDescent="0.2">
      <c r="A4" t="s">
        <v>38</v>
      </c>
      <c r="B4" t="s">
        <v>39</v>
      </c>
      <c r="C4" t="s">
        <v>40</v>
      </c>
      <c r="D4" t="s">
        <v>41</v>
      </c>
      <c r="E4" t="s">
        <v>42</v>
      </c>
      <c r="F4" s="1">
        <v>46176</v>
      </c>
      <c r="G4" s="2">
        <v>6602341477</v>
      </c>
      <c r="H4" t="s">
        <v>52</v>
      </c>
      <c r="I4" t="s">
        <v>53</v>
      </c>
      <c r="J4" t="s">
        <v>45</v>
      </c>
      <c r="K4" t="s">
        <v>46</v>
      </c>
      <c r="L4" t="s">
        <v>47</v>
      </c>
      <c r="M4" t="s">
        <v>48</v>
      </c>
      <c r="N4" t="s">
        <v>49</v>
      </c>
      <c r="O4">
        <v>1413.84</v>
      </c>
      <c r="P4" s="3">
        <f t="shared" ref="P4:P5" si="0">O4/12</f>
        <v>117.82</v>
      </c>
      <c r="Q4" s="3">
        <f t="shared" ref="Q4:Q5" si="1">P4*S4</f>
        <v>147.27499999999998</v>
      </c>
      <c r="R4">
        <v>1</v>
      </c>
      <c r="S4">
        <v>1.25</v>
      </c>
      <c r="T4">
        <v>0.75</v>
      </c>
      <c r="U4">
        <v>1325</v>
      </c>
      <c r="V4">
        <v>0</v>
      </c>
      <c r="W4">
        <v>0</v>
      </c>
      <c r="X4" t="s">
        <v>59</v>
      </c>
    </row>
    <row r="5" spans="1:40" x14ac:dyDescent="0.2">
      <c r="A5" t="s">
        <v>38</v>
      </c>
      <c r="B5" t="s">
        <v>39</v>
      </c>
      <c r="C5" t="s">
        <v>40</v>
      </c>
      <c r="D5" t="s">
        <v>41</v>
      </c>
      <c r="E5" t="s">
        <v>42</v>
      </c>
      <c r="F5" s="1">
        <v>46176</v>
      </c>
      <c r="G5" s="2">
        <v>6602341477</v>
      </c>
      <c r="H5" t="s">
        <v>52</v>
      </c>
      <c r="I5" t="s">
        <v>53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>
        <v>61.92</v>
      </c>
      <c r="P5" s="3">
        <f t="shared" si="0"/>
        <v>5.16</v>
      </c>
      <c r="Q5" s="3">
        <f t="shared" si="1"/>
        <v>6.45</v>
      </c>
      <c r="R5">
        <v>1</v>
      </c>
      <c r="S5">
        <v>1.25</v>
      </c>
      <c r="T5">
        <v>0.75</v>
      </c>
      <c r="U5">
        <v>58</v>
      </c>
      <c r="V5">
        <v>0</v>
      </c>
      <c r="W5">
        <v>0</v>
      </c>
      <c r="X5" t="s">
        <v>59</v>
      </c>
    </row>
    <row r="6" spans="1:40" x14ac:dyDescent="0.2"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1383</v>
      </c>
      <c r="AK6" t="s">
        <v>54</v>
      </c>
      <c r="AL6">
        <v>1383</v>
      </c>
      <c r="AM6" t="s">
        <v>51</v>
      </c>
    </row>
    <row r="7" spans="1:40" x14ac:dyDescent="0.2">
      <c r="A7" t="s">
        <v>38</v>
      </c>
      <c r="B7" t="s">
        <v>39</v>
      </c>
      <c r="C7" t="s">
        <v>40</v>
      </c>
      <c r="D7" t="s">
        <v>41</v>
      </c>
      <c r="E7" t="s">
        <v>42</v>
      </c>
      <c r="F7" s="1">
        <v>46175</v>
      </c>
      <c r="G7" s="2">
        <v>6602367000</v>
      </c>
      <c r="H7" t="s">
        <v>55</v>
      </c>
      <c r="I7" t="s">
        <v>56</v>
      </c>
      <c r="J7" t="s">
        <v>45</v>
      </c>
      <c r="K7" t="s">
        <v>46</v>
      </c>
      <c r="L7" t="s">
        <v>47</v>
      </c>
      <c r="M7" t="s">
        <v>48</v>
      </c>
      <c r="N7" t="s">
        <v>49</v>
      </c>
      <c r="O7">
        <v>887.4</v>
      </c>
      <c r="P7" s="3">
        <f>O7/12</f>
        <v>73.95</v>
      </c>
      <c r="Q7" s="3">
        <f>P7*S7</f>
        <v>85.04249999999999</v>
      </c>
      <c r="R7">
        <v>1</v>
      </c>
      <c r="S7">
        <v>1.1499999999999999</v>
      </c>
      <c r="T7">
        <v>0.75</v>
      </c>
      <c r="U7">
        <v>765</v>
      </c>
      <c r="V7">
        <v>0</v>
      </c>
      <c r="W7">
        <v>0</v>
      </c>
      <c r="X7" t="s">
        <v>58</v>
      </c>
    </row>
    <row r="8" spans="1:40" x14ac:dyDescent="0.2"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765</v>
      </c>
      <c r="AK8" t="s">
        <v>57</v>
      </c>
      <c r="AL8">
        <v>765</v>
      </c>
      <c r="AM8" t="s">
        <v>51</v>
      </c>
    </row>
  </sheetData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2026-06-05T11:21:04Z</dcterms:created>
  <dcterms:modified xsi:type="dcterms:W3CDTF">2026-06-05T19:59:02Z</dcterms:modified>
</cp:coreProperties>
</file>