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dvance 2026\3-15-26 to 3-21-26\"/>
    </mc:Choice>
  </mc:AlternateContent>
  <xr:revisionPtr revIDLastSave="0" documentId="13_ncr:1_{58613818-BBD3-4F28-B20D-5550B0FF9C33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0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JMY5VBsOrs2CgMqI29Dw++rKvl16pAr2X+U98A0FnE=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P3" i="2"/>
  <c r="Q3" i="2" s="1"/>
  <c r="P4" i="2"/>
  <c r="Q4" i="2" s="1"/>
  <c r="P5" i="2"/>
  <c r="Q5" i="2" s="1"/>
  <c r="P2" i="2"/>
  <c r="Q2" i="2" s="1"/>
</calcChain>
</file>

<file path=xl/sharedStrings.xml><?xml version="1.0" encoding="utf-8"?>
<sst xmlns="http://schemas.openxmlformats.org/spreadsheetml/2006/main" count="115" uniqueCount="70">
  <si>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</si>
  <si>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</si>
  <si>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</si>
  <si>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</si>
  <si>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</si>
  <si>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</si>
  <si>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</si>
  <si>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</si>
  <si>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</si>
  <si>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</si>
  <si>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</si>
  <si>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</si>
  <si>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</si>
  <si>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</si>
  <si>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</si>
  <si>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</si>
  <si>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</si>
  <si>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</si>
  <si>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</si>
  <si>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</si>
  <si>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</si>
  <si>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</si>
  <si>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</si>
  <si>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</si>
  <si>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</si>
  <si>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</si>
  <si>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</si>
  <si>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</si>
  <si>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</si>
  <si>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</si>
  <si>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</si>
  <si>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</si>
  <si>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</si>
  <si>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</si>
  <si>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</si>
  <si>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</si>
  <si>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</si>
  <si>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</si>
  <si>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</si>
  <si>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</si>
  <si>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</si>
  <si>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</si>
  <si>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</si>
  <si>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Shulman</t>
  </si>
  <si>
    <t>Benjamin</t>
  </si>
  <si>
    <t>OW Placed Adv</t>
  </si>
  <si>
    <t>Jake</t>
  </si>
  <si>
    <t>MLSR165860</t>
  </si>
  <si>
    <t>EFT2277689</t>
  </si>
  <si>
    <t>PAYEE ADVANCE EFT 0 MAIN LINE BENEFITS LLC</t>
  </si>
  <si>
    <t>Nina</t>
  </si>
  <si>
    <t>Erdene Ochir</t>
  </si>
  <si>
    <t>Zana</t>
  </si>
  <si>
    <t>Nasandelger</t>
  </si>
  <si>
    <t>MLSR137577</t>
  </si>
  <si>
    <t>EFT2276479</t>
  </si>
  <si>
    <t>Amore</t>
  </si>
  <si>
    <t>Joseph</t>
  </si>
  <si>
    <t>Taugner</t>
  </si>
  <si>
    <t>Christian</t>
  </si>
  <si>
    <t>MLSR137518</t>
  </si>
  <si>
    <t>EFT2271936</t>
  </si>
  <si>
    <t>monthly prem</t>
  </si>
  <si>
    <t>monthly comm</t>
  </si>
  <si>
    <t>Trendsetter LB 20 25 30 Year 115 2023</t>
  </si>
  <si>
    <t>Issue Date</t>
  </si>
  <si>
    <t>PRODUCT</t>
  </si>
  <si>
    <t>Trendsetter LB 20 25 30 Year 2025</t>
  </si>
  <si>
    <t>20220688AV9</t>
  </si>
  <si>
    <t>19681796AV9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</si>
</sst>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workbookViewId="0">
      <selection sqref="A1:XFD1048576"/>
    </sheetView>
  </sheetViews>
  <sheetFormatPr defaultColWidth="12.5703125" defaultRowHeight="15" customHeight="1" x14ac:dyDescent="0.2"/>
  <cols>
    <col min="1" max="38" width="16" customWidth="1"/>
  </cols>
  <sheetData>
    <row r="1" spans="1:38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2.75" customHeight="1" x14ac:dyDescent="0.2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2">
        <v>46101</v>
      </c>
      <c r="G2" s="1">
        <v>6602334485</v>
      </c>
      <c r="H2" s="1" t="s">
        <v>43</v>
      </c>
      <c r="I2" s="1" t="s">
        <v>44</v>
      </c>
      <c r="J2" s="1" t="s">
        <v>45</v>
      </c>
      <c r="K2" s="1" t="s">
        <v>43</v>
      </c>
      <c r="L2" s="1" t="s">
        <v>46</v>
      </c>
      <c r="M2" s="1"/>
      <c r="N2" s="1" t="s">
        <v>47</v>
      </c>
      <c r="O2" s="3">
        <v>1193.4000000000001</v>
      </c>
      <c r="P2" s="3">
        <v>1</v>
      </c>
      <c r="Q2" s="3">
        <v>1.1499999999999999</v>
      </c>
      <c r="R2" s="3">
        <v>0.75</v>
      </c>
      <c r="S2" s="3">
        <v>1029</v>
      </c>
      <c r="T2" s="3">
        <v>0</v>
      </c>
      <c r="U2" s="3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1029</v>
      </c>
      <c r="AI3" s="1" t="s">
        <v>48</v>
      </c>
      <c r="AJ3" s="3">
        <v>1029</v>
      </c>
      <c r="AK3" s="4" t="s">
        <v>49</v>
      </c>
      <c r="AL3" s="5"/>
    </row>
    <row r="4" spans="1:38" ht="12.75" customHeight="1" x14ac:dyDescent="0.2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2">
        <v>46100</v>
      </c>
      <c r="G4" s="1">
        <v>6602324836</v>
      </c>
      <c r="H4" s="1" t="s">
        <v>50</v>
      </c>
      <c r="I4" s="1" t="s">
        <v>51</v>
      </c>
      <c r="J4" s="1" t="s">
        <v>45</v>
      </c>
      <c r="K4" s="1" t="s">
        <v>52</v>
      </c>
      <c r="L4" s="1" t="s">
        <v>53</v>
      </c>
      <c r="M4" s="1"/>
      <c r="N4" s="1" t="s">
        <v>54</v>
      </c>
      <c r="O4" s="3">
        <v>1088.76</v>
      </c>
      <c r="P4" s="3">
        <v>1</v>
      </c>
      <c r="Q4" s="3">
        <v>1.25</v>
      </c>
      <c r="R4" s="3">
        <v>0.75</v>
      </c>
      <c r="S4" s="3">
        <v>1021</v>
      </c>
      <c r="T4" s="3">
        <v>0</v>
      </c>
      <c r="U4" s="3">
        <v>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1021</v>
      </c>
      <c r="AI5" s="1" t="s">
        <v>55</v>
      </c>
      <c r="AJ5" s="3">
        <v>1021</v>
      </c>
      <c r="AK5" s="4" t="s">
        <v>49</v>
      </c>
      <c r="AL5" s="5"/>
    </row>
    <row r="6" spans="1:38" ht="12.75" customHeight="1" x14ac:dyDescent="0.2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2">
        <v>46097</v>
      </c>
      <c r="G6" s="1">
        <v>6602330507</v>
      </c>
      <c r="H6" s="1" t="s">
        <v>56</v>
      </c>
      <c r="I6" s="1" t="s">
        <v>57</v>
      </c>
      <c r="J6" s="1" t="s">
        <v>45</v>
      </c>
      <c r="K6" s="1" t="s">
        <v>58</v>
      </c>
      <c r="L6" s="1" t="s">
        <v>59</v>
      </c>
      <c r="M6" s="1"/>
      <c r="N6" s="1" t="s">
        <v>60</v>
      </c>
      <c r="O6" s="3">
        <v>825.6</v>
      </c>
      <c r="P6" s="3">
        <v>1</v>
      </c>
      <c r="Q6" s="3">
        <v>1.25</v>
      </c>
      <c r="R6" s="3">
        <v>0.75</v>
      </c>
      <c r="S6" s="3">
        <v>774</v>
      </c>
      <c r="T6" s="3">
        <v>0</v>
      </c>
      <c r="U6" s="3">
        <v>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774</v>
      </c>
      <c r="AI7" s="1" t="s">
        <v>61</v>
      </c>
      <c r="AJ7" s="3">
        <v>774</v>
      </c>
      <c r="AK7" s="4" t="s">
        <v>49</v>
      </c>
      <c r="AL7" s="5"/>
    </row>
    <row r="8" spans="1:38" ht="12.75" customHeight="1" x14ac:dyDescent="0.2"/>
    <row r="9" spans="1:38" ht="12.75" customHeight="1" x14ac:dyDescent="0.2"/>
    <row r="10" spans="1:38" ht="12.75" customHeight="1" x14ac:dyDescent="0.2"/>
    <row r="11" spans="1:38" ht="12.75" customHeight="1" x14ac:dyDescent="0.2"/>
    <row r="12" spans="1:38" ht="12.75" customHeight="1" x14ac:dyDescent="0.2"/>
    <row r="13" spans="1:38" ht="12.75" customHeight="1" x14ac:dyDescent="0.2"/>
    <row r="14" spans="1:38" ht="12.75" customHeight="1" x14ac:dyDescent="0.2"/>
    <row r="15" spans="1:38" ht="12.75" customHeight="1" x14ac:dyDescent="0.2"/>
    <row r="16" spans="1:3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AK3:AL3"/>
    <mergeCell ref="AK5:AL5"/>
    <mergeCell ref="AK7:AL7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4F63-48E6-43E6-B754-00D653B32B97}">
  <dimension ref="A1:S5"/>
  <sheetViews>
    <sheetView tabSelected="1" workbookViewId="0">
      <selection activeCell="A3" sqref="A3"/>
    </sheetView>
  </sheetViews>
  <sheetFormatPr defaultColWidth="12.5703125" defaultRowHeight="12.75" x14ac:dyDescent="0.2"/>
  <cols>
    <col min="1" max="1" width="13.28515625" style="7" bestFit="1" customWidth="1"/>
    <col min="2" max="2" width="16.7109375" style="7" bestFit="1" customWidth="1"/>
    <col min="3" max="3" width="16.85546875" style="7" bestFit="1" customWidth="1"/>
    <col min="4" max="4" width="14.28515625" style="7" bestFit="1" customWidth="1"/>
    <col min="5" max="5" width="22.28515625" style="7" bestFit="1" customWidth="1"/>
    <col min="6" max="6" width="22.42578125" style="7" bestFit="1" customWidth="1"/>
    <col min="7" max="7" width="22.42578125" style="7" customWidth="1"/>
    <col min="8" max="9" width="19.5703125" style="7" bestFit="1" customWidth="1"/>
    <col min="10" max="10" width="7" style="7" bestFit="1" customWidth="1"/>
    <col min="11" max="11" width="13.7109375" style="7" bestFit="1" customWidth="1"/>
    <col min="12" max="12" width="6.28515625" style="7" bestFit="1" customWidth="1"/>
    <col min="13" max="13" width="15.140625" style="7" bestFit="1" customWidth="1"/>
    <col min="14" max="14" width="18.5703125" style="7" bestFit="1" customWidth="1"/>
    <col min="15" max="15" width="15.5703125" style="7" bestFit="1" customWidth="1"/>
    <col min="16" max="17" width="12.5703125" style="7"/>
    <col min="18" max="18" width="34.28515625" style="7" bestFit="1" customWidth="1"/>
    <col min="19" max="19" width="12.5703125" style="9"/>
    <col min="20" max="16384" width="12.5703125" style="7"/>
  </cols>
  <sheetData>
    <row r="1" spans="1:19" x14ac:dyDescent="0.2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/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21</v>
      </c>
      <c r="O1" s="6" t="s">
        <v>35</v>
      </c>
      <c r="P1" s="8" t="s">
        <v>62</v>
      </c>
      <c r="Q1" s="8" t="s">
        <v>63</v>
      </c>
      <c r="R1" s="8" t="s">
        <v>66</v>
      </c>
      <c r="S1" s="9" t="s">
        <v>65</v>
      </c>
    </row>
    <row r="2" spans="1:19" x14ac:dyDescent="0.2">
      <c r="A2" s="6">
        <v>6602334485</v>
      </c>
      <c r="B2" s="6" t="s">
        <v>43</v>
      </c>
      <c r="C2" s="6" t="s">
        <v>44</v>
      </c>
      <c r="D2" s="6" t="s">
        <v>45</v>
      </c>
      <c r="E2" s="6" t="s">
        <v>43</v>
      </c>
      <c r="F2" s="6" t="s">
        <v>46</v>
      </c>
      <c r="G2" s="6" t="str">
        <f>CONCATENATE(F2, " ",E2)</f>
        <v>Jake Shulman</v>
      </c>
      <c r="H2" s="6">
        <v>18201929</v>
      </c>
      <c r="I2" s="6">
        <v>1193.4000000000001</v>
      </c>
      <c r="J2" s="6">
        <v>1</v>
      </c>
      <c r="K2" s="6">
        <v>1.1499999999999999</v>
      </c>
      <c r="L2" s="6">
        <v>0.75</v>
      </c>
      <c r="M2" s="6">
        <v>1029</v>
      </c>
      <c r="N2" s="6"/>
      <c r="O2" s="6"/>
      <c r="P2" s="7">
        <f>SUM(I2/12)</f>
        <v>99.45</v>
      </c>
      <c r="Q2" s="7">
        <f>SUM(P2*K2%*100)</f>
        <v>114.36750000000001</v>
      </c>
      <c r="R2" s="7" t="s">
        <v>64</v>
      </c>
      <c r="S2" s="9">
        <v>46101</v>
      </c>
    </row>
    <row r="3" spans="1:19" x14ac:dyDescent="0.2">
      <c r="A3" s="6">
        <v>6602324836</v>
      </c>
      <c r="B3" s="6" t="s">
        <v>50</v>
      </c>
      <c r="C3" s="6" t="s">
        <v>51</v>
      </c>
      <c r="D3" s="6" t="s">
        <v>45</v>
      </c>
      <c r="E3" s="6" t="s">
        <v>52</v>
      </c>
      <c r="F3" s="6" t="s">
        <v>53</v>
      </c>
      <c r="G3" s="6" t="str">
        <f t="shared" ref="G3:G5" si="0">CONCATENATE(F3, " ",E3)</f>
        <v>Nasandelger Zana</v>
      </c>
      <c r="H3" s="6" t="s">
        <v>68</v>
      </c>
      <c r="I3" s="6">
        <v>1088.76</v>
      </c>
      <c r="J3" s="6">
        <v>1</v>
      </c>
      <c r="K3" s="6">
        <v>1.25</v>
      </c>
      <c r="L3" s="6">
        <v>0.75</v>
      </c>
      <c r="M3" s="6">
        <v>1021</v>
      </c>
      <c r="N3" s="6"/>
      <c r="O3" s="6"/>
      <c r="P3" s="7">
        <f t="shared" ref="P3:P5" si="1">SUM(I3/12)</f>
        <v>90.73</v>
      </c>
      <c r="Q3" s="7">
        <f t="shared" ref="Q3:Q5" si="2">SUM(P3*K3%*100)</f>
        <v>113.41250000000001</v>
      </c>
      <c r="R3" s="7" t="s">
        <v>67</v>
      </c>
      <c r="S3" s="9">
        <v>46100</v>
      </c>
    </row>
    <row r="4" spans="1:19" x14ac:dyDescent="0.2">
      <c r="A4" s="6">
        <v>6602330507</v>
      </c>
      <c r="B4" s="6" t="s">
        <v>56</v>
      </c>
      <c r="C4" s="6" t="s">
        <v>57</v>
      </c>
      <c r="D4" s="6" t="s">
        <v>45</v>
      </c>
      <c r="E4" s="6" t="s">
        <v>58</v>
      </c>
      <c r="F4" s="6" t="s">
        <v>59</v>
      </c>
      <c r="G4" s="6" t="str">
        <f t="shared" si="0"/>
        <v>Christian Taugner</v>
      </c>
      <c r="H4" s="6" t="s">
        <v>69</v>
      </c>
      <c r="I4" s="6">
        <v>825.6</v>
      </c>
      <c r="J4" s="6">
        <v>1</v>
      </c>
      <c r="K4" s="6">
        <v>1.25</v>
      </c>
      <c r="L4" s="6">
        <v>0.75</v>
      </c>
      <c r="M4" s="6">
        <v>774</v>
      </c>
      <c r="N4" s="6"/>
      <c r="O4" s="6"/>
      <c r="P4" s="7">
        <f t="shared" si="1"/>
        <v>68.8</v>
      </c>
      <c r="Q4" s="7">
        <f t="shared" si="2"/>
        <v>86</v>
      </c>
      <c r="R4" s="7" t="s">
        <v>67</v>
      </c>
      <c r="S4" s="9">
        <v>46097</v>
      </c>
    </row>
    <row r="5" spans="1:19" x14ac:dyDescent="0.2">
      <c r="A5" s="6"/>
      <c r="B5" s="6"/>
      <c r="C5" s="6"/>
      <c r="D5" s="6"/>
      <c r="E5" s="6"/>
      <c r="F5" s="6"/>
      <c r="G5" s="6" t="str">
        <f t="shared" si="0"/>
        <v xml:space="preserve"> </v>
      </c>
      <c r="H5" s="6"/>
      <c r="I5" s="6"/>
      <c r="J5" s="6"/>
      <c r="K5" s="6"/>
      <c r="L5" s="6"/>
      <c r="M5" s="6"/>
      <c r="N5" s="6"/>
      <c r="O5" s="6">
        <v>774</v>
      </c>
      <c r="P5" s="7">
        <f t="shared" si="1"/>
        <v>0</v>
      </c>
      <c r="Q5" s="7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Janki Patel</cp:lastModifiedBy>
  <dcterms:created xsi:type="dcterms:W3CDTF">2026-03-20T08:08:26Z</dcterms:created>
  <dcterms:modified xsi:type="dcterms:W3CDTF">2026-04-01T17:10:59Z</dcterms:modified>
</cp:coreProperties>
</file>