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s Earned\7-31-25\"/>
    </mc:Choice>
  </mc:AlternateContent>
  <xr:revisionPtr revIDLastSave="0" documentId="13_ncr:1_{E8A4491F-6FD3-428F-BD86-658FFE4F0315}" xr6:coauthVersionLast="47" xr6:coauthVersionMax="47" xr10:uidLastSave="{00000000-0000-0000-0000-000000000000}"/>
  <bookViews>
    <workbookView xWindow="-57720" yWindow="-45" windowWidth="29040" windowHeight="15720" activeTab="1" xr2:uid="{1E1ACB72-1DEA-404C-88DA-8F351EE089C9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1" hidden="1">Sheet2!$A$1:$P$68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  <c r="J3" i="2"/>
  <c r="J4" i="2"/>
  <c r="J26" i="2"/>
  <c r="J8" i="2"/>
  <c r="J9" i="2"/>
  <c r="J23" i="2"/>
  <c r="J10" i="2"/>
  <c r="J5" i="2"/>
  <c r="J6" i="2"/>
  <c r="J11" i="2"/>
  <c r="J7" i="2"/>
  <c r="J24" i="2"/>
  <c r="J14" i="2"/>
  <c r="J20" i="2"/>
  <c r="J15" i="2"/>
  <c r="J12" i="2"/>
  <c r="J16" i="2"/>
  <c r="J17" i="2"/>
  <c r="J21" i="2"/>
  <c r="J13" i="2"/>
  <c r="J22" i="2"/>
  <c r="J25" i="2"/>
  <c r="J18" i="2"/>
  <c r="J19" i="2"/>
  <c r="J30" i="2"/>
  <c r="J29" i="2"/>
  <c r="J28" i="2"/>
  <c r="J27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7" i="2"/>
  <c r="J45" i="2"/>
  <c r="J46" i="2"/>
  <c r="J48" i="2"/>
  <c r="J49" i="2"/>
  <c r="J50" i="2"/>
  <c r="J51" i="2"/>
  <c r="J52" i="2"/>
  <c r="J56" i="2"/>
  <c r="J53" i="2"/>
  <c r="J54" i="2"/>
  <c r="J55" i="2"/>
  <c r="J57" i="2"/>
  <c r="J58" i="2"/>
  <c r="J59" i="2"/>
  <c r="J60" i="2"/>
  <c r="J64" i="2"/>
  <c r="J63" i="2"/>
  <c r="J65" i="2"/>
  <c r="J66" i="2"/>
  <c r="J67" i="2"/>
  <c r="J61" i="2"/>
  <c r="J62" i="2"/>
  <c r="J68" i="2"/>
  <c r="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<sst xmlns="http://schemas.openxmlformats.org/spreadsheetml/2006/main" count="2090" uniqueCount="357">
  <si>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</si>
  <si>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</si>
  <si>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</si>
  <si>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</si>
  <si>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</si>
  <si>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</si>
  <si>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</si>
  <si>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</si>
  <si>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</si>
  <si>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</si>
  <si>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</si>
  <si>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</si>
  <si>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</si>
  <si>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</si>
  <si>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</si>
  <si>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</si>
  <si>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</si>
  <si>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</si>
  <si>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</si>
  <si>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</si>
  <si>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</si>
  <si>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</si>
  <si>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</si>
  <si>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</si>
  <si>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</si>
  <si>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</si>
  <si>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</si>
  <si>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</si>
  <si>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MLSR112581</t>
  </si>
  <si>
    <t>Inactive</t>
  </si>
  <si>
    <t>01/26/2023</t>
  </si>
  <si>
    <t/>
  </si>
  <si>
    <t>Transamerica Life Insurance Co.</t>
  </si>
  <si>
    <t>07/31/2025</t>
  </si>
  <si>
    <t xml:space="preserve">STERNER, MURRAY </t>
  </si>
  <si>
    <t>0MLSR91740</t>
  </si>
  <si>
    <t>Individual AFP</t>
  </si>
  <si>
    <t>FEX426275</t>
  </si>
  <si>
    <t>N</t>
  </si>
  <si>
    <t>Smith</t>
  </si>
  <si>
    <t>TD12KI</t>
  </si>
  <si>
    <t>Ord Life</t>
  </si>
  <si>
    <t>05/06/2025</t>
  </si>
  <si>
    <t>08/06/2025</t>
  </si>
  <si>
    <t>Monthly</t>
  </si>
  <si>
    <t>OW 1st Yr</t>
  </si>
  <si>
    <t xml:space="preserve">FOLEY, CAROL </t>
  </si>
  <si>
    <t>MLSR106240</t>
  </si>
  <si>
    <t>CYBERLIFE 10.01</t>
  </si>
  <si>
    <t>6602139774</t>
  </si>
  <si>
    <t>Y</t>
  </si>
  <si>
    <t>Verderame</t>
  </si>
  <si>
    <t>TD542F</t>
  </si>
  <si>
    <t>07/15/2025</t>
  </si>
  <si>
    <t>08/15/2025</t>
  </si>
  <si>
    <t>RICHTER, ADAM J</t>
  </si>
  <si>
    <t>MLSR113135</t>
  </si>
  <si>
    <t>FEX216217</t>
  </si>
  <si>
    <t>Hemsley</t>
  </si>
  <si>
    <t>01/15/2023</t>
  </si>
  <si>
    <t>OW Renew</t>
  </si>
  <si>
    <t>FEX260610</t>
  </si>
  <si>
    <t>Langrall</t>
  </si>
  <si>
    <t>08/04/2023</t>
  </si>
  <si>
    <t>08/04/2025</t>
  </si>
  <si>
    <t>FEX307869</t>
  </si>
  <si>
    <t>Robinson</t>
  </si>
  <si>
    <t>02/05/2024</t>
  </si>
  <si>
    <t>08/05/2025</t>
  </si>
  <si>
    <t>TEIPEL, GREGORY K</t>
  </si>
  <si>
    <t>MLSR113179</t>
  </si>
  <si>
    <t>FEXB034657</t>
  </si>
  <si>
    <t>Krom</t>
  </si>
  <si>
    <t>TAFEST01</t>
  </si>
  <si>
    <t>02/01/2025</t>
  </si>
  <si>
    <t>08/01/2025</t>
  </si>
  <si>
    <t>FEXB034857</t>
  </si>
  <si>
    <t>Jones</t>
  </si>
  <si>
    <t>FEXB035013</t>
  </si>
  <si>
    <t>FINNIGAN, COLLEEN J</t>
  </si>
  <si>
    <t>MLSR119024</t>
  </si>
  <si>
    <t>FEXB041865</t>
  </si>
  <si>
    <t>Patterson</t>
  </si>
  <si>
    <t>02/19/2025</t>
  </si>
  <si>
    <t>08/19/2025</t>
  </si>
  <si>
    <t>6601975317</t>
  </si>
  <si>
    <t>Patel</t>
  </si>
  <si>
    <t>TD5G3D</t>
  </si>
  <si>
    <t>11/27/2024</t>
  </si>
  <si>
    <t>08/27/2025</t>
  </si>
  <si>
    <t>6601975773</t>
  </si>
  <si>
    <t>12/10/2024</t>
  </si>
  <si>
    <t>08/10/2025</t>
  </si>
  <si>
    <t>AGUGLIA, SCOTT C</t>
  </si>
  <si>
    <t>MLSR124879</t>
  </si>
  <si>
    <t>FEX384535</t>
  </si>
  <si>
    <t>Micija</t>
  </si>
  <si>
    <t>11/06/2024</t>
  </si>
  <si>
    <t>INSKIPT, DEBORAH L</t>
  </si>
  <si>
    <t>MLSR126103</t>
  </si>
  <si>
    <t>FEX377541</t>
  </si>
  <si>
    <t>Kyer</t>
  </si>
  <si>
    <t>09/26/2024</t>
  </si>
  <si>
    <t>08/26/2025</t>
  </si>
  <si>
    <t>LEMON, CATHY L</t>
  </si>
  <si>
    <t>MLSR127637</t>
  </si>
  <si>
    <t>FEX290924</t>
  </si>
  <si>
    <t>Jackson</t>
  </si>
  <si>
    <t>TD12KU</t>
  </si>
  <si>
    <t>12/25/2023</t>
  </si>
  <si>
    <t>08/25/2025</t>
  </si>
  <si>
    <t>KUCAN, THOMAS P</t>
  </si>
  <si>
    <t>MLSR129779</t>
  </si>
  <si>
    <t>6602046810</t>
  </si>
  <si>
    <t>Ferreira</t>
  </si>
  <si>
    <t>TD545B</t>
  </si>
  <si>
    <t>03/12/2025</t>
  </si>
  <si>
    <t>08/12/2025</t>
  </si>
  <si>
    <t>ABDUL, SAADIA S</t>
  </si>
  <si>
    <t>MLSR137189</t>
  </si>
  <si>
    <t>6601911116</t>
  </si>
  <si>
    <t>Posada Gomez</t>
  </si>
  <si>
    <t>09/09/2024</t>
  </si>
  <si>
    <t>08/09/2025</t>
  </si>
  <si>
    <t>YALE, RICHARD A</t>
  </si>
  <si>
    <t>MLSR137300</t>
  </si>
  <si>
    <t>6602081279</t>
  </si>
  <si>
    <t>Magsombol</t>
  </si>
  <si>
    <t>TD5E6D</t>
  </si>
  <si>
    <t>04/27/2025</t>
  </si>
  <si>
    <t>07/27/2025</t>
  </si>
  <si>
    <t>YALE, JACOB D</t>
  </si>
  <si>
    <t>MLSR137413</t>
  </si>
  <si>
    <t>6601902251</t>
  </si>
  <si>
    <t>Lopez</t>
  </si>
  <si>
    <t>TD559C</t>
  </si>
  <si>
    <t>08/09/2024</t>
  </si>
  <si>
    <t>6601924798</t>
  </si>
  <si>
    <t>Morales</t>
  </si>
  <si>
    <t>09/08/2024</t>
  </si>
  <si>
    <t>08/08/2025</t>
  </si>
  <si>
    <t>6601930167</t>
  </si>
  <si>
    <t>Orzechowski</t>
  </si>
  <si>
    <t>09/13/2024</t>
  </si>
  <si>
    <t>08/13/2025</t>
  </si>
  <si>
    <t>6601930197</t>
  </si>
  <si>
    <t>09/12/2024</t>
  </si>
  <si>
    <t>6601952038</t>
  </si>
  <si>
    <t>Rodin</t>
  </si>
  <si>
    <t>10/22/2024</t>
  </si>
  <si>
    <t>08/22/2025</t>
  </si>
  <si>
    <t>6602090300</t>
  </si>
  <si>
    <t>Rudman</t>
  </si>
  <si>
    <t>TD5G4D</t>
  </si>
  <si>
    <t>05/12/2025</t>
  </si>
  <si>
    <t>6602090317</t>
  </si>
  <si>
    <t>6602094131</t>
  </si>
  <si>
    <t>Knobloch</t>
  </si>
  <si>
    <t>TD555B</t>
  </si>
  <si>
    <t>05/05/2025</t>
  </si>
  <si>
    <t>SANTOS, RICARDO D</t>
  </si>
  <si>
    <t>MLSR137602</t>
  </si>
  <si>
    <t>6602119227</t>
  </si>
  <si>
    <t>Cheregi</t>
  </si>
  <si>
    <t>06/06/2025</t>
  </si>
  <si>
    <t>07/06/2025</t>
  </si>
  <si>
    <t>GESKE, HEATHER M</t>
  </si>
  <si>
    <t>MLSR138219</t>
  </si>
  <si>
    <t>6602071206</t>
  </si>
  <si>
    <t>Cole</t>
  </si>
  <si>
    <t>TD551C</t>
  </si>
  <si>
    <t>04/10/2025</t>
  </si>
  <si>
    <t>CHOI, ANDREW J</t>
  </si>
  <si>
    <t>MLSR139816</t>
  </si>
  <si>
    <t>FEX356859</t>
  </si>
  <si>
    <t>Borrowman</t>
  </si>
  <si>
    <t>08/01/2024</t>
  </si>
  <si>
    <t>FEX356920</t>
  </si>
  <si>
    <t>Naidenovich</t>
  </si>
  <si>
    <t>07/19/2024</t>
  </si>
  <si>
    <t>FEX358138</t>
  </si>
  <si>
    <t>Cosaro</t>
  </si>
  <si>
    <t>FEX359720</t>
  </si>
  <si>
    <t>Bennett</t>
  </si>
  <si>
    <t>FEX362294</t>
  </si>
  <si>
    <t>Reyna</t>
  </si>
  <si>
    <t>09/01/2024</t>
  </si>
  <si>
    <t>FEX365195</t>
  </si>
  <si>
    <t>Rodica</t>
  </si>
  <si>
    <t>FEX367576</t>
  </si>
  <si>
    <t>Donovan</t>
  </si>
  <si>
    <t>FEX370913</t>
  </si>
  <si>
    <t>Iannace</t>
  </si>
  <si>
    <t>10/01/2024</t>
  </si>
  <si>
    <t>FEX371024</t>
  </si>
  <si>
    <t>Patrick</t>
  </si>
  <si>
    <t>FEX371207</t>
  </si>
  <si>
    <t>Briscoe</t>
  </si>
  <si>
    <t>FEX372301</t>
  </si>
  <si>
    <t>Geraghty</t>
  </si>
  <si>
    <t>FEX378565</t>
  </si>
  <si>
    <t>Mandalios</t>
  </si>
  <si>
    <t>FEX379155</t>
  </si>
  <si>
    <t>Reif</t>
  </si>
  <si>
    <t>TD12K7</t>
  </si>
  <si>
    <t>11/01/2024</t>
  </si>
  <si>
    <t>FEX379199</t>
  </si>
  <si>
    <t>Stephens</t>
  </si>
  <si>
    <t>FEX379407</t>
  </si>
  <si>
    <t>Mac Lean Schanz</t>
  </si>
  <si>
    <t>10/05/2024</t>
  </si>
  <si>
    <t>FEX379487</t>
  </si>
  <si>
    <t>Mannerino</t>
  </si>
  <si>
    <t>FEX379536</t>
  </si>
  <si>
    <t>FEX379677</t>
  </si>
  <si>
    <t>Kluga</t>
  </si>
  <si>
    <t>FEX383459</t>
  </si>
  <si>
    <t>Maldonado</t>
  </si>
  <si>
    <t>FEX425605</t>
  </si>
  <si>
    <t>Cullen</t>
  </si>
  <si>
    <t>04/28/2025</t>
  </si>
  <si>
    <t>08/28/2025</t>
  </si>
  <si>
    <t>FEX425625</t>
  </si>
  <si>
    <t>FEX428736</t>
  </si>
  <si>
    <t>Gallina</t>
  </si>
  <si>
    <t>WALENGA, DALE J</t>
  </si>
  <si>
    <t>MLSR143153</t>
  </si>
  <si>
    <t>6601997655</t>
  </si>
  <si>
    <t>Mann</t>
  </si>
  <si>
    <t>12/24/2024</t>
  </si>
  <si>
    <t>08/24/2025</t>
  </si>
  <si>
    <t>FEX377484</t>
  </si>
  <si>
    <t>Lord</t>
  </si>
  <si>
    <t>09/27/2024</t>
  </si>
  <si>
    <t xml:space="preserve">FUENTES, VICTOR </t>
  </si>
  <si>
    <t>MLSR144000</t>
  </si>
  <si>
    <t>6601990958</t>
  </si>
  <si>
    <t>Cabrera</t>
  </si>
  <si>
    <t>12/19/2024</t>
  </si>
  <si>
    <t>TD5Y14</t>
  </si>
  <si>
    <t>Annual</t>
  </si>
  <si>
    <t>07/22/2026</t>
  </si>
  <si>
    <t>07/22/2025</t>
  </si>
  <si>
    <t>Allen</t>
  </si>
  <si>
    <t>6602127722</t>
  </si>
  <si>
    <t>MLSR163733</t>
  </si>
  <si>
    <t xml:space="preserve">ALLEN, JAMES </t>
  </si>
  <si>
    <t>09/06/2024</t>
  </si>
  <si>
    <t>Active</t>
  </si>
  <si>
    <t>MLSR156747</t>
  </si>
  <si>
    <t>08/20/2025</t>
  </si>
  <si>
    <t>06/20/2025</t>
  </si>
  <si>
    <t>TD12KC</t>
  </si>
  <si>
    <t>Carso</t>
  </si>
  <si>
    <t>LFC010566</t>
  </si>
  <si>
    <t>05/27/2025</t>
  </si>
  <si>
    <t>Carroll</t>
  </si>
  <si>
    <t>6602087960</t>
  </si>
  <si>
    <t>0094177200</t>
  </si>
  <si>
    <t>PARDUE, THOMAS D</t>
  </si>
  <si>
    <t>04/21/2025</t>
  </si>
  <si>
    <t>Terminated</t>
  </si>
  <si>
    <t>094KK27066</t>
  </si>
  <si>
    <t>6602087872</t>
  </si>
  <si>
    <t>08/14/2025</t>
  </si>
  <si>
    <t>07/14/2025</t>
  </si>
  <si>
    <t>Rosenblat</t>
  </si>
  <si>
    <t>6602136587</t>
  </si>
  <si>
    <t>0094176097</t>
  </si>
  <si>
    <t>WERNER, STEVEN D</t>
  </si>
  <si>
    <t>6602136573</t>
  </si>
  <si>
    <t>06/13/2025</t>
  </si>
  <si>
    <t>Hernandez</t>
  </si>
  <si>
    <t>6602108005</t>
  </si>
  <si>
    <t>0094175599</t>
  </si>
  <si>
    <t xml:space="preserve">PETRUNGARO, ANDREA </t>
  </si>
  <si>
    <t>05/01/2025</t>
  </si>
  <si>
    <t>Savastano</t>
  </si>
  <si>
    <t>6602088836</t>
  </si>
  <si>
    <t>07/02/2025</t>
  </si>
  <si>
    <t>EI UL</t>
  </si>
  <si>
    <t>EI173U</t>
  </si>
  <si>
    <t>Goulbourne</t>
  </si>
  <si>
    <t>6602127833</t>
  </si>
  <si>
    <t>0094174966</t>
  </si>
  <si>
    <t xml:space="preserve">KINYUA, JARED </t>
  </si>
  <si>
    <t>Gomez Salgado</t>
  </si>
  <si>
    <t>6602141191</t>
  </si>
  <si>
    <t>0094173945</t>
  </si>
  <si>
    <t xml:space="preserve">PORTUGAL, GARY </t>
  </si>
  <si>
    <t>07/10/2026</t>
  </si>
  <si>
    <t>07/10/2025</t>
  </si>
  <si>
    <t>Zachariah</t>
  </si>
  <si>
    <t>6602139812</t>
  </si>
  <si>
    <t>03/24/2025</t>
  </si>
  <si>
    <t>TD554A</t>
  </si>
  <si>
    <t>Lowe</t>
  </si>
  <si>
    <t>6602036702</t>
  </si>
  <si>
    <t>0094173481</t>
  </si>
  <si>
    <t>08/21/2025</t>
  </si>
  <si>
    <t>02/21/2025</t>
  </si>
  <si>
    <t>Khi</t>
  </si>
  <si>
    <t>6602026267</t>
  </si>
  <si>
    <t>02/04/2025</t>
  </si>
  <si>
    <t>6602026253</t>
  </si>
  <si>
    <t>Rudman, Max</t>
  </si>
  <si>
    <t>Khi, Andrew</t>
  </si>
  <si>
    <t>Khi, Sokunthea</t>
  </si>
  <si>
    <t>Lowe, Donna</t>
  </si>
  <si>
    <t>Sam Carso</t>
  </si>
  <si>
    <t>Cheregi, Raluca</t>
  </si>
  <si>
    <t>Zachariah, Phenu</t>
  </si>
  <si>
    <t>Gomez Salgado, Octavio</t>
  </si>
  <si>
    <t>Goulbourne, Amir</t>
  </si>
  <si>
    <t>Hernandez, Nicholas</t>
  </si>
  <si>
    <t>Rosenblat, Hannah</t>
  </si>
  <si>
    <t>Rosenblat, Joshua</t>
  </si>
  <si>
    <t>Carroll, Edward</t>
  </si>
  <si>
    <t>Carroll, Susan</t>
  </si>
  <si>
    <t>Allen, James</t>
  </si>
  <si>
    <t>Immediate Solution 125 2023</t>
  </si>
  <si>
    <t>Lifetime WL A48</t>
  </si>
  <si>
    <t>Trendsetter LB 15 Year 105 2023</t>
  </si>
  <si>
    <t>FFIUL 125 2024</t>
  </si>
  <si>
    <t>10 Pay Solution 113</t>
  </si>
  <si>
    <t>Trendsetter LB 20 25 30 Year 115 2023</t>
  </si>
  <si>
    <t>product</t>
  </si>
  <si>
    <t>Lifetime WL A48 150</t>
  </si>
  <si>
    <t>Trendsetter Super 15 Year</t>
  </si>
  <si>
    <t>months</t>
  </si>
  <si>
    <t>AE</t>
  </si>
  <si>
    <t>AV1</t>
  </si>
  <si>
    <t>AV</t>
  </si>
  <si>
    <t xml:space="preserve">FOLEY CAROL </t>
  </si>
  <si>
    <t xml:space="preserve">FUENTES VICTOR </t>
  </si>
  <si>
    <t xml:space="preserve">PORTUGAL GARY </t>
  </si>
  <si>
    <t xml:space="preserve">STERNER MURRAY </t>
  </si>
  <si>
    <t>ABDUL SAADIA</t>
  </si>
  <si>
    <t>AGUGLIA SCOTT</t>
  </si>
  <si>
    <t>CHOI ANDREW</t>
  </si>
  <si>
    <t>FINNIGAN COLLEEN</t>
  </si>
  <si>
    <t>GESKE HEATHER</t>
  </si>
  <si>
    <t>INSKIPT DEBORAH</t>
  </si>
  <si>
    <t>KUCAN THOMAS</t>
  </si>
  <si>
    <t>PARDUE TOM</t>
  </si>
  <si>
    <t>PETRUNGARO ANDREA</t>
  </si>
  <si>
    <t>RICHTER ADAM</t>
  </si>
  <si>
    <t>SANTOS RICARDO</t>
  </si>
  <si>
    <t>TEIPEL GREG</t>
  </si>
  <si>
    <t>WALENGA DALE</t>
  </si>
  <si>
    <t>WERNER STEVEN</t>
  </si>
  <si>
    <t>YALE JACOB</t>
  </si>
  <si>
    <t>YALE RICHARD</t>
  </si>
  <si>
    <t>LEMON CATHY</t>
  </si>
  <si>
    <t>Kinyua Jared</t>
  </si>
  <si>
    <t>Allen James</t>
  </si>
  <si>
    <t>19481808AV9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</si>
</sst>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9" fontId="0" fillId="0" borderId="0" xfId="1" applyFont="1" applyAlignment="1">
      <alignment wrapText="1"/>
    </xf>
    <xf numFmtId="9" fontId="0" fillId="2" borderId="0" xfId="1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0" fontId="0" fillId="2" borderId="0" xfId="0" applyFill="1" applyAlignment="1">
      <alignment horizontal="right" wrapText="1"/>
    </xf>
    <xf numFmtId="9" fontId="0" fillId="0" borderId="0" xfId="1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t roster"/>
      <sheetName val="Sheet2"/>
    </sheetNames>
    <sheetDataSet>
      <sheetData sheetId="0"/>
      <sheetData sheetId="1">
        <row r="1">
          <cell r="A1" t="str">
            <v xml:space="preserve">Barber Aidan </v>
          </cell>
          <cell r="B1">
            <v>20769090</v>
          </cell>
        </row>
        <row r="2">
          <cell r="A2" t="str">
            <v>Berk Paul</v>
          </cell>
          <cell r="B2">
            <v>2048099</v>
          </cell>
        </row>
        <row r="3">
          <cell r="A3" t="str">
            <v>Brenner Barry</v>
          </cell>
          <cell r="B3">
            <v>21348299</v>
          </cell>
        </row>
        <row r="4">
          <cell r="A4" t="str">
            <v>Byrne Patrick</v>
          </cell>
          <cell r="B4">
            <v>16615811</v>
          </cell>
        </row>
        <row r="5">
          <cell r="A5" t="str">
            <v>De Rama Ami</v>
          </cell>
          <cell r="B5">
            <v>5859730</v>
          </cell>
        </row>
        <row r="6">
          <cell r="A6" t="str">
            <v>Dunbar Dolores</v>
          </cell>
          <cell r="B6">
            <v>17774994</v>
          </cell>
        </row>
        <row r="7">
          <cell r="A7" t="str">
            <v>Elvart Peter</v>
          </cell>
          <cell r="B7">
            <v>6778759</v>
          </cell>
        </row>
        <row r="8">
          <cell r="A8" t="str">
            <v>Enkhtur Odmaa "Emma"</v>
          </cell>
          <cell r="B8">
            <v>20999157</v>
          </cell>
        </row>
        <row r="9">
          <cell r="A9" t="str">
            <v>Ervolina Thomas</v>
          </cell>
          <cell r="B9">
            <v>8477730</v>
          </cell>
        </row>
        <row r="10">
          <cell r="A10" t="str">
            <v xml:space="preserve">Fernandez Odeny </v>
          </cell>
          <cell r="B10">
            <v>18155813</v>
          </cell>
        </row>
        <row r="11">
          <cell r="A11" t="str">
            <v>Foley Michael</v>
          </cell>
          <cell r="B11">
            <v>20995076</v>
          </cell>
        </row>
        <row r="12">
          <cell r="A12" t="str">
            <v>Frazier Cheryl</v>
          </cell>
          <cell r="B12">
            <v>8499606</v>
          </cell>
        </row>
        <row r="13">
          <cell r="A13" t="str">
            <v xml:space="preserve">Fuentes Victor </v>
          </cell>
          <cell r="B13">
            <v>21283956</v>
          </cell>
        </row>
        <row r="14">
          <cell r="A14" t="str">
            <v>Holyn Dennis</v>
          </cell>
          <cell r="B14">
            <v>7152559</v>
          </cell>
        </row>
        <row r="15">
          <cell r="A15" t="str">
            <v>Kinyua Jared</v>
          </cell>
          <cell r="B15">
            <v>19279958</v>
          </cell>
        </row>
        <row r="16">
          <cell r="A16" t="str">
            <v>Lemon Cathy</v>
          </cell>
          <cell r="B16">
            <v>17195620</v>
          </cell>
        </row>
        <row r="17">
          <cell r="A17" t="str">
            <v xml:space="preserve">Levin Steven </v>
          </cell>
          <cell r="B17">
            <v>1592053</v>
          </cell>
        </row>
        <row r="18">
          <cell r="A18" t="str">
            <v>Livne Nava</v>
          </cell>
          <cell r="B18">
            <v>20552652</v>
          </cell>
        </row>
        <row r="19">
          <cell r="A19" t="str">
            <v xml:space="preserve">Long Patricia </v>
          </cell>
          <cell r="B19">
            <v>18794740</v>
          </cell>
        </row>
        <row r="20">
          <cell r="A20" t="str">
            <v>Merced Timothy</v>
          </cell>
          <cell r="B20">
            <v>17418075</v>
          </cell>
        </row>
        <row r="21">
          <cell r="A21" t="str">
            <v>Robinson Paul</v>
          </cell>
          <cell r="B21">
            <v>16983460</v>
          </cell>
        </row>
        <row r="22">
          <cell r="A22" t="str">
            <v>Rose Latesha</v>
          </cell>
          <cell r="B22">
            <v>21436172</v>
          </cell>
        </row>
        <row r="23">
          <cell r="A23" t="str">
            <v>Sandifer Jessica</v>
          </cell>
          <cell r="B23">
            <v>6115727</v>
          </cell>
        </row>
        <row r="24">
          <cell r="A24" t="str">
            <v>Stump Shannon</v>
          </cell>
          <cell r="B24">
            <v>18943687</v>
          </cell>
        </row>
        <row r="25">
          <cell r="A25" t="str">
            <v>Torres Jose</v>
          </cell>
          <cell r="B25">
            <v>20212926</v>
          </cell>
        </row>
        <row r="26">
          <cell r="A26" t="str">
            <v>Wasserman Matthew</v>
          </cell>
          <cell r="B26">
            <v>21247158</v>
          </cell>
        </row>
        <row r="27">
          <cell r="A27" t="str">
            <v>Werner Steven</v>
          </cell>
          <cell r="B27">
            <v>19481808</v>
          </cell>
        </row>
        <row r="28">
          <cell r="A28" t="str">
            <v>White LaNeece</v>
          </cell>
          <cell r="B28">
            <v>13496370</v>
          </cell>
        </row>
        <row r="29">
          <cell r="A29" t="str">
            <v xml:space="preserve">Wilson Smith Carolyn </v>
          </cell>
          <cell r="B29">
            <v>7387433</v>
          </cell>
        </row>
        <row r="30">
          <cell r="A30" t="str">
            <v>Ybanez Luis</v>
          </cell>
          <cell r="B30">
            <v>15735937</v>
          </cell>
        </row>
        <row r="31">
          <cell r="A31" t="str">
            <v>Fine Scott</v>
          </cell>
          <cell r="B31">
            <v>19106640</v>
          </cell>
        </row>
        <row r="32">
          <cell r="A32" t="str">
            <v>Hansford Gregory</v>
          </cell>
          <cell r="B32">
            <v>17094718</v>
          </cell>
        </row>
        <row r="33">
          <cell r="A33" t="str">
            <v>Kucan Thomas</v>
          </cell>
          <cell r="B33">
            <v>16202925</v>
          </cell>
        </row>
        <row r="34">
          <cell r="A34" t="str">
            <v xml:space="preserve">Luse Josiah </v>
          </cell>
          <cell r="B34">
            <v>20405298</v>
          </cell>
        </row>
        <row r="35">
          <cell r="A35" t="str">
            <v>Petrungaro Andrea</v>
          </cell>
          <cell r="B35">
            <v>16912722</v>
          </cell>
        </row>
        <row r="36">
          <cell r="A36" t="str">
            <v>Raughter Brian</v>
          </cell>
          <cell r="B36">
            <v>18406006</v>
          </cell>
        </row>
        <row r="37">
          <cell r="A37" t="str">
            <v>Serio Thomas</v>
          </cell>
          <cell r="B37">
            <v>20490188</v>
          </cell>
        </row>
        <row r="38">
          <cell r="A38" t="str">
            <v xml:space="preserve">Tatro Melissa </v>
          </cell>
          <cell r="B38">
            <v>14177521</v>
          </cell>
        </row>
        <row r="39">
          <cell r="A39" t="str">
            <v>Thanadabouth Patsamon</v>
          </cell>
          <cell r="B39">
            <v>8405446</v>
          </cell>
        </row>
        <row r="40">
          <cell r="A40" t="str">
            <v>Wuensch Richard</v>
          </cell>
          <cell r="B40">
            <v>19615078</v>
          </cell>
        </row>
        <row r="41">
          <cell r="A41" t="str">
            <v>Yale Chad</v>
          </cell>
          <cell r="B41">
            <v>20003537</v>
          </cell>
        </row>
        <row r="42">
          <cell r="A42" t="str">
            <v>Aguglia Scott</v>
          </cell>
          <cell r="B42">
            <v>8971826</v>
          </cell>
        </row>
        <row r="43">
          <cell r="A43" t="str">
            <v>Aloff Jonathan</v>
          </cell>
          <cell r="B43">
            <v>16683808</v>
          </cell>
        </row>
        <row r="44">
          <cell r="A44" t="str">
            <v>Bender Chad</v>
          </cell>
          <cell r="B44">
            <v>18598357</v>
          </cell>
        </row>
        <row r="45">
          <cell r="A45" t="str">
            <v>Drapac Stephanie</v>
          </cell>
          <cell r="B45">
            <v>17126004</v>
          </cell>
        </row>
        <row r="46">
          <cell r="A46" t="str">
            <v>Herrera-Larsen Esther "Estee"</v>
          </cell>
          <cell r="B46">
            <v>17301495</v>
          </cell>
        </row>
        <row r="47">
          <cell r="A47" t="str">
            <v>Hodgman Timothy</v>
          </cell>
          <cell r="B47">
            <v>18581063</v>
          </cell>
        </row>
        <row r="48">
          <cell r="A48" t="str">
            <v>Horn Jeffrey</v>
          </cell>
          <cell r="B48">
            <v>2158366</v>
          </cell>
        </row>
        <row r="49">
          <cell r="A49" t="str">
            <v>Portugal Stacey</v>
          </cell>
          <cell r="B49">
            <v>19645587</v>
          </cell>
        </row>
        <row r="50">
          <cell r="A50" t="str">
            <v>Schumann Barry</v>
          </cell>
          <cell r="B50">
            <v>19586992</v>
          </cell>
        </row>
        <row r="51">
          <cell r="A51" t="str">
            <v>Semprevivo Michael</v>
          </cell>
          <cell r="B51">
            <v>6375605</v>
          </cell>
        </row>
        <row r="52">
          <cell r="A52" t="str">
            <v xml:space="preserve">Strohman Brian </v>
          </cell>
          <cell r="B52">
            <v>21104854</v>
          </cell>
        </row>
        <row r="53">
          <cell r="A53" t="str">
            <v>Tapper Randy</v>
          </cell>
          <cell r="B53">
            <v>18935660</v>
          </cell>
        </row>
        <row r="54">
          <cell r="A54" t="str">
            <v>Zana Nasandelger</v>
          </cell>
          <cell r="B54">
            <v>20220688</v>
          </cell>
        </row>
        <row r="55">
          <cell r="A55" t="str">
            <v>Abdul Saadia</v>
          </cell>
          <cell r="B55">
            <v>19396223</v>
          </cell>
        </row>
        <row r="56">
          <cell r="A56" t="str">
            <v>Geske Heather</v>
          </cell>
          <cell r="B56">
            <v>16865615</v>
          </cell>
        </row>
        <row r="57">
          <cell r="A57" t="str">
            <v xml:space="preserve">Goodman Andrew </v>
          </cell>
          <cell r="B57">
            <v>593918</v>
          </cell>
        </row>
        <row r="58">
          <cell r="A58" t="str">
            <v>Liskovec Frank</v>
          </cell>
          <cell r="B58">
            <v>8814784</v>
          </cell>
        </row>
        <row r="59">
          <cell r="A59" t="str">
            <v>Luse Alison</v>
          </cell>
          <cell r="B59">
            <v>9254978</v>
          </cell>
        </row>
        <row r="60">
          <cell r="A60" t="str">
            <v>Lutz Michael</v>
          </cell>
          <cell r="B60">
            <v>16751785</v>
          </cell>
        </row>
        <row r="61">
          <cell r="A61" t="str">
            <v>McCorkle Michelle</v>
          </cell>
          <cell r="B61">
            <v>18710070</v>
          </cell>
        </row>
        <row r="62">
          <cell r="A62" t="str">
            <v>Pardue Tom</v>
          </cell>
          <cell r="B62">
            <v>371819</v>
          </cell>
        </row>
        <row r="63">
          <cell r="A63" t="str">
            <v>Roken John</v>
          </cell>
          <cell r="B63">
            <v>18781057</v>
          </cell>
        </row>
        <row r="64">
          <cell r="A64" t="str">
            <v>SANTOS RICARDO</v>
          </cell>
          <cell r="B64">
            <v>19200754</v>
          </cell>
        </row>
        <row r="65">
          <cell r="A65" t="str">
            <v xml:space="preserve">Sterner Murray </v>
          </cell>
          <cell r="B65">
            <v>16212649</v>
          </cell>
        </row>
        <row r="66">
          <cell r="A66" t="str">
            <v>Taugner Christian</v>
          </cell>
          <cell r="B66">
            <v>19681796</v>
          </cell>
        </row>
        <row r="67">
          <cell r="A67" t="str">
            <v xml:space="preserve">Aloff Arnold </v>
          </cell>
          <cell r="B67">
            <v>3475518</v>
          </cell>
        </row>
        <row r="68">
          <cell r="A68" t="str">
            <v>Berthelsen Heidi</v>
          </cell>
          <cell r="B68">
            <v>19617796</v>
          </cell>
        </row>
        <row r="69">
          <cell r="A69" t="str">
            <v>Caltagirone  Ryan</v>
          </cell>
          <cell r="B69">
            <v>8977234</v>
          </cell>
        </row>
        <row r="70">
          <cell r="A70" t="str">
            <v>Choi Andrew</v>
          </cell>
          <cell r="B70">
            <v>7470776</v>
          </cell>
        </row>
        <row r="71">
          <cell r="A71" t="str">
            <v>Daughterty Matthew</v>
          </cell>
          <cell r="B71">
            <v>1706194</v>
          </cell>
        </row>
        <row r="72">
          <cell r="A72" t="str">
            <v>Deaton Pamela</v>
          </cell>
          <cell r="B72">
            <v>8244481</v>
          </cell>
        </row>
        <row r="73">
          <cell r="A73" t="str">
            <v>Finnigan Colleen</v>
          </cell>
          <cell r="B73">
            <v>17437820</v>
          </cell>
        </row>
        <row r="74">
          <cell r="A74" t="str">
            <v xml:space="preserve">FOLEY CAROL </v>
          </cell>
          <cell r="B74">
            <v>17425766</v>
          </cell>
        </row>
        <row r="75">
          <cell r="A75" t="str">
            <v>Hoffmann Jason</v>
          </cell>
          <cell r="B75">
            <v>15278437</v>
          </cell>
        </row>
        <row r="76">
          <cell r="A76" t="str">
            <v>Hunsberger Anthony</v>
          </cell>
          <cell r="B76">
            <v>7146581</v>
          </cell>
        </row>
        <row r="77">
          <cell r="A77" t="str">
            <v>Inskipt Deborah</v>
          </cell>
          <cell r="B77">
            <v>17528908</v>
          </cell>
        </row>
        <row r="78">
          <cell r="A78" t="str">
            <v>Lee Joel</v>
          </cell>
          <cell r="B78">
            <v>6634327</v>
          </cell>
        </row>
        <row r="79">
          <cell r="A79" t="str">
            <v xml:space="preserve">Max Ronald </v>
          </cell>
          <cell r="B79">
            <v>5442438</v>
          </cell>
        </row>
        <row r="80">
          <cell r="A80" t="str">
            <v xml:space="preserve">Portugal Gary </v>
          </cell>
          <cell r="B80">
            <v>9213293</v>
          </cell>
        </row>
        <row r="81">
          <cell r="A81" t="str">
            <v>Richter Adam</v>
          </cell>
          <cell r="B81">
            <v>9079571</v>
          </cell>
        </row>
        <row r="82">
          <cell r="A82" t="str">
            <v>Richter Peter</v>
          </cell>
          <cell r="B82">
            <v>16509456</v>
          </cell>
        </row>
        <row r="83">
          <cell r="A83" t="str">
            <v>Schaeffer William</v>
          </cell>
          <cell r="B83">
            <v>18010408</v>
          </cell>
        </row>
        <row r="84">
          <cell r="A84" t="str">
            <v>Teipel Greg</v>
          </cell>
          <cell r="B84">
            <v>8307933</v>
          </cell>
        </row>
        <row r="85">
          <cell r="A85" t="str">
            <v>Walenga Dale</v>
          </cell>
          <cell r="B85">
            <v>8325282</v>
          </cell>
        </row>
        <row r="86">
          <cell r="A86" t="str">
            <v>Yale Jacob</v>
          </cell>
          <cell r="B86">
            <v>18754354</v>
          </cell>
        </row>
        <row r="87">
          <cell r="A87" t="str">
            <v>YALE RICHARD</v>
          </cell>
          <cell r="B87">
            <v>16633294</v>
          </cell>
        </row>
        <row r="88">
          <cell r="A88" t="str">
            <v>Jerger Colleen</v>
          </cell>
          <cell r="B88">
            <v>3333476</v>
          </cell>
        </row>
        <row r="89">
          <cell r="A89" t="str">
            <v>Allen James</v>
          </cell>
          <cell r="B89">
            <v>17143996</v>
          </cell>
        </row>
        <row r="90">
          <cell r="A90" t="str">
            <v>Arenson Gregg</v>
          </cell>
          <cell r="B90">
            <v>20776610</v>
          </cell>
        </row>
        <row r="91">
          <cell r="A91" t="str">
            <v>Brousseau Christopher</v>
          </cell>
          <cell r="B91">
            <v>21435997</v>
          </cell>
        </row>
        <row r="92">
          <cell r="A92" t="str">
            <v>Cousar Alan</v>
          </cell>
          <cell r="B92">
            <v>9544903</v>
          </cell>
        </row>
        <row r="93">
          <cell r="A93" t="str">
            <v>Dionesotes Noah</v>
          </cell>
          <cell r="B93">
            <v>21607778</v>
          </cell>
        </row>
        <row r="94">
          <cell r="A94" t="str">
            <v>Dodd Curtis</v>
          </cell>
          <cell r="B94">
            <v>10599300</v>
          </cell>
        </row>
        <row r="95">
          <cell r="A95" t="str">
            <v xml:space="preserve">Ferguson Taliah </v>
          </cell>
          <cell r="B95">
            <v>21561165</v>
          </cell>
        </row>
        <row r="96">
          <cell r="A96" t="str">
            <v>Garnett Michael</v>
          </cell>
          <cell r="B96">
            <v>21222981</v>
          </cell>
        </row>
        <row r="97">
          <cell r="A97" t="str">
            <v>Gastelo Shawn</v>
          </cell>
          <cell r="B97">
            <v>21122864</v>
          </cell>
        </row>
        <row r="98">
          <cell r="A98" t="str">
            <v>Hamel Michelle</v>
          </cell>
          <cell r="B98">
            <v>20591229</v>
          </cell>
        </row>
        <row r="99">
          <cell r="A99" t="str">
            <v>Kelly John</v>
          </cell>
          <cell r="B99" t="str">
            <v>working on license</v>
          </cell>
        </row>
        <row r="100">
          <cell r="A100" t="str">
            <v xml:space="preserve">Kotadia Zameer </v>
          </cell>
          <cell r="B100">
            <v>21101146</v>
          </cell>
        </row>
        <row r="101">
          <cell r="A101" t="str">
            <v>Risely John</v>
          </cell>
          <cell r="B101">
            <v>20551344</v>
          </cell>
        </row>
        <row r="102">
          <cell r="A102" t="str">
            <v>Shapiro Robert</v>
          </cell>
          <cell r="B102">
            <v>7565575</v>
          </cell>
        </row>
        <row r="103">
          <cell r="A103" t="str">
            <v>Shulman Jake</v>
          </cell>
          <cell r="B103">
            <v>18201929</v>
          </cell>
        </row>
        <row r="104">
          <cell r="A104" t="str">
            <v xml:space="preserve">Sievewright Robert </v>
          </cell>
          <cell r="B104">
            <v>7307857</v>
          </cell>
        </row>
        <row r="105">
          <cell r="A105" t="str">
            <v>Solivan Erica</v>
          </cell>
          <cell r="B105">
            <v>21605264</v>
          </cell>
        </row>
        <row r="106">
          <cell r="A106" t="str">
            <v>Tigue Kirk</v>
          </cell>
          <cell r="B106">
            <v>21421111</v>
          </cell>
        </row>
        <row r="107">
          <cell r="A107" t="str">
            <v>Weitzman Kenneth</v>
          </cell>
          <cell r="B107">
            <v>17516272</v>
          </cell>
        </row>
        <row r="108">
          <cell r="A108" t="str">
            <v>Berg Ines</v>
          </cell>
          <cell r="B108">
            <v>17117649</v>
          </cell>
        </row>
        <row r="109">
          <cell r="A109" t="str">
            <v>Fritchman Mya</v>
          </cell>
          <cell r="B109" t="str">
            <v>?</v>
          </cell>
        </row>
        <row r="110">
          <cell r="A110" t="str">
            <v>Vogel Jalyne</v>
          </cell>
          <cell r="B110" t="str">
            <v>?</v>
          </cell>
        </row>
        <row r="111">
          <cell r="A111" t="str">
            <v>Wick Katelan</v>
          </cell>
          <cell r="B111">
            <v>19271047</v>
          </cell>
        </row>
        <row r="112">
          <cell r="A112" t="str">
            <v>Roller Jason</v>
          </cell>
          <cell r="B112">
            <v>16228684</v>
          </cell>
        </row>
        <row r="113">
          <cell r="A113" t="str">
            <v>Green Danna</v>
          </cell>
          <cell r="B113">
            <v>16849453</v>
          </cell>
        </row>
        <row r="114">
          <cell r="A114" t="str">
            <v>Oliver Brittany</v>
          </cell>
          <cell r="B114">
            <v>17554531</v>
          </cell>
        </row>
        <row r="115">
          <cell r="A115" t="str">
            <v>Stocker Ryan</v>
          </cell>
          <cell r="B115">
            <v>15950276</v>
          </cell>
        </row>
        <row r="116">
          <cell r="A116" t="str">
            <v xml:space="preserve">Brandt Steven </v>
          </cell>
          <cell r="B116">
            <v>19491313</v>
          </cell>
        </row>
        <row r="117">
          <cell r="A117" t="str">
            <v>Kuykendall Cora</v>
          </cell>
          <cell r="B117">
            <v>22021577</v>
          </cell>
        </row>
        <row r="118">
          <cell r="A118" t="str">
            <v>Powell Clarissa</v>
          </cell>
          <cell r="B118">
            <v>17785596</v>
          </cell>
        </row>
        <row r="119">
          <cell r="A119" t="str">
            <v xml:space="preserve">Flowers Karen </v>
          </cell>
          <cell r="B119"/>
        </row>
        <row r="120">
          <cell r="A120" t="str">
            <v xml:space="preserve">Hall Abbie </v>
          </cell>
          <cell r="B120"/>
        </row>
        <row r="121">
          <cell r="A121" t="str">
            <v xml:space="preserve">Jerger Jack </v>
          </cell>
          <cell r="B121" t="str">
            <v>NA</v>
          </cell>
        </row>
        <row r="122">
          <cell r="A122" t="str">
            <v>Munkhbaatar Anand</v>
          </cell>
          <cell r="B122" t="str">
            <v>NA</v>
          </cell>
        </row>
        <row r="123">
          <cell r="A123" t="str">
            <v xml:space="preserve">Wolfson Linda </v>
          </cell>
          <cell r="B123" t="str">
            <v>NA</v>
          </cell>
        </row>
        <row r="124">
          <cell r="A124" t="str">
            <v>Ellis Wesley</v>
          </cell>
          <cell r="B124">
            <v>19396919</v>
          </cell>
        </row>
        <row r="125">
          <cell r="A125" t="str">
            <v>Finnegan Margaret</v>
          </cell>
          <cell r="B125">
            <v>19861194</v>
          </cell>
        </row>
        <row r="126">
          <cell r="A126" t="str">
            <v>Gonzalez Lensie</v>
          </cell>
          <cell r="B126">
            <v>17859093</v>
          </cell>
        </row>
        <row r="127">
          <cell r="A127" t="str">
            <v>Obrien Marina</v>
          </cell>
          <cell r="B127">
            <v>16865242</v>
          </cell>
        </row>
        <row r="128">
          <cell r="A128" t="str">
            <v>Powers Deborah</v>
          </cell>
          <cell r="B128">
            <v>19606009</v>
          </cell>
        </row>
        <row r="129">
          <cell r="A129" t="str">
            <v>Powers Timothy</v>
          </cell>
          <cell r="B129">
            <v>17886092</v>
          </cell>
        </row>
        <row r="130">
          <cell r="A130" t="str">
            <v>Tajanlangit  Eliseo</v>
          </cell>
          <cell r="B130">
            <v>18207434</v>
          </cell>
        </row>
        <row r="131">
          <cell r="A131" t="str">
            <v>Tunstall Lori</v>
          </cell>
          <cell r="B131">
            <v>18134413</v>
          </cell>
        </row>
        <row r="132">
          <cell r="A132" t="str">
            <v>Zimmerman Diana</v>
          </cell>
          <cell r="B132">
            <v>17640026</v>
          </cell>
        </row>
        <row r="133">
          <cell r="A133" t="str">
            <v>Kozacheck Anne Marie</v>
          </cell>
          <cell r="B133">
            <v>19278370</v>
          </cell>
        </row>
        <row r="134">
          <cell r="A134" t="str">
            <v>Skarnulis Richard</v>
          </cell>
          <cell r="B134">
            <v>13374569</v>
          </cell>
        </row>
        <row r="135">
          <cell r="A135" t="str">
            <v>Casta Laurie</v>
          </cell>
          <cell r="B135">
            <v>20697692</v>
          </cell>
        </row>
        <row r="136">
          <cell r="A136" t="str">
            <v>Dickerson Kimberly</v>
          </cell>
          <cell r="B136">
            <v>16243811</v>
          </cell>
        </row>
        <row r="137">
          <cell r="A137" t="str">
            <v>Edwards Kimberly</v>
          </cell>
          <cell r="B137">
            <v>21128256</v>
          </cell>
        </row>
        <row r="138">
          <cell r="A138" t="str">
            <v>Foley Kimberly</v>
          </cell>
          <cell r="B138">
            <v>21577652</v>
          </cell>
        </row>
        <row r="139">
          <cell r="A139" t="str">
            <v>Foster Teri</v>
          </cell>
          <cell r="B139">
            <v>20098658</v>
          </cell>
        </row>
        <row r="140">
          <cell r="A140" t="str">
            <v>Gaskins Leandrus</v>
          </cell>
          <cell r="B140">
            <v>19642342</v>
          </cell>
        </row>
        <row r="141">
          <cell r="A141" t="str">
            <v xml:space="preserve">Geske William </v>
          </cell>
          <cell r="B141">
            <v>21313588</v>
          </cell>
        </row>
        <row r="142">
          <cell r="A142" t="str">
            <v xml:space="preserve">Green Connor </v>
          </cell>
          <cell r="B142">
            <v>20811434</v>
          </cell>
        </row>
        <row r="143">
          <cell r="A143" t="str">
            <v xml:space="preserve">Halsaver Jennifer </v>
          </cell>
          <cell r="B143">
            <v>21564088</v>
          </cell>
        </row>
        <row r="144">
          <cell r="A144" t="str">
            <v>Holland Kasandra</v>
          </cell>
          <cell r="B144">
            <v>21284072</v>
          </cell>
        </row>
        <row r="145">
          <cell r="A145" t="str">
            <v xml:space="preserve">Hunsberger Jennifer </v>
          </cell>
          <cell r="B145" t="str">
            <v>?</v>
          </cell>
        </row>
        <row r="146">
          <cell r="A146" t="str">
            <v xml:space="preserve">Karns John </v>
          </cell>
          <cell r="B146">
            <v>21128342</v>
          </cell>
        </row>
        <row r="147">
          <cell r="A147" t="str">
            <v>Kolanko Peggy</v>
          </cell>
          <cell r="B147">
            <v>1250871</v>
          </cell>
        </row>
        <row r="148">
          <cell r="A148" t="str">
            <v xml:space="preserve">Sanderock Marsha </v>
          </cell>
          <cell r="B148">
            <v>20724564</v>
          </cell>
        </row>
        <row r="149">
          <cell r="A149" t="str">
            <v>Sexton Joseph</v>
          </cell>
          <cell r="B149">
            <v>21505953</v>
          </cell>
        </row>
        <row r="150">
          <cell r="A150" t="str">
            <v>Adcock Robert</v>
          </cell>
          <cell r="B150">
            <v>20872981</v>
          </cell>
        </row>
        <row r="151">
          <cell r="A151" t="str">
            <v>Barton Traci</v>
          </cell>
          <cell r="B151">
            <v>20678727</v>
          </cell>
        </row>
        <row r="152">
          <cell r="A152" t="str">
            <v>Caltagirone  Katelenn</v>
          </cell>
          <cell r="B152">
            <v>20436896</v>
          </cell>
        </row>
        <row r="153">
          <cell r="A153" t="str">
            <v>Fritz Carol</v>
          </cell>
          <cell r="B153">
            <v>19268643</v>
          </cell>
        </row>
        <row r="154">
          <cell r="A154" t="str">
            <v>Sentman Sandra</v>
          </cell>
          <cell r="B154">
            <v>21475206</v>
          </cell>
        </row>
        <row r="155">
          <cell r="A155" t="str">
            <v>Teipel Ashley</v>
          </cell>
          <cell r="B155">
            <v>20436925</v>
          </cell>
        </row>
        <row r="156">
          <cell r="A156" t="str">
            <v>Dunavant Michael</v>
          </cell>
          <cell r="B156">
            <v>18828278</v>
          </cell>
        </row>
        <row r="157">
          <cell r="A157" t="str">
            <v>Wilston  Michael</v>
          </cell>
          <cell r="B157">
            <v>20178878</v>
          </cell>
        </row>
        <row r="158">
          <cell r="A158" t="str">
            <v xml:space="preserve">Roccia Mark </v>
          </cell>
          <cell r="B158">
            <v>21618313</v>
          </cell>
        </row>
        <row r="159">
          <cell r="A159" t="str">
            <v>Porraz Marissa</v>
          </cell>
          <cell r="B159" t="str">
            <v>?</v>
          </cell>
        </row>
        <row r="160">
          <cell r="A160" t="str">
            <v>Smith Maggie</v>
          </cell>
          <cell r="B160">
            <v>20253958</v>
          </cell>
        </row>
        <row r="161">
          <cell r="A161" t="str">
            <v>Bentley Thomas</v>
          </cell>
          <cell r="B161">
            <v>2118374</v>
          </cell>
        </row>
        <row r="162">
          <cell r="A162" t="str">
            <v>Nevaraz Antonia</v>
          </cell>
          <cell r="B162">
            <v>21646325</v>
          </cell>
        </row>
        <row r="163">
          <cell r="A163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95EA-4B21-43E1-8002-1DADA8443CA4}">
  <sheetPr>
    <outlinePr summaryBelow="0" summaryRight="0"/>
    <pageSetUpPr autoPageBreaks="0" fitToPage="1"/>
  </sheetPr>
  <dimension ref="A1:AA68"/>
  <sheetViews>
    <sheetView topLeftCell="C13" workbookViewId="0">
      <selection activeCell="C54" sqref="A1:AA68"/>
    </sheetView>
  </sheetViews>
  <sheetFormatPr defaultRowHeight="12.75" x14ac:dyDescent="0.2"/>
  <cols>
    <col min="1" max="256" width="33.1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119.99</v>
      </c>
      <c r="V2">
        <v>0</v>
      </c>
      <c r="W2">
        <v>1</v>
      </c>
      <c r="X2">
        <v>1.25</v>
      </c>
      <c r="Y2">
        <v>149.99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41</v>
      </c>
      <c r="P3" t="s">
        <v>53</v>
      </c>
      <c r="Q3" t="s">
        <v>54</v>
      </c>
      <c r="R3" t="s">
        <v>44</v>
      </c>
      <c r="S3" t="s">
        <v>45</v>
      </c>
      <c r="T3">
        <v>0</v>
      </c>
      <c r="U3">
        <v>36.979999999999997</v>
      </c>
      <c r="V3">
        <v>0</v>
      </c>
      <c r="W3">
        <v>1</v>
      </c>
      <c r="X3">
        <v>1.05</v>
      </c>
      <c r="Y3">
        <v>38.83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55</v>
      </c>
      <c r="I4" t="s">
        <v>56</v>
      </c>
      <c r="J4" t="s">
        <v>36</v>
      </c>
      <c r="K4" t="s">
        <v>57</v>
      </c>
      <c r="L4" t="s">
        <v>38</v>
      </c>
      <c r="M4" t="s">
        <v>58</v>
      </c>
      <c r="N4" t="s">
        <v>40</v>
      </c>
      <c r="O4" t="s">
        <v>41</v>
      </c>
      <c r="P4" t="s">
        <v>59</v>
      </c>
      <c r="Q4" t="s">
        <v>54</v>
      </c>
      <c r="R4" t="s">
        <v>44</v>
      </c>
      <c r="S4" t="s">
        <v>60</v>
      </c>
      <c r="T4">
        <v>0</v>
      </c>
      <c r="U4">
        <v>66.650000000000006</v>
      </c>
      <c r="V4">
        <v>0</v>
      </c>
      <c r="W4">
        <v>1</v>
      </c>
      <c r="X4">
        <v>3.7499999999999999E-2</v>
      </c>
      <c r="Y4">
        <v>2.5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55</v>
      </c>
      <c r="I5" t="s">
        <v>56</v>
      </c>
      <c r="J5" t="s">
        <v>36</v>
      </c>
      <c r="K5" t="s">
        <v>61</v>
      </c>
      <c r="L5" t="s">
        <v>38</v>
      </c>
      <c r="M5" t="s">
        <v>62</v>
      </c>
      <c r="N5" t="s">
        <v>40</v>
      </c>
      <c r="O5" t="s">
        <v>41</v>
      </c>
      <c r="P5" t="s">
        <v>63</v>
      </c>
      <c r="Q5" t="s">
        <v>64</v>
      </c>
      <c r="R5" t="s">
        <v>44</v>
      </c>
      <c r="S5" t="s">
        <v>60</v>
      </c>
      <c r="T5">
        <v>0</v>
      </c>
      <c r="U5">
        <v>82.65</v>
      </c>
      <c r="V5">
        <v>0</v>
      </c>
      <c r="W5">
        <v>1</v>
      </c>
      <c r="X5">
        <v>3.7499999999999999E-2</v>
      </c>
      <c r="Y5">
        <v>3.1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55</v>
      </c>
      <c r="I6" t="s">
        <v>56</v>
      </c>
      <c r="J6" t="s">
        <v>36</v>
      </c>
      <c r="K6" t="s">
        <v>65</v>
      </c>
      <c r="L6" t="s">
        <v>38</v>
      </c>
      <c r="M6" t="s">
        <v>66</v>
      </c>
      <c r="N6" t="s">
        <v>40</v>
      </c>
      <c r="O6" t="s">
        <v>41</v>
      </c>
      <c r="P6" t="s">
        <v>67</v>
      </c>
      <c r="Q6" t="s">
        <v>68</v>
      </c>
      <c r="R6" t="s">
        <v>44</v>
      </c>
      <c r="S6" t="s">
        <v>60</v>
      </c>
      <c r="T6">
        <v>0</v>
      </c>
      <c r="U6">
        <v>69.87</v>
      </c>
      <c r="V6">
        <v>0</v>
      </c>
      <c r="W6">
        <v>1</v>
      </c>
      <c r="X6">
        <v>3.7499999999999999E-2</v>
      </c>
      <c r="Y6">
        <v>2.62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69</v>
      </c>
      <c r="I7" t="s">
        <v>70</v>
      </c>
      <c r="J7" t="s">
        <v>36</v>
      </c>
      <c r="K7" t="s">
        <v>71</v>
      </c>
      <c r="L7" t="s">
        <v>38</v>
      </c>
      <c r="M7" t="s">
        <v>72</v>
      </c>
      <c r="N7" t="s">
        <v>73</v>
      </c>
      <c r="O7" t="s">
        <v>41</v>
      </c>
      <c r="P7" t="s">
        <v>74</v>
      </c>
      <c r="Q7" t="s">
        <v>75</v>
      </c>
      <c r="R7" t="s">
        <v>44</v>
      </c>
      <c r="S7" t="s">
        <v>45</v>
      </c>
      <c r="T7">
        <v>0</v>
      </c>
      <c r="U7">
        <v>261.13</v>
      </c>
      <c r="V7">
        <v>0</v>
      </c>
      <c r="W7">
        <v>1</v>
      </c>
      <c r="X7">
        <v>1.4</v>
      </c>
      <c r="Y7">
        <v>365.58</v>
      </c>
      <c r="Z7">
        <v>0</v>
      </c>
      <c r="AA7">
        <v>0</v>
      </c>
    </row>
    <row r="8" spans="1:27" x14ac:dyDescent="0.2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69</v>
      </c>
      <c r="I8" t="s">
        <v>70</v>
      </c>
      <c r="J8" t="s">
        <v>36</v>
      </c>
      <c r="K8" t="s">
        <v>76</v>
      </c>
      <c r="L8" t="s">
        <v>38</v>
      </c>
      <c r="M8" t="s">
        <v>77</v>
      </c>
      <c r="N8" t="s">
        <v>73</v>
      </c>
      <c r="O8" t="s">
        <v>41</v>
      </c>
      <c r="P8" t="s">
        <v>74</v>
      </c>
      <c r="Q8" t="s">
        <v>75</v>
      </c>
      <c r="R8" t="s">
        <v>44</v>
      </c>
      <c r="S8" t="s">
        <v>45</v>
      </c>
      <c r="T8">
        <v>0</v>
      </c>
      <c r="U8">
        <v>99.67</v>
      </c>
      <c r="V8">
        <v>0</v>
      </c>
      <c r="W8">
        <v>1</v>
      </c>
      <c r="X8">
        <v>1.4</v>
      </c>
      <c r="Y8">
        <v>139.54</v>
      </c>
      <c r="Z8">
        <v>0</v>
      </c>
      <c r="AA8">
        <v>0</v>
      </c>
    </row>
    <row r="9" spans="1:27" x14ac:dyDescent="0.2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69</v>
      </c>
      <c r="I9" t="s">
        <v>70</v>
      </c>
      <c r="J9" t="s">
        <v>36</v>
      </c>
      <c r="K9" t="s">
        <v>78</v>
      </c>
      <c r="L9" t="s">
        <v>38</v>
      </c>
      <c r="M9" t="s">
        <v>77</v>
      </c>
      <c r="N9" t="s">
        <v>73</v>
      </c>
      <c r="O9" t="s">
        <v>41</v>
      </c>
      <c r="P9" t="s">
        <v>74</v>
      </c>
      <c r="Q9" t="s">
        <v>75</v>
      </c>
      <c r="R9" t="s">
        <v>44</v>
      </c>
      <c r="S9" t="s">
        <v>45</v>
      </c>
      <c r="T9">
        <v>0</v>
      </c>
      <c r="U9">
        <v>42.25</v>
      </c>
      <c r="V9">
        <v>0</v>
      </c>
      <c r="W9">
        <v>1</v>
      </c>
      <c r="X9">
        <v>1.4</v>
      </c>
      <c r="Y9">
        <v>59.15</v>
      </c>
      <c r="Z9">
        <v>0</v>
      </c>
      <c r="AA9">
        <v>0</v>
      </c>
    </row>
    <row r="10" spans="1:27" x14ac:dyDescent="0.2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79</v>
      </c>
      <c r="I10" t="s">
        <v>80</v>
      </c>
      <c r="J10" t="s">
        <v>36</v>
      </c>
      <c r="K10" t="s">
        <v>81</v>
      </c>
      <c r="L10" t="s">
        <v>38</v>
      </c>
      <c r="M10" t="s">
        <v>82</v>
      </c>
      <c r="N10" t="s">
        <v>73</v>
      </c>
      <c r="O10" t="s">
        <v>41</v>
      </c>
      <c r="P10" t="s">
        <v>83</v>
      </c>
      <c r="Q10" t="s">
        <v>84</v>
      </c>
      <c r="R10" t="s">
        <v>44</v>
      </c>
      <c r="S10" t="s">
        <v>45</v>
      </c>
      <c r="T10">
        <v>0</v>
      </c>
      <c r="U10">
        <v>163.96</v>
      </c>
      <c r="V10">
        <v>0</v>
      </c>
      <c r="W10">
        <v>1</v>
      </c>
      <c r="X10">
        <v>1.4</v>
      </c>
      <c r="Y10">
        <v>229.54</v>
      </c>
      <c r="Z10">
        <v>0</v>
      </c>
      <c r="AA10">
        <v>0</v>
      </c>
    </row>
    <row r="11" spans="1:27" x14ac:dyDescent="0.2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79</v>
      </c>
      <c r="I11" t="s">
        <v>80</v>
      </c>
      <c r="J11" t="s">
        <v>48</v>
      </c>
      <c r="K11" t="s">
        <v>85</v>
      </c>
      <c r="L11" t="s">
        <v>38</v>
      </c>
      <c r="M11" t="s">
        <v>86</v>
      </c>
      <c r="N11" t="s">
        <v>87</v>
      </c>
      <c r="O11" t="s">
        <v>41</v>
      </c>
      <c r="P11" t="s">
        <v>88</v>
      </c>
      <c r="Q11" t="s">
        <v>89</v>
      </c>
      <c r="R11" t="s">
        <v>44</v>
      </c>
      <c r="S11" t="s">
        <v>45</v>
      </c>
      <c r="T11">
        <v>0</v>
      </c>
      <c r="U11">
        <v>44.2</v>
      </c>
      <c r="V11">
        <v>0</v>
      </c>
      <c r="W11">
        <v>1</v>
      </c>
      <c r="X11">
        <v>1.05</v>
      </c>
      <c r="Y11">
        <v>46.41</v>
      </c>
      <c r="Z11">
        <v>0</v>
      </c>
      <c r="AA11">
        <v>0</v>
      </c>
    </row>
    <row r="12" spans="1:27" x14ac:dyDescent="0.2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79</v>
      </c>
      <c r="I12" t="s">
        <v>80</v>
      </c>
      <c r="J12" t="s">
        <v>48</v>
      </c>
      <c r="K12" t="s">
        <v>90</v>
      </c>
      <c r="L12" t="s">
        <v>38</v>
      </c>
      <c r="M12" t="s">
        <v>86</v>
      </c>
      <c r="N12" t="s">
        <v>87</v>
      </c>
      <c r="O12" t="s">
        <v>41</v>
      </c>
      <c r="P12" t="s">
        <v>91</v>
      </c>
      <c r="Q12" t="s">
        <v>92</v>
      </c>
      <c r="R12" t="s">
        <v>44</v>
      </c>
      <c r="S12" t="s">
        <v>45</v>
      </c>
      <c r="T12">
        <v>0</v>
      </c>
      <c r="U12">
        <v>58.65</v>
      </c>
      <c r="V12">
        <v>0</v>
      </c>
      <c r="W12">
        <v>1</v>
      </c>
      <c r="X12">
        <v>1.05</v>
      </c>
      <c r="Y12">
        <v>61.58</v>
      </c>
      <c r="Z12">
        <v>0</v>
      </c>
      <c r="AA12">
        <v>0</v>
      </c>
    </row>
    <row r="13" spans="1:27" x14ac:dyDescent="0.2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93</v>
      </c>
      <c r="I13" t="s">
        <v>94</v>
      </c>
      <c r="J13" t="s">
        <v>36</v>
      </c>
      <c r="K13" t="s">
        <v>95</v>
      </c>
      <c r="L13" t="s">
        <v>38</v>
      </c>
      <c r="M13" t="s">
        <v>96</v>
      </c>
      <c r="N13" t="s">
        <v>40</v>
      </c>
      <c r="O13" t="s">
        <v>41</v>
      </c>
      <c r="P13" t="s">
        <v>97</v>
      </c>
      <c r="Q13" t="s">
        <v>43</v>
      </c>
      <c r="R13" t="s">
        <v>44</v>
      </c>
      <c r="S13" t="s">
        <v>45</v>
      </c>
      <c r="T13">
        <v>0</v>
      </c>
      <c r="U13">
        <v>70.989999999999995</v>
      </c>
      <c r="V13">
        <v>0</v>
      </c>
      <c r="W13">
        <v>1</v>
      </c>
      <c r="X13">
        <v>1.25</v>
      </c>
      <c r="Y13">
        <v>88.74</v>
      </c>
      <c r="Z13">
        <v>0</v>
      </c>
      <c r="AA13">
        <v>0</v>
      </c>
    </row>
    <row r="14" spans="1:27" x14ac:dyDescent="0.2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98</v>
      </c>
      <c r="I14" t="s">
        <v>99</v>
      </c>
      <c r="J14" t="s">
        <v>36</v>
      </c>
      <c r="K14" t="s">
        <v>100</v>
      </c>
      <c r="L14" t="s">
        <v>38</v>
      </c>
      <c r="M14" t="s">
        <v>101</v>
      </c>
      <c r="N14" t="s">
        <v>40</v>
      </c>
      <c r="O14" t="s">
        <v>41</v>
      </c>
      <c r="P14" t="s">
        <v>102</v>
      </c>
      <c r="Q14" t="s">
        <v>103</v>
      </c>
      <c r="R14" t="s">
        <v>44</v>
      </c>
      <c r="S14" t="s">
        <v>45</v>
      </c>
      <c r="T14">
        <v>0</v>
      </c>
      <c r="U14">
        <v>28.65</v>
      </c>
      <c r="V14">
        <v>0</v>
      </c>
      <c r="W14">
        <v>1</v>
      </c>
      <c r="X14">
        <v>1.25</v>
      </c>
      <c r="Y14">
        <v>35.81</v>
      </c>
      <c r="Z14">
        <v>0</v>
      </c>
      <c r="AA14">
        <v>0</v>
      </c>
    </row>
    <row r="15" spans="1:27" x14ac:dyDescent="0.2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H15" t="s">
        <v>104</v>
      </c>
      <c r="I15" t="s">
        <v>105</v>
      </c>
      <c r="J15" t="s">
        <v>36</v>
      </c>
      <c r="K15" t="s">
        <v>106</v>
      </c>
      <c r="L15" t="s">
        <v>38</v>
      </c>
      <c r="M15" t="s">
        <v>107</v>
      </c>
      <c r="N15" t="s">
        <v>108</v>
      </c>
      <c r="O15" t="s">
        <v>41</v>
      </c>
      <c r="P15" t="s">
        <v>109</v>
      </c>
      <c r="Q15" t="s">
        <v>110</v>
      </c>
      <c r="R15" t="s">
        <v>44</v>
      </c>
      <c r="S15" t="s">
        <v>60</v>
      </c>
      <c r="T15">
        <v>0</v>
      </c>
      <c r="U15">
        <v>99.85</v>
      </c>
      <c r="V15">
        <v>0</v>
      </c>
      <c r="W15">
        <v>1</v>
      </c>
      <c r="X15">
        <v>5.0000000000000001E-3</v>
      </c>
      <c r="Y15">
        <v>0.5</v>
      </c>
      <c r="Z15">
        <v>0</v>
      </c>
      <c r="AA15">
        <v>0</v>
      </c>
    </row>
    <row r="16" spans="1:27" x14ac:dyDescent="0.2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33</v>
      </c>
      <c r="H16" t="s">
        <v>111</v>
      </c>
      <c r="I16" t="s">
        <v>112</v>
      </c>
      <c r="J16" t="s">
        <v>48</v>
      </c>
      <c r="K16" t="s">
        <v>113</v>
      </c>
      <c r="L16" t="s">
        <v>38</v>
      </c>
      <c r="M16" t="s">
        <v>114</v>
      </c>
      <c r="N16" t="s">
        <v>115</v>
      </c>
      <c r="O16" t="s">
        <v>41</v>
      </c>
      <c r="P16" t="s">
        <v>116</v>
      </c>
      <c r="Q16" t="s">
        <v>117</v>
      </c>
      <c r="R16" t="s">
        <v>44</v>
      </c>
      <c r="S16" t="s">
        <v>45</v>
      </c>
      <c r="T16">
        <v>0</v>
      </c>
      <c r="U16">
        <v>35.950000000000003</v>
      </c>
      <c r="V16">
        <v>0</v>
      </c>
      <c r="W16">
        <v>1</v>
      </c>
      <c r="X16">
        <v>1.05</v>
      </c>
      <c r="Y16">
        <v>37.75</v>
      </c>
      <c r="Z16">
        <v>0</v>
      </c>
      <c r="AA16">
        <v>0</v>
      </c>
    </row>
    <row r="17" spans="1:27" x14ac:dyDescent="0.2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H17" t="s">
        <v>118</v>
      </c>
      <c r="I17" t="s">
        <v>119</v>
      </c>
      <c r="J17" t="s">
        <v>48</v>
      </c>
      <c r="K17" t="s">
        <v>120</v>
      </c>
      <c r="L17" t="s">
        <v>38</v>
      </c>
      <c r="M17" t="s">
        <v>121</v>
      </c>
      <c r="N17" t="s">
        <v>87</v>
      </c>
      <c r="O17" t="s">
        <v>41</v>
      </c>
      <c r="P17" t="s">
        <v>122</v>
      </c>
      <c r="Q17" t="s">
        <v>123</v>
      </c>
      <c r="R17" t="s">
        <v>44</v>
      </c>
      <c r="S17" t="s">
        <v>45</v>
      </c>
      <c r="T17">
        <v>0</v>
      </c>
      <c r="U17">
        <v>48.45</v>
      </c>
      <c r="V17">
        <v>0</v>
      </c>
      <c r="W17">
        <v>1</v>
      </c>
      <c r="X17">
        <v>1.05</v>
      </c>
      <c r="Y17">
        <v>50.87</v>
      </c>
      <c r="Z17">
        <v>0</v>
      </c>
      <c r="AA17">
        <v>0</v>
      </c>
    </row>
    <row r="18" spans="1:27" x14ac:dyDescent="0.2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H18" t="s">
        <v>124</v>
      </c>
      <c r="I18" t="s">
        <v>125</v>
      </c>
      <c r="J18" t="s">
        <v>48</v>
      </c>
      <c r="K18" t="s">
        <v>126</v>
      </c>
      <c r="L18" t="s">
        <v>38</v>
      </c>
      <c r="M18" t="s">
        <v>127</v>
      </c>
      <c r="N18" t="s">
        <v>128</v>
      </c>
      <c r="O18" t="s">
        <v>41</v>
      </c>
      <c r="P18" t="s">
        <v>129</v>
      </c>
      <c r="Q18" t="s">
        <v>130</v>
      </c>
      <c r="R18" t="s">
        <v>44</v>
      </c>
      <c r="S18" t="s">
        <v>45</v>
      </c>
      <c r="T18">
        <v>0</v>
      </c>
      <c r="U18">
        <v>103.2</v>
      </c>
      <c r="V18">
        <v>0</v>
      </c>
      <c r="W18">
        <v>1</v>
      </c>
      <c r="X18">
        <v>1.1499999999999999</v>
      </c>
      <c r="Y18">
        <v>118.68</v>
      </c>
      <c r="Z18">
        <v>0</v>
      </c>
      <c r="AA18">
        <v>0</v>
      </c>
    </row>
    <row r="19" spans="1:27" x14ac:dyDescent="0.2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131</v>
      </c>
      <c r="I19" t="s">
        <v>132</v>
      </c>
      <c r="J19" t="s">
        <v>48</v>
      </c>
      <c r="K19" t="s">
        <v>133</v>
      </c>
      <c r="L19" t="s">
        <v>38</v>
      </c>
      <c r="M19" t="s">
        <v>134</v>
      </c>
      <c r="N19" t="s">
        <v>135</v>
      </c>
      <c r="O19" t="s">
        <v>41</v>
      </c>
      <c r="P19" t="s">
        <v>136</v>
      </c>
      <c r="Q19" t="s">
        <v>123</v>
      </c>
      <c r="R19" t="s">
        <v>44</v>
      </c>
      <c r="S19" t="s">
        <v>45</v>
      </c>
      <c r="T19">
        <v>0</v>
      </c>
      <c r="U19">
        <v>93.93</v>
      </c>
      <c r="V19">
        <v>0</v>
      </c>
      <c r="W19">
        <v>1</v>
      </c>
      <c r="X19">
        <v>1.05</v>
      </c>
      <c r="Y19">
        <v>98.63</v>
      </c>
      <c r="Z19">
        <v>0</v>
      </c>
      <c r="AA19">
        <v>0</v>
      </c>
    </row>
    <row r="20" spans="1:27" x14ac:dyDescent="0.2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33</v>
      </c>
      <c r="H20" t="s">
        <v>131</v>
      </c>
      <c r="I20" t="s">
        <v>132</v>
      </c>
      <c r="J20" t="s">
        <v>48</v>
      </c>
      <c r="K20" t="s">
        <v>137</v>
      </c>
      <c r="L20" t="s">
        <v>38</v>
      </c>
      <c r="M20" t="s">
        <v>138</v>
      </c>
      <c r="N20" t="s">
        <v>87</v>
      </c>
      <c r="O20" t="s">
        <v>41</v>
      </c>
      <c r="P20" t="s">
        <v>139</v>
      </c>
      <c r="Q20" t="s">
        <v>140</v>
      </c>
      <c r="R20" t="s">
        <v>44</v>
      </c>
      <c r="S20" t="s">
        <v>45</v>
      </c>
      <c r="T20">
        <v>0</v>
      </c>
      <c r="U20">
        <v>61.2</v>
      </c>
      <c r="V20">
        <v>0</v>
      </c>
      <c r="W20">
        <v>1</v>
      </c>
      <c r="X20">
        <v>1.05</v>
      </c>
      <c r="Y20">
        <v>64.260000000000005</v>
      </c>
      <c r="Z20">
        <v>0</v>
      </c>
      <c r="AA20">
        <v>0</v>
      </c>
    </row>
    <row r="21" spans="1:27" x14ac:dyDescent="0.2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33</v>
      </c>
      <c r="H21" t="s">
        <v>131</v>
      </c>
      <c r="I21" t="s">
        <v>132</v>
      </c>
      <c r="J21" t="s">
        <v>48</v>
      </c>
      <c r="K21" t="s">
        <v>141</v>
      </c>
      <c r="L21" t="s">
        <v>38</v>
      </c>
      <c r="M21" t="s">
        <v>142</v>
      </c>
      <c r="N21" t="s">
        <v>87</v>
      </c>
      <c r="O21" t="s">
        <v>41</v>
      </c>
      <c r="P21" t="s">
        <v>143</v>
      </c>
      <c r="Q21" t="s">
        <v>144</v>
      </c>
      <c r="R21" t="s">
        <v>44</v>
      </c>
      <c r="S21" t="s">
        <v>45</v>
      </c>
      <c r="T21">
        <v>0</v>
      </c>
      <c r="U21">
        <v>51</v>
      </c>
      <c r="V21">
        <v>0</v>
      </c>
      <c r="W21">
        <v>1</v>
      </c>
      <c r="X21">
        <v>1.05</v>
      </c>
      <c r="Y21">
        <v>53.55</v>
      </c>
      <c r="Z21">
        <v>0</v>
      </c>
      <c r="AA21">
        <v>0</v>
      </c>
    </row>
    <row r="22" spans="1:27" x14ac:dyDescent="0.2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131</v>
      </c>
      <c r="I22" t="s">
        <v>132</v>
      </c>
      <c r="J22" t="s">
        <v>48</v>
      </c>
      <c r="K22" t="s">
        <v>145</v>
      </c>
      <c r="L22" t="s">
        <v>38</v>
      </c>
      <c r="M22" t="s">
        <v>142</v>
      </c>
      <c r="N22" t="s">
        <v>87</v>
      </c>
      <c r="O22" t="s">
        <v>41</v>
      </c>
      <c r="P22" t="s">
        <v>146</v>
      </c>
      <c r="Q22" t="s">
        <v>117</v>
      </c>
      <c r="R22" t="s">
        <v>44</v>
      </c>
      <c r="S22" t="s">
        <v>45</v>
      </c>
      <c r="T22">
        <v>0</v>
      </c>
      <c r="U22">
        <v>34.85</v>
      </c>
      <c r="V22">
        <v>0</v>
      </c>
      <c r="W22">
        <v>1</v>
      </c>
      <c r="X22">
        <v>1.05</v>
      </c>
      <c r="Y22">
        <v>36.590000000000003</v>
      </c>
      <c r="Z22">
        <v>0</v>
      </c>
      <c r="AA22">
        <v>0</v>
      </c>
    </row>
    <row r="23" spans="1:27" x14ac:dyDescent="0.2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33</v>
      </c>
      <c r="H23" t="s">
        <v>131</v>
      </c>
      <c r="I23" t="s">
        <v>132</v>
      </c>
      <c r="J23" t="s">
        <v>48</v>
      </c>
      <c r="K23" t="s">
        <v>147</v>
      </c>
      <c r="L23" t="s">
        <v>38</v>
      </c>
      <c r="M23" t="s">
        <v>148</v>
      </c>
      <c r="N23" t="s">
        <v>87</v>
      </c>
      <c r="O23" t="s">
        <v>41</v>
      </c>
      <c r="P23" t="s">
        <v>149</v>
      </c>
      <c r="Q23" t="s">
        <v>150</v>
      </c>
      <c r="R23" t="s">
        <v>44</v>
      </c>
      <c r="S23" t="s">
        <v>45</v>
      </c>
      <c r="T23">
        <v>0</v>
      </c>
      <c r="U23">
        <v>35.700000000000003</v>
      </c>
      <c r="V23">
        <v>0</v>
      </c>
      <c r="W23">
        <v>1</v>
      </c>
      <c r="X23">
        <v>1.05</v>
      </c>
      <c r="Y23">
        <v>37.49</v>
      </c>
      <c r="Z23">
        <v>0</v>
      </c>
      <c r="AA23">
        <v>0</v>
      </c>
    </row>
    <row r="24" spans="1:27" x14ac:dyDescent="0.2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131</v>
      </c>
      <c r="I24" t="s">
        <v>132</v>
      </c>
      <c r="J24" t="s">
        <v>48</v>
      </c>
      <c r="K24" t="s">
        <v>151</v>
      </c>
      <c r="L24" t="s">
        <v>38</v>
      </c>
      <c r="M24" t="s">
        <v>152</v>
      </c>
      <c r="N24" t="s">
        <v>153</v>
      </c>
      <c r="O24" t="s">
        <v>41</v>
      </c>
      <c r="P24" t="s">
        <v>154</v>
      </c>
      <c r="Q24" t="s">
        <v>117</v>
      </c>
      <c r="R24" t="s">
        <v>44</v>
      </c>
      <c r="S24" t="s">
        <v>45</v>
      </c>
      <c r="T24">
        <v>0</v>
      </c>
      <c r="U24">
        <v>106.25</v>
      </c>
      <c r="V24">
        <v>0</v>
      </c>
      <c r="W24">
        <v>1</v>
      </c>
      <c r="X24">
        <v>1.05</v>
      </c>
      <c r="Y24">
        <v>111.56</v>
      </c>
      <c r="Z24">
        <v>0</v>
      </c>
      <c r="AA24">
        <v>0</v>
      </c>
    </row>
    <row r="25" spans="1:27" x14ac:dyDescent="0.2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131</v>
      </c>
      <c r="I25" t="s">
        <v>132</v>
      </c>
      <c r="J25" t="s">
        <v>48</v>
      </c>
      <c r="K25" t="s">
        <v>155</v>
      </c>
      <c r="L25" t="s">
        <v>38</v>
      </c>
      <c r="M25" t="s">
        <v>152</v>
      </c>
      <c r="N25" t="s">
        <v>153</v>
      </c>
      <c r="O25" t="s">
        <v>41</v>
      </c>
      <c r="P25" t="s">
        <v>42</v>
      </c>
      <c r="Q25" t="s">
        <v>43</v>
      </c>
      <c r="R25" t="s">
        <v>44</v>
      </c>
      <c r="S25" t="s">
        <v>45</v>
      </c>
      <c r="T25">
        <v>0</v>
      </c>
      <c r="U25">
        <v>141.94999999999999</v>
      </c>
      <c r="V25">
        <v>0</v>
      </c>
      <c r="W25">
        <v>1</v>
      </c>
      <c r="X25">
        <v>1.05</v>
      </c>
      <c r="Y25">
        <v>149.05000000000001</v>
      </c>
      <c r="Z25">
        <v>0</v>
      </c>
      <c r="AA25">
        <v>0</v>
      </c>
    </row>
    <row r="26" spans="1:27" x14ac:dyDescent="0.2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33</v>
      </c>
      <c r="H26" t="s">
        <v>131</v>
      </c>
      <c r="I26" t="s">
        <v>132</v>
      </c>
      <c r="J26" t="s">
        <v>48</v>
      </c>
      <c r="K26" t="s">
        <v>156</v>
      </c>
      <c r="L26" t="s">
        <v>38</v>
      </c>
      <c r="M26" t="s">
        <v>157</v>
      </c>
      <c r="N26" t="s">
        <v>158</v>
      </c>
      <c r="O26" t="s">
        <v>41</v>
      </c>
      <c r="P26" t="s">
        <v>159</v>
      </c>
      <c r="Q26" t="s">
        <v>68</v>
      </c>
      <c r="R26" t="s">
        <v>44</v>
      </c>
      <c r="S26" t="s">
        <v>45</v>
      </c>
      <c r="T26">
        <v>0</v>
      </c>
      <c r="U26">
        <v>45.05</v>
      </c>
      <c r="V26">
        <v>0</v>
      </c>
      <c r="W26">
        <v>1</v>
      </c>
      <c r="X26">
        <v>1</v>
      </c>
      <c r="Y26">
        <v>45.05</v>
      </c>
      <c r="Z26">
        <v>0</v>
      </c>
      <c r="AA26">
        <v>0</v>
      </c>
    </row>
    <row r="27" spans="1:27" x14ac:dyDescent="0.2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33</v>
      </c>
      <c r="H27" t="s">
        <v>160</v>
      </c>
      <c r="I27" t="s">
        <v>161</v>
      </c>
      <c r="J27" t="s">
        <v>48</v>
      </c>
      <c r="K27" t="s">
        <v>162</v>
      </c>
      <c r="L27" t="s">
        <v>50</v>
      </c>
      <c r="M27" t="s">
        <v>163</v>
      </c>
      <c r="N27" t="s">
        <v>128</v>
      </c>
      <c r="O27" t="s">
        <v>41</v>
      </c>
      <c r="P27" t="s">
        <v>164</v>
      </c>
      <c r="Q27" t="s">
        <v>165</v>
      </c>
      <c r="R27" t="s">
        <v>44</v>
      </c>
      <c r="S27" t="s">
        <v>45</v>
      </c>
      <c r="T27">
        <v>0</v>
      </c>
      <c r="U27">
        <v>84.71</v>
      </c>
      <c r="V27">
        <v>0</v>
      </c>
      <c r="W27">
        <v>1</v>
      </c>
      <c r="X27">
        <v>1.1499999999999999</v>
      </c>
      <c r="Y27">
        <v>97.42</v>
      </c>
      <c r="Z27">
        <v>0</v>
      </c>
      <c r="AA27">
        <v>0</v>
      </c>
    </row>
    <row r="28" spans="1:27" x14ac:dyDescent="0.2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33</v>
      </c>
      <c r="H28" t="s">
        <v>166</v>
      </c>
      <c r="I28" t="s">
        <v>167</v>
      </c>
      <c r="J28" t="s">
        <v>48</v>
      </c>
      <c r="K28" t="s">
        <v>168</v>
      </c>
      <c r="L28" t="s">
        <v>38</v>
      </c>
      <c r="M28" t="s">
        <v>169</v>
      </c>
      <c r="N28" t="s">
        <v>170</v>
      </c>
      <c r="O28" t="s">
        <v>41</v>
      </c>
      <c r="P28" t="s">
        <v>171</v>
      </c>
      <c r="Q28" t="s">
        <v>92</v>
      </c>
      <c r="R28" t="s">
        <v>44</v>
      </c>
      <c r="S28" t="s">
        <v>45</v>
      </c>
      <c r="T28">
        <v>0</v>
      </c>
      <c r="U28">
        <v>5.75</v>
      </c>
      <c r="V28">
        <v>0</v>
      </c>
      <c r="W28">
        <v>1</v>
      </c>
      <c r="X28">
        <v>1.1499999999999999</v>
      </c>
      <c r="Y28">
        <v>6.61</v>
      </c>
      <c r="Z28">
        <v>0</v>
      </c>
      <c r="AA28">
        <v>0</v>
      </c>
    </row>
    <row r="29" spans="1:27" x14ac:dyDescent="0.2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33</v>
      </c>
      <c r="H29" t="s">
        <v>172</v>
      </c>
      <c r="I29" t="s">
        <v>173</v>
      </c>
      <c r="J29" t="s">
        <v>36</v>
      </c>
      <c r="K29" t="s">
        <v>174</v>
      </c>
      <c r="L29" t="s">
        <v>38</v>
      </c>
      <c r="M29" t="s">
        <v>175</v>
      </c>
      <c r="N29" t="s">
        <v>40</v>
      </c>
      <c r="O29" t="s">
        <v>41</v>
      </c>
      <c r="P29" t="s">
        <v>176</v>
      </c>
      <c r="Q29" t="s">
        <v>75</v>
      </c>
      <c r="R29" t="s">
        <v>44</v>
      </c>
      <c r="S29" t="s">
        <v>45</v>
      </c>
      <c r="T29">
        <v>0</v>
      </c>
      <c r="U29">
        <v>115</v>
      </c>
      <c r="V29">
        <v>0</v>
      </c>
      <c r="W29">
        <v>1</v>
      </c>
      <c r="X29">
        <v>1.25</v>
      </c>
      <c r="Y29">
        <v>143.75</v>
      </c>
      <c r="Z29">
        <v>0</v>
      </c>
      <c r="AA29">
        <v>0</v>
      </c>
    </row>
    <row r="30" spans="1:27" x14ac:dyDescent="0.2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33</v>
      </c>
      <c r="H30" t="s">
        <v>172</v>
      </c>
      <c r="I30" t="s">
        <v>173</v>
      </c>
      <c r="J30" t="s">
        <v>36</v>
      </c>
      <c r="K30" t="s">
        <v>177</v>
      </c>
      <c r="L30" t="s">
        <v>38</v>
      </c>
      <c r="M30" t="s">
        <v>178</v>
      </c>
      <c r="N30" t="s">
        <v>40</v>
      </c>
      <c r="O30" t="s">
        <v>41</v>
      </c>
      <c r="P30" t="s">
        <v>179</v>
      </c>
      <c r="Q30" t="s">
        <v>84</v>
      </c>
      <c r="R30" t="s">
        <v>44</v>
      </c>
      <c r="S30" t="s">
        <v>60</v>
      </c>
      <c r="T30">
        <v>0</v>
      </c>
      <c r="U30">
        <v>117.02</v>
      </c>
      <c r="V30">
        <v>0</v>
      </c>
      <c r="W30">
        <v>1</v>
      </c>
      <c r="X30">
        <v>3.7499999999999999E-2</v>
      </c>
      <c r="Y30">
        <v>4.3899999999999997</v>
      </c>
      <c r="Z30">
        <v>0</v>
      </c>
      <c r="AA30">
        <v>0</v>
      </c>
    </row>
    <row r="31" spans="1:27" x14ac:dyDescent="0.2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H31" t="s">
        <v>172</v>
      </c>
      <c r="I31" t="s">
        <v>173</v>
      </c>
      <c r="J31" t="s">
        <v>36</v>
      </c>
      <c r="K31" t="s">
        <v>180</v>
      </c>
      <c r="L31" t="s">
        <v>38</v>
      </c>
      <c r="M31" t="s">
        <v>181</v>
      </c>
      <c r="N31" t="s">
        <v>40</v>
      </c>
      <c r="O31" t="s">
        <v>41</v>
      </c>
      <c r="P31" t="s">
        <v>176</v>
      </c>
      <c r="Q31" t="s">
        <v>75</v>
      </c>
      <c r="R31" t="s">
        <v>44</v>
      </c>
      <c r="S31" t="s">
        <v>45</v>
      </c>
      <c r="T31">
        <v>0</v>
      </c>
      <c r="U31">
        <v>98.53</v>
      </c>
      <c r="V31">
        <v>0</v>
      </c>
      <c r="W31">
        <v>1</v>
      </c>
      <c r="X31">
        <v>1.25</v>
      </c>
      <c r="Y31">
        <v>123.16</v>
      </c>
      <c r="Z31">
        <v>0</v>
      </c>
      <c r="AA31">
        <v>0</v>
      </c>
    </row>
    <row r="32" spans="1:27" x14ac:dyDescent="0.2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33</v>
      </c>
      <c r="H32" t="s">
        <v>172</v>
      </c>
      <c r="I32" t="s">
        <v>173</v>
      </c>
      <c r="J32" t="s">
        <v>36</v>
      </c>
      <c r="K32" t="s">
        <v>182</v>
      </c>
      <c r="L32" t="s">
        <v>38</v>
      </c>
      <c r="M32" t="s">
        <v>183</v>
      </c>
      <c r="N32" t="s">
        <v>40</v>
      </c>
      <c r="O32" t="s">
        <v>41</v>
      </c>
      <c r="P32" t="s">
        <v>176</v>
      </c>
      <c r="Q32" t="s">
        <v>75</v>
      </c>
      <c r="R32" t="s">
        <v>44</v>
      </c>
      <c r="S32" t="s">
        <v>45</v>
      </c>
      <c r="T32">
        <v>0</v>
      </c>
      <c r="U32">
        <v>77.489999999999995</v>
      </c>
      <c r="V32">
        <v>0</v>
      </c>
      <c r="W32">
        <v>1</v>
      </c>
      <c r="X32">
        <v>1.25</v>
      </c>
      <c r="Y32">
        <v>96.86</v>
      </c>
      <c r="Z32">
        <v>0</v>
      </c>
      <c r="AA32">
        <v>0</v>
      </c>
    </row>
    <row r="33" spans="1:27" x14ac:dyDescent="0.2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33</v>
      </c>
      <c r="H33" t="s">
        <v>172</v>
      </c>
      <c r="I33" t="s">
        <v>173</v>
      </c>
      <c r="J33" t="s">
        <v>36</v>
      </c>
      <c r="K33" t="s">
        <v>184</v>
      </c>
      <c r="L33" t="s">
        <v>38</v>
      </c>
      <c r="M33" t="s">
        <v>185</v>
      </c>
      <c r="N33" t="s">
        <v>40</v>
      </c>
      <c r="O33" t="s">
        <v>41</v>
      </c>
      <c r="P33" t="s">
        <v>186</v>
      </c>
      <c r="Q33" t="s">
        <v>75</v>
      </c>
      <c r="R33" t="s">
        <v>44</v>
      </c>
      <c r="S33" t="s">
        <v>45</v>
      </c>
      <c r="T33">
        <v>0</v>
      </c>
      <c r="U33">
        <v>110.66</v>
      </c>
      <c r="V33">
        <v>0</v>
      </c>
      <c r="W33">
        <v>1</v>
      </c>
      <c r="X33">
        <v>1.25</v>
      </c>
      <c r="Y33">
        <v>138.33000000000001</v>
      </c>
      <c r="Z33">
        <v>0</v>
      </c>
      <c r="AA33">
        <v>0</v>
      </c>
    </row>
    <row r="34" spans="1:27" x14ac:dyDescent="0.2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H34" t="s">
        <v>172</v>
      </c>
      <c r="I34" t="s">
        <v>173</v>
      </c>
      <c r="J34" t="s">
        <v>36</v>
      </c>
      <c r="K34" t="s">
        <v>187</v>
      </c>
      <c r="L34" t="s">
        <v>38</v>
      </c>
      <c r="M34" t="s">
        <v>188</v>
      </c>
      <c r="N34" t="s">
        <v>40</v>
      </c>
      <c r="O34" t="s">
        <v>41</v>
      </c>
      <c r="P34" t="s">
        <v>186</v>
      </c>
      <c r="Q34" t="s">
        <v>75</v>
      </c>
      <c r="R34" t="s">
        <v>44</v>
      </c>
      <c r="S34" t="s">
        <v>45</v>
      </c>
      <c r="T34">
        <v>0</v>
      </c>
      <c r="U34">
        <v>113</v>
      </c>
      <c r="V34">
        <v>0</v>
      </c>
      <c r="W34">
        <v>1</v>
      </c>
      <c r="X34">
        <v>1.25</v>
      </c>
      <c r="Y34">
        <v>141.25</v>
      </c>
      <c r="Z34">
        <v>0</v>
      </c>
      <c r="AA34">
        <v>0</v>
      </c>
    </row>
    <row r="35" spans="1:27" x14ac:dyDescent="0.2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 t="s">
        <v>33</v>
      </c>
      <c r="H35" t="s">
        <v>172</v>
      </c>
      <c r="I35" t="s">
        <v>173</v>
      </c>
      <c r="J35" t="s">
        <v>36</v>
      </c>
      <c r="K35" t="s">
        <v>189</v>
      </c>
      <c r="L35" t="s">
        <v>38</v>
      </c>
      <c r="M35" t="s">
        <v>190</v>
      </c>
      <c r="N35" t="s">
        <v>40</v>
      </c>
      <c r="O35" t="s">
        <v>41</v>
      </c>
      <c r="P35" t="s">
        <v>186</v>
      </c>
      <c r="Q35" t="s">
        <v>75</v>
      </c>
      <c r="R35" t="s">
        <v>44</v>
      </c>
      <c r="S35" t="s">
        <v>45</v>
      </c>
      <c r="T35">
        <v>0</v>
      </c>
      <c r="U35">
        <v>102.86</v>
      </c>
      <c r="V35">
        <v>0</v>
      </c>
      <c r="W35">
        <v>1</v>
      </c>
      <c r="X35">
        <v>1.25</v>
      </c>
      <c r="Y35">
        <v>128.58000000000001</v>
      </c>
      <c r="Z35">
        <v>0</v>
      </c>
      <c r="AA35">
        <v>0</v>
      </c>
    </row>
    <row r="36" spans="1:27" x14ac:dyDescent="0.2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 t="s">
        <v>33</v>
      </c>
      <c r="H36" t="s">
        <v>172</v>
      </c>
      <c r="I36" t="s">
        <v>173</v>
      </c>
      <c r="J36" t="s">
        <v>36</v>
      </c>
      <c r="K36" t="s">
        <v>191</v>
      </c>
      <c r="L36" t="s">
        <v>38</v>
      </c>
      <c r="M36" t="s">
        <v>192</v>
      </c>
      <c r="N36" t="s">
        <v>40</v>
      </c>
      <c r="O36" t="s">
        <v>41</v>
      </c>
      <c r="P36" t="s">
        <v>193</v>
      </c>
      <c r="Q36" t="s">
        <v>75</v>
      </c>
      <c r="R36" t="s">
        <v>44</v>
      </c>
      <c r="S36" t="s">
        <v>45</v>
      </c>
      <c r="T36">
        <v>0</v>
      </c>
      <c r="U36">
        <v>110.24</v>
      </c>
      <c r="V36">
        <v>0</v>
      </c>
      <c r="W36">
        <v>1</v>
      </c>
      <c r="X36">
        <v>1.25</v>
      </c>
      <c r="Y36">
        <v>137.80000000000001</v>
      </c>
      <c r="Z36">
        <v>0</v>
      </c>
      <c r="AA36">
        <v>0</v>
      </c>
    </row>
    <row r="37" spans="1:27" x14ac:dyDescent="0.2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t="s">
        <v>33</v>
      </c>
      <c r="H37" t="s">
        <v>172</v>
      </c>
      <c r="I37" t="s">
        <v>173</v>
      </c>
      <c r="J37" t="s">
        <v>36</v>
      </c>
      <c r="K37" t="s">
        <v>194</v>
      </c>
      <c r="L37" t="s">
        <v>38</v>
      </c>
      <c r="M37" t="s">
        <v>195</v>
      </c>
      <c r="N37" t="s">
        <v>40</v>
      </c>
      <c r="O37" t="s">
        <v>41</v>
      </c>
      <c r="P37" t="s">
        <v>193</v>
      </c>
      <c r="Q37" t="s">
        <v>75</v>
      </c>
      <c r="R37" t="s">
        <v>44</v>
      </c>
      <c r="S37" t="s">
        <v>45</v>
      </c>
      <c r="T37">
        <v>0</v>
      </c>
      <c r="U37">
        <v>103.53</v>
      </c>
      <c r="V37">
        <v>0</v>
      </c>
      <c r="W37">
        <v>1</v>
      </c>
      <c r="X37">
        <v>1.25</v>
      </c>
      <c r="Y37">
        <v>129.41</v>
      </c>
      <c r="Z37">
        <v>0</v>
      </c>
      <c r="AA37">
        <v>0</v>
      </c>
    </row>
    <row r="38" spans="1:27" x14ac:dyDescent="0.2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33</v>
      </c>
      <c r="H38" t="s">
        <v>172</v>
      </c>
      <c r="I38" t="s">
        <v>173</v>
      </c>
      <c r="J38" t="s">
        <v>36</v>
      </c>
      <c r="K38" t="s">
        <v>196</v>
      </c>
      <c r="L38" t="s">
        <v>38</v>
      </c>
      <c r="M38" t="s">
        <v>197</v>
      </c>
      <c r="N38" t="s">
        <v>40</v>
      </c>
      <c r="O38" t="s">
        <v>41</v>
      </c>
      <c r="P38" t="s">
        <v>193</v>
      </c>
      <c r="Q38" t="s">
        <v>75</v>
      </c>
      <c r="R38" t="s">
        <v>44</v>
      </c>
      <c r="S38" t="s">
        <v>45</v>
      </c>
      <c r="T38">
        <v>0</v>
      </c>
      <c r="U38">
        <v>99.3</v>
      </c>
      <c r="V38">
        <v>0</v>
      </c>
      <c r="W38">
        <v>1</v>
      </c>
      <c r="X38">
        <v>1.25</v>
      </c>
      <c r="Y38">
        <v>124.13</v>
      </c>
      <c r="Z38">
        <v>0</v>
      </c>
      <c r="AA38">
        <v>0</v>
      </c>
    </row>
    <row r="39" spans="1:27" x14ac:dyDescent="0.2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 t="s">
        <v>33</v>
      </c>
      <c r="H39" t="s">
        <v>172</v>
      </c>
      <c r="I39" t="s">
        <v>173</v>
      </c>
      <c r="J39" t="s">
        <v>36</v>
      </c>
      <c r="K39" t="s">
        <v>198</v>
      </c>
      <c r="L39" t="s">
        <v>38</v>
      </c>
      <c r="M39" t="s">
        <v>199</v>
      </c>
      <c r="N39" t="s">
        <v>40</v>
      </c>
      <c r="O39" t="s">
        <v>41</v>
      </c>
      <c r="P39" t="s">
        <v>193</v>
      </c>
      <c r="Q39" t="s">
        <v>75</v>
      </c>
      <c r="R39" t="s">
        <v>44</v>
      </c>
      <c r="S39" t="s">
        <v>45</v>
      </c>
      <c r="T39">
        <v>0</v>
      </c>
      <c r="U39">
        <v>110.24</v>
      </c>
      <c r="V39">
        <v>0</v>
      </c>
      <c r="W39">
        <v>1</v>
      </c>
      <c r="X39">
        <v>1.25</v>
      </c>
      <c r="Y39">
        <v>137.80000000000001</v>
      </c>
      <c r="Z39">
        <v>0</v>
      </c>
      <c r="AA39">
        <v>0</v>
      </c>
    </row>
    <row r="40" spans="1:27" x14ac:dyDescent="0.2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F40" t="s">
        <v>32</v>
      </c>
      <c r="G40" t="s">
        <v>33</v>
      </c>
      <c r="H40" t="s">
        <v>172</v>
      </c>
      <c r="I40" t="s">
        <v>173</v>
      </c>
      <c r="J40" t="s">
        <v>36</v>
      </c>
      <c r="K40" t="s">
        <v>200</v>
      </c>
      <c r="L40" t="s">
        <v>38</v>
      </c>
      <c r="M40" t="s">
        <v>201</v>
      </c>
      <c r="N40" t="s">
        <v>40</v>
      </c>
      <c r="O40" t="s">
        <v>41</v>
      </c>
      <c r="P40" t="s">
        <v>193</v>
      </c>
      <c r="Q40" t="s">
        <v>75</v>
      </c>
      <c r="R40" t="s">
        <v>44</v>
      </c>
      <c r="S40" t="s">
        <v>45</v>
      </c>
      <c r="T40">
        <v>0</v>
      </c>
      <c r="U40">
        <v>166.15</v>
      </c>
      <c r="V40">
        <v>0</v>
      </c>
      <c r="W40">
        <v>1</v>
      </c>
      <c r="X40">
        <v>1.25</v>
      </c>
      <c r="Y40">
        <v>207.69</v>
      </c>
      <c r="Z40">
        <v>0</v>
      </c>
      <c r="AA40">
        <v>0</v>
      </c>
    </row>
    <row r="41" spans="1:27" x14ac:dyDescent="0.2">
      <c r="A41" t="s">
        <v>27</v>
      </c>
      <c r="B41" t="s">
        <v>28</v>
      </c>
      <c r="C41" t="s">
        <v>29</v>
      </c>
      <c r="D41" t="s">
        <v>30</v>
      </c>
      <c r="E41" t="s">
        <v>31</v>
      </c>
      <c r="F41" t="s">
        <v>32</v>
      </c>
      <c r="G41" t="s">
        <v>33</v>
      </c>
      <c r="H41" t="s">
        <v>172</v>
      </c>
      <c r="I41" t="s">
        <v>173</v>
      </c>
      <c r="J41" t="s">
        <v>36</v>
      </c>
      <c r="K41" t="s">
        <v>202</v>
      </c>
      <c r="L41" t="s">
        <v>38</v>
      </c>
      <c r="M41" t="s">
        <v>203</v>
      </c>
      <c r="N41" t="s">
        <v>204</v>
      </c>
      <c r="O41" t="s">
        <v>41</v>
      </c>
      <c r="P41" t="s">
        <v>205</v>
      </c>
      <c r="Q41" t="s">
        <v>75</v>
      </c>
      <c r="R41" t="s">
        <v>44</v>
      </c>
      <c r="S41" t="s">
        <v>45</v>
      </c>
      <c r="T41">
        <v>0</v>
      </c>
      <c r="U41">
        <v>113.52</v>
      </c>
      <c r="V41">
        <v>0</v>
      </c>
      <c r="W41">
        <v>1</v>
      </c>
      <c r="X41">
        <v>0.83</v>
      </c>
      <c r="Y41">
        <v>94.22</v>
      </c>
      <c r="Z41">
        <v>0</v>
      </c>
      <c r="AA41">
        <v>0</v>
      </c>
    </row>
    <row r="42" spans="1:27" x14ac:dyDescent="0.2">
      <c r="A42" t="s">
        <v>27</v>
      </c>
      <c r="B42" t="s">
        <v>28</v>
      </c>
      <c r="C42" t="s">
        <v>29</v>
      </c>
      <c r="D42" t="s">
        <v>30</v>
      </c>
      <c r="E42" t="s">
        <v>31</v>
      </c>
      <c r="F42" t="s">
        <v>32</v>
      </c>
      <c r="G42" t="s">
        <v>33</v>
      </c>
      <c r="H42" t="s">
        <v>172</v>
      </c>
      <c r="I42" t="s">
        <v>173</v>
      </c>
      <c r="J42" t="s">
        <v>36</v>
      </c>
      <c r="K42" t="s">
        <v>206</v>
      </c>
      <c r="L42" t="s">
        <v>38</v>
      </c>
      <c r="M42" t="s">
        <v>207</v>
      </c>
      <c r="N42" t="s">
        <v>40</v>
      </c>
      <c r="O42" t="s">
        <v>41</v>
      </c>
      <c r="P42" t="s">
        <v>205</v>
      </c>
      <c r="Q42" t="s">
        <v>75</v>
      </c>
      <c r="R42" t="s">
        <v>44</v>
      </c>
      <c r="S42" t="s">
        <v>45</v>
      </c>
      <c r="T42">
        <v>0</v>
      </c>
      <c r="U42">
        <v>85.36</v>
      </c>
      <c r="V42">
        <v>0</v>
      </c>
      <c r="W42">
        <v>1</v>
      </c>
      <c r="X42">
        <v>1.25</v>
      </c>
      <c r="Y42">
        <v>106.7</v>
      </c>
      <c r="Z42">
        <v>0</v>
      </c>
      <c r="AA42">
        <v>0</v>
      </c>
    </row>
    <row r="43" spans="1:27" x14ac:dyDescent="0.2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 t="s">
        <v>33</v>
      </c>
      <c r="H43" t="s">
        <v>172</v>
      </c>
      <c r="I43" t="s">
        <v>173</v>
      </c>
      <c r="J43" t="s">
        <v>36</v>
      </c>
      <c r="K43" t="s">
        <v>208</v>
      </c>
      <c r="L43" t="s">
        <v>38</v>
      </c>
      <c r="M43" t="s">
        <v>209</v>
      </c>
      <c r="N43" t="s">
        <v>40</v>
      </c>
      <c r="O43" t="s">
        <v>41</v>
      </c>
      <c r="P43" t="s">
        <v>210</v>
      </c>
      <c r="Q43" t="s">
        <v>68</v>
      </c>
      <c r="R43" t="s">
        <v>44</v>
      </c>
      <c r="S43" t="s">
        <v>45</v>
      </c>
      <c r="T43">
        <v>0</v>
      </c>
      <c r="U43">
        <v>126.45</v>
      </c>
      <c r="V43">
        <v>0</v>
      </c>
      <c r="W43">
        <v>1</v>
      </c>
      <c r="X43">
        <v>1.25</v>
      </c>
      <c r="Y43">
        <v>158.06</v>
      </c>
      <c r="Z43">
        <v>0</v>
      </c>
      <c r="AA43">
        <v>0</v>
      </c>
    </row>
    <row r="44" spans="1:27" x14ac:dyDescent="0.2">
      <c r="A44" t="s">
        <v>27</v>
      </c>
      <c r="B44" t="s">
        <v>28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172</v>
      </c>
      <c r="I44" t="s">
        <v>173</v>
      </c>
      <c r="J44" t="s">
        <v>36</v>
      </c>
      <c r="K44" t="s">
        <v>211</v>
      </c>
      <c r="L44" t="s">
        <v>38</v>
      </c>
      <c r="M44" t="s">
        <v>212</v>
      </c>
      <c r="N44" t="s">
        <v>40</v>
      </c>
      <c r="O44" t="s">
        <v>41</v>
      </c>
      <c r="P44" t="s">
        <v>205</v>
      </c>
      <c r="Q44" t="s">
        <v>75</v>
      </c>
      <c r="R44" t="s">
        <v>44</v>
      </c>
      <c r="S44" t="s">
        <v>45</v>
      </c>
      <c r="T44">
        <v>0</v>
      </c>
      <c r="U44">
        <v>96.03</v>
      </c>
      <c r="V44">
        <v>0</v>
      </c>
      <c r="W44">
        <v>1</v>
      </c>
      <c r="X44">
        <v>1.25</v>
      </c>
      <c r="Y44">
        <v>120.04</v>
      </c>
      <c r="Z44">
        <v>0</v>
      </c>
      <c r="AA44">
        <v>0</v>
      </c>
    </row>
    <row r="45" spans="1:27" x14ac:dyDescent="0.2">
      <c r="A45" t="s">
        <v>27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 t="s">
        <v>33</v>
      </c>
      <c r="H45" t="s">
        <v>172</v>
      </c>
      <c r="I45" t="s">
        <v>173</v>
      </c>
      <c r="J45" t="s">
        <v>36</v>
      </c>
      <c r="K45" t="s">
        <v>213</v>
      </c>
      <c r="L45" t="s">
        <v>38</v>
      </c>
      <c r="M45" t="s">
        <v>212</v>
      </c>
      <c r="N45" t="s">
        <v>40</v>
      </c>
      <c r="O45" t="s">
        <v>41</v>
      </c>
      <c r="P45" t="s">
        <v>205</v>
      </c>
      <c r="Q45" t="s">
        <v>75</v>
      </c>
      <c r="R45" t="s">
        <v>44</v>
      </c>
      <c r="S45" t="s">
        <v>45</v>
      </c>
      <c r="T45">
        <v>0</v>
      </c>
      <c r="U45">
        <v>111.31</v>
      </c>
      <c r="V45">
        <v>0</v>
      </c>
      <c r="W45">
        <v>1</v>
      </c>
      <c r="X45">
        <v>1.25</v>
      </c>
      <c r="Y45">
        <v>139.13999999999999</v>
      </c>
      <c r="Z45">
        <v>0</v>
      </c>
      <c r="AA45">
        <v>0</v>
      </c>
    </row>
    <row r="46" spans="1:27" x14ac:dyDescent="0.2">
      <c r="A46" t="s">
        <v>27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 t="s">
        <v>33</v>
      </c>
      <c r="H46" t="s">
        <v>172</v>
      </c>
      <c r="I46" t="s">
        <v>173</v>
      </c>
      <c r="J46" t="s">
        <v>36</v>
      </c>
      <c r="K46" t="s">
        <v>214</v>
      </c>
      <c r="L46" t="s">
        <v>38</v>
      </c>
      <c r="M46" t="s">
        <v>215</v>
      </c>
      <c r="N46" t="s">
        <v>40</v>
      </c>
      <c r="O46" t="s">
        <v>41</v>
      </c>
      <c r="P46" t="s">
        <v>205</v>
      </c>
      <c r="Q46" t="s">
        <v>75</v>
      </c>
      <c r="R46" t="s">
        <v>44</v>
      </c>
      <c r="S46" t="s">
        <v>45</v>
      </c>
      <c r="T46">
        <v>0</v>
      </c>
      <c r="U46">
        <v>103.53</v>
      </c>
      <c r="V46">
        <v>0</v>
      </c>
      <c r="W46">
        <v>1</v>
      </c>
      <c r="X46">
        <v>1.25</v>
      </c>
      <c r="Y46">
        <v>129.41</v>
      </c>
      <c r="Z46">
        <v>0</v>
      </c>
      <c r="AA46">
        <v>0</v>
      </c>
    </row>
    <row r="47" spans="1:27" x14ac:dyDescent="0.2">
      <c r="A47" t="s">
        <v>27</v>
      </c>
      <c r="B47" t="s">
        <v>28</v>
      </c>
      <c r="C47" t="s">
        <v>29</v>
      </c>
      <c r="D47" t="s">
        <v>30</v>
      </c>
      <c r="E47" t="s">
        <v>31</v>
      </c>
      <c r="F47" t="s">
        <v>32</v>
      </c>
      <c r="G47" t="s">
        <v>33</v>
      </c>
      <c r="H47" t="s">
        <v>172</v>
      </c>
      <c r="I47" t="s">
        <v>173</v>
      </c>
      <c r="J47" t="s">
        <v>36</v>
      </c>
      <c r="K47" t="s">
        <v>216</v>
      </c>
      <c r="L47" t="s">
        <v>38</v>
      </c>
      <c r="M47" t="s">
        <v>217</v>
      </c>
      <c r="N47" t="s">
        <v>40</v>
      </c>
      <c r="O47" t="s">
        <v>41</v>
      </c>
      <c r="P47" t="s">
        <v>205</v>
      </c>
      <c r="Q47" t="s">
        <v>75</v>
      </c>
      <c r="R47" t="s">
        <v>44</v>
      </c>
      <c r="S47" t="s">
        <v>45</v>
      </c>
      <c r="T47">
        <v>0</v>
      </c>
      <c r="U47">
        <v>49.78</v>
      </c>
      <c r="V47">
        <v>0</v>
      </c>
      <c r="W47">
        <v>1</v>
      </c>
      <c r="X47">
        <v>1.25</v>
      </c>
      <c r="Y47">
        <v>62.23</v>
      </c>
      <c r="Z47">
        <v>0</v>
      </c>
      <c r="AA47">
        <v>0</v>
      </c>
    </row>
    <row r="48" spans="1:27" x14ac:dyDescent="0.2">
      <c r="A48" t="s">
        <v>27</v>
      </c>
      <c r="B48" t="s">
        <v>28</v>
      </c>
      <c r="C48" t="s">
        <v>29</v>
      </c>
      <c r="D48" t="s">
        <v>30</v>
      </c>
      <c r="E48" t="s">
        <v>31</v>
      </c>
      <c r="F48" t="s">
        <v>32</v>
      </c>
      <c r="G48" t="s">
        <v>33</v>
      </c>
      <c r="H48" t="s">
        <v>172</v>
      </c>
      <c r="I48" t="s">
        <v>173</v>
      </c>
      <c r="J48" t="s">
        <v>36</v>
      </c>
      <c r="K48" t="s">
        <v>218</v>
      </c>
      <c r="L48" t="s">
        <v>38</v>
      </c>
      <c r="M48" t="s">
        <v>219</v>
      </c>
      <c r="N48" t="s">
        <v>40</v>
      </c>
      <c r="O48" t="s">
        <v>41</v>
      </c>
      <c r="P48" t="s">
        <v>220</v>
      </c>
      <c r="Q48" t="s">
        <v>221</v>
      </c>
      <c r="R48" t="s">
        <v>44</v>
      </c>
      <c r="S48" t="s">
        <v>45</v>
      </c>
      <c r="T48">
        <v>0</v>
      </c>
      <c r="U48">
        <v>90.91</v>
      </c>
      <c r="V48">
        <v>0</v>
      </c>
      <c r="W48">
        <v>1</v>
      </c>
      <c r="X48">
        <v>1.25</v>
      </c>
      <c r="Y48">
        <v>113.64</v>
      </c>
      <c r="Z48">
        <v>0</v>
      </c>
      <c r="AA48">
        <v>0</v>
      </c>
    </row>
    <row r="49" spans="1:27" x14ac:dyDescent="0.2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H49" t="s">
        <v>172</v>
      </c>
      <c r="I49" t="s">
        <v>173</v>
      </c>
      <c r="J49" t="s">
        <v>36</v>
      </c>
      <c r="K49" t="s">
        <v>222</v>
      </c>
      <c r="L49" t="s">
        <v>38</v>
      </c>
      <c r="M49" t="s">
        <v>219</v>
      </c>
      <c r="N49" t="s">
        <v>40</v>
      </c>
      <c r="O49" t="s">
        <v>41</v>
      </c>
      <c r="P49" t="s">
        <v>220</v>
      </c>
      <c r="Q49" t="s">
        <v>221</v>
      </c>
      <c r="R49" t="s">
        <v>44</v>
      </c>
      <c r="S49" t="s">
        <v>45</v>
      </c>
      <c r="T49">
        <v>0</v>
      </c>
      <c r="U49">
        <v>96.38</v>
      </c>
      <c r="V49">
        <v>0</v>
      </c>
      <c r="W49">
        <v>1</v>
      </c>
      <c r="X49">
        <v>1.25</v>
      </c>
      <c r="Y49">
        <v>120.48</v>
      </c>
      <c r="Z49">
        <v>0</v>
      </c>
      <c r="AA49">
        <v>0</v>
      </c>
    </row>
    <row r="50" spans="1:27" x14ac:dyDescent="0.2">
      <c r="A50" t="s">
        <v>27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 t="s">
        <v>33</v>
      </c>
      <c r="H50" t="s">
        <v>172</v>
      </c>
      <c r="I50" t="s">
        <v>173</v>
      </c>
      <c r="J50" t="s">
        <v>36</v>
      </c>
      <c r="K50" t="s">
        <v>223</v>
      </c>
      <c r="L50" t="s">
        <v>38</v>
      </c>
      <c r="M50" t="s">
        <v>224</v>
      </c>
      <c r="N50" t="s">
        <v>40</v>
      </c>
      <c r="O50" t="s">
        <v>41</v>
      </c>
      <c r="P50" t="s">
        <v>159</v>
      </c>
      <c r="Q50" t="s">
        <v>68</v>
      </c>
      <c r="R50" t="s">
        <v>44</v>
      </c>
      <c r="S50" t="s">
        <v>45</v>
      </c>
      <c r="T50">
        <v>0</v>
      </c>
      <c r="U50">
        <v>88.04</v>
      </c>
      <c r="V50">
        <v>0</v>
      </c>
      <c r="W50">
        <v>1</v>
      </c>
      <c r="X50">
        <v>1.25</v>
      </c>
      <c r="Y50">
        <v>110.05</v>
      </c>
      <c r="Z50">
        <v>0</v>
      </c>
      <c r="AA50">
        <v>0</v>
      </c>
    </row>
    <row r="51" spans="1:27" x14ac:dyDescent="0.2">
      <c r="A51" t="s">
        <v>27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 t="s">
        <v>33</v>
      </c>
      <c r="H51" t="s">
        <v>225</v>
      </c>
      <c r="I51" t="s">
        <v>226</v>
      </c>
      <c r="J51" t="s">
        <v>48</v>
      </c>
      <c r="K51" t="s">
        <v>227</v>
      </c>
      <c r="L51" t="s">
        <v>38</v>
      </c>
      <c r="M51" t="s">
        <v>228</v>
      </c>
      <c r="N51" t="s">
        <v>135</v>
      </c>
      <c r="O51" t="s">
        <v>41</v>
      </c>
      <c r="P51" t="s">
        <v>229</v>
      </c>
      <c r="Q51" t="s">
        <v>230</v>
      </c>
      <c r="R51" t="s">
        <v>44</v>
      </c>
      <c r="S51" t="s">
        <v>45</v>
      </c>
      <c r="T51">
        <v>0</v>
      </c>
      <c r="U51">
        <v>56.1</v>
      </c>
      <c r="V51">
        <v>0</v>
      </c>
      <c r="W51">
        <v>1</v>
      </c>
      <c r="X51">
        <v>1.05</v>
      </c>
      <c r="Y51">
        <v>58.91</v>
      </c>
      <c r="Z51">
        <v>0</v>
      </c>
      <c r="AA51">
        <v>0</v>
      </c>
    </row>
    <row r="52" spans="1:27" x14ac:dyDescent="0.2">
      <c r="A52" t="s">
        <v>27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 t="s">
        <v>33</v>
      </c>
      <c r="H52" t="s">
        <v>225</v>
      </c>
      <c r="I52" t="s">
        <v>226</v>
      </c>
      <c r="J52" t="s">
        <v>36</v>
      </c>
      <c r="K52" t="s">
        <v>231</v>
      </c>
      <c r="L52" t="s">
        <v>38</v>
      </c>
      <c r="M52" t="s">
        <v>232</v>
      </c>
      <c r="N52" t="s">
        <v>40</v>
      </c>
      <c r="O52" t="s">
        <v>41</v>
      </c>
      <c r="P52" t="s">
        <v>233</v>
      </c>
      <c r="Q52" t="s">
        <v>89</v>
      </c>
      <c r="R52" t="s">
        <v>44</v>
      </c>
      <c r="S52" t="s">
        <v>45</v>
      </c>
      <c r="T52">
        <v>0</v>
      </c>
      <c r="U52">
        <v>129.62</v>
      </c>
      <c r="V52">
        <v>0</v>
      </c>
      <c r="W52">
        <v>1</v>
      </c>
      <c r="X52">
        <v>1.25</v>
      </c>
      <c r="Y52">
        <v>162.03</v>
      </c>
      <c r="Z52">
        <v>0</v>
      </c>
      <c r="AA52">
        <v>0</v>
      </c>
    </row>
    <row r="53" spans="1:27" x14ac:dyDescent="0.2">
      <c r="A53" t="s">
        <v>27</v>
      </c>
      <c r="B53" t="s">
        <v>28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H53" t="s">
        <v>234</v>
      </c>
      <c r="I53" t="s">
        <v>235</v>
      </c>
      <c r="J53" t="s">
        <v>48</v>
      </c>
      <c r="K53" t="s">
        <v>236</v>
      </c>
      <c r="L53" t="s">
        <v>38</v>
      </c>
      <c r="M53" t="s">
        <v>237</v>
      </c>
      <c r="N53" t="s">
        <v>87</v>
      </c>
      <c r="O53" t="s">
        <v>41</v>
      </c>
      <c r="P53" t="s">
        <v>238</v>
      </c>
      <c r="Q53" t="s">
        <v>84</v>
      </c>
      <c r="R53" t="s">
        <v>44</v>
      </c>
      <c r="S53" t="s">
        <v>45</v>
      </c>
      <c r="T53">
        <v>0</v>
      </c>
      <c r="U53">
        <v>69.489999999999995</v>
      </c>
      <c r="V53">
        <v>0</v>
      </c>
      <c r="W53">
        <v>1</v>
      </c>
      <c r="X53">
        <v>1.05</v>
      </c>
      <c r="Y53">
        <v>72.959999999999994</v>
      </c>
      <c r="Z53">
        <v>0</v>
      </c>
      <c r="AA53">
        <v>0</v>
      </c>
    </row>
    <row r="54" spans="1:27" x14ac:dyDescent="0.2">
      <c r="A54" t="s">
        <v>27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H54" t="s">
        <v>234</v>
      </c>
      <c r="I54" t="s">
        <v>235</v>
      </c>
      <c r="J54" t="s">
        <v>48</v>
      </c>
      <c r="K54" t="s">
        <v>236</v>
      </c>
      <c r="L54" t="s">
        <v>38</v>
      </c>
      <c r="M54" t="s">
        <v>237</v>
      </c>
      <c r="N54" t="s">
        <v>239</v>
      </c>
      <c r="O54" t="s">
        <v>41</v>
      </c>
      <c r="P54" t="s">
        <v>238</v>
      </c>
      <c r="Q54" t="s">
        <v>84</v>
      </c>
      <c r="R54" t="s">
        <v>44</v>
      </c>
      <c r="S54" t="s">
        <v>45</v>
      </c>
      <c r="T54">
        <v>0</v>
      </c>
      <c r="U54">
        <v>17.850000000000001</v>
      </c>
      <c r="V54">
        <v>0</v>
      </c>
      <c r="W54">
        <v>1</v>
      </c>
      <c r="X54">
        <v>1.05</v>
      </c>
      <c r="Y54">
        <v>18.739999999999998</v>
      </c>
      <c r="Z54">
        <v>0</v>
      </c>
      <c r="AA54">
        <v>0</v>
      </c>
    </row>
    <row r="55" spans="1:27" s="1" customFormat="1" x14ac:dyDescent="0.2">
      <c r="A55" s="1" t="s">
        <v>27</v>
      </c>
      <c r="B55" s="1" t="s">
        <v>262</v>
      </c>
      <c r="C55" s="1" t="s">
        <v>261</v>
      </c>
      <c r="D55" s="1" t="s">
        <v>247</v>
      </c>
      <c r="E55" s="1" t="s">
        <v>260</v>
      </c>
      <c r="F55" s="1" t="s">
        <v>32</v>
      </c>
      <c r="G55" s="1" t="s">
        <v>33</v>
      </c>
      <c r="H55" s="1" t="s">
        <v>225</v>
      </c>
      <c r="I55" s="1" t="s">
        <v>298</v>
      </c>
      <c r="J55" s="1" t="s">
        <v>48</v>
      </c>
      <c r="K55" s="1" t="s">
        <v>304</v>
      </c>
      <c r="L55" s="1" t="s">
        <v>38</v>
      </c>
      <c r="M55" s="1" t="s">
        <v>301</v>
      </c>
      <c r="N55" s="1" t="s">
        <v>115</v>
      </c>
      <c r="O55" s="1" t="s">
        <v>41</v>
      </c>
      <c r="P55" s="1" t="s">
        <v>303</v>
      </c>
      <c r="Q55" s="1" t="s">
        <v>64</v>
      </c>
      <c r="R55" s="1" t="s">
        <v>44</v>
      </c>
      <c r="S55" s="1" t="s">
        <v>45</v>
      </c>
      <c r="T55" s="1">
        <v>0</v>
      </c>
      <c r="U55" s="1">
        <v>70.52</v>
      </c>
      <c r="V55" s="1">
        <v>0</v>
      </c>
      <c r="W55" s="1">
        <v>1</v>
      </c>
      <c r="X55" s="1">
        <v>1.1499999999999999</v>
      </c>
      <c r="Y55" s="1">
        <v>81.099999999999994</v>
      </c>
      <c r="Z55" s="1">
        <v>0</v>
      </c>
      <c r="AA55" s="1">
        <v>0</v>
      </c>
    </row>
    <row r="56" spans="1:27" s="1" customFormat="1" x14ac:dyDescent="0.2">
      <c r="A56" s="1" t="s">
        <v>27</v>
      </c>
      <c r="B56" s="1" t="s">
        <v>262</v>
      </c>
      <c r="C56" s="1" t="s">
        <v>261</v>
      </c>
      <c r="D56" s="1" t="s">
        <v>247</v>
      </c>
      <c r="E56" s="1" t="s">
        <v>260</v>
      </c>
      <c r="F56" s="1" t="s">
        <v>32</v>
      </c>
      <c r="G56" s="1" t="s">
        <v>33</v>
      </c>
      <c r="H56" s="1" t="s">
        <v>225</v>
      </c>
      <c r="I56" s="1" t="s">
        <v>298</v>
      </c>
      <c r="J56" s="1" t="s">
        <v>48</v>
      </c>
      <c r="K56" s="1" t="s">
        <v>302</v>
      </c>
      <c r="L56" s="1" t="s">
        <v>38</v>
      </c>
      <c r="M56" s="1" t="s">
        <v>301</v>
      </c>
      <c r="N56" s="1" t="s">
        <v>115</v>
      </c>
      <c r="O56" s="1" t="s">
        <v>41</v>
      </c>
      <c r="P56" s="1" t="s">
        <v>300</v>
      </c>
      <c r="Q56" s="1" t="s">
        <v>299</v>
      </c>
      <c r="R56" s="1" t="s">
        <v>44</v>
      </c>
      <c r="S56" s="1" t="s">
        <v>45</v>
      </c>
      <c r="T56" s="1">
        <v>0</v>
      </c>
      <c r="U56" s="1">
        <v>85.14</v>
      </c>
      <c r="V56" s="1">
        <v>0</v>
      </c>
      <c r="W56" s="1">
        <v>1</v>
      </c>
      <c r="X56" s="1">
        <v>1.1499999999999999</v>
      </c>
      <c r="Y56" s="1">
        <v>97.91</v>
      </c>
      <c r="Z56" s="1">
        <v>0</v>
      </c>
      <c r="AA56" s="1">
        <v>0</v>
      </c>
    </row>
    <row r="57" spans="1:27" s="1" customFormat="1" x14ac:dyDescent="0.2">
      <c r="A57" s="1" t="s">
        <v>27</v>
      </c>
      <c r="B57" s="1" t="s">
        <v>262</v>
      </c>
      <c r="C57" s="1" t="s">
        <v>261</v>
      </c>
      <c r="D57" s="1" t="s">
        <v>247</v>
      </c>
      <c r="E57" s="1" t="s">
        <v>260</v>
      </c>
      <c r="F57" s="1" t="s">
        <v>32</v>
      </c>
      <c r="G57" s="1" t="s">
        <v>33</v>
      </c>
      <c r="H57" s="1" t="s">
        <v>225</v>
      </c>
      <c r="I57" s="1" t="s">
        <v>298</v>
      </c>
      <c r="J57" s="1" t="s">
        <v>48</v>
      </c>
      <c r="K57" s="1" t="s">
        <v>297</v>
      </c>
      <c r="L57" s="1" t="s">
        <v>38</v>
      </c>
      <c r="M57" s="1" t="s">
        <v>296</v>
      </c>
      <c r="N57" s="1" t="s">
        <v>295</v>
      </c>
      <c r="O57" s="1" t="s">
        <v>41</v>
      </c>
      <c r="P57" s="1" t="s">
        <v>294</v>
      </c>
      <c r="Q57" s="1" t="s">
        <v>230</v>
      </c>
      <c r="R57" s="1" t="s">
        <v>44</v>
      </c>
      <c r="S57" s="1" t="s">
        <v>45</v>
      </c>
      <c r="T57" s="1">
        <v>0</v>
      </c>
      <c r="U57" s="1">
        <v>88.83</v>
      </c>
      <c r="V57" s="1">
        <v>0</v>
      </c>
      <c r="W57" s="1">
        <v>1</v>
      </c>
      <c r="X57" s="1">
        <v>1.05</v>
      </c>
      <c r="Y57" s="1">
        <v>93.27</v>
      </c>
      <c r="Z57" s="1">
        <v>0</v>
      </c>
      <c r="AA57" s="1">
        <v>0</v>
      </c>
    </row>
    <row r="58" spans="1:27" s="1" customFormat="1" x14ac:dyDescent="0.2">
      <c r="A58" s="1" t="s">
        <v>27</v>
      </c>
      <c r="B58" s="1" t="s">
        <v>262</v>
      </c>
      <c r="C58" s="1" t="s">
        <v>261</v>
      </c>
      <c r="D58" s="1" t="s">
        <v>247</v>
      </c>
      <c r="E58" s="1" t="s">
        <v>260</v>
      </c>
      <c r="F58" s="1" t="s">
        <v>32</v>
      </c>
      <c r="G58" s="1" t="s">
        <v>33</v>
      </c>
      <c r="H58" s="1" t="s">
        <v>289</v>
      </c>
      <c r="I58" s="1" t="s">
        <v>288</v>
      </c>
      <c r="J58" s="1" t="s">
        <v>48</v>
      </c>
      <c r="K58" s="1" t="s">
        <v>293</v>
      </c>
      <c r="L58" s="1" t="s">
        <v>50</v>
      </c>
      <c r="M58" s="1" t="s">
        <v>292</v>
      </c>
      <c r="N58" s="1" t="s">
        <v>153</v>
      </c>
      <c r="O58" s="1" t="s">
        <v>41</v>
      </c>
      <c r="P58" s="1" t="s">
        <v>291</v>
      </c>
      <c r="Q58" s="1" t="s">
        <v>290</v>
      </c>
      <c r="R58" s="1" t="s">
        <v>240</v>
      </c>
      <c r="S58" s="1" t="s">
        <v>45</v>
      </c>
      <c r="T58" s="1">
        <v>0</v>
      </c>
      <c r="U58" s="1">
        <v>1010</v>
      </c>
      <c r="V58" s="1">
        <v>0</v>
      </c>
      <c r="W58" s="1">
        <v>1</v>
      </c>
      <c r="X58" s="1">
        <v>1.1499999999999999</v>
      </c>
      <c r="Y58" s="1">
        <v>1161.5</v>
      </c>
      <c r="Z58" s="1">
        <v>0</v>
      </c>
      <c r="AA58" s="1">
        <v>0</v>
      </c>
    </row>
    <row r="59" spans="1:27" s="1" customFormat="1" x14ac:dyDescent="0.2">
      <c r="A59" s="1" t="s">
        <v>27</v>
      </c>
      <c r="B59" s="1" t="s">
        <v>262</v>
      </c>
      <c r="C59" s="1" t="s">
        <v>261</v>
      </c>
      <c r="D59" s="1" t="s">
        <v>247</v>
      </c>
      <c r="E59" s="1" t="s">
        <v>260</v>
      </c>
      <c r="F59" s="1" t="s">
        <v>32</v>
      </c>
      <c r="G59" s="1" t="s">
        <v>33</v>
      </c>
      <c r="H59" s="1" t="s">
        <v>289</v>
      </c>
      <c r="I59" s="1" t="s">
        <v>288</v>
      </c>
      <c r="J59" s="1" t="s">
        <v>48</v>
      </c>
      <c r="K59" s="1" t="s">
        <v>287</v>
      </c>
      <c r="L59" s="1" t="s">
        <v>50</v>
      </c>
      <c r="M59" s="1" t="s">
        <v>286</v>
      </c>
      <c r="N59" s="1" t="s">
        <v>153</v>
      </c>
      <c r="O59" s="1" t="s">
        <v>41</v>
      </c>
      <c r="P59" s="1" t="s">
        <v>130</v>
      </c>
      <c r="Q59" s="1" t="s">
        <v>89</v>
      </c>
      <c r="R59" s="1" t="s">
        <v>44</v>
      </c>
      <c r="S59" s="1" t="s">
        <v>45</v>
      </c>
      <c r="T59" s="1">
        <v>0</v>
      </c>
      <c r="U59" s="1">
        <v>47.26</v>
      </c>
      <c r="V59" s="1">
        <v>0</v>
      </c>
      <c r="W59" s="1">
        <v>1</v>
      </c>
      <c r="X59" s="1">
        <v>1.1499999999999999</v>
      </c>
      <c r="Y59" s="1">
        <v>54.35</v>
      </c>
      <c r="Z59" s="1">
        <v>0</v>
      </c>
      <c r="AA59" s="1">
        <v>0</v>
      </c>
    </row>
    <row r="60" spans="1:27" s="1" customFormat="1" x14ac:dyDescent="0.2">
      <c r="A60" s="1" t="s">
        <v>27</v>
      </c>
      <c r="B60" s="1" t="s">
        <v>262</v>
      </c>
      <c r="C60" s="1" t="s">
        <v>261</v>
      </c>
      <c r="D60" s="1" t="s">
        <v>247</v>
      </c>
      <c r="E60" s="1" t="s">
        <v>260</v>
      </c>
      <c r="F60" s="1" t="s">
        <v>32</v>
      </c>
      <c r="G60" s="1" t="s">
        <v>33</v>
      </c>
      <c r="H60" s="1" t="s">
        <v>285</v>
      </c>
      <c r="I60" s="1" t="s">
        <v>284</v>
      </c>
      <c r="J60" s="1" t="s">
        <v>48</v>
      </c>
      <c r="K60" s="1" t="s">
        <v>283</v>
      </c>
      <c r="L60" s="1" t="s">
        <v>50</v>
      </c>
      <c r="M60" s="1" t="s">
        <v>282</v>
      </c>
      <c r="N60" s="1" t="s">
        <v>281</v>
      </c>
      <c r="O60" s="1" t="s">
        <v>280</v>
      </c>
      <c r="P60" s="1" t="s">
        <v>279</v>
      </c>
      <c r="Q60" s="1" t="s">
        <v>279</v>
      </c>
      <c r="R60" s="1" t="s">
        <v>240</v>
      </c>
      <c r="S60" s="1" t="s">
        <v>45</v>
      </c>
      <c r="T60" s="1">
        <v>0</v>
      </c>
      <c r="U60" s="1">
        <v>1203.5</v>
      </c>
      <c r="V60" s="1">
        <v>0</v>
      </c>
      <c r="W60" s="1">
        <v>1</v>
      </c>
      <c r="X60" s="1">
        <v>1.25</v>
      </c>
      <c r="Y60" s="1">
        <v>1504.38</v>
      </c>
      <c r="Z60" s="1">
        <v>0</v>
      </c>
      <c r="AA60" s="1">
        <v>0</v>
      </c>
    </row>
    <row r="61" spans="1:27" s="1" customFormat="1" x14ac:dyDescent="0.2">
      <c r="A61" s="1" t="s">
        <v>27</v>
      </c>
      <c r="B61" s="1" t="s">
        <v>262</v>
      </c>
      <c r="C61" s="1" t="s">
        <v>261</v>
      </c>
      <c r="D61" s="1" t="s">
        <v>247</v>
      </c>
      <c r="E61" s="1" t="s">
        <v>260</v>
      </c>
      <c r="F61" s="1" t="s">
        <v>32</v>
      </c>
      <c r="G61" s="1" t="s">
        <v>33</v>
      </c>
      <c r="H61" s="1" t="s">
        <v>275</v>
      </c>
      <c r="I61" s="1" t="s">
        <v>274</v>
      </c>
      <c r="J61" s="1" t="s">
        <v>48</v>
      </c>
      <c r="K61" s="1" t="s">
        <v>278</v>
      </c>
      <c r="L61" s="1" t="s">
        <v>38</v>
      </c>
      <c r="M61" s="1" t="s">
        <v>277</v>
      </c>
      <c r="N61" s="1" t="s">
        <v>115</v>
      </c>
      <c r="O61" s="1" t="s">
        <v>41</v>
      </c>
      <c r="P61" s="1" t="s">
        <v>276</v>
      </c>
      <c r="Q61" s="1" t="s">
        <v>75</v>
      </c>
      <c r="R61" s="1" t="s">
        <v>44</v>
      </c>
      <c r="S61" s="1" t="s">
        <v>45</v>
      </c>
      <c r="T61" s="1">
        <v>0</v>
      </c>
      <c r="U61" s="1">
        <v>53.32</v>
      </c>
      <c r="V61" s="1">
        <v>0</v>
      </c>
      <c r="W61" s="1">
        <v>1</v>
      </c>
      <c r="X61" s="1">
        <v>1.1499999999999999</v>
      </c>
      <c r="Y61" s="1">
        <v>61.32</v>
      </c>
      <c r="Z61" s="1">
        <v>0</v>
      </c>
      <c r="AA61" s="1">
        <v>0</v>
      </c>
    </row>
    <row r="62" spans="1:27" s="1" customFormat="1" x14ac:dyDescent="0.2">
      <c r="A62" s="1" t="s">
        <v>27</v>
      </c>
      <c r="B62" s="1" t="s">
        <v>262</v>
      </c>
      <c r="C62" s="1" t="s">
        <v>261</v>
      </c>
      <c r="D62" s="1" t="s">
        <v>247</v>
      </c>
      <c r="E62" s="1" t="s">
        <v>260</v>
      </c>
      <c r="F62" s="1" t="s">
        <v>32</v>
      </c>
      <c r="G62" s="1" t="s">
        <v>33</v>
      </c>
      <c r="H62" s="1" t="s">
        <v>275</v>
      </c>
      <c r="I62" s="1" t="s">
        <v>274</v>
      </c>
      <c r="J62" s="1" t="s">
        <v>48</v>
      </c>
      <c r="K62" s="1" t="s">
        <v>273</v>
      </c>
      <c r="L62" s="1" t="s">
        <v>38</v>
      </c>
      <c r="M62" s="1" t="s">
        <v>272</v>
      </c>
      <c r="N62" s="1" t="s">
        <v>115</v>
      </c>
      <c r="O62" s="1" t="s">
        <v>41</v>
      </c>
      <c r="P62" s="1" t="s">
        <v>271</v>
      </c>
      <c r="Q62" s="1" t="s">
        <v>144</v>
      </c>
      <c r="R62" s="1" t="s">
        <v>44</v>
      </c>
      <c r="S62" s="1" t="s">
        <v>45</v>
      </c>
      <c r="T62" s="1">
        <v>0</v>
      </c>
      <c r="U62" s="1">
        <v>30.53</v>
      </c>
      <c r="V62" s="1">
        <v>0</v>
      </c>
      <c r="W62" s="1">
        <v>1</v>
      </c>
      <c r="X62" s="1">
        <v>1.1499999999999999</v>
      </c>
      <c r="Y62" s="1">
        <v>35.11</v>
      </c>
      <c r="Z62" s="1">
        <v>0</v>
      </c>
      <c r="AA62" s="1">
        <v>0</v>
      </c>
    </row>
    <row r="63" spans="1:27" s="1" customFormat="1" x14ac:dyDescent="0.2">
      <c r="A63" s="1" t="s">
        <v>27</v>
      </c>
      <c r="B63" s="1" t="s">
        <v>262</v>
      </c>
      <c r="C63" s="1" t="s">
        <v>261</v>
      </c>
      <c r="D63" s="1" t="s">
        <v>247</v>
      </c>
      <c r="E63" s="1" t="s">
        <v>260</v>
      </c>
      <c r="F63" s="1" t="s">
        <v>32</v>
      </c>
      <c r="G63" s="1" t="s">
        <v>33</v>
      </c>
      <c r="H63" s="1" t="s">
        <v>269</v>
      </c>
      <c r="I63" s="1" t="s">
        <v>268</v>
      </c>
      <c r="J63" s="1" t="s">
        <v>48</v>
      </c>
      <c r="K63" s="1" t="s">
        <v>270</v>
      </c>
      <c r="L63" s="1" t="s">
        <v>50</v>
      </c>
      <c r="M63" s="1" t="s">
        <v>266</v>
      </c>
      <c r="N63" s="1" t="s">
        <v>153</v>
      </c>
      <c r="O63" s="1" t="s">
        <v>41</v>
      </c>
      <c r="P63" s="1" t="s">
        <v>265</v>
      </c>
      <c r="Q63" s="1" t="s">
        <v>264</v>
      </c>
      <c r="R63" s="1" t="s">
        <v>44</v>
      </c>
      <c r="S63" s="1" t="s">
        <v>45</v>
      </c>
      <c r="T63" s="1">
        <v>0</v>
      </c>
      <c r="U63" s="1">
        <v>87.55</v>
      </c>
      <c r="V63" s="1">
        <v>0</v>
      </c>
      <c r="W63" s="1">
        <v>1</v>
      </c>
      <c r="X63" s="1">
        <v>1.1499999999999999</v>
      </c>
      <c r="Y63" s="1">
        <v>100.68</v>
      </c>
      <c r="Z63" s="1">
        <v>0</v>
      </c>
      <c r="AA63" s="1">
        <v>0</v>
      </c>
    </row>
    <row r="64" spans="1:27" s="1" customFormat="1" x14ac:dyDescent="0.2">
      <c r="A64" s="1" t="s">
        <v>27</v>
      </c>
      <c r="B64" s="1" t="s">
        <v>262</v>
      </c>
      <c r="C64" s="1" t="s">
        <v>261</v>
      </c>
      <c r="D64" s="1" t="s">
        <v>247</v>
      </c>
      <c r="E64" s="1" t="s">
        <v>260</v>
      </c>
      <c r="F64" s="1" t="s">
        <v>32</v>
      </c>
      <c r="G64" s="1" t="s">
        <v>33</v>
      </c>
      <c r="H64" s="1" t="s">
        <v>269</v>
      </c>
      <c r="I64" s="1" t="s">
        <v>268</v>
      </c>
      <c r="J64" s="1" t="s">
        <v>48</v>
      </c>
      <c r="K64" s="1" t="s">
        <v>267</v>
      </c>
      <c r="L64" s="1" t="s">
        <v>50</v>
      </c>
      <c r="M64" s="1" t="s">
        <v>266</v>
      </c>
      <c r="N64" s="1" t="s">
        <v>153</v>
      </c>
      <c r="O64" s="1" t="s">
        <v>41</v>
      </c>
      <c r="P64" s="1" t="s">
        <v>265</v>
      </c>
      <c r="Q64" s="1" t="s">
        <v>264</v>
      </c>
      <c r="R64" s="1" t="s">
        <v>44</v>
      </c>
      <c r="S64" s="1" t="s">
        <v>45</v>
      </c>
      <c r="T64" s="1">
        <v>0</v>
      </c>
      <c r="U64" s="1">
        <v>170.85</v>
      </c>
      <c r="V64" s="1">
        <v>0</v>
      </c>
      <c r="W64" s="1">
        <v>1</v>
      </c>
      <c r="X64" s="1">
        <v>1.1499999999999999</v>
      </c>
      <c r="Y64" s="1">
        <v>196.48</v>
      </c>
      <c r="Z64" s="1">
        <v>0</v>
      </c>
      <c r="AA64" s="1">
        <v>0</v>
      </c>
    </row>
    <row r="65" spans="1:27" s="1" customFormat="1" x14ac:dyDescent="0.2">
      <c r="A65" s="1" t="s">
        <v>27</v>
      </c>
      <c r="B65" s="1" t="s">
        <v>262</v>
      </c>
      <c r="C65" s="1" t="s">
        <v>261</v>
      </c>
      <c r="D65" s="1" t="s">
        <v>247</v>
      </c>
      <c r="E65" s="1" t="s">
        <v>260</v>
      </c>
      <c r="F65" s="1" t="s">
        <v>32</v>
      </c>
      <c r="G65" s="1" t="s">
        <v>33</v>
      </c>
      <c r="H65" s="1" t="s">
        <v>259</v>
      </c>
      <c r="I65" s="1" t="s">
        <v>258</v>
      </c>
      <c r="J65" s="1" t="s">
        <v>48</v>
      </c>
      <c r="K65" s="1" t="s">
        <v>263</v>
      </c>
      <c r="L65" s="1" t="s">
        <v>38</v>
      </c>
      <c r="M65" s="1" t="s">
        <v>256</v>
      </c>
      <c r="N65" s="1" t="s">
        <v>170</v>
      </c>
      <c r="O65" s="1" t="s">
        <v>41</v>
      </c>
      <c r="P65" s="1" t="s">
        <v>255</v>
      </c>
      <c r="Q65" s="1" t="s">
        <v>89</v>
      </c>
      <c r="R65" s="1" t="s">
        <v>44</v>
      </c>
      <c r="S65" s="1" t="s">
        <v>45</v>
      </c>
      <c r="T65" s="1">
        <v>0</v>
      </c>
      <c r="U65" s="1">
        <v>80.84</v>
      </c>
      <c r="V65" s="1">
        <v>0</v>
      </c>
      <c r="W65" s="1">
        <v>1</v>
      </c>
      <c r="X65" s="1">
        <v>1.25</v>
      </c>
      <c r="Y65" s="1">
        <v>101.05</v>
      </c>
      <c r="Z65" s="1">
        <v>0</v>
      </c>
      <c r="AA65" s="1">
        <v>0</v>
      </c>
    </row>
    <row r="66" spans="1:27" s="1" customFormat="1" x14ac:dyDescent="0.2">
      <c r="A66" s="1" t="s">
        <v>27</v>
      </c>
      <c r="B66" s="1" t="s">
        <v>262</v>
      </c>
      <c r="C66" s="1" t="s">
        <v>261</v>
      </c>
      <c r="D66" s="1" t="s">
        <v>247</v>
      </c>
      <c r="E66" s="1" t="s">
        <v>260</v>
      </c>
      <c r="F66" s="1" t="s">
        <v>32</v>
      </c>
      <c r="G66" s="1" t="s">
        <v>33</v>
      </c>
      <c r="H66" s="1" t="s">
        <v>259</v>
      </c>
      <c r="I66" s="1" t="s">
        <v>258</v>
      </c>
      <c r="J66" s="1" t="s">
        <v>48</v>
      </c>
      <c r="K66" s="1" t="s">
        <v>257</v>
      </c>
      <c r="L66" s="1" t="s">
        <v>38</v>
      </c>
      <c r="M66" s="1" t="s">
        <v>256</v>
      </c>
      <c r="N66" s="1" t="s">
        <v>170</v>
      </c>
      <c r="O66" s="1" t="s">
        <v>41</v>
      </c>
      <c r="P66" s="1" t="s">
        <v>255</v>
      </c>
      <c r="Q66" s="1" t="s">
        <v>89</v>
      </c>
      <c r="R66" s="1" t="s">
        <v>44</v>
      </c>
      <c r="S66" s="1" t="s">
        <v>45</v>
      </c>
      <c r="T66" s="1">
        <v>0</v>
      </c>
      <c r="U66" s="1">
        <v>56.76</v>
      </c>
      <c r="V66" s="1">
        <v>0</v>
      </c>
      <c r="W66" s="1">
        <v>1</v>
      </c>
      <c r="X66" s="1">
        <v>1.25</v>
      </c>
      <c r="Y66" s="1">
        <v>70.95</v>
      </c>
      <c r="Z66" s="1">
        <v>0</v>
      </c>
      <c r="AA66" s="1">
        <v>0</v>
      </c>
    </row>
    <row r="67" spans="1:27" s="1" customFormat="1" x14ac:dyDescent="0.2">
      <c r="A67" s="1" t="s">
        <v>27</v>
      </c>
      <c r="B67" s="1" t="s">
        <v>249</v>
      </c>
      <c r="C67" s="1" t="s">
        <v>248</v>
      </c>
      <c r="D67" s="1" t="s">
        <v>247</v>
      </c>
      <c r="E67" s="1" t="s">
        <v>31</v>
      </c>
      <c r="F67" s="1" t="s">
        <v>32</v>
      </c>
      <c r="G67" s="1" t="s">
        <v>33</v>
      </c>
      <c r="H67" s="1" t="s">
        <v>79</v>
      </c>
      <c r="I67" s="1" t="s">
        <v>80</v>
      </c>
      <c r="J67" s="1" t="s">
        <v>36</v>
      </c>
      <c r="K67" s="1" t="s">
        <v>254</v>
      </c>
      <c r="L67" s="1" t="s">
        <v>38</v>
      </c>
      <c r="M67" s="1" t="s">
        <v>253</v>
      </c>
      <c r="N67" s="1" t="s">
        <v>252</v>
      </c>
      <c r="O67" s="1" t="s">
        <v>41</v>
      </c>
      <c r="P67" s="1" t="s">
        <v>251</v>
      </c>
      <c r="Q67" s="1" t="s">
        <v>250</v>
      </c>
      <c r="R67" s="1" t="s">
        <v>44</v>
      </c>
      <c r="S67" s="1" t="s">
        <v>45</v>
      </c>
      <c r="T67" s="1">
        <v>0</v>
      </c>
      <c r="U67" s="1">
        <v>447.72</v>
      </c>
      <c r="V67" s="1">
        <v>0</v>
      </c>
      <c r="W67" s="1">
        <v>1</v>
      </c>
      <c r="X67" s="1">
        <v>1.5</v>
      </c>
      <c r="Y67" s="1">
        <v>671.58</v>
      </c>
      <c r="Z67" s="1">
        <v>0.25</v>
      </c>
      <c r="AA67" s="1">
        <v>167.9</v>
      </c>
    </row>
    <row r="68" spans="1:27" s="1" customFormat="1" x14ac:dyDescent="0.2">
      <c r="A68" s="1" t="s">
        <v>27</v>
      </c>
      <c r="B68" s="1" t="s">
        <v>249</v>
      </c>
      <c r="C68" s="1" t="s">
        <v>248</v>
      </c>
      <c r="D68" s="1" t="s">
        <v>247</v>
      </c>
      <c r="E68" s="1" t="s">
        <v>31</v>
      </c>
      <c r="F68" s="1" t="s">
        <v>32</v>
      </c>
      <c r="G68" s="1" t="s">
        <v>33</v>
      </c>
      <c r="H68" s="1" t="s">
        <v>246</v>
      </c>
      <c r="I68" s="1" t="s">
        <v>245</v>
      </c>
      <c r="J68" s="1" t="s">
        <v>48</v>
      </c>
      <c r="K68" s="1" t="s">
        <v>244</v>
      </c>
      <c r="L68" s="1" t="s">
        <v>50</v>
      </c>
      <c r="M68" s="1" t="s">
        <v>243</v>
      </c>
      <c r="N68" s="1" t="s">
        <v>158</v>
      </c>
      <c r="O68" s="1" t="s">
        <v>41</v>
      </c>
      <c r="P68" s="1" t="s">
        <v>242</v>
      </c>
      <c r="Q68" s="1" t="s">
        <v>241</v>
      </c>
      <c r="R68" s="1" t="s">
        <v>240</v>
      </c>
      <c r="S68" s="1" t="s">
        <v>45</v>
      </c>
      <c r="T68" s="1">
        <v>0</v>
      </c>
      <c r="U68" s="1">
        <v>978</v>
      </c>
      <c r="V68" s="1">
        <v>0</v>
      </c>
      <c r="W68" s="1">
        <v>1</v>
      </c>
      <c r="X68" s="1">
        <v>1.1000000000000001</v>
      </c>
      <c r="Y68" s="1">
        <v>1075.8</v>
      </c>
      <c r="Z68" s="1">
        <v>0.25</v>
      </c>
      <c r="AA68" s="1">
        <v>268.95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3D9C-AC47-4D28-B8A0-28B8B3E1A80E}">
  <dimension ref="A1:P69"/>
  <sheetViews>
    <sheetView tabSelected="1" topLeftCell="A44" workbookViewId="0">
      <selection activeCell="F10" sqref="F10"/>
    </sheetView>
  </sheetViews>
  <sheetFormatPr defaultRowHeight="12.75" x14ac:dyDescent="0.2"/>
  <cols>
    <col min="1" max="1" width="28.140625" bestFit="1" customWidth="1"/>
    <col min="2" max="2" width="14.140625" bestFit="1" customWidth="1"/>
    <col min="3" max="3" width="19.140625" bestFit="1" customWidth="1"/>
    <col min="4" max="4" width="19.5703125" bestFit="1" customWidth="1"/>
    <col min="5" max="5" width="12.7109375" bestFit="1" customWidth="1"/>
    <col min="6" max="6" width="13.28515625" style="6" bestFit="1" customWidth="1"/>
    <col min="7" max="7" width="12.42578125" bestFit="1" customWidth="1"/>
    <col min="8" max="9" width="10.140625" bestFit="1" customWidth="1"/>
    <col min="10" max="10" width="10.140625" customWidth="1"/>
    <col min="11" max="11" width="15.42578125" bestFit="1" customWidth="1"/>
    <col min="12" max="12" width="10.5703125" bestFit="1" customWidth="1"/>
    <col min="13" max="13" width="28.7109375" bestFit="1" customWidth="1"/>
    <col min="14" max="14" width="8.140625" style="2" bestFit="1" customWidth="1"/>
    <col min="15" max="15" width="13.5703125" bestFit="1" customWidth="1"/>
    <col min="16" max="16" width="25.5703125" bestFit="1" customWidth="1"/>
  </cols>
  <sheetData>
    <row r="1" spans="1:1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s="6" t="s">
        <v>10</v>
      </c>
      <c r="G1" t="s">
        <v>12</v>
      </c>
      <c r="H1" t="s">
        <v>15</v>
      </c>
      <c r="I1" t="s">
        <v>16</v>
      </c>
      <c r="J1" s="4" t="s">
        <v>329</v>
      </c>
      <c r="K1" t="s">
        <v>17</v>
      </c>
      <c r="L1" t="s">
        <v>18</v>
      </c>
      <c r="M1" t="s">
        <v>20</v>
      </c>
      <c r="N1" s="2" t="s">
        <v>23</v>
      </c>
      <c r="O1" t="s">
        <v>24</v>
      </c>
      <c r="P1" s="4" t="s">
        <v>326</v>
      </c>
    </row>
    <row r="2" spans="1:16" ht="25.5" x14ac:dyDescent="0.2">
      <c r="A2" t="s">
        <v>32</v>
      </c>
      <c r="B2" t="s">
        <v>33</v>
      </c>
      <c r="C2" t="s">
        <v>118</v>
      </c>
      <c r="D2">
        <v>19396223</v>
      </c>
      <c r="E2" t="s">
        <v>48</v>
      </c>
      <c r="F2" s="6">
        <v>6601911116</v>
      </c>
      <c r="G2" t="s">
        <v>121</v>
      </c>
      <c r="H2" t="s">
        <v>122</v>
      </c>
      <c r="I2" t="s">
        <v>123</v>
      </c>
      <c r="J2">
        <f t="shared" ref="J2:J33" si="0">DATEDIF(H2,I2,"M")</f>
        <v>11</v>
      </c>
      <c r="K2" t="s">
        <v>44</v>
      </c>
      <c r="L2" s="4" t="s">
        <v>330</v>
      </c>
      <c r="M2">
        <v>48.45</v>
      </c>
      <c r="N2" s="8">
        <v>1.05</v>
      </c>
      <c r="O2">
        <v>50.87</v>
      </c>
      <c r="P2" t="s">
        <v>322</v>
      </c>
    </row>
    <row r="3" spans="1:16" s="1" customFormat="1" x14ac:dyDescent="0.2">
      <c r="A3" s="1" t="s">
        <v>32</v>
      </c>
      <c r="B3" s="1" t="s">
        <v>33</v>
      </c>
      <c r="C3" s="1" t="s">
        <v>93</v>
      </c>
      <c r="D3" s="1">
        <v>8971826</v>
      </c>
      <c r="E3" s="1" t="s">
        <v>36</v>
      </c>
      <c r="F3" s="7" t="s">
        <v>95</v>
      </c>
      <c r="G3" s="1" t="s">
        <v>96</v>
      </c>
      <c r="H3" s="1" t="s">
        <v>97</v>
      </c>
      <c r="I3" s="1" t="s">
        <v>43</v>
      </c>
      <c r="J3" s="1">
        <f t="shared" si="0"/>
        <v>9</v>
      </c>
      <c r="K3" s="1" t="s">
        <v>44</v>
      </c>
      <c r="L3" s="9" t="s">
        <v>331</v>
      </c>
      <c r="M3" s="1">
        <v>70.989999999999995</v>
      </c>
      <c r="N3" s="3">
        <v>1.25</v>
      </c>
      <c r="O3" s="1">
        <v>88.74</v>
      </c>
      <c r="P3" s="1" t="s">
        <v>323</v>
      </c>
    </row>
    <row r="4" spans="1:16" ht="25.5" x14ac:dyDescent="0.2">
      <c r="A4" t="s">
        <v>32</v>
      </c>
      <c r="B4" t="s">
        <v>33</v>
      </c>
      <c r="C4" t="s">
        <v>246</v>
      </c>
      <c r="D4">
        <v>17143996</v>
      </c>
      <c r="E4" t="s">
        <v>48</v>
      </c>
      <c r="F4" s="6">
        <v>6602127722</v>
      </c>
      <c r="G4" t="s">
        <v>319</v>
      </c>
      <c r="H4" t="s">
        <v>242</v>
      </c>
      <c r="I4" t="s">
        <v>241</v>
      </c>
      <c r="J4">
        <f t="shared" si="0"/>
        <v>12</v>
      </c>
      <c r="K4" t="s">
        <v>240</v>
      </c>
      <c r="L4" s="4" t="s">
        <v>330</v>
      </c>
      <c r="M4">
        <v>978</v>
      </c>
      <c r="N4" s="8">
        <v>1.1000000000000001</v>
      </c>
      <c r="O4">
        <v>1075.8</v>
      </c>
      <c r="P4" t="s">
        <v>328</v>
      </c>
    </row>
    <row r="5" spans="1:16" s="1" customFormat="1" x14ac:dyDescent="0.2">
      <c r="A5" s="1" t="s">
        <v>32</v>
      </c>
      <c r="B5" s="1" t="s">
        <v>33</v>
      </c>
      <c r="C5" s="1" t="s">
        <v>172</v>
      </c>
      <c r="D5" s="1">
        <v>7470776</v>
      </c>
      <c r="E5" s="1" t="s">
        <v>36</v>
      </c>
      <c r="F5" s="7" t="s">
        <v>223</v>
      </c>
      <c r="G5" s="1" t="s">
        <v>224</v>
      </c>
      <c r="H5" s="1" t="s">
        <v>159</v>
      </c>
      <c r="I5" s="1" t="s">
        <v>68</v>
      </c>
      <c r="J5" s="1">
        <f t="shared" si="0"/>
        <v>3</v>
      </c>
      <c r="K5" s="1" t="s">
        <v>44</v>
      </c>
      <c r="L5" s="9" t="s">
        <v>331</v>
      </c>
      <c r="M5" s="1">
        <v>88.04</v>
      </c>
      <c r="N5" s="3">
        <v>1.25</v>
      </c>
      <c r="O5" s="1">
        <v>110.05</v>
      </c>
      <c r="P5" s="1" t="s">
        <v>320</v>
      </c>
    </row>
    <row r="6" spans="1:16" s="1" customFormat="1" x14ac:dyDescent="0.2">
      <c r="A6" s="1" t="s">
        <v>32</v>
      </c>
      <c r="B6" s="1" t="s">
        <v>33</v>
      </c>
      <c r="C6" s="1" t="s">
        <v>172</v>
      </c>
      <c r="D6" s="1">
        <v>7470776</v>
      </c>
      <c r="E6" s="1" t="s">
        <v>36</v>
      </c>
      <c r="F6" s="7" t="s">
        <v>218</v>
      </c>
      <c r="G6" s="1" t="s">
        <v>219</v>
      </c>
      <c r="H6" s="1" t="s">
        <v>220</v>
      </c>
      <c r="I6" s="1" t="s">
        <v>221</v>
      </c>
      <c r="J6" s="1">
        <f t="shared" si="0"/>
        <v>4</v>
      </c>
      <c r="K6" s="1" t="s">
        <v>44</v>
      </c>
      <c r="L6" s="9" t="s">
        <v>331</v>
      </c>
      <c r="M6" s="1">
        <v>90.91</v>
      </c>
      <c r="N6" s="3">
        <v>1.25</v>
      </c>
      <c r="O6" s="1">
        <v>113.64</v>
      </c>
      <c r="P6" s="1" t="s">
        <v>320</v>
      </c>
    </row>
    <row r="7" spans="1:16" s="1" customFormat="1" x14ac:dyDescent="0.2">
      <c r="A7" s="1" t="s">
        <v>32</v>
      </c>
      <c r="B7" s="1" t="s">
        <v>33</v>
      </c>
      <c r="C7" s="1" t="s">
        <v>172</v>
      </c>
      <c r="D7" s="1">
        <v>7470776</v>
      </c>
      <c r="E7" s="1" t="s">
        <v>36</v>
      </c>
      <c r="F7" s="7" t="s">
        <v>222</v>
      </c>
      <c r="G7" s="1" t="s">
        <v>219</v>
      </c>
      <c r="H7" s="1" t="s">
        <v>220</v>
      </c>
      <c r="I7" s="1" t="s">
        <v>221</v>
      </c>
      <c r="J7" s="1">
        <f t="shared" si="0"/>
        <v>4</v>
      </c>
      <c r="K7" s="1" t="s">
        <v>44</v>
      </c>
      <c r="L7" s="9" t="s">
        <v>331</v>
      </c>
      <c r="M7" s="1">
        <v>96.38</v>
      </c>
      <c r="N7" s="3">
        <v>1.25</v>
      </c>
      <c r="O7" s="1">
        <v>120.48</v>
      </c>
      <c r="P7" s="1" t="s">
        <v>320</v>
      </c>
    </row>
    <row r="8" spans="1:16" s="1" customFormat="1" x14ac:dyDescent="0.2">
      <c r="A8" s="1" t="s">
        <v>32</v>
      </c>
      <c r="B8" s="1" t="s">
        <v>33</v>
      </c>
      <c r="C8" s="1" t="s">
        <v>172</v>
      </c>
      <c r="D8" s="1">
        <v>7470776</v>
      </c>
      <c r="E8" s="1" t="s">
        <v>36</v>
      </c>
      <c r="F8" s="7" t="s">
        <v>202</v>
      </c>
      <c r="G8" s="1" t="s">
        <v>203</v>
      </c>
      <c r="H8" s="1" t="s">
        <v>205</v>
      </c>
      <c r="I8" s="1" t="s">
        <v>75</v>
      </c>
      <c r="J8" s="1">
        <f t="shared" si="0"/>
        <v>9</v>
      </c>
      <c r="K8" s="1" t="s">
        <v>44</v>
      </c>
      <c r="L8" s="9" t="s">
        <v>331</v>
      </c>
      <c r="M8" s="1">
        <v>113.52</v>
      </c>
      <c r="N8" s="3">
        <v>0.83</v>
      </c>
      <c r="O8" s="1">
        <v>94.22</v>
      </c>
      <c r="P8" s="1" t="s">
        <v>320</v>
      </c>
    </row>
    <row r="9" spans="1:16" s="1" customFormat="1" x14ac:dyDescent="0.2">
      <c r="A9" s="1" t="s">
        <v>32</v>
      </c>
      <c r="B9" s="1" t="s">
        <v>33</v>
      </c>
      <c r="C9" s="1" t="s">
        <v>172</v>
      </c>
      <c r="D9" s="1">
        <v>7470776</v>
      </c>
      <c r="E9" s="1" t="s">
        <v>36</v>
      </c>
      <c r="F9" s="7" t="s">
        <v>216</v>
      </c>
      <c r="G9" s="1" t="s">
        <v>217</v>
      </c>
      <c r="H9" s="1" t="s">
        <v>205</v>
      </c>
      <c r="I9" s="1" t="s">
        <v>75</v>
      </c>
      <c r="J9" s="1">
        <f t="shared" si="0"/>
        <v>9</v>
      </c>
      <c r="K9" s="1" t="s">
        <v>44</v>
      </c>
      <c r="L9" s="9" t="s">
        <v>331</v>
      </c>
      <c r="M9" s="1">
        <v>49.78</v>
      </c>
      <c r="N9" s="3">
        <v>1.25</v>
      </c>
      <c r="O9" s="1">
        <v>62.23</v>
      </c>
      <c r="P9" s="1" t="s">
        <v>320</v>
      </c>
    </row>
    <row r="10" spans="1:16" s="1" customFormat="1" x14ac:dyDescent="0.2">
      <c r="A10" s="1" t="s">
        <v>32</v>
      </c>
      <c r="B10" s="1" t="s">
        <v>33</v>
      </c>
      <c r="C10" s="1" t="s">
        <v>172</v>
      </c>
      <c r="D10" s="1">
        <v>7470776</v>
      </c>
      <c r="E10" s="1" t="s">
        <v>36</v>
      </c>
      <c r="F10" s="7" t="s">
        <v>206</v>
      </c>
      <c r="G10" s="1" t="s">
        <v>207</v>
      </c>
      <c r="H10" s="1" t="s">
        <v>205</v>
      </c>
      <c r="I10" s="1" t="s">
        <v>75</v>
      </c>
      <c r="J10" s="1">
        <f t="shared" si="0"/>
        <v>9</v>
      </c>
      <c r="K10" s="1" t="s">
        <v>44</v>
      </c>
      <c r="L10" s="9" t="s">
        <v>331</v>
      </c>
      <c r="M10" s="1">
        <v>85.36</v>
      </c>
      <c r="N10" s="3">
        <v>1.25</v>
      </c>
      <c r="O10" s="1">
        <v>106.7</v>
      </c>
      <c r="P10" s="1" t="s">
        <v>320</v>
      </c>
    </row>
    <row r="11" spans="1:16" s="1" customFormat="1" x14ac:dyDescent="0.2">
      <c r="A11" s="1" t="s">
        <v>32</v>
      </c>
      <c r="B11" s="1" t="s">
        <v>33</v>
      </c>
      <c r="C11" s="1" t="s">
        <v>172</v>
      </c>
      <c r="D11" s="1">
        <v>7470776</v>
      </c>
      <c r="E11" s="1" t="s">
        <v>36</v>
      </c>
      <c r="F11" s="7" t="s">
        <v>211</v>
      </c>
      <c r="G11" s="1" t="s">
        <v>212</v>
      </c>
      <c r="H11" s="1" t="s">
        <v>205</v>
      </c>
      <c r="I11" s="1" t="s">
        <v>75</v>
      </c>
      <c r="J11" s="1">
        <f t="shared" si="0"/>
        <v>9</v>
      </c>
      <c r="K11" s="1" t="s">
        <v>44</v>
      </c>
      <c r="L11" s="9" t="s">
        <v>331</v>
      </c>
      <c r="M11" s="1">
        <v>96.03</v>
      </c>
      <c r="N11" s="3">
        <v>1.25</v>
      </c>
      <c r="O11" s="1">
        <v>120.04</v>
      </c>
      <c r="P11" s="1" t="s">
        <v>320</v>
      </c>
    </row>
    <row r="12" spans="1:16" s="1" customFormat="1" x14ac:dyDescent="0.2">
      <c r="A12" s="1" t="s">
        <v>32</v>
      </c>
      <c r="B12" s="1" t="s">
        <v>33</v>
      </c>
      <c r="C12" s="1" t="s">
        <v>172</v>
      </c>
      <c r="D12" s="1">
        <v>7470776</v>
      </c>
      <c r="E12" s="1" t="s">
        <v>36</v>
      </c>
      <c r="F12" s="7" t="s">
        <v>214</v>
      </c>
      <c r="G12" s="1" t="s">
        <v>215</v>
      </c>
      <c r="H12" s="1" t="s">
        <v>205</v>
      </c>
      <c r="I12" s="1" t="s">
        <v>75</v>
      </c>
      <c r="J12" s="1">
        <f t="shared" si="0"/>
        <v>9</v>
      </c>
      <c r="K12" s="1" t="s">
        <v>44</v>
      </c>
      <c r="L12" s="9" t="s">
        <v>331</v>
      </c>
      <c r="M12" s="1">
        <v>103.53</v>
      </c>
      <c r="N12" s="3">
        <v>1.25</v>
      </c>
      <c r="O12" s="1">
        <v>129.41</v>
      </c>
      <c r="P12" s="1" t="s">
        <v>320</v>
      </c>
    </row>
    <row r="13" spans="1:16" s="1" customFormat="1" x14ac:dyDescent="0.2">
      <c r="A13" s="1" t="s">
        <v>32</v>
      </c>
      <c r="B13" s="1" t="s">
        <v>33</v>
      </c>
      <c r="C13" s="1" t="s">
        <v>172</v>
      </c>
      <c r="D13" s="1">
        <v>7470776</v>
      </c>
      <c r="E13" s="1" t="s">
        <v>36</v>
      </c>
      <c r="F13" s="7" t="s">
        <v>213</v>
      </c>
      <c r="G13" s="1" t="s">
        <v>212</v>
      </c>
      <c r="H13" s="1" t="s">
        <v>205</v>
      </c>
      <c r="I13" s="1" t="s">
        <v>75</v>
      </c>
      <c r="J13" s="1">
        <f t="shared" si="0"/>
        <v>9</v>
      </c>
      <c r="K13" s="1" t="s">
        <v>44</v>
      </c>
      <c r="L13" s="9" t="s">
        <v>331</v>
      </c>
      <c r="M13" s="1">
        <v>111.31</v>
      </c>
      <c r="N13" s="3">
        <v>1.25</v>
      </c>
      <c r="O13" s="1">
        <v>139.13999999999999</v>
      </c>
      <c r="P13" s="1" t="s">
        <v>320</v>
      </c>
    </row>
    <row r="14" spans="1:16" s="1" customFormat="1" x14ac:dyDescent="0.2">
      <c r="A14" t="s">
        <v>32</v>
      </c>
      <c r="B14" t="s">
        <v>33</v>
      </c>
      <c r="C14" t="s">
        <v>172</v>
      </c>
      <c r="D14">
        <v>7470776</v>
      </c>
      <c r="E14" t="s">
        <v>36</v>
      </c>
      <c r="F14" s="6" t="s">
        <v>196</v>
      </c>
      <c r="G14" t="s">
        <v>197</v>
      </c>
      <c r="H14" t="s">
        <v>193</v>
      </c>
      <c r="I14" t="s">
        <v>75</v>
      </c>
      <c r="J14">
        <f t="shared" si="0"/>
        <v>10</v>
      </c>
      <c r="K14" t="s">
        <v>44</v>
      </c>
      <c r="L14" s="4" t="s">
        <v>330</v>
      </c>
      <c r="M14">
        <v>99.3</v>
      </c>
      <c r="N14" s="8">
        <v>1.25</v>
      </c>
      <c r="O14">
        <v>124.13</v>
      </c>
      <c r="P14" t="s">
        <v>320</v>
      </c>
    </row>
    <row r="15" spans="1:16" s="1" customFormat="1" x14ac:dyDescent="0.2">
      <c r="A15" t="s">
        <v>32</v>
      </c>
      <c r="B15" t="s">
        <v>33</v>
      </c>
      <c r="C15" t="s">
        <v>172</v>
      </c>
      <c r="D15">
        <v>7470776</v>
      </c>
      <c r="E15" t="s">
        <v>36</v>
      </c>
      <c r="F15" s="6" t="s">
        <v>194</v>
      </c>
      <c r="G15" t="s">
        <v>195</v>
      </c>
      <c r="H15" t="s">
        <v>193</v>
      </c>
      <c r="I15" t="s">
        <v>75</v>
      </c>
      <c r="J15">
        <f t="shared" si="0"/>
        <v>10</v>
      </c>
      <c r="K15" t="s">
        <v>44</v>
      </c>
      <c r="L15" s="4" t="s">
        <v>330</v>
      </c>
      <c r="M15">
        <v>103.53</v>
      </c>
      <c r="N15" s="8">
        <v>1.25</v>
      </c>
      <c r="O15">
        <v>129.41</v>
      </c>
      <c r="P15" t="s">
        <v>320</v>
      </c>
    </row>
    <row r="16" spans="1:16" s="1" customFormat="1" x14ac:dyDescent="0.2">
      <c r="A16" t="s">
        <v>32</v>
      </c>
      <c r="B16" t="s">
        <v>33</v>
      </c>
      <c r="C16" t="s">
        <v>172</v>
      </c>
      <c r="D16">
        <v>7470776</v>
      </c>
      <c r="E16" t="s">
        <v>36</v>
      </c>
      <c r="F16" s="6" t="s">
        <v>191</v>
      </c>
      <c r="G16" t="s">
        <v>192</v>
      </c>
      <c r="H16" t="s">
        <v>193</v>
      </c>
      <c r="I16" t="s">
        <v>75</v>
      </c>
      <c r="J16">
        <f t="shared" si="0"/>
        <v>10</v>
      </c>
      <c r="K16" t="s">
        <v>44</v>
      </c>
      <c r="L16" s="4" t="s">
        <v>330</v>
      </c>
      <c r="M16">
        <v>110.24</v>
      </c>
      <c r="N16" s="8">
        <v>1.25</v>
      </c>
      <c r="O16">
        <v>137.80000000000001</v>
      </c>
      <c r="P16" t="s">
        <v>320</v>
      </c>
    </row>
    <row r="17" spans="1:16" s="1" customFormat="1" x14ac:dyDescent="0.2">
      <c r="A17" t="s">
        <v>32</v>
      </c>
      <c r="B17" t="s">
        <v>33</v>
      </c>
      <c r="C17" t="s">
        <v>172</v>
      </c>
      <c r="D17">
        <v>7470776</v>
      </c>
      <c r="E17" t="s">
        <v>36</v>
      </c>
      <c r="F17" s="6" t="s">
        <v>198</v>
      </c>
      <c r="G17" t="s">
        <v>199</v>
      </c>
      <c r="H17" t="s">
        <v>193</v>
      </c>
      <c r="I17" t="s">
        <v>75</v>
      </c>
      <c r="J17">
        <f t="shared" si="0"/>
        <v>10</v>
      </c>
      <c r="K17" t="s">
        <v>44</v>
      </c>
      <c r="L17" s="4" t="s">
        <v>330</v>
      </c>
      <c r="M17">
        <v>110.24</v>
      </c>
      <c r="N17" s="8">
        <v>1.25</v>
      </c>
      <c r="O17">
        <v>137.80000000000001</v>
      </c>
      <c r="P17" t="s">
        <v>320</v>
      </c>
    </row>
    <row r="18" spans="1:16" s="1" customFormat="1" ht="25.5" x14ac:dyDescent="0.2">
      <c r="A18" t="s">
        <v>32</v>
      </c>
      <c r="B18" t="s">
        <v>33</v>
      </c>
      <c r="C18" t="s">
        <v>172</v>
      </c>
      <c r="D18">
        <v>7470776</v>
      </c>
      <c r="E18" t="s">
        <v>36</v>
      </c>
      <c r="F18" s="6" t="s">
        <v>208</v>
      </c>
      <c r="G18" t="s">
        <v>209</v>
      </c>
      <c r="H18" t="s">
        <v>210</v>
      </c>
      <c r="I18" t="s">
        <v>68</v>
      </c>
      <c r="J18">
        <f t="shared" si="0"/>
        <v>10</v>
      </c>
      <c r="K18" t="s">
        <v>44</v>
      </c>
      <c r="L18" s="4" t="s">
        <v>330</v>
      </c>
      <c r="M18">
        <v>126.45</v>
      </c>
      <c r="N18" s="8">
        <v>1.25</v>
      </c>
      <c r="O18">
        <v>158.06</v>
      </c>
      <c r="P18" t="s">
        <v>320</v>
      </c>
    </row>
    <row r="19" spans="1:16" s="1" customFormat="1" x14ac:dyDescent="0.2">
      <c r="A19" t="s">
        <v>32</v>
      </c>
      <c r="B19" t="s">
        <v>33</v>
      </c>
      <c r="C19" t="s">
        <v>172</v>
      </c>
      <c r="D19">
        <v>7470776</v>
      </c>
      <c r="E19" t="s">
        <v>36</v>
      </c>
      <c r="F19" s="6" t="s">
        <v>200</v>
      </c>
      <c r="G19" t="s">
        <v>201</v>
      </c>
      <c r="H19" t="s">
        <v>193</v>
      </c>
      <c r="I19" t="s">
        <v>75</v>
      </c>
      <c r="J19">
        <f t="shared" si="0"/>
        <v>10</v>
      </c>
      <c r="K19" t="s">
        <v>44</v>
      </c>
      <c r="L19" s="4" t="s">
        <v>330</v>
      </c>
      <c r="M19">
        <v>166.15</v>
      </c>
      <c r="N19" s="8">
        <v>1.25</v>
      </c>
      <c r="O19">
        <v>207.69</v>
      </c>
      <c r="P19" t="s">
        <v>320</v>
      </c>
    </row>
    <row r="20" spans="1:16" s="1" customFormat="1" x14ac:dyDescent="0.2">
      <c r="A20" t="s">
        <v>32</v>
      </c>
      <c r="B20" t="s">
        <v>33</v>
      </c>
      <c r="C20" t="s">
        <v>172</v>
      </c>
      <c r="D20">
        <v>7470776</v>
      </c>
      <c r="E20" t="s">
        <v>36</v>
      </c>
      <c r="F20" s="6" t="s">
        <v>189</v>
      </c>
      <c r="G20" t="s">
        <v>190</v>
      </c>
      <c r="H20" t="s">
        <v>186</v>
      </c>
      <c r="I20" t="s">
        <v>75</v>
      </c>
      <c r="J20">
        <f t="shared" si="0"/>
        <v>11</v>
      </c>
      <c r="K20" t="s">
        <v>44</v>
      </c>
      <c r="L20" s="4" t="s">
        <v>330</v>
      </c>
      <c r="M20">
        <v>102.86</v>
      </c>
      <c r="N20" s="8">
        <v>1.25</v>
      </c>
      <c r="O20">
        <v>128.58000000000001</v>
      </c>
      <c r="P20" t="s">
        <v>320</v>
      </c>
    </row>
    <row r="21" spans="1:16" s="1" customFormat="1" x14ac:dyDescent="0.2">
      <c r="A21" t="s">
        <v>32</v>
      </c>
      <c r="B21" t="s">
        <v>33</v>
      </c>
      <c r="C21" t="s">
        <v>172</v>
      </c>
      <c r="D21">
        <v>7470776</v>
      </c>
      <c r="E21" t="s">
        <v>36</v>
      </c>
      <c r="F21" s="6" t="s">
        <v>184</v>
      </c>
      <c r="G21" t="s">
        <v>185</v>
      </c>
      <c r="H21" t="s">
        <v>186</v>
      </c>
      <c r="I21" t="s">
        <v>75</v>
      </c>
      <c r="J21">
        <f t="shared" si="0"/>
        <v>11</v>
      </c>
      <c r="K21" t="s">
        <v>44</v>
      </c>
      <c r="L21" s="4" t="s">
        <v>330</v>
      </c>
      <c r="M21">
        <v>110.66</v>
      </c>
      <c r="N21" s="8">
        <v>1.25</v>
      </c>
      <c r="O21">
        <v>138.33000000000001</v>
      </c>
      <c r="P21" t="s">
        <v>320</v>
      </c>
    </row>
    <row r="22" spans="1:16" s="1" customFormat="1" x14ac:dyDescent="0.2">
      <c r="A22" t="s">
        <v>32</v>
      </c>
      <c r="B22" t="s">
        <v>33</v>
      </c>
      <c r="C22" t="s">
        <v>172</v>
      </c>
      <c r="D22">
        <v>7470776</v>
      </c>
      <c r="E22" t="s">
        <v>36</v>
      </c>
      <c r="F22" s="6" t="s">
        <v>187</v>
      </c>
      <c r="G22" t="s">
        <v>188</v>
      </c>
      <c r="H22" t="s">
        <v>186</v>
      </c>
      <c r="I22" t="s">
        <v>75</v>
      </c>
      <c r="J22">
        <f t="shared" si="0"/>
        <v>11</v>
      </c>
      <c r="K22" t="s">
        <v>44</v>
      </c>
      <c r="L22" s="4" t="s">
        <v>330</v>
      </c>
      <c r="M22">
        <v>113</v>
      </c>
      <c r="N22" s="8">
        <v>1.25</v>
      </c>
      <c r="O22">
        <v>141.25</v>
      </c>
      <c r="P22" t="s">
        <v>320</v>
      </c>
    </row>
    <row r="23" spans="1:16" s="1" customFormat="1" x14ac:dyDescent="0.2">
      <c r="A23" t="s">
        <v>32</v>
      </c>
      <c r="B23" t="s">
        <v>33</v>
      </c>
      <c r="C23" t="s">
        <v>172</v>
      </c>
      <c r="D23">
        <v>7470776</v>
      </c>
      <c r="E23" t="s">
        <v>36</v>
      </c>
      <c r="F23" s="6" t="s">
        <v>182</v>
      </c>
      <c r="G23" t="s">
        <v>183</v>
      </c>
      <c r="H23" t="s">
        <v>176</v>
      </c>
      <c r="I23" t="s">
        <v>75</v>
      </c>
      <c r="J23">
        <f t="shared" si="0"/>
        <v>12</v>
      </c>
      <c r="K23" t="s">
        <v>44</v>
      </c>
      <c r="L23" s="4" t="s">
        <v>330</v>
      </c>
      <c r="M23">
        <v>77.489999999999995</v>
      </c>
      <c r="N23" s="8">
        <v>1.25</v>
      </c>
      <c r="O23">
        <v>96.86</v>
      </c>
      <c r="P23" t="s">
        <v>320</v>
      </c>
    </row>
    <row r="24" spans="1:16" s="1" customFormat="1" x14ac:dyDescent="0.2">
      <c r="A24" t="s">
        <v>32</v>
      </c>
      <c r="B24" t="s">
        <v>33</v>
      </c>
      <c r="C24" t="s">
        <v>172</v>
      </c>
      <c r="D24">
        <v>7470776</v>
      </c>
      <c r="E24" t="s">
        <v>36</v>
      </c>
      <c r="F24" s="6" t="s">
        <v>180</v>
      </c>
      <c r="G24" t="s">
        <v>181</v>
      </c>
      <c r="H24" t="s">
        <v>176</v>
      </c>
      <c r="I24" t="s">
        <v>75</v>
      </c>
      <c r="J24">
        <f t="shared" si="0"/>
        <v>12</v>
      </c>
      <c r="K24" t="s">
        <v>44</v>
      </c>
      <c r="L24" s="4" t="s">
        <v>330</v>
      </c>
      <c r="M24">
        <v>98.53</v>
      </c>
      <c r="N24" s="8">
        <v>1.25</v>
      </c>
      <c r="O24">
        <v>123.16</v>
      </c>
      <c r="P24" t="s">
        <v>320</v>
      </c>
    </row>
    <row r="25" spans="1:16" s="1" customFormat="1" x14ac:dyDescent="0.2">
      <c r="A25" t="s">
        <v>32</v>
      </c>
      <c r="B25" t="s">
        <v>33</v>
      </c>
      <c r="C25" t="s">
        <v>172</v>
      </c>
      <c r="D25">
        <v>7470776</v>
      </c>
      <c r="E25" t="s">
        <v>36</v>
      </c>
      <c r="F25" s="6" t="s">
        <v>174</v>
      </c>
      <c r="G25" t="s">
        <v>175</v>
      </c>
      <c r="H25" t="s">
        <v>176</v>
      </c>
      <c r="I25" t="s">
        <v>75</v>
      </c>
      <c r="J25">
        <f t="shared" si="0"/>
        <v>12</v>
      </c>
      <c r="K25" t="s">
        <v>44</v>
      </c>
      <c r="L25" s="4" t="s">
        <v>330</v>
      </c>
      <c r="M25">
        <v>115</v>
      </c>
      <c r="N25" s="8">
        <v>1.25</v>
      </c>
      <c r="O25">
        <v>143.75</v>
      </c>
      <c r="P25" t="s">
        <v>320</v>
      </c>
    </row>
    <row r="26" spans="1:16" s="1" customFormat="1" x14ac:dyDescent="0.2">
      <c r="A26" t="s">
        <v>32</v>
      </c>
      <c r="B26" t="s">
        <v>33</v>
      </c>
      <c r="C26" t="s">
        <v>172</v>
      </c>
      <c r="D26">
        <v>7470776</v>
      </c>
      <c r="E26" t="s">
        <v>36</v>
      </c>
      <c r="F26" s="6" t="s">
        <v>177</v>
      </c>
      <c r="G26" t="s">
        <v>178</v>
      </c>
      <c r="H26" t="s">
        <v>179</v>
      </c>
      <c r="I26" t="s">
        <v>84</v>
      </c>
      <c r="J26">
        <f t="shared" si="0"/>
        <v>13</v>
      </c>
      <c r="K26" t="s">
        <v>44</v>
      </c>
      <c r="L26" s="4" t="s">
        <v>330</v>
      </c>
      <c r="M26">
        <v>117.02</v>
      </c>
      <c r="N26" s="8">
        <v>3.7499999999999999E-2</v>
      </c>
      <c r="O26">
        <v>4.3899999999999997</v>
      </c>
      <c r="P26" t="s">
        <v>320</v>
      </c>
    </row>
    <row r="27" spans="1:16" ht="25.5" x14ac:dyDescent="0.2">
      <c r="A27" s="1" t="s">
        <v>32</v>
      </c>
      <c r="B27" s="1" t="s">
        <v>33</v>
      </c>
      <c r="C27" s="1" t="s">
        <v>79</v>
      </c>
      <c r="D27" s="1">
        <v>17437820</v>
      </c>
      <c r="E27" s="1" t="s">
        <v>36</v>
      </c>
      <c r="F27" s="7" t="s">
        <v>254</v>
      </c>
      <c r="G27" s="1" t="s">
        <v>309</v>
      </c>
      <c r="H27" s="1" t="s">
        <v>251</v>
      </c>
      <c r="I27" s="1" t="s">
        <v>250</v>
      </c>
      <c r="J27" s="1">
        <f t="shared" si="0"/>
        <v>2</v>
      </c>
      <c r="K27" s="1" t="s">
        <v>44</v>
      </c>
      <c r="L27" s="9" t="s">
        <v>331</v>
      </c>
      <c r="M27" s="1">
        <v>447.72</v>
      </c>
      <c r="N27" s="3">
        <v>1.5</v>
      </c>
      <c r="O27" s="1">
        <v>671.58</v>
      </c>
      <c r="P27" s="1" t="s">
        <v>327</v>
      </c>
    </row>
    <row r="28" spans="1:16" ht="25.5" x14ac:dyDescent="0.2">
      <c r="A28" t="s">
        <v>32</v>
      </c>
      <c r="B28" t="s">
        <v>33</v>
      </c>
      <c r="C28" t="s">
        <v>79</v>
      </c>
      <c r="D28">
        <v>17437820</v>
      </c>
      <c r="E28" t="s">
        <v>36</v>
      </c>
      <c r="F28" s="6" t="s">
        <v>81</v>
      </c>
      <c r="G28" t="s">
        <v>82</v>
      </c>
      <c r="H28" t="s">
        <v>83</v>
      </c>
      <c r="I28" t="s">
        <v>84</v>
      </c>
      <c r="J28">
        <f t="shared" si="0"/>
        <v>6</v>
      </c>
      <c r="K28" t="s">
        <v>44</v>
      </c>
      <c r="L28" s="4" t="s">
        <v>330</v>
      </c>
      <c r="M28">
        <v>163.96</v>
      </c>
      <c r="N28" s="2">
        <v>1.4</v>
      </c>
      <c r="O28">
        <v>229.54</v>
      </c>
      <c r="P28" t="s">
        <v>321</v>
      </c>
    </row>
    <row r="29" spans="1:16" ht="25.5" x14ac:dyDescent="0.2">
      <c r="A29" t="s">
        <v>32</v>
      </c>
      <c r="B29" t="s">
        <v>33</v>
      </c>
      <c r="C29" t="s">
        <v>79</v>
      </c>
      <c r="D29">
        <v>17437820</v>
      </c>
      <c r="E29" t="s">
        <v>48</v>
      </c>
      <c r="F29" s="6">
        <v>6601975773</v>
      </c>
      <c r="G29" t="s">
        <v>86</v>
      </c>
      <c r="H29" t="s">
        <v>91</v>
      </c>
      <c r="I29" t="s">
        <v>92</v>
      </c>
      <c r="J29">
        <f t="shared" si="0"/>
        <v>8</v>
      </c>
      <c r="K29" t="s">
        <v>44</v>
      </c>
      <c r="L29" s="4" t="s">
        <v>330</v>
      </c>
      <c r="M29">
        <v>58.65</v>
      </c>
      <c r="N29" s="2">
        <v>1.05</v>
      </c>
      <c r="O29">
        <v>61.58</v>
      </c>
      <c r="P29" t="s">
        <v>322</v>
      </c>
    </row>
    <row r="30" spans="1:16" ht="25.5" x14ac:dyDescent="0.2">
      <c r="A30" t="s">
        <v>32</v>
      </c>
      <c r="B30" t="s">
        <v>33</v>
      </c>
      <c r="C30" t="s">
        <v>79</v>
      </c>
      <c r="D30">
        <v>17437820</v>
      </c>
      <c r="E30" t="s">
        <v>48</v>
      </c>
      <c r="F30" s="6">
        <v>6601975317</v>
      </c>
      <c r="G30" t="s">
        <v>86</v>
      </c>
      <c r="H30" t="s">
        <v>88</v>
      </c>
      <c r="I30" t="s">
        <v>89</v>
      </c>
      <c r="J30">
        <f t="shared" si="0"/>
        <v>9</v>
      </c>
      <c r="K30" t="s">
        <v>44</v>
      </c>
      <c r="L30" s="4" t="s">
        <v>330</v>
      </c>
      <c r="M30">
        <v>44.2</v>
      </c>
      <c r="N30" s="2">
        <v>1.05</v>
      </c>
      <c r="O30">
        <v>46.41</v>
      </c>
      <c r="P30" t="s">
        <v>322</v>
      </c>
    </row>
    <row r="31" spans="1:16" ht="25.5" x14ac:dyDescent="0.2">
      <c r="A31" t="s">
        <v>32</v>
      </c>
      <c r="B31" t="s">
        <v>33</v>
      </c>
      <c r="C31" t="s">
        <v>46</v>
      </c>
      <c r="D31">
        <v>17425766</v>
      </c>
      <c r="E31" t="s">
        <v>48</v>
      </c>
      <c r="F31" s="6">
        <v>6602139774</v>
      </c>
      <c r="G31" t="s">
        <v>51</v>
      </c>
      <c r="H31" t="s">
        <v>53</v>
      </c>
      <c r="I31" t="s">
        <v>54</v>
      </c>
      <c r="J31">
        <f t="shared" si="0"/>
        <v>1</v>
      </c>
      <c r="K31" t="s">
        <v>44</v>
      </c>
      <c r="L31" s="4" t="s">
        <v>330</v>
      </c>
      <c r="M31">
        <v>36.979999999999997</v>
      </c>
      <c r="N31" s="2">
        <v>1.05</v>
      </c>
      <c r="O31">
        <v>38.83</v>
      </c>
      <c r="P31" t="s">
        <v>322</v>
      </c>
    </row>
    <row r="32" spans="1:16" s="1" customFormat="1" ht="25.5" x14ac:dyDescent="0.2">
      <c r="A32" s="1" t="s">
        <v>32</v>
      </c>
      <c r="B32" s="1" t="s">
        <v>33</v>
      </c>
      <c r="C32" s="1" t="s">
        <v>234</v>
      </c>
      <c r="D32" s="1">
        <v>21283956</v>
      </c>
      <c r="E32" s="1" t="s">
        <v>48</v>
      </c>
      <c r="F32" s="7">
        <v>6601990958</v>
      </c>
      <c r="G32" s="1" t="s">
        <v>237</v>
      </c>
      <c r="H32" s="1" t="s">
        <v>238</v>
      </c>
      <c r="I32" s="1" t="s">
        <v>84</v>
      </c>
      <c r="J32" s="1">
        <f t="shared" si="0"/>
        <v>8</v>
      </c>
      <c r="K32" s="1" t="s">
        <v>44</v>
      </c>
      <c r="L32" s="9" t="s">
        <v>331</v>
      </c>
      <c r="M32" s="1">
        <v>17.850000000000001</v>
      </c>
      <c r="N32" s="3">
        <v>1.05</v>
      </c>
      <c r="O32" s="1">
        <v>18.739999999999998</v>
      </c>
      <c r="P32" s="1" t="s">
        <v>322</v>
      </c>
    </row>
    <row r="33" spans="1:16" s="1" customFormat="1" ht="25.5" x14ac:dyDescent="0.2">
      <c r="A33" s="1" t="s">
        <v>32</v>
      </c>
      <c r="B33" s="1" t="s">
        <v>33</v>
      </c>
      <c r="C33" s="1" t="s">
        <v>234</v>
      </c>
      <c r="D33" s="1">
        <v>21283956</v>
      </c>
      <c r="E33" s="1" t="s">
        <v>48</v>
      </c>
      <c r="F33" s="7">
        <v>6601990958</v>
      </c>
      <c r="G33" s="1" t="s">
        <v>237</v>
      </c>
      <c r="H33" s="1" t="s">
        <v>238</v>
      </c>
      <c r="I33" s="1" t="s">
        <v>84</v>
      </c>
      <c r="J33" s="1">
        <f t="shared" si="0"/>
        <v>8</v>
      </c>
      <c r="K33" s="1" t="s">
        <v>44</v>
      </c>
      <c r="L33" s="9" t="s">
        <v>331</v>
      </c>
      <c r="M33" s="1">
        <v>69.489999999999995</v>
      </c>
      <c r="N33" s="3">
        <v>1.05</v>
      </c>
      <c r="O33" s="1">
        <v>72.959999999999994</v>
      </c>
      <c r="P33" s="1" t="s">
        <v>322</v>
      </c>
    </row>
    <row r="34" spans="1:16" s="1" customFormat="1" ht="25.5" x14ac:dyDescent="0.2">
      <c r="A34" s="1" t="s">
        <v>32</v>
      </c>
      <c r="B34" s="1" t="s">
        <v>33</v>
      </c>
      <c r="C34" s="1" t="s">
        <v>166</v>
      </c>
      <c r="D34" s="1">
        <v>16865615</v>
      </c>
      <c r="E34" s="1" t="s">
        <v>48</v>
      </c>
      <c r="F34" s="7">
        <v>6602071206</v>
      </c>
      <c r="G34" s="1" t="s">
        <v>169</v>
      </c>
      <c r="H34" s="1" t="s">
        <v>171</v>
      </c>
      <c r="I34" s="1" t="s">
        <v>92</v>
      </c>
      <c r="J34" s="1">
        <f t="shared" ref="J34:J65" si="1">DATEDIF(H34,I34,"M")</f>
        <v>4</v>
      </c>
      <c r="K34" s="1" t="s">
        <v>44</v>
      </c>
      <c r="L34" s="9" t="s">
        <v>331</v>
      </c>
      <c r="M34" s="1">
        <v>5.75</v>
      </c>
      <c r="N34" s="3">
        <v>1.1499999999999999</v>
      </c>
      <c r="O34" s="1">
        <v>6.61</v>
      </c>
      <c r="P34" s="1" t="s">
        <v>325</v>
      </c>
    </row>
    <row r="35" spans="1:16" ht="25.5" x14ac:dyDescent="0.2">
      <c r="A35" t="s">
        <v>32</v>
      </c>
      <c r="B35" t="s">
        <v>33</v>
      </c>
      <c r="C35" t="s">
        <v>98</v>
      </c>
      <c r="D35">
        <v>17528908</v>
      </c>
      <c r="E35" t="s">
        <v>36</v>
      </c>
      <c r="F35" s="6" t="s">
        <v>100</v>
      </c>
      <c r="G35" t="s">
        <v>101</v>
      </c>
      <c r="H35" t="s">
        <v>102</v>
      </c>
      <c r="I35" t="s">
        <v>103</v>
      </c>
      <c r="J35">
        <f t="shared" si="1"/>
        <v>11</v>
      </c>
      <c r="K35" t="s">
        <v>44</v>
      </c>
      <c r="L35" s="4" t="s">
        <v>330</v>
      </c>
      <c r="M35">
        <v>28.65</v>
      </c>
      <c r="N35" s="8">
        <v>1.25</v>
      </c>
      <c r="O35">
        <v>35.81</v>
      </c>
      <c r="P35" t="s">
        <v>323</v>
      </c>
    </row>
    <row r="36" spans="1:16" ht="25.5" x14ac:dyDescent="0.2">
      <c r="A36" t="s">
        <v>32</v>
      </c>
      <c r="B36" t="s">
        <v>33</v>
      </c>
      <c r="C36" t="s">
        <v>285</v>
      </c>
      <c r="D36">
        <v>19279958</v>
      </c>
      <c r="E36" t="s">
        <v>48</v>
      </c>
      <c r="F36" s="6">
        <v>6602127833</v>
      </c>
      <c r="G36" t="s">
        <v>313</v>
      </c>
      <c r="H36" t="s">
        <v>279</v>
      </c>
      <c r="I36" t="s">
        <v>279</v>
      </c>
      <c r="J36">
        <f t="shared" si="1"/>
        <v>0</v>
      </c>
      <c r="K36" t="s">
        <v>240</v>
      </c>
      <c r="L36" s="4" t="s">
        <v>330</v>
      </c>
      <c r="M36">
        <v>1203.5</v>
      </c>
      <c r="N36" s="8">
        <v>1.25</v>
      </c>
      <c r="O36">
        <v>1504.38</v>
      </c>
      <c r="P36" t="s">
        <v>320</v>
      </c>
    </row>
    <row r="37" spans="1:16" s="1" customFormat="1" ht="25.5" x14ac:dyDescent="0.2">
      <c r="A37" s="1" t="s">
        <v>32</v>
      </c>
      <c r="B37" s="1" t="s">
        <v>33</v>
      </c>
      <c r="C37" s="1" t="s">
        <v>111</v>
      </c>
      <c r="D37" s="1">
        <v>16202925</v>
      </c>
      <c r="E37" s="1" t="s">
        <v>48</v>
      </c>
      <c r="F37" s="7">
        <v>6602046810</v>
      </c>
      <c r="G37" s="1" t="s">
        <v>114</v>
      </c>
      <c r="H37" s="1" t="s">
        <v>116</v>
      </c>
      <c r="I37" s="1" t="s">
        <v>117</v>
      </c>
      <c r="J37" s="1">
        <f t="shared" si="1"/>
        <v>5</v>
      </c>
      <c r="K37" s="1" t="s">
        <v>44</v>
      </c>
      <c r="L37" s="9" t="s">
        <v>331</v>
      </c>
      <c r="M37" s="1">
        <v>35.950000000000003</v>
      </c>
      <c r="N37" s="3">
        <v>1.05</v>
      </c>
      <c r="O37" s="1">
        <v>37.75</v>
      </c>
      <c r="P37" s="1" t="s">
        <v>322</v>
      </c>
    </row>
    <row r="38" spans="1:16" x14ac:dyDescent="0.2">
      <c r="A38" t="s">
        <v>32</v>
      </c>
      <c r="B38" t="s">
        <v>33</v>
      </c>
      <c r="C38" t="s">
        <v>104</v>
      </c>
      <c r="D38">
        <v>17195620</v>
      </c>
      <c r="E38" t="s">
        <v>36</v>
      </c>
      <c r="F38" s="6" t="s">
        <v>106</v>
      </c>
      <c r="G38" t="s">
        <v>107</v>
      </c>
      <c r="H38" t="s">
        <v>109</v>
      </c>
      <c r="I38" t="s">
        <v>110</v>
      </c>
      <c r="J38">
        <f t="shared" si="1"/>
        <v>20</v>
      </c>
      <c r="K38" t="s">
        <v>44</v>
      </c>
      <c r="L38" s="4" t="s">
        <v>330</v>
      </c>
      <c r="M38">
        <v>99.85</v>
      </c>
      <c r="N38" s="8">
        <v>5.0000000000000001E-3</v>
      </c>
      <c r="O38">
        <v>0.5</v>
      </c>
      <c r="P38" t="s">
        <v>324</v>
      </c>
    </row>
    <row r="39" spans="1:16" ht="25.5" x14ac:dyDescent="0.2">
      <c r="A39" s="1" t="s">
        <v>32</v>
      </c>
      <c r="B39" s="1" t="s">
        <v>33</v>
      </c>
      <c r="C39" s="1" t="s">
        <v>259</v>
      </c>
      <c r="D39" s="1">
        <v>371819</v>
      </c>
      <c r="E39" s="1" t="s">
        <v>48</v>
      </c>
      <c r="F39" s="7">
        <v>6602087960</v>
      </c>
      <c r="G39" s="1" t="s">
        <v>318</v>
      </c>
      <c r="H39" s="1" t="s">
        <v>255</v>
      </c>
      <c r="I39" s="1" t="s">
        <v>89</v>
      </c>
      <c r="J39" s="1">
        <f t="shared" si="1"/>
        <v>3</v>
      </c>
      <c r="K39" s="1" t="s">
        <v>44</v>
      </c>
      <c r="L39" s="9" t="s">
        <v>331</v>
      </c>
      <c r="M39" s="1">
        <v>56.76</v>
      </c>
      <c r="N39" s="3">
        <v>1.25</v>
      </c>
      <c r="O39" s="1">
        <v>70.95</v>
      </c>
      <c r="P39" s="1" t="s">
        <v>323</v>
      </c>
    </row>
    <row r="40" spans="1:16" ht="25.5" x14ac:dyDescent="0.2">
      <c r="A40" s="1" t="s">
        <v>32</v>
      </c>
      <c r="B40" s="1" t="s">
        <v>33</v>
      </c>
      <c r="C40" s="1" t="s">
        <v>259</v>
      </c>
      <c r="D40" s="1">
        <v>371819</v>
      </c>
      <c r="E40" s="1" t="s">
        <v>48</v>
      </c>
      <c r="F40" s="7">
        <v>6602087872</v>
      </c>
      <c r="G40" s="1" t="s">
        <v>317</v>
      </c>
      <c r="H40" s="1" t="s">
        <v>255</v>
      </c>
      <c r="I40" s="1" t="s">
        <v>89</v>
      </c>
      <c r="J40" s="1">
        <f t="shared" si="1"/>
        <v>3</v>
      </c>
      <c r="K40" s="1" t="s">
        <v>44</v>
      </c>
      <c r="L40" s="9" t="s">
        <v>331</v>
      </c>
      <c r="M40" s="1">
        <v>80.84</v>
      </c>
      <c r="N40" s="3">
        <v>1.25</v>
      </c>
      <c r="O40" s="1">
        <v>101.05</v>
      </c>
      <c r="P40" s="1" t="s">
        <v>323</v>
      </c>
    </row>
    <row r="41" spans="1:16" ht="25.5" x14ac:dyDescent="0.2">
      <c r="A41" s="1" t="s">
        <v>32</v>
      </c>
      <c r="B41" s="1" t="s">
        <v>33</v>
      </c>
      <c r="C41" s="1" t="s">
        <v>275</v>
      </c>
      <c r="D41" s="1">
        <v>16912722</v>
      </c>
      <c r="E41" s="1" t="s">
        <v>48</v>
      </c>
      <c r="F41" s="7">
        <v>6602108005</v>
      </c>
      <c r="G41" s="1" t="s">
        <v>314</v>
      </c>
      <c r="H41" s="1" t="s">
        <v>271</v>
      </c>
      <c r="I41" s="1" t="s">
        <v>144</v>
      </c>
      <c r="J41" s="1">
        <f t="shared" si="1"/>
        <v>2</v>
      </c>
      <c r="K41" s="1" t="s">
        <v>44</v>
      </c>
      <c r="L41" s="9" t="s">
        <v>331</v>
      </c>
      <c r="M41" s="1">
        <v>30.53</v>
      </c>
      <c r="N41" s="3">
        <v>1.1499999999999999</v>
      </c>
      <c r="O41" s="1">
        <v>35.11</v>
      </c>
      <c r="P41" s="1" t="s">
        <v>325</v>
      </c>
    </row>
    <row r="42" spans="1:16" ht="25.5" x14ac:dyDescent="0.2">
      <c r="A42" s="1" t="s">
        <v>32</v>
      </c>
      <c r="B42" s="1" t="s">
        <v>33</v>
      </c>
      <c r="C42" s="1" t="s">
        <v>275</v>
      </c>
      <c r="D42" s="1">
        <v>16912722</v>
      </c>
      <c r="E42" s="1" t="s">
        <v>48</v>
      </c>
      <c r="F42" s="7">
        <v>6602088836</v>
      </c>
      <c r="G42" s="1" t="s">
        <v>277</v>
      </c>
      <c r="H42" s="1" t="s">
        <v>276</v>
      </c>
      <c r="I42" s="1" t="s">
        <v>75</v>
      </c>
      <c r="J42" s="1">
        <f t="shared" si="1"/>
        <v>3</v>
      </c>
      <c r="K42" s="1" t="s">
        <v>44</v>
      </c>
      <c r="L42" s="9" t="s">
        <v>331</v>
      </c>
      <c r="M42" s="1">
        <v>53.32</v>
      </c>
      <c r="N42" s="3">
        <v>1.1499999999999999</v>
      </c>
      <c r="O42" s="1">
        <v>61.32</v>
      </c>
      <c r="P42" s="1" t="s">
        <v>325</v>
      </c>
    </row>
    <row r="43" spans="1:16" ht="38.25" x14ac:dyDescent="0.2">
      <c r="A43" t="s">
        <v>32</v>
      </c>
      <c r="B43" t="s">
        <v>33</v>
      </c>
      <c r="C43" t="s">
        <v>289</v>
      </c>
      <c r="D43">
        <v>9213293</v>
      </c>
      <c r="E43" t="s">
        <v>48</v>
      </c>
      <c r="F43" s="6">
        <v>6602141191</v>
      </c>
      <c r="G43" t="s">
        <v>312</v>
      </c>
      <c r="H43" t="s">
        <v>130</v>
      </c>
      <c r="I43" t="s">
        <v>89</v>
      </c>
      <c r="J43">
        <f t="shared" si="1"/>
        <v>1</v>
      </c>
      <c r="K43" t="s">
        <v>44</v>
      </c>
      <c r="L43" s="4" t="s">
        <v>330</v>
      </c>
      <c r="M43">
        <v>47.26</v>
      </c>
      <c r="N43" s="8">
        <v>1.1499999999999999</v>
      </c>
      <c r="O43">
        <v>54.35</v>
      </c>
      <c r="P43" t="s">
        <v>325</v>
      </c>
    </row>
    <row r="44" spans="1:16" ht="25.5" x14ac:dyDescent="0.2">
      <c r="A44" t="s">
        <v>32</v>
      </c>
      <c r="B44" t="s">
        <v>33</v>
      </c>
      <c r="C44" t="s">
        <v>289</v>
      </c>
      <c r="D44">
        <v>9213293</v>
      </c>
      <c r="E44" t="s">
        <v>48</v>
      </c>
      <c r="F44" s="6">
        <v>6602139812</v>
      </c>
      <c r="G44" t="s">
        <v>311</v>
      </c>
      <c r="H44" t="s">
        <v>291</v>
      </c>
      <c r="I44" t="s">
        <v>290</v>
      </c>
      <c r="J44">
        <f t="shared" si="1"/>
        <v>12</v>
      </c>
      <c r="K44" t="s">
        <v>240</v>
      </c>
      <c r="L44" s="4" t="s">
        <v>330</v>
      </c>
      <c r="M44">
        <v>1010</v>
      </c>
      <c r="N44" s="8">
        <v>1.1499999999999999</v>
      </c>
      <c r="O44">
        <v>1161.5</v>
      </c>
      <c r="P44" t="s">
        <v>325</v>
      </c>
    </row>
    <row r="45" spans="1:16" x14ac:dyDescent="0.2">
      <c r="A45" t="s">
        <v>32</v>
      </c>
      <c r="B45" t="s">
        <v>33</v>
      </c>
      <c r="C45" t="s">
        <v>55</v>
      </c>
      <c r="D45">
        <v>9079571</v>
      </c>
      <c r="E45" t="s">
        <v>36</v>
      </c>
      <c r="F45" s="6" t="s">
        <v>65</v>
      </c>
      <c r="G45" t="s">
        <v>66</v>
      </c>
      <c r="H45" t="s">
        <v>67</v>
      </c>
      <c r="I45" t="s">
        <v>68</v>
      </c>
      <c r="J45">
        <f t="shared" si="1"/>
        <v>18</v>
      </c>
      <c r="K45" t="s">
        <v>44</v>
      </c>
      <c r="L45" s="4" t="s">
        <v>330</v>
      </c>
      <c r="M45">
        <v>69.87</v>
      </c>
      <c r="N45" s="8">
        <v>3.7499999999999999E-2</v>
      </c>
      <c r="O45">
        <v>2.62</v>
      </c>
      <c r="P45" t="s">
        <v>320</v>
      </c>
    </row>
    <row r="46" spans="1:16" x14ac:dyDescent="0.2">
      <c r="A46" t="s">
        <v>32</v>
      </c>
      <c r="B46" t="s">
        <v>33</v>
      </c>
      <c r="C46" t="s">
        <v>55</v>
      </c>
      <c r="D46">
        <v>9079571</v>
      </c>
      <c r="E46" t="s">
        <v>36</v>
      </c>
      <c r="F46" s="6" t="s">
        <v>61</v>
      </c>
      <c r="G46" t="s">
        <v>62</v>
      </c>
      <c r="H46" t="s">
        <v>63</v>
      </c>
      <c r="I46" t="s">
        <v>64</v>
      </c>
      <c r="J46">
        <f t="shared" si="1"/>
        <v>24</v>
      </c>
      <c r="K46" t="s">
        <v>44</v>
      </c>
      <c r="L46" s="4" t="s">
        <v>330</v>
      </c>
      <c r="M46">
        <v>82.65</v>
      </c>
      <c r="N46" s="8">
        <v>3.7499999999999999E-2</v>
      </c>
      <c r="O46">
        <v>3.1</v>
      </c>
      <c r="P46" t="s">
        <v>320</v>
      </c>
    </row>
    <row r="47" spans="1:16" x14ac:dyDescent="0.2">
      <c r="A47" t="s">
        <v>32</v>
      </c>
      <c r="B47" t="s">
        <v>33</v>
      </c>
      <c r="C47" t="s">
        <v>55</v>
      </c>
      <c r="D47">
        <v>9079571</v>
      </c>
      <c r="E47" t="s">
        <v>36</v>
      </c>
      <c r="F47" s="6" t="s">
        <v>57</v>
      </c>
      <c r="G47" t="s">
        <v>58</v>
      </c>
      <c r="H47" t="s">
        <v>59</v>
      </c>
      <c r="I47" t="s">
        <v>54</v>
      </c>
      <c r="J47">
        <f t="shared" si="1"/>
        <v>31</v>
      </c>
      <c r="K47" t="s">
        <v>44</v>
      </c>
      <c r="L47" s="4" t="s">
        <v>330</v>
      </c>
      <c r="M47">
        <v>66.650000000000006</v>
      </c>
      <c r="N47" s="8">
        <v>3.7499999999999999E-2</v>
      </c>
      <c r="O47">
        <v>2.5</v>
      </c>
      <c r="P47" t="s">
        <v>320</v>
      </c>
    </row>
    <row r="48" spans="1:16" ht="25.5" x14ac:dyDescent="0.2">
      <c r="A48" s="1" t="s">
        <v>32</v>
      </c>
      <c r="B48" s="1" t="s">
        <v>33</v>
      </c>
      <c r="C48" s="1" t="s">
        <v>160</v>
      </c>
      <c r="D48" s="1">
        <v>19200754</v>
      </c>
      <c r="E48" s="1" t="s">
        <v>48</v>
      </c>
      <c r="F48" s="7">
        <v>6602119227</v>
      </c>
      <c r="G48" s="1" t="s">
        <v>310</v>
      </c>
      <c r="H48" s="1" t="s">
        <v>164</v>
      </c>
      <c r="I48" s="1" t="s">
        <v>165</v>
      </c>
      <c r="J48" s="1">
        <f t="shared" si="1"/>
        <v>1</v>
      </c>
      <c r="K48" s="1" t="s">
        <v>44</v>
      </c>
      <c r="L48" s="9" t="s">
        <v>332</v>
      </c>
      <c r="M48" s="1">
        <v>84.71</v>
      </c>
      <c r="N48" s="3">
        <v>1.1499999999999999</v>
      </c>
      <c r="O48" s="1">
        <v>97.42</v>
      </c>
      <c r="P48" s="1" t="s">
        <v>325</v>
      </c>
    </row>
    <row r="49" spans="1:16" x14ac:dyDescent="0.2">
      <c r="A49" t="s">
        <v>32</v>
      </c>
      <c r="B49" t="s">
        <v>33</v>
      </c>
      <c r="C49" t="s">
        <v>34</v>
      </c>
      <c r="D49">
        <v>16212649</v>
      </c>
      <c r="E49" t="s">
        <v>36</v>
      </c>
      <c r="F49" s="6" t="s">
        <v>37</v>
      </c>
      <c r="G49" t="s">
        <v>39</v>
      </c>
      <c r="H49" t="s">
        <v>42</v>
      </c>
      <c r="I49" t="s">
        <v>43</v>
      </c>
      <c r="J49">
        <f t="shared" si="1"/>
        <v>3</v>
      </c>
      <c r="K49" t="s">
        <v>44</v>
      </c>
      <c r="L49" s="4" t="s">
        <v>330</v>
      </c>
      <c r="M49">
        <v>119.99</v>
      </c>
      <c r="N49" s="2">
        <v>1.25</v>
      </c>
      <c r="O49">
        <v>149.99</v>
      </c>
      <c r="P49" t="s">
        <v>320</v>
      </c>
    </row>
    <row r="50" spans="1:16" ht="25.5" x14ac:dyDescent="0.2">
      <c r="A50" t="s">
        <v>32</v>
      </c>
      <c r="B50" t="s">
        <v>33</v>
      </c>
      <c r="C50" t="s">
        <v>69</v>
      </c>
      <c r="D50">
        <v>8307933</v>
      </c>
      <c r="E50" t="s">
        <v>36</v>
      </c>
      <c r="F50" s="6" t="s">
        <v>78</v>
      </c>
      <c r="G50" t="s">
        <v>77</v>
      </c>
      <c r="H50" t="s">
        <v>74</v>
      </c>
      <c r="I50" t="s">
        <v>75</v>
      </c>
      <c r="J50">
        <f t="shared" si="1"/>
        <v>6</v>
      </c>
      <c r="K50" t="s">
        <v>44</v>
      </c>
      <c r="L50" s="4" t="s">
        <v>330</v>
      </c>
      <c r="M50">
        <v>42.25</v>
      </c>
      <c r="N50" s="2">
        <v>1.4</v>
      </c>
      <c r="O50">
        <v>59.15</v>
      </c>
      <c r="P50" t="s">
        <v>321</v>
      </c>
    </row>
    <row r="51" spans="1:16" ht="25.5" x14ac:dyDescent="0.2">
      <c r="A51" t="s">
        <v>32</v>
      </c>
      <c r="B51" t="s">
        <v>33</v>
      </c>
      <c r="C51" t="s">
        <v>69</v>
      </c>
      <c r="D51">
        <v>8307933</v>
      </c>
      <c r="E51" t="s">
        <v>36</v>
      </c>
      <c r="F51" s="6" t="s">
        <v>76</v>
      </c>
      <c r="G51" t="s">
        <v>77</v>
      </c>
      <c r="H51" t="s">
        <v>74</v>
      </c>
      <c r="I51" t="s">
        <v>75</v>
      </c>
      <c r="J51">
        <f t="shared" si="1"/>
        <v>6</v>
      </c>
      <c r="K51" t="s">
        <v>44</v>
      </c>
      <c r="L51" s="4" t="s">
        <v>330</v>
      </c>
      <c r="M51">
        <v>99.67</v>
      </c>
      <c r="N51" s="2">
        <v>1.4</v>
      </c>
      <c r="O51">
        <v>139.54</v>
      </c>
      <c r="P51" t="s">
        <v>321</v>
      </c>
    </row>
    <row r="52" spans="1:16" ht="25.5" x14ac:dyDescent="0.2">
      <c r="A52" t="s">
        <v>32</v>
      </c>
      <c r="B52" t="s">
        <v>33</v>
      </c>
      <c r="C52" t="s">
        <v>69</v>
      </c>
      <c r="D52">
        <v>8307933</v>
      </c>
      <c r="E52" t="s">
        <v>36</v>
      </c>
      <c r="F52" s="6" t="s">
        <v>71</v>
      </c>
      <c r="G52" t="s">
        <v>72</v>
      </c>
      <c r="H52" t="s">
        <v>74</v>
      </c>
      <c r="I52" t="s">
        <v>75</v>
      </c>
      <c r="J52">
        <f t="shared" si="1"/>
        <v>6</v>
      </c>
      <c r="K52" t="s">
        <v>44</v>
      </c>
      <c r="L52" s="4" t="s">
        <v>330</v>
      </c>
      <c r="M52">
        <v>261.13</v>
      </c>
      <c r="N52" s="2">
        <v>1.4</v>
      </c>
      <c r="O52">
        <v>365.58</v>
      </c>
      <c r="P52" t="s">
        <v>321</v>
      </c>
    </row>
    <row r="53" spans="1:16" ht="25.5" x14ac:dyDescent="0.2">
      <c r="A53" s="1" t="s">
        <v>32</v>
      </c>
      <c r="B53" s="1" t="s">
        <v>33</v>
      </c>
      <c r="C53" s="1" t="s">
        <v>225</v>
      </c>
      <c r="D53" s="1">
        <v>8325282</v>
      </c>
      <c r="E53" s="1" t="s">
        <v>48</v>
      </c>
      <c r="F53" s="7">
        <v>6602036702</v>
      </c>
      <c r="G53" s="1" t="s">
        <v>308</v>
      </c>
      <c r="H53" s="1" t="s">
        <v>294</v>
      </c>
      <c r="I53" s="1" t="s">
        <v>230</v>
      </c>
      <c r="J53" s="1">
        <f t="shared" si="1"/>
        <v>5</v>
      </c>
      <c r="K53" s="1" t="s">
        <v>44</v>
      </c>
      <c r="L53" s="9" t="s">
        <v>331</v>
      </c>
      <c r="M53" s="1">
        <v>88.83</v>
      </c>
      <c r="N53" s="3">
        <v>1.05</v>
      </c>
      <c r="O53" s="1">
        <v>93.27</v>
      </c>
      <c r="P53" s="1" t="s">
        <v>322</v>
      </c>
    </row>
    <row r="54" spans="1:16" ht="25.5" x14ac:dyDescent="0.2">
      <c r="A54" s="1" t="s">
        <v>32</v>
      </c>
      <c r="B54" s="1" t="s">
        <v>33</v>
      </c>
      <c r="C54" s="1" t="s">
        <v>225</v>
      </c>
      <c r="D54" s="1">
        <v>8325282</v>
      </c>
      <c r="E54" s="1" t="s">
        <v>48</v>
      </c>
      <c r="F54" s="7">
        <v>6602026253</v>
      </c>
      <c r="G54" s="1" t="s">
        <v>306</v>
      </c>
      <c r="H54" s="1" t="s">
        <v>303</v>
      </c>
      <c r="I54" s="1" t="s">
        <v>64</v>
      </c>
      <c r="J54" s="1">
        <f t="shared" si="1"/>
        <v>6</v>
      </c>
      <c r="K54" s="1" t="s">
        <v>44</v>
      </c>
      <c r="L54" s="9" t="s">
        <v>331</v>
      </c>
      <c r="M54" s="1">
        <v>70.52</v>
      </c>
      <c r="N54" s="3">
        <v>1.1499999999999999</v>
      </c>
      <c r="O54" s="1">
        <v>81.099999999999994</v>
      </c>
      <c r="P54" s="1" t="s">
        <v>325</v>
      </c>
    </row>
    <row r="55" spans="1:16" ht="25.5" x14ac:dyDescent="0.2">
      <c r="A55" s="1" t="s">
        <v>32</v>
      </c>
      <c r="B55" s="1" t="s">
        <v>33</v>
      </c>
      <c r="C55" s="1" t="s">
        <v>225</v>
      </c>
      <c r="D55" s="1">
        <v>8325282</v>
      </c>
      <c r="E55" s="1" t="s">
        <v>48</v>
      </c>
      <c r="F55" s="7">
        <v>6602026267</v>
      </c>
      <c r="G55" s="1" t="s">
        <v>307</v>
      </c>
      <c r="H55" s="1" t="s">
        <v>300</v>
      </c>
      <c r="I55" s="1" t="s">
        <v>299</v>
      </c>
      <c r="J55" s="1">
        <f t="shared" si="1"/>
        <v>6</v>
      </c>
      <c r="K55" s="1" t="s">
        <v>44</v>
      </c>
      <c r="L55" s="9" t="s">
        <v>331</v>
      </c>
      <c r="M55" s="1">
        <v>85.14</v>
      </c>
      <c r="N55" s="3">
        <v>1.1499999999999999</v>
      </c>
      <c r="O55" s="1">
        <v>97.91</v>
      </c>
      <c r="P55" s="1" t="s">
        <v>325</v>
      </c>
    </row>
    <row r="56" spans="1:16" ht="25.5" x14ac:dyDescent="0.2">
      <c r="A56" s="1" t="s">
        <v>32</v>
      </c>
      <c r="B56" s="1" t="s">
        <v>33</v>
      </c>
      <c r="C56" s="1" t="s">
        <v>225</v>
      </c>
      <c r="D56" s="1">
        <v>8325282</v>
      </c>
      <c r="E56" s="1" t="s">
        <v>48</v>
      </c>
      <c r="F56" s="7">
        <v>6601997655</v>
      </c>
      <c r="G56" s="1" t="s">
        <v>228</v>
      </c>
      <c r="H56" s="1" t="s">
        <v>229</v>
      </c>
      <c r="I56" s="1" t="s">
        <v>230</v>
      </c>
      <c r="J56" s="1">
        <f t="shared" si="1"/>
        <v>8</v>
      </c>
      <c r="K56" s="1" t="s">
        <v>44</v>
      </c>
      <c r="L56" s="9" t="s">
        <v>331</v>
      </c>
      <c r="M56" s="1">
        <v>56.1</v>
      </c>
      <c r="N56" s="3">
        <v>1.05</v>
      </c>
      <c r="O56" s="1">
        <v>58.91</v>
      </c>
      <c r="P56" s="1" t="s">
        <v>322</v>
      </c>
    </row>
    <row r="57" spans="1:16" x14ac:dyDescent="0.2">
      <c r="A57" t="s">
        <v>32</v>
      </c>
      <c r="B57" t="s">
        <v>33</v>
      </c>
      <c r="C57" t="s">
        <v>225</v>
      </c>
      <c r="D57">
        <v>8325282</v>
      </c>
      <c r="E57" t="s">
        <v>36</v>
      </c>
      <c r="F57" s="6" t="s">
        <v>231</v>
      </c>
      <c r="G57" t="s">
        <v>232</v>
      </c>
      <c r="H57" t="s">
        <v>233</v>
      </c>
      <c r="I57" t="s">
        <v>89</v>
      </c>
      <c r="J57">
        <f t="shared" si="1"/>
        <v>11</v>
      </c>
      <c r="K57" t="s">
        <v>44</v>
      </c>
      <c r="L57" s="4" t="s">
        <v>330</v>
      </c>
      <c r="M57">
        <v>129.62</v>
      </c>
      <c r="N57" s="8">
        <v>1.25</v>
      </c>
      <c r="O57">
        <v>162.03</v>
      </c>
      <c r="P57" t="s">
        <v>320</v>
      </c>
    </row>
    <row r="58" spans="1:16" ht="25.5" x14ac:dyDescent="0.2">
      <c r="A58" s="1" t="s">
        <v>32</v>
      </c>
      <c r="B58" s="1" t="s">
        <v>33</v>
      </c>
      <c r="C58" s="1" t="s">
        <v>269</v>
      </c>
      <c r="D58" s="12" t="s">
        <v>356</v>
      </c>
      <c r="E58" s="1" t="s">
        <v>48</v>
      </c>
      <c r="F58" s="7">
        <v>6602136573</v>
      </c>
      <c r="G58" s="1" t="s">
        <v>315</v>
      </c>
      <c r="H58" s="1" t="s">
        <v>265</v>
      </c>
      <c r="I58" s="1" t="s">
        <v>264</v>
      </c>
      <c r="J58" s="1">
        <f t="shared" si="1"/>
        <v>1</v>
      </c>
      <c r="K58" s="1" t="s">
        <v>44</v>
      </c>
      <c r="L58" s="9" t="s">
        <v>332</v>
      </c>
      <c r="M58" s="1">
        <v>87.55</v>
      </c>
      <c r="N58" s="3">
        <v>1.1499999999999999</v>
      </c>
      <c r="O58" s="1">
        <v>100.68</v>
      </c>
      <c r="P58" s="1" t="s">
        <v>325</v>
      </c>
    </row>
    <row r="59" spans="1:16" ht="25.5" x14ac:dyDescent="0.2">
      <c r="A59" s="1" t="s">
        <v>32</v>
      </c>
      <c r="B59" s="1" t="s">
        <v>33</v>
      </c>
      <c r="C59" s="1" t="s">
        <v>269</v>
      </c>
      <c r="D59" s="12" t="s">
        <v>356</v>
      </c>
      <c r="E59" s="1" t="s">
        <v>48</v>
      </c>
      <c r="F59" s="7">
        <v>6602136587</v>
      </c>
      <c r="G59" s="1" t="s">
        <v>316</v>
      </c>
      <c r="H59" s="1" t="s">
        <v>265</v>
      </c>
      <c r="I59" s="1" t="s">
        <v>264</v>
      </c>
      <c r="J59" s="1">
        <f t="shared" si="1"/>
        <v>1</v>
      </c>
      <c r="K59" s="1" t="s">
        <v>44</v>
      </c>
      <c r="L59" s="9" t="s">
        <v>332</v>
      </c>
      <c r="M59" s="1">
        <v>170.85</v>
      </c>
      <c r="N59" s="3">
        <v>1.1499999999999999</v>
      </c>
      <c r="O59" s="1">
        <v>196.48</v>
      </c>
      <c r="P59" s="1" t="s">
        <v>325</v>
      </c>
    </row>
    <row r="60" spans="1:16" ht="25.5" x14ac:dyDescent="0.2">
      <c r="A60" t="s">
        <v>32</v>
      </c>
      <c r="B60" t="s">
        <v>33</v>
      </c>
      <c r="C60" t="s">
        <v>131</v>
      </c>
      <c r="D60">
        <v>18754354</v>
      </c>
      <c r="E60" t="s">
        <v>48</v>
      </c>
      <c r="F60" s="6">
        <v>6602094131</v>
      </c>
      <c r="G60" t="s">
        <v>157</v>
      </c>
      <c r="H60" t="s">
        <v>159</v>
      </c>
      <c r="I60" t="s">
        <v>68</v>
      </c>
      <c r="J60">
        <f t="shared" si="1"/>
        <v>3</v>
      </c>
      <c r="K60" t="s">
        <v>44</v>
      </c>
      <c r="L60" s="4" t="s">
        <v>330</v>
      </c>
      <c r="M60">
        <v>45.05</v>
      </c>
      <c r="N60" s="2">
        <v>1</v>
      </c>
      <c r="O60">
        <v>45.05</v>
      </c>
      <c r="P60" t="s">
        <v>322</v>
      </c>
    </row>
    <row r="61" spans="1:16" ht="25.5" x14ac:dyDescent="0.2">
      <c r="A61" t="s">
        <v>32</v>
      </c>
      <c r="B61" t="s">
        <v>33</v>
      </c>
      <c r="C61" t="s">
        <v>131</v>
      </c>
      <c r="D61">
        <v>18754354</v>
      </c>
      <c r="E61" t="s">
        <v>48</v>
      </c>
      <c r="F61" s="6">
        <v>6602090300</v>
      </c>
      <c r="G61" t="s">
        <v>152</v>
      </c>
      <c r="H61" t="s">
        <v>154</v>
      </c>
      <c r="I61" t="s">
        <v>117</v>
      </c>
      <c r="J61">
        <f t="shared" si="1"/>
        <v>3</v>
      </c>
      <c r="K61" t="s">
        <v>44</v>
      </c>
      <c r="L61" s="4" t="s">
        <v>330</v>
      </c>
      <c r="M61">
        <v>106.25</v>
      </c>
      <c r="N61" s="2">
        <v>1.05</v>
      </c>
      <c r="O61">
        <v>111.56</v>
      </c>
      <c r="P61" t="s">
        <v>322</v>
      </c>
    </row>
    <row r="62" spans="1:16" ht="25.5" x14ac:dyDescent="0.2">
      <c r="A62" t="s">
        <v>32</v>
      </c>
      <c r="B62" t="s">
        <v>33</v>
      </c>
      <c r="C62" t="s">
        <v>131</v>
      </c>
      <c r="D62">
        <v>18754354</v>
      </c>
      <c r="E62" t="s">
        <v>48</v>
      </c>
      <c r="F62" s="6">
        <v>6602090317</v>
      </c>
      <c r="G62" t="s">
        <v>305</v>
      </c>
      <c r="H62" t="s">
        <v>42</v>
      </c>
      <c r="I62" t="s">
        <v>43</v>
      </c>
      <c r="J62">
        <f t="shared" si="1"/>
        <v>3</v>
      </c>
      <c r="K62" t="s">
        <v>44</v>
      </c>
      <c r="L62" s="4" t="s">
        <v>330</v>
      </c>
      <c r="M62">
        <v>141.94999999999999</v>
      </c>
      <c r="N62" s="2">
        <v>1.05</v>
      </c>
      <c r="O62">
        <v>149.05000000000001</v>
      </c>
      <c r="P62" t="s">
        <v>322</v>
      </c>
    </row>
    <row r="63" spans="1:16" ht="25.5" x14ac:dyDescent="0.2">
      <c r="A63" t="s">
        <v>32</v>
      </c>
      <c r="B63" t="s">
        <v>33</v>
      </c>
      <c r="C63" t="s">
        <v>131</v>
      </c>
      <c r="D63">
        <v>18754354</v>
      </c>
      <c r="E63" t="s">
        <v>48</v>
      </c>
      <c r="F63" s="6">
        <v>6601952038</v>
      </c>
      <c r="G63" t="s">
        <v>148</v>
      </c>
      <c r="H63" t="s">
        <v>149</v>
      </c>
      <c r="I63" t="s">
        <v>150</v>
      </c>
      <c r="J63">
        <f t="shared" si="1"/>
        <v>10</v>
      </c>
      <c r="K63" t="s">
        <v>44</v>
      </c>
      <c r="L63" s="4" t="s">
        <v>330</v>
      </c>
      <c r="M63">
        <v>35.700000000000003</v>
      </c>
      <c r="N63" s="8">
        <v>1.05</v>
      </c>
      <c r="O63">
        <v>37.49</v>
      </c>
      <c r="P63" t="s">
        <v>322</v>
      </c>
    </row>
    <row r="64" spans="1:16" ht="25.5" x14ac:dyDescent="0.2">
      <c r="A64" t="s">
        <v>32</v>
      </c>
      <c r="B64" t="s">
        <v>33</v>
      </c>
      <c r="C64" t="s">
        <v>131</v>
      </c>
      <c r="D64">
        <v>18754354</v>
      </c>
      <c r="E64" t="s">
        <v>48</v>
      </c>
      <c r="F64" s="6">
        <v>6601930197</v>
      </c>
      <c r="G64" t="s">
        <v>142</v>
      </c>
      <c r="H64" t="s">
        <v>146</v>
      </c>
      <c r="I64" t="s">
        <v>117</v>
      </c>
      <c r="J64">
        <f t="shared" si="1"/>
        <v>11</v>
      </c>
      <c r="K64" t="s">
        <v>44</v>
      </c>
      <c r="L64" s="4" t="s">
        <v>330</v>
      </c>
      <c r="M64">
        <v>34.85</v>
      </c>
      <c r="N64" s="8">
        <v>1.05</v>
      </c>
      <c r="O64">
        <v>36.590000000000003</v>
      </c>
      <c r="P64" t="s">
        <v>322</v>
      </c>
    </row>
    <row r="65" spans="1:16" ht="25.5" x14ac:dyDescent="0.2">
      <c r="A65" t="s">
        <v>32</v>
      </c>
      <c r="B65" t="s">
        <v>33</v>
      </c>
      <c r="C65" t="s">
        <v>131</v>
      </c>
      <c r="D65">
        <v>18754354</v>
      </c>
      <c r="E65" t="s">
        <v>48</v>
      </c>
      <c r="F65" s="6">
        <v>6601930167</v>
      </c>
      <c r="G65" t="s">
        <v>142</v>
      </c>
      <c r="H65" t="s">
        <v>143</v>
      </c>
      <c r="I65" t="s">
        <v>144</v>
      </c>
      <c r="J65">
        <f t="shared" si="1"/>
        <v>11</v>
      </c>
      <c r="K65" t="s">
        <v>44</v>
      </c>
      <c r="L65" s="4" t="s">
        <v>330</v>
      </c>
      <c r="M65">
        <v>51</v>
      </c>
      <c r="N65" s="8">
        <v>1.05</v>
      </c>
      <c r="O65">
        <v>53.55</v>
      </c>
      <c r="P65" t="s">
        <v>322</v>
      </c>
    </row>
    <row r="66" spans="1:16" ht="25.5" x14ac:dyDescent="0.2">
      <c r="A66" t="s">
        <v>32</v>
      </c>
      <c r="B66" t="s">
        <v>33</v>
      </c>
      <c r="C66" t="s">
        <v>131</v>
      </c>
      <c r="D66">
        <v>18754354</v>
      </c>
      <c r="E66" t="s">
        <v>48</v>
      </c>
      <c r="F66" s="6">
        <v>6601924798</v>
      </c>
      <c r="G66" t="s">
        <v>138</v>
      </c>
      <c r="H66" t="s">
        <v>139</v>
      </c>
      <c r="I66" t="s">
        <v>140</v>
      </c>
      <c r="J66">
        <f t="shared" ref="J66:J97" si="2">DATEDIF(H66,I66,"M")</f>
        <v>11</v>
      </c>
      <c r="K66" t="s">
        <v>44</v>
      </c>
      <c r="L66" s="4" t="s">
        <v>330</v>
      </c>
      <c r="M66">
        <v>61.2</v>
      </c>
      <c r="N66" s="8">
        <v>1.05</v>
      </c>
      <c r="O66">
        <v>64.260000000000005</v>
      </c>
      <c r="P66" t="s">
        <v>322</v>
      </c>
    </row>
    <row r="67" spans="1:16" ht="25.5" x14ac:dyDescent="0.2">
      <c r="A67" t="s">
        <v>32</v>
      </c>
      <c r="B67" t="s">
        <v>33</v>
      </c>
      <c r="C67" t="s">
        <v>131</v>
      </c>
      <c r="D67">
        <v>18754354</v>
      </c>
      <c r="E67" t="s">
        <v>48</v>
      </c>
      <c r="F67" s="6">
        <v>6601902251</v>
      </c>
      <c r="G67" t="s">
        <v>134</v>
      </c>
      <c r="H67" t="s">
        <v>136</v>
      </c>
      <c r="I67" t="s">
        <v>123</v>
      </c>
      <c r="J67">
        <f t="shared" si="2"/>
        <v>12</v>
      </c>
      <c r="K67" t="s">
        <v>44</v>
      </c>
      <c r="L67" s="4" t="s">
        <v>330</v>
      </c>
      <c r="M67">
        <v>93.93</v>
      </c>
      <c r="N67" s="8">
        <v>1.05</v>
      </c>
      <c r="O67">
        <v>98.63</v>
      </c>
      <c r="P67" t="s">
        <v>322</v>
      </c>
    </row>
    <row r="68" spans="1:16" ht="25.5" x14ac:dyDescent="0.2">
      <c r="A68" s="1" t="s">
        <v>32</v>
      </c>
      <c r="B68" s="1" t="s">
        <v>33</v>
      </c>
      <c r="C68" s="1" t="s">
        <v>124</v>
      </c>
      <c r="D68" s="1">
        <v>16633294</v>
      </c>
      <c r="E68" s="1" t="s">
        <v>48</v>
      </c>
      <c r="F68" s="7">
        <v>6602081279</v>
      </c>
      <c r="G68" s="1" t="s">
        <v>127</v>
      </c>
      <c r="H68" s="1" t="s">
        <v>129</v>
      </c>
      <c r="I68" s="1" t="s">
        <v>130</v>
      </c>
      <c r="J68" s="1">
        <f t="shared" si="2"/>
        <v>3</v>
      </c>
      <c r="K68" s="1" t="s">
        <v>44</v>
      </c>
      <c r="L68" s="9" t="s">
        <v>331</v>
      </c>
      <c r="M68" s="1">
        <v>103.2</v>
      </c>
      <c r="N68" s="3">
        <v>1.1499999999999999</v>
      </c>
      <c r="O68" s="1">
        <v>118.68</v>
      </c>
      <c r="P68" s="1" t="s">
        <v>325</v>
      </c>
    </row>
    <row r="69" spans="1:16" x14ac:dyDescent="0.2">
      <c r="N6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50F7-F83A-438E-B952-B755328B7B33}">
  <dimension ref="A1:B67"/>
  <sheetViews>
    <sheetView topLeftCell="A26" workbookViewId="0">
      <selection activeCell="B1" sqref="B1:B67"/>
    </sheetView>
  </sheetViews>
  <sheetFormatPr defaultRowHeight="12.75" x14ac:dyDescent="0.2"/>
  <cols>
    <col min="1" max="1" width="27.42578125" style="5" customWidth="1"/>
    <col min="2" max="2" width="29.28515625" customWidth="1"/>
  </cols>
  <sheetData>
    <row r="1" spans="1:2" x14ac:dyDescent="0.2">
      <c r="A1" s="10" t="s">
        <v>337</v>
      </c>
      <c r="B1" cm="1">
        <f t="array" ref="B1:B67">VLOOKUP(A1:A67,[1]Sheet2!$A$1:$B$163,2,FALSE)</f>
        <v>19396223</v>
      </c>
    </row>
    <row r="2" spans="1:2" x14ac:dyDescent="0.2">
      <c r="A2" s="10" t="s">
        <v>338</v>
      </c>
      <c r="B2">
        <v>8971826</v>
      </c>
    </row>
    <row r="3" spans="1:2" ht="13.5" x14ac:dyDescent="0.25">
      <c r="A3" s="11" t="s">
        <v>355</v>
      </c>
      <c r="B3">
        <v>17143996</v>
      </c>
    </row>
    <row r="4" spans="1:2" x14ac:dyDescent="0.2">
      <c r="A4" s="10" t="s">
        <v>339</v>
      </c>
      <c r="B4">
        <v>7470776</v>
      </c>
    </row>
    <row r="5" spans="1:2" x14ac:dyDescent="0.2">
      <c r="A5" s="10" t="s">
        <v>339</v>
      </c>
      <c r="B5">
        <v>7470776</v>
      </c>
    </row>
    <row r="6" spans="1:2" x14ac:dyDescent="0.2">
      <c r="A6" s="10" t="s">
        <v>339</v>
      </c>
      <c r="B6">
        <v>7470776</v>
      </c>
    </row>
    <row r="7" spans="1:2" x14ac:dyDescent="0.2">
      <c r="A7" s="10" t="s">
        <v>339</v>
      </c>
      <c r="B7">
        <v>7470776</v>
      </c>
    </row>
    <row r="8" spans="1:2" x14ac:dyDescent="0.2">
      <c r="A8" s="10" t="s">
        <v>339</v>
      </c>
      <c r="B8">
        <v>7470776</v>
      </c>
    </row>
    <row r="9" spans="1:2" x14ac:dyDescent="0.2">
      <c r="A9" s="10" t="s">
        <v>339</v>
      </c>
      <c r="B9">
        <v>7470776</v>
      </c>
    </row>
    <row r="10" spans="1:2" x14ac:dyDescent="0.2">
      <c r="A10" s="10" t="s">
        <v>339</v>
      </c>
      <c r="B10">
        <v>7470776</v>
      </c>
    </row>
    <row r="11" spans="1:2" x14ac:dyDescent="0.2">
      <c r="A11" s="10" t="s">
        <v>339</v>
      </c>
      <c r="B11">
        <v>7470776</v>
      </c>
    </row>
    <row r="12" spans="1:2" x14ac:dyDescent="0.2">
      <c r="A12" s="10" t="s">
        <v>339</v>
      </c>
      <c r="B12">
        <v>7470776</v>
      </c>
    </row>
    <row r="13" spans="1:2" x14ac:dyDescent="0.2">
      <c r="A13" s="10" t="s">
        <v>339</v>
      </c>
      <c r="B13">
        <v>7470776</v>
      </c>
    </row>
    <row r="14" spans="1:2" x14ac:dyDescent="0.2">
      <c r="A14" s="10" t="s">
        <v>339</v>
      </c>
      <c r="B14">
        <v>7470776</v>
      </c>
    </row>
    <row r="15" spans="1:2" x14ac:dyDescent="0.2">
      <c r="A15" s="10" t="s">
        <v>339</v>
      </c>
      <c r="B15">
        <v>7470776</v>
      </c>
    </row>
    <row r="16" spans="1:2" x14ac:dyDescent="0.2">
      <c r="A16" s="10" t="s">
        <v>339</v>
      </c>
      <c r="B16">
        <v>7470776</v>
      </c>
    </row>
    <row r="17" spans="1:2" x14ac:dyDescent="0.2">
      <c r="A17" s="10" t="s">
        <v>339</v>
      </c>
      <c r="B17">
        <v>7470776</v>
      </c>
    </row>
    <row r="18" spans="1:2" x14ac:dyDescent="0.2">
      <c r="A18" s="10" t="s">
        <v>339</v>
      </c>
      <c r="B18">
        <v>7470776</v>
      </c>
    </row>
    <row r="19" spans="1:2" x14ac:dyDescent="0.2">
      <c r="A19" s="10" t="s">
        <v>339</v>
      </c>
      <c r="B19">
        <v>7470776</v>
      </c>
    </row>
    <row r="20" spans="1:2" x14ac:dyDescent="0.2">
      <c r="A20" s="10" t="s">
        <v>339</v>
      </c>
      <c r="B20">
        <v>7470776</v>
      </c>
    </row>
    <row r="21" spans="1:2" x14ac:dyDescent="0.2">
      <c r="A21" s="10" t="s">
        <v>339</v>
      </c>
      <c r="B21">
        <v>7470776</v>
      </c>
    </row>
    <row r="22" spans="1:2" x14ac:dyDescent="0.2">
      <c r="A22" s="10" t="s">
        <v>339</v>
      </c>
      <c r="B22">
        <v>7470776</v>
      </c>
    </row>
    <row r="23" spans="1:2" x14ac:dyDescent="0.2">
      <c r="A23" s="10" t="s">
        <v>339</v>
      </c>
      <c r="B23">
        <v>7470776</v>
      </c>
    </row>
    <row r="24" spans="1:2" x14ac:dyDescent="0.2">
      <c r="A24" s="10" t="s">
        <v>339</v>
      </c>
      <c r="B24">
        <v>7470776</v>
      </c>
    </row>
    <row r="25" spans="1:2" x14ac:dyDescent="0.2">
      <c r="A25" s="10" t="s">
        <v>339</v>
      </c>
      <c r="B25">
        <v>7470776</v>
      </c>
    </row>
    <row r="26" spans="1:2" x14ac:dyDescent="0.2">
      <c r="A26" s="10" t="s">
        <v>340</v>
      </c>
      <c r="B26">
        <v>17437820</v>
      </c>
    </row>
    <row r="27" spans="1:2" x14ac:dyDescent="0.2">
      <c r="A27" s="10" t="s">
        <v>340</v>
      </c>
      <c r="B27">
        <v>17437820</v>
      </c>
    </row>
    <row r="28" spans="1:2" x14ac:dyDescent="0.2">
      <c r="A28" s="10" t="s">
        <v>340</v>
      </c>
      <c r="B28">
        <v>17437820</v>
      </c>
    </row>
    <row r="29" spans="1:2" x14ac:dyDescent="0.2">
      <c r="A29" s="10" t="s">
        <v>340</v>
      </c>
      <c r="B29">
        <v>17437820</v>
      </c>
    </row>
    <row r="30" spans="1:2" x14ac:dyDescent="0.2">
      <c r="A30" s="5" t="s">
        <v>333</v>
      </c>
      <c r="B30">
        <v>17425766</v>
      </c>
    </row>
    <row r="31" spans="1:2" x14ac:dyDescent="0.2">
      <c r="A31" s="5" t="s">
        <v>334</v>
      </c>
      <c r="B31">
        <v>21283956</v>
      </c>
    </row>
    <row r="32" spans="1:2" x14ac:dyDescent="0.2">
      <c r="A32" s="5" t="s">
        <v>334</v>
      </c>
      <c r="B32">
        <v>21283956</v>
      </c>
    </row>
    <row r="33" spans="1:2" x14ac:dyDescent="0.2">
      <c r="A33" s="10" t="s">
        <v>341</v>
      </c>
      <c r="B33">
        <v>16865615</v>
      </c>
    </row>
    <row r="34" spans="1:2" x14ac:dyDescent="0.2">
      <c r="A34" s="10" t="s">
        <v>342</v>
      </c>
      <c r="B34">
        <v>17528908</v>
      </c>
    </row>
    <row r="35" spans="1:2" ht="13.5" x14ac:dyDescent="0.25">
      <c r="A35" s="11" t="s">
        <v>354</v>
      </c>
      <c r="B35">
        <v>19279958</v>
      </c>
    </row>
    <row r="36" spans="1:2" x14ac:dyDescent="0.2">
      <c r="A36" s="10" t="s">
        <v>343</v>
      </c>
      <c r="B36">
        <v>16202925</v>
      </c>
    </row>
    <row r="37" spans="1:2" x14ac:dyDescent="0.2">
      <c r="A37" s="10" t="s">
        <v>353</v>
      </c>
      <c r="B37">
        <v>17195620</v>
      </c>
    </row>
    <row r="38" spans="1:2" x14ac:dyDescent="0.2">
      <c r="A38" s="10" t="s">
        <v>344</v>
      </c>
      <c r="B38">
        <v>371819</v>
      </c>
    </row>
    <row r="39" spans="1:2" x14ac:dyDescent="0.2">
      <c r="A39" s="10" t="s">
        <v>344</v>
      </c>
      <c r="B39">
        <v>371819</v>
      </c>
    </row>
    <row r="40" spans="1:2" x14ac:dyDescent="0.2">
      <c r="A40" s="10" t="s">
        <v>345</v>
      </c>
      <c r="B40">
        <v>16912722</v>
      </c>
    </row>
    <row r="41" spans="1:2" x14ac:dyDescent="0.2">
      <c r="A41" s="10" t="s">
        <v>345</v>
      </c>
      <c r="B41">
        <v>16912722</v>
      </c>
    </row>
    <row r="42" spans="1:2" x14ac:dyDescent="0.2">
      <c r="A42" s="5" t="s">
        <v>335</v>
      </c>
      <c r="B42">
        <v>9213293</v>
      </c>
    </row>
    <row r="43" spans="1:2" x14ac:dyDescent="0.2">
      <c r="A43" s="5" t="s">
        <v>335</v>
      </c>
      <c r="B43">
        <v>9213293</v>
      </c>
    </row>
    <row r="44" spans="1:2" x14ac:dyDescent="0.2">
      <c r="A44" s="10" t="s">
        <v>346</v>
      </c>
      <c r="B44">
        <v>9079571</v>
      </c>
    </row>
    <row r="45" spans="1:2" x14ac:dyDescent="0.2">
      <c r="A45" s="10" t="s">
        <v>346</v>
      </c>
      <c r="B45">
        <v>9079571</v>
      </c>
    </row>
    <row r="46" spans="1:2" x14ac:dyDescent="0.2">
      <c r="A46" s="10" t="s">
        <v>346</v>
      </c>
      <c r="B46">
        <v>9079571</v>
      </c>
    </row>
    <row r="47" spans="1:2" x14ac:dyDescent="0.2">
      <c r="A47" s="10" t="s">
        <v>347</v>
      </c>
      <c r="B47">
        <v>19200754</v>
      </c>
    </row>
    <row r="48" spans="1:2" x14ac:dyDescent="0.2">
      <c r="A48" s="5" t="s">
        <v>336</v>
      </c>
      <c r="B48">
        <v>16212649</v>
      </c>
    </row>
    <row r="49" spans="1:2" x14ac:dyDescent="0.2">
      <c r="A49" s="10" t="s">
        <v>348</v>
      </c>
      <c r="B49">
        <v>8307933</v>
      </c>
    </row>
    <row r="50" spans="1:2" x14ac:dyDescent="0.2">
      <c r="A50" s="10" t="s">
        <v>348</v>
      </c>
      <c r="B50">
        <v>8307933</v>
      </c>
    </row>
    <row r="51" spans="1:2" x14ac:dyDescent="0.2">
      <c r="A51" s="10" t="s">
        <v>348</v>
      </c>
      <c r="B51">
        <v>8307933</v>
      </c>
    </row>
    <row r="52" spans="1:2" x14ac:dyDescent="0.2">
      <c r="A52" s="10" t="s">
        <v>349</v>
      </c>
      <c r="B52">
        <v>8325282</v>
      </c>
    </row>
    <row r="53" spans="1:2" x14ac:dyDescent="0.2">
      <c r="A53" s="10" t="s">
        <v>349</v>
      </c>
      <c r="B53">
        <v>8325282</v>
      </c>
    </row>
    <row r="54" spans="1:2" x14ac:dyDescent="0.2">
      <c r="A54" s="10" t="s">
        <v>349</v>
      </c>
      <c r="B54">
        <v>8325282</v>
      </c>
    </row>
    <row r="55" spans="1:2" x14ac:dyDescent="0.2">
      <c r="A55" s="10" t="s">
        <v>349</v>
      </c>
      <c r="B55">
        <v>8325282</v>
      </c>
    </row>
    <row r="56" spans="1:2" x14ac:dyDescent="0.2">
      <c r="A56" s="10" t="s">
        <v>349</v>
      </c>
      <c r="B56">
        <v>8325282</v>
      </c>
    </row>
    <row r="57" spans="1:2" x14ac:dyDescent="0.2">
      <c r="A57" s="10" t="s">
        <v>350</v>
      </c>
      <c r="B57">
        <v>19481808</v>
      </c>
    </row>
    <row r="58" spans="1:2" x14ac:dyDescent="0.2">
      <c r="A58" s="10" t="s">
        <v>350</v>
      </c>
      <c r="B58">
        <v>19481808</v>
      </c>
    </row>
    <row r="59" spans="1:2" x14ac:dyDescent="0.2">
      <c r="A59" s="10" t="s">
        <v>351</v>
      </c>
      <c r="B59">
        <v>18754354</v>
      </c>
    </row>
    <row r="60" spans="1:2" x14ac:dyDescent="0.2">
      <c r="A60" s="10" t="s">
        <v>351</v>
      </c>
      <c r="B60">
        <v>18754354</v>
      </c>
    </row>
    <row r="61" spans="1:2" x14ac:dyDescent="0.2">
      <c r="A61" s="10" t="s">
        <v>351</v>
      </c>
      <c r="B61">
        <v>18754354</v>
      </c>
    </row>
    <row r="62" spans="1:2" x14ac:dyDescent="0.2">
      <c r="A62" s="10" t="s">
        <v>351</v>
      </c>
      <c r="B62">
        <v>18754354</v>
      </c>
    </row>
    <row r="63" spans="1:2" x14ac:dyDescent="0.2">
      <c r="A63" s="10" t="s">
        <v>351</v>
      </c>
      <c r="B63">
        <v>18754354</v>
      </c>
    </row>
    <row r="64" spans="1:2" x14ac:dyDescent="0.2">
      <c r="A64" s="10" t="s">
        <v>351</v>
      </c>
      <c r="B64">
        <v>18754354</v>
      </c>
    </row>
    <row r="65" spans="1:2" x14ac:dyDescent="0.2">
      <c r="A65" s="10" t="s">
        <v>351</v>
      </c>
      <c r="B65">
        <v>18754354</v>
      </c>
    </row>
    <row r="66" spans="1:2" x14ac:dyDescent="0.2">
      <c r="A66" s="10" t="s">
        <v>351</v>
      </c>
      <c r="B66">
        <v>18754354</v>
      </c>
    </row>
    <row r="67" spans="1:2" x14ac:dyDescent="0.2">
      <c r="A67" s="10" t="s">
        <v>352</v>
      </c>
      <c r="B67">
        <v>16633294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2025-08-08T13:46:52Z</dcterms:created>
  <dcterms:modified xsi:type="dcterms:W3CDTF">2025-08-13T17:24:36Z</dcterms:modified>
</cp:coreProperties>
</file>