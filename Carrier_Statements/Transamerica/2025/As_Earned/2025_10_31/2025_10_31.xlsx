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As Earned\10-31-25\"/>
    </mc:Choice>
  </mc:AlternateContent>
  <xr:revisionPtr revIDLastSave="0" documentId="13_ncr:1_{B5D393FF-67A2-406B-982D-CCEC458B31DC}" xr6:coauthVersionLast="47" xr6:coauthVersionMax="47" xr10:uidLastSave="{00000000-0000-0000-0000-000000000000}"/>
  <bookViews>
    <workbookView xWindow="28680" yWindow="-120" windowWidth="29040" windowHeight="16440" activeTab="1" xr2:uid="{2391FA6E-D325-4A82-B623-133D368A2F1F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G7" i="2" l="1"/>
  <c r="G2" i="2"/>
  <c r="G19" i="2"/>
  <c r="G12" i="2"/>
  <c r="G13" i="2"/>
  <c r="G14" i="2"/>
  <c r="G8" i="2"/>
  <c r="G3" i="2"/>
  <c r="G29" i="2"/>
  <c r="G24" i="2"/>
  <c r="G25" i="2"/>
  <c r="G26" i="2"/>
  <c r="G20" i="2"/>
  <c r="G21" i="2"/>
  <c r="G22" i="2"/>
  <c r="G4" i="2"/>
  <c r="G5" i="2"/>
  <c r="G9" i="2"/>
  <c r="G6" i="2"/>
  <c r="G15" i="2"/>
  <c r="G16" i="2"/>
  <c r="G17" i="2"/>
  <c r="G18" i="2"/>
  <c r="G10" i="2"/>
  <c r="G11" i="2"/>
  <c r="G23" i="2"/>
  <c r="G27" i="2"/>
  <c r="G28" i="2"/>
  <c r="G31" i="2"/>
  <c r="G30" i="2"/>
</calcChain>
</file>

<file path=xl/sharedStrings.xml><?xml version="1.0" encoding="utf-8"?>
<sst xmlns="http://schemas.openxmlformats.org/spreadsheetml/2006/main" count="827" uniqueCount="191">
  <si>
    <t>Commission Agent Name</t>
  </si>
  <si>
    <t>Commission Agent Number</t>
  </si>
  <si>
    <t>Commission Agent Status</t>
  </si>
  <si>
    <t>Commission Agent Contracted Date</t>
  </si>
  <si>
    <t>Commission Agent Terminated Date</t>
  </si>
  <si>
    <t>Company</t>
  </si>
  <si>
    <t>Statement Date</t>
  </si>
  <si>
    <t>Writing Agent Name</t>
  </si>
  <si>
    <t>Writing Agent Number</t>
  </si>
  <si>
    <t>Source</t>
  </si>
  <si>
    <t>Policy Number</t>
  </si>
  <si>
    <t>Initial Prem Indicator</t>
  </si>
  <si>
    <t>Insured Name</t>
  </si>
  <si>
    <t>Plan Code</t>
  </si>
  <si>
    <t>Product Type</t>
  </si>
  <si>
    <t>Issue Date</t>
  </si>
  <si>
    <t>Paid Date</t>
  </si>
  <si>
    <t>Billing Frequency</t>
  </si>
  <si>
    <t>Comm type</t>
  </si>
  <si>
    <t>Amount Invested</t>
  </si>
  <si>
    <t>Comm Premium or Gross Comm</t>
  </si>
  <si>
    <t>PSOP</t>
  </si>
  <si>
    <t>Split%</t>
  </si>
  <si>
    <t>Comm%</t>
  </si>
  <si>
    <t>Comm Amount</t>
  </si>
  <si>
    <t>Earned Adv %</t>
  </si>
  <si>
    <t>Earned Adv Amount</t>
  </si>
  <si>
    <t xml:space="preserve">Main Line Benefits Llc </t>
  </si>
  <si>
    <t>094KK27066</t>
  </si>
  <si>
    <t>Terminated</t>
  </si>
  <si>
    <t>09/06/2024</t>
  </si>
  <si>
    <t>04/21/2025</t>
  </si>
  <si>
    <t>Transamerica Life Insurance Co.</t>
  </si>
  <si>
    <t>10/31/2025</t>
  </si>
  <si>
    <t>WALENGA, DALE J</t>
  </si>
  <si>
    <t>0094173481</t>
  </si>
  <si>
    <t>CYBERLIFE 10.01</t>
  </si>
  <si>
    <t>6602026253</t>
  </si>
  <si>
    <t>N</t>
  </si>
  <si>
    <t>Khi</t>
  </si>
  <si>
    <t>TD545B</t>
  </si>
  <si>
    <t>Ord Life</t>
  </si>
  <si>
    <t>02/04/2025</t>
  </si>
  <si>
    <t>11/04/2025</t>
  </si>
  <si>
    <t>Monthly</t>
  </si>
  <si>
    <t>OW 1st Yr</t>
  </si>
  <si>
    <t>6602026267</t>
  </si>
  <si>
    <t>02/21/2025</t>
  </si>
  <si>
    <t>11/21/2025</t>
  </si>
  <si>
    <t>6602036702</t>
  </si>
  <si>
    <t>Lowe</t>
  </si>
  <si>
    <t>TD554A</t>
  </si>
  <si>
    <t>03/24/2025</t>
  </si>
  <si>
    <t>11/24/2025</t>
  </si>
  <si>
    <t>6602152570</t>
  </si>
  <si>
    <t>Y</t>
  </si>
  <si>
    <t>Mcabe</t>
  </si>
  <si>
    <t>TD560C</t>
  </si>
  <si>
    <t>10/01/2025</t>
  </si>
  <si>
    <t>10/01/2026</t>
  </si>
  <si>
    <t>Annual</t>
  </si>
  <si>
    <t xml:space="preserve">PORTUGAL, GARY </t>
  </si>
  <si>
    <t>0094173945</t>
  </si>
  <si>
    <t>6602141191</t>
  </si>
  <si>
    <t>Gomez Salgado</t>
  </si>
  <si>
    <t>TD5G4D</t>
  </si>
  <si>
    <t>07/27/2025</t>
  </si>
  <si>
    <t>10/27/2025</t>
  </si>
  <si>
    <t xml:space="preserve">PETRUNGARO, ANDREA </t>
  </si>
  <si>
    <t>0094175599</t>
  </si>
  <si>
    <t>6602088836</t>
  </si>
  <si>
    <t>Savastano</t>
  </si>
  <si>
    <t>05/01/2025</t>
  </si>
  <si>
    <t>11/01/2025</t>
  </si>
  <si>
    <t>WERNER, STEVEN D</t>
  </si>
  <si>
    <t>0094176097</t>
  </si>
  <si>
    <t>6602136573</t>
  </si>
  <si>
    <t>Rosenblat</t>
  </si>
  <si>
    <t>07/14/2025</t>
  </si>
  <si>
    <t>11/14/2025</t>
  </si>
  <si>
    <t>6602136587</t>
  </si>
  <si>
    <t>PARDUE, THOMAS D</t>
  </si>
  <si>
    <t>0094177200</t>
  </si>
  <si>
    <t>6602087872</t>
  </si>
  <si>
    <t>Carroll</t>
  </si>
  <si>
    <t>TD551C</t>
  </si>
  <si>
    <t>05/27/2025</t>
  </si>
  <si>
    <t>11/27/2025</t>
  </si>
  <si>
    <t>6602087960</t>
  </si>
  <si>
    <t>MLSR156747</t>
  </si>
  <si>
    <t>Active</t>
  </si>
  <si>
    <t/>
  </si>
  <si>
    <t>RICHTER, PETER L</t>
  </si>
  <si>
    <t>MLSR112897</t>
  </si>
  <si>
    <t>6602183190</t>
  </si>
  <si>
    <t>Stephens</t>
  </si>
  <si>
    <t>09/05/2025</t>
  </si>
  <si>
    <t>11/05/2025</t>
  </si>
  <si>
    <t>RICHTER, ADAM J</t>
  </si>
  <si>
    <t>MLSR113135</t>
  </si>
  <si>
    <t>Individual AFP</t>
  </si>
  <si>
    <t>FEXB147928</t>
  </si>
  <si>
    <t>Whitelock</t>
  </si>
  <si>
    <t>TAFEST01</t>
  </si>
  <si>
    <t>09/01/2025</t>
  </si>
  <si>
    <t>FEXB148377</t>
  </si>
  <si>
    <t>Hemsley</t>
  </si>
  <si>
    <t>TAFEGR01</t>
  </si>
  <si>
    <t>09/02/2025</t>
  </si>
  <si>
    <t>11/02/2025</t>
  </si>
  <si>
    <t>FEXB191214</t>
  </si>
  <si>
    <t>Primikirios</t>
  </si>
  <si>
    <t>10/16/2025</t>
  </si>
  <si>
    <t>11/16/2025</t>
  </si>
  <si>
    <t>FEXB191242</t>
  </si>
  <si>
    <t>FEXB198796</t>
  </si>
  <si>
    <t>Geary</t>
  </si>
  <si>
    <t>10/23/2025</t>
  </si>
  <si>
    <t>11/23/2025</t>
  </si>
  <si>
    <t>6602188799</t>
  </si>
  <si>
    <t>Harry</t>
  </si>
  <si>
    <t>TD5E6D</t>
  </si>
  <si>
    <t>09/11/2025</t>
  </si>
  <si>
    <t>11/11/2025</t>
  </si>
  <si>
    <t>FINNIGAN, COLLEEN J</t>
  </si>
  <si>
    <t>MLSR119024</t>
  </si>
  <si>
    <t>LFC010566</t>
  </si>
  <si>
    <t>Carso</t>
  </si>
  <si>
    <t>TD12KC</t>
  </si>
  <si>
    <t>06/20/2025</t>
  </si>
  <si>
    <t>11/20/2025</t>
  </si>
  <si>
    <t xml:space="preserve">MCCORKLE, MICHELLE </t>
  </si>
  <si>
    <t>MLSR126064</t>
  </si>
  <si>
    <t>FEX467271</t>
  </si>
  <si>
    <t>Rowan</t>
  </si>
  <si>
    <t>TD12KU</t>
  </si>
  <si>
    <t>KUCAN, THOMAS P</t>
  </si>
  <si>
    <t>MLSR129779</t>
  </si>
  <si>
    <t>FEXB172200</t>
  </si>
  <si>
    <t>Harbaugh</t>
  </si>
  <si>
    <t>YALE, JACOB D</t>
  </si>
  <si>
    <t>MLSR137413</t>
  </si>
  <si>
    <t>6602159017</t>
  </si>
  <si>
    <t>Jurcak</t>
  </si>
  <si>
    <t>TD555B</t>
  </si>
  <si>
    <t>10/08/2025</t>
  </si>
  <si>
    <t>11/08/2025</t>
  </si>
  <si>
    <t>6602176176</t>
  </si>
  <si>
    <t>Lenhoff</t>
  </si>
  <si>
    <t>09/16/2025</t>
  </si>
  <si>
    <t>6602176202</t>
  </si>
  <si>
    <t>6602202071</t>
  </si>
  <si>
    <t>Rodin</t>
  </si>
  <si>
    <t>10/08/2026</t>
  </si>
  <si>
    <t xml:space="preserve">TAUGNER, CHRISTIAN </t>
  </si>
  <si>
    <t>MLSR137518</t>
  </si>
  <si>
    <t>6602118959</t>
  </si>
  <si>
    <t>Denton</t>
  </si>
  <si>
    <t>06/27/2025</t>
  </si>
  <si>
    <t>6602171749</t>
  </si>
  <si>
    <t>Paeplow</t>
  </si>
  <si>
    <t>09/03/2025</t>
  </si>
  <si>
    <t>11/03/2025</t>
  </si>
  <si>
    <t>SANTOS, RICARDO D</t>
  </si>
  <si>
    <t>MLSR137602</t>
  </si>
  <si>
    <t>6602173120</t>
  </si>
  <si>
    <t>Santos</t>
  </si>
  <si>
    <t>GESKE, HEATHER M</t>
  </si>
  <si>
    <t>MLSR138219</t>
  </si>
  <si>
    <t>6602131288</t>
  </si>
  <si>
    <t>Whitaker</t>
  </si>
  <si>
    <t>08/05/2025</t>
  </si>
  <si>
    <t>MLSR171034</t>
  </si>
  <si>
    <t>6602065974</t>
  </si>
  <si>
    <t>Apelian</t>
  </si>
  <si>
    <t>08/15/2025</t>
  </si>
  <si>
    <t>11/15/2025</t>
  </si>
  <si>
    <t>6602223210</t>
  </si>
  <si>
    <t>Herenadez</t>
  </si>
  <si>
    <t>Trendsetter LB 15 Year 105 2023</t>
  </si>
  <si>
    <t>Trendsetter Super 15 Year</t>
  </si>
  <si>
    <t>Trendsetter LB 20 25 30 Year 115 2023</t>
  </si>
  <si>
    <t>10 Pay Solution 186 2024</t>
  </si>
  <si>
    <t>Trendsetter LB 20 25 30 Year 2025</t>
  </si>
  <si>
    <t>Lifetime WL A48 150</t>
  </si>
  <si>
    <t>18710070N</t>
  </si>
  <si>
    <t>AE</t>
  </si>
  <si>
    <t>AV1</t>
  </si>
  <si>
    <t>AV</t>
  </si>
  <si>
    <t>8325282AV9</t>
  </si>
  <si>
    <t>Mcabe, Kevin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</si>
</sst>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 applyAlignment="1">
      <alignment wrapText="1"/>
    </xf>
    <xf numFmtId="0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9" fontId="0" fillId="0" borderId="0" xfId="1" applyFont="1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2" borderId="0" xfId="0" applyNumberFormat="1" applyFill="1" applyAlignment="1">
      <alignment horizontal="left" wrapText="1"/>
    </xf>
    <xf numFmtId="9" fontId="0" fillId="2" borderId="0" xfId="1" applyFont="1" applyFill="1" applyAlignment="1">
      <alignment wrapText="1"/>
    </xf>
    <xf numFmtId="0" fontId="0" fillId="2" borderId="0" xfId="0" applyFill="1" applyAlignment="1">
      <alignment horizontal="left" wrapText="1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2" fillId="2" borderId="0" xfId="0" applyNumberFormat="1" applyFont="1" applyFill="1" applyAlignment="1">
      <alignment horizontal="left" wrapText="1"/>
    </xf>
    <xf numFmtId="0" fontId="2" fillId="0" borderId="0" xfId="0" applyFont="1" applyAlignment="1">
      <alignment wrapText="1"/>
    </xf>
    <xf numFmtId="9" fontId="2" fillId="2" borderId="0" xfId="1" applyFont="1" applyFill="1" applyAlignment="1">
      <alignment wrapText="1"/>
    </xf>
    <xf numFmtId="0" fontId="1" fillId="0" borderId="0" xfId="0" applyFont="1" applyAlignment="1">
      <alignment horizontal="left" wrapText="1"/>
    </xf>
  </cellXfs>
  <cellStyles count="2">
    <cellStyle name="Normal" xfId="0" builtinId="0"/>
    <cellStyle name="Percent" xfId="1" builtinId="5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C1A3-6F25-43FD-BCEE-491CDFCDA5D3}">
  <sheetPr>
    <outlinePr summaryBelow="0" summaryRight="0"/>
    <pageSetUpPr autoPageBreaks="0" fitToPage="1"/>
  </sheetPr>
  <dimension ref="A1:AA31"/>
  <sheetViews>
    <sheetView workbookViewId="0">
      <selection activeCell="M15" sqref="M15"/>
    </sheetView>
  </sheetViews>
  <sheetFormatPr defaultRowHeight="12.75" x14ac:dyDescent="0.2"/>
  <cols>
    <col min="1" max="256" width="33.140625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>
        <v>0</v>
      </c>
      <c r="U2">
        <v>70.52</v>
      </c>
      <c r="V2">
        <v>0</v>
      </c>
      <c r="W2">
        <v>1</v>
      </c>
      <c r="X2">
        <v>1.1499999999999999</v>
      </c>
      <c r="Y2">
        <v>81.099999999999994</v>
      </c>
      <c r="Z2">
        <v>0</v>
      </c>
      <c r="AA2">
        <v>0</v>
      </c>
    </row>
    <row r="3" spans="1:27" x14ac:dyDescent="0.2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46</v>
      </c>
      <c r="L3" t="s">
        <v>38</v>
      </c>
      <c r="M3" t="s">
        <v>39</v>
      </c>
      <c r="N3" t="s">
        <v>40</v>
      </c>
      <c r="O3" t="s">
        <v>41</v>
      </c>
      <c r="P3" t="s">
        <v>47</v>
      </c>
      <c r="Q3" t="s">
        <v>48</v>
      </c>
      <c r="R3" t="s">
        <v>44</v>
      </c>
      <c r="S3" t="s">
        <v>45</v>
      </c>
      <c r="T3">
        <v>0</v>
      </c>
      <c r="U3">
        <v>85.14</v>
      </c>
      <c r="V3">
        <v>0</v>
      </c>
      <c r="W3">
        <v>1</v>
      </c>
      <c r="X3">
        <v>1.1499999999999999</v>
      </c>
      <c r="Y3">
        <v>97.91</v>
      </c>
      <c r="Z3">
        <v>0</v>
      </c>
      <c r="AA3">
        <v>0</v>
      </c>
    </row>
    <row r="4" spans="1:27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49</v>
      </c>
      <c r="L4" t="s">
        <v>38</v>
      </c>
      <c r="M4" t="s">
        <v>50</v>
      </c>
      <c r="N4" t="s">
        <v>51</v>
      </c>
      <c r="O4" t="s">
        <v>41</v>
      </c>
      <c r="P4" t="s">
        <v>52</v>
      </c>
      <c r="Q4" t="s">
        <v>53</v>
      </c>
      <c r="R4" t="s">
        <v>44</v>
      </c>
      <c r="S4" t="s">
        <v>45</v>
      </c>
      <c r="T4">
        <v>0</v>
      </c>
      <c r="U4">
        <v>88.83</v>
      </c>
      <c r="V4">
        <v>0</v>
      </c>
      <c r="W4">
        <v>1</v>
      </c>
      <c r="X4">
        <v>1.05</v>
      </c>
      <c r="Y4">
        <v>93.27</v>
      </c>
      <c r="Z4">
        <v>0</v>
      </c>
      <c r="AA4">
        <v>0</v>
      </c>
    </row>
    <row r="5" spans="1:27" x14ac:dyDescent="0.2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54</v>
      </c>
      <c r="L5" t="s">
        <v>55</v>
      </c>
      <c r="M5" t="s">
        <v>56</v>
      </c>
      <c r="N5" t="s">
        <v>57</v>
      </c>
      <c r="O5" t="s">
        <v>41</v>
      </c>
      <c r="P5" t="s">
        <v>58</v>
      </c>
      <c r="Q5" t="s">
        <v>59</v>
      </c>
      <c r="R5" t="s">
        <v>60</v>
      </c>
      <c r="S5" t="s">
        <v>45</v>
      </c>
      <c r="T5">
        <v>0</v>
      </c>
      <c r="U5">
        <v>2370</v>
      </c>
      <c r="V5">
        <v>0</v>
      </c>
      <c r="W5">
        <v>1</v>
      </c>
      <c r="X5">
        <v>1.1499999999999999</v>
      </c>
      <c r="Y5">
        <v>2725.5</v>
      </c>
      <c r="Z5">
        <v>0</v>
      </c>
      <c r="AA5">
        <v>0</v>
      </c>
    </row>
    <row r="6" spans="1:27" x14ac:dyDescent="0.2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61</v>
      </c>
      <c r="I6" t="s">
        <v>62</v>
      </c>
      <c r="J6" t="s">
        <v>36</v>
      </c>
      <c r="K6" t="s">
        <v>63</v>
      </c>
      <c r="L6" t="s">
        <v>38</v>
      </c>
      <c r="M6" t="s">
        <v>64</v>
      </c>
      <c r="N6" t="s">
        <v>65</v>
      </c>
      <c r="O6" t="s">
        <v>41</v>
      </c>
      <c r="P6" t="s">
        <v>66</v>
      </c>
      <c r="Q6" t="s">
        <v>67</v>
      </c>
      <c r="R6" t="s">
        <v>44</v>
      </c>
      <c r="S6" t="s">
        <v>45</v>
      </c>
      <c r="T6">
        <v>0</v>
      </c>
      <c r="U6">
        <v>47.26</v>
      </c>
      <c r="V6">
        <v>0</v>
      </c>
      <c r="W6">
        <v>1</v>
      </c>
      <c r="X6">
        <v>1.1499999999999999</v>
      </c>
      <c r="Y6">
        <v>54.35</v>
      </c>
      <c r="Z6">
        <v>0</v>
      </c>
      <c r="AA6">
        <v>0</v>
      </c>
    </row>
    <row r="7" spans="1:27" x14ac:dyDescent="0.2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68</v>
      </c>
      <c r="I7" t="s">
        <v>69</v>
      </c>
      <c r="J7" t="s">
        <v>36</v>
      </c>
      <c r="K7" t="s">
        <v>70</v>
      </c>
      <c r="L7" t="s">
        <v>38</v>
      </c>
      <c r="M7" t="s">
        <v>71</v>
      </c>
      <c r="N7" t="s">
        <v>40</v>
      </c>
      <c r="O7" t="s">
        <v>41</v>
      </c>
      <c r="P7" t="s">
        <v>72</v>
      </c>
      <c r="Q7" t="s">
        <v>73</v>
      </c>
      <c r="R7" t="s">
        <v>44</v>
      </c>
      <c r="S7" t="s">
        <v>45</v>
      </c>
      <c r="T7">
        <v>0</v>
      </c>
      <c r="U7">
        <v>53.32</v>
      </c>
      <c r="V7">
        <v>0</v>
      </c>
      <c r="W7">
        <v>1</v>
      </c>
      <c r="X7">
        <v>1.1499999999999999</v>
      </c>
      <c r="Y7">
        <v>61.32</v>
      </c>
      <c r="Z7">
        <v>0</v>
      </c>
      <c r="AA7">
        <v>0</v>
      </c>
    </row>
    <row r="8" spans="1:27" x14ac:dyDescent="0.2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74</v>
      </c>
      <c r="I8" t="s">
        <v>75</v>
      </c>
      <c r="J8" t="s">
        <v>36</v>
      </c>
      <c r="K8" t="s">
        <v>76</v>
      </c>
      <c r="L8" t="s">
        <v>38</v>
      </c>
      <c r="M8" t="s">
        <v>77</v>
      </c>
      <c r="N8" t="s">
        <v>65</v>
      </c>
      <c r="O8" t="s">
        <v>41</v>
      </c>
      <c r="P8" t="s">
        <v>78</v>
      </c>
      <c r="Q8" t="s">
        <v>79</v>
      </c>
      <c r="R8" t="s">
        <v>44</v>
      </c>
      <c r="S8" t="s">
        <v>45</v>
      </c>
      <c r="T8">
        <v>0</v>
      </c>
      <c r="U8">
        <v>87.55</v>
      </c>
      <c r="V8">
        <v>0</v>
      </c>
      <c r="W8">
        <v>1</v>
      </c>
      <c r="X8">
        <v>1.1499999999999999</v>
      </c>
      <c r="Y8">
        <v>100.68</v>
      </c>
      <c r="Z8">
        <v>0</v>
      </c>
      <c r="AA8">
        <v>0</v>
      </c>
    </row>
    <row r="9" spans="1:27" x14ac:dyDescent="0.2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74</v>
      </c>
      <c r="I9" t="s">
        <v>75</v>
      </c>
      <c r="J9" t="s">
        <v>36</v>
      </c>
      <c r="K9" t="s">
        <v>80</v>
      </c>
      <c r="L9" t="s">
        <v>38</v>
      </c>
      <c r="M9" t="s">
        <v>77</v>
      </c>
      <c r="N9" t="s">
        <v>65</v>
      </c>
      <c r="O9" t="s">
        <v>41</v>
      </c>
      <c r="P9" t="s">
        <v>78</v>
      </c>
      <c r="Q9" t="s">
        <v>79</v>
      </c>
      <c r="R9" t="s">
        <v>44</v>
      </c>
      <c r="S9" t="s">
        <v>45</v>
      </c>
      <c r="T9">
        <v>0</v>
      </c>
      <c r="U9">
        <v>170.85</v>
      </c>
      <c r="V9">
        <v>0</v>
      </c>
      <c r="W9">
        <v>1</v>
      </c>
      <c r="X9">
        <v>1.1499999999999999</v>
      </c>
      <c r="Y9">
        <v>196.48</v>
      </c>
      <c r="Z9">
        <v>0</v>
      </c>
      <c r="AA9">
        <v>0</v>
      </c>
    </row>
    <row r="10" spans="1:27" x14ac:dyDescent="0.2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81</v>
      </c>
      <c r="I10" t="s">
        <v>82</v>
      </c>
      <c r="J10" t="s">
        <v>36</v>
      </c>
      <c r="K10" t="s">
        <v>83</v>
      </c>
      <c r="L10" t="s">
        <v>38</v>
      </c>
      <c r="M10" t="s">
        <v>84</v>
      </c>
      <c r="N10" t="s">
        <v>85</v>
      </c>
      <c r="O10" t="s">
        <v>41</v>
      </c>
      <c r="P10" t="s">
        <v>86</v>
      </c>
      <c r="Q10" t="s">
        <v>87</v>
      </c>
      <c r="R10" t="s">
        <v>44</v>
      </c>
      <c r="S10" t="s">
        <v>45</v>
      </c>
      <c r="T10">
        <v>0</v>
      </c>
      <c r="U10">
        <v>80.84</v>
      </c>
      <c r="V10">
        <v>0</v>
      </c>
      <c r="W10">
        <v>1</v>
      </c>
      <c r="X10">
        <v>1.25</v>
      </c>
      <c r="Y10">
        <v>101.05</v>
      </c>
      <c r="Z10">
        <v>0</v>
      </c>
      <c r="AA10">
        <v>0</v>
      </c>
    </row>
    <row r="11" spans="1:27" x14ac:dyDescent="0.2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s">
        <v>33</v>
      </c>
      <c r="H11" t="s">
        <v>81</v>
      </c>
      <c r="I11" t="s">
        <v>82</v>
      </c>
      <c r="J11" t="s">
        <v>36</v>
      </c>
      <c r="K11" t="s">
        <v>88</v>
      </c>
      <c r="L11" t="s">
        <v>38</v>
      </c>
      <c r="M11" t="s">
        <v>84</v>
      </c>
      <c r="N11" t="s">
        <v>85</v>
      </c>
      <c r="O11" t="s">
        <v>41</v>
      </c>
      <c r="P11" t="s">
        <v>86</v>
      </c>
      <c r="Q11" t="s">
        <v>87</v>
      </c>
      <c r="R11" t="s">
        <v>44</v>
      </c>
      <c r="S11" t="s">
        <v>45</v>
      </c>
      <c r="T11">
        <v>0</v>
      </c>
      <c r="U11">
        <v>56.76</v>
      </c>
      <c r="V11">
        <v>0</v>
      </c>
      <c r="W11">
        <v>1</v>
      </c>
      <c r="X11">
        <v>1.25</v>
      </c>
      <c r="Y11">
        <v>70.95</v>
      </c>
      <c r="Z11">
        <v>0</v>
      </c>
      <c r="AA11">
        <v>0</v>
      </c>
    </row>
    <row r="12" spans="1:27" x14ac:dyDescent="0.2">
      <c r="A12" t="s">
        <v>27</v>
      </c>
      <c r="B12" t="s">
        <v>89</v>
      </c>
      <c r="C12" t="s">
        <v>90</v>
      </c>
      <c r="D12" t="s">
        <v>30</v>
      </c>
      <c r="E12" t="s">
        <v>91</v>
      </c>
      <c r="F12" t="s">
        <v>32</v>
      </c>
      <c r="G12" t="s">
        <v>33</v>
      </c>
      <c r="H12" t="s">
        <v>92</v>
      </c>
      <c r="I12" t="s">
        <v>93</v>
      </c>
      <c r="J12" t="s">
        <v>36</v>
      </c>
      <c r="K12" t="s">
        <v>94</v>
      </c>
      <c r="L12" t="s">
        <v>38</v>
      </c>
      <c r="M12" t="s">
        <v>95</v>
      </c>
      <c r="N12" t="s">
        <v>57</v>
      </c>
      <c r="O12" t="s">
        <v>41</v>
      </c>
      <c r="P12" t="s">
        <v>96</v>
      </c>
      <c r="Q12" t="s">
        <v>97</v>
      </c>
      <c r="R12" t="s">
        <v>44</v>
      </c>
      <c r="S12" t="s">
        <v>45</v>
      </c>
      <c r="T12">
        <v>0</v>
      </c>
      <c r="U12">
        <v>44.63</v>
      </c>
      <c r="V12">
        <v>0</v>
      </c>
      <c r="W12">
        <v>1</v>
      </c>
      <c r="X12">
        <v>1.1499999999999999</v>
      </c>
      <c r="Y12">
        <v>51.32</v>
      </c>
      <c r="Z12">
        <v>0.25</v>
      </c>
      <c r="AA12">
        <v>12.83</v>
      </c>
    </row>
    <row r="13" spans="1:27" x14ac:dyDescent="0.2">
      <c r="A13" t="s">
        <v>27</v>
      </c>
      <c r="B13" t="s">
        <v>89</v>
      </c>
      <c r="C13" t="s">
        <v>90</v>
      </c>
      <c r="D13" t="s">
        <v>30</v>
      </c>
      <c r="E13" t="s">
        <v>91</v>
      </c>
      <c r="F13" t="s">
        <v>32</v>
      </c>
      <c r="G13" t="s">
        <v>33</v>
      </c>
      <c r="H13" t="s">
        <v>98</v>
      </c>
      <c r="I13" t="s">
        <v>99</v>
      </c>
      <c r="J13" t="s">
        <v>100</v>
      </c>
      <c r="K13" t="s">
        <v>101</v>
      </c>
      <c r="L13" t="s">
        <v>38</v>
      </c>
      <c r="M13" t="s">
        <v>102</v>
      </c>
      <c r="N13" t="s">
        <v>103</v>
      </c>
      <c r="O13" t="s">
        <v>41</v>
      </c>
      <c r="P13" t="s">
        <v>104</v>
      </c>
      <c r="Q13" t="s">
        <v>73</v>
      </c>
      <c r="R13" t="s">
        <v>44</v>
      </c>
      <c r="S13" t="s">
        <v>45</v>
      </c>
      <c r="T13">
        <v>0</v>
      </c>
      <c r="U13">
        <v>164.56</v>
      </c>
      <c r="V13">
        <v>0</v>
      </c>
      <c r="W13">
        <v>1</v>
      </c>
      <c r="X13">
        <v>1.5</v>
      </c>
      <c r="Y13">
        <v>246.84</v>
      </c>
      <c r="Z13">
        <v>0.25</v>
      </c>
      <c r="AA13">
        <v>61.71</v>
      </c>
    </row>
    <row r="14" spans="1:27" x14ac:dyDescent="0.2">
      <c r="A14" t="s">
        <v>27</v>
      </c>
      <c r="B14" t="s">
        <v>89</v>
      </c>
      <c r="C14" t="s">
        <v>90</v>
      </c>
      <c r="D14" t="s">
        <v>30</v>
      </c>
      <c r="E14" t="s">
        <v>91</v>
      </c>
      <c r="F14" t="s">
        <v>32</v>
      </c>
      <c r="G14" t="s">
        <v>33</v>
      </c>
      <c r="H14" t="s">
        <v>98</v>
      </c>
      <c r="I14" t="s">
        <v>99</v>
      </c>
      <c r="J14" t="s">
        <v>100</v>
      </c>
      <c r="K14" t="s">
        <v>105</v>
      </c>
      <c r="L14" t="s">
        <v>38</v>
      </c>
      <c r="M14" t="s">
        <v>106</v>
      </c>
      <c r="N14" t="s">
        <v>107</v>
      </c>
      <c r="O14" t="s">
        <v>41</v>
      </c>
      <c r="P14" t="s">
        <v>108</v>
      </c>
      <c r="Q14" t="s">
        <v>109</v>
      </c>
      <c r="R14" t="s">
        <v>44</v>
      </c>
      <c r="S14" t="s">
        <v>45</v>
      </c>
      <c r="T14">
        <v>0</v>
      </c>
      <c r="U14">
        <v>65.48</v>
      </c>
      <c r="V14">
        <v>0</v>
      </c>
      <c r="W14">
        <v>1</v>
      </c>
      <c r="X14">
        <v>1.08</v>
      </c>
      <c r="Y14">
        <v>70.72</v>
      </c>
      <c r="Z14">
        <v>0.25</v>
      </c>
      <c r="AA14">
        <v>17.68</v>
      </c>
    </row>
    <row r="15" spans="1:27" s="5" customFormat="1" x14ac:dyDescent="0.2">
      <c r="A15" s="5" t="s">
        <v>27</v>
      </c>
      <c r="B15" s="9" t="s">
        <v>89</v>
      </c>
      <c r="C15" s="5" t="s">
        <v>90</v>
      </c>
      <c r="D15" s="5" t="s">
        <v>30</v>
      </c>
      <c r="E15" s="5" t="s">
        <v>91</v>
      </c>
      <c r="F15" s="5" t="s">
        <v>32</v>
      </c>
      <c r="G15" s="5" t="s">
        <v>33</v>
      </c>
      <c r="H15" s="5" t="s">
        <v>98</v>
      </c>
      <c r="I15" s="5" t="s">
        <v>99</v>
      </c>
      <c r="J15" s="5" t="s">
        <v>100</v>
      </c>
      <c r="K15" s="5" t="s">
        <v>110</v>
      </c>
      <c r="L15" s="5" t="s">
        <v>55</v>
      </c>
      <c r="M15" s="5" t="s">
        <v>111</v>
      </c>
      <c r="N15" s="5" t="s">
        <v>103</v>
      </c>
      <c r="O15" s="5" t="s">
        <v>41</v>
      </c>
      <c r="P15" s="5" t="s">
        <v>112</v>
      </c>
      <c r="Q15" s="5" t="s">
        <v>113</v>
      </c>
      <c r="R15" s="5" t="s">
        <v>44</v>
      </c>
      <c r="S15" s="5" t="s">
        <v>45</v>
      </c>
      <c r="T15" s="5">
        <v>0</v>
      </c>
      <c r="U15" s="5">
        <v>58.13</v>
      </c>
      <c r="V15" s="5">
        <v>0</v>
      </c>
      <c r="W15" s="5">
        <v>1</v>
      </c>
      <c r="X15" s="5">
        <v>1.5</v>
      </c>
      <c r="Y15" s="5">
        <v>87.2</v>
      </c>
      <c r="Z15" s="5">
        <v>0.999</v>
      </c>
      <c r="AA15" s="5">
        <v>87.11</v>
      </c>
    </row>
    <row r="16" spans="1:27" s="5" customFormat="1" x14ac:dyDescent="0.2">
      <c r="A16" s="5" t="s">
        <v>27</v>
      </c>
      <c r="B16" s="5" t="s">
        <v>89</v>
      </c>
      <c r="C16" s="5" t="s">
        <v>90</v>
      </c>
      <c r="D16" s="5" t="s">
        <v>30</v>
      </c>
      <c r="E16" s="5" t="s">
        <v>91</v>
      </c>
      <c r="F16" s="5" t="s">
        <v>32</v>
      </c>
      <c r="G16" s="5" t="s">
        <v>33</v>
      </c>
      <c r="H16" s="5" t="s">
        <v>98</v>
      </c>
      <c r="I16" s="5" t="s">
        <v>99</v>
      </c>
      <c r="J16" s="5" t="s">
        <v>100</v>
      </c>
      <c r="K16" s="5" t="s">
        <v>114</v>
      </c>
      <c r="L16" s="5" t="s">
        <v>55</v>
      </c>
      <c r="M16" s="5" t="s">
        <v>111</v>
      </c>
      <c r="N16" s="5" t="s">
        <v>103</v>
      </c>
      <c r="O16" s="5" t="s">
        <v>41</v>
      </c>
      <c r="P16" s="5" t="s">
        <v>112</v>
      </c>
      <c r="Q16" s="5" t="s">
        <v>113</v>
      </c>
      <c r="R16" s="5" t="s">
        <v>44</v>
      </c>
      <c r="S16" s="5" t="s">
        <v>45</v>
      </c>
      <c r="T16" s="5">
        <v>0</v>
      </c>
      <c r="U16" s="5">
        <v>79.28</v>
      </c>
      <c r="V16" s="5">
        <v>0</v>
      </c>
      <c r="W16" s="5">
        <v>1</v>
      </c>
      <c r="X16" s="5">
        <v>1.5</v>
      </c>
      <c r="Y16" s="5">
        <v>118.92</v>
      </c>
      <c r="Z16" s="5">
        <v>0.999</v>
      </c>
      <c r="AA16" s="5">
        <v>118.8</v>
      </c>
    </row>
    <row r="17" spans="1:27" x14ac:dyDescent="0.2">
      <c r="A17" t="s">
        <v>27</v>
      </c>
      <c r="B17" t="s">
        <v>89</v>
      </c>
      <c r="C17" t="s">
        <v>90</v>
      </c>
      <c r="D17" t="s">
        <v>30</v>
      </c>
      <c r="E17" t="s">
        <v>91</v>
      </c>
      <c r="F17" t="s">
        <v>32</v>
      </c>
      <c r="G17" t="s">
        <v>33</v>
      </c>
      <c r="H17" t="s">
        <v>98</v>
      </c>
      <c r="I17" t="s">
        <v>99</v>
      </c>
      <c r="J17" t="s">
        <v>100</v>
      </c>
      <c r="K17" t="s">
        <v>115</v>
      </c>
      <c r="L17" t="s">
        <v>55</v>
      </c>
      <c r="M17" t="s">
        <v>116</v>
      </c>
      <c r="N17" t="s">
        <v>103</v>
      </c>
      <c r="O17" t="s">
        <v>41</v>
      </c>
      <c r="P17" t="s">
        <v>117</v>
      </c>
      <c r="Q17" t="s">
        <v>118</v>
      </c>
      <c r="R17" t="s">
        <v>44</v>
      </c>
      <c r="S17" t="s">
        <v>45</v>
      </c>
      <c r="T17">
        <v>0</v>
      </c>
      <c r="U17">
        <v>110.16</v>
      </c>
      <c r="V17">
        <v>0</v>
      </c>
      <c r="W17">
        <v>1</v>
      </c>
      <c r="X17">
        <v>1.5</v>
      </c>
      <c r="Y17">
        <v>165.24</v>
      </c>
      <c r="Z17">
        <v>0.25</v>
      </c>
      <c r="AA17">
        <v>41.31</v>
      </c>
    </row>
    <row r="18" spans="1:27" x14ac:dyDescent="0.2">
      <c r="A18" t="s">
        <v>27</v>
      </c>
      <c r="B18" t="s">
        <v>89</v>
      </c>
      <c r="C18" t="s">
        <v>90</v>
      </c>
      <c r="D18" t="s">
        <v>30</v>
      </c>
      <c r="E18" t="s">
        <v>91</v>
      </c>
      <c r="F18" t="s">
        <v>32</v>
      </c>
      <c r="G18" t="s">
        <v>33</v>
      </c>
      <c r="H18" t="s">
        <v>98</v>
      </c>
      <c r="I18" t="s">
        <v>99</v>
      </c>
      <c r="J18" t="s">
        <v>36</v>
      </c>
      <c r="K18" t="s">
        <v>119</v>
      </c>
      <c r="L18" t="s">
        <v>38</v>
      </c>
      <c r="M18" t="s">
        <v>120</v>
      </c>
      <c r="N18" t="s">
        <v>121</v>
      </c>
      <c r="O18" t="s">
        <v>41</v>
      </c>
      <c r="P18" t="s">
        <v>122</v>
      </c>
      <c r="Q18" t="s">
        <v>123</v>
      </c>
      <c r="R18" t="s">
        <v>44</v>
      </c>
      <c r="S18" t="s">
        <v>45</v>
      </c>
      <c r="T18">
        <v>0</v>
      </c>
      <c r="U18">
        <v>74.819999999999993</v>
      </c>
      <c r="V18">
        <v>0</v>
      </c>
      <c r="W18">
        <v>1</v>
      </c>
      <c r="X18">
        <v>1.25</v>
      </c>
      <c r="Y18">
        <v>93.53</v>
      </c>
      <c r="Z18">
        <v>0.25</v>
      </c>
      <c r="AA18">
        <v>23.38</v>
      </c>
    </row>
    <row r="19" spans="1:27" x14ac:dyDescent="0.2">
      <c r="A19" t="s">
        <v>27</v>
      </c>
      <c r="B19" t="s">
        <v>89</v>
      </c>
      <c r="C19" t="s">
        <v>90</v>
      </c>
      <c r="D19" t="s">
        <v>30</v>
      </c>
      <c r="E19" t="s">
        <v>91</v>
      </c>
      <c r="F19" t="s">
        <v>32</v>
      </c>
      <c r="G19" t="s">
        <v>33</v>
      </c>
      <c r="H19" t="s">
        <v>124</v>
      </c>
      <c r="I19" t="s">
        <v>125</v>
      </c>
      <c r="J19" t="s">
        <v>100</v>
      </c>
      <c r="K19" t="s">
        <v>126</v>
      </c>
      <c r="L19" t="s">
        <v>38</v>
      </c>
      <c r="M19" t="s">
        <v>127</v>
      </c>
      <c r="N19" t="s">
        <v>128</v>
      </c>
      <c r="O19" t="s">
        <v>41</v>
      </c>
      <c r="P19" t="s">
        <v>129</v>
      </c>
      <c r="Q19" t="s">
        <v>130</v>
      </c>
      <c r="R19" t="s">
        <v>44</v>
      </c>
      <c r="S19" t="s">
        <v>45</v>
      </c>
      <c r="T19">
        <v>0</v>
      </c>
      <c r="U19">
        <v>447.72</v>
      </c>
      <c r="V19">
        <v>0</v>
      </c>
      <c r="W19">
        <v>1</v>
      </c>
      <c r="X19">
        <v>1.5</v>
      </c>
      <c r="Y19">
        <v>671.58</v>
      </c>
      <c r="Z19">
        <v>0.25</v>
      </c>
      <c r="AA19">
        <v>167.9</v>
      </c>
    </row>
    <row r="20" spans="1:27" x14ac:dyDescent="0.2">
      <c r="A20" t="s">
        <v>27</v>
      </c>
      <c r="B20" t="s">
        <v>89</v>
      </c>
      <c r="C20" t="s">
        <v>90</v>
      </c>
      <c r="D20" t="s">
        <v>30</v>
      </c>
      <c r="E20" t="s">
        <v>91</v>
      </c>
      <c r="F20" t="s">
        <v>32</v>
      </c>
      <c r="G20" t="s">
        <v>33</v>
      </c>
      <c r="H20" t="s">
        <v>131</v>
      </c>
      <c r="I20" t="s">
        <v>132</v>
      </c>
      <c r="J20" t="s">
        <v>100</v>
      </c>
      <c r="K20" t="s">
        <v>133</v>
      </c>
      <c r="L20" t="s">
        <v>38</v>
      </c>
      <c r="M20" t="s">
        <v>134</v>
      </c>
      <c r="N20" t="s">
        <v>135</v>
      </c>
      <c r="O20" t="s">
        <v>41</v>
      </c>
      <c r="P20" t="s">
        <v>58</v>
      </c>
      <c r="Q20" t="s">
        <v>73</v>
      </c>
      <c r="R20" t="s">
        <v>44</v>
      </c>
      <c r="S20" t="s">
        <v>45</v>
      </c>
      <c r="T20">
        <v>0</v>
      </c>
      <c r="U20">
        <v>52.91</v>
      </c>
      <c r="V20">
        <v>0</v>
      </c>
      <c r="W20">
        <v>1</v>
      </c>
      <c r="X20">
        <v>1.18</v>
      </c>
      <c r="Y20">
        <v>62.43</v>
      </c>
      <c r="Z20">
        <v>0.25</v>
      </c>
      <c r="AA20">
        <v>15.61</v>
      </c>
    </row>
    <row r="21" spans="1:27" x14ac:dyDescent="0.2">
      <c r="A21" t="s">
        <v>27</v>
      </c>
      <c r="B21" t="s">
        <v>89</v>
      </c>
      <c r="C21" t="s">
        <v>90</v>
      </c>
      <c r="D21" t="s">
        <v>30</v>
      </c>
      <c r="E21" t="s">
        <v>91</v>
      </c>
      <c r="F21" t="s">
        <v>32</v>
      </c>
      <c r="G21" t="s">
        <v>33</v>
      </c>
      <c r="H21" t="s">
        <v>136</v>
      </c>
      <c r="I21" t="s">
        <v>137</v>
      </c>
      <c r="J21" t="s">
        <v>100</v>
      </c>
      <c r="K21" t="s">
        <v>138</v>
      </c>
      <c r="L21" t="s">
        <v>55</v>
      </c>
      <c r="M21" t="s">
        <v>139</v>
      </c>
      <c r="N21" t="s">
        <v>103</v>
      </c>
      <c r="O21" t="s">
        <v>41</v>
      </c>
      <c r="P21" t="s">
        <v>58</v>
      </c>
      <c r="Q21" t="s">
        <v>73</v>
      </c>
      <c r="R21" t="s">
        <v>44</v>
      </c>
      <c r="S21" t="s">
        <v>45</v>
      </c>
      <c r="T21">
        <v>0</v>
      </c>
      <c r="U21">
        <v>75.569999999999993</v>
      </c>
      <c r="V21">
        <v>0</v>
      </c>
      <c r="W21">
        <v>1</v>
      </c>
      <c r="X21">
        <v>1.5</v>
      </c>
      <c r="Y21">
        <v>113.36</v>
      </c>
      <c r="Z21">
        <v>0.25</v>
      </c>
      <c r="AA21">
        <v>28.34</v>
      </c>
    </row>
    <row r="22" spans="1:27" x14ac:dyDescent="0.2">
      <c r="A22" t="s">
        <v>27</v>
      </c>
      <c r="B22" t="s">
        <v>89</v>
      </c>
      <c r="C22" t="s">
        <v>90</v>
      </c>
      <c r="D22" t="s">
        <v>30</v>
      </c>
      <c r="E22" t="s">
        <v>91</v>
      </c>
      <c r="F22" t="s">
        <v>32</v>
      </c>
      <c r="G22" t="s">
        <v>33</v>
      </c>
      <c r="H22" t="s">
        <v>140</v>
      </c>
      <c r="I22" t="s">
        <v>141</v>
      </c>
      <c r="J22" t="s">
        <v>36</v>
      </c>
      <c r="K22" t="s">
        <v>142</v>
      </c>
      <c r="L22" t="s">
        <v>55</v>
      </c>
      <c r="M22" t="s">
        <v>143</v>
      </c>
      <c r="N22" t="s">
        <v>144</v>
      </c>
      <c r="O22" t="s">
        <v>41</v>
      </c>
      <c r="P22" t="s">
        <v>145</v>
      </c>
      <c r="Q22" t="s">
        <v>146</v>
      </c>
      <c r="R22" t="s">
        <v>44</v>
      </c>
      <c r="S22" t="s">
        <v>45</v>
      </c>
      <c r="T22">
        <v>0</v>
      </c>
      <c r="U22">
        <v>41.82</v>
      </c>
      <c r="V22">
        <v>0</v>
      </c>
      <c r="W22">
        <v>1</v>
      </c>
      <c r="X22">
        <v>1.1000000000000001</v>
      </c>
      <c r="Y22">
        <v>46</v>
      </c>
      <c r="Z22">
        <v>0.25</v>
      </c>
      <c r="AA22">
        <v>11.5</v>
      </c>
    </row>
    <row r="23" spans="1:27" x14ac:dyDescent="0.2">
      <c r="A23" t="s">
        <v>27</v>
      </c>
      <c r="B23" t="s">
        <v>89</v>
      </c>
      <c r="C23" t="s">
        <v>90</v>
      </c>
      <c r="D23" t="s">
        <v>30</v>
      </c>
      <c r="E23" t="s">
        <v>91</v>
      </c>
      <c r="F23" t="s">
        <v>32</v>
      </c>
      <c r="G23" t="s">
        <v>33</v>
      </c>
      <c r="H23" t="s">
        <v>140</v>
      </c>
      <c r="I23" t="s">
        <v>141</v>
      </c>
      <c r="J23" t="s">
        <v>36</v>
      </c>
      <c r="K23" t="s">
        <v>147</v>
      </c>
      <c r="L23" t="s">
        <v>38</v>
      </c>
      <c r="M23" t="s">
        <v>148</v>
      </c>
      <c r="N23" t="s">
        <v>57</v>
      </c>
      <c r="O23" t="s">
        <v>41</v>
      </c>
      <c r="P23" t="s">
        <v>149</v>
      </c>
      <c r="Q23" t="s">
        <v>113</v>
      </c>
      <c r="R23" t="s">
        <v>44</v>
      </c>
      <c r="S23" t="s">
        <v>45</v>
      </c>
      <c r="T23">
        <v>0</v>
      </c>
      <c r="U23">
        <v>35.700000000000003</v>
      </c>
      <c r="V23">
        <v>0</v>
      </c>
      <c r="W23">
        <v>1</v>
      </c>
      <c r="X23">
        <v>1.1499999999999999</v>
      </c>
      <c r="Y23">
        <v>41.06</v>
      </c>
      <c r="Z23">
        <v>0.25</v>
      </c>
      <c r="AA23">
        <v>10.27</v>
      </c>
    </row>
    <row r="24" spans="1:27" x14ac:dyDescent="0.2">
      <c r="A24" t="s">
        <v>27</v>
      </c>
      <c r="B24" t="s">
        <v>89</v>
      </c>
      <c r="C24" t="s">
        <v>90</v>
      </c>
      <c r="D24" t="s">
        <v>30</v>
      </c>
      <c r="E24" t="s">
        <v>91</v>
      </c>
      <c r="F24" t="s">
        <v>32</v>
      </c>
      <c r="G24" t="s">
        <v>33</v>
      </c>
      <c r="H24" t="s">
        <v>140</v>
      </c>
      <c r="I24" t="s">
        <v>141</v>
      </c>
      <c r="J24" t="s">
        <v>36</v>
      </c>
      <c r="K24" t="s">
        <v>150</v>
      </c>
      <c r="L24" t="s">
        <v>38</v>
      </c>
      <c r="M24" t="s">
        <v>148</v>
      </c>
      <c r="N24" t="s">
        <v>65</v>
      </c>
      <c r="O24" t="s">
        <v>41</v>
      </c>
      <c r="P24" t="s">
        <v>122</v>
      </c>
      <c r="Q24" t="s">
        <v>123</v>
      </c>
      <c r="R24" t="s">
        <v>44</v>
      </c>
      <c r="S24" t="s">
        <v>45</v>
      </c>
      <c r="T24">
        <v>0</v>
      </c>
      <c r="U24">
        <v>136.43</v>
      </c>
      <c r="V24">
        <v>0</v>
      </c>
      <c r="W24">
        <v>1</v>
      </c>
      <c r="X24">
        <v>1.1499999999999999</v>
      </c>
      <c r="Y24">
        <v>156.88999999999999</v>
      </c>
      <c r="Z24">
        <v>0.25</v>
      </c>
      <c r="AA24">
        <v>39.22</v>
      </c>
    </row>
    <row r="25" spans="1:27" x14ac:dyDescent="0.2">
      <c r="A25" t="s">
        <v>27</v>
      </c>
      <c r="B25" t="s">
        <v>89</v>
      </c>
      <c r="C25" t="s">
        <v>90</v>
      </c>
      <c r="D25" t="s">
        <v>30</v>
      </c>
      <c r="E25" t="s">
        <v>91</v>
      </c>
      <c r="F25" t="s">
        <v>32</v>
      </c>
      <c r="G25" t="s">
        <v>33</v>
      </c>
      <c r="H25" t="s">
        <v>140</v>
      </c>
      <c r="I25" t="s">
        <v>141</v>
      </c>
      <c r="J25" t="s">
        <v>36</v>
      </c>
      <c r="K25" t="s">
        <v>151</v>
      </c>
      <c r="L25" t="s">
        <v>55</v>
      </c>
      <c r="M25" t="s">
        <v>152</v>
      </c>
      <c r="N25" t="s">
        <v>65</v>
      </c>
      <c r="O25" t="s">
        <v>41</v>
      </c>
      <c r="P25" t="s">
        <v>145</v>
      </c>
      <c r="Q25" t="s">
        <v>153</v>
      </c>
      <c r="R25" t="s">
        <v>60</v>
      </c>
      <c r="S25" t="s">
        <v>45</v>
      </c>
      <c r="T25">
        <v>0</v>
      </c>
      <c r="U25">
        <v>750</v>
      </c>
      <c r="V25">
        <v>0</v>
      </c>
      <c r="W25">
        <v>1</v>
      </c>
      <c r="X25">
        <v>1.1499999999999999</v>
      </c>
      <c r="Y25">
        <v>862.5</v>
      </c>
      <c r="Z25">
        <v>0.25</v>
      </c>
      <c r="AA25">
        <v>215.63</v>
      </c>
    </row>
    <row r="26" spans="1:27" x14ac:dyDescent="0.2">
      <c r="A26" t="s">
        <v>27</v>
      </c>
      <c r="B26" t="s">
        <v>89</v>
      </c>
      <c r="C26" t="s">
        <v>90</v>
      </c>
      <c r="D26" t="s">
        <v>30</v>
      </c>
      <c r="E26" t="s">
        <v>91</v>
      </c>
      <c r="F26" t="s">
        <v>32</v>
      </c>
      <c r="G26" t="s">
        <v>33</v>
      </c>
      <c r="H26" t="s">
        <v>154</v>
      </c>
      <c r="I26" t="s">
        <v>155</v>
      </c>
      <c r="J26" t="s">
        <v>36</v>
      </c>
      <c r="K26" t="s">
        <v>156</v>
      </c>
      <c r="L26" t="s">
        <v>38</v>
      </c>
      <c r="M26" t="s">
        <v>157</v>
      </c>
      <c r="N26" t="s">
        <v>85</v>
      </c>
      <c r="O26" t="s">
        <v>41</v>
      </c>
      <c r="P26" t="s">
        <v>158</v>
      </c>
      <c r="Q26" t="s">
        <v>67</v>
      </c>
      <c r="R26" t="s">
        <v>44</v>
      </c>
      <c r="S26" t="s">
        <v>45</v>
      </c>
      <c r="T26">
        <v>0</v>
      </c>
      <c r="U26">
        <v>38.96</v>
      </c>
      <c r="V26">
        <v>0</v>
      </c>
      <c r="W26">
        <v>1</v>
      </c>
      <c r="X26">
        <v>1.25</v>
      </c>
      <c r="Y26">
        <v>48.7</v>
      </c>
      <c r="Z26">
        <v>0.25</v>
      </c>
      <c r="AA26">
        <v>12.18</v>
      </c>
    </row>
    <row r="27" spans="1:27" x14ac:dyDescent="0.2">
      <c r="A27" t="s">
        <v>27</v>
      </c>
      <c r="B27" t="s">
        <v>89</v>
      </c>
      <c r="C27" t="s">
        <v>90</v>
      </c>
      <c r="D27" t="s">
        <v>30</v>
      </c>
      <c r="E27" t="s">
        <v>91</v>
      </c>
      <c r="F27" t="s">
        <v>32</v>
      </c>
      <c r="G27" t="s">
        <v>33</v>
      </c>
      <c r="H27" t="s">
        <v>154</v>
      </c>
      <c r="I27" t="s">
        <v>155</v>
      </c>
      <c r="J27" t="s">
        <v>36</v>
      </c>
      <c r="K27" t="s">
        <v>159</v>
      </c>
      <c r="L27" t="s">
        <v>38</v>
      </c>
      <c r="M27" t="s">
        <v>160</v>
      </c>
      <c r="N27" t="s">
        <v>121</v>
      </c>
      <c r="O27" t="s">
        <v>41</v>
      </c>
      <c r="P27" t="s">
        <v>161</v>
      </c>
      <c r="Q27" t="s">
        <v>162</v>
      </c>
      <c r="R27" t="s">
        <v>44</v>
      </c>
      <c r="S27" t="s">
        <v>45</v>
      </c>
      <c r="T27">
        <v>0</v>
      </c>
      <c r="U27">
        <v>30.1</v>
      </c>
      <c r="V27">
        <v>0</v>
      </c>
      <c r="W27">
        <v>1</v>
      </c>
      <c r="X27">
        <v>1.25</v>
      </c>
      <c r="Y27">
        <v>37.630000000000003</v>
      </c>
      <c r="Z27">
        <v>0.25</v>
      </c>
      <c r="AA27">
        <v>9.41</v>
      </c>
    </row>
    <row r="28" spans="1:27" x14ac:dyDescent="0.2">
      <c r="A28" t="s">
        <v>27</v>
      </c>
      <c r="B28" t="s">
        <v>89</v>
      </c>
      <c r="C28" t="s">
        <v>90</v>
      </c>
      <c r="D28" t="s">
        <v>30</v>
      </c>
      <c r="E28" t="s">
        <v>91</v>
      </c>
      <c r="F28" t="s">
        <v>32</v>
      </c>
      <c r="G28" t="s">
        <v>33</v>
      </c>
      <c r="H28" t="s">
        <v>163</v>
      </c>
      <c r="I28" t="s">
        <v>164</v>
      </c>
      <c r="J28" t="s">
        <v>36</v>
      </c>
      <c r="K28" t="s">
        <v>165</v>
      </c>
      <c r="L28" t="s">
        <v>38</v>
      </c>
      <c r="M28" t="s">
        <v>166</v>
      </c>
      <c r="N28" t="s">
        <v>85</v>
      </c>
      <c r="O28" t="s">
        <v>41</v>
      </c>
      <c r="P28" t="s">
        <v>122</v>
      </c>
      <c r="Q28" t="s">
        <v>123</v>
      </c>
      <c r="R28" t="s">
        <v>44</v>
      </c>
      <c r="S28" t="s">
        <v>45</v>
      </c>
      <c r="T28">
        <v>0</v>
      </c>
      <c r="U28">
        <v>99.55</v>
      </c>
      <c r="V28">
        <v>0</v>
      </c>
      <c r="W28">
        <v>1</v>
      </c>
      <c r="X28">
        <v>1.25</v>
      </c>
      <c r="Y28">
        <v>124.44</v>
      </c>
      <c r="Z28">
        <v>0.25</v>
      </c>
      <c r="AA28">
        <v>31.11</v>
      </c>
    </row>
    <row r="29" spans="1:27" x14ac:dyDescent="0.2">
      <c r="A29" t="s">
        <v>27</v>
      </c>
      <c r="B29" t="s">
        <v>89</v>
      </c>
      <c r="C29" t="s">
        <v>90</v>
      </c>
      <c r="D29" t="s">
        <v>30</v>
      </c>
      <c r="E29" t="s">
        <v>91</v>
      </c>
      <c r="F29" t="s">
        <v>32</v>
      </c>
      <c r="G29" t="s">
        <v>33</v>
      </c>
      <c r="H29" t="s">
        <v>167</v>
      </c>
      <c r="I29" t="s">
        <v>168</v>
      </c>
      <c r="J29" t="s">
        <v>36</v>
      </c>
      <c r="K29" t="s">
        <v>169</v>
      </c>
      <c r="L29" t="s">
        <v>38</v>
      </c>
      <c r="M29" t="s">
        <v>170</v>
      </c>
      <c r="N29" t="s">
        <v>85</v>
      </c>
      <c r="O29" t="s">
        <v>41</v>
      </c>
      <c r="P29" t="s">
        <v>171</v>
      </c>
      <c r="Q29" t="s">
        <v>97</v>
      </c>
      <c r="R29" t="s">
        <v>44</v>
      </c>
      <c r="S29" t="s">
        <v>45</v>
      </c>
      <c r="T29">
        <v>0</v>
      </c>
      <c r="U29">
        <v>25.59</v>
      </c>
      <c r="V29">
        <v>0</v>
      </c>
      <c r="W29">
        <v>1</v>
      </c>
      <c r="X29">
        <v>1.25</v>
      </c>
      <c r="Y29">
        <v>31.99</v>
      </c>
      <c r="Z29">
        <v>0.25</v>
      </c>
      <c r="AA29">
        <v>8</v>
      </c>
    </row>
    <row r="30" spans="1:27" x14ac:dyDescent="0.2">
      <c r="A30" t="s">
        <v>27</v>
      </c>
      <c r="B30" t="s">
        <v>89</v>
      </c>
      <c r="C30" t="s">
        <v>90</v>
      </c>
      <c r="D30" t="s">
        <v>30</v>
      </c>
      <c r="E30" t="s">
        <v>91</v>
      </c>
      <c r="F30" t="s">
        <v>32</v>
      </c>
      <c r="G30" t="s">
        <v>33</v>
      </c>
      <c r="H30" t="s">
        <v>68</v>
      </c>
      <c r="I30" t="s">
        <v>172</v>
      </c>
      <c r="J30" t="s">
        <v>36</v>
      </c>
      <c r="K30" t="s">
        <v>173</v>
      </c>
      <c r="L30" t="s">
        <v>38</v>
      </c>
      <c r="M30" t="s">
        <v>174</v>
      </c>
      <c r="N30" t="s">
        <v>40</v>
      </c>
      <c r="O30" t="s">
        <v>41</v>
      </c>
      <c r="P30" t="s">
        <v>175</v>
      </c>
      <c r="Q30" t="s">
        <v>176</v>
      </c>
      <c r="R30" t="s">
        <v>44</v>
      </c>
      <c r="S30" t="s">
        <v>45</v>
      </c>
      <c r="T30">
        <v>0</v>
      </c>
      <c r="U30">
        <v>143.62</v>
      </c>
      <c r="V30">
        <v>0</v>
      </c>
      <c r="W30">
        <v>1</v>
      </c>
      <c r="X30">
        <v>1.1499999999999999</v>
      </c>
      <c r="Y30">
        <v>165.16</v>
      </c>
      <c r="Z30">
        <v>0.25</v>
      </c>
      <c r="AA30">
        <v>41.29</v>
      </c>
    </row>
    <row r="31" spans="1:27" x14ac:dyDescent="0.2">
      <c r="A31" t="s">
        <v>27</v>
      </c>
      <c r="B31" t="s">
        <v>89</v>
      </c>
      <c r="C31" t="s">
        <v>90</v>
      </c>
      <c r="D31" t="s">
        <v>30</v>
      </c>
      <c r="E31" t="s">
        <v>91</v>
      </c>
      <c r="F31" t="s">
        <v>32</v>
      </c>
      <c r="G31" t="s">
        <v>33</v>
      </c>
      <c r="H31" t="s">
        <v>68</v>
      </c>
      <c r="I31" t="s">
        <v>172</v>
      </c>
      <c r="J31" t="s">
        <v>36</v>
      </c>
      <c r="K31" t="s">
        <v>177</v>
      </c>
      <c r="L31" t="s">
        <v>55</v>
      </c>
      <c r="M31" t="s">
        <v>178</v>
      </c>
      <c r="N31" t="s">
        <v>40</v>
      </c>
      <c r="O31" t="s">
        <v>41</v>
      </c>
      <c r="P31" t="s">
        <v>67</v>
      </c>
      <c r="Q31" t="s">
        <v>87</v>
      </c>
      <c r="R31" t="s">
        <v>44</v>
      </c>
      <c r="S31" t="s">
        <v>45</v>
      </c>
      <c r="T31">
        <v>0</v>
      </c>
      <c r="U31">
        <v>30.53</v>
      </c>
      <c r="V31">
        <v>0</v>
      </c>
      <c r="W31">
        <v>1</v>
      </c>
      <c r="X31">
        <v>1.1499999999999999</v>
      </c>
      <c r="Y31">
        <v>35.11</v>
      </c>
      <c r="Z31">
        <v>0.25</v>
      </c>
      <c r="AA31">
        <v>8.7799999999999994</v>
      </c>
    </row>
  </sheetData>
  <printOptions gridLines="1"/>
  <pageMargins left="0.25" right="0.75" top="0.25" bottom="0.25" header="0.5" footer="0.5"/>
  <pageSetup fitToWidth="0" fitToHeight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2580F-4284-4A75-BE5D-8FC8B7489A73}">
  <dimension ref="A1:AC31"/>
  <sheetViews>
    <sheetView tabSelected="1" workbookViewId="0">
      <selection activeCell="N18" sqref="N18"/>
    </sheetView>
  </sheetViews>
  <sheetFormatPr defaultRowHeight="12.75" x14ac:dyDescent="0.2"/>
  <cols>
    <col min="1" max="1" width="33.140625" customWidth="1"/>
    <col min="2" max="2" width="19.28515625" customWidth="1"/>
    <col min="3" max="3" width="16" customWidth="1"/>
    <col min="4" max="4" width="15.7109375" customWidth="1"/>
    <col min="5" max="5" width="13.42578125" customWidth="1"/>
    <col min="6" max="8" width="14.28515625" customWidth="1"/>
    <col min="9" max="9" width="12.28515625" customWidth="1"/>
    <col min="10" max="10" width="10.42578125" customWidth="1"/>
    <col min="11" max="11" width="9.42578125" customWidth="1"/>
    <col min="12" max="12" width="9.140625" customWidth="1"/>
    <col min="13" max="241" width="33.140625" customWidth="1"/>
  </cols>
  <sheetData>
    <row r="1" spans="1:29" ht="51" x14ac:dyDescent="0.2">
      <c r="A1" t="s">
        <v>7</v>
      </c>
      <c r="B1" t="s">
        <v>8</v>
      </c>
      <c r="C1" t="s">
        <v>10</v>
      </c>
      <c r="D1" t="s">
        <v>12</v>
      </c>
      <c r="E1" t="s">
        <v>15</v>
      </c>
      <c r="F1" t="s">
        <v>16</v>
      </c>
      <c r="I1" t="s">
        <v>17</v>
      </c>
      <c r="J1" t="s">
        <v>20</v>
      </c>
      <c r="K1" t="s">
        <v>23</v>
      </c>
      <c r="L1" t="s">
        <v>24</v>
      </c>
    </row>
    <row r="2" spans="1:29" ht="15" customHeight="1" x14ac:dyDescent="0.2">
      <c r="A2" s="5" t="s">
        <v>136</v>
      </c>
      <c r="B2" s="5">
        <v>16202925</v>
      </c>
      <c r="C2" s="8" t="s">
        <v>138</v>
      </c>
      <c r="D2" s="5" t="s">
        <v>139</v>
      </c>
      <c r="E2" s="5" t="s">
        <v>58</v>
      </c>
      <c r="F2" s="5" t="s">
        <v>73</v>
      </c>
      <c r="G2">
        <f>DATEDIF(E2,F2,"M")</f>
        <v>1</v>
      </c>
      <c r="H2" s="9" t="s">
        <v>187</v>
      </c>
      <c r="I2" s="5" t="s">
        <v>44</v>
      </c>
      <c r="J2" s="5">
        <v>75.569999999999993</v>
      </c>
      <c r="K2" s="7">
        <v>1.5</v>
      </c>
      <c r="L2" s="5">
        <v>113.36</v>
      </c>
      <c r="M2" s="5" t="s">
        <v>184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5" customFormat="1" ht="15" customHeight="1" x14ac:dyDescent="0.2">
      <c r="A3" s="5" t="s">
        <v>68</v>
      </c>
      <c r="B3" s="5">
        <v>16912722</v>
      </c>
      <c r="C3" s="6">
        <v>6602223210</v>
      </c>
      <c r="D3" s="5" t="s">
        <v>178</v>
      </c>
      <c r="E3" s="5" t="s">
        <v>67</v>
      </c>
      <c r="F3" s="5" t="s">
        <v>87</v>
      </c>
      <c r="G3">
        <f>DATEDIF(E3,F3,"M")</f>
        <v>1</v>
      </c>
      <c r="H3" s="9" t="s">
        <v>187</v>
      </c>
      <c r="I3" s="5" t="s">
        <v>44</v>
      </c>
      <c r="J3" s="5">
        <v>30.53</v>
      </c>
      <c r="K3" s="7">
        <v>1.1499999999999999</v>
      </c>
      <c r="L3" s="5">
        <v>35.11</v>
      </c>
      <c r="M3" s="5" t="s">
        <v>181</v>
      </c>
    </row>
    <row r="4" spans="1:29" s="5" customFormat="1" ht="15" customHeight="1" x14ac:dyDescent="0.2">
      <c r="A4" s="5" t="s">
        <v>92</v>
      </c>
      <c r="B4" s="5">
        <v>16509456</v>
      </c>
      <c r="C4" s="6">
        <v>6602183190</v>
      </c>
      <c r="D4" s="5" t="s">
        <v>95</v>
      </c>
      <c r="E4" s="5" t="s">
        <v>96</v>
      </c>
      <c r="F4" s="5" t="s">
        <v>97</v>
      </c>
      <c r="G4">
        <f>DATEDIF(E4,F4,"M")</f>
        <v>2</v>
      </c>
      <c r="H4" s="9" t="s">
        <v>187</v>
      </c>
      <c r="I4" s="5" t="s">
        <v>44</v>
      </c>
      <c r="J4" s="5">
        <v>44.63</v>
      </c>
      <c r="K4" s="7">
        <v>1.1499999999999999</v>
      </c>
      <c r="L4" s="5">
        <v>51.32</v>
      </c>
      <c r="M4" s="5" t="s">
        <v>181</v>
      </c>
    </row>
    <row r="5" spans="1:29" ht="15" customHeight="1" x14ac:dyDescent="0.2">
      <c r="A5" s="5" t="s">
        <v>163</v>
      </c>
      <c r="B5" s="5">
        <v>19200754</v>
      </c>
      <c r="C5" s="6">
        <v>6602173120</v>
      </c>
      <c r="D5" s="5" t="s">
        <v>166</v>
      </c>
      <c r="E5" s="5" t="s">
        <v>122</v>
      </c>
      <c r="F5" s="5" t="s">
        <v>123</v>
      </c>
      <c r="G5">
        <f>DATEDIF(E5,F5,"M")</f>
        <v>2</v>
      </c>
      <c r="H5" s="9" t="s">
        <v>187</v>
      </c>
      <c r="I5" s="5" t="s">
        <v>44</v>
      </c>
      <c r="J5" s="5">
        <v>99.55</v>
      </c>
      <c r="K5" s="7">
        <v>1.25</v>
      </c>
      <c r="L5" s="5">
        <v>124.44</v>
      </c>
      <c r="M5" s="5" t="s">
        <v>183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s="5" customFormat="1" ht="15" customHeight="1" x14ac:dyDescent="0.2">
      <c r="A6" s="5" t="s">
        <v>154</v>
      </c>
      <c r="B6" s="5">
        <v>19681796</v>
      </c>
      <c r="C6" s="6">
        <v>6602171749</v>
      </c>
      <c r="D6" s="5" t="s">
        <v>160</v>
      </c>
      <c r="E6" s="5" t="s">
        <v>161</v>
      </c>
      <c r="F6" s="5" t="s">
        <v>162</v>
      </c>
      <c r="G6">
        <f>DATEDIF(E6,F6,"M")</f>
        <v>2</v>
      </c>
      <c r="H6" s="9" t="s">
        <v>187</v>
      </c>
      <c r="I6" s="5" t="s">
        <v>44</v>
      </c>
      <c r="J6" s="5">
        <v>30.1</v>
      </c>
      <c r="K6" s="7">
        <v>1.25</v>
      </c>
      <c r="L6" s="5">
        <v>37.630000000000003</v>
      </c>
      <c r="M6" s="5" t="s">
        <v>183</v>
      </c>
    </row>
    <row r="7" spans="1:29" s="5" customFormat="1" ht="15" customHeight="1" x14ac:dyDescent="0.2">
      <c r="A7" s="5" t="s">
        <v>167</v>
      </c>
      <c r="B7" s="5">
        <v>16865615</v>
      </c>
      <c r="C7" s="6">
        <v>6602131288</v>
      </c>
      <c r="D7" s="5" t="s">
        <v>170</v>
      </c>
      <c r="E7" s="5" t="s">
        <v>171</v>
      </c>
      <c r="F7" s="5" t="s">
        <v>97</v>
      </c>
      <c r="G7">
        <f>DATEDIF(E7,F7,"M")</f>
        <v>3</v>
      </c>
      <c r="H7" s="9" t="s">
        <v>187</v>
      </c>
      <c r="I7" s="5" t="s">
        <v>44</v>
      </c>
      <c r="J7" s="5">
        <v>25.59</v>
      </c>
      <c r="K7" s="7">
        <v>1.25</v>
      </c>
      <c r="L7" s="5">
        <v>31.99</v>
      </c>
      <c r="M7" s="5" t="s">
        <v>183</v>
      </c>
    </row>
    <row r="8" spans="1:29" s="5" customFormat="1" ht="15" customHeight="1" x14ac:dyDescent="0.2">
      <c r="A8" s="5" t="s">
        <v>68</v>
      </c>
      <c r="B8" s="5">
        <v>16912722</v>
      </c>
      <c r="C8" s="6">
        <v>6602065974</v>
      </c>
      <c r="D8" s="5" t="s">
        <v>174</v>
      </c>
      <c r="E8" s="5" t="s">
        <v>175</v>
      </c>
      <c r="F8" s="5" t="s">
        <v>176</v>
      </c>
      <c r="G8">
        <f>DATEDIF(E8,F8,"M")</f>
        <v>3</v>
      </c>
      <c r="H8" s="9" t="s">
        <v>187</v>
      </c>
      <c r="I8" s="5" t="s">
        <v>44</v>
      </c>
      <c r="J8" s="5">
        <v>143.62</v>
      </c>
      <c r="K8" s="7">
        <v>1.1499999999999999</v>
      </c>
      <c r="L8" s="5">
        <v>165.16</v>
      </c>
      <c r="M8" s="5" t="s">
        <v>181</v>
      </c>
    </row>
    <row r="9" spans="1:29" s="5" customFormat="1" ht="15" customHeight="1" x14ac:dyDescent="0.2">
      <c r="A9" s="5" t="s">
        <v>154</v>
      </c>
      <c r="B9" s="5">
        <v>19681796</v>
      </c>
      <c r="C9" s="6">
        <v>6602118959</v>
      </c>
      <c r="D9" s="5" t="s">
        <v>157</v>
      </c>
      <c r="E9" s="5" t="s">
        <v>158</v>
      </c>
      <c r="F9" s="5" t="s">
        <v>67</v>
      </c>
      <c r="G9">
        <f>DATEDIF(E9,F9,"M")</f>
        <v>4</v>
      </c>
      <c r="H9" s="9" t="s">
        <v>187</v>
      </c>
      <c r="I9" s="5" t="s">
        <v>44</v>
      </c>
      <c r="J9" s="5">
        <v>38.96</v>
      </c>
      <c r="K9" s="7">
        <v>1.25</v>
      </c>
      <c r="L9" s="5">
        <v>48.7</v>
      </c>
      <c r="M9" s="5" t="s">
        <v>183</v>
      </c>
    </row>
    <row r="10" spans="1:29" s="5" customFormat="1" ht="15" customHeight="1" x14ac:dyDescent="0.2">
      <c r="A10" s="5" t="s">
        <v>74</v>
      </c>
      <c r="B10" s="5">
        <v>19481808</v>
      </c>
      <c r="C10" s="6">
        <v>6602136573</v>
      </c>
      <c r="D10" s="5" t="s">
        <v>77</v>
      </c>
      <c r="E10" s="5" t="s">
        <v>78</v>
      </c>
      <c r="F10" s="5" t="s">
        <v>79</v>
      </c>
      <c r="G10">
        <f>DATEDIF(E10,F10,"M")</f>
        <v>4</v>
      </c>
      <c r="H10" s="9" t="s">
        <v>187</v>
      </c>
      <c r="I10" s="5" t="s">
        <v>44</v>
      </c>
      <c r="J10" s="5">
        <v>87.55</v>
      </c>
      <c r="K10" s="7">
        <v>1.1499999999999999</v>
      </c>
      <c r="L10" s="5">
        <v>100.68</v>
      </c>
      <c r="M10" s="5" t="s">
        <v>181</v>
      </c>
    </row>
    <row r="11" spans="1:29" ht="15" customHeight="1" x14ac:dyDescent="0.2">
      <c r="A11" s="5" t="s">
        <v>74</v>
      </c>
      <c r="B11" s="5">
        <v>19481808</v>
      </c>
      <c r="C11" s="6">
        <v>6602136587</v>
      </c>
      <c r="D11" s="5" t="s">
        <v>77</v>
      </c>
      <c r="E11" s="5" t="s">
        <v>78</v>
      </c>
      <c r="F11" s="5" t="s">
        <v>79</v>
      </c>
      <c r="G11">
        <f>DATEDIF(E11,F11,"M")</f>
        <v>4</v>
      </c>
      <c r="H11" s="9" t="s">
        <v>187</v>
      </c>
      <c r="I11" s="5" t="s">
        <v>44</v>
      </c>
      <c r="J11" s="5">
        <v>170.85</v>
      </c>
      <c r="K11" s="7">
        <v>1.1499999999999999</v>
      </c>
      <c r="L11" s="5">
        <v>196.48</v>
      </c>
      <c r="M11" s="5" t="s">
        <v>181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15" customHeight="1" x14ac:dyDescent="0.2">
      <c r="A12" s="5" t="s">
        <v>81</v>
      </c>
      <c r="B12" s="5">
        <v>371819</v>
      </c>
      <c r="C12" s="6">
        <v>6602087872</v>
      </c>
      <c r="D12" s="5" t="s">
        <v>84</v>
      </c>
      <c r="E12" s="5" t="s">
        <v>86</v>
      </c>
      <c r="F12" s="5" t="s">
        <v>87</v>
      </c>
      <c r="G12">
        <f>DATEDIF(E12,F12,"M")</f>
        <v>6</v>
      </c>
      <c r="H12" s="9" t="s">
        <v>187</v>
      </c>
      <c r="I12" s="5" t="s">
        <v>44</v>
      </c>
      <c r="J12" s="5">
        <v>80.84</v>
      </c>
      <c r="K12" s="7">
        <v>1.25</v>
      </c>
      <c r="L12" s="5">
        <v>101.05</v>
      </c>
      <c r="M12" s="5" t="s">
        <v>183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15" customHeight="1" x14ac:dyDescent="0.2">
      <c r="A13" s="5" t="s">
        <v>81</v>
      </c>
      <c r="B13" s="5">
        <v>371819</v>
      </c>
      <c r="C13" s="6">
        <v>6602087960</v>
      </c>
      <c r="D13" s="5" t="s">
        <v>84</v>
      </c>
      <c r="E13" s="5" t="s">
        <v>86</v>
      </c>
      <c r="F13" s="5" t="s">
        <v>87</v>
      </c>
      <c r="G13">
        <f>DATEDIF(E13,F13,"M")</f>
        <v>6</v>
      </c>
      <c r="H13" s="9" t="s">
        <v>187</v>
      </c>
      <c r="I13" s="5" t="s">
        <v>44</v>
      </c>
      <c r="J13" s="5">
        <v>56.76</v>
      </c>
      <c r="K13" s="7">
        <v>1.25</v>
      </c>
      <c r="L13" s="5">
        <v>70.95</v>
      </c>
      <c r="M13" s="5" t="s">
        <v>183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15" customHeight="1" x14ac:dyDescent="0.2">
      <c r="A14" s="5" t="s">
        <v>68</v>
      </c>
      <c r="B14" s="5">
        <v>16912722</v>
      </c>
      <c r="C14" s="6">
        <v>6602088836</v>
      </c>
      <c r="D14" s="5" t="s">
        <v>71</v>
      </c>
      <c r="E14" s="5" t="s">
        <v>72</v>
      </c>
      <c r="F14" s="5" t="s">
        <v>73</v>
      </c>
      <c r="G14">
        <f>DATEDIF(E14,F14,"M")</f>
        <v>6</v>
      </c>
      <c r="H14" s="9" t="s">
        <v>187</v>
      </c>
      <c r="I14" s="5" t="s">
        <v>44</v>
      </c>
      <c r="J14" s="5">
        <v>53.32</v>
      </c>
      <c r="K14" s="7">
        <v>1.1499999999999999</v>
      </c>
      <c r="L14" s="5">
        <v>61.32</v>
      </c>
      <c r="M14" s="5" t="s">
        <v>181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15" customHeight="1" x14ac:dyDescent="0.2">
      <c r="A15" s="5" t="s">
        <v>34</v>
      </c>
      <c r="B15" s="5">
        <v>8325282</v>
      </c>
      <c r="C15" s="6">
        <v>6602036702</v>
      </c>
      <c r="D15" s="5" t="s">
        <v>50</v>
      </c>
      <c r="E15" s="5" t="s">
        <v>52</v>
      </c>
      <c r="F15" s="5" t="s">
        <v>53</v>
      </c>
      <c r="G15">
        <f>DATEDIF(E15,F15,"M")</f>
        <v>8</v>
      </c>
      <c r="H15" s="9" t="s">
        <v>187</v>
      </c>
      <c r="I15" s="5" t="s">
        <v>44</v>
      </c>
      <c r="J15" s="5">
        <v>88.83</v>
      </c>
      <c r="K15" s="7">
        <v>1.05</v>
      </c>
      <c r="L15" s="5">
        <v>93.27</v>
      </c>
      <c r="M15" s="5" t="s">
        <v>179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15" customHeight="1" x14ac:dyDescent="0.2">
      <c r="A16" s="5" t="s">
        <v>34</v>
      </c>
      <c r="B16" s="5">
        <v>8325282</v>
      </c>
      <c r="C16" s="6">
        <v>6602026253</v>
      </c>
      <c r="D16" s="5" t="s">
        <v>39</v>
      </c>
      <c r="E16" s="5" t="s">
        <v>42</v>
      </c>
      <c r="F16" s="5" t="s">
        <v>43</v>
      </c>
      <c r="G16">
        <f>DATEDIF(E16,F16,"M")</f>
        <v>9</v>
      </c>
      <c r="H16" s="9" t="s">
        <v>187</v>
      </c>
      <c r="I16" s="5" t="s">
        <v>44</v>
      </c>
      <c r="J16" s="5">
        <v>70.52</v>
      </c>
      <c r="K16" s="7">
        <v>1.1499999999999999</v>
      </c>
      <c r="L16" s="5">
        <v>81.099999999999994</v>
      </c>
      <c r="M16" s="5" t="s">
        <v>181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15" customHeight="1" x14ac:dyDescent="0.2">
      <c r="A17" s="5" t="s">
        <v>34</v>
      </c>
      <c r="B17" s="5">
        <v>8325282</v>
      </c>
      <c r="C17" s="6">
        <v>6602026267</v>
      </c>
      <c r="D17" s="5" t="s">
        <v>39</v>
      </c>
      <c r="E17" s="5" t="s">
        <v>47</v>
      </c>
      <c r="F17" s="5" t="s">
        <v>48</v>
      </c>
      <c r="G17">
        <f>DATEDIF(E17,F17,"M")</f>
        <v>9</v>
      </c>
      <c r="H17" s="9" t="s">
        <v>187</v>
      </c>
      <c r="I17" s="5" t="s">
        <v>44</v>
      </c>
      <c r="J17" s="5">
        <v>85.14</v>
      </c>
      <c r="K17" s="7">
        <v>1.1499999999999999</v>
      </c>
      <c r="L17" s="5">
        <v>97.91</v>
      </c>
      <c r="M17" s="5" t="s">
        <v>181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s="5" customFormat="1" ht="15" customHeight="1" x14ac:dyDescent="0.2">
      <c r="A18" s="10" t="s">
        <v>34</v>
      </c>
      <c r="B18" s="10" t="s">
        <v>189</v>
      </c>
      <c r="C18" s="11">
        <v>6602152570</v>
      </c>
      <c r="D18" s="10" t="s">
        <v>190</v>
      </c>
      <c r="E18" s="10" t="s">
        <v>58</v>
      </c>
      <c r="F18" s="10" t="s">
        <v>59</v>
      </c>
      <c r="G18" s="12">
        <f>DATEDIF(E18,F18,"M")</f>
        <v>12</v>
      </c>
      <c r="H18" s="10" t="s">
        <v>188</v>
      </c>
      <c r="I18" s="10" t="s">
        <v>60</v>
      </c>
      <c r="J18" s="10">
        <v>2370</v>
      </c>
      <c r="K18" s="13">
        <v>1.1499999999999999</v>
      </c>
      <c r="L18" s="10">
        <v>2725.5</v>
      </c>
      <c r="M18" s="10" t="s">
        <v>181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spans="1:29" s="5" customFormat="1" ht="15" customHeight="1" x14ac:dyDescent="0.2">
      <c r="A19" t="s">
        <v>131</v>
      </c>
      <c r="B19" s="4" t="s">
        <v>185</v>
      </c>
      <c r="C19" s="2" t="s">
        <v>133</v>
      </c>
      <c r="D19" t="s">
        <v>134</v>
      </c>
      <c r="E19" t="s">
        <v>58</v>
      </c>
      <c r="F19" t="s">
        <v>73</v>
      </c>
      <c r="G19">
        <f>DATEDIF(E19,F19,"M")</f>
        <v>1</v>
      </c>
      <c r="H19" s="4" t="s">
        <v>186</v>
      </c>
      <c r="I19" t="s">
        <v>44</v>
      </c>
      <c r="J19">
        <v>52.91</v>
      </c>
      <c r="K19" s="3">
        <v>1.18</v>
      </c>
      <c r="L19">
        <v>62.43</v>
      </c>
      <c r="M19" t="s">
        <v>182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 spans="1:29" s="5" customFormat="1" ht="15" customHeight="1" x14ac:dyDescent="0.2">
      <c r="A20" t="s">
        <v>98</v>
      </c>
      <c r="B20">
        <v>9079571</v>
      </c>
      <c r="C20" s="14" t="s">
        <v>110</v>
      </c>
      <c r="D20" t="s">
        <v>111</v>
      </c>
      <c r="E20" t="s">
        <v>112</v>
      </c>
      <c r="F20" t="s">
        <v>113</v>
      </c>
      <c r="G20">
        <f>DATEDIF(E20,F20,"M")</f>
        <v>1</v>
      </c>
      <c r="H20" s="4" t="s">
        <v>186</v>
      </c>
      <c r="I20" t="s">
        <v>44</v>
      </c>
      <c r="J20">
        <v>58.13</v>
      </c>
      <c r="K20" s="3">
        <v>1.5</v>
      </c>
      <c r="L20">
        <v>87.2</v>
      </c>
      <c r="M20" t="s">
        <v>184</v>
      </c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</row>
    <row r="21" spans="1:29" s="5" customFormat="1" ht="15" customHeight="1" x14ac:dyDescent="0.2">
      <c r="A21" t="s">
        <v>98</v>
      </c>
      <c r="B21">
        <v>9079571</v>
      </c>
      <c r="C21" s="14" t="s">
        <v>114</v>
      </c>
      <c r="D21" t="s">
        <v>111</v>
      </c>
      <c r="E21" t="s">
        <v>112</v>
      </c>
      <c r="F21" t="s">
        <v>113</v>
      </c>
      <c r="G21">
        <f>DATEDIF(E21,F21,"M")</f>
        <v>1</v>
      </c>
      <c r="H21" s="4" t="s">
        <v>186</v>
      </c>
      <c r="I21" t="s">
        <v>44</v>
      </c>
      <c r="J21">
        <v>79.28</v>
      </c>
      <c r="K21" s="3">
        <v>1.5</v>
      </c>
      <c r="L21">
        <v>118.92</v>
      </c>
      <c r="M21" t="s">
        <v>184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 spans="1:29" s="5" customFormat="1" ht="15" customHeight="1" x14ac:dyDescent="0.2">
      <c r="A22" t="s">
        <v>98</v>
      </c>
      <c r="B22">
        <v>9079571</v>
      </c>
      <c r="C22" s="2" t="s">
        <v>115</v>
      </c>
      <c r="D22" t="s">
        <v>116</v>
      </c>
      <c r="E22" t="s">
        <v>117</v>
      </c>
      <c r="F22" t="s">
        <v>118</v>
      </c>
      <c r="G22">
        <f>DATEDIF(E22,F22,"M")</f>
        <v>1</v>
      </c>
      <c r="H22" s="4" t="s">
        <v>186</v>
      </c>
      <c r="I22" t="s">
        <v>44</v>
      </c>
      <c r="J22">
        <v>110.16</v>
      </c>
      <c r="K22" s="3">
        <v>1.5</v>
      </c>
      <c r="L22">
        <v>165.24</v>
      </c>
      <c r="M22" t="s">
        <v>184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</row>
    <row r="23" spans="1:29" s="5" customFormat="1" ht="15" customHeight="1" x14ac:dyDescent="0.2">
      <c r="A23" t="s">
        <v>140</v>
      </c>
      <c r="B23">
        <v>18754354</v>
      </c>
      <c r="C23" s="1">
        <v>6602159017</v>
      </c>
      <c r="D23" t="s">
        <v>143</v>
      </c>
      <c r="E23" t="s">
        <v>145</v>
      </c>
      <c r="F23" t="s">
        <v>146</v>
      </c>
      <c r="G23">
        <f>DATEDIF(E23,F23,"M")</f>
        <v>1</v>
      </c>
      <c r="H23" s="4" t="s">
        <v>186</v>
      </c>
      <c r="I23" t="s">
        <v>44</v>
      </c>
      <c r="J23">
        <v>41.82</v>
      </c>
      <c r="K23" s="3">
        <v>1.1000000000000001</v>
      </c>
      <c r="L23">
        <v>46</v>
      </c>
      <c r="M23" t="s">
        <v>180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</row>
    <row r="24" spans="1:29" s="5" customFormat="1" ht="15" customHeight="1" x14ac:dyDescent="0.2">
      <c r="A24" t="s">
        <v>98</v>
      </c>
      <c r="B24">
        <v>9079571</v>
      </c>
      <c r="C24" s="2" t="s">
        <v>105</v>
      </c>
      <c r="D24" t="s">
        <v>106</v>
      </c>
      <c r="E24" t="s">
        <v>108</v>
      </c>
      <c r="F24" t="s">
        <v>109</v>
      </c>
      <c r="G24">
        <f>DATEDIF(E24,F24,"M")</f>
        <v>2</v>
      </c>
      <c r="H24" s="4" t="s">
        <v>186</v>
      </c>
      <c r="I24" t="s">
        <v>44</v>
      </c>
      <c r="J24">
        <v>65.48</v>
      </c>
      <c r="K24" s="3">
        <v>1.08</v>
      </c>
      <c r="L24">
        <v>70.72</v>
      </c>
      <c r="M24" t="s">
        <v>179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</row>
    <row r="25" spans="1:29" s="10" customFormat="1" ht="15" customHeight="1" x14ac:dyDescent="0.2">
      <c r="A25" t="s">
        <v>98</v>
      </c>
      <c r="B25">
        <v>9079571</v>
      </c>
      <c r="C25" s="1">
        <v>6602188799</v>
      </c>
      <c r="D25" t="s">
        <v>120</v>
      </c>
      <c r="E25" t="s">
        <v>122</v>
      </c>
      <c r="F25" t="s">
        <v>123</v>
      </c>
      <c r="G25">
        <f>DATEDIF(E25,F25,"M")</f>
        <v>2</v>
      </c>
      <c r="H25" s="4" t="s">
        <v>186</v>
      </c>
      <c r="I25" t="s">
        <v>44</v>
      </c>
      <c r="J25">
        <v>74.819999999999993</v>
      </c>
      <c r="K25" s="3">
        <v>1.25</v>
      </c>
      <c r="L25">
        <v>93.53</v>
      </c>
      <c r="M25" t="s">
        <v>183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</row>
    <row r="26" spans="1:29" s="5" customFormat="1" ht="15" customHeight="1" x14ac:dyDescent="0.2">
      <c r="A26" t="s">
        <v>98</v>
      </c>
      <c r="B26">
        <v>9079571</v>
      </c>
      <c r="C26" s="2" t="s">
        <v>101</v>
      </c>
      <c r="D26" t="s">
        <v>102</v>
      </c>
      <c r="E26" t="s">
        <v>104</v>
      </c>
      <c r="F26" t="s">
        <v>73</v>
      </c>
      <c r="G26">
        <f>DATEDIF(E26,F26,"M")</f>
        <v>2</v>
      </c>
      <c r="H26" s="4" t="s">
        <v>186</v>
      </c>
      <c r="I26" t="s">
        <v>44</v>
      </c>
      <c r="J26">
        <v>164.56</v>
      </c>
      <c r="K26" s="3">
        <v>1.5</v>
      </c>
      <c r="L26">
        <v>246.84</v>
      </c>
      <c r="M26" t="s">
        <v>184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</row>
    <row r="27" spans="1:29" s="5" customFormat="1" ht="15" customHeight="1" x14ac:dyDescent="0.2">
      <c r="A27" t="s">
        <v>140</v>
      </c>
      <c r="B27">
        <v>18754354</v>
      </c>
      <c r="C27" s="1">
        <v>6602176176</v>
      </c>
      <c r="D27" t="s">
        <v>148</v>
      </c>
      <c r="E27" t="s">
        <v>149</v>
      </c>
      <c r="F27" t="s">
        <v>113</v>
      </c>
      <c r="G27">
        <f>DATEDIF(E27,F27,"M")</f>
        <v>2</v>
      </c>
      <c r="H27" s="4" t="s">
        <v>186</v>
      </c>
      <c r="I27" t="s">
        <v>44</v>
      </c>
      <c r="J27">
        <v>35.700000000000003</v>
      </c>
      <c r="K27" s="3">
        <v>1.1499999999999999</v>
      </c>
      <c r="L27">
        <v>41.06</v>
      </c>
      <c r="M27" t="s">
        <v>181</v>
      </c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 spans="1:29" ht="15" customHeight="1" x14ac:dyDescent="0.2">
      <c r="A28" t="s">
        <v>140</v>
      </c>
      <c r="B28">
        <v>18754354</v>
      </c>
      <c r="C28" s="1">
        <v>6602176202</v>
      </c>
      <c r="D28" t="s">
        <v>148</v>
      </c>
      <c r="E28" t="s">
        <v>122</v>
      </c>
      <c r="F28" t="s">
        <v>123</v>
      </c>
      <c r="G28">
        <f>DATEDIF(E28,F28,"M")</f>
        <v>2</v>
      </c>
      <c r="H28" s="4" t="s">
        <v>186</v>
      </c>
      <c r="I28" t="s">
        <v>44</v>
      </c>
      <c r="J28">
        <v>136.43</v>
      </c>
      <c r="K28" s="3">
        <v>1.1499999999999999</v>
      </c>
      <c r="L28">
        <v>156.88999999999999</v>
      </c>
      <c r="M28" t="s">
        <v>181</v>
      </c>
    </row>
    <row r="29" spans="1:29" ht="15" customHeight="1" x14ac:dyDescent="0.2">
      <c r="A29" t="s">
        <v>61</v>
      </c>
      <c r="B29">
        <v>9213293</v>
      </c>
      <c r="C29" s="1">
        <v>6602141191</v>
      </c>
      <c r="D29" t="s">
        <v>64</v>
      </c>
      <c r="E29" t="s">
        <v>66</v>
      </c>
      <c r="F29" t="s">
        <v>67</v>
      </c>
      <c r="G29">
        <f>DATEDIF(E29,F29,"M")</f>
        <v>3</v>
      </c>
      <c r="H29" s="4" t="s">
        <v>186</v>
      </c>
      <c r="I29" t="s">
        <v>44</v>
      </c>
      <c r="J29">
        <v>47.26</v>
      </c>
      <c r="K29" s="3">
        <v>1.1499999999999999</v>
      </c>
      <c r="L29">
        <v>54.35</v>
      </c>
      <c r="M29" t="s">
        <v>181</v>
      </c>
    </row>
    <row r="30" spans="1:29" ht="15" customHeight="1" x14ac:dyDescent="0.2">
      <c r="A30" t="s">
        <v>124</v>
      </c>
      <c r="B30">
        <v>17437820</v>
      </c>
      <c r="C30" s="2" t="s">
        <v>126</v>
      </c>
      <c r="D30" t="s">
        <v>127</v>
      </c>
      <c r="E30" t="s">
        <v>129</v>
      </c>
      <c r="F30" t="s">
        <v>130</v>
      </c>
      <c r="G30">
        <f>DATEDIF(E30,F30,"M")</f>
        <v>5</v>
      </c>
      <c r="H30" s="4" t="s">
        <v>186</v>
      </c>
      <c r="I30" t="s">
        <v>44</v>
      </c>
      <c r="J30">
        <v>447.72</v>
      </c>
      <c r="K30" s="3">
        <v>1.5</v>
      </c>
      <c r="L30">
        <v>671.58</v>
      </c>
      <c r="M30" t="s">
        <v>184</v>
      </c>
    </row>
    <row r="31" spans="1:29" ht="15" customHeight="1" x14ac:dyDescent="0.2">
      <c r="A31" t="s">
        <v>140</v>
      </c>
      <c r="B31">
        <v>18754354</v>
      </c>
      <c r="C31" s="1">
        <v>6602202071</v>
      </c>
      <c r="D31" t="s">
        <v>152</v>
      </c>
      <c r="E31" t="s">
        <v>145</v>
      </c>
      <c r="F31" t="s">
        <v>153</v>
      </c>
      <c r="G31">
        <f>DATEDIF(E31,F31,"M")</f>
        <v>12</v>
      </c>
      <c r="H31" s="4" t="s">
        <v>186</v>
      </c>
      <c r="I31" t="s">
        <v>60</v>
      </c>
      <c r="J31">
        <v>750</v>
      </c>
      <c r="K31" s="3">
        <v>1.1499999999999999</v>
      </c>
      <c r="L31">
        <v>862.5</v>
      </c>
      <c r="M31" t="s">
        <v>181</v>
      </c>
    </row>
  </sheetData>
  <sortState xmlns:xlrd2="http://schemas.microsoft.com/office/spreadsheetml/2017/richdata2" ref="A2:AC31">
    <sortCondition sortBy="cellColor" ref="A2:A31" dxfId="0"/>
    <sortCondition ref="G2:G3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2025-11-07T20:38:58Z</dcterms:created>
  <dcterms:modified xsi:type="dcterms:W3CDTF">2025-11-11T20:10:40Z</dcterms:modified>
</cp:coreProperties>
</file>