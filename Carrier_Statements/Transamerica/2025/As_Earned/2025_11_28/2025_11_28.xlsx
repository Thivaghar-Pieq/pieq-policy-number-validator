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11-28-25\"/>
    </mc:Choice>
  </mc:AlternateContent>
  <xr:revisionPtr revIDLastSave="0" documentId="13_ncr:1_{7E357764-7939-4000-87EA-7A8BCAEC4766}" xr6:coauthVersionLast="47" xr6:coauthVersionMax="47" xr10:uidLastSave="{00000000-0000-0000-0000-000000000000}"/>
  <bookViews>
    <workbookView xWindow="28680" yWindow="-120" windowWidth="29040" windowHeight="16440" activeTab="1" xr2:uid="{1BE74E1B-3E01-4C28-9A68-8B4BC7F22E72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H3" i="2" l="1"/>
  <c r="H4" i="2"/>
  <c r="H25" i="2"/>
  <c r="H41" i="2"/>
  <c r="H14" i="2"/>
  <c r="H10" i="2"/>
  <c r="H26" i="2"/>
  <c r="H29" i="2"/>
  <c r="H5" i="2"/>
  <c r="H19" i="2"/>
  <c r="H20" i="2"/>
  <c r="H21" i="2"/>
  <c r="H15" i="2"/>
  <c r="H40" i="2"/>
  <c r="H35" i="2"/>
  <c r="H36" i="2"/>
  <c r="H30" i="2"/>
  <c r="H31" i="2"/>
  <c r="H32" i="2"/>
  <c r="H27" i="2"/>
  <c r="H37" i="2"/>
  <c r="H11" i="2"/>
  <c r="H12" i="2"/>
  <c r="H13" i="2"/>
  <c r="H16" i="2"/>
  <c r="H6" i="2"/>
  <c r="H22" i="2"/>
  <c r="H23" i="2"/>
  <c r="H24" i="2"/>
  <c r="H17" i="2"/>
  <c r="H18" i="2"/>
  <c r="H33" i="2"/>
  <c r="H38" i="2"/>
  <c r="H34" i="2"/>
  <c r="H39" i="2"/>
  <c r="H28" i="2"/>
  <c r="H7" i="2"/>
  <c r="H8" i="2"/>
  <c r="H9" i="2"/>
  <c r="H2" i="2"/>
</calcChain>
</file>

<file path=xl/sharedStrings.xml><?xml version="1.0" encoding="utf-8"?>
<sst xmlns="http://schemas.openxmlformats.org/spreadsheetml/2006/main" count="1172" uniqueCount="232">
  <si>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</si>
  <si>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</si>
  <si>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</si>
  <si>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</si>
  <si>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</si>
  <si>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</si>
  <si>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</si>
  <si>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</si>
  <si>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</si>
  <si>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</si>
  <si>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</si>
  <si>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</si>
  <si>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</si>
  <si>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</si>
  <si>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</si>
  <si>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</si>
  <si>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</si>
  <si>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</si>
  <si>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</si>
  <si>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</si>
  <si>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</si>
  <si>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</si>
  <si>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</si>
  <si>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</si>
  <si>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</si>
  <si>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</si>
  <si>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</si>
  <si>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</si>
  <si>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</si>
  <si>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</si>
  <si>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</si>
  <si>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</si>
  <si>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</si>
  <si>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11/28/2025</t>
  </si>
  <si>
    <t>WALENGA, DALE J</t>
  </si>
  <si>
    <t>0094173481</t>
  </si>
  <si>
    <t>CYBERLIFE 10.01</t>
  </si>
  <si>
    <t>6602026253</t>
  </si>
  <si>
    <t>N</t>
  </si>
  <si>
    <t>Khi</t>
  </si>
  <si>
    <t>TD545B</t>
  </si>
  <si>
    <t>Ord Life</t>
  </si>
  <si>
    <t>02/04/2025</t>
  </si>
  <si>
    <t>12/04/2025</t>
  </si>
  <si>
    <t>Monthly</t>
  </si>
  <si>
    <t>OW 1st Yr</t>
  </si>
  <si>
    <t>6602026267</t>
  </si>
  <si>
    <t>02/21/2025</t>
  </si>
  <si>
    <t>12/21/2025</t>
  </si>
  <si>
    <t>6602036702</t>
  </si>
  <si>
    <t>Lowe</t>
  </si>
  <si>
    <t>TD554A</t>
  </si>
  <si>
    <t>03/24/2025</t>
  </si>
  <si>
    <t>12/24/2025</t>
  </si>
  <si>
    <t xml:space="preserve">PORTUGAL, GARY </t>
  </si>
  <si>
    <t>0094173945</t>
  </si>
  <si>
    <t>6602141191</t>
  </si>
  <si>
    <t>Gomez Salgado</t>
  </si>
  <si>
    <t>TD5G4D</t>
  </si>
  <si>
    <t>07/27/2025</t>
  </si>
  <si>
    <t>11/27/2025</t>
  </si>
  <si>
    <t xml:space="preserve">PETRUNGARO, ANDREA </t>
  </si>
  <si>
    <t>0094175599</t>
  </si>
  <si>
    <t>6602088836</t>
  </si>
  <si>
    <t>Savastano</t>
  </si>
  <si>
    <t>05/01/2025</t>
  </si>
  <si>
    <t>12/01/2025</t>
  </si>
  <si>
    <t>WERNER, STEVEN D</t>
  </si>
  <si>
    <t>0094176097</t>
  </si>
  <si>
    <t>6602136573</t>
  </si>
  <si>
    <t>Rosenblat</t>
  </si>
  <si>
    <t>07/14/2025</t>
  </si>
  <si>
    <t>12/14/2025</t>
  </si>
  <si>
    <t>6602136587</t>
  </si>
  <si>
    <t>PARDUE, THOMAS D</t>
  </si>
  <si>
    <t>0094177200</t>
  </si>
  <si>
    <t>6602087872</t>
  </si>
  <si>
    <t>Carroll</t>
  </si>
  <si>
    <t>TD551C</t>
  </si>
  <si>
    <t>05/27/2025</t>
  </si>
  <si>
    <t>12/27/2025</t>
  </si>
  <si>
    <t>6602087960</t>
  </si>
  <si>
    <t>MLSR156747</t>
  </si>
  <si>
    <t>Active</t>
  </si>
  <si>
    <t/>
  </si>
  <si>
    <t>RICHTER, PETER L</t>
  </si>
  <si>
    <t>MLSR112897</t>
  </si>
  <si>
    <t>6602183190</t>
  </si>
  <si>
    <t>Stephens</t>
  </si>
  <si>
    <t>TD560C</t>
  </si>
  <si>
    <t>09/05/2025</t>
  </si>
  <si>
    <t>12/05/2025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</si>
  <si>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</si>
  <si>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</si>
  <si>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</si>
  <si>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</si>
  <si>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</si>
  <si>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</si>
  <si>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</si>
  <si>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</si>
  <si>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</si>
  <si>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</si>
  <si>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</si>
  <si>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12/02/2025</t>
  </si>
  <si>
    <t>FEXB191214</t>
  </si>
  <si>
    <t>Primikirios</t>
  </si>
  <si>
    <t>10/16/2025</t>
  </si>
  <si>
    <t>12/16/2025</t>
  </si>
  <si>
    <t>FEXB191242</t>
  </si>
  <si>
    <t>FEXB198796</t>
  </si>
  <si>
    <t>Geary</t>
  </si>
  <si>
    <t>10/23/2025</t>
  </si>
  <si>
    <t>12/23/2025</t>
  </si>
  <si>
    <t>FEXB239147</t>
  </si>
  <si>
    <t>Y</t>
  </si>
  <si>
    <t>Fortier</t>
  </si>
  <si>
    <t>11/26/2025</t>
  </si>
  <si>
    <t>12/26/2025</t>
  </si>
  <si>
    <t>6602188799</t>
  </si>
  <si>
    <t>Harry</t>
  </si>
  <si>
    <t>TD5E6D</t>
  </si>
  <si>
    <t>09/11/2025</t>
  </si>
  <si>
    <t>12/11/2025</t>
  </si>
  <si>
    <t>FINNIGAN, COLLEEN J</t>
  </si>
  <si>
    <t>MLSR119024</t>
  </si>
  <si>
    <t>LFC010566</t>
  </si>
  <si>
    <t>Carso</t>
  </si>
  <si>
    <t>TD12KC</t>
  </si>
  <si>
    <t>06/20/2025</t>
  </si>
  <si>
    <t>12/20/2025</t>
  </si>
  <si>
    <t xml:space="preserve">MCCORKLE, MICHELLE </t>
  </si>
  <si>
    <t>MLSR126064</t>
  </si>
  <si>
    <t>FEX467271</t>
  </si>
  <si>
    <t>Rowan</t>
  </si>
  <si>
    <t>TD12KU</t>
  </si>
  <si>
    <t>10/01/2025</t>
  </si>
  <si>
    <t>KUCAN, THOMAS P</t>
  </si>
  <si>
    <t>MLSR129779</t>
  </si>
  <si>
    <t>FEXB172200</t>
  </si>
  <si>
    <t>Harbaugh</t>
  </si>
  <si>
    <t>YALE, JACOB D</t>
  </si>
  <si>
    <t>MLSR137413</t>
  </si>
  <si>
    <t>6602159017</t>
  </si>
  <si>
    <t>Jurcak</t>
  </si>
  <si>
    <t>TD555B</t>
  </si>
  <si>
    <t>10/08/2025</t>
  </si>
  <si>
    <t>12/08/2025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</si>
  <si>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</si>
  <si>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</si>
  <si>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</si>
  <si>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</si>
  <si>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</si>
  <si>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</si>
  <si>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</si>
  <si>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12/12/2025</t>
  </si>
  <si>
    <t>6602191155</t>
  </si>
  <si>
    <t>09/27/2025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</si>
  <si>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</si>
  <si>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</si>
  <si>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</si>
  <si>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</si>
  <si>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</si>
  <si>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</si>
  <si>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</si>
  <si>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</si>
  <si>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12/03/2025</t>
  </si>
  <si>
    <t>6602234573</t>
  </si>
  <si>
    <t>Dantonio</t>
  </si>
  <si>
    <t>11/13/2025</t>
  </si>
  <si>
    <t>12/13/2025</t>
  </si>
  <si>
    <t>ZANA, NASANDELGER M</t>
  </si>
  <si>
    <t>MLSR137577</t>
  </si>
  <si>
    <t>6602214405</t>
  </si>
  <si>
    <t>Battulga</t>
  </si>
  <si>
    <t>TD555A</t>
  </si>
  <si>
    <t>11/10/2025</t>
  </si>
  <si>
    <t>12/10/2025</t>
  </si>
  <si>
    <t>Tsend</t>
  </si>
  <si>
    <t>11/20/2025</t>
  </si>
  <si>
    <t>6602239949</t>
  </si>
  <si>
    <t>Sosorbaram</t>
  </si>
  <si>
    <t>11/24/2025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</si>
  <si>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</si>
  <si>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</si>
  <si>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</si>
  <si>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</si>
  <si>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</si>
  <si>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</si>
  <si>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</si>
  <si>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</si>
  <si>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</si>
  <si>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</si>
  <si>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</si>
  <si>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</si>
  <si>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</si>
  <si>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</si>
  <si>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</si>
  <si>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</si>
  <si>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BRANDT, STEVEN K</t>
  </si>
  <si>
    <t>MLSR170457</t>
  </si>
  <si>
    <t>6602202592</t>
  </si>
  <si>
    <t>Miller</t>
  </si>
  <si>
    <t>11/07/2025</t>
  </si>
  <si>
    <t>12/07/2025</t>
  </si>
  <si>
    <t>MLSR170622</t>
  </si>
  <si>
    <t>6602238849</t>
  </si>
  <si>
    <t>Lacy</t>
  </si>
  <si>
    <t>MLSR171034</t>
  </si>
  <si>
    <t>6602065974</t>
  </si>
  <si>
    <t>Apelian</t>
  </si>
  <si>
    <t>08/15/2025</t>
  </si>
  <si>
    <t>12/15/2025</t>
  </si>
  <si>
    <t xml:space="preserve">LYTLE, DOMINIC </t>
  </si>
  <si>
    <t>MLSR179936</t>
  </si>
  <si>
    <t>6602217769</t>
  </si>
  <si>
    <t>Gorantla</t>
  </si>
  <si>
    <t>TD534F</t>
  </si>
  <si>
    <t>11/11/2025</t>
  </si>
  <si>
    <t>Trendsetter LB 15 Year 105 2023</t>
  </si>
  <si>
    <t>Trendsetter LB 20 25 30 Year 2025</t>
  </si>
  <si>
    <t>Trendsetter Super 15 Year</t>
  </si>
  <si>
    <t>Trendsetter LB 20 25 30 Year 115 2023</t>
  </si>
  <si>
    <t>10 Pay Solution 186 2024</t>
  </si>
  <si>
    <t>Lifetime WL A48 150</t>
  </si>
  <si>
    <t>18710070N</t>
  </si>
  <si>
    <t>RN</t>
  </si>
  <si>
    <t>AV1</t>
  </si>
  <si>
    <t>NB</t>
  </si>
  <si>
    <t>AV</t>
  </si>
  <si>
    <t>AE</t>
  </si>
  <si>
    <t>371819AV9</t>
  </si>
  <si>
    <t>20220688AV9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</si>
</sst>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9" fontId="0" fillId="2" borderId="0" xfId="1" applyFont="1" applyFill="1" applyAlignment="1">
      <alignment wrapText="1"/>
    </xf>
    <xf numFmtId="0" fontId="0" fillId="2" borderId="0" xfId="0" applyFill="1" applyAlignment="1">
      <alignment horizontal="left" wrapText="1"/>
    </xf>
    <xf numFmtId="0" fontId="0" fillId="2" borderId="0" xfId="0" applyNumberForma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NumberFormat="1" applyFill="1" applyAlignment="1">
      <alignment horizontal="left" wrapText="1"/>
    </xf>
    <xf numFmtId="9" fontId="0" fillId="0" borderId="0" xfId="1" applyFont="1" applyFill="1" applyAlignment="1">
      <alignment wrapText="1"/>
    </xf>
    <xf numFmtId="0" fontId="0" fillId="0" borderId="0" xfId="0" applyFill="1" applyAlignment="1">
      <alignment horizontal="left" wrapText="1"/>
    </xf>
    <xf numFmtId="0" fontId="2" fillId="0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NumberFormat="1" applyFont="1" applyFill="1" applyAlignment="1">
      <alignment horizontal="left" wrapText="1"/>
    </xf>
    <xf numFmtId="9" fontId="3" fillId="2" borderId="0" xfId="1" applyFont="1" applyFill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0E27-7180-46D9-B876-14BB3C66EFD1}">
  <sheetPr>
    <outlinePr summaryBelow="0" summaryRight="0"/>
    <pageSetUpPr autoPageBreaks="0" fitToPage="1"/>
  </sheetPr>
  <dimension ref="A1:AA41"/>
  <sheetViews>
    <sheetView workbookViewId="0">
      <pane ySplit="1" topLeftCell="A2" activePane="bottomLeft" state="frozen"/>
      <selection activeCell="F1" sqref="F1"/>
      <selection pane="bottomLeft" sqref="A1:XFD1048576"/>
    </sheetView>
  </sheetViews>
  <sheetFormatPr defaultRowHeight="12.75" x14ac:dyDescent="0.2"/>
  <cols>
    <col min="1" max="256" width="33.140625" customWidth="1"/>
  </cols>
  <sheetData>
    <row r="1" spans="1:27" s="2" customFormat="1" ht="25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88.83</v>
      </c>
      <c r="V4">
        <v>0</v>
      </c>
      <c r="W4">
        <v>1</v>
      </c>
      <c r="X4">
        <v>1.05</v>
      </c>
      <c r="Y4">
        <v>93.27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55</v>
      </c>
      <c r="J5" t="s">
        <v>36</v>
      </c>
      <c r="K5" t="s">
        <v>56</v>
      </c>
      <c r="L5" t="s">
        <v>38</v>
      </c>
      <c r="M5" t="s">
        <v>57</v>
      </c>
      <c r="N5" t="s">
        <v>58</v>
      </c>
      <c r="O5" t="s">
        <v>41</v>
      </c>
      <c r="P5" t="s">
        <v>59</v>
      </c>
      <c r="Q5" t="s">
        <v>60</v>
      </c>
      <c r="R5" t="s">
        <v>44</v>
      </c>
      <c r="S5" t="s">
        <v>45</v>
      </c>
      <c r="T5">
        <v>0</v>
      </c>
      <c r="U5">
        <v>47.26</v>
      </c>
      <c r="V5">
        <v>0</v>
      </c>
      <c r="W5">
        <v>1</v>
      </c>
      <c r="X5">
        <v>1.1499999999999999</v>
      </c>
      <c r="Y5">
        <v>54.35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61</v>
      </c>
      <c r="I6" t="s">
        <v>62</v>
      </c>
      <c r="J6" t="s">
        <v>36</v>
      </c>
      <c r="K6" t="s">
        <v>63</v>
      </c>
      <c r="L6" t="s">
        <v>38</v>
      </c>
      <c r="M6" t="s">
        <v>64</v>
      </c>
      <c r="N6" t="s">
        <v>40</v>
      </c>
      <c r="O6" t="s">
        <v>41</v>
      </c>
      <c r="P6" t="s">
        <v>65</v>
      </c>
      <c r="Q6" t="s">
        <v>66</v>
      </c>
      <c r="R6" t="s">
        <v>44</v>
      </c>
      <c r="S6" t="s">
        <v>45</v>
      </c>
      <c r="T6">
        <v>0</v>
      </c>
      <c r="U6">
        <v>53.32</v>
      </c>
      <c r="V6">
        <v>0</v>
      </c>
      <c r="W6">
        <v>1</v>
      </c>
      <c r="X6">
        <v>1.1499999999999999</v>
      </c>
      <c r="Y6">
        <v>61.32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67</v>
      </c>
      <c r="I7" t="s">
        <v>68</v>
      </c>
      <c r="J7" t="s">
        <v>36</v>
      </c>
      <c r="K7" t="s">
        <v>69</v>
      </c>
      <c r="L7" t="s">
        <v>38</v>
      </c>
      <c r="M7" t="s">
        <v>70</v>
      </c>
      <c r="N7" t="s">
        <v>58</v>
      </c>
      <c r="O7" t="s">
        <v>41</v>
      </c>
      <c r="P7" t="s">
        <v>71</v>
      </c>
      <c r="Q7" t="s">
        <v>72</v>
      </c>
      <c r="R7" t="s">
        <v>44</v>
      </c>
      <c r="S7" t="s">
        <v>45</v>
      </c>
      <c r="T7">
        <v>0</v>
      </c>
      <c r="U7">
        <v>87.55</v>
      </c>
      <c r="V7">
        <v>0</v>
      </c>
      <c r="W7">
        <v>1</v>
      </c>
      <c r="X7">
        <v>1.1499999999999999</v>
      </c>
      <c r="Y7">
        <v>100.68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67</v>
      </c>
      <c r="I8" t="s">
        <v>68</v>
      </c>
      <c r="J8" t="s">
        <v>36</v>
      </c>
      <c r="K8" t="s">
        <v>73</v>
      </c>
      <c r="L8" t="s">
        <v>38</v>
      </c>
      <c r="M8" t="s">
        <v>70</v>
      </c>
      <c r="N8" t="s">
        <v>58</v>
      </c>
      <c r="O8" t="s">
        <v>41</v>
      </c>
      <c r="P8" t="s">
        <v>71</v>
      </c>
      <c r="Q8" t="s">
        <v>72</v>
      </c>
      <c r="R8" t="s">
        <v>44</v>
      </c>
      <c r="S8" t="s">
        <v>45</v>
      </c>
      <c r="T8">
        <v>0</v>
      </c>
      <c r="U8">
        <v>170.85</v>
      </c>
      <c r="V8">
        <v>0</v>
      </c>
      <c r="W8">
        <v>1</v>
      </c>
      <c r="X8">
        <v>1.1499999999999999</v>
      </c>
      <c r="Y8">
        <v>196.48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74</v>
      </c>
      <c r="I9" t="s">
        <v>75</v>
      </c>
      <c r="J9" t="s">
        <v>36</v>
      </c>
      <c r="K9" t="s">
        <v>76</v>
      </c>
      <c r="L9" t="s">
        <v>38</v>
      </c>
      <c r="M9" t="s">
        <v>77</v>
      </c>
      <c r="N9" t="s">
        <v>78</v>
      </c>
      <c r="O9" t="s">
        <v>41</v>
      </c>
      <c r="P9" t="s">
        <v>79</v>
      </c>
      <c r="Q9" t="s">
        <v>80</v>
      </c>
      <c r="R9" t="s">
        <v>44</v>
      </c>
      <c r="S9" t="s">
        <v>45</v>
      </c>
      <c r="T9">
        <v>0</v>
      </c>
      <c r="U9">
        <v>80.84</v>
      </c>
      <c r="V9">
        <v>0</v>
      </c>
      <c r="W9">
        <v>1</v>
      </c>
      <c r="X9">
        <v>1.25</v>
      </c>
      <c r="Y9">
        <v>101.05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74</v>
      </c>
      <c r="I10" t="s">
        <v>75</v>
      </c>
      <c r="J10" t="s">
        <v>36</v>
      </c>
      <c r="K10" t="s">
        <v>81</v>
      </c>
      <c r="L10" t="s">
        <v>38</v>
      </c>
      <c r="M10" t="s">
        <v>77</v>
      </c>
      <c r="N10" t="s">
        <v>78</v>
      </c>
      <c r="O10" t="s">
        <v>41</v>
      </c>
      <c r="P10" t="s">
        <v>79</v>
      </c>
      <c r="Q10" t="s">
        <v>80</v>
      </c>
      <c r="R10" t="s">
        <v>44</v>
      </c>
      <c r="S10" t="s">
        <v>45</v>
      </c>
      <c r="T10">
        <v>0</v>
      </c>
      <c r="U10">
        <v>56.76</v>
      </c>
      <c r="V10">
        <v>0</v>
      </c>
      <c r="W10">
        <v>1</v>
      </c>
      <c r="X10">
        <v>1.25</v>
      </c>
      <c r="Y10">
        <v>70.95</v>
      </c>
      <c r="Z10">
        <v>0</v>
      </c>
      <c r="AA10">
        <v>0</v>
      </c>
    </row>
    <row r="11" spans="1:27" x14ac:dyDescent="0.2">
      <c r="A11" t="s">
        <v>27</v>
      </c>
      <c r="B11" t="s">
        <v>82</v>
      </c>
      <c r="C11" t="s">
        <v>83</v>
      </c>
      <c r="D11" t="s">
        <v>30</v>
      </c>
      <c r="E11" t="s">
        <v>84</v>
      </c>
      <c r="F11" t="s">
        <v>32</v>
      </c>
      <c r="G11" t="s">
        <v>33</v>
      </c>
      <c r="H11" t="s">
        <v>85</v>
      </c>
      <c r="I11" t="s">
        <v>86</v>
      </c>
      <c r="J11" t="s">
        <v>36</v>
      </c>
      <c r="K11" t="s">
        <v>87</v>
      </c>
      <c r="L11" t="s">
        <v>38</v>
      </c>
      <c r="M11" t="s">
        <v>88</v>
      </c>
      <c r="N11" t="s">
        <v>89</v>
      </c>
      <c r="O11" t="s">
        <v>41</v>
      </c>
      <c r="P11" t="s">
        <v>90</v>
      </c>
      <c r="Q11" t="s">
        <v>91</v>
      </c>
      <c r="R11" t="s">
        <v>44</v>
      </c>
      <c r="S11" t="s">
        <v>45</v>
      </c>
      <c r="T11">
        <v>0</v>
      </c>
      <c r="U11">
        <v>44.63</v>
      </c>
      <c r="V11">
        <v>0</v>
      </c>
      <c r="W11">
        <v>1</v>
      </c>
      <c r="X11">
        <v>1.1499999999999999</v>
      </c>
      <c r="Y11">
        <v>51.32</v>
      </c>
      <c r="Z11">
        <v>0.25</v>
      </c>
      <c r="AA11">
        <v>12.83</v>
      </c>
    </row>
    <row r="12" spans="1:27" x14ac:dyDescent="0.2">
      <c r="A12" t="s">
        <v>27</v>
      </c>
      <c r="B12" t="s">
        <v>82</v>
      </c>
      <c r="C12" t="s">
        <v>83</v>
      </c>
      <c r="D12" t="s">
        <v>30</v>
      </c>
      <c r="E12" t="s">
        <v>84</v>
      </c>
      <c r="F12" t="s">
        <v>32</v>
      </c>
      <c r="G12" t="s">
        <v>33</v>
      </c>
      <c r="H12" t="s">
        <v>92</v>
      </c>
      <c r="I12" t="s">
        <v>93</v>
      </c>
      <c r="J12" t="s">
        <v>94</v>
      </c>
      <c r="K12" t="s">
        <v>95</v>
      </c>
      <c r="L12" t="s">
        <v>38</v>
      </c>
      <c r="M12" t="s">
        <v>96</v>
      </c>
      <c r="N12" t="s">
        <v>97</v>
      </c>
      <c r="O12" t="s">
        <v>41</v>
      </c>
      <c r="P12" t="s">
        <v>98</v>
      </c>
      <c r="Q12" t="s">
        <v>66</v>
      </c>
      <c r="R12" t="s">
        <v>44</v>
      </c>
      <c r="S12" t="s">
        <v>45</v>
      </c>
      <c r="T12">
        <v>0</v>
      </c>
      <c r="U12">
        <v>164.56</v>
      </c>
      <c r="V12">
        <v>0</v>
      </c>
      <c r="W12">
        <v>1</v>
      </c>
      <c r="X12">
        <v>1.5</v>
      </c>
      <c r="Y12">
        <v>246.84</v>
      </c>
      <c r="Z12">
        <v>0.25</v>
      </c>
      <c r="AA12">
        <v>61.71</v>
      </c>
    </row>
    <row r="13" spans="1:27" x14ac:dyDescent="0.2">
      <c r="A13" t="s">
        <v>27</v>
      </c>
      <c r="B13" t="s">
        <v>82</v>
      </c>
      <c r="C13" t="s">
        <v>83</v>
      </c>
      <c r="D13" t="s">
        <v>30</v>
      </c>
      <c r="E13" t="s">
        <v>84</v>
      </c>
      <c r="F13" t="s">
        <v>32</v>
      </c>
      <c r="G13" t="s">
        <v>33</v>
      </c>
      <c r="H13" t="s">
        <v>92</v>
      </c>
      <c r="I13" t="s">
        <v>93</v>
      </c>
      <c r="J13" t="s">
        <v>94</v>
      </c>
      <c r="K13" t="s">
        <v>99</v>
      </c>
      <c r="L13" t="s">
        <v>38</v>
      </c>
      <c r="M13" t="s">
        <v>100</v>
      </c>
      <c r="N13" t="s">
        <v>101</v>
      </c>
      <c r="O13" t="s">
        <v>41</v>
      </c>
      <c r="P13" t="s">
        <v>102</v>
      </c>
      <c r="Q13" t="s">
        <v>103</v>
      </c>
      <c r="R13" t="s">
        <v>44</v>
      </c>
      <c r="S13" t="s">
        <v>45</v>
      </c>
      <c r="T13">
        <v>0</v>
      </c>
      <c r="U13">
        <v>65.48</v>
      </c>
      <c r="V13">
        <v>0</v>
      </c>
      <c r="W13">
        <v>1</v>
      </c>
      <c r="X13">
        <v>1.08</v>
      </c>
      <c r="Y13">
        <v>70.72</v>
      </c>
      <c r="Z13">
        <v>0.25</v>
      </c>
      <c r="AA13">
        <v>17.68</v>
      </c>
    </row>
    <row r="14" spans="1:27" x14ac:dyDescent="0.2">
      <c r="A14" t="s">
        <v>27</v>
      </c>
      <c r="B14" t="s">
        <v>82</v>
      </c>
      <c r="C14" t="s">
        <v>83</v>
      </c>
      <c r="D14" t="s">
        <v>30</v>
      </c>
      <c r="E14" t="s">
        <v>84</v>
      </c>
      <c r="F14" t="s">
        <v>32</v>
      </c>
      <c r="G14" t="s">
        <v>33</v>
      </c>
      <c r="H14" t="s">
        <v>92</v>
      </c>
      <c r="I14" t="s">
        <v>93</v>
      </c>
      <c r="J14" t="s">
        <v>94</v>
      </c>
      <c r="K14" t="s">
        <v>104</v>
      </c>
      <c r="L14" t="s">
        <v>38</v>
      </c>
      <c r="M14" t="s">
        <v>105</v>
      </c>
      <c r="N14" t="s">
        <v>97</v>
      </c>
      <c r="O14" t="s">
        <v>41</v>
      </c>
      <c r="P14" t="s">
        <v>106</v>
      </c>
      <c r="Q14" t="s">
        <v>107</v>
      </c>
      <c r="R14" t="s">
        <v>44</v>
      </c>
      <c r="S14" t="s">
        <v>45</v>
      </c>
      <c r="T14">
        <v>0</v>
      </c>
      <c r="U14">
        <v>58.13</v>
      </c>
      <c r="V14">
        <v>0</v>
      </c>
      <c r="W14">
        <v>1</v>
      </c>
      <c r="X14">
        <v>1.5</v>
      </c>
      <c r="Y14">
        <v>87.2</v>
      </c>
      <c r="Z14">
        <v>0.999</v>
      </c>
      <c r="AA14">
        <v>87.11</v>
      </c>
    </row>
    <row r="15" spans="1:27" x14ac:dyDescent="0.2">
      <c r="A15" t="s">
        <v>27</v>
      </c>
      <c r="B15" t="s">
        <v>82</v>
      </c>
      <c r="C15" t="s">
        <v>83</v>
      </c>
      <c r="D15" t="s">
        <v>30</v>
      </c>
      <c r="E15" t="s">
        <v>84</v>
      </c>
      <c r="F15" t="s">
        <v>32</v>
      </c>
      <c r="G15" t="s">
        <v>33</v>
      </c>
      <c r="H15" t="s">
        <v>92</v>
      </c>
      <c r="I15" t="s">
        <v>93</v>
      </c>
      <c r="J15" t="s">
        <v>94</v>
      </c>
      <c r="K15" t="s">
        <v>108</v>
      </c>
      <c r="L15" t="s">
        <v>38</v>
      </c>
      <c r="M15" t="s">
        <v>105</v>
      </c>
      <c r="N15" t="s">
        <v>97</v>
      </c>
      <c r="O15" t="s">
        <v>41</v>
      </c>
      <c r="P15" t="s">
        <v>106</v>
      </c>
      <c r="Q15" t="s">
        <v>107</v>
      </c>
      <c r="R15" t="s">
        <v>44</v>
      </c>
      <c r="S15" t="s">
        <v>45</v>
      </c>
      <c r="T15">
        <v>0</v>
      </c>
      <c r="U15">
        <v>79.28</v>
      </c>
      <c r="V15">
        <v>0</v>
      </c>
      <c r="W15">
        <v>1</v>
      </c>
      <c r="X15">
        <v>1.5</v>
      </c>
      <c r="Y15">
        <v>118.92</v>
      </c>
      <c r="Z15">
        <v>0.999</v>
      </c>
      <c r="AA15">
        <v>118.8</v>
      </c>
    </row>
    <row r="16" spans="1:27" x14ac:dyDescent="0.2">
      <c r="A16" t="s">
        <v>27</v>
      </c>
      <c r="B16" t="s">
        <v>82</v>
      </c>
      <c r="C16" t="s">
        <v>83</v>
      </c>
      <c r="D16" t="s">
        <v>30</v>
      </c>
      <c r="E16" t="s">
        <v>84</v>
      </c>
      <c r="F16" t="s">
        <v>32</v>
      </c>
      <c r="G16" t="s">
        <v>33</v>
      </c>
      <c r="H16" t="s">
        <v>92</v>
      </c>
      <c r="I16" t="s">
        <v>93</v>
      </c>
      <c r="J16" t="s">
        <v>94</v>
      </c>
      <c r="K16" t="s">
        <v>109</v>
      </c>
      <c r="L16" t="s">
        <v>38</v>
      </c>
      <c r="M16" t="s">
        <v>110</v>
      </c>
      <c r="N16" t="s">
        <v>97</v>
      </c>
      <c r="O16" t="s">
        <v>41</v>
      </c>
      <c r="P16" t="s">
        <v>111</v>
      </c>
      <c r="Q16" t="s">
        <v>112</v>
      </c>
      <c r="R16" t="s">
        <v>44</v>
      </c>
      <c r="S16" t="s">
        <v>45</v>
      </c>
      <c r="T16">
        <v>0</v>
      </c>
      <c r="U16">
        <v>110.16</v>
      </c>
      <c r="V16">
        <v>0</v>
      </c>
      <c r="W16">
        <v>1</v>
      </c>
      <c r="X16">
        <v>1.5</v>
      </c>
      <c r="Y16">
        <v>165.24</v>
      </c>
      <c r="Z16">
        <v>0.25</v>
      </c>
      <c r="AA16">
        <v>41.31</v>
      </c>
    </row>
    <row r="17" spans="1:27" x14ac:dyDescent="0.2">
      <c r="A17" t="s">
        <v>27</v>
      </c>
      <c r="B17" t="s">
        <v>82</v>
      </c>
      <c r="C17" t="s">
        <v>83</v>
      </c>
      <c r="D17" t="s">
        <v>30</v>
      </c>
      <c r="E17" t="s">
        <v>84</v>
      </c>
      <c r="F17" t="s">
        <v>32</v>
      </c>
      <c r="G17" t="s">
        <v>33</v>
      </c>
      <c r="H17" t="s">
        <v>92</v>
      </c>
      <c r="I17" t="s">
        <v>93</v>
      </c>
      <c r="J17" t="s">
        <v>94</v>
      </c>
      <c r="K17" t="s">
        <v>113</v>
      </c>
      <c r="L17" t="s">
        <v>114</v>
      </c>
      <c r="M17" t="s">
        <v>115</v>
      </c>
      <c r="N17" t="s">
        <v>97</v>
      </c>
      <c r="O17" t="s">
        <v>41</v>
      </c>
      <c r="P17" t="s">
        <v>116</v>
      </c>
      <c r="Q17" t="s">
        <v>117</v>
      </c>
      <c r="R17" t="s">
        <v>44</v>
      </c>
      <c r="S17" t="s">
        <v>45</v>
      </c>
      <c r="T17">
        <v>0</v>
      </c>
      <c r="U17">
        <v>153.94</v>
      </c>
      <c r="V17">
        <v>0</v>
      </c>
      <c r="W17">
        <v>1</v>
      </c>
      <c r="X17">
        <v>1.5</v>
      </c>
      <c r="Y17">
        <v>230.91</v>
      </c>
      <c r="Z17">
        <v>0.25</v>
      </c>
      <c r="AA17">
        <v>57.73</v>
      </c>
    </row>
    <row r="18" spans="1:27" x14ac:dyDescent="0.2">
      <c r="A18" t="s">
        <v>27</v>
      </c>
      <c r="B18" t="s">
        <v>82</v>
      </c>
      <c r="C18" t="s">
        <v>83</v>
      </c>
      <c r="D18" t="s">
        <v>30</v>
      </c>
      <c r="E18" t="s">
        <v>84</v>
      </c>
      <c r="F18" t="s">
        <v>32</v>
      </c>
      <c r="G18" t="s">
        <v>33</v>
      </c>
      <c r="H18" t="s">
        <v>92</v>
      </c>
      <c r="I18" t="s">
        <v>93</v>
      </c>
      <c r="J18" t="s">
        <v>36</v>
      </c>
      <c r="K18" t="s">
        <v>118</v>
      </c>
      <c r="L18" t="s">
        <v>38</v>
      </c>
      <c r="M18" t="s">
        <v>119</v>
      </c>
      <c r="N18" t="s">
        <v>120</v>
      </c>
      <c r="O18" t="s">
        <v>41</v>
      </c>
      <c r="P18" t="s">
        <v>121</v>
      </c>
      <c r="Q18" t="s">
        <v>122</v>
      </c>
      <c r="R18" t="s">
        <v>44</v>
      </c>
      <c r="S18" t="s">
        <v>45</v>
      </c>
      <c r="T18">
        <v>0</v>
      </c>
      <c r="U18">
        <v>74.819999999999993</v>
      </c>
      <c r="V18">
        <v>0</v>
      </c>
      <c r="W18">
        <v>1</v>
      </c>
      <c r="X18">
        <v>1.25</v>
      </c>
      <c r="Y18">
        <v>93.53</v>
      </c>
      <c r="Z18">
        <v>0.25</v>
      </c>
      <c r="AA18">
        <v>23.38</v>
      </c>
    </row>
    <row r="19" spans="1:27" x14ac:dyDescent="0.2">
      <c r="A19" t="s">
        <v>27</v>
      </c>
      <c r="B19" t="s">
        <v>82</v>
      </c>
      <c r="C19" t="s">
        <v>83</v>
      </c>
      <c r="D19" t="s">
        <v>30</v>
      </c>
      <c r="E19" t="s">
        <v>84</v>
      </c>
      <c r="F19" t="s">
        <v>32</v>
      </c>
      <c r="G19" t="s">
        <v>33</v>
      </c>
      <c r="H19" t="s">
        <v>123</v>
      </c>
      <c r="I19" t="s">
        <v>124</v>
      </c>
      <c r="J19" t="s">
        <v>94</v>
      </c>
      <c r="K19" t="s">
        <v>125</v>
      </c>
      <c r="L19" t="s">
        <v>38</v>
      </c>
      <c r="M19" t="s">
        <v>126</v>
      </c>
      <c r="N19" t="s">
        <v>127</v>
      </c>
      <c r="O19" t="s">
        <v>41</v>
      </c>
      <c r="P19" t="s">
        <v>128</v>
      </c>
      <c r="Q19" t="s">
        <v>129</v>
      </c>
      <c r="R19" t="s">
        <v>44</v>
      </c>
      <c r="S19" t="s">
        <v>45</v>
      </c>
      <c r="T19">
        <v>0</v>
      </c>
      <c r="U19">
        <v>447.72</v>
      </c>
      <c r="V19">
        <v>0</v>
      </c>
      <c r="W19">
        <v>1</v>
      </c>
      <c r="X19">
        <v>1.5</v>
      </c>
      <c r="Y19">
        <v>671.58</v>
      </c>
      <c r="Z19">
        <v>0.25</v>
      </c>
      <c r="AA19">
        <v>167.9</v>
      </c>
    </row>
    <row r="20" spans="1:27" x14ac:dyDescent="0.2">
      <c r="A20" t="s">
        <v>27</v>
      </c>
      <c r="B20" t="s">
        <v>82</v>
      </c>
      <c r="C20" t="s">
        <v>83</v>
      </c>
      <c r="D20" t="s">
        <v>30</v>
      </c>
      <c r="E20" t="s">
        <v>84</v>
      </c>
      <c r="F20" t="s">
        <v>32</v>
      </c>
      <c r="G20" t="s">
        <v>33</v>
      </c>
      <c r="H20" t="s">
        <v>130</v>
      </c>
      <c r="I20" t="s">
        <v>131</v>
      </c>
      <c r="J20" t="s">
        <v>94</v>
      </c>
      <c r="K20" t="s">
        <v>132</v>
      </c>
      <c r="L20" t="s">
        <v>38</v>
      </c>
      <c r="M20" t="s">
        <v>133</v>
      </c>
      <c r="N20" t="s">
        <v>134</v>
      </c>
      <c r="O20" t="s">
        <v>41</v>
      </c>
      <c r="P20" t="s">
        <v>135</v>
      </c>
      <c r="Q20" t="s">
        <v>66</v>
      </c>
      <c r="R20" t="s">
        <v>44</v>
      </c>
      <c r="S20" t="s">
        <v>45</v>
      </c>
      <c r="T20">
        <v>0</v>
      </c>
      <c r="U20">
        <v>52.91</v>
      </c>
      <c r="V20">
        <v>0</v>
      </c>
      <c r="W20">
        <v>1</v>
      </c>
      <c r="X20">
        <v>1.18</v>
      </c>
      <c r="Y20">
        <v>62.43</v>
      </c>
      <c r="Z20">
        <v>0.25</v>
      </c>
      <c r="AA20">
        <v>15.61</v>
      </c>
    </row>
    <row r="21" spans="1:27" x14ac:dyDescent="0.2">
      <c r="A21" t="s">
        <v>27</v>
      </c>
      <c r="B21" t="s">
        <v>82</v>
      </c>
      <c r="C21" t="s">
        <v>83</v>
      </c>
      <c r="D21" t="s">
        <v>30</v>
      </c>
      <c r="E21" t="s">
        <v>84</v>
      </c>
      <c r="F21" t="s">
        <v>32</v>
      </c>
      <c r="G21" t="s">
        <v>33</v>
      </c>
      <c r="H21" t="s">
        <v>136</v>
      </c>
      <c r="I21" t="s">
        <v>137</v>
      </c>
      <c r="J21" t="s">
        <v>94</v>
      </c>
      <c r="K21" t="s">
        <v>138</v>
      </c>
      <c r="L21" t="s">
        <v>38</v>
      </c>
      <c r="M21" t="s">
        <v>139</v>
      </c>
      <c r="N21" t="s">
        <v>97</v>
      </c>
      <c r="O21" t="s">
        <v>41</v>
      </c>
      <c r="P21" t="s">
        <v>135</v>
      </c>
      <c r="Q21" t="s">
        <v>66</v>
      </c>
      <c r="R21" t="s">
        <v>44</v>
      </c>
      <c r="S21" t="s">
        <v>45</v>
      </c>
      <c r="T21">
        <v>0</v>
      </c>
      <c r="U21">
        <v>75.569999999999993</v>
      </c>
      <c r="V21">
        <v>0</v>
      </c>
      <c r="W21">
        <v>1</v>
      </c>
      <c r="X21">
        <v>1.5</v>
      </c>
      <c r="Y21">
        <v>113.36</v>
      </c>
      <c r="Z21">
        <v>0.25</v>
      </c>
      <c r="AA21">
        <v>28.34</v>
      </c>
    </row>
    <row r="22" spans="1:27" x14ac:dyDescent="0.2">
      <c r="A22" t="s">
        <v>27</v>
      </c>
      <c r="B22" t="s">
        <v>82</v>
      </c>
      <c r="C22" t="s">
        <v>83</v>
      </c>
      <c r="D22" t="s">
        <v>30</v>
      </c>
      <c r="E22" t="s">
        <v>84</v>
      </c>
      <c r="F22" t="s">
        <v>32</v>
      </c>
      <c r="G22" t="s">
        <v>33</v>
      </c>
      <c r="H22" t="s">
        <v>140</v>
      </c>
      <c r="I22" t="s">
        <v>141</v>
      </c>
      <c r="J22" t="s">
        <v>36</v>
      </c>
      <c r="K22" t="s">
        <v>142</v>
      </c>
      <c r="L22" t="s">
        <v>38</v>
      </c>
      <c r="M22" t="s">
        <v>143</v>
      </c>
      <c r="N22" t="s">
        <v>144</v>
      </c>
      <c r="O22" t="s">
        <v>41</v>
      </c>
      <c r="P22" t="s">
        <v>145</v>
      </c>
      <c r="Q22" t="s">
        <v>146</v>
      </c>
      <c r="R22" t="s">
        <v>44</v>
      </c>
      <c r="S22" t="s">
        <v>45</v>
      </c>
      <c r="T22">
        <v>0</v>
      </c>
      <c r="U22">
        <v>41.82</v>
      </c>
      <c r="V22">
        <v>0</v>
      </c>
      <c r="W22">
        <v>1</v>
      </c>
      <c r="X22">
        <v>1.1000000000000001</v>
      </c>
      <c r="Y22">
        <v>46</v>
      </c>
      <c r="Z22">
        <v>0.25</v>
      </c>
      <c r="AA22">
        <v>11.5</v>
      </c>
    </row>
    <row r="23" spans="1:27" x14ac:dyDescent="0.2">
      <c r="A23" t="s">
        <v>27</v>
      </c>
      <c r="B23" t="s">
        <v>82</v>
      </c>
      <c r="C23" t="s">
        <v>83</v>
      </c>
      <c r="D23" t="s">
        <v>30</v>
      </c>
      <c r="E23" t="s">
        <v>84</v>
      </c>
      <c r="F23" t="s">
        <v>32</v>
      </c>
      <c r="G23" t="s">
        <v>33</v>
      </c>
      <c r="H23" t="s">
        <v>140</v>
      </c>
      <c r="I23" t="s">
        <v>141</v>
      </c>
      <c r="J23" t="s">
        <v>36</v>
      </c>
      <c r="K23" t="s">
        <v>147</v>
      </c>
      <c r="L23" t="s">
        <v>38</v>
      </c>
      <c r="M23" t="s">
        <v>148</v>
      </c>
      <c r="N23" t="s">
        <v>89</v>
      </c>
      <c r="O23" t="s">
        <v>41</v>
      </c>
      <c r="P23" t="s">
        <v>149</v>
      </c>
      <c r="Q23" t="s">
        <v>107</v>
      </c>
      <c r="R23" t="s">
        <v>44</v>
      </c>
      <c r="S23" t="s">
        <v>45</v>
      </c>
      <c r="T23">
        <v>0</v>
      </c>
      <c r="U23">
        <v>35.700000000000003</v>
      </c>
      <c r="V23">
        <v>0</v>
      </c>
      <c r="W23">
        <v>1</v>
      </c>
      <c r="X23">
        <v>1.1499999999999999</v>
      </c>
      <c r="Y23">
        <v>41.06</v>
      </c>
      <c r="Z23">
        <v>0.25</v>
      </c>
      <c r="AA23">
        <v>10.27</v>
      </c>
    </row>
    <row r="24" spans="1:27" x14ac:dyDescent="0.2">
      <c r="A24" t="s">
        <v>27</v>
      </c>
      <c r="B24" t="s">
        <v>82</v>
      </c>
      <c r="C24" t="s">
        <v>83</v>
      </c>
      <c r="D24" t="s">
        <v>30</v>
      </c>
      <c r="E24" t="s">
        <v>84</v>
      </c>
      <c r="F24" t="s">
        <v>32</v>
      </c>
      <c r="G24" t="s">
        <v>33</v>
      </c>
      <c r="H24" t="s">
        <v>140</v>
      </c>
      <c r="I24" t="s">
        <v>141</v>
      </c>
      <c r="J24" t="s">
        <v>36</v>
      </c>
      <c r="K24" t="s">
        <v>150</v>
      </c>
      <c r="L24" t="s">
        <v>38</v>
      </c>
      <c r="M24" t="s">
        <v>148</v>
      </c>
      <c r="N24" t="s">
        <v>58</v>
      </c>
      <c r="O24" t="s">
        <v>41</v>
      </c>
      <c r="P24" t="s">
        <v>121</v>
      </c>
      <c r="Q24" t="s">
        <v>122</v>
      </c>
      <c r="R24" t="s">
        <v>44</v>
      </c>
      <c r="S24" t="s">
        <v>45</v>
      </c>
      <c r="T24">
        <v>0</v>
      </c>
      <c r="U24">
        <v>136.43</v>
      </c>
      <c r="V24">
        <v>0</v>
      </c>
      <c r="W24">
        <v>1</v>
      </c>
      <c r="X24">
        <v>1.1499999999999999</v>
      </c>
      <c r="Y24">
        <v>156.88999999999999</v>
      </c>
      <c r="Z24">
        <v>0.25</v>
      </c>
      <c r="AA24">
        <v>39.22</v>
      </c>
    </row>
    <row r="25" spans="1:27" x14ac:dyDescent="0.2">
      <c r="A25" t="s">
        <v>27</v>
      </c>
      <c r="B25" t="s">
        <v>82</v>
      </c>
      <c r="C25" t="s">
        <v>83</v>
      </c>
      <c r="D25" t="s">
        <v>30</v>
      </c>
      <c r="E25" t="s">
        <v>84</v>
      </c>
      <c r="F25" t="s">
        <v>32</v>
      </c>
      <c r="G25" t="s">
        <v>33</v>
      </c>
      <c r="H25" t="s">
        <v>140</v>
      </c>
      <c r="I25" t="s">
        <v>141</v>
      </c>
      <c r="J25" t="s">
        <v>36</v>
      </c>
      <c r="K25" t="s">
        <v>151</v>
      </c>
      <c r="L25" t="s">
        <v>114</v>
      </c>
      <c r="M25" t="s">
        <v>152</v>
      </c>
      <c r="N25" t="s">
        <v>58</v>
      </c>
      <c r="O25" t="s">
        <v>41</v>
      </c>
      <c r="P25" t="s">
        <v>153</v>
      </c>
      <c r="Q25" t="s">
        <v>154</v>
      </c>
      <c r="R25" t="s">
        <v>44</v>
      </c>
      <c r="S25" t="s">
        <v>45</v>
      </c>
      <c r="T25">
        <v>0</v>
      </c>
      <c r="U25">
        <v>284.75</v>
      </c>
      <c r="V25">
        <v>0</v>
      </c>
      <c r="W25">
        <v>1</v>
      </c>
      <c r="X25">
        <v>1.1499999999999999</v>
      </c>
      <c r="Y25">
        <v>327.45999999999998</v>
      </c>
      <c r="Z25">
        <v>0.25</v>
      </c>
      <c r="AA25">
        <v>81.87</v>
      </c>
    </row>
    <row r="26" spans="1:27" x14ac:dyDescent="0.2">
      <c r="A26" t="s">
        <v>27</v>
      </c>
      <c r="B26" t="s">
        <v>82</v>
      </c>
      <c r="C26" t="s">
        <v>83</v>
      </c>
      <c r="D26" t="s">
        <v>30</v>
      </c>
      <c r="E26" t="s">
        <v>84</v>
      </c>
      <c r="F26" t="s">
        <v>32</v>
      </c>
      <c r="G26" t="s">
        <v>33</v>
      </c>
      <c r="H26" t="s">
        <v>140</v>
      </c>
      <c r="I26" t="s">
        <v>141</v>
      </c>
      <c r="J26" t="s">
        <v>36</v>
      </c>
      <c r="K26" t="s">
        <v>155</v>
      </c>
      <c r="L26" t="s">
        <v>38</v>
      </c>
      <c r="M26" t="s">
        <v>152</v>
      </c>
      <c r="N26" t="s">
        <v>58</v>
      </c>
      <c r="O26" t="s">
        <v>41</v>
      </c>
      <c r="P26" t="s">
        <v>156</v>
      </c>
      <c r="Q26" t="s">
        <v>60</v>
      </c>
      <c r="R26" t="s">
        <v>44</v>
      </c>
      <c r="S26" t="s">
        <v>45</v>
      </c>
      <c r="T26">
        <v>0</v>
      </c>
      <c r="U26">
        <v>79.05</v>
      </c>
      <c r="V26">
        <v>0</v>
      </c>
      <c r="W26">
        <v>1</v>
      </c>
      <c r="X26">
        <v>1.1499999999999999</v>
      </c>
      <c r="Y26">
        <v>90.91</v>
      </c>
      <c r="Z26">
        <v>0.25</v>
      </c>
      <c r="AA26">
        <v>22.73</v>
      </c>
    </row>
    <row r="27" spans="1:27" x14ac:dyDescent="0.2">
      <c r="A27" t="s">
        <v>27</v>
      </c>
      <c r="B27" t="s">
        <v>82</v>
      </c>
      <c r="C27" t="s">
        <v>83</v>
      </c>
      <c r="D27" t="s">
        <v>30</v>
      </c>
      <c r="E27" t="s">
        <v>84</v>
      </c>
      <c r="F27" t="s">
        <v>32</v>
      </c>
      <c r="G27" t="s">
        <v>33</v>
      </c>
      <c r="H27" t="s">
        <v>157</v>
      </c>
      <c r="I27" t="s">
        <v>158</v>
      </c>
      <c r="J27" t="s">
        <v>36</v>
      </c>
      <c r="K27" t="s">
        <v>159</v>
      </c>
      <c r="L27" t="s">
        <v>38</v>
      </c>
      <c r="M27" t="s">
        <v>160</v>
      </c>
      <c r="N27" t="s">
        <v>78</v>
      </c>
      <c r="O27" t="s">
        <v>41</v>
      </c>
      <c r="P27" t="s">
        <v>161</v>
      </c>
      <c r="Q27" t="s">
        <v>60</v>
      </c>
      <c r="R27" t="s">
        <v>44</v>
      </c>
      <c r="S27" t="s">
        <v>45</v>
      </c>
      <c r="T27">
        <v>0</v>
      </c>
      <c r="U27">
        <v>38.96</v>
      </c>
      <c r="V27">
        <v>0</v>
      </c>
      <c r="W27">
        <v>1</v>
      </c>
      <c r="X27">
        <v>1.25</v>
      </c>
      <c r="Y27">
        <v>48.7</v>
      </c>
      <c r="Z27">
        <v>0.25</v>
      </c>
      <c r="AA27">
        <v>12.18</v>
      </c>
    </row>
    <row r="28" spans="1:27" x14ac:dyDescent="0.2">
      <c r="A28" t="s">
        <v>27</v>
      </c>
      <c r="B28" t="s">
        <v>82</v>
      </c>
      <c r="C28" t="s">
        <v>83</v>
      </c>
      <c r="D28" t="s">
        <v>30</v>
      </c>
      <c r="E28" t="s">
        <v>84</v>
      </c>
      <c r="F28" t="s">
        <v>32</v>
      </c>
      <c r="G28" t="s">
        <v>33</v>
      </c>
      <c r="H28" t="s">
        <v>157</v>
      </c>
      <c r="I28" t="s">
        <v>158</v>
      </c>
      <c r="J28" t="s">
        <v>36</v>
      </c>
      <c r="K28" t="s">
        <v>162</v>
      </c>
      <c r="L28" t="s">
        <v>38</v>
      </c>
      <c r="M28" t="s">
        <v>163</v>
      </c>
      <c r="N28" t="s">
        <v>120</v>
      </c>
      <c r="O28" t="s">
        <v>41</v>
      </c>
      <c r="P28" t="s">
        <v>164</v>
      </c>
      <c r="Q28" t="s">
        <v>165</v>
      </c>
      <c r="R28" t="s">
        <v>44</v>
      </c>
      <c r="S28" t="s">
        <v>45</v>
      </c>
      <c r="T28">
        <v>0</v>
      </c>
      <c r="U28">
        <v>30.1</v>
      </c>
      <c r="V28">
        <v>0</v>
      </c>
      <c r="W28">
        <v>1</v>
      </c>
      <c r="X28">
        <v>1.25</v>
      </c>
      <c r="Y28">
        <v>37.630000000000003</v>
      </c>
      <c r="Z28">
        <v>0.25</v>
      </c>
      <c r="AA28">
        <v>9.41</v>
      </c>
    </row>
    <row r="29" spans="1:27" x14ac:dyDescent="0.2">
      <c r="A29" t="s">
        <v>27</v>
      </c>
      <c r="B29" t="s">
        <v>82</v>
      </c>
      <c r="C29" t="s">
        <v>83</v>
      </c>
      <c r="D29" t="s">
        <v>30</v>
      </c>
      <c r="E29" t="s">
        <v>84</v>
      </c>
      <c r="F29" t="s">
        <v>32</v>
      </c>
      <c r="G29" t="s">
        <v>33</v>
      </c>
      <c r="H29" t="s">
        <v>157</v>
      </c>
      <c r="I29" t="s">
        <v>158</v>
      </c>
      <c r="J29" t="s">
        <v>36</v>
      </c>
      <c r="K29" t="s">
        <v>166</v>
      </c>
      <c r="L29" t="s">
        <v>114</v>
      </c>
      <c r="M29" t="s">
        <v>167</v>
      </c>
      <c r="N29" t="s">
        <v>120</v>
      </c>
      <c r="O29" t="s">
        <v>41</v>
      </c>
      <c r="P29" t="s">
        <v>168</v>
      </c>
      <c r="Q29" t="s">
        <v>169</v>
      </c>
      <c r="R29" t="s">
        <v>44</v>
      </c>
      <c r="S29" t="s">
        <v>45</v>
      </c>
      <c r="T29">
        <v>0</v>
      </c>
      <c r="U29">
        <v>67.94</v>
      </c>
      <c r="V29">
        <v>0</v>
      </c>
      <c r="W29">
        <v>1</v>
      </c>
      <c r="X29">
        <v>1.25</v>
      </c>
      <c r="Y29">
        <v>84.93</v>
      </c>
      <c r="Z29">
        <v>0.25</v>
      </c>
      <c r="AA29">
        <v>21.23</v>
      </c>
    </row>
    <row r="30" spans="1:27" x14ac:dyDescent="0.2">
      <c r="A30" t="s">
        <v>27</v>
      </c>
      <c r="B30" t="s">
        <v>82</v>
      </c>
      <c r="C30" t="s">
        <v>83</v>
      </c>
      <c r="D30" t="s">
        <v>30</v>
      </c>
      <c r="E30" t="s">
        <v>84</v>
      </c>
      <c r="F30" t="s">
        <v>32</v>
      </c>
      <c r="G30" t="s">
        <v>33</v>
      </c>
      <c r="H30" t="s">
        <v>170</v>
      </c>
      <c r="I30" t="s">
        <v>171</v>
      </c>
      <c r="J30" t="s">
        <v>36</v>
      </c>
      <c r="K30" t="s">
        <v>172</v>
      </c>
      <c r="L30" t="s">
        <v>114</v>
      </c>
      <c r="M30" t="s">
        <v>173</v>
      </c>
      <c r="N30" t="s">
        <v>174</v>
      </c>
      <c r="O30" t="s">
        <v>41</v>
      </c>
      <c r="P30" t="s">
        <v>175</v>
      </c>
      <c r="Q30" t="s">
        <v>176</v>
      </c>
      <c r="R30" t="s">
        <v>44</v>
      </c>
      <c r="S30" t="s">
        <v>45</v>
      </c>
      <c r="T30">
        <v>0</v>
      </c>
      <c r="U30">
        <v>19.13</v>
      </c>
      <c r="V30">
        <v>0</v>
      </c>
      <c r="W30">
        <v>1</v>
      </c>
      <c r="X30">
        <v>1.05</v>
      </c>
      <c r="Y30">
        <v>20.09</v>
      </c>
      <c r="Z30">
        <v>0.25</v>
      </c>
      <c r="AA30">
        <v>5.0199999999999996</v>
      </c>
    </row>
    <row r="31" spans="1:27" s="1" customFormat="1" x14ac:dyDescent="0.2">
      <c r="A31" s="1" t="s">
        <v>27</v>
      </c>
      <c r="B31" s="1" t="s">
        <v>82</v>
      </c>
      <c r="C31" s="1" t="s">
        <v>83</v>
      </c>
      <c r="D31" s="1" t="s">
        <v>30</v>
      </c>
      <c r="E31" s="1" t="s">
        <v>84</v>
      </c>
      <c r="F31" s="1" t="s">
        <v>32</v>
      </c>
      <c r="G31" s="1" t="s">
        <v>33</v>
      </c>
      <c r="H31" s="1" t="s">
        <v>170</v>
      </c>
      <c r="I31" s="1" t="s">
        <v>171</v>
      </c>
      <c r="J31" s="1" t="s">
        <v>36</v>
      </c>
      <c r="K31" s="1">
        <v>6602232153</v>
      </c>
      <c r="L31" s="1" t="s">
        <v>114</v>
      </c>
      <c r="M31" s="1" t="s">
        <v>177</v>
      </c>
      <c r="N31" s="1" t="s">
        <v>144</v>
      </c>
      <c r="O31" s="1" t="s">
        <v>41</v>
      </c>
      <c r="P31" s="1" t="s">
        <v>178</v>
      </c>
      <c r="Q31" s="1" t="s">
        <v>129</v>
      </c>
      <c r="R31" s="1" t="s">
        <v>44</v>
      </c>
      <c r="S31" s="1" t="s">
        <v>45</v>
      </c>
      <c r="T31" s="1">
        <v>0</v>
      </c>
      <c r="U31" s="1">
        <v>35.28</v>
      </c>
      <c r="V31" s="1">
        <v>0</v>
      </c>
      <c r="W31" s="1">
        <v>1</v>
      </c>
      <c r="X31" s="1">
        <v>1.1000000000000001</v>
      </c>
      <c r="Y31" s="1">
        <v>38.81</v>
      </c>
      <c r="Z31" s="1">
        <v>0.25</v>
      </c>
      <c r="AA31" s="1">
        <v>9.6999999999999993</v>
      </c>
    </row>
    <row r="32" spans="1:27" x14ac:dyDescent="0.2">
      <c r="A32" t="s">
        <v>27</v>
      </c>
      <c r="B32" t="s">
        <v>82</v>
      </c>
      <c r="C32" t="s">
        <v>83</v>
      </c>
      <c r="D32" t="s">
        <v>30</v>
      </c>
      <c r="E32" t="s">
        <v>84</v>
      </c>
      <c r="F32" t="s">
        <v>32</v>
      </c>
      <c r="G32" t="s">
        <v>33</v>
      </c>
      <c r="H32" t="s">
        <v>170</v>
      </c>
      <c r="I32" t="s">
        <v>171</v>
      </c>
      <c r="J32" t="s">
        <v>36</v>
      </c>
      <c r="K32" t="s">
        <v>179</v>
      </c>
      <c r="L32" t="s">
        <v>114</v>
      </c>
      <c r="M32" t="s">
        <v>180</v>
      </c>
      <c r="N32" t="s">
        <v>40</v>
      </c>
      <c r="O32" t="s">
        <v>41</v>
      </c>
      <c r="P32" t="s">
        <v>181</v>
      </c>
      <c r="Q32" t="s">
        <v>53</v>
      </c>
      <c r="R32" t="s">
        <v>44</v>
      </c>
      <c r="S32" t="s">
        <v>45</v>
      </c>
      <c r="T32">
        <v>0</v>
      </c>
      <c r="U32">
        <v>53.32</v>
      </c>
      <c r="V32">
        <v>0</v>
      </c>
      <c r="W32">
        <v>1</v>
      </c>
      <c r="X32">
        <v>1.1499999999999999</v>
      </c>
      <c r="Y32">
        <v>61.32</v>
      </c>
      <c r="Z32">
        <v>0.25</v>
      </c>
      <c r="AA32">
        <v>15.33</v>
      </c>
    </row>
    <row r="33" spans="1:27" x14ac:dyDescent="0.2">
      <c r="A33" t="s">
        <v>27</v>
      </c>
      <c r="B33" t="s">
        <v>82</v>
      </c>
      <c r="C33" t="s">
        <v>83</v>
      </c>
      <c r="D33" t="s">
        <v>30</v>
      </c>
      <c r="E33" t="s">
        <v>84</v>
      </c>
      <c r="F33" t="s">
        <v>32</v>
      </c>
      <c r="G33" t="s">
        <v>33</v>
      </c>
      <c r="H33" t="s">
        <v>182</v>
      </c>
      <c r="I33" t="s">
        <v>183</v>
      </c>
      <c r="J33" t="s">
        <v>36</v>
      </c>
      <c r="K33" t="s">
        <v>184</v>
      </c>
      <c r="L33" t="s">
        <v>38</v>
      </c>
      <c r="M33" t="s">
        <v>185</v>
      </c>
      <c r="N33" t="s">
        <v>78</v>
      </c>
      <c r="O33" t="s">
        <v>41</v>
      </c>
      <c r="P33" t="s">
        <v>121</v>
      </c>
      <c r="Q33" t="s">
        <v>122</v>
      </c>
      <c r="R33" t="s">
        <v>44</v>
      </c>
      <c r="S33" t="s">
        <v>45</v>
      </c>
      <c r="T33">
        <v>0</v>
      </c>
      <c r="U33">
        <v>99.55</v>
      </c>
      <c r="V33">
        <v>0</v>
      </c>
      <c r="W33">
        <v>1</v>
      </c>
      <c r="X33">
        <v>1.25</v>
      </c>
      <c r="Y33">
        <v>124.44</v>
      </c>
      <c r="Z33">
        <v>0.25</v>
      </c>
      <c r="AA33">
        <v>31.11</v>
      </c>
    </row>
    <row r="34" spans="1:27" x14ac:dyDescent="0.2">
      <c r="A34" t="s">
        <v>27</v>
      </c>
      <c r="B34" t="s">
        <v>82</v>
      </c>
      <c r="C34" t="s">
        <v>83</v>
      </c>
      <c r="D34" t="s">
        <v>30</v>
      </c>
      <c r="E34" t="s">
        <v>84</v>
      </c>
      <c r="F34" t="s">
        <v>32</v>
      </c>
      <c r="G34" t="s">
        <v>33</v>
      </c>
      <c r="H34" t="s">
        <v>186</v>
      </c>
      <c r="I34" t="s">
        <v>187</v>
      </c>
      <c r="J34" t="s">
        <v>36</v>
      </c>
      <c r="K34" t="s">
        <v>188</v>
      </c>
      <c r="L34" t="s">
        <v>38</v>
      </c>
      <c r="M34" t="s">
        <v>189</v>
      </c>
      <c r="N34" t="s">
        <v>78</v>
      </c>
      <c r="O34" t="s">
        <v>41</v>
      </c>
      <c r="P34" t="s">
        <v>190</v>
      </c>
      <c r="Q34" t="s">
        <v>91</v>
      </c>
      <c r="R34" t="s">
        <v>44</v>
      </c>
      <c r="S34" t="s">
        <v>45</v>
      </c>
      <c r="T34">
        <v>0</v>
      </c>
      <c r="U34">
        <v>25.59</v>
      </c>
      <c r="V34">
        <v>0</v>
      </c>
      <c r="W34">
        <v>1</v>
      </c>
      <c r="X34">
        <v>1.25</v>
      </c>
      <c r="Y34">
        <v>31.99</v>
      </c>
      <c r="Z34">
        <v>0.25</v>
      </c>
      <c r="AA34">
        <v>8</v>
      </c>
    </row>
    <row r="35" spans="1:27" x14ac:dyDescent="0.2">
      <c r="A35" t="s">
        <v>27</v>
      </c>
      <c r="B35" t="s">
        <v>82</v>
      </c>
      <c r="C35" t="s">
        <v>83</v>
      </c>
      <c r="D35" t="s">
        <v>30</v>
      </c>
      <c r="E35" t="s">
        <v>84</v>
      </c>
      <c r="F35" t="s">
        <v>32</v>
      </c>
      <c r="G35" t="s">
        <v>33</v>
      </c>
      <c r="H35" t="s">
        <v>191</v>
      </c>
      <c r="I35" t="s">
        <v>192</v>
      </c>
      <c r="J35" t="s">
        <v>94</v>
      </c>
      <c r="K35" t="s">
        <v>193</v>
      </c>
      <c r="L35" t="s">
        <v>114</v>
      </c>
      <c r="M35" t="s">
        <v>194</v>
      </c>
      <c r="N35" t="s">
        <v>97</v>
      </c>
      <c r="O35" t="s">
        <v>41</v>
      </c>
      <c r="P35" t="s">
        <v>168</v>
      </c>
      <c r="Q35" t="s">
        <v>169</v>
      </c>
      <c r="R35" t="s">
        <v>44</v>
      </c>
      <c r="S35" t="s">
        <v>45</v>
      </c>
      <c r="T35">
        <v>0</v>
      </c>
      <c r="U35">
        <v>200</v>
      </c>
      <c r="V35">
        <v>0</v>
      </c>
      <c r="W35">
        <v>1</v>
      </c>
      <c r="X35">
        <v>1.5</v>
      </c>
      <c r="Y35">
        <v>300</v>
      </c>
      <c r="Z35">
        <v>0.25</v>
      </c>
      <c r="AA35">
        <v>75</v>
      </c>
    </row>
    <row r="36" spans="1:27" x14ac:dyDescent="0.2">
      <c r="A36" t="s">
        <v>27</v>
      </c>
      <c r="B36" t="s">
        <v>82</v>
      </c>
      <c r="C36" t="s">
        <v>83</v>
      </c>
      <c r="D36" t="s">
        <v>30</v>
      </c>
      <c r="E36" t="s">
        <v>84</v>
      </c>
      <c r="F36" t="s">
        <v>32</v>
      </c>
      <c r="G36" t="s">
        <v>33</v>
      </c>
      <c r="H36" t="s">
        <v>191</v>
      </c>
      <c r="I36" t="s">
        <v>192</v>
      </c>
      <c r="J36" t="s">
        <v>94</v>
      </c>
      <c r="K36" t="s">
        <v>195</v>
      </c>
      <c r="L36" t="s">
        <v>114</v>
      </c>
      <c r="M36" t="s">
        <v>194</v>
      </c>
      <c r="N36" t="s">
        <v>97</v>
      </c>
      <c r="O36" t="s">
        <v>41</v>
      </c>
      <c r="P36" t="s">
        <v>168</v>
      </c>
      <c r="Q36" t="s">
        <v>169</v>
      </c>
      <c r="R36" t="s">
        <v>44</v>
      </c>
      <c r="S36" t="s">
        <v>45</v>
      </c>
      <c r="T36">
        <v>0</v>
      </c>
      <c r="U36">
        <v>200</v>
      </c>
      <c r="V36">
        <v>0</v>
      </c>
      <c r="W36">
        <v>1</v>
      </c>
      <c r="X36">
        <v>1.5</v>
      </c>
      <c r="Y36">
        <v>300</v>
      </c>
      <c r="Z36">
        <v>0.25</v>
      </c>
      <c r="AA36">
        <v>75</v>
      </c>
    </row>
    <row r="37" spans="1:27" x14ac:dyDescent="0.2">
      <c r="A37" t="s">
        <v>27</v>
      </c>
      <c r="B37" t="s">
        <v>82</v>
      </c>
      <c r="C37" t="s">
        <v>83</v>
      </c>
      <c r="D37" t="s">
        <v>30</v>
      </c>
      <c r="E37" t="s">
        <v>84</v>
      </c>
      <c r="F37" t="s">
        <v>32</v>
      </c>
      <c r="G37" t="s">
        <v>33</v>
      </c>
      <c r="H37" t="s">
        <v>191</v>
      </c>
      <c r="I37" t="s">
        <v>192</v>
      </c>
      <c r="J37" t="s">
        <v>94</v>
      </c>
      <c r="K37" t="s">
        <v>196</v>
      </c>
      <c r="L37" t="s">
        <v>114</v>
      </c>
      <c r="M37" t="s">
        <v>197</v>
      </c>
      <c r="N37" t="s">
        <v>97</v>
      </c>
      <c r="O37" t="s">
        <v>41</v>
      </c>
      <c r="P37" t="s">
        <v>168</v>
      </c>
      <c r="Q37" t="s">
        <v>169</v>
      </c>
      <c r="R37" t="s">
        <v>44</v>
      </c>
      <c r="S37" t="s">
        <v>45</v>
      </c>
      <c r="T37">
        <v>0</v>
      </c>
      <c r="U37">
        <v>100</v>
      </c>
      <c r="V37">
        <v>0</v>
      </c>
      <c r="W37">
        <v>1</v>
      </c>
      <c r="X37">
        <v>1.5</v>
      </c>
      <c r="Y37">
        <v>150</v>
      </c>
      <c r="Z37">
        <v>0.25</v>
      </c>
      <c r="AA37">
        <v>37.5</v>
      </c>
    </row>
    <row r="38" spans="1:27" x14ac:dyDescent="0.2">
      <c r="A38" t="s">
        <v>27</v>
      </c>
      <c r="B38" t="s">
        <v>82</v>
      </c>
      <c r="C38" t="s">
        <v>83</v>
      </c>
      <c r="D38" t="s">
        <v>30</v>
      </c>
      <c r="E38" t="s">
        <v>84</v>
      </c>
      <c r="F38" t="s">
        <v>32</v>
      </c>
      <c r="G38" t="s">
        <v>33</v>
      </c>
      <c r="H38" t="s">
        <v>198</v>
      </c>
      <c r="I38" t="s">
        <v>199</v>
      </c>
      <c r="J38" t="s">
        <v>36</v>
      </c>
      <c r="K38" t="s">
        <v>200</v>
      </c>
      <c r="L38" t="s">
        <v>114</v>
      </c>
      <c r="M38" t="s">
        <v>201</v>
      </c>
      <c r="N38" t="s">
        <v>89</v>
      </c>
      <c r="O38" t="s">
        <v>41</v>
      </c>
      <c r="P38" t="s">
        <v>202</v>
      </c>
      <c r="Q38" t="s">
        <v>203</v>
      </c>
      <c r="R38" t="s">
        <v>44</v>
      </c>
      <c r="S38" t="s">
        <v>45</v>
      </c>
      <c r="T38">
        <v>0</v>
      </c>
      <c r="U38">
        <v>263.93</v>
      </c>
      <c r="V38">
        <v>0</v>
      </c>
      <c r="W38">
        <v>1</v>
      </c>
      <c r="X38">
        <v>1.1499999999999999</v>
      </c>
      <c r="Y38">
        <v>303.52</v>
      </c>
      <c r="Z38">
        <v>0.25</v>
      </c>
      <c r="AA38">
        <v>75.88</v>
      </c>
    </row>
    <row r="39" spans="1:27" x14ac:dyDescent="0.2">
      <c r="A39" t="s">
        <v>27</v>
      </c>
      <c r="B39" t="s">
        <v>82</v>
      </c>
      <c r="C39" t="s">
        <v>83</v>
      </c>
      <c r="D39" t="s">
        <v>30</v>
      </c>
      <c r="E39" t="s">
        <v>84</v>
      </c>
      <c r="F39" t="s">
        <v>32</v>
      </c>
      <c r="G39" t="s">
        <v>33</v>
      </c>
      <c r="H39" t="s">
        <v>74</v>
      </c>
      <c r="I39" t="s">
        <v>204</v>
      </c>
      <c r="J39" t="s">
        <v>36</v>
      </c>
      <c r="K39" t="s">
        <v>205</v>
      </c>
      <c r="L39" t="s">
        <v>114</v>
      </c>
      <c r="M39" t="s">
        <v>206</v>
      </c>
      <c r="N39" t="s">
        <v>89</v>
      </c>
      <c r="O39" t="s">
        <v>41</v>
      </c>
      <c r="P39" t="s">
        <v>116</v>
      </c>
      <c r="Q39" t="s">
        <v>117</v>
      </c>
      <c r="R39" t="s">
        <v>44</v>
      </c>
      <c r="S39" t="s">
        <v>45</v>
      </c>
      <c r="T39">
        <v>0</v>
      </c>
      <c r="U39">
        <v>133.44999999999999</v>
      </c>
      <c r="V39">
        <v>0</v>
      </c>
      <c r="W39">
        <v>1</v>
      </c>
      <c r="X39">
        <v>1.1499999999999999</v>
      </c>
      <c r="Y39">
        <v>153.47</v>
      </c>
      <c r="Z39">
        <v>0.25</v>
      </c>
      <c r="AA39">
        <v>38.369999999999997</v>
      </c>
    </row>
    <row r="40" spans="1:27" x14ac:dyDescent="0.2">
      <c r="A40" t="s">
        <v>27</v>
      </c>
      <c r="B40" t="s">
        <v>82</v>
      </c>
      <c r="C40" t="s">
        <v>83</v>
      </c>
      <c r="D40" t="s">
        <v>30</v>
      </c>
      <c r="E40" t="s">
        <v>84</v>
      </c>
      <c r="F40" t="s">
        <v>32</v>
      </c>
      <c r="G40" t="s">
        <v>33</v>
      </c>
      <c r="H40" t="s">
        <v>61</v>
      </c>
      <c r="I40" t="s">
        <v>207</v>
      </c>
      <c r="J40" t="s">
        <v>36</v>
      </c>
      <c r="K40" t="s">
        <v>208</v>
      </c>
      <c r="L40" t="s">
        <v>38</v>
      </c>
      <c r="M40" t="s">
        <v>209</v>
      </c>
      <c r="N40" t="s">
        <v>40</v>
      </c>
      <c r="O40" t="s">
        <v>41</v>
      </c>
      <c r="P40" t="s">
        <v>210</v>
      </c>
      <c r="Q40" t="s">
        <v>211</v>
      </c>
      <c r="R40" t="s">
        <v>44</v>
      </c>
      <c r="S40" t="s">
        <v>45</v>
      </c>
      <c r="T40">
        <v>0</v>
      </c>
      <c r="U40">
        <v>143.62</v>
      </c>
      <c r="V40">
        <v>0</v>
      </c>
      <c r="W40">
        <v>1</v>
      </c>
      <c r="X40">
        <v>1.1499999999999999</v>
      </c>
      <c r="Y40">
        <v>165.16</v>
      </c>
      <c r="Z40">
        <v>0.25</v>
      </c>
      <c r="AA40">
        <v>41.29</v>
      </c>
    </row>
    <row r="41" spans="1:27" x14ac:dyDescent="0.2">
      <c r="A41" t="s">
        <v>27</v>
      </c>
      <c r="B41" t="s">
        <v>82</v>
      </c>
      <c r="C41" t="s">
        <v>83</v>
      </c>
      <c r="D41" t="s">
        <v>30</v>
      </c>
      <c r="E41" t="s">
        <v>84</v>
      </c>
      <c r="F41" t="s">
        <v>32</v>
      </c>
      <c r="G41" t="s">
        <v>33</v>
      </c>
      <c r="H41" t="s">
        <v>212</v>
      </c>
      <c r="I41" t="s">
        <v>213</v>
      </c>
      <c r="J41" t="s">
        <v>36</v>
      </c>
      <c r="K41" t="s">
        <v>214</v>
      </c>
      <c r="L41" t="s">
        <v>114</v>
      </c>
      <c r="M41" t="s">
        <v>215</v>
      </c>
      <c r="N41" t="s">
        <v>216</v>
      </c>
      <c r="O41" t="s">
        <v>41</v>
      </c>
      <c r="P41" t="s">
        <v>217</v>
      </c>
      <c r="Q41" t="s">
        <v>122</v>
      </c>
      <c r="R41" t="s">
        <v>44</v>
      </c>
      <c r="S41" t="s">
        <v>45</v>
      </c>
      <c r="T41">
        <v>0</v>
      </c>
      <c r="U41">
        <v>170.28</v>
      </c>
      <c r="V41">
        <v>0</v>
      </c>
      <c r="W41">
        <v>1</v>
      </c>
      <c r="X41">
        <v>1.25</v>
      </c>
      <c r="Y41">
        <v>212.85</v>
      </c>
      <c r="Z41">
        <v>0.25</v>
      </c>
      <c r="AA41">
        <v>53.21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16C4-2BBB-498A-AA56-4AFF36FB9D7A}">
  <dimension ref="A1:AF42"/>
  <sheetViews>
    <sheetView tabSelected="1" topLeftCell="B2" workbookViewId="0">
      <selection activeCell="N2" sqref="N2:N41"/>
    </sheetView>
  </sheetViews>
  <sheetFormatPr defaultRowHeight="12.75" x14ac:dyDescent="0.2"/>
  <cols>
    <col min="1" max="1" width="28" customWidth="1"/>
    <col min="2" max="2" width="18.5703125" customWidth="1"/>
    <col min="3" max="3" width="17.5703125" customWidth="1"/>
    <col min="4" max="4" width="11.42578125" customWidth="1"/>
    <col min="5" max="5" width="15.5703125" customWidth="1"/>
    <col min="6" max="6" width="15.85546875" customWidth="1"/>
    <col min="7" max="10" width="14.85546875" customWidth="1"/>
    <col min="11" max="11" width="12.42578125" customWidth="1"/>
    <col min="12" max="12" width="11.5703125" customWidth="1"/>
    <col min="13" max="13" width="10.42578125" customWidth="1"/>
    <col min="14" max="14" width="11.7109375" customWidth="1"/>
    <col min="15" max="15" width="37.7109375" customWidth="1"/>
    <col min="16" max="243" width="33.140625" customWidth="1"/>
  </cols>
  <sheetData>
    <row r="1" spans="1:32" s="2" customFormat="1" ht="51" x14ac:dyDescent="0.2">
      <c r="A1" s="2" t="s">
        <v>7</v>
      </c>
      <c r="B1" s="2" t="s">
        <v>8</v>
      </c>
      <c r="C1" s="2" t="s">
        <v>10</v>
      </c>
      <c r="D1" s="2" t="s">
        <v>11</v>
      </c>
      <c r="E1" s="2" t="s">
        <v>12</v>
      </c>
      <c r="F1" s="2" t="s">
        <v>15</v>
      </c>
      <c r="G1" s="2" t="s">
        <v>16</v>
      </c>
      <c r="K1" s="2" t="s">
        <v>17</v>
      </c>
      <c r="L1" s="2" t="s">
        <v>20</v>
      </c>
      <c r="M1" s="2" t="s">
        <v>23</v>
      </c>
      <c r="N1" s="2" t="s">
        <v>24</v>
      </c>
    </row>
    <row r="2" spans="1:32" s="1" customFormat="1" ht="15" customHeight="1" x14ac:dyDescent="0.2">
      <c r="A2" s="1" t="s">
        <v>191</v>
      </c>
      <c r="B2" s="1">
        <v>19617796</v>
      </c>
      <c r="C2" s="4" t="s">
        <v>196</v>
      </c>
      <c r="D2" s="1" t="s">
        <v>114</v>
      </c>
      <c r="E2" s="1" t="s">
        <v>197</v>
      </c>
      <c r="F2" s="1" t="s">
        <v>168</v>
      </c>
      <c r="G2" s="1" t="s">
        <v>169</v>
      </c>
      <c r="H2" s="1">
        <f>DATEDIF(F2,G2,"M")</f>
        <v>1</v>
      </c>
      <c r="I2" s="15" t="s">
        <v>225</v>
      </c>
      <c r="J2" s="15" t="s">
        <v>226</v>
      </c>
      <c r="K2" s="1" t="s">
        <v>44</v>
      </c>
      <c r="L2" s="1">
        <v>100</v>
      </c>
      <c r="M2" s="3">
        <v>1.5</v>
      </c>
      <c r="N2" s="1">
        <v>150</v>
      </c>
      <c r="O2" s="1" t="s">
        <v>223</v>
      </c>
    </row>
    <row r="3" spans="1:32" s="1" customFormat="1" ht="15" customHeight="1" x14ac:dyDescent="0.2">
      <c r="A3" s="1" t="s">
        <v>191</v>
      </c>
      <c r="B3" s="1">
        <v>19617796</v>
      </c>
      <c r="C3" s="4" t="s">
        <v>193</v>
      </c>
      <c r="D3" s="1" t="s">
        <v>114</v>
      </c>
      <c r="E3" s="1" t="s">
        <v>194</v>
      </c>
      <c r="F3" s="1" t="s">
        <v>168</v>
      </c>
      <c r="G3" s="1" t="s">
        <v>169</v>
      </c>
      <c r="H3" s="1">
        <f>DATEDIF(F3,G3,"M")</f>
        <v>1</v>
      </c>
      <c r="I3" s="15" t="s">
        <v>225</v>
      </c>
      <c r="J3" s="15" t="s">
        <v>226</v>
      </c>
      <c r="K3" s="1" t="s">
        <v>44</v>
      </c>
      <c r="L3" s="1">
        <v>200</v>
      </c>
      <c r="M3" s="3">
        <v>1.5</v>
      </c>
      <c r="N3" s="1">
        <v>300</v>
      </c>
      <c r="O3" s="1" t="s">
        <v>223</v>
      </c>
    </row>
    <row r="4" spans="1:32" s="1" customFormat="1" ht="15" customHeight="1" x14ac:dyDescent="0.2">
      <c r="A4" s="1" t="s">
        <v>191</v>
      </c>
      <c r="B4" s="1">
        <v>19617796</v>
      </c>
      <c r="C4" s="4" t="s">
        <v>195</v>
      </c>
      <c r="D4" s="1" t="s">
        <v>114</v>
      </c>
      <c r="E4" s="1" t="s">
        <v>194</v>
      </c>
      <c r="F4" s="1" t="s">
        <v>168</v>
      </c>
      <c r="G4" s="1" t="s">
        <v>169</v>
      </c>
      <c r="H4" s="1">
        <f>DATEDIF(F4,G4,"M")</f>
        <v>1</v>
      </c>
      <c r="I4" s="15" t="s">
        <v>225</v>
      </c>
      <c r="J4" s="15" t="s">
        <v>226</v>
      </c>
      <c r="K4" s="1" t="s">
        <v>44</v>
      </c>
      <c r="L4" s="1">
        <v>200</v>
      </c>
      <c r="M4" s="3">
        <v>1.5</v>
      </c>
      <c r="N4" s="1">
        <v>300</v>
      </c>
      <c r="O4" s="1" t="s">
        <v>223</v>
      </c>
    </row>
    <row r="5" spans="1:32" s="14" customFormat="1" ht="15" customHeight="1" x14ac:dyDescent="0.2">
      <c r="A5" s="11" t="s">
        <v>74</v>
      </c>
      <c r="B5" s="11" t="s">
        <v>230</v>
      </c>
      <c r="C5" s="12">
        <v>6602238849</v>
      </c>
      <c r="D5" s="11" t="s">
        <v>114</v>
      </c>
      <c r="E5" s="11" t="s">
        <v>206</v>
      </c>
      <c r="F5" s="11" t="s">
        <v>116</v>
      </c>
      <c r="G5" s="11" t="s">
        <v>117</v>
      </c>
      <c r="H5" s="11">
        <f>DATEDIF(F5,G5,"M")</f>
        <v>1</v>
      </c>
      <c r="I5" s="11" t="s">
        <v>227</v>
      </c>
      <c r="J5" s="11" t="s">
        <v>228</v>
      </c>
      <c r="K5" s="11" t="s">
        <v>44</v>
      </c>
      <c r="L5" s="11">
        <v>133.44999999999999</v>
      </c>
      <c r="M5" s="13">
        <v>1.1499999999999999</v>
      </c>
      <c r="N5" s="11">
        <v>153.47</v>
      </c>
      <c r="O5" s="11" t="s">
        <v>221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15" customHeight="1" x14ac:dyDescent="0.2">
      <c r="A6" s="1" t="s">
        <v>157</v>
      </c>
      <c r="B6" s="1">
        <v>19681796</v>
      </c>
      <c r="C6" s="5">
        <v>6602234573</v>
      </c>
      <c r="D6" s="1" t="s">
        <v>114</v>
      </c>
      <c r="E6" s="1" t="s">
        <v>167</v>
      </c>
      <c r="F6" s="1" t="s">
        <v>168</v>
      </c>
      <c r="G6" s="1" t="s">
        <v>169</v>
      </c>
      <c r="H6" s="1">
        <f>DATEDIF(F6,G6,"M")</f>
        <v>1</v>
      </c>
      <c r="I6" s="15" t="s">
        <v>225</v>
      </c>
      <c r="J6" s="15" t="s">
        <v>226</v>
      </c>
      <c r="K6" s="1" t="s">
        <v>44</v>
      </c>
      <c r="L6" s="1">
        <v>67.94</v>
      </c>
      <c r="M6" s="3">
        <v>1.25</v>
      </c>
      <c r="N6" s="1">
        <v>84.93</v>
      </c>
      <c r="O6" s="1" t="s">
        <v>219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s="1" customFormat="1" ht="15" customHeight="1" x14ac:dyDescent="0.2">
      <c r="A7" s="1" t="s">
        <v>170</v>
      </c>
      <c r="B7" s="1">
        <v>20220688</v>
      </c>
      <c r="C7" s="5">
        <v>6602214405</v>
      </c>
      <c r="D7" s="1" t="s">
        <v>114</v>
      </c>
      <c r="E7" s="1" t="s">
        <v>173</v>
      </c>
      <c r="F7" s="1" t="s">
        <v>175</v>
      </c>
      <c r="G7" s="1" t="s">
        <v>176</v>
      </c>
      <c r="H7" s="1">
        <f>DATEDIF(F7,G7,"M")</f>
        <v>1</v>
      </c>
      <c r="I7" s="15" t="s">
        <v>225</v>
      </c>
      <c r="J7" s="15" t="s">
        <v>226</v>
      </c>
      <c r="K7" s="1" t="s">
        <v>44</v>
      </c>
      <c r="L7" s="1">
        <v>19.13</v>
      </c>
      <c r="M7" s="3">
        <v>1.05</v>
      </c>
      <c r="N7" s="1">
        <v>20.09</v>
      </c>
      <c r="O7" s="1" t="s">
        <v>218</v>
      </c>
    </row>
    <row r="8" spans="1:32" s="1" customFormat="1" ht="15" customHeight="1" x14ac:dyDescent="0.2">
      <c r="A8" s="1" t="s">
        <v>170</v>
      </c>
      <c r="B8" s="1">
        <v>20220688</v>
      </c>
      <c r="C8" s="4">
        <v>6602232153</v>
      </c>
      <c r="D8" s="1" t="s">
        <v>114</v>
      </c>
      <c r="E8" s="1" t="s">
        <v>177</v>
      </c>
      <c r="F8" s="1" t="s">
        <v>178</v>
      </c>
      <c r="G8" s="1" t="s">
        <v>129</v>
      </c>
      <c r="H8" s="1">
        <f>DATEDIF(F8,G8,"M")</f>
        <v>1</v>
      </c>
      <c r="I8" s="15" t="s">
        <v>225</v>
      </c>
      <c r="J8" s="15" t="s">
        <v>226</v>
      </c>
      <c r="K8" s="1" t="s">
        <v>44</v>
      </c>
      <c r="L8" s="1">
        <v>35.28</v>
      </c>
      <c r="M8" s="3">
        <v>1.1000000000000001</v>
      </c>
      <c r="N8" s="1">
        <v>38.81</v>
      </c>
      <c r="O8" s="1" t="s">
        <v>220</v>
      </c>
    </row>
    <row r="9" spans="1:32" s="14" customFormat="1" ht="15" customHeight="1" x14ac:dyDescent="0.2">
      <c r="A9" s="11" t="s">
        <v>170</v>
      </c>
      <c r="B9" s="11" t="s">
        <v>231</v>
      </c>
      <c r="C9" s="12">
        <v>6602239949</v>
      </c>
      <c r="D9" s="11" t="s">
        <v>114</v>
      </c>
      <c r="E9" s="11" t="s">
        <v>180</v>
      </c>
      <c r="F9" s="11" t="s">
        <v>181</v>
      </c>
      <c r="G9" s="11" t="s">
        <v>53</v>
      </c>
      <c r="H9" s="11">
        <f>DATEDIF(F9,G9,"M")</f>
        <v>1</v>
      </c>
      <c r="I9" s="11" t="s">
        <v>227</v>
      </c>
      <c r="J9" s="11" t="s">
        <v>228</v>
      </c>
      <c r="K9" s="11" t="s">
        <v>44</v>
      </c>
      <c r="L9" s="11">
        <v>53.32</v>
      </c>
      <c r="M9" s="13">
        <v>1.1499999999999999</v>
      </c>
      <c r="N9" s="11">
        <v>61.32</v>
      </c>
      <c r="O9" s="11" t="s">
        <v>221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">
      <c r="A10" s="1" t="s">
        <v>136</v>
      </c>
      <c r="B10" s="1">
        <v>16202925</v>
      </c>
      <c r="C10" s="4" t="s">
        <v>138</v>
      </c>
      <c r="D10" s="1" t="s">
        <v>38</v>
      </c>
      <c r="E10" s="1" t="s">
        <v>139</v>
      </c>
      <c r="F10" s="1" t="s">
        <v>135</v>
      </c>
      <c r="G10" s="1" t="s">
        <v>66</v>
      </c>
      <c r="H10" s="1">
        <f>DATEDIF(F10,G10,"M")</f>
        <v>2</v>
      </c>
      <c r="I10" s="15" t="s">
        <v>225</v>
      </c>
      <c r="J10" s="15" t="s">
        <v>226</v>
      </c>
      <c r="K10" s="1" t="s">
        <v>44</v>
      </c>
      <c r="L10" s="1">
        <v>75.569999999999993</v>
      </c>
      <c r="M10" s="3">
        <v>1.5</v>
      </c>
      <c r="N10" s="1">
        <v>113.36</v>
      </c>
      <c r="O10" s="1" t="s">
        <v>223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s="1" customFormat="1" ht="15" customHeight="1" x14ac:dyDescent="0.2">
      <c r="A11" s="1" t="s">
        <v>85</v>
      </c>
      <c r="B11" s="1">
        <v>16509456</v>
      </c>
      <c r="C11" s="5">
        <v>6602183190</v>
      </c>
      <c r="D11" s="1" t="s">
        <v>38</v>
      </c>
      <c r="E11" s="1" t="s">
        <v>88</v>
      </c>
      <c r="F11" s="1" t="s">
        <v>90</v>
      </c>
      <c r="G11" s="1" t="s">
        <v>91</v>
      </c>
      <c r="H11" s="1">
        <f>DATEDIF(F11,G11,"M")</f>
        <v>3</v>
      </c>
      <c r="I11" s="15" t="s">
        <v>225</v>
      </c>
      <c r="J11" s="15" t="s">
        <v>226</v>
      </c>
      <c r="K11" s="1" t="s">
        <v>44</v>
      </c>
      <c r="L11" s="1">
        <v>44.63</v>
      </c>
      <c r="M11" s="3">
        <v>1.1499999999999999</v>
      </c>
      <c r="N11" s="1">
        <v>51.32</v>
      </c>
      <c r="O11" s="1" t="s">
        <v>221</v>
      </c>
    </row>
    <row r="12" spans="1:32" s="1" customFormat="1" ht="15" customHeight="1" x14ac:dyDescent="0.2">
      <c r="A12" s="1" t="s">
        <v>182</v>
      </c>
      <c r="B12" s="1">
        <v>19200754</v>
      </c>
      <c r="C12" s="5">
        <v>6602173120</v>
      </c>
      <c r="D12" s="1" t="s">
        <v>38</v>
      </c>
      <c r="E12" s="1" t="s">
        <v>185</v>
      </c>
      <c r="F12" s="1" t="s">
        <v>121</v>
      </c>
      <c r="G12" s="1" t="s">
        <v>122</v>
      </c>
      <c r="H12" s="1">
        <f>DATEDIF(F12,G12,"M")</f>
        <v>3</v>
      </c>
      <c r="I12" s="15" t="s">
        <v>225</v>
      </c>
      <c r="J12" s="15" t="s">
        <v>226</v>
      </c>
      <c r="K12" s="1" t="s">
        <v>44</v>
      </c>
      <c r="L12" s="1">
        <v>99.55</v>
      </c>
      <c r="M12" s="3">
        <v>1.25</v>
      </c>
      <c r="N12" s="1">
        <v>124.44</v>
      </c>
      <c r="O12" s="1" t="s">
        <v>219</v>
      </c>
    </row>
    <row r="13" spans="1:32" s="1" customFormat="1" ht="15" customHeight="1" x14ac:dyDescent="0.2">
      <c r="A13" s="1" t="s">
        <v>157</v>
      </c>
      <c r="B13" s="1">
        <v>19681796</v>
      </c>
      <c r="C13" s="5">
        <v>6602171749</v>
      </c>
      <c r="D13" s="1" t="s">
        <v>38</v>
      </c>
      <c r="E13" s="1" t="s">
        <v>163</v>
      </c>
      <c r="F13" s="1" t="s">
        <v>164</v>
      </c>
      <c r="G13" s="1" t="s">
        <v>165</v>
      </c>
      <c r="H13" s="1">
        <f>DATEDIF(F13,G13,"M")</f>
        <v>3</v>
      </c>
      <c r="I13" s="15" t="s">
        <v>225</v>
      </c>
      <c r="J13" s="15" t="s">
        <v>226</v>
      </c>
      <c r="K13" s="1" t="s">
        <v>44</v>
      </c>
      <c r="L13" s="1">
        <v>30.1</v>
      </c>
      <c r="M13" s="3">
        <v>1.25</v>
      </c>
      <c r="N13" s="1">
        <v>37.630000000000003</v>
      </c>
      <c r="O13" s="1" t="s">
        <v>219</v>
      </c>
    </row>
    <row r="14" spans="1:32" s="1" customFormat="1" ht="15" customHeight="1" x14ac:dyDescent="0.2">
      <c r="A14" s="1" t="s">
        <v>186</v>
      </c>
      <c r="B14" s="1">
        <v>16865615</v>
      </c>
      <c r="C14" s="5">
        <v>6602131288</v>
      </c>
      <c r="D14" s="1" t="s">
        <v>38</v>
      </c>
      <c r="E14" s="1" t="s">
        <v>189</v>
      </c>
      <c r="F14" s="1" t="s">
        <v>190</v>
      </c>
      <c r="G14" s="1" t="s">
        <v>91</v>
      </c>
      <c r="H14" s="1">
        <f>DATEDIF(F14,G14,"M")</f>
        <v>4</v>
      </c>
      <c r="I14" s="15" t="s">
        <v>225</v>
      </c>
      <c r="J14" s="15" t="s">
        <v>226</v>
      </c>
      <c r="K14" s="1" t="s">
        <v>44</v>
      </c>
      <c r="L14" s="1">
        <v>25.59</v>
      </c>
      <c r="M14" s="3">
        <v>1.25</v>
      </c>
      <c r="N14" s="1">
        <v>31.99</v>
      </c>
      <c r="O14" s="1" t="s">
        <v>219</v>
      </c>
    </row>
    <row r="15" spans="1:32" s="1" customFormat="1" ht="15" customHeight="1" x14ac:dyDescent="0.2">
      <c r="A15" s="1" t="s">
        <v>61</v>
      </c>
      <c r="B15" s="1">
        <v>16912722</v>
      </c>
      <c r="C15" s="5">
        <v>6602065974</v>
      </c>
      <c r="D15" s="1" t="s">
        <v>38</v>
      </c>
      <c r="E15" s="1" t="s">
        <v>209</v>
      </c>
      <c r="F15" s="1" t="s">
        <v>210</v>
      </c>
      <c r="G15" s="1" t="s">
        <v>211</v>
      </c>
      <c r="H15" s="1">
        <f>DATEDIF(F15,G15,"M")</f>
        <v>4</v>
      </c>
      <c r="I15" s="15" t="s">
        <v>225</v>
      </c>
      <c r="J15" s="15" t="s">
        <v>226</v>
      </c>
      <c r="K15" s="1" t="s">
        <v>44</v>
      </c>
      <c r="L15" s="1">
        <v>143.62</v>
      </c>
      <c r="M15" s="3">
        <v>1.1499999999999999</v>
      </c>
      <c r="N15" s="1">
        <v>165.16</v>
      </c>
      <c r="O15" s="1" t="s">
        <v>221</v>
      </c>
    </row>
    <row r="16" spans="1:32" ht="15" customHeight="1" x14ac:dyDescent="0.2">
      <c r="A16" s="1" t="s">
        <v>157</v>
      </c>
      <c r="B16" s="1">
        <v>19681796</v>
      </c>
      <c r="C16" s="5">
        <v>6602118959</v>
      </c>
      <c r="D16" s="1" t="s">
        <v>38</v>
      </c>
      <c r="E16" s="1" t="s">
        <v>160</v>
      </c>
      <c r="F16" s="1" t="s">
        <v>161</v>
      </c>
      <c r="G16" s="1" t="s">
        <v>60</v>
      </c>
      <c r="H16" s="1">
        <f>DATEDIF(F16,G16,"M")</f>
        <v>5</v>
      </c>
      <c r="I16" s="15" t="s">
        <v>225</v>
      </c>
      <c r="J16" s="15" t="s">
        <v>226</v>
      </c>
      <c r="K16" s="1" t="s">
        <v>44</v>
      </c>
      <c r="L16" s="1">
        <v>38.96</v>
      </c>
      <c r="M16" s="3">
        <v>1.25</v>
      </c>
      <c r="N16" s="1">
        <v>48.7</v>
      </c>
      <c r="O16" s="1" t="s">
        <v>219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" customHeight="1" x14ac:dyDescent="0.2">
      <c r="A17" s="1" t="s">
        <v>67</v>
      </c>
      <c r="B17" s="1">
        <v>19481808</v>
      </c>
      <c r="C17" s="5">
        <v>6602136573</v>
      </c>
      <c r="D17" s="1" t="s">
        <v>38</v>
      </c>
      <c r="E17" s="1" t="s">
        <v>70</v>
      </c>
      <c r="F17" s="1" t="s">
        <v>71</v>
      </c>
      <c r="G17" s="1" t="s">
        <v>72</v>
      </c>
      <c r="H17" s="1">
        <f>DATEDIF(F17,G17,"M")</f>
        <v>5</v>
      </c>
      <c r="I17" s="15" t="s">
        <v>225</v>
      </c>
      <c r="J17" s="15" t="s">
        <v>226</v>
      </c>
      <c r="K17" s="1" t="s">
        <v>44</v>
      </c>
      <c r="L17" s="1">
        <v>87.55</v>
      </c>
      <c r="M17" s="3">
        <v>1.1499999999999999</v>
      </c>
      <c r="N17" s="1">
        <v>100.68</v>
      </c>
      <c r="O17" s="1" t="s">
        <v>221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" customHeight="1" x14ac:dyDescent="0.2">
      <c r="A18" s="1" t="s">
        <v>67</v>
      </c>
      <c r="B18" s="1">
        <v>19481808</v>
      </c>
      <c r="C18" s="5">
        <v>6602136587</v>
      </c>
      <c r="D18" s="1" t="s">
        <v>38</v>
      </c>
      <c r="E18" s="1" t="s">
        <v>70</v>
      </c>
      <c r="F18" s="1" t="s">
        <v>71</v>
      </c>
      <c r="G18" s="1" t="s">
        <v>72</v>
      </c>
      <c r="H18" s="1">
        <f>DATEDIF(F18,G18,"M")</f>
        <v>5</v>
      </c>
      <c r="I18" s="15" t="s">
        <v>225</v>
      </c>
      <c r="J18" s="15" t="s">
        <v>226</v>
      </c>
      <c r="K18" s="1" t="s">
        <v>44</v>
      </c>
      <c r="L18" s="1">
        <v>170.85</v>
      </c>
      <c r="M18" s="3">
        <v>1.1499999999999999</v>
      </c>
      <c r="N18" s="1">
        <v>196.48</v>
      </c>
      <c r="O18" s="1" t="s">
        <v>221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" customHeight="1" x14ac:dyDescent="0.2">
      <c r="A19" s="1" t="s">
        <v>74</v>
      </c>
      <c r="B19" s="1">
        <v>371819</v>
      </c>
      <c r="C19" s="5">
        <v>6602087960</v>
      </c>
      <c r="D19" s="1" t="s">
        <v>38</v>
      </c>
      <c r="E19" s="1" t="s">
        <v>77</v>
      </c>
      <c r="F19" s="1" t="s">
        <v>79</v>
      </c>
      <c r="G19" s="1" t="s">
        <v>80</v>
      </c>
      <c r="H19" s="1">
        <f>DATEDIF(F19,G19,"M")</f>
        <v>7</v>
      </c>
      <c r="I19" s="15" t="s">
        <v>225</v>
      </c>
      <c r="J19" s="15" t="s">
        <v>226</v>
      </c>
      <c r="K19" s="1" t="s">
        <v>44</v>
      </c>
      <c r="L19" s="1">
        <v>56.76</v>
      </c>
      <c r="M19" s="3">
        <v>1.25</v>
      </c>
      <c r="N19" s="1">
        <v>70.95</v>
      </c>
      <c r="O19" s="1" t="s">
        <v>219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" customHeight="1" x14ac:dyDescent="0.2">
      <c r="A20" s="1" t="s">
        <v>74</v>
      </c>
      <c r="B20" s="1">
        <v>371819</v>
      </c>
      <c r="C20" s="5">
        <v>6602087872</v>
      </c>
      <c r="D20" s="1" t="s">
        <v>38</v>
      </c>
      <c r="E20" s="1" t="s">
        <v>77</v>
      </c>
      <c r="F20" s="1" t="s">
        <v>79</v>
      </c>
      <c r="G20" s="1" t="s">
        <v>80</v>
      </c>
      <c r="H20" s="1">
        <f>DATEDIF(F20,G20,"M")</f>
        <v>7</v>
      </c>
      <c r="I20" s="15" t="s">
        <v>225</v>
      </c>
      <c r="J20" s="15" t="s">
        <v>226</v>
      </c>
      <c r="K20" s="1" t="s">
        <v>44</v>
      </c>
      <c r="L20" s="1">
        <v>80.84</v>
      </c>
      <c r="M20" s="3">
        <v>1.25</v>
      </c>
      <c r="N20" s="1">
        <v>101.05</v>
      </c>
      <c r="O20" s="1" t="s">
        <v>219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" customHeight="1" x14ac:dyDescent="0.2">
      <c r="A21" s="1" t="s">
        <v>61</v>
      </c>
      <c r="B21" s="1">
        <v>16912722</v>
      </c>
      <c r="C21" s="5">
        <v>6602088836</v>
      </c>
      <c r="D21" s="1" t="s">
        <v>38</v>
      </c>
      <c r="E21" s="1" t="s">
        <v>64</v>
      </c>
      <c r="F21" s="1" t="s">
        <v>65</v>
      </c>
      <c r="G21" s="1" t="s">
        <v>66</v>
      </c>
      <c r="H21" s="1">
        <f>DATEDIF(F21,G21,"M")</f>
        <v>7</v>
      </c>
      <c r="I21" s="15" t="s">
        <v>225</v>
      </c>
      <c r="J21" s="15" t="s">
        <v>226</v>
      </c>
      <c r="K21" s="1" t="s">
        <v>44</v>
      </c>
      <c r="L21" s="1">
        <v>53.32</v>
      </c>
      <c r="M21" s="3">
        <v>1.1499999999999999</v>
      </c>
      <c r="N21" s="1">
        <v>61.32</v>
      </c>
      <c r="O21" s="1" t="s">
        <v>221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" customHeight="1" x14ac:dyDescent="0.2">
      <c r="A22" s="1" t="s">
        <v>34</v>
      </c>
      <c r="B22" s="1">
        <v>8325282</v>
      </c>
      <c r="C22" s="5">
        <v>6602036702</v>
      </c>
      <c r="D22" s="1" t="s">
        <v>38</v>
      </c>
      <c r="E22" s="1" t="s">
        <v>50</v>
      </c>
      <c r="F22" s="1" t="s">
        <v>52</v>
      </c>
      <c r="G22" s="1" t="s">
        <v>53</v>
      </c>
      <c r="H22" s="1">
        <f>DATEDIF(F22,G22,"M")</f>
        <v>9</v>
      </c>
      <c r="I22" s="15" t="s">
        <v>225</v>
      </c>
      <c r="J22" s="15" t="s">
        <v>229</v>
      </c>
      <c r="K22" s="1" t="s">
        <v>44</v>
      </c>
      <c r="L22" s="1">
        <v>88.83</v>
      </c>
      <c r="M22" s="3">
        <v>1.05</v>
      </c>
      <c r="N22" s="1">
        <v>93.27</v>
      </c>
      <c r="O22" s="1" t="s">
        <v>218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" customHeight="1" x14ac:dyDescent="0.2">
      <c r="A23" s="1" t="s">
        <v>34</v>
      </c>
      <c r="B23" s="1">
        <v>8325282</v>
      </c>
      <c r="C23" s="5">
        <v>6602026253</v>
      </c>
      <c r="D23" s="1" t="s">
        <v>38</v>
      </c>
      <c r="E23" s="1" t="s">
        <v>39</v>
      </c>
      <c r="F23" s="1" t="s">
        <v>42</v>
      </c>
      <c r="G23" s="1" t="s">
        <v>43</v>
      </c>
      <c r="H23" s="1">
        <f>DATEDIF(F23,G23,"M")</f>
        <v>10</v>
      </c>
      <c r="I23" s="15" t="s">
        <v>225</v>
      </c>
      <c r="J23" s="15" t="s">
        <v>229</v>
      </c>
      <c r="K23" s="1" t="s">
        <v>44</v>
      </c>
      <c r="L23" s="1">
        <v>70.52</v>
      </c>
      <c r="M23" s="3">
        <v>1.1499999999999999</v>
      </c>
      <c r="N23" s="1">
        <v>81.099999999999994</v>
      </c>
      <c r="O23" s="1" t="s">
        <v>221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s="1" customFormat="1" ht="15" customHeight="1" x14ac:dyDescent="0.2">
      <c r="A24" s="1" t="s">
        <v>34</v>
      </c>
      <c r="B24" s="1">
        <v>8325282</v>
      </c>
      <c r="C24" s="5">
        <v>6602026267</v>
      </c>
      <c r="D24" s="1" t="s">
        <v>38</v>
      </c>
      <c r="E24" s="1" t="s">
        <v>39</v>
      </c>
      <c r="F24" s="1" t="s">
        <v>47</v>
      </c>
      <c r="G24" s="1" t="s">
        <v>48</v>
      </c>
      <c r="H24" s="1">
        <f>DATEDIF(F24,G24,"M")</f>
        <v>10</v>
      </c>
      <c r="I24" s="15" t="s">
        <v>225</v>
      </c>
      <c r="J24" s="15" t="s">
        <v>229</v>
      </c>
      <c r="K24" s="1" t="s">
        <v>44</v>
      </c>
      <c r="L24" s="1">
        <v>85.14</v>
      </c>
      <c r="M24" s="3">
        <v>1.1499999999999999</v>
      </c>
      <c r="N24" s="1">
        <v>97.91</v>
      </c>
      <c r="O24" s="1" t="s">
        <v>221</v>
      </c>
    </row>
    <row r="25" spans="1:32" s="6" customFormat="1" ht="15" customHeight="1" x14ac:dyDescent="0.2">
      <c r="A25" s="6" t="s">
        <v>198</v>
      </c>
      <c r="B25" s="6">
        <v>19491313</v>
      </c>
      <c r="C25" s="7">
        <v>6602202592</v>
      </c>
      <c r="D25" s="6" t="s">
        <v>114</v>
      </c>
      <c r="E25" s="6" t="s">
        <v>201</v>
      </c>
      <c r="F25" s="6" t="s">
        <v>202</v>
      </c>
      <c r="G25" s="6" t="s">
        <v>203</v>
      </c>
      <c r="H25" s="6">
        <f>DATEDIF(F25,G25,"M")</f>
        <v>1</v>
      </c>
      <c r="I25" s="10" t="s">
        <v>225</v>
      </c>
      <c r="J25" s="10" t="s">
        <v>229</v>
      </c>
      <c r="K25" s="6" t="s">
        <v>44</v>
      </c>
      <c r="L25" s="6">
        <v>263.93</v>
      </c>
      <c r="M25" s="8">
        <v>1.1499999999999999</v>
      </c>
      <c r="N25" s="6">
        <v>303.52</v>
      </c>
      <c r="O25" s="6" t="s">
        <v>221</v>
      </c>
    </row>
    <row r="26" spans="1:32" s="6" customFormat="1" ht="15" customHeight="1" x14ac:dyDescent="0.2">
      <c r="A26" s="6" t="s">
        <v>212</v>
      </c>
      <c r="B26" s="6">
        <v>21621622</v>
      </c>
      <c r="C26" s="7">
        <v>6602217769</v>
      </c>
      <c r="D26" s="6" t="s">
        <v>114</v>
      </c>
      <c r="E26" s="6" t="s">
        <v>215</v>
      </c>
      <c r="F26" s="6" t="s">
        <v>217</v>
      </c>
      <c r="G26" s="6" t="s">
        <v>122</v>
      </c>
      <c r="H26" s="6">
        <f>DATEDIF(F26,G26,"M")</f>
        <v>1</v>
      </c>
      <c r="I26" s="10" t="s">
        <v>225</v>
      </c>
      <c r="J26" s="10" t="s">
        <v>229</v>
      </c>
      <c r="K26" s="6" t="s">
        <v>44</v>
      </c>
      <c r="L26" s="6">
        <v>170.28</v>
      </c>
      <c r="M26" s="8">
        <v>1.25</v>
      </c>
      <c r="N26" s="6">
        <v>212.85</v>
      </c>
      <c r="O26" s="6" t="s">
        <v>219</v>
      </c>
    </row>
    <row r="27" spans="1:32" s="6" customFormat="1" ht="15" customHeight="1" x14ac:dyDescent="0.2">
      <c r="A27" s="6" t="s">
        <v>92</v>
      </c>
      <c r="B27" s="6">
        <v>9079571</v>
      </c>
      <c r="C27" s="9" t="s">
        <v>113</v>
      </c>
      <c r="D27" s="6" t="s">
        <v>114</v>
      </c>
      <c r="E27" s="6" t="s">
        <v>115</v>
      </c>
      <c r="F27" s="6" t="s">
        <v>116</v>
      </c>
      <c r="G27" s="6" t="s">
        <v>117</v>
      </c>
      <c r="H27" s="6">
        <f>DATEDIF(F27,G27,"M")</f>
        <v>1</v>
      </c>
      <c r="I27" s="10" t="s">
        <v>225</v>
      </c>
      <c r="J27" s="10" t="s">
        <v>229</v>
      </c>
      <c r="K27" s="6" t="s">
        <v>44</v>
      </c>
      <c r="L27" s="6">
        <v>153.94</v>
      </c>
      <c r="M27" s="8">
        <v>1.5</v>
      </c>
      <c r="N27" s="6">
        <v>230.91</v>
      </c>
      <c r="O27" s="6" t="s">
        <v>223</v>
      </c>
    </row>
    <row r="28" spans="1:32" s="6" customFormat="1" ht="15" customHeight="1" x14ac:dyDescent="0.2">
      <c r="A28" s="6" t="s">
        <v>140</v>
      </c>
      <c r="B28" s="6">
        <v>18754354</v>
      </c>
      <c r="C28" s="7">
        <v>6602191133</v>
      </c>
      <c r="D28" s="6" t="s">
        <v>114</v>
      </c>
      <c r="E28" s="6" t="s">
        <v>152</v>
      </c>
      <c r="F28" s="6" t="s">
        <v>153</v>
      </c>
      <c r="G28" s="6" t="s">
        <v>154</v>
      </c>
      <c r="H28" s="6">
        <f>DATEDIF(F28,G28,"M")</f>
        <v>1</v>
      </c>
      <c r="I28" s="10" t="s">
        <v>225</v>
      </c>
      <c r="J28" s="10" t="s">
        <v>229</v>
      </c>
      <c r="K28" s="6" t="s">
        <v>44</v>
      </c>
      <c r="L28" s="6">
        <v>284.75</v>
      </c>
      <c r="M28" s="8">
        <v>1.1499999999999999</v>
      </c>
      <c r="N28" s="6">
        <v>327.45999999999998</v>
      </c>
      <c r="O28" s="6" t="s">
        <v>221</v>
      </c>
    </row>
    <row r="29" spans="1:32" s="6" customFormat="1" ht="15" customHeight="1" x14ac:dyDescent="0.2">
      <c r="A29" s="6" t="s">
        <v>130</v>
      </c>
      <c r="B29" s="10" t="s">
        <v>224</v>
      </c>
      <c r="C29" s="9" t="s">
        <v>132</v>
      </c>
      <c r="D29" s="6" t="s">
        <v>38</v>
      </c>
      <c r="E29" s="6" t="s">
        <v>133</v>
      </c>
      <c r="F29" s="6" t="s">
        <v>135</v>
      </c>
      <c r="G29" s="6" t="s">
        <v>66</v>
      </c>
      <c r="H29" s="6">
        <f>DATEDIF(F29,G29,"M")</f>
        <v>2</v>
      </c>
      <c r="I29" s="10" t="s">
        <v>225</v>
      </c>
      <c r="J29" s="10" t="s">
        <v>229</v>
      </c>
      <c r="K29" s="6" t="s">
        <v>44</v>
      </c>
      <c r="L29" s="6">
        <v>52.91</v>
      </c>
      <c r="M29" s="8">
        <v>1.18</v>
      </c>
      <c r="N29" s="6">
        <v>62.43</v>
      </c>
      <c r="O29" s="6" t="s">
        <v>222</v>
      </c>
    </row>
    <row r="30" spans="1:32" s="6" customFormat="1" ht="15" customHeight="1" x14ac:dyDescent="0.2">
      <c r="A30" s="6" t="s">
        <v>92</v>
      </c>
      <c r="B30" s="6">
        <v>9079571</v>
      </c>
      <c r="C30" s="9" t="s">
        <v>104</v>
      </c>
      <c r="D30" s="6" t="s">
        <v>38</v>
      </c>
      <c r="E30" s="6" t="s">
        <v>105</v>
      </c>
      <c r="F30" s="6" t="s">
        <v>106</v>
      </c>
      <c r="G30" s="6" t="s">
        <v>107</v>
      </c>
      <c r="H30" s="6">
        <f>DATEDIF(F30,G30,"M")</f>
        <v>2</v>
      </c>
      <c r="I30" s="10" t="s">
        <v>225</v>
      </c>
      <c r="J30" s="10" t="s">
        <v>229</v>
      </c>
      <c r="K30" s="6" t="s">
        <v>44</v>
      </c>
      <c r="L30" s="6">
        <v>58.13</v>
      </c>
      <c r="M30" s="8">
        <v>1.5</v>
      </c>
      <c r="N30" s="6">
        <v>87.2</v>
      </c>
      <c r="O30" s="6" t="s">
        <v>223</v>
      </c>
    </row>
    <row r="31" spans="1:32" s="6" customFormat="1" ht="15" customHeight="1" x14ac:dyDescent="0.2">
      <c r="A31" s="6" t="s">
        <v>92</v>
      </c>
      <c r="B31" s="6">
        <v>9079571</v>
      </c>
      <c r="C31" s="9" t="s">
        <v>108</v>
      </c>
      <c r="D31" s="6" t="s">
        <v>38</v>
      </c>
      <c r="E31" s="6" t="s">
        <v>105</v>
      </c>
      <c r="F31" s="6" t="s">
        <v>106</v>
      </c>
      <c r="G31" s="6" t="s">
        <v>107</v>
      </c>
      <c r="H31" s="6">
        <f>DATEDIF(F31,G31,"M")</f>
        <v>2</v>
      </c>
      <c r="I31" s="10" t="s">
        <v>225</v>
      </c>
      <c r="J31" s="10" t="s">
        <v>229</v>
      </c>
      <c r="K31" s="6" t="s">
        <v>44</v>
      </c>
      <c r="L31" s="6">
        <v>79.28</v>
      </c>
      <c r="M31" s="8">
        <v>1.5</v>
      </c>
      <c r="N31" s="6">
        <v>118.92</v>
      </c>
      <c r="O31" s="6" t="s">
        <v>223</v>
      </c>
    </row>
    <row r="32" spans="1:32" s="6" customFormat="1" ht="15" customHeight="1" x14ac:dyDescent="0.2">
      <c r="A32" s="6" t="s">
        <v>92</v>
      </c>
      <c r="B32" s="6">
        <v>9079571</v>
      </c>
      <c r="C32" s="9" t="s">
        <v>109</v>
      </c>
      <c r="D32" s="6" t="s">
        <v>38</v>
      </c>
      <c r="E32" s="6" t="s">
        <v>110</v>
      </c>
      <c r="F32" s="6" t="s">
        <v>111</v>
      </c>
      <c r="G32" s="6" t="s">
        <v>112</v>
      </c>
      <c r="H32" s="6">
        <f>DATEDIF(F32,G32,"M")</f>
        <v>2</v>
      </c>
      <c r="I32" s="10" t="s">
        <v>225</v>
      </c>
      <c r="J32" s="10" t="s">
        <v>229</v>
      </c>
      <c r="K32" s="6" t="s">
        <v>44</v>
      </c>
      <c r="L32" s="6">
        <v>110.16</v>
      </c>
      <c r="M32" s="8">
        <v>1.5</v>
      </c>
      <c r="N32" s="6">
        <v>165.24</v>
      </c>
      <c r="O32" s="6" t="s">
        <v>223</v>
      </c>
    </row>
    <row r="33" spans="1:15" s="6" customFormat="1" ht="15" customHeight="1" x14ac:dyDescent="0.2">
      <c r="A33" s="6" t="s">
        <v>140</v>
      </c>
      <c r="B33" s="6">
        <v>18754354</v>
      </c>
      <c r="C33" s="7">
        <v>6602159017</v>
      </c>
      <c r="D33" s="6" t="s">
        <v>38</v>
      </c>
      <c r="E33" s="6" t="s">
        <v>143</v>
      </c>
      <c r="F33" s="6" t="s">
        <v>145</v>
      </c>
      <c r="G33" s="6" t="s">
        <v>146</v>
      </c>
      <c r="H33" s="6">
        <f>DATEDIF(F33,G33,"M")</f>
        <v>2</v>
      </c>
      <c r="I33" s="10" t="s">
        <v>225</v>
      </c>
      <c r="J33" s="10" t="s">
        <v>229</v>
      </c>
      <c r="K33" s="6" t="s">
        <v>44</v>
      </c>
      <c r="L33" s="6">
        <v>41.82</v>
      </c>
      <c r="M33" s="8">
        <v>1.1000000000000001</v>
      </c>
      <c r="N33" s="6">
        <v>46</v>
      </c>
      <c r="O33" s="6" t="s">
        <v>220</v>
      </c>
    </row>
    <row r="34" spans="1:15" s="6" customFormat="1" ht="15" customHeight="1" x14ac:dyDescent="0.2">
      <c r="A34" s="6" t="s">
        <v>140</v>
      </c>
      <c r="B34" s="6">
        <v>18754354</v>
      </c>
      <c r="C34" s="7">
        <v>6602191155</v>
      </c>
      <c r="D34" s="6" t="s">
        <v>38</v>
      </c>
      <c r="E34" s="6" t="s">
        <v>152</v>
      </c>
      <c r="F34" s="6" t="s">
        <v>156</v>
      </c>
      <c r="G34" s="6" t="s">
        <v>60</v>
      </c>
      <c r="H34" s="6">
        <f>DATEDIF(F34,G34,"M")</f>
        <v>2</v>
      </c>
      <c r="I34" s="10" t="s">
        <v>225</v>
      </c>
      <c r="J34" s="10" t="s">
        <v>229</v>
      </c>
      <c r="K34" s="6" t="s">
        <v>44</v>
      </c>
      <c r="L34" s="6">
        <v>79.05</v>
      </c>
      <c r="M34" s="8">
        <v>1.1499999999999999</v>
      </c>
      <c r="N34" s="6">
        <v>90.91</v>
      </c>
      <c r="O34" s="6" t="s">
        <v>221</v>
      </c>
    </row>
    <row r="35" spans="1:15" s="6" customFormat="1" ht="15" customHeight="1" x14ac:dyDescent="0.2">
      <c r="A35" s="6" t="s">
        <v>92</v>
      </c>
      <c r="B35" s="6">
        <v>9079571</v>
      </c>
      <c r="C35" s="9" t="s">
        <v>99</v>
      </c>
      <c r="D35" s="6" t="s">
        <v>38</v>
      </c>
      <c r="E35" s="6" t="s">
        <v>100</v>
      </c>
      <c r="F35" s="6" t="s">
        <v>102</v>
      </c>
      <c r="G35" s="6" t="s">
        <v>103</v>
      </c>
      <c r="H35" s="6">
        <f>DATEDIF(F35,G35,"M")</f>
        <v>3</v>
      </c>
      <c r="I35" s="10" t="s">
        <v>225</v>
      </c>
      <c r="J35" s="10" t="s">
        <v>229</v>
      </c>
      <c r="K35" s="6" t="s">
        <v>44</v>
      </c>
      <c r="L35" s="6">
        <v>65.48</v>
      </c>
      <c r="M35" s="8">
        <v>1.08</v>
      </c>
      <c r="N35" s="6">
        <v>70.72</v>
      </c>
      <c r="O35" s="6" t="s">
        <v>218</v>
      </c>
    </row>
    <row r="36" spans="1:15" s="6" customFormat="1" ht="15" customHeight="1" x14ac:dyDescent="0.2">
      <c r="A36" s="6" t="s">
        <v>92</v>
      </c>
      <c r="B36" s="6">
        <v>9079571</v>
      </c>
      <c r="C36" s="7">
        <v>6602188799</v>
      </c>
      <c r="D36" s="6" t="s">
        <v>38</v>
      </c>
      <c r="E36" s="6" t="s">
        <v>119</v>
      </c>
      <c r="F36" s="6" t="s">
        <v>121</v>
      </c>
      <c r="G36" s="6" t="s">
        <v>122</v>
      </c>
      <c r="H36" s="6">
        <f>DATEDIF(F36,G36,"M")</f>
        <v>3</v>
      </c>
      <c r="I36" s="10" t="s">
        <v>225</v>
      </c>
      <c r="J36" s="10" t="s">
        <v>229</v>
      </c>
      <c r="K36" s="6" t="s">
        <v>44</v>
      </c>
      <c r="L36" s="6">
        <v>74.819999999999993</v>
      </c>
      <c r="M36" s="8">
        <v>1.25</v>
      </c>
      <c r="N36" s="6">
        <v>93.53</v>
      </c>
      <c r="O36" s="6" t="s">
        <v>219</v>
      </c>
    </row>
    <row r="37" spans="1:15" s="6" customFormat="1" ht="15" customHeight="1" x14ac:dyDescent="0.2">
      <c r="A37" s="6" t="s">
        <v>92</v>
      </c>
      <c r="B37" s="6">
        <v>9079571</v>
      </c>
      <c r="C37" s="9" t="s">
        <v>95</v>
      </c>
      <c r="D37" s="6" t="s">
        <v>38</v>
      </c>
      <c r="E37" s="6" t="s">
        <v>96</v>
      </c>
      <c r="F37" s="6" t="s">
        <v>98</v>
      </c>
      <c r="G37" s="6" t="s">
        <v>66</v>
      </c>
      <c r="H37" s="6">
        <f>DATEDIF(F37,G37,"M")</f>
        <v>3</v>
      </c>
      <c r="I37" s="10" t="s">
        <v>225</v>
      </c>
      <c r="J37" s="10" t="s">
        <v>229</v>
      </c>
      <c r="K37" s="6" t="s">
        <v>44</v>
      </c>
      <c r="L37" s="6">
        <v>164.56</v>
      </c>
      <c r="M37" s="8">
        <v>1.5</v>
      </c>
      <c r="N37" s="6">
        <v>246.84</v>
      </c>
      <c r="O37" s="6" t="s">
        <v>223</v>
      </c>
    </row>
    <row r="38" spans="1:15" s="6" customFormat="1" ht="15" customHeight="1" x14ac:dyDescent="0.2">
      <c r="A38" s="6" t="s">
        <v>140</v>
      </c>
      <c r="B38" s="6">
        <v>18754354</v>
      </c>
      <c r="C38" s="7">
        <v>6602176176</v>
      </c>
      <c r="D38" s="6" t="s">
        <v>38</v>
      </c>
      <c r="E38" s="6" t="s">
        <v>148</v>
      </c>
      <c r="F38" s="6" t="s">
        <v>149</v>
      </c>
      <c r="G38" s="6" t="s">
        <v>107</v>
      </c>
      <c r="H38" s="6">
        <f>DATEDIF(F38,G38,"M")</f>
        <v>3</v>
      </c>
      <c r="I38" s="10" t="s">
        <v>225</v>
      </c>
      <c r="J38" s="10" t="s">
        <v>229</v>
      </c>
      <c r="K38" s="6" t="s">
        <v>44</v>
      </c>
      <c r="L38" s="6">
        <v>35.700000000000003</v>
      </c>
      <c r="M38" s="8">
        <v>1.1499999999999999</v>
      </c>
      <c r="N38" s="6">
        <v>41.06</v>
      </c>
      <c r="O38" s="6" t="s">
        <v>221</v>
      </c>
    </row>
    <row r="39" spans="1:15" s="6" customFormat="1" ht="15" customHeight="1" x14ac:dyDescent="0.2">
      <c r="A39" s="6" t="s">
        <v>140</v>
      </c>
      <c r="B39" s="6">
        <v>18754354</v>
      </c>
      <c r="C39" s="7">
        <v>6602176202</v>
      </c>
      <c r="D39" s="6" t="s">
        <v>38</v>
      </c>
      <c r="E39" s="6" t="s">
        <v>148</v>
      </c>
      <c r="F39" s="6" t="s">
        <v>121</v>
      </c>
      <c r="G39" s="6" t="s">
        <v>122</v>
      </c>
      <c r="H39" s="6">
        <f>DATEDIF(F39,G39,"M")</f>
        <v>3</v>
      </c>
      <c r="I39" s="10" t="s">
        <v>225</v>
      </c>
      <c r="J39" s="10" t="s">
        <v>229</v>
      </c>
      <c r="K39" s="6" t="s">
        <v>44</v>
      </c>
      <c r="L39" s="6">
        <v>136.43</v>
      </c>
      <c r="M39" s="8">
        <v>1.1499999999999999</v>
      </c>
      <c r="N39" s="6">
        <v>156.88999999999999</v>
      </c>
      <c r="O39" s="6" t="s">
        <v>221</v>
      </c>
    </row>
    <row r="40" spans="1:15" s="6" customFormat="1" ht="15" customHeight="1" x14ac:dyDescent="0.2">
      <c r="A40" s="6" t="s">
        <v>54</v>
      </c>
      <c r="B40" s="6">
        <v>9213293</v>
      </c>
      <c r="C40" s="7">
        <v>6602141191</v>
      </c>
      <c r="D40" s="6" t="s">
        <v>38</v>
      </c>
      <c r="E40" s="6" t="s">
        <v>57</v>
      </c>
      <c r="F40" s="6" t="s">
        <v>59</v>
      </c>
      <c r="G40" s="6" t="s">
        <v>60</v>
      </c>
      <c r="H40" s="6">
        <f>DATEDIF(F40,G40,"M")</f>
        <v>4</v>
      </c>
      <c r="I40" s="10" t="s">
        <v>225</v>
      </c>
      <c r="J40" s="10" t="s">
        <v>229</v>
      </c>
      <c r="K40" s="6" t="s">
        <v>44</v>
      </c>
      <c r="L40" s="6">
        <v>47.26</v>
      </c>
      <c r="M40" s="8">
        <v>1.1499999999999999</v>
      </c>
      <c r="N40" s="6">
        <v>54.35</v>
      </c>
      <c r="O40" s="6" t="s">
        <v>221</v>
      </c>
    </row>
    <row r="41" spans="1:15" s="6" customFormat="1" ht="15" customHeight="1" x14ac:dyDescent="0.2">
      <c r="A41" s="6" t="s">
        <v>123</v>
      </c>
      <c r="B41" s="6">
        <v>17437820</v>
      </c>
      <c r="C41" s="9" t="s">
        <v>125</v>
      </c>
      <c r="D41" s="6" t="s">
        <v>38</v>
      </c>
      <c r="E41" s="6" t="s">
        <v>126</v>
      </c>
      <c r="F41" s="6" t="s">
        <v>128</v>
      </c>
      <c r="G41" s="6" t="s">
        <v>129</v>
      </c>
      <c r="H41" s="6">
        <f>DATEDIF(F41,G41,"M")</f>
        <v>6</v>
      </c>
      <c r="I41" s="10" t="s">
        <v>225</v>
      </c>
      <c r="J41" s="10" t="s">
        <v>229</v>
      </c>
      <c r="K41" s="6" t="s">
        <v>44</v>
      </c>
      <c r="L41" s="6">
        <v>447.72</v>
      </c>
      <c r="M41" s="8">
        <v>1.5</v>
      </c>
      <c r="N41" s="6">
        <v>671.58</v>
      </c>
      <c r="O41" s="6" t="s">
        <v>223</v>
      </c>
    </row>
    <row r="42" spans="1:15" s="6" customFormat="1" x14ac:dyDescent="0.2">
      <c r="C42" s="9"/>
    </row>
  </sheetData>
  <sortState xmlns:xlrd2="http://schemas.microsoft.com/office/spreadsheetml/2017/richdata2" ref="A2:AF41">
    <sortCondition sortBy="cellColor" ref="A2:A41" dxfId="0"/>
    <sortCondition ref="H2:H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2025-12-02T11:29:16Z</dcterms:created>
  <dcterms:modified xsi:type="dcterms:W3CDTF">2025-12-02T20:11:14Z</dcterms:modified>
</cp:coreProperties>
</file>