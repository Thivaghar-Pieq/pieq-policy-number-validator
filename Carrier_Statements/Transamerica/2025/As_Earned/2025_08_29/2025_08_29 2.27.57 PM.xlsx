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8-29-25\"/>
    </mc:Choice>
  </mc:AlternateContent>
  <xr:revisionPtr revIDLastSave="0" documentId="13_ncr:1_{49874487-9375-4A27-8E67-B535621BC859}" xr6:coauthVersionLast="47" xr6:coauthVersionMax="47" xr10:uidLastSave="{00000000-0000-0000-0000-000000000000}"/>
  <bookViews>
    <workbookView xWindow="-57720" yWindow="-45" windowWidth="29040" windowHeight="15720" activeTab="1" xr2:uid="{9FF7DEAA-CCAF-4CF1-B191-3760C28F055E}"/>
  </bookViews>
  <sheets>
    <sheet name="Sheet1" sheetId="1" r:id="rId1"/>
    <sheet name="clean sheet" sheetId="2" r:id="rId2"/>
    <sheet name="advanc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2" i="2"/>
</calcChain>
</file>

<file path=xl/sharedStrings.xml><?xml version="1.0" encoding="utf-8"?>
<sst xmlns="http://schemas.openxmlformats.org/spreadsheetml/2006/main" count="564" uniqueCount="173">
  <si>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</si>
  <si>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</si>
  <si>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</si>
  <si>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</si>
  <si>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</si>
  <si>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</si>
  <si>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</si>
  <si>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</si>
  <si>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</si>
  <si>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</si>
  <si>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</si>
  <si>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</si>
  <si>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</si>
  <si>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</si>
  <si>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</si>
  <si>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</si>
  <si>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</si>
  <si>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</si>
  <si>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</si>
  <si>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</si>
  <si>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</si>
  <si>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</si>
  <si>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</si>
  <si>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</si>
  <si>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</si>
  <si>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</si>
  <si>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</si>
  <si>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</si>
  <si>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</si>
  <si>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</si>
  <si>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</si>
  <si>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</si>
  <si>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</si>
  <si>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08/29/2025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</si>
  <si>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</si>
  <si>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</si>
  <si>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</si>
  <si>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</si>
  <si>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</si>
  <si>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</si>
  <si>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</si>
  <si>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</si>
  <si>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</si>
  <si>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09/04/2025</t>
  </si>
  <si>
    <t>Monthly</t>
  </si>
  <si>
    <t>OW 1st Yr</t>
  </si>
  <si>
    <t>6602026267</t>
  </si>
  <si>
    <t>02/21/2025</t>
  </si>
  <si>
    <t>09/21/2025</t>
  </si>
  <si>
    <t xml:space="preserve">PETRUNGARO, ANDREA </t>
  </si>
  <si>
    <t>0094175599</t>
  </si>
  <si>
    <t>6602088836</t>
  </si>
  <si>
    <t>Savastano</t>
  </si>
  <si>
    <t>05/01/2025</t>
  </si>
  <si>
    <t>09/01/2025</t>
  </si>
  <si>
    <t>6602108005</t>
  </si>
  <si>
    <t>Hernandez</t>
  </si>
  <si>
    <t>06/13/2025</t>
  </si>
  <si>
    <t>09/13/2025</t>
  </si>
  <si>
    <t>WERNER, STEVEN D</t>
  </si>
  <si>
    <t>0094176097</t>
  </si>
  <si>
    <t>6602136573</t>
  </si>
  <si>
    <t>Rosenblat</t>
  </si>
  <si>
    <t>TD5G4D</t>
  </si>
  <si>
    <t>07/14/2025</t>
  </si>
  <si>
    <t>09/14/2025</t>
  </si>
  <si>
    <t>6602136587</t>
  </si>
  <si>
    <t>MLSR156747</t>
  </si>
  <si>
    <t>Active</t>
  </si>
  <si>
    <t/>
  </si>
  <si>
    <t>FINNIGAN, COLLEEN J</t>
  </si>
  <si>
    <t>MLSR119024</t>
  </si>
  <si>
    <t>Individual AFP</t>
  </si>
  <si>
    <t>LFC010566</t>
  </si>
  <si>
    <t>Carso</t>
  </si>
  <si>
    <t>TD12KC</t>
  </si>
  <si>
    <t>06/20/2025</t>
  </si>
  <si>
    <t>09/20/2025</t>
  </si>
  <si>
    <t xml:space="preserve">TAUGNER, CHRISTIAN </t>
  </si>
  <si>
    <t>MLSR137518</t>
  </si>
  <si>
    <t>6602118959</t>
  </si>
  <si>
    <t>Denton</t>
  </si>
  <si>
    <t>TD551C</t>
  </si>
  <si>
    <t>06/27/2025</t>
  </si>
  <si>
    <t>08/27/2025</t>
  </si>
  <si>
    <t>GESKE, HEATHER M</t>
  </si>
  <si>
    <t>MLSR138219</t>
  </si>
  <si>
    <t>6602131288</t>
  </si>
  <si>
    <t>Y</t>
  </si>
  <si>
    <t>Whitaker</t>
  </si>
  <si>
    <t>08/05/2025</t>
  </si>
  <si>
    <t>09/05/2025</t>
  </si>
  <si>
    <t>SHULMAN, JAKE P</t>
  </si>
  <si>
    <t>MLSR165860</t>
  </si>
  <si>
    <t>6602102557</t>
  </si>
  <si>
    <t>Schatz</t>
  </si>
  <si>
    <t>TD560C</t>
  </si>
  <si>
    <t>08/21/2025</t>
  </si>
  <si>
    <t>08/21/2026</t>
  </si>
  <si>
    <t>Annual</t>
  </si>
  <si>
    <t>6602163682</t>
  </si>
  <si>
    <t>Lerman</t>
  </si>
  <si>
    <t>08/19/2025</t>
  </si>
  <si>
    <t>08/19/2026</t>
  </si>
  <si>
    <t>6602172361</t>
  </si>
  <si>
    <t>08/22/2025</t>
  </si>
  <si>
    <t>08/22/2026</t>
  </si>
  <si>
    <t>MLSR171034</t>
  </si>
  <si>
    <t>6602065974</t>
  </si>
  <si>
    <t>Apelian</t>
  </si>
  <si>
    <t>08/15/2025</t>
  </si>
  <si>
    <t>09/15/2025</t>
  </si>
  <si>
    <t>Commission Agent Last Name</t>
  </si>
  <si>
    <t>Commission Agent First Name</t>
  </si>
  <si>
    <t>Commission Agent Business Name</t>
  </si>
  <si>
    <t>Statutory Company Name</t>
  </si>
  <si>
    <t>Transaction Date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</si>
  <si>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</si>
  <si>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</si>
  <si>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</si>
  <si>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</si>
  <si>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</si>
  <si>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</si>
  <si>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</si>
  <si>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</si>
  <si>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</si>
  <si>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</si>
  <si>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</si>
  <si>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</si>
  <si>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</si>
  <si>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</si>
  <si>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</si>
  <si>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</si>
  <si>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</si>
  <si>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</si>
  <si>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</si>
  <si>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</si>
  <si>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</si>
  <si>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</si>
  <si>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</si>
  <si>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</si>
  <si>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</si>
  <si>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</si>
  <si>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</si>
  <si>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</si>
  <si>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</si>
  <si>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</si>
  <si>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</si>
  <si>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</si>
  <si>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</si>
  <si>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Transamerica Life Insurance Company</t>
  </si>
  <si>
    <t>Stephens</t>
  </si>
  <si>
    <t>Taylor</t>
  </si>
  <si>
    <t>OW Placed Adv</t>
  </si>
  <si>
    <t>Richter</t>
  </si>
  <si>
    <t>Peter</t>
  </si>
  <si>
    <t>MLSR112897</t>
  </si>
  <si>
    <t>Khi, Andrew</t>
  </si>
  <si>
    <t>Khi, Sokunthea</t>
  </si>
  <si>
    <t>Sam Carso</t>
  </si>
  <si>
    <t>Hernandez, Nicholas</t>
  </si>
  <si>
    <t>Rosenblat, Hannah</t>
  </si>
  <si>
    <t>Rosenblat, Joshua</t>
  </si>
  <si>
    <t>Denton, Michelle</t>
  </si>
  <si>
    <t>Whitaker, Emily</t>
  </si>
  <si>
    <t>Schatz, Jonathan Neil</t>
  </si>
  <si>
    <t>Lerman, Joshua</t>
  </si>
  <si>
    <t>Lerman, Alli</t>
  </si>
  <si>
    <t>Apelian, Jennifer</t>
  </si>
  <si>
    <t>Trendsetter LB 20 25 30 Year 115 2023</t>
  </si>
  <si>
    <t>Lifetime WL A48 150</t>
  </si>
  <si>
    <t>Trendsetter Super 20 25 30 Year LB 15 2024</t>
  </si>
  <si>
    <t>FFIUL 125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</si>
</sst>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 applyAlignment="1">
      <alignment wrapText="1"/>
    </xf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left" wrapText="1"/>
    </xf>
    <xf numFmtId="9" fontId="0" fillId="0" borderId="0" xfId="1" applyFont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NumberFormat="1" applyFill="1" applyAlignment="1">
      <alignment horizontal="left" wrapText="1"/>
    </xf>
    <xf numFmtId="9" fontId="0" fillId="2" borderId="0" xfId="1" applyFont="1" applyFill="1" applyAlignment="1">
      <alignment horizontal="left" wrapText="1"/>
    </xf>
    <xf numFmtId="0" fontId="2" fillId="2" borderId="0" xfId="0" applyFont="1" applyFill="1"/>
    <xf numFmtId="0" fontId="2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C9BB-CD48-4454-A233-9DF145D20DFC}">
  <sheetPr>
    <outlinePr summaryBelow="0" summaryRight="0"/>
    <pageSetUpPr autoPageBreaks="0" fitToPage="1"/>
  </sheetPr>
  <dimension ref="A1:AL17"/>
  <sheetViews>
    <sheetView topLeftCell="H1" workbookViewId="0">
      <selection activeCell="B27" sqref="A1:XFD1048576"/>
    </sheetView>
  </sheetViews>
  <sheetFormatPr defaultRowHeight="12.75" x14ac:dyDescent="0.2"/>
  <cols>
    <col min="1" max="256" width="33.140625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8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38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38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49</v>
      </c>
      <c r="I4" t="s">
        <v>50</v>
      </c>
      <c r="J4" t="s">
        <v>36</v>
      </c>
      <c r="K4" t="s">
        <v>51</v>
      </c>
      <c r="L4" t="s">
        <v>38</v>
      </c>
      <c r="M4" t="s">
        <v>52</v>
      </c>
      <c r="N4" t="s">
        <v>40</v>
      </c>
      <c r="O4" t="s">
        <v>41</v>
      </c>
      <c r="P4" t="s">
        <v>53</v>
      </c>
      <c r="Q4" t="s">
        <v>54</v>
      </c>
      <c r="R4" t="s">
        <v>44</v>
      </c>
      <c r="S4" t="s">
        <v>45</v>
      </c>
      <c r="T4">
        <v>0</v>
      </c>
      <c r="U4">
        <v>53.32</v>
      </c>
      <c r="V4">
        <v>0</v>
      </c>
      <c r="W4">
        <v>1</v>
      </c>
      <c r="X4">
        <v>1.1499999999999999</v>
      </c>
      <c r="Y4">
        <v>61.32</v>
      </c>
      <c r="Z4">
        <v>0</v>
      </c>
      <c r="AA4">
        <v>0</v>
      </c>
    </row>
    <row r="5" spans="1:38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49</v>
      </c>
      <c r="I5" t="s">
        <v>50</v>
      </c>
      <c r="J5" t="s">
        <v>36</v>
      </c>
      <c r="K5" t="s">
        <v>55</v>
      </c>
      <c r="L5" t="s">
        <v>38</v>
      </c>
      <c r="M5" t="s">
        <v>56</v>
      </c>
      <c r="N5" t="s">
        <v>40</v>
      </c>
      <c r="O5" t="s">
        <v>41</v>
      </c>
      <c r="P5" t="s">
        <v>57</v>
      </c>
      <c r="Q5" t="s">
        <v>58</v>
      </c>
      <c r="R5" t="s">
        <v>44</v>
      </c>
      <c r="S5" t="s">
        <v>45</v>
      </c>
      <c r="T5">
        <v>0</v>
      </c>
      <c r="U5">
        <v>30.53</v>
      </c>
      <c r="V5">
        <v>0</v>
      </c>
      <c r="W5">
        <v>1</v>
      </c>
      <c r="X5">
        <v>1.1499999999999999</v>
      </c>
      <c r="Y5">
        <v>35.11</v>
      </c>
      <c r="Z5">
        <v>0</v>
      </c>
      <c r="AA5">
        <v>0</v>
      </c>
    </row>
    <row r="6" spans="1:38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59</v>
      </c>
      <c r="I6" t="s">
        <v>60</v>
      </c>
      <c r="J6" t="s">
        <v>36</v>
      </c>
      <c r="K6" t="s">
        <v>61</v>
      </c>
      <c r="L6" t="s">
        <v>38</v>
      </c>
      <c r="M6" t="s">
        <v>62</v>
      </c>
      <c r="N6" t="s">
        <v>63</v>
      </c>
      <c r="O6" t="s">
        <v>41</v>
      </c>
      <c r="P6" t="s">
        <v>64</v>
      </c>
      <c r="Q6" t="s">
        <v>65</v>
      </c>
      <c r="R6" t="s">
        <v>44</v>
      </c>
      <c r="S6" t="s">
        <v>45</v>
      </c>
      <c r="T6">
        <v>0</v>
      </c>
      <c r="U6">
        <v>87.55</v>
      </c>
      <c r="V6">
        <v>0</v>
      </c>
      <c r="W6">
        <v>1</v>
      </c>
      <c r="X6">
        <v>1.1499999999999999</v>
      </c>
      <c r="Y6">
        <v>100.68</v>
      </c>
      <c r="Z6">
        <v>0</v>
      </c>
      <c r="AA6">
        <v>0</v>
      </c>
    </row>
    <row r="7" spans="1:38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59</v>
      </c>
      <c r="I7" t="s">
        <v>60</v>
      </c>
      <c r="J7" t="s">
        <v>36</v>
      </c>
      <c r="K7" t="s">
        <v>66</v>
      </c>
      <c r="L7" t="s">
        <v>38</v>
      </c>
      <c r="M7" t="s">
        <v>62</v>
      </c>
      <c r="N7" t="s">
        <v>63</v>
      </c>
      <c r="O7" t="s">
        <v>41</v>
      </c>
      <c r="P7" t="s">
        <v>64</v>
      </c>
      <c r="Q7" t="s">
        <v>65</v>
      </c>
      <c r="R7" t="s">
        <v>44</v>
      </c>
      <c r="S7" t="s">
        <v>45</v>
      </c>
      <c r="T7">
        <v>0</v>
      </c>
      <c r="U7">
        <v>170.85</v>
      </c>
      <c r="V7">
        <v>0</v>
      </c>
      <c r="W7">
        <v>1</v>
      </c>
      <c r="X7">
        <v>1.1499999999999999</v>
      </c>
      <c r="Y7">
        <v>196.48</v>
      </c>
      <c r="Z7">
        <v>0</v>
      </c>
      <c r="AA7">
        <v>0</v>
      </c>
    </row>
    <row r="8" spans="1:38" x14ac:dyDescent="0.2">
      <c r="A8" t="s">
        <v>27</v>
      </c>
      <c r="B8" t="s">
        <v>67</v>
      </c>
      <c r="C8" t="s">
        <v>68</v>
      </c>
      <c r="D8" t="s">
        <v>30</v>
      </c>
      <c r="E8" t="s">
        <v>69</v>
      </c>
      <c r="F8" t="s">
        <v>32</v>
      </c>
      <c r="G8" t="s">
        <v>33</v>
      </c>
      <c r="H8" t="s">
        <v>70</v>
      </c>
      <c r="I8" t="s">
        <v>71</v>
      </c>
      <c r="J8" t="s">
        <v>72</v>
      </c>
      <c r="K8" t="s">
        <v>73</v>
      </c>
      <c r="L8" t="s">
        <v>38</v>
      </c>
      <c r="M8" t="s">
        <v>74</v>
      </c>
      <c r="N8" t="s">
        <v>75</v>
      </c>
      <c r="O8" t="s">
        <v>41</v>
      </c>
      <c r="P8" t="s">
        <v>76</v>
      </c>
      <c r="Q8" t="s">
        <v>77</v>
      </c>
      <c r="R8" t="s">
        <v>44</v>
      </c>
      <c r="S8" t="s">
        <v>45</v>
      </c>
      <c r="T8">
        <v>0</v>
      </c>
      <c r="U8">
        <v>447.72</v>
      </c>
      <c r="V8">
        <v>0</v>
      </c>
      <c r="W8">
        <v>1</v>
      </c>
      <c r="X8">
        <v>1.5</v>
      </c>
      <c r="Y8">
        <v>671.58</v>
      </c>
      <c r="Z8">
        <v>0.25</v>
      </c>
      <c r="AA8">
        <v>167.9</v>
      </c>
    </row>
    <row r="9" spans="1:38" x14ac:dyDescent="0.2">
      <c r="A9" t="s">
        <v>27</v>
      </c>
      <c r="B9" t="s">
        <v>67</v>
      </c>
      <c r="C9" t="s">
        <v>68</v>
      </c>
      <c r="D9" t="s">
        <v>30</v>
      </c>
      <c r="E9" t="s">
        <v>69</v>
      </c>
      <c r="F9" t="s">
        <v>32</v>
      </c>
      <c r="G9" t="s">
        <v>33</v>
      </c>
      <c r="H9" t="s">
        <v>78</v>
      </c>
      <c r="I9" t="s">
        <v>79</v>
      </c>
      <c r="J9" t="s">
        <v>36</v>
      </c>
      <c r="K9" t="s">
        <v>80</v>
      </c>
      <c r="L9" t="s">
        <v>38</v>
      </c>
      <c r="M9" t="s">
        <v>81</v>
      </c>
      <c r="N9" t="s">
        <v>82</v>
      </c>
      <c r="O9" t="s">
        <v>41</v>
      </c>
      <c r="P9" t="s">
        <v>83</v>
      </c>
      <c r="Q9" t="s">
        <v>84</v>
      </c>
      <c r="R9" t="s">
        <v>44</v>
      </c>
      <c r="S9" t="s">
        <v>45</v>
      </c>
      <c r="T9">
        <v>0</v>
      </c>
      <c r="U9">
        <v>38.96</v>
      </c>
      <c r="V9">
        <v>0</v>
      </c>
      <c r="W9">
        <v>1</v>
      </c>
      <c r="X9">
        <v>1.25</v>
      </c>
      <c r="Y9">
        <v>48.7</v>
      </c>
      <c r="Z9">
        <v>0.25</v>
      </c>
      <c r="AA9">
        <v>12.18</v>
      </c>
    </row>
    <row r="10" spans="1:38" x14ac:dyDescent="0.2">
      <c r="A10" t="s">
        <v>27</v>
      </c>
      <c r="B10" t="s">
        <v>67</v>
      </c>
      <c r="C10" t="s">
        <v>68</v>
      </c>
      <c r="D10" t="s">
        <v>30</v>
      </c>
      <c r="E10" t="s">
        <v>69</v>
      </c>
      <c r="F10" t="s">
        <v>32</v>
      </c>
      <c r="G10" t="s">
        <v>33</v>
      </c>
      <c r="H10" t="s">
        <v>85</v>
      </c>
      <c r="I10" t="s">
        <v>86</v>
      </c>
      <c r="J10" t="s">
        <v>36</v>
      </c>
      <c r="K10" t="s">
        <v>87</v>
      </c>
      <c r="L10" t="s">
        <v>88</v>
      </c>
      <c r="M10" t="s">
        <v>89</v>
      </c>
      <c r="N10" t="s">
        <v>82</v>
      </c>
      <c r="O10" t="s">
        <v>41</v>
      </c>
      <c r="P10" t="s">
        <v>90</v>
      </c>
      <c r="Q10" t="s">
        <v>91</v>
      </c>
      <c r="R10" t="s">
        <v>44</v>
      </c>
      <c r="S10" t="s">
        <v>45</v>
      </c>
      <c r="T10">
        <v>0</v>
      </c>
      <c r="U10">
        <v>25.59</v>
      </c>
      <c r="V10">
        <v>0</v>
      </c>
      <c r="W10">
        <v>1</v>
      </c>
      <c r="X10">
        <v>1.25</v>
      </c>
      <c r="Y10">
        <v>31.99</v>
      </c>
      <c r="Z10">
        <v>0.25</v>
      </c>
      <c r="AA10">
        <v>8</v>
      </c>
    </row>
    <row r="11" spans="1:38" x14ac:dyDescent="0.2">
      <c r="A11" t="s">
        <v>27</v>
      </c>
      <c r="B11" t="s">
        <v>67</v>
      </c>
      <c r="C11" t="s">
        <v>68</v>
      </c>
      <c r="D11" t="s">
        <v>30</v>
      </c>
      <c r="E11" t="s">
        <v>69</v>
      </c>
      <c r="F11" t="s">
        <v>32</v>
      </c>
      <c r="G11" t="s">
        <v>33</v>
      </c>
      <c r="H11" t="s">
        <v>92</v>
      </c>
      <c r="I11" t="s">
        <v>93</v>
      </c>
      <c r="J11" t="s">
        <v>36</v>
      </c>
      <c r="K11" t="s">
        <v>94</v>
      </c>
      <c r="L11" t="s">
        <v>88</v>
      </c>
      <c r="M11" t="s">
        <v>95</v>
      </c>
      <c r="N11" t="s">
        <v>96</v>
      </c>
      <c r="O11" t="s">
        <v>41</v>
      </c>
      <c r="P11" t="s">
        <v>97</v>
      </c>
      <c r="Q11" t="s">
        <v>98</v>
      </c>
      <c r="R11" t="s">
        <v>99</v>
      </c>
      <c r="S11" t="s">
        <v>45</v>
      </c>
      <c r="T11">
        <v>0</v>
      </c>
      <c r="U11">
        <v>940</v>
      </c>
      <c r="V11">
        <v>0</v>
      </c>
      <c r="W11">
        <v>1</v>
      </c>
      <c r="X11">
        <v>1.1499999999999999</v>
      </c>
      <c r="Y11">
        <v>1081</v>
      </c>
      <c r="Z11">
        <v>0.25</v>
      </c>
      <c r="AA11">
        <v>270.25</v>
      </c>
    </row>
    <row r="12" spans="1:38" x14ac:dyDescent="0.2">
      <c r="A12" t="s">
        <v>27</v>
      </c>
      <c r="B12" t="s">
        <v>67</v>
      </c>
      <c r="C12" t="s">
        <v>68</v>
      </c>
      <c r="D12" t="s">
        <v>30</v>
      </c>
      <c r="E12" t="s">
        <v>69</v>
      </c>
      <c r="F12" t="s">
        <v>32</v>
      </c>
      <c r="G12" t="s">
        <v>33</v>
      </c>
      <c r="H12" t="s">
        <v>92</v>
      </c>
      <c r="I12" t="s">
        <v>93</v>
      </c>
      <c r="J12" t="s">
        <v>36</v>
      </c>
      <c r="K12" t="s">
        <v>100</v>
      </c>
      <c r="L12" t="s">
        <v>88</v>
      </c>
      <c r="M12" t="s">
        <v>101</v>
      </c>
      <c r="N12" t="s">
        <v>63</v>
      </c>
      <c r="O12" t="s">
        <v>41</v>
      </c>
      <c r="P12" t="s">
        <v>102</v>
      </c>
      <c r="Q12" t="s">
        <v>103</v>
      </c>
      <c r="R12" t="s">
        <v>99</v>
      </c>
      <c r="S12" t="s">
        <v>45</v>
      </c>
      <c r="T12">
        <v>0</v>
      </c>
      <c r="U12">
        <v>660</v>
      </c>
      <c r="V12">
        <v>0</v>
      </c>
      <c r="W12">
        <v>1</v>
      </c>
      <c r="X12">
        <v>1.1499999999999999</v>
      </c>
      <c r="Y12">
        <v>759</v>
      </c>
      <c r="Z12">
        <v>0.25</v>
      </c>
      <c r="AA12">
        <v>189.75</v>
      </c>
    </row>
    <row r="13" spans="1:38" x14ac:dyDescent="0.2">
      <c r="A13" t="s">
        <v>27</v>
      </c>
      <c r="B13" t="s">
        <v>67</v>
      </c>
      <c r="C13" t="s">
        <v>68</v>
      </c>
      <c r="D13" t="s">
        <v>30</v>
      </c>
      <c r="E13" t="s">
        <v>69</v>
      </c>
      <c r="F13" t="s">
        <v>32</v>
      </c>
      <c r="G13" t="s">
        <v>33</v>
      </c>
      <c r="H13" t="s">
        <v>92</v>
      </c>
      <c r="I13" t="s">
        <v>93</v>
      </c>
      <c r="J13" t="s">
        <v>36</v>
      </c>
      <c r="K13" t="s">
        <v>104</v>
      </c>
      <c r="L13" t="s">
        <v>88</v>
      </c>
      <c r="M13" t="s">
        <v>101</v>
      </c>
      <c r="N13" t="s">
        <v>63</v>
      </c>
      <c r="O13" t="s">
        <v>41</v>
      </c>
      <c r="P13" t="s">
        <v>105</v>
      </c>
      <c r="Q13" t="s">
        <v>106</v>
      </c>
      <c r="R13" t="s">
        <v>99</v>
      </c>
      <c r="S13" t="s">
        <v>45</v>
      </c>
      <c r="T13">
        <v>0</v>
      </c>
      <c r="U13">
        <v>490</v>
      </c>
      <c r="V13">
        <v>0</v>
      </c>
      <c r="W13">
        <v>1</v>
      </c>
      <c r="X13">
        <v>1.1499999999999999</v>
      </c>
      <c r="Y13">
        <v>563.5</v>
      </c>
      <c r="Z13">
        <v>0.25</v>
      </c>
      <c r="AA13">
        <v>140.88</v>
      </c>
    </row>
    <row r="14" spans="1:38" x14ac:dyDescent="0.2">
      <c r="A14" t="s">
        <v>27</v>
      </c>
      <c r="B14" t="s">
        <v>67</v>
      </c>
      <c r="C14" t="s">
        <v>68</v>
      </c>
      <c r="D14" t="s">
        <v>30</v>
      </c>
      <c r="E14" t="s">
        <v>69</v>
      </c>
      <c r="F14" t="s">
        <v>32</v>
      </c>
      <c r="G14" t="s">
        <v>33</v>
      </c>
      <c r="H14" t="s">
        <v>49</v>
      </c>
      <c r="I14" t="s">
        <v>107</v>
      </c>
      <c r="J14" t="s">
        <v>36</v>
      </c>
      <c r="K14" t="s">
        <v>108</v>
      </c>
      <c r="L14" t="s">
        <v>88</v>
      </c>
      <c r="M14" t="s">
        <v>109</v>
      </c>
      <c r="N14" t="s">
        <v>40</v>
      </c>
      <c r="O14" t="s">
        <v>41</v>
      </c>
      <c r="P14" t="s">
        <v>110</v>
      </c>
      <c r="Q14" t="s">
        <v>111</v>
      </c>
      <c r="R14" t="s">
        <v>44</v>
      </c>
      <c r="S14" t="s">
        <v>45</v>
      </c>
      <c r="T14">
        <v>0</v>
      </c>
      <c r="U14">
        <v>143.62</v>
      </c>
      <c r="V14">
        <v>0</v>
      </c>
      <c r="W14">
        <v>1</v>
      </c>
      <c r="X14">
        <v>1.1499999999999999</v>
      </c>
      <c r="Y14">
        <v>165.16</v>
      </c>
      <c r="Z14">
        <v>0.25</v>
      </c>
      <c r="AA14">
        <v>41.29</v>
      </c>
    </row>
    <row r="16" spans="1:38" s="1" customFormat="1" x14ac:dyDescent="0.2">
      <c r="A16" s="1" t="s">
        <v>112</v>
      </c>
      <c r="B16" s="1" t="s">
        <v>113</v>
      </c>
      <c r="C16" s="1" t="s">
        <v>114</v>
      </c>
      <c r="D16" s="1" t="s">
        <v>1</v>
      </c>
      <c r="E16" s="1" t="s">
        <v>115</v>
      </c>
      <c r="F16" s="1" t="s">
        <v>116</v>
      </c>
      <c r="G16" s="1" t="s">
        <v>10</v>
      </c>
      <c r="H16" s="1" t="s">
        <v>117</v>
      </c>
      <c r="I16" s="1" t="s">
        <v>118</v>
      </c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8</v>
      </c>
      <c r="O16" s="1" t="s">
        <v>123</v>
      </c>
      <c r="P16" s="1" t="s">
        <v>124</v>
      </c>
      <c r="Q16" s="1" t="s">
        <v>125</v>
      </c>
      <c r="R16" s="1" t="s">
        <v>126</v>
      </c>
      <c r="S16" s="1" t="s">
        <v>127</v>
      </c>
      <c r="T16" s="1" t="s">
        <v>128</v>
      </c>
      <c r="U16" s="1" t="s">
        <v>129</v>
      </c>
      <c r="V16" s="1" t="s">
        <v>130</v>
      </c>
      <c r="W16" s="1" t="s">
        <v>131</v>
      </c>
      <c r="X16" s="1" t="s">
        <v>132</v>
      </c>
      <c r="Y16" s="1" t="s">
        <v>133</v>
      </c>
      <c r="Z16" s="1" t="s">
        <v>134</v>
      </c>
      <c r="AA16" s="1" t="s">
        <v>135</v>
      </c>
      <c r="AB16" s="1" t="s">
        <v>136</v>
      </c>
      <c r="AC16" s="1" t="s">
        <v>137</v>
      </c>
      <c r="AD16" s="1" t="s">
        <v>138</v>
      </c>
      <c r="AE16" s="1" t="s">
        <v>139</v>
      </c>
      <c r="AF16" s="1" t="s">
        <v>140</v>
      </c>
      <c r="AG16" s="1" t="s">
        <v>141</v>
      </c>
      <c r="AH16" s="1" t="s">
        <v>142</v>
      </c>
      <c r="AI16" s="1" t="s">
        <v>143</v>
      </c>
      <c r="AJ16" s="1" t="s">
        <v>144</v>
      </c>
      <c r="AK16" s="1" t="s">
        <v>145</v>
      </c>
      <c r="AL16" s="1" t="s">
        <v>146</v>
      </c>
    </row>
    <row r="17" spans="1:21" s="1" customFormat="1" x14ac:dyDescent="0.2">
      <c r="A17" s="1" t="s">
        <v>147</v>
      </c>
      <c r="B17" s="1" t="s">
        <v>148</v>
      </c>
      <c r="C17" s="1" t="s">
        <v>149</v>
      </c>
      <c r="D17" s="1" t="s">
        <v>67</v>
      </c>
      <c r="E17" s="1" t="s">
        <v>150</v>
      </c>
      <c r="F17" s="2">
        <v>45905</v>
      </c>
      <c r="G17" s="1">
        <v>6602183190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69</v>
      </c>
      <c r="N17" s="1" t="s">
        <v>156</v>
      </c>
      <c r="O17" s="1">
        <v>535.55999999999995</v>
      </c>
      <c r="P17" s="1">
        <v>1</v>
      </c>
      <c r="Q17" s="1">
        <v>1.1499999999999999</v>
      </c>
      <c r="R17" s="1">
        <v>0.75</v>
      </c>
      <c r="S17" s="1">
        <v>462</v>
      </c>
      <c r="T17" s="1">
        <v>0</v>
      </c>
      <c r="U17" s="1">
        <v>0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537C-EB9F-460D-85E3-61CE9F5BB5C0}">
  <dimension ref="A1:U14"/>
  <sheetViews>
    <sheetView tabSelected="1" topLeftCell="F1" workbookViewId="0">
      <selection activeCell="H3" sqref="H3"/>
    </sheetView>
  </sheetViews>
  <sheetFormatPr defaultColWidth="28" defaultRowHeight="27.75" customHeight="1" x14ac:dyDescent="0.2"/>
  <cols>
    <col min="1" max="8" width="28" style="3"/>
    <col min="9" max="9" width="15.42578125" style="3" customWidth="1"/>
    <col min="10" max="10" width="12.85546875" style="3" customWidth="1"/>
    <col min="11" max="11" width="8.140625" style="4" customWidth="1"/>
    <col min="12" max="12" width="13.7109375" style="3" customWidth="1"/>
    <col min="13" max="16384" width="28" style="3"/>
  </cols>
  <sheetData>
    <row r="1" spans="1:21" ht="27.75" customHeight="1" x14ac:dyDescent="0.2">
      <c r="A1" s="3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17</v>
      </c>
      <c r="J1" s="3" t="s">
        <v>20</v>
      </c>
      <c r="K1" s="4" t="s">
        <v>23</v>
      </c>
      <c r="L1" s="3" t="s">
        <v>24</v>
      </c>
      <c r="M1" s="3" t="s">
        <v>25</v>
      </c>
      <c r="N1" s="3" t="s">
        <v>26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1" ht="27.75" customHeight="1" x14ac:dyDescent="0.2">
      <c r="A2" s="3" t="s">
        <v>29</v>
      </c>
      <c r="B2" s="3" t="s">
        <v>31</v>
      </c>
      <c r="C2" s="3" t="s">
        <v>32</v>
      </c>
      <c r="D2" s="3" t="s">
        <v>33</v>
      </c>
      <c r="E2" s="3" t="s">
        <v>34</v>
      </c>
      <c r="F2" s="5">
        <v>8325282</v>
      </c>
      <c r="G2" s="3" t="s">
        <v>169</v>
      </c>
      <c r="H2" s="5">
        <v>6602026253</v>
      </c>
      <c r="I2" s="3" t="s">
        <v>44</v>
      </c>
      <c r="J2" s="3">
        <v>70.52</v>
      </c>
      <c r="K2" s="4">
        <v>1.1499999999999999</v>
      </c>
      <c r="L2" s="3">
        <v>81.099999999999994</v>
      </c>
      <c r="M2" s="3">
        <v>0</v>
      </c>
      <c r="N2" s="3">
        <v>0</v>
      </c>
      <c r="O2" s="3" t="s">
        <v>38</v>
      </c>
      <c r="P2" s="10" t="s">
        <v>157</v>
      </c>
      <c r="Q2" s="3" t="s">
        <v>40</v>
      </c>
      <c r="R2" s="3" t="s">
        <v>41</v>
      </c>
      <c r="S2" s="3" t="s">
        <v>42</v>
      </c>
      <c r="T2" s="3" t="s">
        <v>43</v>
      </c>
      <c r="U2" s="3">
        <f>DATEDIF(S2,T2,"M")</f>
        <v>7</v>
      </c>
    </row>
    <row r="3" spans="1:21" ht="27.75" customHeight="1" x14ac:dyDescent="0.2">
      <c r="A3" s="3" t="s">
        <v>29</v>
      </c>
      <c r="B3" s="3" t="s">
        <v>31</v>
      </c>
      <c r="C3" s="3" t="s">
        <v>32</v>
      </c>
      <c r="D3" s="3" t="s">
        <v>33</v>
      </c>
      <c r="E3" s="3" t="s">
        <v>34</v>
      </c>
      <c r="F3" s="5">
        <v>8325282</v>
      </c>
      <c r="G3" s="3" t="s">
        <v>169</v>
      </c>
      <c r="H3" s="5">
        <v>6602026267</v>
      </c>
      <c r="I3" s="3" t="s">
        <v>44</v>
      </c>
      <c r="J3" s="3">
        <v>85.14</v>
      </c>
      <c r="K3" s="4">
        <v>1.1499999999999999</v>
      </c>
      <c r="L3" s="3">
        <v>97.91</v>
      </c>
      <c r="M3" s="3">
        <v>0</v>
      </c>
      <c r="N3" s="3">
        <v>0</v>
      </c>
      <c r="O3" s="3" t="s">
        <v>38</v>
      </c>
      <c r="P3" s="10" t="s">
        <v>158</v>
      </c>
      <c r="Q3" s="3" t="s">
        <v>40</v>
      </c>
      <c r="R3" s="3" t="s">
        <v>41</v>
      </c>
      <c r="S3" s="3" t="s">
        <v>47</v>
      </c>
      <c r="T3" s="3" t="s">
        <v>48</v>
      </c>
      <c r="U3" s="3">
        <f t="shared" ref="U3:U14" si="0">DATEDIF(S3,T3,"M")</f>
        <v>7</v>
      </c>
    </row>
    <row r="4" spans="1:21" ht="27.75" customHeight="1" x14ac:dyDescent="0.2">
      <c r="A4" s="3" t="s">
        <v>29</v>
      </c>
      <c r="B4" s="3" t="s">
        <v>31</v>
      </c>
      <c r="C4" s="3" t="s">
        <v>32</v>
      </c>
      <c r="D4" s="3" t="s">
        <v>33</v>
      </c>
      <c r="E4" s="3" t="s">
        <v>49</v>
      </c>
      <c r="F4" s="5">
        <v>16912722</v>
      </c>
      <c r="G4" s="3" t="s">
        <v>169</v>
      </c>
      <c r="H4" s="5">
        <v>6602088836</v>
      </c>
      <c r="I4" s="3" t="s">
        <v>44</v>
      </c>
      <c r="J4" s="3">
        <v>53.32</v>
      </c>
      <c r="K4" s="4">
        <v>1.1499999999999999</v>
      </c>
      <c r="L4" s="3">
        <v>61.32</v>
      </c>
      <c r="M4" s="3">
        <v>0</v>
      </c>
      <c r="N4" s="3">
        <v>0</v>
      </c>
      <c r="O4" s="3" t="s">
        <v>38</v>
      </c>
      <c r="P4" s="3" t="s">
        <v>52</v>
      </c>
      <c r="Q4" s="3" t="s">
        <v>40</v>
      </c>
      <c r="R4" s="3" t="s">
        <v>41</v>
      </c>
      <c r="S4" s="3" t="s">
        <v>53</v>
      </c>
      <c r="T4" s="3" t="s">
        <v>54</v>
      </c>
      <c r="U4" s="3">
        <f t="shared" si="0"/>
        <v>4</v>
      </c>
    </row>
    <row r="5" spans="1:21" ht="27.75" customHeight="1" x14ac:dyDescent="0.2">
      <c r="A5" s="3" t="s">
        <v>29</v>
      </c>
      <c r="B5" s="3" t="s">
        <v>31</v>
      </c>
      <c r="C5" s="3" t="s">
        <v>32</v>
      </c>
      <c r="D5" s="3" t="s">
        <v>33</v>
      </c>
      <c r="E5" s="3" t="s">
        <v>49</v>
      </c>
      <c r="F5" s="5">
        <v>16912722</v>
      </c>
      <c r="G5" s="3" t="s">
        <v>169</v>
      </c>
      <c r="H5" s="5">
        <v>6602108005</v>
      </c>
      <c r="I5" s="3" t="s">
        <v>44</v>
      </c>
      <c r="J5" s="3">
        <v>30.53</v>
      </c>
      <c r="K5" s="4">
        <v>1.1499999999999999</v>
      </c>
      <c r="L5" s="3">
        <v>35.11</v>
      </c>
      <c r="M5" s="3">
        <v>0</v>
      </c>
      <c r="N5" s="3">
        <v>0</v>
      </c>
      <c r="O5" s="3" t="s">
        <v>38</v>
      </c>
      <c r="P5" s="10" t="s">
        <v>160</v>
      </c>
      <c r="Q5" s="3" t="s">
        <v>40</v>
      </c>
      <c r="R5" s="3" t="s">
        <v>41</v>
      </c>
      <c r="S5" s="3" t="s">
        <v>57</v>
      </c>
      <c r="T5" s="3" t="s">
        <v>58</v>
      </c>
      <c r="U5" s="3">
        <f t="shared" si="0"/>
        <v>3</v>
      </c>
    </row>
    <row r="6" spans="1:21" ht="27.75" customHeight="1" x14ac:dyDescent="0.2">
      <c r="A6" s="3" t="s">
        <v>29</v>
      </c>
      <c r="B6" s="3" t="s">
        <v>31</v>
      </c>
      <c r="C6" s="3" t="s">
        <v>32</v>
      </c>
      <c r="D6" s="3" t="s">
        <v>33</v>
      </c>
      <c r="E6" s="3" t="s">
        <v>59</v>
      </c>
      <c r="F6" s="5">
        <v>19481808</v>
      </c>
      <c r="G6" s="3" t="s">
        <v>169</v>
      </c>
      <c r="H6" s="5">
        <v>6602136573</v>
      </c>
      <c r="I6" s="3" t="s">
        <v>44</v>
      </c>
      <c r="J6" s="3">
        <v>87.55</v>
      </c>
      <c r="K6" s="4">
        <v>1.1499999999999999</v>
      </c>
      <c r="L6" s="3">
        <v>100.68</v>
      </c>
      <c r="M6" s="3">
        <v>0</v>
      </c>
      <c r="N6" s="3">
        <v>0</v>
      </c>
      <c r="O6" s="3" t="s">
        <v>38</v>
      </c>
      <c r="P6" s="3" t="s">
        <v>161</v>
      </c>
      <c r="Q6" s="3" t="s">
        <v>63</v>
      </c>
      <c r="R6" s="3" t="s">
        <v>41</v>
      </c>
      <c r="S6" s="3" t="s">
        <v>64</v>
      </c>
      <c r="T6" s="3" t="s">
        <v>65</v>
      </c>
      <c r="U6" s="3">
        <f t="shared" si="0"/>
        <v>2</v>
      </c>
    </row>
    <row r="7" spans="1:21" ht="27.75" customHeight="1" x14ac:dyDescent="0.2">
      <c r="A7" s="3" t="s">
        <v>29</v>
      </c>
      <c r="B7" s="3" t="s">
        <v>31</v>
      </c>
      <c r="C7" s="3" t="s">
        <v>32</v>
      </c>
      <c r="D7" s="3" t="s">
        <v>33</v>
      </c>
      <c r="E7" s="3" t="s">
        <v>59</v>
      </c>
      <c r="F7" s="5">
        <v>19481808</v>
      </c>
      <c r="G7" s="3" t="s">
        <v>169</v>
      </c>
      <c r="H7" s="5">
        <v>6602136587</v>
      </c>
      <c r="I7" s="3" t="s">
        <v>44</v>
      </c>
      <c r="J7" s="3">
        <v>170.85</v>
      </c>
      <c r="K7" s="4">
        <v>1.1499999999999999</v>
      </c>
      <c r="L7" s="3">
        <v>196.48</v>
      </c>
      <c r="M7" s="3">
        <v>0</v>
      </c>
      <c r="N7" s="3">
        <v>0</v>
      </c>
      <c r="O7" s="3" t="s">
        <v>38</v>
      </c>
      <c r="P7" s="3" t="s">
        <v>162</v>
      </c>
      <c r="Q7" s="3" t="s">
        <v>63</v>
      </c>
      <c r="R7" s="3" t="s">
        <v>41</v>
      </c>
      <c r="S7" s="3" t="s">
        <v>64</v>
      </c>
      <c r="T7" s="3" t="s">
        <v>65</v>
      </c>
      <c r="U7" s="3">
        <f t="shared" si="0"/>
        <v>2</v>
      </c>
    </row>
    <row r="8" spans="1:21" ht="27.75" customHeight="1" x14ac:dyDescent="0.2">
      <c r="A8" s="3" t="s">
        <v>68</v>
      </c>
      <c r="B8" s="3" t="s">
        <v>69</v>
      </c>
      <c r="C8" s="3" t="s">
        <v>32</v>
      </c>
      <c r="D8" s="3" t="s">
        <v>33</v>
      </c>
      <c r="E8" s="3" t="s">
        <v>70</v>
      </c>
      <c r="F8" s="3">
        <v>17437820</v>
      </c>
      <c r="G8" s="3" t="s">
        <v>170</v>
      </c>
      <c r="H8" s="3" t="s">
        <v>73</v>
      </c>
      <c r="I8" s="3" t="s">
        <v>44</v>
      </c>
      <c r="J8" s="3">
        <v>447.72</v>
      </c>
      <c r="K8" s="4">
        <v>1.5</v>
      </c>
      <c r="L8" s="3">
        <v>671.58</v>
      </c>
      <c r="M8" s="3">
        <v>0.25</v>
      </c>
      <c r="N8" s="3">
        <v>167.9</v>
      </c>
      <c r="O8" s="3" t="s">
        <v>38</v>
      </c>
      <c r="P8" s="3" t="s">
        <v>159</v>
      </c>
      <c r="Q8" s="3" t="s">
        <v>75</v>
      </c>
      <c r="R8" s="3" t="s">
        <v>41</v>
      </c>
      <c r="S8" s="3" t="s">
        <v>76</v>
      </c>
      <c r="T8" s="3" t="s">
        <v>77</v>
      </c>
      <c r="U8" s="3">
        <f t="shared" si="0"/>
        <v>3</v>
      </c>
    </row>
    <row r="9" spans="1:21" ht="27.75" customHeight="1" x14ac:dyDescent="0.2">
      <c r="A9" s="3" t="s">
        <v>68</v>
      </c>
      <c r="B9" s="3" t="s">
        <v>69</v>
      </c>
      <c r="C9" s="3" t="s">
        <v>32</v>
      </c>
      <c r="D9" s="3" t="s">
        <v>33</v>
      </c>
      <c r="E9" s="3" t="s">
        <v>78</v>
      </c>
      <c r="F9" s="3">
        <v>19681796</v>
      </c>
      <c r="G9" s="3" t="s">
        <v>172</v>
      </c>
      <c r="H9" s="5">
        <v>6602118959</v>
      </c>
      <c r="I9" s="3" t="s">
        <v>44</v>
      </c>
      <c r="J9" s="3">
        <v>38.96</v>
      </c>
      <c r="K9" s="4">
        <v>1.25</v>
      </c>
      <c r="L9" s="3">
        <v>48.7</v>
      </c>
      <c r="M9" s="3">
        <v>0.25</v>
      </c>
      <c r="N9" s="3">
        <v>12.18</v>
      </c>
      <c r="O9" s="3" t="s">
        <v>38</v>
      </c>
      <c r="P9" s="10" t="s">
        <v>163</v>
      </c>
      <c r="Q9" s="3" t="s">
        <v>82</v>
      </c>
      <c r="R9" s="3" t="s">
        <v>41</v>
      </c>
      <c r="S9" s="3" t="s">
        <v>83</v>
      </c>
      <c r="T9" s="3" t="s">
        <v>84</v>
      </c>
      <c r="U9" s="3">
        <f t="shared" si="0"/>
        <v>2</v>
      </c>
    </row>
    <row r="10" spans="1:21" ht="27.75" customHeight="1" x14ac:dyDescent="0.2">
      <c r="A10" s="3" t="s">
        <v>68</v>
      </c>
      <c r="B10" s="3" t="s">
        <v>69</v>
      </c>
      <c r="C10" s="3" t="s">
        <v>32</v>
      </c>
      <c r="D10" s="3" t="s">
        <v>33</v>
      </c>
      <c r="E10" s="3" t="s">
        <v>85</v>
      </c>
      <c r="F10" s="3">
        <v>16865615</v>
      </c>
      <c r="G10" s="3" t="s">
        <v>172</v>
      </c>
      <c r="H10" s="5">
        <v>6602131288</v>
      </c>
      <c r="I10" s="3" t="s">
        <v>44</v>
      </c>
      <c r="J10" s="3">
        <v>25.59</v>
      </c>
      <c r="K10" s="4">
        <v>1.25</v>
      </c>
      <c r="L10" s="3">
        <v>31.99</v>
      </c>
      <c r="M10" s="3">
        <v>0.25</v>
      </c>
      <c r="N10" s="3">
        <v>8</v>
      </c>
      <c r="O10" s="3" t="s">
        <v>88</v>
      </c>
      <c r="P10" s="3" t="s">
        <v>164</v>
      </c>
      <c r="Q10" s="3" t="s">
        <v>82</v>
      </c>
      <c r="R10" s="3" t="s">
        <v>41</v>
      </c>
      <c r="S10" s="3" t="s">
        <v>90</v>
      </c>
      <c r="T10" s="3" t="s">
        <v>91</v>
      </c>
      <c r="U10" s="3">
        <f t="shared" si="0"/>
        <v>1</v>
      </c>
    </row>
    <row r="11" spans="1:21" s="6" customFormat="1" ht="27.75" customHeight="1" x14ac:dyDescent="0.2">
      <c r="A11" s="6" t="s">
        <v>68</v>
      </c>
      <c r="B11" s="6" t="s">
        <v>69</v>
      </c>
      <c r="C11" s="6" t="s">
        <v>32</v>
      </c>
      <c r="D11" s="6" t="s">
        <v>33</v>
      </c>
      <c r="E11" s="6" t="s">
        <v>92</v>
      </c>
      <c r="F11" s="6">
        <v>18201929</v>
      </c>
      <c r="G11" s="6" t="s">
        <v>171</v>
      </c>
      <c r="H11" s="7">
        <v>6602102557</v>
      </c>
      <c r="I11" s="6" t="s">
        <v>99</v>
      </c>
      <c r="J11" s="6">
        <v>940</v>
      </c>
      <c r="K11" s="8">
        <v>1.1499999999999999</v>
      </c>
      <c r="L11" s="6">
        <v>1081</v>
      </c>
      <c r="M11" s="6">
        <v>0.25</v>
      </c>
      <c r="N11" s="6">
        <v>270.25</v>
      </c>
      <c r="O11" s="6" t="s">
        <v>88</v>
      </c>
      <c r="P11" s="6" t="s">
        <v>165</v>
      </c>
      <c r="Q11" s="6" t="s">
        <v>96</v>
      </c>
      <c r="R11" s="6" t="s">
        <v>41</v>
      </c>
      <c r="S11" s="6" t="s">
        <v>97</v>
      </c>
      <c r="T11" s="6" t="s">
        <v>98</v>
      </c>
      <c r="U11" s="3">
        <f t="shared" si="0"/>
        <v>12</v>
      </c>
    </row>
    <row r="12" spans="1:21" s="6" customFormat="1" ht="27.75" customHeight="1" x14ac:dyDescent="0.2">
      <c r="A12" s="6" t="s">
        <v>68</v>
      </c>
      <c r="B12" s="6" t="s">
        <v>69</v>
      </c>
      <c r="C12" s="6" t="s">
        <v>32</v>
      </c>
      <c r="D12" s="6" t="s">
        <v>33</v>
      </c>
      <c r="E12" s="6" t="s">
        <v>92</v>
      </c>
      <c r="F12" s="6">
        <v>18201929</v>
      </c>
      <c r="G12" s="6" t="s">
        <v>171</v>
      </c>
      <c r="H12" s="7">
        <v>6602163682</v>
      </c>
      <c r="I12" s="6" t="s">
        <v>99</v>
      </c>
      <c r="J12" s="6">
        <v>660</v>
      </c>
      <c r="K12" s="8">
        <v>1.1499999999999999</v>
      </c>
      <c r="L12" s="6">
        <v>759</v>
      </c>
      <c r="M12" s="6">
        <v>0.25</v>
      </c>
      <c r="N12" s="6">
        <v>189.75</v>
      </c>
      <c r="O12" s="6" t="s">
        <v>88</v>
      </c>
      <c r="P12" s="6" t="s">
        <v>166</v>
      </c>
      <c r="Q12" s="6" t="s">
        <v>63</v>
      </c>
      <c r="R12" s="6" t="s">
        <v>41</v>
      </c>
      <c r="S12" s="6" t="s">
        <v>102</v>
      </c>
      <c r="T12" s="6" t="s">
        <v>103</v>
      </c>
      <c r="U12" s="3">
        <f t="shared" si="0"/>
        <v>12</v>
      </c>
    </row>
    <row r="13" spans="1:21" s="6" customFormat="1" ht="27.75" customHeight="1" x14ac:dyDescent="0.2">
      <c r="A13" s="6" t="s">
        <v>68</v>
      </c>
      <c r="B13" s="6" t="s">
        <v>69</v>
      </c>
      <c r="C13" s="6" t="s">
        <v>32</v>
      </c>
      <c r="D13" s="6" t="s">
        <v>33</v>
      </c>
      <c r="E13" s="6" t="s">
        <v>92</v>
      </c>
      <c r="F13" s="6">
        <v>18201929</v>
      </c>
      <c r="G13" s="6" t="s">
        <v>171</v>
      </c>
      <c r="H13" s="7">
        <v>6602172361</v>
      </c>
      <c r="I13" s="6" t="s">
        <v>99</v>
      </c>
      <c r="J13" s="6">
        <v>490</v>
      </c>
      <c r="K13" s="8">
        <v>1.1499999999999999</v>
      </c>
      <c r="L13" s="6">
        <v>563.5</v>
      </c>
      <c r="M13" s="6">
        <v>0.25</v>
      </c>
      <c r="N13" s="6">
        <v>140.88</v>
      </c>
      <c r="O13" s="6" t="s">
        <v>88</v>
      </c>
      <c r="P13" s="6" t="s">
        <v>167</v>
      </c>
      <c r="Q13" s="6" t="s">
        <v>63</v>
      </c>
      <c r="R13" s="6" t="s">
        <v>41</v>
      </c>
      <c r="S13" s="6" t="s">
        <v>105</v>
      </c>
      <c r="T13" s="6" t="s">
        <v>106</v>
      </c>
      <c r="U13" s="3">
        <f t="shared" si="0"/>
        <v>12</v>
      </c>
    </row>
    <row r="14" spans="1:21" ht="27.75" customHeight="1" x14ac:dyDescent="0.2">
      <c r="A14" s="3" t="s">
        <v>68</v>
      </c>
      <c r="B14" s="3" t="s">
        <v>69</v>
      </c>
      <c r="C14" s="3" t="s">
        <v>32</v>
      </c>
      <c r="D14" s="3" t="s">
        <v>33</v>
      </c>
      <c r="E14" s="3" t="s">
        <v>49</v>
      </c>
      <c r="F14" s="5">
        <v>16912722</v>
      </c>
      <c r="G14" s="3" t="s">
        <v>171</v>
      </c>
      <c r="H14" s="5">
        <v>6602065974</v>
      </c>
      <c r="I14" s="3" t="s">
        <v>44</v>
      </c>
      <c r="J14" s="3">
        <v>143.62</v>
      </c>
      <c r="K14" s="4">
        <v>1.1499999999999999</v>
      </c>
      <c r="L14" s="3">
        <v>165.16</v>
      </c>
      <c r="M14" s="3">
        <v>0.25</v>
      </c>
      <c r="N14" s="3">
        <v>41.29</v>
      </c>
      <c r="O14" s="3" t="s">
        <v>88</v>
      </c>
      <c r="P14" s="3" t="s">
        <v>168</v>
      </c>
      <c r="Q14" s="3" t="s">
        <v>40</v>
      </c>
      <c r="R14" s="3" t="s">
        <v>41</v>
      </c>
      <c r="S14" s="3" t="s">
        <v>110</v>
      </c>
      <c r="T14" s="3" t="s">
        <v>111</v>
      </c>
      <c r="U14" s="3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F1F6-85C5-4A10-AC2B-789A21BCAE19}">
  <dimension ref="A1:AL2"/>
  <sheetViews>
    <sheetView workbookViewId="0">
      <selection activeCell="G2" sqref="G2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24.140625" bestFit="1" customWidth="1"/>
    <col min="38" max="38" width="27.28515625" bestFit="1" customWidth="1"/>
  </cols>
  <sheetData>
    <row r="1" spans="1:38" s="1" customFormat="1" x14ac:dyDescent="0.2">
      <c r="A1" s="1" t="s">
        <v>112</v>
      </c>
      <c r="B1" s="1" t="s">
        <v>113</v>
      </c>
      <c r="C1" s="1" t="s">
        <v>114</v>
      </c>
      <c r="D1" s="1" t="s">
        <v>1</v>
      </c>
      <c r="E1" s="1" t="s">
        <v>115</v>
      </c>
      <c r="F1" s="1" t="s">
        <v>116</v>
      </c>
      <c r="G1" s="1" t="s">
        <v>10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8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</row>
    <row r="2" spans="1:38" s="1" customFormat="1" x14ac:dyDescent="0.2">
      <c r="A2" s="1" t="s">
        <v>147</v>
      </c>
      <c r="B2" s="1" t="s">
        <v>148</v>
      </c>
      <c r="C2" s="1" t="s">
        <v>149</v>
      </c>
      <c r="D2" s="1" t="s">
        <v>67</v>
      </c>
      <c r="E2" s="1" t="s">
        <v>150</v>
      </c>
      <c r="F2" s="2">
        <v>45905</v>
      </c>
      <c r="G2" s="1">
        <v>6602183190</v>
      </c>
      <c r="H2" s="1" t="s">
        <v>151</v>
      </c>
      <c r="I2" s="9" t="s">
        <v>152</v>
      </c>
      <c r="J2" s="1" t="s">
        <v>153</v>
      </c>
      <c r="K2" s="1" t="s">
        <v>154</v>
      </c>
      <c r="L2" s="1" t="s">
        <v>155</v>
      </c>
      <c r="M2" s="1" t="s">
        <v>171</v>
      </c>
      <c r="N2" s="1" t="s">
        <v>156</v>
      </c>
      <c r="O2" s="1">
        <v>535.55999999999995</v>
      </c>
      <c r="P2" s="1">
        <v>1</v>
      </c>
      <c r="Q2" s="1">
        <v>1.1499999999999999</v>
      </c>
      <c r="R2" s="1">
        <v>0.75</v>
      </c>
      <c r="S2" s="1">
        <v>462</v>
      </c>
      <c r="T2" s="1">
        <v>0</v>
      </c>
      <c r="U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 sheet</vt:lpstr>
      <vt:lpstr>advance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2025-09-07T20:04:10Z</dcterms:created>
  <dcterms:modified xsi:type="dcterms:W3CDTF">2025-09-10T17:26:37Z</dcterms:modified>
</cp:coreProperties>
</file>