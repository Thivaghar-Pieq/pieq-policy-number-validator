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\11-30-25 to 12-6-25\"/>
    </mc:Choice>
  </mc:AlternateContent>
  <xr:revisionPtr revIDLastSave="0" documentId="13_ncr:1_{04F692A7-8EC2-4AB5-B775-52F989D6BC57}" xr6:coauthVersionLast="47" xr6:coauthVersionMax="47" xr10:uidLastSave="{00000000-0000-0000-0000-000000000000}"/>
  <bookViews>
    <workbookView xWindow="4140" yWindow="1815" windowWidth="21585" windowHeight="13230" activeTab="1" xr2:uid="{A423B55E-61AD-4593-8DEB-70224F9E3CA4}"/>
  </bookViews>
  <sheets>
    <sheet name="Sheet0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F3" i="2" l="1"/>
  <c r="F4" i="2"/>
  <c r="F2" i="2"/>
  <c r="J3" i="2"/>
  <c r="J4" i="2"/>
  <c r="J2" i="2"/>
  <c r="P3" i="2"/>
  <c r="Q3" i="2" s="1"/>
  <c r="P4" i="2"/>
  <c r="Q4" i="2" s="1"/>
  <c r="P2" i="2"/>
  <c r="Q2" i="2" s="1"/>
</calcChain>
</file>

<file path=xl/sharedStrings.xml><?xml version="1.0" encoding="utf-8"?>
<sst xmlns="http://schemas.openxmlformats.org/spreadsheetml/2006/main" count="122" uniqueCount="62">
  <si>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</si>
  <si>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</si>
  <si>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</si>
  <si>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</si>
  <si>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</si>
  <si>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</si>
  <si>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</si>
  <si>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</si>
  <si>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</si>
  <si>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</si>
  <si>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</si>
  <si>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</si>
  <si>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</si>
  <si>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</si>
  <si>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</si>
  <si>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</si>
  <si>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</si>
  <si>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</si>
  <si>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</si>
  <si>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</si>
  <si>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</si>
  <si>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</si>
  <si>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</si>
  <si>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</si>
  <si>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</si>
  <si>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</si>
  <si>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</si>
  <si>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</si>
  <si>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</si>
  <si>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</si>
  <si>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</si>
  <si>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</si>
  <si>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</si>
  <si>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</si>
  <si>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</si>
  <si>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</si>
  <si>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</si>
  <si>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</si>
  <si>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</si>
  <si>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</si>
  <si>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</si>
  <si>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</si>
  <si>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</si>
  <si>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FEXB242193</t>
  </si>
  <si>
    <t>Amoura</t>
  </si>
  <si>
    <t>Nadia</t>
  </si>
  <si>
    <t>OW Placed Adv</t>
  </si>
  <si>
    <t>Berthelsen</t>
  </si>
  <si>
    <t>Heidi</t>
  </si>
  <si>
    <t/>
  </si>
  <si>
    <t>MLSR170115</t>
  </si>
  <si>
    <t>FEXB242725</t>
  </si>
  <si>
    <t>Suchsland</t>
  </si>
  <si>
    <t>Scott</t>
  </si>
  <si>
    <t>EFT2187183</t>
  </si>
  <si>
    <t>PAYEE ADVANCE EFT 0 MAIN LINE BENEFITS LLC</t>
  </si>
  <si>
    <t>FEXB240422</t>
  </si>
  <si>
    <t>Hull</t>
  </si>
  <si>
    <t>Trudy</t>
  </si>
  <si>
    <t>EFT2185998</t>
  </si>
  <si>
    <t>Lifetime WL A48 150</t>
  </si>
  <si>
    <t>19617796AV9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</si>
</sst>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3EF5-423E-4F4F-A2A3-8C5079F99E3F}">
  <dimension ref="A1:AL6"/>
  <sheetViews>
    <sheetView topLeftCell="K1" workbookViewId="0">
      <selection activeCell="W2" sqref="W2:W5"/>
    </sheetView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45993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2018.64</v>
      </c>
      <c r="P2">
        <v>1</v>
      </c>
      <c r="Q2">
        <v>1.5</v>
      </c>
      <c r="R2">
        <v>0.75</v>
      </c>
      <c r="S2">
        <v>1500</v>
      </c>
      <c r="T2">
        <v>0</v>
      </c>
      <c r="U2">
        <v>0</v>
      </c>
    </row>
    <row r="3" spans="1:38" x14ac:dyDescent="0.2">
      <c r="A3" t="s">
        <v>38</v>
      </c>
      <c r="B3" t="s">
        <v>39</v>
      </c>
      <c r="C3" t="s">
        <v>40</v>
      </c>
      <c r="D3" t="s">
        <v>41</v>
      </c>
      <c r="E3" t="s">
        <v>42</v>
      </c>
      <c r="F3" s="1">
        <v>45993</v>
      </c>
      <c r="G3" t="s">
        <v>51</v>
      </c>
      <c r="H3" t="s">
        <v>52</v>
      </c>
      <c r="I3" t="s">
        <v>53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1978.2</v>
      </c>
      <c r="P3">
        <v>1</v>
      </c>
      <c r="Q3">
        <v>1.5</v>
      </c>
      <c r="R3">
        <v>0.75</v>
      </c>
      <c r="S3">
        <v>1500</v>
      </c>
      <c r="T3">
        <v>0</v>
      </c>
      <c r="U3">
        <v>0</v>
      </c>
    </row>
    <row r="4" spans="1:38" x14ac:dyDescent="0.2"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3000</v>
      </c>
      <c r="AI4" t="s">
        <v>54</v>
      </c>
      <c r="AJ4">
        <v>3000</v>
      </c>
      <c r="AK4" t="s">
        <v>55</v>
      </c>
    </row>
    <row r="5" spans="1:38" x14ac:dyDescent="0.2">
      <c r="A5" t="s">
        <v>38</v>
      </c>
      <c r="B5" t="s">
        <v>39</v>
      </c>
      <c r="C5" t="s">
        <v>40</v>
      </c>
      <c r="D5" t="s">
        <v>41</v>
      </c>
      <c r="E5" t="s">
        <v>42</v>
      </c>
      <c r="F5" s="1">
        <v>45992</v>
      </c>
      <c r="G5" t="s">
        <v>56</v>
      </c>
      <c r="H5" t="s">
        <v>57</v>
      </c>
      <c r="I5" t="s">
        <v>58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>
        <v>1732.32</v>
      </c>
      <c r="P5">
        <v>1</v>
      </c>
      <c r="Q5">
        <v>1.5</v>
      </c>
      <c r="R5">
        <v>0.75</v>
      </c>
      <c r="S5">
        <v>1500</v>
      </c>
      <c r="T5">
        <v>0</v>
      </c>
      <c r="U5">
        <v>0</v>
      </c>
    </row>
    <row r="6" spans="1:38" x14ac:dyDescent="0.2"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1500</v>
      </c>
      <c r="AI6" t="s">
        <v>59</v>
      </c>
      <c r="AJ6">
        <v>1500</v>
      </c>
      <c r="AK6" t="s">
        <v>55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073C-121E-4AB0-BD4B-6A62D2D3423A}">
  <dimension ref="A1:R4"/>
  <sheetViews>
    <sheetView tabSelected="1" workbookViewId="0">
      <selection activeCell="B5" sqref="B5"/>
    </sheetView>
  </sheetViews>
  <sheetFormatPr defaultRowHeight="12.75" x14ac:dyDescent="0.2"/>
  <cols>
    <col min="1" max="1" width="11.5703125" customWidth="1"/>
    <col min="2" max="2" width="10.85546875" customWidth="1"/>
    <col min="3" max="3" width="14.7109375" customWidth="1"/>
    <col min="4" max="4" width="11.85546875" customWidth="1"/>
    <col min="5" max="5" width="8.5703125" customWidth="1"/>
    <col min="6" max="6" width="14.85546875" bestFit="1" customWidth="1"/>
    <col min="7" max="7" width="16" customWidth="1"/>
    <col min="8" max="8" width="11" customWidth="1"/>
    <col min="9" max="9" width="7.140625" customWidth="1"/>
    <col min="10" max="10" width="14.7109375" bestFit="1" customWidth="1"/>
    <col min="11" max="11" width="16" customWidth="1"/>
    <col min="12" max="12" width="12.140625" customWidth="1"/>
    <col min="13" max="13" width="8.42578125" customWidth="1"/>
    <col min="14" max="14" width="5.7109375" customWidth="1"/>
    <col min="15" max="234" width="16" customWidth="1"/>
  </cols>
  <sheetData>
    <row r="1" spans="1:18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G1" t="s">
        <v>9</v>
      </c>
      <c r="H1" t="s">
        <v>10</v>
      </c>
      <c r="I1" t="s">
        <v>11</v>
      </c>
      <c r="K1" t="s">
        <v>13</v>
      </c>
      <c r="L1" t="s">
        <v>14</v>
      </c>
      <c r="M1" t="s">
        <v>16</v>
      </c>
      <c r="N1" t="s">
        <v>17</v>
      </c>
      <c r="O1" t="s">
        <v>18</v>
      </c>
      <c r="R1" t="s">
        <v>22</v>
      </c>
    </row>
    <row r="2" spans="1:18" x14ac:dyDescent="0.2">
      <c r="A2" t="s">
        <v>42</v>
      </c>
      <c r="B2" s="1">
        <v>45993</v>
      </c>
      <c r="C2" t="s">
        <v>43</v>
      </c>
      <c r="D2" t="s">
        <v>44</v>
      </c>
      <c r="E2" t="s">
        <v>45</v>
      </c>
      <c r="F2" t="str">
        <f>CONCATENATE(E2," ",D2)</f>
        <v>Nadia Amoura</v>
      </c>
      <c r="G2" t="s">
        <v>46</v>
      </c>
      <c r="H2" t="s">
        <v>47</v>
      </c>
      <c r="I2" t="s">
        <v>48</v>
      </c>
      <c r="J2" t="str">
        <f>CONCATENATE(I2," ",H2)</f>
        <v>Heidi Berthelsen</v>
      </c>
      <c r="K2" s="3" t="s">
        <v>61</v>
      </c>
      <c r="L2">
        <v>2018.64</v>
      </c>
      <c r="M2" s="2">
        <v>1.5</v>
      </c>
      <c r="N2">
        <v>0.75</v>
      </c>
      <c r="O2">
        <v>1500</v>
      </c>
      <c r="P2">
        <f>L2/12</f>
        <v>168.22</v>
      </c>
      <c r="Q2">
        <f>P2*M2</f>
        <v>252.32999999999998</v>
      </c>
      <c r="R2" t="s">
        <v>60</v>
      </c>
    </row>
    <row r="3" spans="1:18" x14ac:dyDescent="0.2">
      <c r="A3" t="s">
        <v>42</v>
      </c>
      <c r="B3" s="1">
        <v>45993</v>
      </c>
      <c r="C3" t="s">
        <v>51</v>
      </c>
      <c r="D3" t="s">
        <v>52</v>
      </c>
      <c r="E3" t="s">
        <v>53</v>
      </c>
      <c r="F3" t="str">
        <f t="shared" ref="F3:F4" si="0">CONCATENATE(E3," ",D3)</f>
        <v>Scott Suchsland</v>
      </c>
      <c r="G3" t="s">
        <v>46</v>
      </c>
      <c r="H3" t="s">
        <v>47</v>
      </c>
      <c r="I3" t="s">
        <v>48</v>
      </c>
      <c r="J3" t="str">
        <f t="shared" ref="J3:J4" si="1">CONCATENATE(I3," ",H3)</f>
        <v>Heidi Berthelsen</v>
      </c>
      <c r="K3" s="3" t="s">
        <v>61</v>
      </c>
      <c r="L3">
        <v>1978.2</v>
      </c>
      <c r="M3" s="2">
        <v>1.5</v>
      </c>
      <c r="N3">
        <v>0.75</v>
      </c>
      <c r="O3">
        <v>1500</v>
      </c>
      <c r="P3">
        <f t="shared" ref="P3:P4" si="2">L3/12</f>
        <v>164.85</v>
      </c>
      <c r="Q3">
        <f t="shared" ref="Q3:Q4" si="3">P3*M3</f>
        <v>247.27499999999998</v>
      </c>
      <c r="R3" t="s">
        <v>60</v>
      </c>
    </row>
    <row r="4" spans="1:18" x14ac:dyDescent="0.2">
      <c r="A4" t="s">
        <v>42</v>
      </c>
      <c r="B4" s="1">
        <v>45992</v>
      </c>
      <c r="C4" s="3" t="s">
        <v>56</v>
      </c>
      <c r="D4" t="s">
        <v>57</v>
      </c>
      <c r="E4" t="s">
        <v>58</v>
      </c>
      <c r="F4" t="str">
        <f t="shared" si="0"/>
        <v>Trudy Hull</v>
      </c>
      <c r="G4" t="s">
        <v>46</v>
      </c>
      <c r="H4" t="s">
        <v>47</v>
      </c>
      <c r="I4" t="s">
        <v>48</v>
      </c>
      <c r="J4" t="str">
        <f t="shared" si="1"/>
        <v>Heidi Berthelsen</v>
      </c>
      <c r="K4" s="3" t="s">
        <v>61</v>
      </c>
      <c r="L4">
        <v>1732.32</v>
      </c>
      <c r="M4" s="2">
        <v>1.5</v>
      </c>
      <c r="N4">
        <v>0.75</v>
      </c>
      <c r="O4">
        <v>1500</v>
      </c>
      <c r="P4">
        <f t="shared" si="2"/>
        <v>144.35999999999999</v>
      </c>
      <c r="Q4">
        <f t="shared" si="3"/>
        <v>216.53999999999996</v>
      </c>
      <c r="R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2025-12-05T08:32:14Z</dcterms:created>
  <dcterms:modified xsi:type="dcterms:W3CDTF">2025-12-05T15:44:19Z</dcterms:modified>
</cp:coreProperties>
</file>