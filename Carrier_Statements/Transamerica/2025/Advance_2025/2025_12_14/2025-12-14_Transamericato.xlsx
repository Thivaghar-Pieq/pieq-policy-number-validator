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12-14-25 to 12-20-25\"/>
    </mc:Choice>
  </mc:AlternateContent>
  <xr:revisionPtr revIDLastSave="0" documentId="13_ncr:1_{1BE04B41-0074-4606-A68C-289623CA1D78}" xr6:coauthVersionLast="47" xr6:coauthVersionMax="47" xr10:uidLastSave="{00000000-0000-0000-0000-000000000000}"/>
  <bookViews>
    <workbookView xWindow="-57720" yWindow="-45" windowWidth="29040" windowHeight="15720" xr2:uid="{6E092913-80C7-44DF-BA9D-BB902A67D90A}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G3" i="2"/>
  <c r="M3" i="2"/>
  <c r="N3" i="2" s="1"/>
  <c r="M4" i="2"/>
  <c r="N4" i="2" s="1"/>
  <c r="M5" i="2"/>
  <c r="N5" i="2" s="1"/>
  <c r="M2" i="2"/>
  <c r="N2" i="2" s="1"/>
  <c r="G4" i="2"/>
  <c r="G5" i="2"/>
  <c r="G2" i="2"/>
  <c r="D4" i="2"/>
  <c r="D5" i="2"/>
  <c r="D2" i="2"/>
</calcChain>
</file>

<file path=xl/sharedStrings.xml><?xml version="1.0" encoding="utf-8"?>
<sst xmlns="http://schemas.openxmlformats.org/spreadsheetml/2006/main" count="131" uniqueCount="72">
  <si>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</si>
  <si>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</si>
  <si>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</si>
  <si>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</si>
  <si>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</si>
  <si>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</si>
  <si>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</si>
  <si>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</si>
  <si>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</si>
  <si>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</si>
  <si>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</si>
  <si>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</si>
  <si>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</si>
  <si>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</si>
  <si>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</si>
  <si>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</si>
  <si>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</si>
  <si>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</si>
  <si>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</si>
  <si>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</si>
  <si>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</si>
  <si>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</si>
  <si>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</si>
  <si>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</si>
  <si>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</si>
  <si>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</si>
  <si>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</si>
  <si>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</si>
  <si>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</si>
  <si>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</si>
  <si>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</si>
  <si>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</si>
  <si>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</si>
  <si>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</si>
  <si>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</si>
  <si>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</si>
  <si>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</si>
  <si>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</si>
  <si>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</si>
  <si>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</si>
  <si>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</si>
  <si>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</si>
  <si>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</si>
  <si>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Otryad</t>
  </si>
  <si>
    <t>Itgel</t>
  </si>
  <si>
    <t>OW Placed Adv</t>
  </si>
  <si>
    <t>Zana</t>
  </si>
  <si>
    <t>Nasandelger</t>
  </si>
  <si>
    <t/>
  </si>
  <si>
    <t>MLSR137577</t>
  </si>
  <si>
    <t>EFT2199829</t>
  </si>
  <si>
    <t>PAYEE ADVANCE EFT 0 MAIN LINE BENEFITS LLC</t>
  </si>
  <si>
    <t>FEXB260728</t>
  </si>
  <si>
    <t>Davis</t>
  </si>
  <si>
    <t>Gerrod</t>
  </si>
  <si>
    <t>Richter</t>
  </si>
  <si>
    <t>Adam</t>
  </si>
  <si>
    <t>MLSR113135</t>
  </si>
  <si>
    <t>EFT2198667</t>
  </si>
  <si>
    <t>FEXB259135</t>
  </si>
  <si>
    <t>Wetherbee</t>
  </si>
  <si>
    <t>Kim</t>
  </si>
  <si>
    <t>Berthelsen</t>
  </si>
  <si>
    <t>Heidi</t>
  </si>
  <si>
    <t>MLSR170115</t>
  </si>
  <si>
    <t>FEXB259151</t>
  </si>
  <si>
    <t>Steven</t>
  </si>
  <si>
    <t>EFT2197554</t>
  </si>
  <si>
    <t>20220688AV9</t>
  </si>
  <si>
    <t>19617796AV9</t>
  </si>
  <si>
    <t>Lifetime WL A48 150</t>
  </si>
  <si>
    <t>Trendsetter LB 20 25 30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</si>
</sst>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2" borderId="0" xfId="0" applyFont="1" applyFill="1"/>
    <xf numFmtId="9" fontId="0" fillId="2" borderId="0" xfId="1" applyFont="1" applyFill="1"/>
    <xf numFmtId="9" fontId="0" fillId="0" borderId="0" xfId="1" applyFont="1" applyFill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421A-0297-4E31-8E58-D3CCE3515166}">
  <dimension ref="A1:AL8"/>
  <sheetViews>
    <sheetView tabSelected="1" topLeftCell="E1" workbookViewId="0">
      <selection activeCell="G7" sqref="G7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46008</v>
      </c>
      <c r="G2" s="6">
        <v>6602261618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1021.68</v>
      </c>
      <c r="P2">
        <v>1</v>
      </c>
      <c r="Q2">
        <v>1.25</v>
      </c>
      <c r="R2">
        <v>0.75</v>
      </c>
      <c r="S2">
        <v>958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958</v>
      </c>
      <c r="AI3" t="s">
        <v>50</v>
      </c>
      <c r="AJ3">
        <v>958</v>
      </c>
      <c r="AK3" t="s">
        <v>51</v>
      </c>
    </row>
    <row r="4" spans="1:38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46007</v>
      </c>
      <c r="G4" t="s">
        <v>52</v>
      </c>
      <c r="H4" t="s">
        <v>53</v>
      </c>
      <c r="I4" t="s">
        <v>54</v>
      </c>
      <c r="J4" t="s">
        <v>45</v>
      </c>
      <c r="K4" t="s">
        <v>55</v>
      </c>
      <c r="L4" t="s">
        <v>56</v>
      </c>
      <c r="M4" t="s">
        <v>48</v>
      </c>
      <c r="N4" t="s">
        <v>57</v>
      </c>
      <c r="O4">
        <v>600</v>
      </c>
      <c r="P4">
        <v>1</v>
      </c>
      <c r="Q4">
        <v>1.5</v>
      </c>
      <c r="R4">
        <v>0.75</v>
      </c>
      <c r="S4">
        <v>675</v>
      </c>
      <c r="T4">
        <v>0</v>
      </c>
      <c r="U4">
        <v>0</v>
      </c>
    </row>
    <row r="5" spans="1:38" x14ac:dyDescent="0.2"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675</v>
      </c>
      <c r="AI5" t="s">
        <v>58</v>
      </c>
      <c r="AJ5">
        <v>675</v>
      </c>
      <c r="AK5" t="s">
        <v>51</v>
      </c>
    </row>
    <row r="6" spans="1:38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s="1">
        <v>46006</v>
      </c>
      <c r="G6" t="s">
        <v>59</v>
      </c>
      <c r="H6" t="s">
        <v>60</v>
      </c>
      <c r="I6" t="s">
        <v>61</v>
      </c>
      <c r="J6" t="s">
        <v>45</v>
      </c>
      <c r="K6" t="s">
        <v>62</v>
      </c>
      <c r="L6" t="s">
        <v>63</v>
      </c>
      <c r="M6" t="s">
        <v>48</v>
      </c>
      <c r="N6" t="s">
        <v>64</v>
      </c>
      <c r="O6">
        <v>2760</v>
      </c>
      <c r="P6">
        <v>1</v>
      </c>
      <c r="Q6">
        <v>1.5</v>
      </c>
      <c r="R6">
        <v>0.75</v>
      </c>
      <c r="S6">
        <v>1500</v>
      </c>
      <c r="T6">
        <v>0</v>
      </c>
      <c r="U6">
        <v>0</v>
      </c>
    </row>
    <row r="7" spans="1:38" x14ac:dyDescent="0.2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1">
        <v>46006</v>
      </c>
      <c r="G7" t="s">
        <v>65</v>
      </c>
      <c r="H7" t="s">
        <v>60</v>
      </c>
      <c r="I7" t="s">
        <v>66</v>
      </c>
      <c r="J7" t="s">
        <v>45</v>
      </c>
      <c r="K7" t="s">
        <v>62</v>
      </c>
      <c r="L7" t="s">
        <v>63</v>
      </c>
      <c r="M7" t="s">
        <v>48</v>
      </c>
      <c r="N7" t="s">
        <v>64</v>
      </c>
      <c r="O7">
        <v>2760</v>
      </c>
      <c r="P7">
        <v>1</v>
      </c>
      <c r="Q7">
        <v>1.5</v>
      </c>
      <c r="R7">
        <v>0.75</v>
      </c>
      <c r="S7">
        <v>1500</v>
      </c>
      <c r="T7">
        <v>0</v>
      </c>
      <c r="U7">
        <v>0</v>
      </c>
    </row>
    <row r="8" spans="1:38" x14ac:dyDescent="0.2"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3000</v>
      </c>
      <c r="AI8" t="s">
        <v>67</v>
      </c>
      <c r="AJ8">
        <v>3000</v>
      </c>
      <c r="AK8" t="s">
        <v>51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86C4-518A-4B4A-B319-E8DCF5842936}">
  <dimension ref="A1:O5"/>
  <sheetViews>
    <sheetView workbookViewId="0">
      <selection activeCell="H27" sqref="H27"/>
    </sheetView>
  </sheetViews>
  <sheetFormatPr defaultRowHeight="12.75" x14ac:dyDescent="0.2"/>
  <cols>
    <col min="1" max="8" width="16" customWidth="1"/>
    <col min="9" max="9" width="12.85546875" customWidth="1"/>
    <col min="10" max="10" width="11.85546875" customWidth="1"/>
    <col min="11" max="11" width="11" customWidth="1"/>
    <col min="12" max="12" width="11.7109375" customWidth="1"/>
    <col min="13" max="228" width="16" customWidth="1"/>
  </cols>
  <sheetData>
    <row r="1" spans="1:15" x14ac:dyDescent="0.2">
      <c r="A1" t="s">
        <v>6</v>
      </c>
      <c r="B1" t="s">
        <v>7</v>
      </c>
      <c r="C1" t="s">
        <v>8</v>
      </c>
      <c r="E1" t="s">
        <v>10</v>
      </c>
      <c r="F1" t="s">
        <v>11</v>
      </c>
      <c r="H1" t="s">
        <v>12</v>
      </c>
      <c r="I1" t="s">
        <v>14</v>
      </c>
      <c r="J1" t="s">
        <v>16</v>
      </c>
      <c r="K1" t="s">
        <v>17</v>
      </c>
      <c r="L1" t="s">
        <v>18</v>
      </c>
    </row>
    <row r="2" spans="1:15" s="2" customFormat="1" x14ac:dyDescent="0.2">
      <c r="A2" s="2">
        <v>6602261618</v>
      </c>
      <c r="B2" s="2" t="s">
        <v>43</v>
      </c>
      <c r="C2" s="2" t="s">
        <v>44</v>
      </c>
      <c r="D2" s="2" t="str">
        <f>CONCATENATE(C2, " ",B2)</f>
        <v>Itgel Otryad</v>
      </c>
      <c r="E2" s="2" t="s">
        <v>46</v>
      </c>
      <c r="F2" s="2" t="s">
        <v>47</v>
      </c>
      <c r="G2" s="2" t="str">
        <f>CONCATENATE(F2, " ",E2)</f>
        <v>Nasandelger Zana</v>
      </c>
      <c r="H2" s="3" t="s">
        <v>68</v>
      </c>
      <c r="I2" s="2">
        <v>1021.68</v>
      </c>
      <c r="J2" s="4">
        <v>1.25</v>
      </c>
      <c r="K2" s="2">
        <v>0.75</v>
      </c>
      <c r="L2" s="2">
        <v>958</v>
      </c>
      <c r="M2" s="2">
        <f>I2/12</f>
        <v>85.14</v>
      </c>
      <c r="N2" s="2">
        <f>M2*J2</f>
        <v>106.425</v>
      </c>
      <c r="O2" s="2" t="s">
        <v>71</v>
      </c>
    </row>
    <row r="3" spans="1:15" x14ac:dyDescent="0.2">
      <c r="A3" t="s">
        <v>52</v>
      </c>
      <c r="B3" t="s">
        <v>53</v>
      </c>
      <c r="C3" t="s">
        <v>54</v>
      </c>
      <c r="D3" t="str">
        <f t="shared" ref="D3:D5" si="0">CONCATENATE(C3, " ",B3)</f>
        <v>Gerrod Davis</v>
      </c>
      <c r="E3" t="s">
        <v>55</v>
      </c>
      <c r="F3" t="s">
        <v>56</v>
      </c>
      <c r="G3" t="str">
        <f t="shared" ref="G3:G5" si="1">CONCATENATE(F3, " ",E3)</f>
        <v>Adam Richter</v>
      </c>
      <c r="H3">
        <v>9079571</v>
      </c>
      <c r="I3">
        <v>600</v>
      </c>
      <c r="J3" s="5">
        <v>1.5</v>
      </c>
      <c r="K3">
        <v>0.75</v>
      </c>
      <c r="L3">
        <v>675</v>
      </c>
      <c r="M3">
        <f t="shared" ref="M3:M5" si="2">I3/12</f>
        <v>50</v>
      </c>
      <c r="N3">
        <f t="shared" ref="N3:N5" si="3">M3*J3</f>
        <v>75</v>
      </c>
      <c r="O3" t="s">
        <v>70</v>
      </c>
    </row>
    <row r="4" spans="1:15" s="2" customFormat="1" x14ac:dyDescent="0.2">
      <c r="A4" s="2" t="s">
        <v>59</v>
      </c>
      <c r="B4" s="2" t="s">
        <v>60</v>
      </c>
      <c r="C4" s="2" t="s">
        <v>61</v>
      </c>
      <c r="D4" s="2" t="str">
        <f t="shared" si="0"/>
        <v>Kim Wetherbee</v>
      </c>
      <c r="E4" s="2" t="s">
        <v>62</v>
      </c>
      <c r="F4" s="2" t="s">
        <v>63</v>
      </c>
      <c r="G4" s="2" t="str">
        <f t="shared" si="1"/>
        <v>Heidi Berthelsen</v>
      </c>
      <c r="H4" s="3" t="s">
        <v>69</v>
      </c>
      <c r="I4" s="2">
        <v>2760</v>
      </c>
      <c r="J4" s="4">
        <v>1.5</v>
      </c>
      <c r="K4" s="2">
        <v>0.75</v>
      </c>
      <c r="L4" s="2">
        <v>1500</v>
      </c>
      <c r="M4" s="2">
        <f t="shared" si="2"/>
        <v>230</v>
      </c>
      <c r="N4" s="2">
        <f t="shared" si="3"/>
        <v>345</v>
      </c>
      <c r="O4" s="2" t="s">
        <v>70</v>
      </c>
    </row>
    <row r="5" spans="1:15" s="2" customFormat="1" x14ac:dyDescent="0.2">
      <c r="A5" s="2" t="s">
        <v>65</v>
      </c>
      <c r="B5" s="2" t="s">
        <v>60</v>
      </c>
      <c r="C5" s="2" t="s">
        <v>66</v>
      </c>
      <c r="D5" s="2" t="str">
        <f t="shared" si="0"/>
        <v>Steven Wetherbee</v>
      </c>
      <c r="E5" s="2" t="s">
        <v>62</v>
      </c>
      <c r="F5" s="2" t="s">
        <v>63</v>
      </c>
      <c r="G5" s="2" t="str">
        <f t="shared" si="1"/>
        <v>Heidi Berthelsen</v>
      </c>
      <c r="H5" s="3" t="s">
        <v>69</v>
      </c>
      <c r="I5" s="2">
        <v>2760</v>
      </c>
      <c r="J5" s="4">
        <v>1.5</v>
      </c>
      <c r="K5" s="2">
        <v>0.75</v>
      </c>
      <c r="L5" s="2">
        <v>1500</v>
      </c>
      <c r="M5" s="2">
        <f t="shared" si="2"/>
        <v>230</v>
      </c>
      <c r="N5" s="2">
        <f t="shared" si="3"/>
        <v>345</v>
      </c>
      <c r="O5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2025-12-19T06:45:42Z</dcterms:created>
  <dcterms:modified xsi:type="dcterms:W3CDTF">2025-12-22T18:57:11Z</dcterms:modified>
</cp:coreProperties>
</file>