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9-21-25 to 10-5-25\"/>
    </mc:Choice>
  </mc:AlternateContent>
  <xr:revisionPtr revIDLastSave="0" documentId="13_ncr:1_{354A796B-3604-40DE-925B-9264D3A0025F}" xr6:coauthVersionLast="47" xr6:coauthVersionMax="47" xr10:uidLastSave="{00000000-0000-0000-0000-000000000000}"/>
  <bookViews>
    <workbookView xWindow="-57720" yWindow="-45" windowWidth="29040" windowHeight="15720" activeTab="1" xr2:uid="{C75EB9E9-36FF-4437-AC8F-4C9BFC4CF189}"/>
  </bookViews>
  <sheets>
    <sheet name="Sheet0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 s="1"/>
  <c r="E4" i="2"/>
  <c r="F4" i="2" s="1"/>
  <c r="E2" i="2"/>
  <c r="F2" i="2" s="1"/>
  <c r="O3" i="2"/>
  <c r="O4" i="2"/>
  <c r="O2" i="2"/>
  <c r="K5" i="2"/>
  <c r="K4" i="2"/>
  <c r="K3" i="2"/>
  <c r="K2" i="2"/>
  <c r="J3" i="1"/>
  <c r="J4" i="1"/>
  <c r="J5" i="1"/>
  <c r="J2" i="1"/>
</calcChain>
</file>

<file path=xl/sharedStrings.xml><?xml version="1.0" encoding="utf-8"?>
<sst xmlns="http://schemas.openxmlformats.org/spreadsheetml/2006/main" count="117" uniqueCount="67">
  <si>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</si>
  <si>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</si>
  <si>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</si>
  <si>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</si>
  <si>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</si>
  <si>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</si>
  <si>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</si>
  <si>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</si>
  <si>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</si>
  <si>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</si>
  <si>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</si>
  <si>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</si>
  <si>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</si>
  <si>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</si>
  <si>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</si>
  <si>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</si>
  <si>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</si>
  <si>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</si>
  <si>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</si>
  <si>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</si>
  <si>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</si>
  <si>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</si>
  <si>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</si>
  <si>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</si>
  <si>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</si>
  <si>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</si>
  <si>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</si>
  <si>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</si>
  <si>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</si>
  <si>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</si>
  <si>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</si>
  <si>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</si>
  <si>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</si>
  <si>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</si>
  <si>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</si>
  <si>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</si>
  <si>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</si>
  <si>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</si>
  <si>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</si>
  <si>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</si>
  <si>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</si>
  <si>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</si>
  <si>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</si>
  <si>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FEX467271</t>
  </si>
  <si>
    <t>Rowan</t>
  </si>
  <si>
    <t>Karina</t>
  </si>
  <si>
    <t>OW Placed Adv</t>
  </si>
  <si>
    <t>Mccorkle</t>
  </si>
  <si>
    <t>Michelle</t>
  </si>
  <si>
    <t/>
  </si>
  <si>
    <t>MLSR126064</t>
  </si>
  <si>
    <t>FEXB172200</t>
  </si>
  <si>
    <t>Harbaugh</t>
  </si>
  <si>
    <t>Cheryl</t>
  </si>
  <si>
    <t>Kucan</t>
  </si>
  <si>
    <t>Thomas</t>
  </si>
  <si>
    <t>MLSR129779</t>
  </si>
  <si>
    <t>PAYEE ADVANCE EFT 0 MAIN LINE BENEFITS LLC</t>
  </si>
  <si>
    <t>Kaufmann</t>
  </si>
  <si>
    <t>Anne</t>
  </si>
  <si>
    <t>Yale</t>
  </si>
  <si>
    <t>Jacob</t>
  </si>
  <si>
    <t>MLSR137413</t>
  </si>
  <si>
    <t>EFT2144151</t>
  </si>
  <si>
    <t>name</t>
  </si>
  <si>
    <t>MLB Commission</t>
  </si>
  <si>
    <t>16202925AV9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</si>
</sst>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E7C1-16BC-4E32-86A8-F42ACD4266FA}">
  <dimension ref="A1:AM5"/>
  <sheetViews>
    <sheetView topLeftCell="I1" workbookViewId="0">
      <selection activeCell="F2" sqref="F2:F4"/>
    </sheetView>
  </sheetViews>
  <sheetFormatPr defaultRowHeight="12.75" x14ac:dyDescent="0.2"/>
  <cols>
    <col min="1" max="257" width="16" customWidth="1"/>
  </cols>
  <sheetData>
    <row r="1" spans="1:3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64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45932</v>
      </c>
      <c r="G2" t="s">
        <v>43</v>
      </c>
      <c r="H2" t="s">
        <v>44</v>
      </c>
      <c r="I2" t="s">
        <v>45</v>
      </c>
      <c r="J2" t="str">
        <f>CONCATENATE(I2, " ",H2)</f>
        <v>Karina Rowan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>
        <v>634.91999999999996</v>
      </c>
      <c r="Q2">
        <v>1</v>
      </c>
      <c r="R2">
        <v>1.18</v>
      </c>
      <c r="S2">
        <v>0.75</v>
      </c>
      <c r="T2">
        <v>562</v>
      </c>
      <c r="U2">
        <v>0</v>
      </c>
      <c r="V2">
        <v>0</v>
      </c>
    </row>
    <row r="3" spans="1:39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45932</v>
      </c>
      <c r="G3" t="s">
        <v>51</v>
      </c>
      <c r="H3" t="s">
        <v>52</v>
      </c>
      <c r="I3" t="s">
        <v>53</v>
      </c>
      <c r="J3" t="str">
        <f t="shared" ref="J3:J5" si="0">CONCATENATE(I3, " ",H3)</f>
        <v>Cheryl Harbaugh</v>
      </c>
      <c r="K3" t="s">
        <v>46</v>
      </c>
      <c r="L3" t="s">
        <v>54</v>
      </c>
      <c r="M3" t="s">
        <v>55</v>
      </c>
      <c r="N3" t="s">
        <v>49</v>
      </c>
      <c r="O3" t="s">
        <v>56</v>
      </c>
      <c r="P3">
        <v>906.84</v>
      </c>
      <c r="Q3">
        <v>1</v>
      </c>
      <c r="R3">
        <v>1.5</v>
      </c>
      <c r="S3">
        <v>0.75</v>
      </c>
      <c r="T3">
        <v>1020</v>
      </c>
      <c r="U3">
        <v>0</v>
      </c>
      <c r="V3">
        <v>0</v>
      </c>
    </row>
    <row r="4" spans="1:39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45929</v>
      </c>
      <c r="G4" s="2">
        <v>6602191155</v>
      </c>
      <c r="H4" t="s">
        <v>58</v>
      </c>
      <c r="I4" t="s">
        <v>59</v>
      </c>
      <c r="J4" t="str">
        <f t="shared" si="0"/>
        <v>Anne Kaufmann</v>
      </c>
      <c r="K4" t="s">
        <v>46</v>
      </c>
      <c r="L4" t="s">
        <v>60</v>
      </c>
      <c r="M4" t="s">
        <v>61</v>
      </c>
      <c r="N4" t="s">
        <v>49</v>
      </c>
      <c r="O4" t="s">
        <v>62</v>
      </c>
      <c r="P4">
        <v>948.6</v>
      </c>
      <c r="Q4">
        <v>1</v>
      </c>
      <c r="R4">
        <v>1.1499999999999999</v>
      </c>
      <c r="S4">
        <v>0.75</v>
      </c>
      <c r="T4">
        <v>818</v>
      </c>
      <c r="U4">
        <v>0</v>
      </c>
      <c r="V4">
        <v>0</v>
      </c>
    </row>
    <row r="5" spans="1:39" x14ac:dyDescent="0.2">
      <c r="J5" t="str">
        <f t="shared" si="0"/>
        <v xml:space="preserve"> 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818</v>
      </c>
      <c r="AJ5" t="s">
        <v>63</v>
      </c>
      <c r="AK5">
        <v>818</v>
      </c>
      <c r="AL5" t="s">
        <v>57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95A2-4ACE-4F58-9F75-F02C02242D13}">
  <dimension ref="A1:R5"/>
  <sheetViews>
    <sheetView tabSelected="1" workbookViewId="0">
      <selection activeCell="H4" sqref="H4"/>
    </sheetView>
  </sheetViews>
  <sheetFormatPr defaultRowHeight="12.75" x14ac:dyDescent="0.2"/>
  <cols>
    <col min="1" max="13" width="16" customWidth="1"/>
    <col min="14" max="14" width="22.42578125" bestFit="1" customWidth="1"/>
    <col min="15" max="253" width="16" customWidth="1"/>
  </cols>
  <sheetData>
    <row r="1" spans="1:18" x14ac:dyDescent="0.2">
      <c r="A1" t="s">
        <v>4</v>
      </c>
      <c r="B1" t="s">
        <v>16</v>
      </c>
      <c r="C1" t="s">
        <v>17</v>
      </c>
      <c r="D1" t="s">
        <v>18</v>
      </c>
      <c r="F1" t="s">
        <v>65</v>
      </c>
      <c r="G1" t="s">
        <v>5</v>
      </c>
      <c r="H1" t="s">
        <v>6</v>
      </c>
      <c r="I1" t="s">
        <v>7</v>
      </c>
      <c r="J1" t="s">
        <v>8</v>
      </c>
      <c r="K1" t="s">
        <v>64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</row>
    <row r="2" spans="1:18" x14ac:dyDescent="0.2">
      <c r="A2" t="s">
        <v>42</v>
      </c>
      <c r="B2">
        <v>118</v>
      </c>
      <c r="C2">
        <v>0.75</v>
      </c>
      <c r="D2">
        <v>562</v>
      </c>
      <c r="E2">
        <f>SUM(Q2/12)</f>
        <v>52.91</v>
      </c>
      <c r="F2">
        <f>SUM(E2*118%)</f>
        <v>62.433799999999991</v>
      </c>
      <c r="G2" s="1">
        <v>45932</v>
      </c>
      <c r="H2" t="s">
        <v>43</v>
      </c>
      <c r="I2" t="s">
        <v>44</v>
      </c>
      <c r="J2" t="s">
        <v>45</v>
      </c>
      <c r="K2" t="str">
        <f>CONCATENATE(J2, " ",I2)</f>
        <v>Karina Rowan</v>
      </c>
      <c r="L2" t="s">
        <v>46</v>
      </c>
      <c r="M2" t="s">
        <v>47</v>
      </c>
      <c r="N2" t="s">
        <v>48</v>
      </c>
      <c r="O2" t="str">
        <f>CONCATENATE(N2, " ",M2)</f>
        <v>Michelle Mccorkle</v>
      </c>
      <c r="P2">
        <v>18710070</v>
      </c>
      <c r="Q2">
        <v>634.91999999999996</v>
      </c>
      <c r="R2">
        <v>1</v>
      </c>
    </row>
    <row r="3" spans="1:18" x14ac:dyDescent="0.2">
      <c r="A3" t="s">
        <v>42</v>
      </c>
      <c r="B3">
        <v>150</v>
      </c>
      <c r="C3">
        <v>0.75</v>
      </c>
      <c r="D3">
        <v>1020</v>
      </c>
      <c r="E3">
        <f>SUM(Q3/12)</f>
        <v>75.570000000000007</v>
      </c>
      <c r="F3">
        <f t="shared" ref="F3:F4" si="0">SUM(E3*118%)</f>
        <v>89.172600000000003</v>
      </c>
      <c r="G3" s="1">
        <v>45932</v>
      </c>
      <c r="H3" t="s">
        <v>51</v>
      </c>
      <c r="I3" t="s">
        <v>52</v>
      </c>
      <c r="J3" t="s">
        <v>53</v>
      </c>
      <c r="K3" t="str">
        <f t="shared" ref="K3:K5" si="1">CONCATENATE(J3, " ",I3)</f>
        <v>Cheryl Harbaugh</v>
      </c>
      <c r="L3" t="s">
        <v>46</v>
      </c>
      <c r="M3" t="s">
        <v>54</v>
      </c>
      <c r="N3" t="s">
        <v>55</v>
      </c>
      <c r="O3" t="str">
        <f t="shared" ref="O3:O4" si="2">CONCATENATE(N3, " ",M3)</f>
        <v>Thomas Kucan</v>
      </c>
      <c r="P3" s="4" t="s">
        <v>66</v>
      </c>
      <c r="Q3">
        <v>906.84</v>
      </c>
      <c r="R3">
        <v>1</v>
      </c>
    </row>
    <row r="4" spans="1:18" x14ac:dyDescent="0.2">
      <c r="A4" t="s">
        <v>42</v>
      </c>
      <c r="B4">
        <v>115</v>
      </c>
      <c r="C4">
        <v>0.75</v>
      </c>
      <c r="D4">
        <v>818</v>
      </c>
      <c r="E4">
        <f>SUM(Q4/12)</f>
        <v>79.05</v>
      </c>
      <c r="F4">
        <f t="shared" si="0"/>
        <v>93.278999999999996</v>
      </c>
      <c r="G4" s="1">
        <v>45929</v>
      </c>
      <c r="H4" s="3">
        <v>6602191155</v>
      </c>
      <c r="I4" t="s">
        <v>58</v>
      </c>
      <c r="J4" t="s">
        <v>59</v>
      </c>
      <c r="K4" t="str">
        <f t="shared" si="1"/>
        <v>Anne Kaufmann</v>
      </c>
      <c r="L4" t="s">
        <v>46</v>
      </c>
      <c r="M4" t="s">
        <v>60</v>
      </c>
      <c r="N4" t="s">
        <v>61</v>
      </c>
      <c r="O4" t="str">
        <f t="shared" si="2"/>
        <v>Jacob Yale</v>
      </c>
      <c r="P4">
        <v>18754354</v>
      </c>
      <c r="Q4">
        <v>948.6</v>
      </c>
      <c r="R4">
        <v>1</v>
      </c>
    </row>
    <row r="5" spans="1:18" x14ac:dyDescent="0.2">
      <c r="K5" t="str">
        <f t="shared" si="1"/>
        <v xml:space="preserve"> 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2025-10-06T18:38:37Z</dcterms:created>
  <dcterms:modified xsi:type="dcterms:W3CDTF">2025-10-07T21:17:32Z</dcterms:modified>
</cp:coreProperties>
</file>