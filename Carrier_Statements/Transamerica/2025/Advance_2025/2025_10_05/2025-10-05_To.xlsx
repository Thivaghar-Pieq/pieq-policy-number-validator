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0-5-25 to 10-11-25\"/>
    </mc:Choice>
  </mc:AlternateContent>
  <xr:revisionPtr revIDLastSave="0" documentId="13_ncr:1_{07E60C47-9303-4813-94BC-E3A6BA479C10}" xr6:coauthVersionLast="47" xr6:coauthVersionMax="47" xr10:uidLastSave="{00000000-0000-0000-0000-000000000000}"/>
  <bookViews>
    <workbookView xWindow="-57720" yWindow="-45" windowWidth="29040" windowHeight="15720" xr2:uid="{1F6E4D63-45A9-40AD-94DA-A63F21EF0307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2" i="1"/>
  <c r="V3" i="1"/>
  <c r="V2" i="1"/>
</calcChain>
</file>

<file path=xl/sharedStrings.xml><?xml version="1.0" encoding="utf-8"?>
<sst xmlns="http://schemas.openxmlformats.org/spreadsheetml/2006/main" count="64" uniqueCount="55">
  <si>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</si>
  <si>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</si>
  <si>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</si>
  <si>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</si>
  <si>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</si>
  <si>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</si>
  <si>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</si>
  <si>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</si>
  <si>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</si>
  <si>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</si>
  <si>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</si>
  <si>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</si>
  <si>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</si>
  <si>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</si>
  <si>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</si>
  <si>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</si>
  <si>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</si>
  <si>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</si>
  <si>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</si>
  <si>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</si>
  <si>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</si>
  <si>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</si>
  <si>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</si>
  <si>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</si>
  <si>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</si>
  <si>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</si>
  <si>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</si>
  <si>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</si>
  <si>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</si>
  <si>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</si>
  <si>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</si>
  <si>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</si>
  <si>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</si>
  <si>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</si>
  <si>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</si>
  <si>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</si>
  <si>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</si>
  <si>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</si>
  <si>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</si>
  <si>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</si>
  <si>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Jurcak</t>
  </si>
  <si>
    <t>Karen</t>
  </si>
  <si>
    <t>OW Placed Adv</t>
  </si>
  <si>
    <t>Yale</t>
  </si>
  <si>
    <t>Jacob</t>
  </si>
  <si>
    <t>MLSR137413</t>
  </si>
  <si>
    <t>Rodin</t>
  </si>
  <si>
    <t>Matthew</t>
  </si>
  <si>
    <t>EFT2151144</t>
  </si>
  <si>
    <t>PAYEE ADVANCE EFT 0 MAIN LINE BENEFITS LLC</t>
  </si>
  <si>
    <t>Trendsetter Super 15 Year</t>
  </si>
  <si>
    <t>Trendsetter Super 20 25 30 Year LB 15 2024</t>
  </si>
  <si>
    <t>product</t>
  </si>
  <si>
    <t>comm onthly premium</t>
  </si>
  <si>
    <t>comm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</si>
</sst>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D718-C268-4A37-A72D-972A8509357B}">
  <dimension ref="A1:AL4"/>
  <sheetViews>
    <sheetView tabSelected="1" topLeftCell="K1" workbookViewId="0">
      <selection activeCell="G2" sqref="G2"/>
    </sheetView>
  </sheetViews>
  <sheetFormatPr defaultRowHeight="12.75" x14ac:dyDescent="0.2"/>
  <cols>
    <col min="1" max="1" width="26.85546875" bestFit="1" customWidth="1"/>
    <col min="2" max="2" width="27" bestFit="1" customWidth="1"/>
    <col min="3" max="3" width="31.140625" bestFit="1" customWidth="1"/>
    <col min="4" max="4" width="24.140625" bestFit="1" customWidth="1"/>
    <col min="5" max="5" width="33.28515625" bestFit="1" customWidth="1"/>
    <col min="6" max="6" width="15.140625" bestFit="1" customWidth="1"/>
    <col min="7" max="7" width="13.28515625" bestFit="1" customWidth="1"/>
    <col min="8" max="8" width="16.7109375" bestFit="1" customWidth="1"/>
    <col min="9" max="9" width="16.85546875" bestFit="1" customWidth="1"/>
    <col min="10" max="10" width="14.28515625" bestFit="1" customWidth="1"/>
    <col min="11" max="11" width="22.28515625" bestFit="1" customWidth="1"/>
    <col min="12" max="12" width="22.42578125" bestFit="1" customWidth="1"/>
    <col min="13" max="13" width="26.5703125" bestFit="1" customWidth="1"/>
    <col min="14" max="15" width="19.5703125" bestFit="1" customWidth="1"/>
    <col min="16" max="16" width="7" bestFit="1" customWidth="1"/>
    <col min="17" max="17" width="13.7109375" bestFit="1" customWidth="1"/>
    <col min="18" max="18" width="6.28515625" bestFit="1" customWidth="1"/>
    <col min="19" max="19" width="15.140625" bestFit="1" customWidth="1"/>
    <col min="20" max="20" width="24.5703125" bestFit="1" customWidth="1"/>
    <col min="21" max="21" width="20.7109375" bestFit="1" customWidth="1"/>
    <col min="22" max="22" width="18.5703125" bestFit="1" customWidth="1"/>
    <col min="23" max="23" width="13.42578125" bestFit="1" customWidth="1"/>
    <col min="24" max="24" width="22.140625" bestFit="1" customWidth="1"/>
    <col min="25" max="25" width="23.140625" bestFit="1" customWidth="1"/>
    <col min="26" max="26" width="19.28515625" bestFit="1" customWidth="1"/>
    <col min="27" max="27" width="27.28515625" bestFit="1" customWidth="1"/>
    <col min="28" max="28" width="29" bestFit="1" customWidth="1"/>
    <col min="29" max="29" width="32.7109375" bestFit="1" customWidth="1"/>
    <col min="30" max="30" width="34.5703125" bestFit="1" customWidth="1"/>
    <col min="31" max="31" width="26.42578125" bestFit="1" customWidth="1"/>
    <col min="32" max="32" width="28.140625" bestFit="1" customWidth="1"/>
    <col min="33" max="33" width="33.140625" bestFit="1" customWidth="1"/>
    <col min="34" max="34" width="35" bestFit="1" customWidth="1"/>
    <col min="35" max="35" width="29.42578125" bestFit="1" customWidth="1"/>
    <col min="36" max="36" width="15.5703125" bestFit="1" customWidth="1"/>
    <col min="37" max="37" width="47" bestFit="1" customWidth="1"/>
    <col min="38" max="38" width="27.28515625" bestFit="1" customWidth="1"/>
    <col min="39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52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3" t="s">
        <v>53</v>
      </c>
      <c r="W1" s="3" t="s">
        <v>54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s="1">
        <v>45938</v>
      </c>
      <c r="G2" s="2">
        <v>6602159017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50</v>
      </c>
      <c r="N2" t="s">
        <v>45</v>
      </c>
      <c r="O2">
        <v>501.84</v>
      </c>
      <c r="P2">
        <v>1</v>
      </c>
      <c r="Q2">
        <v>110</v>
      </c>
      <c r="R2">
        <v>0.75</v>
      </c>
      <c r="S2">
        <v>414</v>
      </c>
      <c r="T2">
        <v>0</v>
      </c>
      <c r="U2">
        <v>0</v>
      </c>
      <c r="V2">
        <f>SUM(O2/12)</f>
        <v>41.82</v>
      </c>
      <c r="W2">
        <f>SUM(S2/9)</f>
        <v>46</v>
      </c>
    </row>
    <row r="3" spans="1:38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  <c r="F3" s="1">
        <v>45938</v>
      </c>
      <c r="G3" s="2">
        <v>6602202071</v>
      </c>
      <c r="H3" t="s">
        <v>46</v>
      </c>
      <c r="I3" t="s">
        <v>47</v>
      </c>
      <c r="J3" t="s">
        <v>42</v>
      </c>
      <c r="K3" t="s">
        <v>43</v>
      </c>
      <c r="L3" t="s">
        <v>44</v>
      </c>
      <c r="M3" t="s">
        <v>51</v>
      </c>
      <c r="N3" t="s">
        <v>45</v>
      </c>
      <c r="O3">
        <v>750</v>
      </c>
      <c r="P3">
        <v>1</v>
      </c>
      <c r="Q3">
        <v>115</v>
      </c>
      <c r="R3">
        <v>0.75</v>
      </c>
      <c r="S3">
        <v>647</v>
      </c>
      <c r="T3">
        <v>0</v>
      </c>
      <c r="U3">
        <v>0</v>
      </c>
      <c r="V3">
        <f t="shared" ref="V3:V4" si="0">SUM(O3/12)</f>
        <v>62.5</v>
      </c>
      <c r="W3">
        <f t="shared" ref="W3:W4" si="1">SUM(S3/9)</f>
        <v>71.888888888888886</v>
      </c>
    </row>
    <row r="4" spans="1:38" x14ac:dyDescent="0.2"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1061</v>
      </c>
      <c r="AI4" t="s">
        <v>48</v>
      </c>
      <c r="AJ4">
        <v>1061</v>
      </c>
      <c r="AK4" t="s">
        <v>49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2025-10-10T16:51:45Z</dcterms:created>
  <dcterms:modified xsi:type="dcterms:W3CDTF">2025-10-16T14:51:55Z</dcterms:modified>
</cp:coreProperties>
</file>