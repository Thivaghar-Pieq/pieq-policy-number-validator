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Transamerica\advance\11-23-25 to 11-29-25\"/>
    </mc:Choice>
  </mc:AlternateContent>
  <xr:revisionPtr revIDLastSave="0" documentId="13_ncr:1_{0000D50A-61D7-4C52-9AEF-A904A7613911}" xr6:coauthVersionLast="47" xr6:coauthVersionMax="47" xr10:uidLastSave="{00000000-0000-0000-0000-000000000000}"/>
  <bookViews>
    <workbookView xWindow="-28920" yWindow="-120" windowWidth="29040" windowHeight="15720" activeTab="1" xr2:uid="{3348B4A5-B395-42DC-A064-3EA2478253D1}"/>
  </bookViews>
  <sheets>
    <sheet name="Sheet0" sheetId="1" r:id="rId1"/>
    <sheet name="clean she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" l="1"/>
  <c r="H4" i="2"/>
  <c r="H2" i="2"/>
  <c r="E3" i="2"/>
  <c r="E4" i="2"/>
  <c r="E2" i="2"/>
  <c r="R3" i="2"/>
  <c r="S3" i="2" s="1"/>
  <c r="R4" i="2"/>
  <c r="S4" i="2" s="1"/>
  <c r="R2" i="2"/>
  <c r="S2" i="2" s="1"/>
</calcChain>
</file>

<file path=xl/sharedStrings.xml><?xml version="1.0" encoding="utf-8"?>
<sst xmlns="http://schemas.openxmlformats.org/spreadsheetml/2006/main" count="134" uniqueCount="76">
  <si>
    <t>Commission Agent Last Name</t>
  </si>
  <si>
    <t>Commission Agent First Name</t>
  </si>
  <si>
    <t>Commission Agent Business Name</t>
  </si>
  <si>
    <t>Commission Agent Number</t>
  </si>
  <si>
    <t>Statutory Company Name</t>
  </si>
  <si>
    <t>Transaction Date</t>
  </si>
  <si>
    <t>Policy Number</t>
  </si>
  <si>
    <t>Insured Last Name</t>
  </si>
  <si>
    <t>Insured First Name</t>
  </si>
  <si>
    <t>Description</t>
  </si>
  <si>
    <t>Writing Agent Last Name</t>
  </si>
  <si>
    <t>Writing Agent First Name</t>
  </si>
  <si>
    <t>Writing Agent Business Name</t>
  </si>
  <si>
    <t>Writing Agent Number</t>
  </si>
  <si>
    <t>Commission Premium</t>
  </si>
  <si>
    <t>Split %</t>
  </si>
  <si>
    <t>Commission %</t>
  </si>
  <si>
    <t>Adv %</t>
  </si>
  <si>
    <t>Advance Amount</t>
  </si>
  <si>
    <t>Writing Agent Over Advance</t>
  </si>
  <si>
    <t>Overwrite Over Advance</t>
  </si>
  <si>
    <t>Commission Amount</t>
  </si>
  <si>
    <t>PSOP Amount</t>
  </si>
  <si>
    <t>Net Commission Amount</t>
  </si>
  <si>
    <t>Writing Agent Chargeback</t>
  </si>
  <si>
    <t>Overwrite Chargeback</t>
  </si>
  <si>
    <t>Writing Agent Balance Forward</t>
  </si>
  <si>
    <t>Overwrite Agent Balance Forward</t>
  </si>
  <si>
    <t>Writing Agent Less Recovery Amount</t>
  </si>
  <si>
    <t>Overwrite Agent Less Recovery Amount</t>
  </si>
  <si>
    <t>Writing Agent Ending Balance</t>
  </si>
  <si>
    <t>Overwrite Agent Ending Balance</t>
  </si>
  <si>
    <t>Writing Agent Total Adavance Amount</t>
  </si>
  <si>
    <t>Overwrite Agent Total Adavance Amount</t>
  </si>
  <si>
    <t>Payment Type Reference Number</t>
  </si>
  <si>
    <t>Payment Amount</t>
  </si>
  <si>
    <t>Payee Advance Check Line</t>
  </si>
  <si>
    <t>Payee Advance Check Amount</t>
  </si>
  <si>
    <t>Hoffmann</t>
  </si>
  <si>
    <t>Jason</t>
  </si>
  <si>
    <t>Main Line Benefits Llc</t>
  </si>
  <si>
    <t>MLSR156747</t>
  </si>
  <si>
    <t>Transamerica Life Insurance Company</t>
  </si>
  <si>
    <t>FEXB239147</t>
  </si>
  <si>
    <t>Fortier</t>
  </si>
  <si>
    <t>Paul</t>
  </si>
  <si>
    <t>OW Placed Adv</t>
  </si>
  <si>
    <t>Richter</t>
  </si>
  <si>
    <t>Adam</t>
  </si>
  <si>
    <t/>
  </si>
  <si>
    <t>MLSR113135</t>
  </si>
  <si>
    <t>EFT2185057</t>
  </si>
  <si>
    <t>PAYEE ADVANCE EFT 0 MAIN LINE BENEFITS LLC</t>
  </si>
  <si>
    <t>6602238849</t>
  </si>
  <si>
    <t>Lacy</t>
  </si>
  <si>
    <t>Michael</t>
  </si>
  <si>
    <t>Pardue</t>
  </si>
  <si>
    <t>Thomas</t>
  </si>
  <si>
    <t>MLSR170622</t>
  </si>
  <si>
    <t>EFT2184098</t>
  </si>
  <si>
    <t>6602239949</t>
  </si>
  <si>
    <t>Sosorbaram</t>
  </si>
  <si>
    <t>Ariuntungalag</t>
  </si>
  <si>
    <t>Zana</t>
  </si>
  <si>
    <t>Nasandelger</t>
  </si>
  <si>
    <t>MLSR137577</t>
  </si>
  <si>
    <t>EFT2182047</t>
  </si>
  <si>
    <t>MLB premium</t>
  </si>
  <si>
    <t>MLB comm</t>
  </si>
  <si>
    <t>371819AV9</t>
  </si>
  <si>
    <t>20220688AV9</t>
  </si>
  <si>
    <t>NAME</t>
  </si>
  <si>
    <t>Effective date</t>
  </si>
  <si>
    <t>paid to date</t>
  </si>
  <si>
    <t>Lifetime WL A48 150</t>
  </si>
  <si>
    <t>Trendsetter Super 20 25 30 Year LB 15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</si>
</sst>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CBD8E-A64A-4836-9A2D-289692DDA2CC}">
  <dimension ref="A1:AL7"/>
  <sheetViews>
    <sheetView workbookViewId="0">
      <selection sqref="A1:XFD1048576"/>
    </sheetView>
  </sheetViews>
  <sheetFormatPr defaultRowHeight="12.75" x14ac:dyDescent="0.2"/>
  <cols>
    <col min="1" max="256" width="16" customWidth="1"/>
  </cols>
  <sheetData>
    <row r="1" spans="1:3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">
      <c r="A2" t="s">
        <v>38</v>
      </c>
      <c r="B2" t="s">
        <v>39</v>
      </c>
      <c r="C2" t="s">
        <v>40</v>
      </c>
      <c r="D2" t="s">
        <v>41</v>
      </c>
      <c r="E2" t="s">
        <v>42</v>
      </c>
      <c r="F2" s="1">
        <v>45989</v>
      </c>
      <c r="G2" t="s">
        <v>43</v>
      </c>
      <c r="H2" t="s">
        <v>44</v>
      </c>
      <c r="I2" t="s">
        <v>45</v>
      </c>
      <c r="J2" t="s">
        <v>46</v>
      </c>
      <c r="K2" t="s">
        <v>47</v>
      </c>
      <c r="L2" t="s">
        <v>48</v>
      </c>
      <c r="M2" t="s">
        <v>49</v>
      </c>
      <c r="N2" t="s">
        <v>50</v>
      </c>
      <c r="O2">
        <v>1847.28</v>
      </c>
      <c r="P2">
        <v>1</v>
      </c>
      <c r="Q2">
        <v>1.5</v>
      </c>
      <c r="R2">
        <v>0.75</v>
      </c>
      <c r="S2">
        <v>1500</v>
      </c>
      <c r="T2">
        <v>0</v>
      </c>
      <c r="U2">
        <v>0</v>
      </c>
    </row>
    <row r="3" spans="1:38" x14ac:dyDescent="0.2"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1500</v>
      </c>
      <c r="AI3" t="s">
        <v>51</v>
      </c>
      <c r="AJ3">
        <v>1500</v>
      </c>
      <c r="AK3" t="s">
        <v>52</v>
      </c>
    </row>
    <row r="4" spans="1:38" x14ac:dyDescent="0.2">
      <c r="A4" t="s">
        <v>38</v>
      </c>
      <c r="B4" t="s">
        <v>39</v>
      </c>
      <c r="C4" t="s">
        <v>40</v>
      </c>
      <c r="D4" t="s">
        <v>41</v>
      </c>
      <c r="E4" t="s">
        <v>42</v>
      </c>
      <c r="F4" s="1">
        <v>45987</v>
      </c>
      <c r="G4" t="s">
        <v>53</v>
      </c>
      <c r="H4" t="s">
        <v>54</v>
      </c>
      <c r="I4" t="s">
        <v>55</v>
      </c>
      <c r="J4" t="s">
        <v>46</v>
      </c>
      <c r="K4" t="s">
        <v>56</v>
      </c>
      <c r="L4" t="s">
        <v>57</v>
      </c>
      <c r="M4" t="s">
        <v>49</v>
      </c>
      <c r="N4" t="s">
        <v>58</v>
      </c>
      <c r="O4">
        <v>1601.4</v>
      </c>
      <c r="P4">
        <v>1</v>
      </c>
      <c r="Q4">
        <v>1.1499999999999999</v>
      </c>
      <c r="R4">
        <v>0.75</v>
      </c>
      <c r="S4">
        <v>1381</v>
      </c>
      <c r="T4">
        <v>0</v>
      </c>
      <c r="U4">
        <v>0</v>
      </c>
    </row>
    <row r="5" spans="1:38" x14ac:dyDescent="0.2"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1381</v>
      </c>
      <c r="AI5" t="s">
        <v>59</v>
      </c>
      <c r="AJ5">
        <v>1381</v>
      </c>
      <c r="AK5" t="s">
        <v>52</v>
      </c>
    </row>
    <row r="6" spans="1:38" x14ac:dyDescent="0.2">
      <c r="A6" t="s">
        <v>38</v>
      </c>
      <c r="B6" t="s">
        <v>39</v>
      </c>
      <c r="C6" t="s">
        <v>40</v>
      </c>
      <c r="D6" t="s">
        <v>41</v>
      </c>
      <c r="E6" t="s">
        <v>42</v>
      </c>
      <c r="F6" s="1">
        <v>45985</v>
      </c>
      <c r="G6" t="s">
        <v>60</v>
      </c>
      <c r="H6" t="s">
        <v>61</v>
      </c>
      <c r="I6" t="s">
        <v>62</v>
      </c>
      <c r="J6" t="s">
        <v>46</v>
      </c>
      <c r="K6" t="s">
        <v>63</v>
      </c>
      <c r="L6" t="s">
        <v>64</v>
      </c>
      <c r="M6" t="s">
        <v>49</v>
      </c>
      <c r="N6" t="s">
        <v>65</v>
      </c>
      <c r="O6">
        <v>639.84</v>
      </c>
      <c r="P6">
        <v>1</v>
      </c>
      <c r="Q6">
        <v>1.1499999999999999</v>
      </c>
      <c r="R6">
        <v>0.75</v>
      </c>
      <c r="S6">
        <v>552</v>
      </c>
      <c r="T6">
        <v>0</v>
      </c>
      <c r="U6">
        <v>0</v>
      </c>
    </row>
    <row r="7" spans="1:38" x14ac:dyDescent="0.2"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552</v>
      </c>
      <c r="AI7" t="s">
        <v>66</v>
      </c>
      <c r="AJ7">
        <v>552</v>
      </c>
      <c r="AK7" t="s">
        <v>52</v>
      </c>
    </row>
  </sheetData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EE6C4-8E2B-46AE-B009-6664204FBAAC}">
  <sheetPr>
    <pageSetUpPr autoPageBreaks="0"/>
  </sheetPr>
  <dimension ref="A1:AH4"/>
  <sheetViews>
    <sheetView tabSelected="1" topLeftCell="D1" zoomScaleNormal="100" workbookViewId="0">
      <selection activeCell="L33" sqref="L33"/>
    </sheetView>
  </sheetViews>
  <sheetFormatPr defaultRowHeight="12.75" x14ac:dyDescent="0.2"/>
  <cols>
    <col min="1" max="9" width="16" style="2" customWidth="1"/>
    <col min="10" max="10" width="10.7109375" style="2" bestFit="1" customWidth="1"/>
    <col min="11" max="11" width="16" style="2" customWidth="1"/>
    <col min="12" max="12" width="21.5703125" style="2" customWidth="1"/>
    <col min="13" max="252" width="16" style="2" customWidth="1"/>
    <col min="253" max="16384" width="9.140625" style="2"/>
  </cols>
  <sheetData>
    <row r="1" spans="1:34" x14ac:dyDescent="0.2">
      <c r="A1" s="2" t="s">
        <v>5</v>
      </c>
      <c r="B1" s="2" t="s">
        <v>6</v>
      </c>
      <c r="C1" s="2" t="s">
        <v>7</v>
      </c>
      <c r="D1" s="2" t="s">
        <v>8</v>
      </c>
      <c r="E1" s="2" t="s">
        <v>71</v>
      </c>
      <c r="F1" s="2" t="s">
        <v>10</v>
      </c>
      <c r="G1" s="2" t="s">
        <v>11</v>
      </c>
      <c r="I1" s="2" t="s">
        <v>72</v>
      </c>
      <c r="J1" s="2" t="s">
        <v>73</v>
      </c>
      <c r="K1" s="2" t="s">
        <v>13</v>
      </c>
      <c r="L1" s="2" t="s">
        <v>14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5" t="s">
        <v>67</v>
      </c>
      <c r="S1" s="5" t="s">
        <v>68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</row>
    <row r="2" spans="1:34" x14ac:dyDescent="0.2">
      <c r="A2" s="3">
        <v>45989</v>
      </c>
      <c r="B2" s="2" t="s">
        <v>43</v>
      </c>
      <c r="C2" s="2" t="s">
        <v>44</v>
      </c>
      <c r="D2" s="2" t="s">
        <v>45</v>
      </c>
      <c r="E2" s="2" t="str">
        <f>CONCATENATE(D2, " ",C2)</f>
        <v>Paul Fortier</v>
      </c>
      <c r="F2" s="2" t="s">
        <v>47</v>
      </c>
      <c r="G2" s="2" t="s">
        <v>48</v>
      </c>
      <c r="H2" s="2" t="str">
        <f>CONCATENATE(G2, " ",F2)</f>
        <v>Adam Richter</v>
      </c>
      <c r="I2" s="3">
        <v>45985</v>
      </c>
      <c r="J2" s="3">
        <v>46258</v>
      </c>
      <c r="K2" s="2">
        <v>9079571</v>
      </c>
      <c r="L2" s="2">
        <v>1847.28</v>
      </c>
      <c r="M2" s="2">
        <v>1.5</v>
      </c>
      <c r="N2" s="2">
        <v>0.75</v>
      </c>
      <c r="O2" s="2">
        <v>1500</v>
      </c>
      <c r="P2" s="2" t="s">
        <v>74</v>
      </c>
      <c r="Q2" s="2">
        <v>0</v>
      </c>
      <c r="R2" s="2">
        <f>SUM(L2/12)</f>
        <v>153.94</v>
      </c>
      <c r="S2" s="2">
        <f>SUM(R2*M2%*100)</f>
        <v>230.91</v>
      </c>
    </row>
    <row r="3" spans="1:34" x14ac:dyDescent="0.2">
      <c r="A3" s="3">
        <v>45987</v>
      </c>
      <c r="B3" s="2">
        <v>6602238849</v>
      </c>
      <c r="C3" s="2" t="s">
        <v>54</v>
      </c>
      <c r="D3" s="2" t="s">
        <v>55</v>
      </c>
      <c r="E3" s="2" t="str">
        <f t="shared" ref="E3:E4" si="0">CONCATENATE(D3, " ",C3)</f>
        <v>Michael Lacy</v>
      </c>
      <c r="F3" s="2" t="s">
        <v>56</v>
      </c>
      <c r="G3" s="2" t="s">
        <v>57</v>
      </c>
      <c r="H3" s="2" t="str">
        <f t="shared" ref="H3:H4" si="1">CONCATENATE(G3, " ",F3)</f>
        <v>Thomas Pardue</v>
      </c>
      <c r="I3" s="3">
        <v>45987</v>
      </c>
      <c r="J3" s="3">
        <v>46260</v>
      </c>
      <c r="K3" s="4" t="s">
        <v>69</v>
      </c>
      <c r="L3" s="2">
        <v>1601.4</v>
      </c>
      <c r="M3" s="2">
        <v>1.1499999999999999</v>
      </c>
      <c r="N3" s="2">
        <v>0.75</v>
      </c>
      <c r="O3" s="2">
        <v>1381</v>
      </c>
      <c r="P3" s="2" t="s">
        <v>75</v>
      </c>
      <c r="Q3" s="2">
        <v>0</v>
      </c>
      <c r="R3" s="2">
        <f t="shared" ref="R3:R4" si="2">SUM(L3/12)</f>
        <v>133.45000000000002</v>
      </c>
      <c r="S3" s="2">
        <f t="shared" ref="S3:S4" si="3">SUM(R3*M3%*100)</f>
        <v>153.46750000000003</v>
      </c>
    </row>
    <row r="4" spans="1:34" x14ac:dyDescent="0.2">
      <c r="A4" s="3">
        <v>45985</v>
      </c>
      <c r="B4" s="2">
        <v>6602239949</v>
      </c>
      <c r="C4" s="2" t="s">
        <v>61</v>
      </c>
      <c r="D4" s="2" t="s">
        <v>62</v>
      </c>
      <c r="E4" s="2" t="str">
        <f t="shared" si="0"/>
        <v>Ariuntungalag Sosorbaram</v>
      </c>
      <c r="F4" s="2" t="s">
        <v>63</v>
      </c>
      <c r="G4" s="2" t="s">
        <v>64</v>
      </c>
      <c r="H4" s="2" t="str">
        <f t="shared" si="1"/>
        <v>Nasandelger Zana</v>
      </c>
      <c r="I4" s="3">
        <v>45985</v>
      </c>
      <c r="J4" s="3">
        <v>46258</v>
      </c>
      <c r="K4" s="4" t="s">
        <v>70</v>
      </c>
      <c r="L4" s="2">
        <v>639.84</v>
      </c>
      <c r="M4" s="2">
        <v>1.1499999999999999</v>
      </c>
      <c r="N4" s="2">
        <v>0.75</v>
      </c>
      <c r="O4" s="2">
        <v>552</v>
      </c>
      <c r="P4" s="2" t="s">
        <v>75</v>
      </c>
      <c r="Q4" s="2">
        <v>0</v>
      </c>
      <c r="R4" s="2">
        <f t="shared" si="2"/>
        <v>53.32</v>
      </c>
      <c r="S4" s="2">
        <f t="shared" si="3"/>
        <v>61.317999999999998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Sheet0</vt:lpstr>
      <vt:lpstr>clean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</dc:creator>
  <cp:lastModifiedBy>Janki Patel</cp:lastModifiedBy>
  <dcterms:created xsi:type="dcterms:W3CDTF">2025-12-01T13:04:35Z</dcterms:created>
  <dcterms:modified xsi:type="dcterms:W3CDTF">2025-12-03T00:10:04Z</dcterms:modified>
</cp:coreProperties>
</file>