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Transamerica\advance\12-21-25 to 12-26-25\"/>
    </mc:Choice>
  </mc:AlternateContent>
  <xr:revisionPtr revIDLastSave="0" documentId="13_ncr:1_{67C902E1-C8CE-4319-9AFF-4D6B2063DAB5}" xr6:coauthVersionLast="47" xr6:coauthVersionMax="47" xr10:uidLastSave="{00000000-0000-0000-0000-000000000000}"/>
  <bookViews>
    <workbookView xWindow="28680" yWindow="-120" windowWidth="29040" windowHeight="16440" activeTab="1" xr2:uid="{A5898C1F-4544-482A-BCF8-6F93F47171ED}"/>
  </bookViews>
  <sheets>
    <sheet name="Sheet0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L3" i="2" l="1"/>
  <c r="L2" i="2"/>
  <c r="K3" i="2"/>
  <c r="K2" i="2"/>
</calcChain>
</file>

<file path=xl/sharedStrings.xml><?xml version="1.0" encoding="utf-8"?>
<sst xmlns="http://schemas.openxmlformats.org/spreadsheetml/2006/main" count="90" uniqueCount="57">
  <si>
    <t>Commission Agent Last Name</t>
  </si>
  <si>
    <t>Commission Agent First Name</t>
  </si>
  <si>
    <t>Commission Agent Business Name</t>
  </si>
  <si>
    <t>Commission Agent Number</t>
  </si>
  <si>
    <t>Statutory Company Name</t>
  </si>
  <si>
    <t>Transaction Date</t>
  </si>
  <si>
    <t>Policy Number</t>
  </si>
  <si>
    <t>Insured Last Name</t>
  </si>
  <si>
    <t>Insured First Name</t>
  </si>
  <si>
    <t>Description</t>
  </si>
  <si>
    <t>Writing Agent Last Name</t>
  </si>
  <si>
    <t>Writing Agent First Name</t>
  </si>
  <si>
    <t>Writing Agent Business Name</t>
  </si>
  <si>
    <t>Writing Agent Number</t>
  </si>
  <si>
    <t>Commission Premium</t>
  </si>
  <si>
    <t>Split %</t>
  </si>
  <si>
    <t>Commission %</t>
  </si>
  <si>
    <t>Adv %</t>
  </si>
  <si>
    <t>Advance Amount</t>
  </si>
  <si>
    <t>Writing Agent Over Advance</t>
  </si>
  <si>
    <t>Overwrite Over Advance</t>
  </si>
  <si>
    <t>Commission Amount</t>
  </si>
  <si>
    <t>PSOP Amount</t>
  </si>
  <si>
    <t>Net Commission Amount</t>
  </si>
  <si>
    <t>Writing Agent Chargeback</t>
  </si>
  <si>
    <t>Overwrite Chargeback</t>
  </si>
  <si>
    <t>Writing Agent Balance Forward</t>
  </si>
  <si>
    <t>Overwrite Agent Balance Forward</t>
  </si>
  <si>
    <t>Writing Agent Less Recovery Amount</t>
  </si>
  <si>
    <t>Overwrite Agent Less Recovery Amount</t>
  </si>
  <si>
    <t>Writing Agent Ending Balance</t>
  </si>
  <si>
    <t>Overwrite Agent Ending Balance</t>
  </si>
  <si>
    <t>Writing Agent Total Adavance Amount</t>
  </si>
  <si>
    <t>Overwrite Agent Total Adavance Amount</t>
  </si>
  <si>
    <t>Payment Type Reference Number</t>
  </si>
  <si>
    <t>Payment Amount</t>
  </si>
  <si>
    <t>Payee Advance Check Line</t>
  </si>
  <si>
    <t>Payee Advance Check Amount</t>
  </si>
  <si>
    <t>Hoffmann</t>
  </si>
  <si>
    <t>Jason</t>
  </si>
  <si>
    <t>Main Line Benefits Llc</t>
  </si>
  <si>
    <t>MLSR156747</t>
  </si>
  <si>
    <t>Transamerica Life Insurance Company</t>
  </si>
  <si>
    <t>FEX483964</t>
  </si>
  <si>
    <t>Rusnak</t>
  </si>
  <si>
    <t>Maureen</t>
  </si>
  <si>
    <t>OW Placed Adv</t>
  </si>
  <si>
    <t>Choi</t>
  </si>
  <si>
    <t>Andrew</t>
  </si>
  <si>
    <t/>
  </si>
  <si>
    <t>MLSR139816</t>
  </si>
  <si>
    <t>FEX483966</t>
  </si>
  <si>
    <t>George</t>
  </si>
  <si>
    <t>EFT2202923</t>
  </si>
  <si>
    <t>PAYEE ADVANCE EFT 0 MAIN LINE BENEFITS LLC</t>
  </si>
  <si>
    <t>Easy Solution (187)</t>
  </si>
  <si>
    <t>Immediate Solution (185)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</si>
</sst>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9" fontId="0" fillId="0" borderId="0" xfId="1" applyFont="1"/>
    <xf numFmtId="0" fontId="1" fillId="0" borderId="0" xfId="0" applyFont="1"/>
    <xf numFmtId="2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147AE-A60D-4DB8-93C4-EA934DBF07AB}">
  <dimension ref="A1:AL4"/>
  <sheetViews>
    <sheetView workbookViewId="0">
      <selection sqref="A1:XFD1048576"/>
    </sheetView>
  </sheetViews>
  <sheetFormatPr defaultRowHeight="12.75" x14ac:dyDescent="0.2"/>
  <cols>
    <col min="1" max="256" width="16" customWidth="1"/>
  </cols>
  <sheetData>
    <row r="1" spans="1:3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">
      <c r="A2" t="s">
        <v>38</v>
      </c>
      <c r="B2" t="s">
        <v>39</v>
      </c>
      <c r="C2" t="s">
        <v>40</v>
      </c>
      <c r="D2" t="s">
        <v>41</v>
      </c>
      <c r="E2" t="s">
        <v>42</v>
      </c>
      <c r="F2" s="1">
        <v>46013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50</v>
      </c>
      <c r="O2">
        <v>979.8</v>
      </c>
      <c r="P2">
        <v>1</v>
      </c>
      <c r="Q2">
        <v>1.35</v>
      </c>
      <c r="R2">
        <v>0.75</v>
      </c>
      <c r="S2">
        <v>992</v>
      </c>
      <c r="T2">
        <v>0</v>
      </c>
      <c r="U2">
        <v>0</v>
      </c>
    </row>
    <row r="3" spans="1:38" x14ac:dyDescent="0.2">
      <c r="A3" t="s">
        <v>38</v>
      </c>
      <c r="B3" t="s">
        <v>39</v>
      </c>
      <c r="C3" t="s">
        <v>40</v>
      </c>
      <c r="D3" t="s">
        <v>41</v>
      </c>
      <c r="E3" t="s">
        <v>42</v>
      </c>
      <c r="F3" s="1">
        <v>46013</v>
      </c>
      <c r="G3" t="s">
        <v>51</v>
      </c>
      <c r="H3" t="s">
        <v>44</v>
      </c>
      <c r="I3" t="s">
        <v>52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>
        <v>1313.16</v>
      </c>
      <c r="P3">
        <v>1</v>
      </c>
      <c r="Q3">
        <v>0.88</v>
      </c>
      <c r="R3">
        <v>0.75</v>
      </c>
      <c r="S3">
        <v>867</v>
      </c>
      <c r="T3">
        <v>0</v>
      </c>
      <c r="U3">
        <v>0</v>
      </c>
    </row>
    <row r="4" spans="1:38" x14ac:dyDescent="0.2"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1859</v>
      </c>
      <c r="AI4" t="s">
        <v>53</v>
      </c>
      <c r="AJ4">
        <v>1859</v>
      </c>
      <c r="AK4" t="s">
        <v>54</v>
      </c>
    </row>
  </sheetData>
  <pageMargins left="0.75" right="0.75" top="1" bottom="1" header="0.5" footer="0.5"/>
  <pageSetup orientation="portrait" horizontalDpi="300" verticalDpi="30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D8410-3A84-47E0-9480-193F940AD991}">
  <dimension ref="A1:M3"/>
  <sheetViews>
    <sheetView tabSelected="1" workbookViewId="0">
      <selection activeCell="G6" sqref="G6:G9"/>
    </sheetView>
  </sheetViews>
  <sheetFormatPr defaultRowHeight="12.75" x14ac:dyDescent="0.2"/>
  <cols>
    <col min="1" max="226" width="16" customWidth="1"/>
  </cols>
  <sheetData>
    <row r="1" spans="1:13" x14ac:dyDescent="0.2">
      <c r="A1" t="s">
        <v>6</v>
      </c>
      <c r="B1" t="s">
        <v>7</v>
      </c>
      <c r="C1" t="s">
        <v>8</v>
      </c>
      <c r="D1" t="s">
        <v>10</v>
      </c>
      <c r="E1" t="s">
        <v>11</v>
      </c>
      <c r="F1" t="s">
        <v>12</v>
      </c>
      <c r="G1" t="s">
        <v>14</v>
      </c>
      <c r="H1" t="s">
        <v>16</v>
      </c>
      <c r="I1" t="s">
        <v>17</v>
      </c>
      <c r="J1" t="s">
        <v>18</v>
      </c>
    </row>
    <row r="2" spans="1:13" x14ac:dyDescent="0.2">
      <c r="A2" t="s">
        <v>43</v>
      </c>
      <c r="B2" t="s">
        <v>44</v>
      </c>
      <c r="C2" t="s">
        <v>45</v>
      </c>
      <c r="D2" t="s">
        <v>47</v>
      </c>
      <c r="E2" t="s">
        <v>48</v>
      </c>
      <c r="F2" t="s">
        <v>49</v>
      </c>
      <c r="G2">
        <v>979.8</v>
      </c>
      <c r="H2" s="2">
        <v>1.35</v>
      </c>
      <c r="I2">
        <v>0.75</v>
      </c>
      <c r="J2">
        <v>992</v>
      </c>
      <c r="K2" s="4">
        <f>G2/12</f>
        <v>81.649999999999991</v>
      </c>
      <c r="L2" s="4">
        <f>K2*H2</f>
        <v>110.22749999999999</v>
      </c>
      <c r="M2" s="3" t="s">
        <v>56</v>
      </c>
    </row>
    <row r="3" spans="1:13" x14ac:dyDescent="0.2">
      <c r="A3" t="s">
        <v>51</v>
      </c>
      <c r="B3" t="s">
        <v>44</v>
      </c>
      <c r="C3" t="s">
        <v>52</v>
      </c>
      <c r="D3" t="s">
        <v>47</v>
      </c>
      <c r="E3" t="s">
        <v>48</v>
      </c>
      <c r="F3" t="s">
        <v>49</v>
      </c>
      <c r="G3">
        <v>1313.16</v>
      </c>
      <c r="H3" s="2">
        <v>0.88</v>
      </c>
      <c r="I3">
        <v>0.75</v>
      </c>
      <c r="J3">
        <v>867</v>
      </c>
      <c r="K3" s="4">
        <f>G3/12</f>
        <v>109.43</v>
      </c>
      <c r="L3" s="4">
        <f>K3*H3</f>
        <v>96.298400000000001</v>
      </c>
      <c r="M3" s="3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Darji</dc:creator>
  <cp:lastModifiedBy>Loula Irene Cabel</cp:lastModifiedBy>
  <dcterms:created xsi:type="dcterms:W3CDTF">2025-12-26T11:55:01Z</dcterms:created>
  <dcterms:modified xsi:type="dcterms:W3CDTF">2025-12-26T18:37:38Z</dcterms:modified>
</cp:coreProperties>
</file>