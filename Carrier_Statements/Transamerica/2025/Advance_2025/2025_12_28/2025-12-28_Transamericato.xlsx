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dvance 2025\12-28-25 to 1-3-26\"/>
    </mc:Choice>
  </mc:AlternateContent>
  <xr:revisionPtr revIDLastSave="0" documentId="13_ncr:1_{1060345C-D038-4B37-B57A-3493AF7A9E53}" xr6:coauthVersionLast="47" xr6:coauthVersionMax="47" xr10:uidLastSave="{00000000-0000-0000-0000-000000000000}"/>
  <bookViews>
    <workbookView xWindow="-57720" yWindow="-45" windowWidth="29040" windowHeight="15720" activeTab="1" xr2:uid="{D4812D10-9175-4704-AF4F-FEE52E53E931}"/>
  </bookViews>
  <sheets>
    <sheet name="Sheet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O3" i="2"/>
  <c r="N4" i="2"/>
  <c r="N3" i="2"/>
  <c r="N2" i="2"/>
  <c r="O2" i="2" s="1"/>
  <c r="F4" i="2"/>
  <c r="F3" i="2"/>
  <c r="F2" i="2"/>
  <c r="I4" i="2"/>
  <c r="I3" i="2"/>
  <c r="I2" i="2"/>
</calcChain>
</file>

<file path=xl/sharedStrings.xml><?xml version="1.0" encoding="utf-8"?>
<sst xmlns="http://schemas.openxmlformats.org/spreadsheetml/2006/main" count="115" uniqueCount="63">
  <si>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</si>
  <si>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</si>
  <si>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</si>
  <si>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</si>
  <si>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</si>
  <si>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</si>
  <si>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</si>
  <si>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</si>
  <si>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</si>
  <si>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</si>
  <si>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</si>
  <si>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</si>
  <si>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</si>
  <si>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</si>
  <si>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</si>
  <si>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</si>
  <si>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</si>
  <si>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</si>
  <si>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</si>
  <si>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</si>
  <si>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</si>
  <si>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</si>
  <si>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</si>
  <si>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</si>
  <si>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</si>
  <si>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</si>
  <si>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</si>
  <si>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</si>
  <si>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</si>
  <si>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</si>
  <si>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</si>
  <si>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</si>
  <si>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</si>
  <si>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</si>
  <si>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</si>
  <si>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</si>
  <si>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</si>
  <si>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</si>
  <si>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</si>
  <si>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</si>
  <si>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</si>
  <si>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</si>
  <si>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</si>
  <si>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FEX485167</t>
  </si>
  <si>
    <t>Go Medina</t>
  </si>
  <si>
    <t>Annie</t>
  </si>
  <si>
    <t>OW Placed Adv</t>
  </si>
  <si>
    <t>Choi</t>
  </si>
  <si>
    <t>Andrew</t>
  </si>
  <si>
    <t/>
  </si>
  <si>
    <t>MLSR139816</t>
  </si>
  <si>
    <t>FEX485170</t>
  </si>
  <si>
    <t>Medina</t>
  </si>
  <si>
    <t>Leandro</t>
  </si>
  <si>
    <t>FEX488409</t>
  </si>
  <si>
    <t>Gross</t>
  </si>
  <si>
    <t>William</t>
  </si>
  <si>
    <t>EFT2205798</t>
  </si>
  <si>
    <t>PAYEE ADVANCE EFT 0 MAIN LINE BENEFITS LLC</t>
  </si>
  <si>
    <t>7470776AV9</t>
  </si>
  <si>
    <t>Easy Solution (187)</t>
  </si>
  <si>
    <t>Premium</t>
  </si>
  <si>
    <t>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</si>
</sst>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1" fillId="2" borderId="0" xfId="0" applyFon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5BF3-FE21-4F81-AF72-826475587196}">
  <dimension ref="A1:AL5"/>
  <sheetViews>
    <sheetView workbookViewId="0">
      <selection sqref="A1:XFD1048576"/>
    </sheetView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46020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886.56</v>
      </c>
      <c r="P2">
        <v>1</v>
      </c>
      <c r="Q2">
        <v>6.7500000000000004E-2</v>
      </c>
      <c r="R2">
        <v>0.75</v>
      </c>
      <c r="S2">
        <v>45</v>
      </c>
      <c r="T2">
        <v>0</v>
      </c>
      <c r="U2">
        <v>0</v>
      </c>
    </row>
    <row r="3" spans="1:38" x14ac:dyDescent="0.2">
      <c r="A3" t="s">
        <v>38</v>
      </c>
      <c r="B3" t="s">
        <v>39</v>
      </c>
      <c r="C3" t="s">
        <v>40</v>
      </c>
      <c r="D3" t="s">
        <v>41</v>
      </c>
      <c r="E3" t="s">
        <v>42</v>
      </c>
      <c r="F3" s="1">
        <v>46020</v>
      </c>
      <c r="G3" t="s">
        <v>51</v>
      </c>
      <c r="H3" t="s">
        <v>52</v>
      </c>
      <c r="I3" t="s">
        <v>53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1242.3599999999999</v>
      </c>
      <c r="P3">
        <v>1</v>
      </c>
      <c r="Q3">
        <v>0.88</v>
      </c>
      <c r="R3">
        <v>0.75</v>
      </c>
      <c r="S3">
        <v>820</v>
      </c>
      <c r="T3">
        <v>0</v>
      </c>
      <c r="U3">
        <v>0</v>
      </c>
    </row>
    <row r="4" spans="1:38" x14ac:dyDescent="0.2">
      <c r="A4" t="s">
        <v>38</v>
      </c>
      <c r="B4" t="s">
        <v>39</v>
      </c>
      <c r="C4" t="s">
        <v>40</v>
      </c>
      <c r="D4" t="s">
        <v>41</v>
      </c>
      <c r="E4" t="s">
        <v>42</v>
      </c>
      <c r="F4" s="1">
        <v>46020</v>
      </c>
      <c r="G4" t="s">
        <v>54</v>
      </c>
      <c r="H4" t="s">
        <v>55</v>
      </c>
      <c r="I4" t="s">
        <v>56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>
        <v>1077.3599999999999</v>
      </c>
      <c r="P4">
        <v>1</v>
      </c>
      <c r="Q4">
        <v>6.7500000000000004E-2</v>
      </c>
      <c r="R4">
        <v>0.75</v>
      </c>
      <c r="S4">
        <v>55</v>
      </c>
      <c r="T4">
        <v>0</v>
      </c>
      <c r="U4">
        <v>0</v>
      </c>
    </row>
    <row r="5" spans="1:38" x14ac:dyDescent="0.2"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920</v>
      </c>
      <c r="AI5" t="s">
        <v>57</v>
      </c>
      <c r="AJ5">
        <v>920</v>
      </c>
      <c r="AK5" t="s">
        <v>58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57F3-1764-4E03-9EFF-23778F50868F}">
  <dimension ref="A1:P4"/>
  <sheetViews>
    <sheetView tabSelected="1" workbookViewId="0">
      <selection activeCell="C3" sqref="C3"/>
    </sheetView>
  </sheetViews>
  <sheetFormatPr defaultRowHeight="12.75" x14ac:dyDescent="0.2"/>
  <cols>
    <col min="1" max="1" width="33.28515625" bestFit="1" customWidth="1"/>
    <col min="2" max="15" width="16" customWidth="1"/>
    <col min="16" max="16" width="17.5703125" bestFit="1" customWidth="1"/>
    <col min="17" max="231" width="16" customWidth="1"/>
  </cols>
  <sheetData>
    <row r="1" spans="1:16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16</v>
      </c>
      <c r="M1" t="s">
        <v>17</v>
      </c>
      <c r="N1" s="2" t="s">
        <v>61</v>
      </c>
      <c r="O1" s="2" t="s">
        <v>62</v>
      </c>
    </row>
    <row r="2" spans="1:16" s="4" customFormat="1" x14ac:dyDescent="0.2">
      <c r="A2" s="4" t="s">
        <v>42</v>
      </c>
      <c r="B2" s="5">
        <v>46019</v>
      </c>
      <c r="C2" s="6" t="s">
        <v>43</v>
      </c>
      <c r="D2" s="4" t="s">
        <v>44</v>
      </c>
      <c r="E2" s="4" t="s">
        <v>45</v>
      </c>
      <c r="F2" s="4" t="str">
        <f>CONCATENATE(E2," ",D2)</f>
        <v>Annie Go Medina</v>
      </c>
      <c r="G2" s="4" t="s">
        <v>47</v>
      </c>
      <c r="H2" s="4" t="s">
        <v>48</v>
      </c>
      <c r="I2" s="4" t="str">
        <f>CONCATENATE(H2," ",G2)</f>
        <v>Andrew Choi</v>
      </c>
      <c r="J2" s="6" t="s">
        <v>59</v>
      </c>
      <c r="K2" s="4">
        <v>886.56</v>
      </c>
      <c r="L2" s="4">
        <v>6.7500000000000004E-2</v>
      </c>
      <c r="M2" s="4">
        <v>0.75</v>
      </c>
      <c r="N2" s="4">
        <f>K2/12</f>
        <v>73.88</v>
      </c>
      <c r="O2" s="7">
        <f>N2*L2</f>
        <v>4.9869000000000003</v>
      </c>
    </row>
    <row r="3" spans="1:16" s="4" customFormat="1" x14ac:dyDescent="0.2">
      <c r="A3" s="4" t="s">
        <v>42</v>
      </c>
      <c r="B3" s="5">
        <v>46020</v>
      </c>
      <c r="C3" s="4" t="s">
        <v>54</v>
      </c>
      <c r="D3" s="4" t="s">
        <v>55</v>
      </c>
      <c r="E3" s="4" t="s">
        <v>56</v>
      </c>
      <c r="F3" s="4" t="str">
        <f t="shared" ref="F3" si="0">CONCATENATE(E3," ",D3)</f>
        <v>William Gross</v>
      </c>
      <c r="G3" s="4" t="s">
        <v>47</v>
      </c>
      <c r="H3" s="4" t="s">
        <v>48</v>
      </c>
      <c r="I3" s="4" t="str">
        <f t="shared" ref="I3" si="1">CONCATENATE(H3," ",G3)</f>
        <v>Andrew Choi</v>
      </c>
      <c r="J3" s="6" t="s">
        <v>59</v>
      </c>
      <c r="K3" s="4">
        <v>1077.3599999999999</v>
      </c>
      <c r="L3" s="4">
        <v>6.7500000000000004E-2</v>
      </c>
      <c r="M3" s="4">
        <v>0.75</v>
      </c>
      <c r="N3" s="4">
        <f t="shared" ref="N3" si="2">K3/12</f>
        <v>89.779999999999987</v>
      </c>
      <c r="O3" s="7">
        <f t="shared" ref="O3" si="3">N3*L3</f>
        <v>6.0601499999999993</v>
      </c>
    </row>
    <row r="4" spans="1:16" x14ac:dyDescent="0.2">
      <c r="A4" t="s">
        <v>42</v>
      </c>
      <c r="B4" s="1">
        <v>46020</v>
      </c>
      <c r="C4" t="s">
        <v>51</v>
      </c>
      <c r="D4" t="s">
        <v>52</v>
      </c>
      <c r="E4" t="s">
        <v>53</v>
      </c>
      <c r="F4" t="str">
        <f>CONCATENATE(E4," ",D4)</f>
        <v>Leandro Medina</v>
      </c>
      <c r="G4" t="s">
        <v>47</v>
      </c>
      <c r="H4" t="s">
        <v>48</v>
      </c>
      <c r="I4" t="str">
        <f>CONCATENATE(H4," ",G4)</f>
        <v>Andrew Choi</v>
      </c>
      <c r="J4" s="2" t="s">
        <v>59</v>
      </c>
      <c r="K4">
        <v>1242.3599999999999</v>
      </c>
      <c r="L4">
        <v>0.88</v>
      </c>
      <c r="M4">
        <v>0.75</v>
      </c>
      <c r="N4">
        <f>K4/12</f>
        <v>103.52999999999999</v>
      </c>
      <c r="O4" s="3">
        <f>N4*L4</f>
        <v>91.106399999999994</v>
      </c>
      <c r="P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Janki Patel</cp:lastModifiedBy>
  <dcterms:created xsi:type="dcterms:W3CDTF">2026-01-02T06:14:27Z</dcterms:created>
  <dcterms:modified xsi:type="dcterms:W3CDTF">2026-01-22T16:11:10Z</dcterms:modified>
</cp:coreProperties>
</file>