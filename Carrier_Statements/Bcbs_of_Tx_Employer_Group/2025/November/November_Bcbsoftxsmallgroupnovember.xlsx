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TX small group\2025\November\"/>
    </mc:Choice>
  </mc:AlternateContent>
  <xr:revisionPtr revIDLastSave="0" documentId="13_ncr:1_{A9E1B8DD-2CD2-4947-A2C9-9197294F82EA}" xr6:coauthVersionLast="47" xr6:coauthVersionMax="47" xr10:uidLastSave="{00000000-0000-0000-0000-000000000000}"/>
  <bookViews>
    <workbookView xWindow="32175" yWindow="2610" windowWidth="21585" windowHeight="13230" activeTab="1" xr2:uid="{00000000-000D-0000-FFFF-FFFF00000000}"/>
  </bookViews>
  <sheets>
    <sheet name="Sheet1" sheetId="1" r:id="rId1"/>
    <sheet name="Sheet2" sheetId="2" r:id="rId2"/>
  </sheets>
  <calcPr calcId="181029"/>
</workbook>
</file>

<file path=xl/calcChain.xml><?xml version="1.0" encoding="utf-8"?>
<calcChain xmlns="http://schemas.openxmlformats.org/spreadsheetml/2006/main">
  <c r="I13" i="2" l="1"/>
  <c r="I7" i="2"/>
  <c r="I4" i="2"/>
  <c r="I5" i="2"/>
  <c r="I6" i="2"/>
  <c r="I8" i="2"/>
  <c r="I9" i="2"/>
  <c r="I10" i="2"/>
  <c r="I11" i="2"/>
  <c r="I12" i="2"/>
  <c r="I3" i="2"/>
</calcChain>
</file>

<file path=xl/sharedStrings.xml><?xml version="1.0" encoding="utf-8"?>
<sst xmlns="http://schemas.openxmlformats.org/spreadsheetml/2006/main" count="359" uniqueCount="104">
  <si>
    <t>Name:</t>
  </si>
  <si>
    <t>MAIN LINE BENEFITS LLC</t>
  </si>
  <si>
    <t>Health Care Service Corporation</t>
  </si>
  <si>
    <t>PR Number:</t>
  </si>
  <si>
    <t>107865342</t>
  </si>
  <si>
    <t xml:space="preserve">       300 East Randolph Street
     Chicago, Illinois 60601 - 5099</t>
  </si>
  <si>
    <t>State:</t>
  </si>
  <si>
    <t>TX</t>
  </si>
  <si>
    <r>
      <t>Producer Commission Data - Group</t>
    </r>
    <r>
      <rPr>
        <sz val="18"/>
        <color rgb="FFFFFFFF"/>
        <rFont val="Arial"/>
        <family val="2"/>
      </rPr>
      <t xml:space="preserve">
For Period: November 2025</t>
    </r>
  </si>
  <si>
    <t>Client Key</t>
  </si>
  <si>
    <t xml:space="preserve">
</t>
  </si>
  <si>
    <t>Producer Name</t>
  </si>
  <si>
    <t>SubProducer Number</t>
  </si>
  <si>
    <t>Account</t>
  </si>
  <si>
    <t>Credit Producer Type</t>
  </si>
  <si>
    <t>Group</t>
  </si>
  <si>
    <t>Group Subname</t>
  </si>
  <si>
    <t>Billing Profile</t>
  </si>
  <si>
    <t>Number of Contracts</t>
  </si>
  <si>
    <t>Payment Type</t>
  </si>
  <si>
    <t>EffectiveDate</t>
  </si>
  <si>
    <t>Paid To Date</t>
  </si>
  <si>
    <t>Calculate Method</t>
  </si>
  <si>
    <t>Split Percentage</t>
  </si>
  <si>
    <t>Premium Collected</t>
  </si>
  <si>
    <t>Commissions Rate</t>
  </si>
  <si>
    <t>Collection Amount</t>
  </si>
  <si>
    <t>Premium CTD</t>
  </si>
  <si>
    <t>Commission CTD</t>
  </si>
  <si>
    <t>Commissions YTD</t>
  </si>
  <si>
    <t>Section 1</t>
  </si>
  <si>
    <t>Month Policy</t>
  </si>
  <si>
    <t>Cancel</t>
  </si>
  <si>
    <t>Product Name</t>
  </si>
  <si>
    <t>0001000102</t>
  </si>
  <si>
    <t>107873513-SU-MICHELA ROZMAN</t>
  </si>
  <si>
    <t>107873513</t>
  </si>
  <si>
    <t>000000</t>
  </si>
  <si>
    <t>PR</t>
  </si>
  <si>
    <t>HISC Appointment Fees October 2025</t>
  </si>
  <si>
    <t>B0000000000</t>
  </si>
  <si>
    <t>0</t>
  </si>
  <si>
    <t>P</t>
  </si>
  <si>
    <t>20251001</t>
  </si>
  <si>
    <t>20251101</t>
  </si>
  <si>
    <t>ApptRenewalFee</t>
  </si>
  <si>
    <t>$01.00</t>
  </si>
  <si>
    <t>000,000.00</t>
  </si>
  <si>
    <t>012.00</t>
  </si>
  <si>
    <t>000,012.00-</t>
  </si>
  <si>
    <t>0,000,000.00</t>
  </si>
  <si>
    <t>0,000,012.00-</t>
  </si>
  <si>
    <t>0000</t>
  </si>
  <si>
    <t>001</t>
  </si>
  <si>
    <t>Non-HMO</t>
  </si>
  <si>
    <t>107928715-SU-RICARDO D SANTOS</t>
  </si>
  <si>
    <t>107928715</t>
  </si>
  <si>
    <t>394835</t>
  </si>
  <si>
    <t>DIAMANTRA INC</t>
  </si>
  <si>
    <t>B0000366024</t>
  </si>
  <si>
    <t>2</t>
  </si>
  <si>
    <t>20240801</t>
  </si>
  <si>
    <t>20251201</t>
  </si>
  <si>
    <t>% Premium</t>
  </si>
  <si>
    <t>100.00</t>
  </si>
  <si>
    <t>001,271.26</t>
  </si>
  <si>
    <t>0.0425</t>
  </si>
  <si>
    <t>000,054.03</t>
  </si>
  <si>
    <t>0,007,304.98</t>
  </si>
  <si>
    <t>0,000,216.12</t>
  </si>
  <si>
    <t>0,000,593.48</t>
  </si>
  <si>
    <t>016</t>
  </si>
  <si>
    <t>HMO</t>
  </si>
  <si>
    <t>107959667-SU-JARED KINYUA</t>
  </si>
  <si>
    <t>107959667</t>
  </si>
  <si>
    <t>0,000,024.00-</t>
  </si>
  <si>
    <t>107983850-SU-H A ALLAN</t>
  </si>
  <si>
    <t>107983850</t>
  </si>
  <si>
    <t>HCSC Appointment Fees October 2025</t>
  </si>
  <si>
    <t>107984310-SU-COLLEEN JERGER</t>
  </si>
  <si>
    <t>107984310</t>
  </si>
  <si>
    <t>107984638-SU-CASSANDRA NESHA MCALLISTER</t>
  </si>
  <si>
    <t>107984638</t>
  </si>
  <si>
    <t>107985298-SU-ANTONIA NEVAREZ</t>
  </si>
  <si>
    <t>107985298</t>
  </si>
  <si>
    <t>107985701-SU-JOHN L DIBATTISTA</t>
  </si>
  <si>
    <t>107985701</t>
  </si>
  <si>
    <t>107985991-SU-JOHN D PUCCIO</t>
  </si>
  <si>
    <t>107985991</t>
  </si>
  <si>
    <t>107986051-SU-JERALD SKARNULIS</t>
  </si>
  <si>
    <t>107986051</t>
  </si>
  <si>
    <t>107987632-SU-GIOVANNI ANTHONY FLAMMINIO</t>
  </si>
  <si>
    <t>107987632</t>
  </si>
  <si>
    <t>MICHELA ROZMAN</t>
  </si>
  <si>
    <t>JARED KINYUA</t>
  </si>
  <si>
    <t>H A ALLAN</t>
  </si>
  <si>
    <t>COLLEEN JERGER</t>
  </si>
  <si>
    <t>CASSANDRA NESHA MCALLISTER</t>
  </si>
  <si>
    <t>ANTONIA NEVAREZ</t>
  </si>
  <si>
    <t>JOHN L DIBATTISTA</t>
  </si>
  <si>
    <t>JOHN D PUCCIO</t>
  </si>
  <si>
    <t>JERALD SKARNULIS</t>
  </si>
  <si>
    <t>GIOVANNI ANTHONY FLAMMINIO</t>
  </si>
  <si>
    <t>BCBS 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</si>
</sst>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charset val="1"/>
    </font>
    <font>
      <b/>
      <sz val="10"/>
      <color rgb="FF808080"/>
      <name val="Arial"/>
      <family val="16"/>
      <charset val="1"/>
    </font>
    <font>
      <b/>
      <sz val="11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10"/>
      <color rgb="FF000000"/>
      <name val="ARIAL"/>
      <family val="16"/>
      <charset val="1"/>
    </font>
    <font>
      <sz val="18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top" wrapText="1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horizontal="left" vertical="top"/>
    </xf>
    <xf numFmtId="0" fontId="5" fillId="3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/>
    </xf>
    <xf numFmtId="0" fontId="6" fillId="4" borderId="0" xfId="0" applyFont="1" applyFill="1" applyAlignment="1">
      <alignment horizontal="left" vertical="top"/>
    </xf>
    <xf numFmtId="0" fontId="0" fillId="4" borderId="0" xfId="0" applyFill="1" applyAlignment="1">
      <alignment horizontal="left"/>
    </xf>
    <xf numFmtId="0" fontId="8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5" fillId="3" borderId="0" xfId="0" applyFont="1" applyFill="1" applyAlignment="1">
      <alignment horizontal="center" vertical="top" wrapText="1"/>
    </xf>
    <xf numFmtId="0" fontId="6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29"/>
  <sheetViews>
    <sheetView showGridLines="0" topLeftCell="T1" workbookViewId="0">
      <selection activeCell="Z16" sqref="Z16"/>
    </sheetView>
  </sheetViews>
  <sheetFormatPr defaultColWidth="6.85546875" defaultRowHeight="12.75" customHeight="1" x14ac:dyDescent="0.2"/>
  <cols>
    <col min="1" max="1" width="10.7109375" customWidth="1"/>
    <col min="2" max="2" width="1.7109375" customWidth="1"/>
    <col min="3" max="3" width="8" customWidth="1"/>
    <col min="4" max="4" width="3.42578125" customWidth="1"/>
    <col min="5" max="5" width="12.85546875" customWidth="1"/>
    <col min="6" max="6" width="27.140625" customWidth="1"/>
    <col min="7" max="7" width="12.7109375" customWidth="1"/>
    <col min="8" max="8" width="13.28515625" customWidth="1"/>
    <col min="9" max="9" width="10.42578125" customWidth="1"/>
    <col min="10" max="10" width="12.140625" customWidth="1"/>
    <col min="11" max="11" width="8.5703125" customWidth="1"/>
    <col min="12" max="12" width="27.5703125" customWidth="1"/>
    <col min="13" max="13" width="19.140625" customWidth="1"/>
    <col min="14" max="14" width="13.85546875" customWidth="1"/>
    <col min="15" max="15" width="9.140625" customWidth="1"/>
    <col min="16" max="16" width="1.140625" customWidth="1"/>
    <col min="17" max="17" width="7.85546875" customWidth="1"/>
    <col min="18" max="18" width="13.28515625" customWidth="1"/>
    <col min="19" max="19" width="12.5703125" customWidth="1"/>
    <col min="20" max="20" width="1.140625" customWidth="1"/>
    <col min="21" max="21" width="21.5703125" customWidth="1"/>
    <col min="22" max="22" width="13" customWidth="1"/>
    <col min="23" max="23" width="8.28515625" customWidth="1"/>
    <col min="24" max="24" width="11" customWidth="1"/>
    <col min="25" max="25" width="13" customWidth="1"/>
    <col min="26" max="26" width="19.28515625" customWidth="1"/>
    <col min="27" max="27" width="18.85546875" customWidth="1"/>
    <col min="28" max="28" width="19.28515625" customWidth="1"/>
    <col min="29" max="29" width="18.85546875" customWidth="1"/>
    <col min="30" max="30" width="8.7109375" customWidth="1"/>
    <col min="31" max="31" width="11.85546875" customWidth="1"/>
    <col min="32" max="32" width="12.5703125" customWidth="1"/>
    <col min="33" max="33" width="16" customWidth="1"/>
    <col min="34" max="34" width="6.85546875" customWidth="1"/>
  </cols>
  <sheetData>
    <row r="1" spans="1:33" ht="6" customHeight="1" x14ac:dyDescent="0.2"/>
    <row r="2" spans="1:33" ht="13.5" customHeight="1" x14ac:dyDescent="0.2">
      <c r="A2" s="1" t="s">
        <v>0</v>
      </c>
      <c r="C2" s="9" t="s">
        <v>1</v>
      </c>
      <c r="D2" s="9"/>
      <c r="E2" s="9"/>
      <c r="F2" s="9"/>
      <c r="Q2" s="10" t="s">
        <v>2</v>
      </c>
      <c r="R2" s="10"/>
      <c r="S2" s="10"/>
    </row>
    <row r="3" spans="1:33" ht="6.75" customHeight="1" x14ac:dyDescent="0.2">
      <c r="Q3" s="10"/>
      <c r="R3" s="10"/>
      <c r="S3" s="10"/>
    </row>
    <row r="4" spans="1:33" ht="13.5" customHeight="1" x14ac:dyDescent="0.2">
      <c r="A4" s="1" t="s">
        <v>3</v>
      </c>
      <c r="C4" s="9" t="s">
        <v>4</v>
      </c>
      <c r="D4" s="9"/>
      <c r="E4" s="9"/>
      <c r="P4" s="11" t="s">
        <v>5</v>
      </c>
      <c r="Q4" s="11"/>
      <c r="R4" s="11"/>
      <c r="S4" s="11"/>
      <c r="T4" s="11"/>
    </row>
    <row r="5" spans="1:33" ht="20.25" customHeight="1" x14ac:dyDescent="0.2">
      <c r="P5" s="11"/>
      <c r="Q5" s="11"/>
      <c r="R5" s="11"/>
      <c r="S5" s="11"/>
      <c r="T5" s="11"/>
    </row>
    <row r="6" spans="1:33" ht="6.75" customHeight="1" x14ac:dyDescent="0.2"/>
    <row r="7" spans="1:33" ht="13.5" customHeight="1" x14ac:dyDescent="0.2">
      <c r="A7" s="1" t="s">
        <v>6</v>
      </c>
      <c r="C7" s="9" t="s">
        <v>7</v>
      </c>
      <c r="D7" s="9"/>
    </row>
    <row r="8" spans="1:33" ht="5.25" customHeight="1" x14ac:dyDescent="0.2"/>
    <row r="9" spans="1:33" ht="6" customHeight="1" x14ac:dyDescent="0.2"/>
    <row r="10" spans="1:33" ht="25.5" customHeight="1" x14ac:dyDescent="0.2">
      <c r="A10" s="12" t="s">
        <v>8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</row>
    <row r="11" spans="1:33" ht="28.5" customHeight="1" x14ac:dyDescent="0.2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</row>
    <row r="12" spans="1:33" ht="6" customHeight="1" x14ac:dyDescent="0.2"/>
    <row r="13" spans="1:33" ht="12.75" customHeight="1" x14ac:dyDescent="0.2">
      <c r="A13" s="13" t="s">
        <v>9</v>
      </c>
      <c r="B13" s="13"/>
      <c r="C13" s="14" t="s">
        <v>10</v>
      </c>
      <c r="D13" s="13" t="s">
        <v>11</v>
      </c>
      <c r="E13" s="13"/>
      <c r="F13" s="13"/>
      <c r="G13" s="13"/>
      <c r="H13" s="13" t="s">
        <v>12</v>
      </c>
      <c r="I13" s="13" t="s">
        <v>13</v>
      </c>
      <c r="J13" s="13" t="s">
        <v>14</v>
      </c>
      <c r="K13" s="13" t="s">
        <v>15</v>
      </c>
      <c r="L13" s="13" t="s">
        <v>16</v>
      </c>
      <c r="M13" s="13"/>
      <c r="N13" s="13" t="s">
        <v>17</v>
      </c>
      <c r="O13" s="13" t="s">
        <v>18</v>
      </c>
      <c r="P13" s="13" t="s">
        <v>19</v>
      </c>
      <c r="Q13" s="13"/>
      <c r="R13" s="13" t="s">
        <v>20</v>
      </c>
      <c r="S13" s="13" t="s">
        <v>21</v>
      </c>
      <c r="T13" s="13" t="s">
        <v>22</v>
      </c>
      <c r="U13" s="13"/>
      <c r="V13" s="13" t="s">
        <v>23</v>
      </c>
      <c r="W13" s="13" t="s">
        <v>24</v>
      </c>
      <c r="X13" s="13"/>
      <c r="Y13" s="13" t="s">
        <v>25</v>
      </c>
      <c r="Z13" s="13" t="s">
        <v>26</v>
      </c>
      <c r="AA13" s="13" t="s">
        <v>27</v>
      </c>
      <c r="AB13" s="13" t="s">
        <v>28</v>
      </c>
      <c r="AC13" s="13" t="s">
        <v>29</v>
      </c>
      <c r="AD13" s="13" t="s">
        <v>30</v>
      </c>
      <c r="AE13" s="13" t="s">
        <v>31</v>
      </c>
      <c r="AF13" s="13" t="s">
        <v>32</v>
      </c>
      <c r="AG13" s="15" t="s">
        <v>33</v>
      </c>
    </row>
    <row r="14" spans="1:33" ht="14.25" customHeight="1" x14ac:dyDescent="0.2">
      <c r="A14" s="13"/>
      <c r="B14" s="13"/>
      <c r="C14" s="14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5"/>
    </row>
    <row r="15" spans="1:33" ht="12.75" customHeight="1" x14ac:dyDescent="0.2">
      <c r="A15" s="16" t="s">
        <v>34</v>
      </c>
      <c r="B15" s="16"/>
      <c r="D15" s="16" t="s">
        <v>35</v>
      </c>
      <c r="E15" s="16"/>
      <c r="F15" s="16"/>
      <c r="G15" s="16"/>
      <c r="H15" s="2" t="s">
        <v>36</v>
      </c>
      <c r="I15" s="2" t="s">
        <v>37</v>
      </c>
      <c r="J15" s="2" t="s">
        <v>38</v>
      </c>
      <c r="K15" s="2" t="s">
        <v>37</v>
      </c>
      <c r="L15" s="16" t="s">
        <v>39</v>
      </c>
      <c r="M15" s="16"/>
      <c r="N15" s="2" t="s">
        <v>40</v>
      </c>
      <c r="O15" s="2" t="s">
        <v>41</v>
      </c>
      <c r="P15" s="16" t="s">
        <v>42</v>
      </c>
      <c r="Q15" s="16"/>
      <c r="R15" s="2" t="s">
        <v>43</v>
      </c>
      <c r="S15" s="2" t="s">
        <v>44</v>
      </c>
      <c r="T15" s="16" t="s">
        <v>45</v>
      </c>
      <c r="U15" s="16"/>
      <c r="V15" s="2" t="s">
        <v>46</v>
      </c>
      <c r="W15" s="16" t="s">
        <v>47</v>
      </c>
      <c r="X15" s="16"/>
      <c r="Y15" s="2" t="s">
        <v>48</v>
      </c>
      <c r="Z15" s="2" t="s">
        <v>49</v>
      </c>
      <c r="AA15" s="2" t="s">
        <v>50</v>
      </c>
      <c r="AB15" s="2" t="s">
        <v>51</v>
      </c>
      <c r="AC15" s="2" t="s">
        <v>51</v>
      </c>
      <c r="AD15" s="2" t="s">
        <v>52</v>
      </c>
      <c r="AE15" s="2" t="s">
        <v>53</v>
      </c>
      <c r="AG15" s="3" t="s">
        <v>54</v>
      </c>
    </row>
    <row r="16" spans="1:33" ht="12.75" customHeight="1" x14ac:dyDescent="0.2">
      <c r="A16" s="16" t="s">
        <v>34</v>
      </c>
      <c r="B16" s="16"/>
      <c r="D16" s="16" t="s">
        <v>55</v>
      </c>
      <c r="E16" s="16"/>
      <c r="F16" s="16"/>
      <c r="G16" s="16"/>
      <c r="H16" s="2" t="s">
        <v>56</v>
      </c>
      <c r="I16" s="2" t="s">
        <v>57</v>
      </c>
      <c r="J16" s="2" t="s">
        <v>38</v>
      </c>
      <c r="K16" s="2" t="s">
        <v>57</v>
      </c>
      <c r="L16" s="16" t="s">
        <v>58</v>
      </c>
      <c r="M16" s="16"/>
      <c r="N16" s="2" t="s">
        <v>59</v>
      </c>
      <c r="O16" s="2" t="s">
        <v>60</v>
      </c>
      <c r="P16" s="16" t="s">
        <v>42</v>
      </c>
      <c r="Q16" s="16"/>
      <c r="R16" s="2" t="s">
        <v>61</v>
      </c>
      <c r="S16" s="2" t="s">
        <v>62</v>
      </c>
      <c r="T16" s="16" t="s">
        <v>63</v>
      </c>
      <c r="U16" s="16"/>
      <c r="V16" s="2" t="s">
        <v>64</v>
      </c>
      <c r="W16" s="16" t="s">
        <v>65</v>
      </c>
      <c r="X16" s="16"/>
      <c r="Y16" s="2" t="s">
        <v>66</v>
      </c>
      <c r="Z16" s="2" t="s">
        <v>67</v>
      </c>
      <c r="AA16" s="2" t="s">
        <v>68</v>
      </c>
      <c r="AB16" s="2" t="s">
        <v>69</v>
      </c>
      <c r="AC16" s="2" t="s">
        <v>70</v>
      </c>
      <c r="AD16" s="2" t="s">
        <v>52</v>
      </c>
      <c r="AE16" s="2" t="s">
        <v>71</v>
      </c>
      <c r="AG16" s="3" t="s">
        <v>72</v>
      </c>
    </row>
    <row r="17" spans="1:33" ht="12.75" customHeight="1" x14ac:dyDescent="0.2">
      <c r="A17" s="16" t="s">
        <v>34</v>
      </c>
      <c r="B17" s="16"/>
      <c r="D17" s="16" t="s">
        <v>73</v>
      </c>
      <c r="E17" s="16"/>
      <c r="F17" s="16"/>
      <c r="G17" s="16"/>
      <c r="H17" s="2" t="s">
        <v>74</v>
      </c>
      <c r="I17" s="2" t="s">
        <v>37</v>
      </c>
      <c r="J17" s="2" t="s">
        <v>38</v>
      </c>
      <c r="K17" s="2" t="s">
        <v>37</v>
      </c>
      <c r="L17" s="16" t="s">
        <v>39</v>
      </c>
      <c r="M17" s="16"/>
      <c r="N17" s="2" t="s">
        <v>40</v>
      </c>
      <c r="O17" s="2" t="s">
        <v>41</v>
      </c>
      <c r="P17" s="16" t="s">
        <v>42</v>
      </c>
      <c r="Q17" s="16"/>
      <c r="R17" s="2" t="s">
        <v>43</v>
      </c>
      <c r="S17" s="2" t="s">
        <v>44</v>
      </c>
      <c r="T17" s="16" t="s">
        <v>45</v>
      </c>
      <c r="U17" s="16"/>
      <c r="V17" s="2" t="s">
        <v>46</v>
      </c>
      <c r="W17" s="16" t="s">
        <v>47</v>
      </c>
      <c r="X17" s="16"/>
      <c r="Y17" s="2" t="s">
        <v>48</v>
      </c>
      <c r="Z17" s="2" t="s">
        <v>49</v>
      </c>
      <c r="AA17" s="2" t="s">
        <v>50</v>
      </c>
      <c r="AB17" s="2" t="s">
        <v>51</v>
      </c>
      <c r="AC17" s="2" t="s">
        <v>75</v>
      </c>
      <c r="AD17" s="2" t="s">
        <v>52</v>
      </c>
      <c r="AE17" s="2" t="s">
        <v>53</v>
      </c>
      <c r="AG17" s="3" t="s">
        <v>54</v>
      </c>
    </row>
    <row r="18" spans="1:33" ht="12.75" customHeight="1" x14ac:dyDescent="0.2">
      <c r="A18" s="16" t="s">
        <v>34</v>
      </c>
      <c r="B18" s="16"/>
      <c r="D18" s="16" t="s">
        <v>76</v>
      </c>
      <c r="E18" s="16"/>
      <c r="F18" s="16"/>
      <c r="G18" s="16"/>
      <c r="H18" s="2" t="s">
        <v>77</v>
      </c>
      <c r="I18" s="2" t="s">
        <v>37</v>
      </c>
      <c r="J18" s="2" t="s">
        <v>38</v>
      </c>
      <c r="K18" s="2" t="s">
        <v>37</v>
      </c>
      <c r="L18" s="16" t="s">
        <v>78</v>
      </c>
      <c r="M18" s="16"/>
      <c r="N18" s="2" t="s">
        <v>40</v>
      </c>
      <c r="O18" s="2" t="s">
        <v>41</v>
      </c>
      <c r="P18" s="16" t="s">
        <v>42</v>
      </c>
      <c r="Q18" s="16"/>
      <c r="R18" s="2" t="s">
        <v>43</v>
      </c>
      <c r="S18" s="2" t="s">
        <v>44</v>
      </c>
      <c r="T18" s="16" t="s">
        <v>45</v>
      </c>
      <c r="U18" s="16"/>
      <c r="V18" s="2" t="s">
        <v>46</v>
      </c>
      <c r="W18" s="16" t="s">
        <v>47</v>
      </c>
      <c r="X18" s="16"/>
      <c r="Y18" s="2" t="s">
        <v>48</v>
      </c>
      <c r="Z18" s="2" t="s">
        <v>49</v>
      </c>
      <c r="AA18" s="2" t="s">
        <v>50</v>
      </c>
      <c r="AB18" s="2" t="s">
        <v>51</v>
      </c>
      <c r="AC18" s="2" t="s">
        <v>51</v>
      </c>
      <c r="AD18" s="2" t="s">
        <v>52</v>
      </c>
      <c r="AE18" s="2" t="s">
        <v>53</v>
      </c>
      <c r="AG18" s="3" t="s">
        <v>54</v>
      </c>
    </row>
    <row r="19" spans="1:33" ht="12.75" customHeight="1" x14ac:dyDescent="0.2">
      <c r="A19" s="16" t="s">
        <v>34</v>
      </c>
      <c r="B19" s="16"/>
      <c r="D19" s="16" t="s">
        <v>79</v>
      </c>
      <c r="E19" s="16"/>
      <c r="F19" s="16"/>
      <c r="G19" s="16"/>
      <c r="H19" s="2" t="s">
        <v>80</v>
      </c>
      <c r="I19" s="2" t="s">
        <v>37</v>
      </c>
      <c r="J19" s="2" t="s">
        <v>38</v>
      </c>
      <c r="K19" s="2" t="s">
        <v>37</v>
      </c>
      <c r="L19" s="16" t="s">
        <v>78</v>
      </c>
      <c r="M19" s="16"/>
      <c r="N19" s="2" t="s">
        <v>40</v>
      </c>
      <c r="O19" s="2" t="s">
        <v>41</v>
      </c>
      <c r="P19" s="16" t="s">
        <v>42</v>
      </c>
      <c r="Q19" s="16"/>
      <c r="R19" s="2" t="s">
        <v>43</v>
      </c>
      <c r="S19" s="2" t="s">
        <v>44</v>
      </c>
      <c r="T19" s="16" t="s">
        <v>45</v>
      </c>
      <c r="U19" s="16"/>
      <c r="V19" s="2" t="s">
        <v>46</v>
      </c>
      <c r="W19" s="16" t="s">
        <v>47</v>
      </c>
      <c r="X19" s="16"/>
      <c r="Y19" s="2" t="s">
        <v>48</v>
      </c>
      <c r="Z19" s="2" t="s">
        <v>49</v>
      </c>
      <c r="AA19" s="2" t="s">
        <v>50</v>
      </c>
      <c r="AB19" s="2" t="s">
        <v>51</v>
      </c>
      <c r="AC19" s="2" t="s">
        <v>51</v>
      </c>
      <c r="AD19" s="2" t="s">
        <v>52</v>
      </c>
      <c r="AE19" s="2" t="s">
        <v>53</v>
      </c>
      <c r="AG19" s="3" t="s">
        <v>54</v>
      </c>
    </row>
    <row r="20" spans="1:33" ht="12.75" customHeight="1" x14ac:dyDescent="0.2">
      <c r="A20" s="16" t="s">
        <v>34</v>
      </c>
      <c r="B20" s="16"/>
      <c r="D20" s="16" t="s">
        <v>81</v>
      </c>
      <c r="E20" s="16"/>
      <c r="F20" s="16"/>
      <c r="G20" s="16"/>
      <c r="H20" s="2" t="s">
        <v>82</v>
      </c>
      <c r="I20" s="2" t="s">
        <v>37</v>
      </c>
      <c r="J20" s="2" t="s">
        <v>38</v>
      </c>
      <c r="K20" s="2" t="s">
        <v>37</v>
      </c>
      <c r="L20" s="16" t="s">
        <v>78</v>
      </c>
      <c r="M20" s="16"/>
      <c r="N20" s="2" t="s">
        <v>40</v>
      </c>
      <c r="O20" s="2" t="s">
        <v>41</v>
      </c>
      <c r="P20" s="16" t="s">
        <v>42</v>
      </c>
      <c r="Q20" s="16"/>
      <c r="R20" s="2" t="s">
        <v>43</v>
      </c>
      <c r="S20" s="2" t="s">
        <v>44</v>
      </c>
      <c r="T20" s="16" t="s">
        <v>45</v>
      </c>
      <c r="U20" s="16"/>
      <c r="V20" s="2" t="s">
        <v>46</v>
      </c>
      <c r="W20" s="16" t="s">
        <v>47</v>
      </c>
      <c r="X20" s="16"/>
      <c r="Y20" s="2" t="s">
        <v>48</v>
      </c>
      <c r="Z20" s="2" t="s">
        <v>49</v>
      </c>
      <c r="AA20" s="2" t="s">
        <v>50</v>
      </c>
      <c r="AB20" s="2" t="s">
        <v>51</v>
      </c>
      <c r="AC20" s="2" t="s">
        <v>51</v>
      </c>
      <c r="AD20" s="2" t="s">
        <v>52</v>
      </c>
      <c r="AE20" s="2" t="s">
        <v>53</v>
      </c>
      <c r="AG20" s="3" t="s">
        <v>54</v>
      </c>
    </row>
    <row r="21" spans="1:33" ht="12.75" customHeight="1" x14ac:dyDescent="0.2">
      <c r="A21" s="16" t="s">
        <v>34</v>
      </c>
      <c r="B21" s="16"/>
      <c r="D21" s="16" t="s">
        <v>83</v>
      </c>
      <c r="E21" s="16"/>
      <c r="F21" s="16"/>
      <c r="G21" s="16"/>
      <c r="H21" s="2" t="s">
        <v>84</v>
      </c>
      <c r="I21" s="2" t="s">
        <v>37</v>
      </c>
      <c r="J21" s="2" t="s">
        <v>38</v>
      </c>
      <c r="K21" s="2" t="s">
        <v>37</v>
      </c>
      <c r="L21" s="16" t="s">
        <v>78</v>
      </c>
      <c r="M21" s="16"/>
      <c r="N21" s="2" t="s">
        <v>40</v>
      </c>
      <c r="O21" s="2" t="s">
        <v>41</v>
      </c>
      <c r="P21" s="16" t="s">
        <v>42</v>
      </c>
      <c r="Q21" s="16"/>
      <c r="R21" s="2" t="s">
        <v>43</v>
      </c>
      <c r="S21" s="2" t="s">
        <v>44</v>
      </c>
      <c r="T21" s="16" t="s">
        <v>45</v>
      </c>
      <c r="U21" s="16"/>
      <c r="V21" s="2" t="s">
        <v>46</v>
      </c>
      <c r="W21" s="16" t="s">
        <v>47</v>
      </c>
      <c r="X21" s="16"/>
      <c r="Y21" s="2" t="s">
        <v>48</v>
      </c>
      <c r="Z21" s="2" t="s">
        <v>49</v>
      </c>
      <c r="AA21" s="2" t="s">
        <v>50</v>
      </c>
      <c r="AB21" s="2" t="s">
        <v>75</v>
      </c>
      <c r="AC21" s="2" t="s">
        <v>75</v>
      </c>
      <c r="AD21" s="2" t="s">
        <v>52</v>
      </c>
      <c r="AE21" s="2" t="s">
        <v>53</v>
      </c>
      <c r="AG21" s="3" t="s">
        <v>54</v>
      </c>
    </row>
    <row r="22" spans="1:33" ht="12.75" customHeight="1" x14ac:dyDescent="0.2">
      <c r="A22" s="16" t="s">
        <v>34</v>
      </c>
      <c r="B22" s="16"/>
      <c r="D22" s="16" t="s">
        <v>83</v>
      </c>
      <c r="E22" s="16"/>
      <c r="F22" s="16"/>
      <c r="G22" s="16"/>
      <c r="H22" s="2" t="s">
        <v>84</v>
      </c>
      <c r="I22" s="2" t="s">
        <v>37</v>
      </c>
      <c r="J22" s="2" t="s">
        <v>38</v>
      </c>
      <c r="K22" s="2" t="s">
        <v>37</v>
      </c>
      <c r="L22" s="16" t="s">
        <v>39</v>
      </c>
      <c r="M22" s="16"/>
      <c r="N22" s="2" t="s">
        <v>40</v>
      </c>
      <c r="O22" s="2" t="s">
        <v>41</v>
      </c>
      <c r="P22" s="16" t="s">
        <v>42</v>
      </c>
      <c r="Q22" s="16"/>
      <c r="R22" s="2" t="s">
        <v>43</v>
      </c>
      <c r="S22" s="2" t="s">
        <v>44</v>
      </c>
      <c r="T22" s="16" t="s">
        <v>45</v>
      </c>
      <c r="U22" s="16"/>
      <c r="V22" s="2" t="s">
        <v>46</v>
      </c>
      <c r="W22" s="16" t="s">
        <v>47</v>
      </c>
      <c r="X22" s="16"/>
      <c r="Y22" s="2" t="s">
        <v>48</v>
      </c>
      <c r="Z22" s="2" t="s">
        <v>49</v>
      </c>
      <c r="AA22" s="2" t="s">
        <v>50</v>
      </c>
      <c r="AB22" s="2" t="s">
        <v>75</v>
      </c>
      <c r="AC22" s="2" t="s">
        <v>75</v>
      </c>
      <c r="AD22" s="2" t="s">
        <v>52</v>
      </c>
      <c r="AE22" s="2" t="s">
        <v>53</v>
      </c>
      <c r="AG22" s="3" t="s">
        <v>54</v>
      </c>
    </row>
    <row r="23" spans="1:33" ht="12.75" customHeight="1" x14ac:dyDescent="0.2">
      <c r="A23" s="16" t="s">
        <v>34</v>
      </c>
      <c r="B23" s="16"/>
      <c r="D23" s="16" t="s">
        <v>85</v>
      </c>
      <c r="E23" s="16"/>
      <c r="F23" s="16"/>
      <c r="G23" s="16"/>
      <c r="H23" s="2" t="s">
        <v>86</v>
      </c>
      <c r="I23" s="2" t="s">
        <v>37</v>
      </c>
      <c r="J23" s="2" t="s">
        <v>38</v>
      </c>
      <c r="K23" s="2" t="s">
        <v>37</v>
      </c>
      <c r="L23" s="16" t="s">
        <v>78</v>
      </c>
      <c r="M23" s="16"/>
      <c r="N23" s="2" t="s">
        <v>40</v>
      </c>
      <c r="O23" s="2" t="s">
        <v>41</v>
      </c>
      <c r="P23" s="16" t="s">
        <v>42</v>
      </c>
      <c r="Q23" s="16"/>
      <c r="R23" s="2" t="s">
        <v>43</v>
      </c>
      <c r="S23" s="2" t="s">
        <v>44</v>
      </c>
      <c r="T23" s="16" t="s">
        <v>45</v>
      </c>
      <c r="U23" s="16"/>
      <c r="V23" s="2" t="s">
        <v>46</v>
      </c>
      <c r="W23" s="16" t="s">
        <v>47</v>
      </c>
      <c r="X23" s="16"/>
      <c r="Y23" s="2" t="s">
        <v>48</v>
      </c>
      <c r="Z23" s="2" t="s">
        <v>49</v>
      </c>
      <c r="AA23" s="2" t="s">
        <v>50</v>
      </c>
      <c r="AB23" s="2" t="s">
        <v>51</v>
      </c>
      <c r="AC23" s="2" t="s">
        <v>51</v>
      </c>
      <c r="AD23" s="2" t="s">
        <v>52</v>
      </c>
      <c r="AE23" s="2" t="s">
        <v>53</v>
      </c>
      <c r="AG23" s="3" t="s">
        <v>54</v>
      </c>
    </row>
    <row r="24" spans="1:33" ht="12.75" customHeight="1" x14ac:dyDescent="0.2">
      <c r="A24" s="16" t="s">
        <v>34</v>
      </c>
      <c r="B24" s="16"/>
      <c r="D24" s="16" t="s">
        <v>87</v>
      </c>
      <c r="E24" s="16"/>
      <c r="F24" s="16"/>
      <c r="G24" s="16"/>
      <c r="H24" s="2" t="s">
        <v>88</v>
      </c>
      <c r="I24" s="2" t="s">
        <v>37</v>
      </c>
      <c r="J24" s="2" t="s">
        <v>38</v>
      </c>
      <c r="K24" s="2" t="s">
        <v>37</v>
      </c>
      <c r="L24" s="16" t="s">
        <v>78</v>
      </c>
      <c r="M24" s="16"/>
      <c r="N24" s="2" t="s">
        <v>40</v>
      </c>
      <c r="O24" s="2" t="s">
        <v>41</v>
      </c>
      <c r="P24" s="16" t="s">
        <v>42</v>
      </c>
      <c r="Q24" s="16"/>
      <c r="R24" s="2" t="s">
        <v>43</v>
      </c>
      <c r="S24" s="2" t="s">
        <v>44</v>
      </c>
      <c r="T24" s="16" t="s">
        <v>45</v>
      </c>
      <c r="U24" s="16"/>
      <c r="V24" s="2" t="s">
        <v>46</v>
      </c>
      <c r="W24" s="16" t="s">
        <v>47</v>
      </c>
      <c r="X24" s="16"/>
      <c r="Y24" s="2" t="s">
        <v>48</v>
      </c>
      <c r="Z24" s="2" t="s">
        <v>49</v>
      </c>
      <c r="AA24" s="2" t="s">
        <v>50</v>
      </c>
      <c r="AB24" s="2" t="s">
        <v>51</v>
      </c>
      <c r="AC24" s="2" t="s">
        <v>51</v>
      </c>
      <c r="AD24" s="2" t="s">
        <v>52</v>
      </c>
      <c r="AE24" s="2" t="s">
        <v>53</v>
      </c>
      <c r="AG24" s="3" t="s">
        <v>54</v>
      </c>
    </row>
    <row r="25" spans="1:33" ht="12.75" customHeight="1" x14ac:dyDescent="0.2">
      <c r="A25" s="16" t="s">
        <v>34</v>
      </c>
      <c r="B25" s="16"/>
      <c r="D25" s="16" t="s">
        <v>89</v>
      </c>
      <c r="E25" s="16"/>
      <c r="F25" s="16"/>
      <c r="G25" s="16"/>
      <c r="H25" s="2" t="s">
        <v>90</v>
      </c>
      <c r="I25" s="2" t="s">
        <v>37</v>
      </c>
      <c r="J25" s="2" t="s">
        <v>38</v>
      </c>
      <c r="K25" s="2" t="s">
        <v>37</v>
      </c>
      <c r="L25" s="16" t="s">
        <v>78</v>
      </c>
      <c r="M25" s="16"/>
      <c r="N25" s="2" t="s">
        <v>40</v>
      </c>
      <c r="O25" s="2" t="s">
        <v>41</v>
      </c>
      <c r="P25" s="16" t="s">
        <v>42</v>
      </c>
      <c r="Q25" s="16"/>
      <c r="R25" s="2" t="s">
        <v>43</v>
      </c>
      <c r="S25" s="2" t="s">
        <v>44</v>
      </c>
      <c r="T25" s="16" t="s">
        <v>45</v>
      </c>
      <c r="U25" s="16"/>
      <c r="V25" s="2" t="s">
        <v>46</v>
      </c>
      <c r="W25" s="16" t="s">
        <v>47</v>
      </c>
      <c r="X25" s="16"/>
      <c r="Y25" s="2" t="s">
        <v>48</v>
      </c>
      <c r="Z25" s="2" t="s">
        <v>49</v>
      </c>
      <c r="AA25" s="2" t="s">
        <v>50</v>
      </c>
      <c r="AB25" s="2" t="s">
        <v>51</v>
      </c>
      <c r="AC25" s="2" t="s">
        <v>51</v>
      </c>
      <c r="AD25" s="2" t="s">
        <v>52</v>
      </c>
      <c r="AE25" s="2" t="s">
        <v>53</v>
      </c>
      <c r="AG25" s="3" t="s">
        <v>54</v>
      </c>
    </row>
    <row r="26" spans="1:33" ht="12.75" customHeight="1" x14ac:dyDescent="0.2">
      <c r="A26" s="16" t="s">
        <v>34</v>
      </c>
      <c r="B26" s="16"/>
      <c r="D26" s="16" t="s">
        <v>91</v>
      </c>
      <c r="E26" s="16"/>
      <c r="F26" s="16"/>
      <c r="G26" s="16"/>
      <c r="H26" s="2" t="s">
        <v>92</v>
      </c>
      <c r="I26" s="2" t="s">
        <v>37</v>
      </c>
      <c r="J26" s="2" t="s">
        <v>38</v>
      </c>
      <c r="K26" s="2" t="s">
        <v>37</v>
      </c>
      <c r="L26" s="16" t="s">
        <v>78</v>
      </c>
      <c r="M26" s="16"/>
      <c r="N26" s="2" t="s">
        <v>40</v>
      </c>
      <c r="O26" s="2" t="s">
        <v>41</v>
      </c>
      <c r="P26" s="16" t="s">
        <v>42</v>
      </c>
      <c r="Q26" s="16"/>
      <c r="R26" s="2" t="s">
        <v>43</v>
      </c>
      <c r="S26" s="2" t="s">
        <v>44</v>
      </c>
      <c r="T26" s="16" t="s">
        <v>45</v>
      </c>
      <c r="U26" s="16"/>
      <c r="V26" s="2" t="s">
        <v>46</v>
      </c>
      <c r="W26" s="16" t="s">
        <v>47</v>
      </c>
      <c r="X26" s="16"/>
      <c r="Y26" s="2" t="s">
        <v>48</v>
      </c>
      <c r="Z26" s="2" t="s">
        <v>49</v>
      </c>
      <c r="AA26" s="2" t="s">
        <v>50</v>
      </c>
      <c r="AB26" s="2" t="s">
        <v>51</v>
      </c>
      <c r="AC26" s="2" t="s">
        <v>51</v>
      </c>
      <c r="AD26" s="2" t="s">
        <v>52</v>
      </c>
      <c r="AE26" s="2" t="s">
        <v>53</v>
      </c>
      <c r="AG26" s="3" t="s">
        <v>54</v>
      </c>
    </row>
    <row r="27" spans="1:33" ht="11.25" customHeight="1" x14ac:dyDescent="0.2"/>
    <row r="28" spans="1:33" ht="409.6" customHeight="1" x14ac:dyDescent="0.2"/>
    <row r="29" spans="1:33" ht="12" customHeight="1" x14ac:dyDescent="0.2"/>
  </sheetData>
  <mergeCells count="103">
    <mergeCell ref="A26:B26"/>
    <mergeCell ref="D26:G26"/>
    <mergeCell ref="L26:M26"/>
    <mergeCell ref="P26:Q26"/>
    <mergeCell ref="T26:U26"/>
    <mergeCell ref="W26:X26"/>
    <mergeCell ref="A24:B24"/>
    <mergeCell ref="D24:G24"/>
    <mergeCell ref="L24:M24"/>
    <mergeCell ref="P24:Q24"/>
    <mergeCell ref="T24:U24"/>
    <mergeCell ref="W24:X24"/>
    <mergeCell ref="A25:B25"/>
    <mergeCell ref="D25:G25"/>
    <mergeCell ref="L25:M25"/>
    <mergeCell ref="P25:Q25"/>
    <mergeCell ref="T25:U25"/>
    <mergeCell ref="W25:X25"/>
    <mergeCell ref="A22:B22"/>
    <mergeCell ref="D22:G22"/>
    <mergeCell ref="L22:M22"/>
    <mergeCell ref="P22:Q22"/>
    <mergeCell ref="T22:U22"/>
    <mergeCell ref="W22:X22"/>
    <mergeCell ref="A23:B23"/>
    <mergeCell ref="D23:G23"/>
    <mergeCell ref="L23:M23"/>
    <mergeCell ref="P23:Q23"/>
    <mergeCell ref="T23:U23"/>
    <mergeCell ref="W23:X23"/>
    <mergeCell ref="A20:B20"/>
    <mergeCell ref="D20:G20"/>
    <mergeCell ref="L20:M20"/>
    <mergeCell ref="P20:Q20"/>
    <mergeCell ref="T20:U20"/>
    <mergeCell ref="W20:X20"/>
    <mergeCell ref="A21:B21"/>
    <mergeCell ref="D21:G21"/>
    <mergeCell ref="L21:M21"/>
    <mergeCell ref="P21:Q21"/>
    <mergeCell ref="T21:U21"/>
    <mergeCell ref="W21:X21"/>
    <mergeCell ref="A18:B18"/>
    <mergeCell ref="D18:G18"/>
    <mergeCell ref="L18:M18"/>
    <mergeCell ref="P18:Q18"/>
    <mergeCell ref="T18:U18"/>
    <mergeCell ref="W18:X18"/>
    <mergeCell ref="A19:B19"/>
    <mergeCell ref="D19:G19"/>
    <mergeCell ref="L19:M19"/>
    <mergeCell ref="P19:Q19"/>
    <mergeCell ref="T19:U19"/>
    <mergeCell ref="W19:X19"/>
    <mergeCell ref="A16:B16"/>
    <mergeCell ref="D16:G16"/>
    <mergeCell ref="L16:M16"/>
    <mergeCell ref="P16:Q16"/>
    <mergeCell ref="T16:U16"/>
    <mergeCell ref="W16:X16"/>
    <mergeCell ref="A17:B17"/>
    <mergeCell ref="D17:G17"/>
    <mergeCell ref="L17:M17"/>
    <mergeCell ref="P17:Q17"/>
    <mergeCell ref="T17:U17"/>
    <mergeCell ref="W17:X17"/>
    <mergeCell ref="AA13:AA14"/>
    <mergeCell ref="AB13:AB14"/>
    <mergeCell ref="AC13:AC14"/>
    <mergeCell ref="AD13:AD14"/>
    <mergeCell ref="AE13:AE14"/>
    <mergeCell ref="AF13:AF14"/>
    <mergeCell ref="AG13:AG14"/>
    <mergeCell ref="A15:B15"/>
    <mergeCell ref="D15:G15"/>
    <mergeCell ref="L15:M15"/>
    <mergeCell ref="P15:Q15"/>
    <mergeCell ref="T15:U15"/>
    <mergeCell ref="W15:X15"/>
    <mergeCell ref="C2:F2"/>
    <mergeCell ref="Q2:S3"/>
    <mergeCell ref="C4:E4"/>
    <mergeCell ref="P4:T5"/>
    <mergeCell ref="C7:D7"/>
    <mergeCell ref="A10:AG11"/>
    <mergeCell ref="A13:B14"/>
    <mergeCell ref="C13:C14"/>
    <mergeCell ref="D13:G14"/>
    <mergeCell ref="H13:H14"/>
    <mergeCell ref="I13:I14"/>
    <mergeCell ref="J13:J14"/>
    <mergeCell ref="K13:K14"/>
    <mergeCell ref="L13:M14"/>
    <mergeCell ref="N13:N14"/>
    <mergeCell ref="O13:O14"/>
    <mergeCell ref="P13:Q14"/>
    <mergeCell ref="R13:R14"/>
    <mergeCell ref="S13:S14"/>
    <mergeCell ref="T13:U14"/>
    <mergeCell ref="V13:V14"/>
    <mergeCell ref="W13:X14"/>
    <mergeCell ref="Y13:Y14"/>
    <mergeCell ref="Z13:Z14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BC849-D026-4BA1-B80E-B11B42F5148A}">
  <dimension ref="A1:I14"/>
  <sheetViews>
    <sheetView tabSelected="1" workbookViewId="0">
      <selection activeCell="F17" sqref="F17"/>
    </sheetView>
  </sheetViews>
  <sheetFormatPr defaultColWidth="6.85546875" defaultRowHeight="12.75" x14ac:dyDescent="0.2"/>
  <cols>
    <col min="1" max="1" width="45.42578125" style="5" bestFit="1" customWidth="1"/>
    <col min="2" max="2" width="27.140625" style="5" customWidth="1"/>
    <col min="3" max="3" width="12.7109375" style="5" customWidth="1"/>
    <col min="4" max="4" width="13.28515625" style="5" customWidth="1"/>
    <col min="5" max="5" width="34.42578125" style="5" bestFit="1" customWidth="1"/>
    <col min="6" max="6" width="13" style="5" customWidth="1"/>
    <col min="7" max="7" width="19.28515625" style="5" customWidth="1"/>
    <col min="8" max="8" width="9" style="5" bestFit="1" customWidth="1"/>
    <col min="9" max="9" width="76.7109375" style="5" bestFit="1" customWidth="1"/>
    <col min="10" max="16384" width="6.85546875" style="5"/>
  </cols>
  <sheetData>
    <row r="1" spans="1:9" ht="12.75" customHeight="1" x14ac:dyDescent="0.2">
      <c r="A1" s="4" t="s">
        <v>11</v>
      </c>
      <c r="B1" s="4"/>
      <c r="C1" s="4"/>
      <c r="D1" s="4" t="s">
        <v>12</v>
      </c>
      <c r="E1" s="4" t="s">
        <v>16</v>
      </c>
      <c r="F1" s="4" t="s">
        <v>25</v>
      </c>
      <c r="G1" s="4" t="s">
        <v>26</v>
      </c>
    </row>
    <row r="2" spans="1:9" ht="14.25" customHeight="1" x14ac:dyDescent="0.2">
      <c r="A2" s="4"/>
      <c r="B2" s="4"/>
      <c r="C2" s="4"/>
      <c r="D2" s="4"/>
      <c r="E2" s="4"/>
      <c r="F2" s="4"/>
      <c r="G2" s="4"/>
    </row>
    <row r="3" spans="1:9" ht="12.75" customHeight="1" x14ac:dyDescent="0.2">
      <c r="A3" s="3">
        <v>21646325</v>
      </c>
      <c r="B3" s="3" t="s">
        <v>98</v>
      </c>
      <c r="C3" s="3"/>
      <c r="D3" s="3" t="s">
        <v>84</v>
      </c>
      <c r="E3" s="3" t="s">
        <v>78</v>
      </c>
      <c r="F3" s="3">
        <v>12</v>
      </c>
      <c r="G3" s="3">
        <v>-12</v>
      </c>
      <c r="H3" s="8" t="s">
        <v>103</v>
      </c>
      <c r="I3" s="5" t="str">
        <f>CONCATENATE(H3," ",E3)</f>
        <v>BCBS TN HCSC Appointment Fees October 2025</v>
      </c>
    </row>
    <row r="4" spans="1:9" ht="12.75" customHeight="1" x14ac:dyDescent="0.2">
      <c r="A4" s="3">
        <v>21646325</v>
      </c>
      <c r="B4" s="3" t="s">
        <v>98</v>
      </c>
      <c r="C4" s="3"/>
      <c r="D4" s="3" t="s">
        <v>84</v>
      </c>
      <c r="E4" s="3" t="s">
        <v>39</v>
      </c>
      <c r="F4" s="3">
        <v>12</v>
      </c>
      <c r="G4" s="3">
        <v>-12</v>
      </c>
      <c r="H4" s="8" t="s">
        <v>103</v>
      </c>
      <c r="I4" s="5" t="str">
        <f t="shared" ref="I4:I12" si="0">CONCATENATE(H4," ",E4)</f>
        <v>BCBS TN HISC Appointment Fees October 2025</v>
      </c>
    </row>
    <row r="5" spans="1:9" ht="12.75" customHeight="1" x14ac:dyDescent="0.2">
      <c r="A5" s="3">
        <v>21085517</v>
      </c>
      <c r="B5" s="3" t="s">
        <v>97</v>
      </c>
      <c r="C5" s="3"/>
      <c r="D5" s="3" t="s">
        <v>82</v>
      </c>
      <c r="E5" s="3" t="s">
        <v>78</v>
      </c>
      <c r="F5" s="3">
        <v>12</v>
      </c>
      <c r="G5" s="3">
        <v>-12</v>
      </c>
      <c r="H5" s="8" t="s">
        <v>103</v>
      </c>
      <c r="I5" s="5" t="str">
        <f t="shared" si="0"/>
        <v>BCBS TN HCSC Appointment Fees October 2025</v>
      </c>
    </row>
    <row r="6" spans="1:9" ht="12.75" customHeight="1" x14ac:dyDescent="0.2">
      <c r="A6" s="3">
        <v>3333476</v>
      </c>
      <c r="B6" s="3" t="s">
        <v>96</v>
      </c>
      <c r="C6" s="3"/>
      <c r="D6" s="3" t="s">
        <v>80</v>
      </c>
      <c r="E6" s="3" t="s">
        <v>78</v>
      </c>
      <c r="F6" s="3">
        <v>12</v>
      </c>
      <c r="G6" s="3">
        <v>-12</v>
      </c>
      <c r="H6" s="8" t="s">
        <v>103</v>
      </c>
      <c r="I6" s="5" t="str">
        <f t="shared" si="0"/>
        <v>BCBS TN HCSC Appointment Fees October 2025</v>
      </c>
    </row>
    <row r="7" spans="1:9" s="7" customFormat="1" ht="12.75" customHeight="1" x14ac:dyDescent="0.2">
      <c r="A7" s="6">
        <v>371819</v>
      </c>
      <c r="B7" s="6" t="s">
        <v>102</v>
      </c>
      <c r="C7" s="6"/>
      <c r="D7" s="6" t="s">
        <v>92</v>
      </c>
      <c r="E7" s="6" t="s">
        <v>78</v>
      </c>
      <c r="F7" s="6">
        <v>12</v>
      </c>
      <c r="G7" s="6">
        <v>-12</v>
      </c>
      <c r="H7" s="8" t="s">
        <v>103</v>
      </c>
      <c r="I7" s="5" t="str">
        <f>CONCATENATE(H7," ",E7, " ", "For",B7)</f>
        <v>BCBS TN HCSC Appointment Fees October 2025 ForGIOVANNI ANTHONY FLAMMINIO</v>
      </c>
    </row>
    <row r="8" spans="1:9" ht="12.75" customHeight="1" x14ac:dyDescent="0.2">
      <c r="A8" s="3">
        <v>8046194</v>
      </c>
      <c r="B8" s="3" t="s">
        <v>95</v>
      </c>
      <c r="C8" s="3"/>
      <c r="D8" s="3" t="s">
        <v>77</v>
      </c>
      <c r="E8" s="3" t="s">
        <v>78</v>
      </c>
      <c r="F8" s="3">
        <v>12</v>
      </c>
      <c r="G8" s="3">
        <v>-12</v>
      </c>
      <c r="H8" s="8" t="s">
        <v>103</v>
      </c>
      <c r="I8" s="5" t="str">
        <f t="shared" si="0"/>
        <v>BCBS TN HCSC Appointment Fees October 2025</v>
      </c>
    </row>
    <row r="9" spans="1:9" ht="12.75" customHeight="1" x14ac:dyDescent="0.2">
      <c r="A9" s="3">
        <v>19279958</v>
      </c>
      <c r="B9" s="3" t="s">
        <v>94</v>
      </c>
      <c r="C9" s="3"/>
      <c r="D9" s="3" t="s">
        <v>74</v>
      </c>
      <c r="E9" s="3" t="s">
        <v>39</v>
      </c>
      <c r="F9" s="3">
        <v>12</v>
      </c>
      <c r="G9" s="3">
        <v>-12</v>
      </c>
      <c r="H9" s="8" t="s">
        <v>103</v>
      </c>
      <c r="I9" s="5" t="str">
        <f t="shared" si="0"/>
        <v>BCBS TN HISC Appointment Fees October 2025</v>
      </c>
    </row>
    <row r="10" spans="1:9" ht="12.75" customHeight="1" x14ac:dyDescent="0.2">
      <c r="A10" s="3"/>
      <c r="B10" s="3" t="s">
        <v>101</v>
      </c>
      <c r="C10" s="3"/>
      <c r="D10" s="3" t="s">
        <v>90</v>
      </c>
      <c r="E10" s="3" t="s">
        <v>78</v>
      </c>
      <c r="F10" s="3">
        <v>12</v>
      </c>
      <c r="G10" s="3">
        <v>-12</v>
      </c>
      <c r="H10" s="8" t="s">
        <v>103</v>
      </c>
      <c r="I10" s="5" t="str">
        <f t="shared" si="0"/>
        <v>BCBS TN HCSC Appointment Fees October 2025</v>
      </c>
    </row>
    <row r="11" spans="1:9" ht="12.75" customHeight="1" x14ac:dyDescent="0.2">
      <c r="A11" s="3">
        <v>21638421</v>
      </c>
      <c r="B11" s="3" t="s">
        <v>100</v>
      </c>
      <c r="C11" s="3"/>
      <c r="D11" s="3" t="s">
        <v>88</v>
      </c>
      <c r="E11" s="3" t="s">
        <v>78</v>
      </c>
      <c r="F11" s="3">
        <v>12</v>
      </c>
      <c r="G11" s="3">
        <v>-12</v>
      </c>
      <c r="H11" s="8" t="s">
        <v>103</v>
      </c>
      <c r="I11" s="5" t="str">
        <f t="shared" si="0"/>
        <v>BCBS TN HCSC Appointment Fees October 2025</v>
      </c>
    </row>
    <row r="12" spans="1:9" ht="12.75" customHeight="1" x14ac:dyDescent="0.2">
      <c r="A12" s="3">
        <v>730475</v>
      </c>
      <c r="B12" s="3" t="s">
        <v>99</v>
      </c>
      <c r="C12" s="3"/>
      <c r="D12" s="3" t="s">
        <v>86</v>
      </c>
      <c r="E12" s="3" t="s">
        <v>78</v>
      </c>
      <c r="F12" s="3">
        <v>12</v>
      </c>
      <c r="G12" s="3">
        <v>-12</v>
      </c>
      <c r="H12" s="8" t="s">
        <v>103</v>
      </c>
      <c r="I12" s="5" t="str">
        <f t="shared" si="0"/>
        <v>BCBS TN HCSC Appointment Fees October 2025</v>
      </c>
    </row>
    <row r="13" spans="1:9" s="7" customFormat="1" ht="12.75" customHeight="1" x14ac:dyDescent="0.2">
      <c r="A13" s="6">
        <v>17232846</v>
      </c>
      <c r="B13" s="6" t="s">
        <v>93</v>
      </c>
      <c r="C13" s="6"/>
      <c r="D13" s="6" t="s">
        <v>36</v>
      </c>
      <c r="E13" s="6" t="s">
        <v>39</v>
      </c>
      <c r="F13" s="6">
        <v>12</v>
      </c>
      <c r="G13" s="6">
        <v>-12</v>
      </c>
      <c r="H13" s="8" t="s">
        <v>103</v>
      </c>
      <c r="I13" s="5" t="str">
        <f>CONCATENATE(H13," ",E13, " ", "For",B13)</f>
        <v>BCBS TN HISC Appointment Fees October 2025 ForMICHELA ROZMAN</v>
      </c>
    </row>
    <row r="14" spans="1:9" ht="12" customHeight="1" x14ac:dyDescent="0.2">
      <c r="G14" s="2">
        <v>-54.03</v>
      </c>
    </row>
  </sheetData>
  <sortState xmlns:xlrd2="http://schemas.microsoft.com/office/spreadsheetml/2017/richdata2" ref="A3:AJ13">
    <sortCondition ref="B3:B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Group_Extract Producer Commission</dc:title>
  <dc:creator>Crystal Decisions</dc:creator>
  <dc:description>Powered by Crystal</dc:description>
  <cp:lastModifiedBy>Loula Irene Cabel</cp:lastModifiedBy>
  <dcterms:created xsi:type="dcterms:W3CDTF">2025-12-19T14:49:29Z</dcterms:created>
  <dcterms:modified xsi:type="dcterms:W3CDTF">2025-12-23T20:14:21Z</dcterms:modified>
</cp:coreProperties>
</file>