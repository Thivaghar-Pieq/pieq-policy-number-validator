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orebridge\6-20-25\"/>
    </mc:Choice>
  </mc:AlternateContent>
  <xr:revisionPtr revIDLastSave="0" documentId="13_ncr:1_{27B6E8E1-5E92-4CA2-84A4-8B296FC53924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Table 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15" i="2" l="1"/>
  <c r="H14" i="2"/>
  <c r="H13" i="2"/>
  <c r="H12" i="2"/>
  <c r="H11" i="2"/>
  <c r="H10" i="2"/>
  <c r="H9" i="2"/>
  <c r="H8" i="2"/>
  <c r="H7" i="2"/>
  <c r="H3" i="2"/>
  <c r="H4" i="2"/>
  <c r="H5" i="2"/>
  <c r="H6" i="2"/>
  <c r="H2" i="2"/>
  <c r="T15" i="2"/>
  <c r="T14" i="2"/>
  <c r="T13" i="2"/>
  <c r="T12" i="2"/>
  <c r="T11" i="2"/>
  <c r="T10" i="2"/>
  <c r="T9" i="2"/>
  <c r="T8" i="2"/>
  <c r="T7" i="2"/>
  <c r="T3" i="2"/>
  <c r="T4" i="2"/>
  <c r="T5" i="2"/>
  <c r="T6" i="2"/>
  <c r="K2" i="2"/>
  <c r="T2" i="2" s="1"/>
</calcChain>
</file>

<file path=xl/sharedStrings.xml><?xml version="1.0" encoding="utf-8"?>
<sst xmlns="http://schemas.openxmlformats.org/spreadsheetml/2006/main" count="310" uniqueCount="166">
  <si>
    <r>
      <rPr>
        <b/>
        <sz val="7"/>
        <rFont val="Courier New"/>
        <family val="3"/>
      </rPr>
      <t>AGENT/AGENCY/BROKER DEALER DETAILS</t>
    </r>
  </si>
  <si>
    <r>
      <rPr>
        <b/>
        <sz val="7"/>
        <rFont val="Courier New"/>
        <family val="3"/>
      </rPr>
      <t>PAY PERIOD FROM 06-14-2025 TO 06-20-2025</t>
    </r>
  </si>
  <si>
    <r>
      <rPr>
        <b/>
        <sz val="7"/>
        <rFont val="Courier New"/>
        <family val="3"/>
      </rPr>
      <t>PAGE:  1</t>
    </r>
  </si>
  <si>
    <r>
      <rPr>
        <b/>
        <sz val="7"/>
        <rFont val="Courier New"/>
        <family val="3"/>
      </rPr>
      <t>NAME: MAIN LINE BENEFITS LLC,</t>
    </r>
  </si>
  <si>
    <r>
      <rPr>
        <b/>
        <sz val="7"/>
        <rFont val="Courier New"/>
        <family val="3"/>
      </rPr>
      <t>ID: AGL-149B0</t>
    </r>
  </si>
  <si>
    <r>
      <rPr>
        <b/>
        <sz val="7"/>
        <rFont val="Courier New"/>
        <family val="3"/>
      </rPr>
      <t>SSN/TAX ID: *****8192</t>
    </r>
  </si>
  <si>
    <r>
      <rPr>
        <b/>
        <sz val="7"/>
        <rFont val="Courier New"/>
        <family val="3"/>
      </rPr>
      <t>PAYMENT SUMMARY</t>
    </r>
  </si>
  <si>
    <r>
      <rPr>
        <b/>
        <sz val="7"/>
        <rFont val="Courier New"/>
        <family val="3"/>
      </rPr>
      <t>COMMISSIONS CURRENT PERIOD</t>
    </r>
  </si>
  <si>
    <r>
      <rPr>
        <b/>
        <sz val="7"/>
        <rFont val="Courier New"/>
        <family val="3"/>
      </rPr>
      <t>ENDING ACCOUNT BALANCE</t>
    </r>
  </si>
  <si>
    <r>
      <rPr>
        <b/>
        <sz val="7"/>
        <rFont val="Courier New"/>
        <family val="3"/>
      </rPr>
      <t>EARNINGS BY COMMISSION COMPONENTS</t>
    </r>
  </si>
  <si>
    <r>
      <rPr>
        <b/>
        <sz val="7"/>
        <rFont val="Courier New"/>
        <family val="3"/>
      </rPr>
      <t>COMMISSION</t>
    </r>
  </si>
  <si>
    <r>
      <rPr>
        <b/>
        <sz val="7"/>
        <rFont val="Courier New"/>
        <family val="3"/>
      </rPr>
      <t>FIRST YEAR</t>
    </r>
  </si>
  <si>
    <r>
      <rPr>
        <b/>
        <sz val="7"/>
        <rFont val="Courier New"/>
        <family val="3"/>
      </rPr>
      <t>RENEWAL</t>
    </r>
  </si>
  <si>
    <r>
      <rPr>
        <b/>
        <sz val="7"/>
        <rFont val="Courier New"/>
        <family val="3"/>
      </rPr>
      <t>OTHERS</t>
    </r>
  </si>
  <si>
    <r>
      <rPr>
        <b/>
        <sz val="7"/>
        <rFont val="Courier New"/>
        <family val="3"/>
      </rPr>
      <t>TOTAL</t>
    </r>
  </si>
  <si>
    <r>
      <rPr>
        <b/>
        <sz val="7"/>
        <rFont val="Courier New"/>
        <family val="3"/>
      </rPr>
      <t>YTD TOTAL YTD TOTAL NON</t>
    </r>
  </si>
  <si>
    <r>
      <rPr>
        <b/>
        <sz val="7"/>
        <rFont val="Courier New"/>
        <family val="3"/>
      </rPr>
      <t>COMPONENT</t>
    </r>
  </si>
  <si>
    <r>
      <rPr>
        <b/>
        <sz val="7"/>
        <rFont val="Courier New"/>
        <family val="3"/>
      </rPr>
      <t>CURR PRD</t>
    </r>
  </si>
  <si>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</si>
  <si>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REPORTABLE    REPORTABLE</t>
    </r>
  </si>
  <si>
    <r>
      <rPr>
        <b/>
        <sz val="7"/>
        <rFont val="Courier New"/>
        <family val="3"/>
      </rPr>
      <t>PREMIUM COMM</t>
    </r>
  </si>
  <si>
    <r>
      <rPr>
        <b/>
        <sz val="7"/>
        <rFont val="Courier New"/>
        <family val="3"/>
      </rPr>
      <t>OVERRIDE</t>
    </r>
  </si>
  <si>
    <r>
      <rPr>
        <b/>
        <sz val="7"/>
        <rFont val="Courier New"/>
        <family val="3"/>
      </rPr>
      <t>MISC</t>
    </r>
  </si>
  <si>
    <r>
      <rPr>
        <b/>
        <sz val="7"/>
        <rFont val="Courier New"/>
        <family val="3"/>
      </rPr>
      <t>TOTAL:</t>
    </r>
  </si>
  <si>
    <r>
      <rPr>
        <b/>
        <sz val="7"/>
        <rFont val="Courier New"/>
        <family val="3"/>
      </rPr>
      <t xml:space="preserve">NAME: MAIN LINE BENEFITS LLC,
</t>
    </r>
    <r>
      <rPr>
        <b/>
        <sz val="7"/>
        <rFont val="Courier New"/>
        <family val="3"/>
      </rPr>
      <t>SSN/TAX ID: *****8192</t>
    </r>
  </si>
  <si>
    <r>
      <rPr>
        <b/>
        <sz val="7"/>
        <rFont val="Courier New"/>
        <family val="3"/>
      </rPr>
      <t>TRANSACTION DETAIL</t>
    </r>
  </si>
  <si>
    <r>
      <rPr>
        <b/>
        <sz val="7"/>
        <rFont val="Courier New"/>
        <family val="3"/>
      </rPr>
      <t>ANNUALIZATION</t>
    </r>
  </si>
  <si>
    <r>
      <rPr>
        <b/>
        <sz val="7"/>
        <rFont val="Courier New"/>
        <family val="3"/>
      </rPr>
      <t>CO NAME</t>
    </r>
  </si>
  <si>
    <r>
      <rPr>
        <b/>
        <sz val="7"/>
        <rFont val="Courier New"/>
        <family val="3"/>
      </rPr>
      <t>POLICY NUMBER</t>
    </r>
  </si>
  <si>
    <r>
      <rPr>
        <b/>
        <sz val="7"/>
        <rFont val="Courier New"/>
        <family val="3"/>
      </rPr>
      <t>INSURED NAME</t>
    </r>
  </si>
  <si>
    <r>
      <rPr>
        <b/>
        <sz val="7"/>
        <rFont val="Courier New"/>
        <family val="3"/>
      </rPr>
      <t>EFF DATE</t>
    </r>
  </si>
  <si>
    <r>
      <rPr>
        <b/>
        <sz val="7"/>
        <rFont val="Courier New"/>
        <family val="3"/>
      </rPr>
      <t>AGENT #</t>
    </r>
  </si>
  <si>
    <r>
      <rPr>
        <b/>
        <sz val="7"/>
        <rFont val="Courier New"/>
        <family val="3"/>
      </rPr>
      <t>BGA #</t>
    </r>
  </si>
  <si>
    <r>
      <rPr>
        <b/>
        <sz val="7"/>
        <rFont val="Courier New"/>
        <family val="3"/>
      </rPr>
      <t>COMM TYPE</t>
    </r>
  </si>
  <si>
    <r>
      <rPr>
        <b/>
        <sz val="7"/>
        <rFont val="Courier New"/>
        <family val="3"/>
      </rPr>
      <t>ANNUAL PREM</t>
    </r>
  </si>
  <si>
    <r>
      <rPr>
        <b/>
        <sz val="7"/>
        <rFont val="Courier New"/>
        <family val="3"/>
      </rPr>
      <t xml:space="preserve">PREMIUM
</t>
    </r>
    <r>
      <rPr>
        <b/>
        <sz val="7"/>
        <rFont val="Courier New"/>
        <family val="3"/>
      </rPr>
      <t>PAID</t>
    </r>
  </si>
  <si>
    <r>
      <rPr>
        <b/>
        <sz val="7"/>
        <rFont val="Courier New"/>
        <family val="3"/>
      </rPr>
      <t>SPLIT</t>
    </r>
  </si>
  <si>
    <r>
      <rPr>
        <b/>
        <sz val="7"/>
        <rFont val="Courier New"/>
        <family val="3"/>
      </rPr>
      <t>SPLIT PREM</t>
    </r>
  </si>
  <si>
    <r>
      <rPr>
        <b/>
        <sz val="7"/>
        <rFont val="Courier New"/>
        <family val="3"/>
      </rPr>
      <t>ANNZ RATE</t>
    </r>
  </si>
  <si>
    <r>
      <rPr>
        <b/>
        <sz val="7"/>
        <rFont val="Courier New"/>
        <family val="3"/>
      </rPr>
      <t>COMM RATE</t>
    </r>
  </si>
  <si>
    <r>
      <rPr>
        <b/>
        <sz val="7"/>
        <rFont val="Courier New"/>
        <family val="3"/>
      </rPr>
      <t>OUTSTANDING ADV BALANCE</t>
    </r>
  </si>
  <si>
    <r>
      <rPr>
        <b/>
        <sz val="7"/>
        <rFont val="Courier New"/>
        <family val="3"/>
      </rPr>
      <t>COMM ACTIVITY</t>
    </r>
  </si>
  <si>
    <r>
      <rPr>
        <b/>
        <sz val="7"/>
        <rFont val="Courier New"/>
        <family val="3"/>
      </rPr>
      <t>AGL</t>
    </r>
  </si>
  <si>
    <r>
      <rPr>
        <b/>
        <sz val="7"/>
        <rFont val="Courier New"/>
        <family val="3"/>
      </rPr>
      <t>GUIFFRE</t>
    </r>
  </si>
  <si>
    <r>
      <rPr>
        <b/>
        <sz val="7"/>
        <rFont val="Courier New"/>
        <family val="3"/>
      </rPr>
      <t>12/01/24 14JK2</t>
    </r>
  </si>
  <si>
    <r>
      <rPr>
        <b/>
        <sz val="7"/>
        <rFont val="Courier New"/>
        <family val="3"/>
      </rPr>
      <t>AD</t>
    </r>
  </si>
  <si>
    <r>
      <rPr>
        <b/>
        <sz val="7"/>
        <rFont val="Courier New"/>
        <family val="3"/>
      </rPr>
      <t>SUB</t>
    </r>
  </si>
  <si>
    <r>
      <rPr>
        <b/>
        <sz val="7"/>
        <rFont val="Courier New"/>
        <family val="3"/>
      </rPr>
      <t>TOTAL PAID BY CHOI, ANDREW/14JK2</t>
    </r>
  </si>
  <si>
    <r>
      <rPr>
        <b/>
        <sz val="7"/>
        <rFont val="Courier New"/>
        <family val="3"/>
      </rPr>
      <t>TOTAL RECOVERED BY CHOI, ANDREW/14JK2</t>
    </r>
  </si>
  <si>
    <r>
      <rPr>
        <b/>
        <sz val="7"/>
        <rFont val="Courier New"/>
        <family val="3"/>
      </rPr>
      <t>LOPRIORE</t>
    </r>
  </si>
  <si>
    <r>
      <rPr>
        <b/>
        <sz val="7"/>
        <rFont val="Courier New"/>
        <family val="3"/>
      </rPr>
      <t>10/16/24 14JT4</t>
    </r>
  </si>
  <si>
    <r>
      <rPr>
        <b/>
        <sz val="7"/>
        <rFont val="Courier New"/>
        <family val="3"/>
      </rPr>
      <t>AE</t>
    </r>
  </si>
  <si>
    <r>
      <rPr>
        <b/>
        <sz val="7"/>
        <rFont val="Courier New"/>
        <family val="3"/>
      </rPr>
      <t>TOTAL PAID BY WALENGA, DALE/14JT4</t>
    </r>
  </si>
  <si>
    <r>
      <rPr>
        <b/>
        <sz val="7"/>
        <rFont val="Courier New"/>
        <family val="3"/>
      </rPr>
      <t>TOTAL RECOVERED BY WALENGA, DALE/14JT4</t>
    </r>
  </si>
  <si>
    <r>
      <rPr>
        <b/>
        <sz val="7"/>
        <rFont val="Courier New"/>
        <family val="3"/>
      </rPr>
      <t>AGL    6240105791      CARR          10/15/24 14MK0                 AE           $925.32        $77.11    100%       $77.11    75   90%        $0.00      $69.39</t>
    </r>
  </si>
  <si>
    <r>
      <rPr>
        <b/>
        <sz val="7"/>
        <rFont val="Courier New"/>
        <family val="3"/>
      </rPr>
      <t>TOTAL PAID BY PORTUGAL, GARY/14MK0</t>
    </r>
  </si>
  <si>
    <r>
      <rPr>
        <b/>
        <sz val="7"/>
        <rFont val="Courier New"/>
        <family val="3"/>
      </rPr>
      <t>TOTAL RECOVERED BY PORTUGAL, GARY/14MK0</t>
    </r>
  </si>
  <si>
    <r>
      <rPr>
        <b/>
        <sz val="7"/>
        <rFont val="Courier New"/>
        <family val="3"/>
      </rPr>
      <t>AGL    6240107609      PRICE         10/19/24 15JC8                 AE         $1,435.44       $119.62    100%      $119.62    75   90%        $0.00     $107.64</t>
    </r>
  </si>
  <si>
    <r>
      <rPr>
        <b/>
        <sz val="7"/>
        <rFont val="Courier New"/>
        <family val="3"/>
      </rPr>
      <t>TOTAL PAID BY LUSE, ALISON/15JC8</t>
    </r>
  </si>
  <si>
    <r>
      <rPr>
        <b/>
        <sz val="7"/>
        <rFont val="Courier New"/>
        <family val="3"/>
      </rPr>
      <t>TOTAL RECOVERED BY LUSE, ALISON/15JC8</t>
    </r>
  </si>
  <si>
    <r>
      <rPr>
        <b/>
        <sz val="7"/>
        <rFont val="Courier New"/>
        <family val="3"/>
      </rPr>
      <t xml:space="preserve">TOTAL ADVANCES PAID                                                                                                                                    ($750.77)
</t>
    </r>
    <r>
      <rPr>
        <b/>
        <sz val="7"/>
        <rFont val="Courier New"/>
        <family val="3"/>
      </rPr>
      <t>TOTAL RECOVERED                                                                                                                                          $323.07</t>
    </r>
  </si>
  <si>
    <r>
      <rPr>
        <b/>
        <sz val="7"/>
        <rFont val="Courier New"/>
        <family val="3"/>
      </rPr>
      <t>PAGE:  2</t>
    </r>
  </si>
  <si>
    <r>
      <rPr>
        <b/>
        <sz val="7"/>
        <rFont val="Courier New"/>
        <family val="3"/>
      </rPr>
      <t>CO</t>
    </r>
  </si>
  <si>
    <r>
      <rPr>
        <b/>
        <sz val="7"/>
        <rFont val="Courier New"/>
        <family val="3"/>
      </rPr>
      <t>POLICY</t>
    </r>
  </si>
  <si>
    <r>
      <rPr>
        <b/>
        <sz val="7"/>
        <rFont val="Courier New"/>
        <family val="3"/>
      </rPr>
      <t>INSURED</t>
    </r>
  </si>
  <si>
    <r>
      <rPr>
        <b/>
        <sz val="7"/>
        <rFont val="Courier New"/>
        <family val="3"/>
      </rPr>
      <t>ISSUE</t>
    </r>
  </si>
  <si>
    <r>
      <rPr>
        <b/>
        <sz val="7"/>
        <rFont val="Courier New"/>
        <family val="3"/>
      </rPr>
      <t>COMM</t>
    </r>
  </si>
  <si>
    <r>
      <rPr>
        <b/>
        <sz val="7"/>
        <rFont val="Courier New"/>
        <family val="3"/>
      </rPr>
      <t>ANNUAL</t>
    </r>
  </si>
  <si>
    <r>
      <rPr>
        <b/>
        <sz val="7"/>
        <rFont val="Courier New"/>
        <family val="3"/>
      </rPr>
      <t>PREMIUM</t>
    </r>
  </si>
  <si>
    <r>
      <rPr>
        <b/>
        <sz val="7"/>
        <rFont val="Courier New"/>
        <family val="3"/>
      </rPr>
      <t>SPLIT PREMANNUAL  COMM  OUTSTANDING</t>
    </r>
  </si>
  <si>
    <r>
      <rPr>
        <b/>
        <sz val="7"/>
        <rFont val="Courier New"/>
        <family val="3"/>
      </rPr>
      <t>NAME</t>
    </r>
  </si>
  <si>
    <r>
      <rPr>
        <b/>
        <sz val="7"/>
        <rFont val="Courier New"/>
        <family val="3"/>
      </rPr>
      <t>NUMBER</t>
    </r>
  </si>
  <si>
    <r>
      <rPr>
        <b/>
        <sz val="7"/>
        <rFont val="Courier New"/>
        <family val="3"/>
      </rPr>
      <t>DATE</t>
    </r>
  </si>
  <si>
    <r>
      <rPr>
        <b/>
        <sz val="7"/>
        <rFont val="Courier New"/>
        <family val="3"/>
      </rPr>
      <t>TYPE</t>
    </r>
  </si>
  <si>
    <r>
      <rPr>
        <b/>
        <sz val="7"/>
        <rFont val="Courier New"/>
        <family val="3"/>
      </rPr>
      <t>PREM</t>
    </r>
  </si>
  <si>
    <r>
      <rPr>
        <b/>
        <sz val="7"/>
        <rFont val="Courier New"/>
        <family val="3"/>
      </rPr>
      <t>PAID</t>
    </r>
  </si>
  <si>
    <r>
      <rPr>
        <b/>
        <sz val="7"/>
        <rFont val="Courier New"/>
        <family val="3"/>
      </rPr>
      <t>RATE  RATE  ADV</t>
    </r>
  </si>
  <si>
    <r>
      <rPr>
        <b/>
        <sz val="7"/>
        <rFont val="Courier New"/>
        <family val="3"/>
      </rPr>
      <t>BALANCE</t>
    </r>
  </si>
  <si>
    <r>
      <rPr>
        <b/>
        <sz val="7"/>
        <rFont val="Courier New"/>
        <family val="3"/>
      </rPr>
      <t>ACTIVITY</t>
    </r>
  </si>
  <si>
    <r>
      <rPr>
        <b/>
        <sz val="7"/>
        <rFont val="Courier New"/>
        <family val="3"/>
      </rPr>
      <t>PRODUCT</t>
    </r>
  </si>
  <si>
    <r>
      <rPr>
        <b/>
        <sz val="7"/>
        <rFont val="Courier New"/>
        <family val="3"/>
      </rPr>
      <t>EFF</t>
    </r>
  </si>
  <si>
    <r>
      <rPr>
        <b/>
        <sz val="7"/>
        <rFont val="Courier New"/>
        <family val="3"/>
      </rPr>
      <t>TRX</t>
    </r>
  </si>
  <si>
    <r>
      <rPr>
        <b/>
        <sz val="7"/>
        <rFont val="Courier New"/>
        <family val="3"/>
      </rPr>
      <t>MODE</t>
    </r>
  </si>
  <si>
    <r>
      <rPr>
        <b/>
        <sz val="7"/>
        <rFont val="Courier New"/>
        <family val="3"/>
      </rPr>
      <t>AGENT</t>
    </r>
  </si>
  <si>
    <r>
      <rPr>
        <b/>
        <sz val="7"/>
        <rFont val="Courier New"/>
        <family val="3"/>
      </rPr>
      <t>#</t>
    </r>
  </si>
  <si>
    <r>
      <rPr>
        <b/>
        <sz val="7"/>
        <rFont val="Courier New"/>
        <family val="3"/>
      </rPr>
      <t>UPLINE #</t>
    </r>
  </si>
  <si>
    <r>
      <rPr>
        <b/>
        <sz val="7"/>
        <rFont val="Courier New"/>
        <family val="3"/>
      </rPr>
      <t>AMOUNT</t>
    </r>
  </si>
  <si>
    <r>
      <rPr>
        <b/>
        <sz val="7"/>
        <rFont val="Courier New"/>
        <family val="3"/>
      </rPr>
      <t>RATE</t>
    </r>
  </si>
  <si>
    <r>
      <rPr>
        <b/>
        <sz val="7"/>
        <rFont val="Courier New"/>
        <family val="3"/>
      </rPr>
      <t>GUARANTEED ISSUE WHOLE LIBAKER</t>
    </r>
  </si>
  <si>
    <r>
      <rPr>
        <b/>
        <sz val="7"/>
        <rFont val="Courier New"/>
        <family val="3"/>
      </rPr>
      <t>06/19/25FY</t>
    </r>
  </si>
  <si>
    <r>
      <rPr>
        <b/>
        <sz val="7"/>
        <rFont val="Courier New"/>
        <family val="3"/>
      </rPr>
      <t>14JK2</t>
    </r>
  </si>
  <si>
    <r>
      <rPr>
        <b/>
        <sz val="7"/>
        <rFont val="Courier New"/>
        <family val="3"/>
      </rPr>
      <t>149B0</t>
    </r>
  </si>
  <si>
    <r>
      <rPr>
        <b/>
        <sz val="7"/>
        <rFont val="Courier New"/>
        <family val="3"/>
      </rPr>
      <t>TOTAL BY CHOI, ANDREW/14JK2</t>
    </r>
  </si>
  <si>
    <r>
      <rPr>
        <b/>
        <sz val="7"/>
        <rFont val="Courier New"/>
        <family val="3"/>
      </rPr>
      <t>SIMPLINOW LEGACY</t>
    </r>
  </si>
  <si>
    <r>
      <rPr>
        <b/>
        <sz val="7"/>
        <rFont val="Courier New"/>
        <family val="3"/>
      </rPr>
      <t>STEFANSKI</t>
    </r>
  </si>
  <si>
    <r>
      <rPr>
        <b/>
        <sz val="7"/>
        <rFont val="Courier New"/>
        <family val="3"/>
      </rPr>
      <t>06/18/25FY</t>
    </r>
  </si>
  <si>
    <r>
      <rPr>
        <b/>
        <sz val="7"/>
        <rFont val="Courier New"/>
        <family val="3"/>
      </rPr>
      <t>14JT4</t>
    </r>
  </si>
  <si>
    <r>
      <rPr>
        <b/>
        <sz val="7"/>
        <rFont val="Courier New"/>
        <family val="3"/>
      </rPr>
      <t>TOTAL BY WALENGA, DALE/14JT4</t>
    </r>
  </si>
  <si>
    <r>
      <rPr>
        <b/>
        <sz val="7"/>
        <rFont val="Courier New"/>
        <family val="3"/>
      </rPr>
      <t>VOLPE</t>
    </r>
  </si>
  <si>
    <r>
      <rPr>
        <b/>
        <sz val="7"/>
        <rFont val="Courier New"/>
        <family val="3"/>
      </rPr>
      <t>06/15/25FY</t>
    </r>
  </si>
  <si>
    <r>
      <rPr>
        <b/>
        <sz val="7"/>
        <rFont val="Courier New"/>
        <family val="3"/>
      </rPr>
      <t>14JWQ</t>
    </r>
  </si>
  <si>
    <r>
      <rPr>
        <b/>
        <sz val="7"/>
        <rFont val="Courier New"/>
        <family val="3"/>
      </rPr>
      <t>TOTAL BY CALTAGIRONE, RYAN/14JWQ</t>
    </r>
  </si>
  <si>
    <r>
      <rPr>
        <b/>
        <sz val="7"/>
        <rFont val="Courier New"/>
        <family val="3"/>
      </rPr>
      <t>GUARANTEED ISSUE WHOLE LICARR</t>
    </r>
  </si>
  <si>
    <r>
      <rPr>
        <b/>
        <sz val="7"/>
        <rFont val="Courier New"/>
        <family val="3"/>
      </rPr>
      <t>14MK0</t>
    </r>
  </si>
  <si>
    <r>
      <rPr>
        <b/>
        <sz val="7"/>
        <rFont val="Courier New"/>
        <family val="3"/>
      </rPr>
      <t>SIMPLINOW LEGACY MAX     PERKINS</t>
    </r>
  </si>
  <si>
    <r>
      <rPr>
        <b/>
        <sz val="7"/>
        <rFont val="Courier New"/>
        <family val="3"/>
      </rPr>
      <t>TOTAL BY PORTUGAL, GARY/14MK0</t>
    </r>
  </si>
  <si>
    <r>
      <rPr>
        <b/>
        <sz val="7"/>
        <rFont val="Courier New"/>
        <family val="3"/>
      </rPr>
      <t>GUARANTEED ISSUE WHOLE LIWENGERSKI</t>
    </r>
  </si>
  <si>
    <r>
      <rPr>
        <b/>
        <sz val="7"/>
        <rFont val="Courier New"/>
        <family val="3"/>
      </rPr>
      <t>06/17/25FY</t>
    </r>
  </si>
  <si>
    <r>
      <rPr>
        <b/>
        <sz val="7"/>
        <rFont val="Courier New"/>
        <family val="3"/>
      </rPr>
      <t>153CM</t>
    </r>
  </si>
  <si>
    <r>
      <rPr>
        <b/>
        <sz val="7"/>
        <rFont val="Courier New"/>
        <family val="3"/>
      </rPr>
      <t>TOTAL BY YALE, JACOB/153CM</t>
    </r>
  </si>
  <si>
    <r>
      <rPr>
        <b/>
        <sz val="7"/>
        <rFont val="Courier New"/>
        <family val="3"/>
      </rPr>
      <t>GUARANTEED ISSUE WHOLE LIPRICE</t>
    </r>
  </si>
  <si>
    <r>
      <rPr>
        <b/>
        <sz val="7"/>
        <rFont val="Courier New"/>
        <family val="3"/>
      </rPr>
      <t>15JC8</t>
    </r>
  </si>
  <si>
    <r>
      <rPr>
        <b/>
        <sz val="7"/>
        <rFont val="Courier New"/>
        <family val="3"/>
      </rPr>
      <t>TOTAL BY LUSE, ALISON/15JC8</t>
    </r>
  </si>
  <si>
    <r>
      <rPr>
        <b/>
        <sz val="7"/>
        <rFont val="Courier New"/>
        <family val="3"/>
      </rPr>
      <t>ROWLAND</t>
    </r>
  </si>
  <si>
    <r>
      <rPr>
        <b/>
        <sz val="7"/>
        <rFont val="Courier New"/>
        <family val="3"/>
      </rPr>
      <t>1642Q</t>
    </r>
  </si>
  <si>
    <r>
      <rPr>
        <b/>
        <sz val="7"/>
        <rFont val="Courier New"/>
        <family val="3"/>
      </rPr>
      <t>SIMPLINOW LEGACY MAX</t>
    </r>
  </si>
  <si>
    <r>
      <rPr>
        <b/>
        <sz val="7"/>
        <rFont val="Courier New"/>
        <family val="3"/>
      </rPr>
      <t>TOTAL BY DRAPAC, STEPHANIE/1642Q</t>
    </r>
  </si>
  <si>
    <r>
      <rPr>
        <b/>
        <sz val="7"/>
        <rFont val="Courier New"/>
        <family val="3"/>
      </rPr>
      <t>AD-ADVANCE, AE-RECOVERED,TA-TERMINATED AGENT,FY-FIRST YEAR, REN-RENEWAL, UPLINE - COMMISSIONABLE HIERARCHY, * - REPLACEMENT INDICATOR</t>
    </r>
  </si>
  <si>
    <t>CHOI, ANDREW</t>
  </si>
  <si>
    <t>WALENGA, DALE</t>
  </si>
  <si>
    <t>PORTUGAL, GARY</t>
  </si>
  <si>
    <t>LUSE, ALISON</t>
  </si>
  <si>
    <t>AGL</t>
  </si>
  <si>
    <t>14MK0</t>
  </si>
  <si>
    <t>AE</t>
  </si>
  <si>
    <t>15JC8</t>
  </si>
  <si>
    <t>14JK2</t>
  </si>
  <si>
    <t>14JT4</t>
  </si>
  <si>
    <t>CO NAME</t>
  </si>
  <si>
    <t>POLICY NUMBER</t>
  </si>
  <si>
    <t>INSURED NAME</t>
  </si>
  <si>
    <t>EFF DATE</t>
  </si>
  <si>
    <t>AGENT #</t>
  </si>
  <si>
    <t>ANNUAL PREM</t>
  </si>
  <si>
    <r>
      <rPr>
        <b/>
        <sz val="8"/>
        <rFont val="Courier New"/>
        <family val="3"/>
      </rPr>
      <t>PREMIUM
PAID</t>
    </r>
  </si>
  <si>
    <t>SPLIT</t>
  </si>
  <si>
    <t>SPLIT PREM</t>
  </si>
  <si>
    <t>ANNZ RATE</t>
  </si>
  <si>
    <t>COMM RATE</t>
  </si>
  <si>
    <t>OUTSTANDING ADV BALANCE</t>
  </si>
  <si>
    <t>COMM ACTIVITY</t>
  </si>
  <si>
    <t>SIMPLINOW LEGACY</t>
  </si>
  <si>
    <t>14JWQ</t>
  </si>
  <si>
    <t>153CM</t>
  </si>
  <si>
    <t>1642Q</t>
  </si>
  <si>
    <t>SIMPLINOW LEGACY MAX</t>
  </si>
  <si>
    <t>GUIFFRE,KATHERINE</t>
  </si>
  <si>
    <t>LOPRIORE,MICHAEL</t>
  </si>
  <si>
    <t>LOPRIORE,FILOMENA</t>
  </si>
  <si>
    <t>CARR,CAROLYN</t>
  </si>
  <si>
    <t>PRICE,JANE</t>
  </si>
  <si>
    <t>CALTAGIRONE, RYAN</t>
  </si>
  <si>
    <t>YALE, JACOB</t>
  </si>
  <si>
    <t>DRAPAC, STEPHANIE</t>
  </si>
  <si>
    <t>GUARANTEED ISSUE WHOLE</t>
  </si>
  <si>
    <t>LIWENGERSKI</t>
  </si>
  <si>
    <t>Corebridge SimpliNow Legacy Max (137)</t>
  </si>
  <si>
    <t>Corebridge Guaranteed Issue Whole Life (90)</t>
  </si>
  <si>
    <t>Corebridge SimpliNow Legacy (94.50)</t>
  </si>
  <si>
    <t>BAKER,CINDY</t>
  </si>
  <si>
    <t>STEFANSKI,MICHAEL</t>
  </si>
  <si>
    <t>VOLPE,MARK</t>
  </si>
  <si>
    <t>PERKINS,KATHERINE</t>
  </si>
  <si>
    <t>ROWLAND,BRENDA</t>
  </si>
  <si>
    <t>ROWLAND,GARLAND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</si>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</sst>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\$0.00"/>
    <numFmt numFmtId="165" formatCode="\$0.00_);\(\$0.00\)"/>
    <numFmt numFmtId="166" formatCode="\$#,##0.00"/>
    <numFmt numFmtId="167" formatCode="mm/dd/yy;@"/>
    <numFmt numFmtId="168" formatCode="0.0%"/>
  </numFmts>
  <fonts count="7" x14ac:knownFonts="1">
    <font>
      <sz val="10"/>
      <color rgb="FF000000"/>
      <name val="Times New Roman"/>
      <charset val="204"/>
    </font>
    <font>
      <b/>
      <sz val="7"/>
      <name val="Courier New"/>
      <family val="3"/>
    </font>
    <font>
      <b/>
      <sz val="7"/>
      <color rgb="FF000000"/>
      <name val="Courier New"/>
      <family val="2"/>
    </font>
    <font>
      <sz val="10"/>
      <color rgb="FF000000"/>
      <name val="Times New Roman"/>
      <family val="1"/>
    </font>
    <font>
      <b/>
      <sz val="8"/>
      <name val="Courier New"/>
      <family val="3"/>
    </font>
    <font>
      <sz val="8"/>
      <name val="Times New Roman"/>
      <family val="1"/>
    </font>
    <font>
      <b/>
      <sz val="8"/>
      <name val="Courier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vertical="top" wrapText="1" inden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1" fillId="0" borderId="0" xfId="0" applyFont="1" applyAlignment="1">
      <alignment horizontal="right" vertical="top" wrapText="1" indent="2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1"/>
    </xf>
    <xf numFmtId="165" fontId="2" fillId="0" borderId="0" xfId="0" applyNumberFormat="1" applyFont="1" applyAlignment="1">
      <alignment horizontal="right" vertical="top" indent="2" shrinkToFit="1"/>
    </xf>
    <xf numFmtId="164" fontId="2" fillId="0" borderId="0" xfId="0" applyNumberFormat="1" applyFont="1" applyAlignment="1">
      <alignment horizontal="right" vertical="top" indent="1" shrinkToFit="1"/>
    </xf>
    <xf numFmtId="164" fontId="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right" vertical="top" indent="2" shrinkToFi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wrapText="1"/>
    </xf>
    <xf numFmtId="1" fontId="2" fillId="0" borderId="0" xfId="0" applyNumberFormat="1" applyFont="1" applyAlignment="1">
      <alignment horizontal="left" vertical="top" indent="1" shrinkToFit="1"/>
    </xf>
    <xf numFmtId="0" fontId="1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right" vertical="top" shrinkToFit="1"/>
    </xf>
    <xf numFmtId="165" fontId="2" fillId="0" borderId="0" xfId="0" applyNumberFormat="1" applyFont="1" applyAlignment="1">
      <alignment horizontal="right" vertical="top" shrinkToFit="1"/>
    </xf>
    <xf numFmtId="9" fontId="2" fillId="0" borderId="0" xfId="0" applyNumberFormat="1" applyFont="1" applyAlignment="1">
      <alignment horizontal="center" vertical="top" shrinkToFit="1"/>
    </xf>
    <xf numFmtId="0" fontId="1" fillId="0" borderId="1" xfId="0" applyFont="1" applyBorder="1" applyAlignment="1">
      <alignment horizontal="right" vertical="top" wrapText="1"/>
    </xf>
    <xf numFmtId="1" fontId="2" fillId="0" borderId="0" xfId="0" applyNumberFormat="1" applyFont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vertical="top" wrapText="1" inden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164" fontId="2" fillId="0" borderId="2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0" xfId="0" applyFont="1" applyAlignment="1">
      <alignment horizontal="right" vertical="top" wrapText="1" indent="2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1"/>
    </xf>
    <xf numFmtId="166" fontId="2" fillId="0" borderId="0" xfId="0" applyNumberFormat="1" applyFont="1" applyAlignment="1">
      <alignment horizontal="right" vertical="top" indent="2" shrinkToFit="1"/>
    </xf>
    <xf numFmtId="164" fontId="2" fillId="0" borderId="0" xfId="0" applyNumberFormat="1" applyFont="1" applyAlignment="1">
      <alignment horizontal="right" vertical="top" indent="1" shrinkToFit="1"/>
    </xf>
    <xf numFmtId="164" fontId="2" fillId="0" borderId="0" xfId="0" applyNumberFormat="1" applyFont="1" applyAlignment="1">
      <alignment horizontal="right" vertical="top" shrinkToFit="1"/>
    </xf>
    <xf numFmtId="165" fontId="2" fillId="0" borderId="0" xfId="0" applyNumberFormat="1" applyFont="1" applyAlignment="1">
      <alignment horizontal="right" vertical="top" indent="1" shrinkToFit="1"/>
    </xf>
    <xf numFmtId="166" fontId="2" fillId="0" borderId="0" xfId="0" applyNumberFormat="1" applyFont="1" applyAlignment="1">
      <alignment horizontal="right" vertical="top" indent="1" shrinkToFit="1"/>
    </xf>
    <xf numFmtId="166" fontId="2" fillId="0" borderId="0" xfId="0" applyNumberFormat="1" applyFont="1" applyAlignment="1">
      <alignment horizontal="left" vertical="top" indent="1" shrinkToFit="1"/>
    </xf>
    <xf numFmtId="164" fontId="2" fillId="0" borderId="0" xfId="0" applyNumberFormat="1" applyFont="1" applyAlignment="1">
      <alignment horizontal="right" vertical="top" indent="2" shrinkToFit="1"/>
    </xf>
    <xf numFmtId="166" fontId="2" fillId="0" borderId="0" xfId="0" applyNumberFormat="1" applyFont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 indent="25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9" fontId="2" fillId="0" borderId="0" xfId="0" applyNumberFormat="1" applyFont="1" applyAlignment="1">
      <alignment horizontal="right" vertical="top" indent="1" shrinkToFit="1"/>
    </xf>
    <xf numFmtId="165" fontId="2" fillId="0" borderId="0" xfId="0" applyNumberFormat="1" applyFont="1" applyAlignment="1">
      <alignment horizontal="right" vertical="top" shrinkToFit="1"/>
    </xf>
    <xf numFmtId="1" fontId="2" fillId="0" borderId="0" xfId="0" applyNumberFormat="1" applyFont="1" applyAlignment="1">
      <alignment horizontal="left" vertical="top" indent="2" shrinkToFit="1"/>
    </xf>
    <xf numFmtId="0" fontId="1" fillId="0" borderId="0" xfId="0" applyFont="1" applyAlignment="1">
      <alignment horizontal="left" vertical="top" wrapText="1" indent="8"/>
    </xf>
    <xf numFmtId="9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34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right" vertical="top" wrapText="1" indent="3"/>
    </xf>
    <xf numFmtId="0" fontId="1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left" vertical="top" wrapText="1" indent="13"/>
    </xf>
    <xf numFmtId="0" fontId="1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left" vertical="top" wrapText="1" indent="7"/>
    </xf>
    <xf numFmtId="1" fontId="2" fillId="0" borderId="0" xfId="0" applyNumberFormat="1" applyFont="1" applyAlignment="1">
      <alignment horizontal="left" vertical="top" indent="1" shrinkToFit="1"/>
    </xf>
    <xf numFmtId="167" fontId="2" fillId="0" borderId="0" xfId="0" applyNumberFormat="1" applyFont="1" applyAlignment="1">
      <alignment horizontal="left" vertical="top" indent="7" shrinkToFit="1"/>
    </xf>
    <xf numFmtId="164" fontId="2" fillId="0" borderId="0" xfId="0" applyNumberFormat="1" applyFont="1" applyAlignment="1">
      <alignment horizontal="left" vertical="top" indent="7" shrinkToFit="1"/>
    </xf>
    <xf numFmtId="168" fontId="2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 indent="2"/>
    </xf>
    <xf numFmtId="14" fontId="4" fillId="0" borderId="0" xfId="0" applyNumberFormat="1" applyFont="1" applyAlignment="1">
      <alignment vertical="top" wrapText="1"/>
    </xf>
    <xf numFmtId="8" fontId="4" fillId="0" borderId="0" xfId="0" applyNumberFormat="1" applyFont="1" applyAlignment="1">
      <alignment vertical="top" wrapText="1"/>
    </xf>
    <xf numFmtId="9" fontId="4" fillId="0" borderId="0" xfId="0" applyNumberFormat="1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NumberFormat="1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14" fontId="4" fillId="2" borderId="0" xfId="0" applyNumberFormat="1" applyFont="1" applyFill="1" applyAlignment="1">
      <alignment vertical="top" wrapText="1"/>
    </xf>
    <xf numFmtId="0" fontId="4" fillId="2" borderId="0" xfId="0" applyNumberFormat="1" applyFont="1" applyFill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8" fontId="4" fillId="2" borderId="0" xfId="0" applyNumberFormat="1" applyFont="1" applyFill="1" applyAlignment="1">
      <alignment vertical="top" wrapText="1"/>
    </xf>
    <xf numFmtId="9" fontId="4" fillId="2" borderId="0" xfId="0" applyNumberFormat="1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NumberFormat="1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1" fontId="6" fillId="2" borderId="0" xfId="0" applyNumberFormat="1" applyFont="1" applyFill="1" applyAlignment="1">
      <alignment vertical="top" shrinkToFit="1"/>
    </xf>
    <xf numFmtId="166" fontId="6" fillId="2" borderId="0" xfId="0" applyNumberFormat="1" applyFont="1" applyFill="1" applyAlignment="1">
      <alignment vertical="top" shrinkToFit="1"/>
    </xf>
    <xf numFmtId="164" fontId="6" fillId="2" borderId="0" xfId="0" applyNumberFormat="1" applyFont="1" applyFill="1" applyAlignment="1">
      <alignment vertical="top" shrinkToFit="1"/>
    </xf>
    <xf numFmtId="9" fontId="6" fillId="2" borderId="0" xfId="0" applyNumberFormat="1" applyFont="1" applyFill="1" applyAlignment="1">
      <alignment vertical="top" shrinkToFit="1"/>
    </xf>
    <xf numFmtId="165" fontId="6" fillId="2" borderId="0" xfId="0" applyNumberFormat="1" applyFont="1" applyFill="1" applyAlignment="1">
      <alignment horizontal="right" vertical="top" shrinkToFit="1"/>
    </xf>
    <xf numFmtId="0" fontId="6" fillId="2" borderId="0" xfId="0" applyNumberFormat="1" applyFont="1" applyFill="1" applyAlignment="1">
      <alignment vertical="top" shrinkToFit="1"/>
    </xf>
    <xf numFmtId="44" fontId="6" fillId="2" borderId="0" xfId="1" applyFont="1" applyFill="1" applyAlignment="1">
      <alignment vertical="top" shrinkToFit="1"/>
    </xf>
    <xf numFmtId="0" fontId="5" fillId="2" borderId="0" xfId="0" applyFont="1" applyFill="1" applyAlignment="1">
      <alignment horizontal="left" vertical="top"/>
    </xf>
    <xf numFmtId="44" fontId="6" fillId="0" borderId="0" xfId="1" applyFont="1" applyAlignment="1">
      <alignment vertical="top" shrinkToFit="1"/>
    </xf>
    <xf numFmtId="167" fontId="6" fillId="2" borderId="0" xfId="0" applyNumberFormat="1" applyFont="1" applyFill="1" applyAlignment="1">
      <alignment vertical="top" shrinkToFit="1"/>
    </xf>
    <xf numFmtId="9" fontId="6" fillId="2" borderId="0" xfId="0" applyNumberFormat="1" applyFont="1" applyFill="1" applyAlignment="1">
      <alignment horizontal="center" vertical="top" shrinkToFit="1"/>
    </xf>
    <xf numFmtId="168" fontId="6" fillId="2" borderId="0" xfId="0" applyNumberFormat="1" applyFont="1" applyFill="1" applyAlignment="1">
      <alignment vertical="top" shrinkToFit="1"/>
    </xf>
    <xf numFmtId="164" fontId="6" fillId="2" borderId="0" xfId="0" applyNumberFormat="1" applyFont="1" applyFill="1" applyAlignment="1">
      <alignment horizontal="right" vertical="top" shrinkToFit="1"/>
    </xf>
    <xf numFmtId="1" fontId="6" fillId="0" borderId="0" xfId="0" applyNumberFormat="1" applyFont="1" applyAlignment="1">
      <alignment vertical="top" shrinkToFit="1"/>
    </xf>
    <xf numFmtId="167" fontId="6" fillId="0" borderId="0" xfId="0" applyNumberFormat="1" applyFont="1" applyAlignment="1">
      <alignment vertical="top" shrinkToFit="1"/>
    </xf>
    <xf numFmtId="164" fontId="6" fillId="0" borderId="0" xfId="0" applyNumberFormat="1" applyFont="1" applyAlignment="1">
      <alignment vertical="top" shrinkToFit="1"/>
    </xf>
    <xf numFmtId="9" fontId="6" fillId="0" borderId="0" xfId="0" applyNumberFormat="1" applyFont="1" applyAlignment="1">
      <alignment horizontal="center" vertical="top" shrinkToFit="1"/>
    </xf>
    <xf numFmtId="168" fontId="6" fillId="0" borderId="0" xfId="0" applyNumberFormat="1" applyFont="1" applyAlignment="1">
      <alignment vertical="top" shrinkToFit="1"/>
    </xf>
    <xf numFmtId="164" fontId="6" fillId="0" borderId="0" xfId="0" applyNumberFormat="1" applyFont="1" applyAlignment="1">
      <alignment horizontal="right" vertical="top" shrinkToFit="1"/>
    </xf>
    <xf numFmtId="9" fontId="6" fillId="0" borderId="0" xfId="0" applyNumberFormat="1" applyFont="1" applyAlignment="1">
      <alignment vertical="top" shrinkToFit="1"/>
    </xf>
    <xf numFmtId="0" fontId="6" fillId="0" borderId="0" xfId="0" applyNumberFormat="1" applyFont="1" applyAlignment="1">
      <alignment vertical="top" shrinkToFit="1"/>
    </xf>
    <xf numFmtId="0" fontId="6" fillId="0" borderId="0" xfId="1" applyNumberFormat="1" applyFont="1" applyAlignment="1">
      <alignment vertical="top" shrinkToFit="1"/>
    </xf>
    <xf numFmtId="0" fontId="5" fillId="0" borderId="0" xfId="0" applyNumberFormat="1" applyFont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53348</xdr:colOff>
      <xdr:row>30</xdr:row>
      <xdr:rowOff>189864</xdr:rowOff>
    </xdr:from>
    <xdr:ext cx="8536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"/>
  <sheetViews>
    <sheetView workbookViewId="0">
      <selection activeCell="U21" sqref="U21:V21"/>
    </sheetView>
  </sheetViews>
  <sheetFormatPr defaultRowHeight="12.75" x14ac:dyDescent="0.2"/>
  <cols>
    <col min="1" max="1" width="3.33203125" customWidth="1"/>
    <col min="2" max="2" width="2.1640625" customWidth="1"/>
    <col min="3" max="3" width="12.6640625" customWidth="1"/>
    <col min="4" max="4" width="2.1640625" customWidth="1"/>
    <col min="5" max="5" width="14" customWidth="1"/>
    <col min="6" max="6" width="1.1640625" customWidth="1"/>
    <col min="7" max="7" width="6.83203125" customWidth="1"/>
    <col min="8" max="8" width="9.33203125" customWidth="1"/>
    <col min="9" max="9" width="2.1640625" customWidth="1"/>
    <col min="10" max="10" width="9.33203125" customWidth="1"/>
    <col min="11" max="11" width="11.5" customWidth="1"/>
    <col min="12" max="12" width="4.6640625" customWidth="1"/>
    <col min="13" max="13" width="8" customWidth="1"/>
    <col min="14" max="14" width="4.6640625" customWidth="1"/>
    <col min="15" max="15" width="6.83203125" customWidth="1"/>
    <col min="16" max="16" width="2.1640625" customWidth="1"/>
    <col min="17" max="17" width="8" customWidth="1"/>
    <col min="18" max="20" width="5.83203125" customWidth="1"/>
    <col min="21" max="22" width="2.1640625" customWidth="1"/>
    <col min="23" max="23" width="4.6640625" customWidth="1"/>
    <col min="24" max="25" width="9.33203125" customWidth="1"/>
    <col min="26" max="26" width="22" customWidth="1"/>
  </cols>
  <sheetData>
    <row r="1" spans="1:26" ht="9" customHeight="1" x14ac:dyDescent="0.2">
      <c r="A1" s="26" t="s">
        <v>0</v>
      </c>
      <c r="B1" s="26"/>
      <c r="C1" s="26"/>
      <c r="D1" s="26"/>
      <c r="E1" s="26"/>
      <c r="F1" s="27"/>
      <c r="G1" s="27"/>
      <c r="H1" s="27"/>
      <c r="I1" s="27"/>
      <c r="J1" s="27"/>
      <c r="K1" s="2"/>
      <c r="L1" s="27"/>
      <c r="M1" s="27"/>
      <c r="N1" s="28" t="s">
        <v>1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3" t="s">
        <v>2</v>
      </c>
    </row>
    <row r="2" spans="1:26" ht="9.9499999999999993" customHeight="1" x14ac:dyDescent="0.2">
      <c r="A2" s="29" t="s">
        <v>3</v>
      </c>
      <c r="B2" s="29"/>
      <c r="C2" s="29"/>
      <c r="D2" s="29"/>
      <c r="E2" s="29"/>
      <c r="F2" s="30"/>
      <c r="G2" s="30"/>
      <c r="H2" s="30"/>
      <c r="I2" s="30"/>
      <c r="J2" s="30"/>
      <c r="K2" s="5"/>
      <c r="L2" s="30"/>
      <c r="M2" s="30"/>
      <c r="N2" s="30"/>
      <c r="O2" s="30"/>
      <c r="P2" s="31" t="s">
        <v>4</v>
      </c>
      <c r="Q2" s="31"/>
      <c r="R2" s="31"/>
      <c r="S2" s="30"/>
      <c r="T2" s="30"/>
      <c r="U2" s="30"/>
      <c r="V2" s="30"/>
      <c r="W2" s="30"/>
      <c r="X2" s="30"/>
      <c r="Y2" s="5"/>
    </row>
    <row r="3" spans="1:26" ht="12.95" customHeight="1" x14ac:dyDescent="0.2">
      <c r="A3" s="32" t="s">
        <v>5</v>
      </c>
      <c r="B3" s="32"/>
      <c r="C3" s="32"/>
      <c r="D3" s="32"/>
      <c r="E3" s="7"/>
      <c r="F3" s="33"/>
      <c r="G3" s="33"/>
      <c r="H3" s="33"/>
      <c r="I3" s="33"/>
      <c r="J3" s="33"/>
      <c r="K3" s="7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7"/>
    </row>
    <row r="4" spans="1:26" ht="9.9499999999999993" customHeight="1" x14ac:dyDescent="0.2">
      <c r="A4" s="26" t="s">
        <v>6</v>
      </c>
      <c r="B4" s="26"/>
      <c r="C4" s="26"/>
      <c r="D4" s="26"/>
      <c r="E4" s="2"/>
      <c r="F4" s="27"/>
      <c r="G4" s="27"/>
      <c r="H4" s="27"/>
      <c r="I4" s="27"/>
      <c r="J4" s="27"/>
      <c r="K4" s="2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"/>
    </row>
    <row r="5" spans="1:26" ht="15.95" customHeight="1" x14ac:dyDescent="0.2">
      <c r="A5" s="32" t="s">
        <v>7</v>
      </c>
      <c r="B5" s="32"/>
      <c r="C5" s="32"/>
      <c r="D5" s="32"/>
      <c r="E5" s="32"/>
      <c r="F5" s="34">
        <v>158.25</v>
      </c>
      <c r="G5" s="34"/>
      <c r="H5" s="34"/>
      <c r="I5" s="35"/>
      <c r="J5" s="35"/>
      <c r="K5" s="8"/>
      <c r="L5" s="35"/>
      <c r="M5" s="35"/>
      <c r="N5" s="36" t="s">
        <v>8</v>
      </c>
      <c r="O5" s="36"/>
      <c r="P5" s="36"/>
      <c r="Q5" s="36"/>
      <c r="R5" s="36"/>
      <c r="S5" s="35"/>
      <c r="T5" s="35"/>
      <c r="U5" s="35"/>
      <c r="V5" s="34">
        <v>158.25</v>
      </c>
      <c r="W5" s="34"/>
      <c r="X5" s="34"/>
      <c r="Y5" s="8"/>
    </row>
    <row r="6" spans="1:26" ht="9.9499999999999993" customHeight="1" x14ac:dyDescent="0.2">
      <c r="A6" s="26" t="s">
        <v>9</v>
      </c>
      <c r="B6" s="26"/>
      <c r="C6" s="26"/>
      <c r="D6" s="26"/>
      <c r="E6" s="26"/>
      <c r="F6" s="27"/>
      <c r="G6" s="27"/>
      <c r="H6" s="27"/>
      <c r="I6" s="27"/>
      <c r="J6" s="27"/>
      <c r="K6" s="2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"/>
    </row>
    <row r="7" spans="1:26" ht="9" customHeight="1" x14ac:dyDescent="0.2">
      <c r="A7" s="29" t="s">
        <v>10</v>
      </c>
      <c r="B7" s="29"/>
      <c r="C7" s="29"/>
      <c r="D7" s="29"/>
      <c r="E7" s="9" t="s">
        <v>11</v>
      </c>
      <c r="F7" s="37" t="s">
        <v>11</v>
      </c>
      <c r="G7" s="37"/>
      <c r="H7" s="37"/>
      <c r="I7" s="31" t="s">
        <v>12</v>
      </c>
      <c r="J7" s="31"/>
      <c r="K7" s="6" t="s">
        <v>12</v>
      </c>
      <c r="L7" s="31" t="s">
        <v>13</v>
      </c>
      <c r="M7" s="31"/>
      <c r="N7" s="38" t="s">
        <v>13</v>
      </c>
      <c r="O7" s="38"/>
      <c r="P7" s="31" t="s">
        <v>14</v>
      </c>
      <c r="Q7" s="31"/>
      <c r="R7" s="31"/>
      <c r="S7" s="31" t="s">
        <v>14</v>
      </c>
      <c r="T7" s="31"/>
      <c r="U7" s="31"/>
      <c r="V7" s="39" t="s">
        <v>15</v>
      </c>
      <c r="W7" s="39"/>
      <c r="X7" s="39"/>
      <c r="Y7" s="39"/>
    </row>
    <row r="8" spans="1:26" ht="9.9499999999999993" customHeight="1" x14ac:dyDescent="0.2">
      <c r="A8" s="29" t="s">
        <v>16</v>
      </c>
      <c r="B8" s="29"/>
      <c r="C8" s="29"/>
      <c r="D8" s="29"/>
      <c r="E8" s="9" t="s">
        <v>17</v>
      </c>
      <c r="F8" s="37" t="s">
        <v>18</v>
      </c>
      <c r="G8" s="37"/>
      <c r="H8" s="37"/>
      <c r="I8" s="31" t="s">
        <v>17</v>
      </c>
      <c r="J8" s="31"/>
      <c r="K8" s="6" t="s">
        <v>18</v>
      </c>
      <c r="L8" s="31" t="s">
        <v>17</v>
      </c>
      <c r="M8" s="31"/>
      <c r="N8" s="38" t="s">
        <v>18</v>
      </c>
      <c r="O8" s="38"/>
      <c r="P8" s="31" t="s">
        <v>17</v>
      </c>
      <c r="Q8" s="31"/>
      <c r="R8" s="31"/>
      <c r="S8" s="31" t="s">
        <v>18</v>
      </c>
      <c r="T8" s="31"/>
      <c r="U8" s="31"/>
      <c r="V8" s="40" t="s">
        <v>19</v>
      </c>
      <c r="W8" s="40"/>
      <c r="X8" s="40"/>
      <c r="Y8" s="40"/>
    </row>
    <row r="9" spans="1:26" ht="9.9499999999999993" customHeight="1" x14ac:dyDescent="0.2">
      <c r="A9" s="29" t="s">
        <v>20</v>
      </c>
      <c r="B9" s="29"/>
      <c r="C9" s="29"/>
      <c r="D9" s="29"/>
      <c r="E9" s="13">
        <v>-750.77</v>
      </c>
      <c r="F9" s="41">
        <v>16239.98</v>
      </c>
      <c r="G9" s="41"/>
      <c r="H9" s="41"/>
      <c r="I9" s="42">
        <v>0</v>
      </c>
      <c r="J9" s="42"/>
      <c r="K9" s="14">
        <v>0</v>
      </c>
      <c r="L9" s="42">
        <v>0</v>
      </c>
      <c r="M9" s="42"/>
      <c r="N9" s="43">
        <v>0</v>
      </c>
      <c r="O9" s="43"/>
      <c r="P9" s="44">
        <v>-750.77</v>
      </c>
      <c r="Q9" s="44"/>
      <c r="R9" s="44"/>
      <c r="S9" s="45">
        <v>16239.98</v>
      </c>
      <c r="T9" s="45"/>
      <c r="U9" s="45"/>
      <c r="V9" s="46">
        <v>16239.98</v>
      </c>
      <c r="W9" s="46"/>
      <c r="X9" s="46"/>
      <c r="Y9" s="15">
        <v>0</v>
      </c>
    </row>
    <row r="10" spans="1:26" ht="9" customHeight="1" x14ac:dyDescent="0.2">
      <c r="A10" s="29" t="s">
        <v>21</v>
      </c>
      <c r="B10" s="29"/>
      <c r="C10" s="29"/>
      <c r="D10" s="29"/>
      <c r="E10" s="16">
        <v>909.02</v>
      </c>
      <c r="F10" s="41">
        <v>41791.279999999999</v>
      </c>
      <c r="G10" s="41"/>
      <c r="H10" s="41"/>
      <c r="I10" s="42">
        <v>0</v>
      </c>
      <c r="J10" s="42"/>
      <c r="K10" s="14">
        <v>0</v>
      </c>
      <c r="L10" s="42">
        <v>0</v>
      </c>
      <c r="M10" s="42"/>
      <c r="N10" s="43">
        <v>0</v>
      </c>
      <c r="O10" s="43"/>
      <c r="P10" s="42">
        <v>909.02</v>
      </c>
      <c r="Q10" s="42"/>
      <c r="R10" s="42"/>
      <c r="S10" s="45">
        <v>41791.279999999999</v>
      </c>
      <c r="T10" s="45"/>
      <c r="U10" s="45"/>
      <c r="V10" s="46">
        <v>41791.279999999999</v>
      </c>
      <c r="W10" s="46"/>
      <c r="X10" s="46"/>
      <c r="Y10" s="15">
        <v>0</v>
      </c>
    </row>
    <row r="11" spans="1:26" ht="9.9499999999999993" customHeight="1" x14ac:dyDescent="0.2">
      <c r="A11" s="29" t="s">
        <v>22</v>
      </c>
      <c r="B11" s="29"/>
      <c r="C11" s="29"/>
      <c r="D11" s="29"/>
      <c r="E11" s="16">
        <v>0</v>
      </c>
      <c r="F11" s="47">
        <v>0</v>
      </c>
      <c r="G11" s="47"/>
      <c r="H11" s="47"/>
      <c r="I11" s="42">
        <v>0</v>
      </c>
      <c r="J11" s="42"/>
      <c r="K11" s="14">
        <v>0</v>
      </c>
      <c r="L11" s="42">
        <v>0</v>
      </c>
      <c r="M11" s="42"/>
      <c r="N11" s="48">
        <v>17850</v>
      </c>
      <c r="O11" s="48"/>
      <c r="P11" s="42">
        <v>0</v>
      </c>
      <c r="Q11" s="42"/>
      <c r="R11" s="42"/>
      <c r="S11" s="45">
        <v>17850</v>
      </c>
      <c r="T11" s="45"/>
      <c r="U11" s="45"/>
      <c r="V11" s="46">
        <v>17850</v>
      </c>
      <c r="W11" s="46"/>
      <c r="X11" s="46"/>
      <c r="Y11" s="15">
        <v>0</v>
      </c>
    </row>
    <row r="12" spans="1:26" ht="10.5" customHeight="1" x14ac:dyDescent="0.2">
      <c r="A12" s="29" t="s">
        <v>23</v>
      </c>
      <c r="B12" s="29"/>
      <c r="C12" s="29"/>
      <c r="D12" s="29"/>
      <c r="E12" s="16">
        <v>158.25</v>
      </c>
      <c r="F12" s="41">
        <v>58031.26</v>
      </c>
      <c r="G12" s="41"/>
      <c r="H12" s="41"/>
      <c r="I12" s="42">
        <v>0</v>
      </c>
      <c r="J12" s="42"/>
      <c r="K12" s="14">
        <v>0</v>
      </c>
      <c r="L12" s="42">
        <v>0</v>
      </c>
      <c r="M12" s="42"/>
      <c r="N12" s="48">
        <v>17850</v>
      </c>
      <c r="O12" s="48"/>
      <c r="P12" s="42">
        <v>158.25</v>
      </c>
      <c r="Q12" s="42"/>
      <c r="R12" s="42"/>
      <c r="S12" s="45">
        <v>75881.259999999995</v>
      </c>
      <c r="T12" s="45"/>
      <c r="U12" s="45"/>
      <c r="V12" s="46">
        <v>75881.259999999995</v>
      </c>
      <c r="W12" s="46"/>
      <c r="X12" s="46"/>
      <c r="Y12" s="15">
        <v>0</v>
      </c>
    </row>
    <row r="13" spans="1:26" ht="9" customHeight="1" x14ac:dyDescent="0.2">
      <c r="A13" s="26" t="s">
        <v>0</v>
      </c>
      <c r="B13" s="26"/>
      <c r="C13" s="26"/>
      <c r="D13" s="26"/>
      <c r="E13" s="26"/>
      <c r="F13" s="26"/>
      <c r="G13" s="26"/>
      <c r="H13" s="26"/>
      <c r="I13" s="49" t="s">
        <v>1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3" t="s">
        <v>2</v>
      </c>
      <c r="Z13" s="5"/>
    </row>
    <row r="14" spans="1:26" ht="21.95" customHeight="1" x14ac:dyDescent="0.2">
      <c r="A14" s="50" t="s">
        <v>24</v>
      </c>
      <c r="B14" s="50"/>
      <c r="C14" s="50"/>
      <c r="D14" s="50"/>
      <c r="E14" s="50"/>
      <c r="F14" s="50"/>
      <c r="G14" s="50"/>
      <c r="H14" s="50"/>
      <c r="I14" s="51" t="s">
        <v>4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8"/>
      <c r="Z14" s="17"/>
    </row>
    <row r="15" spans="1:26" ht="12.95" customHeight="1" x14ac:dyDescent="0.2">
      <c r="A15" s="52" t="s">
        <v>25</v>
      </c>
      <c r="B15" s="52"/>
      <c r="C15" s="52"/>
      <c r="D15" s="52"/>
      <c r="E15" s="52"/>
      <c r="F15" s="52"/>
      <c r="G15" s="52"/>
      <c r="H15" s="52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18"/>
      <c r="Z15" s="5"/>
    </row>
    <row r="16" spans="1:26" ht="12.95" customHeight="1" x14ac:dyDescent="0.2">
      <c r="A16" s="26" t="s">
        <v>26</v>
      </c>
      <c r="B16" s="26"/>
      <c r="C16" s="26"/>
      <c r="D16" s="26"/>
      <c r="E16" s="26"/>
      <c r="F16" s="26"/>
      <c r="G16" s="26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"/>
      <c r="Z16" s="5"/>
    </row>
    <row r="17" spans="1:26" ht="18" customHeight="1" x14ac:dyDescent="0.2">
      <c r="A17" s="29" t="s">
        <v>27</v>
      </c>
      <c r="B17" s="29"/>
      <c r="C17" s="12" t="s">
        <v>28</v>
      </c>
      <c r="D17" s="39" t="s">
        <v>29</v>
      </c>
      <c r="E17" s="39"/>
      <c r="F17" s="40" t="s">
        <v>30</v>
      </c>
      <c r="G17" s="40"/>
      <c r="H17" s="40" t="s">
        <v>31</v>
      </c>
      <c r="I17" s="40"/>
      <c r="J17" s="4" t="s">
        <v>32</v>
      </c>
      <c r="K17" s="11" t="s">
        <v>33</v>
      </c>
      <c r="L17" s="39" t="s">
        <v>34</v>
      </c>
      <c r="M17" s="39"/>
      <c r="N17" s="54" t="s">
        <v>35</v>
      </c>
      <c r="O17" s="54"/>
      <c r="P17" s="31" t="s">
        <v>36</v>
      </c>
      <c r="Q17" s="31"/>
      <c r="R17" s="38" t="s">
        <v>37</v>
      </c>
      <c r="S17" s="38"/>
      <c r="T17" s="4" t="s">
        <v>38</v>
      </c>
      <c r="U17" s="29" t="s">
        <v>39</v>
      </c>
      <c r="V17" s="29"/>
      <c r="W17" s="40" t="s">
        <v>40</v>
      </c>
      <c r="X17" s="40"/>
      <c r="Y17" s="11" t="s">
        <v>41</v>
      </c>
      <c r="Z17" s="17"/>
    </row>
    <row r="18" spans="1:26" ht="18" customHeight="1" x14ac:dyDescent="0.2">
      <c r="A18" s="29" t="s">
        <v>42</v>
      </c>
      <c r="B18" s="29"/>
      <c r="C18" s="19">
        <v>7240110355</v>
      </c>
      <c r="D18" s="55" t="s">
        <v>43</v>
      </c>
      <c r="E18" s="55"/>
      <c r="F18" s="40" t="s">
        <v>44</v>
      </c>
      <c r="G18" s="40"/>
      <c r="H18" s="40"/>
      <c r="I18" s="40"/>
      <c r="J18" s="55" t="s">
        <v>45</v>
      </c>
      <c r="K18" s="55"/>
      <c r="L18" s="45">
        <v>1315.2</v>
      </c>
      <c r="M18" s="45"/>
      <c r="N18" s="43">
        <v>0</v>
      </c>
      <c r="O18" s="43"/>
      <c r="P18" s="56">
        <v>1</v>
      </c>
      <c r="Q18" s="56"/>
      <c r="R18" s="43">
        <v>1</v>
      </c>
      <c r="S18" s="43"/>
      <c r="T18" s="21">
        <v>75</v>
      </c>
      <c r="U18" s="43">
        <v>0</v>
      </c>
      <c r="V18" s="43"/>
      <c r="W18" s="43"/>
      <c r="X18" s="43"/>
      <c r="Y18" s="22">
        <v>-750.77</v>
      </c>
      <c r="Z18" s="17"/>
    </row>
    <row r="19" spans="1:26" ht="9.9499999999999993" customHeight="1" x14ac:dyDescent="0.2">
      <c r="A19" s="20" t="s">
        <v>46</v>
      </c>
      <c r="B19" s="29" t="s">
        <v>47</v>
      </c>
      <c r="C19" s="29"/>
      <c r="D19" s="29"/>
      <c r="E19" s="29"/>
      <c r="F19" s="29"/>
      <c r="G19" s="29"/>
      <c r="H19" s="29"/>
      <c r="I19" s="57">
        <v>-750.77</v>
      </c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"/>
    </row>
    <row r="20" spans="1:26" ht="15.95" customHeight="1" x14ac:dyDescent="0.2">
      <c r="A20" s="20" t="s">
        <v>46</v>
      </c>
      <c r="B20" s="29" t="s">
        <v>48</v>
      </c>
      <c r="C20" s="29"/>
      <c r="D20" s="29"/>
      <c r="E20" s="29"/>
      <c r="F20" s="29"/>
      <c r="G20" s="29"/>
      <c r="H20" s="29"/>
      <c r="I20" s="43">
        <v>0</v>
      </c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17"/>
    </row>
    <row r="21" spans="1:26" ht="9" customHeight="1" x14ac:dyDescent="0.2">
      <c r="A21" s="20" t="s">
        <v>42</v>
      </c>
      <c r="B21" s="58">
        <v>7240098074</v>
      </c>
      <c r="C21" s="58"/>
      <c r="D21" s="55" t="s">
        <v>49</v>
      </c>
      <c r="E21" s="55"/>
      <c r="F21" s="40" t="s">
        <v>50</v>
      </c>
      <c r="G21" s="40"/>
      <c r="H21" s="40"/>
      <c r="I21" s="59" t="s">
        <v>51</v>
      </c>
      <c r="J21" s="59"/>
      <c r="K21" s="59"/>
      <c r="L21" s="42">
        <v>741.72</v>
      </c>
      <c r="M21" s="42"/>
      <c r="N21" s="43">
        <v>61.81</v>
      </c>
      <c r="O21" s="43"/>
      <c r="P21" s="56">
        <v>1</v>
      </c>
      <c r="Q21" s="56"/>
      <c r="R21" s="43">
        <v>61.81</v>
      </c>
      <c r="S21" s="43"/>
      <c r="T21" s="21">
        <v>75</v>
      </c>
      <c r="U21" s="60">
        <v>1.37</v>
      </c>
      <c r="V21" s="60"/>
      <c r="W21" s="43">
        <v>0</v>
      </c>
      <c r="X21" s="43"/>
      <c r="Y21" s="15">
        <v>84.68</v>
      </c>
      <c r="Z21" s="5"/>
    </row>
    <row r="22" spans="1:26" ht="12" customHeight="1" x14ac:dyDescent="0.2">
      <c r="A22" s="20" t="s">
        <v>42</v>
      </c>
      <c r="B22" s="58">
        <v>7240098094</v>
      </c>
      <c r="C22" s="58"/>
      <c r="D22" s="55" t="s">
        <v>49</v>
      </c>
      <c r="E22" s="55"/>
      <c r="F22" s="40" t="s">
        <v>50</v>
      </c>
      <c r="G22" s="40"/>
      <c r="H22" s="40"/>
      <c r="I22" s="59" t="s">
        <v>51</v>
      </c>
      <c r="J22" s="59"/>
      <c r="K22" s="59"/>
      <c r="L22" s="42">
        <v>537.48</v>
      </c>
      <c r="M22" s="42"/>
      <c r="N22" s="43">
        <v>44.79</v>
      </c>
      <c r="O22" s="43"/>
      <c r="P22" s="56">
        <v>1</v>
      </c>
      <c r="Q22" s="56"/>
      <c r="R22" s="43">
        <v>44.79</v>
      </c>
      <c r="S22" s="43"/>
      <c r="T22" s="21">
        <v>75</v>
      </c>
      <c r="U22" s="60">
        <v>1.37</v>
      </c>
      <c r="V22" s="60"/>
      <c r="W22" s="43">
        <v>0.02</v>
      </c>
      <c r="X22" s="43"/>
      <c r="Y22" s="15">
        <v>61.36</v>
      </c>
      <c r="Z22" s="5"/>
    </row>
    <row r="23" spans="1:26" ht="11.1" customHeight="1" x14ac:dyDescent="0.2">
      <c r="A23" s="20" t="s">
        <v>46</v>
      </c>
      <c r="B23" s="29" t="s">
        <v>52</v>
      </c>
      <c r="C23" s="29"/>
      <c r="D23" s="29"/>
      <c r="E23" s="29"/>
      <c r="F23" s="29"/>
      <c r="G23" s="29"/>
      <c r="H23" s="29"/>
      <c r="I23" s="43">
        <v>0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5"/>
    </row>
    <row r="24" spans="1:26" ht="15.6" customHeight="1" x14ac:dyDescent="0.2">
      <c r="A24" s="20" t="s">
        <v>46</v>
      </c>
      <c r="B24" s="29" t="s">
        <v>53</v>
      </c>
      <c r="C24" s="29"/>
      <c r="D24" s="29"/>
      <c r="E24" s="29"/>
      <c r="F24" s="29"/>
      <c r="G24" s="29"/>
      <c r="H24" s="29"/>
      <c r="I24" s="43">
        <v>146.04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17"/>
    </row>
    <row r="25" spans="1:26" ht="12.6" customHeight="1" x14ac:dyDescent="0.2">
      <c r="A25" s="29" t="s">
        <v>54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1.1" customHeight="1" x14ac:dyDescent="0.2">
      <c r="A26" s="20" t="s">
        <v>46</v>
      </c>
      <c r="B26" s="29" t="s">
        <v>55</v>
      </c>
      <c r="C26" s="29"/>
      <c r="D26" s="29"/>
      <c r="E26" s="29"/>
      <c r="F26" s="29"/>
      <c r="G26" s="29"/>
      <c r="H26" s="29"/>
      <c r="I26" s="43">
        <v>0</v>
      </c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5"/>
    </row>
    <row r="27" spans="1:26" ht="15.6" customHeight="1" x14ac:dyDescent="0.2">
      <c r="A27" s="20" t="s">
        <v>46</v>
      </c>
      <c r="B27" s="29" t="s">
        <v>56</v>
      </c>
      <c r="C27" s="29"/>
      <c r="D27" s="29"/>
      <c r="E27" s="29"/>
      <c r="F27" s="29"/>
      <c r="G27" s="29"/>
      <c r="H27" s="29"/>
      <c r="I27" s="43">
        <v>69.39</v>
      </c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17"/>
    </row>
    <row r="28" spans="1:26" ht="12.6" customHeight="1" x14ac:dyDescent="0.2">
      <c r="A28" s="29" t="s">
        <v>57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1.1" customHeight="1" x14ac:dyDescent="0.2">
      <c r="A29" s="20" t="s">
        <v>46</v>
      </c>
      <c r="B29" s="29" t="s">
        <v>58</v>
      </c>
      <c r="C29" s="29"/>
      <c r="D29" s="29"/>
      <c r="E29" s="29"/>
      <c r="F29" s="29"/>
      <c r="G29" s="29"/>
      <c r="H29" s="29"/>
      <c r="I29" s="43">
        <v>0</v>
      </c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5"/>
    </row>
    <row r="30" spans="1:26" ht="15.6" customHeight="1" x14ac:dyDescent="0.2">
      <c r="A30" s="20" t="s">
        <v>46</v>
      </c>
      <c r="B30" s="29" t="s">
        <v>59</v>
      </c>
      <c r="C30" s="29"/>
      <c r="D30" s="29"/>
      <c r="E30" s="29"/>
      <c r="F30" s="29"/>
      <c r="G30" s="29"/>
      <c r="H30" s="29"/>
      <c r="I30" s="43">
        <v>107.64</v>
      </c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17"/>
    </row>
    <row r="31" spans="1:26" ht="18" customHeight="1" x14ac:dyDescent="0.2">
      <c r="A31" s="61" t="s">
        <v>60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0.95" customHeight="1" x14ac:dyDescent="0.2"/>
    <row r="33" spans="1:26" ht="9" customHeight="1" x14ac:dyDescent="0.2">
      <c r="A33" s="26" t="s">
        <v>0</v>
      </c>
      <c r="B33" s="26"/>
      <c r="C33" s="26"/>
      <c r="D33" s="26"/>
      <c r="E33" s="26"/>
      <c r="F33" s="26"/>
      <c r="G33" s="62" t="s">
        <v>1</v>
      </c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3" t="s">
        <v>61</v>
      </c>
      <c r="Z33" s="5"/>
    </row>
    <row r="34" spans="1:26" ht="9.9499999999999993" customHeight="1" x14ac:dyDescent="0.2">
      <c r="A34" s="29" t="s">
        <v>3</v>
      </c>
      <c r="B34" s="29"/>
      <c r="C34" s="29"/>
      <c r="D34" s="29"/>
      <c r="E34" s="29"/>
      <c r="F34" s="29"/>
      <c r="G34" s="37" t="s">
        <v>4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0"/>
      <c r="T34" s="30"/>
      <c r="U34" s="30"/>
      <c r="V34" s="30"/>
      <c r="W34" s="30"/>
      <c r="X34" s="30"/>
      <c r="Y34" s="5"/>
      <c r="Z34" s="5"/>
    </row>
    <row r="35" spans="1:26" ht="12.95" customHeight="1" x14ac:dyDescent="0.2">
      <c r="A35" s="32" t="s">
        <v>5</v>
      </c>
      <c r="B35" s="32"/>
      <c r="C35" s="32"/>
      <c r="D35" s="32"/>
      <c r="E35" s="32"/>
      <c r="F35" s="32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7"/>
      <c r="Z35" s="5"/>
    </row>
    <row r="36" spans="1:26" ht="9" customHeight="1" x14ac:dyDescent="0.2">
      <c r="A36" s="1" t="s">
        <v>62</v>
      </c>
      <c r="B36" s="63" t="s">
        <v>63</v>
      </c>
      <c r="C36" s="63"/>
      <c r="D36" s="64" t="s">
        <v>64</v>
      </c>
      <c r="E36" s="64"/>
      <c r="F36" s="64"/>
      <c r="G36" s="1" t="s">
        <v>65</v>
      </c>
      <c r="H36" s="65" t="s">
        <v>31</v>
      </c>
      <c r="I36" s="65"/>
      <c r="J36" s="1" t="s">
        <v>32</v>
      </c>
      <c r="K36" s="3" t="s">
        <v>66</v>
      </c>
      <c r="L36" s="64" t="s">
        <v>67</v>
      </c>
      <c r="M36" s="64"/>
      <c r="N36" s="64" t="s">
        <v>68</v>
      </c>
      <c r="O36" s="64"/>
      <c r="P36" s="63" t="s">
        <v>36</v>
      </c>
      <c r="Q36" s="63"/>
      <c r="R36" s="26" t="s">
        <v>69</v>
      </c>
      <c r="S36" s="26"/>
      <c r="T36" s="26"/>
      <c r="U36" s="26"/>
      <c r="V36" s="26"/>
      <c r="W36" s="26"/>
      <c r="X36" s="26"/>
      <c r="Y36" s="24" t="s">
        <v>66</v>
      </c>
      <c r="Z36" s="5"/>
    </row>
    <row r="37" spans="1:26" ht="9.9499999999999993" customHeight="1" x14ac:dyDescent="0.2">
      <c r="A37" s="4" t="s">
        <v>70</v>
      </c>
      <c r="B37" s="40" t="s">
        <v>71</v>
      </c>
      <c r="C37" s="40"/>
      <c r="D37" s="39" t="s">
        <v>70</v>
      </c>
      <c r="E37" s="39"/>
      <c r="F37" s="39"/>
      <c r="G37" s="4" t="s">
        <v>72</v>
      </c>
      <c r="H37" s="66" t="s">
        <v>73</v>
      </c>
      <c r="I37" s="66"/>
      <c r="J37" s="66"/>
      <c r="K37" s="66"/>
      <c r="L37" s="67" t="s">
        <v>74</v>
      </c>
      <c r="M37" s="67"/>
      <c r="N37" s="68" t="s">
        <v>75</v>
      </c>
      <c r="O37" s="68"/>
      <c r="P37" s="69" t="s">
        <v>76</v>
      </c>
      <c r="Q37" s="69"/>
      <c r="R37" s="69"/>
      <c r="S37" s="69"/>
      <c r="T37" s="69"/>
      <c r="U37" s="69"/>
      <c r="V37" s="69"/>
      <c r="W37" s="69"/>
      <c r="X37" s="20" t="s">
        <v>77</v>
      </c>
      <c r="Y37" s="10" t="s">
        <v>78</v>
      </c>
      <c r="Z37" s="5"/>
    </row>
    <row r="38" spans="1:26" ht="12.95" customHeight="1" x14ac:dyDescent="0.2">
      <c r="A38" s="29" t="s">
        <v>21</v>
      </c>
      <c r="B38" s="29"/>
      <c r="C38" s="29"/>
      <c r="D38" s="29"/>
      <c r="E38" s="29"/>
      <c r="F38" s="29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5"/>
    </row>
    <row r="39" spans="1:26" ht="9.9499999999999993" customHeight="1" x14ac:dyDescent="0.2">
      <c r="A39" s="4" t="s">
        <v>62</v>
      </c>
      <c r="B39" s="40" t="s">
        <v>63</v>
      </c>
      <c r="C39" s="40"/>
      <c r="D39" s="29" t="s">
        <v>79</v>
      </c>
      <c r="E39" s="29"/>
      <c r="F39" s="29"/>
      <c r="G39" s="70" t="s">
        <v>64</v>
      </c>
      <c r="H39" s="70"/>
      <c r="I39" s="70"/>
      <c r="J39" s="71" t="s">
        <v>80</v>
      </c>
      <c r="K39" s="71"/>
      <c r="L39" s="20" t="s">
        <v>81</v>
      </c>
      <c r="M39" s="38" t="s">
        <v>82</v>
      </c>
      <c r="N39" s="38"/>
      <c r="O39" s="20" t="s">
        <v>83</v>
      </c>
      <c r="P39" s="4" t="s">
        <v>84</v>
      </c>
      <c r="Q39" s="40" t="s">
        <v>85</v>
      </c>
      <c r="R39" s="40"/>
      <c r="S39" s="67" t="s">
        <v>68</v>
      </c>
      <c r="T39" s="67"/>
      <c r="U39" s="67"/>
      <c r="V39" s="55" t="s">
        <v>66</v>
      </c>
      <c r="W39" s="55"/>
      <c r="X39" s="20" t="s">
        <v>36</v>
      </c>
      <c r="Y39" s="10" t="s">
        <v>21</v>
      </c>
      <c r="Z39" s="5"/>
    </row>
    <row r="40" spans="1:26" ht="9.9499999999999993" customHeight="1" x14ac:dyDescent="0.2">
      <c r="A40" s="4" t="s">
        <v>70</v>
      </c>
      <c r="B40" s="40" t="s">
        <v>71</v>
      </c>
      <c r="C40" s="40"/>
      <c r="D40" s="40"/>
      <c r="E40" s="40"/>
      <c r="F40" s="40"/>
      <c r="G40" s="70" t="s">
        <v>70</v>
      </c>
      <c r="H40" s="70"/>
      <c r="I40" s="70"/>
      <c r="J40" s="71" t="s">
        <v>72</v>
      </c>
      <c r="K40" s="71"/>
      <c r="L40" s="20" t="s">
        <v>72</v>
      </c>
      <c r="M40" s="11" t="s">
        <v>73</v>
      </c>
      <c r="N40" s="31" t="s">
        <v>86</v>
      </c>
      <c r="O40" s="31"/>
      <c r="P40" s="31"/>
      <c r="Q40" s="31"/>
      <c r="R40" s="31"/>
      <c r="S40" s="31"/>
      <c r="T40" s="31"/>
      <c r="U40" s="31"/>
      <c r="V40" s="55" t="s">
        <v>87</v>
      </c>
      <c r="W40" s="55"/>
      <c r="X40" s="38" t="s">
        <v>66</v>
      </c>
      <c r="Y40" s="38"/>
      <c r="Z40" s="5"/>
    </row>
    <row r="41" spans="1:26" ht="12.95" customHeight="1" x14ac:dyDescent="0.2">
      <c r="A41" s="4" t="s">
        <v>42</v>
      </c>
      <c r="B41" s="72">
        <v>6250043034</v>
      </c>
      <c r="C41" s="72"/>
      <c r="D41" s="29" t="s">
        <v>88</v>
      </c>
      <c r="E41" s="29"/>
      <c r="F41" s="29"/>
      <c r="G41" s="29"/>
      <c r="H41" s="29"/>
      <c r="I41" s="29"/>
      <c r="J41" s="73">
        <v>45735</v>
      </c>
      <c r="K41" s="73"/>
      <c r="L41" s="29" t="s">
        <v>89</v>
      </c>
      <c r="M41" s="29"/>
      <c r="N41" s="25">
        <v>12</v>
      </c>
      <c r="O41" s="20" t="s">
        <v>90</v>
      </c>
      <c r="P41" s="67" t="s">
        <v>91</v>
      </c>
      <c r="Q41" s="67"/>
      <c r="R41" s="74">
        <v>92.25</v>
      </c>
      <c r="S41" s="74"/>
      <c r="T41" s="74"/>
      <c r="U41" s="74"/>
      <c r="V41" s="60">
        <v>0.9</v>
      </c>
      <c r="W41" s="60"/>
      <c r="X41" s="23">
        <v>1</v>
      </c>
      <c r="Y41" s="15">
        <v>83.03</v>
      </c>
      <c r="Z41" s="5"/>
    </row>
    <row r="42" spans="1:26" ht="12.95" customHeight="1" x14ac:dyDescent="0.2">
      <c r="A42" s="4" t="s">
        <v>46</v>
      </c>
      <c r="B42" s="29" t="s">
        <v>92</v>
      </c>
      <c r="C42" s="29"/>
      <c r="D42" s="29"/>
      <c r="E42" s="29"/>
      <c r="F42" s="29"/>
      <c r="G42" s="42">
        <v>92.25</v>
      </c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3">
        <v>83.03</v>
      </c>
      <c r="W42" s="43"/>
      <c r="X42" s="43"/>
      <c r="Y42" s="43"/>
      <c r="Z42" s="5"/>
    </row>
    <row r="43" spans="1:26" ht="12.95" customHeight="1" x14ac:dyDescent="0.2">
      <c r="A43" s="4" t="s">
        <v>42</v>
      </c>
      <c r="B43" s="72">
        <v>7240114997</v>
      </c>
      <c r="C43" s="72"/>
      <c r="D43" s="29" t="s">
        <v>93</v>
      </c>
      <c r="E43" s="29"/>
      <c r="F43" s="29"/>
      <c r="G43" s="70" t="s">
        <v>94</v>
      </c>
      <c r="H43" s="70"/>
      <c r="I43" s="70"/>
      <c r="J43" s="73">
        <v>45614</v>
      </c>
      <c r="K43" s="73"/>
      <c r="L43" s="29" t="s">
        <v>95</v>
      </c>
      <c r="M43" s="29"/>
      <c r="N43" s="25">
        <v>12</v>
      </c>
      <c r="O43" s="20" t="s">
        <v>96</v>
      </c>
      <c r="P43" s="67" t="s">
        <v>91</v>
      </c>
      <c r="Q43" s="67"/>
      <c r="R43" s="74">
        <v>184.87</v>
      </c>
      <c r="S43" s="74"/>
      <c r="T43" s="74"/>
      <c r="U43" s="74"/>
      <c r="V43" s="75">
        <v>0.94499999999999995</v>
      </c>
      <c r="W43" s="75"/>
      <c r="X43" s="23">
        <v>1</v>
      </c>
      <c r="Y43" s="15">
        <v>174.7</v>
      </c>
      <c r="Z43" s="5"/>
    </row>
    <row r="44" spans="1:26" ht="12.95" customHeight="1" x14ac:dyDescent="0.2">
      <c r="A44" s="4" t="s">
        <v>46</v>
      </c>
      <c r="B44" s="29" t="s">
        <v>97</v>
      </c>
      <c r="C44" s="29"/>
      <c r="D44" s="29"/>
      <c r="E44" s="29"/>
      <c r="F44" s="29"/>
      <c r="G44" s="42">
        <v>184.87</v>
      </c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3">
        <v>174.7</v>
      </c>
      <c r="W44" s="43"/>
      <c r="X44" s="43"/>
      <c r="Y44" s="43"/>
      <c r="Z44" s="5"/>
    </row>
    <row r="45" spans="1:26" ht="12.95" customHeight="1" x14ac:dyDescent="0.2">
      <c r="A45" s="4" t="s">
        <v>42</v>
      </c>
      <c r="B45" s="72">
        <v>7250065229</v>
      </c>
      <c r="C45" s="72"/>
      <c r="D45" s="29" t="s">
        <v>93</v>
      </c>
      <c r="E45" s="29"/>
      <c r="F45" s="29"/>
      <c r="G45" s="70" t="s">
        <v>98</v>
      </c>
      <c r="H45" s="70"/>
      <c r="I45" s="70"/>
      <c r="J45" s="73">
        <v>45792</v>
      </c>
      <c r="K45" s="73"/>
      <c r="L45" s="29" t="s">
        <v>99</v>
      </c>
      <c r="M45" s="29"/>
      <c r="N45" s="25">
        <v>12</v>
      </c>
      <c r="O45" s="20" t="s">
        <v>100</v>
      </c>
      <c r="P45" s="67" t="s">
        <v>91</v>
      </c>
      <c r="Q45" s="67"/>
      <c r="R45" s="74">
        <v>200.32</v>
      </c>
      <c r="S45" s="74"/>
      <c r="T45" s="74"/>
      <c r="U45" s="74"/>
      <c r="V45" s="75">
        <v>0.94499999999999995</v>
      </c>
      <c r="W45" s="75"/>
      <c r="X45" s="23">
        <v>1</v>
      </c>
      <c r="Y45" s="15">
        <v>189.3</v>
      </c>
      <c r="Z45" s="5"/>
    </row>
    <row r="46" spans="1:26" ht="12.95" customHeight="1" x14ac:dyDescent="0.2">
      <c r="A46" s="4" t="s">
        <v>46</v>
      </c>
      <c r="B46" s="29" t="s">
        <v>101</v>
      </c>
      <c r="C46" s="29"/>
      <c r="D46" s="29"/>
      <c r="E46" s="29"/>
      <c r="F46" s="29"/>
      <c r="G46" s="42">
        <v>200.32</v>
      </c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3">
        <v>189.3</v>
      </c>
      <c r="W46" s="43"/>
      <c r="X46" s="43"/>
      <c r="Y46" s="43"/>
      <c r="Z46" s="5"/>
    </row>
    <row r="47" spans="1:26" ht="9" customHeight="1" x14ac:dyDescent="0.2">
      <c r="A47" s="4" t="s">
        <v>42</v>
      </c>
      <c r="B47" s="72">
        <v>6240105791</v>
      </c>
      <c r="C47" s="72"/>
      <c r="D47" s="29" t="s">
        <v>102</v>
      </c>
      <c r="E47" s="29"/>
      <c r="F47" s="29"/>
      <c r="G47" s="29"/>
      <c r="H47" s="29"/>
      <c r="I47" s="29"/>
      <c r="J47" s="73">
        <v>45580</v>
      </c>
      <c r="K47" s="73"/>
      <c r="L47" s="29" t="s">
        <v>99</v>
      </c>
      <c r="M47" s="29"/>
      <c r="N47" s="25">
        <v>12</v>
      </c>
      <c r="O47" s="20" t="s">
        <v>103</v>
      </c>
      <c r="P47" s="67" t="s">
        <v>91</v>
      </c>
      <c r="Q47" s="67"/>
      <c r="R47" s="74">
        <v>77.11</v>
      </c>
      <c r="S47" s="74"/>
      <c r="T47" s="74"/>
      <c r="U47" s="74"/>
      <c r="V47" s="60">
        <v>0.9</v>
      </c>
      <c r="W47" s="60"/>
      <c r="X47" s="23">
        <v>1</v>
      </c>
      <c r="Y47" s="15">
        <v>0.01</v>
      </c>
      <c r="Z47" s="5"/>
    </row>
    <row r="48" spans="1:26" ht="9.9499999999999993" customHeight="1" x14ac:dyDescent="0.2">
      <c r="A48" s="4" t="s">
        <v>42</v>
      </c>
      <c r="B48" s="72">
        <v>7240127266</v>
      </c>
      <c r="C48" s="72"/>
      <c r="D48" s="29" t="s">
        <v>104</v>
      </c>
      <c r="E48" s="29"/>
      <c r="F48" s="29"/>
      <c r="G48" s="29"/>
      <c r="H48" s="29"/>
      <c r="I48" s="29"/>
      <c r="J48" s="73">
        <v>45641</v>
      </c>
      <c r="K48" s="73"/>
      <c r="L48" s="29" t="s">
        <v>99</v>
      </c>
      <c r="M48" s="29"/>
      <c r="N48" s="25">
        <v>12</v>
      </c>
      <c r="O48" s="20" t="s">
        <v>103</v>
      </c>
      <c r="P48" s="67" t="s">
        <v>91</v>
      </c>
      <c r="Q48" s="67"/>
      <c r="R48" s="74">
        <v>59.48</v>
      </c>
      <c r="S48" s="74"/>
      <c r="T48" s="74"/>
      <c r="U48" s="74"/>
      <c r="V48" s="60">
        <v>1.37</v>
      </c>
      <c r="W48" s="60"/>
      <c r="X48" s="23">
        <v>1</v>
      </c>
      <c r="Y48" s="15">
        <v>81.489999999999995</v>
      </c>
      <c r="Z48" s="5"/>
    </row>
    <row r="49" spans="1:26" ht="12.95" customHeight="1" x14ac:dyDescent="0.2">
      <c r="A49" s="4" t="s">
        <v>46</v>
      </c>
      <c r="B49" s="29" t="s">
        <v>105</v>
      </c>
      <c r="C49" s="29"/>
      <c r="D49" s="29"/>
      <c r="E49" s="29"/>
      <c r="F49" s="29"/>
      <c r="G49" s="42">
        <v>136.59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3">
        <v>81.5</v>
      </c>
      <c r="W49" s="43"/>
      <c r="X49" s="43"/>
      <c r="Y49" s="43"/>
      <c r="Z49" s="5"/>
    </row>
    <row r="50" spans="1:26" ht="12.95" customHeight="1" x14ac:dyDescent="0.2">
      <c r="A50" s="4" t="s">
        <v>42</v>
      </c>
      <c r="B50" s="72">
        <v>6250008497</v>
      </c>
      <c r="C50" s="72"/>
      <c r="D50" s="29" t="s">
        <v>106</v>
      </c>
      <c r="E50" s="29"/>
      <c r="F50" s="29"/>
      <c r="G50" s="29"/>
      <c r="H50" s="29"/>
      <c r="I50" s="29"/>
      <c r="J50" s="73">
        <v>45674</v>
      </c>
      <c r="K50" s="73"/>
      <c r="L50" s="29" t="s">
        <v>107</v>
      </c>
      <c r="M50" s="29"/>
      <c r="N50" s="25">
        <v>12</v>
      </c>
      <c r="O50" s="20" t="s">
        <v>108</v>
      </c>
      <c r="P50" s="67" t="s">
        <v>91</v>
      </c>
      <c r="Q50" s="67"/>
      <c r="R50" s="74">
        <v>147.24</v>
      </c>
      <c r="S50" s="74"/>
      <c r="T50" s="74"/>
      <c r="U50" s="74"/>
      <c r="V50" s="60">
        <v>0.9</v>
      </c>
      <c r="W50" s="60"/>
      <c r="X50" s="23">
        <v>1</v>
      </c>
      <c r="Y50" s="15">
        <v>132.52000000000001</v>
      </c>
      <c r="Z50" s="5"/>
    </row>
    <row r="51" spans="1:26" ht="12.95" customHeight="1" x14ac:dyDescent="0.2">
      <c r="A51" s="4" t="s">
        <v>46</v>
      </c>
      <c r="B51" s="29" t="s">
        <v>109</v>
      </c>
      <c r="C51" s="29"/>
      <c r="D51" s="29"/>
      <c r="E51" s="29"/>
      <c r="F51" s="29"/>
      <c r="G51" s="42">
        <v>147.24</v>
      </c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3">
        <v>132.52000000000001</v>
      </c>
      <c r="W51" s="43"/>
      <c r="X51" s="43"/>
      <c r="Y51" s="43"/>
      <c r="Z51" s="5"/>
    </row>
    <row r="52" spans="1:26" ht="12.95" customHeight="1" x14ac:dyDescent="0.2">
      <c r="A52" s="4" t="s">
        <v>42</v>
      </c>
      <c r="B52" s="72">
        <v>6240107609</v>
      </c>
      <c r="C52" s="72"/>
      <c r="D52" s="29" t="s">
        <v>110</v>
      </c>
      <c r="E52" s="29"/>
      <c r="F52" s="29"/>
      <c r="G52" s="29"/>
      <c r="H52" s="29"/>
      <c r="I52" s="29"/>
      <c r="J52" s="73">
        <v>45584</v>
      </c>
      <c r="K52" s="73"/>
      <c r="L52" s="29" t="s">
        <v>89</v>
      </c>
      <c r="M52" s="29"/>
      <c r="N52" s="25">
        <v>12</v>
      </c>
      <c r="O52" s="20" t="s">
        <v>111</v>
      </c>
      <c r="P52" s="67" t="s">
        <v>91</v>
      </c>
      <c r="Q52" s="67"/>
      <c r="R52" s="74">
        <v>119.62</v>
      </c>
      <c r="S52" s="74"/>
      <c r="T52" s="74"/>
      <c r="U52" s="74"/>
      <c r="V52" s="60">
        <v>0.9</v>
      </c>
      <c r="W52" s="60"/>
      <c r="X52" s="23">
        <v>1</v>
      </c>
      <c r="Y52" s="15">
        <v>0.02</v>
      </c>
      <c r="Z52" s="5"/>
    </row>
    <row r="53" spans="1:26" ht="12.95" customHeight="1" x14ac:dyDescent="0.2">
      <c r="A53" s="4" t="s">
        <v>46</v>
      </c>
      <c r="B53" s="29" t="s">
        <v>112</v>
      </c>
      <c r="C53" s="29"/>
      <c r="D53" s="29"/>
      <c r="E53" s="29"/>
      <c r="F53" s="29"/>
      <c r="G53" s="42">
        <v>119.62</v>
      </c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3">
        <v>0.02</v>
      </c>
      <c r="W53" s="43"/>
      <c r="X53" s="43"/>
      <c r="Y53" s="43"/>
      <c r="Z53" s="5"/>
    </row>
    <row r="54" spans="1:26" ht="9.9499999999999993" customHeight="1" x14ac:dyDescent="0.2">
      <c r="A54" s="4" t="s">
        <v>42</v>
      </c>
      <c r="B54" s="72">
        <v>7250025174</v>
      </c>
      <c r="C54" s="72"/>
      <c r="D54" s="29" t="s">
        <v>93</v>
      </c>
      <c r="E54" s="29"/>
      <c r="F54" s="29"/>
      <c r="G54" s="70" t="s">
        <v>113</v>
      </c>
      <c r="H54" s="70"/>
      <c r="I54" s="70"/>
      <c r="J54" s="73">
        <v>45706</v>
      </c>
      <c r="K54" s="73"/>
      <c r="L54" s="29" t="s">
        <v>95</v>
      </c>
      <c r="M54" s="29"/>
      <c r="N54" s="25">
        <v>12</v>
      </c>
      <c r="O54" s="20" t="s">
        <v>114</v>
      </c>
      <c r="P54" s="67" t="s">
        <v>91</v>
      </c>
      <c r="Q54" s="67"/>
      <c r="R54" s="74">
        <v>51.4</v>
      </c>
      <c r="S54" s="74"/>
      <c r="T54" s="74"/>
      <c r="U54" s="74"/>
      <c r="V54" s="75">
        <v>0.94499999999999995</v>
      </c>
      <c r="W54" s="75"/>
      <c r="X54" s="23">
        <v>1</v>
      </c>
      <c r="Y54" s="15">
        <v>48.57</v>
      </c>
      <c r="Z54" s="5"/>
    </row>
    <row r="55" spans="1:26" ht="9.9499999999999993" customHeight="1" x14ac:dyDescent="0.2">
      <c r="A55" s="4" t="s">
        <v>42</v>
      </c>
      <c r="B55" s="72">
        <v>7250025151</v>
      </c>
      <c r="C55" s="72"/>
      <c r="D55" s="29" t="s">
        <v>115</v>
      </c>
      <c r="E55" s="29"/>
      <c r="F55" s="29"/>
      <c r="G55" s="29"/>
      <c r="H55" s="55" t="s">
        <v>113</v>
      </c>
      <c r="I55" s="55"/>
      <c r="J55" s="73">
        <v>45706</v>
      </c>
      <c r="K55" s="73"/>
      <c r="L55" s="29" t="s">
        <v>95</v>
      </c>
      <c r="M55" s="29"/>
      <c r="N55" s="25">
        <v>12</v>
      </c>
      <c r="O55" s="20" t="s">
        <v>114</v>
      </c>
      <c r="P55" s="67" t="s">
        <v>91</v>
      </c>
      <c r="Q55" s="67"/>
      <c r="R55" s="74">
        <v>145.53</v>
      </c>
      <c r="S55" s="74"/>
      <c r="T55" s="74"/>
      <c r="U55" s="74"/>
      <c r="V55" s="60">
        <v>1.37</v>
      </c>
      <c r="W55" s="60"/>
      <c r="X55" s="23">
        <v>1</v>
      </c>
      <c r="Y55" s="15">
        <v>199.38</v>
      </c>
      <c r="Z55" s="5"/>
    </row>
    <row r="56" spans="1:26" ht="12.95" customHeight="1" x14ac:dyDescent="0.2">
      <c r="A56" s="4" t="s">
        <v>46</v>
      </c>
      <c r="B56" s="29" t="s">
        <v>116</v>
      </c>
      <c r="C56" s="29"/>
      <c r="D56" s="29"/>
      <c r="E56" s="29"/>
      <c r="F56" s="29"/>
      <c r="G56" s="42">
        <v>196.93</v>
      </c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3">
        <v>247.95</v>
      </c>
      <c r="W56" s="43"/>
      <c r="X56" s="43"/>
      <c r="Y56" s="43"/>
      <c r="Z56" s="5"/>
    </row>
    <row r="57" spans="1:26" ht="15.6" customHeight="1" x14ac:dyDescent="0.2">
      <c r="A57" s="29" t="s">
        <v>14</v>
      </c>
      <c r="B57" s="29"/>
      <c r="C57" s="29"/>
      <c r="D57" s="29"/>
      <c r="E57" s="29"/>
      <c r="F57" s="29"/>
      <c r="G57" s="45">
        <v>1077.82</v>
      </c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3">
        <v>909.02</v>
      </c>
      <c r="W57" s="43"/>
      <c r="X57" s="43"/>
      <c r="Y57" s="43"/>
      <c r="Z57" s="17"/>
    </row>
    <row r="58" spans="1:26" ht="9" customHeight="1" x14ac:dyDescent="0.2">
      <c r="A58" s="29" t="s">
        <v>117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</sheetData>
  <mergeCells count="287">
    <mergeCell ref="A57:F57"/>
    <mergeCell ref="G57:U57"/>
    <mergeCell ref="V57:Y57"/>
    <mergeCell ref="A58:Z58"/>
    <mergeCell ref="B55:C55"/>
    <mergeCell ref="D55:G55"/>
    <mergeCell ref="H55:I55"/>
    <mergeCell ref="J55:K55"/>
    <mergeCell ref="L55:M55"/>
    <mergeCell ref="P55:Q55"/>
    <mergeCell ref="R55:U55"/>
    <mergeCell ref="V55:W55"/>
    <mergeCell ref="B56:F56"/>
    <mergeCell ref="G56:U56"/>
    <mergeCell ref="V56:Y56"/>
    <mergeCell ref="B53:F53"/>
    <mergeCell ref="G53:U53"/>
    <mergeCell ref="V53:Y53"/>
    <mergeCell ref="B54:C54"/>
    <mergeCell ref="D54:F54"/>
    <mergeCell ref="G54:I54"/>
    <mergeCell ref="J54:K54"/>
    <mergeCell ref="L54:M54"/>
    <mergeCell ref="P54:Q54"/>
    <mergeCell ref="R54:U54"/>
    <mergeCell ref="V54:W54"/>
    <mergeCell ref="B51:F51"/>
    <mergeCell ref="G51:U51"/>
    <mergeCell ref="V51:Y51"/>
    <mergeCell ref="B52:C52"/>
    <mergeCell ref="D52:I52"/>
    <mergeCell ref="J52:K52"/>
    <mergeCell ref="L52:M52"/>
    <mergeCell ref="P52:Q52"/>
    <mergeCell ref="R52:U52"/>
    <mergeCell ref="V52:W52"/>
    <mergeCell ref="B49:F49"/>
    <mergeCell ref="G49:U49"/>
    <mergeCell ref="V49:Y49"/>
    <mergeCell ref="B50:C50"/>
    <mergeCell ref="D50:I50"/>
    <mergeCell ref="J50:K50"/>
    <mergeCell ref="L50:M50"/>
    <mergeCell ref="P50:Q50"/>
    <mergeCell ref="R50:U50"/>
    <mergeCell ref="V50:W50"/>
    <mergeCell ref="B47:C47"/>
    <mergeCell ref="D47:I47"/>
    <mergeCell ref="J47:K47"/>
    <mergeCell ref="L47:M47"/>
    <mergeCell ref="P47:Q47"/>
    <mergeCell ref="R47:U47"/>
    <mergeCell ref="V47:W47"/>
    <mergeCell ref="B48:C48"/>
    <mergeCell ref="D48:I48"/>
    <mergeCell ref="J48:K48"/>
    <mergeCell ref="L48:M48"/>
    <mergeCell ref="P48:Q48"/>
    <mergeCell ref="R48:U48"/>
    <mergeCell ref="V48:W48"/>
    <mergeCell ref="B45:C45"/>
    <mergeCell ref="D45:F45"/>
    <mergeCell ref="G45:I45"/>
    <mergeCell ref="J45:K45"/>
    <mergeCell ref="L45:M45"/>
    <mergeCell ref="P45:Q45"/>
    <mergeCell ref="R45:U45"/>
    <mergeCell ref="V45:W45"/>
    <mergeCell ref="B46:F46"/>
    <mergeCell ref="G46:U46"/>
    <mergeCell ref="V46:Y46"/>
    <mergeCell ref="B43:C43"/>
    <mergeCell ref="D43:F43"/>
    <mergeCell ref="G43:I43"/>
    <mergeCell ref="J43:K43"/>
    <mergeCell ref="L43:M43"/>
    <mergeCell ref="P43:Q43"/>
    <mergeCell ref="R43:U43"/>
    <mergeCell ref="V43:W43"/>
    <mergeCell ref="B44:F44"/>
    <mergeCell ref="G44:U44"/>
    <mergeCell ref="V44:Y44"/>
    <mergeCell ref="X40:Y40"/>
    <mergeCell ref="B41:C41"/>
    <mergeCell ref="D41:I41"/>
    <mergeCell ref="J41:K41"/>
    <mergeCell ref="L41:M41"/>
    <mergeCell ref="P41:Q41"/>
    <mergeCell ref="R41:U41"/>
    <mergeCell ref="V41:W41"/>
    <mergeCell ref="B42:F42"/>
    <mergeCell ref="G42:U42"/>
    <mergeCell ref="V42:Y42"/>
    <mergeCell ref="B39:C39"/>
    <mergeCell ref="D39:F39"/>
    <mergeCell ref="G39:I39"/>
    <mergeCell ref="J39:K39"/>
    <mergeCell ref="M39:N39"/>
    <mergeCell ref="Q39:R39"/>
    <mergeCell ref="S39:U39"/>
    <mergeCell ref="V39:W39"/>
    <mergeCell ref="B40:F40"/>
    <mergeCell ref="G40:I40"/>
    <mergeCell ref="J40:K40"/>
    <mergeCell ref="N40:U40"/>
    <mergeCell ref="V40:W40"/>
    <mergeCell ref="B37:C37"/>
    <mergeCell ref="D37:F37"/>
    <mergeCell ref="H37:K37"/>
    <mergeCell ref="L37:M37"/>
    <mergeCell ref="N37:O37"/>
    <mergeCell ref="P37:W37"/>
    <mergeCell ref="A38:F38"/>
    <mergeCell ref="G38:W38"/>
    <mergeCell ref="X38:Y38"/>
    <mergeCell ref="A35:F35"/>
    <mergeCell ref="G35:X35"/>
    <mergeCell ref="B36:C36"/>
    <mergeCell ref="D36:F36"/>
    <mergeCell ref="H36:I36"/>
    <mergeCell ref="L36:M36"/>
    <mergeCell ref="N36:O36"/>
    <mergeCell ref="P36:Q36"/>
    <mergeCell ref="R36:X36"/>
    <mergeCell ref="A28:Z28"/>
    <mergeCell ref="B29:H29"/>
    <mergeCell ref="I29:Y29"/>
    <mergeCell ref="B30:H30"/>
    <mergeCell ref="I30:Y30"/>
    <mergeCell ref="A31:Z31"/>
    <mergeCell ref="A33:F33"/>
    <mergeCell ref="G33:X33"/>
    <mergeCell ref="A34:F34"/>
    <mergeCell ref="G34:R34"/>
    <mergeCell ref="S34:X34"/>
    <mergeCell ref="W22:X22"/>
    <mergeCell ref="B23:H23"/>
    <mergeCell ref="I23:Y23"/>
    <mergeCell ref="B24:H24"/>
    <mergeCell ref="I24:Y24"/>
    <mergeCell ref="A25:Z25"/>
    <mergeCell ref="B26:H26"/>
    <mergeCell ref="I26:Y26"/>
    <mergeCell ref="B27:H27"/>
    <mergeCell ref="I27:Y27"/>
    <mergeCell ref="B22:C22"/>
    <mergeCell ref="D22:E22"/>
    <mergeCell ref="F22:H22"/>
    <mergeCell ref="I22:K22"/>
    <mergeCell ref="L22:M22"/>
    <mergeCell ref="N22:O22"/>
    <mergeCell ref="P22:Q22"/>
    <mergeCell ref="R22:S22"/>
    <mergeCell ref="U22:V22"/>
    <mergeCell ref="B19:H19"/>
    <mergeCell ref="I19:Y19"/>
    <mergeCell ref="B20:H20"/>
    <mergeCell ref="I20:Y20"/>
    <mergeCell ref="B21:C21"/>
    <mergeCell ref="D21:E21"/>
    <mergeCell ref="F21:H21"/>
    <mergeCell ref="I21:K21"/>
    <mergeCell ref="L21:M21"/>
    <mergeCell ref="N21:O21"/>
    <mergeCell ref="P21:Q21"/>
    <mergeCell ref="R21:S21"/>
    <mergeCell ref="U21:V21"/>
    <mergeCell ref="W21:X21"/>
    <mergeCell ref="A18:B18"/>
    <mergeCell ref="D18:E18"/>
    <mergeCell ref="F18:I18"/>
    <mergeCell ref="J18:K18"/>
    <mergeCell ref="L18:M18"/>
    <mergeCell ref="N18:O18"/>
    <mergeCell ref="P18:Q18"/>
    <mergeCell ref="R18:S18"/>
    <mergeCell ref="U18:X18"/>
    <mergeCell ref="A13:H13"/>
    <mergeCell ref="I13:X13"/>
    <mergeCell ref="A14:H14"/>
    <mergeCell ref="I14:X14"/>
    <mergeCell ref="A15:H15"/>
    <mergeCell ref="I15:X15"/>
    <mergeCell ref="A16:H16"/>
    <mergeCell ref="I16:X16"/>
    <mergeCell ref="A17:B17"/>
    <mergeCell ref="D17:E17"/>
    <mergeCell ref="F17:G17"/>
    <mergeCell ref="H17:I17"/>
    <mergeCell ref="L17:M17"/>
    <mergeCell ref="N17:O17"/>
    <mergeCell ref="P17:Q17"/>
    <mergeCell ref="R17:S17"/>
    <mergeCell ref="U17:V17"/>
    <mergeCell ref="W17:X17"/>
    <mergeCell ref="A11:D11"/>
    <mergeCell ref="F11:H11"/>
    <mergeCell ref="I11:J11"/>
    <mergeCell ref="L11:M11"/>
    <mergeCell ref="N11:O11"/>
    <mergeCell ref="P11:R11"/>
    <mergeCell ref="S11:U11"/>
    <mergeCell ref="V11:X11"/>
    <mergeCell ref="A12:D12"/>
    <mergeCell ref="F12:H12"/>
    <mergeCell ref="I12:J12"/>
    <mergeCell ref="L12:M12"/>
    <mergeCell ref="N12:O12"/>
    <mergeCell ref="P12:R12"/>
    <mergeCell ref="S12:U12"/>
    <mergeCell ref="V12:X12"/>
    <mergeCell ref="A9:D9"/>
    <mergeCell ref="F9:H9"/>
    <mergeCell ref="I9:J9"/>
    <mergeCell ref="L9:M9"/>
    <mergeCell ref="N9:O9"/>
    <mergeCell ref="P9:R9"/>
    <mergeCell ref="S9:U9"/>
    <mergeCell ref="V9:X9"/>
    <mergeCell ref="A10:D10"/>
    <mergeCell ref="F10:H10"/>
    <mergeCell ref="I10:J10"/>
    <mergeCell ref="L10:M10"/>
    <mergeCell ref="N10:O10"/>
    <mergeCell ref="P10:R10"/>
    <mergeCell ref="S10:U10"/>
    <mergeCell ref="V10:X10"/>
    <mergeCell ref="A7:D7"/>
    <mergeCell ref="F7:H7"/>
    <mergeCell ref="I7:J7"/>
    <mergeCell ref="L7:M7"/>
    <mergeCell ref="N7:O7"/>
    <mergeCell ref="P7:R7"/>
    <mergeCell ref="S7:U7"/>
    <mergeCell ref="V7:Y7"/>
    <mergeCell ref="A8:D8"/>
    <mergeCell ref="F8:H8"/>
    <mergeCell ref="I8:J8"/>
    <mergeCell ref="L8:M8"/>
    <mergeCell ref="N8:O8"/>
    <mergeCell ref="P8:R8"/>
    <mergeCell ref="S8:U8"/>
    <mergeCell ref="V8:Y8"/>
    <mergeCell ref="A5:E5"/>
    <mergeCell ref="F5:H5"/>
    <mergeCell ref="I5:J5"/>
    <mergeCell ref="L5:M5"/>
    <mergeCell ref="N5:R5"/>
    <mergeCell ref="S5:U5"/>
    <mergeCell ref="V5:X5"/>
    <mergeCell ref="A6:E6"/>
    <mergeCell ref="F6:H6"/>
    <mergeCell ref="I6:J6"/>
    <mergeCell ref="L6:M6"/>
    <mergeCell ref="N6:O6"/>
    <mergeCell ref="P6:R6"/>
    <mergeCell ref="S6:U6"/>
    <mergeCell ref="V6:X6"/>
    <mergeCell ref="A3:D3"/>
    <mergeCell ref="F3:H3"/>
    <mergeCell ref="I3:J3"/>
    <mergeCell ref="L3:M3"/>
    <mergeCell ref="N3:O3"/>
    <mergeCell ref="P3:R3"/>
    <mergeCell ref="S3:U3"/>
    <mergeCell ref="V3:X3"/>
    <mergeCell ref="A4:D4"/>
    <mergeCell ref="F4:H4"/>
    <mergeCell ref="I4:J4"/>
    <mergeCell ref="L4:M4"/>
    <mergeCell ref="N4:O4"/>
    <mergeCell ref="P4:R4"/>
    <mergeCell ref="S4:U4"/>
    <mergeCell ref="V4:X4"/>
    <mergeCell ref="A1:E1"/>
    <mergeCell ref="F1:H1"/>
    <mergeCell ref="I1:J1"/>
    <mergeCell ref="L1:M1"/>
    <mergeCell ref="N1:X1"/>
    <mergeCell ref="A2:E2"/>
    <mergeCell ref="F2:H2"/>
    <mergeCell ref="I2:J2"/>
    <mergeCell ref="L2:M2"/>
    <mergeCell ref="N2:O2"/>
    <mergeCell ref="P2:R2"/>
    <mergeCell ref="S2:U2"/>
    <mergeCell ref="V2:X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BF57-1AC2-4C9F-BB15-7E574C68AF1B}">
  <dimension ref="A1:AJ23"/>
  <sheetViews>
    <sheetView tabSelected="1" workbookViewId="0">
      <selection activeCell="Q2" sqref="Q2:Q15"/>
    </sheetView>
  </sheetViews>
  <sheetFormatPr defaultRowHeight="15" customHeight="1" x14ac:dyDescent="0.2"/>
  <cols>
    <col min="1" max="1" width="7" style="93" bestFit="1" customWidth="1"/>
    <col min="2" max="2" width="12.83203125" style="93" bestFit="1" customWidth="1"/>
    <col min="3" max="3" width="21.33203125" style="93" bestFit="1" customWidth="1"/>
    <col min="4" max="4" width="21.33203125" style="93" customWidth="1"/>
    <col min="5" max="5" width="12.83203125" style="93" bestFit="1" customWidth="1"/>
    <col min="6" max="6" width="14" style="93" customWidth="1"/>
    <col min="7" max="7" width="13.6640625" style="93" bestFit="1" customWidth="1"/>
    <col min="8" max="9" width="13.6640625" style="93" customWidth="1"/>
    <col min="10" max="10" width="12.83203125" style="93" bestFit="1" customWidth="1"/>
    <col min="11" max="11" width="10.5" style="93" bestFit="1" customWidth="1"/>
    <col min="12" max="12" width="5.83203125" style="93" bestFit="1" customWidth="1"/>
    <col min="13" max="13" width="10.5" style="93" bestFit="1" customWidth="1"/>
    <col min="14" max="14" width="11.5" style="93" customWidth="1"/>
    <col min="15" max="15" width="11.6640625" style="93" bestFit="1" customWidth="1"/>
    <col min="16" max="16" width="9.5" style="93" bestFit="1" customWidth="1"/>
    <col min="17" max="17" width="10.5" style="93" bestFit="1" customWidth="1"/>
    <col min="18" max="18" width="13.1640625" style="117" customWidth="1"/>
    <col min="19" max="19" width="18" style="93" bestFit="1" customWidth="1"/>
    <col min="20" max="20" width="10.5" style="93" bestFit="1" customWidth="1"/>
    <col min="21" max="21" width="33.83203125" style="93" bestFit="1" customWidth="1"/>
    <col min="22" max="22" width="5.83203125" style="93" customWidth="1"/>
    <col min="23" max="23" width="7" style="93" bestFit="1" customWidth="1"/>
    <col min="24" max="24" width="6.1640625" style="93" bestFit="1" customWidth="1"/>
    <col min="25" max="25" width="7" style="93" bestFit="1" customWidth="1"/>
    <col min="26" max="26" width="6.1640625" style="93" bestFit="1" customWidth="1"/>
    <col min="27" max="28" width="9.33203125" style="93"/>
    <col min="29" max="29" width="22" style="93" customWidth="1"/>
    <col min="30" max="16384" width="9.33203125" style="93"/>
  </cols>
  <sheetData>
    <row r="1" spans="1:36" ht="15" customHeight="1" x14ac:dyDescent="0.2">
      <c r="A1" s="76" t="s">
        <v>128</v>
      </c>
      <c r="B1" s="76" t="s">
        <v>129</v>
      </c>
      <c r="C1" s="76" t="s">
        <v>130</v>
      </c>
      <c r="D1" s="76"/>
      <c r="E1" s="76" t="s">
        <v>131</v>
      </c>
      <c r="F1" s="76" t="s">
        <v>132</v>
      </c>
      <c r="G1" s="77"/>
      <c r="H1" s="77"/>
      <c r="I1" s="77"/>
      <c r="J1" s="76" t="s">
        <v>133</v>
      </c>
      <c r="K1" s="91" t="s">
        <v>134</v>
      </c>
      <c r="L1" s="76" t="s">
        <v>135</v>
      </c>
      <c r="M1" s="76" t="s">
        <v>136</v>
      </c>
      <c r="N1" s="76" t="s">
        <v>137</v>
      </c>
      <c r="O1" s="76" t="s">
        <v>138</v>
      </c>
      <c r="P1" s="76" t="s">
        <v>139</v>
      </c>
      <c r="Q1" s="77" t="s">
        <v>140</v>
      </c>
      <c r="R1" s="92"/>
      <c r="T1" s="76"/>
      <c r="V1" s="76"/>
      <c r="Y1" s="76"/>
      <c r="AA1" s="76"/>
      <c r="AC1" s="94"/>
    </row>
    <row r="2" spans="1:36" s="102" customFormat="1" ht="15" customHeight="1" x14ac:dyDescent="0.2">
      <c r="A2" s="84" t="s">
        <v>122</v>
      </c>
      <c r="B2" s="95">
        <v>7240110355</v>
      </c>
      <c r="C2" s="84" t="s">
        <v>146</v>
      </c>
      <c r="D2" s="84"/>
      <c r="E2" s="85">
        <v>45627</v>
      </c>
      <c r="F2" s="84" t="s">
        <v>126</v>
      </c>
      <c r="G2" s="85">
        <v>45809</v>
      </c>
      <c r="H2" s="86">
        <f>MONTH(G2-E2)</f>
        <v>6</v>
      </c>
      <c r="I2" s="86" t="s">
        <v>165</v>
      </c>
      <c r="J2" s="96">
        <v>1315.2</v>
      </c>
      <c r="K2" s="97">
        <f>750.77/137%</f>
        <v>548.00729927007296</v>
      </c>
      <c r="L2" s="98">
        <v>1</v>
      </c>
      <c r="M2" s="97">
        <v>1</v>
      </c>
      <c r="N2" s="95">
        <v>75</v>
      </c>
      <c r="O2" s="98">
        <v>1.37</v>
      </c>
      <c r="P2" s="97">
        <v>0</v>
      </c>
      <c r="Q2" s="99">
        <v>-750.77</v>
      </c>
      <c r="R2" s="100">
        <v>7470776</v>
      </c>
      <c r="S2" s="84" t="s">
        <v>118</v>
      </c>
      <c r="T2" s="101">
        <f>K2*O2</f>
        <v>750.77</v>
      </c>
      <c r="U2" s="102" t="s">
        <v>156</v>
      </c>
      <c r="V2" s="97"/>
      <c r="Y2" s="97"/>
      <c r="AA2" s="97"/>
      <c r="AD2" s="84"/>
      <c r="AE2" s="84"/>
      <c r="AF2" s="84"/>
      <c r="AG2" s="84"/>
      <c r="AH2" s="84"/>
      <c r="AI2" s="84"/>
    </row>
    <row r="3" spans="1:36" s="102" customFormat="1" ht="15" customHeight="1" x14ac:dyDescent="0.2">
      <c r="A3" s="84" t="s">
        <v>122</v>
      </c>
      <c r="B3" s="95">
        <v>7240098074</v>
      </c>
      <c r="C3" s="84" t="s">
        <v>147</v>
      </c>
      <c r="D3" s="84"/>
      <c r="E3" s="85">
        <v>45581</v>
      </c>
      <c r="F3" s="84" t="s">
        <v>127</v>
      </c>
      <c r="G3" s="85">
        <v>45824</v>
      </c>
      <c r="H3" s="86">
        <f t="shared" ref="H3:H6" si="0">MONTH(G3-E3)</f>
        <v>8</v>
      </c>
      <c r="I3" s="86" t="s">
        <v>165</v>
      </c>
      <c r="J3" s="97">
        <v>741.72</v>
      </c>
      <c r="K3" s="97">
        <v>61.81</v>
      </c>
      <c r="L3" s="98">
        <v>1</v>
      </c>
      <c r="M3" s="97">
        <v>61.81</v>
      </c>
      <c r="N3" s="95">
        <v>75</v>
      </c>
      <c r="O3" s="98">
        <v>1.37</v>
      </c>
      <c r="P3" s="97">
        <v>0</v>
      </c>
      <c r="Q3" s="97">
        <v>84.68</v>
      </c>
      <c r="R3" s="100">
        <v>8325282</v>
      </c>
      <c r="S3" s="84" t="s">
        <v>119</v>
      </c>
      <c r="T3" s="101">
        <f t="shared" ref="T3:T6" si="1">K3*O3</f>
        <v>84.679700000000011</v>
      </c>
      <c r="U3" s="102" t="s">
        <v>156</v>
      </c>
      <c r="V3" s="97"/>
      <c r="Y3" s="98"/>
      <c r="AA3" s="97"/>
      <c r="AD3" s="84"/>
      <c r="AE3" s="84"/>
      <c r="AF3" s="84"/>
      <c r="AG3" s="84"/>
      <c r="AH3" s="84"/>
      <c r="AI3" s="84"/>
    </row>
    <row r="4" spans="1:36" s="102" customFormat="1" ht="15" customHeight="1" x14ac:dyDescent="0.2">
      <c r="A4" s="84" t="s">
        <v>122</v>
      </c>
      <c r="B4" s="95">
        <v>7240098094</v>
      </c>
      <c r="C4" s="84" t="s">
        <v>148</v>
      </c>
      <c r="D4" s="84"/>
      <c r="E4" s="85">
        <v>45581</v>
      </c>
      <c r="F4" s="84" t="s">
        <v>127</v>
      </c>
      <c r="G4" s="85">
        <v>45824</v>
      </c>
      <c r="H4" s="86">
        <f t="shared" si="0"/>
        <v>8</v>
      </c>
      <c r="I4" s="86" t="s">
        <v>165</v>
      </c>
      <c r="J4" s="97">
        <v>537.48</v>
      </c>
      <c r="K4" s="97">
        <v>44.79</v>
      </c>
      <c r="L4" s="98">
        <v>1</v>
      </c>
      <c r="M4" s="97">
        <v>44.79</v>
      </c>
      <c r="N4" s="95">
        <v>75</v>
      </c>
      <c r="O4" s="98">
        <v>1.37</v>
      </c>
      <c r="P4" s="97">
        <v>0.02</v>
      </c>
      <c r="Q4" s="97">
        <v>61.36</v>
      </c>
      <c r="R4" s="100">
        <v>8325282</v>
      </c>
      <c r="S4" s="84" t="s">
        <v>119</v>
      </c>
      <c r="T4" s="101">
        <f t="shared" si="1"/>
        <v>61.362300000000005</v>
      </c>
      <c r="U4" s="102" t="s">
        <v>156</v>
      </c>
      <c r="V4" s="97"/>
      <c r="Y4" s="98"/>
      <c r="AA4" s="97"/>
      <c r="AD4" s="84"/>
      <c r="AE4" s="84"/>
      <c r="AF4" s="84"/>
      <c r="AG4" s="84"/>
      <c r="AH4" s="84"/>
      <c r="AI4" s="84"/>
    </row>
    <row r="5" spans="1:36" ht="15" customHeight="1" x14ac:dyDescent="0.2">
      <c r="A5" s="76" t="s">
        <v>122</v>
      </c>
      <c r="B5" s="76">
        <v>6240105791</v>
      </c>
      <c r="C5" s="76" t="s">
        <v>149</v>
      </c>
      <c r="D5" s="76"/>
      <c r="E5" s="78">
        <v>45580</v>
      </c>
      <c r="F5" s="76" t="s">
        <v>123</v>
      </c>
      <c r="G5" s="78">
        <v>45823</v>
      </c>
      <c r="H5" s="83">
        <f t="shared" si="0"/>
        <v>8</v>
      </c>
      <c r="I5" s="83" t="s">
        <v>124</v>
      </c>
      <c r="J5" s="79">
        <v>925.32</v>
      </c>
      <c r="K5" s="79">
        <v>77.11</v>
      </c>
      <c r="L5" s="80">
        <v>1</v>
      </c>
      <c r="M5" s="79">
        <v>77.11</v>
      </c>
      <c r="N5" s="76">
        <v>75</v>
      </c>
      <c r="O5" s="80">
        <v>0.9</v>
      </c>
      <c r="P5" s="79">
        <v>0</v>
      </c>
      <c r="Q5" s="79">
        <v>69.39</v>
      </c>
      <c r="R5" s="83">
        <v>9213293</v>
      </c>
      <c r="S5" s="76" t="s">
        <v>120</v>
      </c>
      <c r="T5" s="103">
        <f t="shared" si="1"/>
        <v>69.399000000000001</v>
      </c>
      <c r="U5" s="76" t="s">
        <v>157</v>
      </c>
      <c r="V5" s="76"/>
      <c r="W5" s="76"/>
      <c r="X5" s="76"/>
      <c r="Y5" s="76"/>
      <c r="Z5" s="76"/>
      <c r="AA5" s="76"/>
      <c r="AB5" s="76"/>
      <c r="AC5" s="76"/>
      <c r="AE5" s="76"/>
      <c r="AF5" s="76"/>
      <c r="AG5" s="76"/>
      <c r="AH5" s="76"/>
      <c r="AI5" s="76"/>
      <c r="AJ5" s="76"/>
    </row>
    <row r="6" spans="1:36" s="102" customFormat="1" ht="15" customHeight="1" x14ac:dyDescent="0.2">
      <c r="A6" s="84" t="s">
        <v>122</v>
      </c>
      <c r="B6" s="84">
        <v>6240107609</v>
      </c>
      <c r="C6" s="84" t="s">
        <v>150</v>
      </c>
      <c r="D6" s="84"/>
      <c r="E6" s="85">
        <v>45584</v>
      </c>
      <c r="F6" s="84" t="s">
        <v>125</v>
      </c>
      <c r="G6" s="85">
        <v>45823</v>
      </c>
      <c r="H6" s="86">
        <f t="shared" si="0"/>
        <v>8</v>
      </c>
      <c r="I6" s="86" t="s">
        <v>165</v>
      </c>
      <c r="J6" s="89">
        <v>1435.44</v>
      </c>
      <c r="K6" s="89">
        <v>119.62</v>
      </c>
      <c r="L6" s="90">
        <v>1</v>
      </c>
      <c r="M6" s="89">
        <v>119.62</v>
      </c>
      <c r="N6" s="84">
        <v>75</v>
      </c>
      <c r="O6" s="90">
        <v>0.9</v>
      </c>
      <c r="P6" s="89">
        <v>0</v>
      </c>
      <c r="Q6" s="89">
        <v>107.64</v>
      </c>
      <c r="R6" s="86">
        <v>9254978</v>
      </c>
      <c r="S6" s="84" t="s">
        <v>121</v>
      </c>
      <c r="T6" s="101">
        <f t="shared" si="1"/>
        <v>107.658</v>
      </c>
      <c r="U6" s="84" t="s">
        <v>157</v>
      </c>
      <c r="V6" s="84"/>
      <c r="W6" s="84"/>
      <c r="X6" s="84"/>
      <c r="Y6" s="84"/>
      <c r="Z6" s="84"/>
      <c r="AA6" s="84"/>
      <c r="AB6" s="84"/>
      <c r="AC6" s="84"/>
      <c r="AE6" s="84"/>
      <c r="AF6" s="84"/>
      <c r="AG6" s="84"/>
      <c r="AH6" s="84"/>
      <c r="AI6" s="84"/>
      <c r="AJ6" s="84"/>
    </row>
    <row r="7" spans="1:36" s="102" customFormat="1" ht="15" customHeight="1" x14ac:dyDescent="0.2">
      <c r="A7" s="84" t="s">
        <v>122</v>
      </c>
      <c r="B7" s="95">
        <v>6250043034</v>
      </c>
      <c r="C7" s="102" t="s">
        <v>159</v>
      </c>
      <c r="D7" s="84" t="s">
        <v>154</v>
      </c>
      <c r="E7" s="104">
        <v>45735</v>
      </c>
      <c r="F7" s="84" t="s">
        <v>126</v>
      </c>
      <c r="G7" s="85">
        <v>45827</v>
      </c>
      <c r="H7" s="86">
        <f t="shared" ref="H7:H15" si="2">MONTH(G7-E7)</f>
        <v>4</v>
      </c>
      <c r="I7" s="86" t="s">
        <v>165</v>
      </c>
      <c r="J7" s="84"/>
      <c r="K7" s="97">
        <v>92.25</v>
      </c>
      <c r="L7" s="98">
        <v>1</v>
      </c>
      <c r="N7" s="104"/>
      <c r="O7" s="98">
        <v>0.9</v>
      </c>
      <c r="P7" s="84"/>
      <c r="Q7" s="97">
        <v>83.03</v>
      </c>
      <c r="R7" s="100">
        <v>7470776</v>
      </c>
      <c r="S7" s="84" t="s">
        <v>118</v>
      </c>
      <c r="T7" s="101">
        <f t="shared" ref="T7:T15" si="3">K7*O7</f>
        <v>83.025000000000006</v>
      </c>
      <c r="U7" s="84" t="s">
        <v>157</v>
      </c>
      <c r="V7" s="97"/>
      <c r="W7" s="97"/>
      <c r="X7" s="97"/>
      <c r="Z7" s="98"/>
    </row>
    <row r="8" spans="1:36" s="102" customFormat="1" ht="15" customHeight="1" x14ac:dyDescent="0.2">
      <c r="A8" s="87" t="s">
        <v>122</v>
      </c>
      <c r="B8" s="95">
        <v>7240114997</v>
      </c>
      <c r="C8" s="84" t="s">
        <v>160</v>
      </c>
      <c r="D8" s="84" t="s">
        <v>141</v>
      </c>
      <c r="E8" s="104">
        <v>45614</v>
      </c>
      <c r="F8" s="88" t="s">
        <v>127</v>
      </c>
      <c r="G8" s="85">
        <v>45826</v>
      </c>
      <c r="H8" s="86">
        <f t="shared" si="2"/>
        <v>7</v>
      </c>
      <c r="I8" s="86" t="s">
        <v>165</v>
      </c>
      <c r="K8" s="97">
        <v>184.87</v>
      </c>
      <c r="L8" s="105">
        <v>1</v>
      </c>
      <c r="N8" s="104"/>
      <c r="O8" s="106">
        <v>0.94499999999999995</v>
      </c>
      <c r="P8" s="84"/>
      <c r="Q8" s="107">
        <v>174.7</v>
      </c>
      <c r="R8" s="100">
        <v>8325282</v>
      </c>
      <c r="S8" s="84" t="s">
        <v>119</v>
      </c>
      <c r="T8" s="101">
        <f t="shared" si="3"/>
        <v>174.70214999999999</v>
      </c>
      <c r="U8" s="102" t="s">
        <v>158</v>
      </c>
      <c r="V8" s="97"/>
      <c r="W8" s="97"/>
      <c r="X8" s="97"/>
      <c r="Z8" s="106"/>
    </row>
    <row r="9" spans="1:36" ht="15" customHeight="1" x14ac:dyDescent="0.2">
      <c r="A9" s="81" t="s">
        <v>122</v>
      </c>
      <c r="B9" s="108">
        <v>7250065229</v>
      </c>
      <c r="C9" s="76" t="s">
        <v>161</v>
      </c>
      <c r="D9" s="76" t="s">
        <v>141</v>
      </c>
      <c r="E9" s="109">
        <v>45792</v>
      </c>
      <c r="F9" s="82" t="s">
        <v>142</v>
      </c>
      <c r="G9" s="78">
        <v>45823</v>
      </c>
      <c r="H9" s="83">
        <f t="shared" si="2"/>
        <v>1</v>
      </c>
      <c r="I9" s="83" t="s">
        <v>124</v>
      </c>
      <c r="K9" s="110">
        <v>200.32</v>
      </c>
      <c r="L9" s="111">
        <v>1</v>
      </c>
      <c r="N9" s="109"/>
      <c r="O9" s="112">
        <v>0.94499999999999995</v>
      </c>
      <c r="P9" s="76"/>
      <c r="Q9" s="113">
        <v>189.3</v>
      </c>
      <c r="R9" s="83">
        <v>8977234</v>
      </c>
      <c r="S9" s="76" t="s">
        <v>151</v>
      </c>
      <c r="T9" s="103">
        <f t="shared" si="3"/>
        <v>189.30239999999998</v>
      </c>
      <c r="U9" s="93" t="s">
        <v>158</v>
      </c>
      <c r="V9" s="110"/>
      <c r="W9" s="110"/>
      <c r="X9" s="110"/>
      <c r="Z9" s="112"/>
    </row>
    <row r="10" spans="1:36" ht="15" customHeight="1" x14ac:dyDescent="0.2">
      <c r="A10" s="81" t="s">
        <v>122</v>
      </c>
      <c r="B10" s="108">
        <v>6240105791</v>
      </c>
      <c r="C10" s="76" t="s">
        <v>149</v>
      </c>
      <c r="D10" s="76" t="s">
        <v>154</v>
      </c>
      <c r="E10" s="109">
        <v>45580</v>
      </c>
      <c r="F10" s="82" t="s">
        <v>123</v>
      </c>
      <c r="G10" s="78">
        <v>45823</v>
      </c>
      <c r="H10" s="83">
        <f t="shared" si="2"/>
        <v>8</v>
      </c>
      <c r="I10" s="83" t="s">
        <v>124</v>
      </c>
      <c r="K10" s="110">
        <v>1.0999999999999999E-2</v>
      </c>
      <c r="L10" s="111">
        <v>1</v>
      </c>
      <c r="N10" s="109"/>
      <c r="O10" s="114">
        <v>0.9</v>
      </c>
      <c r="P10" s="76"/>
      <c r="Q10" s="113">
        <v>0.01</v>
      </c>
      <c r="R10" s="83">
        <v>9213293</v>
      </c>
      <c r="S10" s="76" t="s">
        <v>120</v>
      </c>
      <c r="T10" s="103">
        <f t="shared" si="3"/>
        <v>9.8999999999999991E-3</v>
      </c>
      <c r="U10" s="76" t="s">
        <v>157</v>
      </c>
      <c r="V10" s="110"/>
      <c r="W10" s="115"/>
      <c r="X10" s="116"/>
      <c r="Z10" s="114"/>
    </row>
    <row r="11" spans="1:36" ht="15" customHeight="1" x14ac:dyDescent="0.2">
      <c r="A11" s="81" t="s">
        <v>122</v>
      </c>
      <c r="B11" s="108">
        <v>7240127266</v>
      </c>
      <c r="C11" s="76" t="s">
        <v>162</v>
      </c>
      <c r="D11" s="76" t="s">
        <v>145</v>
      </c>
      <c r="E11" s="109">
        <v>45641</v>
      </c>
      <c r="F11" s="82" t="s">
        <v>123</v>
      </c>
      <c r="G11" s="78">
        <v>45823</v>
      </c>
      <c r="H11" s="83">
        <f t="shared" si="2"/>
        <v>6</v>
      </c>
      <c r="I11" s="83" t="s">
        <v>124</v>
      </c>
      <c r="K11" s="110">
        <v>59.48</v>
      </c>
      <c r="L11" s="111">
        <v>1</v>
      </c>
      <c r="N11" s="109"/>
      <c r="O11" s="114">
        <v>1.37</v>
      </c>
      <c r="P11" s="76"/>
      <c r="Q11" s="113">
        <v>81.489999999999995</v>
      </c>
      <c r="R11" s="83">
        <v>9213293</v>
      </c>
      <c r="S11" s="76" t="s">
        <v>120</v>
      </c>
      <c r="T11" s="103">
        <f t="shared" si="3"/>
        <v>81.4876</v>
      </c>
      <c r="U11" s="93" t="s">
        <v>156</v>
      </c>
      <c r="V11" s="110"/>
      <c r="W11" s="110"/>
      <c r="X11" s="110"/>
      <c r="Z11" s="114"/>
    </row>
    <row r="12" spans="1:36" ht="15" customHeight="1" x14ac:dyDescent="0.2">
      <c r="A12" s="81" t="s">
        <v>122</v>
      </c>
      <c r="B12" s="108">
        <v>6250008497</v>
      </c>
      <c r="C12" s="93" t="s">
        <v>155</v>
      </c>
      <c r="D12" s="76" t="s">
        <v>154</v>
      </c>
      <c r="E12" s="109">
        <v>45674</v>
      </c>
      <c r="F12" s="82" t="s">
        <v>143</v>
      </c>
      <c r="G12" s="78">
        <v>45825</v>
      </c>
      <c r="H12" s="83">
        <f t="shared" si="2"/>
        <v>5</v>
      </c>
      <c r="I12" s="83" t="s">
        <v>124</v>
      </c>
      <c r="K12" s="110">
        <v>147.24</v>
      </c>
      <c r="L12" s="111">
        <v>1</v>
      </c>
      <c r="N12" s="109"/>
      <c r="O12" s="114">
        <v>0.9</v>
      </c>
      <c r="P12" s="76"/>
      <c r="Q12" s="113">
        <v>132.52000000000001</v>
      </c>
      <c r="R12" s="83">
        <v>18754354</v>
      </c>
      <c r="S12" s="76" t="s">
        <v>152</v>
      </c>
      <c r="T12" s="103">
        <f t="shared" si="3"/>
        <v>132.51600000000002</v>
      </c>
      <c r="U12" s="76" t="s">
        <v>157</v>
      </c>
      <c r="V12" s="110"/>
      <c r="W12" s="110"/>
      <c r="X12" s="110"/>
      <c r="Z12" s="114"/>
    </row>
    <row r="13" spans="1:36" s="102" customFormat="1" ht="15" customHeight="1" x14ac:dyDescent="0.2">
      <c r="A13" s="87" t="s">
        <v>122</v>
      </c>
      <c r="B13" s="95">
        <v>6240107609</v>
      </c>
      <c r="C13" s="102" t="s">
        <v>150</v>
      </c>
      <c r="D13" s="84" t="s">
        <v>154</v>
      </c>
      <c r="E13" s="104">
        <v>45584</v>
      </c>
      <c r="F13" s="88" t="s">
        <v>125</v>
      </c>
      <c r="G13" s="85">
        <v>45827</v>
      </c>
      <c r="H13" s="86">
        <f t="shared" si="2"/>
        <v>8</v>
      </c>
      <c r="I13" s="86" t="s">
        <v>165</v>
      </c>
      <c r="K13" s="97">
        <v>0.02</v>
      </c>
      <c r="L13" s="105">
        <v>1</v>
      </c>
      <c r="N13" s="104"/>
      <c r="O13" s="98">
        <v>0.9</v>
      </c>
      <c r="P13" s="84"/>
      <c r="Q13" s="107">
        <v>0.02</v>
      </c>
      <c r="R13" s="86">
        <v>9254978</v>
      </c>
      <c r="S13" s="84" t="s">
        <v>121</v>
      </c>
      <c r="T13" s="101">
        <f t="shared" si="3"/>
        <v>1.8000000000000002E-2</v>
      </c>
      <c r="U13" s="84" t="s">
        <v>157</v>
      </c>
      <c r="V13" s="97"/>
      <c r="W13" s="97"/>
      <c r="X13" s="97"/>
      <c r="Z13" s="98"/>
    </row>
    <row r="14" spans="1:36" s="102" customFormat="1" ht="15" customHeight="1" x14ac:dyDescent="0.2">
      <c r="A14" s="87" t="s">
        <v>122</v>
      </c>
      <c r="B14" s="95">
        <v>7250025174</v>
      </c>
      <c r="C14" s="84" t="s">
        <v>163</v>
      </c>
      <c r="D14" s="84" t="s">
        <v>141</v>
      </c>
      <c r="E14" s="104">
        <v>45706</v>
      </c>
      <c r="F14" s="88" t="s">
        <v>144</v>
      </c>
      <c r="G14" s="85">
        <v>45826</v>
      </c>
      <c r="H14" s="86">
        <f t="shared" si="2"/>
        <v>4</v>
      </c>
      <c r="I14" s="86" t="s">
        <v>165</v>
      </c>
      <c r="K14" s="97">
        <v>51.4</v>
      </c>
      <c r="L14" s="105">
        <v>1</v>
      </c>
      <c r="N14" s="104"/>
      <c r="O14" s="106">
        <v>0.94499999999999995</v>
      </c>
      <c r="P14" s="84"/>
      <c r="Q14" s="107">
        <v>48.57</v>
      </c>
      <c r="R14" s="86">
        <v>17126004</v>
      </c>
      <c r="S14" s="84" t="s">
        <v>153</v>
      </c>
      <c r="T14" s="101">
        <f t="shared" si="3"/>
        <v>48.572999999999993</v>
      </c>
      <c r="U14" s="102" t="s">
        <v>158</v>
      </c>
      <c r="V14" s="97"/>
      <c r="W14" s="97"/>
      <c r="X14" s="97"/>
      <c r="Z14" s="106"/>
    </row>
    <row r="15" spans="1:36" s="102" customFormat="1" ht="15" customHeight="1" x14ac:dyDescent="0.2">
      <c r="A15" s="87" t="s">
        <v>122</v>
      </c>
      <c r="B15" s="95">
        <v>7250025151</v>
      </c>
      <c r="C15" s="84" t="s">
        <v>164</v>
      </c>
      <c r="D15" s="84" t="s">
        <v>145</v>
      </c>
      <c r="E15" s="104">
        <v>45706</v>
      </c>
      <c r="F15" s="88" t="s">
        <v>144</v>
      </c>
      <c r="G15" s="85">
        <v>45826</v>
      </c>
      <c r="H15" s="86">
        <f t="shared" si="2"/>
        <v>4</v>
      </c>
      <c r="I15" s="86" t="s">
        <v>165</v>
      </c>
      <c r="K15" s="97">
        <v>145.53</v>
      </c>
      <c r="L15" s="105">
        <v>1</v>
      </c>
      <c r="N15" s="104"/>
      <c r="O15" s="98">
        <v>1.37</v>
      </c>
      <c r="P15" s="84"/>
      <c r="Q15" s="107">
        <v>199.38</v>
      </c>
      <c r="R15" s="86">
        <v>17126004</v>
      </c>
      <c r="S15" s="84" t="s">
        <v>153</v>
      </c>
      <c r="T15" s="101">
        <f t="shared" si="3"/>
        <v>199.37610000000001</v>
      </c>
      <c r="U15" s="102" t="s">
        <v>156</v>
      </c>
      <c r="V15" s="97"/>
      <c r="W15" s="97"/>
      <c r="X15" s="97"/>
      <c r="Z15" s="98"/>
    </row>
    <row r="22" spans="1:29" ht="15" customHeight="1" x14ac:dyDescent="0.2">
      <c r="A22" s="76"/>
      <c r="B22" s="76"/>
      <c r="C22" s="76"/>
      <c r="F22" s="76"/>
      <c r="G22" s="76"/>
      <c r="H22" s="76"/>
      <c r="I22" s="76"/>
      <c r="J22" s="79"/>
      <c r="K22" s="79"/>
      <c r="L22" s="80"/>
      <c r="M22" s="79"/>
      <c r="N22" s="76"/>
      <c r="O22" s="80"/>
      <c r="P22" s="79"/>
      <c r="Q22" s="79"/>
      <c r="R22" s="83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</row>
    <row r="23" spans="1:29" ht="15" customHeight="1" x14ac:dyDescent="0.2">
      <c r="A23" s="76"/>
      <c r="B23" s="76"/>
      <c r="C23" s="76"/>
      <c r="F23" s="76"/>
      <c r="G23" s="76"/>
      <c r="H23" s="76"/>
      <c r="I23" s="76"/>
      <c r="J23" s="79"/>
      <c r="K23" s="79"/>
      <c r="L23" s="80"/>
      <c r="M23" s="79"/>
      <c r="N23" s="76"/>
      <c r="O23" s="80"/>
      <c r="P23" s="79"/>
      <c r="Q23" s="79"/>
      <c r="R23" s="83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Cabel, Denisse Raeka</cp:lastModifiedBy>
  <dcterms:created xsi:type="dcterms:W3CDTF">2025-06-26T16:58:15Z</dcterms:created>
  <dcterms:modified xsi:type="dcterms:W3CDTF">2025-07-01T15:21:30Z</dcterms:modified>
</cp:coreProperties>
</file>