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51D8D17E-D34C-4517-9DFB-B4E90A7AED97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Sheet1" sheetId="2" r:id="rId2"/>
    <sheet name="Sheet3" sheetId="4" r:id="rId3"/>
  </sheets>
  <externalReferences>
    <externalReference r:id="rId4"/>
  </externalReferences>
  <definedNames>
    <definedName name="_xlnm._FilterDatabase" localSheetId="1" hidden="1">Sheet1!$A$1:$O$98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J8" i="2"/>
  <c r="J35" i="2"/>
  <c r="J9" i="2"/>
  <c r="J61" i="2"/>
  <c r="J36" i="2"/>
  <c r="J31" i="2"/>
  <c r="J37" i="2"/>
  <c r="J50" i="2"/>
  <c r="J19" i="2"/>
  <c r="J5" i="2"/>
  <c r="J15" i="2"/>
  <c r="J51" i="2"/>
  <c r="J10" i="2"/>
  <c r="J64" i="2"/>
  <c r="J58" i="2"/>
  <c r="J72" i="2"/>
  <c r="J18" i="2"/>
  <c r="J73" i="2"/>
  <c r="J20" i="2"/>
  <c r="J21" i="2"/>
  <c r="J59" i="2"/>
  <c r="J32" i="2"/>
  <c r="J34" i="2"/>
  <c r="J11" i="2"/>
  <c r="J74" i="2"/>
  <c r="J56" i="2"/>
  <c r="J75" i="2"/>
  <c r="J22" i="2"/>
  <c r="J38" i="2"/>
  <c r="J60" i="2"/>
  <c r="J33" i="2"/>
  <c r="J23" i="2"/>
  <c r="J76" i="2"/>
  <c r="J68" i="2"/>
  <c r="J30" i="2"/>
  <c r="J39" i="2"/>
  <c r="J7" i="2"/>
  <c r="J77" i="2"/>
  <c r="J24" i="2"/>
  <c r="J40" i="2"/>
  <c r="J63" i="2"/>
  <c r="J65" i="2"/>
  <c r="J41" i="2"/>
  <c r="J12" i="2"/>
  <c r="J52" i="2"/>
  <c r="J53" i="2"/>
  <c r="J78" i="2"/>
  <c r="J42" i="2"/>
  <c r="J43" i="2"/>
  <c r="J79" i="2"/>
  <c r="J2" i="2"/>
  <c r="J44" i="2"/>
  <c r="J6" i="2"/>
  <c r="J69" i="2"/>
  <c r="J54" i="2"/>
  <c r="J70" i="2"/>
  <c r="J80" i="2"/>
  <c r="J57" i="2"/>
  <c r="J97" i="2"/>
  <c r="J66" i="2"/>
  <c r="J25" i="2"/>
  <c r="J17" i="2"/>
  <c r="J81" i="2"/>
  <c r="J82" i="2"/>
  <c r="J83" i="2"/>
  <c r="J84" i="2"/>
  <c r="J26" i="2"/>
  <c r="J85" i="2"/>
  <c r="J71" i="2"/>
  <c r="J62" i="2"/>
  <c r="J98" i="2"/>
  <c r="J86" i="2"/>
  <c r="J87" i="2"/>
  <c r="J88" i="2"/>
  <c r="J16" i="2"/>
  <c r="J45" i="2"/>
  <c r="J46" i="2"/>
  <c r="J89" i="2"/>
  <c r="J55" i="2"/>
  <c r="J27" i="2"/>
  <c r="J90" i="2"/>
  <c r="J91" i="2"/>
  <c r="J47" i="2"/>
  <c r="J3" i="2"/>
  <c r="J92" i="2"/>
  <c r="J13" i="2"/>
  <c r="J28" i="2"/>
  <c r="J4" i="2"/>
  <c r="J93" i="2"/>
  <c r="J29" i="2"/>
  <c r="J48" i="2"/>
  <c r="J14" i="2"/>
  <c r="J94" i="2"/>
  <c r="J67" i="2"/>
  <c r="J95" i="2"/>
  <c r="J96" i="2"/>
  <c r="J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<sst xmlns="http://schemas.openxmlformats.org/spreadsheetml/2006/main" count="3234" uniqueCount="248">
  <si>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</si>
  <si>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</si>
  <si>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</si>
  <si>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</si>
  <si>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</si>
  <si>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</si>
  <si>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</si>
  <si>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</si>
  <si>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</si>
  <si>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</si>
  <si>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</si>
  <si>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</si>
  <si>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</si>
  <si>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</si>
  <si>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</si>
  <si>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</si>
  <si>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</si>
  <si>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</si>
  <si>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</si>
  <si>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</si>
  <si>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</si>
  <si>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</si>
  <si>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</si>
  <si>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</si>
  <si>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</si>
  <si>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</si>
  <si>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</si>
  <si>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</si>
  <si>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</si>
  <si>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</si>
  <si>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</si>
  <si>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</si>
  <si>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</si>
  <si>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</si>
  <si>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2025-08-01</t>
  </si>
  <si>
    <t>MAIN LINE BENEFITS LLC</t>
  </si>
  <si>
    <t>*****8192</t>
  </si>
  <si>
    <t>5Q29Q</t>
  </si>
  <si>
    <t>ONE LIFE AMERICA LLC</t>
  </si>
  <si>
    <t>14JK2</t>
  </si>
  <si>
    <t>CHOI, ANDREW</t>
  </si>
  <si>
    <t>Overwrite Activity</t>
  </si>
  <si>
    <t>DURAY</t>
  </si>
  <si>
    <t>MNTHLY</t>
  </si>
  <si>
    <t>Life</t>
  </si>
  <si>
    <t>Term</t>
  </si>
  <si>
    <t>2025-06-26</t>
  </si>
  <si>
    <t/>
  </si>
  <si>
    <t>DUNK</t>
  </si>
  <si>
    <t>2024-12-28</t>
  </si>
  <si>
    <t>1FJU8</t>
  </si>
  <si>
    <t>ROLLER, JASON</t>
  </si>
  <si>
    <t>KOZA</t>
  </si>
  <si>
    <t>WILLIAMS</t>
  </si>
  <si>
    <t>HIVON</t>
  </si>
  <si>
    <t>2025-05-01</t>
  </si>
  <si>
    <t>WELTER</t>
  </si>
  <si>
    <t>ANNUAL</t>
  </si>
  <si>
    <t>SPASO</t>
  </si>
  <si>
    <t>DAVEY</t>
  </si>
  <si>
    <t>NOWAKOWSKI</t>
  </si>
  <si>
    <t>KARPIEL</t>
  </si>
  <si>
    <t>2025-01-01</t>
  </si>
  <si>
    <t>14MK0</t>
  </si>
  <si>
    <t>PORTUGAL, GARY</t>
  </si>
  <si>
    <t>BELL</t>
  </si>
  <si>
    <t>2025-06-05</t>
  </si>
  <si>
    <t>ROSS</t>
  </si>
  <si>
    <t>ENSING</t>
  </si>
  <si>
    <t>WEISS</t>
  </si>
  <si>
    <t>2025-04-01</t>
  </si>
  <si>
    <t>14JWQ</t>
  </si>
  <si>
    <t>CALTAGIRONE, RYAN</t>
  </si>
  <si>
    <t>KUDRNA</t>
  </si>
  <si>
    <t>NAHLEY</t>
  </si>
  <si>
    <t>SHIPKIN</t>
  </si>
  <si>
    <t>2025-02-01</t>
  </si>
  <si>
    <t>SAVOY</t>
  </si>
  <si>
    <t>Annualization Activity</t>
  </si>
  <si>
    <t>GALLINA</t>
  </si>
  <si>
    <t>RODRIGUEZ</t>
  </si>
  <si>
    <t>JAROS</t>
  </si>
  <si>
    <t>REYNA</t>
  </si>
  <si>
    <t>2025-07-28</t>
  </si>
  <si>
    <t>SILVA</t>
  </si>
  <si>
    <t>CRAWFORD</t>
  </si>
  <si>
    <t>JACKSON</t>
  </si>
  <si>
    <t>KIM</t>
  </si>
  <si>
    <t>2025-05-28</t>
  </si>
  <si>
    <t>PIRHOFER</t>
  </si>
  <si>
    <t>SPLANT</t>
  </si>
  <si>
    <t>FITZSIMMONS</t>
  </si>
  <si>
    <t>HAPNER</t>
  </si>
  <si>
    <t>SHEE</t>
  </si>
  <si>
    <t>GO MEDINA</t>
  </si>
  <si>
    <t>14JT4</t>
  </si>
  <si>
    <t>WALENGA, DALE</t>
  </si>
  <si>
    <t>SCIARRONE</t>
  </si>
  <si>
    <t>PILCHER</t>
  </si>
  <si>
    <t>2024-11-01</t>
  </si>
  <si>
    <t>DEVEE</t>
  </si>
  <si>
    <t>CONNOLLY</t>
  </si>
  <si>
    <t>MASELLA</t>
  </si>
  <si>
    <t>MEDINA</t>
  </si>
  <si>
    <t>PITTS</t>
  </si>
  <si>
    <t>2025-04-28</t>
  </si>
  <si>
    <t>RUSNAK</t>
  </si>
  <si>
    <t>OHARA</t>
  </si>
  <si>
    <t>NUTTLE</t>
  </si>
  <si>
    <t>RICHERT</t>
  </si>
  <si>
    <t>INTILE</t>
  </si>
  <si>
    <t>KRAMER</t>
  </si>
  <si>
    <t>BROOKS</t>
  </si>
  <si>
    <t>FORSBERG</t>
  </si>
  <si>
    <t>ZURAWSKI</t>
  </si>
  <si>
    <t>DICKSON</t>
  </si>
  <si>
    <t>2025-06-01</t>
  </si>
  <si>
    <t>2024-12-01</t>
  </si>
  <si>
    <t>REMIAS</t>
  </si>
  <si>
    <t>CONNERY</t>
  </si>
  <si>
    <t>2025-02-28</t>
  </si>
  <si>
    <t>TYNAN</t>
  </si>
  <si>
    <t>CARROLL</t>
  </si>
  <si>
    <t>CASSATO</t>
  </si>
  <si>
    <t>KAY</t>
  </si>
  <si>
    <t>POONOOSAMY</t>
  </si>
  <si>
    <t>TOBIAS</t>
  </si>
  <si>
    <t>SCHULD</t>
  </si>
  <si>
    <t>MCGARY</t>
  </si>
  <si>
    <t>HEIN</t>
  </si>
  <si>
    <t>FLANAGAN</t>
  </si>
  <si>
    <t>CROSBY</t>
  </si>
  <si>
    <t>BELL JR</t>
  </si>
  <si>
    <t>MIRASOL</t>
  </si>
  <si>
    <t>MILLER</t>
  </si>
  <si>
    <t>GROSS</t>
  </si>
  <si>
    <t>ETTERS</t>
  </si>
  <si>
    <t>187MH</t>
  </si>
  <si>
    <t>WERNER, STEVEN</t>
  </si>
  <si>
    <t>DALY</t>
  </si>
  <si>
    <t>2025-07-14</t>
  </si>
  <si>
    <t>PHELPS</t>
  </si>
  <si>
    <t>HILL</t>
  </si>
  <si>
    <t>2025-06-24</t>
  </si>
  <si>
    <t>RAMSEY</t>
  </si>
  <si>
    <t>CRESSY</t>
  </si>
  <si>
    <t>STOCKER</t>
  </si>
  <si>
    <t>SKENDER</t>
  </si>
  <si>
    <t>FORD</t>
  </si>
  <si>
    <t>paid to date</t>
  </si>
  <si>
    <t>months</t>
  </si>
  <si>
    <t>7470776AV9</t>
  </si>
  <si>
    <t>AV1</t>
  </si>
  <si>
    <t>AV</t>
  </si>
  <si>
    <t>AE</t>
  </si>
  <si>
    <t>SPASO,NOEL</t>
  </si>
  <si>
    <t>REYNA,JANAN</t>
  </si>
  <si>
    <t>SPASO,RAYMOND</t>
  </si>
  <si>
    <t>KRAMER,SANDRA</t>
  </si>
  <si>
    <t>SILVA,TERESA</t>
  </si>
  <si>
    <t>KOZA,MICHELLE</t>
  </si>
  <si>
    <t>WELTER,MAUREEN</t>
  </si>
  <si>
    <t>DAVEY,MARCIA</t>
  </si>
  <si>
    <t>DAVEY,THOMAS</t>
  </si>
  <si>
    <t>FITZSIMMONS,DEAN C</t>
  </si>
  <si>
    <t>DEVEE,PATRICIA</t>
  </si>
  <si>
    <t>WELTER,DAVID</t>
  </si>
  <si>
    <t>BROOKS,MARYANN</t>
  </si>
  <si>
    <t>DALY,KEVIN</t>
  </si>
  <si>
    <t>HILL,JENNIFER</t>
  </si>
  <si>
    <t>DURAY,GREGORY</t>
  </si>
  <si>
    <t>NOWAKOWSKI,KIMBERLY</t>
  </si>
  <si>
    <t>ROSS,KATHY</t>
  </si>
  <si>
    <t>NUTTLE,HEIDI</t>
  </si>
  <si>
    <t>DURAY,JUDITH</t>
  </si>
  <si>
    <t>KIM,DONG</t>
  </si>
  <si>
    <t>MILLER,MARK</t>
  </si>
  <si>
    <t>BELL,CYNTHIA F</t>
  </si>
  <si>
    <t>KIM,JOHN</t>
  </si>
  <si>
    <t>DICKSON,RANDOLPH</t>
  </si>
  <si>
    <t>BELL JR,MILTON C</t>
  </si>
  <si>
    <t>KUDRNA,RHONDA</t>
  </si>
  <si>
    <t>JAROS,CONNIE</t>
  </si>
  <si>
    <t>HAPNER,MELISSA</t>
  </si>
  <si>
    <t>HAPNER,THOMAS</t>
  </si>
  <si>
    <t>HIVON,MARK</t>
  </si>
  <si>
    <t>HIVON,CHRISTINE</t>
  </si>
  <si>
    <t>PITTS,LENA P</t>
  </si>
  <si>
    <t>WEISS,CRAIG</t>
  </si>
  <si>
    <t>RUSNAK,MAUREEN</t>
  </si>
  <si>
    <t>REMIAS,THERESA</t>
  </si>
  <si>
    <t>WEISS,JEAN</t>
  </si>
  <si>
    <t>SCIARRONE,ANTHONY P</t>
  </si>
  <si>
    <t>CONNERY,DENNIS</t>
  </si>
  <si>
    <t>SHIPKIN,JERRY</t>
  </si>
  <si>
    <t>CONNOLLY,DAWN</t>
  </si>
  <si>
    <t>SHIPKIN,ISABELLA</t>
  </si>
  <si>
    <t>FORSBERG,JEFFERY</t>
  </si>
  <si>
    <t>SCHULD,RICHARD</t>
  </si>
  <si>
    <t>DUNK,JOSEPH</t>
  </si>
  <si>
    <t>WILLIAMS,JESSICA</t>
  </si>
  <si>
    <t>KARPIEL,SHARON</t>
  </si>
  <si>
    <t>ENSING,RUTH</t>
  </si>
  <si>
    <t>NAHLEY,KAREN</t>
  </si>
  <si>
    <t>SAVOY,KONSTANTINE</t>
  </si>
  <si>
    <t>GALLINA,JOSEPH</t>
  </si>
  <si>
    <t>RODRIGUEZ,TAMARA</t>
  </si>
  <si>
    <t>CRAWFORD,PETER</t>
  </si>
  <si>
    <t>JACKSON,ESTER</t>
  </si>
  <si>
    <t>PIRHOFER,ALAN</t>
  </si>
  <si>
    <t>SPLANT,MARY</t>
  </si>
  <si>
    <t>SHEE,GAYLE</t>
  </si>
  <si>
    <t>GO MEDINA,ANNIE</t>
  </si>
  <si>
    <t>MASELLA,THOMAS</t>
  </si>
  <si>
    <t>MEDINA,LEANDRO</t>
  </si>
  <si>
    <t>OHARA,KELLYE</t>
  </si>
  <si>
    <t>RICHERT,MARCELLA</t>
  </si>
  <si>
    <t>INTILE,CONCETTA</t>
  </si>
  <si>
    <t>ZURAWSKI,SANDRA</t>
  </si>
  <si>
    <t>SHEE,DONALD</t>
  </si>
  <si>
    <t>TYNAN,LAURA</t>
  </si>
  <si>
    <t>CARROLL,ROGER</t>
  </si>
  <si>
    <t>CASSATO,JAMES</t>
  </si>
  <si>
    <t>KAY,DONALD</t>
  </si>
  <si>
    <t>POONOOSAMY,SUSAN</t>
  </si>
  <si>
    <t>TOBIAS,MEIRION</t>
  </si>
  <si>
    <t>HEIN,CATHY</t>
  </si>
  <si>
    <t>FLANAGAN,MICHAEL</t>
  </si>
  <si>
    <t>CROSBY,DONALD</t>
  </si>
  <si>
    <t>MIRASOL,LEONIDAS</t>
  </si>
  <si>
    <t>GROSS,WILLIAM</t>
  </si>
  <si>
    <t>SAVOY,LEAH</t>
  </si>
  <si>
    <t>ETTERS,JEFFREY</t>
  </si>
  <si>
    <t>PHELPS,PHYLLIS</t>
  </si>
  <si>
    <t>CRAWFORD,DEBRA</t>
  </si>
  <si>
    <t>KAY,DENISE</t>
  </si>
  <si>
    <t>RAMSEY,JOHN</t>
  </si>
  <si>
    <t>CRESSY,LAURA</t>
  </si>
  <si>
    <t>CRESSY,JEROME</t>
  </si>
  <si>
    <t>STOCKER,JOSEPHINE</t>
  </si>
  <si>
    <t>SKENDER,LOUIS</t>
  </si>
  <si>
    <t>FORD,DYAN</t>
  </si>
  <si>
    <t>GALLINA,JAMES</t>
  </si>
  <si>
    <t>MCGARY,JOHN</t>
  </si>
  <si>
    <t>PILCHER,TIMOTHY</t>
  </si>
  <si>
    <t>Corebridge Guaranteed Issue Whole Life (90)</t>
  </si>
  <si>
    <t>Corebridge SimpliNow Legacy Max (137)</t>
  </si>
  <si>
    <t>Corebridge SimpliNow Legacy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</si>
</sst>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9" fontId="1" fillId="0" borderId="0" xfId="1" applyFont="1"/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9" fontId="0" fillId="2" borderId="0" xfId="1" applyFont="1" applyFill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corebridge\book%20of%20business.xlsx" TargetMode="External"/><Relationship Id="rId1" Type="http://schemas.openxmlformats.org/officeDocument/2006/relationships/externalLinkPath" Target="/Shared%20drives/Main%20Line%20Benefits%20Office/Commissions/Commission%20Processing/Carrier%20Statements/corebridge/book%20of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Summary"/>
      <sheetName val="Sheet2"/>
    </sheetNames>
    <sheetDataSet>
      <sheetData sheetId="0"/>
      <sheetData sheetId="1">
        <row r="1">
          <cell r="A1">
            <v>6240075273</v>
          </cell>
          <cell r="B1" t="str">
            <v>JOHNSON,GEORGE A</v>
          </cell>
        </row>
        <row r="2">
          <cell r="A2">
            <v>6240105791</v>
          </cell>
          <cell r="B2" t="str">
            <v>CARR,CAROLYN L</v>
          </cell>
        </row>
        <row r="3">
          <cell r="A3">
            <v>6240107609</v>
          </cell>
          <cell r="B3" t="str">
            <v>PRICE,JANE</v>
          </cell>
        </row>
        <row r="4">
          <cell r="A4">
            <v>6240108155</v>
          </cell>
          <cell r="B4" t="str">
            <v>PRICE,CLYDE L</v>
          </cell>
        </row>
        <row r="5">
          <cell r="A5">
            <v>6240118719</v>
          </cell>
          <cell r="B5" t="str">
            <v>CRAWFORD,PETER</v>
          </cell>
        </row>
        <row r="6">
          <cell r="A6">
            <v>6240118764</v>
          </cell>
          <cell r="B6" t="str">
            <v>CRAWFORD,DEBRA</v>
          </cell>
        </row>
        <row r="7">
          <cell r="A7">
            <v>6240123113</v>
          </cell>
          <cell r="B7" t="str">
            <v>DUNK,JOSEPH</v>
          </cell>
        </row>
        <row r="8">
          <cell r="A8">
            <v>6240125810</v>
          </cell>
          <cell r="B8" t="str">
            <v>WILLIAMS,JESSICA</v>
          </cell>
        </row>
        <row r="9">
          <cell r="A9">
            <v>6240128755</v>
          </cell>
          <cell r="B9" t="str">
            <v>ABBS BEJLOVEC,SUSAN</v>
          </cell>
        </row>
        <row r="10">
          <cell r="A10">
            <v>6240128778</v>
          </cell>
          <cell r="B10" t="str">
            <v>BEJLOVEC,STEVEN</v>
          </cell>
        </row>
        <row r="11">
          <cell r="A11">
            <v>6240135139</v>
          </cell>
          <cell r="B11" t="str">
            <v>ENSING,RUTH</v>
          </cell>
        </row>
        <row r="12">
          <cell r="A12">
            <v>6240136594</v>
          </cell>
          <cell r="B12" t="str">
            <v>CRESSY,JEROME</v>
          </cell>
        </row>
        <row r="13">
          <cell r="A13">
            <v>6240137111</v>
          </cell>
          <cell r="B13" t="str">
            <v>BLACK,ROLAND</v>
          </cell>
        </row>
        <row r="14">
          <cell r="A14">
            <v>6240137471</v>
          </cell>
          <cell r="B14" t="str">
            <v>OHARA,KELLYE</v>
          </cell>
        </row>
        <row r="15">
          <cell r="A15">
            <v>6250001196</v>
          </cell>
          <cell r="B15" t="str">
            <v>GARZA,PAMELA M</v>
          </cell>
        </row>
        <row r="16">
          <cell r="A16">
            <v>6250008497</v>
          </cell>
          <cell r="B16" t="str">
            <v>WENGERSKI,STEVEN</v>
          </cell>
        </row>
        <row r="17">
          <cell r="A17">
            <v>6250016457</v>
          </cell>
          <cell r="B17" t="str">
            <v>CONNOLLY,KEVIN</v>
          </cell>
        </row>
        <row r="18">
          <cell r="A18">
            <v>6250016471</v>
          </cell>
          <cell r="B18" t="str">
            <v>CONNOLLY,DAWN</v>
          </cell>
        </row>
        <row r="19">
          <cell r="A19">
            <v>6250018603</v>
          </cell>
          <cell r="B19" t="str">
            <v>CUMMINGS,TERRY</v>
          </cell>
        </row>
        <row r="20">
          <cell r="A20">
            <v>6250030658</v>
          </cell>
          <cell r="B20" t="str">
            <v>POWLEDGE,VERONICA A</v>
          </cell>
        </row>
        <row r="21">
          <cell r="A21">
            <v>6250043034</v>
          </cell>
          <cell r="B21" t="str">
            <v>BAKER,CINDY</v>
          </cell>
        </row>
        <row r="22">
          <cell r="A22">
            <v>6250063528</v>
          </cell>
          <cell r="B22" t="str">
            <v>HAPNER,THOMAS</v>
          </cell>
        </row>
        <row r="23">
          <cell r="A23">
            <v>6250081841</v>
          </cell>
          <cell r="B23" t="str">
            <v>TENZINGER,REGINA</v>
          </cell>
        </row>
        <row r="24">
          <cell r="A24">
            <v>6250089879</v>
          </cell>
          <cell r="B24" t="str">
            <v>HILL,JENNIFER</v>
          </cell>
        </row>
        <row r="25">
          <cell r="A25">
            <v>6250091060</v>
          </cell>
          <cell r="B25" t="str">
            <v>YOUNG,DAVID</v>
          </cell>
        </row>
        <row r="26">
          <cell r="A26">
            <v>6250092297</v>
          </cell>
          <cell r="B26" t="str">
            <v>BELL,CYNTHIA F</v>
          </cell>
        </row>
        <row r="27">
          <cell r="A27">
            <v>6250100038</v>
          </cell>
          <cell r="B27" t="str">
            <v>SCHUTJER,CISSIE</v>
          </cell>
        </row>
        <row r="28">
          <cell r="A28">
            <v>6250111822</v>
          </cell>
          <cell r="B28" t="str">
            <v>DALY,KEVIN</v>
          </cell>
        </row>
        <row r="29">
          <cell r="A29">
            <v>6250116208</v>
          </cell>
          <cell r="B29" t="str">
            <v>BARNES,LAVISA</v>
          </cell>
        </row>
        <row r="30">
          <cell r="A30">
            <v>6250121740</v>
          </cell>
          <cell r="B30" t="str">
            <v>KRAMER,SANDRA</v>
          </cell>
        </row>
        <row r="31">
          <cell r="A31">
            <v>7240098074</v>
          </cell>
          <cell r="B31" t="str">
            <v>LOPRIORE,MICHAEL</v>
          </cell>
        </row>
        <row r="32">
          <cell r="A32">
            <v>7240098094</v>
          </cell>
          <cell r="B32" t="str">
            <v>LOPRIORE,FILOMENA</v>
          </cell>
        </row>
        <row r="33">
          <cell r="A33">
            <v>7240101034</v>
          </cell>
          <cell r="B33" t="str">
            <v>GALLINA,JAMES</v>
          </cell>
        </row>
        <row r="34">
          <cell r="A34">
            <v>7240101224</v>
          </cell>
          <cell r="B34" t="str">
            <v>MCGARY,JOHN</v>
          </cell>
        </row>
        <row r="35">
          <cell r="A35">
            <v>7240101268</v>
          </cell>
          <cell r="B35" t="str">
            <v>PILCHER,TIMOTHY</v>
          </cell>
        </row>
        <row r="36">
          <cell r="A36">
            <v>7240109868</v>
          </cell>
          <cell r="B36" t="str">
            <v>CHOI,TIMOTHY</v>
          </cell>
        </row>
        <row r="37">
          <cell r="A37">
            <v>7240110325</v>
          </cell>
          <cell r="B37" t="str">
            <v>CHOI,KYUNG</v>
          </cell>
        </row>
        <row r="38">
          <cell r="A38">
            <v>7240110349</v>
          </cell>
          <cell r="B38" t="str">
            <v>MINJARES,MONICA</v>
          </cell>
        </row>
        <row r="39">
          <cell r="A39">
            <v>7240110355</v>
          </cell>
          <cell r="B39" t="str">
            <v>GUIFFRE,KATHERINE</v>
          </cell>
        </row>
        <row r="40">
          <cell r="A40">
            <v>7240110364</v>
          </cell>
          <cell r="B40" t="str">
            <v>MINJARES,JOE</v>
          </cell>
        </row>
        <row r="41">
          <cell r="A41">
            <v>7240110570</v>
          </cell>
          <cell r="B41" t="str">
            <v>RAMSEY,JOHN</v>
          </cell>
        </row>
        <row r="42">
          <cell r="A42">
            <v>7240110690</v>
          </cell>
          <cell r="B42" t="str">
            <v>GALLINA,JOSEPH</v>
          </cell>
        </row>
        <row r="43">
          <cell r="A43">
            <v>7240110717</v>
          </cell>
          <cell r="B43" t="str">
            <v>GALLINA,PATRICIA</v>
          </cell>
        </row>
        <row r="44">
          <cell r="A44">
            <v>7240110753</v>
          </cell>
          <cell r="B44" t="str">
            <v>SHEE,GAYLE</v>
          </cell>
        </row>
        <row r="45">
          <cell r="A45">
            <v>7240110782</v>
          </cell>
          <cell r="B45" t="str">
            <v>SHEE,DONALD</v>
          </cell>
        </row>
        <row r="46">
          <cell r="A46">
            <v>7240111182</v>
          </cell>
          <cell r="B46" t="str">
            <v>GROSS,WILLIAM</v>
          </cell>
        </row>
        <row r="47">
          <cell r="A47">
            <v>7240111561</v>
          </cell>
          <cell r="B47" t="str">
            <v>MIRASOL,LEONIDAS</v>
          </cell>
        </row>
        <row r="48">
          <cell r="A48">
            <v>7240111936</v>
          </cell>
          <cell r="B48" t="str">
            <v>CROSBY,DONALD</v>
          </cell>
        </row>
        <row r="49">
          <cell r="A49">
            <v>7240112093</v>
          </cell>
          <cell r="B49" t="str">
            <v>CASSATO,JAMES</v>
          </cell>
        </row>
        <row r="50">
          <cell r="A50">
            <v>7240112321</v>
          </cell>
          <cell r="B50" t="str">
            <v>RICHERT,MARCELLA</v>
          </cell>
        </row>
        <row r="51">
          <cell r="A51">
            <v>7240112327</v>
          </cell>
          <cell r="B51" t="str">
            <v>SKENDER,LOUIS</v>
          </cell>
        </row>
        <row r="52">
          <cell r="A52">
            <v>7240112385</v>
          </cell>
          <cell r="B52" t="str">
            <v>TYNAN,LAURA</v>
          </cell>
        </row>
        <row r="53">
          <cell r="A53">
            <v>7240112516</v>
          </cell>
          <cell r="B53" t="str">
            <v>SPLANT,MARY</v>
          </cell>
        </row>
        <row r="54">
          <cell r="A54">
            <v>7240112603</v>
          </cell>
          <cell r="B54" t="str">
            <v>FORD,DYAN</v>
          </cell>
        </row>
        <row r="55">
          <cell r="A55">
            <v>7240112931</v>
          </cell>
          <cell r="B55" t="str">
            <v>INTILE,CONCETTA</v>
          </cell>
        </row>
        <row r="56">
          <cell r="A56">
            <v>7240113338</v>
          </cell>
          <cell r="B56" t="str">
            <v>BRENNAN,WILLIAM</v>
          </cell>
        </row>
        <row r="57">
          <cell r="A57">
            <v>7240113999</v>
          </cell>
          <cell r="B57" t="str">
            <v>SAVOY,KONSTANTINE</v>
          </cell>
        </row>
        <row r="58">
          <cell r="A58">
            <v>7240114020</v>
          </cell>
          <cell r="B58" t="str">
            <v>SAVOY,LEAH</v>
          </cell>
        </row>
        <row r="59">
          <cell r="A59">
            <v>7240114243</v>
          </cell>
          <cell r="B59" t="str">
            <v>ZURAWSKI,SANDRA</v>
          </cell>
        </row>
        <row r="60">
          <cell r="A60">
            <v>7240114781</v>
          </cell>
          <cell r="B60" t="str">
            <v>POONOOSAMY,SUSAN</v>
          </cell>
        </row>
        <row r="61">
          <cell r="A61">
            <v>7240114997</v>
          </cell>
          <cell r="B61" t="str">
            <v>STEFANSKI,MICHAEL</v>
          </cell>
        </row>
        <row r="62">
          <cell r="A62">
            <v>7240115020</v>
          </cell>
          <cell r="B62" t="str">
            <v>BALICKI,SHELLEY</v>
          </cell>
        </row>
        <row r="63">
          <cell r="A63">
            <v>7240115124</v>
          </cell>
          <cell r="B63" t="str">
            <v>ETTERS,JEFFREY</v>
          </cell>
        </row>
        <row r="64">
          <cell r="A64">
            <v>7240115864</v>
          </cell>
          <cell r="B64" t="str">
            <v>KAY,DONALD</v>
          </cell>
        </row>
        <row r="65">
          <cell r="A65">
            <v>7240115872</v>
          </cell>
          <cell r="B65" t="str">
            <v>KAY,DENISE</v>
          </cell>
        </row>
        <row r="66">
          <cell r="A66">
            <v>7240116791</v>
          </cell>
          <cell r="B66" t="str">
            <v>NAHLEY,KAREN</v>
          </cell>
        </row>
        <row r="67">
          <cell r="A67">
            <v>7240117514</v>
          </cell>
          <cell r="B67" t="str">
            <v>SALTER,MICHAEL</v>
          </cell>
        </row>
        <row r="68">
          <cell r="A68">
            <v>7240118756</v>
          </cell>
          <cell r="B68" t="str">
            <v>BRADLEY,DIANNE</v>
          </cell>
        </row>
        <row r="69">
          <cell r="A69">
            <v>7240119193</v>
          </cell>
          <cell r="B69" t="str">
            <v>ADAMEK,WILLIAM</v>
          </cell>
        </row>
        <row r="70">
          <cell r="A70">
            <v>7240119703</v>
          </cell>
          <cell r="B70" t="str">
            <v>ROPSKI,CARYN</v>
          </cell>
        </row>
        <row r="71">
          <cell r="A71">
            <v>7240119755</v>
          </cell>
          <cell r="B71" t="str">
            <v>ROPSKI,BRUCE</v>
          </cell>
        </row>
        <row r="72">
          <cell r="A72">
            <v>7240119914</v>
          </cell>
          <cell r="B72" t="str">
            <v>JACKSON,ESTER</v>
          </cell>
        </row>
        <row r="73">
          <cell r="A73">
            <v>7240120168</v>
          </cell>
          <cell r="B73" t="str">
            <v>LAZZARA,GERALD</v>
          </cell>
        </row>
        <row r="74">
          <cell r="A74">
            <v>7240121167</v>
          </cell>
          <cell r="B74" t="str">
            <v>HEIN,CATHY</v>
          </cell>
        </row>
        <row r="75">
          <cell r="A75">
            <v>7240121170</v>
          </cell>
          <cell r="B75" t="str">
            <v>TOBIAS,MEIRION</v>
          </cell>
        </row>
        <row r="76">
          <cell r="A76">
            <v>7240122077</v>
          </cell>
          <cell r="B76" t="str">
            <v>STOCKER,JOSEPHINE</v>
          </cell>
        </row>
        <row r="77">
          <cell r="A77">
            <v>7240122228</v>
          </cell>
          <cell r="B77" t="str">
            <v>LAZAR,NANCY</v>
          </cell>
        </row>
        <row r="78">
          <cell r="A78">
            <v>7240122417</v>
          </cell>
          <cell r="B78" t="str">
            <v>LAZZARA,JUDITH</v>
          </cell>
        </row>
        <row r="79">
          <cell r="A79">
            <v>7240122461</v>
          </cell>
          <cell r="B79" t="str">
            <v>PHELPS,PHYLLIS</v>
          </cell>
        </row>
        <row r="80">
          <cell r="A80">
            <v>7240122471</v>
          </cell>
          <cell r="B80" t="str">
            <v>KARPIEL,SHARON</v>
          </cell>
        </row>
        <row r="81">
          <cell r="A81">
            <v>7240122842</v>
          </cell>
          <cell r="B81" t="str">
            <v>BEESE,IRENE</v>
          </cell>
        </row>
        <row r="82">
          <cell r="A82">
            <v>7240122863</v>
          </cell>
          <cell r="B82" t="str">
            <v>BEESE,ARTHUR</v>
          </cell>
        </row>
        <row r="83">
          <cell r="A83">
            <v>7240122919</v>
          </cell>
          <cell r="B83" t="str">
            <v>CARROLL,ROGER</v>
          </cell>
        </row>
        <row r="84">
          <cell r="A84">
            <v>7240123160</v>
          </cell>
          <cell r="B84" t="str">
            <v>JUN,EUN</v>
          </cell>
        </row>
        <row r="85">
          <cell r="A85">
            <v>7240123207</v>
          </cell>
          <cell r="B85" t="str">
            <v>HALLEY,PAMELA</v>
          </cell>
        </row>
        <row r="86">
          <cell r="A86">
            <v>7240123968</v>
          </cell>
          <cell r="B86" t="str">
            <v>LOVE,MAXINE</v>
          </cell>
        </row>
        <row r="87">
          <cell r="A87">
            <v>7240123973</v>
          </cell>
          <cell r="B87" t="str">
            <v>LOVE,MICHAEL</v>
          </cell>
        </row>
        <row r="88">
          <cell r="A88">
            <v>7240124010</v>
          </cell>
          <cell r="B88" t="str">
            <v>FLANAGAN,MICHAEL</v>
          </cell>
        </row>
        <row r="89">
          <cell r="A89">
            <v>7240124541</v>
          </cell>
          <cell r="B89" t="str">
            <v>CULLEN,MARTA</v>
          </cell>
        </row>
        <row r="90">
          <cell r="A90">
            <v>7240124557</v>
          </cell>
          <cell r="B90" t="str">
            <v>CULLEN,PHILLIP</v>
          </cell>
        </row>
        <row r="91">
          <cell r="A91">
            <v>7240124863</v>
          </cell>
          <cell r="B91" t="str">
            <v>KULCSAR,SANDOR</v>
          </cell>
        </row>
        <row r="92">
          <cell r="A92">
            <v>7240124900</v>
          </cell>
          <cell r="B92" t="str">
            <v>KULCSAR,MAGDOLNA</v>
          </cell>
        </row>
        <row r="93">
          <cell r="A93">
            <v>7240125202</v>
          </cell>
          <cell r="B93" t="str">
            <v>CRESSY,LAURA</v>
          </cell>
        </row>
        <row r="94">
          <cell r="A94">
            <v>7240125223</v>
          </cell>
          <cell r="B94" t="str">
            <v>MASELLA,THOMAS</v>
          </cell>
        </row>
        <row r="95">
          <cell r="A95">
            <v>7240125858</v>
          </cell>
          <cell r="B95" t="str">
            <v>STEARN,KATHY</v>
          </cell>
        </row>
        <row r="96">
          <cell r="A96">
            <v>7240126412</v>
          </cell>
          <cell r="B96" t="str">
            <v>MARTIN,SANDRA</v>
          </cell>
        </row>
        <row r="97">
          <cell r="A97">
            <v>7240126463</v>
          </cell>
          <cell r="B97" t="str">
            <v>PIRHOFER,ALAN</v>
          </cell>
        </row>
        <row r="98">
          <cell r="A98">
            <v>7240126613</v>
          </cell>
          <cell r="B98" t="str">
            <v>GO MEDINA,ANNIE</v>
          </cell>
        </row>
        <row r="99">
          <cell r="A99">
            <v>7240126623</v>
          </cell>
          <cell r="B99" t="str">
            <v>MEDINA,LEANDRO</v>
          </cell>
        </row>
        <row r="100">
          <cell r="A100">
            <v>7240127266</v>
          </cell>
          <cell r="B100" t="str">
            <v>PERKINS,KATHERINE R</v>
          </cell>
        </row>
        <row r="101">
          <cell r="A101">
            <v>7240129740</v>
          </cell>
          <cell r="B101" t="str">
            <v>RODRIGUEZ,TAMARA</v>
          </cell>
        </row>
        <row r="102">
          <cell r="A102">
            <v>7250000354</v>
          </cell>
          <cell r="B102" t="str">
            <v>SCHULD,RICHARD</v>
          </cell>
        </row>
        <row r="103">
          <cell r="A103">
            <v>7250001863</v>
          </cell>
          <cell r="B103" t="str">
            <v>SHIPKIN,JERRY</v>
          </cell>
        </row>
        <row r="104">
          <cell r="A104">
            <v>7250001892</v>
          </cell>
          <cell r="B104" t="str">
            <v>SHIPKIN,ISABELLA</v>
          </cell>
        </row>
        <row r="105">
          <cell r="A105">
            <v>7250006451</v>
          </cell>
          <cell r="B105" t="str">
            <v>FORSBERG,JEFFERY</v>
          </cell>
        </row>
        <row r="106">
          <cell r="A106">
            <v>7250007931</v>
          </cell>
          <cell r="B106" t="str">
            <v>CONNERY,DENNIS</v>
          </cell>
        </row>
        <row r="107">
          <cell r="A107">
            <v>7250013232</v>
          </cell>
          <cell r="B107" t="str">
            <v>BATSUKH,BATTUYA</v>
          </cell>
        </row>
        <row r="108">
          <cell r="A108">
            <v>7250025151</v>
          </cell>
          <cell r="B108" t="str">
            <v>ROWLAND,GARLAND</v>
          </cell>
        </row>
        <row r="109">
          <cell r="A109">
            <v>7250025174</v>
          </cell>
          <cell r="B109" t="str">
            <v>ROWLAND,BRENDA</v>
          </cell>
        </row>
        <row r="110">
          <cell r="A110">
            <v>7250026367</v>
          </cell>
          <cell r="B110" t="str">
            <v>CONNERY,DENNIS</v>
          </cell>
        </row>
        <row r="111">
          <cell r="A111">
            <v>7250031045</v>
          </cell>
          <cell r="B111" t="str">
            <v>REMIAS,THERESA</v>
          </cell>
        </row>
        <row r="112">
          <cell r="A112">
            <v>7250036244</v>
          </cell>
          <cell r="B112" t="str">
            <v>RUSNAK,MAUREEN</v>
          </cell>
        </row>
        <row r="113">
          <cell r="A113">
            <v>7250037352</v>
          </cell>
          <cell r="B113" t="str">
            <v>WEISS,JEAN</v>
          </cell>
        </row>
        <row r="114">
          <cell r="A114">
            <v>7250037369</v>
          </cell>
          <cell r="B114" t="str">
            <v>WEISS,CRAIG</v>
          </cell>
        </row>
        <row r="115">
          <cell r="A115">
            <v>7250043503</v>
          </cell>
          <cell r="B115" t="str">
            <v>SCIARRONE,ANTHONY P</v>
          </cell>
        </row>
        <row r="116">
          <cell r="A116">
            <v>7250052632</v>
          </cell>
          <cell r="B116" t="str">
            <v>BEDELL,BRENDA</v>
          </cell>
        </row>
        <row r="117">
          <cell r="A117">
            <v>7250052846</v>
          </cell>
          <cell r="B117" t="str">
            <v>CLIENT,ANDREA</v>
          </cell>
        </row>
        <row r="118">
          <cell r="A118">
            <v>7250053049</v>
          </cell>
          <cell r="B118" t="str">
            <v>BAATAR,TULGA</v>
          </cell>
        </row>
        <row r="119">
          <cell r="A119">
            <v>7250055031</v>
          </cell>
          <cell r="B119" t="str">
            <v>KUDRNA,RHONDA</v>
          </cell>
        </row>
        <row r="120">
          <cell r="A120">
            <v>7250057563</v>
          </cell>
          <cell r="B120" t="str">
            <v>JAROS,CONNIE</v>
          </cell>
        </row>
        <row r="121">
          <cell r="A121">
            <v>7250057814</v>
          </cell>
          <cell r="B121" t="str">
            <v>POLLARD,PAULINE</v>
          </cell>
        </row>
        <row r="122">
          <cell r="A122">
            <v>7250059859</v>
          </cell>
          <cell r="B122" t="str">
            <v>HIVON,CHRISTINE</v>
          </cell>
        </row>
        <row r="123">
          <cell r="A123">
            <v>7250060334</v>
          </cell>
          <cell r="B123" t="str">
            <v>HIVON,MARK</v>
          </cell>
        </row>
        <row r="124">
          <cell r="A124">
            <v>7250062261</v>
          </cell>
          <cell r="B124" t="str">
            <v>HAPNER,MELISSA</v>
          </cell>
        </row>
        <row r="125">
          <cell r="A125">
            <v>7250064114</v>
          </cell>
          <cell r="B125" t="str">
            <v>POPE,TIMOTHY</v>
          </cell>
        </row>
        <row r="126">
          <cell r="A126">
            <v>7250065133</v>
          </cell>
          <cell r="B126" t="str">
            <v>DECAUSSIN,JOSEPH</v>
          </cell>
        </row>
        <row r="127">
          <cell r="A127">
            <v>7250065229</v>
          </cell>
          <cell r="B127" t="str">
            <v>VOLPE,MARK</v>
          </cell>
        </row>
        <row r="128">
          <cell r="A128">
            <v>7250067462</v>
          </cell>
          <cell r="B128" t="str">
            <v>PITTS,LENA P</v>
          </cell>
        </row>
        <row r="129">
          <cell r="A129">
            <v>7250070948</v>
          </cell>
          <cell r="B129" t="str">
            <v>DICKSON,RANDOLPH</v>
          </cell>
        </row>
        <row r="130">
          <cell r="A130">
            <v>7250081390</v>
          </cell>
          <cell r="B130" t="str">
            <v>KIM,JOHN</v>
          </cell>
        </row>
        <row r="131">
          <cell r="A131">
            <v>7250088780</v>
          </cell>
          <cell r="B131" t="str">
            <v>BELL JR,MILTON C</v>
          </cell>
        </row>
        <row r="132">
          <cell r="A132">
            <v>7250094626</v>
          </cell>
          <cell r="B132" t="str">
            <v>ROSS,KATHY</v>
          </cell>
        </row>
        <row r="133">
          <cell r="A133">
            <v>7250096963</v>
          </cell>
          <cell r="B133" t="str">
            <v>DURAY,GREGORY</v>
          </cell>
        </row>
        <row r="134">
          <cell r="A134">
            <v>7250097140</v>
          </cell>
          <cell r="B134" t="str">
            <v>DURAY,JUDITH</v>
          </cell>
        </row>
        <row r="135">
          <cell r="A135">
            <v>7250097410</v>
          </cell>
          <cell r="B135" t="str">
            <v>NOWAKOWSKI,KIMBERLY</v>
          </cell>
        </row>
        <row r="136">
          <cell r="A136">
            <v>7250102505</v>
          </cell>
          <cell r="B136" t="str">
            <v>MILLER,MARK</v>
          </cell>
        </row>
        <row r="137">
          <cell r="A137">
            <v>7250104789</v>
          </cell>
          <cell r="B137" t="str">
            <v>NUTTLE,HEIDI</v>
          </cell>
        </row>
        <row r="138">
          <cell r="A138">
            <v>7250110087</v>
          </cell>
          <cell r="B138" t="str">
            <v>KIM,DONG</v>
          </cell>
        </row>
        <row r="139">
          <cell r="A139">
            <v>7250121607</v>
          </cell>
          <cell r="B139" t="str">
            <v>REYNA,JANAN</v>
          </cell>
        </row>
        <row r="140">
          <cell r="A140">
            <v>7250123977</v>
          </cell>
          <cell r="B140" t="str">
            <v>SPASO,RAYMOND</v>
          </cell>
        </row>
        <row r="141">
          <cell r="A141">
            <v>7250124322</v>
          </cell>
          <cell r="B141" t="str">
            <v>SPASO,NOEL</v>
          </cell>
        </row>
        <row r="142">
          <cell r="A142">
            <v>7250125384</v>
          </cell>
          <cell r="B142" t="str">
            <v>GARZA,LINDA</v>
          </cell>
        </row>
        <row r="143">
          <cell r="A143">
            <v>7250128277</v>
          </cell>
          <cell r="B143" t="str">
            <v>THOMPSON,BEVERLY</v>
          </cell>
        </row>
        <row r="144">
          <cell r="A144">
            <v>7250128516</v>
          </cell>
          <cell r="B144" t="str">
            <v>BROOKS,MARYANN</v>
          </cell>
        </row>
        <row r="145">
          <cell r="A145">
            <v>7250128521</v>
          </cell>
          <cell r="B145" t="str">
            <v>FITZSIMMONS,DEAN C</v>
          </cell>
        </row>
        <row r="146">
          <cell r="A146">
            <v>7250129238</v>
          </cell>
          <cell r="B146" t="str">
            <v>DAVEY,THOMAS</v>
          </cell>
        </row>
        <row r="147">
          <cell r="A147">
            <v>7250129739</v>
          </cell>
          <cell r="B147" t="str">
            <v>KOZA,MICHELLE</v>
          </cell>
        </row>
        <row r="148">
          <cell r="A148">
            <v>7250130315</v>
          </cell>
          <cell r="B148" t="str">
            <v>WELTER,MAUREEN</v>
          </cell>
        </row>
        <row r="149">
          <cell r="A149">
            <v>7250130359</v>
          </cell>
          <cell r="B149" t="str">
            <v>WELTER,DAVID</v>
          </cell>
        </row>
        <row r="150">
          <cell r="A150">
            <v>7250130383</v>
          </cell>
          <cell r="B150" t="str">
            <v>PATER,JAMES</v>
          </cell>
        </row>
        <row r="151">
          <cell r="A151">
            <v>7250131409</v>
          </cell>
          <cell r="B151" t="str">
            <v>CLARKE LENNON,JOANNE</v>
          </cell>
        </row>
        <row r="152">
          <cell r="A152">
            <v>7250131524</v>
          </cell>
          <cell r="B152" t="str">
            <v>STRAUSS,JULIE</v>
          </cell>
        </row>
        <row r="153">
          <cell r="A153">
            <v>7250131554</v>
          </cell>
          <cell r="B153" t="str">
            <v>STRAUSS,DONALD</v>
          </cell>
        </row>
        <row r="154">
          <cell r="A154">
            <v>7250132001</v>
          </cell>
          <cell r="B154" t="str">
            <v>DAVEY,MARCIA</v>
          </cell>
        </row>
        <row r="155">
          <cell r="A155">
            <v>7250132579</v>
          </cell>
          <cell r="B155" t="str">
            <v>DEVEE,PATRICIA</v>
          </cell>
        </row>
        <row r="156">
          <cell r="A156">
            <v>7250133520</v>
          </cell>
          <cell r="B156" t="str">
            <v>JOHNSTON,GAYLE</v>
          </cell>
        </row>
        <row r="157">
          <cell r="A157">
            <v>7250133944</v>
          </cell>
          <cell r="B157" t="str">
            <v>OLSON,DEBORAH</v>
          </cell>
        </row>
        <row r="158">
          <cell r="A158">
            <v>7250134006</v>
          </cell>
          <cell r="B158" t="str">
            <v>SANCHEZ,LINDA</v>
          </cell>
        </row>
        <row r="159">
          <cell r="A159">
            <v>7250134072</v>
          </cell>
          <cell r="B159" t="str">
            <v>KAEFER,ERIC</v>
          </cell>
        </row>
        <row r="160">
          <cell r="A160">
            <v>7250134075</v>
          </cell>
          <cell r="B160" t="str">
            <v>KAEFER,MODESTA</v>
          </cell>
        </row>
        <row r="161">
          <cell r="A161">
            <v>7250134970</v>
          </cell>
          <cell r="B161" t="str">
            <v>SILVA,TERESA</v>
          </cell>
        </row>
        <row r="162">
          <cell r="A162">
            <v>7250135753</v>
          </cell>
          <cell r="B162" t="str">
            <v>SCHULTZ DUNK,KATHERINE</v>
          </cell>
        </row>
        <row r="163">
          <cell r="A163">
            <v>7250135854</v>
          </cell>
          <cell r="B163" t="str">
            <v>KAPPELMAN,KATHLEEN</v>
          </cell>
        </row>
        <row r="164">
          <cell r="A164">
            <v>7250136480</v>
          </cell>
          <cell r="B164" t="str">
            <v>AURRICHIO,VITTA</v>
          </cell>
        </row>
        <row r="165">
          <cell r="A165">
            <v>7250136668</v>
          </cell>
          <cell r="B165" t="str">
            <v>CODER,ELIZABETH</v>
          </cell>
        </row>
        <row r="166">
          <cell r="A166">
            <v>7250136784</v>
          </cell>
          <cell r="B166" t="str">
            <v>JACOBSON,JERROLD</v>
          </cell>
        </row>
        <row r="167">
          <cell r="A167">
            <v>7250139118</v>
          </cell>
          <cell r="B167" t="str">
            <v>HANSEN,SALLY</v>
          </cell>
        </row>
        <row r="168">
          <cell r="A168">
            <v>7250139233</v>
          </cell>
          <cell r="B168" t="str">
            <v>KOWALCZYK,GREGORY</v>
          </cell>
        </row>
        <row r="169">
          <cell r="A169">
            <v>7250139267</v>
          </cell>
          <cell r="B169" t="str">
            <v>KOWALCZYK,BRIAN</v>
          </cell>
        </row>
        <row r="170">
          <cell r="A170">
            <v>7250139741</v>
          </cell>
          <cell r="B170" t="str">
            <v>KOWALCZYK,ALFRED J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zoomScale="89" zoomScaleNormal="89" workbookViewId="0">
      <selection activeCell="C27" sqref="C27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20.85546875" bestFit="1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1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>
        <v>6</v>
      </c>
      <c r="F4" s="3" t="s">
        <v>36</v>
      </c>
      <c r="G4" s="3" t="s">
        <v>37</v>
      </c>
      <c r="H4" t="s">
        <v>38</v>
      </c>
      <c r="I4" t="s">
        <v>39</v>
      </c>
      <c r="J4" t="s">
        <v>40</v>
      </c>
      <c r="K4" t="s">
        <v>41</v>
      </c>
      <c r="L4">
        <v>7250096963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46</v>
      </c>
      <c r="S4" t="s">
        <v>46</v>
      </c>
      <c r="T4">
        <v>100</v>
      </c>
      <c r="U4">
        <v>102</v>
      </c>
      <c r="V4">
        <v>1.37</v>
      </c>
      <c r="W4">
        <v>139.74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35</v>
      </c>
      <c r="AE4" t="s">
        <v>47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>
        <v>6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>
        <v>6240123113</v>
      </c>
      <c r="M5" t="s">
        <v>48</v>
      </c>
      <c r="N5" t="s">
        <v>43</v>
      </c>
      <c r="O5" t="s">
        <v>44</v>
      </c>
      <c r="P5" t="s">
        <v>45</v>
      </c>
      <c r="Q5" t="s">
        <v>49</v>
      </c>
      <c r="R5" t="s">
        <v>49</v>
      </c>
      <c r="S5" t="s">
        <v>49</v>
      </c>
      <c r="T5">
        <v>100</v>
      </c>
      <c r="U5">
        <v>108.26</v>
      </c>
      <c r="V5">
        <v>0.9</v>
      </c>
      <c r="W5">
        <v>97.43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35</v>
      </c>
      <c r="AE5" t="s">
        <v>47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>
        <v>6</v>
      </c>
      <c r="F6" t="s">
        <v>36</v>
      </c>
      <c r="G6" t="s">
        <v>37</v>
      </c>
      <c r="H6" t="s">
        <v>38</v>
      </c>
      <c r="I6" t="s">
        <v>50</v>
      </c>
      <c r="J6" t="s">
        <v>51</v>
      </c>
      <c r="K6" t="s">
        <v>41</v>
      </c>
      <c r="L6">
        <v>7250129739</v>
      </c>
      <c r="M6" t="s">
        <v>52</v>
      </c>
      <c r="N6" t="s">
        <v>43</v>
      </c>
      <c r="O6" t="s">
        <v>44</v>
      </c>
      <c r="P6" t="s">
        <v>45</v>
      </c>
      <c r="Q6" t="s">
        <v>34</v>
      </c>
      <c r="R6" t="s">
        <v>34</v>
      </c>
      <c r="S6" t="s">
        <v>34</v>
      </c>
      <c r="T6">
        <v>100</v>
      </c>
      <c r="U6">
        <v>70.58</v>
      </c>
      <c r="V6">
        <v>1.37</v>
      </c>
      <c r="W6">
        <v>96.69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35</v>
      </c>
      <c r="AE6" t="s">
        <v>47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>
        <v>6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>
        <v>6240125810</v>
      </c>
      <c r="M7" t="s">
        <v>53</v>
      </c>
      <c r="N7" t="s">
        <v>43</v>
      </c>
      <c r="O7" t="s">
        <v>44</v>
      </c>
      <c r="P7" t="s">
        <v>45</v>
      </c>
      <c r="Q7" t="s">
        <v>49</v>
      </c>
      <c r="R7" t="s">
        <v>49</v>
      </c>
      <c r="S7" t="s">
        <v>49</v>
      </c>
      <c r="T7">
        <v>100</v>
      </c>
      <c r="U7">
        <v>91.91</v>
      </c>
      <c r="V7">
        <v>0.9</v>
      </c>
      <c r="W7">
        <v>82.72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35</v>
      </c>
      <c r="AE7" t="s">
        <v>47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>
        <v>6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>
        <v>7250060334</v>
      </c>
      <c r="M8" t="s">
        <v>54</v>
      </c>
      <c r="N8" t="s">
        <v>43</v>
      </c>
      <c r="O8" t="s">
        <v>44</v>
      </c>
      <c r="P8" t="s">
        <v>45</v>
      </c>
      <c r="Q8" t="s">
        <v>55</v>
      </c>
      <c r="R8" t="s">
        <v>55</v>
      </c>
      <c r="S8" t="s">
        <v>55</v>
      </c>
      <c r="T8">
        <v>100</v>
      </c>
      <c r="U8">
        <v>91</v>
      </c>
      <c r="V8">
        <v>1.37</v>
      </c>
      <c r="W8">
        <v>124.67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35</v>
      </c>
      <c r="AE8" t="s">
        <v>47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>
        <v>6</v>
      </c>
      <c r="F9" t="s">
        <v>36</v>
      </c>
      <c r="G9" t="s">
        <v>37</v>
      </c>
      <c r="H9" t="s">
        <v>38</v>
      </c>
      <c r="I9" t="s">
        <v>50</v>
      </c>
      <c r="J9" t="s">
        <v>51</v>
      </c>
      <c r="K9" t="s">
        <v>41</v>
      </c>
      <c r="L9">
        <v>7250130315</v>
      </c>
      <c r="M9" t="s">
        <v>56</v>
      </c>
      <c r="N9" t="s">
        <v>57</v>
      </c>
      <c r="O9" t="s">
        <v>44</v>
      </c>
      <c r="P9" t="s">
        <v>45</v>
      </c>
      <c r="Q9" t="s">
        <v>34</v>
      </c>
      <c r="R9" t="s">
        <v>34</v>
      </c>
      <c r="S9" t="s">
        <v>34</v>
      </c>
      <c r="T9">
        <v>100</v>
      </c>
      <c r="U9">
        <v>41.8</v>
      </c>
      <c r="V9">
        <v>1.37</v>
      </c>
      <c r="W9">
        <v>57.27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35</v>
      </c>
      <c r="AE9" t="s">
        <v>47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>
        <v>6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>
        <v>7250124322</v>
      </c>
      <c r="M10" t="s">
        <v>58</v>
      </c>
      <c r="N10" t="s">
        <v>43</v>
      </c>
      <c r="O10" t="s">
        <v>44</v>
      </c>
      <c r="P10" t="s">
        <v>45</v>
      </c>
      <c r="Q10" t="s">
        <v>34</v>
      </c>
      <c r="R10" t="s">
        <v>34</v>
      </c>
      <c r="S10" t="s">
        <v>34</v>
      </c>
      <c r="T10">
        <v>100</v>
      </c>
      <c r="U10">
        <v>97.54</v>
      </c>
      <c r="V10">
        <v>1.37</v>
      </c>
      <c r="W10">
        <v>133.63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35</v>
      </c>
      <c r="AE10" t="s">
        <v>47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>
        <v>6</v>
      </c>
      <c r="F11" t="s">
        <v>36</v>
      </c>
      <c r="G11" t="s">
        <v>37</v>
      </c>
      <c r="H11" t="s">
        <v>38</v>
      </c>
      <c r="I11" t="s">
        <v>50</v>
      </c>
      <c r="J11" t="s">
        <v>51</v>
      </c>
      <c r="K11" t="s">
        <v>41</v>
      </c>
      <c r="L11">
        <v>7250132001</v>
      </c>
      <c r="M11" t="s">
        <v>59</v>
      </c>
      <c r="N11" t="s">
        <v>43</v>
      </c>
      <c r="O11" t="s">
        <v>44</v>
      </c>
      <c r="P11" t="s">
        <v>45</v>
      </c>
      <c r="Q11" t="s">
        <v>34</v>
      </c>
      <c r="R11" t="s">
        <v>34</v>
      </c>
      <c r="S11" t="s">
        <v>34</v>
      </c>
      <c r="T11">
        <v>100</v>
      </c>
      <c r="U11">
        <v>77.599999999999994</v>
      </c>
      <c r="V11">
        <v>1.37</v>
      </c>
      <c r="W11">
        <v>106.31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35</v>
      </c>
      <c r="AE11" t="s">
        <v>47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>
        <v>6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>
        <v>7250097410</v>
      </c>
      <c r="M12" t="s">
        <v>60</v>
      </c>
      <c r="N12" t="s">
        <v>43</v>
      </c>
      <c r="O12" t="s">
        <v>44</v>
      </c>
      <c r="P12" t="s">
        <v>45</v>
      </c>
      <c r="Q12" t="s">
        <v>46</v>
      </c>
      <c r="R12" t="s">
        <v>46</v>
      </c>
      <c r="S12" t="s">
        <v>46</v>
      </c>
      <c r="T12">
        <v>100</v>
      </c>
      <c r="U12">
        <v>102</v>
      </c>
      <c r="V12">
        <v>1.37</v>
      </c>
      <c r="W12">
        <v>139.74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35</v>
      </c>
      <c r="AE12" t="s">
        <v>47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>
        <v>6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>
        <v>7240122471</v>
      </c>
      <c r="M13" t="s">
        <v>61</v>
      </c>
      <c r="N13" t="s">
        <v>43</v>
      </c>
      <c r="O13" t="s">
        <v>44</v>
      </c>
      <c r="P13" t="s">
        <v>45</v>
      </c>
      <c r="Q13" t="s">
        <v>62</v>
      </c>
      <c r="R13" t="s">
        <v>62</v>
      </c>
      <c r="S13" t="s">
        <v>62</v>
      </c>
      <c r="T13">
        <v>100</v>
      </c>
      <c r="U13">
        <v>80.959999999999994</v>
      </c>
      <c r="V13">
        <v>0.94499999999999995</v>
      </c>
      <c r="W13">
        <v>76.510000000000005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35</v>
      </c>
      <c r="AE13" t="s">
        <v>47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>
        <v>6</v>
      </c>
      <c r="F14" t="s">
        <v>36</v>
      </c>
      <c r="G14" t="s">
        <v>37</v>
      </c>
      <c r="H14" t="s">
        <v>38</v>
      </c>
      <c r="I14" t="s">
        <v>63</v>
      </c>
      <c r="J14" t="s">
        <v>64</v>
      </c>
      <c r="K14" t="s">
        <v>41</v>
      </c>
      <c r="L14">
        <v>6250092297</v>
      </c>
      <c r="M14" t="s">
        <v>65</v>
      </c>
      <c r="N14" t="s">
        <v>43</v>
      </c>
      <c r="O14" t="s">
        <v>44</v>
      </c>
      <c r="P14" t="s">
        <v>45</v>
      </c>
      <c r="Q14" t="s">
        <v>66</v>
      </c>
      <c r="R14" t="s">
        <v>66</v>
      </c>
      <c r="S14" t="s">
        <v>66</v>
      </c>
      <c r="T14">
        <v>100</v>
      </c>
      <c r="U14">
        <v>76.010000000000005</v>
      </c>
      <c r="V14">
        <v>0.9</v>
      </c>
      <c r="W14">
        <v>68.41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35</v>
      </c>
      <c r="AE14" t="s">
        <v>47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>
        <v>6</v>
      </c>
      <c r="F15" t="s">
        <v>36</v>
      </c>
      <c r="G15" t="s">
        <v>37</v>
      </c>
      <c r="H15" t="s">
        <v>38</v>
      </c>
      <c r="I15" t="s">
        <v>50</v>
      </c>
      <c r="J15" t="s">
        <v>51</v>
      </c>
      <c r="K15" t="s">
        <v>41</v>
      </c>
      <c r="L15">
        <v>7250129238</v>
      </c>
      <c r="M15" t="s">
        <v>59</v>
      </c>
      <c r="N15" t="s">
        <v>43</v>
      </c>
      <c r="O15" t="s">
        <v>44</v>
      </c>
      <c r="P15" t="s">
        <v>45</v>
      </c>
      <c r="Q15" t="s">
        <v>34</v>
      </c>
      <c r="R15" t="s">
        <v>34</v>
      </c>
      <c r="S15" t="s">
        <v>34</v>
      </c>
      <c r="T15">
        <v>100</v>
      </c>
      <c r="U15">
        <v>178</v>
      </c>
      <c r="V15">
        <v>0.94499999999999995</v>
      </c>
      <c r="W15">
        <v>168.21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35</v>
      </c>
      <c r="AE15" t="s">
        <v>47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>
        <v>6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>
        <v>7250094626</v>
      </c>
      <c r="M16" t="s">
        <v>67</v>
      </c>
      <c r="N16" t="s">
        <v>43</v>
      </c>
      <c r="O16" t="s">
        <v>44</v>
      </c>
      <c r="P16" t="s">
        <v>45</v>
      </c>
      <c r="Q16" t="s">
        <v>46</v>
      </c>
      <c r="R16" t="s">
        <v>46</v>
      </c>
      <c r="S16" t="s">
        <v>46</v>
      </c>
      <c r="T16">
        <v>100</v>
      </c>
      <c r="U16">
        <v>95</v>
      </c>
      <c r="V16">
        <v>1.37</v>
      </c>
      <c r="W16">
        <v>130.15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35</v>
      </c>
      <c r="AE16" t="s">
        <v>47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>
        <v>6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>
        <v>6240135139</v>
      </c>
      <c r="M17" t="s">
        <v>68</v>
      </c>
      <c r="N17" t="s">
        <v>43</v>
      </c>
      <c r="O17" t="s">
        <v>44</v>
      </c>
      <c r="P17" t="s">
        <v>45</v>
      </c>
      <c r="Q17" t="s">
        <v>49</v>
      </c>
      <c r="R17" t="s">
        <v>49</v>
      </c>
      <c r="S17" t="s">
        <v>49</v>
      </c>
      <c r="T17">
        <v>100</v>
      </c>
      <c r="U17">
        <v>104.18</v>
      </c>
      <c r="V17">
        <v>0.9</v>
      </c>
      <c r="W17">
        <v>93.76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35</v>
      </c>
      <c r="AE17" t="s">
        <v>47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>
        <v>6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>
        <v>7250037369</v>
      </c>
      <c r="M18" t="s">
        <v>69</v>
      </c>
      <c r="N18" t="s">
        <v>43</v>
      </c>
      <c r="O18" t="s">
        <v>44</v>
      </c>
      <c r="P18" t="s">
        <v>45</v>
      </c>
      <c r="Q18" t="s">
        <v>70</v>
      </c>
      <c r="R18" t="s">
        <v>70</v>
      </c>
      <c r="S18" t="s">
        <v>70</v>
      </c>
      <c r="T18">
        <v>100</v>
      </c>
      <c r="U18">
        <v>103.78</v>
      </c>
      <c r="V18">
        <v>1.37</v>
      </c>
      <c r="W18">
        <v>142.18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35</v>
      </c>
      <c r="AE18" t="s">
        <v>47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>
        <v>6</v>
      </c>
      <c r="F19" t="s">
        <v>36</v>
      </c>
      <c r="G19" t="s">
        <v>37</v>
      </c>
      <c r="H19" t="s">
        <v>38</v>
      </c>
      <c r="I19" t="s">
        <v>71</v>
      </c>
      <c r="J19" t="s">
        <v>72</v>
      </c>
      <c r="K19" t="s">
        <v>41</v>
      </c>
      <c r="L19">
        <v>7250055031</v>
      </c>
      <c r="M19" t="s">
        <v>73</v>
      </c>
      <c r="N19" t="s">
        <v>43</v>
      </c>
      <c r="O19" t="s">
        <v>44</v>
      </c>
      <c r="P19" t="s">
        <v>45</v>
      </c>
      <c r="Q19" t="s">
        <v>55</v>
      </c>
      <c r="R19" t="s">
        <v>55</v>
      </c>
      <c r="S19" t="s">
        <v>55</v>
      </c>
      <c r="T19">
        <v>100</v>
      </c>
      <c r="U19">
        <v>122.53</v>
      </c>
      <c r="V19">
        <v>1.37</v>
      </c>
      <c r="W19">
        <v>167.87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35</v>
      </c>
      <c r="AE19" t="s">
        <v>47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>
        <v>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>
        <v>7240116791</v>
      </c>
      <c r="M20" t="s">
        <v>74</v>
      </c>
      <c r="N20" t="s">
        <v>43</v>
      </c>
      <c r="O20" t="s">
        <v>44</v>
      </c>
      <c r="P20" t="s">
        <v>45</v>
      </c>
      <c r="Q20" t="s">
        <v>49</v>
      </c>
      <c r="R20" t="s">
        <v>49</v>
      </c>
      <c r="S20" t="s">
        <v>49</v>
      </c>
      <c r="T20">
        <v>100</v>
      </c>
      <c r="U20">
        <v>102.23</v>
      </c>
      <c r="V20">
        <v>1.37</v>
      </c>
      <c r="W20">
        <v>140.06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35</v>
      </c>
      <c r="AE20" t="s">
        <v>47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>
        <v>6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>
        <v>7250001863</v>
      </c>
      <c r="M21" t="s">
        <v>75</v>
      </c>
      <c r="N21" t="s">
        <v>43</v>
      </c>
      <c r="O21" t="s">
        <v>44</v>
      </c>
      <c r="P21" t="s">
        <v>45</v>
      </c>
      <c r="Q21" t="s">
        <v>76</v>
      </c>
      <c r="R21" t="s">
        <v>76</v>
      </c>
      <c r="S21" t="s">
        <v>76</v>
      </c>
      <c r="T21">
        <v>100</v>
      </c>
      <c r="U21">
        <v>113.8</v>
      </c>
      <c r="V21">
        <v>0.94499999999999995</v>
      </c>
      <c r="W21">
        <v>107.54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35</v>
      </c>
      <c r="AE21" t="s">
        <v>47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>
        <v>6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>
        <v>7240113999</v>
      </c>
      <c r="M22" t="s">
        <v>77</v>
      </c>
      <c r="N22" t="s">
        <v>43</v>
      </c>
      <c r="O22" t="s">
        <v>44</v>
      </c>
      <c r="P22" t="s">
        <v>45</v>
      </c>
      <c r="Q22" t="s">
        <v>49</v>
      </c>
      <c r="R22" t="s">
        <v>49</v>
      </c>
      <c r="S22" t="s">
        <v>49</v>
      </c>
      <c r="T22">
        <v>100</v>
      </c>
      <c r="U22">
        <v>128.80000000000001</v>
      </c>
      <c r="V22">
        <v>1.37</v>
      </c>
      <c r="W22">
        <v>176.46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35</v>
      </c>
      <c r="AE22" t="s">
        <v>47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>
        <v>6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78</v>
      </c>
      <c r="L23">
        <v>7240110690</v>
      </c>
      <c r="M23" t="s">
        <v>79</v>
      </c>
      <c r="N23" t="s">
        <v>43</v>
      </c>
      <c r="O23" t="s">
        <v>44</v>
      </c>
      <c r="P23" t="s">
        <v>45</v>
      </c>
      <c r="Q23" t="s">
        <v>49</v>
      </c>
      <c r="R23" t="s">
        <v>49</v>
      </c>
      <c r="S23" t="s">
        <v>49</v>
      </c>
      <c r="T23">
        <v>100</v>
      </c>
      <c r="U23">
        <v>92.3</v>
      </c>
      <c r="V23">
        <v>0.94499999999999995</v>
      </c>
      <c r="W23">
        <v>87.22</v>
      </c>
      <c r="X23">
        <v>87.22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35</v>
      </c>
      <c r="AE23" t="s">
        <v>47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>
        <v>6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>
        <v>7240129740</v>
      </c>
      <c r="M24" t="s">
        <v>80</v>
      </c>
      <c r="N24" t="s">
        <v>43</v>
      </c>
      <c r="O24" t="s">
        <v>44</v>
      </c>
      <c r="P24" t="s">
        <v>45</v>
      </c>
      <c r="Q24" t="s">
        <v>62</v>
      </c>
      <c r="R24" t="s">
        <v>62</v>
      </c>
      <c r="S24" t="s">
        <v>62</v>
      </c>
      <c r="T24">
        <v>100</v>
      </c>
      <c r="U24">
        <v>132.1</v>
      </c>
      <c r="V24">
        <v>0.94499999999999995</v>
      </c>
      <c r="W24">
        <v>124.83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35</v>
      </c>
      <c r="AE24" t="s">
        <v>47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>
        <v>6</v>
      </c>
      <c r="F25" t="s">
        <v>36</v>
      </c>
      <c r="G25" t="s">
        <v>37</v>
      </c>
      <c r="H25" t="s">
        <v>38</v>
      </c>
      <c r="I25" t="s">
        <v>71</v>
      </c>
      <c r="J25" t="s">
        <v>72</v>
      </c>
      <c r="K25" t="s">
        <v>41</v>
      </c>
      <c r="L25">
        <v>7250057563</v>
      </c>
      <c r="M25" t="s">
        <v>81</v>
      </c>
      <c r="N25" t="s">
        <v>43</v>
      </c>
      <c r="O25" t="s">
        <v>44</v>
      </c>
      <c r="P25" t="s">
        <v>45</v>
      </c>
      <c r="Q25" t="s">
        <v>55</v>
      </c>
      <c r="R25" t="s">
        <v>55</v>
      </c>
      <c r="S25" t="s">
        <v>55</v>
      </c>
      <c r="T25">
        <v>100</v>
      </c>
      <c r="U25">
        <v>76.849999999999994</v>
      </c>
      <c r="V25">
        <v>1.37</v>
      </c>
      <c r="W25">
        <v>105.28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35</v>
      </c>
      <c r="AE25" t="s">
        <v>47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>
        <v>6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>
        <v>7250121607</v>
      </c>
      <c r="M26" t="s">
        <v>82</v>
      </c>
      <c r="N26" t="s">
        <v>43</v>
      </c>
      <c r="O26" t="s">
        <v>44</v>
      </c>
      <c r="P26" t="s">
        <v>45</v>
      </c>
      <c r="Q26" t="s">
        <v>83</v>
      </c>
      <c r="R26" t="s">
        <v>83</v>
      </c>
      <c r="S26" t="s">
        <v>83</v>
      </c>
      <c r="T26">
        <v>100</v>
      </c>
      <c r="U26">
        <v>108.25</v>
      </c>
      <c r="V26">
        <v>1.37</v>
      </c>
      <c r="W26">
        <v>148.30000000000001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35</v>
      </c>
      <c r="AE26" t="s">
        <v>47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>
        <v>6</v>
      </c>
      <c r="F27" t="s">
        <v>36</v>
      </c>
      <c r="G27" t="s">
        <v>37</v>
      </c>
      <c r="H27" t="s">
        <v>38</v>
      </c>
      <c r="I27" t="s">
        <v>63</v>
      </c>
      <c r="J27" t="s">
        <v>64</v>
      </c>
      <c r="K27" t="s">
        <v>41</v>
      </c>
      <c r="L27">
        <v>7250134970</v>
      </c>
      <c r="M27" t="s">
        <v>84</v>
      </c>
      <c r="N27" t="s">
        <v>43</v>
      </c>
      <c r="O27" t="s">
        <v>44</v>
      </c>
      <c r="P27" t="s">
        <v>45</v>
      </c>
      <c r="Q27" t="s">
        <v>83</v>
      </c>
      <c r="R27" t="s">
        <v>83</v>
      </c>
      <c r="S27" t="s">
        <v>83</v>
      </c>
      <c r="T27">
        <v>100</v>
      </c>
      <c r="U27">
        <v>86.38</v>
      </c>
      <c r="V27">
        <v>1.37</v>
      </c>
      <c r="W27">
        <v>118.34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35</v>
      </c>
      <c r="AE27" t="s">
        <v>47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>
        <v>6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78</v>
      </c>
      <c r="L28">
        <v>6240118719</v>
      </c>
      <c r="M28" t="s">
        <v>85</v>
      </c>
      <c r="N28" t="s">
        <v>43</v>
      </c>
      <c r="O28" t="s">
        <v>44</v>
      </c>
      <c r="P28" t="s">
        <v>45</v>
      </c>
      <c r="Q28" t="s">
        <v>49</v>
      </c>
      <c r="R28" t="s">
        <v>49</v>
      </c>
      <c r="S28" t="s">
        <v>49</v>
      </c>
      <c r="T28">
        <v>100</v>
      </c>
      <c r="U28">
        <v>172.16</v>
      </c>
      <c r="V28">
        <v>0.9</v>
      </c>
      <c r="W28">
        <v>154.94</v>
      </c>
      <c r="X28">
        <v>154.94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35</v>
      </c>
      <c r="AE28" t="s">
        <v>47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>
        <v>6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>
        <v>7240119914</v>
      </c>
      <c r="M29" t="s">
        <v>86</v>
      </c>
      <c r="N29" t="s">
        <v>43</v>
      </c>
      <c r="O29" t="s">
        <v>44</v>
      </c>
      <c r="P29" t="s">
        <v>45</v>
      </c>
      <c r="Q29" t="s">
        <v>62</v>
      </c>
      <c r="R29" t="s">
        <v>62</v>
      </c>
      <c r="S29" t="s">
        <v>62</v>
      </c>
      <c r="T29">
        <v>100</v>
      </c>
      <c r="U29">
        <v>78.099999999999994</v>
      </c>
      <c r="V29">
        <v>1.37</v>
      </c>
      <c r="W29">
        <v>107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35</v>
      </c>
      <c r="AE29" t="s">
        <v>47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>
        <v>6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>
        <v>7250081390</v>
      </c>
      <c r="M30" t="s">
        <v>87</v>
      </c>
      <c r="N30" t="s">
        <v>43</v>
      </c>
      <c r="O30" t="s">
        <v>44</v>
      </c>
      <c r="P30" t="s">
        <v>45</v>
      </c>
      <c r="Q30" t="s">
        <v>88</v>
      </c>
      <c r="R30" t="s">
        <v>88</v>
      </c>
      <c r="S30" t="s">
        <v>88</v>
      </c>
      <c r="T30">
        <v>100</v>
      </c>
      <c r="U30">
        <v>91.94</v>
      </c>
      <c r="V30">
        <v>1.37</v>
      </c>
      <c r="W30">
        <v>125.96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35</v>
      </c>
      <c r="AE30" t="s">
        <v>47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>
        <v>6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>
        <v>7240126463</v>
      </c>
      <c r="M31" t="s">
        <v>89</v>
      </c>
      <c r="N31" t="s">
        <v>43</v>
      </c>
      <c r="O31" t="s">
        <v>44</v>
      </c>
      <c r="P31" t="s">
        <v>45</v>
      </c>
      <c r="Q31" t="s">
        <v>62</v>
      </c>
      <c r="R31" t="s">
        <v>62</v>
      </c>
      <c r="S31" t="s">
        <v>62</v>
      </c>
      <c r="T31">
        <v>100</v>
      </c>
      <c r="U31">
        <v>92.65</v>
      </c>
      <c r="V31">
        <v>1.37</v>
      </c>
      <c r="W31">
        <v>126.93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35</v>
      </c>
      <c r="AE31" t="s">
        <v>47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>
        <v>6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78</v>
      </c>
      <c r="L32">
        <v>7240112516</v>
      </c>
      <c r="M32" t="s">
        <v>90</v>
      </c>
      <c r="N32" t="s">
        <v>43</v>
      </c>
      <c r="O32" t="s">
        <v>44</v>
      </c>
      <c r="P32" t="s">
        <v>45</v>
      </c>
      <c r="Q32" t="s">
        <v>49</v>
      </c>
      <c r="R32" t="s">
        <v>49</v>
      </c>
      <c r="S32" t="s">
        <v>49</v>
      </c>
      <c r="T32">
        <v>100</v>
      </c>
      <c r="U32">
        <v>145</v>
      </c>
      <c r="V32">
        <v>0.94499999999999995</v>
      </c>
      <c r="W32">
        <v>137.03</v>
      </c>
      <c r="X32">
        <v>137.03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35</v>
      </c>
      <c r="AE32" t="s">
        <v>47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>
        <v>6</v>
      </c>
      <c r="F33" t="s">
        <v>36</v>
      </c>
      <c r="G33" t="s">
        <v>37</v>
      </c>
      <c r="H33" t="s">
        <v>38</v>
      </c>
      <c r="I33" t="s">
        <v>50</v>
      </c>
      <c r="J33" t="s">
        <v>51</v>
      </c>
      <c r="K33" t="s">
        <v>41</v>
      </c>
      <c r="L33">
        <v>7250128521</v>
      </c>
      <c r="M33" t="s">
        <v>91</v>
      </c>
      <c r="N33" t="s">
        <v>43</v>
      </c>
      <c r="O33" t="s">
        <v>44</v>
      </c>
      <c r="P33" t="s">
        <v>45</v>
      </c>
      <c r="Q33" t="s">
        <v>34</v>
      </c>
      <c r="R33" t="s">
        <v>34</v>
      </c>
      <c r="S33" t="s">
        <v>34</v>
      </c>
      <c r="T33">
        <v>100</v>
      </c>
      <c r="U33">
        <v>3.38</v>
      </c>
      <c r="V33">
        <v>1.37</v>
      </c>
      <c r="W33">
        <v>4.63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35</v>
      </c>
      <c r="AE33" t="s">
        <v>47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>
        <v>6</v>
      </c>
      <c r="F34" t="s">
        <v>36</v>
      </c>
      <c r="G34" t="s">
        <v>37</v>
      </c>
      <c r="H34" t="s">
        <v>38</v>
      </c>
      <c r="I34" t="s">
        <v>71</v>
      </c>
      <c r="J34" t="s">
        <v>72</v>
      </c>
      <c r="K34" t="s">
        <v>41</v>
      </c>
      <c r="L34">
        <v>7250062261</v>
      </c>
      <c r="M34" t="s">
        <v>92</v>
      </c>
      <c r="N34" t="s">
        <v>43</v>
      </c>
      <c r="O34" t="s">
        <v>44</v>
      </c>
      <c r="P34" t="s">
        <v>45</v>
      </c>
      <c r="Q34" t="s">
        <v>55</v>
      </c>
      <c r="R34" t="s">
        <v>55</v>
      </c>
      <c r="S34" t="s">
        <v>55</v>
      </c>
      <c r="T34">
        <v>100</v>
      </c>
      <c r="U34">
        <v>32.659999999999997</v>
      </c>
      <c r="V34">
        <v>1.37</v>
      </c>
      <c r="W34">
        <v>44.74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35</v>
      </c>
      <c r="AE34" t="s">
        <v>47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>
        <v>6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>
        <v>7250123977</v>
      </c>
      <c r="M35" t="s">
        <v>58</v>
      </c>
      <c r="N35" t="s">
        <v>43</v>
      </c>
      <c r="O35" t="s">
        <v>44</v>
      </c>
      <c r="P35" t="s">
        <v>45</v>
      </c>
      <c r="Q35" t="s">
        <v>34</v>
      </c>
      <c r="R35" t="s">
        <v>34</v>
      </c>
      <c r="S35" t="s">
        <v>34</v>
      </c>
      <c r="T35">
        <v>100</v>
      </c>
      <c r="U35">
        <v>102.96</v>
      </c>
      <c r="V35">
        <v>1.37</v>
      </c>
      <c r="W35">
        <v>141.06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35</v>
      </c>
      <c r="AE35" t="s">
        <v>47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>
        <v>6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78</v>
      </c>
      <c r="L36">
        <v>7240110753</v>
      </c>
      <c r="M36" t="s">
        <v>93</v>
      </c>
      <c r="N36" t="s">
        <v>43</v>
      </c>
      <c r="O36" t="s">
        <v>44</v>
      </c>
      <c r="P36" t="s">
        <v>45</v>
      </c>
      <c r="Q36" t="s">
        <v>49</v>
      </c>
      <c r="R36" t="s">
        <v>49</v>
      </c>
      <c r="S36" t="s">
        <v>49</v>
      </c>
      <c r="T36">
        <v>100</v>
      </c>
      <c r="U36">
        <v>104.23</v>
      </c>
      <c r="V36">
        <v>0.94499999999999995</v>
      </c>
      <c r="W36">
        <v>98.5</v>
      </c>
      <c r="X36">
        <v>98.5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35</v>
      </c>
      <c r="AE36" t="s">
        <v>47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>
        <v>6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>
        <v>7240126613</v>
      </c>
      <c r="M37" t="s">
        <v>94</v>
      </c>
      <c r="N37" t="s">
        <v>43</v>
      </c>
      <c r="O37" t="s">
        <v>44</v>
      </c>
      <c r="P37" t="s">
        <v>45</v>
      </c>
      <c r="Q37" t="s">
        <v>62</v>
      </c>
      <c r="R37" t="s">
        <v>62</v>
      </c>
      <c r="S37" t="s">
        <v>62</v>
      </c>
      <c r="T37">
        <v>100</v>
      </c>
      <c r="U37">
        <v>72.260000000000005</v>
      </c>
      <c r="V37">
        <v>1.37</v>
      </c>
      <c r="W37">
        <v>99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35</v>
      </c>
      <c r="AE37" t="s">
        <v>47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>
        <v>6</v>
      </c>
      <c r="F38" t="s">
        <v>36</v>
      </c>
      <c r="G38" t="s">
        <v>37</v>
      </c>
      <c r="H38" t="s">
        <v>38</v>
      </c>
      <c r="I38" t="s">
        <v>95</v>
      </c>
      <c r="J38" t="s">
        <v>96</v>
      </c>
      <c r="K38" t="s">
        <v>41</v>
      </c>
      <c r="L38">
        <v>7250043503</v>
      </c>
      <c r="M38" t="s">
        <v>97</v>
      </c>
      <c r="N38" t="s">
        <v>43</v>
      </c>
      <c r="O38" t="s">
        <v>44</v>
      </c>
      <c r="P38" t="s">
        <v>45</v>
      </c>
      <c r="Q38" t="s">
        <v>70</v>
      </c>
      <c r="R38" t="s">
        <v>70</v>
      </c>
      <c r="S38" t="s">
        <v>70</v>
      </c>
      <c r="T38">
        <v>100</v>
      </c>
      <c r="U38">
        <v>125.22</v>
      </c>
      <c r="V38">
        <v>1.37</v>
      </c>
      <c r="W38">
        <v>171.55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35</v>
      </c>
      <c r="AE38" t="s">
        <v>47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>
        <v>6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>
        <v>7240101268</v>
      </c>
      <c r="M39" t="s">
        <v>98</v>
      </c>
      <c r="N39" t="s">
        <v>43</v>
      </c>
      <c r="O39" t="s">
        <v>44</v>
      </c>
      <c r="P39" t="s">
        <v>45</v>
      </c>
      <c r="Q39" t="s">
        <v>99</v>
      </c>
      <c r="R39" t="s">
        <v>99</v>
      </c>
      <c r="S39" t="s">
        <v>99</v>
      </c>
      <c r="T39">
        <v>100</v>
      </c>
      <c r="U39">
        <v>116.07</v>
      </c>
      <c r="V39">
        <v>0.94499999999999995</v>
      </c>
      <c r="W39">
        <v>109.69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35</v>
      </c>
      <c r="AE39" t="s">
        <v>47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>
        <v>6</v>
      </c>
      <c r="F40" t="s">
        <v>36</v>
      </c>
      <c r="G40" t="s">
        <v>37</v>
      </c>
      <c r="H40" t="s">
        <v>38</v>
      </c>
      <c r="I40" t="s">
        <v>50</v>
      </c>
      <c r="J40" t="s">
        <v>51</v>
      </c>
      <c r="K40" t="s">
        <v>41</v>
      </c>
      <c r="L40">
        <v>7250132579</v>
      </c>
      <c r="M40" t="s">
        <v>100</v>
      </c>
      <c r="N40" t="s">
        <v>43</v>
      </c>
      <c r="O40" t="s">
        <v>44</v>
      </c>
      <c r="P40" t="s">
        <v>45</v>
      </c>
      <c r="Q40" t="s">
        <v>83</v>
      </c>
      <c r="R40" t="s">
        <v>83</v>
      </c>
      <c r="S40" t="s">
        <v>83</v>
      </c>
      <c r="T40">
        <v>100</v>
      </c>
      <c r="U40">
        <v>5.8</v>
      </c>
      <c r="V40">
        <v>1.37</v>
      </c>
      <c r="W40">
        <v>7.95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35</v>
      </c>
      <c r="AE40" t="s">
        <v>47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>
        <v>6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>
        <v>6250016471</v>
      </c>
      <c r="M41" t="s">
        <v>101</v>
      </c>
      <c r="N41" t="s">
        <v>43</v>
      </c>
      <c r="O41" t="s">
        <v>44</v>
      </c>
      <c r="P41" t="s">
        <v>45</v>
      </c>
      <c r="Q41" t="s">
        <v>76</v>
      </c>
      <c r="R41" t="s">
        <v>76</v>
      </c>
      <c r="S41" t="s">
        <v>76</v>
      </c>
      <c r="T41">
        <v>100</v>
      </c>
      <c r="U41">
        <v>60.02</v>
      </c>
      <c r="V41">
        <v>0.9</v>
      </c>
      <c r="W41">
        <v>54.02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35</v>
      </c>
      <c r="AE41" t="s">
        <v>47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>
        <v>6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>
        <v>7240125223</v>
      </c>
      <c r="M42" t="s">
        <v>102</v>
      </c>
      <c r="N42" t="s">
        <v>43</v>
      </c>
      <c r="O42" t="s">
        <v>44</v>
      </c>
      <c r="P42" t="s">
        <v>45</v>
      </c>
      <c r="Q42" t="s">
        <v>62</v>
      </c>
      <c r="R42" t="s">
        <v>62</v>
      </c>
      <c r="S42" t="s">
        <v>62</v>
      </c>
      <c r="T42">
        <v>100</v>
      </c>
      <c r="U42">
        <v>88.23</v>
      </c>
      <c r="V42">
        <v>1.37</v>
      </c>
      <c r="W42">
        <v>120.88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35</v>
      </c>
      <c r="AE42" t="s">
        <v>47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>
        <v>6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>
        <v>7240126623</v>
      </c>
      <c r="M43" t="s">
        <v>103</v>
      </c>
      <c r="N43" t="s">
        <v>43</v>
      </c>
      <c r="O43" t="s">
        <v>44</v>
      </c>
      <c r="P43" t="s">
        <v>45</v>
      </c>
      <c r="Q43" t="s">
        <v>62</v>
      </c>
      <c r="R43" t="s">
        <v>62</v>
      </c>
      <c r="S43" t="s">
        <v>62</v>
      </c>
      <c r="T43">
        <v>100</v>
      </c>
      <c r="U43">
        <v>102.03</v>
      </c>
      <c r="V43">
        <v>0.94499999999999995</v>
      </c>
      <c r="W43">
        <v>96.42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35</v>
      </c>
      <c r="AE43" t="s">
        <v>47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>
        <v>6</v>
      </c>
      <c r="F44" t="s">
        <v>36</v>
      </c>
      <c r="G44" t="s">
        <v>37</v>
      </c>
      <c r="H44" t="s">
        <v>38</v>
      </c>
      <c r="I44" t="s">
        <v>50</v>
      </c>
      <c r="J44" t="s">
        <v>51</v>
      </c>
      <c r="K44" t="s">
        <v>41</v>
      </c>
      <c r="L44">
        <v>7250129739</v>
      </c>
      <c r="M44" t="s">
        <v>52</v>
      </c>
      <c r="N44" t="s">
        <v>43</v>
      </c>
      <c r="O44" t="s">
        <v>44</v>
      </c>
      <c r="P44" t="s">
        <v>45</v>
      </c>
      <c r="Q44" t="s">
        <v>34</v>
      </c>
      <c r="R44" t="s">
        <v>34</v>
      </c>
      <c r="S44" t="s">
        <v>34</v>
      </c>
      <c r="T44">
        <v>100</v>
      </c>
      <c r="U44">
        <v>3.92</v>
      </c>
      <c r="V44">
        <v>1.37</v>
      </c>
      <c r="W44">
        <v>5.37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35</v>
      </c>
      <c r="AE44" t="s">
        <v>47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>
        <v>6</v>
      </c>
      <c r="F45" t="s">
        <v>36</v>
      </c>
      <c r="G45" t="s">
        <v>37</v>
      </c>
      <c r="H45" t="s">
        <v>38</v>
      </c>
      <c r="I45" t="s">
        <v>63</v>
      </c>
      <c r="J45" t="s">
        <v>64</v>
      </c>
      <c r="K45" t="s">
        <v>41</v>
      </c>
      <c r="L45">
        <v>7250067462</v>
      </c>
      <c r="M45" t="s">
        <v>104</v>
      </c>
      <c r="N45" t="s">
        <v>43</v>
      </c>
      <c r="O45" t="s">
        <v>44</v>
      </c>
      <c r="P45" t="s">
        <v>45</v>
      </c>
      <c r="Q45" t="s">
        <v>105</v>
      </c>
      <c r="R45" t="s">
        <v>105</v>
      </c>
      <c r="S45" t="s">
        <v>105</v>
      </c>
      <c r="T45">
        <v>100</v>
      </c>
      <c r="U45">
        <v>72.09</v>
      </c>
      <c r="V45">
        <v>1.37</v>
      </c>
      <c r="W45">
        <v>98.76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35</v>
      </c>
      <c r="AE45" t="s">
        <v>47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>
        <v>6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>
        <v>7250036244</v>
      </c>
      <c r="M46" t="s">
        <v>106</v>
      </c>
      <c r="N46" t="s">
        <v>43</v>
      </c>
      <c r="O46" t="s">
        <v>44</v>
      </c>
      <c r="P46" t="s">
        <v>45</v>
      </c>
      <c r="Q46" t="s">
        <v>70</v>
      </c>
      <c r="R46" t="s">
        <v>70</v>
      </c>
      <c r="S46" t="s">
        <v>70</v>
      </c>
      <c r="T46">
        <v>100</v>
      </c>
      <c r="U46">
        <v>82.75</v>
      </c>
      <c r="V46">
        <v>1.37</v>
      </c>
      <c r="W46">
        <v>113.37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35</v>
      </c>
      <c r="AE46" t="s">
        <v>47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>
        <v>6</v>
      </c>
      <c r="F47" t="s">
        <v>36</v>
      </c>
      <c r="G47" t="s">
        <v>37</v>
      </c>
      <c r="H47" t="s">
        <v>38</v>
      </c>
      <c r="I47" t="s">
        <v>50</v>
      </c>
      <c r="J47" t="s">
        <v>51</v>
      </c>
      <c r="K47" t="s">
        <v>41</v>
      </c>
      <c r="L47">
        <v>7250130315</v>
      </c>
      <c r="M47" t="s">
        <v>56</v>
      </c>
      <c r="N47" t="s">
        <v>57</v>
      </c>
      <c r="O47" t="s">
        <v>44</v>
      </c>
      <c r="P47" t="s">
        <v>45</v>
      </c>
      <c r="Q47" t="s">
        <v>34</v>
      </c>
      <c r="R47" t="s">
        <v>34</v>
      </c>
      <c r="S47" t="s">
        <v>34</v>
      </c>
      <c r="T47">
        <v>100</v>
      </c>
      <c r="U47">
        <v>848.2</v>
      </c>
      <c r="V47">
        <v>1.37</v>
      </c>
      <c r="W47">
        <v>1162.03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35</v>
      </c>
      <c r="AE47" t="s">
        <v>47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>
        <v>6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 t="s">
        <v>41</v>
      </c>
      <c r="L48">
        <v>6240137471</v>
      </c>
      <c r="M48" t="s">
        <v>107</v>
      </c>
      <c r="N48" t="s">
        <v>43</v>
      </c>
      <c r="O48" t="s">
        <v>44</v>
      </c>
      <c r="P48" t="s">
        <v>45</v>
      </c>
      <c r="Q48" t="s">
        <v>62</v>
      </c>
      <c r="R48" t="s">
        <v>62</v>
      </c>
      <c r="S48" t="s">
        <v>62</v>
      </c>
      <c r="T48">
        <v>100</v>
      </c>
      <c r="U48">
        <v>92.25</v>
      </c>
      <c r="V48">
        <v>0.9</v>
      </c>
      <c r="W48">
        <v>83.03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35</v>
      </c>
      <c r="AE48" t="s">
        <v>47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>
        <v>6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>
        <v>7250104789</v>
      </c>
      <c r="M49" t="s">
        <v>108</v>
      </c>
      <c r="N49" t="s">
        <v>43</v>
      </c>
      <c r="O49" t="s">
        <v>44</v>
      </c>
      <c r="P49" t="s">
        <v>45</v>
      </c>
      <c r="Q49" t="s">
        <v>46</v>
      </c>
      <c r="R49" t="s">
        <v>46</v>
      </c>
      <c r="S49" t="s">
        <v>46</v>
      </c>
      <c r="T49">
        <v>100</v>
      </c>
      <c r="U49">
        <v>99.86</v>
      </c>
      <c r="V49">
        <v>1.37</v>
      </c>
      <c r="W49">
        <v>136.81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35</v>
      </c>
      <c r="AE49" t="s">
        <v>47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>
        <v>6</v>
      </c>
      <c r="F50" t="s">
        <v>36</v>
      </c>
      <c r="G50" t="s">
        <v>37</v>
      </c>
      <c r="H50" t="s">
        <v>38</v>
      </c>
      <c r="I50" t="s">
        <v>39</v>
      </c>
      <c r="J50" t="s">
        <v>40</v>
      </c>
      <c r="K50" t="s">
        <v>41</v>
      </c>
      <c r="L50">
        <v>7250097140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46</v>
      </c>
      <c r="S50" t="s">
        <v>46</v>
      </c>
      <c r="T50">
        <v>100</v>
      </c>
      <c r="U50">
        <v>98</v>
      </c>
      <c r="V50">
        <v>1.37</v>
      </c>
      <c r="W50">
        <v>134.26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35</v>
      </c>
      <c r="AE50" t="s">
        <v>47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>
        <v>6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 t="s">
        <v>78</v>
      </c>
      <c r="L51">
        <v>7240112321</v>
      </c>
      <c r="M51" t="s">
        <v>109</v>
      </c>
      <c r="N51" t="s">
        <v>43</v>
      </c>
      <c r="O51" t="s">
        <v>44</v>
      </c>
      <c r="P51" t="s">
        <v>45</v>
      </c>
      <c r="Q51" t="s">
        <v>49</v>
      </c>
      <c r="R51" t="s">
        <v>49</v>
      </c>
      <c r="S51" t="s">
        <v>49</v>
      </c>
      <c r="T51">
        <v>100</v>
      </c>
      <c r="U51">
        <v>105.28</v>
      </c>
      <c r="V51">
        <v>1.37</v>
      </c>
      <c r="W51">
        <v>144.22999999999999</v>
      </c>
      <c r="X51">
        <v>144.22999999999999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35</v>
      </c>
      <c r="AE51" t="s">
        <v>47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>
        <v>6</v>
      </c>
      <c r="F52" t="s">
        <v>36</v>
      </c>
      <c r="G52" t="s">
        <v>37</v>
      </c>
      <c r="H52" t="s">
        <v>38</v>
      </c>
      <c r="I52" t="s">
        <v>50</v>
      </c>
      <c r="J52" t="s">
        <v>51</v>
      </c>
      <c r="K52" t="s">
        <v>41</v>
      </c>
      <c r="L52">
        <v>7250132579</v>
      </c>
      <c r="M52" t="s">
        <v>100</v>
      </c>
      <c r="N52" t="s">
        <v>43</v>
      </c>
      <c r="O52" t="s">
        <v>44</v>
      </c>
      <c r="P52" t="s">
        <v>45</v>
      </c>
      <c r="Q52" t="s">
        <v>83</v>
      </c>
      <c r="R52" t="s">
        <v>83</v>
      </c>
      <c r="S52" t="s">
        <v>83</v>
      </c>
      <c r="T52">
        <v>100</v>
      </c>
      <c r="U52">
        <v>119.81</v>
      </c>
      <c r="V52">
        <v>1.37</v>
      </c>
      <c r="W52">
        <v>164.14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35</v>
      </c>
      <c r="AE52" t="s">
        <v>47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>
        <v>6</v>
      </c>
      <c r="F53" t="s">
        <v>36</v>
      </c>
      <c r="G53" t="s">
        <v>37</v>
      </c>
      <c r="H53" t="s">
        <v>38</v>
      </c>
      <c r="I53" t="s">
        <v>50</v>
      </c>
      <c r="J53" t="s">
        <v>51</v>
      </c>
      <c r="K53" t="s">
        <v>41</v>
      </c>
      <c r="L53">
        <v>7250130359</v>
      </c>
      <c r="M53" t="s">
        <v>56</v>
      </c>
      <c r="N53" t="s">
        <v>57</v>
      </c>
      <c r="O53" t="s">
        <v>44</v>
      </c>
      <c r="P53" t="s">
        <v>45</v>
      </c>
      <c r="Q53" t="s">
        <v>34</v>
      </c>
      <c r="R53" t="s">
        <v>34</v>
      </c>
      <c r="S53" t="s">
        <v>34</v>
      </c>
      <c r="T53">
        <v>100</v>
      </c>
      <c r="U53">
        <v>52.6</v>
      </c>
      <c r="V53">
        <v>1.37</v>
      </c>
      <c r="W53">
        <v>72.06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35</v>
      </c>
      <c r="AE53" t="s">
        <v>47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>
        <v>6</v>
      </c>
      <c r="F54" t="s">
        <v>36</v>
      </c>
      <c r="G54" t="s">
        <v>37</v>
      </c>
      <c r="H54" t="s">
        <v>38</v>
      </c>
      <c r="I54" t="s">
        <v>39</v>
      </c>
      <c r="J54" t="s">
        <v>40</v>
      </c>
      <c r="K54" t="s">
        <v>78</v>
      </c>
      <c r="L54">
        <v>7240112931</v>
      </c>
      <c r="M54" t="s">
        <v>110</v>
      </c>
      <c r="N54" t="s">
        <v>43</v>
      </c>
      <c r="O54" t="s">
        <v>44</v>
      </c>
      <c r="P54" t="s">
        <v>45</v>
      </c>
      <c r="Q54" t="s">
        <v>49</v>
      </c>
      <c r="R54" t="s">
        <v>49</v>
      </c>
      <c r="S54" t="s">
        <v>49</v>
      </c>
      <c r="T54">
        <v>100</v>
      </c>
      <c r="U54">
        <v>77.319999999999993</v>
      </c>
      <c r="V54">
        <v>1.37</v>
      </c>
      <c r="W54">
        <v>105.93</v>
      </c>
      <c r="X54">
        <v>105.93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35</v>
      </c>
      <c r="AE54" t="s">
        <v>47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>
        <v>6</v>
      </c>
      <c r="F55" t="s">
        <v>36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>
        <v>6250121740</v>
      </c>
      <c r="M55" t="s">
        <v>111</v>
      </c>
      <c r="N55" t="s">
        <v>43</v>
      </c>
      <c r="O55" t="s">
        <v>44</v>
      </c>
      <c r="P55" t="s">
        <v>45</v>
      </c>
      <c r="Q55" t="s">
        <v>34</v>
      </c>
      <c r="R55" t="s">
        <v>34</v>
      </c>
      <c r="S55" t="s">
        <v>34</v>
      </c>
      <c r="T55">
        <v>100</v>
      </c>
      <c r="U55">
        <v>76.53</v>
      </c>
      <c r="V55">
        <v>0.9</v>
      </c>
      <c r="W55">
        <v>68.88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35</v>
      </c>
      <c r="AE55" t="s">
        <v>47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>
        <v>6</v>
      </c>
      <c r="F56" t="s">
        <v>36</v>
      </c>
      <c r="G56" t="s">
        <v>37</v>
      </c>
      <c r="H56" t="s">
        <v>38</v>
      </c>
      <c r="I56" t="s">
        <v>50</v>
      </c>
      <c r="J56" t="s">
        <v>51</v>
      </c>
      <c r="K56" t="s">
        <v>41</v>
      </c>
      <c r="L56">
        <v>7250128516</v>
      </c>
      <c r="M56" t="s">
        <v>112</v>
      </c>
      <c r="N56" t="s">
        <v>43</v>
      </c>
      <c r="O56" t="s">
        <v>44</v>
      </c>
      <c r="P56" t="s">
        <v>45</v>
      </c>
      <c r="Q56" t="s">
        <v>34</v>
      </c>
      <c r="R56" t="s">
        <v>34</v>
      </c>
      <c r="S56" t="s">
        <v>34</v>
      </c>
      <c r="T56">
        <v>100</v>
      </c>
      <c r="U56">
        <v>168.32</v>
      </c>
      <c r="V56">
        <v>1.37</v>
      </c>
      <c r="W56">
        <v>230.6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35</v>
      </c>
      <c r="AE56" t="s">
        <v>47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>
        <v>6</v>
      </c>
      <c r="F57" t="s">
        <v>36</v>
      </c>
      <c r="G57" t="s">
        <v>37</v>
      </c>
      <c r="H57" t="s">
        <v>38</v>
      </c>
      <c r="I57" t="s">
        <v>71</v>
      </c>
      <c r="J57" t="s">
        <v>72</v>
      </c>
      <c r="K57" t="s">
        <v>41</v>
      </c>
      <c r="L57">
        <v>6250063528</v>
      </c>
      <c r="M57" t="s">
        <v>92</v>
      </c>
      <c r="N57" t="s">
        <v>43</v>
      </c>
      <c r="O57" t="s">
        <v>44</v>
      </c>
      <c r="P57" t="s">
        <v>45</v>
      </c>
      <c r="Q57" t="s">
        <v>55</v>
      </c>
      <c r="R57" t="s">
        <v>55</v>
      </c>
      <c r="S57" t="s">
        <v>55</v>
      </c>
      <c r="T57">
        <v>100</v>
      </c>
      <c r="U57">
        <v>71.91</v>
      </c>
      <c r="V57">
        <v>0.9</v>
      </c>
      <c r="W57">
        <v>64.72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35</v>
      </c>
      <c r="AE57" t="s">
        <v>47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>
        <v>6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 t="s">
        <v>41</v>
      </c>
      <c r="L58">
        <v>7250001892</v>
      </c>
      <c r="M58" t="s">
        <v>75</v>
      </c>
      <c r="N58" t="s">
        <v>43</v>
      </c>
      <c r="O58" t="s">
        <v>44</v>
      </c>
      <c r="P58" t="s">
        <v>45</v>
      </c>
      <c r="Q58" t="s">
        <v>76</v>
      </c>
      <c r="R58" t="s">
        <v>76</v>
      </c>
      <c r="S58" t="s">
        <v>76</v>
      </c>
      <c r="T58">
        <v>100</v>
      </c>
      <c r="U58">
        <v>112.73</v>
      </c>
      <c r="V58">
        <v>1.37</v>
      </c>
      <c r="W58">
        <v>154.44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35</v>
      </c>
      <c r="AE58" t="s">
        <v>47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>
        <v>6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>
        <v>7250110087</v>
      </c>
      <c r="M59" t="s">
        <v>87</v>
      </c>
      <c r="N59" t="s">
        <v>43</v>
      </c>
      <c r="O59" t="s">
        <v>44</v>
      </c>
      <c r="P59" t="s">
        <v>45</v>
      </c>
      <c r="Q59" t="s">
        <v>46</v>
      </c>
      <c r="R59" t="s">
        <v>46</v>
      </c>
      <c r="S59" t="s">
        <v>46</v>
      </c>
      <c r="T59">
        <v>100</v>
      </c>
      <c r="U59">
        <v>72.680000000000007</v>
      </c>
      <c r="V59">
        <v>1.37</v>
      </c>
      <c r="W59">
        <v>99.57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35</v>
      </c>
      <c r="AE59" t="s">
        <v>47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>
        <v>6</v>
      </c>
      <c r="F60" t="s">
        <v>36</v>
      </c>
      <c r="G60" t="s">
        <v>37</v>
      </c>
      <c r="H60" t="s">
        <v>38</v>
      </c>
      <c r="I60" t="s">
        <v>39</v>
      </c>
      <c r="J60" t="s">
        <v>40</v>
      </c>
      <c r="K60" t="s">
        <v>41</v>
      </c>
      <c r="L60">
        <v>7250006451</v>
      </c>
      <c r="M60" t="s">
        <v>113</v>
      </c>
      <c r="N60" t="s">
        <v>43</v>
      </c>
      <c r="O60" t="s">
        <v>44</v>
      </c>
      <c r="P60" t="s">
        <v>45</v>
      </c>
      <c r="Q60" t="s">
        <v>76</v>
      </c>
      <c r="R60" t="s">
        <v>76</v>
      </c>
      <c r="S60" t="s">
        <v>76</v>
      </c>
      <c r="T60">
        <v>100</v>
      </c>
      <c r="U60">
        <v>102.3</v>
      </c>
      <c r="V60">
        <v>1.37</v>
      </c>
      <c r="W60">
        <v>140.15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35</v>
      </c>
      <c r="AE60" t="s">
        <v>47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>
        <v>6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  <c r="K61" t="s">
        <v>41</v>
      </c>
      <c r="L61">
        <v>7240114243</v>
      </c>
      <c r="M61" t="s">
        <v>114</v>
      </c>
      <c r="N61" t="s">
        <v>43</v>
      </c>
      <c r="O61" t="s">
        <v>44</v>
      </c>
      <c r="P61" t="s">
        <v>45</v>
      </c>
      <c r="Q61" t="s">
        <v>49</v>
      </c>
      <c r="R61" t="s">
        <v>49</v>
      </c>
      <c r="S61" t="s">
        <v>49</v>
      </c>
      <c r="T61">
        <v>100</v>
      </c>
      <c r="U61">
        <v>73.790000000000006</v>
      </c>
      <c r="V61">
        <v>1.37</v>
      </c>
      <c r="W61">
        <v>101.09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35</v>
      </c>
      <c r="AE61" t="s">
        <v>47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>
        <v>6</v>
      </c>
      <c r="F62" t="s">
        <v>36</v>
      </c>
      <c r="G62" t="s">
        <v>37</v>
      </c>
      <c r="H62" t="s">
        <v>38</v>
      </c>
      <c r="I62" t="s">
        <v>39</v>
      </c>
      <c r="J62" t="s">
        <v>40</v>
      </c>
      <c r="K62" t="s">
        <v>41</v>
      </c>
      <c r="L62">
        <v>7250070948</v>
      </c>
      <c r="M62" t="s">
        <v>115</v>
      </c>
      <c r="N62" t="s">
        <v>43</v>
      </c>
      <c r="O62" t="s">
        <v>44</v>
      </c>
      <c r="P62" t="s">
        <v>45</v>
      </c>
      <c r="Q62" t="s">
        <v>116</v>
      </c>
      <c r="R62" t="s">
        <v>116</v>
      </c>
      <c r="S62" t="s">
        <v>116</v>
      </c>
      <c r="T62">
        <v>100</v>
      </c>
      <c r="U62">
        <v>75.98</v>
      </c>
      <c r="V62">
        <v>1.37</v>
      </c>
      <c r="W62">
        <v>104.09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35</v>
      </c>
      <c r="AE62" t="s">
        <v>47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>
        <v>6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78</v>
      </c>
      <c r="L63">
        <v>7240101034</v>
      </c>
      <c r="M63" t="s">
        <v>79</v>
      </c>
      <c r="N63" t="s">
        <v>43</v>
      </c>
      <c r="O63" t="s">
        <v>44</v>
      </c>
      <c r="P63" t="s">
        <v>45</v>
      </c>
      <c r="Q63" t="s">
        <v>117</v>
      </c>
      <c r="R63" t="s">
        <v>117</v>
      </c>
      <c r="S63" t="s">
        <v>117</v>
      </c>
      <c r="T63">
        <v>100</v>
      </c>
      <c r="U63">
        <v>106.65</v>
      </c>
      <c r="V63">
        <v>1.37</v>
      </c>
      <c r="W63">
        <v>146.11000000000001</v>
      </c>
      <c r="X63">
        <v>146.11000000000001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35</v>
      </c>
      <c r="AE63" t="s">
        <v>47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>
        <v>6</v>
      </c>
      <c r="F64" t="s">
        <v>36</v>
      </c>
      <c r="G64" t="s">
        <v>37</v>
      </c>
      <c r="H64" t="s">
        <v>38</v>
      </c>
      <c r="I64" t="s">
        <v>39</v>
      </c>
      <c r="J64" t="s">
        <v>40</v>
      </c>
      <c r="K64" t="s">
        <v>41</v>
      </c>
      <c r="L64">
        <v>7250031045</v>
      </c>
      <c r="M64" t="s">
        <v>118</v>
      </c>
      <c r="N64" t="s">
        <v>43</v>
      </c>
      <c r="O64" t="s">
        <v>44</v>
      </c>
      <c r="P64" t="s">
        <v>45</v>
      </c>
      <c r="Q64" t="s">
        <v>70</v>
      </c>
      <c r="R64" t="s">
        <v>70</v>
      </c>
      <c r="S64" t="s">
        <v>70</v>
      </c>
      <c r="T64">
        <v>100</v>
      </c>
      <c r="U64">
        <v>101.78</v>
      </c>
      <c r="V64">
        <v>1.37</v>
      </c>
      <c r="W64">
        <v>139.44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35</v>
      </c>
      <c r="AE64" t="s">
        <v>47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>
        <v>6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 t="s">
        <v>78</v>
      </c>
      <c r="L65">
        <v>7240110782</v>
      </c>
      <c r="M65" t="s">
        <v>93</v>
      </c>
      <c r="N65" t="s">
        <v>43</v>
      </c>
      <c r="O65" t="s">
        <v>44</v>
      </c>
      <c r="P65" t="s">
        <v>45</v>
      </c>
      <c r="Q65" t="s">
        <v>49</v>
      </c>
      <c r="R65" t="s">
        <v>49</v>
      </c>
      <c r="S65" t="s">
        <v>49</v>
      </c>
      <c r="T65">
        <v>100</v>
      </c>
      <c r="U65">
        <v>113.64</v>
      </c>
      <c r="V65">
        <v>0.94499999999999995</v>
      </c>
      <c r="W65">
        <v>107.39</v>
      </c>
      <c r="X65">
        <v>107.39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35</v>
      </c>
      <c r="AE65" t="s">
        <v>47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>
        <v>6</v>
      </c>
      <c r="F66" t="s">
        <v>36</v>
      </c>
      <c r="G66" t="s">
        <v>37</v>
      </c>
      <c r="H66" t="s">
        <v>38</v>
      </c>
      <c r="I66" t="s">
        <v>39</v>
      </c>
      <c r="J66" t="s">
        <v>40</v>
      </c>
      <c r="K66" t="s">
        <v>41</v>
      </c>
      <c r="L66">
        <v>7250026367</v>
      </c>
      <c r="M66" t="s">
        <v>119</v>
      </c>
      <c r="N66" t="s">
        <v>43</v>
      </c>
      <c r="O66" t="s">
        <v>44</v>
      </c>
      <c r="P66" t="s">
        <v>45</v>
      </c>
      <c r="Q66" t="s">
        <v>120</v>
      </c>
      <c r="R66" t="s">
        <v>120</v>
      </c>
      <c r="S66" t="s">
        <v>120</v>
      </c>
      <c r="T66">
        <v>100</v>
      </c>
      <c r="U66">
        <v>93.3</v>
      </c>
      <c r="V66">
        <v>0.94499999999999995</v>
      </c>
      <c r="W66">
        <v>88.17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35</v>
      </c>
      <c r="AE66" t="s">
        <v>47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>
        <v>6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78</v>
      </c>
      <c r="L67">
        <v>7240112385</v>
      </c>
      <c r="M67" t="s">
        <v>121</v>
      </c>
      <c r="N67" t="s">
        <v>43</v>
      </c>
      <c r="O67" t="s">
        <v>44</v>
      </c>
      <c r="P67" t="s">
        <v>45</v>
      </c>
      <c r="Q67" t="s">
        <v>49</v>
      </c>
      <c r="R67" t="s">
        <v>49</v>
      </c>
      <c r="S67" t="s">
        <v>49</v>
      </c>
      <c r="T67">
        <v>100</v>
      </c>
      <c r="U67">
        <v>91.63</v>
      </c>
      <c r="V67">
        <v>1.37</v>
      </c>
      <c r="W67">
        <v>125.53</v>
      </c>
      <c r="X67">
        <v>125.53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35</v>
      </c>
      <c r="AE67" t="s">
        <v>47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>
        <v>6</v>
      </c>
      <c r="F68" t="s">
        <v>36</v>
      </c>
      <c r="G68" t="s">
        <v>37</v>
      </c>
      <c r="H68" t="s">
        <v>38</v>
      </c>
      <c r="I68" t="s">
        <v>39</v>
      </c>
      <c r="J68" t="s">
        <v>40</v>
      </c>
      <c r="K68" t="s">
        <v>41</v>
      </c>
      <c r="L68">
        <v>7240122919</v>
      </c>
      <c r="M68" t="s">
        <v>122</v>
      </c>
      <c r="N68" t="s">
        <v>43</v>
      </c>
      <c r="O68" t="s">
        <v>44</v>
      </c>
      <c r="P68" t="s">
        <v>45</v>
      </c>
      <c r="Q68" t="s">
        <v>62</v>
      </c>
      <c r="R68" t="s">
        <v>62</v>
      </c>
      <c r="S68" t="s">
        <v>62</v>
      </c>
      <c r="T68">
        <v>100</v>
      </c>
      <c r="U68">
        <v>73.790000000000006</v>
      </c>
      <c r="V68">
        <v>1.37</v>
      </c>
      <c r="W68">
        <v>101.09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35</v>
      </c>
      <c r="AE68" t="s">
        <v>47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>
        <v>6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 t="s">
        <v>78</v>
      </c>
      <c r="L69">
        <v>7240112093</v>
      </c>
      <c r="M69" t="s">
        <v>123</v>
      </c>
      <c r="N69" t="s">
        <v>43</v>
      </c>
      <c r="O69" t="s">
        <v>44</v>
      </c>
      <c r="P69" t="s">
        <v>45</v>
      </c>
      <c r="Q69" t="s">
        <v>49</v>
      </c>
      <c r="R69" t="s">
        <v>49</v>
      </c>
      <c r="S69" t="s">
        <v>49</v>
      </c>
      <c r="T69">
        <v>100</v>
      </c>
      <c r="U69">
        <v>102.34</v>
      </c>
      <c r="V69">
        <v>1.37</v>
      </c>
      <c r="W69">
        <v>140.21</v>
      </c>
      <c r="X69">
        <v>140.21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35</v>
      </c>
      <c r="AE69" t="s">
        <v>47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>
        <v>6</v>
      </c>
      <c r="F70" t="s">
        <v>36</v>
      </c>
      <c r="G70" t="s">
        <v>37</v>
      </c>
      <c r="H70" t="s">
        <v>38</v>
      </c>
      <c r="I70" t="s">
        <v>39</v>
      </c>
      <c r="J70" t="s">
        <v>40</v>
      </c>
      <c r="K70" t="s">
        <v>41</v>
      </c>
      <c r="L70">
        <v>7240115864</v>
      </c>
      <c r="M70" t="s">
        <v>124</v>
      </c>
      <c r="N70" t="s">
        <v>43</v>
      </c>
      <c r="O70" t="s">
        <v>44</v>
      </c>
      <c r="P70" t="s">
        <v>45</v>
      </c>
      <c r="Q70" t="s">
        <v>49</v>
      </c>
      <c r="R70" t="s">
        <v>49</v>
      </c>
      <c r="S70" t="s">
        <v>49</v>
      </c>
      <c r="T70">
        <v>100</v>
      </c>
      <c r="U70">
        <v>86.96</v>
      </c>
      <c r="V70">
        <v>1.37</v>
      </c>
      <c r="W70">
        <v>119.14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35</v>
      </c>
      <c r="AE70" t="s">
        <v>47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>
        <v>6</v>
      </c>
      <c r="F71" t="s">
        <v>36</v>
      </c>
      <c r="G71" t="s">
        <v>37</v>
      </c>
      <c r="H71" t="s">
        <v>38</v>
      </c>
      <c r="I71" t="s">
        <v>39</v>
      </c>
      <c r="J71" t="s">
        <v>40</v>
      </c>
      <c r="K71" t="s">
        <v>41</v>
      </c>
      <c r="L71">
        <v>7240114781</v>
      </c>
      <c r="M71" t="s">
        <v>125</v>
      </c>
      <c r="N71" t="s">
        <v>43</v>
      </c>
      <c r="O71" t="s">
        <v>44</v>
      </c>
      <c r="P71" t="s">
        <v>45</v>
      </c>
      <c r="Q71" t="s">
        <v>49</v>
      </c>
      <c r="R71" t="s">
        <v>49</v>
      </c>
      <c r="S71" t="s">
        <v>49</v>
      </c>
      <c r="T71">
        <v>100</v>
      </c>
      <c r="U71">
        <v>81.239999999999995</v>
      </c>
      <c r="V71">
        <v>0.94499999999999995</v>
      </c>
      <c r="W71">
        <v>76.77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35</v>
      </c>
      <c r="AE71" t="s">
        <v>47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>
        <v>6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>
        <v>7240121170</v>
      </c>
      <c r="M72" t="s">
        <v>126</v>
      </c>
      <c r="N72" t="s">
        <v>43</v>
      </c>
      <c r="O72" t="s">
        <v>44</v>
      </c>
      <c r="P72" t="s">
        <v>45</v>
      </c>
      <c r="Q72" t="s">
        <v>62</v>
      </c>
      <c r="R72" t="s">
        <v>62</v>
      </c>
      <c r="S72" t="s">
        <v>62</v>
      </c>
      <c r="T72">
        <v>100</v>
      </c>
      <c r="U72">
        <v>93.43</v>
      </c>
      <c r="V72">
        <v>1.37</v>
      </c>
      <c r="W72">
        <v>128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35</v>
      </c>
      <c r="AE72" t="s">
        <v>47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>
        <v>6</v>
      </c>
      <c r="F73" t="s">
        <v>36</v>
      </c>
      <c r="G73" t="s">
        <v>37</v>
      </c>
      <c r="H73" t="s">
        <v>38</v>
      </c>
      <c r="I73" t="s">
        <v>39</v>
      </c>
      <c r="J73" t="s">
        <v>40</v>
      </c>
      <c r="K73" t="s">
        <v>41</v>
      </c>
      <c r="L73">
        <v>7250000354</v>
      </c>
      <c r="M73" t="s">
        <v>127</v>
      </c>
      <c r="N73" t="s">
        <v>43</v>
      </c>
      <c r="O73" t="s">
        <v>44</v>
      </c>
      <c r="P73" t="s">
        <v>45</v>
      </c>
      <c r="Q73" t="s">
        <v>76</v>
      </c>
      <c r="R73" t="s">
        <v>76</v>
      </c>
      <c r="S73" t="s">
        <v>76</v>
      </c>
      <c r="T73">
        <v>100</v>
      </c>
      <c r="U73">
        <v>113.46</v>
      </c>
      <c r="V73">
        <v>1.37</v>
      </c>
      <c r="W73">
        <v>155.44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35</v>
      </c>
      <c r="AE73" t="s">
        <v>47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>
        <v>6</v>
      </c>
      <c r="F74" t="s">
        <v>36</v>
      </c>
      <c r="G74" t="s">
        <v>37</v>
      </c>
      <c r="H74" t="s">
        <v>38</v>
      </c>
      <c r="I74" t="s">
        <v>39</v>
      </c>
      <c r="J74" t="s">
        <v>40</v>
      </c>
      <c r="K74" t="s">
        <v>41</v>
      </c>
      <c r="L74">
        <v>7250059859</v>
      </c>
      <c r="M74" t="s">
        <v>54</v>
      </c>
      <c r="N74" t="s">
        <v>43</v>
      </c>
      <c r="O74" t="s">
        <v>44</v>
      </c>
      <c r="P74" t="s">
        <v>45</v>
      </c>
      <c r="Q74" t="s">
        <v>55</v>
      </c>
      <c r="R74" t="s">
        <v>55</v>
      </c>
      <c r="S74" t="s">
        <v>55</v>
      </c>
      <c r="T74">
        <v>100</v>
      </c>
      <c r="U74">
        <v>92.91</v>
      </c>
      <c r="V74">
        <v>1.37</v>
      </c>
      <c r="W74">
        <v>127.29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35</v>
      </c>
      <c r="AE74" t="s">
        <v>47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>
        <v>6</v>
      </c>
      <c r="F75" t="s">
        <v>36</v>
      </c>
      <c r="G75" t="s">
        <v>37</v>
      </c>
      <c r="H75" t="s">
        <v>38</v>
      </c>
      <c r="I75" t="s">
        <v>39</v>
      </c>
      <c r="J75" t="s">
        <v>40</v>
      </c>
      <c r="K75" t="s">
        <v>78</v>
      </c>
      <c r="L75">
        <v>7240101224</v>
      </c>
      <c r="M75" t="s">
        <v>128</v>
      </c>
      <c r="N75" t="s">
        <v>43</v>
      </c>
      <c r="O75" t="s">
        <v>44</v>
      </c>
      <c r="P75" t="s">
        <v>45</v>
      </c>
      <c r="Q75" t="s">
        <v>117</v>
      </c>
      <c r="R75" t="s">
        <v>117</v>
      </c>
      <c r="S75" t="s">
        <v>117</v>
      </c>
      <c r="T75">
        <v>100</v>
      </c>
      <c r="U75">
        <v>102.93</v>
      </c>
      <c r="V75">
        <v>1.37</v>
      </c>
      <c r="W75">
        <v>141.01</v>
      </c>
      <c r="X75">
        <v>141.01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35</v>
      </c>
      <c r="AE75" t="s">
        <v>47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>
        <v>6</v>
      </c>
      <c r="F76" t="s">
        <v>36</v>
      </c>
      <c r="G76" t="s">
        <v>37</v>
      </c>
      <c r="H76" t="s">
        <v>38</v>
      </c>
      <c r="I76" t="s">
        <v>39</v>
      </c>
      <c r="J76" t="s">
        <v>40</v>
      </c>
      <c r="K76" t="s">
        <v>41</v>
      </c>
      <c r="L76">
        <v>7240121167</v>
      </c>
      <c r="M76" t="s">
        <v>129</v>
      </c>
      <c r="N76" t="s">
        <v>43</v>
      </c>
      <c r="O76" t="s">
        <v>44</v>
      </c>
      <c r="P76" t="s">
        <v>45</v>
      </c>
      <c r="Q76" t="s">
        <v>62</v>
      </c>
      <c r="R76" t="s">
        <v>62</v>
      </c>
      <c r="S76" t="s">
        <v>62</v>
      </c>
      <c r="T76">
        <v>100</v>
      </c>
      <c r="U76">
        <v>98.46</v>
      </c>
      <c r="V76">
        <v>1.37</v>
      </c>
      <c r="W76">
        <v>134.88999999999999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35</v>
      </c>
      <c r="AE76" t="s">
        <v>47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>
        <v>6</v>
      </c>
      <c r="F77" t="s">
        <v>36</v>
      </c>
      <c r="G77" t="s">
        <v>37</v>
      </c>
      <c r="H77" t="s">
        <v>38</v>
      </c>
      <c r="I77" t="s">
        <v>39</v>
      </c>
      <c r="J77" t="s">
        <v>40</v>
      </c>
      <c r="K77" t="s">
        <v>41</v>
      </c>
      <c r="L77">
        <v>7240124010</v>
      </c>
      <c r="M77" t="s">
        <v>130</v>
      </c>
      <c r="N77" t="s">
        <v>43</v>
      </c>
      <c r="O77" t="s">
        <v>44</v>
      </c>
      <c r="P77" t="s">
        <v>45</v>
      </c>
      <c r="Q77" t="s">
        <v>62</v>
      </c>
      <c r="R77" t="s">
        <v>62</v>
      </c>
      <c r="S77" t="s">
        <v>62</v>
      </c>
      <c r="T77">
        <v>100</v>
      </c>
      <c r="U77">
        <v>45.93</v>
      </c>
      <c r="V77">
        <v>1.37</v>
      </c>
      <c r="W77">
        <v>62.92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35</v>
      </c>
      <c r="AE77" t="s">
        <v>47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>
        <v>6</v>
      </c>
      <c r="F78" t="s">
        <v>36</v>
      </c>
      <c r="G78" t="s">
        <v>37</v>
      </c>
      <c r="H78" t="s">
        <v>38</v>
      </c>
      <c r="I78" t="s">
        <v>39</v>
      </c>
      <c r="J78" t="s">
        <v>40</v>
      </c>
      <c r="K78" t="s">
        <v>78</v>
      </c>
      <c r="L78">
        <v>7240111936</v>
      </c>
      <c r="M78" t="s">
        <v>131</v>
      </c>
      <c r="N78" t="s">
        <v>43</v>
      </c>
      <c r="O78" t="s">
        <v>44</v>
      </c>
      <c r="P78" t="s">
        <v>45</v>
      </c>
      <c r="Q78" t="s">
        <v>49</v>
      </c>
      <c r="R78" t="s">
        <v>49</v>
      </c>
      <c r="S78" t="s">
        <v>49</v>
      </c>
      <c r="T78">
        <v>100</v>
      </c>
      <c r="U78">
        <v>64</v>
      </c>
      <c r="V78">
        <v>1.37</v>
      </c>
      <c r="W78">
        <v>87.68</v>
      </c>
      <c r="X78">
        <v>87.68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35</v>
      </c>
      <c r="AE78" t="s">
        <v>47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>
        <v>6</v>
      </c>
      <c r="F79" t="s">
        <v>36</v>
      </c>
      <c r="G79" t="s">
        <v>37</v>
      </c>
      <c r="H79" t="s">
        <v>38</v>
      </c>
      <c r="I79" t="s">
        <v>63</v>
      </c>
      <c r="J79" t="s">
        <v>64</v>
      </c>
      <c r="K79" t="s">
        <v>41</v>
      </c>
      <c r="L79">
        <v>7250088780</v>
      </c>
      <c r="M79" t="s">
        <v>132</v>
      </c>
      <c r="N79" t="s">
        <v>43</v>
      </c>
      <c r="O79" t="s">
        <v>44</v>
      </c>
      <c r="P79" t="s">
        <v>45</v>
      </c>
      <c r="Q79" t="s">
        <v>88</v>
      </c>
      <c r="R79" t="s">
        <v>88</v>
      </c>
      <c r="S79" t="s">
        <v>88</v>
      </c>
      <c r="T79">
        <v>100</v>
      </c>
      <c r="U79">
        <v>80.77</v>
      </c>
      <c r="V79">
        <v>0.94499999999999995</v>
      </c>
      <c r="W79">
        <v>76.33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35</v>
      </c>
      <c r="AE79" t="s">
        <v>47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>
        <v>6</v>
      </c>
      <c r="F80" t="s">
        <v>36</v>
      </c>
      <c r="G80" t="s">
        <v>37</v>
      </c>
      <c r="H80" t="s">
        <v>38</v>
      </c>
      <c r="I80" t="s">
        <v>50</v>
      </c>
      <c r="J80" t="s">
        <v>51</v>
      </c>
      <c r="K80" t="s">
        <v>41</v>
      </c>
      <c r="L80">
        <v>7250130359</v>
      </c>
      <c r="M80" t="s">
        <v>56</v>
      </c>
      <c r="N80" t="s">
        <v>57</v>
      </c>
      <c r="O80" t="s">
        <v>44</v>
      </c>
      <c r="P80" t="s">
        <v>45</v>
      </c>
      <c r="Q80" t="s">
        <v>34</v>
      </c>
      <c r="R80" t="s">
        <v>34</v>
      </c>
      <c r="S80" t="s">
        <v>34</v>
      </c>
      <c r="T80">
        <v>100</v>
      </c>
      <c r="U80">
        <v>1518.6</v>
      </c>
      <c r="V80">
        <v>1.37</v>
      </c>
      <c r="W80">
        <v>2080.48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35</v>
      </c>
      <c r="AE80" t="s">
        <v>47</v>
      </c>
    </row>
    <row r="81" spans="1:31" x14ac:dyDescent="0.25">
      <c r="A81" t="s">
        <v>32</v>
      </c>
      <c r="B81" t="s">
        <v>33</v>
      </c>
      <c r="C81" t="s">
        <v>34</v>
      </c>
      <c r="D81" t="s">
        <v>35</v>
      </c>
      <c r="E81">
        <v>6</v>
      </c>
      <c r="F81" t="s">
        <v>36</v>
      </c>
      <c r="G81" t="s">
        <v>37</v>
      </c>
      <c r="H81" t="s">
        <v>38</v>
      </c>
      <c r="I81" t="s">
        <v>50</v>
      </c>
      <c r="J81" t="s">
        <v>51</v>
      </c>
      <c r="K81" t="s">
        <v>41</v>
      </c>
      <c r="L81">
        <v>7250128521</v>
      </c>
      <c r="M81" t="s">
        <v>91</v>
      </c>
      <c r="N81" t="s">
        <v>43</v>
      </c>
      <c r="O81" t="s">
        <v>44</v>
      </c>
      <c r="P81" t="s">
        <v>45</v>
      </c>
      <c r="Q81" t="s">
        <v>34</v>
      </c>
      <c r="R81" t="s">
        <v>34</v>
      </c>
      <c r="S81" t="s">
        <v>34</v>
      </c>
      <c r="T81">
        <v>100</v>
      </c>
      <c r="U81">
        <v>98.09</v>
      </c>
      <c r="V81">
        <v>1.37</v>
      </c>
      <c r="W81">
        <v>134.38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35</v>
      </c>
      <c r="AE81" t="s">
        <v>47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>
        <v>6</v>
      </c>
      <c r="F82" t="s">
        <v>36</v>
      </c>
      <c r="G82" t="s">
        <v>37</v>
      </c>
      <c r="H82" t="s">
        <v>38</v>
      </c>
      <c r="I82" t="s">
        <v>39</v>
      </c>
      <c r="J82" t="s">
        <v>40</v>
      </c>
      <c r="K82" t="s">
        <v>78</v>
      </c>
      <c r="L82">
        <v>7240111561</v>
      </c>
      <c r="M82" t="s">
        <v>133</v>
      </c>
      <c r="N82" t="s">
        <v>43</v>
      </c>
      <c r="O82" t="s">
        <v>44</v>
      </c>
      <c r="P82" t="s">
        <v>45</v>
      </c>
      <c r="Q82" t="s">
        <v>49</v>
      </c>
      <c r="R82" t="s">
        <v>49</v>
      </c>
      <c r="S82" t="s">
        <v>49</v>
      </c>
      <c r="T82">
        <v>100</v>
      </c>
      <c r="U82">
        <v>97.23</v>
      </c>
      <c r="V82">
        <v>1.37</v>
      </c>
      <c r="W82">
        <v>133.21</v>
      </c>
      <c r="X82">
        <v>133.21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35</v>
      </c>
      <c r="AE82" t="s">
        <v>47</v>
      </c>
    </row>
    <row r="83" spans="1:31" x14ac:dyDescent="0.25">
      <c r="A83" t="s">
        <v>32</v>
      </c>
      <c r="B83" t="s">
        <v>33</v>
      </c>
      <c r="C83" t="s">
        <v>34</v>
      </c>
      <c r="D83" t="s">
        <v>35</v>
      </c>
      <c r="E83">
        <v>6</v>
      </c>
      <c r="F83" t="s">
        <v>36</v>
      </c>
      <c r="G83" t="s">
        <v>37</v>
      </c>
      <c r="H83" t="s">
        <v>38</v>
      </c>
      <c r="I83" t="s">
        <v>39</v>
      </c>
      <c r="J83" t="s">
        <v>40</v>
      </c>
      <c r="K83" t="s">
        <v>41</v>
      </c>
      <c r="L83">
        <v>7250102505</v>
      </c>
      <c r="M83" t="s">
        <v>134</v>
      </c>
      <c r="N83" t="s">
        <v>43</v>
      </c>
      <c r="O83" t="s">
        <v>44</v>
      </c>
      <c r="P83" t="s">
        <v>45</v>
      </c>
      <c r="Q83" t="s">
        <v>46</v>
      </c>
      <c r="R83" t="s">
        <v>46</v>
      </c>
      <c r="S83" t="s">
        <v>46</v>
      </c>
      <c r="T83">
        <v>100</v>
      </c>
      <c r="U83">
        <v>93.78</v>
      </c>
      <c r="V83">
        <v>1.37</v>
      </c>
      <c r="W83">
        <v>128.47999999999999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35</v>
      </c>
      <c r="AE83" t="s">
        <v>47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>
        <v>6</v>
      </c>
      <c r="F84" t="s">
        <v>36</v>
      </c>
      <c r="G84" t="s">
        <v>37</v>
      </c>
      <c r="H84" t="s">
        <v>38</v>
      </c>
      <c r="I84" t="s">
        <v>39</v>
      </c>
      <c r="J84" t="s">
        <v>40</v>
      </c>
      <c r="K84" t="s">
        <v>78</v>
      </c>
      <c r="L84">
        <v>7240111182</v>
      </c>
      <c r="M84" t="s">
        <v>135</v>
      </c>
      <c r="N84" t="s">
        <v>43</v>
      </c>
      <c r="O84" t="s">
        <v>44</v>
      </c>
      <c r="P84" t="s">
        <v>45</v>
      </c>
      <c r="Q84" t="s">
        <v>49</v>
      </c>
      <c r="R84" t="s">
        <v>49</v>
      </c>
      <c r="S84" t="s">
        <v>49</v>
      </c>
      <c r="T84">
        <v>100</v>
      </c>
      <c r="U84">
        <v>92.16</v>
      </c>
      <c r="V84">
        <v>0.94499999999999995</v>
      </c>
      <c r="W84">
        <v>87.09</v>
      </c>
      <c r="X84">
        <v>87.09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35</v>
      </c>
      <c r="AE84" t="s">
        <v>47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>
        <v>6</v>
      </c>
      <c r="F85" t="s">
        <v>36</v>
      </c>
      <c r="G85" t="s">
        <v>37</v>
      </c>
      <c r="H85" t="s">
        <v>38</v>
      </c>
      <c r="I85" t="s">
        <v>39</v>
      </c>
      <c r="J85" t="s">
        <v>40</v>
      </c>
      <c r="K85" t="s">
        <v>41</v>
      </c>
      <c r="L85">
        <v>7240114020</v>
      </c>
      <c r="M85" t="s">
        <v>77</v>
      </c>
      <c r="N85" t="s">
        <v>43</v>
      </c>
      <c r="O85" t="s">
        <v>44</v>
      </c>
      <c r="P85" t="s">
        <v>45</v>
      </c>
      <c r="Q85" t="s">
        <v>49</v>
      </c>
      <c r="R85" t="s">
        <v>49</v>
      </c>
      <c r="S85" t="s">
        <v>49</v>
      </c>
      <c r="T85">
        <v>100</v>
      </c>
      <c r="U85">
        <v>128.80000000000001</v>
      </c>
      <c r="V85">
        <v>1.37</v>
      </c>
      <c r="W85">
        <v>176.46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35</v>
      </c>
      <c r="AE85" t="s">
        <v>47</v>
      </c>
    </row>
    <row r="86" spans="1:31" x14ac:dyDescent="0.25">
      <c r="A86" t="s">
        <v>32</v>
      </c>
      <c r="B86" t="s">
        <v>33</v>
      </c>
      <c r="C86" t="s">
        <v>34</v>
      </c>
      <c r="D86" t="s">
        <v>35</v>
      </c>
      <c r="E86">
        <v>6</v>
      </c>
      <c r="F86" t="s">
        <v>36</v>
      </c>
      <c r="G86" t="s">
        <v>37</v>
      </c>
      <c r="H86" t="s">
        <v>38</v>
      </c>
      <c r="I86" t="s">
        <v>39</v>
      </c>
      <c r="J86" t="s">
        <v>40</v>
      </c>
      <c r="K86" t="s">
        <v>41</v>
      </c>
      <c r="L86">
        <v>7240115124</v>
      </c>
      <c r="M86" t="s">
        <v>136</v>
      </c>
      <c r="N86" t="s">
        <v>43</v>
      </c>
      <c r="O86" t="s">
        <v>44</v>
      </c>
      <c r="P86" t="s">
        <v>45</v>
      </c>
      <c r="Q86" t="s">
        <v>49</v>
      </c>
      <c r="R86" t="s">
        <v>49</v>
      </c>
      <c r="S86" t="s">
        <v>49</v>
      </c>
      <c r="T86">
        <v>100</v>
      </c>
      <c r="U86">
        <v>79</v>
      </c>
      <c r="V86">
        <v>1.37</v>
      </c>
      <c r="W86">
        <v>108.23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35</v>
      </c>
      <c r="AE86" t="s">
        <v>47</v>
      </c>
    </row>
    <row r="87" spans="1:31" x14ac:dyDescent="0.25">
      <c r="A87" t="s">
        <v>32</v>
      </c>
      <c r="B87" t="s">
        <v>33</v>
      </c>
      <c r="C87" t="s">
        <v>34</v>
      </c>
      <c r="D87" t="s">
        <v>35</v>
      </c>
      <c r="E87">
        <v>6</v>
      </c>
      <c r="F87" t="s">
        <v>36</v>
      </c>
      <c r="G87" t="s">
        <v>37</v>
      </c>
      <c r="H87" t="s">
        <v>38</v>
      </c>
      <c r="I87" t="s">
        <v>50</v>
      </c>
      <c r="J87" t="s">
        <v>51</v>
      </c>
      <c r="K87" t="s">
        <v>41</v>
      </c>
      <c r="L87">
        <v>7250132001</v>
      </c>
      <c r="M87" t="s">
        <v>59</v>
      </c>
      <c r="N87" t="s">
        <v>43</v>
      </c>
      <c r="O87" t="s">
        <v>44</v>
      </c>
      <c r="P87" t="s">
        <v>45</v>
      </c>
      <c r="Q87" t="s">
        <v>34</v>
      </c>
      <c r="R87" t="s">
        <v>34</v>
      </c>
      <c r="S87" t="s">
        <v>34</v>
      </c>
      <c r="T87">
        <v>100</v>
      </c>
      <c r="U87">
        <v>3.7</v>
      </c>
      <c r="V87">
        <v>1.37</v>
      </c>
      <c r="W87">
        <v>5.07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35</v>
      </c>
      <c r="AE87" t="s">
        <v>47</v>
      </c>
    </row>
    <row r="88" spans="1:31" x14ac:dyDescent="0.25">
      <c r="A88" t="s">
        <v>32</v>
      </c>
      <c r="B88" t="s">
        <v>33</v>
      </c>
      <c r="C88" t="s">
        <v>34</v>
      </c>
      <c r="D88" t="s">
        <v>35</v>
      </c>
      <c r="E88">
        <v>6</v>
      </c>
      <c r="F88" t="s">
        <v>36</v>
      </c>
      <c r="G88" t="s">
        <v>37</v>
      </c>
      <c r="H88" t="s">
        <v>38</v>
      </c>
      <c r="I88" t="s">
        <v>137</v>
      </c>
      <c r="J88" t="s">
        <v>138</v>
      </c>
      <c r="K88" t="s">
        <v>41</v>
      </c>
      <c r="L88">
        <v>6250111822</v>
      </c>
      <c r="M88" t="s">
        <v>139</v>
      </c>
      <c r="N88" t="s">
        <v>43</v>
      </c>
      <c r="O88" t="s">
        <v>44</v>
      </c>
      <c r="P88" t="s">
        <v>45</v>
      </c>
      <c r="Q88" t="s">
        <v>140</v>
      </c>
      <c r="R88" t="s">
        <v>140</v>
      </c>
      <c r="S88" t="s">
        <v>140</v>
      </c>
      <c r="T88">
        <v>100</v>
      </c>
      <c r="U88">
        <v>140.27000000000001</v>
      </c>
      <c r="V88">
        <v>0.9</v>
      </c>
      <c r="W88">
        <v>126.24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35</v>
      </c>
      <c r="AE88" t="s">
        <v>47</v>
      </c>
    </row>
    <row r="89" spans="1:31" x14ac:dyDescent="0.25">
      <c r="A89" t="s">
        <v>32</v>
      </c>
      <c r="B89" t="s">
        <v>33</v>
      </c>
      <c r="C89" t="s">
        <v>34</v>
      </c>
      <c r="D89" t="s">
        <v>35</v>
      </c>
      <c r="E89">
        <v>6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 t="s">
        <v>41</v>
      </c>
      <c r="L89">
        <v>7240122461</v>
      </c>
      <c r="M89" t="s">
        <v>141</v>
      </c>
      <c r="N89" t="s">
        <v>43</v>
      </c>
      <c r="O89" t="s">
        <v>44</v>
      </c>
      <c r="P89" t="s">
        <v>45</v>
      </c>
      <c r="Q89" t="s">
        <v>62</v>
      </c>
      <c r="R89" t="s">
        <v>62</v>
      </c>
      <c r="S89" t="s">
        <v>62</v>
      </c>
      <c r="T89">
        <v>100</v>
      </c>
      <c r="U89">
        <v>81.52</v>
      </c>
      <c r="V89">
        <v>1.37</v>
      </c>
      <c r="W89">
        <v>111.68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35</v>
      </c>
      <c r="AE89" t="s">
        <v>47</v>
      </c>
    </row>
    <row r="90" spans="1:31" x14ac:dyDescent="0.25">
      <c r="A90" t="s">
        <v>32</v>
      </c>
      <c r="B90" t="s">
        <v>33</v>
      </c>
      <c r="C90" t="s">
        <v>34</v>
      </c>
      <c r="D90" t="s">
        <v>35</v>
      </c>
      <c r="E90">
        <v>6</v>
      </c>
      <c r="F90" t="s">
        <v>36</v>
      </c>
      <c r="G90" t="s">
        <v>37</v>
      </c>
      <c r="H90" t="s">
        <v>38</v>
      </c>
      <c r="I90" t="s">
        <v>39</v>
      </c>
      <c r="J90" t="s">
        <v>40</v>
      </c>
      <c r="K90" t="s">
        <v>78</v>
      </c>
      <c r="L90">
        <v>6240118764</v>
      </c>
      <c r="M90" t="s">
        <v>85</v>
      </c>
      <c r="N90" t="s">
        <v>43</v>
      </c>
      <c r="O90" t="s">
        <v>44</v>
      </c>
      <c r="P90" t="s">
        <v>45</v>
      </c>
      <c r="Q90" t="s">
        <v>49</v>
      </c>
      <c r="R90" t="s">
        <v>49</v>
      </c>
      <c r="S90" t="s">
        <v>49</v>
      </c>
      <c r="T90">
        <v>100</v>
      </c>
      <c r="U90">
        <v>76.180000000000007</v>
      </c>
      <c r="V90">
        <v>0.9</v>
      </c>
      <c r="W90">
        <v>68.56</v>
      </c>
      <c r="X90">
        <v>68.56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35</v>
      </c>
      <c r="AE90" t="s">
        <v>47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>
        <v>6</v>
      </c>
      <c r="F91" t="s">
        <v>36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>
        <v>7240115872</v>
      </c>
      <c r="M91" t="s">
        <v>124</v>
      </c>
      <c r="N91" t="s">
        <v>43</v>
      </c>
      <c r="O91" t="s">
        <v>44</v>
      </c>
      <c r="P91" t="s">
        <v>45</v>
      </c>
      <c r="Q91" t="s">
        <v>49</v>
      </c>
      <c r="R91" t="s">
        <v>49</v>
      </c>
      <c r="S91" t="s">
        <v>49</v>
      </c>
      <c r="T91">
        <v>100</v>
      </c>
      <c r="U91">
        <v>73.02</v>
      </c>
      <c r="V91">
        <v>0.94499999999999995</v>
      </c>
      <c r="W91">
        <v>69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35</v>
      </c>
      <c r="AE91" t="s">
        <v>47</v>
      </c>
    </row>
    <row r="92" spans="1:31" x14ac:dyDescent="0.25">
      <c r="A92" t="s">
        <v>32</v>
      </c>
      <c r="B92" t="s">
        <v>33</v>
      </c>
      <c r="C92" t="s">
        <v>34</v>
      </c>
      <c r="D92" t="s">
        <v>35</v>
      </c>
      <c r="E92">
        <v>6</v>
      </c>
      <c r="F92" t="s">
        <v>36</v>
      </c>
      <c r="G92" t="s">
        <v>37</v>
      </c>
      <c r="H92" t="s">
        <v>38</v>
      </c>
      <c r="I92" t="s">
        <v>71</v>
      </c>
      <c r="J92" t="s">
        <v>72</v>
      </c>
      <c r="K92" t="s">
        <v>41</v>
      </c>
      <c r="L92">
        <v>6250089879</v>
      </c>
      <c r="M92" t="s">
        <v>142</v>
      </c>
      <c r="N92" t="s">
        <v>43</v>
      </c>
      <c r="O92" t="s">
        <v>44</v>
      </c>
      <c r="P92" t="s">
        <v>45</v>
      </c>
      <c r="Q92" t="s">
        <v>143</v>
      </c>
      <c r="R92" t="s">
        <v>143</v>
      </c>
      <c r="S92" t="s">
        <v>143</v>
      </c>
      <c r="T92">
        <v>100</v>
      </c>
      <c r="U92">
        <v>-63.31</v>
      </c>
      <c r="V92">
        <v>0.9</v>
      </c>
      <c r="W92">
        <v>-56.98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35</v>
      </c>
      <c r="AE92" t="s">
        <v>47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>
        <v>6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 t="s">
        <v>78</v>
      </c>
      <c r="L93">
        <v>7240110570</v>
      </c>
      <c r="M93" t="s">
        <v>144</v>
      </c>
      <c r="N93" t="s">
        <v>43</v>
      </c>
      <c r="O93" t="s">
        <v>44</v>
      </c>
      <c r="P93" t="s">
        <v>45</v>
      </c>
      <c r="Q93" t="s">
        <v>49</v>
      </c>
      <c r="R93" t="s">
        <v>49</v>
      </c>
      <c r="S93" t="s">
        <v>49</v>
      </c>
      <c r="T93">
        <v>100</v>
      </c>
      <c r="U93">
        <v>68.97</v>
      </c>
      <c r="V93">
        <v>1.37</v>
      </c>
      <c r="W93">
        <v>94.49</v>
      </c>
      <c r="X93">
        <v>94.49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35</v>
      </c>
      <c r="AE93" t="s">
        <v>47</v>
      </c>
    </row>
    <row r="94" spans="1:31" x14ac:dyDescent="0.25">
      <c r="A94" t="s">
        <v>32</v>
      </c>
      <c r="B94" t="s">
        <v>33</v>
      </c>
      <c r="C94" t="s">
        <v>34</v>
      </c>
      <c r="D94" t="s">
        <v>35</v>
      </c>
      <c r="E94">
        <v>6</v>
      </c>
      <c r="F94" t="s">
        <v>36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>
        <v>7240125202</v>
      </c>
      <c r="M94" t="s">
        <v>145</v>
      </c>
      <c r="N94" t="s">
        <v>43</v>
      </c>
      <c r="O94" t="s">
        <v>44</v>
      </c>
      <c r="P94" t="s">
        <v>45</v>
      </c>
      <c r="Q94" t="s">
        <v>49</v>
      </c>
      <c r="R94" t="s">
        <v>49</v>
      </c>
      <c r="S94" t="s">
        <v>49</v>
      </c>
      <c r="T94">
        <v>100</v>
      </c>
      <c r="U94">
        <v>132.1</v>
      </c>
      <c r="V94">
        <v>0.94499999999999995</v>
      </c>
      <c r="W94">
        <v>124.83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35</v>
      </c>
      <c r="AE94" t="s">
        <v>47</v>
      </c>
    </row>
    <row r="95" spans="1:31" x14ac:dyDescent="0.25">
      <c r="A95" t="s">
        <v>32</v>
      </c>
      <c r="B95" t="s">
        <v>33</v>
      </c>
      <c r="C95" t="s">
        <v>34</v>
      </c>
      <c r="D95" t="s">
        <v>35</v>
      </c>
      <c r="E95">
        <v>6</v>
      </c>
      <c r="F95" t="s">
        <v>36</v>
      </c>
      <c r="G95" t="s">
        <v>37</v>
      </c>
      <c r="H95" t="s">
        <v>38</v>
      </c>
      <c r="I95" t="s">
        <v>50</v>
      </c>
      <c r="J95" t="s">
        <v>51</v>
      </c>
      <c r="K95" t="s">
        <v>41</v>
      </c>
      <c r="L95">
        <v>7250128516</v>
      </c>
      <c r="M95" t="s">
        <v>112</v>
      </c>
      <c r="N95" t="s">
        <v>43</v>
      </c>
      <c r="O95" t="s">
        <v>44</v>
      </c>
      <c r="P95" t="s">
        <v>45</v>
      </c>
      <c r="Q95" t="s">
        <v>34</v>
      </c>
      <c r="R95" t="s">
        <v>34</v>
      </c>
      <c r="S95" t="s">
        <v>34</v>
      </c>
      <c r="T95">
        <v>100</v>
      </c>
      <c r="U95">
        <v>8.1999999999999993</v>
      </c>
      <c r="V95">
        <v>1.37</v>
      </c>
      <c r="W95">
        <v>11.23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35</v>
      </c>
      <c r="AE95" t="s">
        <v>47</v>
      </c>
    </row>
    <row r="96" spans="1:31" x14ac:dyDescent="0.25">
      <c r="A96" t="s">
        <v>32</v>
      </c>
      <c r="B96" t="s">
        <v>33</v>
      </c>
      <c r="C96" t="s">
        <v>34</v>
      </c>
      <c r="D96" t="s">
        <v>35</v>
      </c>
      <c r="E96">
        <v>6</v>
      </c>
      <c r="F96" t="s">
        <v>36</v>
      </c>
      <c r="G96" t="s">
        <v>37</v>
      </c>
      <c r="H96" t="s">
        <v>38</v>
      </c>
      <c r="I96" t="s">
        <v>39</v>
      </c>
      <c r="J96" t="s">
        <v>40</v>
      </c>
      <c r="K96" t="s">
        <v>41</v>
      </c>
      <c r="L96">
        <v>6240136594</v>
      </c>
      <c r="M96" t="s">
        <v>145</v>
      </c>
      <c r="N96" t="s">
        <v>43</v>
      </c>
      <c r="O96" t="s">
        <v>44</v>
      </c>
      <c r="P96" t="s">
        <v>45</v>
      </c>
      <c r="Q96" t="s">
        <v>49</v>
      </c>
      <c r="R96" t="s">
        <v>49</v>
      </c>
      <c r="S96" t="s">
        <v>49</v>
      </c>
      <c r="T96">
        <v>100</v>
      </c>
      <c r="U96">
        <v>158.51</v>
      </c>
      <c r="V96">
        <v>0.9</v>
      </c>
      <c r="W96">
        <v>142.66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35</v>
      </c>
      <c r="AE96" t="s">
        <v>47</v>
      </c>
    </row>
    <row r="97" spans="1:31" x14ac:dyDescent="0.25">
      <c r="A97" t="s">
        <v>32</v>
      </c>
      <c r="B97" t="s">
        <v>33</v>
      </c>
      <c r="C97" t="s">
        <v>34</v>
      </c>
      <c r="D97" t="s">
        <v>35</v>
      </c>
      <c r="E97">
        <v>6</v>
      </c>
      <c r="F97" t="s">
        <v>36</v>
      </c>
      <c r="G97" t="s">
        <v>37</v>
      </c>
      <c r="H97" t="s">
        <v>38</v>
      </c>
      <c r="I97" t="s">
        <v>39</v>
      </c>
      <c r="J97" t="s">
        <v>40</v>
      </c>
      <c r="K97" t="s">
        <v>41</v>
      </c>
      <c r="L97">
        <v>7240122077</v>
      </c>
      <c r="M97" t="s">
        <v>146</v>
      </c>
      <c r="N97" t="s">
        <v>43</v>
      </c>
      <c r="O97" t="s">
        <v>44</v>
      </c>
      <c r="P97" t="s">
        <v>45</v>
      </c>
      <c r="Q97" t="s">
        <v>62</v>
      </c>
      <c r="R97" t="s">
        <v>62</v>
      </c>
      <c r="S97" t="s">
        <v>62</v>
      </c>
      <c r="T97">
        <v>100</v>
      </c>
      <c r="U97">
        <v>96.3</v>
      </c>
      <c r="V97">
        <v>1.37</v>
      </c>
      <c r="W97">
        <v>131.93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35</v>
      </c>
      <c r="AE97" t="s">
        <v>47</v>
      </c>
    </row>
    <row r="98" spans="1:31" x14ac:dyDescent="0.25">
      <c r="A98" t="s">
        <v>32</v>
      </c>
      <c r="B98" t="s">
        <v>33</v>
      </c>
      <c r="C98" t="s">
        <v>34</v>
      </c>
      <c r="D98" t="s">
        <v>35</v>
      </c>
      <c r="E98">
        <v>6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K98" t="s">
        <v>41</v>
      </c>
      <c r="L98">
        <v>7250037352</v>
      </c>
      <c r="M98" t="s">
        <v>69</v>
      </c>
      <c r="N98" t="s">
        <v>43</v>
      </c>
      <c r="O98" t="s">
        <v>44</v>
      </c>
      <c r="P98" t="s">
        <v>45</v>
      </c>
      <c r="Q98" t="s">
        <v>70</v>
      </c>
      <c r="R98" t="s">
        <v>70</v>
      </c>
      <c r="S98" t="s">
        <v>70</v>
      </c>
      <c r="T98">
        <v>100</v>
      </c>
      <c r="U98">
        <v>101.26</v>
      </c>
      <c r="V98">
        <v>1.37</v>
      </c>
      <c r="W98">
        <v>138.72999999999999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35</v>
      </c>
      <c r="AE98" t="s">
        <v>47</v>
      </c>
    </row>
    <row r="99" spans="1:31" x14ac:dyDescent="0.25">
      <c r="A99" t="s">
        <v>32</v>
      </c>
      <c r="B99" t="s">
        <v>33</v>
      </c>
      <c r="C99" t="s">
        <v>34</v>
      </c>
      <c r="D99" t="s">
        <v>35</v>
      </c>
      <c r="E99">
        <v>6</v>
      </c>
      <c r="F99" t="s">
        <v>36</v>
      </c>
      <c r="G99" t="s">
        <v>37</v>
      </c>
      <c r="H99" t="s">
        <v>38</v>
      </c>
      <c r="I99" t="s">
        <v>39</v>
      </c>
      <c r="J99" t="s">
        <v>40</v>
      </c>
      <c r="K99" t="s">
        <v>78</v>
      </c>
      <c r="L99">
        <v>7240112327</v>
      </c>
      <c r="M99" t="s">
        <v>147</v>
      </c>
      <c r="N99" t="s">
        <v>43</v>
      </c>
      <c r="O99" t="s">
        <v>44</v>
      </c>
      <c r="P99" t="s">
        <v>45</v>
      </c>
      <c r="Q99" t="s">
        <v>49</v>
      </c>
      <c r="R99" t="s">
        <v>49</v>
      </c>
      <c r="S99" t="s">
        <v>49</v>
      </c>
      <c r="T99">
        <v>100</v>
      </c>
      <c r="U99">
        <v>114.98</v>
      </c>
      <c r="V99">
        <v>1.37</v>
      </c>
      <c r="W99">
        <v>157.52000000000001</v>
      </c>
      <c r="X99">
        <v>157.52000000000001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35</v>
      </c>
      <c r="AE99" t="s">
        <v>47</v>
      </c>
    </row>
    <row r="100" spans="1:31" x14ac:dyDescent="0.25">
      <c r="A100" t="s">
        <v>32</v>
      </c>
      <c r="B100" t="s">
        <v>33</v>
      </c>
      <c r="C100" t="s">
        <v>34</v>
      </c>
      <c r="D100" t="s">
        <v>35</v>
      </c>
      <c r="E100">
        <v>6</v>
      </c>
      <c r="F100" t="s">
        <v>36</v>
      </c>
      <c r="G100" t="s">
        <v>37</v>
      </c>
      <c r="H100" t="s">
        <v>38</v>
      </c>
      <c r="I100" t="s">
        <v>39</v>
      </c>
      <c r="J100" t="s">
        <v>40</v>
      </c>
      <c r="K100" t="s">
        <v>78</v>
      </c>
      <c r="L100">
        <v>7240112603</v>
      </c>
      <c r="M100" t="s">
        <v>148</v>
      </c>
      <c r="N100" t="s">
        <v>43</v>
      </c>
      <c r="O100" t="s">
        <v>44</v>
      </c>
      <c r="P100" t="s">
        <v>45</v>
      </c>
      <c r="Q100" t="s">
        <v>49</v>
      </c>
      <c r="R100" t="s">
        <v>49</v>
      </c>
      <c r="S100" t="s">
        <v>49</v>
      </c>
      <c r="T100">
        <v>100</v>
      </c>
      <c r="U100">
        <v>62.9</v>
      </c>
      <c r="V100">
        <v>1.37</v>
      </c>
      <c r="W100">
        <v>86.17</v>
      </c>
      <c r="X100">
        <v>86.17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35</v>
      </c>
      <c r="AE100" t="s">
        <v>47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92DB-E14A-451D-83C1-91578FBD616B}">
  <dimension ref="A1:V98"/>
  <sheetViews>
    <sheetView tabSelected="1" workbookViewId="0">
      <selection activeCell="E33" sqref="E33"/>
    </sheetView>
  </sheetViews>
  <sheetFormatPr defaultRowHeight="15" x14ac:dyDescent="0.25"/>
  <cols>
    <col min="1" max="1" width="14.140625" bestFit="1" customWidth="1"/>
    <col min="2" max="2" width="21.5703125" bestFit="1" customWidth="1"/>
    <col min="3" max="3" width="19.5703125" bestFit="1" customWidth="1"/>
    <col min="4" max="4" width="20.7109375" bestFit="1" customWidth="1"/>
    <col min="5" max="5" width="14.140625" bestFit="1" customWidth="1"/>
    <col min="6" max="6" width="23.7109375" bestFit="1" customWidth="1"/>
    <col min="7" max="7" width="8.5703125" bestFit="1" customWidth="1"/>
    <col min="8" max="8" width="10.42578125" style="5" bestFit="1" customWidth="1"/>
    <col min="9" max="9" width="10.42578125" style="5" customWidth="1"/>
    <col min="10" max="10" width="10.42578125" style="9" customWidth="1"/>
    <col min="11" max="11" width="10.42578125" bestFit="1" customWidth="1"/>
    <col min="12" max="12" width="5.5703125" style="7" bestFit="1" customWidth="1"/>
    <col min="14" max="14" width="8.140625" bestFit="1" customWidth="1"/>
    <col min="15" max="15" width="30.5703125" bestFit="1" customWidth="1"/>
    <col min="16" max="16" width="40.140625" bestFit="1" customWidth="1"/>
    <col min="17" max="17" width="40.85546875" bestFit="1" customWidth="1"/>
    <col min="18" max="18" width="18" bestFit="1" customWidth="1"/>
    <col min="19" max="19" width="22" bestFit="1" customWidth="1"/>
    <col min="20" max="21" width="22.5703125" bestFit="1" customWidth="1"/>
    <col min="22" max="22" width="5.28515625" bestFit="1" customWidth="1"/>
  </cols>
  <sheetData>
    <row r="1" spans="1:22" x14ac:dyDescent="0.25">
      <c r="A1" s="1" t="s">
        <v>2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13</v>
      </c>
      <c r="I1" s="4" t="s">
        <v>149</v>
      </c>
      <c r="J1" s="8" t="s">
        <v>150</v>
      </c>
      <c r="K1" s="1" t="s">
        <v>14</v>
      </c>
      <c r="L1" s="6" t="s">
        <v>18</v>
      </c>
      <c r="M1" s="1" t="s">
        <v>17</v>
      </c>
      <c r="N1" s="1" t="s">
        <v>19</v>
      </c>
      <c r="O1" s="1" t="s">
        <v>20</v>
      </c>
      <c r="P1" s="1"/>
      <c r="Q1" s="1"/>
      <c r="R1" s="1"/>
      <c r="S1" s="1"/>
      <c r="T1" s="1"/>
      <c r="U1" s="1"/>
      <c r="V1" s="1"/>
    </row>
    <row r="2" spans="1:22" x14ac:dyDescent="0.25">
      <c r="A2" s="10" t="s">
        <v>32</v>
      </c>
      <c r="B2" s="10" t="s">
        <v>151</v>
      </c>
      <c r="C2" s="10" t="s">
        <v>40</v>
      </c>
      <c r="D2" s="10" t="s">
        <v>41</v>
      </c>
      <c r="E2" s="10">
        <v>6250121740</v>
      </c>
      <c r="F2" s="10" t="s">
        <v>158</v>
      </c>
      <c r="G2" s="10" t="s">
        <v>43</v>
      </c>
      <c r="H2" s="11">
        <v>45870</v>
      </c>
      <c r="I2" s="11">
        <v>45901</v>
      </c>
      <c r="J2" s="12">
        <f t="shared" ref="J2:J33" si="0">DATEDIF(H2,I2,"M")</f>
        <v>1</v>
      </c>
      <c r="K2" s="10" t="s">
        <v>34</v>
      </c>
      <c r="L2" s="13">
        <v>0.9</v>
      </c>
      <c r="M2" s="10">
        <v>76.53</v>
      </c>
      <c r="N2" s="10">
        <v>68.88</v>
      </c>
      <c r="O2" s="10" t="s">
        <v>153</v>
      </c>
      <c r="P2" t="s">
        <v>245</v>
      </c>
    </row>
    <row r="3" spans="1:22" x14ac:dyDescent="0.25">
      <c r="A3" s="10" t="s">
        <v>32</v>
      </c>
      <c r="B3" s="10">
        <v>19481808</v>
      </c>
      <c r="C3" s="10" t="s">
        <v>138</v>
      </c>
      <c r="D3" s="10" t="s">
        <v>41</v>
      </c>
      <c r="E3" s="10">
        <v>6250111822</v>
      </c>
      <c r="F3" s="10" t="s">
        <v>168</v>
      </c>
      <c r="G3" s="10" t="s">
        <v>43</v>
      </c>
      <c r="H3" s="11">
        <v>45852</v>
      </c>
      <c r="I3" s="11">
        <v>45870</v>
      </c>
      <c r="J3" s="12">
        <f t="shared" si="0"/>
        <v>0</v>
      </c>
      <c r="K3" s="10" t="s">
        <v>140</v>
      </c>
      <c r="L3" s="13">
        <v>0.9</v>
      </c>
      <c r="M3" s="10">
        <v>140.27000000000001</v>
      </c>
      <c r="N3" s="10">
        <v>126.24</v>
      </c>
      <c r="O3" s="10" t="s">
        <v>152</v>
      </c>
      <c r="P3" t="s">
        <v>245</v>
      </c>
    </row>
    <row r="4" spans="1:22" x14ac:dyDescent="0.25">
      <c r="A4" t="s">
        <v>32</v>
      </c>
      <c r="B4">
        <v>8977234</v>
      </c>
      <c r="C4" t="s">
        <v>72</v>
      </c>
      <c r="D4" t="s">
        <v>41</v>
      </c>
      <c r="E4">
        <v>6250089879</v>
      </c>
      <c r="F4" t="s">
        <v>169</v>
      </c>
      <c r="G4" t="s">
        <v>43</v>
      </c>
      <c r="H4" s="5">
        <v>45832</v>
      </c>
      <c r="I4" s="5">
        <v>45870</v>
      </c>
      <c r="J4" s="9">
        <f t="shared" si="0"/>
        <v>1</v>
      </c>
      <c r="K4" t="s">
        <v>143</v>
      </c>
      <c r="L4" s="7">
        <v>0.9</v>
      </c>
      <c r="M4">
        <v>-63.31</v>
      </c>
      <c r="N4">
        <v>-56.98</v>
      </c>
      <c r="O4" t="s">
        <v>154</v>
      </c>
      <c r="P4" t="s">
        <v>245</v>
      </c>
    </row>
    <row r="5" spans="1:22" x14ac:dyDescent="0.25">
      <c r="A5" t="s">
        <v>32</v>
      </c>
      <c r="B5">
        <v>9213293</v>
      </c>
      <c r="C5" t="s">
        <v>64</v>
      </c>
      <c r="D5" t="s">
        <v>41</v>
      </c>
      <c r="E5">
        <v>6250092297</v>
      </c>
      <c r="F5" t="s">
        <v>177</v>
      </c>
      <c r="G5" t="s">
        <v>43</v>
      </c>
      <c r="H5" s="5">
        <v>45813</v>
      </c>
      <c r="I5" s="5">
        <v>45870</v>
      </c>
      <c r="J5" s="9">
        <f t="shared" si="0"/>
        <v>1</v>
      </c>
      <c r="K5" t="s">
        <v>66</v>
      </c>
      <c r="L5" s="7">
        <v>0.9</v>
      </c>
      <c r="M5">
        <v>76.010000000000005</v>
      </c>
      <c r="N5">
        <v>68.41</v>
      </c>
      <c r="O5" t="s">
        <v>154</v>
      </c>
      <c r="P5" t="s">
        <v>245</v>
      </c>
    </row>
    <row r="6" spans="1:22" x14ac:dyDescent="0.25">
      <c r="A6" t="s">
        <v>32</v>
      </c>
      <c r="B6">
        <v>8977234</v>
      </c>
      <c r="C6" t="s">
        <v>72</v>
      </c>
      <c r="D6" t="s">
        <v>41</v>
      </c>
      <c r="E6">
        <v>6250063528</v>
      </c>
      <c r="F6" t="s">
        <v>184</v>
      </c>
      <c r="G6" t="s">
        <v>43</v>
      </c>
      <c r="H6" s="5">
        <v>45778</v>
      </c>
      <c r="I6" s="5">
        <v>45870</v>
      </c>
      <c r="J6" s="9">
        <f t="shared" si="0"/>
        <v>3</v>
      </c>
      <c r="K6" t="s">
        <v>55</v>
      </c>
      <c r="L6" s="7">
        <v>0.9</v>
      </c>
      <c r="M6">
        <v>71.91</v>
      </c>
      <c r="N6">
        <v>64.72</v>
      </c>
      <c r="O6" t="s">
        <v>154</v>
      </c>
      <c r="P6" t="s">
        <v>245</v>
      </c>
    </row>
    <row r="7" spans="1:22" x14ac:dyDescent="0.25">
      <c r="A7" s="10" t="s">
        <v>32</v>
      </c>
      <c r="B7" s="10">
        <v>7470776</v>
      </c>
      <c r="C7" s="10" t="s">
        <v>40</v>
      </c>
      <c r="D7" s="10" t="s">
        <v>41</v>
      </c>
      <c r="E7" s="10">
        <v>6250016471</v>
      </c>
      <c r="F7" s="10" t="s">
        <v>195</v>
      </c>
      <c r="G7" s="10" t="s">
        <v>43</v>
      </c>
      <c r="H7" s="11">
        <v>45689</v>
      </c>
      <c r="I7" s="11">
        <v>45870</v>
      </c>
      <c r="J7" s="12">
        <f t="shared" si="0"/>
        <v>6</v>
      </c>
      <c r="K7" s="10" t="s">
        <v>76</v>
      </c>
      <c r="L7" s="13">
        <v>0.9</v>
      </c>
      <c r="M7" s="10">
        <v>60.02</v>
      </c>
      <c r="N7" s="10">
        <v>54.02</v>
      </c>
      <c r="O7" s="10" t="s">
        <v>152</v>
      </c>
      <c r="P7" t="s">
        <v>245</v>
      </c>
    </row>
    <row r="8" spans="1:22" x14ac:dyDescent="0.25">
      <c r="A8" s="10" t="s">
        <v>32</v>
      </c>
      <c r="B8" s="10">
        <v>7470776</v>
      </c>
      <c r="C8" s="10" t="s">
        <v>40</v>
      </c>
      <c r="D8" s="10" t="s">
        <v>41</v>
      </c>
      <c r="E8" s="10">
        <v>6240123113</v>
      </c>
      <c r="F8" s="10" t="s">
        <v>199</v>
      </c>
      <c r="G8" s="10" t="s">
        <v>43</v>
      </c>
      <c r="H8" s="11">
        <v>45654</v>
      </c>
      <c r="I8" s="11">
        <v>45870</v>
      </c>
      <c r="J8" s="12">
        <f t="shared" si="0"/>
        <v>7</v>
      </c>
      <c r="K8" s="10" t="s">
        <v>49</v>
      </c>
      <c r="L8" s="13">
        <v>0.9</v>
      </c>
      <c r="M8" s="10">
        <v>108.26</v>
      </c>
      <c r="N8" s="10">
        <v>97.43</v>
      </c>
      <c r="O8" s="10" t="s">
        <v>152</v>
      </c>
      <c r="P8" t="s">
        <v>245</v>
      </c>
    </row>
    <row r="9" spans="1:22" x14ac:dyDescent="0.25">
      <c r="A9" s="10" t="s">
        <v>32</v>
      </c>
      <c r="B9" s="10">
        <v>7470776</v>
      </c>
      <c r="C9" s="10" t="s">
        <v>40</v>
      </c>
      <c r="D9" s="10" t="s">
        <v>41</v>
      </c>
      <c r="E9" s="10">
        <v>6240125810</v>
      </c>
      <c r="F9" s="10" t="s">
        <v>200</v>
      </c>
      <c r="G9" s="10" t="s">
        <v>43</v>
      </c>
      <c r="H9" s="11">
        <v>45654</v>
      </c>
      <c r="I9" s="11">
        <v>45870</v>
      </c>
      <c r="J9" s="12">
        <f t="shared" si="0"/>
        <v>7</v>
      </c>
      <c r="K9" s="10" t="s">
        <v>49</v>
      </c>
      <c r="L9" s="13">
        <v>0.9</v>
      </c>
      <c r="M9" s="10">
        <v>91.91</v>
      </c>
      <c r="N9" s="10">
        <v>82.72</v>
      </c>
      <c r="O9" s="10" t="s">
        <v>152</v>
      </c>
      <c r="P9" t="s">
        <v>245</v>
      </c>
    </row>
    <row r="10" spans="1:22" x14ac:dyDescent="0.25">
      <c r="A10" s="10" t="s">
        <v>32</v>
      </c>
      <c r="B10" s="10">
        <v>7470776</v>
      </c>
      <c r="C10" s="10" t="s">
        <v>40</v>
      </c>
      <c r="D10" s="10" t="s">
        <v>41</v>
      </c>
      <c r="E10" s="10">
        <v>6240135139</v>
      </c>
      <c r="F10" s="10" t="s">
        <v>202</v>
      </c>
      <c r="G10" s="10" t="s">
        <v>43</v>
      </c>
      <c r="H10" s="11">
        <v>45654</v>
      </c>
      <c r="I10" s="11">
        <v>45870</v>
      </c>
      <c r="J10" s="12">
        <f t="shared" si="0"/>
        <v>7</v>
      </c>
      <c r="K10" s="10" t="s">
        <v>49</v>
      </c>
      <c r="L10" s="13">
        <v>0.9</v>
      </c>
      <c r="M10" s="10">
        <v>104.18</v>
      </c>
      <c r="N10" s="10">
        <v>93.76</v>
      </c>
      <c r="O10" s="10" t="s">
        <v>152</v>
      </c>
      <c r="P10" t="s">
        <v>245</v>
      </c>
    </row>
    <row r="11" spans="1:22" x14ac:dyDescent="0.25">
      <c r="A11" s="10" t="s">
        <v>32</v>
      </c>
      <c r="B11" s="10">
        <v>7470776</v>
      </c>
      <c r="C11" s="10" t="s">
        <v>40</v>
      </c>
      <c r="D11" s="10" t="s">
        <v>78</v>
      </c>
      <c r="E11" s="10">
        <v>6240118719</v>
      </c>
      <c r="F11" s="10" t="s">
        <v>207</v>
      </c>
      <c r="G11" s="10" t="s">
        <v>43</v>
      </c>
      <c r="H11" s="11">
        <v>45654</v>
      </c>
      <c r="I11" s="11">
        <v>45870</v>
      </c>
      <c r="J11" s="12">
        <f t="shared" si="0"/>
        <v>7</v>
      </c>
      <c r="K11" s="10" t="s">
        <v>49</v>
      </c>
      <c r="L11" s="13">
        <v>0.9</v>
      </c>
      <c r="M11" s="10">
        <v>172.16</v>
      </c>
      <c r="N11" s="10">
        <v>154.94</v>
      </c>
      <c r="O11" s="10" t="s">
        <v>152</v>
      </c>
      <c r="P11" t="s">
        <v>245</v>
      </c>
    </row>
    <row r="12" spans="1:22" x14ac:dyDescent="0.25">
      <c r="A12" s="10" t="s">
        <v>32</v>
      </c>
      <c r="B12" s="10">
        <v>7470776</v>
      </c>
      <c r="C12" s="10" t="s">
        <v>40</v>
      </c>
      <c r="D12" s="10" t="s">
        <v>41</v>
      </c>
      <c r="E12" s="10">
        <v>6240137471</v>
      </c>
      <c r="F12" s="10" t="s">
        <v>215</v>
      </c>
      <c r="G12" s="10" t="s">
        <v>43</v>
      </c>
      <c r="H12" s="11">
        <v>45658</v>
      </c>
      <c r="I12" s="11">
        <v>45870</v>
      </c>
      <c r="J12" s="12">
        <f t="shared" si="0"/>
        <v>7</v>
      </c>
      <c r="K12" s="10" t="s">
        <v>62</v>
      </c>
      <c r="L12" s="13">
        <v>0.9</v>
      </c>
      <c r="M12" s="10">
        <v>92.25</v>
      </c>
      <c r="N12" s="10">
        <v>83.03</v>
      </c>
      <c r="O12" s="10" t="s">
        <v>152</v>
      </c>
      <c r="P12" t="s">
        <v>245</v>
      </c>
    </row>
    <row r="13" spans="1:22" x14ac:dyDescent="0.25">
      <c r="A13" s="10" t="s">
        <v>32</v>
      </c>
      <c r="B13" s="10">
        <v>7470776</v>
      </c>
      <c r="C13" s="10" t="s">
        <v>40</v>
      </c>
      <c r="D13" s="10" t="s">
        <v>78</v>
      </c>
      <c r="E13" s="10">
        <v>6240118764</v>
      </c>
      <c r="F13" s="10" t="s">
        <v>234</v>
      </c>
      <c r="G13" s="10" t="s">
        <v>43</v>
      </c>
      <c r="H13" s="11">
        <v>45654</v>
      </c>
      <c r="I13" s="11">
        <v>45870</v>
      </c>
      <c r="J13" s="12">
        <f t="shared" si="0"/>
        <v>7</v>
      </c>
      <c r="K13" s="10" t="s">
        <v>49</v>
      </c>
      <c r="L13" s="13">
        <v>0.9</v>
      </c>
      <c r="M13" s="10">
        <v>76.180000000000007</v>
      </c>
      <c r="N13" s="10">
        <v>68.56</v>
      </c>
      <c r="O13" s="10" t="s">
        <v>152</v>
      </c>
      <c r="P13" t="s">
        <v>245</v>
      </c>
    </row>
    <row r="14" spans="1:22" x14ac:dyDescent="0.25">
      <c r="A14" s="10" t="s">
        <v>32</v>
      </c>
      <c r="B14" s="10">
        <v>7470776</v>
      </c>
      <c r="C14" s="10" t="s">
        <v>40</v>
      </c>
      <c r="D14" s="10" t="s">
        <v>41</v>
      </c>
      <c r="E14" s="10">
        <v>6240136594</v>
      </c>
      <c r="F14" s="10" t="s">
        <v>238</v>
      </c>
      <c r="G14" s="10" t="s">
        <v>43</v>
      </c>
      <c r="H14" s="11">
        <v>45654</v>
      </c>
      <c r="I14" s="11">
        <v>45870</v>
      </c>
      <c r="J14" s="12">
        <f t="shared" si="0"/>
        <v>7</v>
      </c>
      <c r="K14" s="10" t="s">
        <v>49</v>
      </c>
      <c r="L14" s="13">
        <v>0.9</v>
      </c>
      <c r="M14" s="10">
        <v>158.51</v>
      </c>
      <c r="N14" s="10">
        <v>142.66</v>
      </c>
      <c r="O14" s="10" t="s">
        <v>152</v>
      </c>
      <c r="P14" t="s">
        <v>245</v>
      </c>
    </row>
    <row r="15" spans="1:22" x14ac:dyDescent="0.25">
      <c r="A15" t="s">
        <v>32</v>
      </c>
      <c r="B15">
        <v>16228684</v>
      </c>
      <c r="C15" t="s">
        <v>51</v>
      </c>
      <c r="D15" t="s">
        <v>41</v>
      </c>
      <c r="E15">
        <v>7250129238</v>
      </c>
      <c r="F15" t="s">
        <v>163</v>
      </c>
      <c r="G15" t="s">
        <v>43</v>
      </c>
      <c r="H15" s="5">
        <v>45870</v>
      </c>
      <c r="I15" s="5">
        <v>45901</v>
      </c>
      <c r="J15" s="9">
        <f t="shared" si="0"/>
        <v>1</v>
      </c>
      <c r="K15" t="s">
        <v>34</v>
      </c>
      <c r="L15" s="7">
        <v>0.94499999999999995</v>
      </c>
      <c r="M15">
        <v>178</v>
      </c>
      <c r="N15">
        <v>168.21</v>
      </c>
      <c r="O15" t="s">
        <v>154</v>
      </c>
      <c r="P15" t="s">
        <v>247</v>
      </c>
    </row>
    <row r="16" spans="1:22" x14ac:dyDescent="0.25">
      <c r="A16" t="s">
        <v>32</v>
      </c>
      <c r="B16">
        <v>9213293</v>
      </c>
      <c r="C16" t="s">
        <v>64</v>
      </c>
      <c r="D16" t="s">
        <v>41</v>
      </c>
      <c r="E16">
        <v>7250088780</v>
      </c>
      <c r="F16" t="s">
        <v>180</v>
      </c>
      <c r="G16" t="s">
        <v>43</v>
      </c>
      <c r="H16" s="5">
        <v>45805</v>
      </c>
      <c r="I16" s="5">
        <v>45870</v>
      </c>
      <c r="J16" s="9">
        <f t="shared" si="0"/>
        <v>2</v>
      </c>
      <c r="K16" t="s">
        <v>88</v>
      </c>
      <c r="L16" s="7">
        <v>0.94499999999999995</v>
      </c>
      <c r="M16">
        <v>80.77</v>
      </c>
      <c r="N16">
        <v>76.33</v>
      </c>
      <c r="O16" t="s">
        <v>154</v>
      </c>
      <c r="P16" t="s">
        <v>247</v>
      </c>
    </row>
    <row r="17" spans="1:16" x14ac:dyDescent="0.25">
      <c r="A17" s="10" t="s">
        <v>32</v>
      </c>
      <c r="B17" s="10">
        <v>7470776</v>
      </c>
      <c r="C17" s="10" t="s">
        <v>40</v>
      </c>
      <c r="D17" s="10" t="s">
        <v>41</v>
      </c>
      <c r="E17" s="10">
        <v>7250026367</v>
      </c>
      <c r="F17" s="10" t="s">
        <v>193</v>
      </c>
      <c r="G17" s="10" t="s">
        <v>43</v>
      </c>
      <c r="H17" s="11">
        <v>45716</v>
      </c>
      <c r="I17" s="11">
        <v>45870</v>
      </c>
      <c r="J17" s="12">
        <f t="shared" si="0"/>
        <v>5</v>
      </c>
      <c r="K17" s="10" t="s">
        <v>120</v>
      </c>
      <c r="L17" s="13">
        <v>0.94499999999999995</v>
      </c>
      <c r="M17" s="10">
        <v>93.3</v>
      </c>
      <c r="N17" s="10">
        <v>88.17</v>
      </c>
      <c r="O17" s="10" t="s">
        <v>152</v>
      </c>
      <c r="P17" t="s">
        <v>247</v>
      </c>
    </row>
    <row r="18" spans="1:16" x14ac:dyDescent="0.25">
      <c r="A18" s="10" t="s">
        <v>32</v>
      </c>
      <c r="B18" s="10">
        <v>7470776</v>
      </c>
      <c r="C18" s="10" t="s">
        <v>40</v>
      </c>
      <c r="D18" s="10" t="s">
        <v>41</v>
      </c>
      <c r="E18" s="10">
        <v>7250001863</v>
      </c>
      <c r="F18" s="10" t="s">
        <v>194</v>
      </c>
      <c r="G18" s="10" t="s">
        <v>43</v>
      </c>
      <c r="H18" s="11">
        <v>45689</v>
      </c>
      <c r="I18" s="11">
        <v>45870</v>
      </c>
      <c r="J18" s="12">
        <f t="shared" si="0"/>
        <v>6</v>
      </c>
      <c r="K18" s="10" t="s">
        <v>76</v>
      </c>
      <c r="L18" s="13">
        <v>0.94499999999999995</v>
      </c>
      <c r="M18" s="10">
        <v>113.8</v>
      </c>
      <c r="N18" s="10">
        <v>107.54</v>
      </c>
      <c r="O18" s="10" t="s">
        <v>152</v>
      </c>
      <c r="P18" t="s">
        <v>247</v>
      </c>
    </row>
    <row r="19" spans="1:16" x14ac:dyDescent="0.25">
      <c r="A19" s="10" t="s">
        <v>32</v>
      </c>
      <c r="B19" s="10">
        <v>7470776</v>
      </c>
      <c r="C19" s="10" t="s">
        <v>40</v>
      </c>
      <c r="D19" s="10" t="s">
        <v>41</v>
      </c>
      <c r="E19" s="10">
        <v>7240122471</v>
      </c>
      <c r="F19" s="10" t="s">
        <v>201</v>
      </c>
      <c r="G19" s="10" t="s">
        <v>43</v>
      </c>
      <c r="H19" s="11">
        <v>45658</v>
      </c>
      <c r="I19" s="11">
        <v>45870</v>
      </c>
      <c r="J19" s="12">
        <f t="shared" si="0"/>
        <v>7</v>
      </c>
      <c r="K19" s="10" t="s">
        <v>62</v>
      </c>
      <c r="L19" s="13">
        <v>0.94499999999999995</v>
      </c>
      <c r="M19" s="10">
        <v>80.959999999999994</v>
      </c>
      <c r="N19" s="10">
        <v>76.510000000000005</v>
      </c>
      <c r="O19" s="10" t="s">
        <v>152</v>
      </c>
      <c r="P19" t="s">
        <v>247</v>
      </c>
    </row>
    <row r="20" spans="1:16" x14ac:dyDescent="0.25">
      <c r="A20" s="10" t="s">
        <v>32</v>
      </c>
      <c r="B20" s="10">
        <v>7470776</v>
      </c>
      <c r="C20" s="10" t="s">
        <v>40</v>
      </c>
      <c r="D20" s="10" t="s">
        <v>78</v>
      </c>
      <c r="E20" s="10">
        <v>7240110690</v>
      </c>
      <c r="F20" s="10" t="s">
        <v>205</v>
      </c>
      <c r="G20" s="10" t="s">
        <v>43</v>
      </c>
      <c r="H20" s="11">
        <v>45654</v>
      </c>
      <c r="I20" s="11">
        <v>45870</v>
      </c>
      <c r="J20" s="12">
        <f t="shared" si="0"/>
        <v>7</v>
      </c>
      <c r="K20" s="10" t="s">
        <v>49</v>
      </c>
      <c r="L20" s="13">
        <v>0.94499999999999995</v>
      </c>
      <c r="M20" s="10">
        <v>92.3</v>
      </c>
      <c r="N20" s="10">
        <v>87.22</v>
      </c>
      <c r="O20" s="10" t="s">
        <v>152</v>
      </c>
      <c r="P20" t="s">
        <v>247</v>
      </c>
    </row>
    <row r="21" spans="1:16" x14ac:dyDescent="0.25">
      <c r="A21" s="10" t="s">
        <v>32</v>
      </c>
      <c r="B21" s="10">
        <v>7470776</v>
      </c>
      <c r="C21" s="10" t="s">
        <v>40</v>
      </c>
      <c r="D21" s="10" t="s">
        <v>41</v>
      </c>
      <c r="E21" s="10">
        <v>7240129740</v>
      </c>
      <c r="F21" s="10" t="s">
        <v>206</v>
      </c>
      <c r="G21" s="10" t="s">
        <v>43</v>
      </c>
      <c r="H21" s="11">
        <v>45658</v>
      </c>
      <c r="I21" s="11">
        <v>45870</v>
      </c>
      <c r="J21" s="12">
        <f t="shared" si="0"/>
        <v>7</v>
      </c>
      <c r="K21" s="10" t="s">
        <v>62</v>
      </c>
      <c r="L21" s="13">
        <v>0.94499999999999995</v>
      </c>
      <c r="M21" s="10">
        <v>132.1</v>
      </c>
      <c r="N21" s="10">
        <v>124.83</v>
      </c>
      <c r="O21" s="10" t="s">
        <v>152</v>
      </c>
      <c r="P21" t="s">
        <v>247</v>
      </c>
    </row>
    <row r="22" spans="1:16" x14ac:dyDescent="0.25">
      <c r="A22" s="10" t="s">
        <v>32</v>
      </c>
      <c r="B22" s="10">
        <v>7470776</v>
      </c>
      <c r="C22" s="10" t="s">
        <v>40</v>
      </c>
      <c r="D22" s="10" t="s">
        <v>78</v>
      </c>
      <c r="E22" s="10">
        <v>7240112516</v>
      </c>
      <c r="F22" s="10" t="s">
        <v>210</v>
      </c>
      <c r="G22" s="10" t="s">
        <v>43</v>
      </c>
      <c r="H22" s="11">
        <v>45654</v>
      </c>
      <c r="I22" s="11">
        <v>45870</v>
      </c>
      <c r="J22" s="12">
        <f t="shared" si="0"/>
        <v>7</v>
      </c>
      <c r="K22" s="10" t="s">
        <v>49</v>
      </c>
      <c r="L22" s="13">
        <v>0.94499999999999995</v>
      </c>
      <c r="M22" s="10">
        <v>145</v>
      </c>
      <c r="N22" s="10">
        <v>137.03</v>
      </c>
      <c r="O22" s="10" t="s">
        <v>152</v>
      </c>
      <c r="P22" t="s">
        <v>247</v>
      </c>
    </row>
    <row r="23" spans="1:16" x14ac:dyDescent="0.25">
      <c r="A23" s="10" t="s">
        <v>32</v>
      </c>
      <c r="B23" s="10">
        <v>7470776</v>
      </c>
      <c r="C23" s="10" t="s">
        <v>40</v>
      </c>
      <c r="D23" s="10" t="s">
        <v>78</v>
      </c>
      <c r="E23" s="10">
        <v>7240110753</v>
      </c>
      <c r="F23" s="10" t="s">
        <v>211</v>
      </c>
      <c r="G23" s="10" t="s">
        <v>43</v>
      </c>
      <c r="H23" s="11">
        <v>45654</v>
      </c>
      <c r="I23" s="11">
        <v>45870</v>
      </c>
      <c r="J23" s="12">
        <f t="shared" si="0"/>
        <v>7</v>
      </c>
      <c r="K23" s="10" t="s">
        <v>49</v>
      </c>
      <c r="L23" s="13">
        <v>0.94499999999999995</v>
      </c>
      <c r="M23" s="10">
        <v>104.23</v>
      </c>
      <c r="N23" s="10">
        <v>98.5</v>
      </c>
      <c r="O23" s="10" t="s">
        <v>152</v>
      </c>
      <c r="P23" t="s">
        <v>247</v>
      </c>
    </row>
    <row r="24" spans="1:16" x14ac:dyDescent="0.25">
      <c r="A24" s="10" t="s">
        <v>32</v>
      </c>
      <c r="B24" s="10">
        <v>7470776</v>
      </c>
      <c r="C24" s="10" t="s">
        <v>40</v>
      </c>
      <c r="D24" s="10" t="s">
        <v>41</v>
      </c>
      <c r="E24" s="10">
        <v>7240126623</v>
      </c>
      <c r="F24" s="10" t="s">
        <v>214</v>
      </c>
      <c r="G24" s="10" t="s">
        <v>43</v>
      </c>
      <c r="H24" s="11">
        <v>45658</v>
      </c>
      <c r="I24" s="11">
        <v>45870</v>
      </c>
      <c r="J24" s="12">
        <f t="shared" si="0"/>
        <v>7</v>
      </c>
      <c r="K24" s="10" t="s">
        <v>62</v>
      </c>
      <c r="L24" s="13">
        <v>0.94499999999999995</v>
      </c>
      <c r="M24" s="10">
        <v>102.03</v>
      </c>
      <c r="N24" s="10">
        <v>96.42</v>
      </c>
      <c r="O24" s="10" t="s">
        <v>152</v>
      </c>
      <c r="P24" t="s">
        <v>247</v>
      </c>
    </row>
    <row r="25" spans="1:16" x14ac:dyDescent="0.25">
      <c r="A25" s="10" t="s">
        <v>32</v>
      </c>
      <c r="B25" s="10">
        <v>7470776</v>
      </c>
      <c r="C25" s="10" t="s">
        <v>40</v>
      </c>
      <c r="D25" s="10" t="s">
        <v>78</v>
      </c>
      <c r="E25" s="10">
        <v>7240110782</v>
      </c>
      <c r="F25" s="10" t="s">
        <v>219</v>
      </c>
      <c r="G25" s="10" t="s">
        <v>43</v>
      </c>
      <c r="H25" s="11">
        <v>45654</v>
      </c>
      <c r="I25" s="11">
        <v>45870</v>
      </c>
      <c r="J25" s="12">
        <f t="shared" si="0"/>
        <v>7</v>
      </c>
      <c r="K25" s="10" t="s">
        <v>49</v>
      </c>
      <c r="L25" s="13">
        <v>0.94499999999999995</v>
      </c>
      <c r="M25" s="10">
        <v>113.64</v>
      </c>
      <c r="N25" s="10">
        <v>107.39</v>
      </c>
      <c r="O25" s="10" t="s">
        <v>152</v>
      </c>
      <c r="P25" t="s">
        <v>247</v>
      </c>
    </row>
    <row r="26" spans="1:16" x14ac:dyDescent="0.25">
      <c r="A26" s="10" t="s">
        <v>32</v>
      </c>
      <c r="B26" s="10">
        <v>7470776</v>
      </c>
      <c r="C26" s="10" t="s">
        <v>40</v>
      </c>
      <c r="D26" s="10" t="s">
        <v>41</v>
      </c>
      <c r="E26" s="10">
        <v>7240114781</v>
      </c>
      <c r="F26" s="10" t="s">
        <v>224</v>
      </c>
      <c r="G26" s="10" t="s">
        <v>43</v>
      </c>
      <c r="H26" s="11">
        <v>45654</v>
      </c>
      <c r="I26" s="11">
        <v>45870</v>
      </c>
      <c r="J26" s="12">
        <f t="shared" si="0"/>
        <v>7</v>
      </c>
      <c r="K26" s="10" t="s">
        <v>49</v>
      </c>
      <c r="L26" s="13">
        <v>0.94499999999999995</v>
      </c>
      <c r="M26" s="10">
        <v>81.239999999999995</v>
      </c>
      <c r="N26" s="10">
        <v>76.77</v>
      </c>
      <c r="O26" s="10" t="s">
        <v>152</v>
      </c>
      <c r="P26" t="s">
        <v>247</v>
      </c>
    </row>
    <row r="27" spans="1:16" x14ac:dyDescent="0.25">
      <c r="A27" s="10" t="s">
        <v>32</v>
      </c>
      <c r="B27" s="10">
        <v>7470776</v>
      </c>
      <c r="C27" s="10" t="s">
        <v>40</v>
      </c>
      <c r="D27" s="10" t="s">
        <v>78</v>
      </c>
      <c r="E27" s="10">
        <v>7240111182</v>
      </c>
      <c r="F27" s="10" t="s">
        <v>230</v>
      </c>
      <c r="G27" s="10" t="s">
        <v>43</v>
      </c>
      <c r="H27" s="11">
        <v>45654</v>
      </c>
      <c r="I27" s="11">
        <v>45870</v>
      </c>
      <c r="J27" s="12">
        <f t="shared" si="0"/>
        <v>7</v>
      </c>
      <c r="K27" s="10" t="s">
        <v>49</v>
      </c>
      <c r="L27" s="13">
        <v>0.94499999999999995</v>
      </c>
      <c r="M27" s="10">
        <v>92.16</v>
      </c>
      <c r="N27" s="10">
        <v>87.09</v>
      </c>
      <c r="O27" s="10" t="s">
        <v>152</v>
      </c>
      <c r="P27" t="s">
        <v>247</v>
      </c>
    </row>
    <row r="28" spans="1:16" x14ac:dyDescent="0.25">
      <c r="A28" s="10" t="s">
        <v>32</v>
      </c>
      <c r="B28" s="10">
        <v>7470776</v>
      </c>
      <c r="C28" s="10" t="s">
        <v>40</v>
      </c>
      <c r="D28" s="10" t="s">
        <v>41</v>
      </c>
      <c r="E28" s="10">
        <v>7240115872</v>
      </c>
      <c r="F28" s="10" t="s">
        <v>235</v>
      </c>
      <c r="G28" s="10" t="s">
        <v>43</v>
      </c>
      <c r="H28" s="11">
        <v>45654</v>
      </c>
      <c r="I28" s="11">
        <v>45870</v>
      </c>
      <c r="J28" s="12">
        <f t="shared" si="0"/>
        <v>7</v>
      </c>
      <c r="K28" s="10" t="s">
        <v>49</v>
      </c>
      <c r="L28" s="13">
        <v>0.94499999999999995</v>
      </c>
      <c r="M28" s="10">
        <v>73.02</v>
      </c>
      <c r="N28" s="10">
        <v>69</v>
      </c>
      <c r="O28" s="10" t="s">
        <v>152</v>
      </c>
      <c r="P28" t="s">
        <v>247</v>
      </c>
    </row>
    <row r="29" spans="1:16" x14ac:dyDescent="0.25">
      <c r="A29" s="10" t="s">
        <v>32</v>
      </c>
      <c r="B29" s="10">
        <v>7470776</v>
      </c>
      <c r="C29" s="10" t="s">
        <v>40</v>
      </c>
      <c r="D29" s="10" t="s">
        <v>41</v>
      </c>
      <c r="E29" s="10">
        <v>7240125202</v>
      </c>
      <c r="F29" s="10" t="s">
        <v>237</v>
      </c>
      <c r="G29" s="10" t="s">
        <v>43</v>
      </c>
      <c r="H29" s="11">
        <v>45654</v>
      </c>
      <c r="I29" s="11">
        <v>45870</v>
      </c>
      <c r="J29" s="12">
        <f t="shared" si="0"/>
        <v>7</v>
      </c>
      <c r="K29" s="10" t="s">
        <v>49</v>
      </c>
      <c r="L29" s="13">
        <v>0.94499999999999995</v>
      </c>
      <c r="M29" s="10">
        <v>132.1</v>
      </c>
      <c r="N29" s="10">
        <v>124.83</v>
      </c>
      <c r="O29" s="10" t="s">
        <v>152</v>
      </c>
      <c r="P29" t="s">
        <v>247</v>
      </c>
    </row>
    <row r="30" spans="1:16" x14ac:dyDescent="0.25">
      <c r="A30" s="10" t="s">
        <v>32</v>
      </c>
      <c r="B30" s="10">
        <v>7470776</v>
      </c>
      <c r="C30" s="10" t="s">
        <v>40</v>
      </c>
      <c r="D30" s="10" t="s">
        <v>41</v>
      </c>
      <c r="E30" s="10">
        <v>7240101268</v>
      </c>
      <c r="F30" s="10" t="s">
        <v>244</v>
      </c>
      <c r="G30" s="10" t="s">
        <v>43</v>
      </c>
      <c r="H30" s="11">
        <v>45597</v>
      </c>
      <c r="I30" s="11">
        <v>45870</v>
      </c>
      <c r="J30" s="12">
        <f t="shared" si="0"/>
        <v>9</v>
      </c>
      <c r="K30" s="10" t="s">
        <v>99</v>
      </c>
      <c r="L30" s="13">
        <v>0.94499999999999995</v>
      </c>
      <c r="M30" s="10">
        <v>116.07</v>
      </c>
      <c r="N30" s="10">
        <v>109.69</v>
      </c>
      <c r="O30" s="10" t="s">
        <v>152</v>
      </c>
      <c r="P30" t="s">
        <v>247</v>
      </c>
    </row>
    <row r="31" spans="1:16" x14ac:dyDescent="0.25">
      <c r="A31" s="10" t="s">
        <v>32</v>
      </c>
      <c r="B31" s="10" t="s">
        <v>151</v>
      </c>
      <c r="C31" s="10" t="s">
        <v>40</v>
      </c>
      <c r="D31" s="10" t="s">
        <v>41</v>
      </c>
      <c r="E31" s="10">
        <v>7250124322</v>
      </c>
      <c r="F31" s="10" t="s">
        <v>155</v>
      </c>
      <c r="G31" s="10" t="s">
        <v>43</v>
      </c>
      <c r="H31" s="11">
        <v>45870</v>
      </c>
      <c r="I31" s="11">
        <v>45901</v>
      </c>
      <c r="J31" s="12">
        <f t="shared" si="0"/>
        <v>1</v>
      </c>
      <c r="K31" s="10" t="s">
        <v>34</v>
      </c>
      <c r="L31" s="13">
        <v>1.37</v>
      </c>
      <c r="M31" s="10">
        <v>97.54</v>
      </c>
      <c r="N31" s="10">
        <v>133.63</v>
      </c>
      <c r="O31" s="10" t="s">
        <v>153</v>
      </c>
      <c r="P31" t="s">
        <v>246</v>
      </c>
    </row>
    <row r="32" spans="1:16" x14ac:dyDescent="0.25">
      <c r="A32" s="10" t="s">
        <v>32</v>
      </c>
      <c r="B32" s="10" t="s">
        <v>151</v>
      </c>
      <c r="C32" s="10" t="s">
        <v>40</v>
      </c>
      <c r="D32" s="10" t="s">
        <v>41</v>
      </c>
      <c r="E32" s="10">
        <v>7250121607</v>
      </c>
      <c r="F32" s="10" t="s">
        <v>156</v>
      </c>
      <c r="G32" s="10" t="s">
        <v>43</v>
      </c>
      <c r="H32" s="11">
        <v>45866</v>
      </c>
      <c r="I32" s="11">
        <v>45901</v>
      </c>
      <c r="J32" s="12">
        <f t="shared" si="0"/>
        <v>1</v>
      </c>
      <c r="K32" s="10" t="s">
        <v>83</v>
      </c>
      <c r="L32" s="13">
        <v>1.37</v>
      </c>
      <c r="M32" s="10">
        <v>108.25</v>
      </c>
      <c r="N32" s="10">
        <v>148.30000000000001</v>
      </c>
      <c r="O32" s="10" t="s">
        <v>153</v>
      </c>
      <c r="P32" t="s">
        <v>246</v>
      </c>
    </row>
    <row r="33" spans="1:16" x14ac:dyDescent="0.25">
      <c r="A33" s="10" t="s">
        <v>32</v>
      </c>
      <c r="B33" s="10" t="s">
        <v>151</v>
      </c>
      <c r="C33" s="10" t="s">
        <v>40</v>
      </c>
      <c r="D33" s="10" t="s">
        <v>41</v>
      </c>
      <c r="E33" s="10">
        <v>7250123977</v>
      </c>
      <c r="F33" s="10" t="s">
        <v>157</v>
      </c>
      <c r="G33" s="10" t="s">
        <v>43</v>
      </c>
      <c r="H33" s="11">
        <v>45870</v>
      </c>
      <c r="I33" s="11">
        <v>45901</v>
      </c>
      <c r="J33" s="12">
        <f t="shared" si="0"/>
        <v>1</v>
      </c>
      <c r="K33" s="10" t="s">
        <v>34</v>
      </c>
      <c r="L33" s="13">
        <v>1.37</v>
      </c>
      <c r="M33" s="10">
        <v>102.96</v>
      </c>
      <c r="N33" s="10">
        <v>141.06</v>
      </c>
      <c r="O33" s="10" t="s">
        <v>153</v>
      </c>
      <c r="P33" t="s">
        <v>246</v>
      </c>
    </row>
    <row r="34" spans="1:16" x14ac:dyDescent="0.25">
      <c r="A34" t="s">
        <v>32</v>
      </c>
      <c r="B34">
        <v>9213293</v>
      </c>
      <c r="C34" t="s">
        <v>64</v>
      </c>
      <c r="D34" t="s">
        <v>41</v>
      </c>
      <c r="E34">
        <v>7250134970</v>
      </c>
      <c r="F34" t="s">
        <v>159</v>
      </c>
      <c r="G34" t="s">
        <v>43</v>
      </c>
      <c r="H34" s="5">
        <v>45866</v>
      </c>
      <c r="I34" s="5">
        <v>45901</v>
      </c>
      <c r="J34" s="9">
        <f t="shared" ref="J34:J65" si="1">DATEDIF(H34,I34,"M")</f>
        <v>1</v>
      </c>
      <c r="K34" t="s">
        <v>83</v>
      </c>
      <c r="L34" s="7">
        <v>1.37</v>
      </c>
      <c r="M34">
        <v>86.38</v>
      </c>
      <c r="N34">
        <v>118.34</v>
      </c>
      <c r="O34" t="s">
        <v>154</v>
      </c>
      <c r="P34" t="s">
        <v>246</v>
      </c>
    </row>
    <row r="35" spans="1:16" x14ac:dyDescent="0.25">
      <c r="A35" t="s">
        <v>32</v>
      </c>
      <c r="B35">
        <v>16228684</v>
      </c>
      <c r="C35" t="s">
        <v>51</v>
      </c>
      <c r="D35" t="s">
        <v>41</v>
      </c>
      <c r="E35">
        <v>7250129739</v>
      </c>
      <c r="F35" t="s">
        <v>160</v>
      </c>
      <c r="G35" t="s">
        <v>43</v>
      </c>
      <c r="H35" s="5">
        <v>45870</v>
      </c>
      <c r="I35" s="5">
        <v>45901</v>
      </c>
      <c r="J35" s="9">
        <f t="shared" si="1"/>
        <v>1</v>
      </c>
      <c r="K35" t="s">
        <v>34</v>
      </c>
      <c r="L35" s="7">
        <v>1.37</v>
      </c>
      <c r="M35">
        <v>70.58</v>
      </c>
      <c r="N35">
        <v>96.69</v>
      </c>
      <c r="O35" t="s">
        <v>154</v>
      </c>
      <c r="P35" t="s">
        <v>246</v>
      </c>
    </row>
    <row r="36" spans="1:16" x14ac:dyDescent="0.25">
      <c r="A36" t="s">
        <v>32</v>
      </c>
      <c r="B36">
        <v>16228684</v>
      </c>
      <c r="C36" t="s">
        <v>51</v>
      </c>
      <c r="D36" t="s">
        <v>41</v>
      </c>
      <c r="E36">
        <v>7250130315</v>
      </c>
      <c r="F36" t="s">
        <v>161</v>
      </c>
      <c r="G36" t="s">
        <v>57</v>
      </c>
      <c r="H36" s="5">
        <v>45870</v>
      </c>
      <c r="I36" s="5">
        <v>45901</v>
      </c>
      <c r="J36" s="9">
        <f t="shared" si="1"/>
        <v>1</v>
      </c>
      <c r="K36" t="s">
        <v>34</v>
      </c>
      <c r="L36" s="7">
        <v>1.37</v>
      </c>
      <c r="M36">
        <v>41.8</v>
      </c>
      <c r="N36">
        <v>57.27</v>
      </c>
      <c r="O36" t="s">
        <v>154</v>
      </c>
      <c r="P36" t="s">
        <v>246</v>
      </c>
    </row>
    <row r="37" spans="1:16" x14ac:dyDescent="0.25">
      <c r="A37" t="s">
        <v>32</v>
      </c>
      <c r="B37">
        <v>16228684</v>
      </c>
      <c r="C37" t="s">
        <v>51</v>
      </c>
      <c r="D37" t="s">
        <v>41</v>
      </c>
      <c r="E37">
        <v>7250132001</v>
      </c>
      <c r="F37" t="s">
        <v>162</v>
      </c>
      <c r="G37" t="s">
        <v>43</v>
      </c>
      <c r="H37" s="5">
        <v>45870</v>
      </c>
      <c r="I37" s="5">
        <v>45901</v>
      </c>
      <c r="J37" s="9">
        <f t="shared" si="1"/>
        <v>1</v>
      </c>
      <c r="K37" t="s">
        <v>34</v>
      </c>
      <c r="L37" s="7">
        <v>1.37</v>
      </c>
      <c r="M37">
        <v>77.599999999999994</v>
      </c>
      <c r="N37">
        <v>106.31</v>
      </c>
      <c r="O37" t="s">
        <v>154</v>
      </c>
      <c r="P37" t="s">
        <v>246</v>
      </c>
    </row>
    <row r="38" spans="1:16" x14ac:dyDescent="0.25">
      <c r="A38" t="s">
        <v>32</v>
      </c>
      <c r="B38">
        <v>16228684</v>
      </c>
      <c r="C38" t="s">
        <v>51</v>
      </c>
      <c r="D38" t="s">
        <v>41</v>
      </c>
      <c r="E38">
        <v>7250128521</v>
      </c>
      <c r="F38" t="s">
        <v>164</v>
      </c>
      <c r="G38" t="s">
        <v>43</v>
      </c>
      <c r="H38" s="5">
        <v>45870</v>
      </c>
      <c r="I38" s="5">
        <v>45901</v>
      </c>
      <c r="J38" s="9">
        <f t="shared" si="1"/>
        <v>1</v>
      </c>
      <c r="K38" t="s">
        <v>34</v>
      </c>
      <c r="L38" s="7">
        <v>1.37</v>
      </c>
      <c r="M38">
        <v>3.38</v>
      </c>
      <c r="N38">
        <v>4.63</v>
      </c>
      <c r="O38" t="s">
        <v>154</v>
      </c>
      <c r="P38" t="s">
        <v>246</v>
      </c>
    </row>
    <row r="39" spans="1:16" x14ac:dyDescent="0.25">
      <c r="A39" t="s">
        <v>32</v>
      </c>
      <c r="B39">
        <v>16228684</v>
      </c>
      <c r="C39" t="s">
        <v>51</v>
      </c>
      <c r="D39" t="s">
        <v>41</v>
      </c>
      <c r="E39">
        <v>7250132579</v>
      </c>
      <c r="F39" t="s">
        <v>165</v>
      </c>
      <c r="G39" t="s">
        <v>43</v>
      </c>
      <c r="H39" s="5">
        <v>45866</v>
      </c>
      <c r="I39" s="5">
        <v>45901</v>
      </c>
      <c r="J39" s="9">
        <f t="shared" si="1"/>
        <v>1</v>
      </c>
      <c r="K39" t="s">
        <v>83</v>
      </c>
      <c r="L39" s="7">
        <v>1.37</v>
      </c>
      <c r="M39">
        <v>5.8</v>
      </c>
      <c r="N39">
        <v>7.95</v>
      </c>
      <c r="O39" t="s">
        <v>154</v>
      </c>
      <c r="P39" t="s">
        <v>246</v>
      </c>
    </row>
    <row r="40" spans="1:16" x14ac:dyDescent="0.25">
      <c r="A40" t="s">
        <v>32</v>
      </c>
      <c r="B40">
        <v>16228684</v>
      </c>
      <c r="C40" t="s">
        <v>51</v>
      </c>
      <c r="D40" t="s">
        <v>41</v>
      </c>
      <c r="E40">
        <v>7250129739</v>
      </c>
      <c r="F40" t="s">
        <v>160</v>
      </c>
      <c r="G40" t="s">
        <v>43</v>
      </c>
      <c r="H40" s="5">
        <v>45870</v>
      </c>
      <c r="I40" s="5">
        <v>45901</v>
      </c>
      <c r="J40" s="9">
        <f t="shared" si="1"/>
        <v>1</v>
      </c>
      <c r="K40" t="s">
        <v>34</v>
      </c>
      <c r="L40" s="7">
        <v>1.37</v>
      </c>
      <c r="M40">
        <v>3.92</v>
      </c>
      <c r="N40">
        <v>5.37</v>
      </c>
      <c r="O40" t="s">
        <v>154</v>
      </c>
      <c r="P40" t="s">
        <v>246</v>
      </c>
    </row>
    <row r="41" spans="1:16" x14ac:dyDescent="0.25">
      <c r="A41" t="s">
        <v>32</v>
      </c>
      <c r="B41">
        <v>16228684</v>
      </c>
      <c r="C41" t="s">
        <v>51</v>
      </c>
      <c r="D41" t="s">
        <v>41</v>
      </c>
      <c r="E41">
        <v>7250130315</v>
      </c>
      <c r="F41" t="s">
        <v>161</v>
      </c>
      <c r="G41" t="s">
        <v>57</v>
      </c>
      <c r="H41" s="5">
        <v>45870</v>
      </c>
      <c r="I41" s="5">
        <v>45901</v>
      </c>
      <c r="J41" s="9">
        <f t="shared" si="1"/>
        <v>1</v>
      </c>
      <c r="K41" t="s">
        <v>34</v>
      </c>
      <c r="L41" s="7">
        <v>1.37</v>
      </c>
      <c r="M41">
        <v>848.2</v>
      </c>
      <c r="N41">
        <v>1162.03</v>
      </c>
      <c r="O41" t="s">
        <v>154</v>
      </c>
      <c r="P41" t="s">
        <v>246</v>
      </c>
    </row>
    <row r="42" spans="1:16" x14ac:dyDescent="0.25">
      <c r="A42" t="s">
        <v>32</v>
      </c>
      <c r="B42">
        <v>16228684</v>
      </c>
      <c r="C42" t="s">
        <v>51</v>
      </c>
      <c r="D42" t="s">
        <v>41</v>
      </c>
      <c r="E42">
        <v>7250132579</v>
      </c>
      <c r="F42" t="s">
        <v>165</v>
      </c>
      <c r="G42" t="s">
        <v>43</v>
      </c>
      <c r="H42" s="5">
        <v>45866</v>
      </c>
      <c r="I42" s="5">
        <v>45901</v>
      </c>
      <c r="J42" s="9">
        <f t="shared" si="1"/>
        <v>1</v>
      </c>
      <c r="K42" t="s">
        <v>83</v>
      </c>
      <c r="L42" s="7">
        <v>1.37</v>
      </c>
      <c r="M42">
        <v>119.81</v>
      </c>
      <c r="N42">
        <v>164.14</v>
      </c>
      <c r="O42" t="s">
        <v>154</v>
      </c>
      <c r="P42" t="s">
        <v>246</v>
      </c>
    </row>
    <row r="43" spans="1:16" x14ac:dyDescent="0.25">
      <c r="A43" t="s">
        <v>32</v>
      </c>
      <c r="B43">
        <v>16228684</v>
      </c>
      <c r="C43" t="s">
        <v>51</v>
      </c>
      <c r="D43" t="s">
        <v>41</v>
      </c>
      <c r="E43">
        <v>7250130359</v>
      </c>
      <c r="F43" t="s">
        <v>166</v>
      </c>
      <c r="G43" t="s">
        <v>57</v>
      </c>
      <c r="H43" s="5">
        <v>45870</v>
      </c>
      <c r="I43" s="5">
        <v>45901</v>
      </c>
      <c r="J43" s="9">
        <f t="shared" si="1"/>
        <v>1</v>
      </c>
      <c r="K43" t="s">
        <v>34</v>
      </c>
      <c r="L43" s="7">
        <v>1.37</v>
      </c>
      <c r="M43">
        <v>52.6</v>
      </c>
      <c r="N43">
        <v>72.06</v>
      </c>
      <c r="O43" t="s">
        <v>154</v>
      </c>
      <c r="P43" t="s">
        <v>246</v>
      </c>
    </row>
    <row r="44" spans="1:16" x14ac:dyDescent="0.25">
      <c r="A44" t="s">
        <v>32</v>
      </c>
      <c r="B44">
        <v>16228684</v>
      </c>
      <c r="C44" t="s">
        <v>51</v>
      </c>
      <c r="D44" t="s">
        <v>41</v>
      </c>
      <c r="E44">
        <v>7250128516</v>
      </c>
      <c r="F44" t="s">
        <v>167</v>
      </c>
      <c r="G44" t="s">
        <v>43</v>
      </c>
      <c r="H44" s="5">
        <v>45870</v>
      </c>
      <c r="I44" s="5">
        <v>45901</v>
      </c>
      <c r="J44" s="9">
        <f t="shared" si="1"/>
        <v>1</v>
      </c>
      <c r="K44" t="s">
        <v>34</v>
      </c>
      <c r="L44" s="7">
        <v>1.37</v>
      </c>
      <c r="M44">
        <v>168.32</v>
      </c>
      <c r="N44">
        <v>230.6</v>
      </c>
      <c r="O44" t="s">
        <v>154</v>
      </c>
      <c r="P44" t="s">
        <v>246</v>
      </c>
    </row>
    <row r="45" spans="1:16" x14ac:dyDescent="0.25">
      <c r="A45" t="s">
        <v>32</v>
      </c>
      <c r="B45">
        <v>16228684</v>
      </c>
      <c r="C45" t="s">
        <v>51</v>
      </c>
      <c r="D45" t="s">
        <v>41</v>
      </c>
      <c r="E45">
        <v>7250130359</v>
      </c>
      <c r="F45" t="s">
        <v>166</v>
      </c>
      <c r="G45" t="s">
        <v>57</v>
      </c>
      <c r="H45" s="5">
        <v>45870</v>
      </c>
      <c r="I45" s="5">
        <v>45901</v>
      </c>
      <c r="J45" s="9">
        <f t="shared" si="1"/>
        <v>1</v>
      </c>
      <c r="K45" t="s">
        <v>34</v>
      </c>
      <c r="L45" s="7">
        <v>1.37</v>
      </c>
      <c r="M45">
        <v>1518.6</v>
      </c>
      <c r="N45">
        <v>2080.48</v>
      </c>
      <c r="O45" t="s">
        <v>154</v>
      </c>
      <c r="P45" t="s">
        <v>246</v>
      </c>
    </row>
    <row r="46" spans="1:16" x14ac:dyDescent="0.25">
      <c r="A46" t="s">
        <v>32</v>
      </c>
      <c r="B46">
        <v>16228684</v>
      </c>
      <c r="C46" t="s">
        <v>51</v>
      </c>
      <c r="D46" t="s">
        <v>41</v>
      </c>
      <c r="E46">
        <v>7250128521</v>
      </c>
      <c r="F46" t="s">
        <v>164</v>
      </c>
      <c r="G46" t="s">
        <v>43</v>
      </c>
      <c r="H46" s="5">
        <v>45870</v>
      </c>
      <c r="I46" s="5">
        <v>45901</v>
      </c>
      <c r="J46" s="9">
        <f t="shared" si="1"/>
        <v>1</v>
      </c>
      <c r="K46" t="s">
        <v>34</v>
      </c>
      <c r="L46" s="7">
        <v>1.37</v>
      </c>
      <c r="M46">
        <v>98.09</v>
      </c>
      <c r="N46">
        <v>134.38</v>
      </c>
      <c r="O46" t="s">
        <v>154</v>
      </c>
      <c r="P46" t="s">
        <v>246</v>
      </c>
    </row>
    <row r="47" spans="1:16" x14ac:dyDescent="0.25">
      <c r="A47" t="s">
        <v>32</v>
      </c>
      <c r="B47">
        <v>16228684</v>
      </c>
      <c r="C47" t="s">
        <v>51</v>
      </c>
      <c r="D47" t="s">
        <v>41</v>
      </c>
      <c r="E47">
        <v>7250132001</v>
      </c>
      <c r="F47" t="s">
        <v>162</v>
      </c>
      <c r="G47" t="s">
        <v>43</v>
      </c>
      <c r="H47" s="5">
        <v>45870</v>
      </c>
      <c r="I47" s="5">
        <v>45901</v>
      </c>
      <c r="J47" s="9">
        <f t="shared" si="1"/>
        <v>1</v>
      </c>
      <c r="K47" t="s">
        <v>34</v>
      </c>
      <c r="L47" s="7">
        <v>1.37</v>
      </c>
      <c r="M47">
        <v>3.7</v>
      </c>
      <c r="N47">
        <v>5.07</v>
      </c>
      <c r="O47" t="s">
        <v>154</v>
      </c>
      <c r="P47" t="s">
        <v>246</v>
      </c>
    </row>
    <row r="48" spans="1:16" x14ac:dyDescent="0.25">
      <c r="A48" t="s">
        <v>32</v>
      </c>
      <c r="B48">
        <v>16228684</v>
      </c>
      <c r="C48" t="s">
        <v>51</v>
      </c>
      <c r="D48" t="s">
        <v>41</v>
      </c>
      <c r="E48">
        <v>7250128516</v>
      </c>
      <c r="F48" t="s">
        <v>167</v>
      </c>
      <c r="G48" t="s">
        <v>43</v>
      </c>
      <c r="H48" s="5">
        <v>45870</v>
      </c>
      <c r="I48" s="5">
        <v>45901</v>
      </c>
      <c r="J48" s="9">
        <f t="shared" si="1"/>
        <v>1</v>
      </c>
      <c r="K48" t="s">
        <v>34</v>
      </c>
      <c r="L48" s="7">
        <v>1.37</v>
      </c>
      <c r="M48">
        <v>8.1999999999999993</v>
      </c>
      <c r="N48">
        <v>11.23</v>
      </c>
      <c r="O48" t="s">
        <v>154</v>
      </c>
      <c r="P48" t="s">
        <v>246</v>
      </c>
    </row>
    <row r="49" spans="1:16" x14ac:dyDescent="0.25">
      <c r="A49" s="10" t="s">
        <v>32</v>
      </c>
      <c r="B49" s="10">
        <v>7470776</v>
      </c>
      <c r="C49" s="10" t="s">
        <v>40</v>
      </c>
      <c r="D49" s="10" t="s">
        <v>41</v>
      </c>
      <c r="E49" s="10">
        <v>7250096963</v>
      </c>
      <c r="F49" s="10" t="s">
        <v>170</v>
      </c>
      <c r="G49" s="10" t="s">
        <v>43</v>
      </c>
      <c r="H49" s="11">
        <v>45834</v>
      </c>
      <c r="I49" s="11">
        <v>45870</v>
      </c>
      <c r="J49" s="12">
        <f t="shared" si="1"/>
        <v>1</v>
      </c>
      <c r="K49" s="10" t="s">
        <v>46</v>
      </c>
      <c r="L49" s="13">
        <v>1.37</v>
      </c>
      <c r="M49" s="10">
        <v>102</v>
      </c>
      <c r="N49" s="10">
        <v>139.74</v>
      </c>
      <c r="O49" s="10" t="s">
        <v>152</v>
      </c>
      <c r="P49" t="s">
        <v>246</v>
      </c>
    </row>
    <row r="50" spans="1:16" x14ac:dyDescent="0.25">
      <c r="A50" s="10" t="s">
        <v>32</v>
      </c>
      <c r="B50" s="10">
        <v>7470776</v>
      </c>
      <c r="C50" s="10" t="s">
        <v>40</v>
      </c>
      <c r="D50" s="10" t="s">
        <v>41</v>
      </c>
      <c r="E50" s="10">
        <v>7250097410</v>
      </c>
      <c r="F50" s="10" t="s">
        <v>171</v>
      </c>
      <c r="G50" s="10" t="s">
        <v>43</v>
      </c>
      <c r="H50" s="11">
        <v>45834</v>
      </c>
      <c r="I50" s="11">
        <v>45870</v>
      </c>
      <c r="J50" s="12">
        <f t="shared" si="1"/>
        <v>1</v>
      </c>
      <c r="K50" s="10" t="s">
        <v>46</v>
      </c>
      <c r="L50" s="13">
        <v>1.37</v>
      </c>
      <c r="M50" s="10">
        <v>102</v>
      </c>
      <c r="N50" s="10">
        <v>139.74</v>
      </c>
      <c r="O50" s="10" t="s">
        <v>152</v>
      </c>
      <c r="P50" t="s">
        <v>246</v>
      </c>
    </row>
    <row r="51" spans="1:16" x14ac:dyDescent="0.25">
      <c r="A51" s="10" t="s">
        <v>32</v>
      </c>
      <c r="B51" s="10">
        <v>7470776</v>
      </c>
      <c r="C51" s="10" t="s">
        <v>40</v>
      </c>
      <c r="D51" s="10" t="s">
        <v>41</v>
      </c>
      <c r="E51" s="10">
        <v>7250094626</v>
      </c>
      <c r="F51" s="10" t="s">
        <v>172</v>
      </c>
      <c r="G51" s="10" t="s">
        <v>43</v>
      </c>
      <c r="H51" s="11">
        <v>45834</v>
      </c>
      <c r="I51" s="11">
        <v>45870</v>
      </c>
      <c r="J51" s="12">
        <f t="shared" si="1"/>
        <v>1</v>
      </c>
      <c r="K51" s="10" t="s">
        <v>46</v>
      </c>
      <c r="L51" s="13">
        <v>1.37</v>
      </c>
      <c r="M51" s="10">
        <v>95</v>
      </c>
      <c r="N51" s="10">
        <v>130.15</v>
      </c>
      <c r="O51" s="10" t="s">
        <v>152</v>
      </c>
      <c r="P51" t="s">
        <v>246</v>
      </c>
    </row>
    <row r="52" spans="1:16" x14ac:dyDescent="0.25">
      <c r="A52" s="10" t="s">
        <v>32</v>
      </c>
      <c r="B52" s="10">
        <v>7470776</v>
      </c>
      <c r="C52" s="10" t="s">
        <v>40</v>
      </c>
      <c r="D52" s="10" t="s">
        <v>41</v>
      </c>
      <c r="E52" s="10">
        <v>7250104789</v>
      </c>
      <c r="F52" s="10" t="s">
        <v>173</v>
      </c>
      <c r="G52" s="10" t="s">
        <v>43</v>
      </c>
      <c r="H52" s="11">
        <v>45834</v>
      </c>
      <c r="I52" s="11">
        <v>45870</v>
      </c>
      <c r="J52" s="12">
        <f t="shared" si="1"/>
        <v>1</v>
      </c>
      <c r="K52" s="10" t="s">
        <v>46</v>
      </c>
      <c r="L52" s="13">
        <v>1.37</v>
      </c>
      <c r="M52" s="10">
        <v>99.86</v>
      </c>
      <c r="N52" s="10">
        <v>136.81</v>
      </c>
      <c r="O52" s="10" t="s">
        <v>152</v>
      </c>
      <c r="P52" t="s">
        <v>246</v>
      </c>
    </row>
    <row r="53" spans="1:16" x14ac:dyDescent="0.25">
      <c r="A53" s="10" t="s">
        <v>32</v>
      </c>
      <c r="B53" s="10">
        <v>7470776</v>
      </c>
      <c r="C53" s="10" t="s">
        <v>40</v>
      </c>
      <c r="D53" s="10" t="s">
        <v>41</v>
      </c>
      <c r="E53" s="10">
        <v>7250097140</v>
      </c>
      <c r="F53" s="10" t="s">
        <v>174</v>
      </c>
      <c r="G53" s="10" t="s">
        <v>43</v>
      </c>
      <c r="H53" s="11">
        <v>45834</v>
      </c>
      <c r="I53" s="11">
        <v>45870</v>
      </c>
      <c r="J53" s="12">
        <f t="shared" si="1"/>
        <v>1</v>
      </c>
      <c r="K53" s="10" t="s">
        <v>46</v>
      </c>
      <c r="L53" s="13">
        <v>1.37</v>
      </c>
      <c r="M53" s="10">
        <v>98</v>
      </c>
      <c r="N53" s="10">
        <v>134.26</v>
      </c>
      <c r="O53" s="10" t="s">
        <v>152</v>
      </c>
      <c r="P53" t="s">
        <v>246</v>
      </c>
    </row>
    <row r="54" spans="1:16" x14ac:dyDescent="0.25">
      <c r="A54" s="10" t="s">
        <v>32</v>
      </c>
      <c r="B54" s="10">
        <v>7470776</v>
      </c>
      <c r="C54" s="10" t="s">
        <v>40</v>
      </c>
      <c r="D54" s="10" t="s">
        <v>41</v>
      </c>
      <c r="E54" s="10">
        <v>7250110087</v>
      </c>
      <c r="F54" s="10" t="s">
        <v>175</v>
      </c>
      <c r="G54" s="10" t="s">
        <v>43</v>
      </c>
      <c r="H54" s="11">
        <v>45834</v>
      </c>
      <c r="I54" s="11">
        <v>45870</v>
      </c>
      <c r="J54" s="12">
        <f t="shared" si="1"/>
        <v>1</v>
      </c>
      <c r="K54" s="10" t="s">
        <v>46</v>
      </c>
      <c r="L54" s="13">
        <v>1.37</v>
      </c>
      <c r="M54" s="10">
        <v>72.680000000000007</v>
      </c>
      <c r="N54" s="10">
        <v>99.57</v>
      </c>
      <c r="O54" s="10" t="s">
        <v>152</v>
      </c>
      <c r="P54" t="s">
        <v>246</v>
      </c>
    </row>
    <row r="55" spans="1:16" x14ac:dyDescent="0.25">
      <c r="A55" s="10" t="s">
        <v>32</v>
      </c>
      <c r="B55" s="10">
        <v>7470776</v>
      </c>
      <c r="C55" s="10" t="s">
        <v>40</v>
      </c>
      <c r="D55" s="10" t="s">
        <v>41</v>
      </c>
      <c r="E55" s="10">
        <v>7250102505</v>
      </c>
      <c r="F55" s="10" t="s">
        <v>176</v>
      </c>
      <c r="G55" s="10" t="s">
        <v>43</v>
      </c>
      <c r="H55" s="11">
        <v>45834</v>
      </c>
      <c r="I55" s="11">
        <v>45870</v>
      </c>
      <c r="J55" s="12">
        <f t="shared" si="1"/>
        <v>1</v>
      </c>
      <c r="K55" s="10" t="s">
        <v>46</v>
      </c>
      <c r="L55" s="13">
        <v>1.37</v>
      </c>
      <c r="M55" s="10">
        <v>93.78</v>
      </c>
      <c r="N55" s="10">
        <v>128.47999999999999</v>
      </c>
      <c r="O55" s="10" t="s">
        <v>152</v>
      </c>
      <c r="P55" t="s">
        <v>246</v>
      </c>
    </row>
    <row r="56" spans="1:16" x14ac:dyDescent="0.25">
      <c r="A56" s="10" t="s">
        <v>32</v>
      </c>
      <c r="B56" s="10">
        <v>7470776</v>
      </c>
      <c r="C56" s="10" t="s">
        <v>40</v>
      </c>
      <c r="D56" s="10" t="s">
        <v>41</v>
      </c>
      <c r="E56" s="10">
        <v>7250081390</v>
      </c>
      <c r="F56" s="10" t="s">
        <v>178</v>
      </c>
      <c r="G56" s="10" t="s">
        <v>43</v>
      </c>
      <c r="H56" s="11">
        <v>45805</v>
      </c>
      <c r="I56" s="11">
        <v>45870</v>
      </c>
      <c r="J56" s="12">
        <f t="shared" si="1"/>
        <v>2</v>
      </c>
      <c r="K56" s="10" t="s">
        <v>88</v>
      </c>
      <c r="L56" s="13">
        <v>1.37</v>
      </c>
      <c r="M56" s="10">
        <v>91.94</v>
      </c>
      <c r="N56" s="10">
        <v>125.96</v>
      </c>
      <c r="O56" s="10" t="s">
        <v>152</v>
      </c>
      <c r="P56" t="s">
        <v>246</v>
      </c>
    </row>
    <row r="57" spans="1:16" x14ac:dyDescent="0.25">
      <c r="A57" s="10" t="s">
        <v>32</v>
      </c>
      <c r="B57" s="10">
        <v>7470776</v>
      </c>
      <c r="C57" s="10" t="s">
        <v>40</v>
      </c>
      <c r="D57" s="10" t="s">
        <v>41</v>
      </c>
      <c r="E57" s="10">
        <v>7250070948</v>
      </c>
      <c r="F57" s="10" t="s">
        <v>179</v>
      </c>
      <c r="G57" s="10" t="s">
        <v>43</v>
      </c>
      <c r="H57" s="11">
        <v>45809</v>
      </c>
      <c r="I57" s="11">
        <v>45870</v>
      </c>
      <c r="J57" s="12">
        <f t="shared" si="1"/>
        <v>2</v>
      </c>
      <c r="K57" s="10" t="s">
        <v>116</v>
      </c>
      <c r="L57" s="13">
        <v>1.37</v>
      </c>
      <c r="M57" s="10">
        <v>75.98</v>
      </c>
      <c r="N57" s="10">
        <v>104.09</v>
      </c>
      <c r="O57" s="10" t="s">
        <v>152</v>
      </c>
      <c r="P57" t="s">
        <v>246</v>
      </c>
    </row>
    <row r="58" spans="1:16" x14ac:dyDescent="0.25">
      <c r="A58" t="s">
        <v>32</v>
      </c>
      <c r="B58">
        <v>8977234</v>
      </c>
      <c r="C58" t="s">
        <v>72</v>
      </c>
      <c r="D58" t="s">
        <v>41</v>
      </c>
      <c r="E58">
        <v>7250055031</v>
      </c>
      <c r="F58" t="s">
        <v>181</v>
      </c>
      <c r="G58" t="s">
        <v>43</v>
      </c>
      <c r="H58" s="5">
        <v>45778</v>
      </c>
      <c r="I58" s="5">
        <v>45870</v>
      </c>
      <c r="J58" s="9">
        <f t="shared" si="1"/>
        <v>3</v>
      </c>
      <c r="K58" t="s">
        <v>55</v>
      </c>
      <c r="L58" s="7">
        <v>1.37</v>
      </c>
      <c r="M58">
        <v>122.53</v>
      </c>
      <c r="N58">
        <v>167.87</v>
      </c>
      <c r="O58" t="s">
        <v>154</v>
      </c>
      <c r="P58" t="s">
        <v>246</v>
      </c>
    </row>
    <row r="59" spans="1:16" x14ac:dyDescent="0.25">
      <c r="A59" t="s">
        <v>32</v>
      </c>
      <c r="B59">
        <v>8977234</v>
      </c>
      <c r="C59" t="s">
        <v>72</v>
      </c>
      <c r="D59" t="s">
        <v>41</v>
      </c>
      <c r="E59">
        <v>7250057563</v>
      </c>
      <c r="F59" t="s">
        <v>182</v>
      </c>
      <c r="G59" t="s">
        <v>43</v>
      </c>
      <c r="H59" s="5">
        <v>45778</v>
      </c>
      <c r="I59" s="5">
        <v>45870</v>
      </c>
      <c r="J59" s="9">
        <f t="shared" si="1"/>
        <v>3</v>
      </c>
      <c r="K59" t="s">
        <v>55</v>
      </c>
      <c r="L59" s="7">
        <v>1.37</v>
      </c>
      <c r="M59">
        <v>76.849999999999994</v>
      </c>
      <c r="N59">
        <v>105.28</v>
      </c>
      <c r="O59" t="s">
        <v>154</v>
      </c>
      <c r="P59" t="s">
        <v>246</v>
      </c>
    </row>
    <row r="60" spans="1:16" x14ac:dyDescent="0.25">
      <c r="A60" t="s">
        <v>32</v>
      </c>
      <c r="B60">
        <v>8977234</v>
      </c>
      <c r="C60" t="s">
        <v>72</v>
      </c>
      <c r="D60" t="s">
        <v>41</v>
      </c>
      <c r="E60">
        <v>7250062261</v>
      </c>
      <c r="F60" t="s">
        <v>183</v>
      </c>
      <c r="G60" t="s">
        <v>43</v>
      </c>
      <c r="H60" s="5">
        <v>45778</v>
      </c>
      <c r="I60" s="5">
        <v>45870</v>
      </c>
      <c r="J60" s="9">
        <f t="shared" si="1"/>
        <v>3</v>
      </c>
      <c r="K60" t="s">
        <v>55</v>
      </c>
      <c r="L60" s="7">
        <v>1.37</v>
      </c>
      <c r="M60">
        <v>32.659999999999997</v>
      </c>
      <c r="N60">
        <v>44.74</v>
      </c>
      <c r="O60" t="s">
        <v>154</v>
      </c>
      <c r="P60" t="s">
        <v>246</v>
      </c>
    </row>
    <row r="61" spans="1:16" x14ac:dyDescent="0.25">
      <c r="A61" s="10" t="s">
        <v>32</v>
      </c>
      <c r="B61" s="10">
        <v>7470776</v>
      </c>
      <c r="C61" s="10" t="s">
        <v>40</v>
      </c>
      <c r="D61" s="10" t="s">
        <v>41</v>
      </c>
      <c r="E61" s="10">
        <v>7250060334</v>
      </c>
      <c r="F61" s="10" t="s">
        <v>185</v>
      </c>
      <c r="G61" s="10" t="s">
        <v>43</v>
      </c>
      <c r="H61" s="11">
        <v>45778</v>
      </c>
      <c r="I61" s="11">
        <v>45870</v>
      </c>
      <c r="J61" s="12">
        <f t="shared" si="1"/>
        <v>3</v>
      </c>
      <c r="K61" s="10" t="s">
        <v>55</v>
      </c>
      <c r="L61" s="13">
        <v>1.37</v>
      </c>
      <c r="M61" s="10">
        <v>91</v>
      </c>
      <c r="N61" s="10">
        <v>124.67</v>
      </c>
      <c r="O61" s="10" t="s">
        <v>152</v>
      </c>
      <c r="P61" t="s">
        <v>246</v>
      </c>
    </row>
    <row r="62" spans="1:16" x14ac:dyDescent="0.25">
      <c r="A62" s="10" t="s">
        <v>32</v>
      </c>
      <c r="B62" s="10">
        <v>7470776</v>
      </c>
      <c r="C62" s="10" t="s">
        <v>40</v>
      </c>
      <c r="D62" s="10" t="s">
        <v>41</v>
      </c>
      <c r="E62" s="10">
        <v>7250059859</v>
      </c>
      <c r="F62" s="10" t="s">
        <v>186</v>
      </c>
      <c r="G62" s="10" t="s">
        <v>43</v>
      </c>
      <c r="H62" s="11">
        <v>45778</v>
      </c>
      <c r="I62" s="11">
        <v>45870</v>
      </c>
      <c r="J62" s="12">
        <f t="shared" si="1"/>
        <v>3</v>
      </c>
      <c r="K62" s="10" t="s">
        <v>55</v>
      </c>
      <c r="L62" s="13">
        <v>1.37</v>
      </c>
      <c r="M62" s="10">
        <v>92.91</v>
      </c>
      <c r="N62" s="10">
        <v>127.29</v>
      </c>
      <c r="O62" s="10" t="s">
        <v>152</v>
      </c>
      <c r="P62" t="s">
        <v>246</v>
      </c>
    </row>
    <row r="63" spans="1:16" x14ac:dyDescent="0.25">
      <c r="A63" t="s">
        <v>32</v>
      </c>
      <c r="B63">
        <v>9213293</v>
      </c>
      <c r="C63" t="s">
        <v>64</v>
      </c>
      <c r="D63" t="s">
        <v>41</v>
      </c>
      <c r="E63">
        <v>7250067462</v>
      </c>
      <c r="F63" t="s">
        <v>187</v>
      </c>
      <c r="G63" t="s">
        <v>43</v>
      </c>
      <c r="H63" s="5">
        <v>45775</v>
      </c>
      <c r="I63" s="5">
        <v>45870</v>
      </c>
      <c r="J63" s="9">
        <f t="shared" si="1"/>
        <v>3</v>
      </c>
      <c r="K63" t="s">
        <v>105</v>
      </c>
      <c r="L63" s="7">
        <v>1.37</v>
      </c>
      <c r="M63">
        <v>72.09</v>
      </c>
      <c r="N63">
        <v>98.76</v>
      </c>
      <c r="O63" t="s">
        <v>154</v>
      </c>
      <c r="P63" t="s">
        <v>246</v>
      </c>
    </row>
    <row r="64" spans="1:16" x14ac:dyDescent="0.25">
      <c r="A64" s="10" t="s">
        <v>32</v>
      </c>
      <c r="B64" s="10">
        <v>7470776</v>
      </c>
      <c r="C64" s="10" t="s">
        <v>40</v>
      </c>
      <c r="D64" s="10" t="s">
        <v>41</v>
      </c>
      <c r="E64" s="10">
        <v>7250037369</v>
      </c>
      <c r="F64" s="10" t="s">
        <v>188</v>
      </c>
      <c r="G64" s="10" t="s">
        <v>43</v>
      </c>
      <c r="H64" s="11">
        <v>45748</v>
      </c>
      <c r="I64" s="11">
        <v>45870</v>
      </c>
      <c r="J64" s="12">
        <f t="shared" si="1"/>
        <v>4</v>
      </c>
      <c r="K64" s="10" t="s">
        <v>70</v>
      </c>
      <c r="L64" s="13">
        <v>1.37</v>
      </c>
      <c r="M64" s="10">
        <v>103.78</v>
      </c>
      <c r="N64" s="10">
        <v>142.18</v>
      </c>
      <c r="O64" s="10" t="s">
        <v>152</v>
      </c>
      <c r="P64" t="s">
        <v>246</v>
      </c>
    </row>
    <row r="65" spans="1:16" x14ac:dyDescent="0.25">
      <c r="A65" s="10" t="s">
        <v>32</v>
      </c>
      <c r="B65" s="10">
        <v>7470776</v>
      </c>
      <c r="C65" s="10" t="s">
        <v>40</v>
      </c>
      <c r="D65" s="10" t="s">
        <v>41</v>
      </c>
      <c r="E65" s="10">
        <v>7250036244</v>
      </c>
      <c r="F65" s="10" t="s">
        <v>189</v>
      </c>
      <c r="G65" s="10" t="s">
        <v>43</v>
      </c>
      <c r="H65" s="11">
        <v>45748</v>
      </c>
      <c r="I65" s="11">
        <v>45870</v>
      </c>
      <c r="J65" s="12">
        <f t="shared" si="1"/>
        <v>4</v>
      </c>
      <c r="K65" s="10" t="s">
        <v>70</v>
      </c>
      <c r="L65" s="13">
        <v>1.37</v>
      </c>
      <c r="M65" s="10">
        <v>82.75</v>
      </c>
      <c r="N65" s="10">
        <v>113.37</v>
      </c>
      <c r="O65" s="10" t="s">
        <v>152</v>
      </c>
      <c r="P65" t="s">
        <v>246</v>
      </c>
    </row>
    <row r="66" spans="1:16" x14ac:dyDescent="0.25">
      <c r="A66" s="10" t="s">
        <v>32</v>
      </c>
      <c r="B66" s="10">
        <v>7470776</v>
      </c>
      <c r="C66" s="10" t="s">
        <v>40</v>
      </c>
      <c r="D66" s="10" t="s">
        <v>41</v>
      </c>
      <c r="E66" s="10">
        <v>7250031045</v>
      </c>
      <c r="F66" s="10" t="s">
        <v>190</v>
      </c>
      <c r="G66" s="10" t="s">
        <v>43</v>
      </c>
      <c r="H66" s="11">
        <v>45748</v>
      </c>
      <c r="I66" s="11">
        <v>45870</v>
      </c>
      <c r="J66" s="12">
        <f t="shared" ref="J66:J97" si="2">DATEDIF(H66,I66,"M")</f>
        <v>4</v>
      </c>
      <c r="K66" s="10" t="s">
        <v>70</v>
      </c>
      <c r="L66" s="13">
        <v>1.37</v>
      </c>
      <c r="M66" s="10">
        <v>101.78</v>
      </c>
      <c r="N66" s="10">
        <v>139.44</v>
      </c>
      <c r="O66" s="10" t="s">
        <v>152</v>
      </c>
      <c r="P66" t="s">
        <v>246</v>
      </c>
    </row>
    <row r="67" spans="1:16" x14ac:dyDescent="0.25">
      <c r="A67" s="10" t="s">
        <v>32</v>
      </c>
      <c r="B67" s="10">
        <v>7470776</v>
      </c>
      <c r="C67" s="10" t="s">
        <v>40</v>
      </c>
      <c r="D67" s="10" t="s">
        <v>41</v>
      </c>
      <c r="E67" s="10">
        <v>7250037352</v>
      </c>
      <c r="F67" s="10" t="s">
        <v>191</v>
      </c>
      <c r="G67" s="10" t="s">
        <v>43</v>
      </c>
      <c r="H67" s="11">
        <v>45748</v>
      </c>
      <c r="I67" s="11">
        <v>45870</v>
      </c>
      <c r="J67" s="12">
        <f t="shared" si="2"/>
        <v>4</v>
      </c>
      <c r="K67" s="10" t="s">
        <v>70</v>
      </c>
      <c r="L67" s="13">
        <v>1.37</v>
      </c>
      <c r="M67" s="10">
        <v>101.26</v>
      </c>
      <c r="N67" s="10">
        <v>138.72999999999999</v>
      </c>
      <c r="O67" s="10" t="s">
        <v>152</v>
      </c>
      <c r="P67" t="s">
        <v>246</v>
      </c>
    </row>
    <row r="68" spans="1:16" x14ac:dyDescent="0.25">
      <c r="A68" s="10" t="s">
        <v>32</v>
      </c>
      <c r="B68" s="10">
        <v>8325282</v>
      </c>
      <c r="C68" s="10" t="s">
        <v>96</v>
      </c>
      <c r="D68" s="10" t="s">
        <v>41</v>
      </c>
      <c r="E68" s="10">
        <v>7250043503</v>
      </c>
      <c r="F68" s="10" t="s">
        <v>192</v>
      </c>
      <c r="G68" s="10" t="s">
        <v>43</v>
      </c>
      <c r="H68" s="11">
        <v>45748</v>
      </c>
      <c r="I68" s="11">
        <v>45870</v>
      </c>
      <c r="J68" s="12">
        <f t="shared" si="2"/>
        <v>4</v>
      </c>
      <c r="K68" s="10" t="s">
        <v>70</v>
      </c>
      <c r="L68" s="13">
        <v>1.37</v>
      </c>
      <c r="M68" s="10">
        <v>125.22</v>
      </c>
      <c r="N68" s="10">
        <v>171.55</v>
      </c>
      <c r="O68" s="10" t="s">
        <v>152</v>
      </c>
      <c r="P68" t="s">
        <v>246</v>
      </c>
    </row>
    <row r="69" spans="1:16" x14ac:dyDescent="0.25">
      <c r="A69" s="10" t="s">
        <v>32</v>
      </c>
      <c r="B69" s="10">
        <v>7470776</v>
      </c>
      <c r="C69" s="10" t="s">
        <v>40</v>
      </c>
      <c r="D69" s="10" t="s">
        <v>41</v>
      </c>
      <c r="E69" s="10">
        <v>7250001892</v>
      </c>
      <c r="F69" s="10" t="s">
        <v>196</v>
      </c>
      <c r="G69" s="10" t="s">
        <v>43</v>
      </c>
      <c r="H69" s="11">
        <v>45689</v>
      </c>
      <c r="I69" s="11">
        <v>45870</v>
      </c>
      <c r="J69" s="12">
        <f t="shared" si="2"/>
        <v>6</v>
      </c>
      <c r="K69" s="10" t="s">
        <v>76</v>
      </c>
      <c r="L69" s="13">
        <v>1.37</v>
      </c>
      <c r="M69" s="10">
        <v>112.73</v>
      </c>
      <c r="N69" s="10">
        <v>154.44</v>
      </c>
      <c r="O69" s="10" t="s">
        <v>152</v>
      </c>
      <c r="P69" t="s">
        <v>246</v>
      </c>
    </row>
    <row r="70" spans="1:16" x14ac:dyDescent="0.25">
      <c r="A70" s="10" t="s">
        <v>32</v>
      </c>
      <c r="B70" s="10">
        <v>7470776</v>
      </c>
      <c r="C70" s="10" t="s">
        <v>40</v>
      </c>
      <c r="D70" s="10" t="s">
        <v>41</v>
      </c>
      <c r="E70" s="10">
        <v>7250006451</v>
      </c>
      <c r="F70" s="10" t="s">
        <v>197</v>
      </c>
      <c r="G70" s="10" t="s">
        <v>43</v>
      </c>
      <c r="H70" s="11">
        <v>45689</v>
      </c>
      <c r="I70" s="11">
        <v>45870</v>
      </c>
      <c r="J70" s="12">
        <f t="shared" si="2"/>
        <v>6</v>
      </c>
      <c r="K70" s="10" t="s">
        <v>76</v>
      </c>
      <c r="L70" s="13">
        <v>1.37</v>
      </c>
      <c r="M70" s="10">
        <v>102.3</v>
      </c>
      <c r="N70" s="10">
        <v>140.15</v>
      </c>
      <c r="O70" s="10" t="s">
        <v>152</v>
      </c>
      <c r="P70" t="s">
        <v>246</v>
      </c>
    </row>
    <row r="71" spans="1:16" x14ac:dyDescent="0.25">
      <c r="A71" s="10" t="s">
        <v>32</v>
      </c>
      <c r="B71" s="10">
        <v>7470776</v>
      </c>
      <c r="C71" s="10" t="s">
        <v>40</v>
      </c>
      <c r="D71" s="10" t="s">
        <v>41</v>
      </c>
      <c r="E71" s="10">
        <v>7250000354</v>
      </c>
      <c r="F71" s="10" t="s">
        <v>198</v>
      </c>
      <c r="G71" s="10" t="s">
        <v>43</v>
      </c>
      <c r="H71" s="11">
        <v>45689</v>
      </c>
      <c r="I71" s="11">
        <v>45870</v>
      </c>
      <c r="J71" s="12">
        <f t="shared" si="2"/>
        <v>6</v>
      </c>
      <c r="K71" s="10" t="s">
        <v>76</v>
      </c>
      <c r="L71" s="13">
        <v>1.37</v>
      </c>
      <c r="M71" s="10">
        <v>113.46</v>
      </c>
      <c r="N71" s="10">
        <v>155.44</v>
      </c>
      <c r="O71" s="10" t="s">
        <v>152</v>
      </c>
      <c r="P71" t="s">
        <v>246</v>
      </c>
    </row>
    <row r="72" spans="1:16" x14ac:dyDescent="0.25">
      <c r="A72" s="10" t="s">
        <v>32</v>
      </c>
      <c r="B72" s="10">
        <v>7470776</v>
      </c>
      <c r="C72" s="10" t="s">
        <v>40</v>
      </c>
      <c r="D72" s="10" t="s">
        <v>41</v>
      </c>
      <c r="E72" s="10">
        <v>7240116791</v>
      </c>
      <c r="F72" s="10" t="s">
        <v>203</v>
      </c>
      <c r="G72" s="10" t="s">
        <v>43</v>
      </c>
      <c r="H72" s="11">
        <v>45654</v>
      </c>
      <c r="I72" s="11">
        <v>45870</v>
      </c>
      <c r="J72" s="12">
        <f t="shared" si="2"/>
        <v>7</v>
      </c>
      <c r="K72" s="10" t="s">
        <v>49</v>
      </c>
      <c r="L72" s="13">
        <v>1.37</v>
      </c>
      <c r="M72" s="10">
        <v>102.23</v>
      </c>
      <c r="N72" s="10">
        <v>140.06</v>
      </c>
      <c r="O72" s="10" t="s">
        <v>152</v>
      </c>
      <c r="P72" t="s">
        <v>246</v>
      </c>
    </row>
    <row r="73" spans="1:16" x14ac:dyDescent="0.25">
      <c r="A73" s="10" t="s">
        <v>32</v>
      </c>
      <c r="B73" s="10">
        <v>7470776</v>
      </c>
      <c r="C73" s="10" t="s">
        <v>40</v>
      </c>
      <c r="D73" s="10" t="s">
        <v>41</v>
      </c>
      <c r="E73" s="10">
        <v>7240113999</v>
      </c>
      <c r="F73" s="10" t="s">
        <v>204</v>
      </c>
      <c r="G73" s="10" t="s">
        <v>43</v>
      </c>
      <c r="H73" s="11">
        <v>45654</v>
      </c>
      <c r="I73" s="11">
        <v>45870</v>
      </c>
      <c r="J73" s="12">
        <f t="shared" si="2"/>
        <v>7</v>
      </c>
      <c r="K73" s="10" t="s">
        <v>49</v>
      </c>
      <c r="L73" s="13">
        <v>1.37</v>
      </c>
      <c r="M73" s="10">
        <v>128.80000000000001</v>
      </c>
      <c r="N73" s="10">
        <v>176.46</v>
      </c>
      <c r="O73" s="10" t="s">
        <v>152</v>
      </c>
      <c r="P73" t="s">
        <v>246</v>
      </c>
    </row>
    <row r="74" spans="1:16" x14ac:dyDescent="0.25">
      <c r="A74" s="10" t="s">
        <v>32</v>
      </c>
      <c r="B74" s="10">
        <v>7470776</v>
      </c>
      <c r="C74" s="10" t="s">
        <v>40</v>
      </c>
      <c r="D74" s="10" t="s">
        <v>41</v>
      </c>
      <c r="E74" s="10">
        <v>7240119914</v>
      </c>
      <c r="F74" s="10" t="s">
        <v>208</v>
      </c>
      <c r="G74" s="10" t="s">
        <v>43</v>
      </c>
      <c r="H74" s="11">
        <v>45658</v>
      </c>
      <c r="I74" s="11">
        <v>45870</v>
      </c>
      <c r="J74" s="12">
        <f t="shared" si="2"/>
        <v>7</v>
      </c>
      <c r="K74" s="10" t="s">
        <v>62</v>
      </c>
      <c r="L74" s="13">
        <v>1.37</v>
      </c>
      <c r="M74" s="10">
        <v>78.099999999999994</v>
      </c>
      <c r="N74" s="10">
        <v>107</v>
      </c>
      <c r="O74" s="10" t="s">
        <v>152</v>
      </c>
      <c r="P74" t="s">
        <v>246</v>
      </c>
    </row>
    <row r="75" spans="1:16" x14ac:dyDescent="0.25">
      <c r="A75" s="10" t="s">
        <v>32</v>
      </c>
      <c r="B75" s="10">
        <v>7470776</v>
      </c>
      <c r="C75" s="10" t="s">
        <v>40</v>
      </c>
      <c r="D75" s="10" t="s">
        <v>41</v>
      </c>
      <c r="E75" s="10">
        <v>7240126463</v>
      </c>
      <c r="F75" s="10" t="s">
        <v>209</v>
      </c>
      <c r="G75" s="10" t="s">
        <v>43</v>
      </c>
      <c r="H75" s="11">
        <v>45658</v>
      </c>
      <c r="I75" s="11">
        <v>45870</v>
      </c>
      <c r="J75" s="12">
        <f t="shared" si="2"/>
        <v>7</v>
      </c>
      <c r="K75" s="10" t="s">
        <v>62</v>
      </c>
      <c r="L75" s="13">
        <v>1.37</v>
      </c>
      <c r="M75" s="10">
        <v>92.65</v>
      </c>
      <c r="N75" s="10">
        <v>126.93</v>
      </c>
      <c r="O75" s="10" t="s">
        <v>152</v>
      </c>
      <c r="P75" t="s">
        <v>246</v>
      </c>
    </row>
    <row r="76" spans="1:16" x14ac:dyDescent="0.25">
      <c r="A76" s="10" t="s">
        <v>32</v>
      </c>
      <c r="B76" s="10">
        <v>7470776</v>
      </c>
      <c r="C76" s="10" t="s">
        <v>40</v>
      </c>
      <c r="D76" s="10" t="s">
        <v>41</v>
      </c>
      <c r="E76" s="10">
        <v>7240126613</v>
      </c>
      <c r="F76" s="10" t="s">
        <v>212</v>
      </c>
      <c r="G76" s="10" t="s">
        <v>43</v>
      </c>
      <c r="H76" s="11">
        <v>45658</v>
      </c>
      <c r="I76" s="11">
        <v>45870</v>
      </c>
      <c r="J76" s="12">
        <f t="shared" si="2"/>
        <v>7</v>
      </c>
      <c r="K76" s="10" t="s">
        <v>62</v>
      </c>
      <c r="L76" s="13">
        <v>1.37</v>
      </c>
      <c r="M76" s="10">
        <v>72.260000000000005</v>
      </c>
      <c r="N76" s="10">
        <v>99</v>
      </c>
      <c r="O76" s="10" t="s">
        <v>152</v>
      </c>
      <c r="P76" t="s">
        <v>246</v>
      </c>
    </row>
    <row r="77" spans="1:16" x14ac:dyDescent="0.25">
      <c r="A77" s="10" t="s">
        <v>32</v>
      </c>
      <c r="B77" s="10">
        <v>7470776</v>
      </c>
      <c r="C77" s="10" t="s">
        <v>40</v>
      </c>
      <c r="D77" s="10" t="s">
        <v>41</v>
      </c>
      <c r="E77" s="10">
        <v>7240125223</v>
      </c>
      <c r="F77" s="10" t="s">
        <v>213</v>
      </c>
      <c r="G77" s="10" t="s">
        <v>43</v>
      </c>
      <c r="H77" s="11">
        <v>45658</v>
      </c>
      <c r="I77" s="11">
        <v>45870</v>
      </c>
      <c r="J77" s="12">
        <f t="shared" si="2"/>
        <v>7</v>
      </c>
      <c r="K77" s="10" t="s">
        <v>62</v>
      </c>
      <c r="L77" s="13">
        <v>1.37</v>
      </c>
      <c r="M77" s="10">
        <v>88.23</v>
      </c>
      <c r="N77" s="10">
        <v>120.88</v>
      </c>
      <c r="O77" s="10" t="s">
        <v>152</v>
      </c>
      <c r="P77" t="s">
        <v>246</v>
      </c>
    </row>
    <row r="78" spans="1:16" x14ac:dyDescent="0.25">
      <c r="A78" s="10" t="s">
        <v>32</v>
      </c>
      <c r="B78" s="10">
        <v>7470776</v>
      </c>
      <c r="C78" s="10" t="s">
        <v>40</v>
      </c>
      <c r="D78" s="10" t="s">
        <v>78</v>
      </c>
      <c r="E78" s="10">
        <v>7240112321</v>
      </c>
      <c r="F78" s="10" t="s">
        <v>216</v>
      </c>
      <c r="G78" s="10" t="s">
        <v>43</v>
      </c>
      <c r="H78" s="11">
        <v>45654</v>
      </c>
      <c r="I78" s="11">
        <v>45870</v>
      </c>
      <c r="J78" s="12">
        <f t="shared" si="2"/>
        <v>7</v>
      </c>
      <c r="K78" s="10" t="s">
        <v>49</v>
      </c>
      <c r="L78" s="13">
        <v>1.37</v>
      </c>
      <c r="M78" s="10">
        <v>105.28</v>
      </c>
      <c r="N78" s="10">
        <v>144.22999999999999</v>
      </c>
      <c r="O78" s="10" t="s">
        <v>152</v>
      </c>
      <c r="P78" t="s">
        <v>246</v>
      </c>
    </row>
    <row r="79" spans="1:16" x14ac:dyDescent="0.25">
      <c r="A79" s="10" t="s">
        <v>32</v>
      </c>
      <c r="B79" s="10">
        <v>7470776</v>
      </c>
      <c r="C79" s="10" t="s">
        <v>40</v>
      </c>
      <c r="D79" s="10" t="s">
        <v>78</v>
      </c>
      <c r="E79" s="10">
        <v>7240112931</v>
      </c>
      <c r="F79" s="10" t="s">
        <v>217</v>
      </c>
      <c r="G79" s="10" t="s">
        <v>43</v>
      </c>
      <c r="H79" s="11">
        <v>45654</v>
      </c>
      <c r="I79" s="11">
        <v>45870</v>
      </c>
      <c r="J79" s="12">
        <f t="shared" si="2"/>
        <v>7</v>
      </c>
      <c r="K79" s="10" t="s">
        <v>49</v>
      </c>
      <c r="L79" s="13">
        <v>1.37</v>
      </c>
      <c r="M79" s="10">
        <v>77.319999999999993</v>
      </c>
      <c r="N79" s="10">
        <v>105.93</v>
      </c>
      <c r="O79" s="10" t="s">
        <v>152</v>
      </c>
      <c r="P79" t="s">
        <v>246</v>
      </c>
    </row>
    <row r="80" spans="1:16" x14ac:dyDescent="0.25">
      <c r="A80" s="10" t="s">
        <v>32</v>
      </c>
      <c r="B80" s="10">
        <v>7470776</v>
      </c>
      <c r="C80" s="10" t="s">
        <v>40</v>
      </c>
      <c r="D80" s="10" t="s">
        <v>41</v>
      </c>
      <c r="E80" s="10">
        <v>7240114243</v>
      </c>
      <c r="F80" s="10" t="s">
        <v>218</v>
      </c>
      <c r="G80" s="10" t="s">
        <v>43</v>
      </c>
      <c r="H80" s="11">
        <v>45654</v>
      </c>
      <c r="I80" s="11">
        <v>45870</v>
      </c>
      <c r="J80" s="12">
        <f t="shared" si="2"/>
        <v>7</v>
      </c>
      <c r="K80" s="10" t="s">
        <v>49</v>
      </c>
      <c r="L80" s="13">
        <v>1.37</v>
      </c>
      <c r="M80" s="10">
        <v>73.790000000000006</v>
      </c>
      <c r="N80" s="10">
        <v>101.09</v>
      </c>
      <c r="O80" s="10" t="s">
        <v>152</v>
      </c>
      <c r="P80" t="s">
        <v>246</v>
      </c>
    </row>
    <row r="81" spans="1:16" x14ac:dyDescent="0.25">
      <c r="A81" s="10" t="s">
        <v>32</v>
      </c>
      <c r="B81" s="10">
        <v>7470776</v>
      </c>
      <c r="C81" s="10" t="s">
        <v>40</v>
      </c>
      <c r="D81" s="10" t="s">
        <v>78</v>
      </c>
      <c r="E81" s="10">
        <v>7240112385</v>
      </c>
      <c r="F81" s="10" t="s">
        <v>220</v>
      </c>
      <c r="G81" s="10" t="s">
        <v>43</v>
      </c>
      <c r="H81" s="11">
        <v>45654</v>
      </c>
      <c r="I81" s="11">
        <v>45870</v>
      </c>
      <c r="J81" s="12">
        <f t="shared" si="2"/>
        <v>7</v>
      </c>
      <c r="K81" s="10" t="s">
        <v>49</v>
      </c>
      <c r="L81" s="13">
        <v>1.37</v>
      </c>
      <c r="M81" s="10">
        <v>91.63</v>
      </c>
      <c r="N81" s="10">
        <v>125.53</v>
      </c>
      <c r="O81" s="10" t="s">
        <v>152</v>
      </c>
      <c r="P81" t="s">
        <v>246</v>
      </c>
    </row>
    <row r="82" spans="1:16" x14ac:dyDescent="0.25">
      <c r="A82" s="10" t="s">
        <v>32</v>
      </c>
      <c r="B82" s="10">
        <v>7470776</v>
      </c>
      <c r="C82" s="10" t="s">
        <v>40</v>
      </c>
      <c r="D82" s="10" t="s">
        <v>41</v>
      </c>
      <c r="E82" s="10">
        <v>7240122919</v>
      </c>
      <c r="F82" s="10" t="s">
        <v>221</v>
      </c>
      <c r="G82" s="10" t="s">
        <v>43</v>
      </c>
      <c r="H82" s="11">
        <v>45658</v>
      </c>
      <c r="I82" s="11">
        <v>45870</v>
      </c>
      <c r="J82" s="12">
        <f t="shared" si="2"/>
        <v>7</v>
      </c>
      <c r="K82" s="10" t="s">
        <v>62</v>
      </c>
      <c r="L82" s="13">
        <v>1.37</v>
      </c>
      <c r="M82" s="10">
        <v>73.790000000000006</v>
      </c>
      <c r="N82" s="10">
        <v>101.09</v>
      </c>
      <c r="O82" s="10" t="s">
        <v>152</v>
      </c>
      <c r="P82" t="s">
        <v>246</v>
      </c>
    </row>
    <row r="83" spans="1:16" x14ac:dyDescent="0.25">
      <c r="A83" s="10" t="s">
        <v>32</v>
      </c>
      <c r="B83" s="10">
        <v>7470776</v>
      </c>
      <c r="C83" s="10" t="s">
        <v>40</v>
      </c>
      <c r="D83" s="10" t="s">
        <v>78</v>
      </c>
      <c r="E83" s="10">
        <v>7240112093</v>
      </c>
      <c r="F83" s="10" t="s">
        <v>222</v>
      </c>
      <c r="G83" s="10" t="s">
        <v>43</v>
      </c>
      <c r="H83" s="11">
        <v>45654</v>
      </c>
      <c r="I83" s="11">
        <v>45870</v>
      </c>
      <c r="J83" s="12">
        <f t="shared" si="2"/>
        <v>7</v>
      </c>
      <c r="K83" s="10" t="s">
        <v>49</v>
      </c>
      <c r="L83" s="13">
        <v>1.37</v>
      </c>
      <c r="M83" s="10">
        <v>102.34</v>
      </c>
      <c r="N83" s="10">
        <v>140.21</v>
      </c>
      <c r="O83" s="10" t="s">
        <v>152</v>
      </c>
      <c r="P83" t="s">
        <v>246</v>
      </c>
    </row>
    <row r="84" spans="1:16" x14ac:dyDescent="0.25">
      <c r="A84" s="10" t="s">
        <v>32</v>
      </c>
      <c r="B84" s="10">
        <v>7470776</v>
      </c>
      <c r="C84" s="10" t="s">
        <v>40</v>
      </c>
      <c r="D84" s="10" t="s">
        <v>41</v>
      </c>
      <c r="E84" s="10">
        <v>7240115864</v>
      </c>
      <c r="F84" s="10" t="s">
        <v>223</v>
      </c>
      <c r="G84" s="10" t="s">
        <v>43</v>
      </c>
      <c r="H84" s="11">
        <v>45654</v>
      </c>
      <c r="I84" s="11">
        <v>45870</v>
      </c>
      <c r="J84" s="12">
        <f t="shared" si="2"/>
        <v>7</v>
      </c>
      <c r="K84" s="10" t="s">
        <v>49</v>
      </c>
      <c r="L84" s="13">
        <v>1.37</v>
      </c>
      <c r="M84" s="10">
        <v>86.96</v>
      </c>
      <c r="N84" s="10">
        <v>119.14</v>
      </c>
      <c r="O84" s="10" t="s">
        <v>152</v>
      </c>
      <c r="P84" t="s">
        <v>246</v>
      </c>
    </row>
    <row r="85" spans="1:16" x14ac:dyDescent="0.25">
      <c r="A85" s="10" t="s">
        <v>32</v>
      </c>
      <c r="B85" s="10">
        <v>7470776</v>
      </c>
      <c r="C85" s="10" t="s">
        <v>40</v>
      </c>
      <c r="D85" s="10" t="s">
        <v>41</v>
      </c>
      <c r="E85" s="10">
        <v>7240121170</v>
      </c>
      <c r="F85" s="10" t="s">
        <v>225</v>
      </c>
      <c r="G85" s="10" t="s">
        <v>43</v>
      </c>
      <c r="H85" s="11">
        <v>45658</v>
      </c>
      <c r="I85" s="11">
        <v>45870</v>
      </c>
      <c r="J85" s="12">
        <f t="shared" si="2"/>
        <v>7</v>
      </c>
      <c r="K85" s="10" t="s">
        <v>62</v>
      </c>
      <c r="L85" s="13">
        <v>1.37</v>
      </c>
      <c r="M85" s="10">
        <v>93.43</v>
      </c>
      <c r="N85" s="10">
        <v>128</v>
      </c>
      <c r="O85" s="10" t="s">
        <v>152</v>
      </c>
      <c r="P85" t="s">
        <v>246</v>
      </c>
    </row>
    <row r="86" spans="1:16" x14ac:dyDescent="0.25">
      <c r="A86" s="10" t="s">
        <v>32</v>
      </c>
      <c r="B86" s="10">
        <v>7470776</v>
      </c>
      <c r="C86" s="10" t="s">
        <v>40</v>
      </c>
      <c r="D86" s="10" t="s">
        <v>41</v>
      </c>
      <c r="E86" s="10">
        <v>7240121167</v>
      </c>
      <c r="F86" s="10" t="s">
        <v>226</v>
      </c>
      <c r="G86" s="10" t="s">
        <v>43</v>
      </c>
      <c r="H86" s="11">
        <v>45658</v>
      </c>
      <c r="I86" s="11">
        <v>45870</v>
      </c>
      <c r="J86" s="12">
        <f t="shared" si="2"/>
        <v>7</v>
      </c>
      <c r="K86" s="10" t="s">
        <v>62</v>
      </c>
      <c r="L86" s="13">
        <v>1.37</v>
      </c>
      <c r="M86" s="10">
        <v>98.46</v>
      </c>
      <c r="N86" s="10">
        <v>134.88999999999999</v>
      </c>
      <c r="O86" s="10" t="s">
        <v>152</v>
      </c>
      <c r="P86" t="s">
        <v>246</v>
      </c>
    </row>
    <row r="87" spans="1:16" x14ac:dyDescent="0.25">
      <c r="A87" s="10" t="s">
        <v>32</v>
      </c>
      <c r="B87" s="10">
        <v>7470776</v>
      </c>
      <c r="C87" s="10" t="s">
        <v>40</v>
      </c>
      <c r="D87" s="10" t="s">
        <v>41</v>
      </c>
      <c r="E87" s="10">
        <v>7240124010</v>
      </c>
      <c r="F87" s="10" t="s">
        <v>227</v>
      </c>
      <c r="G87" s="10" t="s">
        <v>43</v>
      </c>
      <c r="H87" s="11">
        <v>45658</v>
      </c>
      <c r="I87" s="11">
        <v>45870</v>
      </c>
      <c r="J87" s="12">
        <f t="shared" si="2"/>
        <v>7</v>
      </c>
      <c r="K87" s="10" t="s">
        <v>62</v>
      </c>
      <c r="L87" s="13">
        <v>1.37</v>
      </c>
      <c r="M87" s="10">
        <v>45.93</v>
      </c>
      <c r="N87" s="10">
        <v>62.92</v>
      </c>
      <c r="O87" s="10" t="s">
        <v>152</v>
      </c>
      <c r="P87" t="s">
        <v>246</v>
      </c>
    </row>
    <row r="88" spans="1:16" x14ac:dyDescent="0.25">
      <c r="A88" s="10" t="s">
        <v>32</v>
      </c>
      <c r="B88" s="10">
        <v>7470776</v>
      </c>
      <c r="C88" s="10" t="s">
        <v>40</v>
      </c>
      <c r="D88" s="10" t="s">
        <v>78</v>
      </c>
      <c r="E88" s="10">
        <v>7240111936</v>
      </c>
      <c r="F88" s="10" t="s">
        <v>228</v>
      </c>
      <c r="G88" s="10" t="s">
        <v>43</v>
      </c>
      <c r="H88" s="11">
        <v>45654</v>
      </c>
      <c r="I88" s="11">
        <v>45870</v>
      </c>
      <c r="J88" s="12">
        <f t="shared" si="2"/>
        <v>7</v>
      </c>
      <c r="K88" s="10" t="s">
        <v>49</v>
      </c>
      <c r="L88" s="13">
        <v>1.37</v>
      </c>
      <c r="M88" s="10">
        <v>64</v>
      </c>
      <c r="N88" s="10">
        <v>87.68</v>
      </c>
      <c r="O88" s="10" t="s">
        <v>152</v>
      </c>
      <c r="P88" t="s">
        <v>246</v>
      </c>
    </row>
    <row r="89" spans="1:16" x14ac:dyDescent="0.25">
      <c r="A89" s="10" t="s">
        <v>32</v>
      </c>
      <c r="B89" s="10">
        <v>7470776</v>
      </c>
      <c r="C89" s="10" t="s">
        <v>40</v>
      </c>
      <c r="D89" s="10" t="s">
        <v>78</v>
      </c>
      <c r="E89" s="10">
        <v>7240111561</v>
      </c>
      <c r="F89" s="10" t="s">
        <v>229</v>
      </c>
      <c r="G89" s="10" t="s">
        <v>43</v>
      </c>
      <c r="H89" s="11">
        <v>45654</v>
      </c>
      <c r="I89" s="11">
        <v>45870</v>
      </c>
      <c r="J89" s="12">
        <f t="shared" si="2"/>
        <v>7</v>
      </c>
      <c r="K89" s="10" t="s">
        <v>49</v>
      </c>
      <c r="L89" s="13">
        <v>1.37</v>
      </c>
      <c r="M89" s="10">
        <v>97.23</v>
      </c>
      <c r="N89" s="10">
        <v>133.21</v>
      </c>
      <c r="O89" s="10" t="s">
        <v>152</v>
      </c>
      <c r="P89" t="s">
        <v>246</v>
      </c>
    </row>
    <row r="90" spans="1:16" x14ac:dyDescent="0.25">
      <c r="A90" s="10" t="s">
        <v>32</v>
      </c>
      <c r="B90" s="10">
        <v>7470776</v>
      </c>
      <c r="C90" s="10" t="s">
        <v>40</v>
      </c>
      <c r="D90" s="10" t="s">
        <v>41</v>
      </c>
      <c r="E90" s="10">
        <v>7240114020</v>
      </c>
      <c r="F90" s="10" t="s">
        <v>231</v>
      </c>
      <c r="G90" s="10" t="s">
        <v>43</v>
      </c>
      <c r="H90" s="11">
        <v>45654</v>
      </c>
      <c r="I90" s="11">
        <v>45870</v>
      </c>
      <c r="J90" s="12">
        <f t="shared" si="2"/>
        <v>7</v>
      </c>
      <c r="K90" s="10" t="s">
        <v>49</v>
      </c>
      <c r="L90" s="13">
        <v>1.37</v>
      </c>
      <c r="M90" s="10">
        <v>128.80000000000001</v>
      </c>
      <c r="N90" s="10">
        <v>176.46</v>
      </c>
      <c r="O90" s="10" t="s">
        <v>152</v>
      </c>
      <c r="P90" t="s">
        <v>246</v>
      </c>
    </row>
    <row r="91" spans="1:16" x14ac:dyDescent="0.25">
      <c r="A91" s="10" t="s">
        <v>32</v>
      </c>
      <c r="B91" s="10">
        <v>7470776</v>
      </c>
      <c r="C91" s="10" t="s">
        <v>40</v>
      </c>
      <c r="D91" s="10" t="s">
        <v>41</v>
      </c>
      <c r="E91" s="10">
        <v>7240115124</v>
      </c>
      <c r="F91" s="10" t="s">
        <v>232</v>
      </c>
      <c r="G91" s="10" t="s">
        <v>43</v>
      </c>
      <c r="H91" s="11">
        <v>45654</v>
      </c>
      <c r="I91" s="11">
        <v>45870</v>
      </c>
      <c r="J91" s="12">
        <f t="shared" si="2"/>
        <v>7</v>
      </c>
      <c r="K91" s="10" t="s">
        <v>49</v>
      </c>
      <c r="L91" s="13">
        <v>1.37</v>
      </c>
      <c r="M91" s="10">
        <v>79</v>
      </c>
      <c r="N91" s="10">
        <v>108.23</v>
      </c>
      <c r="O91" s="10" t="s">
        <v>152</v>
      </c>
      <c r="P91" t="s">
        <v>246</v>
      </c>
    </row>
    <row r="92" spans="1:16" x14ac:dyDescent="0.25">
      <c r="A92" s="10" t="s">
        <v>32</v>
      </c>
      <c r="B92" s="10">
        <v>7470776</v>
      </c>
      <c r="C92" s="10" t="s">
        <v>40</v>
      </c>
      <c r="D92" s="10" t="s">
        <v>41</v>
      </c>
      <c r="E92" s="10">
        <v>7240122461</v>
      </c>
      <c r="F92" s="10" t="s">
        <v>233</v>
      </c>
      <c r="G92" s="10" t="s">
        <v>43</v>
      </c>
      <c r="H92" s="11">
        <v>45658</v>
      </c>
      <c r="I92" s="11">
        <v>45870</v>
      </c>
      <c r="J92" s="12">
        <f t="shared" si="2"/>
        <v>7</v>
      </c>
      <c r="K92" s="10" t="s">
        <v>62</v>
      </c>
      <c r="L92" s="13">
        <v>1.37</v>
      </c>
      <c r="M92" s="10">
        <v>81.52</v>
      </c>
      <c r="N92" s="10">
        <v>111.68</v>
      </c>
      <c r="O92" s="10" t="s">
        <v>152</v>
      </c>
      <c r="P92" t="s">
        <v>246</v>
      </c>
    </row>
    <row r="93" spans="1:16" x14ac:dyDescent="0.25">
      <c r="A93" s="10" t="s">
        <v>32</v>
      </c>
      <c r="B93" s="10">
        <v>7470776</v>
      </c>
      <c r="C93" s="10" t="s">
        <v>40</v>
      </c>
      <c r="D93" s="10" t="s">
        <v>78</v>
      </c>
      <c r="E93" s="10">
        <v>7240110570</v>
      </c>
      <c r="F93" s="10" t="s">
        <v>236</v>
      </c>
      <c r="G93" s="10" t="s">
        <v>43</v>
      </c>
      <c r="H93" s="11">
        <v>45654</v>
      </c>
      <c r="I93" s="11">
        <v>45870</v>
      </c>
      <c r="J93" s="12">
        <f t="shared" si="2"/>
        <v>7</v>
      </c>
      <c r="K93" s="10" t="s">
        <v>49</v>
      </c>
      <c r="L93" s="13">
        <v>1.37</v>
      </c>
      <c r="M93" s="10">
        <v>68.97</v>
      </c>
      <c r="N93" s="10">
        <v>94.49</v>
      </c>
      <c r="O93" s="10" t="s">
        <v>152</v>
      </c>
      <c r="P93" t="s">
        <v>246</v>
      </c>
    </row>
    <row r="94" spans="1:16" x14ac:dyDescent="0.25">
      <c r="A94" s="10" t="s">
        <v>32</v>
      </c>
      <c r="B94" s="10">
        <v>7470776</v>
      </c>
      <c r="C94" s="10" t="s">
        <v>40</v>
      </c>
      <c r="D94" s="10" t="s">
        <v>41</v>
      </c>
      <c r="E94" s="10">
        <v>7240122077</v>
      </c>
      <c r="F94" s="10" t="s">
        <v>239</v>
      </c>
      <c r="G94" s="10" t="s">
        <v>43</v>
      </c>
      <c r="H94" s="11">
        <v>45658</v>
      </c>
      <c r="I94" s="11">
        <v>45870</v>
      </c>
      <c r="J94" s="12">
        <f t="shared" si="2"/>
        <v>7</v>
      </c>
      <c r="K94" s="10" t="s">
        <v>62</v>
      </c>
      <c r="L94" s="13">
        <v>1.37</v>
      </c>
      <c r="M94" s="10">
        <v>96.3</v>
      </c>
      <c r="N94" s="10">
        <v>131.93</v>
      </c>
      <c r="O94" s="10" t="s">
        <v>152</v>
      </c>
      <c r="P94" t="s">
        <v>246</v>
      </c>
    </row>
    <row r="95" spans="1:16" x14ac:dyDescent="0.25">
      <c r="A95" s="10" t="s">
        <v>32</v>
      </c>
      <c r="B95" s="10">
        <v>7470776</v>
      </c>
      <c r="C95" s="10" t="s">
        <v>40</v>
      </c>
      <c r="D95" s="10" t="s">
        <v>78</v>
      </c>
      <c r="E95" s="10">
        <v>7240112327</v>
      </c>
      <c r="F95" s="10" t="s">
        <v>240</v>
      </c>
      <c r="G95" s="10" t="s">
        <v>43</v>
      </c>
      <c r="H95" s="11">
        <v>45654</v>
      </c>
      <c r="I95" s="11">
        <v>45870</v>
      </c>
      <c r="J95" s="12">
        <f t="shared" si="2"/>
        <v>7</v>
      </c>
      <c r="K95" s="10" t="s">
        <v>49</v>
      </c>
      <c r="L95" s="13">
        <v>1.37</v>
      </c>
      <c r="M95" s="10">
        <v>114.98</v>
      </c>
      <c r="N95" s="10">
        <v>157.52000000000001</v>
      </c>
      <c r="O95" s="10" t="s">
        <v>152</v>
      </c>
      <c r="P95" t="s">
        <v>246</v>
      </c>
    </row>
    <row r="96" spans="1:16" x14ac:dyDescent="0.25">
      <c r="A96" s="10" t="s">
        <v>32</v>
      </c>
      <c r="B96" s="10">
        <v>7470776</v>
      </c>
      <c r="C96" s="10" t="s">
        <v>40</v>
      </c>
      <c r="D96" s="10" t="s">
        <v>78</v>
      </c>
      <c r="E96" s="10">
        <v>7240112603</v>
      </c>
      <c r="F96" s="10" t="s">
        <v>241</v>
      </c>
      <c r="G96" s="10" t="s">
        <v>43</v>
      </c>
      <c r="H96" s="11">
        <v>45654</v>
      </c>
      <c r="I96" s="11">
        <v>45870</v>
      </c>
      <c r="J96" s="12">
        <f t="shared" si="2"/>
        <v>7</v>
      </c>
      <c r="K96" s="10" t="s">
        <v>49</v>
      </c>
      <c r="L96" s="13">
        <v>1.37</v>
      </c>
      <c r="M96" s="10">
        <v>62.9</v>
      </c>
      <c r="N96" s="10">
        <v>86.17</v>
      </c>
      <c r="O96" s="10" t="s">
        <v>152</v>
      </c>
      <c r="P96" t="s">
        <v>246</v>
      </c>
    </row>
    <row r="97" spans="1:16" x14ac:dyDescent="0.25">
      <c r="A97" s="10" t="s">
        <v>32</v>
      </c>
      <c r="B97" s="10">
        <v>7470776</v>
      </c>
      <c r="C97" s="10" t="s">
        <v>40</v>
      </c>
      <c r="D97" s="10" t="s">
        <v>78</v>
      </c>
      <c r="E97" s="10">
        <v>7240101034</v>
      </c>
      <c r="F97" s="10" t="s">
        <v>242</v>
      </c>
      <c r="G97" s="10" t="s">
        <v>43</v>
      </c>
      <c r="H97" s="11">
        <v>45627</v>
      </c>
      <c r="I97" s="11">
        <v>45870</v>
      </c>
      <c r="J97" s="12">
        <f t="shared" si="2"/>
        <v>8</v>
      </c>
      <c r="K97" s="10" t="s">
        <v>117</v>
      </c>
      <c r="L97" s="13">
        <v>1.37</v>
      </c>
      <c r="M97" s="10">
        <v>106.65</v>
      </c>
      <c r="N97" s="10">
        <v>146.11000000000001</v>
      </c>
      <c r="O97" s="10" t="s">
        <v>152</v>
      </c>
      <c r="P97" t="s">
        <v>246</v>
      </c>
    </row>
    <row r="98" spans="1:16" x14ac:dyDescent="0.25">
      <c r="A98" s="10" t="s">
        <v>32</v>
      </c>
      <c r="B98" s="10">
        <v>7470776</v>
      </c>
      <c r="C98" s="10" t="s">
        <v>40</v>
      </c>
      <c r="D98" s="10" t="s">
        <v>78</v>
      </c>
      <c r="E98" s="10">
        <v>7240101224</v>
      </c>
      <c r="F98" s="10" t="s">
        <v>243</v>
      </c>
      <c r="G98" s="10" t="s">
        <v>43</v>
      </c>
      <c r="H98" s="11">
        <v>45627</v>
      </c>
      <c r="I98" s="11">
        <v>45870</v>
      </c>
      <c r="J98" s="12">
        <f t="shared" ref="J98:J129" si="3">DATEDIF(H98,I98,"M")</f>
        <v>8</v>
      </c>
      <c r="K98" s="10" t="s">
        <v>117</v>
      </c>
      <c r="L98" s="13">
        <v>1.37</v>
      </c>
      <c r="M98" s="10">
        <v>102.93</v>
      </c>
      <c r="N98" s="10">
        <v>141.01</v>
      </c>
      <c r="O98" s="10" t="s">
        <v>152</v>
      </c>
      <c r="P98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D35A-7FB4-4A27-9054-975CC548F128}">
  <dimension ref="A1:B97"/>
  <sheetViews>
    <sheetView topLeftCell="A63" workbookViewId="0">
      <selection activeCell="B1" sqref="B1:B97"/>
    </sheetView>
  </sheetViews>
  <sheetFormatPr defaultRowHeight="15" x14ac:dyDescent="0.25"/>
  <cols>
    <col min="1" max="1" width="11" bestFit="1" customWidth="1"/>
    <col min="2" max="2" width="17.28515625" customWidth="1"/>
  </cols>
  <sheetData>
    <row r="1" spans="1:2" x14ac:dyDescent="0.25">
      <c r="A1">
        <v>7250124322</v>
      </c>
      <c r="B1" t="str" cm="1">
        <f t="array" ref="B1:B97">VLOOKUP(A1:A97,[1]Sheet2!$A$1:$B$170,2,FALSE)</f>
        <v>SPASO,NOEL</v>
      </c>
    </row>
    <row r="2" spans="1:2" x14ac:dyDescent="0.25">
      <c r="A2">
        <v>7250121607</v>
      </c>
      <c r="B2" t="str">
        <v>REYNA,JANAN</v>
      </c>
    </row>
    <row r="3" spans="1:2" x14ac:dyDescent="0.25">
      <c r="A3">
        <v>7250123977</v>
      </c>
      <c r="B3" t="str">
        <v>SPASO,RAYMOND</v>
      </c>
    </row>
    <row r="4" spans="1:2" x14ac:dyDescent="0.25">
      <c r="A4">
        <v>6250121740</v>
      </c>
      <c r="B4" t="str">
        <v>KRAMER,SANDRA</v>
      </c>
    </row>
    <row r="5" spans="1:2" x14ac:dyDescent="0.25">
      <c r="A5">
        <v>7250134970</v>
      </c>
      <c r="B5" t="str">
        <v>SILVA,TERESA</v>
      </c>
    </row>
    <row r="6" spans="1:2" x14ac:dyDescent="0.25">
      <c r="A6">
        <v>7250129739</v>
      </c>
      <c r="B6" t="str">
        <v>KOZA,MICHELLE</v>
      </c>
    </row>
    <row r="7" spans="1:2" x14ac:dyDescent="0.25">
      <c r="A7">
        <v>7250130315</v>
      </c>
      <c r="B7" t="str">
        <v>WELTER,MAUREEN</v>
      </c>
    </row>
    <row r="8" spans="1:2" x14ac:dyDescent="0.25">
      <c r="A8">
        <v>7250132001</v>
      </c>
      <c r="B8" t="str">
        <v>DAVEY,MARCIA</v>
      </c>
    </row>
    <row r="9" spans="1:2" x14ac:dyDescent="0.25">
      <c r="A9">
        <v>7250129238</v>
      </c>
      <c r="B9" t="str">
        <v>DAVEY,THOMAS</v>
      </c>
    </row>
    <row r="10" spans="1:2" x14ac:dyDescent="0.25">
      <c r="A10">
        <v>7250128521</v>
      </c>
      <c r="B10" t="str">
        <v>FITZSIMMONS,DEAN C</v>
      </c>
    </row>
    <row r="11" spans="1:2" x14ac:dyDescent="0.25">
      <c r="A11">
        <v>7250132579</v>
      </c>
      <c r="B11" t="str">
        <v>DEVEE,PATRICIA</v>
      </c>
    </row>
    <row r="12" spans="1:2" x14ac:dyDescent="0.25">
      <c r="A12">
        <v>7250129739</v>
      </c>
      <c r="B12" t="str">
        <v>KOZA,MICHELLE</v>
      </c>
    </row>
    <row r="13" spans="1:2" x14ac:dyDescent="0.25">
      <c r="A13">
        <v>7250130315</v>
      </c>
      <c r="B13" t="str">
        <v>WELTER,MAUREEN</v>
      </c>
    </row>
    <row r="14" spans="1:2" x14ac:dyDescent="0.25">
      <c r="A14">
        <v>7250132579</v>
      </c>
      <c r="B14" t="str">
        <v>DEVEE,PATRICIA</v>
      </c>
    </row>
    <row r="15" spans="1:2" x14ac:dyDescent="0.25">
      <c r="A15">
        <v>7250130359</v>
      </c>
      <c r="B15" t="str">
        <v>WELTER,DAVID</v>
      </c>
    </row>
    <row r="16" spans="1:2" x14ac:dyDescent="0.25">
      <c r="A16">
        <v>7250128516</v>
      </c>
      <c r="B16" t="str">
        <v>BROOKS,MARYANN</v>
      </c>
    </row>
    <row r="17" spans="1:2" x14ac:dyDescent="0.25">
      <c r="A17">
        <v>7250130359</v>
      </c>
      <c r="B17" t="str">
        <v>WELTER,DAVID</v>
      </c>
    </row>
    <row r="18" spans="1:2" x14ac:dyDescent="0.25">
      <c r="A18">
        <v>7250128521</v>
      </c>
      <c r="B18" t="str">
        <v>FITZSIMMONS,DEAN C</v>
      </c>
    </row>
    <row r="19" spans="1:2" x14ac:dyDescent="0.25">
      <c r="A19">
        <v>7250132001</v>
      </c>
      <c r="B19" t="str">
        <v>DAVEY,MARCIA</v>
      </c>
    </row>
    <row r="20" spans="1:2" x14ac:dyDescent="0.25">
      <c r="A20">
        <v>7250128516</v>
      </c>
      <c r="B20" t="str">
        <v>BROOKS,MARYANN</v>
      </c>
    </row>
    <row r="21" spans="1:2" x14ac:dyDescent="0.25">
      <c r="A21">
        <v>6250111822</v>
      </c>
      <c r="B21" t="str">
        <v>DALY,KEVIN</v>
      </c>
    </row>
    <row r="22" spans="1:2" x14ac:dyDescent="0.25">
      <c r="A22">
        <v>6250089879</v>
      </c>
      <c r="B22" t="str">
        <v>HILL,JENNIFER</v>
      </c>
    </row>
    <row r="23" spans="1:2" x14ac:dyDescent="0.25">
      <c r="A23">
        <v>7250096963</v>
      </c>
      <c r="B23" t="str">
        <v>DURAY,GREGORY</v>
      </c>
    </row>
    <row r="24" spans="1:2" x14ac:dyDescent="0.25">
      <c r="A24">
        <v>7250097410</v>
      </c>
      <c r="B24" t="str">
        <v>NOWAKOWSKI,KIMBERLY</v>
      </c>
    </row>
    <row r="25" spans="1:2" x14ac:dyDescent="0.25">
      <c r="A25">
        <v>7250094626</v>
      </c>
      <c r="B25" t="str">
        <v>ROSS,KATHY</v>
      </c>
    </row>
    <row r="26" spans="1:2" x14ac:dyDescent="0.25">
      <c r="A26">
        <v>7250104789</v>
      </c>
      <c r="B26" t="str">
        <v>NUTTLE,HEIDI</v>
      </c>
    </row>
    <row r="27" spans="1:2" x14ac:dyDescent="0.25">
      <c r="A27">
        <v>7250097140</v>
      </c>
      <c r="B27" t="str">
        <v>DURAY,JUDITH</v>
      </c>
    </row>
    <row r="28" spans="1:2" x14ac:dyDescent="0.25">
      <c r="A28">
        <v>7250110087</v>
      </c>
      <c r="B28" t="str">
        <v>KIM,DONG</v>
      </c>
    </row>
    <row r="29" spans="1:2" x14ac:dyDescent="0.25">
      <c r="A29">
        <v>7250102505</v>
      </c>
      <c r="B29" t="str">
        <v>MILLER,MARK</v>
      </c>
    </row>
    <row r="30" spans="1:2" x14ac:dyDescent="0.25">
      <c r="A30">
        <v>6250092297</v>
      </c>
      <c r="B30" t="str">
        <v>BELL,CYNTHIA F</v>
      </c>
    </row>
    <row r="31" spans="1:2" x14ac:dyDescent="0.25">
      <c r="A31">
        <v>7250081390</v>
      </c>
      <c r="B31" t="str">
        <v>KIM,JOHN</v>
      </c>
    </row>
    <row r="32" spans="1:2" x14ac:dyDescent="0.25">
      <c r="A32">
        <v>7250070948</v>
      </c>
      <c r="B32" t="str">
        <v>DICKSON,RANDOLPH</v>
      </c>
    </row>
    <row r="33" spans="1:2" x14ac:dyDescent="0.25">
      <c r="A33">
        <v>7250088780</v>
      </c>
      <c r="B33" t="str">
        <v>BELL JR,MILTON C</v>
      </c>
    </row>
    <row r="34" spans="1:2" x14ac:dyDescent="0.25">
      <c r="A34">
        <v>7250055031</v>
      </c>
      <c r="B34" t="str">
        <v>KUDRNA,RHONDA</v>
      </c>
    </row>
    <row r="35" spans="1:2" x14ac:dyDescent="0.25">
      <c r="A35">
        <v>7250057563</v>
      </c>
      <c r="B35" t="str">
        <v>JAROS,CONNIE</v>
      </c>
    </row>
    <row r="36" spans="1:2" x14ac:dyDescent="0.25">
      <c r="A36">
        <v>7250062261</v>
      </c>
      <c r="B36" t="str">
        <v>HAPNER,MELISSA</v>
      </c>
    </row>
    <row r="37" spans="1:2" x14ac:dyDescent="0.25">
      <c r="A37">
        <v>6250063528</v>
      </c>
      <c r="B37" t="str">
        <v>HAPNER,THOMAS</v>
      </c>
    </row>
    <row r="38" spans="1:2" x14ac:dyDescent="0.25">
      <c r="A38">
        <v>7250060334</v>
      </c>
      <c r="B38" t="str">
        <v>HIVON,MARK</v>
      </c>
    </row>
    <row r="39" spans="1:2" x14ac:dyDescent="0.25">
      <c r="A39">
        <v>7250059859</v>
      </c>
      <c r="B39" t="str">
        <v>HIVON,CHRISTINE</v>
      </c>
    </row>
    <row r="40" spans="1:2" x14ac:dyDescent="0.25">
      <c r="A40">
        <v>7250067462</v>
      </c>
      <c r="B40" t="str">
        <v>PITTS,LENA P</v>
      </c>
    </row>
    <row r="41" spans="1:2" x14ac:dyDescent="0.25">
      <c r="A41">
        <v>7250037369</v>
      </c>
      <c r="B41" t="str">
        <v>WEISS,CRAIG</v>
      </c>
    </row>
    <row r="42" spans="1:2" x14ac:dyDescent="0.25">
      <c r="A42">
        <v>7250036244</v>
      </c>
      <c r="B42" t="str">
        <v>RUSNAK,MAUREEN</v>
      </c>
    </row>
    <row r="43" spans="1:2" x14ac:dyDescent="0.25">
      <c r="A43">
        <v>7250031045</v>
      </c>
      <c r="B43" t="str">
        <v>REMIAS,THERESA</v>
      </c>
    </row>
    <row r="44" spans="1:2" x14ac:dyDescent="0.25">
      <c r="A44">
        <v>7250037352</v>
      </c>
      <c r="B44" t="str">
        <v>WEISS,JEAN</v>
      </c>
    </row>
    <row r="45" spans="1:2" x14ac:dyDescent="0.25">
      <c r="A45">
        <v>7250043503</v>
      </c>
      <c r="B45" t="str">
        <v>SCIARRONE,ANTHONY P</v>
      </c>
    </row>
    <row r="46" spans="1:2" x14ac:dyDescent="0.25">
      <c r="A46">
        <v>7250026367</v>
      </c>
      <c r="B46" t="str">
        <v>CONNERY,DENNIS</v>
      </c>
    </row>
    <row r="47" spans="1:2" x14ac:dyDescent="0.25">
      <c r="A47">
        <v>7250001863</v>
      </c>
      <c r="B47" t="str">
        <v>SHIPKIN,JERRY</v>
      </c>
    </row>
    <row r="48" spans="1:2" x14ac:dyDescent="0.25">
      <c r="A48">
        <v>6250016471</v>
      </c>
      <c r="B48" t="str">
        <v>CONNOLLY,DAWN</v>
      </c>
    </row>
    <row r="49" spans="1:2" x14ac:dyDescent="0.25">
      <c r="A49">
        <v>7250001892</v>
      </c>
      <c r="B49" t="str">
        <v>SHIPKIN,ISABELLA</v>
      </c>
    </row>
    <row r="50" spans="1:2" x14ac:dyDescent="0.25">
      <c r="A50">
        <v>7250006451</v>
      </c>
      <c r="B50" t="str">
        <v>FORSBERG,JEFFERY</v>
      </c>
    </row>
    <row r="51" spans="1:2" x14ac:dyDescent="0.25">
      <c r="A51">
        <v>7250000354</v>
      </c>
      <c r="B51" t="str">
        <v>SCHULD,RICHARD</v>
      </c>
    </row>
    <row r="52" spans="1:2" x14ac:dyDescent="0.25">
      <c r="A52">
        <v>6240123113</v>
      </c>
      <c r="B52" t="str">
        <v>DUNK,JOSEPH</v>
      </c>
    </row>
    <row r="53" spans="1:2" x14ac:dyDescent="0.25">
      <c r="A53">
        <v>6240125810</v>
      </c>
      <c r="B53" t="str">
        <v>WILLIAMS,JESSICA</v>
      </c>
    </row>
    <row r="54" spans="1:2" x14ac:dyDescent="0.25">
      <c r="A54">
        <v>7240122471</v>
      </c>
      <c r="B54" t="str">
        <v>KARPIEL,SHARON</v>
      </c>
    </row>
    <row r="55" spans="1:2" x14ac:dyDescent="0.25">
      <c r="A55">
        <v>6240135139</v>
      </c>
      <c r="B55" t="str">
        <v>ENSING,RUTH</v>
      </c>
    </row>
    <row r="56" spans="1:2" x14ac:dyDescent="0.25">
      <c r="A56">
        <v>7240116791</v>
      </c>
      <c r="B56" t="str">
        <v>NAHLEY,KAREN</v>
      </c>
    </row>
    <row r="57" spans="1:2" x14ac:dyDescent="0.25">
      <c r="A57">
        <v>7240113999</v>
      </c>
      <c r="B57" t="str">
        <v>SAVOY,KONSTANTINE</v>
      </c>
    </row>
    <row r="58" spans="1:2" x14ac:dyDescent="0.25">
      <c r="A58">
        <v>7240110690</v>
      </c>
      <c r="B58" t="str">
        <v>GALLINA,JOSEPH</v>
      </c>
    </row>
    <row r="59" spans="1:2" x14ac:dyDescent="0.25">
      <c r="A59">
        <v>7240129740</v>
      </c>
      <c r="B59" t="str">
        <v>RODRIGUEZ,TAMARA</v>
      </c>
    </row>
    <row r="60" spans="1:2" x14ac:dyDescent="0.25">
      <c r="A60">
        <v>6240118719</v>
      </c>
      <c r="B60" t="str">
        <v>CRAWFORD,PETER</v>
      </c>
    </row>
    <row r="61" spans="1:2" x14ac:dyDescent="0.25">
      <c r="A61">
        <v>7240119914</v>
      </c>
      <c r="B61" t="str">
        <v>JACKSON,ESTER</v>
      </c>
    </row>
    <row r="62" spans="1:2" x14ac:dyDescent="0.25">
      <c r="A62">
        <v>7240126463</v>
      </c>
      <c r="B62" t="str">
        <v>PIRHOFER,ALAN</v>
      </c>
    </row>
    <row r="63" spans="1:2" x14ac:dyDescent="0.25">
      <c r="A63">
        <v>7240112516</v>
      </c>
      <c r="B63" t="str">
        <v>SPLANT,MARY</v>
      </c>
    </row>
    <row r="64" spans="1:2" x14ac:dyDescent="0.25">
      <c r="A64">
        <v>7240110753</v>
      </c>
      <c r="B64" t="str">
        <v>SHEE,GAYLE</v>
      </c>
    </row>
    <row r="65" spans="1:2" x14ac:dyDescent="0.25">
      <c r="A65">
        <v>7240126613</v>
      </c>
      <c r="B65" t="str">
        <v>GO MEDINA,ANNIE</v>
      </c>
    </row>
    <row r="66" spans="1:2" x14ac:dyDescent="0.25">
      <c r="A66">
        <v>7240125223</v>
      </c>
      <c r="B66" t="str">
        <v>MASELLA,THOMAS</v>
      </c>
    </row>
    <row r="67" spans="1:2" x14ac:dyDescent="0.25">
      <c r="A67">
        <v>7240126623</v>
      </c>
      <c r="B67" t="str">
        <v>MEDINA,LEANDRO</v>
      </c>
    </row>
    <row r="68" spans="1:2" x14ac:dyDescent="0.25">
      <c r="A68">
        <v>6240137471</v>
      </c>
      <c r="B68" t="str">
        <v>OHARA,KELLYE</v>
      </c>
    </row>
    <row r="69" spans="1:2" x14ac:dyDescent="0.25">
      <c r="A69">
        <v>7240112321</v>
      </c>
      <c r="B69" t="str">
        <v>RICHERT,MARCELLA</v>
      </c>
    </row>
    <row r="70" spans="1:2" x14ac:dyDescent="0.25">
      <c r="A70">
        <v>7240112931</v>
      </c>
      <c r="B70" t="str">
        <v>INTILE,CONCETTA</v>
      </c>
    </row>
    <row r="71" spans="1:2" x14ac:dyDescent="0.25">
      <c r="A71">
        <v>7240114243</v>
      </c>
      <c r="B71" t="str">
        <v>ZURAWSKI,SANDRA</v>
      </c>
    </row>
    <row r="72" spans="1:2" x14ac:dyDescent="0.25">
      <c r="A72">
        <v>7240110782</v>
      </c>
      <c r="B72" t="str">
        <v>SHEE,DONALD</v>
      </c>
    </row>
    <row r="73" spans="1:2" x14ac:dyDescent="0.25">
      <c r="A73">
        <v>7240112385</v>
      </c>
      <c r="B73" t="str">
        <v>TYNAN,LAURA</v>
      </c>
    </row>
    <row r="74" spans="1:2" x14ac:dyDescent="0.25">
      <c r="A74">
        <v>7240122919</v>
      </c>
      <c r="B74" t="str">
        <v>CARROLL,ROGER</v>
      </c>
    </row>
    <row r="75" spans="1:2" x14ac:dyDescent="0.25">
      <c r="A75">
        <v>7240112093</v>
      </c>
      <c r="B75" t="str">
        <v>CASSATO,JAMES</v>
      </c>
    </row>
    <row r="76" spans="1:2" x14ac:dyDescent="0.25">
      <c r="A76">
        <v>7240115864</v>
      </c>
      <c r="B76" t="str">
        <v>KAY,DONALD</v>
      </c>
    </row>
    <row r="77" spans="1:2" x14ac:dyDescent="0.25">
      <c r="A77">
        <v>7240114781</v>
      </c>
      <c r="B77" t="str">
        <v>POONOOSAMY,SUSAN</v>
      </c>
    </row>
    <row r="78" spans="1:2" x14ac:dyDescent="0.25">
      <c r="A78">
        <v>7240121170</v>
      </c>
      <c r="B78" t="str">
        <v>TOBIAS,MEIRION</v>
      </c>
    </row>
    <row r="79" spans="1:2" x14ac:dyDescent="0.25">
      <c r="A79">
        <v>7240121167</v>
      </c>
      <c r="B79" t="str">
        <v>HEIN,CATHY</v>
      </c>
    </row>
    <row r="80" spans="1:2" x14ac:dyDescent="0.25">
      <c r="A80">
        <v>7240124010</v>
      </c>
      <c r="B80" t="str">
        <v>FLANAGAN,MICHAEL</v>
      </c>
    </row>
    <row r="81" spans="1:2" x14ac:dyDescent="0.25">
      <c r="A81">
        <v>7240111936</v>
      </c>
      <c r="B81" t="str">
        <v>CROSBY,DONALD</v>
      </c>
    </row>
    <row r="82" spans="1:2" x14ac:dyDescent="0.25">
      <c r="A82">
        <v>7240111561</v>
      </c>
      <c r="B82" t="str">
        <v>MIRASOL,LEONIDAS</v>
      </c>
    </row>
    <row r="83" spans="1:2" x14ac:dyDescent="0.25">
      <c r="A83">
        <v>7240111182</v>
      </c>
      <c r="B83" t="str">
        <v>GROSS,WILLIAM</v>
      </c>
    </row>
    <row r="84" spans="1:2" x14ac:dyDescent="0.25">
      <c r="A84">
        <v>7240114020</v>
      </c>
      <c r="B84" t="str">
        <v>SAVOY,LEAH</v>
      </c>
    </row>
    <row r="85" spans="1:2" x14ac:dyDescent="0.25">
      <c r="A85">
        <v>7240115124</v>
      </c>
      <c r="B85" t="str">
        <v>ETTERS,JEFFREY</v>
      </c>
    </row>
    <row r="86" spans="1:2" x14ac:dyDescent="0.25">
      <c r="A86">
        <v>7240122461</v>
      </c>
      <c r="B86" t="str">
        <v>PHELPS,PHYLLIS</v>
      </c>
    </row>
    <row r="87" spans="1:2" x14ac:dyDescent="0.25">
      <c r="A87">
        <v>6240118764</v>
      </c>
      <c r="B87" t="str">
        <v>CRAWFORD,DEBRA</v>
      </c>
    </row>
    <row r="88" spans="1:2" x14ac:dyDescent="0.25">
      <c r="A88">
        <v>7240115872</v>
      </c>
      <c r="B88" t="str">
        <v>KAY,DENISE</v>
      </c>
    </row>
    <row r="89" spans="1:2" x14ac:dyDescent="0.25">
      <c r="A89">
        <v>7240110570</v>
      </c>
      <c r="B89" t="str">
        <v>RAMSEY,JOHN</v>
      </c>
    </row>
    <row r="90" spans="1:2" x14ac:dyDescent="0.25">
      <c r="A90">
        <v>7240125202</v>
      </c>
      <c r="B90" t="str">
        <v>CRESSY,LAURA</v>
      </c>
    </row>
    <row r="91" spans="1:2" x14ac:dyDescent="0.25">
      <c r="A91">
        <v>6240136594</v>
      </c>
      <c r="B91" t="str">
        <v>CRESSY,JEROME</v>
      </c>
    </row>
    <row r="92" spans="1:2" x14ac:dyDescent="0.25">
      <c r="A92">
        <v>7240122077</v>
      </c>
      <c r="B92" t="str">
        <v>STOCKER,JOSEPHINE</v>
      </c>
    </row>
    <row r="93" spans="1:2" x14ac:dyDescent="0.25">
      <c r="A93">
        <v>7240112327</v>
      </c>
      <c r="B93" t="str">
        <v>SKENDER,LOUIS</v>
      </c>
    </row>
    <row r="94" spans="1:2" x14ac:dyDescent="0.25">
      <c r="A94">
        <v>7240112603</v>
      </c>
      <c r="B94" t="str">
        <v>FORD,DYAN</v>
      </c>
    </row>
    <row r="95" spans="1:2" x14ac:dyDescent="0.25">
      <c r="A95">
        <v>7240101034</v>
      </c>
      <c r="B95" t="str">
        <v>GALLINA,JAMES</v>
      </c>
    </row>
    <row r="96" spans="1:2" x14ac:dyDescent="0.25">
      <c r="A96">
        <v>7240101224</v>
      </c>
      <c r="B96" t="str">
        <v>MCGARY,JOHN</v>
      </c>
    </row>
    <row r="97" spans="1:2" x14ac:dyDescent="0.25">
      <c r="A97">
        <v>7240101268</v>
      </c>
      <c r="B97" t="str">
        <v>PILCHER,TIMOTHY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Commission_Statement_Details_Re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2025-08-13T21:10:15Z</dcterms:modified>
</cp:coreProperties>
</file>