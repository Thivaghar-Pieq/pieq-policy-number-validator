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EC37A6E-72EC-4744-8A86-63398CF30815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_Statement_Details_Re" sheetId="1" r:id="rId1"/>
    <sheet name="bonus" sheetId="2" r:id="rId2"/>
  </sheets>
  <definedNames>
    <definedName name="_xlnm._FilterDatabase" localSheetId="0" hidden="1">Commission_Statement_Details_Re!$A$1:$S$26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22" i="1"/>
  <c r="N15" i="1"/>
  <c r="N17" i="1"/>
  <c r="N20" i="1"/>
  <c r="N13" i="1"/>
  <c r="N14" i="1"/>
  <c r="N6" i="1"/>
  <c r="N2" i="1"/>
  <c r="N7" i="1"/>
  <c r="N12" i="1"/>
  <c r="N19" i="1"/>
  <c r="N25" i="1"/>
  <c r="N4" i="1"/>
  <c r="N23" i="1"/>
  <c r="N3" i="1"/>
  <c r="N10" i="1"/>
  <c r="N24" i="1"/>
  <c r="N21" i="1"/>
  <c r="N18" i="1"/>
  <c r="N16" i="1"/>
  <c r="N26" i="1"/>
  <c r="N5" i="1"/>
  <c r="N8" i="1"/>
  <c r="N9" i="1"/>
</calcChain>
</file>

<file path=xl/sharedStrings.xml><?xml version="1.0" encoding="utf-8"?>
<sst xmlns="http://schemas.openxmlformats.org/spreadsheetml/2006/main" count="299" uniqueCount="69">
  <si>
    <t>Activity For Period Ending</t>
  </si>
  <si>
    <t>Agent Number</t>
  </si>
  <si>
    <t>Agency Number</t>
  </si>
  <si>
    <t>Writing Agent Name</t>
  </si>
  <si>
    <t>Writing Agent Number</t>
  </si>
  <si>
    <t>Policy Number</t>
  </si>
  <si>
    <t>Description</t>
  </si>
  <si>
    <t>Mode</t>
  </si>
  <si>
    <t>Product Type</t>
  </si>
  <si>
    <t>Issue Date</t>
  </si>
  <si>
    <t>Premium</t>
  </si>
  <si>
    <t>Rate</t>
  </si>
  <si>
    <t>Amount</t>
  </si>
  <si>
    <t>Payoff Item not Included in Total</t>
  </si>
  <si>
    <t>Company Code</t>
  </si>
  <si>
    <t>Statement LOB</t>
  </si>
  <si>
    <t>149B0</t>
  </si>
  <si>
    <t>AGL</t>
  </si>
  <si>
    <t>2025-08-08</t>
  </si>
  <si>
    <t>MAIN LINE BENEFITS LLC</t>
  </si>
  <si>
    <t>6</t>
  </si>
  <si>
    <t>*****8192</t>
  </si>
  <si>
    <t>5Q29Q</t>
  </si>
  <si>
    <t>ONE LIFE AMERICA LLC</t>
  </si>
  <si>
    <t>PORTUGAL, GARY</t>
  </si>
  <si>
    <t>MNTHLY</t>
  </si>
  <si>
    <t>Life</t>
  </si>
  <si>
    <t>Term</t>
  </si>
  <si>
    <t/>
  </si>
  <si>
    <t>CALTAGIRONE, RYAN</t>
  </si>
  <si>
    <t>WALENGA, DALE</t>
  </si>
  <si>
    <t>ROLLER, JASON</t>
  </si>
  <si>
    <t>LUSE, ALISON</t>
  </si>
  <si>
    <t>CHOI, ANDREW</t>
  </si>
  <si>
    <t>Miscellaneous Account Activity</t>
  </si>
  <si>
    <t>2Q25 Agt Bonus 14JK2</t>
  </si>
  <si>
    <t>Fixed Index Annuity</t>
  </si>
  <si>
    <t>0.00</t>
  </si>
  <si>
    <t>1000.00</t>
  </si>
  <si>
    <t>0.0000</t>
  </si>
  <si>
    <t>PETRUNGARO, ANDREA</t>
  </si>
  <si>
    <t>SANTOS, RICARDO</t>
  </si>
  <si>
    <t>DEATON, PAMELA</t>
  </si>
  <si>
    <t>DECAUSSIN,JOSEPH</t>
  </si>
  <si>
    <t>GARZA,PAMELA M</t>
  </si>
  <si>
    <t>SCHUTJER,CISSIE</t>
  </si>
  <si>
    <t>MINJARES,MONICA</t>
  </si>
  <si>
    <t>OLSON,DEBORAH</t>
  </si>
  <si>
    <t>PRICE,CLYDE L</t>
  </si>
  <si>
    <t>LOVE,MICHAEL</t>
  </si>
  <si>
    <t>MINJARES,JOE</t>
  </si>
  <si>
    <t>CLIENT,ANDREA</t>
  </si>
  <si>
    <t>AURRICHIO,VITTA</t>
  </si>
  <si>
    <t>CONNOLLY,KEVIN</t>
  </si>
  <si>
    <t>LOVE,MAXINE</t>
  </si>
  <si>
    <t>POWLEDGE,VERONICA A</t>
  </si>
  <si>
    <t>STRAUSS,JULIE</t>
  </si>
  <si>
    <t>BALICKI,SHELLEY</t>
  </si>
  <si>
    <t>STRAUSS,DONALD</t>
  </si>
  <si>
    <t>BARNES,LAVISA</t>
  </si>
  <si>
    <t>CUMMINGS,TERRY</t>
  </si>
  <si>
    <t>Paid to Date</t>
  </si>
  <si>
    <t>months</t>
  </si>
  <si>
    <t>AE</t>
  </si>
  <si>
    <t>AV1</t>
  </si>
  <si>
    <t>paycode</t>
  </si>
  <si>
    <t>Corebridge Guaranteed Issue Whole Life (90)</t>
  </si>
  <si>
    <t>Corebridge SimpliNow Legacy 95</t>
  </si>
  <si>
    <t>Corebridge SimpliNow Legacy Max (137)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</si>
</sst>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8" fontId="0" fillId="0" borderId="0" xfId="0" applyNumberFormat="1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9" fontId="1" fillId="0" borderId="0" xfId="1" applyFont="1"/>
    <xf numFmtId="9" fontId="0" fillId="0" borderId="0" xfId="1" applyFont="1"/>
    <xf numFmtId="9" fontId="0" fillId="2" borderId="0" xfId="1" applyFont="1" applyFill="1"/>
    <xf numFmtId="0" fontId="0" fillId="3" borderId="0" xfId="0" applyFill="1"/>
    <xf numFmtId="14" fontId="0" fillId="3" borderId="0" xfId="0" applyNumberFormat="1" applyFill="1"/>
    <xf numFmtId="9" fontId="0" fillId="3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zoomScale="89" zoomScaleNormal="89" workbookViewId="0">
      <selection activeCell="E33" sqref="E33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42578125" customWidth="1"/>
    <col min="5" max="5" width="20.5703125" customWidth="1"/>
    <col min="6" max="6" width="24.140625" customWidth="1"/>
    <col min="7" max="7" width="20.7109375" customWidth="1"/>
    <col min="8" max="8" width="22.85546875" bestFit="1" customWidth="1"/>
    <col min="9" max="9" width="16.42578125" customWidth="1"/>
    <col min="10" max="10" width="15" customWidth="1"/>
    <col min="11" max="11" width="19" bestFit="1" customWidth="1"/>
    <col min="12" max="12" width="12" customWidth="1"/>
    <col min="13" max="13" width="13.28515625" customWidth="1"/>
    <col min="14" max="14" width="12.5703125" customWidth="1"/>
    <col min="15" max="15" width="17.28515625" customWidth="1"/>
    <col min="16" max="16" width="13.28515625" style="8" customWidth="1"/>
    <col min="17" max="17" width="12.28515625" customWidth="1"/>
    <col min="18" max="18" width="41.5703125" bestFit="1" customWidth="1"/>
  </cols>
  <sheetData>
    <row r="1" spans="1:19" x14ac:dyDescent="0.25">
      <c r="A1" s="1" t="s">
        <v>1</v>
      </c>
      <c r="B1" s="1" t="s">
        <v>14</v>
      </c>
      <c r="C1" s="1" t="s">
        <v>0</v>
      </c>
      <c r="D1" s="2" t="s">
        <v>2</v>
      </c>
      <c r="E1" s="1" t="s">
        <v>4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15</v>
      </c>
      <c r="K1" s="1" t="s">
        <v>8</v>
      </c>
      <c r="L1" s="1" t="s">
        <v>9</v>
      </c>
      <c r="M1" s="1" t="s">
        <v>61</v>
      </c>
      <c r="N1" s="1" t="s">
        <v>62</v>
      </c>
      <c r="O1" s="1" t="s">
        <v>10</v>
      </c>
      <c r="P1" s="7" t="s">
        <v>11</v>
      </c>
      <c r="Q1" s="1" t="s">
        <v>12</v>
      </c>
      <c r="R1" s="1" t="s">
        <v>13</v>
      </c>
      <c r="S1" s="1" t="s">
        <v>65</v>
      </c>
    </row>
    <row r="2" spans="1:19" x14ac:dyDescent="0.25">
      <c r="A2" t="s">
        <v>16</v>
      </c>
      <c r="B2" t="s">
        <v>17</v>
      </c>
      <c r="C2" t="s">
        <v>18</v>
      </c>
      <c r="D2">
        <v>16228684</v>
      </c>
      <c r="E2">
        <v>16228684</v>
      </c>
      <c r="F2" t="s">
        <v>31</v>
      </c>
      <c r="G2">
        <v>7250136480</v>
      </c>
      <c r="H2" t="s">
        <v>52</v>
      </c>
      <c r="I2" t="s">
        <v>25</v>
      </c>
      <c r="J2" t="s">
        <v>26</v>
      </c>
      <c r="K2" t="s">
        <v>27</v>
      </c>
      <c r="L2" s="5">
        <v>45874</v>
      </c>
      <c r="M2" s="5">
        <v>45901</v>
      </c>
      <c r="N2">
        <f t="shared" ref="N2:N26" si="0">DATEDIF(L2,M2,"M")</f>
        <v>0</v>
      </c>
      <c r="O2">
        <v>55.57</v>
      </c>
      <c r="P2" s="8">
        <v>1.37</v>
      </c>
      <c r="Q2">
        <v>76.13</v>
      </c>
      <c r="R2" t="s">
        <v>68</v>
      </c>
      <c r="S2" s="4" t="s">
        <v>63</v>
      </c>
    </row>
    <row r="3" spans="1:19" x14ac:dyDescent="0.25">
      <c r="A3" t="s">
        <v>16</v>
      </c>
      <c r="B3" t="s">
        <v>17</v>
      </c>
      <c r="C3" t="s">
        <v>18</v>
      </c>
      <c r="D3">
        <v>16228684</v>
      </c>
      <c r="E3">
        <v>16228684</v>
      </c>
      <c r="F3" t="s">
        <v>31</v>
      </c>
      <c r="G3">
        <v>7250136480</v>
      </c>
      <c r="H3" t="s">
        <v>52</v>
      </c>
      <c r="I3" t="s">
        <v>25</v>
      </c>
      <c r="J3" t="s">
        <v>26</v>
      </c>
      <c r="K3" t="s">
        <v>27</v>
      </c>
      <c r="L3" s="5">
        <v>45874</v>
      </c>
      <c r="M3" s="5">
        <v>45901</v>
      </c>
      <c r="N3">
        <f t="shared" si="0"/>
        <v>0</v>
      </c>
      <c r="O3">
        <v>2.58</v>
      </c>
      <c r="P3" s="8">
        <v>1.37</v>
      </c>
      <c r="Q3">
        <v>3.53</v>
      </c>
      <c r="R3" t="s">
        <v>68</v>
      </c>
      <c r="S3" s="4" t="s">
        <v>63</v>
      </c>
    </row>
    <row r="4" spans="1:19" x14ac:dyDescent="0.25">
      <c r="A4" s="4" t="s">
        <v>16</v>
      </c>
      <c r="B4" s="4" t="s">
        <v>17</v>
      </c>
      <c r="C4" s="4" t="s">
        <v>18</v>
      </c>
      <c r="D4" s="4">
        <v>8325282</v>
      </c>
      <c r="E4" s="4">
        <v>8325282</v>
      </c>
      <c r="F4" s="4" t="s">
        <v>30</v>
      </c>
      <c r="G4" s="4">
        <v>7240115020</v>
      </c>
      <c r="H4" s="4" t="s">
        <v>57</v>
      </c>
      <c r="I4" s="4" t="s">
        <v>25</v>
      </c>
      <c r="J4" s="4" t="s">
        <v>26</v>
      </c>
      <c r="K4" s="4" t="s">
        <v>27</v>
      </c>
      <c r="L4" s="6">
        <v>45614</v>
      </c>
      <c r="M4" s="6">
        <v>45870</v>
      </c>
      <c r="N4" s="4">
        <f t="shared" si="0"/>
        <v>8</v>
      </c>
      <c r="O4" s="4">
        <v>113.28</v>
      </c>
      <c r="P4" s="9">
        <v>1.37</v>
      </c>
      <c r="Q4" s="4">
        <v>155.19</v>
      </c>
      <c r="R4" s="4" t="s">
        <v>68</v>
      </c>
      <c r="S4" s="4" t="s">
        <v>63</v>
      </c>
    </row>
    <row r="5" spans="1:19" s="4" customFormat="1" x14ac:dyDescent="0.25">
      <c r="A5" t="s">
        <v>16</v>
      </c>
      <c r="B5" t="s">
        <v>17</v>
      </c>
      <c r="C5" t="s">
        <v>18</v>
      </c>
      <c r="D5">
        <v>8977234</v>
      </c>
      <c r="E5">
        <v>8977234</v>
      </c>
      <c r="F5" t="s">
        <v>29</v>
      </c>
      <c r="G5">
        <v>6250116208</v>
      </c>
      <c r="H5" t="s">
        <v>59</v>
      </c>
      <c r="I5" t="s">
        <v>25</v>
      </c>
      <c r="J5" t="s">
        <v>26</v>
      </c>
      <c r="K5" t="s">
        <v>27</v>
      </c>
      <c r="L5" s="5">
        <v>45874</v>
      </c>
      <c r="M5" s="5">
        <v>45901</v>
      </c>
      <c r="N5">
        <f t="shared" si="0"/>
        <v>0</v>
      </c>
      <c r="O5">
        <v>65.42</v>
      </c>
      <c r="P5" s="8">
        <v>0.9</v>
      </c>
      <c r="Q5">
        <v>58.88</v>
      </c>
      <c r="R5" t="s">
        <v>66</v>
      </c>
      <c r="S5" s="4" t="s">
        <v>63</v>
      </c>
    </row>
    <row r="6" spans="1:19" x14ac:dyDescent="0.25">
      <c r="A6" s="4" t="s">
        <v>16</v>
      </c>
      <c r="B6" s="4" t="s">
        <v>17</v>
      </c>
      <c r="C6" s="4" t="s">
        <v>18</v>
      </c>
      <c r="D6" s="4">
        <v>16912722</v>
      </c>
      <c r="E6" s="4">
        <v>16912722</v>
      </c>
      <c r="F6" s="4" t="s">
        <v>40</v>
      </c>
      <c r="G6" s="4">
        <v>7250052846</v>
      </c>
      <c r="H6" s="4" t="s">
        <v>51</v>
      </c>
      <c r="I6" s="4" t="s">
        <v>25</v>
      </c>
      <c r="J6" s="4" t="s">
        <v>26</v>
      </c>
      <c r="K6" s="4" t="s">
        <v>27</v>
      </c>
      <c r="L6" s="6">
        <v>45752</v>
      </c>
      <c r="M6" s="6">
        <v>45870</v>
      </c>
      <c r="N6" s="4">
        <f t="shared" si="0"/>
        <v>3</v>
      </c>
      <c r="O6" s="4">
        <v>95.23</v>
      </c>
      <c r="P6" s="9">
        <v>1.37</v>
      </c>
      <c r="Q6" s="4">
        <v>130.47</v>
      </c>
      <c r="R6" s="4" t="s">
        <v>68</v>
      </c>
      <c r="S6" t="s">
        <v>64</v>
      </c>
    </row>
    <row r="7" spans="1:19" s="4" customFormat="1" x14ac:dyDescent="0.25">
      <c r="A7" s="4" t="s">
        <v>16</v>
      </c>
      <c r="B7" s="4" t="s">
        <v>17</v>
      </c>
      <c r="C7" s="4" t="s">
        <v>18</v>
      </c>
      <c r="D7" s="4">
        <v>7470776</v>
      </c>
      <c r="E7" s="4">
        <v>7470776</v>
      </c>
      <c r="F7" s="4" t="s">
        <v>33</v>
      </c>
      <c r="G7" s="4">
        <v>6250016457</v>
      </c>
      <c r="H7" s="4" t="s">
        <v>53</v>
      </c>
      <c r="I7" s="4" t="s">
        <v>25</v>
      </c>
      <c r="J7" s="4" t="s">
        <v>26</v>
      </c>
      <c r="K7" s="4" t="s">
        <v>27</v>
      </c>
      <c r="L7" s="6">
        <v>45689</v>
      </c>
      <c r="M7" s="6">
        <v>45870</v>
      </c>
      <c r="N7" s="4">
        <f t="shared" si="0"/>
        <v>6</v>
      </c>
      <c r="O7" s="4">
        <v>0</v>
      </c>
      <c r="P7" s="9">
        <v>1</v>
      </c>
      <c r="Q7" s="4">
        <v>-373.5</v>
      </c>
      <c r="R7" s="4" t="s">
        <v>66</v>
      </c>
      <c r="S7" t="s">
        <v>64</v>
      </c>
    </row>
    <row r="8" spans="1:19" s="4" customFormat="1" x14ac:dyDescent="0.25">
      <c r="A8" s="4" t="s">
        <v>16</v>
      </c>
      <c r="B8" s="4" t="s">
        <v>17</v>
      </c>
      <c r="C8" s="4" t="s">
        <v>18</v>
      </c>
      <c r="D8" s="4">
        <v>8244481</v>
      </c>
      <c r="E8" s="4">
        <v>8244481</v>
      </c>
      <c r="F8" s="4" t="s">
        <v>42</v>
      </c>
      <c r="G8" s="4">
        <v>6250018603</v>
      </c>
      <c r="H8" s="4" t="s">
        <v>60</v>
      </c>
      <c r="I8" s="4" t="s">
        <v>25</v>
      </c>
      <c r="J8" s="4" t="s">
        <v>26</v>
      </c>
      <c r="K8" s="4" t="s">
        <v>27</v>
      </c>
      <c r="L8" s="6">
        <v>45692</v>
      </c>
      <c r="M8" s="6">
        <v>45870</v>
      </c>
      <c r="N8" s="4">
        <f t="shared" si="0"/>
        <v>5</v>
      </c>
      <c r="O8" s="4">
        <v>159.29</v>
      </c>
      <c r="P8" s="9">
        <v>0.9</v>
      </c>
      <c r="Q8" s="4">
        <v>143.36000000000001</v>
      </c>
      <c r="R8" s="4" t="s">
        <v>66</v>
      </c>
      <c r="S8" t="s">
        <v>64</v>
      </c>
    </row>
    <row r="9" spans="1:19" s="4" customFormat="1" x14ac:dyDescent="0.25">
      <c r="A9" t="s">
        <v>16</v>
      </c>
      <c r="B9" t="s">
        <v>17</v>
      </c>
      <c r="C9" t="s">
        <v>18</v>
      </c>
      <c r="D9">
        <v>9213293</v>
      </c>
      <c r="E9">
        <v>9213293</v>
      </c>
      <c r="F9" t="s">
        <v>24</v>
      </c>
      <c r="G9">
        <v>7250065133</v>
      </c>
      <c r="H9" t="s">
        <v>43</v>
      </c>
      <c r="I9" t="s">
        <v>25</v>
      </c>
      <c r="J9" t="s">
        <v>26</v>
      </c>
      <c r="K9" t="s">
        <v>27</v>
      </c>
      <c r="L9" s="5">
        <v>45811</v>
      </c>
      <c r="M9" s="5">
        <v>45870</v>
      </c>
      <c r="N9">
        <f t="shared" si="0"/>
        <v>1</v>
      </c>
      <c r="O9">
        <v>81.75</v>
      </c>
      <c r="P9" s="8">
        <v>1.37</v>
      </c>
      <c r="Q9">
        <v>112</v>
      </c>
      <c r="R9" t="s">
        <v>68</v>
      </c>
      <c r="S9" s="4" t="s">
        <v>63</v>
      </c>
    </row>
    <row r="10" spans="1:19" s="4" customFormat="1" x14ac:dyDescent="0.25">
      <c r="A10" t="s">
        <v>16</v>
      </c>
      <c r="B10" t="s">
        <v>17</v>
      </c>
      <c r="C10" t="s">
        <v>18</v>
      </c>
      <c r="D10">
        <v>9213293</v>
      </c>
      <c r="E10">
        <v>9213293</v>
      </c>
      <c r="F10" t="s">
        <v>24</v>
      </c>
      <c r="G10">
        <v>7250065133</v>
      </c>
      <c r="H10" t="s">
        <v>43</v>
      </c>
      <c r="I10" t="s">
        <v>25</v>
      </c>
      <c r="J10" t="s">
        <v>26</v>
      </c>
      <c r="K10" t="s">
        <v>27</v>
      </c>
      <c r="L10" s="5">
        <v>45811</v>
      </c>
      <c r="M10" s="5">
        <v>45870</v>
      </c>
      <c r="N10">
        <f t="shared" si="0"/>
        <v>1</v>
      </c>
      <c r="O10">
        <v>-81.75</v>
      </c>
      <c r="P10" s="8">
        <v>1.37</v>
      </c>
      <c r="Q10">
        <v>-112</v>
      </c>
      <c r="R10" t="s">
        <v>68</v>
      </c>
      <c r="S10" s="4" t="s">
        <v>63</v>
      </c>
    </row>
    <row r="11" spans="1:19" x14ac:dyDescent="0.25">
      <c r="A11" t="s">
        <v>16</v>
      </c>
      <c r="B11" t="s">
        <v>17</v>
      </c>
      <c r="C11" t="s">
        <v>18</v>
      </c>
      <c r="D11">
        <v>9213293</v>
      </c>
      <c r="E11">
        <v>9213293</v>
      </c>
      <c r="F11" t="s">
        <v>24</v>
      </c>
      <c r="G11">
        <v>6250001196</v>
      </c>
      <c r="H11" t="s">
        <v>44</v>
      </c>
      <c r="I11" t="s">
        <v>25</v>
      </c>
      <c r="J11" t="s">
        <v>26</v>
      </c>
      <c r="K11" t="s">
        <v>27</v>
      </c>
      <c r="L11" s="5">
        <v>45660</v>
      </c>
      <c r="M11" s="5">
        <v>45870</v>
      </c>
      <c r="N11">
        <f t="shared" si="0"/>
        <v>6</v>
      </c>
      <c r="O11">
        <v>59.08</v>
      </c>
      <c r="P11" s="8">
        <v>0.9</v>
      </c>
      <c r="Q11">
        <v>53.17</v>
      </c>
      <c r="R11" t="s">
        <v>66</v>
      </c>
      <c r="S11" t="s">
        <v>64</v>
      </c>
    </row>
    <row r="12" spans="1:19" s="4" customFormat="1" x14ac:dyDescent="0.25">
      <c r="A12" s="4" t="s">
        <v>16</v>
      </c>
      <c r="B12" s="4" t="s">
        <v>17</v>
      </c>
      <c r="C12" s="4" t="s">
        <v>18</v>
      </c>
      <c r="D12" s="4">
        <v>7470776</v>
      </c>
      <c r="E12" s="4">
        <v>7470776</v>
      </c>
      <c r="F12" s="4" t="s">
        <v>33</v>
      </c>
      <c r="G12" s="4">
        <v>7240123968</v>
      </c>
      <c r="H12" s="4" t="s">
        <v>54</v>
      </c>
      <c r="I12" s="4" t="s">
        <v>25</v>
      </c>
      <c r="J12" s="4" t="s">
        <v>26</v>
      </c>
      <c r="K12" s="4" t="s">
        <v>27</v>
      </c>
      <c r="L12" s="6">
        <v>45663</v>
      </c>
      <c r="M12" s="6">
        <v>45870</v>
      </c>
      <c r="N12" s="4">
        <f t="shared" si="0"/>
        <v>6</v>
      </c>
      <c r="O12" s="4">
        <v>80.34</v>
      </c>
      <c r="P12" s="9">
        <v>0.94499999999999995</v>
      </c>
      <c r="Q12" s="4">
        <v>75.92</v>
      </c>
      <c r="R12" s="4" t="s">
        <v>67</v>
      </c>
      <c r="S12" t="s">
        <v>64</v>
      </c>
    </row>
    <row r="13" spans="1:19" s="4" customFormat="1" x14ac:dyDescent="0.25">
      <c r="A13" s="4" t="s">
        <v>16</v>
      </c>
      <c r="B13" s="4" t="s">
        <v>17</v>
      </c>
      <c r="C13" s="4" t="s">
        <v>18</v>
      </c>
      <c r="D13" s="4">
        <v>7470776</v>
      </c>
      <c r="E13" s="4">
        <v>7470776</v>
      </c>
      <c r="F13" s="4" t="s">
        <v>33</v>
      </c>
      <c r="G13" s="4">
        <v>7240123973</v>
      </c>
      <c r="H13" s="4" t="s">
        <v>49</v>
      </c>
      <c r="I13" s="4" t="s">
        <v>25</v>
      </c>
      <c r="J13" s="4" t="s">
        <v>26</v>
      </c>
      <c r="K13" s="4" t="s">
        <v>27</v>
      </c>
      <c r="L13" s="6">
        <v>45663</v>
      </c>
      <c r="M13" s="6">
        <v>45870</v>
      </c>
      <c r="N13" s="4">
        <f t="shared" si="0"/>
        <v>6</v>
      </c>
      <c r="O13" s="4">
        <v>85.91</v>
      </c>
      <c r="P13" s="9">
        <v>0.94499999999999995</v>
      </c>
      <c r="Q13" s="4">
        <v>81.180000000000007</v>
      </c>
      <c r="R13" s="4" t="s">
        <v>67</v>
      </c>
      <c r="S13" t="s">
        <v>64</v>
      </c>
    </row>
    <row r="14" spans="1:19" s="4" customFormat="1" x14ac:dyDescent="0.25">
      <c r="A14" s="4" t="s">
        <v>16</v>
      </c>
      <c r="B14" s="4" t="s">
        <v>17</v>
      </c>
      <c r="C14" s="4" t="s">
        <v>18</v>
      </c>
      <c r="D14" s="4">
        <v>8325282</v>
      </c>
      <c r="E14" s="4">
        <v>8325282</v>
      </c>
      <c r="F14" s="4" t="s">
        <v>30</v>
      </c>
      <c r="G14" s="4">
        <v>7240110364</v>
      </c>
      <c r="H14" s="4" t="s">
        <v>50</v>
      </c>
      <c r="I14" s="4" t="s">
        <v>25</v>
      </c>
      <c r="J14" s="4" t="s">
        <v>26</v>
      </c>
      <c r="K14" s="4" t="s">
        <v>27</v>
      </c>
      <c r="L14" s="6">
        <v>45604</v>
      </c>
      <c r="M14" s="6">
        <v>45870</v>
      </c>
      <c r="N14" s="4">
        <f t="shared" si="0"/>
        <v>8</v>
      </c>
      <c r="O14" s="4">
        <v>50.65</v>
      </c>
      <c r="P14" s="9">
        <v>1.37</v>
      </c>
      <c r="Q14" s="4">
        <v>69.39</v>
      </c>
      <c r="R14" s="4" t="s">
        <v>68</v>
      </c>
      <c r="S14" s="4" t="s">
        <v>63</v>
      </c>
    </row>
    <row r="15" spans="1:19" x14ac:dyDescent="0.25">
      <c r="A15" s="4" t="s">
        <v>16</v>
      </c>
      <c r="B15" s="4" t="s">
        <v>17</v>
      </c>
      <c r="C15" s="4" t="s">
        <v>18</v>
      </c>
      <c r="D15" s="4">
        <v>8325282</v>
      </c>
      <c r="E15" s="4">
        <v>8325282</v>
      </c>
      <c r="F15" s="4" t="s">
        <v>30</v>
      </c>
      <c r="G15" s="4">
        <v>7240110349</v>
      </c>
      <c r="H15" s="4" t="s">
        <v>46</v>
      </c>
      <c r="I15" s="4" t="s">
        <v>25</v>
      </c>
      <c r="J15" s="4" t="s">
        <v>26</v>
      </c>
      <c r="K15" s="4" t="s">
        <v>27</v>
      </c>
      <c r="L15" s="6">
        <v>45604</v>
      </c>
      <c r="M15" s="6">
        <v>45870</v>
      </c>
      <c r="N15" s="4">
        <f t="shared" si="0"/>
        <v>8</v>
      </c>
      <c r="O15" s="4">
        <v>25.33</v>
      </c>
      <c r="P15" s="9">
        <v>1.37</v>
      </c>
      <c r="Q15" s="4">
        <v>0.02</v>
      </c>
      <c r="R15" s="4" t="s">
        <v>68</v>
      </c>
      <c r="S15" s="4" t="s">
        <v>63</v>
      </c>
    </row>
    <row r="16" spans="1:19" s="4" customFormat="1" x14ac:dyDescent="0.25">
      <c r="A16" s="4" t="s">
        <v>16</v>
      </c>
      <c r="B16" s="4" t="s">
        <v>17</v>
      </c>
      <c r="C16" s="4" t="s">
        <v>18</v>
      </c>
      <c r="D16" s="4">
        <v>8325282</v>
      </c>
      <c r="E16" s="4">
        <v>8325282</v>
      </c>
      <c r="F16" s="4" t="s">
        <v>30</v>
      </c>
      <c r="G16" s="4">
        <v>7240110349</v>
      </c>
      <c r="H16" s="4" t="s">
        <v>46</v>
      </c>
      <c r="I16" s="4" t="s">
        <v>25</v>
      </c>
      <c r="J16" s="4" t="s">
        <v>26</v>
      </c>
      <c r="K16" s="4" t="s">
        <v>27</v>
      </c>
      <c r="L16" s="6">
        <v>45604</v>
      </c>
      <c r="M16" s="6">
        <v>45870</v>
      </c>
      <c r="N16" s="4">
        <f t="shared" si="0"/>
        <v>8</v>
      </c>
      <c r="O16" s="4">
        <v>25.33</v>
      </c>
      <c r="P16" s="9">
        <v>1.37</v>
      </c>
      <c r="Q16" s="4">
        <v>34.68</v>
      </c>
      <c r="R16" s="4" t="s">
        <v>68</v>
      </c>
      <c r="S16" s="4" t="s">
        <v>63</v>
      </c>
    </row>
    <row r="17" spans="1:19" x14ac:dyDescent="0.25">
      <c r="A17" t="s">
        <v>16</v>
      </c>
      <c r="B17" t="s">
        <v>17</v>
      </c>
      <c r="C17" t="s">
        <v>18</v>
      </c>
      <c r="D17">
        <v>16228684</v>
      </c>
      <c r="E17">
        <v>16228684</v>
      </c>
      <c r="F17" t="s">
        <v>31</v>
      </c>
      <c r="G17">
        <v>7250133944</v>
      </c>
      <c r="H17" t="s">
        <v>47</v>
      </c>
      <c r="I17" t="s">
        <v>25</v>
      </c>
      <c r="J17" t="s">
        <v>26</v>
      </c>
      <c r="K17" t="s">
        <v>27</v>
      </c>
      <c r="L17" s="5">
        <v>45873</v>
      </c>
      <c r="M17" s="5">
        <v>45901</v>
      </c>
      <c r="N17">
        <f t="shared" si="0"/>
        <v>0</v>
      </c>
      <c r="O17">
        <v>6.83</v>
      </c>
      <c r="P17" s="8">
        <v>1.37</v>
      </c>
      <c r="Q17">
        <v>9.36</v>
      </c>
      <c r="R17" t="s">
        <v>68</v>
      </c>
      <c r="S17" s="4" t="s">
        <v>63</v>
      </c>
    </row>
    <row r="18" spans="1:19" x14ac:dyDescent="0.25">
      <c r="A18" t="s">
        <v>16</v>
      </c>
      <c r="B18" t="s">
        <v>17</v>
      </c>
      <c r="C18" t="s">
        <v>18</v>
      </c>
      <c r="D18">
        <v>16228684</v>
      </c>
      <c r="E18">
        <v>16228684</v>
      </c>
      <c r="F18" t="s">
        <v>31</v>
      </c>
      <c r="G18">
        <v>7250133944</v>
      </c>
      <c r="H18" t="s">
        <v>47</v>
      </c>
      <c r="I18" t="s">
        <v>25</v>
      </c>
      <c r="J18" t="s">
        <v>26</v>
      </c>
      <c r="K18" t="s">
        <v>27</v>
      </c>
      <c r="L18" s="5">
        <v>45873</v>
      </c>
      <c r="M18" s="5">
        <v>45901</v>
      </c>
      <c r="N18">
        <f t="shared" si="0"/>
        <v>0</v>
      </c>
      <c r="O18">
        <v>140.80000000000001</v>
      </c>
      <c r="P18" s="8">
        <v>1.37</v>
      </c>
      <c r="Q18">
        <v>192.9</v>
      </c>
      <c r="R18" t="s">
        <v>68</v>
      </c>
      <c r="S18" s="4" t="s">
        <v>63</v>
      </c>
    </row>
    <row r="19" spans="1:19" x14ac:dyDescent="0.25">
      <c r="A19" s="4" t="s">
        <v>16</v>
      </c>
      <c r="B19" s="4" t="s">
        <v>17</v>
      </c>
      <c r="C19" s="4" t="s">
        <v>18</v>
      </c>
      <c r="D19" s="4">
        <v>19200754</v>
      </c>
      <c r="E19" s="4">
        <v>19200754</v>
      </c>
      <c r="F19" s="4" t="s">
        <v>41</v>
      </c>
      <c r="G19" s="4">
        <v>6250030658</v>
      </c>
      <c r="H19" s="4" t="s">
        <v>55</v>
      </c>
      <c r="I19" s="4" t="s">
        <v>25</v>
      </c>
      <c r="J19" s="4" t="s">
        <v>26</v>
      </c>
      <c r="K19" s="4" t="s">
        <v>27</v>
      </c>
      <c r="L19" s="6">
        <v>45721</v>
      </c>
      <c r="M19" s="6">
        <v>45870</v>
      </c>
      <c r="N19" s="4">
        <f t="shared" si="0"/>
        <v>4</v>
      </c>
      <c r="O19" s="4">
        <v>80.39</v>
      </c>
      <c r="P19" s="9">
        <v>0.9</v>
      </c>
      <c r="Q19" s="4">
        <v>72.349999999999994</v>
      </c>
      <c r="R19" s="4" t="s">
        <v>66</v>
      </c>
      <c r="S19" t="s">
        <v>64</v>
      </c>
    </row>
    <row r="20" spans="1:19" x14ac:dyDescent="0.25">
      <c r="A20" s="4" t="s">
        <v>16</v>
      </c>
      <c r="B20" s="4" t="s">
        <v>17</v>
      </c>
      <c r="C20" s="4" t="s">
        <v>18</v>
      </c>
      <c r="D20" s="4">
        <v>9254978</v>
      </c>
      <c r="E20" s="4">
        <v>9254978</v>
      </c>
      <c r="F20" s="4" t="s">
        <v>32</v>
      </c>
      <c r="G20" s="4">
        <v>6240108155</v>
      </c>
      <c r="H20" s="4" t="s">
        <v>48</v>
      </c>
      <c r="I20" s="4" t="s">
        <v>25</v>
      </c>
      <c r="J20" s="4" t="s">
        <v>26</v>
      </c>
      <c r="K20" s="4" t="s">
        <v>27</v>
      </c>
      <c r="L20" s="6">
        <v>45603</v>
      </c>
      <c r="M20" s="6">
        <v>45870</v>
      </c>
      <c r="N20" s="4">
        <f t="shared" si="0"/>
        <v>8</v>
      </c>
      <c r="O20" s="4">
        <v>88.47</v>
      </c>
      <c r="P20" s="9">
        <v>0.9</v>
      </c>
      <c r="Q20" s="4">
        <v>79.59</v>
      </c>
      <c r="R20" s="4" t="s">
        <v>66</v>
      </c>
      <c r="S20" s="4" t="s">
        <v>63</v>
      </c>
    </row>
    <row r="21" spans="1:19" s="4" customFormat="1" x14ac:dyDescent="0.25">
      <c r="A21" s="4" t="s">
        <v>16</v>
      </c>
      <c r="B21" s="4" t="s">
        <v>17</v>
      </c>
      <c r="C21" s="4" t="s">
        <v>18</v>
      </c>
      <c r="D21" s="4">
        <v>9254978</v>
      </c>
      <c r="E21" s="4">
        <v>9254978</v>
      </c>
      <c r="F21" s="4" t="s">
        <v>32</v>
      </c>
      <c r="G21" s="4">
        <v>6240108155</v>
      </c>
      <c r="H21" s="4" t="s">
        <v>48</v>
      </c>
      <c r="I21" s="4" t="s">
        <v>25</v>
      </c>
      <c r="J21" s="4" t="s">
        <v>26</v>
      </c>
      <c r="K21" s="4" t="s">
        <v>27</v>
      </c>
      <c r="L21" s="6">
        <v>45603</v>
      </c>
      <c r="M21" s="6">
        <v>45870</v>
      </c>
      <c r="N21" s="4">
        <f t="shared" si="0"/>
        <v>8</v>
      </c>
      <c r="O21" s="4">
        <v>88.47</v>
      </c>
      <c r="P21" s="9">
        <v>0.9</v>
      </c>
      <c r="Q21" s="4">
        <v>0.03</v>
      </c>
      <c r="R21" s="4" t="s">
        <v>66</v>
      </c>
      <c r="S21" s="4" t="s">
        <v>63</v>
      </c>
    </row>
    <row r="22" spans="1:19" s="10" customFormat="1" x14ac:dyDescent="0.25">
      <c r="A22" s="10" t="s">
        <v>16</v>
      </c>
      <c r="B22" s="10" t="s">
        <v>17</v>
      </c>
      <c r="C22" s="10" t="s">
        <v>18</v>
      </c>
      <c r="D22" s="10">
        <v>8977234</v>
      </c>
      <c r="E22" s="10">
        <v>8977234</v>
      </c>
      <c r="F22" s="10" t="s">
        <v>29</v>
      </c>
      <c r="G22" s="10">
        <v>6250100038</v>
      </c>
      <c r="H22" s="10" t="s">
        <v>45</v>
      </c>
      <c r="I22" s="10" t="s">
        <v>25</v>
      </c>
      <c r="J22" s="10" t="s">
        <v>26</v>
      </c>
      <c r="K22" s="10" t="s">
        <v>27</v>
      </c>
      <c r="L22" s="11">
        <v>45841</v>
      </c>
      <c r="M22" s="11">
        <v>45870</v>
      </c>
      <c r="N22" s="10">
        <f t="shared" si="0"/>
        <v>0</v>
      </c>
      <c r="O22" s="10">
        <v>65.42</v>
      </c>
      <c r="P22" s="12">
        <v>0.9</v>
      </c>
      <c r="Q22" s="10">
        <v>58.88</v>
      </c>
      <c r="R22" s="10" t="s">
        <v>66</v>
      </c>
      <c r="S22" s="10" t="s">
        <v>63</v>
      </c>
    </row>
    <row r="23" spans="1:19" s="4" customFormat="1" x14ac:dyDescent="0.25">
      <c r="A23" t="s">
        <v>16</v>
      </c>
      <c r="B23" t="s">
        <v>17</v>
      </c>
      <c r="C23" t="s">
        <v>18</v>
      </c>
      <c r="D23">
        <v>16228684</v>
      </c>
      <c r="E23">
        <v>16228684</v>
      </c>
      <c r="F23" t="s">
        <v>31</v>
      </c>
      <c r="G23">
        <v>7250131554</v>
      </c>
      <c r="H23" t="s">
        <v>58</v>
      </c>
      <c r="I23" t="s">
        <v>25</v>
      </c>
      <c r="J23" t="s">
        <v>26</v>
      </c>
      <c r="K23" t="s">
        <v>27</v>
      </c>
      <c r="L23" s="5">
        <v>45874</v>
      </c>
      <c r="M23" s="5">
        <v>45901</v>
      </c>
      <c r="N23">
        <f t="shared" si="0"/>
        <v>0</v>
      </c>
      <c r="O23">
        <v>108.77</v>
      </c>
      <c r="P23" s="8">
        <v>1.37</v>
      </c>
      <c r="Q23">
        <v>149.01</v>
      </c>
      <c r="R23" t="s">
        <v>68</v>
      </c>
      <c r="S23" s="4" t="s">
        <v>63</v>
      </c>
    </row>
    <row r="24" spans="1:19" x14ac:dyDescent="0.25">
      <c r="A24" t="s">
        <v>16</v>
      </c>
      <c r="B24" t="s">
        <v>17</v>
      </c>
      <c r="C24" t="s">
        <v>18</v>
      </c>
      <c r="D24">
        <v>16228684</v>
      </c>
      <c r="E24">
        <v>16228684</v>
      </c>
      <c r="F24" t="s">
        <v>31</v>
      </c>
      <c r="G24">
        <v>7250131554</v>
      </c>
      <c r="H24" t="s">
        <v>58</v>
      </c>
      <c r="I24" t="s">
        <v>25</v>
      </c>
      <c r="J24" t="s">
        <v>26</v>
      </c>
      <c r="K24" t="s">
        <v>27</v>
      </c>
      <c r="L24" s="5">
        <v>45874</v>
      </c>
      <c r="M24" s="5">
        <v>45901</v>
      </c>
      <c r="N24">
        <f t="shared" si="0"/>
        <v>0</v>
      </c>
      <c r="O24">
        <v>3.75</v>
      </c>
      <c r="P24" s="8">
        <v>1.37</v>
      </c>
      <c r="Q24">
        <v>5.14</v>
      </c>
      <c r="R24" t="s">
        <v>68</v>
      </c>
      <c r="S24" s="4" t="s">
        <v>63</v>
      </c>
    </row>
    <row r="25" spans="1:19" x14ac:dyDescent="0.25">
      <c r="A25" t="s">
        <v>16</v>
      </c>
      <c r="B25" t="s">
        <v>17</v>
      </c>
      <c r="C25" t="s">
        <v>18</v>
      </c>
      <c r="D25">
        <v>16228684</v>
      </c>
      <c r="E25">
        <v>16228684</v>
      </c>
      <c r="F25" t="s">
        <v>31</v>
      </c>
      <c r="G25">
        <v>7250131524</v>
      </c>
      <c r="H25" t="s">
        <v>56</v>
      </c>
      <c r="I25" t="s">
        <v>25</v>
      </c>
      <c r="J25" t="s">
        <v>26</v>
      </c>
      <c r="K25" t="s">
        <v>27</v>
      </c>
      <c r="L25" s="5">
        <v>45874</v>
      </c>
      <c r="M25" s="5">
        <v>45901</v>
      </c>
      <c r="N25">
        <f t="shared" si="0"/>
        <v>0</v>
      </c>
      <c r="O25">
        <v>124.76</v>
      </c>
      <c r="P25" s="8">
        <v>1.37</v>
      </c>
      <c r="Q25">
        <v>170.92</v>
      </c>
      <c r="R25" t="s">
        <v>68</v>
      </c>
      <c r="S25" s="4" t="s">
        <v>63</v>
      </c>
    </row>
    <row r="26" spans="1:19" s="4" customFormat="1" x14ac:dyDescent="0.25">
      <c r="A26" t="s">
        <v>16</v>
      </c>
      <c r="B26" t="s">
        <v>17</v>
      </c>
      <c r="C26" t="s">
        <v>18</v>
      </c>
      <c r="D26">
        <v>16228684</v>
      </c>
      <c r="E26">
        <v>16228684</v>
      </c>
      <c r="F26" t="s">
        <v>31</v>
      </c>
      <c r="G26">
        <v>7250131524</v>
      </c>
      <c r="H26" t="s">
        <v>56</v>
      </c>
      <c r="I26" t="s">
        <v>25</v>
      </c>
      <c r="J26" t="s">
        <v>26</v>
      </c>
      <c r="K26" t="s">
        <v>27</v>
      </c>
      <c r="L26" s="5">
        <v>45874</v>
      </c>
      <c r="M26" s="5">
        <v>45901</v>
      </c>
      <c r="N26">
        <f t="shared" si="0"/>
        <v>0</v>
      </c>
      <c r="O26">
        <v>6.21</v>
      </c>
      <c r="P26" s="8">
        <v>1.37</v>
      </c>
      <c r="Q26">
        <v>8.51</v>
      </c>
      <c r="R26" t="s">
        <v>68</v>
      </c>
      <c r="S26" s="4" t="s">
        <v>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1B78-FE72-4D81-91FA-A8EC69A6CF69}">
  <dimension ref="A1:AE1"/>
  <sheetViews>
    <sheetView workbookViewId="0">
      <selection sqref="A1:XFD1"/>
    </sheetView>
  </sheetViews>
  <sheetFormatPr defaultRowHeight="15" x14ac:dyDescent="0.25"/>
  <sheetData>
    <row r="1" spans="1:31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16</v>
      </c>
      <c r="J1" t="s">
        <v>28</v>
      </c>
      <c r="K1" t="s">
        <v>34</v>
      </c>
      <c r="L1" t="s">
        <v>28</v>
      </c>
      <c r="M1" t="s">
        <v>35</v>
      </c>
      <c r="N1" t="s">
        <v>28</v>
      </c>
      <c r="O1" t="s">
        <v>28</v>
      </c>
      <c r="P1" t="s">
        <v>36</v>
      </c>
      <c r="Q1" t="s">
        <v>28</v>
      </c>
      <c r="R1" t="s">
        <v>28</v>
      </c>
      <c r="S1" t="s">
        <v>28</v>
      </c>
      <c r="T1" t="s">
        <v>37</v>
      </c>
      <c r="U1" s="3" t="s">
        <v>38</v>
      </c>
      <c r="V1" t="s">
        <v>39</v>
      </c>
      <c r="W1">
        <v>1000</v>
      </c>
      <c r="X1" t="s">
        <v>28</v>
      </c>
      <c r="Y1" t="s">
        <v>28</v>
      </c>
      <c r="Z1" t="s">
        <v>28</v>
      </c>
      <c r="AA1" t="s">
        <v>28</v>
      </c>
      <c r="AB1" t="s">
        <v>28</v>
      </c>
      <c r="AC1" t="s">
        <v>28</v>
      </c>
      <c r="AD1" t="s">
        <v>19</v>
      </c>
      <c r="AE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2025-09-25T20:30:17Z</dcterms:modified>
</cp:coreProperties>
</file>