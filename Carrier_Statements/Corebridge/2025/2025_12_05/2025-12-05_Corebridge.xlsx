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19BCBB-820A-4D3E-A898-959ADFE1C852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mmission_Statement_Details_Re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K2" i="2" l="1"/>
  <c r="K53" i="2"/>
  <c r="K61" i="2"/>
  <c r="K29" i="2"/>
  <c r="K13" i="2"/>
  <c r="K43" i="2"/>
  <c r="K78" i="2"/>
  <c r="K5" i="2"/>
  <c r="K54" i="2"/>
  <c r="K30" i="2"/>
  <c r="K74" i="2"/>
  <c r="K17" i="2"/>
  <c r="K24" i="2"/>
  <c r="K77" i="2"/>
  <c r="K62" i="2"/>
  <c r="K63" i="2"/>
  <c r="K8" i="2"/>
  <c r="K55" i="2"/>
  <c r="K14" i="2"/>
  <c r="K18" i="2"/>
  <c r="K46" i="2"/>
  <c r="K10" i="2"/>
  <c r="K64" i="2"/>
  <c r="K21" i="2"/>
  <c r="K52" i="2"/>
  <c r="K71" i="2"/>
  <c r="K56" i="2"/>
  <c r="K39" i="2"/>
  <c r="K31" i="2"/>
  <c r="K57" i="2"/>
  <c r="K32" i="2"/>
  <c r="K23" i="2"/>
  <c r="K65" i="2"/>
  <c r="K33" i="2"/>
  <c r="K66" i="2"/>
  <c r="K58" i="2"/>
  <c r="K3" i="2"/>
  <c r="K19" i="2"/>
  <c r="K50" i="2"/>
  <c r="K16" i="2"/>
  <c r="K20" i="2"/>
  <c r="K67" i="2"/>
  <c r="K9" i="2"/>
  <c r="K34" i="2"/>
  <c r="K40" i="2"/>
  <c r="K35" i="2"/>
  <c r="K59" i="2"/>
  <c r="K49" i="2"/>
  <c r="K12" i="2"/>
  <c r="K42" i="2"/>
  <c r="K36" i="2"/>
  <c r="K7" i="2"/>
  <c r="K73" i="2"/>
  <c r="K15" i="2"/>
  <c r="K48" i="2"/>
  <c r="K25" i="2"/>
  <c r="K4" i="2"/>
  <c r="K68" i="2"/>
  <c r="K60" i="2"/>
  <c r="K41" i="2"/>
  <c r="K45" i="2"/>
  <c r="K6" i="2"/>
  <c r="K69" i="2"/>
  <c r="K26" i="2"/>
  <c r="K44" i="2"/>
  <c r="K27" i="2"/>
  <c r="K11" i="2"/>
  <c r="K75" i="2"/>
  <c r="K51" i="2"/>
  <c r="K37" i="2"/>
  <c r="K38" i="2"/>
  <c r="K22" i="2"/>
  <c r="K76" i="2"/>
  <c r="K47" i="2"/>
  <c r="K70" i="2"/>
  <c r="K72" i="2"/>
  <c r="K28" i="2"/>
</calcChain>
</file>

<file path=xl/sharedStrings.xml><?xml version="1.0" encoding="utf-8"?>
<sst xmlns="http://schemas.openxmlformats.org/spreadsheetml/2006/main" count="3126" uniqueCount="447">
  <si>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</si>
  <si>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</si>
  <si>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</si>
  <si>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</si>
  <si>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</si>
  <si>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</si>
  <si>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</si>
  <si>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</si>
  <si>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</si>
  <si>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</si>
  <si>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</si>
  <si>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</si>
  <si>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</si>
  <si>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</si>
  <si>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</si>
  <si>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</si>
  <si>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</si>
  <si>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</si>
  <si>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</si>
  <si>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</si>
  <si>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</si>
  <si>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</si>
  <si>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</si>
  <si>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</si>
  <si>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</si>
  <si>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</si>
  <si>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</si>
  <si>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</si>
  <si>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</si>
  <si>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</si>
  <si>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</si>
  <si>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</si>
  <si>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</si>
  <si>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</si>
  <si>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2025-12-05</t>
  </si>
  <si>
    <t>MAIN LINE BENEFITS LLC</t>
  </si>
  <si>
    <t>6</t>
  </si>
  <si>
    <t>*****8192</t>
  </si>
  <si>
    <t>5Q29Q</t>
  </si>
  <si>
    <t>HEARTLAND FINANCIAL GROUP LLC</t>
  </si>
  <si>
    <t>14JK2</t>
  </si>
  <si>
    <t>CHOI, ANDREW</t>
  </si>
  <si>
    <t>Overwrite Activity</t>
  </si>
  <si>
    <t>6250016471</t>
  </si>
  <si>
    <t>CONNOLLY</t>
  </si>
  <si>
    <t>MNTHLY</t>
  </si>
  <si>
    <t>Life</t>
  </si>
  <si>
    <t>Term</t>
  </si>
  <si>
    <t>2025-02-01</t>
  </si>
  <si>
    <t>100.00</t>
  </si>
  <si>
    <t>60.02</t>
  </si>
  <si>
    <t>0.9000</t>
  </si>
  <si>
    <t>54.02</t>
  </si>
  <si>
    <t/>
  </si>
  <si>
    <t>7250197617</t>
  </si>
  <si>
    <t>WALEWANDER</t>
  </si>
  <si>
    <t>2025-11-01</t>
  </si>
  <si>
    <t>102.00</t>
  </si>
  <si>
    <t>1.3700</t>
  </si>
  <si>
    <t>139.74</t>
  </si>
  <si>
    <t>1FJU8</t>
  </si>
  <si>
    <t>ROLLER, JASON</t>
  </si>
  <si>
    <t>7250131524</t>
  </si>
  <si>
    <t>STRAUSS</t>
  </si>
  <si>
    <t>2025-08-05</t>
  </si>
  <si>
    <t>124.76</t>
  </si>
  <si>
    <t>170.92</t>
  </si>
  <si>
    <t>7250129739</t>
  </si>
  <si>
    <t>KOZA</t>
  </si>
  <si>
    <t>2025-08-01</t>
  </si>
  <si>
    <t>70.58</t>
  </si>
  <si>
    <t>96.69</t>
  </si>
  <si>
    <t>7240122461</t>
  </si>
  <si>
    <t>PHELPS</t>
  </si>
  <si>
    <t>2025-01-01</t>
  </si>
  <si>
    <t>81.52</t>
  </si>
  <si>
    <t>111.68</t>
  </si>
  <si>
    <t>7250070948</t>
  </si>
  <si>
    <t>DICKSON</t>
  </si>
  <si>
    <t>2025-06-01</t>
  </si>
  <si>
    <t>75.98</t>
  </si>
  <si>
    <t>104.09</t>
  </si>
  <si>
    <t>7240101034</t>
  </si>
  <si>
    <t>GALLINA</t>
  </si>
  <si>
    <t>2024-12-01</t>
  </si>
  <si>
    <t>106.65</t>
  </si>
  <si>
    <t>0.0600</t>
  </si>
  <si>
    <t>6.40</t>
  </si>
  <si>
    <t>14MK0</t>
  </si>
  <si>
    <t>PORTUGAL, GARY</t>
  </si>
  <si>
    <t>6250001196</t>
  </si>
  <si>
    <t>GARZA</t>
  </si>
  <si>
    <t>2025-01-03</t>
  </si>
  <si>
    <t>59.08</t>
  </si>
  <si>
    <t>53.17</t>
  </si>
  <si>
    <t>6250172656</t>
  </si>
  <si>
    <t>GAWAT</t>
  </si>
  <si>
    <t>112.77</t>
  </si>
  <si>
    <t>101.49</t>
  </si>
  <si>
    <t>6.21</t>
  </si>
  <si>
    <t>8.51</t>
  </si>
  <si>
    <t>7240121170</t>
  </si>
  <si>
    <t>TOBIAS</t>
  </si>
  <si>
    <t>93.43</t>
  </si>
  <si>
    <t>128.00</t>
  </si>
  <si>
    <t>14JWQ</t>
  </si>
  <si>
    <t>CALTAGIRONE, RYAN</t>
  </si>
  <si>
    <t>7250055031</t>
  </si>
  <si>
    <t>KUDRNA</t>
  </si>
  <si>
    <t>2025-05-01</t>
  </si>
  <si>
    <t>122.53</t>
  </si>
  <si>
    <t>167.87</t>
  </si>
  <si>
    <t>7250037352</t>
  </si>
  <si>
    <t>WEISS</t>
  </si>
  <si>
    <t>2025-04-01</t>
  </si>
  <si>
    <t>101.26</t>
  </si>
  <si>
    <t>138.73</t>
  </si>
  <si>
    <t>7250000354</t>
  </si>
  <si>
    <t>SCHULD</t>
  </si>
  <si>
    <t>113.46</t>
  </si>
  <si>
    <t>155.44</t>
  </si>
  <si>
    <t>6250063528</t>
  </si>
  <si>
    <t>HAPNER</t>
  </si>
  <si>
    <t>71.91</t>
  </si>
  <si>
    <t>64.72</t>
  </si>
  <si>
    <t>7250147909</t>
  </si>
  <si>
    <t>WESTMORELAND</t>
  </si>
  <si>
    <t>2025-08-13</t>
  </si>
  <si>
    <t>81.57</t>
  </si>
  <si>
    <t>111.75</t>
  </si>
  <si>
    <t>7250128516</t>
  </si>
  <si>
    <t>BROOKS</t>
  </si>
  <si>
    <t>8.20</t>
  </si>
  <si>
    <t>11.23</t>
  </si>
  <si>
    <t>1818X</t>
  </si>
  <si>
    <t>HUNSBERGER, ANTHONY</t>
  </si>
  <si>
    <t>6250134171</t>
  </si>
  <si>
    <t>OUTLAW</t>
  </si>
  <si>
    <t>2025-08-28</t>
  </si>
  <si>
    <t>78.58</t>
  </si>
  <si>
    <t>70.72</t>
  </si>
  <si>
    <t>7250133944</t>
  </si>
  <si>
    <t>OLSON</t>
  </si>
  <si>
    <t>2025-08-04</t>
  </si>
  <si>
    <t>6.83</t>
  </si>
  <si>
    <t>9.36</t>
  </si>
  <si>
    <t>7250060334</t>
  </si>
  <si>
    <t>HIVON</t>
  </si>
  <si>
    <t>91.00</t>
  </si>
  <si>
    <t>124.67</t>
  </si>
  <si>
    <t>7250037369</t>
  </si>
  <si>
    <t>103.78</t>
  </si>
  <si>
    <t>142.18</t>
  </si>
  <si>
    <t>7250249604</t>
  </si>
  <si>
    <t>WEBER</t>
  </si>
  <si>
    <t>ANNUAL</t>
  </si>
  <si>
    <t>65.10</t>
  </si>
  <si>
    <t>89.19</t>
  </si>
  <si>
    <t>7250123977</t>
  </si>
  <si>
    <t>SPASO</t>
  </si>
  <si>
    <t>102.96</t>
  </si>
  <si>
    <t>141.06</t>
  </si>
  <si>
    <t>7250132001</t>
  </si>
  <si>
    <t>DAVEY</t>
  </si>
  <si>
    <t>77.60</t>
  </si>
  <si>
    <t>106.31</t>
  </si>
  <si>
    <t>14JT4</t>
  </si>
  <si>
    <t>WALENGA, DALE</t>
  </si>
  <si>
    <t>7250043503</t>
  </si>
  <si>
    <t>SCIARRONE</t>
  </si>
  <si>
    <t>125.22</t>
  </si>
  <si>
    <t>171.55</t>
  </si>
  <si>
    <t>1FGJ5</t>
  </si>
  <si>
    <t>BRANDT, STEVEN</t>
  </si>
  <si>
    <t>7250152061</t>
  </si>
  <si>
    <t>MCCLELLAN</t>
  </si>
  <si>
    <t>2025-09-01</t>
  </si>
  <si>
    <t>61.81</t>
  </si>
  <si>
    <t>84.68</t>
  </si>
  <si>
    <t>7250129238</t>
  </si>
  <si>
    <t>178.00</t>
  </si>
  <si>
    <t>0.9450</t>
  </si>
  <si>
    <t>168.21</t>
  </si>
  <si>
    <t>7250136480</t>
  </si>
  <si>
    <t>AURRICHIO</t>
  </si>
  <si>
    <t>2.58</t>
  </si>
  <si>
    <t>3.53</t>
  </si>
  <si>
    <t>7240129740</t>
  </si>
  <si>
    <t>RODRIGUEZ</t>
  </si>
  <si>
    <t>132.10</t>
  </si>
  <si>
    <t>124.83</t>
  </si>
  <si>
    <t>7240119914</t>
  </si>
  <si>
    <t>JACKSON</t>
  </si>
  <si>
    <t>78.10</t>
  </si>
  <si>
    <t>107.00</t>
  </si>
  <si>
    <t>140.80</t>
  </si>
  <si>
    <t>192.90</t>
  </si>
  <si>
    <t>7240124010</t>
  </si>
  <si>
    <t>FLANAGAN</t>
  </si>
  <si>
    <t>45.93</t>
  </si>
  <si>
    <t>62.92</t>
  </si>
  <si>
    <t>1751B</t>
  </si>
  <si>
    <t>DEATON, PAMELA</t>
  </si>
  <si>
    <t>6250018603</t>
  </si>
  <si>
    <t>CUMMINGS</t>
  </si>
  <si>
    <t>2025-02-04</t>
  </si>
  <si>
    <t>159.29</t>
  </si>
  <si>
    <t>143.36</t>
  </si>
  <si>
    <t>7250128521</t>
  </si>
  <si>
    <t>FITZSIMMONS</t>
  </si>
  <si>
    <t>98.09</t>
  </si>
  <si>
    <t>134.38</t>
  </si>
  <si>
    <t>7240122919</t>
  </si>
  <si>
    <t>CARROLL</t>
  </si>
  <si>
    <t>73.79</t>
  </si>
  <si>
    <t>101.09</t>
  </si>
  <si>
    <t>3.92</t>
  </si>
  <si>
    <t>5.37</t>
  </si>
  <si>
    <t>7250131554</t>
  </si>
  <si>
    <t>108.77</t>
  </si>
  <si>
    <t>149.01</t>
  </si>
  <si>
    <t>7250200941</t>
  </si>
  <si>
    <t>PURCELL</t>
  </si>
  <si>
    <t>101.60</t>
  </si>
  <si>
    <t>139.19</t>
  </si>
  <si>
    <t>7250036244</t>
  </si>
  <si>
    <t>RUSNAK</t>
  </si>
  <si>
    <t>82.75</t>
  </si>
  <si>
    <t>113.37</t>
  </si>
  <si>
    <t>7250186205</t>
  </si>
  <si>
    <t>GARY</t>
  </si>
  <si>
    <t>2025-10-02</t>
  </si>
  <si>
    <t>29.60</t>
  </si>
  <si>
    <t>27.97</t>
  </si>
  <si>
    <t>14NG1</t>
  </si>
  <si>
    <t>PETRUNGARO, ANDREA</t>
  </si>
  <si>
    <t>7250052846</t>
  </si>
  <si>
    <t>CLIENT</t>
  </si>
  <si>
    <t>2025-04-05</t>
  </si>
  <si>
    <t>95.23</t>
  </si>
  <si>
    <t>130.47</t>
  </si>
  <si>
    <t>7250031045</t>
  </si>
  <si>
    <t>REMIAS</t>
  </si>
  <si>
    <t>101.78</t>
  </si>
  <si>
    <t>139.44</t>
  </si>
  <si>
    <t>3.38</t>
  </si>
  <si>
    <t>4.63</t>
  </si>
  <si>
    <t>7240125223</t>
  </si>
  <si>
    <t>MASELLA</t>
  </si>
  <si>
    <t>88.23</t>
  </si>
  <si>
    <t>120.88</t>
  </si>
  <si>
    <t>7240122471</t>
  </si>
  <si>
    <t>KARPIEL</t>
  </si>
  <si>
    <t>80.96</t>
  </si>
  <si>
    <t>76.51</t>
  </si>
  <si>
    <t>7240122077</t>
  </si>
  <si>
    <t>STOCKER</t>
  </si>
  <si>
    <t>96.30</t>
  </si>
  <si>
    <t>131.93</t>
  </si>
  <si>
    <t>3.75</t>
  </si>
  <si>
    <t>5.14</t>
  </si>
  <si>
    <t>14QX4</t>
  </si>
  <si>
    <t>INSKIPT, DEBORAH</t>
  </si>
  <si>
    <t>6250205165</t>
  </si>
  <si>
    <t>KIGER</t>
  </si>
  <si>
    <t>33.45</t>
  </si>
  <si>
    <t>30.11</t>
  </si>
  <si>
    <t>6250121740</t>
  </si>
  <si>
    <t>KRAMER</t>
  </si>
  <si>
    <t>76.53</t>
  </si>
  <si>
    <t>68.88</t>
  </si>
  <si>
    <t>6240137471</t>
  </si>
  <si>
    <t>OHARA</t>
  </si>
  <si>
    <t>92.25</t>
  </si>
  <si>
    <t>83.03</t>
  </si>
  <si>
    <t>7240126613</t>
  </si>
  <si>
    <t>GO MEDINA</t>
  </si>
  <si>
    <t>72.26</t>
  </si>
  <si>
    <t>99.00</t>
  </si>
  <si>
    <t>7250151538</t>
  </si>
  <si>
    <t>BLASCO</t>
  </si>
  <si>
    <t>102.64</t>
  </si>
  <si>
    <t>140.62</t>
  </si>
  <si>
    <t>6250100038</t>
  </si>
  <si>
    <t>SCHUTJER</t>
  </si>
  <si>
    <t>2025-07-03</t>
  </si>
  <si>
    <t>65.42</t>
  </si>
  <si>
    <t>58.88</t>
  </si>
  <si>
    <t>7250059859</t>
  </si>
  <si>
    <t>92.91</t>
  </si>
  <si>
    <t>127.29</t>
  </si>
  <si>
    <t>7250249003</t>
  </si>
  <si>
    <t>1571.25</t>
  </si>
  <si>
    <t>1484.83</t>
  </si>
  <si>
    <t>7250001892</t>
  </si>
  <si>
    <t>SHIPKIN</t>
  </si>
  <si>
    <t>112.73</t>
  </si>
  <si>
    <t>154.44</t>
  </si>
  <si>
    <t>7250212961</t>
  </si>
  <si>
    <t>KOSNIK</t>
  </si>
  <si>
    <t>102.26</t>
  </si>
  <si>
    <t>140.10</t>
  </si>
  <si>
    <t>4.23</t>
  </si>
  <si>
    <t>5.80</t>
  </si>
  <si>
    <t>55.57</t>
  </si>
  <si>
    <t>76.13</t>
  </si>
  <si>
    <t>7240126623</t>
  </si>
  <si>
    <t>MEDINA</t>
  </si>
  <si>
    <t>102.03</t>
  </si>
  <si>
    <t>96.42</t>
  </si>
  <si>
    <t>7240101268</t>
  </si>
  <si>
    <t>PILCHER</t>
  </si>
  <si>
    <t>2024-11-01</t>
  </si>
  <si>
    <t>116.07</t>
  </si>
  <si>
    <t>0.0275</t>
  </si>
  <si>
    <t>3.19</t>
  </si>
  <si>
    <t>6250187897</t>
  </si>
  <si>
    <t>DUBOIS</t>
  </si>
  <si>
    <t>63.54</t>
  </si>
  <si>
    <t>57.19</t>
  </si>
  <si>
    <t>3.70</t>
  </si>
  <si>
    <t>5.07</t>
  </si>
  <si>
    <t>7250006451</t>
  </si>
  <si>
    <t>FORSBERG</t>
  </si>
  <si>
    <t>102.30</t>
  </si>
  <si>
    <t>140.15</t>
  </si>
  <si>
    <t>7240101224</t>
  </si>
  <si>
    <t>MCGARY</t>
  </si>
  <si>
    <t>102.93</t>
  </si>
  <si>
    <t>6.18</t>
  </si>
  <si>
    <t>7250001863</t>
  </si>
  <si>
    <t>113.80</t>
  </si>
  <si>
    <t>107.54</t>
  </si>
  <si>
    <t>7250124322</t>
  </si>
  <si>
    <t>97.54</t>
  </si>
  <si>
    <t>133.63</t>
  </si>
  <si>
    <t>7250062261</t>
  </si>
  <si>
    <t>32.66</t>
  </si>
  <si>
    <t>44.74</t>
  </si>
  <si>
    <t>19XW6</t>
  </si>
  <si>
    <t>RICHTER, ADAM</t>
  </si>
  <si>
    <t>6250145187</t>
  </si>
  <si>
    <t>JONES</t>
  </si>
  <si>
    <t>2025-08-26</t>
  </si>
  <si>
    <t>-68.65</t>
  </si>
  <si>
    <t>-61.79</t>
  </si>
  <si>
    <t>7240121167</t>
  </si>
  <si>
    <t>HEIN</t>
  </si>
  <si>
    <t>98.46</t>
  </si>
  <si>
    <t>134.89</t>
  </si>
  <si>
    <t>7240126463</t>
  </si>
  <si>
    <t>PIRHOFER</t>
  </si>
  <si>
    <t>92.65</t>
  </si>
  <si>
    <t>126.93</t>
  </si>
  <si>
    <t>14KBX</t>
  </si>
  <si>
    <t>SANTOS, RICARDO</t>
  </si>
  <si>
    <t>6250030658</t>
  </si>
  <si>
    <t>POWLEDGE</t>
  </si>
  <si>
    <t>2025-03-05</t>
  </si>
  <si>
    <t>80.39</t>
  </si>
  <si>
    <t>72.35</t>
  </si>
  <si>
    <t>7250057563</t>
  </si>
  <si>
    <t>JAROS</t>
  </si>
  <si>
    <t>76.85</t>
  </si>
  <si>
    <t>105.28</t>
  </si>
  <si>
    <t>1816.50</t>
  </si>
  <si>
    <t>2488.61</t>
  </si>
  <si>
    <t>168.32</t>
  </si>
  <si>
    <t>230.60</t>
  </si>
  <si>
    <t>6250134924</t>
  </si>
  <si>
    <t>SMITH</t>
  </si>
  <si>
    <t>2025-08-12</t>
  </si>
  <si>
    <t>60.74</t>
  </si>
  <si>
    <t>54.67</t>
  </si>
  <si>
    <t>WEBER, STEVEN</t>
  </si>
  <si>
    <t>WEBER, MARILYN</t>
  </si>
  <si>
    <t>CONNOLLY,DAWN</t>
  </si>
  <si>
    <t>WALEWANDER,ROBERT</t>
  </si>
  <si>
    <t>STRAUSS,JULIE</t>
  </si>
  <si>
    <t>KOZA,MICHELLE</t>
  </si>
  <si>
    <t>PHELPS,PHYLLIS</t>
  </si>
  <si>
    <t>DICKSON,RANDOLPH</t>
  </si>
  <si>
    <t>GALLINA,JAMES</t>
  </si>
  <si>
    <t>GARZA,PAMELA M</t>
  </si>
  <si>
    <t>GAWAT,DANIEL</t>
  </si>
  <si>
    <t>TOBIAS,MEIRION</t>
  </si>
  <si>
    <t>KUDRNA,RHONDA</t>
  </si>
  <si>
    <t>WEISS,JEAN</t>
  </si>
  <si>
    <t>SCHULD,RICHARD</t>
  </si>
  <si>
    <t>HAPNER,THOMAS</t>
  </si>
  <si>
    <t>WESTMORELAND,CHARLOTTE</t>
  </si>
  <si>
    <t>BROOKS,MARYANN</t>
  </si>
  <si>
    <t>OUTLAW,ZACHARY</t>
  </si>
  <si>
    <t>OLSON,DEBORAH</t>
  </si>
  <si>
    <t>HIVON,MARK</t>
  </si>
  <si>
    <t>WEISS,CRAIG</t>
  </si>
  <si>
    <t>SPASO,RAYMOND</t>
  </si>
  <si>
    <t>DAVEY,MARCIA</t>
  </si>
  <si>
    <t>SCIARRONE,ANTHONY P</t>
  </si>
  <si>
    <t>MCCLELLAN,MICHAEL B</t>
  </si>
  <si>
    <t>DAVEY,THOMAS</t>
  </si>
  <si>
    <t>AURRICHIO,VITTA</t>
  </si>
  <si>
    <t>RODRIGUEZ,TAMARA</t>
  </si>
  <si>
    <t>JACKSON,ESTER</t>
  </si>
  <si>
    <t>FLANAGAN,MICHAEL</t>
  </si>
  <si>
    <t>CUMMINGS,TERRY</t>
  </si>
  <si>
    <t>FITZSIMMONS,DEAN C</t>
  </si>
  <si>
    <t>CARROLL,ROGER</t>
  </si>
  <si>
    <t>STRAUSS,DONALD</t>
  </si>
  <si>
    <t>PURCELL,MARY</t>
  </si>
  <si>
    <t>RUSNAK,MAUREEN</t>
  </si>
  <si>
    <t>GARY,MICHELLE A</t>
  </si>
  <si>
    <t>CLIENT,ANDREA</t>
  </si>
  <si>
    <t>REMIAS,THERESA</t>
  </si>
  <si>
    <t>MASELLA,THOMAS</t>
  </si>
  <si>
    <t>KARPIEL,SHARON</t>
  </si>
  <si>
    <t>STOCKER,JOSEPHINE</t>
  </si>
  <si>
    <t>KIGER, DAVID</t>
  </si>
  <si>
    <t>KRAMER,SANDRA</t>
  </si>
  <si>
    <t>OHARA,KELLYE</t>
  </si>
  <si>
    <t>GO MEDINA,ANNIE</t>
  </si>
  <si>
    <t>BLASCO,LAURA</t>
  </si>
  <si>
    <t>SCHUTJER,CISSIE</t>
  </si>
  <si>
    <t>HIVON,CHRISTINE</t>
  </si>
  <si>
    <t>SHIPKIN,ISABELLA</t>
  </si>
  <si>
    <t>KOSNIK,THOMAS</t>
  </si>
  <si>
    <t>MEDINA,LEANDRO</t>
  </si>
  <si>
    <t>PILCHER,TIMOTHY</t>
  </si>
  <si>
    <t>DUBOIS,CAROL</t>
  </si>
  <si>
    <t>FORSBERG,JEFFERY</t>
  </si>
  <si>
    <t>MCGARY,JOHN</t>
  </si>
  <si>
    <t>SHIPKIN,JERRY</t>
  </si>
  <si>
    <t>SPASO,NOEL</t>
  </si>
  <si>
    <t>HAPNER,MELISSA</t>
  </si>
  <si>
    <t>JONES,BRIAN</t>
  </si>
  <si>
    <t>HEIN,CATHY</t>
  </si>
  <si>
    <t>PIRHOFER,ALAN</t>
  </si>
  <si>
    <t>POWLEDGE,VERONICA A</t>
  </si>
  <si>
    <t>JAROS,CONNIE</t>
  </si>
  <si>
    <t>SMITH,LINDA M</t>
  </si>
  <si>
    <t>17528908N</t>
  </si>
  <si>
    <t>AV1</t>
  </si>
  <si>
    <t>RN</t>
  </si>
  <si>
    <t>AE</t>
  </si>
  <si>
    <t>Corebridge SimpliNow Legacy Max (137)</t>
  </si>
  <si>
    <t>Corebridge SimpliNow Legacy (94.50)</t>
  </si>
  <si>
    <t>Corebridge Guaranteed Issue Whole Life (90)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</si>
</sst>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1" fillId="0" borderId="0" xfId="0" applyNumberFormat="1" applyFont="1"/>
    <xf numFmtId="0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0"/>
  <sheetViews>
    <sheetView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 t="s">
        <v>47</v>
      </c>
      <c r="Q5" t="s">
        <v>56</v>
      </c>
      <c r="R5" t="s">
        <v>56</v>
      </c>
      <c r="S5" t="s">
        <v>56</v>
      </c>
      <c r="T5" t="s">
        <v>49</v>
      </c>
      <c r="U5" s="4" t="s">
        <v>57</v>
      </c>
      <c r="V5" t="s">
        <v>58</v>
      </c>
      <c r="W5" s="4" t="s">
        <v>59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60</v>
      </c>
      <c r="J6" t="s">
        <v>61</v>
      </c>
      <c r="K6" t="s">
        <v>42</v>
      </c>
      <c r="L6" t="s">
        <v>62</v>
      </c>
      <c r="M6" t="s">
        <v>63</v>
      </c>
      <c r="N6" t="s">
        <v>45</v>
      </c>
      <c r="O6" t="s">
        <v>46</v>
      </c>
      <c r="P6" t="s">
        <v>47</v>
      </c>
      <c r="Q6" t="s">
        <v>64</v>
      </c>
      <c r="R6" t="s">
        <v>64</v>
      </c>
      <c r="S6" t="s">
        <v>64</v>
      </c>
      <c r="T6" t="s">
        <v>49</v>
      </c>
      <c r="U6" s="4" t="s">
        <v>65</v>
      </c>
      <c r="V6" t="s">
        <v>58</v>
      </c>
      <c r="W6" s="4" t="s">
        <v>66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60</v>
      </c>
      <c r="J7" t="s">
        <v>61</v>
      </c>
      <c r="K7" t="s">
        <v>42</v>
      </c>
      <c r="L7" t="s">
        <v>67</v>
      </c>
      <c r="M7" t="s">
        <v>68</v>
      </c>
      <c r="N7" t="s">
        <v>45</v>
      </c>
      <c r="O7" t="s">
        <v>46</v>
      </c>
      <c r="P7" t="s">
        <v>47</v>
      </c>
      <c r="Q7" t="s">
        <v>69</v>
      </c>
      <c r="R7" t="s">
        <v>69</v>
      </c>
      <c r="S7" t="s">
        <v>69</v>
      </c>
      <c r="T7" t="s">
        <v>49</v>
      </c>
      <c r="U7" s="4" t="s">
        <v>70</v>
      </c>
      <c r="V7" t="s">
        <v>58</v>
      </c>
      <c r="W7" s="4" t="s">
        <v>71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72</v>
      </c>
      <c r="M8" t="s">
        <v>73</v>
      </c>
      <c r="N8" t="s">
        <v>45</v>
      </c>
      <c r="O8" t="s">
        <v>46</v>
      </c>
      <c r="P8" t="s">
        <v>47</v>
      </c>
      <c r="Q8" t="s">
        <v>74</v>
      </c>
      <c r="R8" t="s">
        <v>74</v>
      </c>
      <c r="S8" t="s">
        <v>74</v>
      </c>
      <c r="T8" t="s">
        <v>49</v>
      </c>
      <c r="U8" s="4" t="s">
        <v>75</v>
      </c>
      <c r="V8" t="s">
        <v>58</v>
      </c>
      <c r="W8" s="4" t="s">
        <v>76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77</v>
      </c>
      <c r="M9" t="s">
        <v>78</v>
      </c>
      <c r="N9" t="s">
        <v>45</v>
      </c>
      <c r="O9" t="s">
        <v>46</v>
      </c>
      <c r="P9" t="s">
        <v>47</v>
      </c>
      <c r="Q9" t="s">
        <v>79</v>
      </c>
      <c r="R9" t="s">
        <v>79</v>
      </c>
      <c r="S9" t="s">
        <v>79</v>
      </c>
      <c r="T9" t="s">
        <v>49</v>
      </c>
      <c r="U9" s="4" t="s">
        <v>80</v>
      </c>
      <c r="V9" t="s">
        <v>58</v>
      </c>
      <c r="W9" s="4" t="s">
        <v>81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82</v>
      </c>
      <c r="M10" t="s">
        <v>83</v>
      </c>
      <c r="N10" t="s">
        <v>45</v>
      </c>
      <c r="O10" t="s">
        <v>46</v>
      </c>
      <c r="P10" t="s">
        <v>47</v>
      </c>
      <c r="Q10" t="s">
        <v>84</v>
      </c>
      <c r="R10" t="s">
        <v>84</v>
      </c>
      <c r="S10" t="s">
        <v>84</v>
      </c>
      <c r="T10" t="s">
        <v>49</v>
      </c>
      <c r="U10" s="4" t="s">
        <v>85</v>
      </c>
      <c r="V10" t="s">
        <v>86</v>
      </c>
      <c r="W10" s="4" t="s">
        <v>87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88</v>
      </c>
      <c r="J11" t="s">
        <v>89</v>
      </c>
      <c r="K11" t="s">
        <v>42</v>
      </c>
      <c r="L11" t="s">
        <v>90</v>
      </c>
      <c r="M11" t="s">
        <v>91</v>
      </c>
      <c r="N11" t="s">
        <v>45</v>
      </c>
      <c r="O11" t="s">
        <v>46</v>
      </c>
      <c r="P11" t="s">
        <v>47</v>
      </c>
      <c r="Q11" t="s">
        <v>92</v>
      </c>
      <c r="R11" t="s">
        <v>92</v>
      </c>
      <c r="S11" t="s">
        <v>92</v>
      </c>
      <c r="T11" t="s">
        <v>49</v>
      </c>
      <c r="U11" s="4" t="s">
        <v>93</v>
      </c>
      <c r="V11" t="s">
        <v>51</v>
      </c>
      <c r="W11" s="4" t="s">
        <v>94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95</v>
      </c>
      <c r="M12" t="s">
        <v>96</v>
      </c>
      <c r="N12" t="s">
        <v>45</v>
      </c>
      <c r="O12" t="s">
        <v>46</v>
      </c>
      <c r="P12" t="s">
        <v>47</v>
      </c>
      <c r="Q12" t="s">
        <v>56</v>
      </c>
      <c r="R12" t="s">
        <v>56</v>
      </c>
      <c r="S12" t="s">
        <v>56</v>
      </c>
      <c r="T12" t="s">
        <v>49</v>
      </c>
      <c r="U12" s="4" t="s">
        <v>97</v>
      </c>
      <c r="V12" t="s">
        <v>51</v>
      </c>
      <c r="W12" s="4" t="s">
        <v>98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60</v>
      </c>
      <c r="J13" t="s">
        <v>61</v>
      </c>
      <c r="K13" t="s">
        <v>42</v>
      </c>
      <c r="L13" t="s">
        <v>62</v>
      </c>
      <c r="M13" t="s">
        <v>63</v>
      </c>
      <c r="N13" t="s">
        <v>45</v>
      </c>
      <c r="O13" t="s">
        <v>46</v>
      </c>
      <c r="P13" t="s">
        <v>47</v>
      </c>
      <c r="Q13" t="s">
        <v>64</v>
      </c>
      <c r="R13" t="s">
        <v>64</v>
      </c>
      <c r="S13" t="s">
        <v>64</v>
      </c>
      <c r="T13" t="s">
        <v>49</v>
      </c>
      <c r="U13" s="4" t="s">
        <v>99</v>
      </c>
      <c r="V13" t="s">
        <v>58</v>
      </c>
      <c r="W13" s="4" t="s">
        <v>100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101</v>
      </c>
      <c r="M14" t="s">
        <v>102</v>
      </c>
      <c r="N14" t="s">
        <v>45</v>
      </c>
      <c r="O14" t="s">
        <v>46</v>
      </c>
      <c r="P14" t="s">
        <v>47</v>
      </c>
      <c r="Q14" t="s">
        <v>74</v>
      </c>
      <c r="R14" t="s">
        <v>74</v>
      </c>
      <c r="S14" t="s">
        <v>74</v>
      </c>
      <c r="T14" t="s">
        <v>49</v>
      </c>
      <c r="U14" s="4" t="s">
        <v>103</v>
      </c>
      <c r="V14" t="s">
        <v>58</v>
      </c>
      <c r="W14" s="4" t="s">
        <v>104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105</v>
      </c>
      <c r="J15" t="s">
        <v>106</v>
      </c>
      <c r="K15" t="s">
        <v>42</v>
      </c>
      <c r="L15" t="s">
        <v>107</v>
      </c>
      <c r="M15" t="s">
        <v>108</v>
      </c>
      <c r="N15" t="s">
        <v>45</v>
      </c>
      <c r="O15" t="s">
        <v>46</v>
      </c>
      <c r="P15" t="s">
        <v>47</v>
      </c>
      <c r="Q15" t="s">
        <v>109</v>
      </c>
      <c r="R15" t="s">
        <v>109</v>
      </c>
      <c r="S15" t="s">
        <v>109</v>
      </c>
      <c r="T15" t="s">
        <v>49</v>
      </c>
      <c r="U15" s="4" t="s">
        <v>110</v>
      </c>
      <c r="V15" t="s">
        <v>58</v>
      </c>
      <c r="W15" s="4" t="s">
        <v>111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112</v>
      </c>
      <c r="M16" t="s">
        <v>113</v>
      </c>
      <c r="N16" t="s">
        <v>45</v>
      </c>
      <c r="O16" t="s">
        <v>46</v>
      </c>
      <c r="P16" t="s">
        <v>47</v>
      </c>
      <c r="Q16" t="s">
        <v>114</v>
      </c>
      <c r="R16" t="s">
        <v>114</v>
      </c>
      <c r="S16" t="s">
        <v>114</v>
      </c>
      <c r="T16" t="s">
        <v>49</v>
      </c>
      <c r="U16" s="4" t="s">
        <v>115</v>
      </c>
      <c r="V16" t="s">
        <v>58</v>
      </c>
      <c r="W16" s="4" t="s">
        <v>116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117</v>
      </c>
      <c r="M17" t="s">
        <v>118</v>
      </c>
      <c r="N17" t="s">
        <v>45</v>
      </c>
      <c r="O17" t="s">
        <v>46</v>
      </c>
      <c r="P17" t="s">
        <v>47</v>
      </c>
      <c r="Q17" t="s">
        <v>48</v>
      </c>
      <c r="R17" t="s">
        <v>48</v>
      </c>
      <c r="S17" t="s">
        <v>48</v>
      </c>
      <c r="T17" t="s">
        <v>49</v>
      </c>
      <c r="U17" s="4" t="s">
        <v>119</v>
      </c>
      <c r="V17" t="s">
        <v>58</v>
      </c>
      <c r="W17" s="4" t="s">
        <v>120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105</v>
      </c>
      <c r="J18" t="s">
        <v>106</v>
      </c>
      <c r="K18" t="s">
        <v>42</v>
      </c>
      <c r="L18" t="s">
        <v>121</v>
      </c>
      <c r="M18" t="s">
        <v>122</v>
      </c>
      <c r="N18" t="s">
        <v>45</v>
      </c>
      <c r="O18" t="s">
        <v>46</v>
      </c>
      <c r="P18" t="s">
        <v>47</v>
      </c>
      <c r="Q18" t="s">
        <v>109</v>
      </c>
      <c r="R18" t="s">
        <v>109</v>
      </c>
      <c r="S18" t="s">
        <v>109</v>
      </c>
      <c r="T18" t="s">
        <v>49</v>
      </c>
      <c r="U18" s="4" t="s">
        <v>123</v>
      </c>
      <c r="V18" t="s">
        <v>51</v>
      </c>
      <c r="W18" s="4" t="s">
        <v>124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60</v>
      </c>
      <c r="J19" t="s">
        <v>61</v>
      </c>
      <c r="K19" t="s">
        <v>42</v>
      </c>
      <c r="L19" t="s">
        <v>125</v>
      </c>
      <c r="M19" t="s">
        <v>126</v>
      </c>
      <c r="N19" t="s">
        <v>45</v>
      </c>
      <c r="O19" t="s">
        <v>46</v>
      </c>
      <c r="P19" t="s">
        <v>47</v>
      </c>
      <c r="Q19" t="s">
        <v>127</v>
      </c>
      <c r="R19" t="s">
        <v>127</v>
      </c>
      <c r="S19" t="s">
        <v>127</v>
      </c>
      <c r="T19" t="s">
        <v>49</v>
      </c>
      <c r="U19" s="4" t="s">
        <v>128</v>
      </c>
      <c r="V19" t="s">
        <v>58</v>
      </c>
      <c r="W19" s="4" t="s">
        <v>129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60</v>
      </c>
      <c r="J20" t="s">
        <v>61</v>
      </c>
      <c r="K20" t="s">
        <v>42</v>
      </c>
      <c r="L20" t="s">
        <v>130</v>
      </c>
      <c r="M20" t="s">
        <v>131</v>
      </c>
      <c r="N20" t="s">
        <v>45</v>
      </c>
      <c r="O20" t="s">
        <v>46</v>
      </c>
      <c r="P20" t="s">
        <v>47</v>
      </c>
      <c r="Q20" t="s">
        <v>69</v>
      </c>
      <c r="R20" t="s">
        <v>69</v>
      </c>
      <c r="S20" t="s">
        <v>69</v>
      </c>
      <c r="T20" t="s">
        <v>49</v>
      </c>
      <c r="U20" s="4" t="s">
        <v>132</v>
      </c>
      <c r="V20" t="s">
        <v>58</v>
      </c>
      <c r="W20" s="4" t="s">
        <v>133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134</v>
      </c>
      <c r="J21" t="s">
        <v>135</v>
      </c>
      <c r="K21" t="s">
        <v>42</v>
      </c>
      <c r="L21" t="s">
        <v>136</v>
      </c>
      <c r="M21" t="s">
        <v>137</v>
      </c>
      <c r="N21" t="s">
        <v>45</v>
      </c>
      <c r="O21" t="s">
        <v>46</v>
      </c>
      <c r="P21" t="s">
        <v>47</v>
      </c>
      <c r="Q21" t="s">
        <v>138</v>
      </c>
      <c r="R21" t="s">
        <v>138</v>
      </c>
      <c r="S21" t="s">
        <v>138</v>
      </c>
      <c r="T21" t="s">
        <v>49</v>
      </c>
      <c r="U21" s="4" t="s">
        <v>139</v>
      </c>
      <c r="V21" t="s">
        <v>51</v>
      </c>
      <c r="W21" s="4" t="s">
        <v>140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60</v>
      </c>
      <c r="J22" t="s">
        <v>61</v>
      </c>
      <c r="K22" t="s">
        <v>42</v>
      </c>
      <c r="L22" t="s">
        <v>141</v>
      </c>
      <c r="M22" t="s">
        <v>142</v>
      </c>
      <c r="N22" t="s">
        <v>45</v>
      </c>
      <c r="O22" t="s">
        <v>46</v>
      </c>
      <c r="P22" t="s">
        <v>47</v>
      </c>
      <c r="Q22" t="s">
        <v>143</v>
      </c>
      <c r="R22" t="s">
        <v>143</v>
      </c>
      <c r="S22" t="s">
        <v>143</v>
      </c>
      <c r="T22" t="s">
        <v>49</v>
      </c>
      <c r="U22" s="4" t="s">
        <v>144</v>
      </c>
      <c r="V22" t="s">
        <v>58</v>
      </c>
      <c r="W22" s="4" t="s">
        <v>145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146</v>
      </c>
      <c r="M23" t="s">
        <v>147</v>
      </c>
      <c r="N23" t="s">
        <v>45</v>
      </c>
      <c r="O23" t="s">
        <v>46</v>
      </c>
      <c r="P23" t="s">
        <v>47</v>
      </c>
      <c r="Q23" t="s">
        <v>109</v>
      </c>
      <c r="R23" t="s">
        <v>109</v>
      </c>
      <c r="S23" t="s">
        <v>109</v>
      </c>
      <c r="T23" t="s">
        <v>49</v>
      </c>
      <c r="U23" s="4" t="s">
        <v>148</v>
      </c>
      <c r="V23" t="s">
        <v>58</v>
      </c>
      <c r="W23" s="4" t="s">
        <v>149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150</v>
      </c>
      <c r="M24" t="s">
        <v>113</v>
      </c>
      <c r="N24" t="s">
        <v>45</v>
      </c>
      <c r="O24" t="s">
        <v>46</v>
      </c>
      <c r="P24" t="s">
        <v>47</v>
      </c>
      <c r="Q24" t="s">
        <v>114</v>
      </c>
      <c r="R24" t="s">
        <v>114</v>
      </c>
      <c r="S24" t="s">
        <v>114</v>
      </c>
      <c r="T24" t="s">
        <v>49</v>
      </c>
      <c r="U24" s="4" t="s">
        <v>151</v>
      </c>
      <c r="V24" t="s">
        <v>58</v>
      </c>
      <c r="W24" s="4" t="s">
        <v>152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60</v>
      </c>
      <c r="J25" t="s">
        <v>61</v>
      </c>
      <c r="K25" t="s">
        <v>42</v>
      </c>
      <c r="L25" t="s">
        <v>153</v>
      </c>
      <c r="M25" t="s">
        <v>154</v>
      </c>
      <c r="N25" t="s">
        <v>155</v>
      </c>
      <c r="O25" t="s">
        <v>46</v>
      </c>
      <c r="P25" t="s">
        <v>47</v>
      </c>
      <c r="Q25" t="s">
        <v>34</v>
      </c>
      <c r="R25" t="s">
        <v>34</v>
      </c>
      <c r="S25" t="s">
        <v>34</v>
      </c>
      <c r="T25" t="s">
        <v>49</v>
      </c>
      <c r="U25" s="4" t="s">
        <v>156</v>
      </c>
      <c r="V25" t="s">
        <v>58</v>
      </c>
      <c r="W25" s="4" t="s">
        <v>157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158</v>
      </c>
      <c r="M26" t="s">
        <v>159</v>
      </c>
      <c r="N26" t="s">
        <v>45</v>
      </c>
      <c r="O26" t="s">
        <v>46</v>
      </c>
      <c r="P26" t="s">
        <v>47</v>
      </c>
      <c r="Q26" t="s">
        <v>69</v>
      </c>
      <c r="R26" t="s">
        <v>69</v>
      </c>
      <c r="S26" t="s">
        <v>69</v>
      </c>
      <c r="T26" t="s">
        <v>49</v>
      </c>
      <c r="U26" s="4" t="s">
        <v>160</v>
      </c>
      <c r="V26" t="s">
        <v>58</v>
      </c>
      <c r="W26" s="4" t="s">
        <v>161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60</v>
      </c>
      <c r="J27" t="s">
        <v>61</v>
      </c>
      <c r="K27" t="s">
        <v>42</v>
      </c>
      <c r="L27" t="s">
        <v>162</v>
      </c>
      <c r="M27" t="s">
        <v>163</v>
      </c>
      <c r="N27" t="s">
        <v>45</v>
      </c>
      <c r="O27" t="s">
        <v>46</v>
      </c>
      <c r="P27" t="s">
        <v>47</v>
      </c>
      <c r="Q27" t="s">
        <v>69</v>
      </c>
      <c r="R27" t="s">
        <v>69</v>
      </c>
      <c r="S27" t="s">
        <v>69</v>
      </c>
      <c r="T27" t="s">
        <v>49</v>
      </c>
      <c r="U27" s="4" t="s">
        <v>164</v>
      </c>
      <c r="V27" t="s">
        <v>58</v>
      </c>
      <c r="W27" s="4" t="s">
        <v>165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166</v>
      </c>
      <c r="J28" t="s">
        <v>167</v>
      </c>
      <c r="K28" t="s">
        <v>42</v>
      </c>
      <c r="L28" t="s">
        <v>168</v>
      </c>
      <c r="M28" t="s">
        <v>169</v>
      </c>
      <c r="N28" t="s">
        <v>45</v>
      </c>
      <c r="O28" t="s">
        <v>46</v>
      </c>
      <c r="P28" t="s">
        <v>47</v>
      </c>
      <c r="Q28" t="s">
        <v>114</v>
      </c>
      <c r="R28" t="s">
        <v>114</v>
      </c>
      <c r="S28" t="s">
        <v>114</v>
      </c>
      <c r="T28" t="s">
        <v>49</v>
      </c>
      <c r="U28" s="4" t="s">
        <v>170</v>
      </c>
      <c r="V28" t="s">
        <v>58</v>
      </c>
      <c r="W28" s="4" t="s">
        <v>171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172</v>
      </c>
      <c r="J29" t="s">
        <v>173</v>
      </c>
      <c r="K29" t="s">
        <v>42</v>
      </c>
      <c r="L29" t="s">
        <v>174</v>
      </c>
      <c r="M29" t="s">
        <v>175</v>
      </c>
      <c r="N29" t="s">
        <v>45</v>
      </c>
      <c r="O29" t="s">
        <v>46</v>
      </c>
      <c r="P29" t="s">
        <v>47</v>
      </c>
      <c r="Q29" t="s">
        <v>176</v>
      </c>
      <c r="R29" t="s">
        <v>176</v>
      </c>
      <c r="S29" t="s">
        <v>176</v>
      </c>
      <c r="T29" t="s">
        <v>49</v>
      </c>
      <c r="U29" s="4" t="s">
        <v>177</v>
      </c>
      <c r="V29" t="s">
        <v>58</v>
      </c>
      <c r="W29" s="4" t="s">
        <v>178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60</v>
      </c>
      <c r="J30" t="s">
        <v>61</v>
      </c>
      <c r="K30" t="s">
        <v>42</v>
      </c>
      <c r="L30" t="s">
        <v>179</v>
      </c>
      <c r="M30" t="s">
        <v>163</v>
      </c>
      <c r="N30" t="s">
        <v>45</v>
      </c>
      <c r="O30" t="s">
        <v>46</v>
      </c>
      <c r="P30" t="s">
        <v>47</v>
      </c>
      <c r="Q30" t="s">
        <v>69</v>
      </c>
      <c r="R30" t="s">
        <v>69</v>
      </c>
      <c r="S30" t="s">
        <v>69</v>
      </c>
      <c r="T30" t="s">
        <v>49</v>
      </c>
      <c r="U30" s="4" t="s">
        <v>180</v>
      </c>
      <c r="V30" t="s">
        <v>181</v>
      </c>
      <c r="W30" s="4" t="s">
        <v>182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60</v>
      </c>
      <c r="J31" t="s">
        <v>61</v>
      </c>
      <c r="K31" t="s">
        <v>42</v>
      </c>
      <c r="L31" t="s">
        <v>183</v>
      </c>
      <c r="M31" t="s">
        <v>184</v>
      </c>
      <c r="N31" t="s">
        <v>45</v>
      </c>
      <c r="O31" t="s">
        <v>46</v>
      </c>
      <c r="P31" t="s">
        <v>47</v>
      </c>
      <c r="Q31" t="s">
        <v>64</v>
      </c>
      <c r="R31" t="s">
        <v>64</v>
      </c>
      <c r="S31" t="s">
        <v>64</v>
      </c>
      <c r="T31" t="s">
        <v>49</v>
      </c>
      <c r="U31" s="4" t="s">
        <v>185</v>
      </c>
      <c r="V31" t="s">
        <v>58</v>
      </c>
      <c r="W31" s="4" t="s">
        <v>186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187</v>
      </c>
      <c r="M32" t="s">
        <v>188</v>
      </c>
      <c r="N32" t="s">
        <v>45</v>
      </c>
      <c r="O32" t="s">
        <v>46</v>
      </c>
      <c r="P32" t="s">
        <v>47</v>
      </c>
      <c r="Q32" t="s">
        <v>74</v>
      </c>
      <c r="R32" t="s">
        <v>74</v>
      </c>
      <c r="S32" t="s">
        <v>74</v>
      </c>
      <c r="T32" t="s">
        <v>49</v>
      </c>
      <c r="U32" s="4" t="s">
        <v>189</v>
      </c>
      <c r="V32" t="s">
        <v>181</v>
      </c>
      <c r="W32" s="4" t="s">
        <v>190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191</v>
      </c>
      <c r="M33" t="s">
        <v>192</v>
      </c>
      <c r="N33" t="s">
        <v>45</v>
      </c>
      <c r="O33" t="s">
        <v>46</v>
      </c>
      <c r="P33" t="s">
        <v>47</v>
      </c>
      <c r="Q33" t="s">
        <v>74</v>
      </c>
      <c r="R33" t="s">
        <v>74</v>
      </c>
      <c r="S33" t="s">
        <v>74</v>
      </c>
      <c r="T33" t="s">
        <v>49</v>
      </c>
      <c r="U33" s="4" t="s">
        <v>193</v>
      </c>
      <c r="V33" t="s">
        <v>58</v>
      </c>
      <c r="W33" s="4" t="s">
        <v>194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60</v>
      </c>
      <c r="J34" t="s">
        <v>61</v>
      </c>
      <c r="K34" t="s">
        <v>42</v>
      </c>
      <c r="L34" t="s">
        <v>141</v>
      </c>
      <c r="M34" t="s">
        <v>142</v>
      </c>
      <c r="N34" t="s">
        <v>45</v>
      </c>
      <c r="O34" t="s">
        <v>46</v>
      </c>
      <c r="P34" t="s">
        <v>47</v>
      </c>
      <c r="Q34" t="s">
        <v>143</v>
      </c>
      <c r="R34" t="s">
        <v>143</v>
      </c>
      <c r="S34" t="s">
        <v>143</v>
      </c>
      <c r="T34" t="s">
        <v>49</v>
      </c>
      <c r="U34" s="4" t="s">
        <v>195</v>
      </c>
      <c r="V34" t="s">
        <v>58</v>
      </c>
      <c r="W34" s="4" t="s">
        <v>196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197</v>
      </c>
      <c r="M35" t="s">
        <v>198</v>
      </c>
      <c r="N35" t="s">
        <v>45</v>
      </c>
      <c r="O35" t="s">
        <v>46</v>
      </c>
      <c r="P35" t="s">
        <v>47</v>
      </c>
      <c r="Q35" t="s">
        <v>74</v>
      </c>
      <c r="R35" t="s">
        <v>74</v>
      </c>
      <c r="S35" t="s">
        <v>74</v>
      </c>
      <c r="T35" t="s">
        <v>49</v>
      </c>
      <c r="U35" s="4" t="s">
        <v>199</v>
      </c>
      <c r="V35" t="s">
        <v>58</v>
      </c>
      <c r="W35" s="4" t="s">
        <v>200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201</v>
      </c>
      <c r="J36" t="s">
        <v>202</v>
      </c>
      <c r="K36" t="s">
        <v>42</v>
      </c>
      <c r="L36" t="s">
        <v>203</v>
      </c>
      <c r="M36" t="s">
        <v>204</v>
      </c>
      <c r="N36" t="s">
        <v>45</v>
      </c>
      <c r="O36" t="s">
        <v>46</v>
      </c>
      <c r="P36" t="s">
        <v>47</v>
      </c>
      <c r="Q36" t="s">
        <v>205</v>
      </c>
      <c r="R36" t="s">
        <v>205</v>
      </c>
      <c r="S36" t="s">
        <v>205</v>
      </c>
      <c r="T36" t="s">
        <v>49</v>
      </c>
      <c r="U36" s="4" t="s">
        <v>206</v>
      </c>
      <c r="V36" t="s">
        <v>51</v>
      </c>
      <c r="W36" s="4" t="s">
        <v>207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60</v>
      </c>
      <c r="J37" t="s">
        <v>61</v>
      </c>
      <c r="K37" t="s">
        <v>42</v>
      </c>
      <c r="L37" t="s">
        <v>208</v>
      </c>
      <c r="M37" t="s">
        <v>209</v>
      </c>
      <c r="N37" t="s">
        <v>45</v>
      </c>
      <c r="O37" t="s">
        <v>46</v>
      </c>
      <c r="P37" t="s">
        <v>47</v>
      </c>
      <c r="Q37" t="s">
        <v>69</v>
      </c>
      <c r="R37" t="s">
        <v>69</v>
      </c>
      <c r="S37" t="s">
        <v>69</v>
      </c>
      <c r="T37" t="s">
        <v>49</v>
      </c>
      <c r="U37" s="4" t="s">
        <v>210</v>
      </c>
      <c r="V37" t="s">
        <v>58</v>
      </c>
      <c r="W37" s="4" t="s">
        <v>211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212</v>
      </c>
      <c r="M38" t="s">
        <v>213</v>
      </c>
      <c r="N38" t="s">
        <v>45</v>
      </c>
      <c r="O38" t="s">
        <v>46</v>
      </c>
      <c r="P38" t="s">
        <v>47</v>
      </c>
      <c r="Q38" t="s">
        <v>74</v>
      </c>
      <c r="R38" t="s">
        <v>74</v>
      </c>
      <c r="S38" t="s">
        <v>74</v>
      </c>
      <c r="T38" t="s">
        <v>49</v>
      </c>
      <c r="U38" s="4" t="s">
        <v>214</v>
      </c>
      <c r="V38" t="s">
        <v>58</v>
      </c>
      <c r="W38" s="4" t="s">
        <v>215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60</v>
      </c>
      <c r="J39" t="s">
        <v>61</v>
      </c>
      <c r="K39" t="s">
        <v>42</v>
      </c>
      <c r="L39" t="s">
        <v>67</v>
      </c>
      <c r="M39" t="s">
        <v>68</v>
      </c>
      <c r="N39" t="s">
        <v>45</v>
      </c>
      <c r="O39" t="s">
        <v>46</v>
      </c>
      <c r="P39" t="s">
        <v>47</v>
      </c>
      <c r="Q39" t="s">
        <v>69</v>
      </c>
      <c r="R39" t="s">
        <v>69</v>
      </c>
      <c r="S39" t="s">
        <v>69</v>
      </c>
      <c r="T39" t="s">
        <v>49</v>
      </c>
      <c r="U39" s="4" t="s">
        <v>216</v>
      </c>
      <c r="V39" t="s">
        <v>58</v>
      </c>
      <c r="W39" s="4" t="s">
        <v>217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60</v>
      </c>
      <c r="J40" t="s">
        <v>61</v>
      </c>
      <c r="K40" t="s">
        <v>42</v>
      </c>
      <c r="L40" t="s">
        <v>218</v>
      </c>
      <c r="M40" t="s">
        <v>63</v>
      </c>
      <c r="N40" t="s">
        <v>45</v>
      </c>
      <c r="O40" t="s">
        <v>46</v>
      </c>
      <c r="P40" t="s">
        <v>47</v>
      </c>
      <c r="Q40" t="s">
        <v>64</v>
      </c>
      <c r="R40" t="s">
        <v>64</v>
      </c>
      <c r="S40" t="s">
        <v>64</v>
      </c>
      <c r="T40" t="s">
        <v>49</v>
      </c>
      <c r="U40" s="4" t="s">
        <v>219</v>
      </c>
      <c r="V40" t="s">
        <v>58</v>
      </c>
      <c r="W40" s="4" t="s">
        <v>220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221</v>
      </c>
      <c r="M41" t="s">
        <v>222</v>
      </c>
      <c r="N41" t="s">
        <v>45</v>
      </c>
      <c r="O41" t="s">
        <v>46</v>
      </c>
      <c r="P41" t="s">
        <v>47</v>
      </c>
      <c r="Q41" t="s">
        <v>56</v>
      </c>
      <c r="R41" t="s">
        <v>56</v>
      </c>
      <c r="S41" t="s">
        <v>56</v>
      </c>
      <c r="T41" t="s">
        <v>49</v>
      </c>
      <c r="U41" s="4" t="s">
        <v>223</v>
      </c>
      <c r="V41" t="s">
        <v>58</v>
      </c>
      <c r="W41" s="4" t="s">
        <v>224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225</v>
      </c>
      <c r="M42" t="s">
        <v>226</v>
      </c>
      <c r="N42" t="s">
        <v>45</v>
      </c>
      <c r="O42" t="s">
        <v>46</v>
      </c>
      <c r="P42" t="s">
        <v>47</v>
      </c>
      <c r="Q42" t="s">
        <v>114</v>
      </c>
      <c r="R42" t="s">
        <v>114</v>
      </c>
      <c r="S42" t="s">
        <v>114</v>
      </c>
      <c r="T42" t="s">
        <v>49</v>
      </c>
      <c r="U42" s="4" t="s">
        <v>227</v>
      </c>
      <c r="V42" t="s">
        <v>58</v>
      </c>
      <c r="W42" s="4" t="s">
        <v>228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172</v>
      </c>
      <c r="J43" t="s">
        <v>173</v>
      </c>
      <c r="K43" t="s">
        <v>42</v>
      </c>
      <c r="L43" t="s">
        <v>229</v>
      </c>
      <c r="M43" t="s">
        <v>230</v>
      </c>
      <c r="N43" t="s">
        <v>45</v>
      </c>
      <c r="O43" t="s">
        <v>46</v>
      </c>
      <c r="P43" t="s">
        <v>47</v>
      </c>
      <c r="Q43" t="s">
        <v>231</v>
      </c>
      <c r="R43" t="s">
        <v>231</v>
      </c>
      <c r="S43" t="s">
        <v>231</v>
      </c>
      <c r="T43" t="s">
        <v>49</v>
      </c>
      <c r="U43" s="4" t="s">
        <v>232</v>
      </c>
      <c r="V43" t="s">
        <v>181</v>
      </c>
      <c r="W43" s="4" t="s">
        <v>233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234</v>
      </c>
      <c r="J44" t="s">
        <v>235</v>
      </c>
      <c r="K44" t="s">
        <v>42</v>
      </c>
      <c r="L44" t="s">
        <v>236</v>
      </c>
      <c r="M44" t="s">
        <v>237</v>
      </c>
      <c r="N44" t="s">
        <v>45</v>
      </c>
      <c r="O44" t="s">
        <v>46</v>
      </c>
      <c r="P44" t="s">
        <v>47</v>
      </c>
      <c r="Q44" t="s">
        <v>238</v>
      </c>
      <c r="R44" t="s">
        <v>238</v>
      </c>
      <c r="S44" t="s">
        <v>238</v>
      </c>
      <c r="T44" t="s">
        <v>49</v>
      </c>
      <c r="U44" s="4" t="s">
        <v>239</v>
      </c>
      <c r="V44" t="s">
        <v>58</v>
      </c>
      <c r="W44" s="4" t="s">
        <v>240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241</v>
      </c>
      <c r="M45" t="s">
        <v>242</v>
      </c>
      <c r="N45" t="s">
        <v>45</v>
      </c>
      <c r="O45" t="s">
        <v>46</v>
      </c>
      <c r="P45" t="s">
        <v>47</v>
      </c>
      <c r="Q45" t="s">
        <v>114</v>
      </c>
      <c r="R45" t="s">
        <v>114</v>
      </c>
      <c r="S45" t="s">
        <v>114</v>
      </c>
      <c r="T45" t="s">
        <v>49</v>
      </c>
      <c r="U45" s="4" t="s">
        <v>243</v>
      </c>
      <c r="V45" t="s">
        <v>58</v>
      </c>
      <c r="W45" s="4" t="s">
        <v>244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60</v>
      </c>
      <c r="J46" t="s">
        <v>61</v>
      </c>
      <c r="K46" t="s">
        <v>42</v>
      </c>
      <c r="L46" t="s">
        <v>208</v>
      </c>
      <c r="M46" t="s">
        <v>209</v>
      </c>
      <c r="N46" t="s">
        <v>45</v>
      </c>
      <c r="O46" t="s">
        <v>46</v>
      </c>
      <c r="P46" t="s">
        <v>47</v>
      </c>
      <c r="Q46" t="s">
        <v>69</v>
      </c>
      <c r="R46" t="s">
        <v>69</v>
      </c>
      <c r="S46" t="s">
        <v>69</v>
      </c>
      <c r="T46" t="s">
        <v>49</v>
      </c>
      <c r="U46" s="4" t="s">
        <v>245</v>
      </c>
      <c r="V46" t="s">
        <v>58</v>
      </c>
      <c r="W46" s="4" t="s">
        <v>246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134</v>
      </c>
      <c r="J47" t="s">
        <v>135</v>
      </c>
      <c r="K47" t="s">
        <v>42</v>
      </c>
      <c r="L47" t="s">
        <v>136</v>
      </c>
      <c r="M47" t="s">
        <v>137</v>
      </c>
      <c r="N47" t="s">
        <v>45</v>
      </c>
      <c r="O47" t="s">
        <v>46</v>
      </c>
      <c r="P47" t="s">
        <v>47</v>
      </c>
      <c r="Q47" t="s">
        <v>138</v>
      </c>
      <c r="R47" t="s">
        <v>138</v>
      </c>
      <c r="S47" t="s">
        <v>138</v>
      </c>
      <c r="T47" t="s">
        <v>49</v>
      </c>
      <c r="U47" s="4" t="s">
        <v>139</v>
      </c>
      <c r="V47" t="s">
        <v>51</v>
      </c>
      <c r="W47" s="4" t="s">
        <v>140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247</v>
      </c>
      <c r="M48" t="s">
        <v>248</v>
      </c>
      <c r="N48" t="s">
        <v>45</v>
      </c>
      <c r="O48" t="s">
        <v>46</v>
      </c>
      <c r="P48" t="s">
        <v>47</v>
      </c>
      <c r="Q48" t="s">
        <v>74</v>
      </c>
      <c r="R48" t="s">
        <v>74</v>
      </c>
      <c r="S48" t="s">
        <v>74</v>
      </c>
      <c r="T48" t="s">
        <v>49</v>
      </c>
      <c r="U48" s="4" t="s">
        <v>249</v>
      </c>
      <c r="V48" t="s">
        <v>58</v>
      </c>
      <c r="W48" s="4" t="s">
        <v>250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251</v>
      </c>
      <c r="M49" t="s">
        <v>252</v>
      </c>
      <c r="N49" t="s">
        <v>45</v>
      </c>
      <c r="O49" t="s">
        <v>46</v>
      </c>
      <c r="P49" t="s">
        <v>47</v>
      </c>
      <c r="Q49" t="s">
        <v>74</v>
      </c>
      <c r="R49" t="s">
        <v>74</v>
      </c>
      <c r="S49" t="s">
        <v>74</v>
      </c>
      <c r="T49" t="s">
        <v>49</v>
      </c>
      <c r="U49" s="4" t="s">
        <v>253</v>
      </c>
      <c r="V49" t="s">
        <v>181</v>
      </c>
      <c r="W49" s="4" t="s">
        <v>254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255</v>
      </c>
      <c r="M50" t="s">
        <v>256</v>
      </c>
      <c r="N50" t="s">
        <v>45</v>
      </c>
      <c r="O50" t="s">
        <v>46</v>
      </c>
      <c r="P50" t="s">
        <v>47</v>
      </c>
      <c r="Q50" t="s">
        <v>74</v>
      </c>
      <c r="R50" t="s">
        <v>74</v>
      </c>
      <c r="S50" t="s">
        <v>74</v>
      </c>
      <c r="T50" t="s">
        <v>49</v>
      </c>
      <c r="U50" s="4" t="s">
        <v>257</v>
      </c>
      <c r="V50" t="s">
        <v>58</v>
      </c>
      <c r="W50" s="4" t="s">
        <v>258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60</v>
      </c>
      <c r="J51" t="s">
        <v>61</v>
      </c>
      <c r="K51" t="s">
        <v>42</v>
      </c>
      <c r="L51" t="s">
        <v>218</v>
      </c>
      <c r="M51" t="s">
        <v>63</v>
      </c>
      <c r="N51" t="s">
        <v>45</v>
      </c>
      <c r="O51" t="s">
        <v>46</v>
      </c>
      <c r="P51" t="s">
        <v>47</v>
      </c>
      <c r="Q51" t="s">
        <v>64</v>
      </c>
      <c r="R51" t="s">
        <v>64</v>
      </c>
      <c r="S51" t="s">
        <v>64</v>
      </c>
      <c r="T51" t="s">
        <v>49</v>
      </c>
      <c r="U51" s="4" t="s">
        <v>259</v>
      </c>
      <c r="V51" t="s">
        <v>58</v>
      </c>
      <c r="W51" s="4" t="s">
        <v>260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261</v>
      </c>
      <c r="J52" t="s">
        <v>262</v>
      </c>
      <c r="K52" t="s">
        <v>42</v>
      </c>
      <c r="L52" t="s">
        <v>263</v>
      </c>
      <c r="M52" t="s">
        <v>264</v>
      </c>
      <c r="N52" t="s">
        <v>45</v>
      </c>
      <c r="O52" t="s">
        <v>46</v>
      </c>
      <c r="P52" t="s">
        <v>47</v>
      </c>
      <c r="Q52" t="s">
        <v>34</v>
      </c>
      <c r="R52" t="s">
        <v>34</v>
      </c>
      <c r="S52" t="s">
        <v>34</v>
      </c>
      <c r="T52" t="s">
        <v>49</v>
      </c>
      <c r="U52" s="4" t="s">
        <v>265</v>
      </c>
      <c r="V52" t="s">
        <v>51</v>
      </c>
      <c r="W52" s="4" t="s">
        <v>266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267</v>
      </c>
      <c r="M53" t="s">
        <v>268</v>
      </c>
      <c r="N53" t="s">
        <v>45</v>
      </c>
      <c r="O53" t="s">
        <v>46</v>
      </c>
      <c r="P53" t="s">
        <v>47</v>
      </c>
      <c r="Q53" t="s">
        <v>69</v>
      </c>
      <c r="R53" t="s">
        <v>69</v>
      </c>
      <c r="S53" t="s">
        <v>69</v>
      </c>
      <c r="T53" t="s">
        <v>49</v>
      </c>
      <c r="U53" s="4" t="s">
        <v>269</v>
      </c>
      <c r="V53" t="s">
        <v>51</v>
      </c>
      <c r="W53" s="4" t="s">
        <v>270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271</v>
      </c>
      <c r="M54" t="s">
        <v>272</v>
      </c>
      <c r="N54" t="s">
        <v>45</v>
      </c>
      <c r="O54" t="s">
        <v>46</v>
      </c>
      <c r="P54" t="s">
        <v>47</v>
      </c>
      <c r="Q54" t="s">
        <v>74</v>
      </c>
      <c r="R54" t="s">
        <v>74</v>
      </c>
      <c r="S54" t="s">
        <v>74</v>
      </c>
      <c r="T54" t="s">
        <v>49</v>
      </c>
      <c r="U54" s="4" t="s">
        <v>273</v>
      </c>
      <c r="V54" t="s">
        <v>51</v>
      </c>
      <c r="W54" s="4" t="s">
        <v>274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275</v>
      </c>
      <c r="M55" t="s">
        <v>276</v>
      </c>
      <c r="N55" t="s">
        <v>45</v>
      </c>
      <c r="O55" t="s">
        <v>46</v>
      </c>
      <c r="P55" t="s">
        <v>47</v>
      </c>
      <c r="Q55" t="s">
        <v>74</v>
      </c>
      <c r="R55" t="s">
        <v>74</v>
      </c>
      <c r="S55" t="s">
        <v>74</v>
      </c>
      <c r="T55" t="s">
        <v>49</v>
      </c>
      <c r="U55" s="4" t="s">
        <v>277</v>
      </c>
      <c r="V55" t="s">
        <v>58</v>
      </c>
      <c r="W55" s="4" t="s">
        <v>278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279</v>
      </c>
      <c r="M56" t="s">
        <v>280</v>
      </c>
      <c r="N56" t="s">
        <v>45</v>
      </c>
      <c r="O56" t="s">
        <v>46</v>
      </c>
      <c r="P56" t="s">
        <v>47</v>
      </c>
      <c r="Q56" t="s">
        <v>176</v>
      </c>
      <c r="R56" t="s">
        <v>176</v>
      </c>
      <c r="S56" t="s">
        <v>176</v>
      </c>
      <c r="T56" t="s">
        <v>49</v>
      </c>
      <c r="U56" s="4" t="s">
        <v>281</v>
      </c>
      <c r="V56" t="s">
        <v>58</v>
      </c>
      <c r="W56" s="4" t="s">
        <v>282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105</v>
      </c>
      <c r="J57" t="s">
        <v>106</v>
      </c>
      <c r="K57" t="s">
        <v>42</v>
      </c>
      <c r="L57" t="s">
        <v>283</v>
      </c>
      <c r="M57" t="s">
        <v>284</v>
      </c>
      <c r="N57" t="s">
        <v>45</v>
      </c>
      <c r="O57" t="s">
        <v>46</v>
      </c>
      <c r="P57" t="s">
        <v>47</v>
      </c>
      <c r="Q57" t="s">
        <v>285</v>
      </c>
      <c r="R57" t="s">
        <v>285</v>
      </c>
      <c r="S57" t="s">
        <v>285</v>
      </c>
      <c r="T57" t="s">
        <v>49</v>
      </c>
      <c r="U57" s="4" t="s">
        <v>286</v>
      </c>
      <c r="V57" t="s">
        <v>51</v>
      </c>
      <c r="W57" s="4" t="s">
        <v>287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288</v>
      </c>
      <c r="M58" t="s">
        <v>147</v>
      </c>
      <c r="N58" t="s">
        <v>45</v>
      </c>
      <c r="O58" t="s">
        <v>46</v>
      </c>
      <c r="P58" t="s">
        <v>47</v>
      </c>
      <c r="Q58" t="s">
        <v>109</v>
      </c>
      <c r="R58" t="s">
        <v>109</v>
      </c>
      <c r="S58" t="s">
        <v>109</v>
      </c>
      <c r="T58" t="s">
        <v>49</v>
      </c>
      <c r="U58" s="4" t="s">
        <v>289</v>
      </c>
      <c r="V58" t="s">
        <v>58</v>
      </c>
      <c r="W58" s="4" t="s">
        <v>290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60</v>
      </c>
      <c r="J59" t="s">
        <v>61</v>
      </c>
      <c r="K59" t="s">
        <v>42</v>
      </c>
      <c r="L59" t="s">
        <v>291</v>
      </c>
      <c r="M59" t="s">
        <v>154</v>
      </c>
      <c r="N59" t="s">
        <v>155</v>
      </c>
      <c r="O59" t="s">
        <v>46</v>
      </c>
      <c r="P59" t="s">
        <v>47</v>
      </c>
      <c r="Q59" t="s">
        <v>34</v>
      </c>
      <c r="R59" t="s">
        <v>34</v>
      </c>
      <c r="S59" t="s">
        <v>34</v>
      </c>
      <c r="T59" t="s">
        <v>49</v>
      </c>
      <c r="U59" s="4" t="s">
        <v>292</v>
      </c>
      <c r="V59" t="s">
        <v>181</v>
      </c>
      <c r="W59" s="4" t="s">
        <v>293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294</v>
      </c>
      <c r="M60" t="s">
        <v>295</v>
      </c>
      <c r="N60" t="s">
        <v>45</v>
      </c>
      <c r="O60" t="s">
        <v>46</v>
      </c>
      <c r="P60" t="s">
        <v>47</v>
      </c>
      <c r="Q60" t="s">
        <v>48</v>
      </c>
      <c r="R60" t="s">
        <v>48</v>
      </c>
      <c r="S60" t="s">
        <v>48</v>
      </c>
      <c r="T60" t="s">
        <v>49</v>
      </c>
      <c r="U60" s="4" t="s">
        <v>296</v>
      </c>
      <c r="V60" t="s">
        <v>58</v>
      </c>
      <c r="W60" s="4" t="s">
        <v>297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298</v>
      </c>
      <c r="M61" t="s">
        <v>299</v>
      </c>
      <c r="N61" t="s">
        <v>45</v>
      </c>
      <c r="O61" t="s">
        <v>46</v>
      </c>
      <c r="P61" t="s">
        <v>47</v>
      </c>
      <c r="Q61" t="s">
        <v>56</v>
      </c>
      <c r="R61" t="s">
        <v>56</v>
      </c>
      <c r="S61" t="s">
        <v>56</v>
      </c>
      <c r="T61" t="s">
        <v>49</v>
      </c>
      <c r="U61" s="4" t="s">
        <v>300</v>
      </c>
      <c r="V61" t="s">
        <v>58</v>
      </c>
      <c r="W61" s="4" t="s">
        <v>301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60</v>
      </c>
      <c r="J62" t="s">
        <v>61</v>
      </c>
      <c r="K62" t="s">
        <v>42</v>
      </c>
      <c r="L62" t="s">
        <v>125</v>
      </c>
      <c r="M62" t="s">
        <v>126</v>
      </c>
      <c r="N62" t="s">
        <v>45</v>
      </c>
      <c r="O62" t="s">
        <v>46</v>
      </c>
      <c r="P62" t="s">
        <v>47</v>
      </c>
      <c r="Q62" t="s">
        <v>127</v>
      </c>
      <c r="R62" t="s">
        <v>127</v>
      </c>
      <c r="S62" t="s">
        <v>127</v>
      </c>
      <c r="T62" t="s">
        <v>49</v>
      </c>
      <c r="U62" s="4" t="s">
        <v>302</v>
      </c>
      <c r="V62" t="s">
        <v>58</v>
      </c>
      <c r="W62" s="4" t="s">
        <v>303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60</v>
      </c>
      <c r="J63" t="s">
        <v>61</v>
      </c>
      <c r="K63" t="s">
        <v>42</v>
      </c>
      <c r="L63" t="s">
        <v>183</v>
      </c>
      <c r="M63" t="s">
        <v>184</v>
      </c>
      <c r="N63" t="s">
        <v>45</v>
      </c>
      <c r="O63" t="s">
        <v>46</v>
      </c>
      <c r="P63" t="s">
        <v>47</v>
      </c>
      <c r="Q63" t="s">
        <v>64</v>
      </c>
      <c r="R63" t="s">
        <v>64</v>
      </c>
      <c r="S63" t="s">
        <v>64</v>
      </c>
      <c r="T63" t="s">
        <v>49</v>
      </c>
      <c r="U63" s="4" t="s">
        <v>304</v>
      </c>
      <c r="V63" t="s">
        <v>58</v>
      </c>
      <c r="W63" s="4" t="s">
        <v>305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306</v>
      </c>
      <c r="M64" t="s">
        <v>307</v>
      </c>
      <c r="N64" t="s">
        <v>45</v>
      </c>
      <c r="O64" t="s">
        <v>46</v>
      </c>
      <c r="P64" t="s">
        <v>47</v>
      </c>
      <c r="Q64" t="s">
        <v>74</v>
      </c>
      <c r="R64" t="s">
        <v>74</v>
      </c>
      <c r="S64" t="s">
        <v>74</v>
      </c>
      <c r="T64" t="s">
        <v>49</v>
      </c>
      <c r="U64" s="4" t="s">
        <v>308</v>
      </c>
      <c r="V64" t="s">
        <v>181</v>
      </c>
      <c r="W64" s="4" t="s">
        <v>309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310</v>
      </c>
      <c r="M65" t="s">
        <v>311</v>
      </c>
      <c r="N65" t="s">
        <v>45</v>
      </c>
      <c r="O65" t="s">
        <v>46</v>
      </c>
      <c r="P65" t="s">
        <v>47</v>
      </c>
      <c r="Q65" t="s">
        <v>312</v>
      </c>
      <c r="R65" t="s">
        <v>312</v>
      </c>
      <c r="S65" t="s">
        <v>312</v>
      </c>
      <c r="T65" t="s">
        <v>49</v>
      </c>
      <c r="U65" s="4" t="s">
        <v>313</v>
      </c>
      <c r="V65" t="s">
        <v>314</v>
      </c>
      <c r="W65" s="4" t="s">
        <v>315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316</v>
      </c>
      <c r="M66" t="s">
        <v>317</v>
      </c>
      <c r="N66" t="s">
        <v>45</v>
      </c>
      <c r="O66" t="s">
        <v>46</v>
      </c>
      <c r="P66" t="s">
        <v>47</v>
      </c>
      <c r="Q66" t="s">
        <v>56</v>
      </c>
      <c r="R66" t="s">
        <v>56</v>
      </c>
      <c r="S66" t="s">
        <v>56</v>
      </c>
      <c r="T66" t="s">
        <v>49</v>
      </c>
      <c r="U66" s="4" t="s">
        <v>318</v>
      </c>
      <c r="V66" t="s">
        <v>51</v>
      </c>
      <c r="W66" s="4" t="s">
        <v>319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25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60</v>
      </c>
      <c r="J67" t="s">
        <v>61</v>
      </c>
      <c r="K67" t="s">
        <v>42</v>
      </c>
      <c r="L67" t="s">
        <v>162</v>
      </c>
      <c r="M67" t="s">
        <v>163</v>
      </c>
      <c r="N67" t="s">
        <v>45</v>
      </c>
      <c r="O67" t="s">
        <v>46</v>
      </c>
      <c r="P67" t="s">
        <v>47</v>
      </c>
      <c r="Q67" t="s">
        <v>69</v>
      </c>
      <c r="R67" t="s">
        <v>69</v>
      </c>
      <c r="S67" t="s">
        <v>69</v>
      </c>
      <c r="T67" t="s">
        <v>49</v>
      </c>
      <c r="U67" s="4" t="s">
        <v>320</v>
      </c>
      <c r="V67" t="s">
        <v>58</v>
      </c>
      <c r="W67" s="4" t="s">
        <v>321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25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322</v>
      </c>
      <c r="M68" t="s">
        <v>323</v>
      </c>
      <c r="N68" t="s">
        <v>45</v>
      </c>
      <c r="O68" t="s">
        <v>46</v>
      </c>
      <c r="P68" t="s">
        <v>47</v>
      </c>
      <c r="Q68" t="s">
        <v>48</v>
      </c>
      <c r="R68" t="s">
        <v>48</v>
      </c>
      <c r="S68" t="s">
        <v>48</v>
      </c>
      <c r="T68" t="s">
        <v>49</v>
      </c>
      <c r="U68" s="4" t="s">
        <v>324</v>
      </c>
      <c r="V68" t="s">
        <v>58</v>
      </c>
      <c r="W68" s="4" t="s">
        <v>325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326</v>
      </c>
      <c r="M69" t="s">
        <v>327</v>
      </c>
      <c r="N69" t="s">
        <v>45</v>
      </c>
      <c r="O69" t="s">
        <v>46</v>
      </c>
      <c r="P69" t="s">
        <v>47</v>
      </c>
      <c r="Q69" t="s">
        <v>84</v>
      </c>
      <c r="R69" t="s">
        <v>84</v>
      </c>
      <c r="S69" t="s">
        <v>84</v>
      </c>
      <c r="T69" t="s">
        <v>49</v>
      </c>
      <c r="U69" s="4" t="s">
        <v>328</v>
      </c>
      <c r="V69" t="s">
        <v>86</v>
      </c>
      <c r="W69" s="4" t="s">
        <v>329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330</v>
      </c>
      <c r="M70" t="s">
        <v>295</v>
      </c>
      <c r="N70" t="s">
        <v>45</v>
      </c>
      <c r="O70" t="s">
        <v>46</v>
      </c>
      <c r="P70" t="s">
        <v>47</v>
      </c>
      <c r="Q70" t="s">
        <v>48</v>
      </c>
      <c r="R70" t="s">
        <v>48</v>
      </c>
      <c r="S70" t="s">
        <v>48</v>
      </c>
      <c r="T70" t="s">
        <v>49</v>
      </c>
      <c r="U70" s="4" t="s">
        <v>331</v>
      </c>
      <c r="V70" t="s">
        <v>181</v>
      </c>
      <c r="W70" s="4" t="s">
        <v>332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25">
      <c r="A71" t="s">
        <v>32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333</v>
      </c>
      <c r="M71" t="s">
        <v>159</v>
      </c>
      <c r="N71" t="s">
        <v>45</v>
      </c>
      <c r="O71" t="s">
        <v>46</v>
      </c>
      <c r="P71" t="s">
        <v>47</v>
      </c>
      <c r="Q71" t="s">
        <v>69</v>
      </c>
      <c r="R71" t="s">
        <v>69</v>
      </c>
      <c r="S71" t="s">
        <v>69</v>
      </c>
      <c r="T71" t="s">
        <v>49</v>
      </c>
      <c r="U71" s="4" t="s">
        <v>334</v>
      </c>
      <c r="V71" t="s">
        <v>58</v>
      </c>
      <c r="W71" s="4" t="s">
        <v>335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105</v>
      </c>
      <c r="J72" t="s">
        <v>106</v>
      </c>
      <c r="K72" t="s">
        <v>42</v>
      </c>
      <c r="L72" t="s">
        <v>336</v>
      </c>
      <c r="M72" t="s">
        <v>122</v>
      </c>
      <c r="N72" t="s">
        <v>45</v>
      </c>
      <c r="O72" t="s">
        <v>46</v>
      </c>
      <c r="P72" t="s">
        <v>47</v>
      </c>
      <c r="Q72" t="s">
        <v>109</v>
      </c>
      <c r="R72" t="s">
        <v>109</v>
      </c>
      <c r="S72" t="s">
        <v>109</v>
      </c>
      <c r="T72" t="s">
        <v>49</v>
      </c>
      <c r="U72" s="4" t="s">
        <v>337</v>
      </c>
      <c r="V72" t="s">
        <v>58</v>
      </c>
      <c r="W72" s="4" t="s">
        <v>338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25">
      <c r="A73" t="s">
        <v>32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339</v>
      </c>
      <c r="J73" t="s">
        <v>340</v>
      </c>
      <c r="K73" t="s">
        <v>42</v>
      </c>
      <c r="L73" t="s">
        <v>341</v>
      </c>
      <c r="M73" t="s">
        <v>342</v>
      </c>
      <c r="N73" t="s">
        <v>45</v>
      </c>
      <c r="O73" t="s">
        <v>46</v>
      </c>
      <c r="P73" t="s">
        <v>47</v>
      </c>
      <c r="Q73" t="s">
        <v>343</v>
      </c>
      <c r="R73" t="s">
        <v>343</v>
      </c>
      <c r="S73" t="s">
        <v>343</v>
      </c>
      <c r="T73" t="s">
        <v>49</v>
      </c>
      <c r="U73" s="4" t="s">
        <v>344</v>
      </c>
      <c r="V73" t="s">
        <v>51</v>
      </c>
      <c r="W73" s="4" t="s">
        <v>345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346</v>
      </c>
      <c r="M74" t="s">
        <v>347</v>
      </c>
      <c r="N74" t="s">
        <v>45</v>
      </c>
      <c r="O74" t="s">
        <v>46</v>
      </c>
      <c r="P74" t="s">
        <v>47</v>
      </c>
      <c r="Q74" t="s">
        <v>74</v>
      </c>
      <c r="R74" t="s">
        <v>74</v>
      </c>
      <c r="S74" t="s">
        <v>74</v>
      </c>
      <c r="T74" t="s">
        <v>49</v>
      </c>
      <c r="U74" s="4" t="s">
        <v>348</v>
      </c>
      <c r="V74" t="s">
        <v>58</v>
      </c>
      <c r="W74" s="4" t="s">
        <v>349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25">
      <c r="A75" t="s">
        <v>32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350</v>
      </c>
      <c r="M75" t="s">
        <v>351</v>
      </c>
      <c r="N75" t="s">
        <v>45</v>
      </c>
      <c r="O75" t="s">
        <v>46</v>
      </c>
      <c r="P75" t="s">
        <v>47</v>
      </c>
      <c r="Q75" t="s">
        <v>74</v>
      </c>
      <c r="R75" t="s">
        <v>74</v>
      </c>
      <c r="S75" t="s">
        <v>74</v>
      </c>
      <c r="T75" t="s">
        <v>49</v>
      </c>
      <c r="U75" s="4" t="s">
        <v>352</v>
      </c>
      <c r="V75" t="s">
        <v>58</v>
      </c>
      <c r="W75" s="4" t="s">
        <v>353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25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354</v>
      </c>
      <c r="J76" t="s">
        <v>355</v>
      </c>
      <c r="K76" t="s">
        <v>42</v>
      </c>
      <c r="L76" t="s">
        <v>356</v>
      </c>
      <c r="M76" t="s">
        <v>357</v>
      </c>
      <c r="N76" t="s">
        <v>45</v>
      </c>
      <c r="O76" t="s">
        <v>46</v>
      </c>
      <c r="P76" t="s">
        <v>47</v>
      </c>
      <c r="Q76" t="s">
        <v>358</v>
      </c>
      <c r="R76" t="s">
        <v>358</v>
      </c>
      <c r="S76" t="s">
        <v>358</v>
      </c>
      <c r="T76" t="s">
        <v>49</v>
      </c>
      <c r="U76" s="4" t="s">
        <v>359</v>
      </c>
      <c r="V76" t="s">
        <v>51</v>
      </c>
      <c r="W76" s="4" t="s">
        <v>360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25">
      <c r="A77" t="s">
        <v>32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105</v>
      </c>
      <c r="J77" t="s">
        <v>106</v>
      </c>
      <c r="K77" t="s">
        <v>42</v>
      </c>
      <c r="L77" t="s">
        <v>361</v>
      </c>
      <c r="M77" t="s">
        <v>362</v>
      </c>
      <c r="N77" t="s">
        <v>45</v>
      </c>
      <c r="O77" t="s">
        <v>46</v>
      </c>
      <c r="P77" t="s">
        <v>47</v>
      </c>
      <c r="Q77" t="s">
        <v>109</v>
      </c>
      <c r="R77" t="s">
        <v>109</v>
      </c>
      <c r="S77" t="s">
        <v>109</v>
      </c>
      <c r="T77" t="s">
        <v>49</v>
      </c>
      <c r="U77" s="4" t="s">
        <v>363</v>
      </c>
      <c r="V77" t="s">
        <v>58</v>
      </c>
      <c r="W77" s="4" t="s">
        <v>364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25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60</v>
      </c>
      <c r="J78" t="s">
        <v>61</v>
      </c>
      <c r="K78" t="s">
        <v>42</v>
      </c>
      <c r="L78" t="s">
        <v>153</v>
      </c>
      <c r="M78" t="s">
        <v>154</v>
      </c>
      <c r="N78" t="s">
        <v>155</v>
      </c>
      <c r="O78" t="s">
        <v>46</v>
      </c>
      <c r="P78" t="s">
        <v>47</v>
      </c>
      <c r="Q78" t="s">
        <v>34</v>
      </c>
      <c r="R78" t="s">
        <v>34</v>
      </c>
      <c r="S78" t="s">
        <v>34</v>
      </c>
      <c r="T78" t="s">
        <v>49</v>
      </c>
      <c r="U78" s="4" t="s">
        <v>365</v>
      </c>
      <c r="V78" t="s">
        <v>58</v>
      </c>
      <c r="W78" s="4" t="s">
        <v>366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25">
      <c r="A79" t="s">
        <v>32</v>
      </c>
      <c r="B79" t="s">
        <v>33</v>
      </c>
      <c r="C79" t="s">
        <v>34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60</v>
      </c>
      <c r="J79" t="s">
        <v>61</v>
      </c>
      <c r="K79" t="s">
        <v>42</v>
      </c>
      <c r="L79" t="s">
        <v>130</v>
      </c>
      <c r="M79" t="s">
        <v>131</v>
      </c>
      <c r="N79" t="s">
        <v>45</v>
      </c>
      <c r="O79" t="s">
        <v>46</v>
      </c>
      <c r="P79" t="s">
        <v>47</v>
      </c>
      <c r="Q79" t="s">
        <v>69</v>
      </c>
      <c r="R79" t="s">
        <v>69</v>
      </c>
      <c r="S79" t="s">
        <v>69</v>
      </c>
      <c r="T79" t="s">
        <v>49</v>
      </c>
      <c r="U79" s="4" t="s">
        <v>367</v>
      </c>
      <c r="V79" t="s">
        <v>58</v>
      </c>
      <c r="W79" s="4" t="s">
        <v>368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  <row r="80" spans="1:31" x14ac:dyDescent="0.25">
      <c r="A80" t="s">
        <v>32</v>
      </c>
      <c r="B80" t="s">
        <v>33</v>
      </c>
      <c r="C80" t="s">
        <v>34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172</v>
      </c>
      <c r="J80" t="s">
        <v>173</v>
      </c>
      <c r="K80" t="s">
        <v>42</v>
      </c>
      <c r="L80" t="s">
        <v>369</v>
      </c>
      <c r="M80" t="s">
        <v>370</v>
      </c>
      <c r="N80" t="s">
        <v>45</v>
      </c>
      <c r="O80" t="s">
        <v>46</v>
      </c>
      <c r="P80" t="s">
        <v>47</v>
      </c>
      <c r="Q80" t="s">
        <v>371</v>
      </c>
      <c r="R80" t="s">
        <v>371</v>
      </c>
      <c r="S80" t="s">
        <v>371</v>
      </c>
      <c r="T80" t="s">
        <v>49</v>
      </c>
      <c r="U80" s="4" t="s">
        <v>372</v>
      </c>
      <c r="V80" t="s">
        <v>51</v>
      </c>
      <c r="W80" s="4" t="s">
        <v>373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35</v>
      </c>
      <c r="AE80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71F9-A324-4D90-B76A-9CB5EDA0A425}">
  <dimension ref="A1:AH78"/>
  <sheetViews>
    <sheetView tabSelected="1" workbookViewId="0">
      <selection activeCell="M56" sqref="M56"/>
    </sheetView>
  </sheetViews>
  <sheetFormatPr defaultRowHeight="15" x14ac:dyDescent="0.25"/>
  <cols>
    <col min="1" max="1" width="9.85546875" customWidth="1"/>
    <col min="2" max="2" width="17.5703125" customWidth="1"/>
    <col min="3" max="3" width="15.42578125" customWidth="1"/>
    <col min="4" max="4" width="13.5703125" customWidth="1"/>
    <col min="5" max="5" width="24.28515625" customWidth="1"/>
    <col min="6" max="6" width="16.42578125" customWidth="1"/>
    <col min="7" max="7" width="6" customWidth="1"/>
    <col min="8" max="8" width="7.5703125" customWidth="1"/>
    <col min="9" max="9" width="12" customWidth="1"/>
    <col min="10" max="10" width="13.28515625" customWidth="1"/>
    <col min="11" max="11" width="5.85546875" style="6" customWidth="1"/>
    <col min="12" max="13" width="13.28515625" customWidth="1"/>
    <col min="14" max="14" width="17.28515625" customWidth="1"/>
    <col min="15" max="15" width="13.28515625" customWidth="1"/>
    <col min="16" max="16" width="12.28515625" customWidth="1"/>
  </cols>
  <sheetData>
    <row r="1" spans="1:34" x14ac:dyDescent="0.25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31</v>
      </c>
      <c r="H1" s="1" t="s">
        <v>12</v>
      </c>
      <c r="I1" s="1" t="s">
        <v>13</v>
      </c>
      <c r="J1" s="1" t="s">
        <v>14</v>
      </c>
      <c r="K1" s="8"/>
      <c r="L1" s="1"/>
      <c r="M1" s="1"/>
      <c r="N1" s="1" t="s">
        <v>17</v>
      </c>
      <c r="O1" s="1" t="s">
        <v>18</v>
      </c>
      <c r="P1" s="1" t="s">
        <v>19</v>
      </c>
    </row>
    <row r="2" spans="1:34" s="10" customFormat="1" x14ac:dyDescent="0.25">
      <c r="A2" s="12">
        <v>7470776</v>
      </c>
      <c r="B2" s="12" t="s">
        <v>41</v>
      </c>
      <c r="C2" s="12" t="s">
        <v>42</v>
      </c>
      <c r="D2" s="9">
        <v>7250197617</v>
      </c>
      <c r="E2" s="12" t="s">
        <v>377</v>
      </c>
      <c r="F2" s="12" t="s">
        <v>45</v>
      </c>
      <c r="G2" s="12" t="s">
        <v>46</v>
      </c>
      <c r="H2" s="12" t="s">
        <v>47</v>
      </c>
      <c r="I2" s="13">
        <v>45962</v>
      </c>
      <c r="J2" s="13">
        <v>45992</v>
      </c>
      <c r="K2" s="9">
        <f>DATEDIF(I2,J2,"M")</f>
        <v>1</v>
      </c>
      <c r="L2" s="13" t="s">
        <v>442</v>
      </c>
      <c r="M2" s="13" t="s">
        <v>441</v>
      </c>
      <c r="N2" s="9">
        <v>102</v>
      </c>
      <c r="O2" s="9">
        <v>1.37</v>
      </c>
      <c r="P2" s="9">
        <v>139.74</v>
      </c>
      <c r="Q2" s="12"/>
      <c r="R2" s="12"/>
      <c r="S2" s="12" t="s">
        <v>444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spans="1:34" s="10" customFormat="1" x14ac:dyDescent="0.25">
      <c r="A3" s="12">
        <v>7470776</v>
      </c>
      <c r="B3" s="12" t="s">
        <v>41</v>
      </c>
      <c r="C3" s="12" t="s">
        <v>42</v>
      </c>
      <c r="D3" s="9">
        <v>7250200941</v>
      </c>
      <c r="E3" s="12" t="s">
        <v>409</v>
      </c>
      <c r="F3" s="12" t="s">
        <v>45</v>
      </c>
      <c r="G3" s="12" t="s">
        <v>46</v>
      </c>
      <c r="H3" s="12" t="s">
        <v>47</v>
      </c>
      <c r="I3" s="13">
        <v>45962</v>
      </c>
      <c r="J3" s="13">
        <v>45992</v>
      </c>
      <c r="K3" s="9">
        <f>DATEDIF(I3,J3,"M")</f>
        <v>1</v>
      </c>
      <c r="L3" s="13" t="s">
        <v>442</v>
      </c>
      <c r="M3" s="13" t="s">
        <v>441</v>
      </c>
      <c r="N3" s="9">
        <v>101.6</v>
      </c>
      <c r="O3" s="9">
        <v>1.37</v>
      </c>
      <c r="P3" s="9">
        <v>139.19</v>
      </c>
      <c r="Q3" s="12"/>
      <c r="R3" s="12"/>
      <c r="S3" s="12" t="s">
        <v>444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4" s="10" customFormat="1" x14ac:dyDescent="0.25">
      <c r="A4" s="12">
        <v>7470776</v>
      </c>
      <c r="B4" s="12" t="s">
        <v>41</v>
      </c>
      <c r="C4" s="12" t="s">
        <v>42</v>
      </c>
      <c r="D4" s="9">
        <v>7250212961</v>
      </c>
      <c r="E4" s="12" t="s">
        <v>425</v>
      </c>
      <c r="F4" s="12" t="s">
        <v>45</v>
      </c>
      <c r="G4" s="12" t="s">
        <v>46</v>
      </c>
      <c r="H4" s="12" t="s">
        <v>47</v>
      </c>
      <c r="I4" s="13">
        <v>45962</v>
      </c>
      <c r="J4" s="13">
        <v>45992</v>
      </c>
      <c r="K4" s="9">
        <f>DATEDIF(I4,J4,"M")</f>
        <v>1</v>
      </c>
      <c r="L4" s="13" t="s">
        <v>442</v>
      </c>
      <c r="M4" s="13" t="s">
        <v>441</v>
      </c>
      <c r="N4" s="9">
        <v>102.26</v>
      </c>
      <c r="O4" s="9">
        <v>1.37</v>
      </c>
      <c r="P4" s="9">
        <v>140.1</v>
      </c>
      <c r="Q4" s="12"/>
      <c r="R4" s="12"/>
      <c r="S4" s="12" t="s">
        <v>444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s="10" customFormat="1" x14ac:dyDescent="0.25">
      <c r="A5" s="12">
        <v>7470776</v>
      </c>
      <c r="B5" s="12" t="s">
        <v>41</v>
      </c>
      <c r="C5" s="12" t="s">
        <v>42</v>
      </c>
      <c r="D5" s="9">
        <v>6250172656</v>
      </c>
      <c r="E5" s="12" t="s">
        <v>384</v>
      </c>
      <c r="F5" s="12" t="s">
        <v>45</v>
      </c>
      <c r="G5" s="12" t="s">
        <v>46</v>
      </c>
      <c r="H5" s="12" t="s">
        <v>47</v>
      </c>
      <c r="I5" s="13">
        <v>45962</v>
      </c>
      <c r="J5" s="13">
        <v>45992</v>
      </c>
      <c r="K5" s="9">
        <f>DATEDIF(I5,J5,"M")</f>
        <v>1</v>
      </c>
      <c r="L5" s="13" t="s">
        <v>442</v>
      </c>
      <c r="M5" s="13" t="s">
        <v>441</v>
      </c>
      <c r="N5" s="9">
        <v>112.77</v>
      </c>
      <c r="O5" s="9">
        <v>0.9</v>
      </c>
      <c r="P5" s="9">
        <v>101.49</v>
      </c>
      <c r="Q5" s="12"/>
      <c r="R5" s="12"/>
      <c r="S5" s="12" t="s">
        <v>446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spans="1:34" s="10" customFormat="1" x14ac:dyDescent="0.25">
      <c r="A6" s="12">
        <v>7470776</v>
      </c>
      <c r="B6" s="12" t="s">
        <v>41</v>
      </c>
      <c r="C6" s="12" t="s">
        <v>42</v>
      </c>
      <c r="D6" s="9">
        <v>6250187897</v>
      </c>
      <c r="E6" s="12" t="s">
        <v>428</v>
      </c>
      <c r="F6" s="12" t="s">
        <v>45</v>
      </c>
      <c r="G6" s="12" t="s">
        <v>46</v>
      </c>
      <c r="H6" s="12" t="s">
        <v>47</v>
      </c>
      <c r="I6" s="13">
        <v>45962</v>
      </c>
      <c r="J6" s="13">
        <v>45992</v>
      </c>
      <c r="K6" s="9">
        <f>DATEDIF(I6,J6,"M")</f>
        <v>1</v>
      </c>
      <c r="L6" s="13" t="s">
        <v>442</v>
      </c>
      <c r="M6" s="13" t="s">
        <v>441</v>
      </c>
      <c r="N6" s="9">
        <v>63.54</v>
      </c>
      <c r="O6" s="9">
        <v>0.9</v>
      </c>
      <c r="P6" s="9">
        <v>57.19</v>
      </c>
      <c r="Q6" s="12"/>
      <c r="R6" s="12"/>
      <c r="S6" s="12" t="s">
        <v>446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spans="1:34" s="10" customFormat="1" x14ac:dyDescent="0.25">
      <c r="A7" s="12">
        <v>7470776</v>
      </c>
      <c r="B7" s="12" t="s">
        <v>41</v>
      </c>
      <c r="C7" s="12" t="s">
        <v>42</v>
      </c>
      <c r="D7" s="9">
        <v>7250151538</v>
      </c>
      <c r="E7" s="12" t="s">
        <v>421</v>
      </c>
      <c r="F7" s="12" t="s">
        <v>45</v>
      </c>
      <c r="G7" s="12" t="s">
        <v>46</v>
      </c>
      <c r="H7" s="12" t="s">
        <v>47</v>
      </c>
      <c r="I7" s="13">
        <v>45901</v>
      </c>
      <c r="J7" s="13">
        <v>45992</v>
      </c>
      <c r="K7" s="9">
        <f>DATEDIF(I7,J7,"M")</f>
        <v>3</v>
      </c>
      <c r="L7" s="13" t="s">
        <v>442</v>
      </c>
      <c r="M7" s="13" t="s">
        <v>441</v>
      </c>
      <c r="N7" s="9">
        <v>102.64</v>
      </c>
      <c r="O7" s="9">
        <v>1.37</v>
      </c>
      <c r="P7" s="9">
        <v>140.62</v>
      </c>
      <c r="Q7" s="12"/>
      <c r="R7" s="12"/>
      <c r="S7" s="12" t="s">
        <v>444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spans="1:34" s="10" customFormat="1" x14ac:dyDescent="0.25">
      <c r="A8" s="12">
        <v>7146581</v>
      </c>
      <c r="B8" s="12" t="s">
        <v>135</v>
      </c>
      <c r="C8" s="12" t="s">
        <v>42</v>
      </c>
      <c r="D8" s="9">
        <v>6250134171</v>
      </c>
      <c r="E8" s="12" t="s">
        <v>392</v>
      </c>
      <c r="F8" s="12" t="s">
        <v>45</v>
      </c>
      <c r="G8" s="12" t="s">
        <v>46</v>
      </c>
      <c r="H8" s="12" t="s">
        <v>47</v>
      </c>
      <c r="I8" s="13">
        <v>45897</v>
      </c>
      <c r="J8" s="13">
        <v>45989</v>
      </c>
      <c r="K8" s="9">
        <f>DATEDIF(I8,J8,"M")</f>
        <v>3</v>
      </c>
      <c r="L8" s="13" t="s">
        <v>442</v>
      </c>
      <c r="M8" s="13" t="s">
        <v>441</v>
      </c>
      <c r="N8" s="9">
        <v>78.58</v>
      </c>
      <c r="O8" s="9">
        <v>0.9</v>
      </c>
      <c r="P8" s="9">
        <v>70.72</v>
      </c>
      <c r="Q8" s="12"/>
      <c r="R8" s="12"/>
      <c r="S8" s="12" t="s">
        <v>446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spans="1:34" s="10" customFormat="1" x14ac:dyDescent="0.25">
      <c r="A9" s="12">
        <v>7146581</v>
      </c>
      <c r="B9" s="12" t="s">
        <v>135</v>
      </c>
      <c r="C9" s="12" t="s">
        <v>42</v>
      </c>
      <c r="D9" s="9">
        <v>6250134171</v>
      </c>
      <c r="E9" s="12" t="s">
        <v>392</v>
      </c>
      <c r="F9" s="12" t="s">
        <v>45</v>
      </c>
      <c r="G9" s="12" t="s">
        <v>46</v>
      </c>
      <c r="H9" s="12" t="s">
        <v>47</v>
      </c>
      <c r="I9" s="13">
        <v>45897</v>
      </c>
      <c r="J9" s="13">
        <v>45989</v>
      </c>
      <c r="K9" s="9">
        <f>DATEDIF(I9,J9,"M")</f>
        <v>3</v>
      </c>
      <c r="L9" s="13" t="s">
        <v>442</v>
      </c>
      <c r="M9" s="13" t="s">
        <v>441</v>
      </c>
      <c r="N9" s="9">
        <v>78.58</v>
      </c>
      <c r="O9" s="9">
        <v>0.9</v>
      </c>
      <c r="P9" s="9">
        <v>70.72</v>
      </c>
      <c r="Q9" s="12"/>
      <c r="R9" s="12"/>
      <c r="S9" s="12" t="s">
        <v>446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34" s="12" customFormat="1" x14ac:dyDescent="0.25">
      <c r="A10" s="12">
        <v>7470776</v>
      </c>
      <c r="B10" s="12" t="s">
        <v>41</v>
      </c>
      <c r="C10" s="12" t="s">
        <v>42</v>
      </c>
      <c r="D10" s="9">
        <v>7250123977</v>
      </c>
      <c r="E10" s="12" t="s">
        <v>396</v>
      </c>
      <c r="F10" s="12" t="s">
        <v>45</v>
      </c>
      <c r="G10" s="12" t="s">
        <v>46</v>
      </c>
      <c r="H10" s="12" t="s">
        <v>47</v>
      </c>
      <c r="I10" s="13">
        <v>45870</v>
      </c>
      <c r="J10" s="13">
        <v>45992</v>
      </c>
      <c r="K10" s="9">
        <f>DATEDIF(I10,J10,"M")</f>
        <v>4</v>
      </c>
      <c r="L10" s="13" t="s">
        <v>442</v>
      </c>
      <c r="M10" s="13" t="s">
        <v>441</v>
      </c>
      <c r="N10" s="9">
        <v>102.96</v>
      </c>
      <c r="O10" s="9">
        <v>1.37</v>
      </c>
      <c r="P10" s="9">
        <v>141.06</v>
      </c>
      <c r="S10" s="12" t="s">
        <v>444</v>
      </c>
    </row>
    <row r="11" spans="1:34" s="12" customFormat="1" x14ac:dyDescent="0.25">
      <c r="A11" s="12">
        <v>7470776</v>
      </c>
      <c r="B11" s="12" t="s">
        <v>41</v>
      </c>
      <c r="C11" s="12" t="s">
        <v>42</v>
      </c>
      <c r="D11" s="9">
        <v>7250124322</v>
      </c>
      <c r="E11" s="12" t="s">
        <v>432</v>
      </c>
      <c r="F11" s="12" t="s">
        <v>45</v>
      </c>
      <c r="G11" s="12" t="s">
        <v>46</v>
      </c>
      <c r="H11" s="12" t="s">
        <v>47</v>
      </c>
      <c r="I11" s="13">
        <v>45870</v>
      </c>
      <c r="J11" s="13">
        <v>45992</v>
      </c>
      <c r="K11" s="9">
        <f>DATEDIF(I11,J11,"M")</f>
        <v>4</v>
      </c>
      <c r="L11" s="13" t="s">
        <v>442</v>
      </c>
      <c r="M11" s="13" t="s">
        <v>441</v>
      </c>
      <c r="N11" s="9">
        <v>97.54</v>
      </c>
      <c r="O11" s="9">
        <v>1.37</v>
      </c>
      <c r="P11" s="9">
        <v>133.63</v>
      </c>
      <c r="S11" s="12" t="s">
        <v>444</v>
      </c>
    </row>
    <row r="12" spans="1:34" s="12" customFormat="1" x14ac:dyDescent="0.25">
      <c r="A12" s="12">
        <v>7470776</v>
      </c>
      <c r="B12" s="12" t="s">
        <v>41</v>
      </c>
      <c r="C12" s="12" t="s">
        <v>42</v>
      </c>
      <c r="D12" s="9">
        <v>6250121740</v>
      </c>
      <c r="E12" s="12" t="s">
        <v>418</v>
      </c>
      <c r="F12" s="12" t="s">
        <v>45</v>
      </c>
      <c r="G12" s="12" t="s">
        <v>46</v>
      </c>
      <c r="H12" s="12" t="s">
        <v>47</v>
      </c>
      <c r="I12" s="13">
        <v>45870</v>
      </c>
      <c r="J12" s="13">
        <v>45992</v>
      </c>
      <c r="K12" s="9">
        <f>DATEDIF(I12,J12,"M")</f>
        <v>4</v>
      </c>
      <c r="L12" s="13" t="s">
        <v>442</v>
      </c>
      <c r="M12" s="13" t="s">
        <v>441</v>
      </c>
      <c r="N12" s="9">
        <v>76.53</v>
      </c>
      <c r="O12" s="9">
        <v>0.9</v>
      </c>
      <c r="P12" s="9">
        <v>68.88</v>
      </c>
      <c r="S12" s="12" t="s">
        <v>446</v>
      </c>
    </row>
    <row r="13" spans="1:34" s="12" customFormat="1" x14ac:dyDescent="0.25">
      <c r="A13" s="12">
        <v>7470776</v>
      </c>
      <c r="B13" s="12" t="s">
        <v>41</v>
      </c>
      <c r="C13" s="12" t="s">
        <v>42</v>
      </c>
      <c r="D13" s="9">
        <v>7250070948</v>
      </c>
      <c r="E13" s="12" t="s">
        <v>381</v>
      </c>
      <c r="F13" s="12" t="s">
        <v>45</v>
      </c>
      <c r="G13" s="12" t="s">
        <v>46</v>
      </c>
      <c r="H13" s="12" t="s">
        <v>47</v>
      </c>
      <c r="I13" s="13">
        <v>45809</v>
      </c>
      <c r="J13" s="13">
        <v>45992</v>
      </c>
      <c r="K13" s="9">
        <f>DATEDIF(I13,J13,"M")</f>
        <v>6</v>
      </c>
      <c r="L13" s="13" t="s">
        <v>442</v>
      </c>
      <c r="M13" s="13" t="s">
        <v>441</v>
      </c>
      <c r="N13" s="9">
        <v>75.98</v>
      </c>
      <c r="O13" s="9">
        <v>1.37</v>
      </c>
      <c r="P13" s="9">
        <v>104.09</v>
      </c>
      <c r="S13" s="12" t="s">
        <v>444</v>
      </c>
    </row>
    <row r="14" spans="1:34" s="12" customFormat="1" x14ac:dyDescent="0.25">
      <c r="A14" s="12">
        <v>7470776</v>
      </c>
      <c r="B14" s="12" t="s">
        <v>41</v>
      </c>
      <c r="C14" s="12" t="s">
        <v>42</v>
      </c>
      <c r="D14" s="9">
        <v>7250060334</v>
      </c>
      <c r="E14" s="12" t="s">
        <v>394</v>
      </c>
      <c r="F14" s="12" t="s">
        <v>45</v>
      </c>
      <c r="G14" s="12" t="s">
        <v>46</v>
      </c>
      <c r="H14" s="12" t="s">
        <v>47</v>
      </c>
      <c r="I14" s="13">
        <v>45778</v>
      </c>
      <c r="J14" s="13">
        <v>45992</v>
      </c>
      <c r="K14" s="9">
        <f>DATEDIF(I14,J14,"M")</f>
        <v>7</v>
      </c>
      <c r="L14" s="13" t="s">
        <v>442</v>
      </c>
      <c r="M14" s="13" t="s">
        <v>441</v>
      </c>
      <c r="N14" s="9">
        <v>91</v>
      </c>
      <c r="O14" s="9">
        <v>1.37</v>
      </c>
      <c r="P14" s="9">
        <v>124.67</v>
      </c>
      <c r="S14" s="12" t="s">
        <v>444</v>
      </c>
    </row>
    <row r="15" spans="1:34" s="12" customFormat="1" x14ac:dyDescent="0.25">
      <c r="A15" s="12">
        <v>7470776</v>
      </c>
      <c r="B15" s="12" t="s">
        <v>41</v>
      </c>
      <c r="C15" s="12" t="s">
        <v>42</v>
      </c>
      <c r="D15" s="9">
        <v>7250059859</v>
      </c>
      <c r="E15" s="12" t="s">
        <v>423</v>
      </c>
      <c r="F15" s="12" t="s">
        <v>45</v>
      </c>
      <c r="G15" s="12" t="s">
        <v>46</v>
      </c>
      <c r="H15" s="12" t="s">
        <v>47</v>
      </c>
      <c r="I15" s="13">
        <v>45778</v>
      </c>
      <c r="J15" s="13">
        <v>45992</v>
      </c>
      <c r="K15" s="9">
        <f>DATEDIF(I15,J15,"M")</f>
        <v>7</v>
      </c>
      <c r="L15" s="13" t="s">
        <v>442</v>
      </c>
      <c r="M15" s="13" t="s">
        <v>441</v>
      </c>
      <c r="N15" s="9">
        <v>92.91</v>
      </c>
      <c r="O15" s="9">
        <v>1.37</v>
      </c>
      <c r="P15" s="9">
        <v>127.29</v>
      </c>
      <c r="S15" s="12" t="s">
        <v>444</v>
      </c>
    </row>
    <row r="16" spans="1:34" s="12" customFormat="1" x14ac:dyDescent="0.25">
      <c r="A16" s="12">
        <v>16912722</v>
      </c>
      <c r="B16" s="12" t="s">
        <v>235</v>
      </c>
      <c r="C16" s="12" t="s">
        <v>42</v>
      </c>
      <c r="D16" s="9">
        <v>7250052846</v>
      </c>
      <c r="E16" s="12" t="s">
        <v>412</v>
      </c>
      <c r="F16" s="12" t="s">
        <v>45</v>
      </c>
      <c r="G16" s="12" t="s">
        <v>46</v>
      </c>
      <c r="H16" s="12" t="s">
        <v>47</v>
      </c>
      <c r="I16" s="13">
        <v>45752</v>
      </c>
      <c r="J16" s="13">
        <v>45966</v>
      </c>
      <c r="K16" s="9">
        <f>DATEDIF(I16,J16,"M")</f>
        <v>7</v>
      </c>
      <c r="L16" s="13" t="s">
        <v>442</v>
      </c>
      <c r="M16" s="13" t="s">
        <v>441</v>
      </c>
      <c r="N16" s="9">
        <v>95.23</v>
      </c>
      <c r="O16" s="9">
        <v>1.37</v>
      </c>
      <c r="P16" s="9">
        <v>130.47</v>
      </c>
      <c r="S16" s="12" t="s">
        <v>444</v>
      </c>
    </row>
    <row r="17" spans="1:19" s="12" customFormat="1" x14ac:dyDescent="0.25">
      <c r="A17" s="12">
        <v>7470776</v>
      </c>
      <c r="B17" s="12" t="s">
        <v>41</v>
      </c>
      <c r="C17" s="12" t="s">
        <v>42</v>
      </c>
      <c r="D17" s="9">
        <v>7250037352</v>
      </c>
      <c r="E17" s="12" t="s">
        <v>387</v>
      </c>
      <c r="F17" s="12" t="s">
        <v>45</v>
      </c>
      <c r="G17" s="12" t="s">
        <v>46</v>
      </c>
      <c r="H17" s="12" t="s">
        <v>47</v>
      </c>
      <c r="I17" s="13">
        <v>45748</v>
      </c>
      <c r="J17" s="13">
        <v>45992</v>
      </c>
      <c r="K17" s="9">
        <f>DATEDIF(I17,J17,"M")</f>
        <v>8</v>
      </c>
      <c r="L17" s="13" t="s">
        <v>442</v>
      </c>
      <c r="M17" s="13" t="s">
        <v>441</v>
      </c>
      <c r="N17" s="9">
        <v>101.26</v>
      </c>
      <c r="O17" s="9">
        <v>1.37</v>
      </c>
      <c r="P17" s="9">
        <v>138.72999999999999</v>
      </c>
      <c r="Q17" s="12">
        <v>2</v>
      </c>
      <c r="R17" s="12">
        <v>6</v>
      </c>
      <c r="S17" s="12" t="s">
        <v>444</v>
      </c>
    </row>
    <row r="18" spans="1:19" s="12" customFormat="1" x14ac:dyDescent="0.25">
      <c r="A18" s="12">
        <v>7470776</v>
      </c>
      <c r="B18" s="12" t="s">
        <v>41</v>
      </c>
      <c r="C18" s="12" t="s">
        <v>42</v>
      </c>
      <c r="D18" s="9">
        <v>7250037369</v>
      </c>
      <c r="E18" s="12" t="s">
        <v>395</v>
      </c>
      <c r="F18" s="12" t="s">
        <v>45</v>
      </c>
      <c r="G18" s="12" t="s">
        <v>46</v>
      </c>
      <c r="H18" s="12" t="s">
        <v>47</v>
      </c>
      <c r="I18" s="13">
        <v>45748</v>
      </c>
      <c r="J18" s="13">
        <v>45992</v>
      </c>
      <c r="K18" s="9">
        <f>DATEDIF(I18,J18,"M")</f>
        <v>8</v>
      </c>
      <c r="L18" s="13" t="s">
        <v>442</v>
      </c>
      <c r="M18" s="13" t="s">
        <v>441</v>
      </c>
      <c r="N18" s="9">
        <v>103.78</v>
      </c>
      <c r="O18" s="9">
        <v>1.37</v>
      </c>
      <c r="P18" s="9">
        <v>142.18</v>
      </c>
      <c r="Q18" s="12">
        <v>2</v>
      </c>
      <c r="R18" s="12">
        <v>6</v>
      </c>
      <c r="S18" s="12" t="s">
        <v>444</v>
      </c>
    </row>
    <row r="19" spans="1:19" s="12" customFormat="1" x14ac:dyDescent="0.25">
      <c r="A19" s="12">
        <v>7470776</v>
      </c>
      <c r="B19" s="12" t="s">
        <v>41</v>
      </c>
      <c r="C19" s="12" t="s">
        <v>42</v>
      </c>
      <c r="D19" s="9">
        <v>7250036244</v>
      </c>
      <c r="E19" s="12" t="s">
        <v>410</v>
      </c>
      <c r="F19" s="12" t="s">
        <v>45</v>
      </c>
      <c r="G19" s="12" t="s">
        <v>46</v>
      </c>
      <c r="H19" s="12" t="s">
        <v>47</v>
      </c>
      <c r="I19" s="13">
        <v>45748</v>
      </c>
      <c r="J19" s="13">
        <v>45992</v>
      </c>
      <c r="K19" s="9">
        <f>DATEDIF(I19,J19,"M")</f>
        <v>8</v>
      </c>
      <c r="L19" s="13" t="s">
        <v>442</v>
      </c>
      <c r="M19" s="13" t="s">
        <v>441</v>
      </c>
      <c r="N19" s="9">
        <v>82.75</v>
      </c>
      <c r="O19" s="9">
        <v>1.37</v>
      </c>
      <c r="P19" s="9">
        <v>113.37</v>
      </c>
      <c r="Q19" s="12">
        <v>2</v>
      </c>
      <c r="R19" s="12">
        <v>6</v>
      </c>
      <c r="S19" s="12" t="s">
        <v>444</v>
      </c>
    </row>
    <row r="20" spans="1:19" s="12" customFormat="1" x14ac:dyDescent="0.25">
      <c r="A20" s="12">
        <v>7470776</v>
      </c>
      <c r="B20" s="12" t="s">
        <v>41</v>
      </c>
      <c r="C20" s="12" t="s">
        <v>42</v>
      </c>
      <c r="D20" s="9">
        <v>7250031045</v>
      </c>
      <c r="E20" s="12" t="s">
        <v>413</v>
      </c>
      <c r="F20" s="12" t="s">
        <v>45</v>
      </c>
      <c r="G20" s="12" t="s">
        <v>46</v>
      </c>
      <c r="H20" s="12" t="s">
        <v>47</v>
      </c>
      <c r="I20" s="13">
        <v>45748</v>
      </c>
      <c r="J20" s="13">
        <v>45992</v>
      </c>
      <c r="K20" s="9">
        <f>DATEDIF(I20,J20,"M")</f>
        <v>8</v>
      </c>
      <c r="L20" s="13" t="s">
        <v>442</v>
      </c>
      <c r="M20" s="13" t="s">
        <v>441</v>
      </c>
      <c r="N20" s="9">
        <v>101.78</v>
      </c>
      <c r="O20" s="9">
        <v>1.37</v>
      </c>
      <c r="P20" s="9">
        <v>139.44</v>
      </c>
      <c r="Q20" s="12">
        <v>2</v>
      </c>
      <c r="R20" s="12">
        <v>6</v>
      </c>
      <c r="S20" s="12" t="s">
        <v>444</v>
      </c>
    </row>
    <row r="21" spans="1:19" s="12" customFormat="1" x14ac:dyDescent="0.25">
      <c r="A21" s="12">
        <v>8325282</v>
      </c>
      <c r="B21" s="12" t="s">
        <v>167</v>
      </c>
      <c r="C21" s="12" t="s">
        <v>42</v>
      </c>
      <c r="D21" s="9">
        <v>7250043503</v>
      </c>
      <c r="E21" s="12" t="s">
        <v>398</v>
      </c>
      <c r="F21" s="12" t="s">
        <v>45</v>
      </c>
      <c r="G21" s="12" t="s">
        <v>46</v>
      </c>
      <c r="H21" s="12" t="s">
        <v>47</v>
      </c>
      <c r="I21" s="13">
        <v>45748</v>
      </c>
      <c r="J21" s="13">
        <v>45992</v>
      </c>
      <c r="K21" s="9">
        <f>DATEDIF(I21,J21,"M")</f>
        <v>8</v>
      </c>
      <c r="L21" s="13" t="s">
        <v>442</v>
      </c>
      <c r="M21" s="13" t="s">
        <v>441</v>
      </c>
      <c r="N21" s="9">
        <v>125.22</v>
      </c>
      <c r="O21" s="9">
        <v>1.37</v>
      </c>
      <c r="P21" s="9">
        <v>171.55</v>
      </c>
      <c r="Q21" s="12">
        <v>2</v>
      </c>
      <c r="R21" s="12">
        <v>6</v>
      </c>
      <c r="S21" s="12" t="s">
        <v>444</v>
      </c>
    </row>
    <row r="22" spans="1:19" s="12" customFormat="1" x14ac:dyDescent="0.25">
      <c r="A22" s="12">
        <v>19200754</v>
      </c>
      <c r="B22" s="12" t="s">
        <v>355</v>
      </c>
      <c r="C22" s="12" t="s">
        <v>42</v>
      </c>
      <c r="D22" s="9">
        <v>6250030658</v>
      </c>
      <c r="E22" s="12" t="s">
        <v>437</v>
      </c>
      <c r="F22" s="12" t="s">
        <v>45</v>
      </c>
      <c r="G22" s="12" t="s">
        <v>46</v>
      </c>
      <c r="H22" s="12" t="s">
        <v>47</v>
      </c>
      <c r="I22" s="13">
        <v>45721</v>
      </c>
      <c r="J22" s="13">
        <v>45966</v>
      </c>
      <c r="K22" s="9">
        <f>DATEDIF(I22,J22,"M")</f>
        <v>8</v>
      </c>
      <c r="L22" s="13" t="s">
        <v>442</v>
      </c>
      <c r="M22" s="13" t="s">
        <v>443</v>
      </c>
      <c r="N22" s="9">
        <v>80.39</v>
      </c>
      <c r="O22" s="9">
        <v>0.9</v>
      </c>
      <c r="P22" s="9">
        <v>72.349999999999994</v>
      </c>
      <c r="Q22" s="12">
        <v>3</v>
      </c>
      <c r="R22" s="12">
        <v>6</v>
      </c>
      <c r="S22" s="12" t="s">
        <v>446</v>
      </c>
    </row>
    <row r="23" spans="1:19" s="12" customFormat="1" x14ac:dyDescent="0.25">
      <c r="A23" s="12">
        <v>8244481</v>
      </c>
      <c r="B23" s="12" t="s">
        <v>202</v>
      </c>
      <c r="C23" s="12" t="s">
        <v>42</v>
      </c>
      <c r="D23" s="9">
        <v>6250018603</v>
      </c>
      <c r="E23" s="12" t="s">
        <v>405</v>
      </c>
      <c r="F23" s="12" t="s">
        <v>45</v>
      </c>
      <c r="G23" s="12" t="s">
        <v>46</v>
      </c>
      <c r="H23" s="12" t="s">
        <v>47</v>
      </c>
      <c r="I23" s="13">
        <v>45692</v>
      </c>
      <c r="J23" s="13">
        <v>45965</v>
      </c>
      <c r="K23" s="9">
        <f>DATEDIF(I23,J23,"M")</f>
        <v>9</v>
      </c>
      <c r="L23" s="13" t="s">
        <v>442</v>
      </c>
      <c r="M23" s="13" t="s">
        <v>443</v>
      </c>
      <c r="N23" s="9">
        <v>159.29</v>
      </c>
      <c r="O23" s="9">
        <v>0.9</v>
      </c>
      <c r="P23" s="9">
        <v>143.36000000000001</v>
      </c>
      <c r="Q23" s="12">
        <v>4</v>
      </c>
      <c r="R23" s="12">
        <v>6</v>
      </c>
      <c r="S23" s="12" t="s">
        <v>446</v>
      </c>
    </row>
    <row r="24" spans="1:19" s="12" customFormat="1" x14ac:dyDescent="0.25">
      <c r="A24" s="12">
        <v>7470776</v>
      </c>
      <c r="B24" s="12" t="s">
        <v>41</v>
      </c>
      <c r="C24" s="12" t="s">
        <v>42</v>
      </c>
      <c r="D24" s="9">
        <v>7250000354</v>
      </c>
      <c r="E24" s="12" t="s">
        <v>388</v>
      </c>
      <c r="F24" s="12" t="s">
        <v>45</v>
      </c>
      <c r="G24" s="12" t="s">
        <v>46</v>
      </c>
      <c r="H24" s="12" t="s">
        <v>47</v>
      </c>
      <c r="I24" s="13">
        <v>45689</v>
      </c>
      <c r="J24" s="13">
        <v>45992</v>
      </c>
      <c r="K24" s="9">
        <f>DATEDIF(I24,J24,"M")</f>
        <v>10</v>
      </c>
      <c r="L24" s="13" t="s">
        <v>442</v>
      </c>
      <c r="M24" s="13" t="s">
        <v>443</v>
      </c>
      <c r="N24" s="9">
        <v>113.46</v>
      </c>
      <c r="O24" s="9">
        <v>1.37</v>
      </c>
      <c r="P24" s="9">
        <v>155.44</v>
      </c>
      <c r="S24" s="12" t="s">
        <v>444</v>
      </c>
    </row>
    <row r="25" spans="1:19" s="12" customFormat="1" x14ac:dyDescent="0.25">
      <c r="A25" s="12">
        <v>7470776</v>
      </c>
      <c r="B25" s="12" t="s">
        <v>41</v>
      </c>
      <c r="C25" s="12" t="s">
        <v>42</v>
      </c>
      <c r="D25" s="9">
        <v>7250001892</v>
      </c>
      <c r="E25" s="12" t="s">
        <v>424</v>
      </c>
      <c r="F25" s="12" t="s">
        <v>45</v>
      </c>
      <c r="G25" s="12" t="s">
        <v>46</v>
      </c>
      <c r="H25" s="12" t="s">
        <v>47</v>
      </c>
      <c r="I25" s="13">
        <v>45689</v>
      </c>
      <c r="J25" s="13">
        <v>45992</v>
      </c>
      <c r="K25" s="9">
        <f>DATEDIF(I25,J25,"M")</f>
        <v>10</v>
      </c>
      <c r="L25" s="13" t="s">
        <v>442</v>
      </c>
      <c r="M25" s="13" t="s">
        <v>443</v>
      </c>
      <c r="N25" s="9">
        <v>112.73</v>
      </c>
      <c r="O25" s="9">
        <v>1.37</v>
      </c>
      <c r="P25" s="9">
        <v>154.44</v>
      </c>
      <c r="S25" s="12" t="s">
        <v>444</v>
      </c>
    </row>
    <row r="26" spans="1:19" s="12" customFormat="1" x14ac:dyDescent="0.25">
      <c r="A26" s="12">
        <v>7470776</v>
      </c>
      <c r="B26" s="12" t="s">
        <v>41</v>
      </c>
      <c r="C26" s="12" t="s">
        <v>42</v>
      </c>
      <c r="D26" s="9">
        <v>7250006451</v>
      </c>
      <c r="E26" s="12" t="s">
        <v>429</v>
      </c>
      <c r="F26" s="12" t="s">
        <v>45</v>
      </c>
      <c r="G26" s="12" t="s">
        <v>46</v>
      </c>
      <c r="H26" s="12" t="s">
        <v>47</v>
      </c>
      <c r="I26" s="13">
        <v>45689</v>
      </c>
      <c r="J26" s="13">
        <v>45992</v>
      </c>
      <c r="K26" s="9">
        <f>DATEDIF(I26,J26,"M")</f>
        <v>10</v>
      </c>
      <c r="L26" s="13" t="s">
        <v>442</v>
      </c>
      <c r="M26" s="13" t="s">
        <v>443</v>
      </c>
      <c r="N26" s="9">
        <v>102.3</v>
      </c>
      <c r="O26" s="9">
        <v>1.37</v>
      </c>
      <c r="P26" s="9">
        <v>140.15</v>
      </c>
      <c r="S26" s="12" t="s">
        <v>444</v>
      </c>
    </row>
    <row r="27" spans="1:19" s="12" customFormat="1" x14ac:dyDescent="0.25">
      <c r="A27" s="12">
        <v>7470776</v>
      </c>
      <c r="B27" s="12" t="s">
        <v>41</v>
      </c>
      <c r="C27" s="12" t="s">
        <v>42</v>
      </c>
      <c r="D27" s="9">
        <v>7250001863</v>
      </c>
      <c r="E27" s="12" t="s">
        <v>431</v>
      </c>
      <c r="F27" s="12" t="s">
        <v>45</v>
      </c>
      <c r="G27" s="12" t="s">
        <v>46</v>
      </c>
      <c r="H27" s="12" t="s">
        <v>47</v>
      </c>
      <c r="I27" s="13">
        <v>45689</v>
      </c>
      <c r="J27" s="13">
        <v>45992</v>
      </c>
      <c r="K27" s="9">
        <f>DATEDIF(I27,J27,"M")</f>
        <v>10</v>
      </c>
      <c r="L27" s="13" t="s">
        <v>442</v>
      </c>
      <c r="M27" s="13" t="s">
        <v>443</v>
      </c>
      <c r="N27" s="9">
        <v>113.8</v>
      </c>
      <c r="O27" s="9">
        <v>0.94499999999999995</v>
      </c>
      <c r="P27" s="9">
        <v>107.54</v>
      </c>
      <c r="S27" s="12" t="s">
        <v>445</v>
      </c>
    </row>
    <row r="28" spans="1:19" s="12" customFormat="1" x14ac:dyDescent="0.25">
      <c r="A28" s="12">
        <v>7470776</v>
      </c>
      <c r="B28" s="12" t="s">
        <v>41</v>
      </c>
      <c r="C28" s="12" t="s">
        <v>42</v>
      </c>
      <c r="D28" s="9">
        <v>6250016471</v>
      </c>
      <c r="E28" s="12" t="s">
        <v>376</v>
      </c>
      <c r="F28" s="12" t="s">
        <v>45</v>
      </c>
      <c r="G28" s="12" t="s">
        <v>46</v>
      </c>
      <c r="H28" s="12" t="s">
        <v>47</v>
      </c>
      <c r="I28" s="13">
        <v>45689</v>
      </c>
      <c r="J28" s="13">
        <v>45992</v>
      </c>
      <c r="K28" s="9">
        <f>DATEDIF(I28,J28,"M")</f>
        <v>10</v>
      </c>
      <c r="L28" s="13" t="s">
        <v>442</v>
      </c>
      <c r="M28" s="13" t="s">
        <v>443</v>
      </c>
      <c r="N28" s="9">
        <v>60.02</v>
      </c>
      <c r="O28" s="9">
        <v>0.9</v>
      </c>
      <c r="P28" s="9">
        <v>54.02</v>
      </c>
      <c r="S28" s="12" t="s">
        <v>446</v>
      </c>
    </row>
    <row r="29" spans="1:19" s="12" customFormat="1" x14ac:dyDescent="0.25">
      <c r="A29" s="12">
        <v>7470776</v>
      </c>
      <c r="B29" s="12" t="s">
        <v>41</v>
      </c>
      <c r="C29" s="12" t="s">
        <v>42</v>
      </c>
      <c r="D29" s="9">
        <v>7240122461</v>
      </c>
      <c r="E29" s="12" t="s">
        <v>380</v>
      </c>
      <c r="F29" s="12" t="s">
        <v>45</v>
      </c>
      <c r="G29" s="12" t="s">
        <v>46</v>
      </c>
      <c r="H29" s="12" t="s">
        <v>47</v>
      </c>
      <c r="I29" s="13">
        <v>45658</v>
      </c>
      <c r="J29" s="13">
        <v>45992</v>
      </c>
      <c r="K29" s="9">
        <f>DATEDIF(I29,J29,"M")</f>
        <v>11</v>
      </c>
      <c r="L29" s="13" t="s">
        <v>442</v>
      </c>
      <c r="M29" s="13" t="s">
        <v>443</v>
      </c>
      <c r="N29" s="9">
        <v>81.52</v>
      </c>
      <c r="O29" s="9">
        <v>1.37</v>
      </c>
      <c r="P29" s="9">
        <v>111.68</v>
      </c>
      <c r="S29" s="12" t="s">
        <v>444</v>
      </c>
    </row>
    <row r="30" spans="1:19" s="12" customFormat="1" x14ac:dyDescent="0.25">
      <c r="A30" s="12">
        <v>7470776</v>
      </c>
      <c r="B30" s="12" t="s">
        <v>41</v>
      </c>
      <c r="C30" s="12" t="s">
        <v>42</v>
      </c>
      <c r="D30" s="9">
        <v>7240121170</v>
      </c>
      <c r="E30" s="12" t="s">
        <v>385</v>
      </c>
      <c r="F30" s="12" t="s">
        <v>45</v>
      </c>
      <c r="G30" s="12" t="s">
        <v>46</v>
      </c>
      <c r="H30" s="12" t="s">
        <v>47</v>
      </c>
      <c r="I30" s="13">
        <v>45658</v>
      </c>
      <c r="J30" s="13">
        <v>45992</v>
      </c>
      <c r="K30" s="9">
        <f>DATEDIF(I30,J30,"M")</f>
        <v>11</v>
      </c>
      <c r="L30" s="13" t="s">
        <v>442</v>
      </c>
      <c r="M30" s="13" t="s">
        <v>443</v>
      </c>
      <c r="N30" s="9">
        <v>93.43</v>
      </c>
      <c r="O30" s="9">
        <v>1.37</v>
      </c>
      <c r="P30" s="9">
        <v>128</v>
      </c>
      <c r="S30" s="12" t="s">
        <v>444</v>
      </c>
    </row>
    <row r="31" spans="1:19" s="12" customFormat="1" x14ac:dyDescent="0.25">
      <c r="A31" s="12">
        <v>7470776</v>
      </c>
      <c r="B31" s="12" t="s">
        <v>41</v>
      </c>
      <c r="C31" s="12" t="s">
        <v>42</v>
      </c>
      <c r="D31" s="9">
        <v>7240119914</v>
      </c>
      <c r="E31" s="12" t="s">
        <v>403</v>
      </c>
      <c r="F31" s="12" t="s">
        <v>45</v>
      </c>
      <c r="G31" s="12" t="s">
        <v>46</v>
      </c>
      <c r="H31" s="12" t="s">
        <v>47</v>
      </c>
      <c r="I31" s="13">
        <v>45658</v>
      </c>
      <c r="J31" s="13">
        <v>45992</v>
      </c>
      <c r="K31" s="9">
        <f>DATEDIF(I31,J31,"M")</f>
        <v>11</v>
      </c>
      <c r="L31" s="13" t="s">
        <v>442</v>
      </c>
      <c r="M31" s="13" t="s">
        <v>443</v>
      </c>
      <c r="N31" s="9">
        <v>78.099999999999994</v>
      </c>
      <c r="O31" s="9">
        <v>1.37</v>
      </c>
      <c r="P31" s="9">
        <v>107</v>
      </c>
      <c r="S31" s="12" t="s">
        <v>444</v>
      </c>
    </row>
    <row r="32" spans="1:19" s="12" customFormat="1" x14ac:dyDescent="0.25">
      <c r="A32" s="12">
        <v>7470776</v>
      </c>
      <c r="B32" s="12" t="s">
        <v>41</v>
      </c>
      <c r="C32" s="12" t="s">
        <v>42</v>
      </c>
      <c r="D32" s="9">
        <v>7240124010</v>
      </c>
      <c r="E32" s="12" t="s">
        <v>404</v>
      </c>
      <c r="F32" s="12" t="s">
        <v>45</v>
      </c>
      <c r="G32" s="12" t="s">
        <v>46</v>
      </c>
      <c r="H32" s="12" t="s">
        <v>47</v>
      </c>
      <c r="I32" s="13">
        <v>45658</v>
      </c>
      <c r="J32" s="13">
        <v>45992</v>
      </c>
      <c r="K32" s="9">
        <f>DATEDIF(I32,J32,"M")</f>
        <v>11</v>
      </c>
      <c r="L32" s="13" t="s">
        <v>442</v>
      </c>
      <c r="M32" s="13" t="s">
        <v>443</v>
      </c>
      <c r="N32" s="9">
        <v>45.93</v>
      </c>
      <c r="O32" s="9">
        <v>1.37</v>
      </c>
      <c r="P32" s="9">
        <v>62.92</v>
      </c>
      <c r="S32" s="12" t="s">
        <v>444</v>
      </c>
    </row>
    <row r="33" spans="1:34" s="12" customFormat="1" x14ac:dyDescent="0.25">
      <c r="A33" s="12">
        <v>7470776</v>
      </c>
      <c r="B33" s="12" t="s">
        <v>41</v>
      </c>
      <c r="C33" s="12" t="s">
        <v>42</v>
      </c>
      <c r="D33" s="9">
        <v>7240122919</v>
      </c>
      <c r="E33" s="12" t="s">
        <v>407</v>
      </c>
      <c r="F33" s="12" t="s">
        <v>45</v>
      </c>
      <c r="G33" s="12" t="s">
        <v>46</v>
      </c>
      <c r="H33" s="12" t="s">
        <v>47</v>
      </c>
      <c r="I33" s="13">
        <v>45658</v>
      </c>
      <c r="J33" s="13">
        <v>45992</v>
      </c>
      <c r="K33" s="9">
        <f>DATEDIF(I33,J33,"M")</f>
        <v>11</v>
      </c>
      <c r="L33" s="13" t="s">
        <v>442</v>
      </c>
      <c r="M33" s="13" t="s">
        <v>443</v>
      </c>
      <c r="N33" s="9">
        <v>73.790000000000006</v>
      </c>
      <c r="O33" s="9">
        <v>1.37</v>
      </c>
      <c r="P33" s="9">
        <v>101.09</v>
      </c>
      <c r="S33" s="12" t="s">
        <v>444</v>
      </c>
    </row>
    <row r="34" spans="1:34" s="12" customFormat="1" x14ac:dyDescent="0.25">
      <c r="A34" s="12">
        <v>7470776</v>
      </c>
      <c r="B34" s="12" t="s">
        <v>41</v>
      </c>
      <c r="C34" s="12" t="s">
        <v>42</v>
      </c>
      <c r="D34" s="9">
        <v>7240125223</v>
      </c>
      <c r="E34" s="12" t="s">
        <v>414</v>
      </c>
      <c r="F34" s="12" t="s">
        <v>45</v>
      </c>
      <c r="G34" s="12" t="s">
        <v>46</v>
      </c>
      <c r="H34" s="12" t="s">
        <v>47</v>
      </c>
      <c r="I34" s="13">
        <v>45658</v>
      </c>
      <c r="J34" s="13">
        <v>45992</v>
      </c>
      <c r="K34" s="9">
        <f>DATEDIF(I34,J34,"M")</f>
        <v>11</v>
      </c>
      <c r="L34" s="13" t="s">
        <v>442</v>
      </c>
      <c r="M34" s="13" t="s">
        <v>443</v>
      </c>
      <c r="N34" s="9">
        <v>88.23</v>
      </c>
      <c r="O34" s="9">
        <v>1.37</v>
      </c>
      <c r="P34" s="9">
        <v>120.88</v>
      </c>
      <c r="S34" s="12" t="s">
        <v>444</v>
      </c>
    </row>
    <row r="35" spans="1:34" s="12" customFormat="1" x14ac:dyDescent="0.25">
      <c r="A35" s="12">
        <v>7470776</v>
      </c>
      <c r="B35" s="12" t="s">
        <v>41</v>
      </c>
      <c r="C35" s="12" t="s">
        <v>42</v>
      </c>
      <c r="D35" s="9">
        <v>7240122077</v>
      </c>
      <c r="E35" s="12" t="s">
        <v>416</v>
      </c>
      <c r="F35" s="12" t="s">
        <v>45</v>
      </c>
      <c r="G35" s="12" t="s">
        <v>46</v>
      </c>
      <c r="H35" s="12" t="s">
        <v>47</v>
      </c>
      <c r="I35" s="13">
        <v>45658</v>
      </c>
      <c r="J35" s="13">
        <v>45992</v>
      </c>
      <c r="K35" s="9">
        <f>DATEDIF(I35,J35,"M")</f>
        <v>11</v>
      </c>
      <c r="L35" s="13" t="s">
        <v>442</v>
      </c>
      <c r="M35" s="13" t="s">
        <v>443</v>
      </c>
      <c r="N35" s="9">
        <v>96.3</v>
      </c>
      <c r="O35" s="9">
        <v>1.37</v>
      </c>
      <c r="P35" s="9">
        <v>131.93</v>
      </c>
      <c r="S35" s="12" t="s">
        <v>444</v>
      </c>
    </row>
    <row r="36" spans="1:34" s="12" customFormat="1" x14ac:dyDescent="0.25">
      <c r="A36" s="12">
        <v>7470776</v>
      </c>
      <c r="B36" s="12" t="s">
        <v>41</v>
      </c>
      <c r="C36" s="12" t="s">
        <v>42</v>
      </c>
      <c r="D36" s="9">
        <v>7240126613</v>
      </c>
      <c r="E36" s="12" t="s">
        <v>420</v>
      </c>
      <c r="F36" s="12" t="s">
        <v>45</v>
      </c>
      <c r="G36" s="12" t="s">
        <v>46</v>
      </c>
      <c r="H36" s="12" t="s">
        <v>47</v>
      </c>
      <c r="I36" s="13">
        <v>45658</v>
      </c>
      <c r="J36" s="13">
        <v>45992</v>
      </c>
      <c r="K36" s="9">
        <f>DATEDIF(I36,J36,"M")</f>
        <v>11</v>
      </c>
      <c r="L36" s="13" t="s">
        <v>442</v>
      </c>
      <c r="M36" s="13" t="s">
        <v>443</v>
      </c>
      <c r="N36" s="9">
        <v>72.260000000000005</v>
      </c>
      <c r="O36" s="9">
        <v>1.37</v>
      </c>
      <c r="P36" s="9">
        <v>99</v>
      </c>
      <c r="S36" s="12" t="s">
        <v>444</v>
      </c>
    </row>
    <row r="37" spans="1:34" s="12" customFormat="1" x14ac:dyDescent="0.25">
      <c r="A37" s="12">
        <v>7470776</v>
      </c>
      <c r="B37" s="12" t="s">
        <v>41</v>
      </c>
      <c r="C37" s="12" t="s">
        <v>42</v>
      </c>
      <c r="D37" s="9">
        <v>7240121167</v>
      </c>
      <c r="E37" s="12" t="s">
        <v>435</v>
      </c>
      <c r="F37" s="12" t="s">
        <v>45</v>
      </c>
      <c r="G37" s="12" t="s">
        <v>46</v>
      </c>
      <c r="H37" s="12" t="s">
        <v>47</v>
      </c>
      <c r="I37" s="13">
        <v>45658</v>
      </c>
      <c r="J37" s="13">
        <v>45992</v>
      </c>
      <c r="K37" s="9">
        <f>DATEDIF(I37,J37,"M")</f>
        <v>11</v>
      </c>
      <c r="L37" s="13" t="s">
        <v>442</v>
      </c>
      <c r="M37" s="13" t="s">
        <v>443</v>
      </c>
      <c r="N37" s="9">
        <v>98.46</v>
      </c>
      <c r="O37" s="9">
        <v>1.37</v>
      </c>
      <c r="P37" s="9">
        <v>134.88999999999999</v>
      </c>
      <c r="S37" s="12" t="s">
        <v>444</v>
      </c>
    </row>
    <row r="38" spans="1:34" s="12" customFormat="1" x14ac:dyDescent="0.25">
      <c r="A38" s="12">
        <v>7470776</v>
      </c>
      <c r="B38" s="12" t="s">
        <v>41</v>
      </c>
      <c r="C38" s="12" t="s">
        <v>42</v>
      </c>
      <c r="D38" s="9">
        <v>7240126463</v>
      </c>
      <c r="E38" s="12" t="s">
        <v>436</v>
      </c>
      <c r="F38" s="12" t="s">
        <v>45</v>
      </c>
      <c r="G38" s="12" t="s">
        <v>46</v>
      </c>
      <c r="H38" s="12" t="s">
        <v>47</v>
      </c>
      <c r="I38" s="13">
        <v>45658</v>
      </c>
      <c r="J38" s="13">
        <v>45992</v>
      </c>
      <c r="K38" s="9">
        <f>DATEDIF(I38,J38,"M")</f>
        <v>11</v>
      </c>
      <c r="L38" s="13" t="s">
        <v>442</v>
      </c>
      <c r="M38" s="13" t="s">
        <v>443</v>
      </c>
      <c r="N38" s="9">
        <v>92.65</v>
      </c>
      <c r="O38" s="9">
        <v>1.37</v>
      </c>
      <c r="P38" s="9">
        <v>126.93</v>
      </c>
      <c r="S38" s="12" t="s">
        <v>444</v>
      </c>
    </row>
    <row r="39" spans="1:34" s="12" customFormat="1" x14ac:dyDescent="0.25">
      <c r="A39" s="12">
        <v>7470776</v>
      </c>
      <c r="B39" s="12" t="s">
        <v>41</v>
      </c>
      <c r="C39" s="12" t="s">
        <v>42</v>
      </c>
      <c r="D39" s="9">
        <v>7240129740</v>
      </c>
      <c r="E39" s="12" t="s">
        <v>402</v>
      </c>
      <c r="F39" s="12" t="s">
        <v>45</v>
      </c>
      <c r="G39" s="12" t="s">
        <v>46</v>
      </c>
      <c r="H39" s="12" t="s">
        <v>47</v>
      </c>
      <c r="I39" s="13">
        <v>45658</v>
      </c>
      <c r="J39" s="13">
        <v>45992</v>
      </c>
      <c r="K39" s="9">
        <f>DATEDIF(I39,J39,"M")</f>
        <v>11</v>
      </c>
      <c r="L39" s="13" t="s">
        <v>442</v>
      </c>
      <c r="M39" s="13" t="s">
        <v>443</v>
      </c>
      <c r="N39" s="9">
        <v>132.1</v>
      </c>
      <c r="O39" s="9">
        <v>0.94499999999999995</v>
      </c>
      <c r="P39" s="9">
        <v>124.83</v>
      </c>
      <c r="S39" s="12" t="s">
        <v>445</v>
      </c>
    </row>
    <row r="40" spans="1:34" s="12" customFormat="1" x14ac:dyDescent="0.25">
      <c r="A40" s="12">
        <v>7470776</v>
      </c>
      <c r="B40" s="12" t="s">
        <v>41</v>
      </c>
      <c r="C40" s="12" t="s">
        <v>42</v>
      </c>
      <c r="D40" s="9">
        <v>7240122471</v>
      </c>
      <c r="E40" s="12" t="s">
        <v>415</v>
      </c>
      <c r="F40" s="12" t="s">
        <v>45</v>
      </c>
      <c r="G40" s="12" t="s">
        <v>46</v>
      </c>
      <c r="H40" s="12" t="s">
        <v>47</v>
      </c>
      <c r="I40" s="13">
        <v>45658</v>
      </c>
      <c r="J40" s="13">
        <v>45992</v>
      </c>
      <c r="K40" s="9">
        <f>DATEDIF(I40,J40,"M")</f>
        <v>11</v>
      </c>
      <c r="L40" s="13" t="s">
        <v>442</v>
      </c>
      <c r="M40" s="13" t="s">
        <v>443</v>
      </c>
      <c r="N40" s="9">
        <v>80.959999999999994</v>
      </c>
      <c r="O40" s="9">
        <v>0.94499999999999995</v>
      </c>
      <c r="P40" s="9">
        <v>76.510000000000005</v>
      </c>
      <c r="S40" s="12" t="s">
        <v>445</v>
      </c>
    </row>
    <row r="41" spans="1:34" s="12" customFormat="1" x14ac:dyDescent="0.25">
      <c r="A41" s="12">
        <v>7470776</v>
      </c>
      <c r="B41" s="12" t="s">
        <v>41</v>
      </c>
      <c r="C41" s="12" t="s">
        <v>42</v>
      </c>
      <c r="D41" s="9">
        <v>7240126623</v>
      </c>
      <c r="E41" s="12" t="s">
        <v>426</v>
      </c>
      <c r="F41" s="12" t="s">
        <v>45</v>
      </c>
      <c r="G41" s="12" t="s">
        <v>46</v>
      </c>
      <c r="H41" s="12" t="s">
        <v>47</v>
      </c>
      <c r="I41" s="13">
        <v>45658</v>
      </c>
      <c r="J41" s="13">
        <v>45992</v>
      </c>
      <c r="K41" s="9">
        <f>DATEDIF(I41,J41,"M")</f>
        <v>11</v>
      </c>
      <c r="L41" s="13" t="s">
        <v>442</v>
      </c>
      <c r="M41" s="13" t="s">
        <v>443</v>
      </c>
      <c r="N41" s="9">
        <v>102.03</v>
      </c>
      <c r="O41" s="9">
        <v>0.94499999999999995</v>
      </c>
      <c r="P41" s="9">
        <v>96.42</v>
      </c>
      <c r="S41" s="12" t="s">
        <v>445</v>
      </c>
    </row>
    <row r="42" spans="1:34" s="12" customFormat="1" x14ac:dyDescent="0.25">
      <c r="A42" s="12">
        <v>7470776</v>
      </c>
      <c r="B42" s="12" t="s">
        <v>41</v>
      </c>
      <c r="C42" s="12" t="s">
        <v>42</v>
      </c>
      <c r="D42" s="9">
        <v>6240137471</v>
      </c>
      <c r="E42" s="12" t="s">
        <v>419</v>
      </c>
      <c r="F42" s="12" t="s">
        <v>45</v>
      </c>
      <c r="G42" s="12" t="s">
        <v>46</v>
      </c>
      <c r="H42" s="12" t="s">
        <v>47</v>
      </c>
      <c r="I42" s="13">
        <v>45658</v>
      </c>
      <c r="J42" s="13">
        <v>45992</v>
      </c>
      <c r="K42" s="9">
        <f>DATEDIF(I42,J42,"M")</f>
        <v>11</v>
      </c>
      <c r="L42" s="13" t="s">
        <v>442</v>
      </c>
      <c r="M42" s="13" t="s">
        <v>443</v>
      </c>
      <c r="N42" s="9">
        <v>92.25</v>
      </c>
      <c r="O42" s="9">
        <v>0.9</v>
      </c>
      <c r="P42" s="9">
        <v>83.03</v>
      </c>
      <c r="S42" s="12" t="s">
        <v>446</v>
      </c>
    </row>
    <row r="43" spans="1:34" s="12" customFormat="1" x14ac:dyDescent="0.25">
      <c r="A43" s="12">
        <v>7470776</v>
      </c>
      <c r="B43" s="12" t="s">
        <v>41</v>
      </c>
      <c r="C43" s="12" t="s">
        <v>42</v>
      </c>
      <c r="D43" s="9">
        <v>7240101034</v>
      </c>
      <c r="E43" s="12" t="s">
        <v>382</v>
      </c>
      <c r="F43" s="12" t="s">
        <v>45</v>
      </c>
      <c r="G43" s="12" t="s">
        <v>46</v>
      </c>
      <c r="H43" s="12" t="s">
        <v>47</v>
      </c>
      <c r="I43" s="13">
        <v>45627</v>
      </c>
      <c r="J43" s="13">
        <v>45992</v>
      </c>
      <c r="K43" s="9">
        <f>DATEDIF(I43,J43,"M")</f>
        <v>12</v>
      </c>
      <c r="L43" s="13" t="s">
        <v>442</v>
      </c>
      <c r="M43" s="13" t="s">
        <v>443</v>
      </c>
      <c r="N43" s="9">
        <v>106.65</v>
      </c>
      <c r="O43" s="9">
        <v>0.06</v>
      </c>
      <c r="P43" s="9">
        <v>6.4</v>
      </c>
      <c r="S43" s="12" t="s">
        <v>444</v>
      </c>
    </row>
    <row r="44" spans="1:34" s="12" customFormat="1" x14ac:dyDescent="0.25">
      <c r="A44" s="12">
        <v>7470776</v>
      </c>
      <c r="B44" s="12" t="s">
        <v>41</v>
      </c>
      <c r="C44" s="12" t="s">
        <v>42</v>
      </c>
      <c r="D44" s="9">
        <v>7240101224</v>
      </c>
      <c r="E44" s="12" t="s">
        <v>430</v>
      </c>
      <c r="F44" s="12" t="s">
        <v>45</v>
      </c>
      <c r="G44" s="12" t="s">
        <v>46</v>
      </c>
      <c r="H44" s="12" t="s">
        <v>47</v>
      </c>
      <c r="I44" s="13">
        <v>45627</v>
      </c>
      <c r="J44" s="13">
        <v>45992</v>
      </c>
      <c r="K44" s="9">
        <f>DATEDIF(I44,J44,"M")</f>
        <v>12</v>
      </c>
      <c r="L44" s="13" t="s">
        <v>442</v>
      </c>
      <c r="M44" s="13" t="s">
        <v>443</v>
      </c>
      <c r="N44" s="9">
        <v>102.93</v>
      </c>
      <c r="O44" s="9">
        <v>0.06</v>
      </c>
      <c r="P44" s="9">
        <v>6.18</v>
      </c>
      <c r="S44" s="12" t="s">
        <v>444</v>
      </c>
    </row>
    <row r="45" spans="1:34" s="12" customFormat="1" x14ac:dyDescent="0.25">
      <c r="A45" s="12">
        <v>7470776</v>
      </c>
      <c r="B45" s="12" t="s">
        <v>41</v>
      </c>
      <c r="C45" s="12" t="s">
        <v>42</v>
      </c>
      <c r="D45" s="9">
        <v>7240101268</v>
      </c>
      <c r="E45" s="12" t="s">
        <v>427</v>
      </c>
      <c r="F45" s="12" t="s">
        <v>45</v>
      </c>
      <c r="G45" s="12" t="s">
        <v>46</v>
      </c>
      <c r="H45" s="12" t="s">
        <v>47</v>
      </c>
      <c r="I45" s="13">
        <v>45597</v>
      </c>
      <c r="J45" s="13">
        <v>45992</v>
      </c>
      <c r="K45" s="9">
        <f>DATEDIF(I45,J45,"M")</f>
        <v>13</v>
      </c>
      <c r="L45" s="13" t="s">
        <v>442</v>
      </c>
      <c r="M45" s="13" t="s">
        <v>443</v>
      </c>
      <c r="N45" s="9">
        <v>116.07</v>
      </c>
      <c r="O45" s="9">
        <v>2.75E-2</v>
      </c>
      <c r="P45" s="9">
        <v>3.19</v>
      </c>
      <c r="S45" s="12" t="s">
        <v>445</v>
      </c>
    </row>
    <row r="46" spans="1:34" s="12" customFormat="1" x14ac:dyDescent="0.25">
      <c r="A46" s="10">
        <v>16228684</v>
      </c>
      <c r="B46" s="10" t="s">
        <v>61</v>
      </c>
      <c r="C46" s="10" t="s">
        <v>42</v>
      </c>
      <c r="D46" s="7">
        <v>7250249604</v>
      </c>
      <c r="E46" s="10" t="s">
        <v>374</v>
      </c>
      <c r="F46" s="10" t="s">
        <v>155</v>
      </c>
      <c r="G46" s="10" t="s">
        <v>46</v>
      </c>
      <c r="H46" s="10" t="s">
        <v>47</v>
      </c>
      <c r="I46" s="11">
        <v>45996</v>
      </c>
      <c r="J46" s="11">
        <v>46027</v>
      </c>
      <c r="K46" s="7">
        <f>DATEDIF(I46,J46,"M")</f>
        <v>1</v>
      </c>
      <c r="L46" s="11" t="s">
        <v>442</v>
      </c>
      <c r="M46" s="11" t="s">
        <v>443</v>
      </c>
      <c r="N46" s="7">
        <v>65.099999999999994</v>
      </c>
      <c r="O46" s="7">
        <v>1.37</v>
      </c>
      <c r="P46" s="7">
        <v>89.19</v>
      </c>
      <c r="Q46" s="10"/>
      <c r="R46" s="10"/>
      <c r="S46" s="10" t="s">
        <v>444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s="12" customFormat="1" x14ac:dyDescent="0.25">
      <c r="A47" s="10">
        <v>16228684</v>
      </c>
      <c r="B47" s="10" t="s">
        <v>61</v>
      </c>
      <c r="C47" s="10" t="s">
        <v>42</v>
      </c>
      <c r="D47" s="7">
        <v>7250249604</v>
      </c>
      <c r="E47" s="10" t="s">
        <v>374</v>
      </c>
      <c r="F47" s="10" t="s">
        <v>155</v>
      </c>
      <c r="G47" s="10" t="s">
        <v>46</v>
      </c>
      <c r="H47" s="10" t="s">
        <v>47</v>
      </c>
      <c r="I47" s="11">
        <v>45996</v>
      </c>
      <c r="J47" s="11">
        <v>46027</v>
      </c>
      <c r="K47" s="7">
        <f>DATEDIF(I47,J47,"M")</f>
        <v>1</v>
      </c>
      <c r="L47" s="11" t="s">
        <v>442</v>
      </c>
      <c r="M47" s="11" t="s">
        <v>443</v>
      </c>
      <c r="N47" s="7">
        <v>1816.5</v>
      </c>
      <c r="O47" s="7">
        <v>1.37</v>
      </c>
      <c r="P47" s="7">
        <v>2488.61</v>
      </c>
      <c r="Q47" s="10"/>
      <c r="R47" s="10"/>
      <c r="S47" s="10" t="s">
        <v>444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s="12" customFormat="1" x14ac:dyDescent="0.25">
      <c r="A48" s="10">
        <v>16228684</v>
      </c>
      <c r="B48" s="10" t="s">
        <v>61</v>
      </c>
      <c r="C48" s="10" t="s">
        <v>42</v>
      </c>
      <c r="D48" s="7">
        <v>7250249003</v>
      </c>
      <c r="E48" s="10" t="s">
        <v>375</v>
      </c>
      <c r="F48" s="10" t="s">
        <v>155</v>
      </c>
      <c r="G48" s="10" t="s">
        <v>46</v>
      </c>
      <c r="H48" s="10" t="s">
        <v>47</v>
      </c>
      <c r="I48" s="11">
        <v>45996</v>
      </c>
      <c r="J48" s="11">
        <v>46027</v>
      </c>
      <c r="K48" s="7">
        <f>DATEDIF(I48,J48,"M")</f>
        <v>1</v>
      </c>
      <c r="L48" s="11" t="s">
        <v>442</v>
      </c>
      <c r="M48" s="11" t="s">
        <v>443</v>
      </c>
      <c r="N48" s="7">
        <v>1571.25</v>
      </c>
      <c r="O48" s="7">
        <v>0.94499999999999995</v>
      </c>
      <c r="P48" s="7">
        <v>1484.83</v>
      </c>
      <c r="Q48" s="10"/>
      <c r="R48" s="10"/>
      <c r="S48" s="10" t="s">
        <v>445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4" s="12" customFormat="1" x14ac:dyDescent="0.25">
      <c r="A49" s="10" t="s">
        <v>440</v>
      </c>
      <c r="B49" s="10" t="s">
        <v>262</v>
      </c>
      <c r="C49" s="10" t="s">
        <v>42</v>
      </c>
      <c r="D49" s="7">
        <v>6250205165</v>
      </c>
      <c r="E49" s="10" t="s">
        <v>417</v>
      </c>
      <c r="F49" s="10" t="s">
        <v>45</v>
      </c>
      <c r="G49" s="10" t="s">
        <v>46</v>
      </c>
      <c r="H49" s="10" t="s">
        <v>47</v>
      </c>
      <c r="I49" s="11">
        <v>45996</v>
      </c>
      <c r="J49" s="11">
        <v>46027</v>
      </c>
      <c r="K49" s="7">
        <f>DATEDIF(I49,J49,"M")</f>
        <v>1</v>
      </c>
      <c r="L49" s="11" t="s">
        <v>442</v>
      </c>
      <c r="M49" s="11" t="s">
        <v>443</v>
      </c>
      <c r="N49" s="7">
        <v>33.450000000000003</v>
      </c>
      <c r="O49" s="7">
        <v>0.9</v>
      </c>
      <c r="P49" s="7">
        <v>30.11</v>
      </c>
      <c r="Q49" s="10"/>
      <c r="R49" s="10"/>
      <c r="S49" s="10" t="s">
        <v>446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1:34" s="12" customFormat="1" x14ac:dyDescent="0.25">
      <c r="A50" s="10">
        <v>19491313</v>
      </c>
      <c r="B50" s="10" t="s">
        <v>173</v>
      </c>
      <c r="C50" s="10" t="s">
        <v>42</v>
      </c>
      <c r="D50" s="7">
        <v>7250186205</v>
      </c>
      <c r="E50" s="10" t="s">
        <v>411</v>
      </c>
      <c r="F50" s="10" t="s">
        <v>45</v>
      </c>
      <c r="G50" s="10" t="s">
        <v>46</v>
      </c>
      <c r="H50" s="10" t="s">
        <v>47</v>
      </c>
      <c r="I50" s="11">
        <v>45932</v>
      </c>
      <c r="J50" s="11">
        <v>45993</v>
      </c>
      <c r="K50" s="7">
        <f>DATEDIF(I50,J50,"M")</f>
        <v>2</v>
      </c>
      <c r="L50" s="11" t="s">
        <v>442</v>
      </c>
      <c r="M50" s="11" t="s">
        <v>443</v>
      </c>
      <c r="N50" s="7">
        <v>29.6</v>
      </c>
      <c r="O50" s="7">
        <v>0.94499999999999995</v>
      </c>
      <c r="P50" s="7">
        <v>27.97</v>
      </c>
      <c r="Q50" s="10"/>
      <c r="R50" s="10"/>
      <c r="S50" s="10" t="s">
        <v>445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1:34" s="10" customFormat="1" x14ac:dyDescent="0.25">
      <c r="A51" s="10">
        <v>9079571</v>
      </c>
      <c r="B51" s="10" t="s">
        <v>340</v>
      </c>
      <c r="C51" s="10" t="s">
        <v>42</v>
      </c>
      <c r="D51" s="7">
        <v>6250145187</v>
      </c>
      <c r="E51" s="10" t="s">
        <v>434</v>
      </c>
      <c r="F51" s="10" t="s">
        <v>45</v>
      </c>
      <c r="G51" s="10" t="s">
        <v>46</v>
      </c>
      <c r="H51" s="10" t="s">
        <v>47</v>
      </c>
      <c r="I51" s="11">
        <v>45895</v>
      </c>
      <c r="J51" s="11">
        <v>45956</v>
      </c>
      <c r="K51" s="7">
        <f>DATEDIF(I51,J51,"M")</f>
        <v>2</v>
      </c>
      <c r="L51" s="11" t="s">
        <v>442</v>
      </c>
      <c r="M51" s="11" t="s">
        <v>443</v>
      </c>
      <c r="N51" s="7">
        <v>-68.650000000000006</v>
      </c>
      <c r="O51" s="7">
        <v>0.9</v>
      </c>
      <c r="P51" s="7">
        <v>-61.79</v>
      </c>
      <c r="S51" s="10" t="s">
        <v>446</v>
      </c>
    </row>
    <row r="52" spans="1:34" s="12" customFormat="1" x14ac:dyDescent="0.25">
      <c r="A52" s="10">
        <v>19491313</v>
      </c>
      <c r="B52" s="10" t="s">
        <v>173</v>
      </c>
      <c r="C52" s="10" t="s">
        <v>42</v>
      </c>
      <c r="D52" s="7">
        <v>7250152061</v>
      </c>
      <c r="E52" s="10" t="s">
        <v>399</v>
      </c>
      <c r="F52" s="10" t="s">
        <v>45</v>
      </c>
      <c r="G52" s="10" t="s">
        <v>46</v>
      </c>
      <c r="H52" s="10" t="s">
        <v>47</v>
      </c>
      <c r="I52" s="11">
        <v>45901</v>
      </c>
      <c r="J52" s="11">
        <v>45992</v>
      </c>
      <c r="K52" s="7">
        <f>DATEDIF(I52,J52,"M")</f>
        <v>3</v>
      </c>
      <c r="L52" s="11" t="s">
        <v>442</v>
      </c>
      <c r="M52" s="11" t="s">
        <v>443</v>
      </c>
      <c r="N52" s="7">
        <v>61.81</v>
      </c>
      <c r="O52" s="7">
        <v>1.37</v>
      </c>
      <c r="P52" s="7">
        <v>84.68</v>
      </c>
      <c r="Q52" s="10"/>
      <c r="R52" s="10"/>
      <c r="S52" s="10" t="s">
        <v>444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1:34" s="10" customFormat="1" x14ac:dyDescent="0.25">
      <c r="A53" s="10">
        <v>16228684</v>
      </c>
      <c r="B53" s="10" t="s">
        <v>61</v>
      </c>
      <c r="C53" s="10" t="s">
        <v>42</v>
      </c>
      <c r="D53" s="7">
        <v>7250131524</v>
      </c>
      <c r="E53" s="10" t="s">
        <v>378</v>
      </c>
      <c r="F53" s="10" t="s">
        <v>45</v>
      </c>
      <c r="G53" s="10" t="s">
        <v>46</v>
      </c>
      <c r="H53" s="10" t="s">
        <v>47</v>
      </c>
      <c r="I53" s="11">
        <v>45874</v>
      </c>
      <c r="J53" s="11">
        <v>45966</v>
      </c>
      <c r="K53" s="7">
        <f>DATEDIF(I53,J53,"M")</f>
        <v>3</v>
      </c>
      <c r="L53" s="11" t="s">
        <v>442</v>
      </c>
      <c r="M53" s="11" t="s">
        <v>443</v>
      </c>
      <c r="N53" s="7">
        <v>124.76</v>
      </c>
      <c r="O53" s="7">
        <v>1.37</v>
      </c>
      <c r="P53" s="7">
        <v>170.92</v>
      </c>
      <c r="S53" s="10" t="s">
        <v>444</v>
      </c>
    </row>
    <row r="54" spans="1:34" s="10" customFormat="1" x14ac:dyDescent="0.25">
      <c r="A54" s="10">
        <v>16228684</v>
      </c>
      <c r="B54" s="10" t="s">
        <v>61</v>
      </c>
      <c r="C54" s="10" t="s">
        <v>42</v>
      </c>
      <c r="D54" s="7">
        <v>7250131524</v>
      </c>
      <c r="E54" s="10" t="s">
        <v>378</v>
      </c>
      <c r="F54" s="10" t="s">
        <v>45</v>
      </c>
      <c r="G54" s="10" t="s">
        <v>46</v>
      </c>
      <c r="H54" s="10" t="s">
        <v>47</v>
      </c>
      <c r="I54" s="11">
        <v>45874</v>
      </c>
      <c r="J54" s="11">
        <v>45966</v>
      </c>
      <c r="K54" s="7">
        <f>DATEDIF(I54,J54,"M")</f>
        <v>3</v>
      </c>
      <c r="L54" s="11" t="s">
        <v>442</v>
      </c>
      <c r="M54" s="11" t="s">
        <v>443</v>
      </c>
      <c r="N54" s="7">
        <v>6.21</v>
      </c>
      <c r="O54" s="7">
        <v>1.37</v>
      </c>
      <c r="P54" s="7">
        <v>8.51</v>
      </c>
      <c r="S54" s="10" t="s">
        <v>444</v>
      </c>
    </row>
    <row r="55" spans="1:34" s="10" customFormat="1" x14ac:dyDescent="0.25">
      <c r="A55" s="10">
        <v>16228684</v>
      </c>
      <c r="B55" s="10" t="s">
        <v>61</v>
      </c>
      <c r="C55" s="10" t="s">
        <v>42</v>
      </c>
      <c r="D55" s="7">
        <v>7250133944</v>
      </c>
      <c r="E55" s="10" t="s">
        <v>393</v>
      </c>
      <c r="F55" s="10" t="s">
        <v>45</v>
      </c>
      <c r="G55" s="10" t="s">
        <v>46</v>
      </c>
      <c r="H55" s="10" t="s">
        <v>47</v>
      </c>
      <c r="I55" s="11">
        <v>45873</v>
      </c>
      <c r="J55" s="11">
        <v>45965</v>
      </c>
      <c r="K55" s="7">
        <f>DATEDIF(I55,J55,"M")</f>
        <v>3</v>
      </c>
      <c r="L55" s="11" t="s">
        <v>442</v>
      </c>
      <c r="M55" s="11" t="s">
        <v>443</v>
      </c>
      <c r="N55" s="7">
        <v>6.83</v>
      </c>
      <c r="O55" s="7">
        <v>1.37</v>
      </c>
      <c r="P55" s="7">
        <v>9.36</v>
      </c>
      <c r="S55" s="10" t="s">
        <v>444</v>
      </c>
    </row>
    <row r="56" spans="1:34" s="10" customFormat="1" x14ac:dyDescent="0.25">
      <c r="A56" s="10">
        <v>16228684</v>
      </c>
      <c r="B56" s="10" t="s">
        <v>61</v>
      </c>
      <c r="C56" s="10" t="s">
        <v>42</v>
      </c>
      <c r="D56" s="7">
        <v>7250136480</v>
      </c>
      <c r="E56" s="10" t="s">
        <v>401</v>
      </c>
      <c r="F56" s="10" t="s">
        <v>45</v>
      </c>
      <c r="G56" s="10" t="s">
        <v>46</v>
      </c>
      <c r="H56" s="10" t="s">
        <v>47</v>
      </c>
      <c r="I56" s="11">
        <v>45874</v>
      </c>
      <c r="J56" s="11">
        <v>45966</v>
      </c>
      <c r="K56" s="7">
        <f>DATEDIF(I56,J56,"M")</f>
        <v>3</v>
      </c>
      <c r="L56" s="11" t="s">
        <v>442</v>
      </c>
      <c r="M56" s="11" t="s">
        <v>443</v>
      </c>
      <c r="N56" s="7">
        <v>2.58</v>
      </c>
      <c r="O56" s="7">
        <v>1.37</v>
      </c>
      <c r="P56" s="7">
        <v>3.53</v>
      </c>
      <c r="S56" s="10" t="s">
        <v>444</v>
      </c>
    </row>
    <row r="57" spans="1:34" s="10" customFormat="1" x14ac:dyDescent="0.25">
      <c r="A57" s="10">
        <v>16228684</v>
      </c>
      <c r="B57" s="10" t="s">
        <v>61</v>
      </c>
      <c r="C57" s="10" t="s">
        <v>42</v>
      </c>
      <c r="D57" s="7">
        <v>7250133944</v>
      </c>
      <c r="E57" s="10" t="s">
        <v>393</v>
      </c>
      <c r="F57" s="10" t="s">
        <v>45</v>
      </c>
      <c r="G57" s="10" t="s">
        <v>46</v>
      </c>
      <c r="H57" s="10" t="s">
        <v>47</v>
      </c>
      <c r="I57" s="11">
        <v>45873</v>
      </c>
      <c r="J57" s="11">
        <v>45965</v>
      </c>
      <c r="K57" s="7">
        <f>DATEDIF(I57,J57,"M")</f>
        <v>3</v>
      </c>
      <c r="L57" s="11" t="s">
        <v>442</v>
      </c>
      <c r="M57" s="11" t="s">
        <v>443</v>
      </c>
      <c r="N57" s="7">
        <v>140.80000000000001</v>
      </c>
      <c r="O57" s="7">
        <v>1.37</v>
      </c>
      <c r="P57" s="7">
        <v>192.9</v>
      </c>
      <c r="S57" s="10" t="s">
        <v>444</v>
      </c>
    </row>
    <row r="58" spans="1:34" s="10" customFormat="1" x14ac:dyDescent="0.25">
      <c r="A58" s="10">
        <v>16228684</v>
      </c>
      <c r="B58" s="10" t="s">
        <v>61</v>
      </c>
      <c r="C58" s="10" t="s">
        <v>42</v>
      </c>
      <c r="D58" s="7">
        <v>7250131554</v>
      </c>
      <c r="E58" s="10" t="s">
        <v>408</v>
      </c>
      <c r="F58" s="10" t="s">
        <v>45</v>
      </c>
      <c r="G58" s="10" t="s">
        <v>46</v>
      </c>
      <c r="H58" s="10" t="s">
        <v>47</v>
      </c>
      <c r="I58" s="11">
        <v>45874</v>
      </c>
      <c r="J58" s="11">
        <v>45966</v>
      </c>
      <c r="K58" s="7">
        <f>DATEDIF(I58,J58,"M")</f>
        <v>3</v>
      </c>
      <c r="L58" s="11" t="s">
        <v>442</v>
      </c>
      <c r="M58" s="11" t="s">
        <v>443</v>
      </c>
      <c r="N58" s="7">
        <v>108.77</v>
      </c>
      <c r="O58" s="7">
        <v>1.37</v>
      </c>
      <c r="P58" s="7">
        <v>149.01</v>
      </c>
      <c r="S58" s="10" t="s">
        <v>444</v>
      </c>
    </row>
    <row r="59" spans="1:34" s="10" customFormat="1" x14ac:dyDescent="0.25">
      <c r="A59" s="10">
        <v>16228684</v>
      </c>
      <c r="B59" s="10" t="s">
        <v>61</v>
      </c>
      <c r="C59" s="10" t="s">
        <v>42</v>
      </c>
      <c r="D59" s="7">
        <v>7250131554</v>
      </c>
      <c r="E59" s="10" t="s">
        <v>408</v>
      </c>
      <c r="F59" s="10" t="s">
        <v>45</v>
      </c>
      <c r="G59" s="10" t="s">
        <v>46</v>
      </c>
      <c r="H59" s="10" t="s">
        <v>47</v>
      </c>
      <c r="I59" s="11">
        <v>45874</v>
      </c>
      <c r="J59" s="11">
        <v>45966</v>
      </c>
      <c r="K59" s="7">
        <f>DATEDIF(I59,J59,"M")</f>
        <v>3</v>
      </c>
      <c r="L59" s="11" t="s">
        <v>442</v>
      </c>
      <c r="M59" s="11" t="s">
        <v>443</v>
      </c>
      <c r="N59" s="7">
        <v>3.75</v>
      </c>
      <c r="O59" s="7">
        <v>1.37</v>
      </c>
      <c r="P59" s="7">
        <v>5.14</v>
      </c>
      <c r="S59" s="10" t="s">
        <v>444</v>
      </c>
    </row>
    <row r="60" spans="1:34" s="10" customFormat="1" x14ac:dyDescent="0.25">
      <c r="A60" s="10">
        <v>16228684</v>
      </c>
      <c r="B60" s="10" t="s">
        <v>61</v>
      </c>
      <c r="C60" s="10" t="s">
        <v>42</v>
      </c>
      <c r="D60" s="7">
        <v>7250136480</v>
      </c>
      <c r="E60" s="10" t="s">
        <v>401</v>
      </c>
      <c r="F60" s="10" t="s">
        <v>45</v>
      </c>
      <c r="G60" s="10" t="s">
        <v>46</v>
      </c>
      <c r="H60" s="10" t="s">
        <v>47</v>
      </c>
      <c r="I60" s="11">
        <v>45874</v>
      </c>
      <c r="J60" s="11">
        <v>45966</v>
      </c>
      <c r="K60" s="7">
        <f>DATEDIF(I60,J60,"M")</f>
        <v>3</v>
      </c>
      <c r="L60" s="11" t="s">
        <v>442</v>
      </c>
      <c r="M60" s="11" t="s">
        <v>443</v>
      </c>
      <c r="N60" s="7">
        <v>55.57</v>
      </c>
      <c r="O60" s="7">
        <v>1.37</v>
      </c>
      <c r="P60" s="7">
        <v>76.13</v>
      </c>
      <c r="S60" s="10" t="s">
        <v>444</v>
      </c>
    </row>
    <row r="61" spans="1:34" s="10" customFormat="1" x14ac:dyDescent="0.25">
      <c r="A61" s="10">
        <v>16228684</v>
      </c>
      <c r="B61" s="10" t="s">
        <v>61</v>
      </c>
      <c r="C61" s="10" t="s">
        <v>42</v>
      </c>
      <c r="D61" s="7">
        <v>7250129739</v>
      </c>
      <c r="E61" s="10" t="s">
        <v>379</v>
      </c>
      <c r="F61" s="10" t="s">
        <v>45</v>
      </c>
      <c r="G61" s="10" t="s">
        <v>46</v>
      </c>
      <c r="H61" s="10" t="s">
        <v>47</v>
      </c>
      <c r="I61" s="11">
        <v>45870</v>
      </c>
      <c r="J61" s="11">
        <v>45992</v>
      </c>
      <c r="K61" s="7">
        <f>DATEDIF(I61,J61,"M")</f>
        <v>4</v>
      </c>
      <c r="L61" s="11" t="s">
        <v>442</v>
      </c>
      <c r="M61" s="11" t="s">
        <v>443</v>
      </c>
      <c r="N61" s="7">
        <v>70.58</v>
      </c>
      <c r="O61" s="7">
        <v>1.37</v>
      </c>
      <c r="P61" s="7">
        <v>96.69</v>
      </c>
      <c r="S61" s="10" t="s">
        <v>444</v>
      </c>
    </row>
    <row r="62" spans="1:34" s="10" customFormat="1" x14ac:dyDescent="0.25">
      <c r="A62" s="10">
        <v>16228684</v>
      </c>
      <c r="B62" s="10" t="s">
        <v>61</v>
      </c>
      <c r="C62" s="10" t="s">
        <v>42</v>
      </c>
      <c r="D62" s="7">
        <v>7250147909</v>
      </c>
      <c r="E62" s="10" t="s">
        <v>390</v>
      </c>
      <c r="F62" s="10" t="s">
        <v>45</v>
      </c>
      <c r="G62" s="10" t="s">
        <v>46</v>
      </c>
      <c r="H62" s="10" t="s">
        <v>47</v>
      </c>
      <c r="I62" s="11">
        <v>45882</v>
      </c>
      <c r="J62" s="11">
        <v>46004</v>
      </c>
      <c r="K62" s="7">
        <f>DATEDIF(I62,J62,"M")</f>
        <v>4</v>
      </c>
      <c r="L62" s="11" t="s">
        <v>442</v>
      </c>
      <c r="M62" s="11" t="s">
        <v>443</v>
      </c>
      <c r="N62" s="7">
        <v>81.569999999999993</v>
      </c>
      <c r="O62" s="7">
        <v>1.37</v>
      </c>
      <c r="P62" s="7">
        <v>111.75</v>
      </c>
      <c r="S62" s="10" t="s">
        <v>444</v>
      </c>
    </row>
    <row r="63" spans="1:34" s="10" customFormat="1" x14ac:dyDescent="0.25">
      <c r="A63" s="10">
        <v>16228684</v>
      </c>
      <c r="B63" s="10" t="s">
        <v>61</v>
      </c>
      <c r="C63" s="10" t="s">
        <v>42</v>
      </c>
      <c r="D63" s="7">
        <v>7250128516</v>
      </c>
      <c r="E63" s="10" t="s">
        <v>391</v>
      </c>
      <c r="F63" s="10" t="s">
        <v>45</v>
      </c>
      <c r="G63" s="10" t="s">
        <v>46</v>
      </c>
      <c r="H63" s="10" t="s">
        <v>47</v>
      </c>
      <c r="I63" s="11">
        <v>45870</v>
      </c>
      <c r="J63" s="11">
        <v>45992</v>
      </c>
      <c r="K63" s="7">
        <f>DATEDIF(I63,J63,"M")</f>
        <v>4</v>
      </c>
      <c r="L63" s="11" t="s">
        <v>442</v>
      </c>
      <c r="M63" s="11" t="s">
        <v>443</v>
      </c>
      <c r="N63" s="7">
        <v>8.1999999999999993</v>
      </c>
      <c r="O63" s="7">
        <v>1.37</v>
      </c>
      <c r="P63" s="7">
        <v>11.23</v>
      </c>
      <c r="S63" s="10" t="s">
        <v>444</v>
      </c>
    </row>
    <row r="64" spans="1:34" s="10" customFormat="1" x14ac:dyDescent="0.25">
      <c r="A64" s="10">
        <v>16228684</v>
      </c>
      <c r="B64" s="10" t="s">
        <v>61</v>
      </c>
      <c r="C64" s="10" t="s">
        <v>42</v>
      </c>
      <c r="D64" s="7">
        <v>7250132001</v>
      </c>
      <c r="E64" s="10" t="s">
        <v>397</v>
      </c>
      <c r="F64" s="10" t="s">
        <v>45</v>
      </c>
      <c r="G64" s="10" t="s">
        <v>46</v>
      </c>
      <c r="H64" s="10" t="s">
        <v>47</v>
      </c>
      <c r="I64" s="11">
        <v>45870</v>
      </c>
      <c r="J64" s="11">
        <v>45992</v>
      </c>
      <c r="K64" s="7">
        <f>DATEDIF(I64,J64,"M")</f>
        <v>4</v>
      </c>
      <c r="L64" s="11" t="s">
        <v>442</v>
      </c>
      <c r="M64" s="11" t="s">
        <v>443</v>
      </c>
      <c r="N64" s="7">
        <v>77.599999999999994</v>
      </c>
      <c r="O64" s="7">
        <v>1.37</v>
      </c>
      <c r="P64" s="7">
        <v>106.31</v>
      </c>
      <c r="S64" s="10" t="s">
        <v>444</v>
      </c>
    </row>
    <row r="65" spans="1:34" s="10" customFormat="1" x14ac:dyDescent="0.25">
      <c r="A65" s="10">
        <v>16228684</v>
      </c>
      <c r="B65" s="10" t="s">
        <v>61</v>
      </c>
      <c r="C65" s="10" t="s">
        <v>42</v>
      </c>
      <c r="D65" s="7">
        <v>7250128521</v>
      </c>
      <c r="E65" s="10" t="s">
        <v>406</v>
      </c>
      <c r="F65" s="10" t="s">
        <v>45</v>
      </c>
      <c r="G65" s="10" t="s">
        <v>46</v>
      </c>
      <c r="H65" s="10" t="s">
        <v>47</v>
      </c>
      <c r="I65" s="11">
        <v>45870</v>
      </c>
      <c r="J65" s="11">
        <v>45992</v>
      </c>
      <c r="K65" s="7">
        <f>DATEDIF(I65,J65,"M")</f>
        <v>4</v>
      </c>
      <c r="L65" s="11" t="s">
        <v>442</v>
      </c>
      <c r="M65" s="11" t="s">
        <v>443</v>
      </c>
      <c r="N65" s="7">
        <v>98.09</v>
      </c>
      <c r="O65" s="7">
        <v>1.37</v>
      </c>
      <c r="P65" s="7">
        <v>134.38</v>
      </c>
      <c r="S65" s="10" t="s">
        <v>444</v>
      </c>
    </row>
    <row r="66" spans="1:34" s="10" customFormat="1" x14ac:dyDescent="0.25">
      <c r="A66" s="10">
        <v>16228684</v>
      </c>
      <c r="B66" s="10" t="s">
        <v>61</v>
      </c>
      <c r="C66" s="10" t="s">
        <v>42</v>
      </c>
      <c r="D66" s="7">
        <v>7250129739</v>
      </c>
      <c r="E66" s="10" t="s">
        <v>379</v>
      </c>
      <c r="F66" s="10" t="s">
        <v>45</v>
      </c>
      <c r="G66" s="10" t="s">
        <v>46</v>
      </c>
      <c r="H66" s="10" t="s">
        <v>47</v>
      </c>
      <c r="I66" s="11">
        <v>45870</v>
      </c>
      <c r="J66" s="11">
        <v>45992</v>
      </c>
      <c r="K66" s="7">
        <f>DATEDIF(I66,J66,"M")</f>
        <v>4</v>
      </c>
      <c r="L66" s="11" t="s">
        <v>442</v>
      </c>
      <c r="M66" s="11" t="s">
        <v>443</v>
      </c>
      <c r="N66" s="7">
        <v>3.92</v>
      </c>
      <c r="O66" s="7">
        <v>1.37</v>
      </c>
      <c r="P66" s="7">
        <v>5.37</v>
      </c>
      <c r="S66" s="10" t="s">
        <v>444</v>
      </c>
    </row>
    <row r="67" spans="1:34" s="10" customFormat="1" x14ac:dyDescent="0.25">
      <c r="A67" s="10">
        <v>16228684</v>
      </c>
      <c r="B67" s="10" t="s">
        <v>61</v>
      </c>
      <c r="C67" s="10" t="s">
        <v>42</v>
      </c>
      <c r="D67" s="7">
        <v>7250128521</v>
      </c>
      <c r="E67" s="10" t="s">
        <v>406</v>
      </c>
      <c r="F67" s="10" t="s">
        <v>45</v>
      </c>
      <c r="G67" s="10" t="s">
        <v>46</v>
      </c>
      <c r="H67" s="10" t="s">
        <v>47</v>
      </c>
      <c r="I67" s="11">
        <v>45870</v>
      </c>
      <c r="J67" s="11">
        <v>45992</v>
      </c>
      <c r="K67" s="7">
        <f>DATEDIF(I67,J67,"M")</f>
        <v>4</v>
      </c>
      <c r="L67" s="11" t="s">
        <v>442</v>
      </c>
      <c r="M67" s="11" t="s">
        <v>443</v>
      </c>
      <c r="N67" s="7">
        <v>3.38</v>
      </c>
      <c r="O67" s="7">
        <v>1.37</v>
      </c>
      <c r="P67" s="7">
        <v>4.63</v>
      </c>
      <c r="S67" s="10" t="s">
        <v>444</v>
      </c>
    </row>
    <row r="68" spans="1:34" s="10" customFormat="1" x14ac:dyDescent="0.25">
      <c r="A68" s="10">
        <v>16228684</v>
      </c>
      <c r="B68" s="10" t="s">
        <v>61</v>
      </c>
      <c r="C68" s="10" t="s">
        <v>42</v>
      </c>
      <c r="D68" s="7">
        <v>7250147909</v>
      </c>
      <c r="E68" s="10" t="s">
        <v>390</v>
      </c>
      <c r="F68" s="10" t="s">
        <v>45</v>
      </c>
      <c r="G68" s="10" t="s">
        <v>46</v>
      </c>
      <c r="H68" s="10" t="s">
        <v>47</v>
      </c>
      <c r="I68" s="11">
        <v>45882</v>
      </c>
      <c r="J68" s="11">
        <v>46004</v>
      </c>
      <c r="K68" s="7">
        <f>DATEDIF(I68,J68,"M")</f>
        <v>4</v>
      </c>
      <c r="L68" s="11" t="s">
        <v>442</v>
      </c>
      <c r="M68" s="11" t="s">
        <v>443</v>
      </c>
      <c r="N68" s="7">
        <v>4.2300000000000004</v>
      </c>
      <c r="O68" s="7">
        <v>1.37</v>
      </c>
      <c r="P68" s="7">
        <v>5.8</v>
      </c>
      <c r="S68" s="10" t="s">
        <v>444</v>
      </c>
    </row>
    <row r="69" spans="1:34" s="10" customFormat="1" x14ac:dyDescent="0.25">
      <c r="A69" s="10">
        <v>16228684</v>
      </c>
      <c r="B69" s="10" t="s">
        <v>61</v>
      </c>
      <c r="C69" s="10" t="s">
        <v>42</v>
      </c>
      <c r="D69" s="7">
        <v>7250132001</v>
      </c>
      <c r="E69" s="10" t="s">
        <v>397</v>
      </c>
      <c r="F69" s="10" t="s">
        <v>45</v>
      </c>
      <c r="G69" s="10" t="s">
        <v>46</v>
      </c>
      <c r="H69" s="10" t="s">
        <v>47</v>
      </c>
      <c r="I69" s="11">
        <v>45870</v>
      </c>
      <c r="J69" s="11">
        <v>45992</v>
      </c>
      <c r="K69" s="7">
        <f>DATEDIF(I69,J69,"M")</f>
        <v>4</v>
      </c>
      <c r="L69" s="11" t="s">
        <v>442</v>
      </c>
      <c r="M69" s="11" t="s">
        <v>443</v>
      </c>
      <c r="N69" s="7">
        <v>3.7</v>
      </c>
      <c r="O69" s="7">
        <v>1.37</v>
      </c>
      <c r="P69" s="7">
        <v>5.07</v>
      </c>
      <c r="S69" s="10" t="s">
        <v>444</v>
      </c>
    </row>
    <row r="70" spans="1:34" s="10" customFormat="1" x14ac:dyDescent="0.25">
      <c r="A70" s="10">
        <v>16228684</v>
      </c>
      <c r="B70" s="10" t="s">
        <v>61</v>
      </c>
      <c r="C70" s="10" t="s">
        <v>42</v>
      </c>
      <c r="D70" s="7">
        <v>7250128516</v>
      </c>
      <c r="E70" s="10" t="s">
        <v>391</v>
      </c>
      <c r="F70" s="10" t="s">
        <v>45</v>
      </c>
      <c r="G70" s="10" t="s">
        <v>46</v>
      </c>
      <c r="H70" s="10" t="s">
        <v>47</v>
      </c>
      <c r="I70" s="11">
        <v>45870</v>
      </c>
      <c r="J70" s="11">
        <v>45992</v>
      </c>
      <c r="K70" s="7">
        <f>DATEDIF(I70,J70,"M")</f>
        <v>4</v>
      </c>
      <c r="L70" s="11" t="s">
        <v>442</v>
      </c>
      <c r="M70" s="11" t="s">
        <v>443</v>
      </c>
      <c r="N70" s="7">
        <v>168.32</v>
      </c>
      <c r="O70" s="7">
        <v>1.37</v>
      </c>
      <c r="P70" s="7">
        <v>230.6</v>
      </c>
      <c r="S70" s="10" t="s">
        <v>444</v>
      </c>
    </row>
    <row r="71" spans="1:34" s="10" customFormat="1" x14ac:dyDescent="0.25">
      <c r="A71" s="10">
        <v>16228684</v>
      </c>
      <c r="B71" s="10" t="s">
        <v>61</v>
      </c>
      <c r="C71" s="10" t="s">
        <v>42</v>
      </c>
      <c r="D71" s="7">
        <v>7250129238</v>
      </c>
      <c r="E71" s="10" t="s">
        <v>400</v>
      </c>
      <c r="F71" s="10" t="s">
        <v>45</v>
      </c>
      <c r="G71" s="10" t="s">
        <v>46</v>
      </c>
      <c r="H71" s="10" t="s">
        <v>47</v>
      </c>
      <c r="I71" s="11">
        <v>45870</v>
      </c>
      <c r="J71" s="11">
        <v>45992</v>
      </c>
      <c r="K71" s="7">
        <f>DATEDIF(I71,J71,"M")</f>
        <v>4</v>
      </c>
      <c r="L71" s="11" t="s">
        <v>442</v>
      </c>
      <c r="M71" s="11" t="s">
        <v>443</v>
      </c>
      <c r="N71" s="7">
        <v>178</v>
      </c>
      <c r="O71" s="7">
        <v>0.94499999999999995</v>
      </c>
      <c r="P71" s="7">
        <v>168.21</v>
      </c>
      <c r="S71" s="10" t="s">
        <v>445</v>
      </c>
    </row>
    <row r="72" spans="1:34" s="10" customFormat="1" x14ac:dyDescent="0.25">
      <c r="A72" s="10">
        <v>19491313</v>
      </c>
      <c r="B72" s="10" t="s">
        <v>173</v>
      </c>
      <c r="C72" s="10" t="s">
        <v>42</v>
      </c>
      <c r="D72" s="7">
        <v>6250134924</v>
      </c>
      <c r="E72" s="10" t="s">
        <v>439</v>
      </c>
      <c r="F72" s="10" t="s">
        <v>45</v>
      </c>
      <c r="G72" s="10" t="s">
        <v>46</v>
      </c>
      <c r="H72" s="10" t="s">
        <v>47</v>
      </c>
      <c r="I72" s="11">
        <v>45881</v>
      </c>
      <c r="J72" s="11">
        <v>46003</v>
      </c>
      <c r="K72" s="7">
        <f>DATEDIF(I72,J72,"M")</f>
        <v>4</v>
      </c>
      <c r="L72" s="11" t="s">
        <v>442</v>
      </c>
      <c r="M72" s="11" t="s">
        <v>443</v>
      </c>
      <c r="N72" s="7">
        <v>60.74</v>
      </c>
      <c r="O72" s="7">
        <v>0.9</v>
      </c>
      <c r="P72" s="7">
        <v>54.67</v>
      </c>
      <c r="S72" s="10" t="s">
        <v>446</v>
      </c>
    </row>
    <row r="73" spans="1:34" s="10" customFormat="1" x14ac:dyDescent="0.25">
      <c r="A73" s="10">
        <v>8977234</v>
      </c>
      <c r="B73" s="10" t="s">
        <v>106</v>
      </c>
      <c r="C73" s="10" t="s">
        <v>42</v>
      </c>
      <c r="D73" s="7">
        <v>6250100038</v>
      </c>
      <c r="E73" s="10" t="s">
        <v>422</v>
      </c>
      <c r="F73" s="10" t="s">
        <v>45</v>
      </c>
      <c r="G73" s="10" t="s">
        <v>46</v>
      </c>
      <c r="H73" s="10" t="s">
        <v>47</v>
      </c>
      <c r="I73" s="11">
        <v>45841</v>
      </c>
      <c r="J73" s="11">
        <v>45994</v>
      </c>
      <c r="K73" s="7">
        <f>DATEDIF(I73,J73,"M")</f>
        <v>5</v>
      </c>
      <c r="L73" s="11" t="s">
        <v>442</v>
      </c>
      <c r="M73" s="11" t="s">
        <v>443</v>
      </c>
      <c r="N73" s="7">
        <v>65.42</v>
      </c>
      <c r="O73" s="7">
        <v>0.9</v>
      </c>
      <c r="P73" s="7">
        <v>58.88</v>
      </c>
      <c r="S73" s="10" t="s">
        <v>446</v>
      </c>
    </row>
    <row r="74" spans="1:34" s="10" customFormat="1" x14ac:dyDescent="0.25">
      <c r="A74" s="10">
        <v>8977234</v>
      </c>
      <c r="B74" s="10" t="s">
        <v>106</v>
      </c>
      <c r="C74" s="10" t="s">
        <v>42</v>
      </c>
      <c r="D74" s="7">
        <v>7250055031</v>
      </c>
      <c r="E74" s="10" t="s">
        <v>386</v>
      </c>
      <c r="F74" s="10" t="s">
        <v>45</v>
      </c>
      <c r="G74" s="10" t="s">
        <v>46</v>
      </c>
      <c r="H74" s="10" t="s">
        <v>47</v>
      </c>
      <c r="I74" s="11">
        <v>45778</v>
      </c>
      <c r="J74" s="11">
        <v>45992</v>
      </c>
      <c r="K74" s="7">
        <f>DATEDIF(I74,J74,"M")</f>
        <v>7</v>
      </c>
      <c r="L74" s="11" t="s">
        <v>442</v>
      </c>
      <c r="M74" s="11" t="s">
        <v>443</v>
      </c>
      <c r="N74" s="7">
        <v>122.53</v>
      </c>
      <c r="O74" s="7">
        <v>1.37</v>
      </c>
      <c r="P74" s="7">
        <v>167.87</v>
      </c>
      <c r="S74" s="10" t="s">
        <v>444</v>
      </c>
    </row>
    <row r="75" spans="1:34" s="10" customFormat="1" x14ac:dyDescent="0.25">
      <c r="A75" s="10">
        <v>8977234</v>
      </c>
      <c r="B75" s="10" t="s">
        <v>106</v>
      </c>
      <c r="C75" s="10" t="s">
        <v>42</v>
      </c>
      <c r="D75" s="7">
        <v>7250062261</v>
      </c>
      <c r="E75" s="10" t="s">
        <v>433</v>
      </c>
      <c r="F75" s="10" t="s">
        <v>45</v>
      </c>
      <c r="G75" s="10" t="s">
        <v>46</v>
      </c>
      <c r="H75" s="10" t="s">
        <v>47</v>
      </c>
      <c r="I75" s="11">
        <v>45778</v>
      </c>
      <c r="J75" s="11">
        <v>45992</v>
      </c>
      <c r="K75" s="7">
        <f>DATEDIF(I75,J75,"M")</f>
        <v>7</v>
      </c>
      <c r="L75" s="11" t="s">
        <v>442</v>
      </c>
      <c r="M75" s="11" t="s">
        <v>443</v>
      </c>
      <c r="N75" s="7">
        <v>32.659999999999997</v>
      </c>
      <c r="O75" s="7">
        <v>1.37</v>
      </c>
      <c r="P75" s="7">
        <v>44.74</v>
      </c>
      <c r="S75" s="10" t="s">
        <v>444</v>
      </c>
    </row>
    <row r="76" spans="1:34" s="10" customFormat="1" x14ac:dyDescent="0.25">
      <c r="A76" s="10">
        <v>8977234</v>
      </c>
      <c r="B76" s="10" t="s">
        <v>106</v>
      </c>
      <c r="C76" s="10" t="s">
        <v>42</v>
      </c>
      <c r="D76" s="7">
        <v>7250057563</v>
      </c>
      <c r="E76" s="10" t="s">
        <v>438</v>
      </c>
      <c r="F76" s="10" t="s">
        <v>45</v>
      </c>
      <c r="G76" s="10" t="s">
        <v>46</v>
      </c>
      <c r="H76" s="10" t="s">
        <v>47</v>
      </c>
      <c r="I76" s="11">
        <v>45778</v>
      </c>
      <c r="J76" s="11">
        <v>45992</v>
      </c>
      <c r="K76" s="7">
        <f>DATEDIF(I76,J76,"M")</f>
        <v>7</v>
      </c>
      <c r="L76" s="11" t="s">
        <v>442</v>
      </c>
      <c r="M76" s="11" t="s">
        <v>443</v>
      </c>
      <c r="N76" s="7">
        <v>76.849999999999994</v>
      </c>
      <c r="O76" s="7">
        <v>1.37</v>
      </c>
      <c r="P76" s="7">
        <v>105.28</v>
      </c>
      <c r="S76" s="10" t="s">
        <v>444</v>
      </c>
    </row>
    <row r="77" spans="1:34" s="12" customFormat="1" x14ac:dyDescent="0.25">
      <c r="A77" s="10">
        <v>8977234</v>
      </c>
      <c r="B77" s="10" t="s">
        <v>106</v>
      </c>
      <c r="C77" s="10" t="s">
        <v>42</v>
      </c>
      <c r="D77" s="7">
        <v>6250063528</v>
      </c>
      <c r="E77" s="10" t="s">
        <v>389</v>
      </c>
      <c r="F77" s="10" t="s">
        <v>45</v>
      </c>
      <c r="G77" s="10" t="s">
        <v>46</v>
      </c>
      <c r="H77" s="10" t="s">
        <v>47</v>
      </c>
      <c r="I77" s="11">
        <v>45778</v>
      </c>
      <c r="J77" s="11">
        <v>45992</v>
      </c>
      <c r="K77" s="7">
        <f>DATEDIF(I77,J77,"M")</f>
        <v>7</v>
      </c>
      <c r="L77" s="11" t="s">
        <v>442</v>
      </c>
      <c r="M77" s="11" t="s">
        <v>443</v>
      </c>
      <c r="N77" s="7">
        <v>71.91</v>
      </c>
      <c r="O77" s="7">
        <v>0.9</v>
      </c>
      <c r="P77" s="7">
        <v>64.72</v>
      </c>
      <c r="Q77" s="10"/>
      <c r="R77" s="10"/>
      <c r="S77" s="10" t="s">
        <v>446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spans="1:34" s="12" customFormat="1" x14ac:dyDescent="0.25">
      <c r="A78" s="10">
        <v>9213293</v>
      </c>
      <c r="B78" s="10" t="s">
        <v>89</v>
      </c>
      <c r="C78" s="10" t="s">
        <v>42</v>
      </c>
      <c r="D78" s="7">
        <v>6250001196</v>
      </c>
      <c r="E78" s="10" t="s">
        <v>383</v>
      </c>
      <c r="F78" s="10" t="s">
        <v>45</v>
      </c>
      <c r="G78" s="10" t="s">
        <v>46</v>
      </c>
      <c r="H78" s="10" t="s">
        <v>47</v>
      </c>
      <c r="I78" s="11">
        <v>45660</v>
      </c>
      <c r="J78" s="11">
        <v>45994</v>
      </c>
      <c r="K78" s="7">
        <f>DATEDIF(I78,J78,"M")</f>
        <v>11</v>
      </c>
      <c r="L78" s="11" t="s">
        <v>442</v>
      </c>
      <c r="M78" s="11" t="s">
        <v>443</v>
      </c>
      <c r="N78" s="7">
        <v>59.08</v>
      </c>
      <c r="O78" s="7">
        <v>0.9</v>
      </c>
      <c r="P78" s="7">
        <v>53.17</v>
      </c>
      <c r="Q78" s="10"/>
      <c r="R78" s="10"/>
      <c r="S78" s="10" t="s">
        <v>446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</sheetData>
  <sortState xmlns:xlrd2="http://schemas.microsoft.com/office/spreadsheetml/2017/richdata2" ref="A2:AH78">
    <sortCondition sortBy="cellColor" ref="A2:A78" dxfId="0"/>
    <sortCondition ref="K2:K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2025-12-15T20:54:36Z</dcterms:modified>
</cp:coreProperties>
</file>