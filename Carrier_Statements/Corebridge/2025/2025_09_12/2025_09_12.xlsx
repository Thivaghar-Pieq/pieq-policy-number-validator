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53C85EC-09EF-417B-A287-EE8F58B0CEA6}" xr6:coauthVersionLast="47" xr6:coauthVersionMax="47" xr10:uidLastSave="{00000000-0000-0000-0000-000000000000}"/>
  <bookViews>
    <workbookView minimized="1" xWindow="3360" yWindow="1425" windowWidth="21585" windowHeight="13230" activeTab="2" xr2:uid="{00000000-000D-0000-FFFF-FFFF00000000}"/>
  </bookViews>
  <sheets>
    <sheet name="Commission_Statement_Details_Re" sheetId="1" r:id="rId1"/>
    <sheet name="Sheet1" sheetId="3" r:id="rId2"/>
    <sheet name="Sheet2" sheetId="4" r:id="rId3"/>
    <sheet name="bonus" sheetId="2" r:id="rId4"/>
  </sheets>
  <definedNames>
    <definedName name="_xlnm._FilterDatabase" localSheetId="0" hidden="1">Commission_Statement_Details_Re!$A$1:$Y$20</definedName>
  </definedNames>
  <calcPr calcId="181029"/>
</workbook>
</file>

<file path=xl/calcChain.xml><?xml version="1.0" encoding="utf-8"?>
<calcChain xmlns="http://schemas.openxmlformats.org/spreadsheetml/2006/main">
  <c r="H21" i="4" l="1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G47" i="4"/>
  <c r="G48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12" i="4"/>
  <c r="L13" i="4"/>
  <c r="L14" i="4"/>
  <c r="L15" i="4"/>
  <c r="L16" i="4"/>
  <c r="L17" i="4"/>
  <c r="L18" i="4"/>
  <c r="L19" i="4"/>
  <c r="L20" i="4"/>
  <c r="L21" i="4"/>
  <c r="L3" i="4"/>
  <c r="L4" i="4"/>
  <c r="L5" i="4"/>
  <c r="L6" i="4"/>
  <c r="L7" i="4"/>
  <c r="L8" i="4"/>
  <c r="L9" i="4"/>
  <c r="L10" i="4"/>
  <c r="L11" i="4"/>
  <c r="L2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K17" i="3"/>
  <c r="K18" i="3"/>
  <c r="K2" i="3"/>
  <c r="K3" i="3"/>
  <c r="K7" i="3"/>
  <c r="K8" i="3"/>
  <c r="K9" i="3"/>
  <c r="K10" i="3"/>
  <c r="K4" i="3"/>
  <c r="K19" i="3"/>
  <c r="K5" i="3"/>
  <c r="K11" i="3"/>
  <c r="K20" i="3"/>
  <c r="K6" i="3"/>
  <c r="K12" i="3"/>
  <c r="K13" i="3"/>
  <c r="K14" i="3"/>
  <c r="K15" i="3"/>
  <c r="K16" i="3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" i="4"/>
</calcChain>
</file>

<file path=xl/sharedStrings.xml><?xml version="1.0" encoding="utf-8"?>
<sst xmlns="http://schemas.openxmlformats.org/spreadsheetml/2006/main" count="1367" uniqueCount="490">
  <si>
    <t>Activity For Period Ending</t>
  </si>
  <si>
    <t>Agent Name</t>
  </si>
  <si>
    <t>Writing Agent Name</t>
  </si>
  <si>
    <t>Writing Agent Number</t>
  </si>
  <si>
    <t>Activity</t>
  </si>
  <si>
    <t>Policy Number</t>
  </si>
  <si>
    <t>Description</t>
  </si>
  <si>
    <t>Mode</t>
  </si>
  <si>
    <t>Product Type</t>
  </si>
  <si>
    <t>Issue Date</t>
  </si>
  <si>
    <t>Due Date</t>
  </si>
  <si>
    <t>Tran Date</t>
  </si>
  <si>
    <t>Split</t>
  </si>
  <si>
    <t>Premium</t>
  </si>
  <si>
    <t>Rate</t>
  </si>
  <si>
    <t>Amount</t>
  </si>
  <si>
    <t>Payoff Item not Included in Total</t>
  </si>
  <si>
    <t>Commission Rate Times Annualization Rate</t>
  </si>
  <si>
    <t>Advance Amount Times Annualization Rates</t>
  </si>
  <si>
    <t>Lapse Recoupment</t>
  </si>
  <si>
    <t>Surrender Recoupment</t>
  </si>
  <si>
    <t>Reinstate Annualization</t>
  </si>
  <si>
    <t>Financial Owner</t>
  </si>
  <si>
    <t>Type</t>
  </si>
  <si>
    <t>Statement LOB</t>
  </si>
  <si>
    <t>149B0</t>
  </si>
  <si>
    <t>MAIN LINE BENEFITS LLC</t>
  </si>
  <si>
    <t>1FJU8</t>
  </si>
  <si>
    <t>ROLLER, JASON</t>
  </si>
  <si>
    <t>Overwrite Activity</t>
  </si>
  <si>
    <t>MNTHLY</t>
  </si>
  <si>
    <t>Life</t>
  </si>
  <si>
    <t>Term</t>
  </si>
  <si>
    <t/>
  </si>
  <si>
    <t>SEDIVEC</t>
  </si>
  <si>
    <t>ANNUAL</t>
  </si>
  <si>
    <t>14JT4</t>
  </si>
  <si>
    <t>WALENGA, DALE</t>
  </si>
  <si>
    <t>1FGJ5</t>
  </si>
  <si>
    <t>BRANDT, STEVEN</t>
  </si>
  <si>
    <t>WENT</t>
  </si>
  <si>
    <t>MINJARES</t>
  </si>
  <si>
    <t>OLDENBURG</t>
  </si>
  <si>
    <t>JACOBSON</t>
  </si>
  <si>
    <t>14JK2</t>
  </si>
  <si>
    <t>CHOI, ANDREW</t>
  </si>
  <si>
    <t>HANSEN</t>
  </si>
  <si>
    <t>LOVE</t>
  </si>
  <si>
    <t>WALKER</t>
  </si>
  <si>
    <t>THOMAS</t>
  </si>
  <si>
    <t>LIST</t>
  </si>
  <si>
    <t>MILLS</t>
  </si>
  <si>
    <t>Miscellaneous Account Activity</t>
  </si>
  <si>
    <t>3Q25 Agt Bonus 1FJU8</t>
  </si>
  <si>
    <t>Fixed Index Annuity</t>
  </si>
  <si>
    <t>Corebridge SimpliNow Legacy Max (137)</t>
  </si>
  <si>
    <t>Corebridge SimpliNow Legacy (94.50)</t>
  </si>
  <si>
    <t>Insured Name</t>
  </si>
  <si>
    <t>Premium Due Date</t>
  </si>
  <si>
    <t>Effective Date</t>
  </si>
  <si>
    <t>JOHNSON,GEORGE A</t>
  </si>
  <si>
    <t>Whole Life Insurance</t>
  </si>
  <si>
    <t>10/15/2025</t>
  </si>
  <si>
    <t>08/15/2024</t>
  </si>
  <si>
    <t>CARR,CAROLYN L</t>
  </si>
  <si>
    <t>10/15/2024</t>
  </si>
  <si>
    <t>PRICE,JANE</t>
  </si>
  <si>
    <t>10/19/2025</t>
  </si>
  <si>
    <t>10/19/2024</t>
  </si>
  <si>
    <t>PRICE,CLYDE L</t>
  </si>
  <si>
    <t>10/07/2025</t>
  </si>
  <si>
    <t>11/07/2024</t>
  </si>
  <si>
    <t>CRAWFORD,PETER</t>
  </si>
  <si>
    <t>09/28/2025</t>
  </si>
  <si>
    <t>12/28/2024</t>
  </si>
  <si>
    <t>CRAWFORD,DEBRA</t>
  </si>
  <si>
    <t>DUNK,JOSEPH</t>
  </si>
  <si>
    <t>WILLIAMS,JESSICA</t>
  </si>
  <si>
    <t>ABBS BEJLOVEC,SUSAN</t>
  </si>
  <si>
    <t>09/25/2025</t>
  </si>
  <si>
    <t>12/25/2024</t>
  </si>
  <si>
    <t>BEJLOVEC,STEVEN</t>
  </si>
  <si>
    <t>11/25/2024</t>
  </si>
  <si>
    <t>ENSING,RUTH</t>
  </si>
  <si>
    <t>CRESSY,JEROME</t>
  </si>
  <si>
    <t>BLACK,ROLAND</t>
  </si>
  <si>
    <t>12/11/2024</t>
  </si>
  <si>
    <t>OHARA,KELLYE</t>
  </si>
  <si>
    <t>10/01/2025</t>
  </si>
  <si>
    <t>01/01/2025</t>
  </si>
  <si>
    <t>GARZA,PAMELA M</t>
  </si>
  <si>
    <t>10/03/2025</t>
  </si>
  <si>
    <t>01/03/2025</t>
  </si>
  <si>
    <t>WENGERSKI,STEVEN</t>
  </si>
  <si>
    <t>09/17/2025</t>
  </si>
  <si>
    <t>01/17/2025</t>
  </si>
  <si>
    <t>CONNOLLY,KEVIN</t>
  </si>
  <si>
    <t>07/01/2025</t>
  </si>
  <si>
    <t>02/01/2025</t>
  </si>
  <si>
    <t>CONNOLLY,DAWN</t>
  </si>
  <si>
    <t>CUMMINGS,TERRY</t>
  </si>
  <si>
    <t>10/04/2025</t>
  </si>
  <si>
    <t>02/04/2025</t>
  </si>
  <si>
    <t>POWLEDGE,VERONICA A</t>
  </si>
  <si>
    <t>10/05/2025</t>
  </si>
  <si>
    <t>03/05/2025</t>
  </si>
  <si>
    <t>BAKER,CINDY</t>
  </si>
  <si>
    <t>09/19/2025</t>
  </si>
  <si>
    <t>03/19/2025</t>
  </si>
  <si>
    <t>HAPNER,THOMAS</t>
  </si>
  <si>
    <t>05/01/2025</t>
  </si>
  <si>
    <t>TENZINGER,REGINA</t>
  </si>
  <si>
    <t>08/20/2025</t>
  </si>
  <si>
    <t>05/20/2025</t>
  </si>
  <si>
    <t>HILL,JENNIFER</t>
  </si>
  <si>
    <t>10/24/2025</t>
  </si>
  <si>
    <t>06/24/2025</t>
  </si>
  <si>
    <t>YOUNG,DAVID</t>
  </si>
  <si>
    <t>09/13/2025</t>
  </si>
  <si>
    <t>06/13/2025</t>
  </si>
  <si>
    <t>BELL,CYNTHIA F</t>
  </si>
  <si>
    <t>09/05/2025</t>
  </si>
  <si>
    <t>06/05/2025</t>
  </si>
  <si>
    <t>SCHUTJER,CISSIE</t>
  </si>
  <si>
    <t>07/03/2025</t>
  </si>
  <si>
    <t>DALY,KEVIN</t>
  </si>
  <si>
    <t>10/14/2025</t>
  </si>
  <si>
    <t>07/14/2025</t>
  </si>
  <si>
    <t>BARNES,LAVISA</t>
  </si>
  <si>
    <t>08/05/2025</t>
  </si>
  <si>
    <t>KRAMER,SANDRA</t>
  </si>
  <si>
    <t>08/01/2025</t>
  </si>
  <si>
    <t>OUTLAW,ZACHARY</t>
  </si>
  <si>
    <t>10/28/2025</t>
  </si>
  <si>
    <t>08/28/2025</t>
  </si>
  <si>
    <t>SMITH,LINDA M</t>
  </si>
  <si>
    <t>10/12/2025</t>
  </si>
  <si>
    <t>08/12/2025</t>
  </si>
  <si>
    <t>JONES,BRIAN</t>
  </si>
  <si>
    <t>09/26/2025</t>
  </si>
  <si>
    <t>08/26/2025</t>
  </si>
  <si>
    <t>MALONE,JOANNE</t>
  </si>
  <si>
    <t>SANDOVAL,LIA</t>
  </si>
  <si>
    <t>09/16/2025</t>
  </si>
  <si>
    <t>FILIPPO,RICHARD</t>
  </si>
  <si>
    <t>10/22/2025</t>
  </si>
  <si>
    <t>MANZARA,BRADFORD</t>
  </si>
  <si>
    <t>ZAFIRIADIS,PIEDAD</t>
  </si>
  <si>
    <t>10/02/2025</t>
  </si>
  <si>
    <t>SILVA,ALFRED</t>
  </si>
  <si>
    <t>GAWAT,DANIEL</t>
  </si>
  <si>
    <t>11/01/2025</t>
  </si>
  <si>
    <t>LOPRIORE,MICHAEL</t>
  </si>
  <si>
    <t>10/16/2025</t>
  </si>
  <si>
    <t>10/16/2024</t>
  </si>
  <si>
    <t>LOPRIORE,FILOMENA</t>
  </si>
  <si>
    <t>GALLINA,JAMES</t>
  </si>
  <si>
    <t>12/01/2024</t>
  </si>
  <si>
    <t>MCGARY,JOHN</t>
  </si>
  <si>
    <t>PILCHER,TIMOTHY</t>
  </si>
  <si>
    <t>11/01/2024</t>
  </si>
  <si>
    <t>CHOI,TIMOTHY</t>
  </si>
  <si>
    <t>CHOI,KYUNG</t>
  </si>
  <si>
    <t>MINJARES,MONICA</t>
  </si>
  <si>
    <t>10/08/2025</t>
  </si>
  <si>
    <t>11/08/2024</t>
  </si>
  <si>
    <t>GUIFFRE,KATHERINE</t>
  </si>
  <si>
    <t>MINJARES,JOE</t>
  </si>
  <si>
    <t>RAMSEY,JOHN</t>
  </si>
  <si>
    <t>GALLINA,JOSEPH</t>
  </si>
  <si>
    <t>GALLINA,PATRICIA</t>
  </si>
  <si>
    <t>06/28/2025</t>
  </si>
  <si>
    <t>SHEE,GAYLE</t>
  </si>
  <si>
    <t>SHEE,DONALD</t>
  </si>
  <si>
    <t>GROSS,WILLIAM</t>
  </si>
  <si>
    <t>MIRASOL,LEONIDAS</t>
  </si>
  <si>
    <t>CROSBY,DONALD</t>
  </si>
  <si>
    <t>CASSATO,JAMES</t>
  </si>
  <si>
    <t>RICHERT,MARCELLA</t>
  </si>
  <si>
    <t>SKENDER,LOUIS</t>
  </si>
  <si>
    <t>TYNAN,LAURA</t>
  </si>
  <si>
    <t>SPLANT,MARY</t>
  </si>
  <si>
    <t>FORD,DYAN</t>
  </si>
  <si>
    <t>INTILE,CONCETTA</t>
  </si>
  <si>
    <t>BRENNAN,WILLIAM</t>
  </si>
  <si>
    <t>05/28/2025</t>
  </si>
  <si>
    <t>SAVOY,KONSTANTINE</t>
  </si>
  <si>
    <t>SAVOY,LEAH</t>
  </si>
  <si>
    <t>ZURAWSKI,SANDRA</t>
  </si>
  <si>
    <t>POONOOSAMY,SUSAN</t>
  </si>
  <si>
    <t>STEFANSKI,MICHAEL</t>
  </si>
  <si>
    <t>10/18/2025</t>
  </si>
  <si>
    <t>11/18/2024</t>
  </si>
  <si>
    <t>BALICKI,SHELLEY</t>
  </si>
  <si>
    <t>ETTERS,JEFFREY</t>
  </si>
  <si>
    <t>KAY,DONALD</t>
  </si>
  <si>
    <t>KAY,DENISE</t>
  </si>
  <si>
    <t>NAHLEY,KAREN</t>
  </si>
  <si>
    <t>SALTER,MICHAEL</t>
  </si>
  <si>
    <t>BRADLEY,DIANNE</t>
  </si>
  <si>
    <t>ADAMEK,WILLIAM</t>
  </si>
  <si>
    <t>ROPSKI,CARYN</t>
  </si>
  <si>
    <t>ROPSKI,BRUCE</t>
  </si>
  <si>
    <t>JACKSON,ESTER</t>
  </si>
  <si>
    <t>LAZZARA,GERALD</t>
  </si>
  <si>
    <t>HEIN,CATHY</t>
  </si>
  <si>
    <t>TOBIAS,MEIRION</t>
  </si>
  <si>
    <t>STOCKER,JOSEPHINE</t>
  </si>
  <si>
    <t>LAZAR,NANCY</t>
  </si>
  <si>
    <t>LAZZARA,JUDITH</t>
  </si>
  <si>
    <t>PHELPS,PHYLLIS</t>
  </si>
  <si>
    <t>KARPIEL,SHARON</t>
  </si>
  <si>
    <t>BEESE,IRENE</t>
  </si>
  <si>
    <t>BEESE,ARTHUR</t>
  </si>
  <si>
    <t>CARROLL,ROGER</t>
  </si>
  <si>
    <t>JUN,EUN</t>
  </si>
  <si>
    <t>HALLEY,PAMELA</t>
  </si>
  <si>
    <t>LOVE,MAXINE</t>
  </si>
  <si>
    <t>10/06/2025</t>
  </si>
  <si>
    <t>01/06/2025</t>
  </si>
  <si>
    <t>LOVE,MICHAEL</t>
  </si>
  <si>
    <t>FLANAGAN,MICHAEL</t>
  </si>
  <si>
    <t>CULLEN,MARTA</t>
  </si>
  <si>
    <t>CULLEN,PHILLIP</t>
  </si>
  <si>
    <t>KULCSAR,SANDOR</t>
  </si>
  <si>
    <t>KULCSAR,MAGDOLNA</t>
  </si>
  <si>
    <t>CRESSY,LAURA</t>
  </si>
  <si>
    <t>MASELLA,THOMAS</t>
  </si>
  <si>
    <t>STEARN,KATHY</t>
  </si>
  <si>
    <t>MARTIN,SANDRA</t>
  </si>
  <si>
    <t>PIRHOFER,ALAN</t>
  </si>
  <si>
    <t>GO MEDINA,ANNIE</t>
  </si>
  <si>
    <t>MEDINA,LEANDRO</t>
  </si>
  <si>
    <t>PERKINS,KATHERINE R</t>
  </si>
  <si>
    <t>12/15/2024</t>
  </si>
  <si>
    <t>RODRIGUEZ,TAMARA</t>
  </si>
  <si>
    <t>SCHULD,RICHARD</t>
  </si>
  <si>
    <t>SHIPKIN,JERRY</t>
  </si>
  <si>
    <t>SHIPKIN,ISABELLA</t>
  </si>
  <si>
    <t>FORSBERG,JEFFERY</t>
  </si>
  <si>
    <t>CONNERY,DENNIS</t>
  </si>
  <si>
    <t>BATSUKH,BATTUYA</t>
  </si>
  <si>
    <t>07/28/2025</t>
  </si>
  <si>
    <t>01/28/2025</t>
  </si>
  <si>
    <t>ROWLAND,GARLAND</t>
  </si>
  <si>
    <t>02/18/2025</t>
  </si>
  <si>
    <t>ROWLAND,BRENDA</t>
  </si>
  <si>
    <t>02/28/2025</t>
  </si>
  <si>
    <t>REMIAS,THERESA</t>
  </si>
  <si>
    <t>04/01/2025</t>
  </si>
  <si>
    <t>RUSNAK,MAUREEN</t>
  </si>
  <si>
    <t>WEISS,JEAN</t>
  </si>
  <si>
    <t>WEISS,CRAIG</t>
  </si>
  <si>
    <t>SCIARRONE,ANTHONY P</t>
  </si>
  <si>
    <t>BEDELL,BRENDA</t>
  </si>
  <si>
    <t>04/04/2025</t>
  </si>
  <si>
    <t>CLIENT,ANDREA</t>
  </si>
  <si>
    <t>04/05/2025</t>
  </si>
  <si>
    <t>BAATAR,TULGA</t>
  </si>
  <si>
    <t>05/05/2025</t>
  </si>
  <si>
    <t>KUDRNA,RHONDA</t>
  </si>
  <si>
    <t>JAROS,CONNIE</t>
  </si>
  <si>
    <t>POLLARD,PAULINE</t>
  </si>
  <si>
    <t>07/21/2025</t>
  </si>
  <si>
    <t>04/21/2025</t>
  </si>
  <si>
    <t>HIVON,CHRISTINE</t>
  </si>
  <si>
    <t>HIVON,MARK</t>
  </si>
  <si>
    <t>HAPNER,MELISSA</t>
  </si>
  <si>
    <t>POPE,TIMOTHY</t>
  </si>
  <si>
    <t>09/23/2025</t>
  </si>
  <si>
    <t>04/23/2025</t>
  </si>
  <si>
    <t>DECAUSSIN,JOSEPH</t>
  </si>
  <si>
    <t>11/03/2025</t>
  </si>
  <si>
    <t>06/03/2025</t>
  </si>
  <si>
    <t>VOLPE,MARK</t>
  </si>
  <si>
    <t>05/15/2025</t>
  </si>
  <si>
    <t>PITTS,LENA P</t>
  </si>
  <si>
    <t>04/28/2025</t>
  </si>
  <si>
    <t>DICKSON,RANDOLPH</t>
  </si>
  <si>
    <t>06/01/2025</t>
  </si>
  <si>
    <t>KIM,JOHN</t>
  </si>
  <si>
    <t>BELL JR,MILTON C</t>
  </si>
  <si>
    <t>ROSS,KATHY</t>
  </si>
  <si>
    <t>06/26/2025</t>
  </si>
  <si>
    <t>DURAY,GREGORY</t>
  </si>
  <si>
    <t>DURAY,JUDITH</t>
  </si>
  <si>
    <t>NOWAKOWSKI,KIMBERLY</t>
  </si>
  <si>
    <t>MILLER,MARK</t>
  </si>
  <si>
    <t>NUTTLE,HEIDI</t>
  </si>
  <si>
    <t>KIM,DONG</t>
  </si>
  <si>
    <t>REYNA,JANAN</t>
  </si>
  <si>
    <t>SPASO,RAYMOND</t>
  </si>
  <si>
    <t>SPASO,NOEL</t>
  </si>
  <si>
    <t>GARZA,LINDA</t>
  </si>
  <si>
    <t>07/16/2025</t>
  </si>
  <si>
    <t>THOMPSON,BEVERLY</t>
  </si>
  <si>
    <t>09/22/2025</t>
  </si>
  <si>
    <t>07/22/2025</t>
  </si>
  <si>
    <t>BROOKS,MARYANN</t>
  </si>
  <si>
    <t>FITZSIMMONS,DEAN C</t>
  </si>
  <si>
    <t>DAVEY,THOMAS</t>
  </si>
  <si>
    <t>KOZA,MICHELLE</t>
  </si>
  <si>
    <t>WELTER,MAUREEN</t>
  </si>
  <si>
    <t>WELTER,DAVID</t>
  </si>
  <si>
    <t>PATER,JAMES</t>
  </si>
  <si>
    <t>07/23/2025</t>
  </si>
  <si>
    <t>CLARKE LENNON,JOANNE</t>
  </si>
  <si>
    <t>08/19/2025</t>
  </si>
  <si>
    <t>STRAUSS,JULIE</t>
  </si>
  <si>
    <t>STRAUSS,DONALD</t>
  </si>
  <si>
    <t>DAVEY,MARCIA</t>
  </si>
  <si>
    <t>DEVEE,PATRICIA</t>
  </si>
  <si>
    <t>JOHNSTON,GAYLE</t>
  </si>
  <si>
    <t>08/15/2025</t>
  </si>
  <si>
    <t>OLSON,DEBORAH</t>
  </si>
  <si>
    <t>08/04/2025</t>
  </si>
  <si>
    <t>SANCHEZ,LINDA</t>
  </si>
  <si>
    <t>09/27/2025</t>
  </si>
  <si>
    <t>08/27/2025</t>
  </si>
  <si>
    <t>KAEFER,ERIC</t>
  </si>
  <si>
    <t>KAEFER,MODESTA</t>
  </si>
  <si>
    <t>SILVA,TERESA</t>
  </si>
  <si>
    <t>SCHULTZ DUNK,KATHERINE</t>
  </si>
  <si>
    <t>KAPPELMAN,KATHLEEN</t>
  </si>
  <si>
    <t>AURRICHIO,VITTA</t>
  </si>
  <si>
    <t>CODER,ELIZABETH</t>
  </si>
  <si>
    <t>JACOBSON,JERROLD</t>
  </si>
  <si>
    <t>10/11/2025</t>
  </si>
  <si>
    <t>08/11/2025</t>
  </si>
  <si>
    <t>HANSEN,SALLY</t>
  </si>
  <si>
    <t>KOWALCZYK,GREGORY</t>
  </si>
  <si>
    <t>08/14/2025</t>
  </si>
  <si>
    <t>KOWALCZYK,BRIAN</t>
  </si>
  <si>
    <t>KOWALCZYK,ALFRED J</t>
  </si>
  <si>
    <t>WESTMORELAND,CHARLOTTE</t>
  </si>
  <si>
    <t>10/13/2025</t>
  </si>
  <si>
    <t>08/13/2025</t>
  </si>
  <si>
    <t>WENT,KIMBERLY J</t>
  </si>
  <si>
    <t>09/20/2025</t>
  </si>
  <si>
    <t>WENT,LARRY L</t>
  </si>
  <si>
    <t>BLASCO,LAURA</t>
  </si>
  <si>
    <t>09/01/2025</t>
  </si>
  <si>
    <t>MCCLELLAN,MICHAEL B</t>
  </si>
  <si>
    <t>DAUER,MERRILEE</t>
  </si>
  <si>
    <t>10/21/2025</t>
  </si>
  <si>
    <t>08/21/2025</t>
  </si>
  <si>
    <t>VARJU,RANDY</t>
  </si>
  <si>
    <t>SASAKI,DAVIS K</t>
  </si>
  <si>
    <t>SEDIVEC,BARBARA</t>
  </si>
  <si>
    <t>09/10/2025</t>
  </si>
  <si>
    <t>OLDENBURG,ROBERT</t>
  </si>
  <si>
    <t>10/10/2025</t>
  </si>
  <si>
    <t>KOMA,SHAMIRAN</t>
  </si>
  <si>
    <t>09/02/2025</t>
  </si>
  <si>
    <t>CARLSON,CYNTHIA</t>
  </si>
  <si>
    <t>HARSHMAN,DAVID W</t>
  </si>
  <si>
    <t>MILLS,PAMELA C</t>
  </si>
  <si>
    <t>09/08/2025</t>
  </si>
  <si>
    <t>HANSEN,DOUGLAS</t>
  </si>
  <si>
    <t>LIST,MARY T</t>
  </si>
  <si>
    <t>LIST,DARYL W</t>
  </si>
  <si>
    <t>WALKER,JOSEPH C</t>
  </si>
  <si>
    <t>TYLER,SALVATORA</t>
  </si>
  <si>
    <t>FLORY,JOSEPH P</t>
  </si>
  <si>
    <t>FLORY,LOLA K</t>
  </si>
  <si>
    <t>THOMAS,CHARLES</t>
  </si>
  <si>
    <t>09/12/2025</t>
  </si>
  <si>
    <t>MELLO,HENRY</t>
  </si>
  <si>
    <t>JOHNSON KING,BRENDA</t>
  </si>
  <si>
    <t>10/25/2025</t>
  </si>
  <si>
    <t>THEODORAKAKIS,SARANTOS</t>
  </si>
  <si>
    <t>THEODORAKAKIS,GEORGIA</t>
  </si>
  <si>
    <t>HALSAVER,JENNIFER L</t>
  </si>
  <si>
    <t>PANATTONI,RENEE</t>
  </si>
  <si>
    <t>DEBATTISTA,DENA</t>
  </si>
  <si>
    <t>CHERNOSKY PETERS,LUANNE</t>
  </si>
  <si>
    <t>PETERS,TIMOTHY J</t>
  </si>
  <si>
    <t>GARY,MICHELLE A</t>
  </si>
  <si>
    <t>SANTANGELO,JOAN J</t>
  </si>
  <si>
    <t>EVANS,PEGGIE L</t>
  </si>
  <si>
    <t>11/08/2025</t>
  </si>
  <si>
    <t>EVANS,ANGELA R</t>
  </si>
  <si>
    <t>WALEWANDER,ROBERT</t>
  </si>
  <si>
    <t>WALEWANDER, ROBERT</t>
  </si>
  <si>
    <t>EVANS, ANGELA</t>
  </si>
  <si>
    <t>10/09/2025</t>
  </si>
  <si>
    <t>EVANS, PEGGIE</t>
  </si>
  <si>
    <t>SANTANGELO, JOAN</t>
  </si>
  <si>
    <t>GARY, MICHELLE</t>
  </si>
  <si>
    <t>09/29/2025</t>
  </si>
  <si>
    <t>PETERS, TIMOTHY</t>
  </si>
  <si>
    <t>CHERNOSKY PETERS, LUANNE</t>
  </si>
  <si>
    <t>DEBATTISTA, DENA</t>
  </si>
  <si>
    <t>PANATTONI, RENEE</t>
  </si>
  <si>
    <t>HALSAVER, JENNIFER</t>
  </si>
  <si>
    <t>THEODORAKAKIS, GEORGIA</t>
  </si>
  <si>
    <t>THEODORAKAKIS, SARANTOS</t>
  </si>
  <si>
    <t>JOHNSON KING, BRENDA</t>
  </si>
  <si>
    <t>09/24/2025</t>
  </si>
  <si>
    <t>MELLO, HENRY</t>
  </si>
  <si>
    <t>TYLER, SALVATORA</t>
  </si>
  <si>
    <t>WENT, LARRY</t>
  </si>
  <si>
    <t>WENT, KIMBERLY</t>
  </si>
  <si>
    <t>GAWAT, DANIEL</t>
  </si>
  <si>
    <t>SILVA, ALFRED</t>
  </si>
  <si>
    <t>ZAFIRIADIS, PIEDAD</t>
  </si>
  <si>
    <t>MANZARA, BRADFORD</t>
  </si>
  <si>
    <t>FILIPPO, RICHARD</t>
  </si>
  <si>
    <t>SANDOVAL, LIA</t>
  </si>
  <si>
    <t>JONES, BRIAN</t>
  </si>
  <si>
    <t>AV1</t>
  </si>
  <si>
    <t>AE</t>
  </si>
  <si>
    <t>RN</t>
  </si>
  <si>
    <t>NB</t>
  </si>
  <si>
    <t>AV</t>
  </si>
  <si>
    <t>MICHAEL</t>
  </si>
  <si>
    <t>JOSEPH</t>
  </si>
  <si>
    <t>CHARLES</t>
  </si>
  <si>
    <t>JERROLD</t>
  </si>
  <si>
    <t>LARRY</t>
  </si>
  <si>
    <t>KIMBERLY</t>
  </si>
  <si>
    <t>MAXINE LOVE</t>
  </si>
  <si>
    <t>MICHAEL LOVE</t>
  </si>
  <si>
    <t>MONICA MINJARES</t>
  </si>
  <si>
    <t>JOE MINJARES</t>
  </si>
  <si>
    <t>JOSEPH WALKER</t>
  </si>
  <si>
    <t>CHARLES THOMAS</t>
  </si>
  <si>
    <t>JERROLD JACOBSON</t>
  </si>
  <si>
    <t>DOUGLAS HANSEN</t>
  </si>
  <si>
    <t>ROBERT OLDENBURG</t>
  </si>
  <si>
    <t>BARBARA SEDIVEC</t>
  </si>
  <si>
    <t>LARRY WENT</t>
  </si>
  <si>
    <t>KIMBERLY WENT</t>
  </si>
  <si>
    <t>DARYL LIST</t>
  </si>
  <si>
    <t>MARY LIST</t>
  </si>
  <si>
    <t>PAMELA MILLS</t>
  </si>
  <si>
    <t>8325282AV9</t>
  </si>
  <si>
    <t>MONTHLY</t>
  </si>
  <si>
    <t>OUTLAW</t>
  </si>
  <si>
    <t>ZACHARY</t>
  </si>
  <si>
    <t>PATER</t>
  </si>
  <si>
    <t>JAMES</t>
  </si>
  <si>
    <t>GARZA</t>
  </si>
  <si>
    <t>LINDA</t>
  </si>
  <si>
    <t>DALY</t>
  </si>
  <si>
    <t>KEVIN</t>
  </si>
  <si>
    <t>BAKER</t>
  </si>
  <si>
    <t>CINDY</t>
  </si>
  <si>
    <t>LOPRIORE</t>
  </si>
  <si>
    <t>FILOMENA</t>
  </si>
  <si>
    <t>DEBATTISTA</t>
  </si>
  <si>
    <t>DENA</t>
  </si>
  <si>
    <t>FILIPPO</t>
  </si>
  <si>
    <t>RICHARD</t>
  </si>
  <si>
    <t>FLORY</t>
  </si>
  <si>
    <t>LOLA</t>
  </si>
  <si>
    <t>SANDOVAL</t>
  </si>
  <si>
    <t>LIA</t>
  </si>
  <si>
    <t>DAUER</t>
  </si>
  <si>
    <t>MERRILEE</t>
  </si>
  <si>
    <t>JONES</t>
  </si>
  <si>
    <t>BRIAN</t>
  </si>
  <si>
    <t>MELLO</t>
  </si>
  <si>
    <t>HENRY</t>
  </si>
  <si>
    <t>SANCHEZ</t>
  </si>
  <si>
    <t>SILVA</t>
  </si>
  <si>
    <t>TERESA</t>
  </si>
  <si>
    <t>CLARKE</t>
  </si>
  <si>
    <t>JOANNE</t>
  </si>
  <si>
    <t>KOWALCZYK</t>
  </si>
  <si>
    <t>ALFRED</t>
  </si>
  <si>
    <t>CODER</t>
  </si>
  <si>
    <t>ELIZABETH</t>
  </si>
  <si>
    <t>JOHNSTON</t>
  </si>
  <si>
    <t>GAYLE</t>
  </si>
  <si>
    <t>GREGORY</t>
  </si>
  <si>
    <t>THOMPSON</t>
  </si>
  <si>
    <t>BEVERLY</t>
  </si>
  <si>
    <t>HILL</t>
  </si>
  <si>
    <t>JENNIFER</t>
  </si>
  <si>
    <t>VOLPE</t>
  </si>
  <si>
    <t>MARK</t>
  </si>
  <si>
    <t>POLLARD</t>
  </si>
  <si>
    <t>PAULINE</t>
  </si>
  <si>
    <t>POPE</t>
  </si>
  <si>
    <t>TIMOTHY</t>
  </si>
  <si>
    <t>WENGERSKI</t>
  </si>
  <si>
    <t>STEVEN</t>
  </si>
  <si>
    <t>PERKINS</t>
  </si>
  <si>
    <t>KATHERINE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</si>
</sst>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9" fontId="0" fillId="2" borderId="0" xfId="1" applyFont="1" applyFill="1"/>
    <xf numFmtId="9" fontId="0" fillId="0" borderId="0" xfId="1" applyFont="1"/>
    <xf numFmtId="9" fontId="0" fillId="0" borderId="0" xfId="1" applyFont="1" applyFill="1"/>
    <xf numFmtId="0" fontId="0" fillId="0" borderId="0" xfId="0" applyAlignment="1">
      <alignment vertical="top"/>
    </xf>
    <xf numFmtId="0" fontId="0" fillId="3" borderId="0" xfId="0" applyFill="1"/>
    <xf numFmtId="14" fontId="0" fillId="3" borderId="0" xfId="0" applyNumberFormat="1" applyFill="1"/>
    <xf numFmtId="9" fontId="0" fillId="3" borderId="0" xfId="1" applyFont="1" applyFill="1"/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"/>
  <sheetViews>
    <sheetView zoomScale="89" zoomScaleNormal="89" workbookViewId="0">
      <selection activeCell="M20" sqref="M20"/>
    </sheetView>
  </sheetViews>
  <sheetFormatPr defaultRowHeight="15" x14ac:dyDescent="0.25"/>
  <cols>
    <col min="1" max="1" width="24.140625" bestFit="1" customWidth="1"/>
    <col min="2" max="2" width="22.5703125" bestFit="1" customWidth="1"/>
    <col min="3" max="3" width="21.7109375" bestFit="1" customWidth="1"/>
    <col min="4" max="4" width="22" bestFit="1" customWidth="1"/>
    <col min="5" max="5" width="29.28515625" bestFit="1" customWidth="1"/>
    <col min="6" max="6" width="14.140625" bestFit="1" customWidth="1"/>
    <col min="7" max="7" width="21" bestFit="1" customWidth="1"/>
    <col min="8" max="8" width="8.5703125" bestFit="1" customWidth="1"/>
    <col min="9" max="9" width="14.7109375" bestFit="1" customWidth="1"/>
    <col min="10" max="10" width="19" bestFit="1" customWidth="1"/>
    <col min="11" max="13" width="11.42578125" bestFit="1" customWidth="1"/>
    <col min="14" max="14" width="7.140625" bestFit="1" customWidth="1"/>
    <col min="15" max="15" width="9.28515625" bestFit="1" customWidth="1"/>
    <col min="16" max="16" width="7.140625" bestFit="1" customWidth="1"/>
    <col min="17" max="17" width="8.28515625" bestFit="1" customWidth="1"/>
    <col min="18" max="18" width="30.5703125" bestFit="1" customWidth="1"/>
    <col min="19" max="19" width="40.140625" bestFit="1" customWidth="1"/>
    <col min="20" max="20" width="40.85546875" bestFit="1" customWidth="1"/>
    <col min="21" max="21" width="18" bestFit="1" customWidth="1"/>
    <col min="22" max="22" width="22.140625" bestFit="1" customWidth="1"/>
    <col min="23" max="24" width="22.5703125" bestFit="1" customWidth="1"/>
    <col min="25" max="25" width="5.28515625" bestFit="1" customWidth="1"/>
  </cols>
  <sheetData>
    <row r="1" spans="1:25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24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5">
      <c r="A2" s="2">
        <v>45912</v>
      </c>
      <c r="B2" t="s">
        <v>26</v>
      </c>
      <c r="C2" t="s">
        <v>27</v>
      </c>
      <c r="D2" t="s">
        <v>28</v>
      </c>
      <c r="E2" t="s">
        <v>29</v>
      </c>
      <c r="F2">
        <v>7250161268</v>
      </c>
      <c r="G2" t="s">
        <v>34</v>
      </c>
      <c r="H2" t="s">
        <v>35</v>
      </c>
      <c r="I2" t="s">
        <v>31</v>
      </c>
      <c r="J2" t="s">
        <v>32</v>
      </c>
      <c r="K2" s="2">
        <v>45910</v>
      </c>
      <c r="L2" s="2">
        <v>45910</v>
      </c>
      <c r="M2" s="2">
        <v>45910</v>
      </c>
      <c r="N2">
        <v>100</v>
      </c>
      <c r="O2">
        <v>2829.7</v>
      </c>
      <c r="P2">
        <v>1.37</v>
      </c>
      <c r="Q2">
        <v>3876.69</v>
      </c>
      <c r="R2" t="s">
        <v>33</v>
      </c>
      <c r="S2" t="s">
        <v>33</v>
      </c>
      <c r="T2" t="s">
        <v>33</v>
      </c>
      <c r="U2" t="s">
        <v>33</v>
      </c>
      <c r="V2" t="s">
        <v>33</v>
      </c>
      <c r="W2" t="s">
        <v>33</v>
      </c>
      <c r="X2" t="s">
        <v>26</v>
      </c>
      <c r="Y2" t="s">
        <v>33</v>
      </c>
    </row>
    <row r="3" spans="1:25" x14ac:dyDescent="0.25">
      <c r="A3" s="2">
        <v>45912</v>
      </c>
      <c r="B3" t="s">
        <v>26</v>
      </c>
      <c r="C3" t="s">
        <v>38</v>
      </c>
      <c r="D3" t="s">
        <v>39</v>
      </c>
      <c r="E3" t="s">
        <v>29</v>
      </c>
      <c r="F3">
        <v>7250149911</v>
      </c>
      <c r="G3" t="s">
        <v>40</v>
      </c>
      <c r="H3" t="s">
        <v>30</v>
      </c>
      <c r="I3" t="s">
        <v>31</v>
      </c>
      <c r="J3" t="s">
        <v>32</v>
      </c>
      <c r="K3" s="2">
        <v>45901</v>
      </c>
      <c r="L3" s="2">
        <v>45901</v>
      </c>
      <c r="M3" s="2">
        <v>45901</v>
      </c>
      <c r="N3">
        <v>100</v>
      </c>
      <c r="O3">
        <v>-32.270000000000003</v>
      </c>
      <c r="P3">
        <v>0.94499999999999995</v>
      </c>
      <c r="Q3">
        <v>-30.5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26</v>
      </c>
      <c r="Y3" t="s">
        <v>33</v>
      </c>
    </row>
    <row r="4" spans="1:25" x14ac:dyDescent="0.25">
      <c r="A4" s="2">
        <v>45912</v>
      </c>
      <c r="B4" t="s">
        <v>26</v>
      </c>
      <c r="C4" t="s">
        <v>36</v>
      </c>
      <c r="D4" t="s">
        <v>37</v>
      </c>
      <c r="E4" t="s">
        <v>29</v>
      </c>
      <c r="F4">
        <v>7240110364</v>
      </c>
      <c r="G4" t="s">
        <v>41</v>
      </c>
      <c r="H4" t="s">
        <v>30</v>
      </c>
      <c r="I4" t="s">
        <v>31</v>
      </c>
      <c r="J4" t="s">
        <v>32</v>
      </c>
      <c r="K4" s="2">
        <v>45604</v>
      </c>
      <c r="L4" s="2">
        <v>45604</v>
      </c>
      <c r="M4" s="2">
        <v>45604</v>
      </c>
      <c r="N4">
        <v>100</v>
      </c>
      <c r="O4">
        <v>50.65</v>
      </c>
      <c r="P4">
        <v>1.37</v>
      </c>
      <c r="Q4">
        <v>69.39</v>
      </c>
      <c r="R4" t="s">
        <v>33</v>
      </c>
      <c r="S4" t="s">
        <v>33</v>
      </c>
      <c r="T4" t="s">
        <v>33</v>
      </c>
      <c r="U4" t="s">
        <v>33</v>
      </c>
      <c r="V4" t="s">
        <v>33</v>
      </c>
      <c r="W4" t="s">
        <v>33</v>
      </c>
      <c r="X4" t="s">
        <v>26</v>
      </c>
      <c r="Y4" t="s">
        <v>33</v>
      </c>
    </row>
    <row r="5" spans="1:25" x14ac:dyDescent="0.25">
      <c r="A5" s="2">
        <v>45912</v>
      </c>
      <c r="B5" t="s">
        <v>26</v>
      </c>
      <c r="C5" t="s">
        <v>27</v>
      </c>
      <c r="D5" t="s">
        <v>28</v>
      </c>
      <c r="E5" t="s">
        <v>29</v>
      </c>
      <c r="F5">
        <v>7250161361</v>
      </c>
      <c r="G5" t="s">
        <v>42</v>
      </c>
      <c r="H5" t="s">
        <v>30</v>
      </c>
      <c r="I5" t="s">
        <v>31</v>
      </c>
      <c r="J5" t="s">
        <v>32</v>
      </c>
      <c r="K5" s="2">
        <v>45910</v>
      </c>
      <c r="L5" s="2">
        <v>45910</v>
      </c>
      <c r="M5" s="2">
        <v>45910</v>
      </c>
      <c r="N5">
        <v>100</v>
      </c>
      <c r="O5">
        <v>178.2</v>
      </c>
      <c r="P5">
        <v>1.37</v>
      </c>
      <c r="Q5">
        <v>244.13</v>
      </c>
      <c r="R5" t="s">
        <v>33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26</v>
      </c>
      <c r="Y5" t="s">
        <v>33</v>
      </c>
    </row>
    <row r="6" spans="1:25" x14ac:dyDescent="0.25">
      <c r="A6" s="2">
        <v>45912</v>
      </c>
      <c r="B6" t="s">
        <v>26</v>
      </c>
      <c r="C6" t="s">
        <v>27</v>
      </c>
      <c r="D6" t="s">
        <v>28</v>
      </c>
      <c r="E6" t="s">
        <v>29</v>
      </c>
      <c r="F6">
        <v>7250136784</v>
      </c>
      <c r="G6" t="s">
        <v>43</v>
      </c>
      <c r="H6" t="s">
        <v>30</v>
      </c>
      <c r="I6" t="s">
        <v>31</v>
      </c>
      <c r="J6" t="s">
        <v>32</v>
      </c>
      <c r="K6" s="2">
        <v>45880</v>
      </c>
      <c r="L6" s="2">
        <v>45880</v>
      </c>
      <c r="M6" s="2">
        <v>45880</v>
      </c>
      <c r="N6">
        <v>100</v>
      </c>
      <c r="O6">
        <v>2.1</v>
      </c>
      <c r="P6">
        <v>1.37</v>
      </c>
      <c r="Q6">
        <v>2.88</v>
      </c>
      <c r="R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26</v>
      </c>
      <c r="Y6" t="s">
        <v>33</v>
      </c>
    </row>
    <row r="7" spans="1:25" x14ac:dyDescent="0.25">
      <c r="A7" s="2">
        <v>45912</v>
      </c>
      <c r="B7" t="s">
        <v>26</v>
      </c>
      <c r="C7" t="s">
        <v>27</v>
      </c>
      <c r="D7" t="s">
        <v>28</v>
      </c>
      <c r="E7" t="s">
        <v>29</v>
      </c>
      <c r="F7">
        <v>7250169190</v>
      </c>
      <c r="G7" t="s">
        <v>46</v>
      </c>
      <c r="H7" t="s">
        <v>30</v>
      </c>
      <c r="I7" t="s">
        <v>31</v>
      </c>
      <c r="J7" t="s">
        <v>32</v>
      </c>
      <c r="K7" s="2">
        <v>45910</v>
      </c>
      <c r="L7" s="2">
        <v>45910</v>
      </c>
      <c r="M7" s="2">
        <v>45910</v>
      </c>
      <c r="N7">
        <v>100</v>
      </c>
      <c r="O7">
        <v>119.64</v>
      </c>
      <c r="P7">
        <v>1.37</v>
      </c>
      <c r="Q7">
        <v>163.91</v>
      </c>
      <c r="R7" t="s">
        <v>33</v>
      </c>
      <c r="S7" t="s">
        <v>33</v>
      </c>
      <c r="T7" t="s">
        <v>33</v>
      </c>
      <c r="U7" t="s">
        <v>33</v>
      </c>
      <c r="V7" t="s">
        <v>33</v>
      </c>
      <c r="W7" t="s">
        <v>33</v>
      </c>
      <c r="X7" t="s">
        <v>26</v>
      </c>
      <c r="Y7" t="s">
        <v>33</v>
      </c>
    </row>
    <row r="8" spans="1:25" x14ac:dyDescent="0.25">
      <c r="A8" s="2">
        <v>45912</v>
      </c>
      <c r="B8" t="s">
        <v>26</v>
      </c>
      <c r="C8" t="s">
        <v>27</v>
      </c>
      <c r="D8" t="s">
        <v>28</v>
      </c>
      <c r="E8" t="s">
        <v>29</v>
      </c>
      <c r="F8">
        <v>7250161268</v>
      </c>
      <c r="G8" t="s">
        <v>34</v>
      </c>
      <c r="H8" t="s">
        <v>35</v>
      </c>
      <c r="I8" t="s">
        <v>31</v>
      </c>
      <c r="J8" t="s">
        <v>32</v>
      </c>
      <c r="K8" s="2">
        <v>45910</v>
      </c>
      <c r="L8" s="2">
        <v>45910</v>
      </c>
      <c r="M8" s="2">
        <v>45910</v>
      </c>
      <c r="N8">
        <v>100</v>
      </c>
      <c r="O8">
        <v>145.25</v>
      </c>
      <c r="P8">
        <v>1.37</v>
      </c>
      <c r="Q8">
        <v>198.99</v>
      </c>
      <c r="R8" t="s">
        <v>33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  <c r="X8" t="s">
        <v>26</v>
      </c>
      <c r="Y8" t="s">
        <v>33</v>
      </c>
    </row>
    <row r="9" spans="1:25" x14ac:dyDescent="0.25">
      <c r="A9" s="2">
        <v>45912</v>
      </c>
      <c r="B9" t="s">
        <v>26</v>
      </c>
      <c r="C9" t="s">
        <v>38</v>
      </c>
      <c r="D9" t="s">
        <v>39</v>
      </c>
      <c r="E9" t="s">
        <v>29</v>
      </c>
      <c r="F9">
        <v>7250149956</v>
      </c>
      <c r="G9" t="s">
        <v>40</v>
      </c>
      <c r="H9" t="s">
        <v>30</v>
      </c>
      <c r="I9" t="s">
        <v>31</v>
      </c>
      <c r="J9" t="s">
        <v>32</v>
      </c>
      <c r="K9" s="2">
        <v>45901</v>
      </c>
      <c r="L9" s="2">
        <v>45901</v>
      </c>
      <c r="M9" s="2">
        <v>45901</v>
      </c>
      <c r="N9">
        <v>100</v>
      </c>
      <c r="O9">
        <v>-47.02</v>
      </c>
      <c r="P9">
        <v>0.94499999999999995</v>
      </c>
      <c r="Q9">
        <v>-44.43</v>
      </c>
      <c r="R9" t="s">
        <v>33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26</v>
      </c>
      <c r="Y9" t="s">
        <v>33</v>
      </c>
    </row>
    <row r="10" spans="1:25" x14ac:dyDescent="0.25">
      <c r="A10" s="2">
        <v>45912</v>
      </c>
      <c r="B10" t="s">
        <v>26</v>
      </c>
      <c r="C10" t="s">
        <v>44</v>
      </c>
      <c r="D10" t="s">
        <v>45</v>
      </c>
      <c r="E10" t="s">
        <v>29</v>
      </c>
      <c r="F10">
        <v>7240123973</v>
      </c>
      <c r="G10" t="s">
        <v>47</v>
      </c>
      <c r="H10" t="s">
        <v>30</v>
      </c>
      <c r="I10" t="s">
        <v>31</v>
      </c>
      <c r="J10" t="s">
        <v>32</v>
      </c>
      <c r="K10" s="2">
        <v>45663</v>
      </c>
      <c r="L10" s="2">
        <v>45663</v>
      </c>
      <c r="M10" s="2">
        <v>45663</v>
      </c>
      <c r="N10">
        <v>100</v>
      </c>
      <c r="O10">
        <v>85.91</v>
      </c>
      <c r="P10">
        <v>0.94499999999999995</v>
      </c>
      <c r="Q10">
        <v>81.180000000000007</v>
      </c>
      <c r="R10" t="s">
        <v>33</v>
      </c>
      <c r="S10" t="s">
        <v>33</v>
      </c>
      <c r="T10" t="s">
        <v>33</v>
      </c>
      <c r="U10" t="s">
        <v>33</v>
      </c>
      <c r="V10" t="s">
        <v>33</v>
      </c>
      <c r="W10" t="s">
        <v>33</v>
      </c>
      <c r="X10" t="s">
        <v>26</v>
      </c>
      <c r="Y10" t="s">
        <v>33</v>
      </c>
    </row>
    <row r="11" spans="1:25" x14ac:dyDescent="0.25">
      <c r="A11" s="2">
        <v>45912</v>
      </c>
      <c r="B11" t="s">
        <v>26</v>
      </c>
      <c r="C11" t="s">
        <v>36</v>
      </c>
      <c r="D11" t="s">
        <v>37</v>
      </c>
      <c r="E11" t="s">
        <v>29</v>
      </c>
      <c r="F11">
        <v>7250170272</v>
      </c>
      <c r="G11" t="s">
        <v>48</v>
      </c>
      <c r="H11" t="s">
        <v>30</v>
      </c>
      <c r="I11" t="s">
        <v>31</v>
      </c>
      <c r="J11" t="s">
        <v>32</v>
      </c>
      <c r="K11" s="2">
        <v>45916</v>
      </c>
      <c r="L11" s="2">
        <v>45916</v>
      </c>
      <c r="M11" s="2">
        <v>45916</v>
      </c>
      <c r="N11">
        <v>100</v>
      </c>
      <c r="O11">
        <v>86.32</v>
      </c>
      <c r="P11">
        <v>1.37</v>
      </c>
      <c r="Q11">
        <v>118.26</v>
      </c>
      <c r="R11" t="s">
        <v>33</v>
      </c>
      <c r="S11" t="s">
        <v>33</v>
      </c>
      <c r="T11" t="s">
        <v>33</v>
      </c>
      <c r="U11" t="s">
        <v>33</v>
      </c>
      <c r="V11" t="s">
        <v>33</v>
      </c>
      <c r="W11" t="s">
        <v>33</v>
      </c>
      <c r="X11" t="s">
        <v>26</v>
      </c>
      <c r="Y11" t="s">
        <v>33</v>
      </c>
    </row>
    <row r="12" spans="1:25" x14ac:dyDescent="0.25">
      <c r="A12" s="2">
        <v>45912</v>
      </c>
      <c r="B12" t="s">
        <v>26</v>
      </c>
      <c r="C12" t="s">
        <v>44</v>
      </c>
      <c r="D12" t="s">
        <v>45</v>
      </c>
      <c r="E12" t="s">
        <v>29</v>
      </c>
      <c r="F12">
        <v>7240123968</v>
      </c>
      <c r="G12" t="s">
        <v>47</v>
      </c>
      <c r="H12" t="s">
        <v>30</v>
      </c>
      <c r="I12" t="s">
        <v>31</v>
      </c>
      <c r="J12" t="s">
        <v>32</v>
      </c>
      <c r="K12" s="2">
        <v>45663</v>
      </c>
      <c r="L12" s="2">
        <v>45663</v>
      </c>
      <c r="M12" s="2">
        <v>45663</v>
      </c>
      <c r="N12">
        <v>100</v>
      </c>
      <c r="O12">
        <v>80.34</v>
      </c>
      <c r="P12">
        <v>0.94499999999999995</v>
      </c>
      <c r="Q12">
        <v>75.92</v>
      </c>
      <c r="R12" t="s">
        <v>33</v>
      </c>
      <c r="S12" t="s">
        <v>33</v>
      </c>
      <c r="T12" t="s">
        <v>33</v>
      </c>
      <c r="U12" t="s">
        <v>33</v>
      </c>
      <c r="V12" t="s">
        <v>33</v>
      </c>
      <c r="W12" t="s">
        <v>33</v>
      </c>
      <c r="X12" t="s">
        <v>26</v>
      </c>
      <c r="Y12" t="s">
        <v>33</v>
      </c>
    </row>
    <row r="13" spans="1:25" x14ac:dyDescent="0.25">
      <c r="A13" s="2">
        <v>45912</v>
      </c>
      <c r="B13" t="s">
        <v>26</v>
      </c>
      <c r="C13" t="s">
        <v>36</v>
      </c>
      <c r="D13" t="s">
        <v>37</v>
      </c>
      <c r="E13" t="s">
        <v>29</v>
      </c>
      <c r="F13">
        <v>7240110349</v>
      </c>
      <c r="G13" t="s">
        <v>41</v>
      </c>
      <c r="H13" t="s">
        <v>30</v>
      </c>
      <c r="I13" t="s">
        <v>31</v>
      </c>
      <c r="J13" t="s">
        <v>32</v>
      </c>
      <c r="K13" s="2">
        <v>45604</v>
      </c>
      <c r="L13" s="2">
        <v>45604</v>
      </c>
      <c r="M13" s="2">
        <v>45604</v>
      </c>
      <c r="N13">
        <v>100</v>
      </c>
      <c r="O13">
        <v>25.33</v>
      </c>
      <c r="P13">
        <v>1.37</v>
      </c>
      <c r="Q13">
        <v>34.700000000000003</v>
      </c>
      <c r="R13" t="s">
        <v>33</v>
      </c>
      <c r="S13" t="s">
        <v>33</v>
      </c>
      <c r="T13" t="s">
        <v>33</v>
      </c>
      <c r="U13" t="s">
        <v>33</v>
      </c>
      <c r="V13" t="s">
        <v>33</v>
      </c>
      <c r="W13" t="s">
        <v>33</v>
      </c>
      <c r="X13" t="s">
        <v>26</v>
      </c>
      <c r="Y13" t="s">
        <v>33</v>
      </c>
    </row>
    <row r="14" spans="1:25" x14ac:dyDescent="0.25">
      <c r="A14" s="2">
        <v>45912</v>
      </c>
      <c r="B14" t="s">
        <v>26</v>
      </c>
      <c r="C14" t="s">
        <v>27</v>
      </c>
      <c r="D14" t="s">
        <v>28</v>
      </c>
      <c r="E14" t="s">
        <v>29</v>
      </c>
      <c r="F14">
        <v>7250171748</v>
      </c>
      <c r="G14" t="s">
        <v>49</v>
      </c>
      <c r="H14" t="s">
        <v>30</v>
      </c>
      <c r="I14" t="s">
        <v>31</v>
      </c>
      <c r="J14" t="s">
        <v>32</v>
      </c>
      <c r="K14" s="2">
        <v>45912</v>
      </c>
      <c r="L14" s="2">
        <v>45912</v>
      </c>
      <c r="M14" s="2">
        <v>45912</v>
      </c>
      <c r="N14">
        <v>100</v>
      </c>
      <c r="O14">
        <v>177.84</v>
      </c>
      <c r="P14">
        <v>0.94499999999999995</v>
      </c>
      <c r="Q14">
        <v>168.06</v>
      </c>
      <c r="R14" t="s">
        <v>33</v>
      </c>
      <c r="S14" t="s">
        <v>33</v>
      </c>
      <c r="T14" t="s">
        <v>33</v>
      </c>
      <c r="U14" t="s">
        <v>33</v>
      </c>
      <c r="V14" t="s">
        <v>33</v>
      </c>
      <c r="W14" t="s">
        <v>33</v>
      </c>
      <c r="X14" t="s">
        <v>26</v>
      </c>
      <c r="Y14" t="s">
        <v>33</v>
      </c>
    </row>
    <row r="15" spans="1:25" x14ac:dyDescent="0.25">
      <c r="A15" s="2">
        <v>45912</v>
      </c>
      <c r="B15" t="s">
        <v>26</v>
      </c>
      <c r="C15" t="s">
        <v>27</v>
      </c>
      <c r="D15" t="s">
        <v>28</v>
      </c>
      <c r="E15" t="s">
        <v>29</v>
      </c>
      <c r="F15">
        <v>7250161361</v>
      </c>
      <c r="G15" t="s">
        <v>42</v>
      </c>
      <c r="H15" t="s">
        <v>30</v>
      </c>
      <c r="I15" t="s">
        <v>31</v>
      </c>
      <c r="J15" t="s">
        <v>32</v>
      </c>
      <c r="K15" s="2">
        <v>45910</v>
      </c>
      <c r="L15" s="2">
        <v>45910</v>
      </c>
      <c r="M15" s="2">
        <v>45910</v>
      </c>
      <c r="N15">
        <v>100</v>
      </c>
      <c r="O15">
        <v>6.16</v>
      </c>
      <c r="P15">
        <v>1.37</v>
      </c>
      <c r="Q15">
        <v>8.44</v>
      </c>
      <c r="R15" t="s">
        <v>33</v>
      </c>
      <c r="S15" t="s">
        <v>33</v>
      </c>
      <c r="T15" t="s">
        <v>33</v>
      </c>
      <c r="U15" t="s">
        <v>33</v>
      </c>
      <c r="V15" t="s">
        <v>33</v>
      </c>
      <c r="W15" t="s">
        <v>33</v>
      </c>
      <c r="X15" t="s">
        <v>26</v>
      </c>
      <c r="Y15" t="s">
        <v>33</v>
      </c>
    </row>
    <row r="16" spans="1:25" x14ac:dyDescent="0.25">
      <c r="A16" s="2">
        <v>45912</v>
      </c>
      <c r="B16" t="s">
        <v>26</v>
      </c>
      <c r="C16" t="s">
        <v>38</v>
      </c>
      <c r="D16" t="s">
        <v>39</v>
      </c>
      <c r="E16" t="s">
        <v>29</v>
      </c>
      <c r="F16">
        <v>7250169460</v>
      </c>
      <c r="G16" t="s">
        <v>50</v>
      </c>
      <c r="H16" t="s">
        <v>30</v>
      </c>
      <c r="I16" t="s">
        <v>31</v>
      </c>
      <c r="J16" t="s">
        <v>32</v>
      </c>
      <c r="K16" s="2">
        <v>45910</v>
      </c>
      <c r="L16" s="2">
        <v>45910</v>
      </c>
      <c r="M16" s="2">
        <v>45910</v>
      </c>
      <c r="N16">
        <v>100</v>
      </c>
      <c r="O16">
        <v>28</v>
      </c>
      <c r="P16">
        <v>1.37</v>
      </c>
      <c r="Q16">
        <v>38.36</v>
      </c>
      <c r="R16" t="s">
        <v>33</v>
      </c>
      <c r="S16" t="s">
        <v>33</v>
      </c>
      <c r="T16" t="s">
        <v>33</v>
      </c>
      <c r="U16" t="s">
        <v>33</v>
      </c>
      <c r="V16" t="s">
        <v>33</v>
      </c>
      <c r="W16" t="s">
        <v>33</v>
      </c>
      <c r="X16" t="s">
        <v>26</v>
      </c>
      <c r="Y16" t="s">
        <v>33</v>
      </c>
    </row>
    <row r="17" spans="1:25" x14ac:dyDescent="0.25">
      <c r="A17" s="2">
        <v>45912</v>
      </c>
      <c r="B17" t="s">
        <v>26</v>
      </c>
      <c r="C17" t="s">
        <v>38</v>
      </c>
      <c r="D17" t="s">
        <v>39</v>
      </c>
      <c r="E17" t="s">
        <v>29</v>
      </c>
      <c r="F17">
        <v>7250168418</v>
      </c>
      <c r="G17" t="s">
        <v>51</v>
      </c>
      <c r="H17" t="s">
        <v>30</v>
      </c>
      <c r="I17" t="s">
        <v>31</v>
      </c>
      <c r="J17" t="s">
        <v>32</v>
      </c>
      <c r="K17" s="2">
        <v>45908</v>
      </c>
      <c r="L17" s="2">
        <v>45908</v>
      </c>
      <c r="M17" s="2">
        <v>45908</v>
      </c>
      <c r="N17">
        <v>100</v>
      </c>
      <c r="O17">
        <v>69.59</v>
      </c>
      <c r="P17">
        <v>1.37</v>
      </c>
      <c r="Q17">
        <v>95.34</v>
      </c>
      <c r="R17" t="s">
        <v>33</v>
      </c>
      <c r="S17" t="s">
        <v>33</v>
      </c>
      <c r="T17" t="s">
        <v>33</v>
      </c>
      <c r="U17" t="s">
        <v>33</v>
      </c>
      <c r="V17" t="s">
        <v>33</v>
      </c>
      <c r="W17" t="s">
        <v>33</v>
      </c>
      <c r="X17" t="s">
        <v>26</v>
      </c>
      <c r="Y17" t="s">
        <v>33</v>
      </c>
    </row>
    <row r="18" spans="1:25" x14ac:dyDescent="0.25">
      <c r="A18" s="2">
        <v>45912</v>
      </c>
      <c r="B18" t="s">
        <v>26</v>
      </c>
      <c r="C18" t="s">
        <v>27</v>
      </c>
      <c r="D18" t="s">
        <v>28</v>
      </c>
      <c r="E18" t="s">
        <v>29</v>
      </c>
      <c r="F18">
        <v>7250169190</v>
      </c>
      <c r="G18" t="s">
        <v>46</v>
      </c>
      <c r="H18" t="s">
        <v>30</v>
      </c>
      <c r="I18" t="s">
        <v>31</v>
      </c>
      <c r="J18" t="s">
        <v>32</v>
      </c>
      <c r="K18" s="2">
        <v>45910</v>
      </c>
      <c r="L18" s="2">
        <v>45910</v>
      </c>
      <c r="M18" s="2">
        <v>45910</v>
      </c>
      <c r="N18">
        <v>100</v>
      </c>
      <c r="O18">
        <v>4.0599999999999996</v>
      </c>
      <c r="P18">
        <v>1.37</v>
      </c>
      <c r="Q18">
        <v>5.56</v>
      </c>
      <c r="R18" t="s">
        <v>33</v>
      </c>
      <c r="S18" t="s">
        <v>33</v>
      </c>
      <c r="T18" t="s">
        <v>33</v>
      </c>
      <c r="U18" t="s">
        <v>33</v>
      </c>
      <c r="V18" t="s">
        <v>33</v>
      </c>
      <c r="W18" t="s">
        <v>33</v>
      </c>
      <c r="X18" t="s">
        <v>26</v>
      </c>
      <c r="Y18" t="s">
        <v>33</v>
      </c>
    </row>
    <row r="19" spans="1:25" x14ac:dyDescent="0.25">
      <c r="A19" s="2">
        <v>45912</v>
      </c>
      <c r="B19" t="s">
        <v>26</v>
      </c>
      <c r="C19" t="s">
        <v>38</v>
      </c>
      <c r="D19" t="s">
        <v>39</v>
      </c>
      <c r="E19" t="s">
        <v>29</v>
      </c>
      <c r="F19">
        <v>7250169502</v>
      </c>
      <c r="G19" t="s">
        <v>50</v>
      </c>
      <c r="H19" t="s">
        <v>30</v>
      </c>
      <c r="I19" t="s">
        <v>31</v>
      </c>
      <c r="J19" t="s">
        <v>32</v>
      </c>
      <c r="K19" s="2">
        <v>45910</v>
      </c>
      <c r="L19" s="2">
        <v>45910</v>
      </c>
      <c r="M19" s="2">
        <v>45910</v>
      </c>
      <c r="N19">
        <v>100</v>
      </c>
      <c r="O19">
        <v>51.07</v>
      </c>
      <c r="P19">
        <v>0.94499999999999995</v>
      </c>
      <c r="Q19">
        <v>48.26</v>
      </c>
      <c r="R19" t="s">
        <v>33</v>
      </c>
      <c r="S19" t="s">
        <v>33</v>
      </c>
      <c r="T19" t="s">
        <v>33</v>
      </c>
      <c r="U19" t="s">
        <v>33</v>
      </c>
      <c r="V19" t="s">
        <v>33</v>
      </c>
      <c r="W19" t="s">
        <v>33</v>
      </c>
      <c r="X19" t="s">
        <v>26</v>
      </c>
      <c r="Y19" t="s">
        <v>33</v>
      </c>
    </row>
    <row r="20" spans="1:25" x14ac:dyDescent="0.25">
      <c r="A20" s="2">
        <v>45912</v>
      </c>
      <c r="B20" t="s">
        <v>26</v>
      </c>
      <c r="C20" t="s">
        <v>27</v>
      </c>
      <c r="D20" t="s">
        <v>28</v>
      </c>
      <c r="E20" t="s">
        <v>29</v>
      </c>
      <c r="F20">
        <v>7250136784</v>
      </c>
      <c r="G20" t="s">
        <v>43</v>
      </c>
      <c r="H20" t="s">
        <v>30</v>
      </c>
      <c r="I20" t="s">
        <v>31</v>
      </c>
      <c r="J20" t="s">
        <v>32</v>
      </c>
      <c r="K20" s="2">
        <v>45880</v>
      </c>
      <c r="L20" s="2">
        <v>45880</v>
      </c>
      <c r="M20" s="2">
        <v>45880</v>
      </c>
      <c r="N20">
        <v>100</v>
      </c>
      <c r="O20">
        <v>61.81</v>
      </c>
      <c r="P20">
        <v>1.37</v>
      </c>
      <c r="Q20">
        <v>84.68</v>
      </c>
      <c r="R20" t="s">
        <v>33</v>
      </c>
      <c r="S20" t="s">
        <v>33</v>
      </c>
      <c r="T20" t="s">
        <v>33</v>
      </c>
      <c r="U20" t="s">
        <v>33</v>
      </c>
      <c r="V20" t="s">
        <v>33</v>
      </c>
      <c r="W20" t="s">
        <v>33</v>
      </c>
      <c r="X20" t="s">
        <v>26</v>
      </c>
      <c r="Y20" t="s">
        <v>33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81847-BF7C-4B1E-9342-2B98FEF0DF31}">
  <dimension ref="A1:AC20"/>
  <sheetViews>
    <sheetView topLeftCell="B1" workbookViewId="0">
      <selection activeCell="T27" sqref="T27"/>
    </sheetView>
  </sheetViews>
  <sheetFormatPr defaultRowHeight="15" x14ac:dyDescent="0.25"/>
  <cols>
    <col min="1" max="1" width="21.7109375" bestFit="1" customWidth="1"/>
    <col min="2" max="2" width="22" bestFit="1" customWidth="1"/>
    <col min="3" max="3" width="14.140625" bestFit="1" customWidth="1"/>
    <col min="4" max="4" width="21" bestFit="1" customWidth="1"/>
    <col min="5" max="5" width="21" customWidth="1"/>
    <col min="6" max="6" width="8.5703125" bestFit="1" customWidth="1"/>
    <col min="7" max="7" width="14.7109375" bestFit="1" customWidth="1"/>
    <col min="8" max="8" width="19" bestFit="1" customWidth="1"/>
    <col min="9" max="10" width="11.42578125" bestFit="1" customWidth="1"/>
    <col min="11" max="13" width="11.42578125" customWidth="1"/>
    <col min="14" max="14" width="11.42578125" bestFit="1" customWidth="1"/>
    <col min="15" max="15" width="7.140625" bestFit="1" customWidth="1"/>
    <col min="16" max="16" width="9.28515625" bestFit="1" customWidth="1"/>
    <col min="17" max="17" width="7.140625" bestFit="1" customWidth="1"/>
    <col min="18" max="18" width="8.28515625" bestFit="1" customWidth="1"/>
  </cols>
  <sheetData>
    <row r="1" spans="1:19" x14ac:dyDescent="0.25">
      <c r="A1" s="1" t="s">
        <v>3</v>
      </c>
      <c r="B1" s="1" t="s">
        <v>2</v>
      </c>
      <c r="C1" s="1" t="s">
        <v>5</v>
      </c>
      <c r="D1" s="1" t="s">
        <v>6</v>
      </c>
      <c r="E1" s="1"/>
      <c r="F1" s="1" t="s">
        <v>7</v>
      </c>
      <c r="G1" s="1" t="s">
        <v>24</v>
      </c>
      <c r="H1" s="1" t="s">
        <v>8</v>
      </c>
      <c r="I1" s="1" t="s">
        <v>9</v>
      </c>
      <c r="J1" s="1" t="s">
        <v>10</v>
      </c>
      <c r="K1" s="1"/>
      <c r="L1" s="1"/>
      <c r="M1" s="1"/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</row>
    <row r="2" spans="1:19" x14ac:dyDescent="0.25">
      <c r="A2">
        <v>7470776</v>
      </c>
      <c r="B2" t="s">
        <v>45</v>
      </c>
      <c r="C2">
        <v>7240123968</v>
      </c>
      <c r="D2" t="s">
        <v>47</v>
      </c>
      <c r="E2" t="s">
        <v>421</v>
      </c>
      <c r="F2" t="s">
        <v>437</v>
      </c>
      <c r="G2" t="s">
        <v>31</v>
      </c>
      <c r="H2" t="s">
        <v>32</v>
      </c>
      <c r="I2" s="2">
        <v>45663</v>
      </c>
      <c r="J2" t="s">
        <v>218</v>
      </c>
      <c r="K2">
        <f t="shared" ref="K2:K20" si="0">DATEDIF(I2,J2,"M")</f>
        <v>9</v>
      </c>
      <c r="L2" t="s">
        <v>411</v>
      </c>
      <c r="M2" s="2" t="s">
        <v>412</v>
      </c>
      <c r="N2" s="2">
        <v>45663</v>
      </c>
      <c r="O2">
        <v>100</v>
      </c>
      <c r="P2">
        <v>80.34</v>
      </c>
      <c r="Q2" s="7">
        <v>0.94499999999999995</v>
      </c>
      <c r="R2">
        <v>75.92</v>
      </c>
      <c r="S2" t="s">
        <v>56</v>
      </c>
    </row>
    <row r="3" spans="1:19" x14ac:dyDescent="0.25">
      <c r="A3">
        <v>7470776</v>
      </c>
      <c r="B3" t="s">
        <v>45</v>
      </c>
      <c r="C3">
        <v>7240123973</v>
      </c>
      <c r="D3" t="s">
        <v>47</v>
      </c>
      <c r="E3" t="s">
        <v>422</v>
      </c>
      <c r="F3" t="s">
        <v>437</v>
      </c>
      <c r="G3" t="s">
        <v>31</v>
      </c>
      <c r="H3" t="s">
        <v>32</v>
      </c>
      <c r="I3" s="2">
        <v>45663</v>
      </c>
      <c r="J3" t="s">
        <v>218</v>
      </c>
      <c r="K3">
        <f t="shared" si="0"/>
        <v>9</v>
      </c>
      <c r="L3" t="s">
        <v>411</v>
      </c>
      <c r="M3" s="2" t="s">
        <v>412</v>
      </c>
      <c r="N3" s="2">
        <v>45663</v>
      </c>
      <c r="O3">
        <v>100</v>
      </c>
      <c r="P3">
        <v>85.91</v>
      </c>
      <c r="Q3" s="7">
        <v>0.94499999999999995</v>
      </c>
      <c r="R3">
        <v>81.180000000000007</v>
      </c>
      <c r="S3" t="s">
        <v>56</v>
      </c>
    </row>
    <row r="4" spans="1:19" x14ac:dyDescent="0.25">
      <c r="A4">
        <v>8325282</v>
      </c>
      <c r="B4" t="s">
        <v>37</v>
      </c>
      <c r="C4">
        <v>7240110349</v>
      </c>
      <c r="D4" t="s">
        <v>41</v>
      </c>
      <c r="E4" t="s">
        <v>423</v>
      </c>
      <c r="F4" t="s">
        <v>437</v>
      </c>
      <c r="G4" t="s">
        <v>31</v>
      </c>
      <c r="H4" t="s">
        <v>32</v>
      </c>
      <c r="I4" s="2">
        <v>45604</v>
      </c>
      <c r="J4" t="s">
        <v>164</v>
      </c>
      <c r="K4">
        <f t="shared" si="0"/>
        <v>11</v>
      </c>
      <c r="L4" t="s">
        <v>411</v>
      </c>
      <c r="M4" s="2" t="s">
        <v>412</v>
      </c>
      <c r="N4" s="2">
        <v>45604</v>
      </c>
      <c r="O4">
        <v>100</v>
      </c>
      <c r="P4">
        <v>25.33</v>
      </c>
      <c r="Q4" s="7">
        <v>1.37</v>
      </c>
      <c r="R4">
        <v>34.700000000000003</v>
      </c>
      <c r="S4" t="s">
        <v>55</v>
      </c>
    </row>
    <row r="5" spans="1:19" x14ac:dyDescent="0.25">
      <c r="A5">
        <v>8325282</v>
      </c>
      <c r="B5" t="s">
        <v>37</v>
      </c>
      <c r="C5">
        <v>7240110364</v>
      </c>
      <c r="D5" t="s">
        <v>41</v>
      </c>
      <c r="E5" t="s">
        <v>424</v>
      </c>
      <c r="F5" t="s">
        <v>437</v>
      </c>
      <c r="G5" t="s">
        <v>31</v>
      </c>
      <c r="H5" t="s">
        <v>32</v>
      </c>
      <c r="I5" s="2">
        <v>45604</v>
      </c>
      <c r="J5" t="s">
        <v>164</v>
      </c>
      <c r="K5">
        <f t="shared" si="0"/>
        <v>11</v>
      </c>
      <c r="L5" t="s">
        <v>411</v>
      </c>
      <c r="M5" s="2" t="s">
        <v>412</v>
      </c>
      <c r="N5" s="2">
        <v>45604</v>
      </c>
      <c r="O5">
        <v>100</v>
      </c>
      <c r="P5">
        <v>50.65</v>
      </c>
      <c r="Q5" s="7">
        <v>1.37</v>
      </c>
      <c r="R5">
        <v>69.39</v>
      </c>
      <c r="S5" t="s">
        <v>55</v>
      </c>
    </row>
    <row r="6" spans="1:19" s="3" customFormat="1" x14ac:dyDescent="0.25">
      <c r="A6" s="3" t="s">
        <v>436</v>
      </c>
      <c r="B6" s="3" t="s">
        <v>37</v>
      </c>
      <c r="C6" s="3">
        <v>7250170272</v>
      </c>
      <c r="D6" s="3" t="s">
        <v>48</v>
      </c>
      <c r="E6" s="3" t="s">
        <v>425</v>
      </c>
      <c r="F6" s="3" t="s">
        <v>437</v>
      </c>
      <c r="G6" s="3" t="s">
        <v>31</v>
      </c>
      <c r="H6" s="3" t="s">
        <v>32</v>
      </c>
      <c r="I6" s="4">
        <v>45916</v>
      </c>
      <c r="J6" s="3" t="s">
        <v>153</v>
      </c>
      <c r="K6" s="3">
        <f t="shared" si="0"/>
        <v>1</v>
      </c>
      <c r="L6" s="3" t="s">
        <v>414</v>
      </c>
      <c r="M6" s="4" t="s">
        <v>413</v>
      </c>
      <c r="N6" s="4">
        <v>45916</v>
      </c>
      <c r="O6" s="3">
        <v>100</v>
      </c>
      <c r="P6" s="3">
        <v>86.32</v>
      </c>
      <c r="Q6" s="5">
        <v>1.37</v>
      </c>
      <c r="R6" s="3">
        <v>118.26</v>
      </c>
      <c r="S6" s="3" t="s">
        <v>55</v>
      </c>
    </row>
    <row r="7" spans="1:19" x14ac:dyDescent="0.25">
      <c r="A7">
        <v>16228684</v>
      </c>
      <c r="B7" t="s">
        <v>28</v>
      </c>
      <c r="C7">
        <v>7250171748</v>
      </c>
      <c r="D7" t="s">
        <v>49</v>
      </c>
      <c r="E7" t="s">
        <v>426</v>
      </c>
      <c r="F7" t="s">
        <v>437</v>
      </c>
      <c r="G7" t="s">
        <v>31</v>
      </c>
      <c r="H7" t="s">
        <v>32</v>
      </c>
      <c r="I7" s="2">
        <v>45912</v>
      </c>
      <c r="J7" t="s">
        <v>136</v>
      </c>
      <c r="K7">
        <f t="shared" si="0"/>
        <v>1</v>
      </c>
      <c r="L7" t="s">
        <v>411</v>
      </c>
      <c r="M7" s="2" t="s">
        <v>412</v>
      </c>
      <c r="N7" s="2">
        <v>45912</v>
      </c>
      <c r="O7">
        <v>100</v>
      </c>
      <c r="P7">
        <v>177.84</v>
      </c>
      <c r="Q7" s="7">
        <v>0.94499999999999995</v>
      </c>
      <c r="R7">
        <v>168.06</v>
      </c>
      <c r="S7" t="s">
        <v>56</v>
      </c>
    </row>
    <row r="8" spans="1:19" x14ac:dyDescent="0.25">
      <c r="A8">
        <v>16228684</v>
      </c>
      <c r="B8" t="s">
        <v>28</v>
      </c>
      <c r="C8">
        <v>7250136784</v>
      </c>
      <c r="D8" t="s">
        <v>43</v>
      </c>
      <c r="E8" t="s">
        <v>427</v>
      </c>
      <c r="F8" t="s">
        <v>437</v>
      </c>
      <c r="G8" t="s">
        <v>31</v>
      </c>
      <c r="H8" t="s">
        <v>32</v>
      </c>
      <c r="I8" s="2">
        <v>45880</v>
      </c>
      <c r="J8" t="s">
        <v>327</v>
      </c>
      <c r="K8">
        <f t="shared" si="0"/>
        <v>2</v>
      </c>
      <c r="L8" t="s">
        <v>411</v>
      </c>
      <c r="M8" s="2" t="s">
        <v>412</v>
      </c>
      <c r="N8" s="2">
        <v>45880</v>
      </c>
      <c r="O8">
        <v>100</v>
      </c>
      <c r="P8">
        <v>2.1</v>
      </c>
      <c r="Q8" s="7">
        <v>1.37</v>
      </c>
      <c r="R8">
        <v>2.88</v>
      </c>
      <c r="S8" t="s">
        <v>55</v>
      </c>
    </row>
    <row r="9" spans="1:19" x14ac:dyDescent="0.25">
      <c r="A9">
        <v>16228684</v>
      </c>
      <c r="B9" t="s">
        <v>28</v>
      </c>
      <c r="C9">
        <v>7250169190</v>
      </c>
      <c r="D9" t="s">
        <v>46</v>
      </c>
      <c r="E9" t="s">
        <v>428</v>
      </c>
      <c r="F9" t="s">
        <v>437</v>
      </c>
      <c r="G9" t="s">
        <v>31</v>
      </c>
      <c r="H9" t="s">
        <v>32</v>
      </c>
      <c r="I9" s="2">
        <v>45910</v>
      </c>
      <c r="J9" t="s">
        <v>351</v>
      </c>
      <c r="K9">
        <f t="shared" si="0"/>
        <v>1</v>
      </c>
      <c r="L9" t="s">
        <v>411</v>
      </c>
      <c r="M9" s="2" t="s">
        <v>412</v>
      </c>
      <c r="N9" s="2">
        <v>45910</v>
      </c>
      <c r="O9">
        <v>100</v>
      </c>
      <c r="P9">
        <v>4.0599999999999996</v>
      </c>
      <c r="Q9" s="7">
        <v>1.37</v>
      </c>
      <c r="R9">
        <v>5.56</v>
      </c>
      <c r="S9" t="s">
        <v>55</v>
      </c>
    </row>
    <row r="10" spans="1:19" x14ac:dyDescent="0.25">
      <c r="A10">
        <v>16228684</v>
      </c>
      <c r="B10" t="s">
        <v>28</v>
      </c>
      <c r="C10">
        <v>7250161361</v>
      </c>
      <c r="D10" t="s">
        <v>42</v>
      </c>
      <c r="E10" t="s">
        <v>429</v>
      </c>
      <c r="F10" t="s">
        <v>437</v>
      </c>
      <c r="G10" t="s">
        <v>31</v>
      </c>
      <c r="H10" t="s">
        <v>32</v>
      </c>
      <c r="I10" s="2">
        <v>45910</v>
      </c>
      <c r="J10" t="s">
        <v>351</v>
      </c>
      <c r="K10">
        <f t="shared" si="0"/>
        <v>1</v>
      </c>
      <c r="L10" t="s">
        <v>411</v>
      </c>
      <c r="M10" s="2" t="s">
        <v>412</v>
      </c>
      <c r="N10" s="2">
        <v>45910</v>
      </c>
      <c r="O10">
        <v>100</v>
      </c>
      <c r="P10">
        <v>6.16</v>
      </c>
      <c r="Q10" s="7">
        <v>1.37</v>
      </c>
      <c r="R10">
        <v>8.44</v>
      </c>
      <c r="S10" t="s">
        <v>55</v>
      </c>
    </row>
    <row r="11" spans="1:19" x14ac:dyDescent="0.25">
      <c r="A11">
        <v>16228684</v>
      </c>
      <c r="B11" t="s">
        <v>28</v>
      </c>
      <c r="C11">
        <v>7250136784</v>
      </c>
      <c r="D11" t="s">
        <v>43</v>
      </c>
      <c r="E11" t="s">
        <v>427</v>
      </c>
      <c r="F11" t="s">
        <v>437</v>
      </c>
      <c r="G11" t="s">
        <v>31</v>
      </c>
      <c r="H11" t="s">
        <v>32</v>
      </c>
      <c r="I11" s="2">
        <v>45880</v>
      </c>
      <c r="J11" t="s">
        <v>327</v>
      </c>
      <c r="K11">
        <f t="shared" si="0"/>
        <v>2</v>
      </c>
      <c r="L11" t="s">
        <v>411</v>
      </c>
      <c r="M11" s="2" t="s">
        <v>412</v>
      </c>
      <c r="N11" s="2">
        <v>45880</v>
      </c>
      <c r="O11">
        <v>100</v>
      </c>
      <c r="P11">
        <v>61.81</v>
      </c>
      <c r="Q11" s="7">
        <v>1.37</v>
      </c>
      <c r="R11">
        <v>84.68</v>
      </c>
      <c r="S11" t="s">
        <v>55</v>
      </c>
    </row>
    <row r="12" spans="1:19" x14ac:dyDescent="0.25">
      <c r="A12">
        <v>16228684</v>
      </c>
      <c r="B12" t="s">
        <v>28</v>
      </c>
      <c r="C12">
        <v>7250169190</v>
      </c>
      <c r="D12" t="s">
        <v>46</v>
      </c>
      <c r="E12" t="s">
        <v>428</v>
      </c>
      <c r="F12" t="s">
        <v>437</v>
      </c>
      <c r="G12" t="s">
        <v>31</v>
      </c>
      <c r="H12" t="s">
        <v>32</v>
      </c>
      <c r="I12" s="2">
        <v>45910</v>
      </c>
      <c r="J12" t="s">
        <v>351</v>
      </c>
      <c r="K12">
        <f t="shared" si="0"/>
        <v>1</v>
      </c>
      <c r="L12" t="s">
        <v>411</v>
      </c>
      <c r="M12" s="2" t="s">
        <v>412</v>
      </c>
      <c r="N12" s="2">
        <v>45910</v>
      </c>
      <c r="O12">
        <v>100</v>
      </c>
      <c r="P12">
        <v>119.64</v>
      </c>
      <c r="Q12" s="6">
        <v>1.37</v>
      </c>
      <c r="R12">
        <v>163.91</v>
      </c>
      <c r="S12" t="s">
        <v>55</v>
      </c>
    </row>
    <row r="13" spans="1:19" s="9" customFormat="1" x14ac:dyDescent="0.25">
      <c r="A13" s="9">
        <v>16228684</v>
      </c>
      <c r="B13" s="9" t="s">
        <v>28</v>
      </c>
      <c r="C13" s="9">
        <v>7250161268</v>
      </c>
      <c r="D13" s="9" t="s">
        <v>34</v>
      </c>
      <c r="E13" s="9" t="s">
        <v>430</v>
      </c>
      <c r="F13" s="9" t="s">
        <v>35</v>
      </c>
      <c r="G13" s="9" t="s">
        <v>31</v>
      </c>
      <c r="H13" s="9" t="s">
        <v>32</v>
      </c>
      <c r="I13" s="10">
        <v>45910</v>
      </c>
      <c r="J13" s="9" t="s">
        <v>349</v>
      </c>
      <c r="K13" s="9">
        <f t="shared" si="0"/>
        <v>0</v>
      </c>
      <c r="L13" s="9" t="s">
        <v>411</v>
      </c>
      <c r="M13" s="10" t="s">
        <v>412</v>
      </c>
      <c r="N13" s="10">
        <v>45910</v>
      </c>
      <c r="O13" s="9">
        <v>100</v>
      </c>
      <c r="P13" s="9">
        <v>145.25</v>
      </c>
      <c r="Q13" s="11">
        <v>1.37</v>
      </c>
      <c r="R13" s="9">
        <v>198.99</v>
      </c>
      <c r="S13" s="9" t="s">
        <v>55</v>
      </c>
    </row>
    <row r="14" spans="1:19" x14ac:dyDescent="0.25">
      <c r="A14">
        <v>16228684</v>
      </c>
      <c r="B14" t="s">
        <v>28</v>
      </c>
      <c r="C14">
        <v>7250161361</v>
      </c>
      <c r="D14" t="s">
        <v>42</v>
      </c>
      <c r="E14" t="s">
        <v>429</v>
      </c>
      <c r="F14" t="s">
        <v>437</v>
      </c>
      <c r="G14" t="s">
        <v>31</v>
      </c>
      <c r="H14" t="s">
        <v>32</v>
      </c>
      <c r="I14" s="2">
        <v>45910</v>
      </c>
      <c r="J14" t="s">
        <v>351</v>
      </c>
      <c r="K14">
        <f t="shared" si="0"/>
        <v>1</v>
      </c>
      <c r="L14" t="s">
        <v>411</v>
      </c>
      <c r="M14" s="2" t="s">
        <v>412</v>
      </c>
      <c r="N14" s="2">
        <v>45910</v>
      </c>
      <c r="O14">
        <v>100</v>
      </c>
      <c r="P14">
        <v>178.2</v>
      </c>
      <c r="Q14" s="6">
        <v>1.37</v>
      </c>
      <c r="R14">
        <v>244.13</v>
      </c>
      <c r="S14" t="s">
        <v>55</v>
      </c>
    </row>
    <row r="15" spans="1:19" s="9" customFormat="1" x14ac:dyDescent="0.25">
      <c r="A15" s="9">
        <v>16228684</v>
      </c>
      <c r="B15" s="9" t="s">
        <v>28</v>
      </c>
      <c r="C15" s="9">
        <v>7250161268</v>
      </c>
      <c r="D15" s="9" t="s">
        <v>34</v>
      </c>
      <c r="E15" s="9" t="s">
        <v>430</v>
      </c>
      <c r="F15" s="9" t="s">
        <v>35</v>
      </c>
      <c r="G15" s="9" t="s">
        <v>31</v>
      </c>
      <c r="H15" s="9" t="s">
        <v>32</v>
      </c>
      <c r="I15" s="10">
        <v>45910</v>
      </c>
      <c r="J15" s="9" t="s">
        <v>349</v>
      </c>
      <c r="K15" s="9">
        <f t="shared" si="0"/>
        <v>0</v>
      </c>
      <c r="L15" s="9" t="s">
        <v>411</v>
      </c>
      <c r="M15" s="10" t="s">
        <v>412</v>
      </c>
      <c r="N15" s="10">
        <v>45910</v>
      </c>
      <c r="O15" s="9">
        <v>100</v>
      </c>
      <c r="P15" s="9">
        <v>2829.7</v>
      </c>
      <c r="Q15" s="11">
        <v>1.37</v>
      </c>
      <c r="R15" s="9">
        <v>3876.69</v>
      </c>
      <c r="S15" s="9" t="s">
        <v>55</v>
      </c>
    </row>
    <row r="16" spans="1:19" x14ac:dyDescent="0.25">
      <c r="A16">
        <v>19491313</v>
      </c>
      <c r="B16" t="s">
        <v>39</v>
      </c>
      <c r="C16">
        <v>7250149956</v>
      </c>
      <c r="D16" t="s">
        <v>40</v>
      </c>
      <c r="E16" t="s">
        <v>431</v>
      </c>
      <c r="F16" t="s">
        <v>437</v>
      </c>
      <c r="G16" t="s">
        <v>31</v>
      </c>
      <c r="H16" t="s">
        <v>32</v>
      </c>
      <c r="I16" s="2">
        <v>45901</v>
      </c>
      <c r="J16" t="s">
        <v>338</v>
      </c>
      <c r="K16">
        <f t="shared" si="0"/>
        <v>0</v>
      </c>
      <c r="L16" t="s">
        <v>410</v>
      </c>
      <c r="M16" s="2" t="s">
        <v>412</v>
      </c>
      <c r="N16" s="2">
        <v>45901</v>
      </c>
      <c r="O16">
        <v>100</v>
      </c>
      <c r="P16">
        <v>-47.02</v>
      </c>
      <c r="Q16" s="7">
        <v>0.94499999999999995</v>
      </c>
      <c r="R16">
        <v>-44.43</v>
      </c>
      <c r="S16" t="s">
        <v>56</v>
      </c>
    </row>
    <row r="17" spans="1:29" x14ac:dyDescent="0.25">
      <c r="A17">
        <v>19491313</v>
      </c>
      <c r="B17" t="s">
        <v>39</v>
      </c>
      <c r="C17">
        <v>7250149911</v>
      </c>
      <c r="D17" t="s">
        <v>40</v>
      </c>
      <c r="E17" t="s">
        <v>432</v>
      </c>
      <c r="F17" t="s">
        <v>437</v>
      </c>
      <c r="G17" t="s">
        <v>31</v>
      </c>
      <c r="H17" t="s">
        <v>32</v>
      </c>
      <c r="I17" s="2">
        <v>45901</v>
      </c>
      <c r="J17" t="s">
        <v>338</v>
      </c>
      <c r="K17">
        <f t="shared" si="0"/>
        <v>0</v>
      </c>
      <c r="L17" t="s">
        <v>410</v>
      </c>
      <c r="M17" s="2" t="s">
        <v>412</v>
      </c>
      <c r="N17" s="2">
        <v>45901</v>
      </c>
      <c r="O17">
        <v>100</v>
      </c>
      <c r="P17">
        <v>-32.270000000000003</v>
      </c>
      <c r="Q17" s="7">
        <v>0.94499999999999995</v>
      </c>
      <c r="R17">
        <v>-30.5</v>
      </c>
      <c r="S17" t="s">
        <v>56</v>
      </c>
    </row>
    <row r="18" spans="1:29" s="3" customFormat="1" x14ac:dyDescent="0.25">
      <c r="A18">
        <v>19491313</v>
      </c>
      <c r="B18" t="s">
        <v>39</v>
      </c>
      <c r="C18">
        <v>7250169502</v>
      </c>
      <c r="D18" t="s">
        <v>50</v>
      </c>
      <c r="E18" t="s">
        <v>433</v>
      </c>
      <c r="F18" t="s">
        <v>437</v>
      </c>
      <c r="G18" t="s">
        <v>31</v>
      </c>
      <c r="H18" t="s">
        <v>32</v>
      </c>
      <c r="I18" s="2">
        <v>45910</v>
      </c>
      <c r="J18" t="s">
        <v>351</v>
      </c>
      <c r="K18">
        <f t="shared" si="0"/>
        <v>1</v>
      </c>
      <c r="L18" t="s">
        <v>410</v>
      </c>
      <c r="M18" s="2" t="s">
        <v>412</v>
      </c>
      <c r="N18" s="2">
        <v>45910</v>
      </c>
      <c r="O18">
        <v>100</v>
      </c>
      <c r="P18">
        <v>51.07</v>
      </c>
      <c r="Q18" s="7">
        <v>0.94499999999999995</v>
      </c>
      <c r="R18">
        <v>48.26</v>
      </c>
      <c r="S18" t="s">
        <v>56</v>
      </c>
      <c r="T18"/>
      <c r="U18"/>
      <c r="V18"/>
      <c r="W18"/>
      <c r="X18"/>
      <c r="Y18"/>
      <c r="Z18"/>
      <c r="AA18"/>
      <c r="AB18"/>
      <c r="AC18"/>
    </row>
    <row r="19" spans="1:29" s="3" customFormat="1" x14ac:dyDescent="0.25">
      <c r="A19">
        <v>19491313</v>
      </c>
      <c r="B19" t="s">
        <v>39</v>
      </c>
      <c r="C19">
        <v>7250169460</v>
      </c>
      <c r="D19" t="s">
        <v>50</v>
      </c>
      <c r="E19" t="s">
        <v>434</v>
      </c>
      <c r="F19" t="s">
        <v>437</v>
      </c>
      <c r="G19" t="s">
        <v>31</v>
      </c>
      <c r="H19" t="s">
        <v>32</v>
      </c>
      <c r="I19" s="2">
        <v>45910</v>
      </c>
      <c r="J19" t="s">
        <v>351</v>
      </c>
      <c r="K19">
        <f t="shared" si="0"/>
        <v>1</v>
      </c>
      <c r="L19" t="s">
        <v>410</v>
      </c>
      <c r="M19" s="2" t="s">
        <v>412</v>
      </c>
      <c r="N19" s="2">
        <v>45910</v>
      </c>
      <c r="O19">
        <v>100</v>
      </c>
      <c r="P19">
        <v>28</v>
      </c>
      <c r="Q19" s="7">
        <v>1.37</v>
      </c>
      <c r="R19">
        <v>38.36</v>
      </c>
      <c r="S19" t="s">
        <v>55</v>
      </c>
      <c r="T19"/>
      <c r="U19"/>
      <c r="V19"/>
      <c r="W19"/>
      <c r="X19"/>
      <c r="Y19"/>
      <c r="Z19"/>
      <c r="AA19"/>
      <c r="AB19"/>
      <c r="AC19"/>
    </row>
    <row r="20" spans="1:29" s="3" customFormat="1" x14ac:dyDescent="0.25">
      <c r="A20">
        <v>19491313</v>
      </c>
      <c r="B20" t="s">
        <v>39</v>
      </c>
      <c r="C20">
        <v>7250168418</v>
      </c>
      <c r="D20" t="s">
        <v>51</v>
      </c>
      <c r="E20" t="s">
        <v>435</v>
      </c>
      <c r="F20" t="s">
        <v>437</v>
      </c>
      <c r="G20" t="s">
        <v>31</v>
      </c>
      <c r="H20" t="s">
        <v>32</v>
      </c>
      <c r="I20" s="2">
        <v>45908</v>
      </c>
      <c r="J20" t="s">
        <v>164</v>
      </c>
      <c r="K20">
        <f t="shared" si="0"/>
        <v>1</v>
      </c>
      <c r="L20" t="s">
        <v>410</v>
      </c>
      <c r="M20" s="2" t="s">
        <v>412</v>
      </c>
      <c r="N20" s="2">
        <v>45908</v>
      </c>
      <c r="O20">
        <v>100</v>
      </c>
      <c r="P20">
        <v>69.59</v>
      </c>
      <c r="Q20" s="7">
        <v>1.37</v>
      </c>
      <c r="R20">
        <v>95.34</v>
      </c>
      <c r="S20" t="s">
        <v>55</v>
      </c>
      <c r="T20"/>
      <c r="U20"/>
      <c r="V20"/>
      <c r="W20"/>
      <c r="X20"/>
      <c r="Y20"/>
      <c r="Z20"/>
      <c r="AA20"/>
      <c r="AB20"/>
      <c r="AC20"/>
    </row>
  </sheetData>
  <sortState xmlns:xlrd2="http://schemas.microsoft.com/office/spreadsheetml/2017/richdata2" ref="A2:AC20">
    <sortCondition ref="A2:A2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CFD0B-A0C8-4928-9CCF-27AFEAC766DC}">
  <dimension ref="A1:L241"/>
  <sheetViews>
    <sheetView tabSelected="1" topLeftCell="A10" workbookViewId="0">
      <selection activeCell="G13" sqref="G13:G48"/>
    </sheetView>
  </sheetViews>
  <sheetFormatPr defaultRowHeight="15" x14ac:dyDescent="0.25"/>
  <cols>
    <col min="1" max="1" width="16.5703125" bestFit="1" customWidth="1"/>
    <col min="2" max="2" width="16" bestFit="1" customWidth="1"/>
    <col min="3" max="4" width="20.140625" customWidth="1"/>
    <col min="5" max="5" width="11" bestFit="1" customWidth="1"/>
    <col min="6" max="6" width="36.85546875" customWidth="1"/>
    <col min="7" max="8" width="10.7109375" bestFit="1" customWidth="1"/>
    <col min="10" max="10" width="19.5703125" bestFit="1" customWidth="1"/>
    <col min="12" max="12" width="17.5703125" bestFit="1" customWidth="1"/>
  </cols>
  <sheetData>
    <row r="1" spans="1:12" x14ac:dyDescent="0.25">
      <c r="A1" s="1" t="s">
        <v>5</v>
      </c>
      <c r="B1" s="1" t="s">
        <v>57</v>
      </c>
      <c r="C1" s="1" t="s">
        <v>58</v>
      </c>
      <c r="D1" s="1" t="s">
        <v>59</v>
      </c>
    </row>
    <row r="2" spans="1:12" x14ac:dyDescent="0.25">
      <c r="A2">
        <v>6240075273</v>
      </c>
      <c r="B2" t="s">
        <v>60</v>
      </c>
      <c r="C2" t="s">
        <v>62</v>
      </c>
      <c r="D2" t="s">
        <v>63</v>
      </c>
      <c r="E2" s="3">
        <v>6250134171</v>
      </c>
      <c r="F2" t="str">
        <f>VLOOKUP(E2,A:D,2,FALSE)</f>
        <v>OUTLAW,ZACHARY</v>
      </c>
      <c r="G2" t="str">
        <f>VLOOKUP(E2,A:D,3,FALSE)</f>
        <v>10/28/2025</v>
      </c>
      <c r="H2" t="str">
        <f>VLOOKUP(E2,A:D,4,FALSE)</f>
        <v>08/28/2025</v>
      </c>
      <c r="J2" t="s">
        <v>438</v>
      </c>
      <c r="K2" t="s">
        <v>439</v>
      </c>
      <c r="L2" t="str">
        <f>CONCATENATE(K2, " ",J2)</f>
        <v>ZACHARY OUTLAW</v>
      </c>
    </row>
    <row r="3" spans="1:12" x14ac:dyDescent="0.25">
      <c r="A3">
        <v>6240105791</v>
      </c>
      <c r="B3" t="s">
        <v>64</v>
      </c>
      <c r="C3" t="s">
        <v>62</v>
      </c>
      <c r="D3" t="s">
        <v>65</v>
      </c>
      <c r="E3" s="3">
        <v>7250170272</v>
      </c>
      <c r="F3" t="str">
        <f t="shared" ref="F3:F66" si="0">VLOOKUP(E3,A:D,2,FALSE)</f>
        <v>WALKER,JOSEPH C</v>
      </c>
      <c r="G3" t="str">
        <f t="shared" ref="G3:G48" si="1">VLOOKUP(E3,A:D,3,FALSE)</f>
        <v>10/16/2025</v>
      </c>
      <c r="H3" t="str">
        <f t="shared" ref="H3:H49" si="2">VLOOKUP(E3,A:D,4,FALSE)</f>
        <v>09/16/2025</v>
      </c>
      <c r="J3" t="s">
        <v>48</v>
      </c>
      <c r="K3" t="s">
        <v>416</v>
      </c>
      <c r="L3" t="str">
        <f t="shared" ref="L3:L48" si="3">CONCATENATE(K3, " ",J3)</f>
        <v>JOSEPH WALKER</v>
      </c>
    </row>
    <row r="4" spans="1:12" x14ac:dyDescent="0.25">
      <c r="A4">
        <v>6240107609</v>
      </c>
      <c r="B4" t="s">
        <v>66</v>
      </c>
      <c r="C4" t="s">
        <v>67</v>
      </c>
      <c r="D4" t="s">
        <v>68</v>
      </c>
      <c r="E4" s="3">
        <v>7250130383</v>
      </c>
      <c r="F4" t="str">
        <f t="shared" si="0"/>
        <v>PATER,JAMES</v>
      </c>
      <c r="G4" t="str">
        <f t="shared" si="1"/>
        <v>09/23/2025</v>
      </c>
      <c r="H4" t="str">
        <f t="shared" si="2"/>
        <v>07/23/2025</v>
      </c>
      <c r="J4" t="s">
        <v>440</v>
      </c>
      <c r="K4" t="s">
        <v>441</v>
      </c>
      <c r="L4" t="str">
        <f t="shared" si="3"/>
        <v>JAMES PATER</v>
      </c>
    </row>
    <row r="5" spans="1:12" x14ac:dyDescent="0.25">
      <c r="A5">
        <v>6240108155</v>
      </c>
      <c r="B5" t="s">
        <v>69</v>
      </c>
      <c r="C5" t="s">
        <v>70</v>
      </c>
      <c r="D5" t="s">
        <v>71</v>
      </c>
      <c r="E5" s="3">
        <v>7250125384</v>
      </c>
      <c r="F5" t="str">
        <f t="shared" si="0"/>
        <v>GARZA,LINDA</v>
      </c>
      <c r="G5" t="str">
        <f t="shared" si="1"/>
        <v>09/16/2025</v>
      </c>
      <c r="H5" t="str">
        <f t="shared" si="2"/>
        <v>07/16/2025</v>
      </c>
      <c r="J5" t="s">
        <v>442</v>
      </c>
      <c r="K5" t="s">
        <v>443</v>
      </c>
      <c r="L5" t="str">
        <f t="shared" si="3"/>
        <v>LINDA GARZA</v>
      </c>
    </row>
    <row r="6" spans="1:12" x14ac:dyDescent="0.25">
      <c r="A6">
        <v>6240118719</v>
      </c>
      <c r="B6" t="s">
        <v>72</v>
      </c>
      <c r="C6" t="s">
        <v>73</v>
      </c>
      <c r="D6" t="s">
        <v>74</v>
      </c>
      <c r="E6" s="3">
        <v>6250111822</v>
      </c>
      <c r="F6" t="str">
        <f t="shared" si="0"/>
        <v>DALY,KEVIN</v>
      </c>
      <c r="G6" t="str">
        <f t="shared" si="1"/>
        <v>10/14/2025</v>
      </c>
      <c r="H6" t="str">
        <f t="shared" si="2"/>
        <v>07/14/2025</v>
      </c>
      <c r="J6" s="3" t="s">
        <v>444</v>
      </c>
      <c r="K6" t="s">
        <v>445</v>
      </c>
      <c r="L6" t="str">
        <f t="shared" si="3"/>
        <v>KEVIN DALY</v>
      </c>
    </row>
    <row r="7" spans="1:12" x14ac:dyDescent="0.25">
      <c r="A7">
        <v>6240118764</v>
      </c>
      <c r="B7" t="s">
        <v>75</v>
      </c>
      <c r="C7" t="s">
        <v>73</v>
      </c>
      <c r="D7" t="s">
        <v>74</v>
      </c>
      <c r="E7" s="3">
        <v>6250043034</v>
      </c>
      <c r="F7" t="str">
        <f t="shared" si="0"/>
        <v>BAKER,CINDY</v>
      </c>
      <c r="G7" t="str">
        <f t="shared" si="1"/>
        <v>09/19/2025</v>
      </c>
      <c r="H7" t="str">
        <f t="shared" si="2"/>
        <v>03/19/2025</v>
      </c>
      <c r="J7" t="s">
        <v>446</v>
      </c>
      <c r="K7" t="s">
        <v>447</v>
      </c>
      <c r="L7" t="str">
        <f t="shared" si="3"/>
        <v>CINDY BAKER</v>
      </c>
    </row>
    <row r="8" spans="1:12" x14ac:dyDescent="0.25">
      <c r="A8">
        <v>6240123113</v>
      </c>
      <c r="B8" t="s">
        <v>76</v>
      </c>
      <c r="C8" t="s">
        <v>73</v>
      </c>
      <c r="D8" t="s">
        <v>74</v>
      </c>
      <c r="E8" s="3">
        <v>7240098094</v>
      </c>
      <c r="F8" t="str">
        <f t="shared" si="0"/>
        <v>LOPRIORE,FILOMENA</v>
      </c>
      <c r="G8" t="str">
        <f t="shared" si="1"/>
        <v>10/16/2025</v>
      </c>
      <c r="H8" t="str">
        <f t="shared" si="2"/>
        <v>10/16/2024</v>
      </c>
      <c r="J8" t="s">
        <v>448</v>
      </c>
      <c r="K8" t="s">
        <v>449</v>
      </c>
      <c r="L8" t="str">
        <f t="shared" si="3"/>
        <v>FILOMENA LOPRIORE</v>
      </c>
    </row>
    <row r="9" spans="1:12" x14ac:dyDescent="0.25">
      <c r="A9">
        <v>6240125810</v>
      </c>
      <c r="B9" t="s">
        <v>77</v>
      </c>
      <c r="C9" t="s">
        <v>73</v>
      </c>
      <c r="D9" t="s">
        <v>74</v>
      </c>
      <c r="E9" s="3">
        <v>7240098074</v>
      </c>
      <c r="F9" t="str">
        <f t="shared" si="0"/>
        <v>LOPRIORE,MICHAEL</v>
      </c>
      <c r="G9" t="str">
        <f t="shared" si="1"/>
        <v>10/16/2025</v>
      </c>
      <c r="H9" t="str">
        <f t="shared" si="2"/>
        <v>10/16/2024</v>
      </c>
      <c r="J9" t="s">
        <v>448</v>
      </c>
      <c r="K9" t="s">
        <v>415</v>
      </c>
      <c r="L9" t="str">
        <f t="shared" si="3"/>
        <v>MICHAEL LOPRIORE</v>
      </c>
    </row>
    <row r="10" spans="1:12" x14ac:dyDescent="0.25">
      <c r="A10">
        <v>6240128755</v>
      </c>
      <c r="B10" t="s">
        <v>78</v>
      </c>
      <c r="C10" t="s">
        <v>79</v>
      </c>
      <c r="D10" t="s">
        <v>80</v>
      </c>
      <c r="E10" s="12">
        <v>7250184438</v>
      </c>
      <c r="F10" t="str">
        <f t="shared" si="0"/>
        <v>DEBATTISTA,DENA</v>
      </c>
      <c r="G10" t="str">
        <f t="shared" si="1"/>
        <v>10/15/2025</v>
      </c>
      <c r="H10" t="str">
        <f t="shared" si="2"/>
        <v>10/15/2025</v>
      </c>
      <c r="J10" t="s">
        <v>450</v>
      </c>
      <c r="K10" t="s">
        <v>451</v>
      </c>
      <c r="L10" t="str">
        <f t="shared" si="3"/>
        <v>DENA DEBATTISTA</v>
      </c>
    </row>
    <row r="11" spans="1:12" x14ac:dyDescent="0.25">
      <c r="A11">
        <v>6240128778</v>
      </c>
      <c r="B11" t="s">
        <v>81</v>
      </c>
      <c r="C11" t="s">
        <v>79</v>
      </c>
      <c r="D11" t="s">
        <v>82</v>
      </c>
      <c r="E11" s="12">
        <v>6250161714</v>
      </c>
      <c r="F11" t="str">
        <f t="shared" si="0"/>
        <v>FILIPPO,RICHARD</v>
      </c>
      <c r="G11" t="str">
        <f t="shared" si="1"/>
        <v/>
      </c>
      <c r="H11" t="str">
        <f t="shared" si="2"/>
        <v>10/22/2025</v>
      </c>
      <c r="J11" t="s">
        <v>452</v>
      </c>
      <c r="K11" t="s">
        <v>453</v>
      </c>
      <c r="L11" t="str">
        <f t="shared" si="3"/>
        <v>RICHARD FILIPPO</v>
      </c>
    </row>
    <row r="12" spans="1:12" x14ac:dyDescent="0.25">
      <c r="A12">
        <v>6240135139</v>
      </c>
      <c r="B12" t="s">
        <v>83</v>
      </c>
      <c r="C12" t="s">
        <v>73</v>
      </c>
      <c r="D12" t="s">
        <v>74</v>
      </c>
      <c r="E12" s="12">
        <v>7250204150</v>
      </c>
      <c r="F12" t="e">
        <f t="shared" si="0"/>
        <v>#N/A</v>
      </c>
      <c r="G12" t="e">
        <f t="shared" si="1"/>
        <v>#N/A</v>
      </c>
      <c r="H12" t="e">
        <f t="shared" si="2"/>
        <v>#N/A</v>
      </c>
      <c r="L12" t="str">
        <f>CONCATENATE(K12, " ",J12)</f>
        <v xml:space="preserve"> </v>
      </c>
    </row>
    <row r="13" spans="1:12" x14ac:dyDescent="0.25">
      <c r="A13">
        <v>6240136594</v>
      </c>
      <c r="B13" t="s">
        <v>84</v>
      </c>
      <c r="C13" t="s">
        <v>73</v>
      </c>
      <c r="D13" t="s">
        <v>74</v>
      </c>
      <c r="E13" s="12">
        <v>7250149911</v>
      </c>
      <c r="F13" t="str">
        <f t="shared" si="0"/>
        <v>WENT,KIMBERLY J</v>
      </c>
      <c r="G13" t="str">
        <f t="shared" si="1"/>
        <v>09/20/2025</v>
      </c>
      <c r="H13" t="str">
        <f t="shared" si="2"/>
        <v>09/20/2025</v>
      </c>
      <c r="J13" s="9" t="s">
        <v>40</v>
      </c>
      <c r="K13" t="s">
        <v>420</v>
      </c>
      <c r="L13" t="str">
        <f t="shared" si="3"/>
        <v>KIMBERLY WENT</v>
      </c>
    </row>
    <row r="14" spans="1:12" x14ac:dyDescent="0.25">
      <c r="A14">
        <v>6240137111</v>
      </c>
      <c r="B14" t="s">
        <v>85</v>
      </c>
      <c r="C14" t="s">
        <v>86</v>
      </c>
      <c r="D14" t="s">
        <v>86</v>
      </c>
      <c r="E14" s="12">
        <v>7250149956</v>
      </c>
      <c r="F14" t="str">
        <f t="shared" si="0"/>
        <v>WENT,LARRY L</v>
      </c>
      <c r="G14" t="str">
        <f t="shared" si="1"/>
        <v>09/20/2025</v>
      </c>
      <c r="H14" t="str">
        <f t="shared" si="2"/>
        <v>09/20/2025</v>
      </c>
      <c r="J14" t="s">
        <v>40</v>
      </c>
      <c r="K14" t="s">
        <v>419</v>
      </c>
      <c r="L14" t="str">
        <f t="shared" si="3"/>
        <v>LARRY WENT</v>
      </c>
    </row>
    <row r="15" spans="1:12" x14ac:dyDescent="0.25">
      <c r="A15">
        <v>6240137471</v>
      </c>
      <c r="B15" t="s">
        <v>87</v>
      </c>
      <c r="C15" t="s">
        <v>88</v>
      </c>
      <c r="D15" t="s">
        <v>89</v>
      </c>
      <c r="E15" s="12">
        <v>7250171145</v>
      </c>
      <c r="F15" t="str">
        <f t="shared" si="0"/>
        <v>FLORY,LOLA K</v>
      </c>
      <c r="G15" t="str">
        <f t="shared" si="1"/>
        <v>09/20/2025</v>
      </c>
      <c r="H15" t="str">
        <f t="shared" si="2"/>
        <v>09/20/2025</v>
      </c>
      <c r="J15" s="9" t="s">
        <v>454</v>
      </c>
      <c r="K15" t="s">
        <v>455</v>
      </c>
      <c r="L15" t="str">
        <f t="shared" si="3"/>
        <v>LOLA FLORY</v>
      </c>
    </row>
    <row r="16" spans="1:12" x14ac:dyDescent="0.25">
      <c r="A16">
        <v>6250001196</v>
      </c>
      <c r="B16" t="s">
        <v>90</v>
      </c>
      <c r="C16" t="s">
        <v>91</v>
      </c>
      <c r="D16" t="s">
        <v>92</v>
      </c>
      <c r="E16" s="12">
        <v>7250171087</v>
      </c>
      <c r="F16" t="str">
        <f t="shared" si="0"/>
        <v>FLORY,JOSEPH P</v>
      </c>
      <c r="G16" t="str">
        <f t="shared" si="1"/>
        <v>09/20/2025</v>
      </c>
      <c r="H16" t="str">
        <f t="shared" si="2"/>
        <v>09/20/2025</v>
      </c>
      <c r="J16" t="s">
        <v>454</v>
      </c>
      <c r="K16" t="s">
        <v>416</v>
      </c>
      <c r="L16" t="str">
        <f t="shared" si="3"/>
        <v>JOSEPH FLORY</v>
      </c>
    </row>
    <row r="17" spans="1:12" x14ac:dyDescent="0.25">
      <c r="A17">
        <v>6250008497</v>
      </c>
      <c r="B17" t="s">
        <v>93</v>
      </c>
      <c r="C17" t="s">
        <v>94</v>
      </c>
      <c r="D17" t="s">
        <v>95</v>
      </c>
      <c r="E17" s="12">
        <v>6250158506</v>
      </c>
      <c r="F17" t="str">
        <f t="shared" si="0"/>
        <v>SANDOVAL,LIA</v>
      </c>
      <c r="G17" t="str">
        <f t="shared" si="1"/>
        <v>09/16/2025</v>
      </c>
      <c r="H17" t="str">
        <f t="shared" si="2"/>
        <v>09/16/2025</v>
      </c>
      <c r="J17" t="s">
        <v>456</v>
      </c>
      <c r="K17" t="s">
        <v>457</v>
      </c>
      <c r="L17" t="str">
        <f t="shared" si="3"/>
        <v>LIA SANDOVAL</v>
      </c>
    </row>
    <row r="18" spans="1:12" x14ac:dyDescent="0.25">
      <c r="A18">
        <v>6250016457</v>
      </c>
      <c r="B18" t="s">
        <v>96</v>
      </c>
      <c r="C18" t="s">
        <v>97</v>
      </c>
      <c r="D18" t="s">
        <v>98</v>
      </c>
      <c r="E18" s="12">
        <v>7250155601</v>
      </c>
      <c r="F18" t="str">
        <f t="shared" si="0"/>
        <v>DAUER,MERRILEE</v>
      </c>
      <c r="G18" t="str">
        <f t="shared" si="1"/>
        <v>10/21/2025</v>
      </c>
      <c r="H18" t="str">
        <f t="shared" si="2"/>
        <v>08/21/2025</v>
      </c>
      <c r="J18" t="s">
        <v>458</v>
      </c>
      <c r="K18" t="s">
        <v>459</v>
      </c>
      <c r="L18" t="str">
        <f t="shared" si="3"/>
        <v>MERRILEE DAUER</v>
      </c>
    </row>
    <row r="19" spans="1:12" x14ac:dyDescent="0.25">
      <c r="A19">
        <v>6250016471</v>
      </c>
      <c r="B19" t="s">
        <v>99</v>
      </c>
      <c r="C19" t="s">
        <v>88</v>
      </c>
      <c r="D19" t="s">
        <v>98</v>
      </c>
      <c r="E19" s="12">
        <v>6250145187</v>
      </c>
      <c r="F19" t="str">
        <f t="shared" si="0"/>
        <v>JONES,BRIAN</v>
      </c>
      <c r="G19" t="str">
        <f t="shared" si="1"/>
        <v>09/26/2025</v>
      </c>
      <c r="H19" t="str">
        <f t="shared" si="2"/>
        <v>08/26/2025</v>
      </c>
      <c r="J19" t="s">
        <v>460</v>
      </c>
      <c r="K19" t="s">
        <v>461</v>
      </c>
      <c r="L19" t="str">
        <f t="shared" si="3"/>
        <v>BRIAN JONES</v>
      </c>
    </row>
    <row r="20" spans="1:12" x14ac:dyDescent="0.25">
      <c r="A20">
        <v>6250018603</v>
      </c>
      <c r="B20" t="s">
        <v>100</v>
      </c>
      <c r="C20" t="s">
        <v>101</v>
      </c>
      <c r="D20" t="s">
        <v>102</v>
      </c>
      <c r="E20" s="12">
        <v>7250182035</v>
      </c>
      <c r="F20" t="str">
        <f t="shared" si="0"/>
        <v>MELLO,HENRY</v>
      </c>
      <c r="G20" t="str">
        <f t="shared" si="1"/>
        <v>09/23/2025</v>
      </c>
      <c r="H20" t="str">
        <f t="shared" si="2"/>
        <v>09/23/2025</v>
      </c>
      <c r="J20" t="s">
        <v>462</v>
      </c>
      <c r="K20" t="s">
        <v>463</v>
      </c>
      <c r="L20" t="str">
        <f t="shared" si="3"/>
        <v>HENRY MELLO</v>
      </c>
    </row>
    <row r="21" spans="1:12" x14ac:dyDescent="0.25">
      <c r="A21">
        <v>6250030658</v>
      </c>
      <c r="B21" t="s">
        <v>103</v>
      </c>
      <c r="C21" t="s">
        <v>104</v>
      </c>
      <c r="D21" t="s">
        <v>105</v>
      </c>
      <c r="E21" s="12">
        <v>7250171748</v>
      </c>
      <c r="F21" t="str">
        <f t="shared" si="0"/>
        <v>THOMAS,CHARLES</v>
      </c>
      <c r="G21" t="str">
        <f t="shared" si="1"/>
        <v>10/12/2025</v>
      </c>
      <c r="H21" t="str">
        <f t="shared" si="2"/>
        <v>09/12/2025</v>
      </c>
      <c r="J21" t="s">
        <v>49</v>
      </c>
      <c r="K21" t="s">
        <v>417</v>
      </c>
      <c r="L21" t="str">
        <f t="shared" si="3"/>
        <v>CHARLES THOMAS</v>
      </c>
    </row>
    <row r="22" spans="1:12" x14ac:dyDescent="0.25">
      <c r="A22">
        <v>6250043034</v>
      </c>
      <c r="B22" t="s">
        <v>106</v>
      </c>
      <c r="C22" t="s">
        <v>107</v>
      </c>
      <c r="D22" t="s">
        <v>108</v>
      </c>
      <c r="E22" s="12">
        <v>7250134006</v>
      </c>
      <c r="F22" t="str">
        <f t="shared" si="0"/>
        <v>SANCHEZ,LINDA</v>
      </c>
      <c r="G22" t="str">
        <f t="shared" si="1"/>
        <v>09/27/2025</v>
      </c>
      <c r="H22" t="str">
        <f t="shared" si="2"/>
        <v>08/27/2025</v>
      </c>
      <c r="J22" t="s">
        <v>464</v>
      </c>
      <c r="K22" t="s">
        <v>443</v>
      </c>
      <c r="L22" t="str">
        <f t="shared" si="3"/>
        <v>LINDA SANCHEZ</v>
      </c>
    </row>
    <row r="23" spans="1:12" x14ac:dyDescent="0.25">
      <c r="A23">
        <v>6250063528</v>
      </c>
      <c r="B23" t="s">
        <v>109</v>
      </c>
      <c r="C23" t="s">
        <v>88</v>
      </c>
      <c r="D23" t="s">
        <v>110</v>
      </c>
      <c r="E23" s="12">
        <v>7250134970</v>
      </c>
      <c r="F23" t="str">
        <f t="shared" si="0"/>
        <v>SILVA,TERESA</v>
      </c>
      <c r="G23" t="str">
        <f t="shared" si="1"/>
        <v>10/28/2025</v>
      </c>
      <c r="H23" t="str">
        <f t="shared" si="2"/>
        <v>07/28/2025</v>
      </c>
      <c r="J23" t="s">
        <v>465</v>
      </c>
      <c r="K23" t="s">
        <v>466</v>
      </c>
      <c r="L23" t="str">
        <f t="shared" si="3"/>
        <v>TERESA SILVA</v>
      </c>
    </row>
    <row r="24" spans="1:12" x14ac:dyDescent="0.25">
      <c r="A24">
        <v>6250081841</v>
      </c>
      <c r="B24" t="s">
        <v>111</v>
      </c>
      <c r="C24" t="s">
        <v>112</v>
      </c>
      <c r="D24" t="s">
        <v>113</v>
      </c>
      <c r="E24" s="12">
        <v>7250131409</v>
      </c>
      <c r="F24" t="str">
        <f t="shared" si="0"/>
        <v>CLARKE LENNON,JOANNE</v>
      </c>
      <c r="G24" t="str">
        <f t="shared" si="1"/>
        <v>09/19/2025</v>
      </c>
      <c r="H24" t="str">
        <f t="shared" si="2"/>
        <v>08/19/2025</v>
      </c>
      <c r="J24" t="s">
        <v>467</v>
      </c>
      <c r="K24" t="s">
        <v>468</v>
      </c>
      <c r="L24" t="str">
        <f t="shared" si="3"/>
        <v>JOANNE CLARKE</v>
      </c>
    </row>
    <row r="25" spans="1:12" x14ac:dyDescent="0.25">
      <c r="A25">
        <v>6250089879</v>
      </c>
      <c r="B25" t="s">
        <v>114</v>
      </c>
      <c r="C25" t="s">
        <v>115</v>
      </c>
      <c r="D25" t="s">
        <v>116</v>
      </c>
      <c r="E25" s="12">
        <v>7250131409</v>
      </c>
      <c r="F25" t="str">
        <f t="shared" si="0"/>
        <v>CLARKE LENNON,JOANNE</v>
      </c>
      <c r="G25" t="str">
        <f t="shared" si="1"/>
        <v>09/19/2025</v>
      </c>
      <c r="H25" t="str">
        <f t="shared" si="2"/>
        <v>08/19/2025</v>
      </c>
      <c r="J25" t="s">
        <v>467</v>
      </c>
      <c r="K25" t="s">
        <v>468</v>
      </c>
      <c r="L25" t="str">
        <f t="shared" si="3"/>
        <v>JOANNE CLARKE</v>
      </c>
    </row>
    <row r="26" spans="1:12" x14ac:dyDescent="0.25">
      <c r="A26">
        <v>6250091060</v>
      </c>
      <c r="B26" t="s">
        <v>117</v>
      </c>
      <c r="C26" t="s">
        <v>118</v>
      </c>
      <c r="D26" t="s">
        <v>119</v>
      </c>
      <c r="E26" s="12">
        <v>7250136784</v>
      </c>
      <c r="F26" t="str">
        <f t="shared" si="0"/>
        <v>JACOBSON,JERROLD</v>
      </c>
      <c r="G26" t="str">
        <f t="shared" si="1"/>
        <v>10/11/2025</v>
      </c>
      <c r="H26" t="str">
        <f t="shared" si="2"/>
        <v>08/11/2025</v>
      </c>
      <c r="J26" t="s">
        <v>43</v>
      </c>
      <c r="K26" t="s">
        <v>418</v>
      </c>
      <c r="L26" t="str">
        <f t="shared" si="3"/>
        <v>JERROLD JACOBSON</v>
      </c>
    </row>
    <row r="27" spans="1:12" x14ac:dyDescent="0.25">
      <c r="A27">
        <v>6250092297</v>
      </c>
      <c r="B27" t="s">
        <v>120</v>
      </c>
      <c r="C27" t="s">
        <v>121</v>
      </c>
      <c r="D27" t="s">
        <v>122</v>
      </c>
      <c r="E27" s="12">
        <v>7250136784</v>
      </c>
      <c r="F27" t="str">
        <f t="shared" si="0"/>
        <v>JACOBSON,JERROLD</v>
      </c>
      <c r="G27" t="str">
        <f t="shared" si="1"/>
        <v>10/11/2025</v>
      </c>
      <c r="H27" t="str">
        <f t="shared" si="2"/>
        <v>08/11/2025</v>
      </c>
      <c r="J27" t="s">
        <v>43</v>
      </c>
      <c r="K27" t="s">
        <v>418</v>
      </c>
      <c r="L27" t="str">
        <f t="shared" si="3"/>
        <v>JERROLD JACOBSON</v>
      </c>
    </row>
    <row r="28" spans="1:12" x14ac:dyDescent="0.25">
      <c r="A28">
        <v>6250100038</v>
      </c>
      <c r="B28" t="s">
        <v>123</v>
      </c>
      <c r="C28" t="s">
        <v>91</v>
      </c>
      <c r="D28" t="s">
        <v>124</v>
      </c>
      <c r="E28" s="12">
        <v>7250139741</v>
      </c>
      <c r="F28" t="str">
        <f t="shared" si="0"/>
        <v>KOWALCZYK,ALFRED J</v>
      </c>
      <c r="G28" t="str">
        <f t="shared" si="1"/>
        <v>10/14/2025</v>
      </c>
      <c r="H28" t="str">
        <f t="shared" si="2"/>
        <v>08/14/2025</v>
      </c>
      <c r="J28" t="s">
        <v>469</v>
      </c>
      <c r="K28" t="s">
        <v>470</v>
      </c>
      <c r="L28" t="str">
        <f t="shared" si="3"/>
        <v>ALFRED KOWALCZYK</v>
      </c>
    </row>
    <row r="29" spans="1:12" x14ac:dyDescent="0.25">
      <c r="A29">
        <v>6250111822</v>
      </c>
      <c r="B29" t="s">
        <v>125</v>
      </c>
      <c r="C29" t="s">
        <v>126</v>
      </c>
      <c r="D29" t="s">
        <v>127</v>
      </c>
      <c r="E29" s="12">
        <v>7250136784</v>
      </c>
      <c r="F29" t="str">
        <f t="shared" si="0"/>
        <v>JACOBSON,JERROLD</v>
      </c>
      <c r="G29" t="str">
        <f t="shared" si="1"/>
        <v>10/11/2025</v>
      </c>
      <c r="H29" t="str">
        <f t="shared" si="2"/>
        <v>08/11/2025</v>
      </c>
      <c r="J29" t="s">
        <v>43</v>
      </c>
      <c r="K29" t="s">
        <v>418</v>
      </c>
      <c r="L29" t="str">
        <f t="shared" si="3"/>
        <v>JERROLD JACOBSON</v>
      </c>
    </row>
    <row r="30" spans="1:12" x14ac:dyDescent="0.25">
      <c r="A30">
        <v>6250116208</v>
      </c>
      <c r="B30" t="s">
        <v>128</v>
      </c>
      <c r="C30" t="s">
        <v>121</v>
      </c>
      <c r="D30" t="s">
        <v>129</v>
      </c>
      <c r="E30" s="12">
        <v>7250136668</v>
      </c>
      <c r="F30" t="str">
        <f t="shared" si="0"/>
        <v>CODER,ELIZABETH</v>
      </c>
      <c r="G30" t="str">
        <f t="shared" si="1"/>
        <v>10/15/2025</v>
      </c>
      <c r="H30" t="str">
        <f t="shared" si="2"/>
        <v>08/15/2025</v>
      </c>
      <c r="J30" t="s">
        <v>471</v>
      </c>
      <c r="K30" t="s">
        <v>472</v>
      </c>
      <c r="L30" t="str">
        <f t="shared" si="3"/>
        <v>ELIZABETH CODER</v>
      </c>
    </row>
    <row r="31" spans="1:12" x14ac:dyDescent="0.25">
      <c r="A31">
        <v>6250121740</v>
      </c>
      <c r="B31" t="s">
        <v>130</v>
      </c>
      <c r="C31" t="s">
        <v>88</v>
      </c>
      <c r="D31" t="s">
        <v>131</v>
      </c>
      <c r="E31" s="12">
        <v>7250139267</v>
      </c>
      <c r="F31" t="str">
        <f t="shared" si="0"/>
        <v>KOWALCZYK,BRIAN</v>
      </c>
      <c r="G31" t="str">
        <f t="shared" si="1"/>
        <v>10/14/2025</v>
      </c>
      <c r="H31" t="str">
        <f t="shared" si="2"/>
        <v>08/14/2025</v>
      </c>
      <c r="J31" t="s">
        <v>469</v>
      </c>
      <c r="K31" t="s">
        <v>461</v>
      </c>
      <c r="L31" t="str">
        <f t="shared" si="3"/>
        <v>BRIAN KOWALCZYK</v>
      </c>
    </row>
    <row r="32" spans="1:12" x14ac:dyDescent="0.25">
      <c r="A32">
        <v>6250134171</v>
      </c>
      <c r="B32" t="s">
        <v>132</v>
      </c>
      <c r="C32" t="s">
        <v>133</v>
      </c>
      <c r="D32" t="s">
        <v>134</v>
      </c>
      <c r="E32" s="12">
        <v>7250133520</v>
      </c>
      <c r="F32" t="str">
        <f t="shared" si="0"/>
        <v>JOHNSTON,GAYLE</v>
      </c>
      <c r="G32" t="str">
        <f t="shared" si="1"/>
        <v>10/15/2025</v>
      </c>
      <c r="H32" t="str">
        <f t="shared" si="2"/>
        <v>08/15/2025</v>
      </c>
      <c r="J32" t="s">
        <v>473</v>
      </c>
      <c r="K32" t="s">
        <v>474</v>
      </c>
      <c r="L32" t="str">
        <f t="shared" si="3"/>
        <v>GAYLE JOHNSTON</v>
      </c>
    </row>
    <row r="33" spans="1:12" x14ac:dyDescent="0.25">
      <c r="A33">
        <v>6250134924</v>
      </c>
      <c r="B33" t="s">
        <v>135</v>
      </c>
      <c r="C33" t="s">
        <v>136</v>
      </c>
      <c r="D33" t="s">
        <v>137</v>
      </c>
      <c r="E33" s="12">
        <v>7250139233</v>
      </c>
      <c r="F33" t="str">
        <f t="shared" si="0"/>
        <v>KOWALCZYK,GREGORY</v>
      </c>
      <c r="G33" t="str">
        <f t="shared" si="1"/>
        <v>10/14/2025</v>
      </c>
      <c r="H33" t="str">
        <f t="shared" si="2"/>
        <v>08/14/2025</v>
      </c>
      <c r="J33" t="s">
        <v>469</v>
      </c>
      <c r="K33" t="s">
        <v>475</v>
      </c>
      <c r="L33" t="str">
        <f t="shared" si="3"/>
        <v>GREGORY KOWALCZYK</v>
      </c>
    </row>
    <row r="34" spans="1:12" x14ac:dyDescent="0.25">
      <c r="A34">
        <v>6250145187</v>
      </c>
      <c r="B34" t="s">
        <v>138</v>
      </c>
      <c r="C34" t="s">
        <v>139</v>
      </c>
      <c r="D34" t="s">
        <v>140</v>
      </c>
      <c r="E34" s="12">
        <v>7250139741</v>
      </c>
      <c r="F34" t="str">
        <f t="shared" si="0"/>
        <v>KOWALCZYK,ALFRED J</v>
      </c>
      <c r="G34" t="str">
        <f t="shared" si="1"/>
        <v>10/14/2025</v>
      </c>
      <c r="H34" t="str">
        <f t="shared" si="2"/>
        <v>08/14/2025</v>
      </c>
      <c r="J34" t="s">
        <v>469</v>
      </c>
      <c r="K34" t="s">
        <v>470</v>
      </c>
      <c r="L34" t="str">
        <f t="shared" si="3"/>
        <v>ALFRED KOWALCZYK</v>
      </c>
    </row>
    <row r="35" spans="1:12" x14ac:dyDescent="0.25">
      <c r="A35">
        <v>6250146673</v>
      </c>
      <c r="B35" t="s">
        <v>141</v>
      </c>
      <c r="C35" t="s">
        <v>73</v>
      </c>
      <c r="D35" t="s">
        <v>134</v>
      </c>
      <c r="E35" s="12">
        <v>7250139233</v>
      </c>
      <c r="F35" t="str">
        <f t="shared" si="0"/>
        <v>KOWALCZYK,GREGORY</v>
      </c>
      <c r="G35" t="str">
        <f t="shared" si="1"/>
        <v>10/14/2025</v>
      </c>
      <c r="H35" t="str">
        <f t="shared" si="2"/>
        <v>08/14/2025</v>
      </c>
      <c r="J35" t="s">
        <v>469</v>
      </c>
      <c r="K35" t="s">
        <v>475</v>
      </c>
      <c r="L35" t="str">
        <f t="shared" si="3"/>
        <v>GREGORY KOWALCZYK</v>
      </c>
    </row>
    <row r="36" spans="1:12" x14ac:dyDescent="0.25">
      <c r="A36">
        <v>6250158506</v>
      </c>
      <c r="B36" t="s">
        <v>142</v>
      </c>
      <c r="C36" t="s">
        <v>143</v>
      </c>
      <c r="D36" t="s">
        <v>143</v>
      </c>
      <c r="E36" s="12">
        <v>7250139267</v>
      </c>
      <c r="F36" t="str">
        <f t="shared" si="0"/>
        <v>KOWALCZYK,BRIAN</v>
      </c>
      <c r="G36" t="str">
        <f t="shared" si="1"/>
        <v>10/14/2025</v>
      </c>
      <c r="H36" t="str">
        <f t="shared" si="2"/>
        <v>08/14/2025</v>
      </c>
      <c r="J36" t="s">
        <v>469</v>
      </c>
      <c r="K36" t="s">
        <v>461</v>
      </c>
      <c r="L36" t="str">
        <f t="shared" si="3"/>
        <v>BRIAN KOWALCZYK</v>
      </c>
    </row>
    <row r="37" spans="1:12" x14ac:dyDescent="0.25">
      <c r="A37">
        <v>6250161714</v>
      </c>
      <c r="B37" t="s">
        <v>144</v>
      </c>
      <c r="C37" t="s">
        <v>33</v>
      </c>
      <c r="D37" t="s">
        <v>145</v>
      </c>
      <c r="E37" s="12">
        <v>7250136784</v>
      </c>
      <c r="F37" t="str">
        <f t="shared" si="0"/>
        <v>JACOBSON,JERROLD</v>
      </c>
      <c r="G37" t="str">
        <f t="shared" si="1"/>
        <v>10/11/2025</v>
      </c>
      <c r="H37" t="str">
        <f t="shared" si="2"/>
        <v>08/11/2025</v>
      </c>
      <c r="J37" t="s">
        <v>43</v>
      </c>
      <c r="K37" t="s">
        <v>418</v>
      </c>
      <c r="L37" t="str">
        <f t="shared" si="3"/>
        <v>JERROLD JACOBSON</v>
      </c>
    </row>
    <row r="38" spans="1:12" x14ac:dyDescent="0.25">
      <c r="A38">
        <v>6250166231</v>
      </c>
      <c r="B38" t="s">
        <v>146</v>
      </c>
      <c r="C38" t="s">
        <v>73</v>
      </c>
      <c r="D38" t="s">
        <v>73</v>
      </c>
      <c r="E38" s="12">
        <v>7250128277</v>
      </c>
      <c r="F38" t="str">
        <f t="shared" si="0"/>
        <v>THOMPSON,BEVERLY</v>
      </c>
      <c r="G38" t="str">
        <f t="shared" si="1"/>
        <v>09/22/2025</v>
      </c>
      <c r="H38" t="str">
        <f t="shared" si="2"/>
        <v>07/22/2025</v>
      </c>
      <c r="J38" t="s">
        <v>476</v>
      </c>
      <c r="K38" t="s">
        <v>477</v>
      </c>
      <c r="L38" t="str">
        <f t="shared" si="3"/>
        <v>BEVERLY THOMPSON</v>
      </c>
    </row>
    <row r="39" spans="1:12" x14ac:dyDescent="0.25">
      <c r="A39">
        <v>6250169468</v>
      </c>
      <c r="B39" t="s">
        <v>147</v>
      </c>
      <c r="C39" t="s">
        <v>148</v>
      </c>
      <c r="D39" t="s">
        <v>148</v>
      </c>
      <c r="E39" s="12">
        <v>7250128277</v>
      </c>
      <c r="F39" t="str">
        <f t="shared" si="0"/>
        <v>THOMPSON,BEVERLY</v>
      </c>
      <c r="G39" t="str">
        <f t="shared" si="1"/>
        <v>09/22/2025</v>
      </c>
      <c r="H39" t="str">
        <f t="shared" si="2"/>
        <v>07/22/2025</v>
      </c>
      <c r="J39" t="s">
        <v>476</v>
      </c>
      <c r="K39" t="s">
        <v>477</v>
      </c>
      <c r="L39" t="str">
        <f t="shared" si="3"/>
        <v>BEVERLY THOMPSON</v>
      </c>
    </row>
    <row r="40" spans="1:12" x14ac:dyDescent="0.25">
      <c r="A40">
        <v>6250171855</v>
      </c>
      <c r="B40" t="s">
        <v>149</v>
      </c>
      <c r="C40" t="s">
        <v>70</v>
      </c>
      <c r="D40" t="s">
        <v>70</v>
      </c>
      <c r="E40" s="12">
        <v>6250089879</v>
      </c>
      <c r="F40" t="str">
        <f t="shared" si="0"/>
        <v>HILL,JENNIFER</v>
      </c>
      <c r="G40" t="str">
        <f t="shared" si="1"/>
        <v>10/24/2025</v>
      </c>
      <c r="H40" t="str">
        <f t="shared" si="2"/>
        <v>06/24/2025</v>
      </c>
      <c r="J40" t="s">
        <v>478</v>
      </c>
      <c r="K40" t="s">
        <v>479</v>
      </c>
      <c r="L40" t="str">
        <f t="shared" si="3"/>
        <v>JENNIFER HILL</v>
      </c>
    </row>
    <row r="41" spans="1:12" x14ac:dyDescent="0.25">
      <c r="A41">
        <v>6250172656</v>
      </c>
      <c r="B41" t="s">
        <v>150</v>
      </c>
      <c r="C41" t="s">
        <v>33</v>
      </c>
      <c r="D41" t="s">
        <v>151</v>
      </c>
      <c r="E41" s="12">
        <v>6250089879</v>
      </c>
      <c r="F41" t="str">
        <f t="shared" si="0"/>
        <v>HILL,JENNIFER</v>
      </c>
      <c r="G41" t="str">
        <f t="shared" si="1"/>
        <v>10/24/2025</v>
      </c>
      <c r="H41" t="str">
        <f t="shared" si="2"/>
        <v>06/24/2025</v>
      </c>
      <c r="J41" t="s">
        <v>478</v>
      </c>
      <c r="K41" t="s">
        <v>479</v>
      </c>
      <c r="L41" t="str">
        <f t="shared" si="3"/>
        <v>JENNIFER HILL</v>
      </c>
    </row>
    <row r="42" spans="1:12" x14ac:dyDescent="0.25">
      <c r="A42">
        <v>7240098074</v>
      </c>
      <c r="B42" t="s">
        <v>152</v>
      </c>
      <c r="C42" t="s">
        <v>153</v>
      </c>
      <c r="D42" t="s">
        <v>154</v>
      </c>
      <c r="E42" s="12">
        <v>6250089879</v>
      </c>
      <c r="F42" t="str">
        <f t="shared" si="0"/>
        <v>HILL,JENNIFER</v>
      </c>
      <c r="G42" t="str">
        <f t="shared" si="1"/>
        <v>10/24/2025</v>
      </c>
      <c r="H42" t="str">
        <f t="shared" si="2"/>
        <v>06/24/2025</v>
      </c>
      <c r="J42" t="s">
        <v>478</v>
      </c>
      <c r="K42" t="s">
        <v>479</v>
      </c>
      <c r="L42" t="str">
        <f t="shared" si="3"/>
        <v>JENNIFER HILL</v>
      </c>
    </row>
    <row r="43" spans="1:12" x14ac:dyDescent="0.25">
      <c r="A43">
        <v>7240098094</v>
      </c>
      <c r="B43" t="s">
        <v>155</v>
      </c>
      <c r="C43" t="s">
        <v>153</v>
      </c>
      <c r="D43" t="s">
        <v>154</v>
      </c>
      <c r="E43" s="12">
        <v>7250065229</v>
      </c>
      <c r="F43" t="str">
        <f t="shared" si="0"/>
        <v>VOLPE,MARK</v>
      </c>
      <c r="G43" t="str">
        <f t="shared" si="1"/>
        <v>10/15/2025</v>
      </c>
      <c r="H43" t="str">
        <f t="shared" si="2"/>
        <v>05/15/2025</v>
      </c>
      <c r="J43" t="s">
        <v>480</v>
      </c>
      <c r="K43" t="s">
        <v>481</v>
      </c>
      <c r="L43" t="str">
        <f t="shared" si="3"/>
        <v>MARK VOLPE</v>
      </c>
    </row>
    <row r="44" spans="1:12" x14ac:dyDescent="0.25">
      <c r="A44">
        <v>7240101034</v>
      </c>
      <c r="B44" t="s">
        <v>156</v>
      </c>
      <c r="C44" t="s">
        <v>88</v>
      </c>
      <c r="D44" t="s">
        <v>157</v>
      </c>
      <c r="E44" s="12">
        <v>7250057814</v>
      </c>
      <c r="F44" t="str">
        <f t="shared" si="0"/>
        <v>POLLARD,PAULINE</v>
      </c>
      <c r="G44" t="str">
        <f t="shared" si="1"/>
        <v>07/21/2025</v>
      </c>
      <c r="H44" t="str">
        <f t="shared" si="2"/>
        <v>04/21/2025</v>
      </c>
      <c r="J44" t="s">
        <v>482</v>
      </c>
      <c r="K44" t="s">
        <v>483</v>
      </c>
      <c r="L44" t="str">
        <f t="shared" si="3"/>
        <v>PAULINE POLLARD</v>
      </c>
    </row>
    <row r="45" spans="1:12" x14ac:dyDescent="0.25">
      <c r="A45">
        <v>7240101224</v>
      </c>
      <c r="B45" t="s">
        <v>158</v>
      </c>
      <c r="C45" t="s">
        <v>88</v>
      </c>
      <c r="D45" t="s">
        <v>157</v>
      </c>
      <c r="E45" s="12">
        <v>7250057814</v>
      </c>
      <c r="F45" t="str">
        <f t="shared" si="0"/>
        <v>POLLARD,PAULINE</v>
      </c>
      <c r="G45" t="str">
        <f t="shared" si="1"/>
        <v>07/21/2025</v>
      </c>
      <c r="H45" t="str">
        <f t="shared" si="2"/>
        <v>04/21/2025</v>
      </c>
      <c r="J45" t="s">
        <v>482</v>
      </c>
      <c r="K45" t="s">
        <v>483</v>
      </c>
      <c r="L45" t="str">
        <f t="shared" si="3"/>
        <v>PAULINE POLLARD</v>
      </c>
    </row>
    <row r="46" spans="1:12" x14ac:dyDescent="0.25">
      <c r="A46">
        <v>7240101268</v>
      </c>
      <c r="B46" t="s">
        <v>159</v>
      </c>
      <c r="C46" t="s">
        <v>88</v>
      </c>
      <c r="D46" t="s">
        <v>160</v>
      </c>
      <c r="E46" s="12">
        <v>7250064114</v>
      </c>
      <c r="F46" t="str">
        <f t="shared" si="0"/>
        <v>POPE,TIMOTHY</v>
      </c>
      <c r="G46" t="str">
        <f t="shared" si="1"/>
        <v>09/23/2025</v>
      </c>
      <c r="H46" t="str">
        <f t="shared" si="2"/>
        <v>04/23/2025</v>
      </c>
      <c r="J46" t="s">
        <v>484</v>
      </c>
      <c r="K46" t="s">
        <v>485</v>
      </c>
      <c r="L46" t="str">
        <f t="shared" si="3"/>
        <v>TIMOTHY POPE</v>
      </c>
    </row>
    <row r="47" spans="1:12" x14ac:dyDescent="0.25">
      <c r="A47">
        <v>7240109868</v>
      </c>
      <c r="B47" t="s">
        <v>161</v>
      </c>
      <c r="C47" t="s">
        <v>33</v>
      </c>
      <c r="D47" t="s">
        <v>74</v>
      </c>
      <c r="E47" s="12">
        <v>6250008497</v>
      </c>
      <c r="F47" t="str">
        <f t="shared" si="0"/>
        <v>WENGERSKI,STEVEN</v>
      </c>
      <c r="G47" t="str">
        <f t="shared" si="1"/>
        <v>09/17/2025</v>
      </c>
      <c r="H47" t="str">
        <f t="shared" si="2"/>
        <v>01/17/2025</v>
      </c>
      <c r="J47" t="s">
        <v>486</v>
      </c>
      <c r="K47" t="s">
        <v>487</v>
      </c>
      <c r="L47" t="str">
        <f t="shared" si="3"/>
        <v>STEVEN WENGERSKI</v>
      </c>
    </row>
    <row r="48" spans="1:12" x14ac:dyDescent="0.25">
      <c r="A48">
        <v>7240110325</v>
      </c>
      <c r="B48" t="s">
        <v>162</v>
      </c>
      <c r="C48" t="s">
        <v>33</v>
      </c>
      <c r="D48" t="s">
        <v>74</v>
      </c>
      <c r="E48" s="12">
        <v>7240127266</v>
      </c>
      <c r="F48" t="str">
        <f t="shared" si="0"/>
        <v>PERKINS,KATHERINE R</v>
      </c>
      <c r="G48" t="str">
        <f t="shared" si="1"/>
        <v>10/15/2025</v>
      </c>
      <c r="H48" t="str">
        <f t="shared" si="2"/>
        <v>12/15/2024</v>
      </c>
      <c r="J48" t="s">
        <v>488</v>
      </c>
      <c r="K48" t="s">
        <v>489</v>
      </c>
      <c r="L48" t="str">
        <f t="shared" si="3"/>
        <v>KATHERINE PERKINS</v>
      </c>
    </row>
    <row r="49" spans="1:4" x14ac:dyDescent="0.25">
      <c r="A49">
        <v>7240110349</v>
      </c>
      <c r="B49" t="s">
        <v>163</v>
      </c>
      <c r="C49" t="s">
        <v>164</v>
      </c>
      <c r="D49" t="s">
        <v>165</v>
      </c>
    </row>
    <row r="50" spans="1:4" x14ac:dyDescent="0.25">
      <c r="A50">
        <v>7240110355</v>
      </c>
      <c r="B50" t="s">
        <v>166</v>
      </c>
      <c r="C50" t="s">
        <v>97</v>
      </c>
      <c r="D50" t="s">
        <v>157</v>
      </c>
    </row>
    <row r="51" spans="1:4" x14ac:dyDescent="0.25">
      <c r="A51">
        <v>7240110364</v>
      </c>
      <c r="B51" t="s">
        <v>167</v>
      </c>
      <c r="C51" t="s">
        <v>164</v>
      </c>
      <c r="D51" t="s">
        <v>165</v>
      </c>
    </row>
    <row r="52" spans="1:4" x14ac:dyDescent="0.25">
      <c r="A52">
        <v>7240110570</v>
      </c>
      <c r="B52" t="s">
        <v>168</v>
      </c>
      <c r="C52" t="s">
        <v>73</v>
      </c>
      <c r="D52" t="s">
        <v>74</v>
      </c>
    </row>
    <row r="53" spans="1:4" x14ac:dyDescent="0.25">
      <c r="A53">
        <v>7240110690</v>
      </c>
      <c r="B53" t="s">
        <v>169</v>
      </c>
      <c r="C53" t="s">
        <v>73</v>
      </c>
      <c r="D53" t="s">
        <v>74</v>
      </c>
    </row>
    <row r="54" spans="1:4" x14ac:dyDescent="0.25">
      <c r="A54">
        <v>7240110717</v>
      </c>
      <c r="B54" t="s">
        <v>170</v>
      </c>
      <c r="C54" t="s">
        <v>171</v>
      </c>
      <c r="D54" t="s">
        <v>74</v>
      </c>
    </row>
    <row r="55" spans="1:4" x14ac:dyDescent="0.25">
      <c r="A55">
        <v>7240110753</v>
      </c>
      <c r="B55" t="s">
        <v>172</v>
      </c>
      <c r="C55" t="s">
        <v>73</v>
      </c>
      <c r="D55" t="s">
        <v>74</v>
      </c>
    </row>
    <row r="56" spans="1:4" x14ac:dyDescent="0.25">
      <c r="A56">
        <v>7240110782</v>
      </c>
      <c r="B56" t="s">
        <v>173</v>
      </c>
      <c r="C56" t="s">
        <v>73</v>
      </c>
      <c r="D56" t="s">
        <v>74</v>
      </c>
    </row>
    <row r="57" spans="1:4" x14ac:dyDescent="0.25">
      <c r="A57">
        <v>7240111182</v>
      </c>
      <c r="B57" t="s">
        <v>174</v>
      </c>
      <c r="C57" t="s">
        <v>73</v>
      </c>
      <c r="D57" t="s">
        <v>74</v>
      </c>
    </row>
    <row r="58" spans="1:4" x14ac:dyDescent="0.25">
      <c r="A58">
        <v>7240111561</v>
      </c>
      <c r="B58" t="s">
        <v>175</v>
      </c>
      <c r="C58" t="s">
        <v>73</v>
      </c>
      <c r="D58" t="s">
        <v>74</v>
      </c>
    </row>
    <row r="59" spans="1:4" x14ac:dyDescent="0.25">
      <c r="A59">
        <v>7240111936</v>
      </c>
      <c r="B59" t="s">
        <v>176</v>
      </c>
      <c r="C59" t="s">
        <v>73</v>
      </c>
      <c r="D59" t="s">
        <v>74</v>
      </c>
    </row>
    <row r="60" spans="1:4" x14ac:dyDescent="0.25">
      <c r="A60">
        <v>7240112093</v>
      </c>
      <c r="B60" t="s">
        <v>177</v>
      </c>
      <c r="C60" t="s">
        <v>73</v>
      </c>
      <c r="D60" t="s">
        <v>74</v>
      </c>
    </row>
    <row r="61" spans="1:4" x14ac:dyDescent="0.25">
      <c r="A61">
        <v>7240112321</v>
      </c>
      <c r="B61" t="s">
        <v>178</v>
      </c>
      <c r="C61" t="s">
        <v>73</v>
      </c>
      <c r="D61" t="s">
        <v>74</v>
      </c>
    </row>
    <row r="62" spans="1:4" x14ac:dyDescent="0.25">
      <c r="A62">
        <v>7240112327</v>
      </c>
      <c r="B62" t="s">
        <v>179</v>
      </c>
      <c r="C62" t="s">
        <v>73</v>
      </c>
      <c r="D62" t="s">
        <v>74</v>
      </c>
    </row>
    <row r="63" spans="1:4" x14ac:dyDescent="0.25">
      <c r="A63">
        <v>7240112385</v>
      </c>
      <c r="B63" t="s">
        <v>180</v>
      </c>
      <c r="C63" t="s">
        <v>73</v>
      </c>
      <c r="D63" t="s">
        <v>74</v>
      </c>
    </row>
    <row r="64" spans="1:4" x14ac:dyDescent="0.25">
      <c r="A64">
        <v>7240112516</v>
      </c>
      <c r="B64" t="s">
        <v>181</v>
      </c>
      <c r="C64" t="s">
        <v>73</v>
      </c>
      <c r="D64" t="s">
        <v>74</v>
      </c>
    </row>
    <row r="65" spans="1:4" x14ac:dyDescent="0.25">
      <c r="A65">
        <v>7240112603</v>
      </c>
      <c r="B65" t="s">
        <v>182</v>
      </c>
      <c r="C65" t="s">
        <v>73</v>
      </c>
      <c r="D65" t="s">
        <v>74</v>
      </c>
    </row>
    <row r="66" spans="1:4" x14ac:dyDescent="0.25">
      <c r="A66">
        <v>7240112931</v>
      </c>
      <c r="B66" t="s">
        <v>183</v>
      </c>
      <c r="C66" t="s">
        <v>73</v>
      </c>
      <c r="D66" t="s">
        <v>74</v>
      </c>
    </row>
    <row r="67" spans="1:4" x14ac:dyDescent="0.25">
      <c r="A67">
        <v>7240113338</v>
      </c>
      <c r="B67" t="s">
        <v>184</v>
      </c>
      <c r="C67" t="s">
        <v>185</v>
      </c>
      <c r="D67" t="s">
        <v>74</v>
      </c>
    </row>
    <row r="68" spans="1:4" x14ac:dyDescent="0.25">
      <c r="A68">
        <v>7240113999</v>
      </c>
      <c r="B68" t="s">
        <v>186</v>
      </c>
      <c r="C68" t="s">
        <v>73</v>
      </c>
      <c r="D68" t="s">
        <v>74</v>
      </c>
    </row>
    <row r="69" spans="1:4" x14ac:dyDescent="0.25">
      <c r="A69">
        <v>7240114020</v>
      </c>
      <c r="B69" t="s">
        <v>187</v>
      </c>
      <c r="C69" t="s">
        <v>73</v>
      </c>
      <c r="D69" t="s">
        <v>74</v>
      </c>
    </row>
    <row r="70" spans="1:4" x14ac:dyDescent="0.25">
      <c r="A70">
        <v>7240114243</v>
      </c>
      <c r="B70" t="s">
        <v>188</v>
      </c>
      <c r="C70" t="s">
        <v>73</v>
      </c>
      <c r="D70" t="s">
        <v>74</v>
      </c>
    </row>
    <row r="71" spans="1:4" x14ac:dyDescent="0.25">
      <c r="A71">
        <v>7240114781</v>
      </c>
      <c r="B71" t="s">
        <v>189</v>
      </c>
      <c r="C71" t="s">
        <v>73</v>
      </c>
      <c r="D71" t="s">
        <v>74</v>
      </c>
    </row>
    <row r="72" spans="1:4" x14ac:dyDescent="0.25">
      <c r="A72">
        <v>7240114997</v>
      </c>
      <c r="B72" t="s">
        <v>190</v>
      </c>
      <c r="C72" t="s">
        <v>191</v>
      </c>
      <c r="D72" t="s">
        <v>192</v>
      </c>
    </row>
    <row r="73" spans="1:4" x14ac:dyDescent="0.25">
      <c r="A73">
        <v>7240115020</v>
      </c>
      <c r="B73" t="s">
        <v>193</v>
      </c>
      <c r="C73" t="s">
        <v>191</v>
      </c>
      <c r="D73" t="s">
        <v>192</v>
      </c>
    </row>
    <row r="74" spans="1:4" x14ac:dyDescent="0.25">
      <c r="A74">
        <v>7240115124</v>
      </c>
      <c r="B74" t="s">
        <v>194</v>
      </c>
      <c r="C74" t="s">
        <v>73</v>
      </c>
      <c r="D74" t="s">
        <v>74</v>
      </c>
    </row>
    <row r="75" spans="1:4" x14ac:dyDescent="0.25">
      <c r="A75">
        <v>7240115864</v>
      </c>
      <c r="B75" t="s">
        <v>195</v>
      </c>
      <c r="C75" t="s">
        <v>73</v>
      </c>
      <c r="D75" t="s">
        <v>74</v>
      </c>
    </row>
    <row r="76" spans="1:4" x14ac:dyDescent="0.25">
      <c r="A76">
        <v>7240115872</v>
      </c>
      <c r="B76" t="s">
        <v>196</v>
      </c>
      <c r="C76" t="s">
        <v>73</v>
      </c>
      <c r="D76" t="s">
        <v>74</v>
      </c>
    </row>
    <row r="77" spans="1:4" x14ac:dyDescent="0.25">
      <c r="A77">
        <v>7240116791</v>
      </c>
      <c r="B77" t="s">
        <v>197</v>
      </c>
      <c r="C77" t="s">
        <v>73</v>
      </c>
      <c r="D77" t="s">
        <v>74</v>
      </c>
    </row>
    <row r="78" spans="1:4" x14ac:dyDescent="0.25">
      <c r="A78">
        <v>7240117514</v>
      </c>
      <c r="B78" t="s">
        <v>198</v>
      </c>
      <c r="C78" t="s">
        <v>80</v>
      </c>
      <c r="D78" t="s">
        <v>80</v>
      </c>
    </row>
    <row r="79" spans="1:4" x14ac:dyDescent="0.25">
      <c r="A79">
        <v>7240118756</v>
      </c>
      <c r="B79" t="s">
        <v>199</v>
      </c>
      <c r="C79" t="s">
        <v>79</v>
      </c>
      <c r="D79" t="s">
        <v>80</v>
      </c>
    </row>
    <row r="80" spans="1:4" x14ac:dyDescent="0.25">
      <c r="A80">
        <v>7240119193</v>
      </c>
      <c r="B80" t="s">
        <v>200</v>
      </c>
      <c r="C80" t="s">
        <v>79</v>
      </c>
      <c r="D80" t="s">
        <v>80</v>
      </c>
    </row>
    <row r="81" spans="1:4" x14ac:dyDescent="0.25">
      <c r="A81">
        <v>7240119703</v>
      </c>
      <c r="B81" t="s">
        <v>201</v>
      </c>
      <c r="C81" t="s">
        <v>79</v>
      </c>
      <c r="D81" t="s">
        <v>80</v>
      </c>
    </row>
    <row r="82" spans="1:4" x14ac:dyDescent="0.25">
      <c r="A82">
        <v>7240119755</v>
      </c>
      <c r="B82" t="s">
        <v>202</v>
      </c>
      <c r="C82" t="s">
        <v>79</v>
      </c>
      <c r="D82" t="s">
        <v>80</v>
      </c>
    </row>
    <row r="83" spans="1:4" x14ac:dyDescent="0.25">
      <c r="A83">
        <v>7240119914</v>
      </c>
      <c r="B83" t="s">
        <v>203</v>
      </c>
      <c r="C83" t="s">
        <v>88</v>
      </c>
      <c r="D83" t="s">
        <v>89</v>
      </c>
    </row>
    <row r="84" spans="1:4" x14ac:dyDescent="0.25">
      <c r="A84">
        <v>7240120168</v>
      </c>
      <c r="B84" t="s">
        <v>204</v>
      </c>
      <c r="C84" t="s">
        <v>88</v>
      </c>
      <c r="D84" t="s">
        <v>89</v>
      </c>
    </row>
    <row r="85" spans="1:4" x14ac:dyDescent="0.25">
      <c r="A85">
        <v>7240121167</v>
      </c>
      <c r="B85" t="s">
        <v>205</v>
      </c>
      <c r="C85" t="s">
        <v>88</v>
      </c>
      <c r="D85" t="s">
        <v>89</v>
      </c>
    </row>
    <row r="86" spans="1:4" x14ac:dyDescent="0.25">
      <c r="A86">
        <v>7240121170</v>
      </c>
      <c r="B86" t="s">
        <v>206</v>
      </c>
      <c r="C86" t="s">
        <v>88</v>
      </c>
      <c r="D86" t="s">
        <v>89</v>
      </c>
    </row>
    <row r="87" spans="1:4" x14ac:dyDescent="0.25">
      <c r="A87">
        <v>7240122077</v>
      </c>
      <c r="B87" t="s">
        <v>207</v>
      </c>
      <c r="C87" t="s">
        <v>88</v>
      </c>
      <c r="D87" t="s">
        <v>89</v>
      </c>
    </row>
    <row r="88" spans="1:4" x14ac:dyDescent="0.25">
      <c r="A88">
        <v>7240122228</v>
      </c>
      <c r="B88" t="s">
        <v>208</v>
      </c>
      <c r="C88" t="s">
        <v>33</v>
      </c>
      <c r="D88" t="s">
        <v>89</v>
      </c>
    </row>
    <row r="89" spans="1:4" x14ac:dyDescent="0.25">
      <c r="A89">
        <v>7240122417</v>
      </c>
      <c r="B89" t="s">
        <v>209</v>
      </c>
      <c r="C89" t="s">
        <v>88</v>
      </c>
      <c r="D89" t="s">
        <v>89</v>
      </c>
    </row>
    <row r="90" spans="1:4" x14ac:dyDescent="0.25">
      <c r="A90">
        <v>7240122461</v>
      </c>
      <c r="B90" t="s">
        <v>210</v>
      </c>
      <c r="C90" t="s">
        <v>88</v>
      </c>
      <c r="D90" t="s">
        <v>89</v>
      </c>
    </row>
    <row r="91" spans="1:4" x14ac:dyDescent="0.25">
      <c r="A91">
        <v>7240122471</v>
      </c>
      <c r="B91" t="s">
        <v>211</v>
      </c>
      <c r="C91" t="s">
        <v>88</v>
      </c>
      <c r="D91" t="s">
        <v>89</v>
      </c>
    </row>
    <row r="92" spans="1:4" x14ac:dyDescent="0.25">
      <c r="A92">
        <v>7240122842</v>
      </c>
      <c r="B92" t="s">
        <v>212</v>
      </c>
      <c r="C92" t="s">
        <v>33</v>
      </c>
      <c r="D92" t="s">
        <v>89</v>
      </c>
    </row>
    <row r="93" spans="1:4" x14ac:dyDescent="0.25">
      <c r="A93">
        <v>7240122863</v>
      </c>
      <c r="B93" t="s">
        <v>213</v>
      </c>
      <c r="C93" t="s">
        <v>33</v>
      </c>
      <c r="D93" t="s">
        <v>89</v>
      </c>
    </row>
    <row r="94" spans="1:4" x14ac:dyDescent="0.25">
      <c r="A94">
        <v>7240122919</v>
      </c>
      <c r="B94" t="s">
        <v>214</v>
      </c>
      <c r="C94" t="s">
        <v>88</v>
      </c>
      <c r="D94" t="s">
        <v>89</v>
      </c>
    </row>
    <row r="95" spans="1:4" x14ac:dyDescent="0.25">
      <c r="A95">
        <v>7240123160</v>
      </c>
      <c r="B95" t="s">
        <v>215</v>
      </c>
      <c r="C95" t="s">
        <v>110</v>
      </c>
      <c r="D95" t="s">
        <v>89</v>
      </c>
    </row>
    <row r="96" spans="1:4" x14ac:dyDescent="0.25">
      <c r="A96">
        <v>7240123207</v>
      </c>
      <c r="B96" t="s">
        <v>216</v>
      </c>
      <c r="C96" t="s">
        <v>88</v>
      </c>
      <c r="D96" t="s">
        <v>89</v>
      </c>
    </row>
    <row r="97" spans="1:4" x14ac:dyDescent="0.25">
      <c r="A97">
        <v>7240123968</v>
      </c>
      <c r="B97" t="s">
        <v>217</v>
      </c>
      <c r="C97" t="s">
        <v>218</v>
      </c>
      <c r="D97" t="s">
        <v>219</v>
      </c>
    </row>
    <row r="98" spans="1:4" x14ac:dyDescent="0.25">
      <c r="A98">
        <v>7240123973</v>
      </c>
      <c r="B98" t="s">
        <v>220</v>
      </c>
      <c r="C98" t="s">
        <v>218</v>
      </c>
      <c r="D98" t="s">
        <v>219</v>
      </c>
    </row>
    <row r="99" spans="1:4" x14ac:dyDescent="0.25">
      <c r="A99">
        <v>7240124010</v>
      </c>
      <c r="B99" t="s">
        <v>221</v>
      </c>
      <c r="C99" t="s">
        <v>88</v>
      </c>
      <c r="D99" t="s">
        <v>89</v>
      </c>
    </row>
    <row r="100" spans="1:4" x14ac:dyDescent="0.25">
      <c r="A100">
        <v>7240124541</v>
      </c>
      <c r="B100" t="s">
        <v>222</v>
      </c>
      <c r="C100" t="s">
        <v>97</v>
      </c>
      <c r="D100" t="s">
        <v>89</v>
      </c>
    </row>
    <row r="101" spans="1:4" x14ac:dyDescent="0.25">
      <c r="A101">
        <v>7240124557</v>
      </c>
      <c r="B101" t="s">
        <v>223</v>
      </c>
      <c r="C101" t="s">
        <v>97</v>
      </c>
      <c r="D101" t="s">
        <v>89</v>
      </c>
    </row>
    <row r="102" spans="1:4" x14ac:dyDescent="0.25">
      <c r="A102">
        <v>7240124863</v>
      </c>
      <c r="B102" t="s">
        <v>224</v>
      </c>
      <c r="C102" t="s">
        <v>89</v>
      </c>
      <c r="D102" t="s">
        <v>89</v>
      </c>
    </row>
    <row r="103" spans="1:4" x14ac:dyDescent="0.25">
      <c r="A103">
        <v>7240124900</v>
      </c>
      <c r="B103" t="s">
        <v>225</v>
      </c>
      <c r="C103" t="s">
        <v>89</v>
      </c>
      <c r="D103" t="s">
        <v>89</v>
      </c>
    </row>
    <row r="104" spans="1:4" x14ac:dyDescent="0.25">
      <c r="A104">
        <v>7240125202</v>
      </c>
      <c r="B104" t="s">
        <v>226</v>
      </c>
      <c r="C104" t="s">
        <v>73</v>
      </c>
      <c r="D104" t="s">
        <v>74</v>
      </c>
    </row>
    <row r="105" spans="1:4" x14ac:dyDescent="0.25">
      <c r="A105">
        <v>7240125223</v>
      </c>
      <c r="B105" t="s">
        <v>227</v>
      </c>
      <c r="C105" t="s">
        <v>88</v>
      </c>
      <c r="D105" t="s">
        <v>89</v>
      </c>
    </row>
    <row r="106" spans="1:4" x14ac:dyDescent="0.25">
      <c r="A106">
        <v>7240125858</v>
      </c>
      <c r="B106" t="s">
        <v>228</v>
      </c>
      <c r="C106" t="s">
        <v>89</v>
      </c>
      <c r="D106" t="s">
        <v>89</v>
      </c>
    </row>
    <row r="107" spans="1:4" x14ac:dyDescent="0.25">
      <c r="A107">
        <v>7240126412</v>
      </c>
      <c r="B107" t="s">
        <v>229</v>
      </c>
      <c r="C107" t="s">
        <v>110</v>
      </c>
      <c r="D107" t="s">
        <v>89</v>
      </c>
    </row>
    <row r="108" spans="1:4" x14ac:dyDescent="0.25">
      <c r="A108">
        <v>7240126463</v>
      </c>
      <c r="B108" t="s">
        <v>230</v>
      </c>
      <c r="C108" t="s">
        <v>88</v>
      </c>
      <c r="D108" t="s">
        <v>89</v>
      </c>
    </row>
    <row r="109" spans="1:4" x14ac:dyDescent="0.25">
      <c r="A109">
        <v>7240126613</v>
      </c>
      <c r="B109" t="s">
        <v>231</v>
      </c>
      <c r="C109" t="s">
        <v>88</v>
      </c>
      <c r="D109" t="s">
        <v>89</v>
      </c>
    </row>
    <row r="110" spans="1:4" x14ac:dyDescent="0.25">
      <c r="A110">
        <v>7240126623</v>
      </c>
      <c r="B110" t="s">
        <v>232</v>
      </c>
      <c r="C110" t="s">
        <v>88</v>
      </c>
      <c r="D110" t="s">
        <v>89</v>
      </c>
    </row>
    <row r="111" spans="1:4" x14ac:dyDescent="0.25">
      <c r="A111">
        <v>7240127266</v>
      </c>
      <c r="B111" t="s">
        <v>233</v>
      </c>
      <c r="C111" t="s">
        <v>62</v>
      </c>
      <c r="D111" t="s">
        <v>234</v>
      </c>
    </row>
    <row r="112" spans="1:4" x14ac:dyDescent="0.25">
      <c r="A112">
        <v>7240129740</v>
      </c>
      <c r="B112" t="s">
        <v>235</v>
      </c>
      <c r="C112" t="s">
        <v>88</v>
      </c>
      <c r="D112" t="s">
        <v>89</v>
      </c>
    </row>
    <row r="113" spans="1:4" x14ac:dyDescent="0.25">
      <c r="A113">
        <v>7250000354</v>
      </c>
      <c r="B113" t="s">
        <v>236</v>
      </c>
      <c r="C113" t="s">
        <v>88</v>
      </c>
      <c r="D113" t="s">
        <v>98</v>
      </c>
    </row>
    <row r="114" spans="1:4" x14ac:dyDescent="0.25">
      <c r="A114">
        <v>7250001863</v>
      </c>
      <c r="B114" t="s">
        <v>237</v>
      </c>
      <c r="C114" t="s">
        <v>88</v>
      </c>
      <c r="D114" t="s">
        <v>98</v>
      </c>
    </row>
    <row r="115" spans="1:4" x14ac:dyDescent="0.25">
      <c r="A115">
        <v>7250001892</v>
      </c>
      <c r="B115" t="s">
        <v>238</v>
      </c>
      <c r="C115" t="s">
        <v>88</v>
      </c>
      <c r="D115" t="s">
        <v>98</v>
      </c>
    </row>
    <row r="116" spans="1:4" x14ac:dyDescent="0.25">
      <c r="A116">
        <v>7250006451</v>
      </c>
      <c r="B116" t="s">
        <v>239</v>
      </c>
      <c r="C116" t="s">
        <v>88</v>
      </c>
      <c r="D116" t="s">
        <v>98</v>
      </c>
    </row>
    <row r="117" spans="1:4" x14ac:dyDescent="0.25">
      <c r="A117">
        <v>7250007931</v>
      </c>
      <c r="B117" t="s">
        <v>240</v>
      </c>
      <c r="C117" t="s">
        <v>98</v>
      </c>
      <c r="D117" t="s">
        <v>98</v>
      </c>
    </row>
    <row r="118" spans="1:4" x14ac:dyDescent="0.25">
      <c r="A118">
        <v>7250013232</v>
      </c>
      <c r="B118" t="s">
        <v>241</v>
      </c>
      <c r="C118" t="s">
        <v>242</v>
      </c>
      <c r="D118" t="s">
        <v>243</v>
      </c>
    </row>
    <row r="119" spans="1:4" x14ac:dyDescent="0.25">
      <c r="A119">
        <v>7250025151</v>
      </c>
      <c r="B119" t="s">
        <v>244</v>
      </c>
      <c r="C119" t="s">
        <v>191</v>
      </c>
      <c r="D119" t="s">
        <v>245</v>
      </c>
    </row>
    <row r="120" spans="1:4" x14ac:dyDescent="0.25">
      <c r="A120">
        <v>7250025174</v>
      </c>
      <c r="B120" t="s">
        <v>246</v>
      </c>
      <c r="C120" t="s">
        <v>191</v>
      </c>
      <c r="D120" t="s">
        <v>245</v>
      </c>
    </row>
    <row r="121" spans="1:4" x14ac:dyDescent="0.25">
      <c r="A121">
        <v>7250026367</v>
      </c>
      <c r="B121" t="s">
        <v>240</v>
      </c>
      <c r="C121" t="s">
        <v>73</v>
      </c>
      <c r="D121" t="s">
        <v>247</v>
      </c>
    </row>
    <row r="122" spans="1:4" x14ac:dyDescent="0.25">
      <c r="A122">
        <v>7250031045</v>
      </c>
      <c r="B122" t="s">
        <v>248</v>
      </c>
      <c r="C122" t="s">
        <v>88</v>
      </c>
      <c r="D122" t="s">
        <v>249</v>
      </c>
    </row>
    <row r="123" spans="1:4" x14ac:dyDescent="0.25">
      <c r="A123">
        <v>7250036244</v>
      </c>
      <c r="B123" t="s">
        <v>250</v>
      </c>
      <c r="C123" t="s">
        <v>88</v>
      </c>
      <c r="D123" t="s">
        <v>249</v>
      </c>
    </row>
    <row r="124" spans="1:4" x14ac:dyDescent="0.25">
      <c r="A124">
        <v>7250037352</v>
      </c>
      <c r="B124" t="s">
        <v>251</v>
      </c>
      <c r="C124" t="s">
        <v>88</v>
      </c>
      <c r="D124" t="s">
        <v>249</v>
      </c>
    </row>
    <row r="125" spans="1:4" x14ac:dyDescent="0.25">
      <c r="A125">
        <v>7250037369</v>
      </c>
      <c r="B125" t="s">
        <v>252</v>
      </c>
      <c r="C125" t="s">
        <v>88</v>
      </c>
      <c r="D125" t="s">
        <v>249</v>
      </c>
    </row>
    <row r="126" spans="1:4" x14ac:dyDescent="0.25">
      <c r="A126">
        <v>7250043503</v>
      </c>
      <c r="B126" t="s">
        <v>253</v>
      </c>
      <c r="C126" t="s">
        <v>88</v>
      </c>
      <c r="D126" t="s">
        <v>249</v>
      </c>
    </row>
    <row r="127" spans="1:4" x14ac:dyDescent="0.25">
      <c r="A127">
        <v>7250052632</v>
      </c>
      <c r="B127" t="s">
        <v>254</v>
      </c>
      <c r="C127" t="s">
        <v>33</v>
      </c>
      <c r="D127" t="s">
        <v>255</v>
      </c>
    </row>
    <row r="128" spans="1:4" x14ac:dyDescent="0.25">
      <c r="A128">
        <v>7250052846</v>
      </c>
      <c r="B128" t="s">
        <v>256</v>
      </c>
      <c r="C128" t="s">
        <v>104</v>
      </c>
      <c r="D128" t="s">
        <v>257</v>
      </c>
    </row>
    <row r="129" spans="1:4" x14ac:dyDescent="0.25">
      <c r="A129">
        <v>7250053049</v>
      </c>
      <c r="B129" t="s">
        <v>258</v>
      </c>
      <c r="C129" t="s">
        <v>259</v>
      </c>
      <c r="D129" t="s">
        <v>257</v>
      </c>
    </row>
    <row r="130" spans="1:4" x14ac:dyDescent="0.25">
      <c r="A130">
        <v>7250055031</v>
      </c>
      <c r="B130" t="s">
        <v>260</v>
      </c>
      <c r="C130" t="s">
        <v>88</v>
      </c>
      <c r="D130" t="s">
        <v>110</v>
      </c>
    </row>
    <row r="131" spans="1:4" x14ac:dyDescent="0.25">
      <c r="A131">
        <v>7250057563</v>
      </c>
      <c r="B131" t="s">
        <v>261</v>
      </c>
      <c r="C131" t="s">
        <v>88</v>
      </c>
      <c r="D131" t="s">
        <v>110</v>
      </c>
    </row>
    <row r="132" spans="1:4" x14ac:dyDescent="0.25">
      <c r="A132">
        <v>7250057814</v>
      </c>
      <c r="B132" t="s">
        <v>262</v>
      </c>
      <c r="C132" t="s">
        <v>263</v>
      </c>
      <c r="D132" t="s">
        <v>264</v>
      </c>
    </row>
    <row r="133" spans="1:4" x14ac:dyDescent="0.25">
      <c r="A133">
        <v>7250059859</v>
      </c>
      <c r="B133" t="s">
        <v>265</v>
      </c>
      <c r="C133" t="s">
        <v>88</v>
      </c>
      <c r="D133" t="s">
        <v>110</v>
      </c>
    </row>
    <row r="134" spans="1:4" x14ac:dyDescent="0.25">
      <c r="A134">
        <v>7250060334</v>
      </c>
      <c r="B134" t="s">
        <v>266</v>
      </c>
      <c r="C134" t="s">
        <v>88</v>
      </c>
      <c r="D134" t="s">
        <v>110</v>
      </c>
    </row>
    <row r="135" spans="1:4" x14ac:dyDescent="0.25">
      <c r="A135">
        <v>7250062261</v>
      </c>
      <c r="B135" t="s">
        <v>267</v>
      </c>
      <c r="C135" t="s">
        <v>88</v>
      </c>
      <c r="D135" t="s">
        <v>110</v>
      </c>
    </row>
    <row r="136" spans="1:4" x14ac:dyDescent="0.25">
      <c r="A136">
        <v>7250064114</v>
      </c>
      <c r="B136" t="s">
        <v>268</v>
      </c>
      <c r="C136" t="s">
        <v>269</v>
      </c>
      <c r="D136" t="s">
        <v>270</v>
      </c>
    </row>
    <row r="137" spans="1:4" x14ac:dyDescent="0.25">
      <c r="A137">
        <v>7250065133</v>
      </c>
      <c r="B137" t="s">
        <v>271</v>
      </c>
      <c r="C137" t="s">
        <v>272</v>
      </c>
      <c r="D137" t="s">
        <v>273</v>
      </c>
    </row>
    <row r="138" spans="1:4" x14ac:dyDescent="0.25">
      <c r="A138">
        <v>7250065229</v>
      </c>
      <c r="B138" t="s">
        <v>274</v>
      </c>
      <c r="C138" t="s">
        <v>62</v>
      </c>
      <c r="D138" t="s">
        <v>275</v>
      </c>
    </row>
    <row r="139" spans="1:4" x14ac:dyDescent="0.25">
      <c r="A139">
        <v>7250067462</v>
      </c>
      <c r="B139" t="s">
        <v>276</v>
      </c>
      <c r="C139" t="s">
        <v>73</v>
      </c>
      <c r="D139" t="s">
        <v>277</v>
      </c>
    </row>
    <row r="140" spans="1:4" x14ac:dyDescent="0.25">
      <c r="A140">
        <v>7250070948</v>
      </c>
      <c r="B140" t="s">
        <v>278</v>
      </c>
      <c r="C140" t="s">
        <v>88</v>
      </c>
      <c r="D140" t="s">
        <v>279</v>
      </c>
    </row>
    <row r="141" spans="1:4" x14ac:dyDescent="0.25">
      <c r="A141">
        <v>7250081390</v>
      </c>
      <c r="B141" t="s">
        <v>280</v>
      </c>
      <c r="C141" t="s">
        <v>73</v>
      </c>
      <c r="D141" t="s">
        <v>185</v>
      </c>
    </row>
    <row r="142" spans="1:4" x14ac:dyDescent="0.25">
      <c r="A142">
        <v>7250088780</v>
      </c>
      <c r="B142" t="s">
        <v>281</v>
      </c>
      <c r="C142" t="s">
        <v>73</v>
      </c>
      <c r="D142" t="s">
        <v>185</v>
      </c>
    </row>
    <row r="143" spans="1:4" x14ac:dyDescent="0.25">
      <c r="A143">
        <v>7250094626</v>
      </c>
      <c r="B143" t="s">
        <v>282</v>
      </c>
      <c r="C143" t="s">
        <v>139</v>
      </c>
      <c r="D143" t="s">
        <v>283</v>
      </c>
    </row>
    <row r="144" spans="1:4" x14ac:dyDescent="0.25">
      <c r="A144">
        <v>7250096963</v>
      </c>
      <c r="B144" t="s">
        <v>284</v>
      </c>
      <c r="C144" t="s">
        <v>139</v>
      </c>
      <c r="D144" t="s">
        <v>283</v>
      </c>
    </row>
    <row r="145" spans="1:4" x14ac:dyDescent="0.25">
      <c r="A145">
        <v>7250097140</v>
      </c>
      <c r="B145" t="s">
        <v>285</v>
      </c>
      <c r="C145" t="s">
        <v>139</v>
      </c>
      <c r="D145" t="s">
        <v>283</v>
      </c>
    </row>
    <row r="146" spans="1:4" x14ac:dyDescent="0.25">
      <c r="A146">
        <v>7250097410</v>
      </c>
      <c r="B146" t="s">
        <v>286</v>
      </c>
      <c r="C146" t="s">
        <v>139</v>
      </c>
      <c r="D146" t="s">
        <v>283</v>
      </c>
    </row>
    <row r="147" spans="1:4" x14ac:dyDescent="0.25">
      <c r="A147">
        <v>7250102505</v>
      </c>
      <c r="B147" t="s">
        <v>287</v>
      </c>
      <c r="C147" t="s">
        <v>139</v>
      </c>
      <c r="D147" t="s">
        <v>283</v>
      </c>
    </row>
    <row r="148" spans="1:4" x14ac:dyDescent="0.25">
      <c r="A148">
        <v>7250104789</v>
      </c>
      <c r="B148" t="s">
        <v>288</v>
      </c>
      <c r="C148" t="s">
        <v>139</v>
      </c>
      <c r="D148" t="s">
        <v>283</v>
      </c>
    </row>
    <row r="149" spans="1:4" x14ac:dyDescent="0.25">
      <c r="A149">
        <v>7250110087</v>
      </c>
      <c r="B149" t="s">
        <v>289</v>
      </c>
      <c r="C149" t="s">
        <v>139</v>
      </c>
      <c r="D149" t="s">
        <v>283</v>
      </c>
    </row>
    <row r="150" spans="1:4" x14ac:dyDescent="0.25">
      <c r="A150">
        <v>7250121607</v>
      </c>
      <c r="B150" t="s">
        <v>290</v>
      </c>
      <c r="C150" t="s">
        <v>73</v>
      </c>
      <c r="D150" t="s">
        <v>242</v>
      </c>
    </row>
    <row r="151" spans="1:4" x14ac:dyDescent="0.25">
      <c r="A151">
        <v>7250123977</v>
      </c>
      <c r="B151" t="s">
        <v>291</v>
      </c>
      <c r="C151" t="s">
        <v>88</v>
      </c>
      <c r="D151" t="s">
        <v>131</v>
      </c>
    </row>
    <row r="152" spans="1:4" x14ac:dyDescent="0.25">
      <c r="A152">
        <v>7250124322</v>
      </c>
      <c r="B152" t="s">
        <v>292</v>
      </c>
      <c r="C152" t="s">
        <v>88</v>
      </c>
      <c r="D152" t="s">
        <v>131</v>
      </c>
    </row>
    <row r="153" spans="1:4" x14ac:dyDescent="0.25">
      <c r="A153">
        <v>7250125384</v>
      </c>
      <c r="B153" t="s">
        <v>293</v>
      </c>
      <c r="C153" t="s">
        <v>143</v>
      </c>
      <c r="D153" t="s">
        <v>294</v>
      </c>
    </row>
    <row r="154" spans="1:4" x14ac:dyDescent="0.25">
      <c r="A154">
        <v>7250128277</v>
      </c>
      <c r="B154" t="s">
        <v>295</v>
      </c>
      <c r="C154" t="s">
        <v>296</v>
      </c>
      <c r="D154" t="s">
        <v>297</v>
      </c>
    </row>
    <row r="155" spans="1:4" x14ac:dyDescent="0.25">
      <c r="A155">
        <v>7250128516</v>
      </c>
      <c r="B155" t="s">
        <v>298</v>
      </c>
      <c r="C155" t="s">
        <v>88</v>
      </c>
      <c r="D155" t="s">
        <v>131</v>
      </c>
    </row>
    <row r="156" spans="1:4" x14ac:dyDescent="0.25">
      <c r="A156">
        <v>7250128521</v>
      </c>
      <c r="B156" t="s">
        <v>299</v>
      </c>
      <c r="C156" t="s">
        <v>88</v>
      </c>
      <c r="D156" t="s">
        <v>131</v>
      </c>
    </row>
    <row r="157" spans="1:4" x14ac:dyDescent="0.25">
      <c r="A157">
        <v>7250129238</v>
      </c>
      <c r="B157" t="s">
        <v>300</v>
      </c>
      <c r="C157" t="s">
        <v>88</v>
      </c>
      <c r="D157" t="s">
        <v>131</v>
      </c>
    </row>
    <row r="158" spans="1:4" x14ac:dyDescent="0.25">
      <c r="A158">
        <v>7250129739</v>
      </c>
      <c r="B158" t="s">
        <v>301</v>
      </c>
      <c r="C158" t="s">
        <v>88</v>
      </c>
      <c r="D158" t="s">
        <v>131</v>
      </c>
    </row>
    <row r="159" spans="1:4" x14ac:dyDescent="0.25">
      <c r="A159">
        <v>7250130315</v>
      </c>
      <c r="B159" t="s">
        <v>302</v>
      </c>
      <c r="C159" t="s">
        <v>131</v>
      </c>
      <c r="D159" t="s">
        <v>131</v>
      </c>
    </row>
    <row r="160" spans="1:4" x14ac:dyDescent="0.25">
      <c r="A160">
        <v>7250130359</v>
      </c>
      <c r="B160" t="s">
        <v>303</v>
      </c>
      <c r="C160" t="s">
        <v>131</v>
      </c>
      <c r="D160" t="s">
        <v>131</v>
      </c>
    </row>
    <row r="161" spans="1:4" x14ac:dyDescent="0.25">
      <c r="A161">
        <v>7250130383</v>
      </c>
      <c r="B161" t="s">
        <v>304</v>
      </c>
      <c r="C161" t="s">
        <v>269</v>
      </c>
      <c r="D161" t="s">
        <v>305</v>
      </c>
    </row>
    <row r="162" spans="1:4" x14ac:dyDescent="0.25">
      <c r="A162">
        <v>7250131409</v>
      </c>
      <c r="B162" t="s">
        <v>306</v>
      </c>
      <c r="C162" t="s">
        <v>107</v>
      </c>
      <c r="D162" t="s">
        <v>307</v>
      </c>
    </row>
    <row r="163" spans="1:4" x14ac:dyDescent="0.25">
      <c r="A163">
        <v>7250131524</v>
      </c>
      <c r="B163" t="s">
        <v>308</v>
      </c>
      <c r="C163" t="s">
        <v>104</v>
      </c>
      <c r="D163" t="s">
        <v>129</v>
      </c>
    </row>
    <row r="164" spans="1:4" x14ac:dyDescent="0.25">
      <c r="A164">
        <v>7250131554</v>
      </c>
      <c r="B164" t="s">
        <v>309</v>
      </c>
      <c r="C164" t="s">
        <v>104</v>
      </c>
      <c r="D164" t="s">
        <v>129</v>
      </c>
    </row>
    <row r="165" spans="1:4" x14ac:dyDescent="0.25">
      <c r="A165">
        <v>7250132001</v>
      </c>
      <c r="B165" t="s">
        <v>310</v>
      </c>
      <c r="C165" t="s">
        <v>88</v>
      </c>
      <c r="D165" t="s">
        <v>131</v>
      </c>
    </row>
    <row r="166" spans="1:4" x14ac:dyDescent="0.25">
      <c r="A166">
        <v>7250132579</v>
      </c>
      <c r="B166" t="s">
        <v>311</v>
      </c>
      <c r="C166" t="s">
        <v>73</v>
      </c>
      <c r="D166" t="s">
        <v>242</v>
      </c>
    </row>
    <row r="167" spans="1:4" x14ac:dyDescent="0.25">
      <c r="A167">
        <v>7250133520</v>
      </c>
      <c r="B167" t="s">
        <v>312</v>
      </c>
      <c r="C167" t="s">
        <v>62</v>
      </c>
      <c r="D167" t="s">
        <v>313</v>
      </c>
    </row>
    <row r="168" spans="1:4" x14ac:dyDescent="0.25">
      <c r="A168">
        <v>7250133944</v>
      </c>
      <c r="B168" t="s">
        <v>314</v>
      </c>
      <c r="C168" t="s">
        <v>101</v>
      </c>
      <c r="D168" t="s">
        <v>315</v>
      </c>
    </row>
    <row r="169" spans="1:4" x14ac:dyDescent="0.25">
      <c r="A169">
        <v>7250134006</v>
      </c>
      <c r="B169" t="s">
        <v>316</v>
      </c>
      <c r="C169" t="s">
        <v>317</v>
      </c>
      <c r="D169" t="s">
        <v>318</v>
      </c>
    </row>
    <row r="170" spans="1:4" x14ac:dyDescent="0.25">
      <c r="A170">
        <v>7250134072</v>
      </c>
      <c r="B170" t="s">
        <v>319</v>
      </c>
      <c r="C170" t="s">
        <v>134</v>
      </c>
      <c r="D170" t="s">
        <v>134</v>
      </c>
    </row>
    <row r="171" spans="1:4" x14ac:dyDescent="0.25">
      <c r="A171">
        <v>7250134075</v>
      </c>
      <c r="B171" t="s">
        <v>320</v>
      </c>
      <c r="C171" t="s">
        <v>134</v>
      </c>
      <c r="D171" t="s">
        <v>134</v>
      </c>
    </row>
    <row r="172" spans="1:4" x14ac:dyDescent="0.25">
      <c r="A172">
        <v>7250134970</v>
      </c>
      <c r="B172" t="s">
        <v>321</v>
      </c>
      <c r="C172" t="s">
        <v>133</v>
      </c>
      <c r="D172" t="s">
        <v>242</v>
      </c>
    </row>
    <row r="173" spans="1:4" x14ac:dyDescent="0.25">
      <c r="A173">
        <v>7250135753</v>
      </c>
      <c r="B173" t="s">
        <v>322</v>
      </c>
      <c r="C173" t="s">
        <v>33</v>
      </c>
      <c r="D173" t="s">
        <v>134</v>
      </c>
    </row>
    <row r="174" spans="1:4" x14ac:dyDescent="0.25">
      <c r="A174">
        <v>7250135854</v>
      </c>
      <c r="B174" t="s">
        <v>323</v>
      </c>
      <c r="C174" t="s">
        <v>73</v>
      </c>
      <c r="D174" t="s">
        <v>134</v>
      </c>
    </row>
    <row r="175" spans="1:4" x14ac:dyDescent="0.25">
      <c r="A175">
        <v>7250136480</v>
      </c>
      <c r="B175" t="s">
        <v>324</v>
      </c>
      <c r="C175" t="s">
        <v>104</v>
      </c>
      <c r="D175" t="s">
        <v>129</v>
      </c>
    </row>
    <row r="176" spans="1:4" x14ac:dyDescent="0.25">
      <c r="A176">
        <v>7250136668</v>
      </c>
      <c r="B176" t="s">
        <v>325</v>
      </c>
      <c r="C176" t="s">
        <v>62</v>
      </c>
      <c r="D176" t="s">
        <v>313</v>
      </c>
    </row>
    <row r="177" spans="1:4" x14ac:dyDescent="0.25">
      <c r="A177">
        <v>7250136784</v>
      </c>
      <c r="B177" t="s">
        <v>326</v>
      </c>
      <c r="C177" t="s">
        <v>327</v>
      </c>
      <c r="D177" t="s">
        <v>328</v>
      </c>
    </row>
    <row r="178" spans="1:4" x14ac:dyDescent="0.25">
      <c r="A178">
        <v>7250139118</v>
      </c>
      <c r="B178" t="s">
        <v>329</v>
      </c>
      <c r="C178" t="s">
        <v>317</v>
      </c>
      <c r="D178" t="s">
        <v>318</v>
      </c>
    </row>
    <row r="179" spans="1:4" x14ac:dyDescent="0.25">
      <c r="A179">
        <v>7250139233</v>
      </c>
      <c r="B179" t="s">
        <v>330</v>
      </c>
      <c r="C179" t="s">
        <v>126</v>
      </c>
      <c r="D179" t="s">
        <v>331</v>
      </c>
    </row>
    <row r="180" spans="1:4" x14ac:dyDescent="0.25">
      <c r="A180">
        <v>7250139267</v>
      </c>
      <c r="B180" t="s">
        <v>332</v>
      </c>
      <c r="C180" t="s">
        <v>126</v>
      </c>
      <c r="D180" t="s">
        <v>331</v>
      </c>
    </row>
    <row r="181" spans="1:4" x14ac:dyDescent="0.25">
      <c r="A181">
        <v>7250139741</v>
      </c>
      <c r="B181" t="s">
        <v>333</v>
      </c>
      <c r="C181" t="s">
        <v>126</v>
      </c>
      <c r="D181" t="s">
        <v>331</v>
      </c>
    </row>
    <row r="182" spans="1:4" x14ac:dyDescent="0.25">
      <c r="A182">
        <v>7250147909</v>
      </c>
      <c r="B182" t="s">
        <v>334</v>
      </c>
      <c r="C182" t="s">
        <v>335</v>
      </c>
      <c r="D182" t="s">
        <v>336</v>
      </c>
    </row>
    <row r="183" spans="1:4" x14ac:dyDescent="0.25">
      <c r="A183">
        <v>7250149911</v>
      </c>
      <c r="B183" t="s">
        <v>337</v>
      </c>
      <c r="C183" t="s">
        <v>338</v>
      </c>
      <c r="D183" t="s">
        <v>338</v>
      </c>
    </row>
    <row r="184" spans="1:4" x14ac:dyDescent="0.25">
      <c r="A184">
        <v>7250149956</v>
      </c>
      <c r="B184" t="s">
        <v>339</v>
      </c>
      <c r="C184" t="s">
        <v>338</v>
      </c>
      <c r="D184" t="s">
        <v>338</v>
      </c>
    </row>
    <row r="185" spans="1:4" x14ac:dyDescent="0.25">
      <c r="A185">
        <v>7250151538</v>
      </c>
      <c r="B185" t="s">
        <v>340</v>
      </c>
      <c r="C185" t="s">
        <v>88</v>
      </c>
      <c r="D185" t="s">
        <v>341</v>
      </c>
    </row>
    <row r="186" spans="1:4" x14ac:dyDescent="0.25">
      <c r="A186">
        <v>7250152061</v>
      </c>
      <c r="B186" t="s">
        <v>342</v>
      </c>
      <c r="C186" t="s">
        <v>88</v>
      </c>
      <c r="D186" t="s">
        <v>341</v>
      </c>
    </row>
    <row r="187" spans="1:4" x14ac:dyDescent="0.25">
      <c r="A187">
        <v>7250155601</v>
      </c>
      <c r="B187" t="s">
        <v>343</v>
      </c>
      <c r="C187" t="s">
        <v>344</v>
      </c>
      <c r="D187" t="s">
        <v>345</v>
      </c>
    </row>
    <row r="188" spans="1:4" x14ac:dyDescent="0.25">
      <c r="A188">
        <v>7250158754</v>
      </c>
      <c r="B188" t="s">
        <v>346</v>
      </c>
      <c r="C188" t="s">
        <v>33</v>
      </c>
      <c r="D188" t="s">
        <v>79</v>
      </c>
    </row>
    <row r="189" spans="1:4" x14ac:dyDescent="0.25">
      <c r="A189">
        <v>7250158819</v>
      </c>
      <c r="B189" t="s">
        <v>347</v>
      </c>
      <c r="C189" t="s">
        <v>79</v>
      </c>
      <c r="D189" t="s">
        <v>79</v>
      </c>
    </row>
    <row r="190" spans="1:4" x14ac:dyDescent="0.25">
      <c r="A190">
        <v>7250161268</v>
      </c>
      <c r="B190" t="s">
        <v>348</v>
      </c>
      <c r="C190" t="s">
        <v>349</v>
      </c>
      <c r="D190" t="s">
        <v>349</v>
      </c>
    </row>
    <row r="191" spans="1:4" x14ac:dyDescent="0.25">
      <c r="A191">
        <v>7250161361</v>
      </c>
      <c r="B191" t="s">
        <v>350</v>
      </c>
      <c r="C191" t="s">
        <v>351</v>
      </c>
      <c r="D191" t="s">
        <v>349</v>
      </c>
    </row>
    <row r="192" spans="1:4" x14ac:dyDescent="0.25">
      <c r="A192">
        <v>7250163636</v>
      </c>
      <c r="B192" t="s">
        <v>352</v>
      </c>
      <c r="C192" t="s">
        <v>148</v>
      </c>
      <c r="D192" t="s">
        <v>353</v>
      </c>
    </row>
    <row r="193" spans="1:4" x14ac:dyDescent="0.25">
      <c r="A193">
        <v>7250164545</v>
      </c>
      <c r="B193" t="s">
        <v>354</v>
      </c>
      <c r="C193" t="s">
        <v>73</v>
      </c>
      <c r="D193" t="s">
        <v>73</v>
      </c>
    </row>
    <row r="194" spans="1:4" x14ac:dyDescent="0.25">
      <c r="A194">
        <v>7250167709</v>
      </c>
      <c r="B194" t="s">
        <v>355</v>
      </c>
      <c r="C194" t="s">
        <v>88</v>
      </c>
      <c r="D194" t="s">
        <v>88</v>
      </c>
    </row>
    <row r="195" spans="1:4" x14ac:dyDescent="0.25">
      <c r="A195">
        <v>7250168418</v>
      </c>
      <c r="B195" t="s">
        <v>356</v>
      </c>
      <c r="C195" t="s">
        <v>164</v>
      </c>
      <c r="D195" t="s">
        <v>357</v>
      </c>
    </row>
    <row r="196" spans="1:4" x14ac:dyDescent="0.25">
      <c r="A196">
        <v>7250169190</v>
      </c>
      <c r="B196" t="s">
        <v>358</v>
      </c>
      <c r="C196" t="s">
        <v>351</v>
      </c>
      <c r="D196" t="s">
        <v>349</v>
      </c>
    </row>
    <row r="197" spans="1:4" x14ac:dyDescent="0.25">
      <c r="A197">
        <v>7250169460</v>
      </c>
      <c r="B197" t="s">
        <v>359</v>
      </c>
      <c r="C197" t="s">
        <v>351</v>
      </c>
      <c r="D197" t="s">
        <v>349</v>
      </c>
    </row>
    <row r="198" spans="1:4" x14ac:dyDescent="0.25">
      <c r="A198">
        <v>7250169502</v>
      </c>
      <c r="B198" t="s">
        <v>360</v>
      </c>
      <c r="C198" t="s">
        <v>351</v>
      </c>
      <c r="D198" t="s">
        <v>349</v>
      </c>
    </row>
    <row r="199" spans="1:4" x14ac:dyDescent="0.25">
      <c r="A199">
        <v>7250170272</v>
      </c>
      <c r="B199" t="s">
        <v>361</v>
      </c>
      <c r="C199" t="s">
        <v>153</v>
      </c>
      <c r="D199" t="s">
        <v>143</v>
      </c>
    </row>
    <row r="200" spans="1:4" x14ac:dyDescent="0.25">
      <c r="A200">
        <v>7250170394</v>
      </c>
      <c r="B200" t="s">
        <v>362</v>
      </c>
      <c r="C200" t="s">
        <v>351</v>
      </c>
      <c r="D200" t="s">
        <v>349</v>
      </c>
    </row>
    <row r="201" spans="1:4" x14ac:dyDescent="0.25">
      <c r="A201">
        <v>7250171087</v>
      </c>
      <c r="B201" t="s">
        <v>363</v>
      </c>
      <c r="C201" t="s">
        <v>338</v>
      </c>
      <c r="D201" t="s">
        <v>338</v>
      </c>
    </row>
    <row r="202" spans="1:4" x14ac:dyDescent="0.25">
      <c r="A202">
        <v>7250171145</v>
      </c>
      <c r="B202" t="s">
        <v>364</v>
      </c>
      <c r="C202" t="s">
        <v>338</v>
      </c>
      <c r="D202" t="s">
        <v>338</v>
      </c>
    </row>
    <row r="203" spans="1:4" x14ac:dyDescent="0.25">
      <c r="A203">
        <v>7250171748</v>
      </c>
      <c r="B203" t="s">
        <v>365</v>
      </c>
      <c r="C203" t="s">
        <v>136</v>
      </c>
      <c r="D203" t="s">
        <v>366</v>
      </c>
    </row>
    <row r="204" spans="1:4" x14ac:dyDescent="0.25">
      <c r="A204">
        <v>7250182035</v>
      </c>
      <c r="B204" t="s">
        <v>367</v>
      </c>
      <c r="C204" t="s">
        <v>269</v>
      </c>
      <c r="D204" t="s">
        <v>269</v>
      </c>
    </row>
    <row r="205" spans="1:4" x14ac:dyDescent="0.25">
      <c r="A205">
        <v>7250182527</v>
      </c>
      <c r="B205" t="s">
        <v>368</v>
      </c>
      <c r="C205" t="s">
        <v>33</v>
      </c>
      <c r="D205" t="s">
        <v>369</v>
      </c>
    </row>
    <row r="206" spans="1:4" x14ac:dyDescent="0.25">
      <c r="A206">
        <v>7250183624</v>
      </c>
      <c r="B206" t="s">
        <v>370</v>
      </c>
      <c r="C206" t="s">
        <v>33</v>
      </c>
      <c r="D206" t="s">
        <v>369</v>
      </c>
    </row>
    <row r="207" spans="1:4" x14ac:dyDescent="0.25">
      <c r="A207">
        <v>7250183661</v>
      </c>
      <c r="B207" t="s">
        <v>371</v>
      </c>
      <c r="C207" t="s">
        <v>33</v>
      </c>
      <c r="D207" t="s">
        <v>369</v>
      </c>
    </row>
    <row r="208" spans="1:4" x14ac:dyDescent="0.25">
      <c r="A208">
        <v>7250184034</v>
      </c>
      <c r="B208" t="s">
        <v>372</v>
      </c>
      <c r="C208" t="s">
        <v>88</v>
      </c>
      <c r="D208" t="s">
        <v>88</v>
      </c>
    </row>
    <row r="209" spans="1:4" x14ac:dyDescent="0.25">
      <c r="A209">
        <v>7250184227</v>
      </c>
      <c r="B209" t="s">
        <v>373</v>
      </c>
      <c r="C209" t="s">
        <v>33</v>
      </c>
      <c r="D209" t="s">
        <v>369</v>
      </c>
    </row>
    <row r="210" spans="1:4" x14ac:dyDescent="0.25">
      <c r="A210">
        <v>7250184438</v>
      </c>
      <c r="B210" t="s">
        <v>374</v>
      </c>
      <c r="C210" t="s">
        <v>62</v>
      </c>
      <c r="D210" t="s">
        <v>62</v>
      </c>
    </row>
    <row r="211" spans="1:4" x14ac:dyDescent="0.25">
      <c r="A211">
        <v>7250185541</v>
      </c>
      <c r="B211" t="s">
        <v>375</v>
      </c>
      <c r="C211" t="s">
        <v>317</v>
      </c>
      <c r="D211" t="s">
        <v>317</v>
      </c>
    </row>
    <row r="212" spans="1:4" x14ac:dyDescent="0.25">
      <c r="A212">
        <v>7250186193</v>
      </c>
      <c r="B212" t="s">
        <v>376</v>
      </c>
      <c r="C212" t="s">
        <v>73</v>
      </c>
      <c r="D212" t="s">
        <v>73</v>
      </c>
    </row>
    <row r="213" spans="1:4" x14ac:dyDescent="0.25">
      <c r="A213">
        <v>7250186205</v>
      </c>
      <c r="B213" t="s">
        <v>377</v>
      </c>
      <c r="C213" t="s">
        <v>148</v>
      </c>
      <c r="D213" t="s">
        <v>148</v>
      </c>
    </row>
    <row r="214" spans="1:4" x14ac:dyDescent="0.25">
      <c r="A214">
        <v>7250193100</v>
      </c>
      <c r="B214" t="s">
        <v>378</v>
      </c>
      <c r="C214" t="s">
        <v>351</v>
      </c>
      <c r="D214" t="s">
        <v>351</v>
      </c>
    </row>
    <row r="215" spans="1:4" x14ac:dyDescent="0.25">
      <c r="A215">
        <v>7250195078</v>
      </c>
      <c r="B215" t="s">
        <v>379</v>
      </c>
      <c r="C215" t="s">
        <v>33</v>
      </c>
      <c r="D215" t="s">
        <v>380</v>
      </c>
    </row>
    <row r="216" spans="1:4" x14ac:dyDescent="0.25">
      <c r="A216">
        <v>7250195097</v>
      </c>
      <c r="B216" t="s">
        <v>381</v>
      </c>
      <c r="C216" t="s">
        <v>33</v>
      </c>
      <c r="D216" t="s">
        <v>380</v>
      </c>
    </row>
    <row r="217" spans="1:4" x14ac:dyDescent="0.25">
      <c r="A217">
        <v>7250197617</v>
      </c>
      <c r="B217" t="s">
        <v>382</v>
      </c>
      <c r="C217" t="s">
        <v>33</v>
      </c>
      <c r="D217" t="s">
        <v>151</v>
      </c>
    </row>
    <row r="218" spans="1:4" x14ac:dyDescent="0.25">
      <c r="A218" s="8">
        <v>7250197617</v>
      </c>
      <c r="B218" s="8" t="s">
        <v>383</v>
      </c>
      <c r="C218" s="8" t="s">
        <v>61</v>
      </c>
      <c r="D218" s="8" t="s">
        <v>335</v>
      </c>
    </row>
    <row r="219" spans="1:4" x14ac:dyDescent="0.25">
      <c r="A219" s="8">
        <v>7250195097</v>
      </c>
      <c r="B219" s="8" t="s">
        <v>384</v>
      </c>
      <c r="C219" s="8" t="s">
        <v>61</v>
      </c>
      <c r="D219" s="8" t="s">
        <v>385</v>
      </c>
    </row>
    <row r="220" spans="1:4" x14ac:dyDescent="0.25">
      <c r="A220" s="8">
        <v>7250195078</v>
      </c>
      <c r="B220" s="8" t="s">
        <v>386</v>
      </c>
      <c r="C220" s="8" t="s">
        <v>61</v>
      </c>
      <c r="D220" s="8" t="s">
        <v>385</v>
      </c>
    </row>
    <row r="221" spans="1:4" x14ac:dyDescent="0.25">
      <c r="A221" s="8">
        <v>7250193100</v>
      </c>
      <c r="B221" s="8" t="s">
        <v>387</v>
      </c>
      <c r="C221" s="8" t="s">
        <v>61</v>
      </c>
      <c r="D221" s="8" t="s">
        <v>164</v>
      </c>
    </row>
    <row r="222" spans="1:4" x14ac:dyDescent="0.25">
      <c r="A222" s="8">
        <v>7250186205</v>
      </c>
      <c r="B222" s="8" t="s">
        <v>388</v>
      </c>
      <c r="C222" s="8" t="s">
        <v>61</v>
      </c>
      <c r="D222" s="8" t="s">
        <v>389</v>
      </c>
    </row>
    <row r="223" spans="1:4" x14ac:dyDescent="0.25">
      <c r="A223" s="8">
        <v>7250186193</v>
      </c>
      <c r="B223" s="8" t="s">
        <v>390</v>
      </c>
      <c r="C223" s="8" t="s">
        <v>61</v>
      </c>
      <c r="D223" s="8" t="s">
        <v>389</v>
      </c>
    </row>
    <row r="224" spans="1:4" x14ac:dyDescent="0.25">
      <c r="A224" s="8">
        <v>7250185541</v>
      </c>
      <c r="B224" s="8" t="s">
        <v>391</v>
      </c>
      <c r="C224" s="8" t="s">
        <v>61</v>
      </c>
      <c r="D224" s="8" t="s">
        <v>317</v>
      </c>
    </row>
    <row r="225" spans="1:4" x14ac:dyDescent="0.25">
      <c r="A225" s="8">
        <v>7250184438</v>
      </c>
      <c r="B225" s="8" t="s">
        <v>392</v>
      </c>
      <c r="C225" s="8" t="s">
        <v>61</v>
      </c>
      <c r="D225" s="8" t="s">
        <v>139</v>
      </c>
    </row>
    <row r="226" spans="1:4" x14ac:dyDescent="0.25">
      <c r="A226" s="8">
        <v>7250184227</v>
      </c>
      <c r="B226" s="8" t="s">
        <v>393</v>
      </c>
      <c r="C226" s="8" t="s">
        <v>61</v>
      </c>
      <c r="D226" s="8" t="s">
        <v>79</v>
      </c>
    </row>
    <row r="227" spans="1:4" x14ac:dyDescent="0.25">
      <c r="A227" s="8">
        <v>7250184034</v>
      </c>
      <c r="B227" s="8" t="s">
        <v>394</v>
      </c>
      <c r="C227" s="8" t="s">
        <v>61</v>
      </c>
      <c r="D227" s="8" t="s">
        <v>79</v>
      </c>
    </row>
    <row r="228" spans="1:4" x14ac:dyDescent="0.25">
      <c r="A228" s="8">
        <v>7250183661</v>
      </c>
      <c r="B228" s="8" t="s">
        <v>395</v>
      </c>
      <c r="C228" s="8" t="s">
        <v>61</v>
      </c>
      <c r="D228" s="8" t="s">
        <v>79</v>
      </c>
    </row>
    <row r="229" spans="1:4" x14ac:dyDescent="0.25">
      <c r="A229" s="8">
        <v>7250183624</v>
      </c>
      <c r="B229" s="8" t="s">
        <v>396</v>
      </c>
      <c r="C229" s="8" t="s">
        <v>61</v>
      </c>
      <c r="D229" s="8" t="s">
        <v>79</v>
      </c>
    </row>
    <row r="230" spans="1:4" x14ac:dyDescent="0.25">
      <c r="A230" s="8">
        <v>7250182527</v>
      </c>
      <c r="B230" s="8" t="s">
        <v>397</v>
      </c>
      <c r="C230" s="8" t="s">
        <v>61</v>
      </c>
      <c r="D230" s="8" t="s">
        <v>398</v>
      </c>
    </row>
    <row r="231" spans="1:4" x14ac:dyDescent="0.25">
      <c r="A231" s="8">
        <v>7250182035</v>
      </c>
      <c r="B231" s="8" t="s">
        <v>399</v>
      </c>
      <c r="C231" s="8" t="s">
        <v>61</v>
      </c>
      <c r="D231" s="8" t="s">
        <v>398</v>
      </c>
    </row>
    <row r="232" spans="1:4" x14ac:dyDescent="0.25">
      <c r="A232" s="8">
        <v>7250170394</v>
      </c>
      <c r="B232" s="8" t="s">
        <v>400</v>
      </c>
      <c r="C232" s="8" t="s">
        <v>61</v>
      </c>
      <c r="D232" s="8" t="s">
        <v>349</v>
      </c>
    </row>
    <row r="233" spans="1:4" x14ac:dyDescent="0.25">
      <c r="A233" s="8">
        <v>7250149956</v>
      </c>
      <c r="B233" s="8" t="s">
        <v>401</v>
      </c>
      <c r="C233" s="8" t="s">
        <v>61</v>
      </c>
      <c r="D233" s="8" t="s">
        <v>313</v>
      </c>
    </row>
    <row r="234" spans="1:4" x14ac:dyDescent="0.25">
      <c r="A234" s="8">
        <v>7250149911</v>
      </c>
      <c r="B234" s="8" t="s">
        <v>402</v>
      </c>
      <c r="C234" s="8" t="s">
        <v>61</v>
      </c>
      <c r="D234" s="8" t="s">
        <v>313</v>
      </c>
    </row>
    <row r="235" spans="1:4" x14ac:dyDescent="0.25">
      <c r="A235" s="8">
        <v>6250172656</v>
      </c>
      <c r="B235" s="8" t="s">
        <v>403</v>
      </c>
      <c r="C235" s="8" t="s">
        <v>61</v>
      </c>
      <c r="D235" s="8" t="s">
        <v>164</v>
      </c>
    </row>
    <row r="236" spans="1:4" x14ac:dyDescent="0.25">
      <c r="A236" s="8">
        <v>6250171855</v>
      </c>
      <c r="B236" s="8" t="s">
        <v>404</v>
      </c>
      <c r="C236" s="8" t="s">
        <v>61</v>
      </c>
      <c r="D236" s="8" t="s">
        <v>164</v>
      </c>
    </row>
    <row r="237" spans="1:4" x14ac:dyDescent="0.25">
      <c r="A237" s="8">
        <v>6250169468</v>
      </c>
      <c r="B237" s="8" t="s">
        <v>405</v>
      </c>
      <c r="C237" s="8" t="s">
        <v>61</v>
      </c>
      <c r="D237" s="8" t="s">
        <v>218</v>
      </c>
    </row>
    <row r="238" spans="1:4" x14ac:dyDescent="0.25">
      <c r="A238" s="8">
        <v>6250166231</v>
      </c>
      <c r="B238" s="8" t="s">
        <v>406</v>
      </c>
      <c r="C238" s="8" t="s">
        <v>61</v>
      </c>
      <c r="D238" s="8" t="s">
        <v>73</v>
      </c>
    </row>
    <row r="239" spans="1:4" x14ac:dyDescent="0.25">
      <c r="A239" s="8">
        <v>6250161714</v>
      </c>
      <c r="B239" s="8" t="s">
        <v>407</v>
      </c>
      <c r="C239" s="8" t="s">
        <v>61</v>
      </c>
      <c r="D239" s="8" t="s">
        <v>296</v>
      </c>
    </row>
    <row r="240" spans="1:4" x14ac:dyDescent="0.25">
      <c r="A240" s="8">
        <v>6250158506</v>
      </c>
      <c r="B240" s="8" t="s">
        <v>408</v>
      </c>
      <c r="C240" s="8" t="s">
        <v>61</v>
      </c>
      <c r="D240" s="8" t="s">
        <v>143</v>
      </c>
    </row>
    <row r="241" spans="1:4" x14ac:dyDescent="0.25">
      <c r="A241" s="8">
        <v>6250145187</v>
      </c>
      <c r="B241" s="8" t="s">
        <v>409</v>
      </c>
      <c r="C241" s="8" t="s">
        <v>61</v>
      </c>
      <c r="D241" s="8" t="s">
        <v>140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36945-25FC-4FEB-8B85-2B094AECDAD9}">
  <dimension ref="A1:Y1"/>
  <sheetViews>
    <sheetView workbookViewId="0">
      <selection sqref="A1:XFD1"/>
    </sheetView>
  </sheetViews>
  <sheetFormatPr defaultRowHeight="15" x14ac:dyDescent="0.25"/>
  <sheetData>
    <row r="1" spans="1:25" x14ac:dyDescent="0.25">
      <c r="A1" s="2">
        <v>45912</v>
      </c>
      <c r="B1" t="s">
        <v>26</v>
      </c>
      <c r="C1" t="s">
        <v>25</v>
      </c>
      <c r="D1" t="s">
        <v>33</v>
      </c>
      <c r="E1" t="s">
        <v>52</v>
      </c>
      <c r="F1" t="s">
        <v>33</v>
      </c>
      <c r="G1" t="s">
        <v>53</v>
      </c>
      <c r="H1" t="s">
        <v>33</v>
      </c>
      <c r="I1" t="s">
        <v>33</v>
      </c>
      <c r="J1" t="s">
        <v>54</v>
      </c>
      <c r="N1">
        <v>0</v>
      </c>
      <c r="O1">
        <v>4500</v>
      </c>
      <c r="P1">
        <v>0</v>
      </c>
      <c r="Q1">
        <v>4500</v>
      </c>
      <c r="R1" t="s">
        <v>33</v>
      </c>
      <c r="S1" t="s">
        <v>33</v>
      </c>
      <c r="T1" t="s">
        <v>33</v>
      </c>
      <c r="U1" t="s">
        <v>33</v>
      </c>
      <c r="V1" t="s">
        <v>33</v>
      </c>
      <c r="W1" t="s">
        <v>33</v>
      </c>
      <c r="X1" t="s">
        <v>26</v>
      </c>
      <c r="Y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Commission_Statement_Details_Re</vt:lpstr>
      <vt:lpstr>Sheet1</vt:lpstr>
      <vt:lpstr>Sheet2</vt:lpstr>
      <vt:lpstr>bonus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2025-11-04T14:49:26Z</dcterms:modified>
</cp:coreProperties>
</file>