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78FAC3-1269-43EE-99EF-585A740E58B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_Statement_Details_Re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J23" i="2" l="1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21" i="2"/>
  <c r="J71" i="2"/>
  <c r="J72" i="2"/>
  <c r="J70" i="2"/>
  <c r="J20" i="2"/>
  <c r="J69" i="2"/>
  <c r="J13" i="2"/>
  <c r="J14" i="2"/>
  <c r="J15" i="2"/>
  <c r="J16" i="2"/>
  <c r="J17" i="2"/>
  <c r="J18" i="2"/>
  <c r="J19" i="2"/>
  <c r="J10" i="2"/>
  <c r="J65" i="2"/>
  <c r="J66" i="2"/>
  <c r="J11" i="2"/>
  <c r="J12" i="2"/>
  <c r="J67" i="2"/>
  <c r="J68" i="2"/>
  <c r="J60" i="2"/>
  <c r="J61" i="2"/>
  <c r="J62" i="2"/>
  <c r="J63" i="2"/>
  <c r="J64" i="2"/>
  <c r="J9" i="2"/>
  <c r="J58" i="2"/>
  <c r="J8" i="2"/>
  <c r="J59" i="2"/>
  <c r="J54" i="2"/>
  <c r="J55" i="2"/>
  <c r="J2" i="2"/>
  <c r="J3" i="2"/>
  <c r="J4" i="2"/>
  <c r="J56" i="2"/>
  <c r="J5" i="2"/>
  <c r="J6" i="2"/>
  <c r="J7" i="2"/>
  <c r="J57" i="2"/>
  <c r="J22" i="2"/>
</calcChain>
</file>

<file path=xl/sharedStrings.xml><?xml version="1.0" encoding="utf-8"?>
<sst xmlns="http://schemas.openxmlformats.org/spreadsheetml/2006/main" count="2741" uniqueCount="358">
  <si>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</si>
  <si>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</si>
  <si>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</si>
  <si>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</si>
  <si>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</si>
  <si>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</si>
  <si>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</si>
  <si>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</si>
  <si>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</si>
  <si>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</si>
  <si>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</si>
  <si>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</si>
  <si>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</si>
  <si>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</si>
  <si>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</si>
  <si>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</si>
  <si>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</si>
  <si>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</si>
  <si>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</si>
  <si>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</si>
  <si>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</si>
  <si>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</si>
  <si>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</si>
  <si>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</si>
  <si>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</si>
  <si>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</si>
  <si>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</si>
  <si>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</si>
  <si>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</si>
  <si>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</si>
  <si>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</si>
  <si>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</si>
  <si>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</si>
  <si>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</si>
  <si>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2025-11-28</t>
  </si>
  <si>
    <t>MAIN LINE BENEFITS LLC</t>
  </si>
  <si>
    <t>6</t>
  </si>
  <si>
    <t>*****8192</t>
  </si>
  <si>
    <t>5Q29Q</t>
  </si>
  <si>
    <t>ONE LIFE AMERICA LLC</t>
  </si>
  <si>
    <t>14JK2</t>
  </si>
  <si>
    <t>CHOI, ANDREW</t>
  </si>
  <si>
    <t>Overwrite Activity</t>
  </si>
  <si>
    <t>7240110690</t>
  </si>
  <si>
    <t>GALLINA</t>
  </si>
  <si>
    <t>MNTHLY</t>
  </si>
  <si>
    <t>Life</t>
  </si>
  <si>
    <t>Term</t>
  </si>
  <si>
    <t>2024-12-28</t>
  </si>
  <si>
    <t>100.00</t>
  </si>
  <si>
    <t>92.30</t>
  </si>
  <si>
    <t>0.9450</t>
  </si>
  <si>
    <t/>
  </si>
  <si>
    <t>7250096963</t>
  </si>
  <si>
    <t>DURAY</t>
  </si>
  <si>
    <t>2025-06-26</t>
  </si>
  <si>
    <t>102.00</t>
  </si>
  <si>
    <t>1.3700</t>
  </si>
  <si>
    <t>7240112327</t>
  </si>
  <si>
    <t>SKENDER</t>
  </si>
  <si>
    <t>114.98</t>
  </si>
  <si>
    <t>1FJU8</t>
  </si>
  <si>
    <t>ROLLER, JASON</t>
  </si>
  <si>
    <t>7250132579</t>
  </si>
  <si>
    <t>DEVEE</t>
  </si>
  <si>
    <t>2025-07-28</t>
  </si>
  <si>
    <t>119.81</t>
  </si>
  <si>
    <t>7250204150</t>
  </si>
  <si>
    <t>HARDY</t>
  </si>
  <si>
    <t>2025-10-22</t>
  </si>
  <si>
    <t>228.47</t>
  </si>
  <si>
    <t>7250134006</t>
  </si>
  <si>
    <t>SANCHEZ</t>
  </si>
  <si>
    <t>2025-08-27</t>
  </si>
  <si>
    <t>163.55</t>
  </si>
  <si>
    <t>7240114020</t>
  </si>
  <si>
    <t>SAVOY</t>
  </si>
  <si>
    <t>128.80</t>
  </si>
  <si>
    <t>7250139118</t>
  </si>
  <si>
    <t>HANSEN</t>
  </si>
  <si>
    <t>69.59</t>
  </si>
  <si>
    <t>7250135854</t>
  </si>
  <si>
    <t>KAPPELMAN</t>
  </si>
  <si>
    <t>2025-08-28</t>
  </si>
  <si>
    <t>86.40</t>
  </si>
  <si>
    <t>14MK0</t>
  </si>
  <si>
    <t>PORTUGAL, GARY</t>
  </si>
  <si>
    <t>6250166231</t>
  </si>
  <si>
    <t>MANZARA</t>
  </si>
  <si>
    <t>2025-09-28</t>
  </si>
  <si>
    <t>217.26</t>
  </si>
  <si>
    <t>0.9000</t>
  </si>
  <si>
    <t>15R6V</t>
  </si>
  <si>
    <t>TAUGNER, CHRISTIAN</t>
  </si>
  <si>
    <t>7250228593</t>
  </si>
  <si>
    <t>BONAVOLANTO</t>
  </si>
  <si>
    <t>2025-11-22</t>
  </si>
  <si>
    <t>2.47</t>
  </si>
  <si>
    <t>7250128277</t>
  </si>
  <si>
    <t>THOMPSON</t>
  </si>
  <si>
    <t>2025-07-22</t>
  </si>
  <si>
    <t>193.53</t>
  </si>
  <si>
    <t>7240112516</t>
  </si>
  <si>
    <t>SPLANT</t>
  </si>
  <si>
    <t>145.00</t>
  </si>
  <si>
    <t>7240112931</t>
  </si>
  <si>
    <t>INTILE</t>
  </si>
  <si>
    <t>77.32</t>
  </si>
  <si>
    <t>7240125202</t>
  </si>
  <si>
    <t>CRESSY</t>
  </si>
  <si>
    <t>132.10</t>
  </si>
  <si>
    <t>7240112603</t>
  </si>
  <si>
    <t>FORD</t>
  </si>
  <si>
    <t>62.90</t>
  </si>
  <si>
    <t>7240114781</t>
  </si>
  <si>
    <t>POONOOSAMY</t>
  </si>
  <si>
    <t>81.24</t>
  </si>
  <si>
    <t>3.31</t>
  </si>
  <si>
    <t>7250183661</t>
  </si>
  <si>
    <t>THEODORAKAKIS</t>
  </si>
  <si>
    <t>2025-10-25</t>
  </si>
  <si>
    <t>110.16</t>
  </si>
  <si>
    <t>5.80</t>
  </si>
  <si>
    <t>7240119193</t>
  </si>
  <si>
    <t>ADAMEK</t>
  </si>
  <si>
    <t>2024-12-25</t>
  </si>
  <si>
    <t>68.61</t>
  </si>
  <si>
    <t>19XW6</t>
  </si>
  <si>
    <t>RICHTER, ADAM</t>
  </si>
  <si>
    <t>6250206068</t>
  </si>
  <si>
    <t>FORTIER</t>
  </si>
  <si>
    <t>2025-11-26</t>
  </si>
  <si>
    <t>76.01</t>
  </si>
  <si>
    <t>10.10</t>
  </si>
  <si>
    <t>7240111936</t>
  </si>
  <si>
    <t>CROSBY</t>
  </si>
  <si>
    <t>64.00</t>
  </si>
  <si>
    <t>73.20</t>
  </si>
  <si>
    <t>6240136594</t>
  </si>
  <si>
    <t>158.51</t>
  </si>
  <si>
    <t>7250067462</t>
  </si>
  <si>
    <t>PITTS</t>
  </si>
  <si>
    <t>2025-04-28</t>
  </si>
  <si>
    <t>72.09</t>
  </si>
  <si>
    <t>7250121607</t>
  </si>
  <si>
    <t>REYNA</t>
  </si>
  <si>
    <t>108.25</t>
  </si>
  <si>
    <t>7240116791</t>
  </si>
  <si>
    <t>NAHLEY</t>
  </si>
  <si>
    <t>102.23</t>
  </si>
  <si>
    <t>6240118719</t>
  </si>
  <si>
    <t>CRAWFORD</t>
  </si>
  <si>
    <t>172.16</t>
  </si>
  <si>
    <t>14QED</t>
  </si>
  <si>
    <t>MAX, RONALD</t>
  </si>
  <si>
    <t>6250186035</t>
  </si>
  <si>
    <t>OZMINSKI</t>
  </si>
  <si>
    <t>2025-10-28</t>
  </si>
  <si>
    <t>68.23</t>
  </si>
  <si>
    <t>7250081390</t>
  </si>
  <si>
    <t>KIM</t>
  </si>
  <si>
    <t>2025-05-28</t>
  </si>
  <si>
    <t>91.94</t>
  </si>
  <si>
    <t>7240111182</t>
  </si>
  <si>
    <t>GROSS</t>
  </si>
  <si>
    <t>92.16</t>
  </si>
  <si>
    <t>7250182035</t>
  </si>
  <si>
    <t>MELLO</t>
  </si>
  <si>
    <t>2025-09-23</t>
  </si>
  <si>
    <t>111.01</t>
  </si>
  <si>
    <t>7240118756</t>
  </si>
  <si>
    <t>BRADLEY</t>
  </si>
  <si>
    <t>107.51</t>
  </si>
  <si>
    <t>14JT4</t>
  </si>
  <si>
    <t>WALENGA, DALE</t>
  </si>
  <si>
    <t>7250125384</t>
  </si>
  <si>
    <t>GARZA</t>
  </si>
  <si>
    <t>2025-07-16</t>
  </si>
  <si>
    <t>113.28</t>
  </si>
  <si>
    <t>7240110570</t>
  </si>
  <si>
    <t>RAMSEY</t>
  </si>
  <si>
    <t>68.97</t>
  </si>
  <si>
    <t>7250088780</t>
  </si>
  <si>
    <t>BELL JR</t>
  </si>
  <si>
    <t>80.77</t>
  </si>
  <si>
    <t>6250092297</t>
  </si>
  <si>
    <t>BELL</t>
  </si>
  <si>
    <t>2025-06-05</t>
  </si>
  <si>
    <t>7240119703</t>
  </si>
  <si>
    <t>ROPSKI</t>
  </si>
  <si>
    <t>102.68</t>
  </si>
  <si>
    <t>7240112385</t>
  </si>
  <si>
    <t>TYNAN</t>
  </si>
  <si>
    <t>91.63</t>
  </si>
  <si>
    <t>7250094626</t>
  </si>
  <si>
    <t>ROSS</t>
  </si>
  <si>
    <t>95.00</t>
  </si>
  <si>
    <t>7250184227</t>
  </si>
  <si>
    <t>PANATTONI</t>
  </si>
  <si>
    <t>91.00</t>
  </si>
  <si>
    <t>7250097410</t>
  </si>
  <si>
    <t>NOWAKOWSKI</t>
  </si>
  <si>
    <t>7240113999</t>
  </si>
  <si>
    <t>7240115124</t>
  </si>
  <si>
    <t>ETTERS</t>
  </si>
  <si>
    <t>79.00</t>
  </si>
  <si>
    <t>6240135139</t>
  </si>
  <si>
    <t>ENSING</t>
  </si>
  <si>
    <t>104.18</t>
  </si>
  <si>
    <t>14JWQ</t>
  </si>
  <si>
    <t>CALTAGIRONE, RYAN</t>
  </si>
  <si>
    <t>6250161714</t>
  </si>
  <si>
    <t>FILIPPO</t>
  </si>
  <si>
    <t>127.40</t>
  </si>
  <si>
    <t>6250146673</t>
  </si>
  <si>
    <t>MALONE</t>
  </si>
  <si>
    <t>36.19</t>
  </si>
  <si>
    <t>7240110782</t>
  </si>
  <si>
    <t>SHEE</t>
  </si>
  <si>
    <t>113.64</t>
  </si>
  <si>
    <t>7250210310</t>
  </si>
  <si>
    <t>SMITH</t>
  </si>
  <si>
    <t>2025-11-25</t>
  </si>
  <si>
    <t>120.06</t>
  </si>
  <si>
    <t>7250158819</t>
  </si>
  <si>
    <t>SASAKI</t>
  </si>
  <si>
    <t>2025-09-25</t>
  </si>
  <si>
    <t>130.00</t>
  </si>
  <si>
    <t>6240125810</t>
  </si>
  <si>
    <t>WILLIAMS</t>
  </si>
  <si>
    <t>91.91</t>
  </si>
  <si>
    <t>6240123113</t>
  </si>
  <si>
    <t>DUNK</t>
  </si>
  <si>
    <t>108.26</t>
  </si>
  <si>
    <t>6240128755</t>
  </si>
  <si>
    <t>ABBS BEJLOVEC</t>
  </si>
  <si>
    <t>90.79</t>
  </si>
  <si>
    <t>7240110753</t>
  </si>
  <si>
    <t>104.23</t>
  </si>
  <si>
    <t>6240118764</t>
  </si>
  <si>
    <t>76.18</t>
  </si>
  <si>
    <t>7250104789</t>
  </si>
  <si>
    <t>NUTTLE</t>
  </si>
  <si>
    <t>99.86</t>
  </si>
  <si>
    <t>7240112093</t>
  </si>
  <si>
    <t>CASSATO</t>
  </si>
  <si>
    <t>102.34</t>
  </si>
  <si>
    <t>7250130383</t>
  </si>
  <si>
    <t>PATER</t>
  </si>
  <si>
    <t>2025-07-23</t>
  </si>
  <si>
    <t>151.89</t>
  </si>
  <si>
    <t>7240119755</t>
  </si>
  <si>
    <t>98.56</t>
  </si>
  <si>
    <t>7240111561</t>
  </si>
  <si>
    <t>MIRASOL</t>
  </si>
  <si>
    <t>97.23</t>
  </si>
  <si>
    <t>7240114243</t>
  </si>
  <si>
    <t>ZURAWSKI</t>
  </si>
  <si>
    <t>73.79</t>
  </si>
  <si>
    <t>7240112321</t>
  </si>
  <si>
    <t>RICHERT</t>
  </si>
  <si>
    <t>105.28</t>
  </si>
  <si>
    <t>7250110087</t>
  </si>
  <si>
    <t>72.68</t>
  </si>
  <si>
    <t>7250026367</t>
  </si>
  <si>
    <t>CONNERY</t>
  </si>
  <si>
    <t>2025-02-28</t>
  </si>
  <si>
    <t>93.30</t>
  </si>
  <si>
    <t>7250097140</t>
  </si>
  <si>
    <t>98.00</t>
  </si>
  <si>
    <t>7250102505</t>
  </si>
  <si>
    <t>MILLER</t>
  </si>
  <si>
    <t>93.78</t>
  </si>
  <si>
    <t>17YJ2</t>
  </si>
  <si>
    <t>FOLEY, CAROL</t>
  </si>
  <si>
    <t>7250064114</t>
  </si>
  <si>
    <t>POPE</t>
  </si>
  <si>
    <t>2025-04-23</t>
  </si>
  <si>
    <t>160.93</t>
  </si>
  <si>
    <t>6250145187</t>
  </si>
  <si>
    <t>JONES</t>
  </si>
  <si>
    <t>2025-08-26</t>
  </si>
  <si>
    <t>68.65</t>
  </si>
  <si>
    <t>7250183624</t>
  </si>
  <si>
    <t>112.68</t>
  </si>
  <si>
    <t>GALLINA,JOSEPH</t>
  </si>
  <si>
    <t>DURAY,GREGORY</t>
  </si>
  <si>
    <t>SKENDER,LOUIS</t>
  </si>
  <si>
    <t>DEVEE,PATRICIA</t>
  </si>
  <si>
    <t>HARDY,ALAN T</t>
  </si>
  <si>
    <t>SANCHEZ,LINDA</t>
  </si>
  <si>
    <t>SAVOY,LEAH</t>
  </si>
  <si>
    <t>HANSEN,SALLY</t>
  </si>
  <si>
    <t>KAPPELMAN,KATHLEEN</t>
  </si>
  <si>
    <t>MANZARA,BRADFORD</t>
  </si>
  <si>
    <t>BONAVOLANTO, CARL</t>
  </si>
  <si>
    <t>THOMPSON,BEVERLY</t>
  </si>
  <si>
    <t>SPLANT,MARY</t>
  </si>
  <si>
    <t>INTILE,CONCETTA</t>
  </si>
  <si>
    <t>CRESSY,LAURA</t>
  </si>
  <si>
    <t>FORD,DYAN</t>
  </si>
  <si>
    <t>POONOOSAMY,SUSAN</t>
  </si>
  <si>
    <t>THEODORAKAKIS,GEORGIA</t>
  </si>
  <si>
    <t>ADAMEK,WILLIAM</t>
  </si>
  <si>
    <t>FORTIER, PATRICIA</t>
  </si>
  <si>
    <t>CROSBY,DONALD</t>
  </si>
  <si>
    <t>CRESSY,JEROME</t>
  </si>
  <si>
    <t>PITTS,LENA P</t>
  </si>
  <si>
    <t>REYNA,JANAN</t>
  </si>
  <si>
    <t>NAHLEY,KAREN</t>
  </si>
  <si>
    <t>CRAWFORD,PETER</t>
  </si>
  <si>
    <t>OZMINSKI,SUZANNE</t>
  </si>
  <si>
    <t>KIM,JOHN</t>
  </si>
  <si>
    <t>GROSS,WILLIAM</t>
  </si>
  <si>
    <t>MELLO,HENRY</t>
  </si>
  <si>
    <t>BRADLEY,DIANNE</t>
  </si>
  <si>
    <t>GARZA,LINDA</t>
  </si>
  <si>
    <t>RAMSEY,JOHN</t>
  </si>
  <si>
    <t>BELL JR,MILTON C</t>
  </si>
  <si>
    <t>BELL,CYNTHIA F</t>
  </si>
  <si>
    <t>ROPSKI,CARYN</t>
  </si>
  <si>
    <t>TYNAN,LAURA</t>
  </si>
  <si>
    <t>ROSS,KATHY</t>
  </si>
  <si>
    <t>PANATTONI,RENEE</t>
  </si>
  <si>
    <t>NOWAKOWSKI,KIMBERLY</t>
  </si>
  <si>
    <t>SAVOY,KONSTANTINE</t>
  </si>
  <si>
    <t>ETTERS,JEFFREY</t>
  </si>
  <si>
    <t>ENSING,RUTH</t>
  </si>
  <si>
    <t>FILIPPO,RICHARD</t>
  </si>
  <si>
    <t>MALONE,JOANNE</t>
  </si>
  <si>
    <t>SHEE,DONALD</t>
  </si>
  <si>
    <t>SMITH,TODD</t>
  </si>
  <si>
    <t>SASAKI,DAVIS K</t>
  </si>
  <si>
    <t>WILLIAMS,JESSICA</t>
  </si>
  <si>
    <t>DUNK,JOSEPH</t>
  </si>
  <si>
    <t>ABBS BEJLOVEC,SUSAN</t>
  </si>
  <si>
    <t>SHEE,GAYLE</t>
  </si>
  <si>
    <t>CRAWFORD,DEBRA</t>
  </si>
  <si>
    <t>NUTTLE,HEIDI</t>
  </si>
  <si>
    <t>CASSATO,JAMES</t>
  </si>
  <si>
    <t>PATER,JAMES</t>
  </si>
  <si>
    <t>ROPSKI,BRUCE</t>
  </si>
  <si>
    <t>MIRASOL,LEONIDAS</t>
  </si>
  <si>
    <t>ZURAWSKI,SANDRA</t>
  </si>
  <si>
    <t>RICHERT,MARCELLA</t>
  </si>
  <si>
    <t>KIM,DONG</t>
  </si>
  <si>
    <t>CONNERY,DENNIS</t>
  </si>
  <si>
    <t>DURAY,JUDITH</t>
  </si>
  <si>
    <t>MILLER,MARK</t>
  </si>
  <si>
    <t>POPE,TIMOTHY</t>
  </si>
  <si>
    <t>JONES,BRIAN</t>
  </si>
  <si>
    <t>THEODORAKAKIS,SARANTOS</t>
  </si>
  <si>
    <t>Corebridge Guaranteed Issue Whole Life (90)</t>
  </si>
  <si>
    <t>Corebridge SimpliNow Legacy (94.50)</t>
  </si>
  <si>
    <t>Corebridge SimpliNow Legacy Max (137)</t>
  </si>
  <si>
    <t>RN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</si>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</sst>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4" fontId="0" fillId="2" borderId="0" xfId="0" applyNumberFormat="1" applyFill="1"/>
    <xf numFmtId="0" fontId="0" fillId="2" borderId="0" xfId="0" applyNumberFormat="1" applyFill="1"/>
    <xf numFmtId="0" fontId="0" fillId="2" borderId="0" xfId="0" applyNumberFormat="1" applyFill="1" applyAlignment="1">
      <alignment horizontal="left"/>
    </xf>
    <xf numFmtId="0" fontId="0" fillId="0" borderId="0" xfId="0" applyFill="1"/>
    <xf numFmtId="0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ill="1"/>
    <xf numFmtId="0" fontId="0" fillId="0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4"/>
  <sheetViews>
    <sheetView tabSelected="1" topLeftCell="H30" zoomScale="89" zoomScaleNormal="89" workbookViewId="0">
      <selection activeCell="W4" sqref="W4:W74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6">
        <v>87.22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35</v>
      </c>
      <c r="AE4" t="s">
        <v>52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53</v>
      </c>
      <c r="M5" t="s">
        <v>54</v>
      </c>
      <c r="N5" t="s">
        <v>45</v>
      </c>
      <c r="O5" t="s">
        <v>46</v>
      </c>
      <c r="P5" t="s">
        <v>47</v>
      </c>
      <c r="Q5" t="s">
        <v>55</v>
      </c>
      <c r="R5" t="s">
        <v>55</v>
      </c>
      <c r="S5" t="s">
        <v>55</v>
      </c>
      <c r="T5" t="s">
        <v>49</v>
      </c>
      <c r="U5" s="4" t="s">
        <v>56</v>
      </c>
      <c r="V5" t="s">
        <v>57</v>
      </c>
      <c r="W5" s="6">
        <v>139.74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35</v>
      </c>
      <c r="AE5" t="s">
        <v>52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58</v>
      </c>
      <c r="M6" t="s">
        <v>59</v>
      </c>
      <c r="N6" t="s">
        <v>45</v>
      </c>
      <c r="O6" t="s">
        <v>46</v>
      </c>
      <c r="P6" t="s">
        <v>47</v>
      </c>
      <c r="Q6" t="s">
        <v>48</v>
      </c>
      <c r="R6" t="s">
        <v>48</v>
      </c>
      <c r="S6" t="s">
        <v>48</v>
      </c>
      <c r="T6" t="s">
        <v>49</v>
      </c>
      <c r="U6" s="4" t="s">
        <v>60</v>
      </c>
      <c r="V6" t="s">
        <v>57</v>
      </c>
      <c r="W6" s="6">
        <v>157.52000000000001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35</v>
      </c>
      <c r="AE6" t="s">
        <v>52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61</v>
      </c>
      <c r="J7" t="s">
        <v>62</v>
      </c>
      <c r="K7" t="s">
        <v>42</v>
      </c>
      <c r="L7" t="s">
        <v>63</v>
      </c>
      <c r="M7" t="s">
        <v>64</v>
      </c>
      <c r="N7" t="s">
        <v>45</v>
      </c>
      <c r="O7" t="s">
        <v>46</v>
      </c>
      <c r="P7" t="s">
        <v>47</v>
      </c>
      <c r="Q7" t="s">
        <v>65</v>
      </c>
      <c r="R7" t="s">
        <v>65</v>
      </c>
      <c r="S7" t="s">
        <v>65</v>
      </c>
      <c r="T7" t="s">
        <v>49</v>
      </c>
      <c r="U7" s="4" t="s">
        <v>66</v>
      </c>
      <c r="V7" t="s">
        <v>57</v>
      </c>
      <c r="W7" s="6">
        <v>164.14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35</v>
      </c>
      <c r="AE7" t="s">
        <v>52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61</v>
      </c>
      <c r="J8" t="s">
        <v>62</v>
      </c>
      <c r="K8" t="s">
        <v>42</v>
      </c>
      <c r="L8" t="s">
        <v>67</v>
      </c>
      <c r="M8" t="s">
        <v>68</v>
      </c>
      <c r="N8" t="s">
        <v>45</v>
      </c>
      <c r="O8" t="s">
        <v>46</v>
      </c>
      <c r="P8" t="s">
        <v>47</v>
      </c>
      <c r="Q8" t="s">
        <v>69</v>
      </c>
      <c r="R8" t="s">
        <v>69</v>
      </c>
      <c r="S8" t="s">
        <v>69</v>
      </c>
      <c r="T8" t="s">
        <v>49</v>
      </c>
      <c r="U8" s="4" t="s">
        <v>70</v>
      </c>
      <c r="V8" t="s">
        <v>57</v>
      </c>
      <c r="W8" s="6">
        <v>313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35</v>
      </c>
      <c r="AE8" t="s">
        <v>52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61</v>
      </c>
      <c r="J9" t="s">
        <v>62</v>
      </c>
      <c r="K9" t="s">
        <v>42</v>
      </c>
      <c r="L9" t="s">
        <v>71</v>
      </c>
      <c r="M9" t="s">
        <v>72</v>
      </c>
      <c r="N9" t="s">
        <v>45</v>
      </c>
      <c r="O9" t="s">
        <v>46</v>
      </c>
      <c r="P9" t="s">
        <v>47</v>
      </c>
      <c r="Q9" t="s">
        <v>73</v>
      </c>
      <c r="R9" t="s">
        <v>73</v>
      </c>
      <c r="S9" t="s">
        <v>73</v>
      </c>
      <c r="T9" t="s">
        <v>49</v>
      </c>
      <c r="U9" s="4" t="s">
        <v>74</v>
      </c>
      <c r="V9" t="s">
        <v>57</v>
      </c>
      <c r="W9" s="6">
        <v>224.06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35</v>
      </c>
      <c r="AE9" t="s">
        <v>52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75</v>
      </c>
      <c r="M10" t="s">
        <v>76</v>
      </c>
      <c r="N10" t="s">
        <v>45</v>
      </c>
      <c r="O10" t="s">
        <v>46</v>
      </c>
      <c r="P10" t="s">
        <v>47</v>
      </c>
      <c r="Q10" t="s">
        <v>48</v>
      </c>
      <c r="R10" t="s">
        <v>48</v>
      </c>
      <c r="S10" t="s">
        <v>48</v>
      </c>
      <c r="T10" t="s">
        <v>49</v>
      </c>
      <c r="U10" s="4" t="s">
        <v>77</v>
      </c>
      <c r="V10" t="s">
        <v>57</v>
      </c>
      <c r="W10" s="6">
        <v>176.46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35</v>
      </c>
      <c r="AE10" t="s">
        <v>52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61</v>
      </c>
      <c r="J11" t="s">
        <v>62</v>
      </c>
      <c r="K11" t="s">
        <v>42</v>
      </c>
      <c r="L11" t="s">
        <v>78</v>
      </c>
      <c r="M11" t="s">
        <v>79</v>
      </c>
      <c r="N11" t="s">
        <v>45</v>
      </c>
      <c r="O11" t="s">
        <v>46</v>
      </c>
      <c r="P11" t="s">
        <v>47</v>
      </c>
      <c r="Q11" t="s">
        <v>73</v>
      </c>
      <c r="R11" t="s">
        <v>73</v>
      </c>
      <c r="S11" t="s">
        <v>73</v>
      </c>
      <c r="T11" t="s">
        <v>49</v>
      </c>
      <c r="U11" s="4" t="s">
        <v>80</v>
      </c>
      <c r="V11" t="s">
        <v>57</v>
      </c>
      <c r="W11" s="6">
        <v>95.34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35</v>
      </c>
      <c r="AE11" t="s">
        <v>52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81</v>
      </c>
      <c r="M12" t="s">
        <v>82</v>
      </c>
      <c r="N12" t="s">
        <v>45</v>
      </c>
      <c r="O12" t="s">
        <v>46</v>
      </c>
      <c r="P12" t="s">
        <v>47</v>
      </c>
      <c r="Q12" t="s">
        <v>83</v>
      </c>
      <c r="R12" t="s">
        <v>83</v>
      </c>
      <c r="S12" t="s">
        <v>83</v>
      </c>
      <c r="T12" t="s">
        <v>49</v>
      </c>
      <c r="U12" s="4" t="s">
        <v>84</v>
      </c>
      <c r="V12" t="s">
        <v>51</v>
      </c>
      <c r="W12" s="6">
        <v>81.650000000000006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35</v>
      </c>
      <c r="AE12" t="s">
        <v>52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85</v>
      </c>
      <c r="J13" t="s">
        <v>86</v>
      </c>
      <c r="K13" t="s">
        <v>42</v>
      </c>
      <c r="L13" t="s">
        <v>87</v>
      </c>
      <c r="M13" t="s">
        <v>88</v>
      </c>
      <c r="N13" t="s">
        <v>45</v>
      </c>
      <c r="O13" t="s">
        <v>46</v>
      </c>
      <c r="P13" t="s">
        <v>47</v>
      </c>
      <c r="Q13" t="s">
        <v>89</v>
      </c>
      <c r="R13" t="s">
        <v>89</v>
      </c>
      <c r="S13" t="s">
        <v>89</v>
      </c>
      <c r="T13" t="s">
        <v>49</v>
      </c>
      <c r="U13" s="4" t="s">
        <v>90</v>
      </c>
      <c r="V13" t="s">
        <v>91</v>
      </c>
      <c r="W13" s="6">
        <v>195.53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35</v>
      </c>
      <c r="AE13" t="s">
        <v>52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92</v>
      </c>
      <c r="J14" t="s">
        <v>93</v>
      </c>
      <c r="K14" t="s">
        <v>42</v>
      </c>
      <c r="L14" t="s">
        <v>94</v>
      </c>
      <c r="M14" t="s">
        <v>95</v>
      </c>
      <c r="N14" t="s">
        <v>45</v>
      </c>
      <c r="O14" t="s">
        <v>46</v>
      </c>
      <c r="P14" t="s">
        <v>47</v>
      </c>
      <c r="Q14" t="s">
        <v>96</v>
      </c>
      <c r="R14" t="s">
        <v>96</v>
      </c>
      <c r="S14" t="s">
        <v>96</v>
      </c>
      <c r="T14" t="s">
        <v>49</v>
      </c>
      <c r="U14" s="4" t="s">
        <v>97</v>
      </c>
      <c r="V14" t="s">
        <v>57</v>
      </c>
      <c r="W14" s="6">
        <v>3.38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35</v>
      </c>
      <c r="AE14" t="s">
        <v>52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61</v>
      </c>
      <c r="J15" t="s">
        <v>62</v>
      </c>
      <c r="K15" t="s">
        <v>42</v>
      </c>
      <c r="L15" t="s">
        <v>98</v>
      </c>
      <c r="M15" t="s">
        <v>99</v>
      </c>
      <c r="N15" t="s">
        <v>45</v>
      </c>
      <c r="O15" t="s">
        <v>46</v>
      </c>
      <c r="P15" t="s">
        <v>47</v>
      </c>
      <c r="Q15" t="s">
        <v>100</v>
      </c>
      <c r="R15" t="s">
        <v>100</v>
      </c>
      <c r="S15" t="s">
        <v>100</v>
      </c>
      <c r="T15" t="s">
        <v>49</v>
      </c>
      <c r="U15" s="4" t="s">
        <v>101</v>
      </c>
      <c r="V15" t="s">
        <v>57</v>
      </c>
      <c r="W15" s="6">
        <v>265.14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35</v>
      </c>
      <c r="AE15" t="s">
        <v>52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102</v>
      </c>
      <c r="M16" t="s">
        <v>103</v>
      </c>
      <c r="N16" t="s">
        <v>45</v>
      </c>
      <c r="O16" t="s">
        <v>46</v>
      </c>
      <c r="P16" t="s">
        <v>47</v>
      </c>
      <c r="Q16" t="s">
        <v>48</v>
      </c>
      <c r="R16" t="s">
        <v>48</v>
      </c>
      <c r="S16" t="s">
        <v>48</v>
      </c>
      <c r="T16" t="s">
        <v>49</v>
      </c>
      <c r="U16" s="4" t="s">
        <v>104</v>
      </c>
      <c r="V16" t="s">
        <v>51</v>
      </c>
      <c r="W16" s="6">
        <v>137.03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35</v>
      </c>
      <c r="AE16" t="s">
        <v>52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105</v>
      </c>
      <c r="M17" t="s">
        <v>106</v>
      </c>
      <c r="N17" t="s">
        <v>45</v>
      </c>
      <c r="O17" t="s">
        <v>46</v>
      </c>
      <c r="P17" t="s">
        <v>47</v>
      </c>
      <c r="Q17" t="s">
        <v>48</v>
      </c>
      <c r="R17" t="s">
        <v>48</v>
      </c>
      <c r="S17" t="s">
        <v>48</v>
      </c>
      <c r="T17" t="s">
        <v>49</v>
      </c>
      <c r="U17" s="4" t="s">
        <v>107</v>
      </c>
      <c r="V17" t="s">
        <v>57</v>
      </c>
      <c r="W17" s="6">
        <v>105.93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35</v>
      </c>
      <c r="AE17" t="s">
        <v>52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108</v>
      </c>
      <c r="M18" t="s">
        <v>109</v>
      </c>
      <c r="N18" t="s">
        <v>45</v>
      </c>
      <c r="O18" t="s">
        <v>46</v>
      </c>
      <c r="P18" t="s">
        <v>47</v>
      </c>
      <c r="Q18" t="s">
        <v>48</v>
      </c>
      <c r="R18" t="s">
        <v>48</v>
      </c>
      <c r="S18" t="s">
        <v>48</v>
      </c>
      <c r="T18" t="s">
        <v>49</v>
      </c>
      <c r="U18" s="4" t="s">
        <v>110</v>
      </c>
      <c r="V18" t="s">
        <v>51</v>
      </c>
      <c r="W18" s="6">
        <v>124.83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35</v>
      </c>
      <c r="AE18" t="s">
        <v>52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111</v>
      </c>
      <c r="M19" t="s">
        <v>112</v>
      </c>
      <c r="N19" t="s">
        <v>45</v>
      </c>
      <c r="O19" t="s">
        <v>46</v>
      </c>
      <c r="P19" t="s">
        <v>47</v>
      </c>
      <c r="Q19" t="s">
        <v>48</v>
      </c>
      <c r="R19" t="s">
        <v>48</v>
      </c>
      <c r="S19" t="s">
        <v>48</v>
      </c>
      <c r="T19" t="s">
        <v>49</v>
      </c>
      <c r="U19" s="4" t="s">
        <v>113</v>
      </c>
      <c r="V19" t="s">
        <v>57</v>
      </c>
      <c r="W19" s="6">
        <v>86.17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35</v>
      </c>
      <c r="AE19" t="s">
        <v>52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114</v>
      </c>
      <c r="M20" t="s">
        <v>115</v>
      </c>
      <c r="N20" t="s">
        <v>45</v>
      </c>
      <c r="O20" t="s">
        <v>46</v>
      </c>
      <c r="P20" t="s">
        <v>47</v>
      </c>
      <c r="Q20" t="s">
        <v>48</v>
      </c>
      <c r="R20" t="s">
        <v>48</v>
      </c>
      <c r="S20" t="s">
        <v>48</v>
      </c>
      <c r="T20" t="s">
        <v>49</v>
      </c>
      <c r="U20" s="4" t="s">
        <v>116</v>
      </c>
      <c r="V20" t="s">
        <v>51</v>
      </c>
      <c r="W20" s="6">
        <v>76.77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35</v>
      </c>
      <c r="AE20" t="s">
        <v>52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61</v>
      </c>
      <c r="J21" t="s">
        <v>62</v>
      </c>
      <c r="K21" t="s">
        <v>42</v>
      </c>
      <c r="L21" t="s">
        <v>78</v>
      </c>
      <c r="M21" t="s">
        <v>79</v>
      </c>
      <c r="N21" t="s">
        <v>45</v>
      </c>
      <c r="O21" t="s">
        <v>46</v>
      </c>
      <c r="P21" t="s">
        <v>47</v>
      </c>
      <c r="Q21" t="s">
        <v>73</v>
      </c>
      <c r="R21" t="s">
        <v>73</v>
      </c>
      <c r="S21" t="s">
        <v>73</v>
      </c>
      <c r="T21" t="s">
        <v>49</v>
      </c>
      <c r="U21" s="4" t="s">
        <v>117</v>
      </c>
      <c r="V21" t="s">
        <v>57</v>
      </c>
      <c r="W21" s="6">
        <v>4.53</v>
      </c>
      <c r="X21" t="s">
        <v>52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35</v>
      </c>
      <c r="AE21" t="s">
        <v>52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118</v>
      </c>
      <c r="M22" t="s">
        <v>119</v>
      </c>
      <c r="N22" t="s">
        <v>45</v>
      </c>
      <c r="O22" t="s">
        <v>46</v>
      </c>
      <c r="P22" t="s">
        <v>47</v>
      </c>
      <c r="Q22" t="s">
        <v>120</v>
      </c>
      <c r="R22" t="s">
        <v>120</v>
      </c>
      <c r="S22" t="s">
        <v>120</v>
      </c>
      <c r="T22" t="s">
        <v>49</v>
      </c>
      <c r="U22" s="4" t="s">
        <v>121</v>
      </c>
      <c r="V22" t="s">
        <v>57</v>
      </c>
      <c r="W22" s="6">
        <v>150.91999999999999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35</v>
      </c>
      <c r="AE22" t="s">
        <v>52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61</v>
      </c>
      <c r="J23" t="s">
        <v>62</v>
      </c>
      <c r="K23" t="s">
        <v>42</v>
      </c>
      <c r="L23" t="s">
        <v>63</v>
      </c>
      <c r="M23" t="s">
        <v>64</v>
      </c>
      <c r="N23" t="s">
        <v>45</v>
      </c>
      <c r="O23" t="s">
        <v>46</v>
      </c>
      <c r="P23" t="s">
        <v>47</v>
      </c>
      <c r="Q23" t="s">
        <v>65</v>
      </c>
      <c r="R23" t="s">
        <v>65</v>
      </c>
      <c r="S23" t="s">
        <v>65</v>
      </c>
      <c r="T23" t="s">
        <v>49</v>
      </c>
      <c r="U23" s="4" t="s">
        <v>122</v>
      </c>
      <c r="V23" t="s">
        <v>57</v>
      </c>
      <c r="W23" s="6">
        <v>7.95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35</v>
      </c>
      <c r="AE23" t="s">
        <v>52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123</v>
      </c>
      <c r="M24" t="s">
        <v>124</v>
      </c>
      <c r="N24" t="s">
        <v>45</v>
      </c>
      <c r="O24" t="s">
        <v>46</v>
      </c>
      <c r="P24" t="s">
        <v>47</v>
      </c>
      <c r="Q24" t="s">
        <v>125</v>
      </c>
      <c r="R24" t="s">
        <v>125</v>
      </c>
      <c r="S24" t="s">
        <v>125</v>
      </c>
      <c r="T24" t="s">
        <v>49</v>
      </c>
      <c r="U24" s="4" t="s">
        <v>126</v>
      </c>
      <c r="V24" t="s">
        <v>57</v>
      </c>
      <c r="W24" s="6">
        <v>94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35</v>
      </c>
      <c r="AE24" t="s">
        <v>52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127</v>
      </c>
      <c r="J25" t="s">
        <v>128</v>
      </c>
      <c r="K25" t="s">
        <v>42</v>
      </c>
      <c r="L25" t="s">
        <v>129</v>
      </c>
      <c r="M25" t="s">
        <v>130</v>
      </c>
      <c r="N25" t="s">
        <v>45</v>
      </c>
      <c r="O25" t="s">
        <v>46</v>
      </c>
      <c r="P25" t="s">
        <v>47</v>
      </c>
      <c r="Q25" t="s">
        <v>131</v>
      </c>
      <c r="R25" t="s">
        <v>131</v>
      </c>
      <c r="S25" t="s">
        <v>131</v>
      </c>
      <c r="T25" t="s">
        <v>49</v>
      </c>
      <c r="U25" s="4" t="s">
        <v>132</v>
      </c>
      <c r="V25" t="s">
        <v>91</v>
      </c>
      <c r="W25" s="6">
        <v>68.41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35</v>
      </c>
      <c r="AE25" t="s">
        <v>52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61</v>
      </c>
      <c r="J26" t="s">
        <v>62</v>
      </c>
      <c r="K26" t="s">
        <v>42</v>
      </c>
      <c r="L26" t="s">
        <v>98</v>
      </c>
      <c r="M26" t="s">
        <v>99</v>
      </c>
      <c r="N26" t="s">
        <v>45</v>
      </c>
      <c r="O26" t="s">
        <v>46</v>
      </c>
      <c r="P26" t="s">
        <v>47</v>
      </c>
      <c r="Q26" t="s">
        <v>100</v>
      </c>
      <c r="R26" t="s">
        <v>100</v>
      </c>
      <c r="S26" t="s">
        <v>100</v>
      </c>
      <c r="T26" t="s">
        <v>49</v>
      </c>
      <c r="U26" s="4" t="s">
        <v>133</v>
      </c>
      <c r="V26" t="s">
        <v>57</v>
      </c>
      <c r="W26" s="6">
        <v>13.84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35</v>
      </c>
      <c r="AE26" t="s">
        <v>52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134</v>
      </c>
      <c r="M27" t="s">
        <v>135</v>
      </c>
      <c r="N27" t="s">
        <v>45</v>
      </c>
      <c r="O27" t="s">
        <v>46</v>
      </c>
      <c r="P27" t="s">
        <v>47</v>
      </c>
      <c r="Q27" t="s">
        <v>48</v>
      </c>
      <c r="R27" t="s">
        <v>48</v>
      </c>
      <c r="S27" t="s">
        <v>48</v>
      </c>
      <c r="T27" t="s">
        <v>49</v>
      </c>
      <c r="U27" s="4" t="s">
        <v>136</v>
      </c>
      <c r="V27" t="s">
        <v>57</v>
      </c>
      <c r="W27" s="6">
        <v>87.68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35</v>
      </c>
      <c r="AE27" t="s">
        <v>52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92</v>
      </c>
      <c r="J28" t="s">
        <v>93</v>
      </c>
      <c r="K28" t="s">
        <v>42</v>
      </c>
      <c r="L28" t="s">
        <v>94</v>
      </c>
      <c r="M28" t="s">
        <v>95</v>
      </c>
      <c r="N28" t="s">
        <v>45</v>
      </c>
      <c r="O28" t="s">
        <v>46</v>
      </c>
      <c r="P28" t="s">
        <v>47</v>
      </c>
      <c r="Q28" t="s">
        <v>96</v>
      </c>
      <c r="R28" t="s">
        <v>96</v>
      </c>
      <c r="S28" t="s">
        <v>96</v>
      </c>
      <c r="T28" t="s">
        <v>49</v>
      </c>
      <c r="U28" s="4" t="s">
        <v>137</v>
      </c>
      <c r="V28" t="s">
        <v>57</v>
      </c>
      <c r="W28" s="6">
        <v>100.28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52</v>
      </c>
      <c r="AD28" t="s">
        <v>35</v>
      </c>
      <c r="AE28" t="s">
        <v>52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138</v>
      </c>
      <c r="M29" t="s">
        <v>109</v>
      </c>
      <c r="N29" t="s">
        <v>45</v>
      </c>
      <c r="O29" t="s">
        <v>46</v>
      </c>
      <c r="P29" t="s">
        <v>47</v>
      </c>
      <c r="Q29" t="s">
        <v>48</v>
      </c>
      <c r="R29" t="s">
        <v>48</v>
      </c>
      <c r="S29" t="s">
        <v>48</v>
      </c>
      <c r="T29" t="s">
        <v>49</v>
      </c>
      <c r="U29" s="4" t="s">
        <v>139</v>
      </c>
      <c r="V29" t="s">
        <v>91</v>
      </c>
      <c r="W29" s="6">
        <v>142.66</v>
      </c>
      <c r="X29" t="s">
        <v>52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35</v>
      </c>
      <c r="AE29" t="s">
        <v>52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85</v>
      </c>
      <c r="J30" t="s">
        <v>86</v>
      </c>
      <c r="K30" t="s">
        <v>42</v>
      </c>
      <c r="L30" t="s">
        <v>140</v>
      </c>
      <c r="M30" t="s">
        <v>141</v>
      </c>
      <c r="N30" t="s">
        <v>45</v>
      </c>
      <c r="O30" t="s">
        <v>46</v>
      </c>
      <c r="P30" t="s">
        <v>47</v>
      </c>
      <c r="Q30" t="s">
        <v>142</v>
      </c>
      <c r="R30" t="s">
        <v>142</v>
      </c>
      <c r="S30" t="s">
        <v>142</v>
      </c>
      <c r="T30" t="s">
        <v>49</v>
      </c>
      <c r="U30" s="4" t="s">
        <v>143</v>
      </c>
      <c r="V30" t="s">
        <v>57</v>
      </c>
      <c r="W30" s="6">
        <v>98.76</v>
      </c>
      <c r="X30" t="s">
        <v>52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35</v>
      </c>
      <c r="AE30" t="s">
        <v>52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144</v>
      </c>
      <c r="M31" t="s">
        <v>145</v>
      </c>
      <c r="N31" t="s">
        <v>45</v>
      </c>
      <c r="O31" t="s">
        <v>46</v>
      </c>
      <c r="P31" t="s">
        <v>47</v>
      </c>
      <c r="Q31" t="s">
        <v>65</v>
      </c>
      <c r="R31" t="s">
        <v>65</v>
      </c>
      <c r="S31" t="s">
        <v>65</v>
      </c>
      <c r="T31" t="s">
        <v>49</v>
      </c>
      <c r="U31" s="4" t="s">
        <v>146</v>
      </c>
      <c r="V31" t="s">
        <v>57</v>
      </c>
      <c r="W31" s="6">
        <v>148.30000000000001</v>
      </c>
      <c r="X31" t="s">
        <v>52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35</v>
      </c>
      <c r="AE31" t="s">
        <v>52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147</v>
      </c>
      <c r="M32" t="s">
        <v>148</v>
      </c>
      <c r="N32" t="s">
        <v>45</v>
      </c>
      <c r="O32" t="s">
        <v>46</v>
      </c>
      <c r="P32" t="s">
        <v>47</v>
      </c>
      <c r="Q32" t="s">
        <v>48</v>
      </c>
      <c r="R32" t="s">
        <v>48</v>
      </c>
      <c r="S32" t="s">
        <v>48</v>
      </c>
      <c r="T32" t="s">
        <v>49</v>
      </c>
      <c r="U32" s="4" t="s">
        <v>149</v>
      </c>
      <c r="V32" t="s">
        <v>57</v>
      </c>
      <c r="W32" s="6">
        <v>140.06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35</v>
      </c>
      <c r="AE32" t="s">
        <v>52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150</v>
      </c>
      <c r="M33" t="s">
        <v>151</v>
      </c>
      <c r="N33" t="s">
        <v>45</v>
      </c>
      <c r="O33" t="s">
        <v>46</v>
      </c>
      <c r="P33" t="s">
        <v>47</v>
      </c>
      <c r="Q33" t="s">
        <v>48</v>
      </c>
      <c r="R33" t="s">
        <v>48</v>
      </c>
      <c r="S33" t="s">
        <v>48</v>
      </c>
      <c r="T33" t="s">
        <v>49</v>
      </c>
      <c r="U33" s="4" t="s">
        <v>152</v>
      </c>
      <c r="V33" t="s">
        <v>91</v>
      </c>
      <c r="W33" s="6">
        <v>154.94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35</v>
      </c>
      <c r="AE33" t="s">
        <v>52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153</v>
      </c>
      <c r="J34" t="s">
        <v>154</v>
      </c>
      <c r="K34" t="s">
        <v>42</v>
      </c>
      <c r="L34" t="s">
        <v>155</v>
      </c>
      <c r="M34" t="s">
        <v>156</v>
      </c>
      <c r="N34" t="s">
        <v>45</v>
      </c>
      <c r="O34" t="s">
        <v>46</v>
      </c>
      <c r="P34" t="s">
        <v>47</v>
      </c>
      <c r="Q34" t="s">
        <v>157</v>
      </c>
      <c r="R34" t="s">
        <v>157</v>
      </c>
      <c r="S34" t="s">
        <v>157</v>
      </c>
      <c r="T34" t="s">
        <v>49</v>
      </c>
      <c r="U34" s="4" t="s">
        <v>158</v>
      </c>
      <c r="V34" t="s">
        <v>91</v>
      </c>
      <c r="W34" s="6">
        <v>61.41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35</v>
      </c>
      <c r="AE34" t="s">
        <v>52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159</v>
      </c>
      <c r="M35" t="s">
        <v>160</v>
      </c>
      <c r="N35" t="s">
        <v>45</v>
      </c>
      <c r="O35" t="s">
        <v>46</v>
      </c>
      <c r="P35" t="s">
        <v>47</v>
      </c>
      <c r="Q35" t="s">
        <v>161</v>
      </c>
      <c r="R35" t="s">
        <v>161</v>
      </c>
      <c r="S35" t="s">
        <v>161</v>
      </c>
      <c r="T35" t="s">
        <v>49</v>
      </c>
      <c r="U35" s="4" t="s">
        <v>162</v>
      </c>
      <c r="V35" t="s">
        <v>57</v>
      </c>
      <c r="W35" s="6">
        <v>125.96</v>
      </c>
      <c r="X35" t="s">
        <v>52</v>
      </c>
      <c r="Y35" t="s">
        <v>52</v>
      </c>
      <c r="Z35" t="s">
        <v>52</v>
      </c>
      <c r="AA35" t="s">
        <v>52</v>
      </c>
      <c r="AB35" t="s">
        <v>52</v>
      </c>
      <c r="AC35" t="s">
        <v>52</v>
      </c>
      <c r="AD35" t="s">
        <v>35</v>
      </c>
      <c r="AE35" t="s">
        <v>52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 t="s">
        <v>42</v>
      </c>
      <c r="L36" t="s">
        <v>163</v>
      </c>
      <c r="M36" t="s">
        <v>164</v>
      </c>
      <c r="N36" t="s">
        <v>45</v>
      </c>
      <c r="O36" t="s">
        <v>46</v>
      </c>
      <c r="P36" t="s">
        <v>47</v>
      </c>
      <c r="Q36" t="s">
        <v>48</v>
      </c>
      <c r="R36" t="s">
        <v>48</v>
      </c>
      <c r="S36" t="s">
        <v>48</v>
      </c>
      <c r="T36" t="s">
        <v>49</v>
      </c>
      <c r="U36" s="4" t="s">
        <v>165</v>
      </c>
      <c r="V36" t="s">
        <v>51</v>
      </c>
      <c r="W36" s="6">
        <v>87.09</v>
      </c>
      <c r="X36" t="s">
        <v>52</v>
      </c>
      <c r="Y36" t="s">
        <v>52</v>
      </c>
      <c r="Z36" t="s">
        <v>52</v>
      </c>
      <c r="AA36" t="s">
        <v>52</v>
      </c>
      <c r="AB36" t="s">
        <v>52</v>
      </c>
      <c r="AC36" t="s">
        <v>52</v>
      </c>
      <c r="AD36" t="s">
        <v>35</v>
      </c>
      <c r="AE36" t="s">
        <v>52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127</v>
      </c>
      <c r="J37" t="s">
        <v>128</v>
      </c>
      <c r="K37" t="s">
        <v>42</v>
      </c>
      <c r="L37" t="s">
        <v>166</v>
      </c>
      <c r="M37" t="s">
        <v>167</v>
      </c>
      <c r="N37" t="s">
        <v>45</v>
      </c>
      <c r="O37" t="s">
        <v>46</v>
      </c>
      <c r="P37" t="s">
        <v>47</v>
      </c>
      <c r="Q37" t="s">
        <v>168</v>
      </c>
      <c r="R37" t="s">
        <v>168</v>
      </c>
      <c r="S37" t="s">
        <v>168</v>
      </c>
      <c r="T37" t="s">
        <v>49</v>
      </c>
      <c r="U37" s="4" t="s">
        <v>169</v>
      </c>
      <c r="V37" t="s">
        <v>51</v>
      </c>
      <c r="W37" s="6">
        <v>104.9</v>
      </c>
      <c r="X37" t="s">
        <v>52</v>
      </c>
      <c r="Y37" t="s">
        <v>52</v>
      </c>
      <c r="Z37" t="s">
        <v>52</v>
      </c>
      <c r="AA37" t="s">
        <v>52</v>
      </c>
      <c r="AB37" t="s">
        <v>52</v>
      </c>
      <c r="AC37" t="s">
        <v>52</v>
      </c>
      <c r="AD37" t="s">
        <v>35</v>
      </c>
      <c r="AE37" t="s">
        <v>52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170</v>
      </c>
      <c r="M38" t="s">
        <v>171</v>
      </c>
      <c r="N38" t="s">
        <v>45</v>
      </c>
      <c r="O38" t="s">
        <v>46</v>
      </c>
      <c r="P38" t="s">
        <v>47</v>
      </c>
      <c r="Q38" t="s">
        <v>125</v>
      </c>
      <c r="R38" t="s">
        <v>125</v>
      </c>
      <c r="S38" t="s">
        <v>125</v>
      </c>
      <c r="T38" t="s">
        <v>49</v>
      </c>
      <c r="U38" s="4" t="s">
        <v>172</v>
      </c>
      <c r="V38" t="s">
        <v>51</v>
      </c>
      <c r="W38" s="6">
        <v>101.6</v>
      </c>
      <c r="X38" t="s">
        <v>52</v>
      </c>
      <c r="Y38" t="s">
        <v>52</v>
      </c>
      <c r="Z38" t="s">
        <v>52</v>
      </c>
      <c r="AA38" t="s">
        <v>52</v>
      </c>
      <c r="AB38" t="s">
        <v>52</v>
      </c>
      <c r="AC38" t="s">
        <v>52</v>
      </c>
      <c r="AD38" t="s">
        <v>35</v>
      </c>
      <c r="AE38" t="s">
        <v>52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173</v>
      </c>
      <c r="J39" t="s">
        <v>174</v>
      </c>
      <c r="K39" t="s">
        <v>42</v>
      </c>
      <c r="L39" t="s">
        <v>175</v>
      </c>
      <c r="M39" t="s">
        <v>176</v>
      </c>
      <c r="N39" t="s">
        <v>45</v>
      </c>
      <c r="O39" t="s">
        <v>46</v>
      </c>
      <c r="P39" t="s">
        <v>47</v>
      </c>
      <c r="Q39" t="s">
        <v>177</v>
      </c>
      <c r="R39" t="s">
        <v>177</v>
      </c>
      <c r="S39" t="s">
        <v>177</v>
      </c>
      <c r="T39" t="s">
        <v>49</v>
      </c>
      <c r="U39" s="4" t="s">
        <v>178</v>
      </c>
      <c r="V39" t="s">
        <v>57</v>
      </c>
      <c r="W39" s="6">
        <v>155.19</v>
      </c>
      <c r="X39" t="s">
        <v>52</v>
      </c>
      <c r="Y39" t="s">
        <v>52</v>
      </c>
      <c r="Z39" t="s">
        <v>52</v>
      </c>
      <c r="AA39" t="s">
        <v>52</v>
      </c>
      <c r="AB39" t="s">
        <v>52</v>
      </c>
      <c r="AC39" t="s">
        <v>52</v>
      </c>
      <c r="AD39" t="s">
        <v>35</v>
      </c>
      <c r="AE39" t="s">
        <v>52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179</v>
      </c>
      <c r="M40" t="s">
        <v>180</v>
      </c>
      <c r="N40" t="s">
        <v>45</v>
      </c>
      <c r="O40" t="s">
        <v>46</v>
      </c>
      <c r="P40" t="s">
        <v>47</v>
      </c>
      <c r="Q40" t="s">
        <v>48</v>
      </c>
      <c r="R40" t="s">
        <v>48</v>
      </c>
      <c r="S40" t="s">
        <v>48</v>
      </c>
      <c r="T40" t="s">
        <v>49</v>
      </c>
      <c r="U40" s="4" t="s">
        <v>181</v>
      </c>
      <c r="V40" t="s">
        <v>57</v>
      </c>
      <c r="W40" s="6">
        <v>94.49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35</v>
      </c>
      <c r="AE40" t="s">
        <v>52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85</v>
      </c>
      <c r="J41" t="s">
        <v>86</v>
      </c>
      <c r="K41" t="s">
        <v>42</v>
      </c>
      <c r="L41" t="s">
        <v>182</v>
      </c>
      <c r="M41" t="s">
        <v>183</v>
      </c>
      <c r="N41" t="s">
        <v>45</v>
      </c>
      <c r="O41" t="s">
        <v>46</v>
      </c>
      <c r="P41" t="s">
        <v>47</v>
      </c>
      <c r="Q41" t="s">
        <v>161</v>
      </c>
      <c r="R41" t="s">
        <v>161</v>
      </c>
      <c r="S41" t="s">
        <v>161</v>
      </c>
      <c r="T41" t="s">
        <v>49</v>
      </c>
      <c r="U41" s="4" t="s">
        <v>184</v>
      </c>
      <c r="V41" t="s">
        <v>51</v>
      </c>
      <c r="W41" s="6">
        <v>76.33</v>
      </c>
      <c r="X41" t="s">
        <v>52</v>
      </c>
      <c r="Y41" t="s">
        <v>52</v>
      </c>
      <c r="Z41" t="s">
        <v>52</v>
      </c>
      <c r="AA41" t="s">
        <v>52</v>
      </c>
      <c r="AB41" t="s">
        <v>52</v>
      </c>
      <c r="AC41" t="s">
        <v>52</v>
      </c>
      <c r="AD41" t="s">
        <v>35</v>
      </c>
      <c r="AE41" t="s">
        <v>52</v>
      </c>
    </row>
    <row r="42" spans="1:31" x14ac:dyDescent="0.25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85</v>
      </c>
      <c r="J42" t="s">
        <v>86</v>
      </c>
      <c r="K42" t="s">
        <v>42</v>
      </c>
      <c r="L42" t="s">
        <v>185</v>
      </c>
      <c r="M42" t="s">
        <v>186</v>
      </c>
      <c r="N42" t="s">
        <v>45</v>
      </c>
      <c r="O42" t="s">
        <v>46</v>
      </c>
      <c r="P42" t="s">
        <v>47</v>
      </c>
      <c r="Q42" t="s">
        <v>187</v>
      </c>
      <c r="R42" t="s">
        <v>187</v>
      </c>
      <c r="S42" t="s">
        <v>187</v>
      </c>
      <c r="T42" t="s">
        <v>49</v>
      </c>
      <c r="U42" s="4" t="s">
        <v>132</v>
      </c>
      <c r="V42" t="s">
        <v>91</v>
      </c>
      <c r="W42" s="6">
        <v>68.41</v>
      </c>
      <c r="X42" t="s">
        <v>52</v>
      </c>
      <c r="Y42" t="s">
        <v>52</v>
      </c>
      <c r="Z42" t="s">
        <v>52</v>
      </c>
      <c r="AA42" t="s">
        <v>52</v>
      </c>
      <c r="AB42" t="s">
        <v>52</v>
      </c>
      <c r="AC42" t="s">
        <v>52</v>
      </c>
      <c r="AD42" t="s">
        <v>35</v>
      </c>
      <c r="AE42" t="s">
        <v>52</v>
      </c>
    </row>
    <row r="43" spans="1:31" x14ac:dyDescent="0.25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188</v>
      </c>
      <c r="M43" t="s">
        <v>189</v>
      </c>
      <c r="N43" t="s">
        <v>45</v>
      </c>
      <c r="O43" t="s">
        <v>46</v>
      </c>
      <c r="P43" t="s">
        <v>47</v>
      </c>
      <c r="Q43" t="s">
        <v>125</v>
      </c>
      <c r="R43" t="s">
        <v>125</v>
      </c>
      <c r="S43" t="s">
        <v>125</v>
      </c>
      <c r="T43" t="s">
        <v>49</v>
      </c>
      <c r="U43" s="4" t="s">
        <v>190</v>
      </c>
      <c r="V43" t="s">
        <v>57</v>
      </c>
      <c r="W43" s="6">
        <v>140.66999999999999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35</v>
      </c>
      <c r="AE43" t="s">
        <v>52</v>
      </c>
    </row>
    <row r="44" spans="1:31" x14ac:dyDescent="0.25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191</v>
      </c>
      <c r="M44" t="s">
        <v>192</v>
      </c>
      <c r="N44" t="s">
        <v>45</v>
      </c>
      <c r="O44" t="s">
        <v>46</v>
      </c>
      <c r="P44" t="s">
        <v>47</v>
      </c>
      <c r="Q44" t="s">
        <v>48</v>
      </c>
      <c r="R44" t="s">
        <v>48</v>
      </c>
      <c r="S44" t="s">
        <v>48</v>
      </c>
      <c r="T44" t="s">
        <v>49</v>
      </c>
      <c r="U44" s="4" t="s">
        <v>193</v>
      </c>
      <c r="V44" t="s">
        <v>57</v>
      </c>
      <c r="W44" s="6">
        <v>125.53</v>
      </c>
      <c r="X44" t="s">
        <v>52</v>
      </c>
      <c r="Y44" t="s">
        <v>52</v>
      </c>
      <c r="Z44" t="s">
        <v>52</v>
      </c>
      <c r="AA44" t="s">
        <v>52</v>
      </c>
      <c r="AB44" t="s">
        <v>52</v>
      </c>
      <c r="AC44" t="s">
        <v>52</v>
      </c>
      <c r="AD44" t="s">
        <v>35</v>
      </c>
      <c r="AE44" t="s">
        <v>52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194</v>
      </c>
      <c r="M45" t="s">
        <v>195</v>
      </c>
      <c r="N45" t="s">
        <v>45</v>
      </c>
      <c r="O45" t="s">
        <v>46</v>
      </c>
      <c r="P45" t="s">
        <v>47</v>
      </c>
      <c r="Q45" t="s">
        <v>55</v>
      </c>
      <c r="R45" t="s">
        <v>55</v>
      </c>
      <c r="S45" t="s">
        <v>55</v>
      </c>
      <c r="T45" t="s">
        <v>49</v>
      </c>
      <c r="U45" s="4" t="s">
        <v>196</v>
      </c>
      <c r="V45" t="s">
        <v>57</v>
      </c>
      <c r="W45" s="6">
        <v>130.15</v>
      </c>
      <c r="X45" t="s">
        <v>52</v>
      </c>
      <c r="Y45" t="s">
        <v>52</v>
      </c>
      <c r="Z45" t="s">
        <v>52</v>
      </c>
      <c r="AA45" t="s">
        <v>52</v>
      </c>
      <c r="AB45" t="s">
        <v>52</v>
      </c>
      <c r="AC45" t="s">
        <v>52</v>
      </c>
      <c r="AD45" t="s">
        <v>35</v>
      </c>
      <c r="AE45" t="s">
        <v>52</v>
      </c>
    </row>
    <row r="46" spans="1:31" x14ac:dyDescent="0.25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197</v>
      </c>
      <c r="M46" t="s">
        <v>198</v>
      </c>
      <c r="N46" t="s">
        <v>45</v>
      </c>
      <c r="O46" t="s">
        <v>46</v>
      </c>
      <c r="P46" t="s">
        <v>47</v>
      </c>
      <c r="Q46" t="s">
        <v>120</v>
      </c>
      <c r="R46" t="s">
        <v>120</v>
      </c>
      <c r="S46" t="s">
        <v>120</v>
      </c>
      <c r="T46" t="s">
        <v>49</v>
      </c>
      <c r="U46" s="4" t="s">
        <v>199</v>
      </c>
      <c r="V46" t="s">
        <v>57</v>
      </c>
      <c r="W46" s="6">
        <v>124.67</v>
      </c>
      <c r="X46" t="s">
        <v>52</v>
      </c>
      <c r="Y46" t="s">
        <v>52</v>
      </c>
      <c r="Z46" t="s">
        <v>52</v>
      </c>
      <c r="AA46" t="s">
        <v>52</v>
      </c>
      <c r="AB46" t="s">
        <v>52</v>
      </c>
      <c r="AC46" t="s">
        <v>52</v>
      </c>
      <c r="AD46" t="s">
        <v>35</v>
      </c>
      <c r="AE46" t="s">
        <v>52</v>
      </c>
    </row>
    <row r="47" spans="1:31" x14ac:dyDescent="0.25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200</v>
      </c>
      <c r="M47" t="s">
        <v>201</v>
      </c>
      <c r="N47" t="s">
        <v>45</v>
      </c>
      <c r="O47" t="s">
        <v>46</v>
      </c>
      <c r="P47" t="s">
        <v>47</v>
      </c>
      <c r="Q47" t="s">
        <v>55</v>
      </c>
      <c r="R47" t="s">
        <v>55</v>
      </c>
      <c r="S47" t="s">
        <v>55</v>
      </c>
      <c r="T47" t="s">
        <v>49</v>
      </c>
      <c r="U47" s="4" t="s">
        <v>56</v>
      </c>
      <c r="V47" t="s">
        <v>57</v>
      </c>
      <c r="W47" s="6">
        <v>139.74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35</v>
      </c>
      <c r="AE47" t="s">
        <v>52</v>
      </c>
    </row>
    <row r="48" spans="1:31" x14ac:dyDescent="0.25">
      <c r="A48" t="s">
        <v>32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202</v>
      </c>
      <c r="M48" t="s">
        <v>76</v>
      </c>
      <c r="N48" t="s">
        <v>45</v>
      </c>
      <c r="O48" t="s">
        <v>46</v>
      </c>
      <c r="P48" t="s">
        <v>47</v>
      </c>
      <c r="Q48" t="s">
        <v>48</v>
      </c>
      <c r="R48" t="s">
        <v>48</v>
      </c>
      <c r="S48" t="s">
        <v>48</v>
      </c>
      <c r="T48" t="s">
        <v>49</v>
      </c>
      <c r="U48" s="4" t="s">
        <v>77</v>
      </c>
      <c r="V48" t="s">
        <v>57</v>
      </c>
      <c r="W48" s="6">
        <v>176.46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35</v>
      </c>
      <c r="AE48" t="s">
        <v>52</v>
      </c>
    </row>
    <row r="49" spans="1:31" x14ac:dyDescent="0.25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203</v>
      </c>
      <c r="M49" t="s">
        <v>204</v>
      </c>
      <c r="N49" t="s">
        <v>45</v>
      </c>
      <c r="O49" t="s">
        <v>46</v>
      </c>
      <c r="P49" t="s">
        <v>47</v>
      </c>
      <c r="Q49" t="s">
        <v>48</v>
      </c>
      <c r="R49" t="s">
        <v>48</v>
      </c>
      <c r="S49" t="s">
        <v>48</v>
      </c>
      <c r="T49" t="s">
        <v>49</v>
      </c>
      <c r="U49" s="4" t="s">
        <v>205</v>
      </c>
      <c r="V49" t="s">
        <v>57</v>
      </c>
      <c r="W49" s="6">
        <v>108.23</v>
      </c>
      <c r="X49" t="s">
        <v>52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35</v>
      </c>
      <c r="AE49" t="s">
        <v>52</v>
      </c>
    </row>
    <row r="50" spans="1:31" x14ac:dyDescent="0.25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206</v>
      </c>
      <c r="M50" t="s">
        <v>207</v>
      </c>
      <c r="N50" t="s">
        <v>45</v>
      </c>
      <c r="O50" t="s">
        <v>46</v>
      </c>
      <c r="P50" t="s">
        <v>47</v>
      </c>
      <c r="Q50" t="s">
        <v>48</v>
      </c>
      <c r="R50" t="s">
        <v>48</v>
      </c>
      <c r="S50" t="s">
        <v>48</v>
      </c>
      <c r="T50" t="s">
        <v>49</v>
      </c>
      <c r="U50" s="4" t="s">
        <v>208</v>
      </c>
      <c r="V50" t="s">
        <v>91</v>
      </c>
      <c r="W50" s="6">
        <v>93.76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35</v>
      </c>
      <c r="AE50" t="s">
        <v>52</v>
      </c>
    </row>
    <row r="51" spans="1:31" x14ac:dyDescent="0.25">
      <c r="A51" t="s">
        <v>32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209</v>
      </c>
      <c r="J51" t="s">
        <v>210</v>
      </c>
      <c r="K51" t="s">
        <v>42</v>
      </c>
      <c r="L51" t="s">
        <v>211</v>
      </c>
      <c r="M51" t="s">
        <v>212</v>
      </c>
      <c r="N51" t="s">
        <v>45</v>
      </c>
      <c r="O51" t="s">
        <v>46</v>
      </c>
      <c r="P51" t="s">
        <v>47</v>
      </c>
      <c r="Q51" t="s">
        <v>69</v>
      </c>
      <c r="R51" t="s">
        <v>69</v>
      </c>
      <c r="S51" t="s">
        <v>69</v>
      </c>
      <c r="T51" t="s">
        <v>49</v>
      </c>
      <c r="U51" s="4" t="s">
        <v>213</v>
      </c>
      <c r="V51" t="s">
        <v>91</v>
      </c>
      <c r="W51" s="6">
        <v>114.66</v>
      </c>
      <c r="X51" t="s">
        <v>52</v>
      </c>
      <c r="Y51" t="s">
        <v>52</v>
      </c>
      <c r="Z51" t="s">
        <v>52</v>
      </c>
      <c r="AA51" t="s">
        <v>52</v>
      </c>
      <c r="AB51" t="s">
        <v>52</v>
      </c>
      <c r="AC51" t="s">
        <v>52</v>
      </c>
      <c r="AD51" t="s">
        <v>35</v>
      </c>
      <c r="AE51" t="s">
        <v>52</v>
      </c>
    </row>
    <row r="52" spans="1:31" x14ac:dyDescent="0.25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209</v>
      </c>
      <c r="J52" t="s">
        <v>210</v>
      </c>
      <c r="K52" t="s">
        <v>42</v>
      </c>
      <c r="L52" t="s">
        <v>214</v>
      </c>
      <c r="M52" t="s">
        <v>215</v>
      </c>
      <c r="N52" t="s">
        <v>45</v>
      </c>
      <c r="O52" t="s">
        <v>46</v>
      </c>
      <c r="P52" t="s">
        <v>47</v>
      </c>
      <c r="Q52" t="s">
        <v>83</v>
      </c>
      <c r="R52" t="s">
        <v>83</v>
      </c>
      <c r="S52" t="s">
        <v>83</v>
      </c>
      <c r="T52" t="s">
        <v>49</v>
      </c>
      <c r="U52" s="4" t="s">
        <v>216</v>
      </c>
      <c r="V52" t="s">
        <v>91</v>
      </c>
      <c r="W52" s="6">
        <v>32.57</v>
      </c>
      <c r="X52" t="s">
        <v>52</v>
      </c>
      <c r="Y52" t="s">
        <v>52</v>
      </c>
      <c r="Z52" t="s">
        <v>52</v>
      </c>
      <c r="AA52" t="s">
        <v>52</v>
      </c>
      <c r="AB52" t="s">
        <v>52</v>
      </c>
      <c r="AC52" t="s">
        <v>52</v>
      </c>
      <c r="AD52" t="s">
        <v>35</v>
      </c>
      <c r="AE52" t="s">
        <v>52</v>
      </c>
    </row>
    <row r="53" spans="1:31" x14ac:dyDescent="0.25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217</v>
      </c>
      <c r="M53" t="s">
        <v>218</v>
      </c>
      <c r="N53" t="s">
        <v>45</v>
      </c>
      <c r="O53" t="s">
        <v>46</v>
      </c>
      <c r="P53" t="s">
        <v>47</v>
      </c>
      <c r="Q53" t="s">
        <v>48</v>
      </c>
      <c r="R53" t="s">
        <v>48</v>
      </c>
      <c r="S53" t="s">
        <v>48</v>
      </c>
      <c r="T53" t="s">
        <v>49</v>
      </c>
      <c r="U53" s="4" t="s">
        <v>219</v>
      </c>
      <c r="V53" t="s">
        <v>51</v>
      </c>
      <c r="W53" s="6">
        <v>107.39</v>
      </c>
      <c r="X53" t="s">
        <v>52</v>
      </c>
      <c r="Y53" t="s">
        <v>52</v>
      </c>
      <c r="Z53" t="s">
        <v>52</v>
      </c>
      <c r="AA53" t="s">
        <v>52</v>
      </c>
      <c r="AB53" t="s">
        <v>52</v>
      </c>
      <c r="AC53" t="s">
        <v>52</v>
      </c>
      <c r="AD53" t="s">
        <v>35</v>
      </c>
      <c r="AE53" t="s">
        <v>52</v>
      </c>
    </row>
    <row r="54" spans="1:31" x14ac:dyDescent="0.25">
      <c r="A54" t="s">
        <v>32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220</v>
      </c>
      <c r="M54" t="s">
        <v>221</v>
      </c>
      <c r="N54" t="s">
        <v>45</v>
      </c>
      <c r="O54" t="s">
        <v>46</v>
      </c>
      <c r="P54" t="s">
        <v>47</v>
      </c>
      <c r="Q54" t="s">
        <v>222</v>
      </c>
      <c r="R54" t="s">
        <v>222</v>
      </c>
      <c r="S54" t="s">
        <v>222</v>
      </c>
      <c r="T54" t="s">
        <v>49</v>
      </c>
      <c r="U54" s="4" t="s">
        <v>223</v>
      </c>
      <c r="V54" t="s">
        <v>51</v>
      </c>
      <c r="W54" s="6">
        <v>113.46</v>
      </c>
      <c r="X54" t="s">
        <v>52</v>
      </c>
      <c r="Y54" t="s">
        <v>52</v>
      </c>
      <c r="Z54" t="s">
        <v>52</v>
      </c>
      <c r="AA54" t="s">
        <v>52</v>
      </c>
      <c r="AB54" t="s">
        <v>52</v>
      </c>
      <c r="AC54" t="s">
        <v>52</v>
      </c>
      <c r="AD54" t="s">
        <v>35</v>
      </c>
      <c r="AE54" t="s">
        <v>52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224</v>
      </c>
      <c r="M55" t="s">
        <v>225</v>
      </c>
      <c r="N55" t="s">
        <v>45</v>
      </c>
      <c r="O55" t="s">
        <v>46</v>
      </c>
      <c r="P55" t="s">
        <v>47</v>
      </c>
      <c r="Q55" t="s">
        <v>226</v>
      </c>
      <c r="R55" t="s">
        <v>226</v>
      </c>
      <c r="S55" t="s">
        <v>226</v>
      </c>
      <c r="T55" t="s">
        <v>49</v>
      </c>
      <c r="U55" s="4" t="s">
        <v>227</v>
      </c>
      <c r="V55" t="s">
        <v>57</v>
      </c>
      <c r="W55" s="6">
        <v>178.1</v>
      </c>
      <c r="X55" t="s">
        <v>52</v>
      </c>
      <c r="Y55" t="s">
        <v>52</v>
      </c>
      <c r="Z55" t="s">
        <v>52</v>
      </c>
      <c r="AA55" t="s">
        <v>52</v>
      </c>
      <c r="AB55" t="s">
        <v>52</v>
      </c>
      <c r="AC55" t="s">
        <v>52</v>
      </c>
      <c r="AD55" t="s">
        <v>35</v>
      </c>
      <c r="AE55" t="s">
        <v>52</v>
      </c>
    </row>
    <row r="56" spans="1:31" x14ac:dyDescent="0.25">
      <c r="A56" t="s">
        <v>32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228</v>
      </c>
      <c r="M56" t="s">
        <v>229</v>
      </c>
      <c r="N56" t="s">
        <v>45</v>
      </c>
      <c r="O56" t="s">
        <v>46</v>
      </c>
      <c r="P56" t="s">
        <v>47</v>
      </c>
      <c r="Q56" t="s">
        <v>48</v>
      </c>
      <c r="R56" t="s">
        <v>48</v>
      </c>
      <c r="S56" t="s">
        <v>48</v>
      </c>
      <c r="T56" t="s">
        <v>49</v>
      </c>
      <c r="U56" s="4" t="s">
        <v>230</v>
      </c>
      <c r="V56" t="s">
        <v>91</v>
      </c>
      <c r="W56" s="6">
        <v>82.72</v>
      </c>
      <c r="X56" t="s">
        <v>52</v>
      </c>
      <c r="Y56" t="s">
        <v>52</v>
      </c>
      <c r="Z56" t="s">
        <v>52</v>
      </c>
      <c r="AA56" t="s">
        <v>52</v>
      </c>
      <c r="AB56" t="s">
        <v>52</v>
      </c>
      <c r="AC56" t="s">
        <v>52</v>
      </c>
      <c r="AD56" t="s">
        <v>35</v>
      </c>
      <c r="AE56" t="s">
        <v>52</v>
      </c>
    </row>
    <row r="57" spans="1:31" x14ac:dyDescent="0.25">
      <c r="A57" t="s">
        <v>32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231</v>
      </c>
      <c r="M57" t="s">
        <v>232</v>
      </c>
      <c r="N57" t="s">
        <v>45</v>
      </c>
      <c r="O57" t="s">
        <v>46</v>
      </c>
      <c r="P57" t="s">
        <v>47</v>
      </c>
      <c r="Q57" t="s">
        <v>48</v>
      </c>
      <c r="R57" t="s">
        <v>48</v>
      </c>
      <c r="S57" t="s">
        <v>48</v>
      </c>
      <c r="T57" t="s">
        <v>49</v>
      </c>
      <c r="U57" s="4" t="s">
        <v>233</v>
      </c>
      <c r="V57" t="s">
        <v>91</v>
      </c>
      <c r="W57" s="6">
        <v>97.43</v>
      </c>
      <c r="X57" t="s">
        <v>52</v>
      </c>
      <c r="Y57" t="s">
        <v>52</v>
      </c>
      <c r="Z57" t="s">
        <v>52</v>
      </c>
      <c r="AA57" t="s">
        <v>52</v>
      </c>
      <c r="AB57" t="s">
        <v>52</v>
      </c>
      <c r="AC57" t="s">
        <v>52</v>
      </c>
      <c r="AD57" t="s">
        <v>35</v>
      </c>
      <c r="AE57" t="s">
        <v>52</v>
      </c>
    </row>
    <row r="58" spans="1:31" x14ac:dyDescent="0.25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234</v>
      </c>
      <c r="M58" t="s">
        <v>235</v>
      </c>
      <c r="N58" t="s">
        <v>45</v>
      </c>
      <c r="O58" t="s">
        <v>46</v>
      </c>
      <c r="P58" t="s">
        <v>47</v>
      </c>
      <c r="Q58" t="s">
        <v>125</v>
      </c>
      <c r="R58" t="s">
        <v>125</v>
      </c>
      <c r="S58" t="s">
        <v>125</v>
      </c>
      <c r="T58" t="s">
        <v>49</v>
      </c>
      <c r="U58" s="4" t="s">
        <v>236</v>
      </c>
      <c r="V58" t="s">
        <v>91</v>
      </c>
      <c r="W58" s="6">
        <v>81.709999999999994</v>
      </c>
      <c r="X58" t="s">
        <v>52</v>
      </c>
      <c r="Y58" t="s">
        <v>52</v>
      </c>
      <c r="Z58" t="s">
        <v>52</v>
      </c>
      <c r="AA58" t="s">
        <v>52</v>
      </c>
      <c r="AB58" t="s">
        <v>52</v>
      </c>
      <c r="AC58" t="s">
        <v>52</v>
      </c>
      <c r="AD58" t="s">
        <v>35</v>
      </c>
      <c r="AE58" t="s">
        <v>52</v>
      </c>
    </row>
    <row r="59" spans="1:31" x14ac:dyDescent="0.25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237</v>
      </c>
      <c r="M59" t="s">
        <v>218</v>
      </c>
      <c r="N59" t="s">
        <v>45</v>
      </c>
      <c r="O59" t="s">
        <v>46</v>
      </c>
      <c r="P59" t="s">
        <v>47</v>
      </c>
      <c r="Q59" t="s">
        <v>48</v>
      </c>
      <c r="R59" t="s">
        <v>48</v>
      </c>
      <c r="S59" t="s">
        <v>48</v>
      </c>
      <c r="T59" t="s">
        <v>49</v>
      </c>
      <c r="U59" s="4" t="s">
        <v>238</v>
      </c>
      <c r="V59" t="s">
        <v>51</v>
      </c>
      <c r="W59" s="6">
        <v>98.5</v>
      </c>
      <c r="X59" t="s">
        <v>52</v>
      </c>
      <c r="Y59" t="s">
        <v>52</v>
      </c>
      <c r="Z59" t="s">
        <v>52</v>
      </c>
      <c r="AA59" t="s">
        <v>52</v>
      </c>
      <c r="AB59" t="s">
        <v>52</v>
      </c>
      <c r="AC59" t="s">
        <v>52</v>
      </c>
      <c r="AD59" t="s">
        <v>35</v>
      </c>
      <c r="AE59" t="s">
        <v>52</v>
      </c>
    </row>
    <row r="60" spans="1:31" x14ac:dyDescent="0.25">
      <c r="A60" t="s">
        <v>32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239</v>
      </c>
      <c r="M60" t="s">
        <v>151</v>
      </c>
      <c r="N60" t="s">
        <v>45</v>
      </c>
      <c r="O60" t="s">
        <v>46</v>
      </c>
      <c r="P60" t="s">
        <v>47</v>
      </c>
      <c r="Q60" t="s">
        <v>48</v>
      </c>
      <c r="R60" t="s">
        <v>48</v>
      </c>
      <c r="S60" t="s">
        <v>48</v>
      </c>
      <c r="T60" t="s">
        <v>49</v>
      </c>
      <c r="U60" s="4" t="s">
        <v>240</v>
      </c>
      <c r="V60" t="s">
        <v>91</v>
      </c>
      <c r="W60" s="6">
        <v>68.56</v>
      </c>
      <c r="X60" t="s">
        <v>52</v>
      </c>
      <c r="Y60" t="s">
        <v>52</v>
      </c>
      <c r="Z60" t="s">
        <v>52</v>
      </c>
      <c r="AA60" t="s">
        <v>52</v>
      </c>
      <c r="AB60" t="s">
        <v>52</v>
      </c>
      <c r="AC60" t="s">
        <v>52</v>
      </c>
      <c r="AD60" t="s">
        <v>35</v>
      </c>
      <c r="AE60" t="s">
        <v>52</v>
      </c>
    </row>
    <row r="61" spans="1:31" x14ac:dyDescent="0.25">
      <c r="A61" t="s">
        <v>32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241</v>
      </c>
      <c r="M61" t="s">
        <v>242</v>
      </c>
      <c r="N61" t="s">
        <v>45</v>
      </c>
      <c r="O61" t="s">
        <v>46</v>
      </c>
      <c r="P61" t="s">
        <v>47</v>
      </c>
      <c r="Q61" t="s">
        <v>55</v>
      </c>
      <c r="R61" t="s">
        <v>55</v>
      </c>
      <c r="S61" t="s">
        <v>55</v>
      </c>
      <c r="T61" t="s">
        <v>49</v>
      </c>
      <c r="U61" s="4" t="s">
        <v>243</v>
      </c>
      <c r="V61" t="s">
        <v>57</v>
      </c>
      <c r="W61" s="6">
        <v>136.81</v>
      </c>
      <c r="X61" t="s">
        <v>52</v>
      </c>
      <c r="Y61" t="s">
        <v>52</v>
      </c>
      <c r="Z61" t="s">
        <v>52</v>
      </c>
      <c r="AA61" t="s">
        <v>52</v>
      </c>
      <c r="AB61" t="s">
        <v>52</v>
      </c>
      <c r="AC61" t="s">
        <v>52</v>
      </c>
      <c r="AD61" t="s">
        <v>35</v>
      </c>
      <c r="AE61" t="s">
        <v>52</v>
      </c>
    </row>
    <row r="62" spans="1:31" x14ac:dyDescent="0.25">
      <c r="A62" t="s">
        <v>32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244</v>
      </c>
      <c r="M62" t="s">
        <v>245</v>
      </c>
      <c r="N62" t="s">
        <v>45</v>
      </c>
      <c r="O62" t="s">
        <v>46</v>
      </c>
      <c r="P62" t="s">
        <v>47</v>
      </c>
      <c r="Q62" t="s">
        <v>48</v>
      </c>
      <c r="R62" t="s">
        <v>48</v>
      </c>
      <c r="S62" t="s">
        <v>48</v>
      </c>
      <c r="T62" t="s">
        <v>49</v>
      </c>
      <c r="U62" s="4" t="s">
        <v>246</v>
      </c>
      <c r="V62" t="s">
        <v>57</v>
      </c>
      <c r="W62" s="6">
        <v>140.21</v>
      </c>
      <c r="X62" t="s">
        <v>52</v>
      </c>
      <c r="Y62" t="s">
        <v>52</v>
      </c>
      <c r="Z62" t="s">
        <v>52</v>
      </c>
      <c r="AA62" t="s">
        <v>52</v>
      </c>
      <c r="AB62" t="s">
        <v>52</v>
      </c>
      <c r="AC62" t="s">
        <v>52</v>
      </c>
      <c r="AD62" t="s">
        <v>35</v>
      </c>
      <c r="AE62" t="s">
        <v>52</v>
      </c>
    </row>
    <row r="63" spans="1:31" x14ac:dyDescent="0.25">
      <c r="A63" t="s">
        <v>32</v>
      </c>
      <c r="B63" t="s">
        <v>33</v>
      </c>
      <c r="C63" t="s">
        <v>34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247</v>
      </c>
      <c r="M63" t="s">
        <v>248</v>
      </c>
      <c r="N63" t="s">
        <v>45</v>
      </c>
      <c r="O63" t="s">
        <v>46</v>
      </c>
      <c r="P63" t="s">
        <v>47</v>
      </c>
      <c r="Q63" t="s">
        <v>249</v>
      </c>
      <c r="R63" t="s">
        <v>249</v>
      </c>
      <c r="S63" t="s">
        <v>249</v>
      </c>
      <c r="T63" t="s">
        <v>49</v>
      </c>
      <c r="U63" s="4" t="s">
        <v>250</v>
      </c>
      <c r="V63" t="s">
        <v>57</v>
      </c>
      <c r="W63" s="6">
        <v>208.09</v>
      </c>
      <c r="X63" t="s">
        <v>52</v>
      </c>
      <c r="Y63" t="s">
        <v>52</v>
      </c>
      <c r="Z63" t="s">
        <v>52</v>
      </c>
      <c r="AA63" t="s">
        <v>52</v>
      </c>
      <c r="AB63" t="s">
        <v>52</v>
      </c>
      <c r="AC63" t="s">
        <v>52</v>
      </c>
      <c r="AD63" t="s">
        <v>35</v>
      </c>
      <c r="AE63" t="s">
        <v>52</v>
      </c>
    </row>
    <row r="64" spans="1:31" x14ac:dyDescent="0.25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251</v>
      </c>
      <c r="M64" t="s">
        <v>189</v>
      </c>
      <c r="N64" t="s">
        <v>45</v>
      </c>
      <c r="O64" t="s">
        <v>46</v>
      </c>
      <c r="P64" t="s">
        <v>47</v>
      </c>
      <c r="Q64" t="s">
        <v>125</v>
      </c>
      <c r="R64" t="s">
        <v>125</v>
      </c>
      <c r="S64" t="s">
        <v>125</v>
      </c>
      <c r="T64" t="s">
        <v>49</v>
      </c>
      <c r="U64" s="4" t="s">
        <v>252</v>
      </c>
      <c r="V64" t="s">
        <v>57</v>
      </c>
      <c r="W64" s="6">
        <v>135.03</v>
      </c>
      <c r="X64" t="s">
        <v>52</v>
      </c>
      <c r="Y64" t="s">
        <v>52</v>
      </c>
      <c r="Z64" t="s">
        <v>52</v>
      </c>
      <c r="AA64" t="s">
        <v>52</v>
      </c>
      <c r="AB64" t="s">
        <v>52</v>
      </c>
      <c r="AC64" t="s">
        <v>52</v>
      </c>
      <c r="AD64" t="s">
        <v>35</v>
      </c>
      <c r="AE64" t="s">
        <v>52</v>
      </c>
    </row>
    <row r="65" spans="1:31" x14ac:dyDescent="0.25">
      <c r="A65" t="s">
        <v>32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253</v>
      </c>
      <c r="M65" t="s">
        <v>254</v>
      </c>
      <c r="N65" t="s">
        <v>45</v>
      </c>
      <c r="O65" t="s">
        <v>46</v>
      </c>
      <c r="P65" t="s">
        <v>47</v>
      </c>
      <c r="Q65" t="s">
        <v>48</v>
      </c>
      <c r="R65" t="s">
        <v>48</v>
      </c>
      <c r="S65" t="s">
        <v>48</v>
      </c>
      <c r="T65" t="s">
        <v>49</v>
      </c>
      <c r="U65" s="4" t="s">
        <v>255</v>
      </c>
      <c r="V65" t="s">
        <v>57</v>
      </c>
      <c r="W65" s="6">
        <v>133.21</v>
      </c>
      <c r="X65" t="s">
        <v>52</v>
      </c>
      <c r="Y65" t="s">
        <v>52</v>
      </c>
      <c r="Z65" t="s">
        <v>52</v>
      </c>
      <c r="AA65" t="s">
        <v>52</v>
      </c>
      <c r="AB65" t="s">
        <v>52</v>
      </c>
      <c r="AC65" t="s">
        <v>52</v>
      </c>
      <c r="AD65" t="s">
        <v>35</v>
      </c>
      <c r="AE65" t="s">
        <v>52</v>
      </c>
    </row>
    <row r="66" spans="1:31" x14ac:dyDescent="0.25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256</v>
      </c>
      <c r="M66" t="s">
        <v>257</v>
      </c>
      <c r="N66" t="s">
        <v>45</v>
      </c>
      <c r="O66" t="s">
        <v>46</v>
      </c>
      <c r="P66" t="s">
        <v>47</v>
      </c>
      <c r="Q66" t="s">
        <v>48</v>
      </c>
      <c r="R66" t="s">
        <v>48</v>
      </c>
      <c r="S66" t="s">
        <v>48</v>
      </c>
      <c r="T66" t="s">
        <v>49</v>
      </c>
      <c r="U66" s="4" t="s">
        <v>258</v>
      </c>
      <c r="V66" t="s">
        <v>57</v>
      </c>
      <c r="W66" s="6">
        <v>101.09</v>
      </c>
      <c r="X66" t="s">
        <v>52</v>
      </c>
      <c r="Y66" t="s">
        <v>52</v>
      </c>
      <c r="Z66" t="s">
        <v>52</v>
      </c>
      <c r="AA66" t="s">
        <v>52</v>
      </c>
      <c r="AB66" t="s">
        <v>52</v>
      </c>
      <c r="AC66" t="s">
        <v>52</v>
      </c>
      <c r="AD66" t="s">
        <v>35</v>
      </c>
      <c r="AE66" t="s">
        <v>52</v>
      </c>
    </row>
    <row r="67" spans="1:31" x14ac:dyDescent="0.25">
      <c r="A67" t="s">
        <v>32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40</v>
      </c>
      <c r="J67" t="s">
        <v>41</v>
      </c>
      <c r="K67" t="s">
        <v>42</v>
      </c>
      <c r="L67" t="s">
        <v>259</v>
      </c>
      <c r="M67" t="s">
        <v>260</v>
      </c>
      <c r="N67" t="s">
        <v>45</v>
      </c>
      <c r="O67" t="s">
        <v>46</v>
      </c>
      <c r="P67" t="s">
        <v>47</v>
      </c>
      <c r="Q67" t="s">
        <v>48</v>
      </c>
      <c r="R67" t="s">
        <v>48</v>
      </c>
      <c r="S67" t="s">
        <v>48</v>
      </c>
      <c r="T67" t="s">
        <v>49</v>
      </c>
      <c r="U67" s="4" t="s">
        <v>261</v>
      </c>
      <c r="V67" t="s">
        <v>57</v>
      </c>
      <c r="W67" s="6">
        <v>144.22999999999999</v>
      </c>
      <c r="X67" t="s">
        <v>52</v>
      </c>
      <c r="Y67" t="s">
        <v>52</v>
      </c>
      <c r="Z67" t="s">
        <v>52</v>
      </c>
      <c r="AA67" t="s">
        <v>52</v>
      </c>
      <c r="AB67" t="s">
        <v>52</v>
      </c>
      <c r="AC67" t="s">
        <v>52</v>
      </c>
      <c r="AD67" t="s">
        <v>35</v>
      </c>
      <c r="AE67" t="s">
        <v>52</v>
      </c>
    </row>
    <row r="68" spans="1:31" x14ac:dyDescent="0.25">
      <c r="A68" t="s">
        <v>32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262</v>
      </c>
      <c r="M68" t="s">
        <v>160</v>
      </c>
      <c r="N68" t="s">
        <v>45</v>
      </c>
      <c r="O68" t="s">
        <v>46</v>
      </c>
      <c r="P68" t="s">
        <v>47</v>
      </c>
      <c r="Q68" t="s">
        <v>55</v>
      </c>
      <c r="R68" t="s">
        <v>55</v>
      </c>
      <c r="S68" t="s">
        <v>55</v>
      </c>
      <c r="T68" t="s">
        <v>49</v>
      </c>
      <c r="U68" s="4" t="s">
        <v>263</v>
      </c>
      <c r="V68" t="s">
        <v>57</v>
      </c>
      <c r="W68" s="6">
        <v>99.57</v>
      </c>
      <c r="X68" t="s">
        <v>52</v>
      </c>
      <c r="Y68" t="s">
        <v>52</v>
      </c>
      <c r="Z68" t="s">
        <v>52</v>
      </c>
      <c r="AA68" t="s">
        <v>52</v>
      </c>
      <c r="AB68" t="s">
        <v>52</v>
      </c>
      <c r="AC68" t="s">
        <v>52</v>
      </c>
      <c r="AD68" t="s">
        <v>35</v>
      </c>
      <c r="AE68" t="s">
        <v>52</v>
      </c>
    </row>
    <row r="69" spans="1:31" x14ac:dyDescent="0.25">
      <c r="A69" t="s">
        <v>32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264</v>
      </c>
      <c r="M69" t="s">
        <v>265</v>
      </c>
      <c r="N69" t="s">
        <v>45</v>
      </c>
      <c r="O69" t="s">
        <v>46</v>
      </c>
      <c r="P69" t="s">
        <v>47</v>
      </c>
      <c r="Q69" t="s">
        <v>266</v>
      </c>
      <c r="R69" t="s">
        <v>266</v>
      </c>
      <c r="S69" t="s">
        <v>266</v>
      </c>
      <c r="T69" t="s">
        <v>49</v>
      </c>
      <c r="U69" s="4" t="s">
        <v>267</v>
      </c>
      <c r="V69" t="s">
        <v>51</v>
      </c>
      <c r="W69" s="6">
        <v>88.17</v>
      </c>
      <c r="X69" t="s">
        <v>52</v>
      </c>
      <c r="Y69" t="s">
        <v>52</v>
      </c>
      <c r="Z69" t="s">
        <v>52</v>
      </c>
      <c r="AA69" t="s">
        <v>52</v>
      </c>
      <c r="AB69" t="s">
        <v>52</v>
      </c>
      <c r="AC69" t="s">
        <v>52</v>
      </c>
      <c r="AD69" t="s">
        <v>35</v>
      </c>
      <c r="AE69" t="s">
        <v>52</v>
      </c>
    </row>
    <row r="70" spans="1:31" x14ac:dyDescent="0.25">
      <c r="A70" t="s">
        <v>32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268</v>
      </c>
      <c r="M70" t="s">
        <v>54</v>
      </c>
      <c r="N70" t="s">
        <v>45</v>
      </c>
      <c r="O70" t="s">
        <v>46</v>
      </c>
      <c r="P70" t="s">
        <v>47</v>
      </c>
      <c r="Q70" t="s">
        <v>55</v>
      </c>
      <c r="R70" t="s">
        <v>55</v>
      </c>
      <c r="S70" t="s">
        <v>55</v>
      </c>
      <c r="T70" t="s">
        <v>49</v>
      </c>
      <c r="U70" s="4" t="s">
        <v>269</v>
      </c>
      <c r="V70" t="s">
        <v>57</v>
      </c>
      <c r="W70" s="6">
        <v>134.26</v>
      </c>
      <c r="X70" t="s">
        <v>52</v>
      </c>
      <c r="Y70" t="s">
        <v>52</v>
      </c>
      <c r="Z70" t="s">
        <v>52</v>
      </c>
      <c r="AA70" t="s">
        <v>52</v>
      </c>
      <c r="AB70" t="s">
        <v>52</v>
      </c>
      <c r="AC70" t="s">
        <v>52</v>
      </c>
      <c r="AD70" t="s">
        <v>35</v>
      </c>
      <c r="AE70" t="s">
        <v>52</v>
      </c>
    </row>
    <row r="71" spans="1:31" x14ac:dyDescent="0.25">
      <c r="A71" t="s">
        <v>32</v>
      </c>
      <c r="B71" t="s">
        <v>33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270</v>
      </c>
      <c r="M71" t="s">
        <v>271</v>
      </c>
      <c r="N71" t="s">
        <v>45</v>
      </c>
      <c r="O71" t="s">
        <v>46</v>
      </c>
      <c r="P71" t="s">
        <v>47</v>
      </c>
      <c r="Q71" t="s">
        <v>55</v>
      </c>
      <c r="R71" t="s">
        <v>55</v>
      </c>
      <c r="S71" t="s">
        <v>55</v>
      </c>
      <c r="T71" t="s">
        <v>49</v>
      </c>
      <c r="U71" s="4" t="s">
        <v>272</v>
      </c>
      <c r="V71" t="s">
        <v>57</v>
      </c>
      <c r="W71" s="6">
        <v>128.47999999999999</v>
      </c>
      <c r="X71" t="s">
        <v>52</v>
      </c>
      <c r="Y71" t="s">
        <v>52</v>
      </c>
      <c r="Z71" t="s">
        <v>52</v>
      </c>
      <c r="AA71" t="s">
        <v>52</v>
      </c>
      <c r="AB71" t="s">
        <v>52</v>
      </c>
      <c r="AC71" t="s">
        <v>52</v>
      </c>
      <c r="AD71" t="s">
        <v>35</v>
      </c>
      <c r="AE71" t="s">
        <v>52</v>
      </c>
    </row>
    <row r="72" spans="1:31" x14ac:dyDescent="0.25">
      <c r="A72" t="s">
        <v>32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273</v>
      </c>
      <c r="J72" t="s">
        <v>274</v>
      </c>
      <c r="K72" t="s">
        <v>42</v>
      </c>
      <c r="L72" t="s">
        <v>275</v>
      </c>
      <c r="M72" t="s">
        <v>276</v>
      </c>
      <c r="N72" t="s">
        <v>45</v>
      </c>
      <c r="O72" t="s">
        <v>46</v>
      </c>
      <c r="P72" t="s">
        <v>47</v>
      </c>
      <c r="Q72" t="s">
        <v>277</v>
      </c>
      <c r="R72" t="s">
        <v>277</v>
      </c>
      <c r="S72" t="s">
        <v>277</v>
      </c>
      <c r="T72" t="s">
        <v>49</v>
      </c>
      <c r="U72" s="4" t="s">
        <v>278</v>
      </c>
      <c r="V72" t="s">
        <v>51</v>
      </c>
      <c r="W72" s="6">
        <v>152.08000000000001</v>
      </c>
      <c r="X72" t="s">
        <v>52</v>
      </c>
      <c r="Y72" t="s">
        <v>52</v>
      </c>
      <c r="Z72" t="s">
        <v>52</v>
      </c>
      <c r="AA72" t="s">
        <v>52</v>
      </c>
      <c r="AB72" t="s">
        <v>52</v>
      </c>
      <c r="AC72" t="s">
        <v>52</v>
      </c>
      <c r="AD72" t="s">
        <v>35</v>
      </c>
      <c r="AE72" t="s">
        <v>52</v>
      </c>
    </row>
    <row r="73" spans="1:31" x14ac:dyDescent="0.25">
      <c r="A73" t="s">
        <v>32</v>
      </c>
      <c r="B73" t="s">
        <v>33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127</v>
      </c>
      <c r="J73" t="s">
        <v>128</v>
      </c>
      <c r="K73" t="s">
        <v>42</v>
      </c>
      <c r="L73" t="s">
        <v>279</v>
      </c>
      <c r="M73" t="s">
        <v>280</v>
      </c>
      <c r="N73" t="s">
        <v>45</v>
      </c>
      <c r="O73" t="s">
        <v>46</v>
      </c>
      <c r="P73" t="s">
        <v>47</v>
      </c>
      <c r="Q73" t="s">
        <v>281</v>
      </c>
      <c r="R73" t="s">
        <v>281</v>
      </c>
      <c r="S73" t="s">
        <v>281</v>
      </c>
      <c r="T73" t="s">
        <v>49</v>
      </c>
      <c r="U73" s="4" t="s">
        <v>282</v>
      </c>
      <c r="V73" t="s">
        <v>91</v>
      </c>
      <c r="W73" s="6">
        <v>61.79</v>
      </c>
      <c r="X73" t="s">
        <v>52</v>
      </c>
      <c r="Y73" t="s">
        <v>52</v>
      </c>
      <c r="Z73" t="s">
        <v>52</v>
      </c>
      <c r="AA73" t="s">
        <v>52</v>
      </c>
      <c r="AB73" t="s">
        <v>52</v>
      </c>
      <c r="AC73" t="s">
        <v>52</v>
      </c>
      <c r="AD73" t="s">
        <v>35</v>
      </c>
      <c r="AE73" t="s">
        <v>52</v>
      </c>
    </row>
    <row r="74" spans="1:31" x14ac:dyDescent="0.25">
      <c r="A74" t="s">
        <v>32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283</v>
      </c>
      <c r="M74" t="s">
        <v>119</v>
      </c>
      <c r="N74" t="s">
        <v>45</v>
      </c>
      <c r="O74" t="s">
        <v>46</v>
      </c>
      <c r="P74" t="s">
        <v>47</v>
      </c>
      <c r="Q74" t="s">
        <v>120</v>
      </c>
      <c r="R74" t="s">
        <v>120</v>
      </c>
      <c r="S74" t="s">
        <v>120</v>
      </c>
      <c r="T74" t="s">
        <v>49</v>
      </c>
      <c r="U74" s="4" t="s">
        <v>284</v>
      </c>
      <c r="V74" t="s">
        <v>57</v>
      </c>
      <c r="W74" s="6">
        <v>154.37</v>
      </c>
      <c r="X74" t="s">
        <v>52</v>
      </c>
      <c r="Y74" t="s">
        <v>52</v>
      </c>
      <c r="Z74" t="s">
        <v>52</v>
      </c>
      <c r="AA74" t="s">
        <v>52</v>
      </c>
      <c r="AB74" t="s">
        <v>52</v>
      </c>
      <c r="AC74" t="s">
        <v>52</v>
      </c>
      <c r="AD74" t="s">
        <v>35</v>
      </c>
      <c r="AE74" t="s">
        <v>52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F174-A619-4119-9420-B875F74CF3BF}">
  <dimension ref="A1:AI73"/>
  <sheetViews>
    <sheetView workbookViewId="0">
      <selection activeCell="G6" sqref="G6"/>
    </sheetView>
  </sheetViews>
  <sheetFormatPr defaultRowHeight="15" x14ac:dyDescent="0.25"/>
  <cols>
    <col min="1" max="1" width="20.5703125" customWidth="1"/>
    <col min="2" max="2" width="24.140625" customWidth="1"/>
    <col min="3" max="4" width="20.7109375" style="8" customWidth="1"/>
    <col min="5" max="5" width="13.140625" customWidth="1"/>
    <col min="6" max="6" width="16.42578125" customWidth="1"/>
    <col min="7" max="7" width="15" customWidth="1"/>
    <col min="8" max="8" width="12" customWidth="1"/>
    <col min="9" max="12" width="13.28515625" customWidth="1"/>
    <col min="13" max="13" width="17.28515625" customWidth="1"/>
    <col min="14" max="14" width="13.28515625" customWidth="1"/>
    <col min="15" max="15" width="12.28515625" customWidth="1"/>
  </cols>
  <sheetData>
    <row r="1" spans="1:35" x14ac:dyDescent="0.25">
      <c r="A1" s="1" t="s">
        <v>7</v>
      </c>
      <c r="B1" s="1" t="s">
        <v>6</v>
      </c>
      <c r="C1" s="7" t="s">
        <v>9</v>
      </c>
      <c r="D1" s="7"/>
      <c r="E1" s="1" t="s">
        <v>10</v>
      </c>
      <c r="F1" s="1" t="s">
        <v>11</v>
      </c>
      <c r="G1" s="1" t="s">
        <v>31</v>
      </c>
      <c r="H1" s="1" t="s">
        <v>13</v>
      </c>
      <c r="I1" s="1" t="s">
        <v>14</v>
      </c>
      <c r="J1" s="1"/>
      <c r="K1" s="1"/>
      <c r="L1" s="1"/>
      <c r="M1" s="1" t="s">
        <v>17</v>
      </c>
      <c r="N1" s="1" t="s">
        <v>18</v>
      </c>
      <c r="O1" s="1" t="s">
        <v>19</v>
      </c>
    </row>
    <row r="2" spans="1:35" x14ac:dyDescent="0.25">
      <c r="A2" s="9">
        <v>7470776</v>
      </c>
      <c r="B2" s="9" t="s">
        <v>41</v>
      </c>
      <c r="C2" s="13">
        <v>7250183661</v>
      </c>
      <c r="D2" s="10" t="s">
        <v>302</v>
      </c>
      <c r="E2" s="9" t="s">
        <v>119</v>
      </c>
      <c r="F2" s="9" t="s">
        <v>45</v>
      </c>
      <c r="G2" s="9" t="s">
        <v>46</v>
      </c>
      <c r="H2" s="11">
        <v>45955</v>
      </c>
      <c r="I2" s="11">
        <v>45986</v>
      </c>
      <c r="J2" s="12">
        <f>DATEDIF(H2,I2,"M")</f>
        <v>1</v>
      </c>
      <c r="K2" s="11" t="s">
        <v>355</v>
      </c>
      <c r="L2" s="11" t="s">
        <v>357</v>
      </c>
      <c r="M2" s="12">
        <v>110.16</v>
      </c>
      <c r="N2" s="12">
        <v>1.37</v>
      </c>
      <c r="O2" s="12">
        <v>150.91999999999999</v>
      </c>
      <c r="P2" s="9" t="s">
        <v>354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spans="1:35" x14ac:dyDescent="0.25">
      <c r="A3" s="9">
        <v>7470776</v>
      </c>
      <c r="B3" s="9" t="s">
        <v>41</v>
      </c>
      <c r="C3" s="13">
        <v>7250184227</v>
      </c>
      <c r="D3" s="10" t="s">
        <v>323</v>
      </c>
      <c r="E3" s="9" t="s">
        <v>198</v>
      </c>
      <c r="F3" s="9" t="s">
        <v>45</v>
      </c>
      <c r="G3" s="9" t="s">
        <v>46</v>
      </c>
      <c r="H3" s="11">
        <v>45955</v>
      </c>
      <c r="I3" s="11">
        <v>45986</v>
      </c>
      <c r="J3" s="12">
        <f>DATEDIF(H3,I3,"M")</f>
        <v>1</v>
      </c>
      <c r="K3" s="11" t="s">
        <v>355</v>
      </c>
      <c r="L3" s="11" t="s">
        <v>357</v>
      </c>
      <c r="M3" s="12">
        <v>91</v>
      </c>
      <c r="N3" s="12">
        <v>1.37</v>
      </c>
      <c r="O3" s="12">
        <v>124.67</v>
      </c>
      <c r="P3" s="9" t="s">
        <v>354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spans="1:35" s="9" customFormat="1" x14ac:dyDescent="0.25">
      <c r="A4" s="9">
        <v>7470776</v>
      </c>
      <c r="B4" s="9" t="s">
        <v>41</v>
      </c>
      <c r="C4" s="13">
        <v>7250183624</v>
      </c>
      <c r="D4" s="10" t="s">
        <v>351</v>
      </c>
      <c r="E4" s="9" t="s">
        <v>119</v>
      </c>
      <c r="F4" s="9" t="s">
        <v>45</v>
      </c>
      <c r="G4" s="9" t="s">
        <v>46</v>
      </c>
      <c r="H4" s="11">
        <v>45955</v>
      </c>
      <c r="I4" s="11">
        <v>45986</v>
      </c>
      <c r="J4" s="12">
        <f>DATEDIF(H4,I4,"M")</f>
        <v>1</v>
      </c>
      <c r="K4" s="11" t="s">
        <v>355</v>
      </c>
      <c r="L4" s="11" t="s">
        <v>357</v>
      </c>
      <c r="M4" s="12">
        <v>112.68</v>
      </c>
      <c r="N4" s="12">
        <v>1.37</v>
      </c>
      <c r="O4" s="12">
        <v>154.37</v>
      </c>
      <c r="P4" s="9" t="s">
        <v>354</v>
      </c>
    </row>
    <row r="5" spans="1:35" s="9" customFormat="1" x14ac:dyDescent="0.25">
      <c r="A5" s="9">
        <v>19681796</v>
      </c>
      <c r="B5" s="9" t="s">
        <v>93</v>
      </c>
      <c r="C5" s="13">
        <v>7250228593</v>
      </c>
      <c r="D5" s="10" t="s">
        <v>295</v>
      </c>
      <c r="E5" s="9" t="s">
        <v>95</v>
      </c>
      <c r="F5" s="9" t="s">
        <v>45</v>
      </c>
      <c r="G5" s="9" t="s">
        <v>46</v>
      </c>
      <c r="H5" s="11">
        <v>45983</v>
      </c>
      <c r="I5" s="11">
        <v>46013</v>
      </c>
      <c r="J5" s="12">
        <f>DATEDIF(H5,I5,"M")</f>
        <v>1</v>
      </c>
      <c r="K5" s="11" t="s">
        <v>355</v>
      </c>
      <c r="L5" s="11" t="s">
        <v>357</v>
      </c>
      <c r="M5" s="12">
        <v>2.4700000000000002</v>
      </c>
      <c r="N5" s="12">
        <v>1.37</v>
      </c>
      <c r="O5" s="12">
        <v>3.38</v>
      </c>
      <c r="P5" s="9" t="s">
        <v>354</v>
      </c>
    </row>
    <row r="6" spans="1:35" s="9" customFormat="1" x14ac:dyDescent="0.25">
      <c r="A6" s="9">
        <v>19681796</v>
      </c>
      <c r="B6" s="9" t="s">
        <v>93</v>
      </c>
      <c r="C6" s="13">
        <v>7250228593</v>
      </c>
      <c r="D6" s="10" t="s">
        <v>295</v>
      </c>
      <c r="E6" s="9" t="s">
        <v>95</v>
      </c>
      <c r="F6" s="9" t="s">
        <v>45</v>
      </c>
      <c r="G6" s="9" t="s">
        <v>46</v>
      </c>
      <c r="H6" s="11">
        <v>45983</v>
      </c>
      <c r="I6" s="11">
        <v>46013</v>
      </c>
      <c r="J6" s="12">
        <f>DATEDIF(H6,I6,"M")</f>
        <v>1</v>
      </c>
      <c r="K6" s="11" t="s">
        <v>355</v>
      </c>
      <c r="L6" s="11" t="s">
        <v>357</v>
      </c>
      <c r="M6" s="12">
        <v>73.2</v>
      </c>
      <c r="N6" s="12">
        <v>1.37</v>
      </c>
      <c r="O6" s="12">
        <v>100.28</v>
      </c>
      <c r="P6" s="9" t="s">
        <v>354</v>
      </c>
    </row>
    <row r="7" spans="1:35" s="9" customFormat="1" x14ac:dyDescent="0.25">
      <c r="A7" s="9">
        <v>7470776</v>
      </c>
      <c r="B7" s="9" t="s">
        <v>41</v>
      </c>
      <c r="C7" s="13">
        <v>7250210310</v>
      </c>
      <c r="D7" s="10" t="s">
        <v>331</v>
      </c>
      <c r="E7" s="9" t="s">
        <v>221</v>
      </c>
      <c r="F7" s="9" t="s">
        <v>45</v>
      </c>
      <c r="G7" s="9" t="s">
        <v>46</v>
      </c>
      <c r="H7" s="11">
        <v>45986</v>
      </c>
      <c r="I7" s="11">
        <v>46016</v>
      </c>
      <c r="J7" s="12">
        <f>DATEDIF(H7,I7,"M")</f>
        <v>1</v>
      </c>
      <c r="K7" s="11" t="s">
        <v>355</v>
      </c>
      <c r="L7" s="11" t="s">
        <v>357</v>
      </c>
      <c r="M7" s="12">
        <v>120.06</v>
      </c>
      <c r="N7" s="12">
        <v>0.94499999999999995</v>
      </c>
      <c r="O7" s="12">
        <v>113.46</v>
      </c>
      <c r="P7" s="9" t="s">
        <v>353</v>
      </c>
    </row>
    <row r="8" spans="1:35" s="9" customFormat="1" x14ac:dyDescent="0.25">
      <c r="A8" s="9">
        <v>7470776</v>
      </c>
      <c r="B8" s="9" t="s">
        <v>41</v>
      </c>
      <c r="C8" s="13">
        <v>7250158819</v>
      </c>
      <c r="D8" s="10" t="s">
        <v>332</v>
      </c>
      <c r="E8" s="9" t="s">
        <v>225</v>
      </c>
      <c r="F8" s="9" t="s">
        <v>45</v>
      </c>
      <c r="G8" s="9" t="s">
        <v>46</v>
      </c>
      <c r="H8" s="11">
        <v>45925</v>
      </c>
      <c r="I8" s="11">
        <v>45986</v>
      </c>
      <c r="J8" s="12">
        <f>DATEDIF(H8,I8,"M")</f>
        <v>2</v>
      </c>
      <c r="K8" s="11" t="s">
        <v>355</v>
      </c>
      <c r="L8" s="11" t="s">
        <v>357</v>
      </c>
      <c r="M8" s="12">
        <v>130</v>
      </c>
      <c r="N8" s="12">
        <v>1.37</v>
      </c>
      <c r="O8" s="12">
        <v>178.1</v>
      </c>
      <c r="P8" s="9" t="s">
        <v>354</v>
      </c>
    </row>
    <row r="9" spans="1:35" s="9" customFormat="1" x14ac:dyDescent="0.25">
      <c r="A9" s="9">
        <v>7470776</v>
      </c>
      <c r="B9" s="9" t="s">
        <v>41</v>
      </c>
      <c r="C9" s="13">
        <v>7250135854</v>
      </c>
      <c r="D9" s="10" t="s">
        <v>293</v>
      </c>
      <c r="E9" s="9" t="s">
        <v>82</v>
      </c>
      <c r="F9" s="9" t="s">
        <v>45</v>
      </c>
      <c r="G9" s="9" t="s">
        <v>46</v>
      </c>
      <c r="H9" s="11">
        <v>45897</v>
      </c>
      <c r="I9" s="11">
        <v>45989</v>
      </c>
      <c r="J9" s="12">
        <f>DATEDIF(H9,I9,"M")</f>
        <v>3</v>
      </c>
      <c r="K9" s="11" t="s">
        <v>355</v>
      </c>
      <c r="L9" s="11" t="s">
        <v>357</v>
      </c>
      <c r="M9" s="12">
        <v>86.4</v>
      </c>
      <c r="N9" s="12">
        <v>0.94499999999999995</v>
      </c>
      <c r="O9" s="12">
        <v>81.650000000000006</v>
      </c>
      <c r="P9" s="9" t="s">
        <v>353</v>
      </c>
    </row>
    <row r="10" spans="1:35" s="9" customFormat="1" x14ac:dyDescent="0.25">
      <c r="A10" s="9">
        <v>8325282</v>
      </c>
      <c r="B10" s="9" t="s">
        <v>174</v>
      </c>
      <c r="C10" s="13">
        <v>7250125384</v>
      </c>
      <c r="D10" s="10" t="s">
        <v>316</v>
      </c>
      <c r="E10" s="9" t="s">
        <v>176</v>
      </c>
      <c r="F10" s="9" t="s">
        <v>45</v>
      </c>
      <c r="G10" s="9" t="s">
        <v>46</v>
      </c>
      <c r="H10" s="11">
        <v>45854</v>
      </c>
      <c r="I10" s="11">
        <v>45977</v>
      </c>
      <c r="J10" s="12">
        <f>DATEDIF(H10,I10,"M")</f>
        <v>4</v>
      </c>
      <c r="K10" s="11" t="s">
        <v>355</v>
      </c>
      <c r="L10" s="11" t="s">
        <v>357</v>
      </c>
      <c r="M10" s="12">
        <v>113.28</v>
      </c>
      <c r="N10" s="12">
        <v>1.37</v>
      </c>
      <c r="O10" s="12">
        <v>155.19</v>
      </c>
      <c r="P10" s="9" t="s">
        <v>354</v>
      </c>
    </row>
    <row r="11" spans="1:35" s="9" customFormat="1" x14ac:dyDescent="0.25">
      <c r="A11" s="9">
        <v>7470776</v>
      </c>
      <c r="B11" s="9" t="s">
        <v>41</v>
      </c>
      <c r="C11" s="13">
        <v>7250130383</v>
      </c>
      <c r="D11" s="10" t="s">
        <v>340</v>
      </c>
      <c r="E11" s="9" t="s">
        <v>248</v>
      </c>
      <c r="F11" s="9" t="s">
        <v>45</v>
      </c>
      <c r="G11" s="9" t="s">
        <v>46</v>
      </c>
      <c r="H11" s="11">
        <v>45861</v>
      </c>
      <c r="I11" s="11">
        <v>45984</v>
      </c>
      <c r="J11" s="12">
        <f>DATEDIF(H11,I11,"M")</f>
        <v>4</v>
      </c>
      <c r="K11" s="11" t="s">
        <v>355</v>
      </c>
      <c r="L11" s="11" t="s">
        <v>357</v>
      </c>
      <c r="M11" s="12">
        <v>151.88999999999999</v>
      </c>
      <c r="N11" s="12">
        <v>1.37</v>
      </c>
      <c r="O11" s="12">
        <v>208.09</v>
      </c>
      <c r="P11" s="9" t="s">
        <v>354</v>
      </c>
    </row>
    <row r="12" spans="1:35" s="9" customFormat="1" x14ac:dyDescent="0.25">
      <c r="A12" s="9">
        <v>7470776</v>
      </c>
      <c r="B12" s="9" t="s">
        <v>41</v>
      </c>
      <c r="C12" s="13">
        <v>7250121607</v>
      </c>
      <c r="D12" s="10" t="s">
        <v>308</v>
      </c>
      <c r="E12" s="9" t="s">
        <v>145</v>
      </c>
      <c r="F12" s="9" t="s">
        <v>45</v>
      </c>
      <c r="G12" s="9" t="s">
        <v>46</v>
      </c>
      <c r="H12" s="11">
        <v>45866</v>
      </c>
      <c r="I12" s="11">
        <v>45989</v>
      </c>
      <c r="J12" s="12">
        <f>DATEDIF(H12,I12,"M")</f>
        <v>4</v>
      </c>
      <c r="K12" s="11" t="s">
        <v>355</v>
      </c>
      <c r="L12" s="11" t="s">
        <v>357</v>
      </c>
      <c r="M12" s="12">
        <v>108.25</v>
      </c>
      <c r="N12" s="12">
        <v>1.37</v>
      </c>
      <c r="O12" s="12">
        <v>148.30000000000001</v>
      </c>
      <c r="P12" s="9" t="s">
        <v>354</v>
      </c>
    </row>
    <row r="13" spans="1:35" s="9" customFormat="1" x14ac:dyDescent="0.25">
      <c r="A13" s="9">
        <v>7470776</v>
      </c>
      <c r="B13" s="9" t="s">
        <v>41</v>
      </c>
      <c r="C13" s="13">
        <v>7250096963</v>
      </c>
      <c r="D13" s="10" t="s">
        <v>286</v>
      </c>
      <c r="E13" s="9" t="s">
        <v>54</v>
      </c>
      <c r="F13" s="9" t="s">
        <v>45</v>
      </c>
      <c r="G13" s="9" t="s">
        <v>46</v>
      </c>
      <c r="H13" s="11">
        <v>45834</v>
      </c>
      <c r="I13" s="11">
        <v>45987</v>
      </c>
      <c r="J13" s="12">
        <f>DATEDIF(H13,I13,"M")</f>
        <v>5</v>
      </c>
      <c r="K13" s="11" t="s">
        <v>355</v>
      </c>
      <c r="L13" s="11" t="s">
        <v>357</v>
      </c>
      <c r="M13" s="12">
        <v>102</v>
      </c>
      <c r="N13" s="12">
        <v>1.37</v>
      </c>
      <c r="O13" s="12">
        <v>139.74</v>
      </c>
      <c r="P13" s="9" t="s">
        <v>354</v>
      </c>
    </row>
    <row r="14" spans="1:35" s="9" customFormat="1" x14ac:dyDescent="0.25">
      <c r="A14" s="9">
        <v>7470776</v>
      </c>
      <c r="B14" s="9" t="s">
        <v>41</v>
      </c>
      <c r="C14" s="13">
        <v>7250094626</v>
      </c>
      <c r="D14" s="10" t="s">
        <v>322</v>
      </c>
      <c r="E14" s="9" t="s">
        <v>195</v>
      </c>
      <c r="F14" s="9" t="s">
        <v>45</v>
      </c>
      <c r="G14" s="9" t="s">
        <v>46</v>
      </c>
      <c r="H14" s="11">
        <v>45834</v>
      </c>
      <c r="I14" s="11">
        <v>45987</v>
      </c>
      <c r="J14" s="12">
        <f>DATEDIF(H14,I14,"M")</f>
        <v>5</v>
      </c>
      <c r="K14" s="11" t="s">
        <v>355</v>
      </c>
      <c r="L14" s="11" t="s">
        <v>357</v>
      </c>
      <c r="M14" s="12">
        <v>95</v>
      </c>
      <c r="N14" s="12">
        <v>1.37</v>
      </c>
      <c r="O14" s="12">
        <v>130.15</v>
      </c>
      <c r="P14" s="9" t="s">
        <v>354</v>
      </c>
    </row>
    <row r="15" spans="1:35" s="9" customFormat="1" x14ac:dyDescent="0.25">
      <c r="A15" s="9">
        <v>7470776</v>
      </c>
      <c r="B15" s="9" t="s">
        <v>41</v>
      </c>
      <c r="C15" s="13">
        <v>7250097410</v>
      </c>
      <c r="D15" s="10" t="s">
        <v>324</v>
      </c>
      <c r="E15" s="9" t="s">
        <v>201</v>
      </c>
      <c r="F15" s="9" t="s">
        <v>45</v>
      </c>
      <c r="G15" s="9" t="s">
        <v>46</v>
      </c>
      <c r="H15" s="11">
        <v>45834</v>
      </c>
      <c r="I15" s="11">
        <v>45987</v>
      </c>
      <c r="J15" s="12">
        <f>DATEDIF(H15,I15,"M")</f>
        <v>5</v>
      </c>
      <c r="K15" s="11" t="s">
        <v>355</v>
      </c>
      <c r="L15" s="11" t="s">
        <v>357</v>
      </c>
      <c r="M15" s="12">
        <v>102</v>
      </c>
      <c r="N15" s="12">
        <v>1.37</v>
      </c>
      <c r="O15" s="12">
        <v>139.74</v>
      </c>
      <c r="P15" s="9" t="s">
        <v>354</v>
      </c>
    </row>
    <row r="16" spans="1:35" s="9" customFormat="1" x14ac:dyDescent="0.25">
      <c r="A16" s="9">
        <v>7470776</v>
      </c>
      <c r="B16" s="9" t="s">
        <v>41</v>
      </c>
      <c r="C16" s="13">
        <v>7250104789</v>
      </c>
      <c r="D16" s="10" t="s">
        <v>338</v>
      </c>
      <c r="E16" s="9" t="s">
        <v>242</v>
      </c>
      <c r="F16" s="9" t="s">
        <v>45</v>
      </c>
      <c r="G16" s="9" t="s">
        <v>46</v>
      </c>
      <c r="H16" s="11">
        <v>45834</v>
      </c>
      <c r="I16" s="11">
        <v>45987</v>
      </c>
      <c r="J16" s="12">
        <f>DATEDIF(H16,I16,"M")</f>
        <v>5</v>
      </c>
      <c r="K16" s="11" t="s">
        <v>355</v>
      </c>
      <c r="L16" s="11" t="s">
        <v>357</v>
      </c>
      <c r="M16" s="12">
        <v>99.86</v>
      </c>
      <c r="N16" s="12">
        <v>1.37</v>
      </c>
      <c r="O16" s="12">
        <v>136.81</v>
      </c>
      <c r="P16" s="9" t="s">
        <v>354</v>
      </c>
    </row>
    <row r="17" spans="1:16" s="9" customFormat="1" x14ac:dyDescent="0.25">
      <c r="A17" s="9">
        <v>7470776</v>
      </c>
      <c r="B17" s="9" t="s">
        <v>41</v>
      </c>
      <c r="C17" s="13">
        <v>7250110087</v>
      </c>
      <c r="D17" s="10" t="s">
        <v>345</v>
      </c>
      <c r="E17" s="9" t="s">
        <v>160</v>
      </c>
      <c r="F17" s="9" t="s">
        <v>45</v>
      </c>
      <c r="G17" s="9" t="s">
        <v>46</v>
      </c>
      <c r="H17" s="11">
        <v>45834</v>
      </c>
      <c r="I17" s="11">
        <v>45987</v>
      </c>
      <c r="J17" s="12">
        <f>DATEDIF(H17,I17,"M")</f>
        <v>5</v>
      </c>
      <c r="K17" s="11" t="s">
        <v>355</v>
      </c>
      <c r="L17" s="11" t="s">
        <v>357</v>
      </c>
      <c r="M17" s="12">
        <v>72.680000000000007</v>
      </c>
      <c r="N17" s="12">
        <v>1.37</v>
      </c>
      <c r="O17" s="12">
        <v>99.57</v>
      </c>
      <c r="P17" s="9" t="s">
        <v>354</v>
      </c>
    </row>
    <row r="18" spans="1:16" s="9" customFormat="1" x14ac:dyDescent="0.25">
      <c r="A18" s="9">
        <v>7470776</v>
      </c>
      <c r="B18" s="9" t="s">
        <v>41</v>
      </c>
      <c r="C18" s="13">
        <v>7250097140</v>
      </c>
      <c r="D18" s="10" t="s">
        <v>347</v>
      </c>
      <c r="E18" s="9" t="s">
        <v>54</v>
      </c>
      <c r="F18" s="9" t="s">
        <v>45</v>
      </c>
      <c r="G18" s="9" t="s">
        <v>46</v>
      </c>
      <c r="H18" s="11">
        <v>45834</v>
      </c>
      <c r="I18" s="11">
        <v>45987</v>
      </c>
      <c r="J18" s="12">
        <f>DATEDIF(H18,I18,"M")</f>
        <v>5</v>
      </c>
      <c r="K18" s="11" t="s">
        <v>355</v>
      </c>
      <c r="L18" s="11" t="s">
        <v>357</v>
      </c>
      <c r="M18" s="12">
        <v>98</v>
      </c>
      <c r="N18" s="12">
        <v>1.37</v>
      </c>
      <c r="O18" s="12">
        <v>134.26</v>
      </c>
      <c r="P18" s="9" t="s">
        <v>354</v>
      </c>
    </row>
    <row r="19" spans="1:16" s="9" customFormat="1" x14ac:dyDescent="0.25">
      <c r="A19" s="9">
        <v>7470776</v>
      </c>
      <c r="B19" s="9" t="s">
        <v>41</v>
      </c>
      <c r="C19" s="13">
        <v>7250102505</v>
      </c>
      <c r="D19" s="10" t="s">
        <v>348</v>
      </c>
      <c r="E19" s="9" t="s">
        <v>271</v>
      </c>
      <c r="F19" s="9" t="s">
        <v>45</v>
      </c>
      <c r="G19" s="9" t="s">
        <v>46</v>
      </c>
      <c r="H19" s="11">
        <v>45834</v>
      </c>
      <c r="I19" s="11">
        <v>45987</v>
      </c>
      <c r="J19" s="12">
        <f>DATEDIF(H19,I19,"M")</f>
        <v>5</v>
      </c>
      <c r="K19" s="11" t="s">
        <v>355</v>
      </c>
      <c r="L19" s="11" t="s">
        <v>357</v>
      </c>
      <c r="M19" s="12">
        <v>93.78</v>
      </c>
      <c r="N19" s="12">
        <v>1.37</v>
      </c>
      <c r="O19" s="12">
        <v>128.47999999999999</v>
      </c>
      <c r="P19" s="9" t="s">
        <v>354</v>
      </c>
    </row>
    <row r="20" spans="1:16" s="9" customFormat="1" x14ac:dyDescent="0.25">
      <c r="A20" s="9">
        <v>7470776</v>
      </c>
      <c r="B20" s="9" t="s">
        <v>41</v>
      </c>
      <c r="C20" s="13">
        <v>7250081390</v>
      </c>
      <c r="D20" s="10" t="s">
        <v>312</v>
      </c>
      <c r="E20" s="9" t="s">
        <v>160</v>
      </c>
      <c r="F20" s="9" t="s">
        <v>45</v>
      </c>
      <c r="G20" s="9" t="s">
        <v>46</v>
      </c>
      <c r="H20" s="11">
        <v>45805</v>
      </c>
      <c r="I20" s="11">
        <v>45989</v>
      </c>
      <c r="J20" s="12">
        <f>DATEDIF(H20,I20,"M")</f>
        <v>6</v>
      </c>
      <c r="K20" s="11" t="s">
        <v>355</v>
      </c>
      <c r="L20" s="11" t="s">
        <v>357</v>
      </c>
      <c r="M20" s="12">
        <v>91.94</v>
      </c>
      <c r="N20" s="12">
        <v>1.37</v>
      </c>
      <c r="O20" s="12">
        <v>125.96</v>
      </c>
      <c r="P20" s="9" t="s">
        <v>354</v>
      </c>
    </row>
    <row r="21" spans="1:16" s="9" customFormat="1" x14ac:dyDescent="0.25">
      <c r="A21" s="9">
        <v>7470776</v>
      </c>
      <c r="B21" s="9" t="s">
        <v>41</v>
      </c>
      <c r="C21" s="13">
        <v>7250026367</v>
      </c>
      <c r="D21" s="10" t="s">
        <v>346</v>
      </c>
      <c r="E21" s="9" t="s">
        <v>265</v>
      </c>
      <c r="F21" s="9" t="s">
        <v>45</v>
      </c>
      <c r="G21" s="9" t="s">
        <v>46</v>
      </c>
      <c r="H21" s="11">
        <v>45716</v>
      </c>
      <c r="I21" s="11">
        <v>45989</v>
      </c>
      <c r="J21" s="12">
        <f>DATEDIF(H21,I21,"M")</f>
        <v>9</v>
      </c>
      <c r="K21" s="11" t="s">
        <v>355</v>
      </c>
      <c r="L21" s="11" t="s">
        <v>357</v>
      </c>
      <c r="M21" s="12">
        <v>93.3</v>
      </c>
      <c r="N21" s="12">
        <v>0.94499999999999995</v>
      </c>
      <c r="O21" s="12">
        <v>88.17</v>
      </c>
      <c r="P21" s="9" t="s">
        <v>353</v>
      </c>
    </row>
    <row r="22" spans="1:16" s="9" customFormat="1" x14ac:dyDescent="0.25">
      <c r="A22" s="9">
        <v>7470776</v>
      </c>
      <c r="B22" s="9" t="s">
        <v>41</v>
      </c>
      <c r="C22" s="13">
        <v>6240128755</v>
      </c>
      <c r="D22" s="10" t="s">
        <v>335</v>
      </c>
      <c r="E22" s="9" t="s">
        <v>235</v>
      </c>
      <c r="F22" s="9" t="s">
        <v>45</v>
      </c>
      <c r="G22" s="9" t="s">
        <v>46</v>
      </c>
      <c r="H22" s="11">
        <v>45651</v>
      </c>
      <c r="I22" s="11">
        <v>45986</v>
      </c>
      <c r="J22" s="12">
        <f>DATEDIF(H22,I22,"M")</f>
        <v>11</v>
      </c>
      <c r="K22" s="11" t="s">
        <v>355</v>
      </c>
      <c r="L22" s="11" t="s">
        <v>356</v>
      </c>
      <c r="M22" s="12">
        <v>90.79</v>
      </c>
      <c r="N22" s="12">
        <v>0.9</v>
      </c>
      <c r="O22" s="12">
        <v>81.709999999999994</v>
      </c>
      <c r="P22" s="9" t="s">
        <v>352</v>
      </c>
    </row>
    <row r="23" spans="1:16" s="9" customFormat="1" x14ac:dyDescent="0.25">
      <c r="A23" s="9">
        <v>7470776</v>
      </c>
      <c r="B23" s="9" t="s">
        <v>41</v>
      </c>
      <c r="C23" s="13">
        <v>7240118756</v>
      </c>
      <c r="D23" s="10" t="s">
        <v>315</v>
      </c>
      <c r="E23" s="9" t="s">
        <v>171</v>
      </c>
      <c r="F23" s="9" t="s">
        <v>45</v>
      </c>
      <c r="G23" s="9" t="s">
        <v>46</v>
      </c>
      <c r="H23" s="11">
        <v>45651</v>
      </c>
      <c r="I23" s="11">
        <v>45986</v>
      </c>
      <c r="J23" s="12">
        <f>DATEDIF(H23,I23,"M")</f>
        <v>11</v>
      </c>
      <c r="K23" s="11" t="s">
        <v>355</v>
      </c>
      <c r="L23" s="11" t="s">
        <v>356</v>
      </c>
      <c r="M23" s="12">
        <v>107.51</v>
      </c>
      <c r="N23" s="12">
        <v>0.94499999999999995</v>
      </c>
      <c r="O23" s="12">
        <v>101.6</v>
      </c>
      <c r="P23" s="9" t="s">
        <v>353</v>
      </c>
    </row>
    <row r="24" spans="1:16" s="9" customFormat="1" x14ac:dyDescent="0.25">
      <c r="A24" s="9">
        <v>7470776</v>
      </c>
      <c r="B24" s="9" t="s">
        <v>41</v>
      </c>
      <c r="C24" s="13">
        <v>7240119193</v>
      </c>
      <c r="D24" s="10" t="s">
        <v>303</v>
      </c>
      <c r="E24" s="9" t="s">
        <v>124</v>
      </c>
      <c r="F24" s="9" t="s">
        <v>45</v>
      </c>
      <c r="G24" s="9" t="s">
        <v>46</v>
      </c>
      <c r="H24" s="11">
        <v>45651</v>
      </c>
      <c r="I24" s="11">
        <v>45986</v>
      </c>
      <c r="J24" s="12">
        <f>DATEDIF(H24,I24,"M")</f>
        <v>11</v>
      </c>
      <c r="K24" s="11" t="s">
        <v>355</v>
      </c>
      <c r="L24" s="11" t="s">
        <v>356</v>
      </c>
      <c r="M24" s="12">
        <v>68.61</v>
      </c>
      <c r="N24" s="12">
        <v>1.37</v>
      </c>
      <c r="O24" s="12">
        <v>94</v>
      </c>
      <c r="P24" s="9" t="s">
        <v>354</v>
      </c>
    </row>
    <row r="25" spans="1:16" s="9" customFormat="1" x14ac:dyDescent="0.25">
      <c r="A25" s="9">
        <v>7470776</v>
      </c>
      <c r="B25" s="9" t="s">
        <v>41</v>
      </c>
      <c r="C25" s="13">
        <v>7240119703</v>
      </c>
      <c r="D25" s="10" t="s">
        <v>320</v>
      </c>
      <c r="E25" s="9" t="s">
        <v>189</v>
      </c>
      <c r="F25" s="9" t="s">
        <v>45</v>
      </c>
      <c r="G25" s="9" t="s">
        <v>46</v>
      </c>
      <c r="H25" s="11">
        <v>45651</v>
      </c>
      <c r="I25" s="11">
        <v>45986</v>
      </c>
      <c r="J25" s="12">
        <f>DATEDIF(H25,I25,"M")</f>
        <v>11</v>
      </c>
      <c r="K25" s="11" t="s">
        <v>355</v>
      </c>
      <c r="L25" s="11" t="s">
        <v>356</v>
      </c>
      <c r="M25" s="12">
        <v>102.68</v>
      </c>
      <c r="N25" s="12">
        <v>1.37</v>
      </c>
      <c r="O25" s="12">
        <v>140.66999999999999</v>
      </c>
      <c r="P25" s="9" t="s">
        <v>354</v>
      </c>
    </row>
    <row r="26" spans="1:16" s="9" customFormat="1" x14ac:dyDescent="0.25">
      <c r="A26" s="9">
        <v>7470776</v>
      </c>
      <c r="B26" s="9" t="s">
        <v>41</v>
      </c>
      <c r="C26" s="13">
        <v>7240119755</v>
      </c>
      <c r="D26" s="10" t="s">
        <v>341</v>
      </c>
      <c r="E26" s="9" t="s">
        <v>189</v>
      </c>
      <c r="F26" s="9" t="s">
        <v>45</v>
      </c>
      <c r="G26" s="9" t="s">
        <v>46</v>
      </c>
      <c r="H26" s="11">
        <v>45651</v>
      </c>
      <c r="I26" s="11">
        <v>45986</v>
      </c>
      <c r="J26" s="12">
        <f>DATEDIF(H26,I26,"M")</f>
        <v>11</v>
      </c>
      <c r="K26" s="11" t="s">
        <v>355</v>
      </c>
      <c r="L26" s="11" t="s">
        <v>356</v>
      </c>
      <c r="M26" s="12">
        <v>98.56</v>
      </c>
      <c r="N26" s="12">
        <v>1.37</v>
      </c>
      <c r="O26" s="12">
        <v>135.03</v>
      </c>
      <c r="P26" s="9" t="s">
        <v>354</v>
      </c>
    </row>
    <row r="27" spans="1:16" s="9" customFormat="1" x14ac:dyDescent="0.25">
      <c r="A27" s="9">
        <v>7470776</v>
      </c>
      <c r="B27" s="9" t="s">
        <v>41</v>
      </c>
      <c r="C27" s="13">
        <v>6240136594</v>
      </c>
      <c r="D27" s="10" t="s">
        <v>306</v>
      </c>
      <c r="E27" s="9" t="s">
        <v>109</v>
      </c>
      <c r="F27" s="9" t="s">
        <v>45</v>
      </c>
      <c r="G27" s="9" t="s">
        <v>46</v>
      </c>
      <c r="H27" s="11">
        <v>45654</v>
      </c>
      <c r="I27" s="11">
        <v>45989</v>
      </c>
      <c r="J27" s="12">
        <f>DATEDIF(H27,I27,"M")</f>
        <v>11</v>
      </c>
      <c r="K27" s="11" t="s">
        <v>355</v>
      </c>
      <c r="L27" s="11" t="s">
        <v>356</v>
      </c>
      <c r="M27" s="12">
        <v>158.51</v>
      </c>
      <c r="N27" s="12">
        <v>0.9</v>
      </c>
      <c r="O27" s="12">
        <v>142.66</v>
      </c>
      <c r="P27" s="9" t="s">
        <v>352</v>
      </c>
    </row>
    <row r="28" spans="1:16" s="9" customFormat="1" x14ac:dyDescent="0.25">
      <c r="A28" s="9">
        <v>7470776</v>
      </c>
      <c r="B28" s="9" t="s">
        <v>41</v>
      </c>
      <c r="C28" s="13">
        <v>6240118719</v>
      </c>
      <c r="D28" s="10" t="s">
        <v>310</v>
      </c>
      <c r="E28" s="9" t="s">
        <v>151</v>
      </c>
      <c r="F28" s="9" t="s">
        <v>45</v>
      </c>
      <c r="G28" s="9" t="s">
        <v>46</v>
      </c>
      <c r="H28" s="11">
        <v>45654</v>
      </c>
      <c r="I28" s="11">
        <v>45989</v>
      </c>
      <c r="J28" s="12">
        <f>DATEDIF(H28,I28,"M")</f>
        <v>11</v>
      </c>
      <c r="K28" s="11" t="s">
        <v>355</v>
      </c>
      <c r="L28" s="11" t="s">
        <v>356</v>
      </c>
      <c r="M28" s="12">
        <v>172.16</v>
      </c>
      <c r="N28" s="12">
        <v>0.9</v>
      </c>
      <c r="O28" s="12">
        <v>154.94</v>
      </c>
      <c r="P28" s="9" t="s">
        <v>352</v>
      </c>
    </row>
    <row r="29" spans="1:16" s="9" customFormat="1" x14ac:dyDescent="0.25">
      <c r="A29" s="9">
        <v>7470776</v>
      </c>
      <c r="B29" s="9" t="s">
        <v>41</v>
      </c>
      <c r="C29" s="13">
        <v>6240135139</v>
      </c>
      <c r="D29" s="10" t="s">
        <v>327</v>
      </c>
      <c r="E29" s="9" t="s">
        <v>207</v>
      </c>
      <c r="F29" s="9" t="s">
        <v>45</v>
      </c>
      <c r="G29" s="9" t="s">
        <v>46</v>
      </c>
      <c r="H29" s="11">
        <v>45654</v>
      </c>
      <c r="I29" s="11">
        <v>45989</v>
      </c>
      <c r="J29" s="12">
        <f>DATEDIF(H29,I29,"M")</f>
        <v>11</v>
      </c>
      <c r="K29" s="11" t="s">
        <v>355</v>
      </c>
      <c r="L29" s="11" t="s">
        <v>356</v>
      </c>
      <c r="M29" s="12">
        <v>104.18</v>
      </c>
      <c r="N29" s="12">
        <v>0.9</v>
      </c>
      <c r="O29" s="12">
        <v>93.76</v>
      </c>
      <c r="P29" s="9" t="s">
        <v>352</v>
      </c>
    </row>
    <row r="30" spans="1:16" s="9" customFormat="1" x14ac:dyDescent="0.25">
      <c r="A30" s="9">
        <v>7470776</v>
      </c>
      <c r="B30" s="9" t="s">
        <v>41</v>
      </c>
      <c r="C30" s="13">
        <v>6240125810</v>
      </c>
      <c r="D30" s="10" t="s">
        <v>333</v>
      </c>
      <c r="E30" s="9" t="s">
        <v>229</v>
      </c>
      <c r="F30" s="9" t="s">
        <v>45</v>
      </c>
      <c r="G30" s="9" t="s">
        <v>46</v>
      </c>
      <c r="H30" s="11">
        <v>45654</v>
      </c>
      <c r="I30" s="11">
        <v>45989</v>
      </c>
      <c r="J30" s="12">
        <f>DATEDIF(H30,I30,"M")</f>
        <v>11</v>
      </c>
      <c r="K30" s="11" t="s">
        <v>355</v>
      </c>
      <c r="L30" s="11" t="s">
        <v>356</v>
      </c>
      <c r="M30" s="12">
        <v>91.91</v>
      </c>
      <c r="N30" s="12">
        <v>0.9</v>
      </c>
      <c r="O30" s="12">
        <v>82.72</v>
      </c>
      <c r="P30" s="9" t="s">
        <v>352</v>
      </c>
    </row>
    <row r="31" spans="1:16" s="9" customFormat="1" x14ac:dyDescent="0.25">
      <c r="A31" s="9">
        <v>7470776</v>
      </c>
      <c r="B31" s="9" t="s">
        <v>41</v>
      </c>
      <c r="C31" s="13">
        <v>6240123113</v>
      </c>
      <c r="D31" s="10" t="s">
        <v>334</v>
      </c>
      <c r="E31" s="9" t="s">
        <v>232</v>
      </c>
      <c r="F31" s="9" t="s">
        <v>45</v>
      </c>
      <c r="G31" s="9" t="s">
        <v>46</v>
      </c>
      <c r="H31" s="11">
        <v>45654</v>
      </c>
      <c r="I31" s="11">
        <v>45989</v>
      </c>
      <c r="J31" s="12">
        <f>DATEDIF(H31,I31,"M")</f>
        <v>11</v>
      </c>
      <c r="K31" s="11" t="s">
        <v>355</v>
      </c>
      <c r="L31" s="11" t="s">
        <v>356</v>
      </c>
      <c r="M31" s="12">
        <v>108.26</v>
      </c>
      <c r="N31" s="12">
        <v>0.9</v>
      </c>
      <c r="O31" s="12">
        <v>97.43</v>
      </c>
      <c r="P31" s="9" t="s">
        <v>352</v>
      </c>
    </row>
    <row r="32" spans="1:16" s="9" customFormat="1" x14ac:dyDescent="0.25">
      <c r="A32" s="9">
        <v>7470776</v>
      </c>
      <c r="B32" s="9" t="s">
        <v>41</v>
      </c>
      <c r="C32" s="13">
        <v>6240118764</v>
      </c>
      <c r="D32" s="10" t="s">
        <v>337</v>
      </c>
      <c r="E32" s="9" t="s">
        <v>151</v>
      </c>
      <c r="F32" s="9" t="s">
        <v>45</v>
      </c>
      <c r="G32" s="9" t="s">
        <v>46</v>
      </c>
      <c r="H32" s="11">
        <v>45654</v>
      </c>
      <c r="I32" s="11">
        <v>45989</v>
      </c>
      <c r="J32" s="12">
        <f>DATEDIF(H32,I32,"M")</f>
        <v>11</v>
      </c>
      <c r="K32" s="11" t="s">
        <v>355</v>
      </c>
      <c r="L32" s="11" t="s">
        <v>356</v>
      </c>
      <c r="M32" s="12">
        <v>76.180000000000007</v>
      </c>
      <c r="N32" s="12">
        <v>0.9</v>
      </c>
      <c r="O32" s="12">
        <v>68.56</v>
      </c>
      <c r="P32" s="9" t="s">
        <v>352</v>
      </c>
    </row>
    <row r="33" spans="1:16" s="9" customFormat="1" x14ac:dyDescent="0.25">
      <c r="A33" s="9">
        <v>7470776</v>
      </c>
      <c r="B33" s="9" t="s">
        <v>41</v>
      </c>
      <c r="C33" s="10">
        <v>7240110690</v>
      </c>
      <c r="D33" s="10" t="s">
        <v>285</v>
      </c>
      <c r="E33" s="9" t="s">
        <v>44</v>
      </c>
      <c r="F33" s="9" t="s">
        <v>45</v>
      </c>
      <c r="G33" s="9" t="s">
        <v>46</v>
      </c>
      <c r="H33" s="11">
        <v>45654</v>
      </c>
      <c r="I33" s="11">
        <v>45989</v>
      </c>
      <c r="J33" s="12">
        <f>DATEDIF(H33,I33,"M")</f>
        <v>11</v>
      </c>
      <c r="K33" s="11" t="s">
        <v>355</v>
      </c>
      <c r="L33" s="11" t="s">
        <v>356</v>
      </c>
      <c r="M33" s="12">
        <v>92.3</v>
      </c>
      <c r="N33" s="12">
        <v>0.94499999999999995</v>
      </c>
      <c r="O33" s="12">
        <v>87.22</v>
      </c>
      <c r="P33" s="9" t="s">
        <v>353</v>
      </c>
    </row>
    <row r="34" spans="1:16" s="9" customFormat="1" x14ac:dyDescent="0.25">
      <c r="A34" s="9">
        <v>7470776</v>
      </c>
      <c r="B34" s="9" t="s">
        <v>41</v>
      </c>
      <c r="C34" s="13">
        <v>7240112516</v>
      </c>
      <c r="D34" s="10" t="s">
        <v>297</v>
      </c>
      <c r="E34" s="9" t="s">
        <v>103</v>
      </c>
      <c r="F34" s="9" t="s">
        <v>45</v>
      </c>
      <c r="G34" s="9" t="s">
        <v>46</v>
      </c>
      <c r="H34" s="11">
        <v>45654</v>
      </c>
      <c r="I34" s="11">
        <v>45989</v>
      </c>
      <c r="J34" s="12">
        <f>DATEDIF(H34,I34,"M")</f>
        <v>11</v>
      </c>
      <c r="K34" s="11" t="s">
        <v>355</v>
      </c>
      <c r="L34" s="11" t="s">
        <v>356</v>
      </c>
      <c r="M34" s="12">
        <v>145</v>
      </c>
      <c r="N34" s="12">
        <v>0.94499999999999995</v>
      </c>
      <c r="O34" s="12">
        <v>137.03</v>
      </c>
      <c r="P34" s="9" t="s">
        <v>353</v>
      </c>
    </row>
    <row r="35" spans="1:16" s="9" customFormat="1" x14ac:dyDescent="0.25">
      <c r="A35" s="9">
        <v>7470776</v>
      </c>
      <c r="B35" s="9" t="s">
        <v>41</v>
      </c>
      <c r="C35" s="13">
        <v>7240125202</v>
      </c>
      <c r="D35" s="10" t="s">
        <v>299</v>
      </c>
      <c r="E35" s="9" t="s">
        <v>109</v>
      </c>
      <c r="F35" s="9" t="s">
        <v>45</v>
      </c>
      <c r="G35" s="9" t="s">
        <v>46</v>
      </c>
      <c r="H35" s="11">
        <v>45654</v>
      </c>
      <c r="I35" s="11">
        <v>45989</v>
      </c>
      <c r="J35" s="12">
        <f>DATEDIF(H35,I35,"M")</f>
        <v>11</v>
      </c>
      <c r="K35" s="11" t="s">
        <v>355</v>
      </c>
      <c r="L35" s="11" t="s">
        <v>356</v>
      </c>
      <c r="M35" s="12">
        <v>132.1</v>
      </c>
      <c r="N35" s="12">
        <v>0.94499999999999995</v>
      </c>
      <c r="O35" s="12">
        <v>124.83</v>
      </c>
      <c r="P35" s="9" t="s">
        <v>353</v>
      </c>
    </row>
    <row r="36" spans="1:16" s="9" customFormat="1" x14ac:dyDescent="0.25">
      <c r="A36" s="9">
        <v>7470776</v>
      </c>
      <c r="B36" s="9" t="s">
        <v>41</v>
      </c>
      <c r="C36" s="13">
        <v>7240114781</v>
      </c>
      <c r="D36" s="10" t="s">
        <v>301</v>
      </c>
      <c r="E36" s="9" t="s">
        <v>115</v>
      </c>
      <c r="F36" s="9" t="s">
        <v>45</v>
      </c>
      <c r="G36" s="9" t="s">
        <v>46</v>
      </c>
      <c r="H36" s="11">
        <v>45654</v>
      </c>
      <c r="I36" s="11">
        <v>45989</v>
      </c>
      <c r="J36" s="12">
        <f>DATEDIF(H36,I36,"M")</f>
        <v>11</v>
      </c>
      <c r="K36" s="11" t="s">
        <v>355</v>
      </c>
      <c r="L36" s="11" t="s">
        <v>356</v>
      </c>
      <c r="M36" s="12">
        <v>81.239999999999995</v>
      </c>
      <c r="N36" s="12">
        <v>0.94499999999999995</v>
      </c>
      <c r="O36" s="12">
        <v>76.77</v>
      </c>
      <c r="P36" s="9" t="s">
        <v>353</v>
      </c>
    </row>
    <row r="37" spans="1:16" s="9" customFormat="1" x14ac:dyDescent="0.25">
      <c r="A37" s="9">
        <v>7470776</v>
      </c>
      <c r="B37" s="9" t="s">
        <v>41</v>
      </c>
      <c r="C37" s="13">
        <v>7240111182</v>
      </c>
      <c r="D37" s="10" t="s">
        <v>313</v>
      </c>
      <c r="E37" s="9" t="s">
        <v>164</v>
      </c>
      <c r="F37" s="9" t="s">
        <v>45</v>
      </c>
      <c r="G37" s="9" t="s">
        <v>46</v>
      </c>
      <c r="H37" s="11">
        <v>45654</v>
      </c>
      <c r="I37" s="11">
        <v>45989</v>
      </c>
      <c r="J37" s="12">
        <f>DATEDIF(H37,I37,"M")</f>
        <v>11</v>
      </c>
      <c r="K37" s="11" t="s">
        <v>355</v>
      </c>
      <c r="L37" s="11" t="s">
        <v>356</v>
      </c>
      <c r="M37" s="12">
        <v>92.16</v>
      </c>
      <c r="N37" s="12">
        <v>0.94499999999999995</v>
      </c>
      <c r="O37" s="12">
        <v>87.09</v>
      </c>
      <c r="P37" s="9" t="s">
        <v>353</v>
      </c>
    </row>
    <row r="38" spans="1:16" s="9" customFormat="1" x14ac:dyDescent="0.25">
      <c r="A38" s="9">
        <v>7470776</v>
      </c>
      <c r="B38" s="9" t="s">
        <v>41</v>
      </c>
      <c r="C38" s="13">
        <v>7240110782</v>
      </c>
      <c r="D38" s="10" t="s">
        <v>330</v>
      </c>
      <c r="E38" s="9" t="s">
        <v>218</v>
      </c>
      <c r="F38" s="9" t="s">
        <v>45</v>
      </c>
      <c r="G38" s="9" t="s">
        <v>46</v>
      </c>
      <c r="H38" s="11">
        <v>45654</v>
      </c>
      <c r="I38" s="11">
        <v>45989</v>
      </c>
      <c r="J38" s="12">
        <f>DATEDIF(H38,I38,"M")</f>
        <v>11</v>
      </c>
      <c r="K38" s="11" t="s">
        <v>355</v>
      </c>
      <c r="L38" s="11" t="s">
        <v>356</v>
      </c>
      <c r="M38" s="12">
        <v>113.64</v>
      </c>
      <c r="N38" s="12">
        <v>0.94499999999999995</v>
      </c>
      <c r="O38" s="12">
        <v>107.39</v>
      </c>
      <c r="P38" s="9" t="s">
        <v>353</v>
      </c>
    </row>
    <row r="39" spans="1:16" s="9" customFormat="1" x14ac:dyDescent="0.25">
      <c r="A39" s="9">
        <v>7470776</v>
      </c>
      <c r="B39" s="9" t="s">
        <v>41</v>
      </c>
      <c r="C39" s="13">
        <v>7240110753</v>
      </c>
      <c r="D39" s="10" t="s">
        <v>336</v>
      </c>
      <c r="E39" s="9" t="s">
        <v>218</v>
      </c>
      <c r="F39" s="9" t="s">
        <v>45</v>
      </c>
      <c r="G39" s="9" t="s">
        <v>46</v>
      </c>
      <c r="H39" s="11">
        <v>45654</v>
      </c>
      <c r="I39" s="11">
        <v>45989</v>
      </c>
      <c r="J39" s="12">
        <f>DATEDIF(H39,I39,"M")</f>
        <v>11</v>
      </c>
      <c r="K39" s="11" t="s">
        <v>355</v>
      </c>
      <c r="L39" s="11" t="s">
        <v>356</v>
      </c>
      <c r="M39" s="12">
        <v>104.23</v>
      </c>
      <c r="N39" s="12">
        <v>0.94499999999999995</v>
      </c>
      <c r="O39" s="12">
        <v>98.5</v>
      </c>
      <c r="P39" s="9" t="s">
        <v>353</v>
      </c>
    </row>
    <row r="40" spans="1:16" s="9" customFormat="1" x14ac:dyDescent="0.25">
      <c r="A40" s="9">
        <v>7470776</v>
      </c>
      <c r="B40" s="9" t="s">
        <v>41</v>
      </c>
      <c r="C40" s="13">
        <v>7240112327</v>
      </c>
      <c r="D40" s="10" t="s">
        <v>287</v>
      </c>
      <c r="E40" s="9" t="s">
        <v>59</v>
      </c>
      <c r="F40" s="9" t="s">
        <v>45</v>
      </c>
      <c r="G40" s="9" t="s">
        <v>46</v>
      </c>
      <c r="H40" s="11">
        <v>45654</v>
      </c>
      <c r="I40" s="11">
        <v>45989</v>
      </c>
      <c r="J40" s="12">
        <f>DATEDIF(H40,I40,"M")</f>
        <v>11</v>
      </c>
      <c r="K40" s="11" t="s">
        <v>355</v>
      </c>
      <c r="L40" s="11" t="s">
        <v>356</v>
      </c>
      <c r="M40" s="12">
        <v>114.98</v>
      </c>
      <c r="N40" s="12">
        <v>1.37</v>
      </c>
      <c r="O40" s="12">
        <v>157.52000000000001</v>
      </c>
      <c r="P40" s="9" t="s">
        <v>354</v>
      </c>
    </row>
    <row r="41" spans="1:16" s="9" customFormat="1" x14ac:dyDescent="0.25">
      <c r="A41" s="9">
        <v>7470776</v>
      </c>
      <c r="B41" s="9" t="s">
        <v>41</v>
      </c>
      <c r="C41" s="13">
        <v>7240114020</v>
      </c>
      <c r="D41" s="10" t="s">
        <v>291</v>
      </c>
      <c r="E41" s="9" t="s">
        <v>76</v>
      </c>
      <c r="F41" s="9" t="s">
        <v>45</v>
      </c>
      <c r="G41" s="9" t="s">
        <v>46</v>
      </c>
      <c r="H41" s="11">
        <v>45654</v>
      </c>
      <c r="I41" s="11">
        <v>45989</v>
      </c>
      <c r="J41" s="12">
        <f>DATEDIF(H41,I41,"M")</f>
        <v>11</v>
      </c>
      <c r="K41" s="11" t="s">
        <v>355</v>
      </c>
      <c r="L41" s="11" t="s">
        <v>356</v>
      </c>
      <c r="M41" s="12">
        <v>128.80000000000001</v>
      </c>
      <c r="N41" s="12">
        <v>1.37</v>
      </c>
      <c r="O41" s="12">
        <v>176.46</v>
      </c>
      <c r="P41" s="9" t="s">
        <v>354</v>
      </c>
    </row>
    <row r="42" spans="1:16" s="9" customFormat="1" x14ac:dyDescent="0.25">
      <c r="A42" s="9">
        <v>7470776</v>
      </c>
      <c r="B42" s="9" t="s">
        <v>41</v>
      </c>
      <c r="C42" s="13">
        <v>7240112931</v>
      </c>
      <c r="D42" s="10" t="s">
        <v>298</v>
      </c>
      <c r="E42" s="9" t="s">
        <v>106</v>
      </c>
      <c r="F42" s="9" t="s">
        <v>45</v>
      </c>
      <c r="G42" s="9" t="s">
        <v>46</v>
      </c>
      <c r="H42" s="11">
        <v>45654</v>
      </c>
      <c r="I42" s="11">
        <v>45989</v>
      </c>
      <c r="J42" s="12">
        <f>DATEDIF(H42,I42,"M")</f>
        <v>11</v>
      </c>
      <c r="K42" s="11" t="s">
        <v>355</v>
      </c>
      <c r="L42" s="11" t="s">
        <v>356</v>
      </c>
      <c r="M42" s="12">
        <v>77.319999999999993</v>
      </c>
      <c r="N42" s="12">
        <v>1.37</v>
      </c>
      <c r="O42" s="12">
        <v>105.93</v>
      </c>
      <c r="P42" s="9" t="s">
        <v>354</v>
      </c>
    </row>
    <row r="43" spans="1:16" s="9" customFormat="1" x14ac:dyDescent="0.25">
      <c r="A43" s="9">
        <v>7470776</v>
      </c>
      <c r="B43" s="9" t="s">
        <v>41</v>
      </c>
      <c r="C43" s="13">
        <v>7240112603</v>
      </c>
      <c r="D43" s="10" t="s">
        <v>300</v>
      </c>
      <c r="E43" s="9" t="s">
        <v>112</v>
      </c>
      <c r="F43" s="9" t="s">
        <v>45</v>
      </c>
      <c r="G43" s="9" t="s">
        <v>46</v>
      </c>
      <c r="H43" s="11">
        <v>45654</v>
      </c>
      <c r="I43" s="11">
        <v>45989</v>
      </c>
      <c r="J43" s="12">
        <f>DATEDIF(H43,I43,"M")</f>
        <v>11</v>
      </c>
      <c r="K43" s="11" t="s">
        <v>355</v>
      </c>
      <c r="L43" s="11" t="s">
        <v>356</v>
      </c>
      <c r="M43" s="12">
        <v>62.9</v>
      </c>
      <c r="N43" s="12">
        <v>1.37</v>
      </c>
      <c r="O43" s="12">
        <v>86.17</v>
      </c>
      <c r="P43" s="9" t="s">
        <v>354</v>
      </c>
    </row>
    <row r="44" spans="1:16" s="9" customFormat="1" x14ac:dyDescent="0.25">
      <c r="A44" s="9">
        <v>7470776</v>
      </c>
      <c r="B44" s="9" t="s">
        <v>41</v>
      </c>
      <c r="C44" s="13">
        <v>7240111936</v>
      </c>
      <c r="D44" s="10" t="s">
        <v>305</v>
      </c>
      <c r="E44" s="9" t="s">
        <v>135</v>
      </c>
      <c r="F44" s="9" t="s">
        <v>45</v>
      </c>
      <c r="G44" s="9" t="s">
        <v>46</v>
      </c>
      <c r="H44" s="11">
        <v>45654</v>
      </c>
      <c r="I44" s="11">
        <v>45989</v>
      </c>
      <c r="J44" s="12">
        <f>DATEDIF(H44,I44,"M")</f>
        <v>11</v>
      </c>
      <c r="K44" s="11" t="s">
        <v>355</v>
      </c>
      <c r="L44" s="11" t="s">
        <v>356</v>
      </c>
      <c r="M44" s="12">
        <v>64</v>
      </c>
      <c r="N44" s="12">
        <v>1.37</v>
      </c>
      <c r="O44" s="12">
        <v>87.68</v>
      </c>
      <c r="P44" s="9" t="s">
        <v>354</v>
      </c>
    </row>
    <row r="45" spans="1:16" s="9" customFormat="1" x14ac:dyDescent="0.25">
      <c r="A45" s="9">
        <v>7470776</v>
      </c>
      <c r="B45" s="9" t="s">
        <v>41</v>
      </c>
      <c r="C45" s="13">
        <v>7240116791</v>
      </c>
      <c r="D45" s="10" t="s">
        <v>309</v>
      </c>
      <c r="E45" s="9" t="s">
        <v>148</v>
      </c>
      <c r="F45" s="9" t="s">
        <v>45</v>
      </c>
      <c r="G45" s="9" t="s">
        <v>46</v>
      </c>
      <c r="H45" s="11">
        <v>45654</v>
      </c>
      <c r="I45" s="11">
        <v>45989</v>
      </c>
      <c r="J45" s="12">
        <f>DATEDIF(H45,I45,"M")</f>
        <v>11</v>
      </c>
      <c r="K45" s="11" t="s">
        <v>355</v>
      </c>
      <c r="L45" s="11" t="s">
        <v>356</v>
      </c>
      <c r="M45" s="12">
        <v>102.23</v>
      </c>
      <c r="N45" s="12">
        <v>1.37</v>
      </c>
      <c r="O45" s="12">
        <v>140.06</v>
      </c>
      <c r="P45" s="9" t="s">
        <v>354</v>
      </c>
    </row>
    <row r="46" spans="1:16" s="9" customFormat="1" x14ac:dyDescent="0.25">
      <c r="A46" s="9">
        <v>7470776</v>
      </c>
      <c r="B46" s="9" t="s">
        <v>41</v>
      </c>
      <c r="C46" s="13">
        <v>7240110570</v>
      </c>
      <c r="D46" s="10" t="s">
        <v>317</v>
      </c>
      <c r="E46" s="9" t="s">
        <v>180</v>
      </c>
      <c r="F46" s="9" t="s">
        <v>45</v>
      </c>
      <c r="G46" s="9" t="s">
        <v>46</v>
      </c>
      <c r="H46" s="11">
        <v>45654</v>
      </c>
      <c r="I46" s="11">
        <v>45989</v>
      </c>
      <c r="J46" s="12">
        <f>DATEDIF(H46,I46,"M")</f>
        <v>11</v>
      </c>
      <c r="K46" s="11" t="s">
        <v>355</v>
      </c>
      <c r="L46" s="11" t="s">
        <v>356</v>
      </c>
      <c r="M46" s="12">
        <v>68.97</v>
      </c>
      <c r="N46" s="12">
        <v>1.37</v>
      </c>
      <c r="O46" s="12">
        <v>94.49</v>
      </c>
      <c r="P46" s="9" t="s">
        <v>354</v>
      </c>
    </row>
    <row r="47" spans="1:16" s="9" customFormat="1" x14ac:dyDescent="0.25">
      <c r="A47" s="9">
        <v>7470776</v>
      </c>
      <c r="B47" s="9" t="s">
        <v>41</v>
      </c>
      <c r="C47" s="13">
        <v>7240112385</v>
      </c>
      <c r="D47" s="10" t="s">
        <v>321</v>
      </c>
      <c r="E47" s="9" t="s">
        <v>192</v>
      </c>
      <c r="F47" s="9" t="s">
        <v>45</v>
      </c>
      <c r="G47" s="9" t="s">
        <v>46</v>
      </c>
      <c r="H47" s="11">
        <v>45654</v>
      </c>
      <c r="I47" s="11">
        <v>45989</v>
      </c>
      <c r="J47" s="12">
        <f>DATEDIF(H47,I47,"M")</f>
        <v>11</v>
      </c>
      <c r="K47" s="11" t="s">
        <v>355</v>
      </c>
      <c r="L47" s="11" t="s">
        <v>356</v>
      </c>
      <c r="M47" s="12">
        <v>91.63</v>
      </c>
      <c r="N47" s="12">
        <v>1.37</v>
      </c>
      <c r="O47" s="12">
        <v>125.53</v>
      </c>
      <c r="P47" s="9" t="s">
        <v>354</v>
      </c>
    </row>
    <row r="48" spans="1:16" s="9" customFormat="1" x14ac:dyDescent="0.25">
      <c r="A48" s="9">
        <v>7470776</v>
      </c>
      <c r="B48" s="9" t="s">
        <v>41</v>
      </c>
      <c r="C48" s="13">
        <v>7240113999</v>
      </c>
      <c r="D48" s="10" t="s">
        <v>325</v>
      </c>
      <c r="E48" s="9" t="s">
        <v>76</v>
      </c>
      <c r="F48" s="9" t="s">
        <v>45</v>
      </c>
      <c r="G48" s="9" t="s">
        <v>46</v>
      </c>
      <c r="H48" s="11">
        <v>45654</v>
      </c>
      <c r="I48" s="11">
        <v>45989</v>
      </c>
      <c r="J48" s="12">
        <f>DATEDIF(H48,I48,"M")</f>
        <v>11</v>
      </c>
      <c r="K48" s="11" t="s">
        <v>355</v>
      </c>
      <c r="L48" s="11" t="s">
        <v>356</v>
      </c>
      <c r="M48" s="12">
        <v>128.80000000000001</v>
      </c>
      <c r="N48" s="12">
        <v>1.37</v>
      </c>
      <c r="O48" s="12">
        <v>176.46</v>
      </c>
      <c r="P48" s="9" t="s">
        <v>354</v>
      </c>
    </row>
    <row r="49" spans="1:35" s="9" customFormat="1" x14ac:dyDescent="0.25">
      <c r="A49" s="9">
        <v>7470776</v>
      </c>
      <c r="B49" s="9" t="s">
        <v>41</v>
      </c>
      <c r="C49" s="13">
        <v>7240115124</v>
      </c>
      <c r="D49" s="10" t="s">
        <v>326</v>
      </c>
      <c r="E49" s="9" t="s">
        <v>204</v>
      </c>
      <c r="F49" s="9" t="s">
        <v>45</v>
      </c>
      <c r="G49" s="9" t="s">
        <v>46</v>
      </c>
      <c r="H49" s="11">
        <v>45654</v>
      </c>
      <c r="I49" s="11">
        <v>45989</v>
      </c>
      <c r="J49" s="12">
        <f>DATEDIF(H49,I49,"M")</f>
        <v>11</v>
      </c>
      <c r="K49" s="11" t="s">
        <v>355</v>
      </c>
      <c r="L49" s="11" t="s">
        <v>356</v>
      </c>
      <c r="M49" s="12">
        <v>79</v>
      </c>
      <c r="N49" s="12">
        <v>1.37</v>
      </c>
      <c r="O49" s="12">
        <v>108.23</v>
      </c>
      <c r="P49" s="9" t="s">
        <v>354</v>
      </c>
    </row>
    <row r="50" spans="1:35" s="9" customFormat="1" x14ac:dyDescent="0.25">
      <c r="A50" s="9">
        <v>7470776</v>
      </c>
      <c r="B50" s="9" t="s">
        <v>41</v>
      </c>
      <c r="C50" s="13">
        <v>7240112093</v>
      </c>
      <c r="D50" s="10" t="s">
        <v>339</v>
      </c>
      <c r="E50" s="9" t="s">
        <v>245</v>
      </c>
      <c r="F50" s="9" t="s">
        <v>45</v>
      </c>
      <c r="G50" s="9" t="s">
        <v>46</v>
      </c>
      <c r="H50" s="11">
        <v>45654</v>
      </c>
      <c r="I50" s="11">
        <v>45989</v>
      </c>
      <c r="J50" s="12">
        <f>DATEDIF(H50,I50,"M")</f>
        <v>11</v>
      </c>
      <c r="K50" s="11" t="s">
        <v>355</v>
      </c>
      <c r="L50" s="11" t="s">
        <v>356</v>
      </c>
      <c r="M50" s="12">
        <v>102.34</v>
      </c>
      <c r="N50" s="12">
        <v>1.37</v>
      </c>
      <c r="O50" s="12">
        <v>140.21</v>
      </c>
      <c r="P50" s="9" t="s">
        <v>354</v>
      </c>
    </row>
    <row r="51" spans="1:35" s="9" customFormat="1" x14ac:dyDescent="0.25">
      <c r="A51" s="9">
        <v>7470776</v>
      </c>
      <c r="B51" s="9" t="s">
        <v>41</v>
      </c>
      <c r="C51" s="13">
        <v>7240111561</v>
      </c>
      <c r="D51" s="10" t="s">
        <v>342</v>
      </c>
      <c r="E51" s="9" t="s">
        <v>254</v>
      </c>
      <c r="F51" s="9" t="s">
        <v>45</v>
      </c>
      <c r="G51" s="9" t="s">
        <v>46</v>
      </c>
      <c r="H51" s="11">
        <v>45654</v>
      </c>
      <c r="I51" s="11">
        <v>45989</v>
      </c>
      <c r="J51" s="12">
        <f>DATEDIF(H51,I51,"M")</f>
        <v>11</v>
      </c>
      <c r="K51" s="11" t="s">
        <v>355</v>
      </c>
      <c r="L51" s="11" t="s">
        <v>356</v>
      </c>
      <c r="M51" s="12">
        <v>97.23</v>
      </c>
      <c r="N51" s="12">
        <v>1.37</v>
      </c>
      <c r="O51" s="12">
        <v>133.21</v>
      </c>
      <c r="P51" s="9" t="s">
        <v>354</v>
      </c>
    </row>
    <row r="52" spans="1:35" s="9" customFormat="1" x14ac:dyDescent="0.25">
      <c r="A52" s="9">
        <v>7470776</v>
      </c>
      <c r="B52" s="9" t="s">
        <v>41</v>
      </c>
      <c r="C52" s="13">
        <v>7240114243</v>
      </c>
      <c r="D52" s="10" t="s">
        <v>343</v>
      </c>
      <c r="E52" s="9" t="s">
        <v>257</v>
      </c>
      <c r="F52" s="9" t="s">
        <v>45</v>
      </c>
      <c r="G52" s="9" t="s">
        <v>46</v>
      </c>
      <c r="H52" s="11">
        <v>45654</v>
      </c>
      <c r="I52" s="11">
        <v>45989</v>
      </c>
      <c r="J52" s="12">
        <f>DATEDIF(H52,I52,"M")</f>
        <v>11</v>
      </c>
      <c r="K52" s="11" t="s">
        <v>355</v>
      </c>
      <c r="L52" s="11" t="s">
        <v>356</v>
      </c>
      <c r="M52" s="12">
        <v>73.790000000000006</v>
      </c>
      <c r="N52" s="12">
        <v>1.37</v>
      </c>
      <c r="O52" s="12">
        <v>101.09</v>
      </c>
      <c r="P52" s="9" t="s">
        <v>354</v>
      </c>
    </row>
    <row r="53" spans="1:35" x14ac:dyDescent="0.25">
      <c r="A53" s="9">
        <v>7470776</v>
      </c>
      <c r="B53" s="9" t="s">
        <v>41</v>
      </c>
      <c r="C53" s="13">
        <v>7240112321</v>
      </c>
      <c r="D53" s="10" t="s">
        <v>344</v>
      </c>
      <c r="E53" s="9" t="s">
        <v>260</v>
      </c>
      <c r="F53" s="9" t="s">
        <v>45</v>
      </c>
      <c r="G53" s="9" t="s">
        <v>46</v>
      </c>
      <c r="H53" s="11">
        <v>45654</v>
      </c>
      <c r="I53" s="11">
        <v>45989</v>
      </c>
      <c r="J53" s="12">
        <f>DATEDIF(H53,I53,"M")</f>
        <v>11</v>
      </c>
      <c r="K53" s="11" t="s">
        <v>355</v>
      </c>
      <c r="L53" s="11" t="s">
        <v>356</v>
      </c>
      <c r="M53" s="12">
        <v>105.28</v>
      </c>
      <c r="N53" s="12">
        <v>1.37</v>
      </c>
      <c r="O53" s="12">
        <v>144.22999999999999</v>
      </c>
      <c r="P53" s="9" t="s">
        <v>354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</row>
    <row r="54" spans="1:35" s="14" customFormat="1" x14ac:dyDescent="0.25">
      <c r="A54" s="14">
        <v>8977234</v>
      </c>
      <c r="B54" s="14" t="s">
        <v>210</v>
      </c>
      <c r="C54" s="15">
        <v>6250161714</v>
      </c>
      <c r="D54" s="16" t="s">
        <v>328</v>
      </c>
      <c r="E54" s="14" t="s">
        <v>212</v>
      </c>
      <c r="F54" s="14" t="s">
        <v>45</v>
      </c>
      <c r="G54" s="14" t="s">
        <v>46</v>
      </c>
      <c r="H54" s="17">
        <v>45952</v>
      </c>
      <c r="I54" s="17">
        <v>45983</v>
      </c>
      <c r="J54" s="18">
        <f>DATEDIF(H54,I54,"M")</f>
        <v>1</v>
      </c>
      <c r="K54" s="17" t="s">
        <v>355</v>
      </c>
      <c r="L54" s="17" t="s">
        <v>356</v>
      </c>
      <c r="M54" s="18">
        <v>127.4</v>
      </c>
      <c r="N54" s="18">
        <v>0.9</v>
      </c>
      <c r="O54" s="18">
        <v>114.66</v>
      </c>
      <c r="P54" s="14" t="s">
        <v>352</v>
      </c>
    </row>
    <row r="55" spans="1:35" s="14" customFormat="1" x14ac:dyDescent="0.25">
      <c r="A55" s="14">
        <v>16228684</v>
      </c>
      <c r="B55" s="14" t="s">
        <v>62</v>
      </c>
      <c r="C55" s="15">
        <v>7250204150</v>
      </c>
      <c r="D55" s="16" t="s">
        <v>289</v>
      </c>
      <c r="E55" s="14" t="s">
        <v>68</v>
      </c>
      <c r="F55" s="14" t="s">
        <v>45</v>
      </c>
      <c r="G55" s="14" t="s">
        <v>46</v>
      </c>
      <c r="H55" s="17">
        <v>45952</v>
      </c>
      <c r="I55" s="17">
        <v>45983</v>
      </c>
      <c r="J55" s="18">
        <f>DATEDIF(H55,I55,"M")</f>
        <v>1</v>
      </c>
      <c r="K55" s="17" t="s">
        <v>355</v>
      </c>
      <c r="L55" s="17" t="s">
        <v>356</v>
      </c>
      <c r="M55" s="18">
        <v>228.47</v>
      </c>
      <c r="N55" s="18">
        <v>1.37</v>
      </c>
      <c r="O55" s="18">
        <v>313</v>
      </c>
      <c r="P55" s="14" t="s">
        <v>354</v>
      </c>
    </row>
    <row r="56" spans="1:35" s="14" customFormat="1" x14ac:dyDescent="0.25">
      <c r="A56" s="14">
        <v>5442438</v>
      </c>
      <c r="B56" s="14" t="s">
        <v>154</v>
      </c>
      <c r="C56" s="15">
        <v>6250186035</v>
      </c>
      <c r="D56" s="16" t="s">
        <v>311</v>
      </c>
      <c r="E56" s="14" t="s">
        <v>156</v>
      </c>
      <c r="F56" s="14" t="s">
        <v>45</v>
      </c>
      <c r="G56" s="14" t="s">
        <v>46</v>
      </c>
      <c r="H56" s="17">
        <v>45989</v>
      </c>
      <c r="I56" s="17">
        <v>46019</v>
      </c>
      <c r="J56" s="18">
        <f>DATEDIF(H56,I56,"M")</f>
        <v>1</v>
      </c>
      <c r="K56" s="17" t="s">
        <v>355</v>
      </c>
      <c r="L56" s="17" t="s">
        <v>356</v>
      </c>
      <c r="M56" s="18">
        <v>68.23</v>
      </c>
      <c r="N56" s="18">
        <v>0.9</v>
      </c>
      <c r="O56" s="18">
        <v>61.41</v>
      </c>
      <c r="P56" s="14" t="s">
        <v>352</v>
      </c>
    </row>
    <row r="57" spans="1:35" s="14" customFormat="1" x14ac:dyDescent="0.25">
      <c r="A57" s="14">
        <v>9079571</v>
      </c>
      <c r="B57" s="14" t="s">
        <v>128</v>
      </c>
      <c r="C57" s="15">
        <v>6250206068</v>
      </c>
      <c r="D57" s="16" t="s">
        <v>304</v>
      </c>
      <c r="E57" s="14" t="s">
        <v>130</v>
      </c>
      <c r="F57" s="14" t="s">
        <v>45</v>
      </c>
      <c r="G57" s="14" t="s">
        <v>46</v>
      </c>
      <c r="H57" s="17">
        <v>45987</v>
      </c>
      <c r="I57" s="17">
        <v>46017</v>
      </c>
      <c r="J57" s="18">
        <f>DATEDIF(H57,I57,"M")</f>
        <v>1</v>
      </c>
      <c r="K57" s="17" t="s">
        <v>355</v>
      </c>
      <c r="L57" s="17" t="s">
        <v>356</v>
      </c>
      <c r="M57" s="18">
        <v>76.010000000000005</v>
      </c>
      <c r="N57" s="18">
        <v>0.9</v>
      </c>
      <c r="O57" s="18">
        <v>68.41</v>
      </c>
      <c r="P57" s="14" t="s">
        <v>352</v>
      </c>
    </row>
    <row r="58" spans="1:35" s="14" customFormat="1" x14ac:dyDescent="0.25">
      <c r="A58" s="14">
        <v>9079571</v>
      </c>
      <c r="B58" s="14" t="s">
        <v>128</v>
      </c>
      <c r="C58" s="15">
        <v>7250182035</v>
      </c>
      <c r="D58" s="16" t="s">
        <v>314</v>
      </c>
      <c r="E58" s="14" t="s">
        <v>167</v>
      </c>
      <c r="F58" s="14" t="s">
        <v>45</v>
      </c>
      <c r="G58" s="14" t="s">
        <v>46</v>
      </c>
      <c r="H58" s="17">
        <v>45923</v>
      </c>
      <c r="I58" s="17">
        <v>45984</v>
      </c>
      <c r="J58" s="18">
        <f>DATEDIF(H58,I58,"M")</f>
        <v>2</v>
      </c>
      <c r="K58" s="17" t="s">
        <v>355</v>
      </c>
      <c r="L58" s="17" t="s">
        <v>356</v>
      </c>
      <c r="M58" s="18">
        <v>111.01</v>
      </c>
      <c r="N58" s="18">
        <v>0.94499999999999995</v>
      </c>
      <c r="O58" s="18">
        <v>104.9</v>
      </c>
      <c r="P58" s="14" t="s">
        <v>353</v>
      </c>
    </row>
    <row r="59" spans="1:35" s="14" customFormat="1" x14ac:dyDescent="0.25">
      <c r="A59" s="14">
        <v>9213293</v>
      </c>
      <c r="B59" s="14" t="s">
        <v>86</v>
      </c>
      <c r="C59" s="15">
        <v>6250166231</v>
      </c>
      <c r="D59" s="16" t="s">
        <v>294</v>
      </c>
      <c r="E59" s="14" t="s">
        <v>88</v>
      </c>
      <c r="F59" s="14" t="s">
        <v>45</v>
      </c>
      <c r="G59" s="14" t="s">
        <v>46</v>
      </c>
      <c r="H59" s="17">
        <v>45928</v>
      </c>
      <c r="I59" s="17">
        <v>45989</v>
      </c>
      <c r="J59" s="18">
        <f>DATEDIF(H59,I59,"M")</f>
        <v>2</v>
      </c>
      <c r="K59" s="17" t="s">
        <v>355</v>
      </c>
      <c r="L59" s="17" t="s">
        <v>356</v>
      </c>
      <c r="M59" s="18">
        <v>217.26</v>
      </c>
      <c r="N59" s="18">
        <v>0.9</v>
      </c>
      <c r="O59" s="18">
        <v>195.53</v>
      </c>
      <c r="P59" s="14" t="s">
        <v>352</v>
      </c>
    </row>
    <row r="60" spans="1:35" s="14" customFormat="1" x14ac:dyDescent="0.25">
      <c r="A60" s="14">
        <v>9079571</v>
      </c>
      <c r="B60" s="14" t="s">
        <v>128</v>
      </c>
      <c r="C60" s="15">
        <v>6250145187</v>
      </c>
      <c r="D60" s="16" t="s">
        <v>350</v>
      </c>
      <c r="E60" s="14" t="s">
        <v>280</v>
      </c>
      <c r="F60" s="14" t="s">
        <v>45</v>
      </c>
      <c r="G60" s="14" t="s">
        <v>46</v>
      </c>
      <c r="H60" s="17">
        <v>45895</v>
      </c>
      <c r="I60" s="17">
        <v>45987</v>
      </c>
      <c r="J60" s="18">
        <f>DATEDIF(H60,I60,"M")</f>
        <v>3</v>
      </c>
      <c r="K60" s="17" t="s">
        <v>355</v>
      </c>
      <c r="L60" s="17" t="s">
        <v>356</v>
      </c>
      <c r="M60" s="18">
        <v>68.650000000000006</v>
      </c>
      <c r="N60" s="18">
        <v>0.9</v>
      </c>
      <c r="O60" s="18">
        <v>61.79</v>
      </c>
      <c r="P60" s="14" t="s">
        <v>352</v>
      </c>
    </row>
    <row r="61" spans="1:35" s="14" customFormat="1" x14ac:dyDescent="0.25">
      <c r="A61" s="14">
        <v>16228684</v>
      </c>
      <c r="B61" s="14" t="s">
        <v>62</v>
      </c>
      <c r="C61" s="15">
        <v>7250134006</v>
      </c>
      <c r="D61" s="16" t="s">
        <v>290</v>
      </c>
      <c r="E61" s="14" t="s">
        <v>72</v>
      </c>
      <c r="F61" s="14" t="s">
        <v>45</v>
      </c>
      <c r="G61" s="14" t="s">
        <v>46</v>
      </c>
      <c r="H61" s="17">
        <v>45896</v>
      </c>
      <c r="I61" s="17">
        <v>45988</v>
      </c>
      <c r="J61" s="18">
        <f>DATEDIF(H61,I61,"M")</f>
        <v>3</v>
      </c>
      <c r="K61" s="17" t="s">
        <v>355</v>
      </c>
      <c r="L61" s="17" t="s">
        <v>356</v>
      </c>
      <c r="M61" s="18">
        <v>163.55000000000001</v>
      </c>
      <c r="N61" s="18">
        <v>1.37</v>
      </c>
      <c r="O61" s="18">
        <v>224.06</v>
      </c>
      <c r="P61" s="14" t="s">
        <v>354</v>
      </c>
    </row>
    <row r="62" spans="1:35" s="14" customFormat="1" x14ac:dyDescent="0.25">
      <c r="A62" s="14">
        <v>16228684</v>
      </c>
      <c r="B62" s="14" t="s">
        <v>62</v>
      </c>
      <c r="C62" s="15">
        <v>7250139118</v>
      </c>
      <c r="D62" s="16" t="s">
        <v>292</v>
      </c>
      <c r="E62" s="14" t="s">
        <v>79</v>
      </c>
      <c r="F62" s="14" t="s">
        <v>45</v>
      </c>
      <c r="G62" s="14" t="s">
        <v>46</v>
      </c>
      <c r="H62" s="17">
        <v>45896</v>
      </c>
      <c r="I62" s="17">
        <v>45988</v>
      </c>
      <c r="J62" s="18">
        <f>DATEDIF(H62,I62,"M")</f>
        <v>3</v>
      </c>
      <c r="K62" s="17" t="s">
        <v>355</v>
      </c>
      <c r="L62" s="17" t="s">
        <v>356</v>
      </c>
      <c r="M62" s="18">
        <v>69.59</v>
      </c>
      <c r="N62" s="18">
        <v>1.37</v>
      </c>
      <c r="O62" s="18">
        <v>95.34</v>
      </c>
      <c r="P62" s="14" t="s">
        <v>354</v>
      </c>
    </row>
    <row r="63" spans="1:35" s="14" customFormat="1" x14ac:dyDescent="0.25">
      <c r="A63" s="14">
        <v>16228684</v>
      </c>
      <c r="B63" s="14" t="s">
        <v>62</v>
      </c>
      <c r="C63" s="15">
        <v>7250139118</v>
      </c>
      <c r="D63" s="16" t="s">
        <v>292</v>
      </c>
      <c r="E63" s="14" t="s">
        <v>79</v>
      </c>
      <c r="F63" s="14" t="s">
        <v>45</v>
      </c>
      <c r="G63" s="14" t="s">
        <v>46</v>
      </c>
      <c r="H63" s="17">
        <v>45896</v>
      </c>
      <c r="I63" s="17">
        <v>45988</v>
      </c>
      <c r="J63" s="18">
        <f>DATEDIF(H63,I63,"M")</f>
        <v>3</v>
      </c>
      <c r="K63" s="17" t="s">
        <v>355</v>
      </c>
      <c r="L63" s="17" t="s">
        <v>356</v>
      </c>
      <c r="M63" s="18">
        <v>3.31</v>
      </c>
      <c r="N63" s="18">
        <v>1.37</v>
      </c>
      <c r="O63" s="18">
        <v>4.53</v>
      </c>
      <c r="P63" s="14" t="s">
        <v>354</v>
      </c>
    </row>
    <row r="64" spans="1:35" s="14" customFormat="1" x14ac:dyDescent="0.25">
      <c r="A64" s="14">
        <v>8977234</v>
      </c>
      <c r="B64" s="14" t="s">
        <v>210</v>
      </c>
      <c r="C64" s="15">
        <v>6250146673</v>
      </c>
      <c r="D64" s="16" t="s">
        <v>329</v>
      </c>
      <c r="E64" s="14" t="s">
        <v>215</v>
      </c>
      <c r="F64" s="14" t="s">
        <v>45</v>
      </c>
      <c r="G64" s="14" t="s">
        <v>46</v>
      </c>
      <c r="H64" s="17">
        <v>45897</v>
      </c>
      <c r="I64" s="17">
        <v>45989</v>
      </c>
      <c r="J64" s="18">
        <f>DATEDIF(H64,I64,"M")</f>
        <v>3</v>
      </c>
      <c r="K64" s="17" t="s">
        <v>355</v>
      </c>
      <c r="L64" s="17" t="s">
        <v>356</v>
      </c>
      <c r="M64" s="18">
        <v>36.19</v>
      </c>
      <c r="N64" s="18">
        <v>0.9</v>
      </c>
      <c r="O64" s="18">
        <v>32.57</v>
      </c>
      <c r="P64" s="14" t="s">
        <v>352</v>
      </c>
    </row>
    <row r="65" spans="1:16" s="14" customFormat="1" x14ac:dyDescent="0.25">
      <c r="A65" s="14">
        <v>16228684</v>
      </c>
      <c r="B65" s="14" t="s">
        <v>62</v>
      </c>
      <c r="C65" s="15">
        <v>7250128277</v>
      </c>
      <c r="D65" s="16" t="s">
        <v>296</v>
      </c>
      <c r="E65" s="14" t="s">
        <v>99</v>
      </c>
      <c r="F65" s="14" t="s">
        <v>45</v>
      </c>
      <c r="G65" s="14" t="s">
        <v>46</v>
      </c>
      <c r="H65" s="17">
        <v>45860</v>
      </c>
      <c r="I65" s="17">
        <v>45983</v>
      </c>
      <c r="J65" s="18">
        <f>DATEDIF(H65,I65,"M")</f>
        <v>4</v>
      </c>
      <c r="K65" s="17" t="s">
        <v>355</v>
      </c>
      <c r="L65" s="17" t="s">
        <v>356</v>
      </c>
      <c r="M65" s="18">
        <v>193.53</v>
      </c>
      <c r="N65" s="18">
        <v>1.37</v>
      </c>
      <c r="O65" s="18">
        <v>265.14</v>
      </c>
      <c r="P65" s="14" t="s">
        <v>354</v>
      </c>
    </row>
    <row r="66" spans="1:16" s="14" customFormat="1" x14ac:dyDescent="0.25">
      <c r="A66" s="14">
        <v>16228684</v>
      </c>
      <c r="B66" s="14" t="s">
        <v>62</v>
      </c>
      <c r="C66" s="15">
        <v>7250128277</v>
      </c>
      <c r="D66" s="16" t="s">
        <v>296</v>
      </c>
      <c r="E66" s="14" t="s">
        <v>99</v>
      </c>
      <c r="F66" s="14" t="s">
        <v>45</v>
      </c>
      <c r="G66" s="14" t="s">
        <v>46</v>
      </c>
      <c r="H66" s="17">
        <v>45860</v>
      </c>
      <c r="I66" s="17">
        <v>45983</v>
      </c>
      <c r="J66" s="18">
        <f>DATEDIF(H66,I66,"M")</f>
        <v>4</v>
      </c>
      <c r="K66" s="17" t="s">
        <v>355</v>
      </c>
      <c r="L66" s="17" t="s">
        <v>356</v>
      </c>
      <c r="M66" s="18">
        <v>10.1</v>
      </c>
      <c r="N66" s="18">
        <v>1.37</v>
      </c>
      <c r="O66" s="18">
        <v>13.84</v>
      </c>
      <c r="P66" s="14" t="s">
        <v>354</v>
      </c>
    </row>
    <row r="67" spans="1:16" s="14" customFormat="1" x14ac:dyDescent="0.25">
      <c r="A67" s="14">
        <v>16228684</v>
      </c>
      <c r="B67" s="14" t="s">
        <v>62</v>
      </c>
      <c r="C67" s="15">
        <v>7250132579</v>
      </c>
      <c r="D67" s="16" t="s">
        <v>288</v>
      </c>
      <c r="E67" s="14" t="s">
        <v>64</v>
      </c>
      <c r="F67" s="14" t="s">
        <v>45</v>
      </c>
      <c r="G67" s="14" t="s">
        <v>46</v>
      </c>
      <c r="H67" s="17">
        <v>45866</v>
      </c>
      <c r="I67" s="17">
        <v>45989</v>
      </c>
      <c r="J67" s="18">
        <f>DATEDIF(H67,I67,"M")</f>
        <v>4</v>
      </c>
      <c r="K67" s="17" t="s">
        <v>355</v>
      </c>
      <c r="L67" s="17" t="s">
        <v>356</v>
      </c>
      <c r="M67" s="18">
        <v>119.81</v>
      </c>
      <c r="N67" s="18">
        <v>1.37</v>
      </c>
      <c r="O67" s="18">
        <v>164.14</v>
      </c>
      <c r="P67" s="14" t="s">
        <v>354</v>
      </c>
    </row>
    <row r="68" spans="1:16" s="14" customFormat="1" x14ac:dyDescent="0.25">
      <c r="A68" s="14">
        <v>16228684</v>
      </c>
      <c r="B68" s="14" t="s">
        <v>62</v>
      </c>
      <c r="C68" s="15">
        <v>7250132579</v>
      </c>
      <c r="D68" s="16" t="s">
        <v>288</v>
      </c>
      <c r="E68" s="14" t="s">
        <v>64</v>
      </c>
      <c r="F68" s="14" t="s">
        <v>45</v>
      </c>
      <c r="G68" s="14" t="s">
        <v>46</v>
      </c>
      <c r="H68" s="17">
        <v>45866</v>
      </c>
      <c r="I68" s="17">
        <v>45989</v>
      </c>
      <c r="J68" s="18">
        <f>DATEDIF(H68,I68,"M")</f>
        <v>4</v>
      </c>
      <c r="K68" s="17" t="s">
        <v>355</v>
      </c>
      <c r="L68" s="17" t="s">
        <v>356</v>
      </c>
      <c r="M68" s="18">
        <v>5.8</v>
      </c>
      <c r="N68" s="18">
        <v>1.37</v>
      </c>
      <c r="O68" s="18">
        <v>7.95</v>
      </c>
      <c r="P68" s="14" t="s">
        <v>354</v>
      </c>
    </row>
    <row r="69" spans="1:16" s="14" customFormat="1" x14ac:dyDescent="0.25">
      <c r="A69" s="14">
        <v>9213293</v>
      </c>
      <c r="B69" s="14" t="s">
        <v>86</v>
      </c>
      <c r="C69" s="15">
        <v>6250092297</v>
      </c>
      <c r="D69" s="16" t="s">
        <v>319</v>
      </c>
      <c r="E69" s="14" t="s">
        <v>186</v>
      </c>
      <c r="F69" s="14" t="s">
        <v>45</v>
      </c>
      <c r="G69" s="14" t="s">
        <v>46</v>
      </c>
      <c r="H69" s="17">
        <v>45813</v>
      </c>
      <c r="I69" s="17">
        <v>45966</v>
      </c>
      <c r="J69" s="18">
        <f>DATEDIF(H69,I69,"M")</f>
        <v>5</v>
      </c>
      <c r="K69" s="17" t="s">
        <v>355</v>
      </c>
      <c r="L69" s="17" t="s">
        <v>356</v>
      </c>
      <c r="M69" s="18">
        <v>76.010000000000005</v>
      </c>
      <c r="N69" s="18">
        <v>0.9</v>
      </c>
      <c r="O69" s="18">
        <v>68.41</v>
      </c>
      <c r="P69" s="14" t="s">
        <v>352</v>
      </c>
    </row>
    <row r="70" spans="1:16" s="14" customFormat="1" x14ac:dyDescent="0.25">
      <c r="A70" s="14">
        <v>9213293</v>
      </c>
      <c r="B70" s="14" t="s">
        <v>86</v>
      </c>
      <c r="C70" s="15">
        <v>7250088780</v>
      </c>
      <c r="D70" s="16" t="s">
        <v>318</v>
      </c>
      <c r="E70" s="14" t="s">
        <v>183</v>
      </c>
      <c r="F70" s="14" t="s">
        <v>45</v>
      </c>
      <c r="G70" s="14" t="s">
        <v>46</v>
      </c>
      <c r="H70" s="17">
        <v>45805</v>
      </c>
      <c r="I70" s="17">
        <v>45989</v>
      </c>
      <c r="J70" s="18">
        <f>DATEDIF(H70,I70,"M")</f>
        <v>6</v>
      </c>
      <c r="K70" s="17" t="s">
        <v>355</v>
      </c>
      <c r="L70" s="17" t="s">
        <v>356</v>
      </c>
      <c r="M70" s="18">
        <v>80.77</v>
      </c>
      <c r="N70" s="18">
        <v>0.94499999999999995</v>
      </c>
      <c r="O70" s="18">
        <v>76.33</v>
      </c>
      <c r="P70" s="14" t="s">
        <v>353</v>
      </c>
    </row>
    <row r="71" spans="1:16" s="14" customFormat="1" x14ac:dyDescent="0.25">
      <c r="A71" s="14">
        <v>17425766</v>
      </c>
      <c r="B71" s="14" t="s">
        <v>274</v>
      </c>
      <c r="C71" s="15">
        <v>7250064114</v>
      </c>
      <c r="D71" s="16" t="s">
        <v>349</v>
      </c>
      <c r="E71" s="14" t="s">
        <v>276</v>
      </c>
      <c r="F71" s="14" t="s">
        <v>45</v>
      </c>
      <c r="G71" s="14" t="s">
        <v>46</v>
      </c>
      <c r="H71" s="17">
        <v>45770</v>
      </c>
      <c r="I71" s="17">
        <v>45984</v>
      </c>
      <c r="J71" s="18">
        <f>DATEDIF(H71,I71,"M")</f>
        <v>7</v>
      </c>
      <c r="K71" s="17" t="s">
        <v>355</v>
      </c>
      <c r="L71" s="17" t="s">
        <v>356</v>
      </c>
      <c r="M71" s="18">
        <v>160.93</v>
      </c>
      <c r="N71" s="18">
        <v>0.94499999999999995</v>
      </c>
      <c r="O71" s="18">
        <v>152.08000000000001</v>
      </c>
      <c r="P71" s="14" t="s">
        <v>353</v>
      </c>
    </row>
    <row r="72" spans="1:16" s="14" customFormat="1" x14ac:dyDescent="0.25">
      <c r="A72" s="14">
        <v>9213293</v>
      </c>
      <c r="B72" s="14" t="s">
        <v>86</v>
      </c>
      <c r="C72" s="15">
        <v>7250067462</v>
      </c>
      <c r="D72" s="16" t="s">
        <v>307</v>
      </c>
      <c r="E72" s="14" t="s">
        <v>141</v>
      </c>
      <c r="F72" s="14" t="s">
        <v>45</v>
      </c>
      <c r="G72" s="14" t="s">
        <v>46</v>
      </c>
      <c r="H72" s="17">
        <v>45775</v>
      </c>
      <c r="I72" s="17">
        <v>45989</v>
      </c>
      <c r="J72" s="18">
        <f>DATEDIF(H72,I72,"M")</f>
        <v>7</v>
      </c>
      <c r="K72" s="17" t="s">
        <v>355</v>
      </c>
      <c r="L72" s="17" t="s">
        <v>356</v>
      </c>
      <c r="M72" s="18">
        <v>72.09</v>
      </c>
      <c r="N72" s="18">
        <v>1.37</v>
      </c>
      <c r="O72" s="18">
        <v>98.76</v>
      </c>
      <c r="P72" s="14" t="s">
        <v>354</v>
      </c>
    </row>
    <row r="73" spans="1:16" s="14" customFormat="1" x14ac:dyDescent="0.25">
      <c r="C73" s="16"/>
      <c r="D73" s="16"/>
    </row>
  </sheetData>
  <sortState xmlns:xlrd2="http://schemas.microsoft.com/office/spreadsheetml/2017/richdata2" ref="A2:AI72">
    <sortCondition sortBy="cellColor" ref="A2:A72" dxfId="0"/>
    <sortCondition ref="J2:J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2025-12-05T18:41:56Z</dcterms:modified>
</cp:coreProperties>
</file>