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5FE9290-4AF4-4871-9799-E1EA64C80A19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Commission_Statement_Details_Re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J16" i="2" l="1"/>
  <c r="J18" i="2"/>
  <c r="J19" i="2"/>
  <c r="J21" i="2"/>
  <c r="J9" i="2"/>
  <c r="J3" i="2"/>
  <c r="J20" i="2"/>
  <c r="J8" i="2"/>
  <c r="J17" i="2"/>
  <c r="J13" i="2"/>
  <c r="J4" i="2"/>
  <c r="J5" i="2"/>
  <c r="J22" i="2"/>
  <c r="J14" i="2"/>
  <c r="J10" i="2"/>
  <c r="J12" i="2"/>
  <c r="J11" i="2"/>
  <c r="J23" i="2"/>
  <c r="J24" i="2"/>
  <c r="J7" i="2"/>
  <c r="J25" i="2"/>
  <c r="J6" i="2"/>
  <c r="J2" i="2"/>
  <c r="J15" i="2"/>
</calcChain>
</file>

<file path=xl/sharedStrings.xml><?xml version="1.0" encoding="utf-8"?>
<sst xmlns="http://schemas.openxmlformats.org/spreadsheetml/2006/main" count="1005" uniqueCount="213">
  <si>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</si>
  <si>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</si>
  <si>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</si>
  <si>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</si>
  <si>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</si>
  <si>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</si>
  <si>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</si>
  <si>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</si>
  <si>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</si>
  <si>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</si>
  <si>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</si>
  <si>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</si>
  <si>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</si>
  <si>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</si>
  <si>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</si>
  <si>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</si>
  <si>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</si>
  <si>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</si>
  <si>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</si>
  <si>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</si>
  <si>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</si>
  <si>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</si>
  <si>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</si>
  <si>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</si>
  <si>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</si>
  <si>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</si>
  <si>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</si>
  <si>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</si>
  <si>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</si>
  <si>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</si>
  <si>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</si>
  <si>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</si>
  <si>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</si>
  <si>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</si>
  <si>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2025-11-21</t>
  </si>
  <si>
    <t>MAIN LINE BENEFITS LLC</t>
  </si>
  <si>
    <t>6</t>
  </si>
  <si>
    <t>*****8192</t>
  </si>
  <si>
    <t>5Q29Q</t>
  </si>
  <si>
    <t>ONE LIFE AMERICA LLC</t>
  </si>
  <si>
    <t>15R6V</t>
  </si>
  <si>
    <t>TAUGNER, CHRISTIAN</t>
  </si>
  <si>
    <t>Overwrite Activity</t>
  </si>
  <si>
    <t>7250228593</t>
  </si>
  <si>
    <t>BONAVOLANTO</t>
  </si>
  <si>
    <t>MNTHLY</t>
  </si>
  <si>
    <t>Life</t>
  </si>
  <si>
    <t>Term</t>
  </si>
  <si>
    <t>2025-11-13</t>
  </si>
  <si>
    <t>100.00</t>
  </si>
  <si>
    <t>-2.47</t>
  </si>
  <si>
    <t>1.3700</t>
  </si>
  <si>
    <t>-3.38</t>
  </si>
  <si>
    <t/>
  </si>
  <si>
    <t>14JT4</t>
  </si>
  <si>
    <t>WALENGA, DALE</t>
  </si>
  <si>
    <t>7240098094</t>
  </si>
  <si>
    <t>LOPRIORE</t>
  </si>
  <si>
    <t>2024-10-16</t>
  </si>
  <si>
    <t>44.79</t>
  </si>
  <si>
    <t>0.0600</t>
  </si>
  <si>
    <t>2.69</t>
  </si>
  <si>
    <t>7250233926</t>
  </si>
  <si>
    <t>VOLPENDESTA</t>
  </si>
  <si>
    <t>2025-11-19</t>
  </si>
  <si>
    <t>45.75</t>
  </si>
  <si>
    <t>62.68</t>
  </si>
  <si>
    <t>14JK2</t>
  </si>
  <si>
    <t>CHOI, ANDREW</t>
  </si>
  <si>
    <t>6250043034</t>
  </si>
  <si>
    <t>BAKER</t>
  </si>
  <si>
    <t>2025-03-19</t>
  </si>
  <si>
    <t>92.25</t>
  </si>
  <si>
    <t>0.9000</t>
  </si>
  <si>
    <t>83.03</t>
  </si>
  <si>
    <t>1FGJ5</t>
  </si>
  <si>
    <t>BRANDT, STEVEN</t>
  </si>
  <si>
    <t>7250149911</t>
  </si>
  <si>
    <t>WENT</t>
  </si>
  <si>
    <t>2025-09-20</t>
  </si>
  <si>
    <t>32.27</t>
  </si>
  <si>
    <t>0.9450</t>
  </si>
  <si>
    <t>30.50</t>
  </si>
  <si>
    <t>153CM</t>
  </si>
  <si>
    <t>YALE, JACOB</t>
  </si>
  <si>
    <t>6250008497</t>
  </si>
  <si>
    <t>WENGERSKI</t>
  </si>
  <si>
    <t>2025-01-17</t>
  </si>
  <si>
    <t>147.24</t>
  </si>
  <si>
    <t>132.52</t>
  </si>
  <si>
    <t>7250149956</t>
  </si>
  <si>
    <t>48.96</t>
  </si>
  <si>
    <t>46.27</t>
  </si>
  <si>
    <t>1FJU8</t>
  </si>
  <si>
    <t>ROLLER, JASON</t>
  </si>
  <si>
    <t>7250205603</t>
  </si>
  <si>
    <t>JENNINGS</t>
  </si>
  <si>
    <t>2025-11-18</t>
  </si>
  <si>
    <t>38.26</t>
  </si>
  <si>
    <t>36.16</t>
  </si>
  <si>
    <t>7240098074</t>
  </si>
  <si>
    <t>61.81</t>
  </si>
  <si>
    <t>3.71</t>
  </si>
  <si>
    <t>-73.20</t>
  </si>
  <si>
    <t>-100.28</t>
  </si>
  <si>
    <t>7250171087</t>
  </si>
  <si>
    <t>FLORY</t>
  </si>
  <si>
    <t>77.55</t>
  </si>
  <si>
    <t>106.24</t>
  </si>
  <si>
    <t>14MK0</t>
  </si>
  <si>
    <t>PORTUGAL, GARY</t>
  </si>
  <si>
    <t>7240127266</t>
  </si>
  <si>
    <t>PERKINS</t>
  </si>
  <si>
    <t>2024-12-15</t>
  </si>
  <si>
    <t>59.48</t>
  </si>
  <si>
    <t>81.49</t>
  </si>
  <si>
    <t>7250155601</t>
  </si>
  <si>
    <t>DAUER</t>
  </si>
  <si>
    <t>2025-08-21</t>
  </si>
  <si>
    <t>111.39</t>
  </si>
  <si>
    <t>105.26</t>
  </si>
  <si>
    <t>7250136668</t>
  </si>
  <si>
    <t>CODER</t>
  </si>
  <si>
    <t>2025-08-15</t>
  </si>
  <si>
    <t>127.03</t>
  </si>
  <si>
    <t>174.03</t>
  </si>
  <si>
    <t>7250134970</t>
  </si>
  <si>
    <t>SILVA</t>
  </si>
  <si>
    <t>2025-07-28</t>
  </si>
  <si>
    <t>86.38</t>
  </si>
  <si>
    <t>118.34</t>
  </si>
  <si>
    <t>7250171145</t>
  </si>
  <si>
    <t>52.80</t>
  </si>
  <si>
    <t>72.34</t>
  </si>
  <si>
    <t>6250081841</t>
  </si>
  <si>
    <t>TENZINGER</t>
  </si>
  <si>
    <t>QUARTLY</t>
  </si>
  <si>
    <t>2025-05-20</t>
  </si>
  <si>
    <t>108.48</t>
  </si>
  <si>
    <t>97.63</t>
  </si>
  <si>
    <t>14JWQ</t>
  </si>
  <si>
    <t>CALTAGIRONE, RYAN</t>
  </si>
  <si>
    <t>7250065229</t>
  </si>
  <si>
    <t>VOLPE</t>
  </si>
  <si>
    <t>2025-05-15</t>
  </si>
  <si>
    <t>200.32</t>
  </si>
  <si>
    <t>189.30</t>
  </si>
  <si>
    <t>7250131409</t>
  </si>
  <si>
    <t>CLARKE LENNON</t>
  </si>
  <si>
    <t>2025-08-19</t>
  </si>
  <si>
    <t>81.57</t>
  </si>
  <si>
    <t>111.75</t>
  </si>
  <si>
    <t>7250184438</t>
  </si>
  <si>
    <t>DEBATTISTA</t>
  </si>
  <si>
    <t>2025-10-15</t>
  </si>
  <si>
    <t>58.24</t>
  </si>
  <si>
    <t>79.79</t>
  </si>
  <si>
    <t>7250133520</t>
  </si>
  <si>
    <t>JOHNSTON</t>
  </si>
  <si>
    <t>117.40</t>
  </si>
  <si>
    <t>160.84</t>
  </si>
  <si>
    <t>4.23</t>
  </si>
  <si>
    <t>5.80</t>
  </si>
  <si>
    <t>6250158506</t>
  </si>
  <si>
    <t>SANDOVAL</t>
  </si>
  <si>
    <t>2025-09-16</t>
  </si>
  <si>
    <t>74.07</t>
  </si>
  <si>
    <t>66.66</t>
  </si>
  <si>
    <t>7250182527</t>
  </si>
  <si>
    <t>JOHNSON KING</t>
  </si>
  <si>
    <t>106.14</t>
  </si>
  <si>
    <t>145.41</t>
  </si>
  <si>
    <t>BONAVOLANTO,CARL</t>
  </si>
  <si>
    <t>LOPRIORE,FILOMENA</t>
  </si>
  <si>
    <t>VOLPENDESTA,DEBRA</t>
  </si>
  <si>
    <t>BAKER,CINDY</t>
  </si>
  <si>
    <t>WENT,KIMBERLY J</t>
  </si>
  <si>
    <t>WENGERSKI,STEVEN</t>
  </si>
  <si>
    <t>WENT,LARRY L</t>
  </si>
  <si>
    <t>JENNINGS,DIANE S</t>
  </si>
  <si>
    <t>LOPRIORE,MICHAEL</t>
  </si>
  <si>
    <t>FLORY,JOSEPH P</t>
  </si>
  <si>
    <t>PERKINS,KATHERINE R</t>
  </si>
  <si>
    <t>DAUER,MERRILEE</t>
  </si>
  <si>
    <t>CODER,ELIZABETH</t>
  </si>
  <si>
    <t>SILVA,TERESA</t>
  </si>
  <si>
    <t>FLORY,LOLA K</t>
  </si>
  <si>
    <t>TENZINGER,REGINA</t>
  </si>
  <si>
    <t>VOLPE,MARK</t>
  </si>
  <si>
    <t>CLARKE LENNON,JOANNE</t>
  </si>
  <si>
    <t>DEBATTISTA,DENA</t>
  </si>
  <si>
    <t>JOHNSTON,GAYLE</t>
  </si>
  <si>
    <t>SANDOVAL,LIA</t>
  </si>
  <si>
    <t>JOHNSON KING,BRENDA</t>
  </si>
  <si>
    <t>11/16/2025</t>
  </si>
  <si>
    <t>11/19/2025</t>
  </si>
  <si>
    <t>11/20/2025</t>
  </si>
  <si>
    <t>11/17/2025</t>
  </si>
  <si>
    <t>11/18/2025</t>
  </si>
  <si>
    <t>11/15/2025</t>
  </si>
  <si>
    <t>11/21/2025</t>
  </si>
  <si>
    <t>11/28/2025</t>
  </si>
  <si>
    <t>11/13/2025</t>
  </si>
  <si>
    <t>RN</t>
  </si>
  <si>
    <t>AV1</t>
  </si>
  <si>
    <t>NB</t>
  </si>
  <si>
    <t>AV</t>
  </si>
  <si>
    <t>AE</t>
  </si>
  <si>
    <t>7470776AV9</t>
  </si>
  <si>
    <t>8325282AV9</t>
  </si>
  <si>
    <t>Corebridge Guaranteed Issue Whole Life (90)</t>
  </si>
  <si>
    <t>Corebridge SimpliNow Legacy (94.50)</t>
  </si>
  <si>
    <t>Corebridge SimpliNow Legacy Max (137)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</si>
</sst>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-&quot;$&quot;#,##0.0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NumberFormat="1" applyFill="1"/>
    <xf numFmtId="14" fontId="0" fillId="2" borderId="0" xfId="0" applyNumberFormat="1" applyFill="1"/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7"/>
  <sheetViews>
    <sheetView zoomScale="89" zoomScaleNormal="89" workbookViewId="0">
      <selection sqref="A1:XFD1048576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54</v>
      </c>
      <c r="J5" t="s">
        <v>55</v>
      </c>
      <c r="K5" t="s">
        <v>42</v>
      </c>
      <c r="L5" t="s">
        <v>56</v>
      </c>
      <c r="M5" t="s">
        <v>57</v>
      </c>
      <c r="N5" t="s">
        <v>45</v>
      </c>
      <c r="O5" t="s">
        <v>46</v>
      </c>
      <c r="P5" t="s">
        <v>47</v>
      </c>
      <c r="Q5" t="s">
        <v>58</v>
      </c>
      <c r="R5" t="s">
        <v>58</v>
      </c>
      <c r="S5" t="s">
        <v>58</v>
      </c>
      <c r="T5" t="s">
        <v>49</v>
      </c>
      <c r="U5" s="4" t="s">
        <v>59</v>
      </c>
      <c r="V5" t="s">
        <v>60</v>
      </c>
      <c r="W5" s="4" t="s">
        <v>61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54</v>
      </c>
      <c r="J6" t="s">
        <v>55</v>
      </c>
      <c r="K6" t="s">
        <v>42</v>
      </c>
      <c r="L6" t="s">
        <v>62</v>
      </c>
      <c r="M6" t="s">
        <v>63</v>
      </c>
      <c r="N6" t="s">
        <v>45</v>
      </c>
      <c r="O6" t="s">
        <v>46</v>
      </c>
      <c r="P6" t="s">
        <v>47</v>
      </c>
      <c r="Q6" t="s">
        <v>64</v>
      </c>
      <c r="R6" t="s">
        <v>64</v>
      </c>
      <c r="S6" t="s">
        <v>64</v>
      </c>
      <c r="T6" t="s">
        <v>49</v>
      </c>
      <c r="U6" s="4" t="s">
        <v>65</v>
      </c>
      <c r="V6" t="s">
        <v>51</v>
      </c>
      <c r="W6" s="4" t="s">
        <v>66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67</v>
      </c>
      <c r="J7" t="s">
        <v>68</v>
      </c>
      <c r="K7" t="s">
        <v>42</v>
      </c>
      <c r="L7" t="s">
        <v>69</v>
      </c>
      <c r="M7" t="s">
        <v>70</v>
      </c>
      <c r="N7" t="s">
        <v>45</v>
      </c>
      <c r="O7" t="s">
        <v>46</v>
      </c>
      <c r="P7" t="s">
        <v>47</v>
      </c>
      <c r="Q7" t="s">
        <v>71</v>
      </c>
      <c r="R7" t="s">
        <v>71</v>
      </c>
      <c r="S7" t="s">
        <v>71</v>
      </c>
      <c r="T7" t="s">
        <v>49</v>
      </c>
      <c r="U7" s="4" t="s">
        <v>72</v>
      </c>
      <c r="V7" t="s">
        <v>73</v>
      </c>
      <c r="W7" s="4" t="s">
        <v>74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75</v>
      </c>
      <c r="J8" t="s">
        <v>76</v>
      </c>
      <c r="K8" t="s">
        <v>42</v>
      </c>
      <c r="L8" t="s">
        <v>77</v>
      </c>
      <c r="M8" t="s">
        <v>78</v>
      </c>
      <c r="N8" t="s">
        <v>45</v>
      </c>
      <c r="O8" t="s">
        <v>46</v>
      </c>
      <c r="P8" t="s">
        <v>47</v>
      </c>
      <c r="Q8" t="s">
        <v>79</v>
      </c>
      <c r="R8" t="s">
        <v>79</v>
      </c>
      <c r="S8" t="s">
        <v>79</v>
      </c>
      <c r="T8" t="s">
        <v>49</v>
      </c>
      <c r="U8" s="4" t="s">
        <v>80</v>
      </c>
      <c r="V8" t="s">
        <v>81</v>
      </c>
      <c r="W8" s="4" t="s">
        <v>82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83</v>
      </c>
      <c r="J9" t="s">
        <v>84</v>
      </c>
      <c r="K9" t="s">
        <v>42</v>
      </c>
      <c r="L9" t="s">
        <v>85</v>
      </c>
      <c r="M9" t="s">
        <v>86</v>
      </c>
      <c r="N9" t="s">
        <v>45</v>
      </c>
      <c r="O9" t="s">
        <v>46</v>
      </c>
      <c r="P9" t="s">
        <v>47</v>
      </c>
      <c r="Q9" t="s">
        <v>87</v>
      </c>
      <c r="R9" t="s">
        <v>87</v>
      </c>
      <c r="S9" t="s">
        <v>87</v>
      </c>
      <c r="T9" t="s">
        <v>49</v>
      </c>
      <c r="U9" s="4" t="s">
        <v>88</v>
      </c>
      <c r="V9" t="s">
        <v>73</v>
      </c>
      <c r="W9" s="4" t="s">
        <v>89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75</v>
      </c>
      <c r="J10" t="s">
        <v>76</v>
      </c>
      <c r="K10" t="s">
        <v>42</v>
      </c>
      <c r="L10" t="s">
        <v>90</v>
      </c>
      <c r="M10" t="s">
        <v>78</v>
      </c>
      <c r="N10" t="s">
        <v>45</v>
      </c>
      <c r="O10" t="s">
        <v>46</v>
      </c>
      <c r="P10" t="s">
        <v>47</v>
      </c>
      <c r="Q10" t="s">
        <v>79</v>
      </c>
      <c r="R10" t="s">
        <v>79</v>
      </c>
      <c r="S10" t="s">
        <v>79</v>
      </c>
      <c r="T10" t="s">
        <v>49</v>
      </c>
      <c r="U10" s="4" t="s">
        <v>91</v>
      </c>
      <c r="V10" t="s">
        <v>81</v>
      </c>
      <c r="W10" s="4" t="s">
        <v>92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93</v>
      </c>
      <c r="J11" t="s">
        <v>94</v>
      </c>
      <c r="K11" t="s">
        <v>42</v>
      </c>
      <c r="L11" t="s">
        <v>95</v>
      </c>
      <c r="M11" t="s">
        <v>96</v>
      </c>
      <c r="N11" t="s">
        <v>45</v>
      </c>
      <c r="O11" t="s">
        <v>46</v>
      </c>
      <c r="P11" t="s">
        <v>47</v>
      </c>
      <c r="Q11" t="s">
        <v>97</v>
      </c>
      <c r="R11" t="s">
        <v>97</v>
      </c>
      <c r="S11" t="s">
        <v>97</v>
      </c>
      <c r="T11" t="s">
        <v>49</v>
      </c>
      <c r="U11" s="4" t="s">
        <v>98</v>
      </c>
      <c r="V11" t="s">
        <v>81</v>
      </c>
      <c r="W11" s="4" t="s">
        <v>99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54</v>
      </c>
      <c r="J12" t="s">
        <v>55</v>
      </c>
      <c r="K12" t="s">
        <v>42</v>
      </c>
      <c r="L12" t="s">
        <v>100</v>
      </c>
      <c r="M12" t="s">
        <v>57</v>
      </c>
      <c r="N12" t="s">
        <v>45</v>
      </c>
      <c r="O12" t="s">
        <v>46</v>
      </c>
      <c r="P12" t="s">
        <v>47</v>
      </c>
      <c r="Q12" t="s">
        <v>58</v>
      </c>
      <c r="R12" t="s">
        <v>58</v>
      </c>
      <c r="S12" t="s">
        <v>58</v>
      </c>
      <c r="T12" t="s">
        <v>49</v>
      </c>
      <c r="U12" s="4" t="s">
        <v>101</v>
      </c>
      <c r="V12" t="s">
        <v>60</v>
      </c>
      <c r="W12" s="4" t="s">
        <v>102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43</v>
      </c>
      <c r="M13" t="s">
        <v>44</v>
      </c>
      <c r="N13" t="s">
        <v>45</v>
      </c>
      <c r="O13" t="s">
        <v>46</v>
      </c>
      <c r="P13" t="s">
        <v>47</v>
      </c>
      <c r="Q13" t="s">
        <v>48</v>
      </c>
      <c r="R13" t="s">
        <v>48</v>
      </c>
      <c r="S13" t="s">
        <v>48</v>
      </c>
      <c r="T13" t="s">
        <v>49</v>
      </c>
      <c r="U13" s="4" t="s">
        <v>103</v>
      </c>
      <c r="V13" t="s">
        <v>51</v>
      </c>
      <c r="W13" s="4" t="s">
        <v>104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75</v>
      </c>
      <c r="J14" t="s">
        <v>76</v>
      </c>
      <c r="K14" t="s">
        <v>42</v>
      </c>
      <c r="L14" t="s">
        <v>105</v>
      </c>
      <c r="M14" t="s">
        <v>106</v>
      </c>
      <c r="N14" t="s">
        <v>45</v>
      </c>
      <c r="O14" t="s">
        <v>46</v>
      </c>
      <c r="P14" t="s">
        <v>47</v>
      </c>
      <c r="Q14" t="s">
        <v>79</v>
      </c>
      <c r="R14" t="s">
        <v>79</v>
      </c>
      <c r="S14" t="s">
        <v>79</v>
      </c>
      <c r="T14" t="s">
        <v>49</v>
      </c>
      <c r="U14" s="4" t="s">
        <v>107</v>
      </c>
      <c r="V14" t="s">
        <v>51</v>
      </c>
      <c r="W14" s="4" t="s">
        <v>108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109</v>
      </c>
      <c r="J15" t="s">
        <v>110</v>
      </c>
      <c r="K15" t="s">
        <v>42</v>
      </c>
      <c r="L15" t="s">
        <v>111</v>
      </c>
      <c r="M15" t="s">
        <v>112</v>
      </c>
      <c r="N15" t="s">
        <v>45</v>
      </c>
      <c r="O15" t="s">
        <v>46</v>
      </c>
      <c r="P15" t="s">
        <v>47</v>
      </c>
      <c r="Q15" t="s">
        <v>113</v>
      </c>
      <c r="R15" t="s">
        <v>113</v>
      </c>
      <c r="S15" t="s">
        <v>113</v>
      </c>
      <c r="T15" t="s">
        <v>49</v>
      </c>
      <c r="U15" s="4" t="s">
        <v>114</v>
      </c>
      <c r="V15" t="s">
        <v>51</v>
      </c>
      <c r="W15" s="4" t="s">
        <v>115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109</v>
      </c>
      <c r="J16" t="s">
        <v>110</v>
      </c>
      <c r="K16" t="s">
        <v>42</v>
      </c>
      <c r="L16" t="s">
        <v>116</v>
      </c>
      <c r="M16" t="s">
        <v>117</v>
      </c>
      <c r="N16" t="s">
        <v>45</v>
      </c>
      <c r="O16" t="s">
        <v>46</v>
      </c>
      <c r="P16" t="s">
        <v>47</v>
      </c>
      <c r="Q16" t="s">
        <v>118</v>
      </c>
      <c r="R16" t="s">
        <v>118</v>
      </c>
      <c r="S16" t="s">
        <v>118</v>
      </c>
      <c r="T16" t="s">
        <v>49</v>
      </c>
      <c r="U16" s="4" t="s">
        <v>119</v>
      </c>
      <c r="V16" t="s">
        <v>81</v>
      </c>
      <c r="W16" s="4" t="s">
        <v>120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93</v>
      </c>
      <c r="J17" t="s">
        <v>94</v>
      </c>
      <c r="K17" t="s">
        <v>42</v>
      </c>
      <c r="L17" t="s">
        <v>121</v>
      </c>
      <c r="M17" t="s">
        <v>122</v>
      </c>
      <c r="N17" t="s">
        <v>45</v>
      </c>
      <c r="O17" t="s">
        <v>46</v>
      </c>
      <c r="P17" t="s">
        <v>47</v>
      </c>
      <c r="Q17" t="s">
        <v>123</v>
      </c>
      <c r="R17" t="s">
        <v>123</v>
      </c>
      <c r="S17" t="s">
        <v>123</v>
      </c>
      <c r="T17" t="s">
        <v>49</v>
      </c>
      <c r="U17" s="4" t="s">
        <v>124</v>
      </c>
      <c r="V17" t="s">
        <v>51</v>
      </c>
      <c r="W17" s="4" t="s">
        <v>125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25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109</v>
      </c>
      <c r="J18" t="s">
        <v>110</v>
      </c>
      <c r="K18" t="s">
        <v>42</v>
      </c>
      <c r="L18" t="s">
        <v>126</v>
      </c>
      <c r="M18" t="s">
        <v>127</v>
      </c>
      <c r="N18" t="s">
        <v>45</v>
      </c>
      <c r="O18" t="s">
        <v>46</v>
      </c>
      <c r="P18" t="s">
        <v>47</v>
      </c>
      <c r="Q18" t="s">
        <v>128</v>
      </c>
      <c r="R18" t="s">
        <v>128</v>
      </c>
      <c r="S18" t="s">
        <v>128</v>
      </c>
      <c r="T18" t="s">
        <v>49</v>
      </c>
      <c r="U18" s="4" t="s">
        <v>129</v>
      </c>
      <c r="V18" t="s">
        <v>51</v>
      </c>
      <c r="W18" s="4" t="s">
        <v>130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75</v>
      </c>
      <c r="J19" t="s">
        <v>76</v>
      </c>
      <c r="K19" t="s">
        <v>42</v>
      </c>
      <c r="L19" t="s">
        <v>131</v>
      </c>
      <c r="M19" t="s">
        <v>106</v>
      </c>
      <c r="N19" t="s">
        <v>45</v>
      </c>
      <c r="O19" t="s">
        <v>46</v>
      </c>
      <c r="P19" t="s">
        <v>47</v>
      </c>
      <c r="Q19" t="s">
        <v>79</v>
      </c>
      <c r="R19" t="s">
        <v>79</v>
      </c>
      <c r="S19" t="s">
        <v>79</v>
      </c>
      <c r="T19" t="s">
        <v>49</v>
      </c>
      <c r="U19" s="4" t="s">
        <v>132</v>
      </c>
      <c r="V19" t="s">
        <v>51</v>
      </c>
      <c r="W19" s="4" t="s">
        <v>133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109</v>
      </c>
      <c r="J20" t="s">
        <v>110</v>
      </c>
      <c r="K20" t="s">
        <v>42</v>
      </c>
      <c r="L20" t="s">
        <v>134</v>
      </c>
      <c r="M20" t="s">
        <v>135</v>
      </c>
      <c r="N20" t="s">
        <v>136</v>
      </c>
      <c r="O20" t="s">
        <v>46</v>
      </c>
      <c r="P20" t="s">
        <v>47</v>
      </c>
      <c r="Q20" t="s">
        <v>137</v>
      </c>
      <c r="R20" t="s">
        <v>137</v>
      </c>
      <c r="S20" t="s">
        <v>137</v>
      </c>
      <c r="T20" t="s">
        <v>49</v>
      </c>
      <c r="U20" s="4" t="s">
        <v>138</v>
      </c>
      <c r="V20" t="s">
        <v>73</v>
      </c>
      <c r="W20" s="4" t="s">
        <v>139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140</v>
      </c>
      <c r="J21" t="s">
        <v>141</v>
      </c>
      <c r="K21" t="s">
        <v>42</v>
      </c>
      <c r="L21" t="s">
        <v>142</v>
      </c>
      <c r="M21" t="s">
        <v>143</v>
      </c>
      <c r="N21" t="s">
        <v>45</v>
      </c>
      <c r="O21" t="s">
        <v>46</v>
      </c>
      <c r="P21" t="s">
        <v>47</v>
      </c>
      <c r="Q21" t="s">
        <v>144</v>
      </c>
      <c r="R21" t="s">
        <v>144</v>
      </c>
      <c r="S21" t="s">
        <v>144</v>
      </c>
      <c r="T21" t="s">
        <v>49</v>
      </c>
      <c r="U21" s="4" t="s">
        <v>145</v>
      </c>
      <c r="V21" t="s">
        <v>81</v>
      </c>
      <c r="W21" s="4" t="s">
        <v>146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93</v>
      </c>
      <c r="J22" t="s">
        <v>94</v>
      </c>
      <c r="K22" t="s">
        <v>42</v>
      </c>
      <c r="L22" t="s">
        <v>147</v>
      </c>
      <c r="M22" t="s">
        <v>148</v>
      </c>
      <c r="N22" t="s">
        <v>45</v>
      </c>
      <c r="O22" t="s">
        <v>46</v>
      </c>
      <c r="P22" t="s">
        <v>47</v>
      </c>
      <c r="Q22" t="s">
        <v>149</v>
      </c>
      <c r="R22" t="s">
        <v>149</v>
      </c>
      <c r="S22" t="s">
        <v>149</v>
      </c>
      <c r="T22" t="s">
        <v>49</v>
      </c>
      <c r="U22" s="4" t="s">
        <v>150</v>
      </c>
      <c r="V22" t="s">
        <v>51</v>
      </c>
      <c r="W22" s="4" t="s">
        <v>151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75</v>
      </c>
      <c r="J23" t="s">
        <v>76</v>
      </c>
      <c r="K23" t="s">
        <v>42</v>
      </c>
      <c r="L23" t="s">
        <v>152</v>
      </c>
      <c r="M23" t="s">
        <v>153</v>
      </c>
      <c r="N23" t="s">
        <v>45</v>
      </c>
      <c r="O23" t="s">
        <v>46</v>
      </c>
      <c r="P23" t="s">
        <v>47</v>
      </c>
      <c r="Q23" t="s">
        <v>154</v>
      </c>
      <c r="R23" t="s">
        <v>154</v>
      </c>
      <c r="S23" t="s">
        <v>154</v>
      </c>
      <c r="T23" t="s">
        <v>49</v>
      </c>
      <c r="U23" s="4" t="s">
        <v>155</v>
      </c>
      <c r="V23" t="s">
        <v>51</v>
      </c>
      <c r="W23" s="4" t="s">
        <v>156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93</v>
      </c>
      <c r="J24" t="s">
        <v>94</v>
      </c>
      <c r="K24" t="s">
        <v>42</v>
      </c>
      <c r="L24" t="s">
        <v>157</v>
      </c>
      <c r="M24" t="s">
        <v>158</v>
      </c>
      <c r="N24" t="s">
        <v>45</v>
      </c>
      <c r="O24" t="s">
        <v>46</v>
      </c>
      <c r="P24" t="s">
        <v>47</v>
      </c>
      <c r="Q24" t="s">
        <v>123</v>
      </c>
      <c r="R24" t="s">
        <v>123</v>
      </c>
      <c r="S24" t="s">
        <v>123</v>
      </c>
      <c r="T24" t="s">
        <v>49</v>
      </c>
      <c r="U24" s="4" t="s">
        <v>159</v>
      </c>
      <c r="V24" t="s">
        <v>51</v>
      </c>
      <c r="W24" s="4" t="s">
        <v>160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93</v>
      </c>
      <c r="J25" t="s">
        <v>94</v>
      </c>
      <c r="K25" t="s">
        <v>42</v>
      </c>
      <c r="L25" t="s">
        <v>147</v>
      </c>
      <c r="M25" t="s">
        <v>148</v>
      </c>
      <c r="N25" t="s">
        <v>45</v>
      </c>
      <c r="O25" t="s">
        <v>46</v>
      </c>
      <c r="P25" t="s">
        <v>47</v>
      </c>
      <c r="Q25" t="s">
        <v>149</v>
      </c>
      <c r="R25" t="s">
        <v>149</v>
      </c>
      <c r="S25" t="s">
        <v>149</v>
      </c>
      <c r="T25" t="s">
        <v>49</v>
      </c>
      <c r="U25" s="4" t="s">
        <v>161</v>
      </c>
      <c r="V25" t="s">
        <v>51</v>
      </c>
      <c r="W25" s="4" t="s">
        <v>162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109</v>
      </c>
      <c r="J26" t="s">
        <v>110</v>
      </c>
      <c r="K26" t="s">
        <v>42</v>
      </c>
      <c r="L26" t="s">
        <v>163</v>
      </c>
      <c r="M26" t="s">
        <v>164</v>
      </c>
      <c r="N26" t="s">
        <v>45</v>
      </c>
      <c r="O26" t="s">
        <v>46</v>
      </c>
      <c r="P26" t="s">
        <v>47</v>
      </c>
      <c r="Q26" t="s">
        <v>165</v>
      </c>
      <c r="R26" t="s">
        <v>165</v>
      </c>
      <c r="S26" t="s">
        <v>165</v>
      </c>
      <c r="T26" t="s">
        <v>49</v>
      </c>
      <c r="U26" s="4" t="s">
        <v>166</v>
      </c>
      <c r="V26" t="s">
        <v>73</v>
      </c>
      <c r="W26" s="4" t="s">
        <v>167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67</v>
      </c>
      <c r="J27" t="s">
        <v>68</v>
      </c>
      <c r="K27" t="s">
        <v>42</v>
      </c>
      <c r="L27" t="s">
        <v>168</v>
      </c>
      <c r="M27" t="s">
        <v>169</v>
      </c>
      <c r="N27" t="s">
        <v>45</v>
      </c>
      <c r="O27" t="s">
        <v>46</v>
      </c>
      <c r="P27" t="s">
        <v>47</v>
      </c>
      <c r="Q27" t="s">
        <v>48</v>
      </c>
      <c r="R27" t="s">
        <v>48</v>
      </c>
      <c r="S27" t="s">
        <v>48</v>
      </c>
      <c r="T27" t="s">
        <v>49</v>
      </c>
      <c r="U27" s="4" t="s">
        <v>170</v>
      </c>
      <c r="V27" t="s">
        <v>51</v>
      </c>
      <c r="W27" s="4" t="s">
        <v>171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32870-A930-40AC-B4E8-A7673F9A44DB}">
  <dimension ref="A1:AH25"/>
  <sheetViews>
    <sheetView tabSelected="1" topLeftCell="C1" workbookViewId="0">
      <selection activeCell="C20" sqref="A20:XFD20"/>
    </sheetView>
  </sheetViews>
  <sheetFormatPr defaultRowHeight="15" x14ac:dyDescent="0.25"/>
  <cols>
    <col min="1" max="1" width="20.5703125" customWidth="1"/>
    <col min="2" max="2" width="24.140625" customWidth="1"/>
    <col min="3" max="3" width="14.140625" bestFit="1" customWidth="1"/>
    <col min="4" max="4" width="23.85546875" bestFit="1" customWidth="1"/>
    <col min="5" max="5" width="16.42578125" customWidth="1"/>
    <col min="6" max="6" width="15" customWidth="1"/>
    <col min="7" max="7" width="15.42578125" customWidth="1"/>
    <col min="8" max="8" width="12" customWidth="1"/>
    <col min="9" max="12" width="13.28515625" style="9" customWidth="1"/>
    <col min="13" max="13" width="17.28515625" customWidth="1"/>
    <col min="14" max="14" width="13.28515625" customWidth="1"/>
    <col min="15" max="15" width="12.28515625" customWidth="1"/>
  </cols>
  <sheetData>
    <row r="1" spans="1:34" x14ac:dyDescent="0.25">
      <c r="A1" s="1" t="s">
        <v>7</v>
      </c>
      <c r="B1" s="1" t="s">
        <v>6</v>
      </c>
      <c r="C1" s="1" t="s">
        <v>9</v>
      </c>
      <c r="D1" s="1" t="s">
        <v>10</v>
      </c>
      <c r="E1" s="1" t="s">
        <v>11</v>
      </c>
      <c r="F1" s="1" t="s">
        <v>31</v>
      </c>
      <c r="G1" s="1" t="s">
        <v>12</v>
      </c>
      <c r="H1" s="1" t="s">
        <v>13</v>
      </c>
      <c r="I1" s="8" t="s">
        <v>14</v>
      </c>
      <c r="J1" s="8"/>
      <c r="K1" s="8"/>
      <c r="L1" s="8"/>
      <c r="M1" s="1" t="s">
        <v>17</v>
      </c>
      <c r="N1" s="1" t="s">
        <v>18</v>
      </c>
      <c r="O1" s="1" t="s">
        <v>19</v>
      </c>
    </row>
    <row r="2" spans="1:34" x14ac:dyDescent="0.25">
      <c r="A2">
        <v>18754354</v>
      </c>
      <c r="B2" t="s">
        <v>84</v>
      </c>
      <c r="C2" s="7">
        <v>6250008497</v>
      </c>
      <c r="D2" t="s">
        <v>177</v>
      </c>
      <c r="E2" t="s">
        <v>45</v>
      </c>
      <c r="F2" t="s">
        <v>46</v>
      </c>
      <c r="G2" t="s">
        <v>47</v>
      </c>
      <c r="H2" s="6">
        <v>45674</v>
      </c>
      <c r="I2" s="9" t="s">
        <v>197</v>
      </c>
      <c r="J2" s="9">
        <f>DATEDIF(H2,I2,"M")</f>
        <v>10</v>
      </c>
      <c r="K2" s="9" t="s">
        <v>203</v>
      </c>
      <c r="L2" s="9" t="s">
        <v>207</v>
      </c>
      <c r="M2" s="7">
        <v>147.24</v>
      </c>
      <c r="N2" s="7">
        <v>0.9</v>
      </c>
      <c r="O2" s="7">
        <v>132.52000000000001</v>
      </c>
      <c r="P2" t="s">
        <v>210</v>
      </c>
    </row>
    <row r="3" spans="1:34" x14ac:dyDescent="0.25">
      <c r="A3" s="10">
        <v>7470776</v>
      </c>
      <c r="B3" s="10" t="s">
        <v>68</v>
      </c>
      <c r="C3" s="11">
        <v>6250043034</v>
      </c>
      <c r="D3" s="10" t="s">
        <v>175</v>
      </c>
      <c r="E3" s="10" t="s">
        <v>45</v>
      </c>
      <c r="F3" s="10" t="s">
        <v>46</v>
      </c>
      <c r="G3" s="10" t="s">
        <v>47</v>
      </c>
      <c r="H3" s="12">
        <v>45735</v>
      </c>
      <c r="I3" s="13" t="s">
        <v>195</v>
      </c>
      <c r="J3" s="9">
        <f>DATEDIF(H3,I3,"M")</f>
        <v>8</v>
      </c>
      <c r="K3" s="14" t="s">
        <v>203</v>
      </c>
      <c r="L3" s="14" t="s">
        <v>204</v>
      </c>
      <c r="M3" s="11">
        <v>92.25</v>
      </c>
      <c r="N3" s="11">
        <v>0.9</v>
      </c>
      <c r="O3" s="11">
        <v>83.03</v>
      </c>
      <c r="P3" s="10" t="s">
        <v>210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</row>
    <row r="4" spans="1:34" x14ac:dyDescent="0.25">
      <c r="A4">
        <v>9213293</v>
      </c>
      <c r="B4" t="s">
        <v>110</v>
      </c>
      <c r="C4" s="7">
        <v>6250081841</v>
      </c>
      <c r="D4" t="s">
        <v>187</v>
      </c>
      <c r="E4" t="s">
        <v>136</v>
      </c>
      <c r="F4" t="s">
        <v>46</v>
      </c>
      <c r="G4" t="s">
        <v>47</v>
      </c>
      <c r="H4" s="6">
        <v>45797</v>
      </c>
      <c r="I4" s="9" t="s">
        <v>196</v>
      </c>
      <c r="J4" s="9">
        <f>DATEDIF(H4,I4,"M")</f>
        <v>6</v>
      </c>
      <c r="K4" s="9" t="s">
        <v>203</v>
      </c>
      <c r="L4" s="9" t="s">
        <v>207</v>
      </c>
      <c r="M4" s="7">
        <v>108.48</v>
      </c>
      <c r="N4" s="7">
        <v>0.9</v>
      </c>
      <c r="O4" s="7">
        <v>97.63</v>
      </c>
      <c r="P4" t="s">
        <v>210</v>
      </c>
    </row>
    <row r="5" spans="1:34" x14ac:dyDescent="0.25">
      <c r="A5">
        <v>9213293</v>
      </c>
      <c r="B5" t="s">
        <v>110</v>
      </c>
      <c r="C5" s="7">
        <v>6250158506</v>
      </c>
      <c r="D5" t="s">
        <v>192</v>
      </c>
      <c r="E5" t="s">
        <v>45</v>
      </c>
      <c r="F5" t="s">
        <v>46</v>
      </c>
      <c r="G5" t="s">
        <v>47</v>
      </c>
      <c r="H5" s="6">
        <v>45916</v>
      </c>
      <c r="I5" s="9" t="s">
        <v>194</v>
      </c>
      <c r="J5" s="9">
        <f>DATEDIF(H5,I5,"M")</f>
        <v>2</v>
      </c>
      <c r="K5" s="9" t="s">
        <v>203</v>
      </c>
      <c r="L5" s="9" t="s">
        <v>207</v>
      </c>
      <c r="M5" s="7">
        <v>74.069999999999993</v>
      </c>
      <c r="N5" s="7">
        <v>0.9</v>
      </c>
      <c r="O5" s="7">
        <v>66.66</v>
      </c>
      <c r="P5" t="s">
        <v>210</v>
      </c>
    </row>
    <row r="6" spans="1:34" x14ac:dyDescent="0.25">
      <c r="A6" s="10">
        <v>8325282</v>
      </c>
      <c r="B6" s="10" t="s">
        <v>55</v>
      </c>
      <c r="C6" s="11">
        <v>7240098074</v>
      </c>
      <c r="D6" s="10" t="s">
        <v>180</v>
      </c>
      <c r="E6" s="10" t="s">
        <v>45</v>
      </c>
      <c r="F6" s="10" t="s">
        <v>46</v>
      </c>
      <c r="G6" s="10" t="s">
        <v>47</v>
      </c>
      <c r="H6" s="12">
        <v>45581</v>
      </c>
      <c r="I6" s="13" t="s">
        <v>194</v>
      </c>
      <c r="J6" s="9">
        <f>DATEDIF(H6,I6,"M")</f>
        <v>13</v>
      </c>
      <c r="K6" s="13" t="s">
        <v>203</v>
      </c>
      <c r="L6" s="13" t="s">
        <v>207</v>
      </c>
      <c r="M6" s="11">
        <v>61.81</v>
      </c>
      <c r="N6" s="11">
        <v>0.06</v>
      </c>
      <c r="O6" s="11">
        <v>3.71</v>
      </c>
      <c r="P6" s="10" t="s">
        <v>212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1:34" x14ac:dyDescent="0.25">
      <c r="A7" s="10">
        <v>8325282</v>
      </c>
      <c r="B7" s="10" t="s">
        <v>55</v>
      </c>
      <c r="C7" s="11">
        <v>7240098094</v>
      </c>
      <c r="D7" s="10" t="s">
        <v>173</v>
      </c>
      <c r="E7" s="10" t="s">
        <v>45</v>
      </c>
      <c r="F7" s="10" t="s">
        <v>46</v>
      </c>
      <c r="G7" s="10" t="s">
        <v>47</v>
      </c>
      <c r="H7" s="12">
        <v>45581</v>
      </c>
      <c r="I7" s="13" t="s">
        <v>194</v>
      </c>
      <c r="J7" s="9">
        <f>DATEDIF(H7,I7,"M")</f>
        <v>13</v>
      </c>
      <c r="K7" s="13" t="s">
        <v>203</v>
      </c>
      <c r="L7" s="13" t="s">
        <v>207</v>
      </c>
      <c r="M7" s="11">
        <v>44.79</v>
      </c>
      <c r="N7" s="11">
        <v>0.06</v>
      </c>
      <c r="O7" s="11">
        <v>2.69</v>
      </c>
      <c r="P7" s="10" t="s">
        <v>212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s="10" customFormat="1" x14ac:dyDescent="0.25">
      <c r="A8">
        <v>9213293</v>
      </c>
      <c r="B8" t="s">
        <v>110</v>
      </c>
      <c r="C8" s="7">
        <v>7240127266</v>
      </c>
      <c r="D8" t="s">
        <v>182</v>
      </c>
      <c r="E8" t="s">
        <v>45</v>
      </c>
      <c r="F8" t="s">
        <v>46</v>
      </c>
      <c r="G8" t="s">
        <v>47</v>
      </c>
      <c r="H8" s="6">
        <v>45641</v>
      </c>
      <c r="I8" s="9" t="s">
        <v>199</v>
      </c>
      <c r="J8" s="9">
        <f>DATEDIF(H8,I8,"M")</f>
        <v>11</v>
      </c>
      <c r="K8" s="9" t="s">
        <v>203</v>
      </c>
      <c r="L8" s="9" t="s">
        <v>207</v>
      </c>
      <c r="M8" s="7">
        <v>59.48</v>
      </c>
      <c r="N8" s="7">
        <v>1.37</v>
      </c>
      <c r="O8" s="7">
        <v>81.489999999999995</v>
      </c>
      <c r="P8" t="s">
        <v>212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s="10" customFormat="1" x14ac:dyDescent="0.25">
      <c r="A9">
        <v>8977234</v>
      </c>
      <c r="B9" t="s">
        <v>141</v>
      </c>
      <c r="C9" s="7">
        <v>7250065229</v>
      </c>
      <c r="D9" t="s">
        <v>188</v>
      </c>
      <c r="E9" t="s">
        <v>45</v>
      </c>
      <c r="F9" t="s">
        <v>46</v>
      </c>
      <c r="G9" t="s">
        <v>47</v>
      </c>
      <c r="H9" s="6">
        <v>45792</v>
      </c>
      <c r="I9" s="9" t="s">
        <v>199</v>
      </c>
      <c r="J9" s="9">
        <f>DATEDIF(H9,I9,"M")</f>
        <v>6</v>
      </c>
      <c r="K9" s="9" t="s">
        <v>203</v>
      </c>
      <c r="L9" s="9" t="s">
        <v>207</v>
      </c>
      <c r="M9" s="7">
        <v>200.32</v>
      </c>
      <c r="N9" s="7">
        <v>0.94499999999999995</v>
      </c>
      <c r="O9" s="7">
        <v>189.3</v>
      </c>
      <c r="P9" t="s">
        <v>211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x14ac:dyDescent="0.25">
      <c r="A10">
        <v>16228684</v>
      </c>
      <c r="B10" t="s">
        <v>94</v>
      </c>
      <c r="C10" s="7">
        <v>7250131409</v>
      </c>
      <c r="D10" t="s">
        <v>189</v>
      </c>
      <c r="E10" t="s">
        <v>45</v>
      </c>
      <c r="F10" t="s">
        <v>46</v>
      </c>
      <c r="G10" t="s">
        <v>47</v>
      </c>
      <c r="H10" s="6">
        <v>45888</v>
      </c>
      <c r="I10" s="9" t="s">
        <v>195</v>
      </c>
      <c r="J10" s="9">
        <f>DATEDIF(H10,I10,"M")</f>
        <v>3</v>
      </c>
      <c r="K10" s="9" t="s">
        <v>203</v>
      </c>
      <c r="L10" s="9" t="s">
        <v>207</v>
      </c>
      <c r="M10" s="7">
        <v>81.569999999999993</v>
      </c>
      <c r="N10" s="7">
        <v>1.37</v>
      </c>
      <c r="O10" s="7">
        <v>111.75</v>
      </c>
      <c r="P10" t="s">
        <v>212</v>
      </c>
    </row>
    <row r="11" spans="1:34" x14ac:dyDescent="0.25">
      <c r="A11">
        <v>16228684</v>
      </c>
      <c r="B11" t="s">
        <v>94</v>
      </c>
      <c r="C11" s="7">
        <v>7250131409</v>
      </c>
      <c r="D11" t="s">
        <v>189</v>
      </c>
      <c r="E11" t="s">
        <v>45</v>
      </c>
      <c r="F11" t="s">
        <v>46</v>
      </c>
      <c r="G11" t="s">
        <v>47</v>
      </c>
      <c r="H11" s="6">
        <v>45888</v>
      </c>
      <c r="I11" s="9" t="s">
        <v>195</v>
      </c>
      <c r="J11" s="9">
        <f>DATEDIF(H11,I11,"M")</f>
        <v>3</v>
      </c>
      <c r="K11" s="9" t="s">
        <v>203</v>
      </c>
      <c r="L11" s="9" t="s">
        <v>207</v>
      </c>
      <c r="M11" s="7">
        <v>4.2300000000000004</v>
      </c>
      <c r="N11" s="7">
        <v>1.37</v>
      </c>
      <c r="O11" s="7">
        <v>5.8</v>
      </c>
      <c r="P11" t="s">
        <v>212</v>
      </c>
    </row>
    <row r="12" spans="1:34" x14ac:dyDescent="0.25">
      <c r="A12">
        <v>16228684</v>
      </c>
      <c r="B12" t="s">
        <v>94</v>
      </c>
      <c r="C12" s="7">
        <v>7250133520</v>
      </c>
      <c r="D12" t="s">
        <v>191</v>
      </c>
      <c r="E12" t="s">
        <v>45</v>
      </c>
      <c r="F12" t="s">
        <v>46</v>
      </c>
      <c r="G12" t="s">
        <v>47</v>
      </c>
      <c r="H12" s="6">
        <v>45884</v>
      </c>
      <c r="I12" s="9" t="s">
        <v>199</v>
      </c>
      <c r="J12" s="9">
        <f>DATEDIF(H12,I12,"M")</f>
        <v>3</v>
      </c>
      <c r="K12" s="9" t="s">
        <v>203</v>
      </c>
      <c r="L12" s="9" t="s">
        <v>207</v>
      </c>
      <c r="M12" s="7">
        <v>117.4</v>
      </c>
      <c r="N12" s="7">
        <v>1.37</v>
      </c>
      <c r="O12" s="7">
        <v>160.84</v>
      </c>
      <c r="P12" t="s">
        <v>212</v>
      </c>
    </row>
    <row r="13" spans="1:34" x14ac:dyDescent="0.25">
      <c r="A13">
        <v>9213293</v>
      </c>
      <c r="B13" t="s">
        <v>110</v>
      </c>
      <c r="C13" s="7">
        <v>7250134970</v>
      </c>
      <c r="D13" t="s">
        <v>185</v>
      </c>
      <c r="E13" t="s">
        <v>45</v>
      </c>
      <c r="F13" t="s">
        <v>46</v>
      </c>
      <c r="G13" t="s">
        <v>47</v>
      </c>
      <c r="H13" s="6">
        <v>45866</v>
      </c>
      <c r="I13" s="9" t="s">
        <v>201</v>
      </c>
      <c r="J13" s="9">
        <f>DATEDIF(H13,I13,"M")</f>
        <v>4</v>
      </c>
      <c r="K13" s="9" t="s">
        <v>203</v>
      </c>
      <c r="L13" s="9" t="s">
        <v>207</v>
      </c>
      <c r="M13" s="7">
        <v>86.38</v>
      </c>
      <c r="N13" s="7">
        <v>1.37</v>
      </c>
      <c r="O13" s="7">
        <v>118.34</v>
      </c>
      <c r="P13" t="s">
        <v>212</v>
      </c>
    </row>
    <row r="14" spans="1:34" x14ac:dyDescent="0.25">
      <c r="A14">
        <v>16228684</v>
      </c>
      <c r="B14" t="s">
        <v>94</v>
      </c>
      <c r="C14" s="7">
        <v>7250136668</v>
      </c>
      <c r="D14" t="s">
        <v>184</v>
      </c>
      <c r="E14" t="s">
        <v>45</v>
      </c>
      <c r="F14" t="s">
        <v>46</v>
      </c>
      <c r="G14" t="s">
        <v>47</v>
      </c>
      <c r="H14" s="6">
        <v>45884</v>
      </c>
      <c r="I14" s="9" t="s">
        <v>199</v>
      </c>
      <c r="J14" s="9">
        <f>DATEDIF(H14,I14,"M")</f>
        <v>3</v>
      </c>
      <c r="K14" s="9" t="s">
        <v>203</v>
      </c>
      <c r="L14" s="9" t="s">
        <v>207</v>
      </c>
      <c r="M14" s="7">
        <v>127.03</v>
      </c>
      <c r="N14" s="7">
        <v>1.37</v>
      </c>
      <c r="O14" s="7">
        <v>174.03</v>
      </c>
      <c r="P14" t="s">
        <v>212</v>
      </c>
    </row>
    <row r="15" spans="1:34" x14ac:dyDescent="0.25">
      <c r="A15">
        <v>19491313</v>
      </c>
      <c r="B15" t="s">
        <v>76</v>
      </c>
      <c r="C15" s="7">
        <v>7250149911</v>
      </c>
      <c r="D15" t="s">
        <v>176</v>
      </c>
      <c r="E15" t="s">
        <v>45</v>
      </c>
      <c r="F15" t="s">
        <v>46</v>
      </c>
      <c r="G15" t="s">
        <v>47</v>
      </c>
      <c r="H15" s="6">
        <v>45920</v>
      </c>
      <c r="I15" s="9" t="s">
        <v>196</v>
      </c>
      <c r="J15" s="9">
        <f>DATEDIF(H15,I15,"M")</f>
        <v>2</v>
      </c>
      <c r="K15" s="9" t="s">
        <v>203</v>
      </c>
      <c r="L15" s="9" t="s">
        <v>207</v>
      </c>
      <c r="M15" s="7">
        <v>32.270000000000003</v>
      </c>
      <c r="N15" s="7">
        <v>0.94499999999999995</v>
      </c>
      <c r="O15" s="7">
        <v>30.5</v>
      </c>
      <c r="P15" t="s">
        <v>211</v>
      </c>
    </row>
    <row r="16" spans="1:34" x14ac:dyDescent="0.25">
      <c r="A16">
        <v>19491313</v>
      </c>
      <c r="B16" t="s">
        <v>76</v>
      </c>
      <c r="C16" s="7">
        <v>7250149956</v>
      </c>
      <c r="D16" t="s">
        <v>178</v>
      </c>
      <c r="E16" t="s">
        <v>45</v>
      </c>
      <c r="F16" t="s">
        <v>46</v>
      </c>
      <c r="G16" t="s">
        <v>47</v>
      </c>
      <c r="H16" s="6">
        <v>45920</v>
      </c>
      <c r="I16" s="9" t="s">
        <v>196</v>
      </c>
      <c r="J16" s="9">
        <f>DATEDIF(H16,I16,"M")</f>
        <v>2</v>
      </c>
      <c r="K16" s="9" t="s">
        <v>203</v>
      </c>
      <c r="L16" s="9" t="s">
        <v>207</v>
      </c>
      <c r="M16" s="7">
        <v>48.96</v>
      </c>
      <c r="N16" s="7">
        <v>0.94499999999999995</v>
      </c>
      <c r="O16" s="7">
        <v>46.27</v>
      </c>
      <c r="P16" t="s">
        <v>211</v>
      </c>
    </row>
    <row r="17" spans="1:34" x14ac:dyDescent="0.25">
      <c r="A17">
        <v>9213293</v>
      </c>
      <c r="B17" t="s">
        <v>110</v>
      </c>
      <c r="C17" s="7">
        <v>7250155601</v>
      </c>
      <c r="D17" t="s">
        <v>183</v>
      </c>
      <c r="E17" t="s">
        <v>45</v>
      </c>
      <c r="F17" t="s">
        <v>46</v>
      </c>
      <c r="G17" t="s">
        <v>47</v>
      </c>
      <c r="H17" s="6">
        <v>45890</v>
      </c>
      <c r="I17" s="9" t="s">
        <v>200</v>
      </c>
      <c r="J17" s="9">
        <f>DATEDIF(H17,I17,"M")</f>
        <v>3</v>
      </c>
      <c r="K17" s="9" t="s">
        <v>203</v>
      </c>
      <c r="L17" s="9" t="s">
        <v>207</v>
      </c>
      <c r="M17" s="7">
        <v>111.39</v>
      </c>
      <c r="N17" s="7">
        <v>0.94499999999999995</v>
      </c>
      <c r="O17" s="7">
        <v>105.26</v>
      </c>
      <c r="P17" t="s">
        <v>211</v>
      </c>
    </row>
    <row r="18" spans="1:34" x14ac:dyDescent="0.25">
      <c r="A18">
        <v>19491313</v>
      </c>
      <c r="B18" t="s">
        <v>76</v>
      </c>
      <c r="C18" s="7">
        <v>7250171087</v>
      </c>
      <c r="D18" t="s">
        <v>181</v>
      </c>
      <c r="E18" t="s">
        <v>45</v>
      </c>
      <c r="F18" t="s">
        <v>46</v>
      </c>
      <c r="G18" t="s">
        <v>47</v>
      </c>
      <c r="H18" s="6">
        <v>45920</v>
      </c>
      <c r="I18" s="9" t="s">
        <v>196</v>
      </c>
      <c r="J18" s="9">
        <f>DATEDIF(H18,I18,"M")</f>
        <v>2</v>
      </c>
      <c r="K18" s="9" t="s">
        <v>203</v>
      </c>
      <c r="L18" s="9" t="s">
        <v>207</v>
      </c>
      <c r="M18" s="7">
        <v>77.55</v>
      </c>
      <c r="N18" s="7">
        <v>1.37</v>
      </c>
      <c r="O18" s="7">
        <v>106.24</v>
      </c>
      <c r="P18" t="s">
        <v>212</v>
      </c>
    </row>
    <row r="19" spans="1:34" x14ac:dyDescent="0.25">
      <c r="A19">
        <v>19491313</v>
      </c>
      <c r="B19" t="s">
        <v>76</v>
      </c>
      <c r="C19" s="7">
        <v>7250171145</v>
      </c>
      <c r="D19" t="s">
        <v>186</v>
      </c>
      <c r="E19" t="s">
        <v>45</v>
      </c>
      <c r="F19" t="s">
        <v>46</v>
      </c>
      <c r="G19" t="s">
        <v>47</v>
      </c>
      <c r="H19" s="6">
        <v>45920</v>
      </c>
      <c r="I19" s="9" t="s">
        <v>196</v>
      </c>
      <c r="J19" s="9">
        <f>DATEDIF(H19,I19,"M")</f>
        <v>2</v>
      </c>
      <c r="K19" s="9" t="s">
        <v>203</v>
      </c>
      <c r="L19" s="9" t="s">
        <v>207</v>
      </c>
      <c r="M19" s="7">
        <v>52.8</v>
      </c>
      <c r="N19" s="7">
        <v>1.37</v>
      </c>
      <c r="O19" s="7">
        <v>72.34</v>
      </c>
      <c r="P19" t="s">
        <v>212</v>
      </c>
    </row>
    <row r="20" spans="1:34" s="10" customFormat="1" x14ac:dyDescent="0.25">
      <c r="A20" s="10" t="s">
        <v>208</v>
      </c>
      <c r="B20" s="10" t="s">
        <v>68</v>
      </c>
      <c r="C20" s="11">
        <v>7250182527</v>
      </c>
      <c r="D20" s="10" t="s">
        <v>193</v>
      </c>
      <c r="E20" s="10" t="s">
        <v>45</v>
      </c>
      <c r="F20" s="10" t="s">
        <v>46</v>
      </c>
      <c r="G20" s="10" t="s">
        <v>47</v>
      </c>
      <c r="H20" s="13" t="s">
        <v>202</v>
      </c>
      <c r="I20" s="13" t="s">
        <v>202</v>
      </c>
      <c r="J20" s="9">
        <f>DATEDIF(H20,I20,"M")</f>
        <v>0</v>
      </c>
      <c r="K20" s="13" t="s">
        <v>205</v>
      </c>
      <c r="L20" s="13" t="s">
        <v>206</v>
      </c>
      <c r="M20" s="11">
        <v>106.14</v>
      </c>
      <c r="N20" s="11">
        <v>1.37</v>
      </c>
      <c r="O20" s="11">
        <v>145.41</v>
      </c>
      <c r="P20" s="10" t="s">
        <v>212</v>
      </c>
    </row>
    <row r="21" spans="1:34" s="10" customFormat="1" x14ac:dyDescent="0.25">
      <c r="A21">
        <v>19491313</v>
      </c>
      <c r="B21" t="s">
        <v>76</v>
      </c>
      <c r="C21" s="7">
        <v>7250184438</v>
      </c>
      <c r="D21" t="s">
        <v>190</v>
      </c>
      <c r="E21" t="s">
        <v>45</v>
      </c>
      <c r="F21" t="s">
        <v>46</v>
      </c>
      <c r="G21" t="s">
        <v>47</v>
      </c>
      <c r="H21" s="6">
        <v>45945</v>
      </c>
      <c r="I21" s="9" t="s">
        <v>199</v>
      </c>
      <c r="J21" s="9">
        <f>DATEDIF(H21,I21,"M")</f>
        <v>1</v>
      </c>
      <c r="K21" s="9" t="s">
        <v>203</v>
      </c>
      <c r="L21" s="9" t="s">
        <v>207</v>
      </c>
      <c r="M21" s="7">
        <v>58.24</v>
      </c>
      <c r="N21" s="7">
        <v>1.37</v>
      </c>
      <c r="O21" s="7">
        <v>79.790000000000006</v>
      </c>
      <c r="P21" t="s">
        <v>212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s="10" customFormat="1" x14ac:dyDescent="0.25">
      <c r="A22">
        <v>16228684</v>
      </c>
      <c r="B22" t="s">
        <v>94</v>
      </c>
      <c r="C22" s="7">
        <v>7250205603</v>
      </c>
      <c r="D22" t="s">
        <v>179</v>
      </c>
      <c r="E22" t="s">
        <v>45</v>
      </c>
      <c r="F22" t="s">
        <v>46</v>
      </c>
      <c r="G22" t="s">
        <v>47</v>
      </c>
      <c r="H22" s="6">
        <v>45979</v>
      </c>
      <c r="I22" s="9" t="s">
        <v>198</v>
      </c>
      <c r="J22" s="9">
        <f>DATEDIF(H22,I22,"M")</f>
        <v>0</v>
      </c>
      <c r="K22" s="9" t="s">
        <v>203</v>
      </c>
      <c r="L22" s="9" t="s">
        <v>207</v>
      </c>
      <c r="M22" s="7">
        <v>38.26</v>
      </c>
      <c r="N22" s="7">
        <v>0.94499999999999995</v>
      </c>
      <c r="O22" s="7">
        <v>36.159999999999997</v>
      </c>
      <c r="P22" t="s">
        <v>211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s="10" customFormat="1" x14ac:dyDescent="0.25">
      <c r="A23" s="10">
        <v>19681796</v>
      </c>
      <c r="B23" s="10" t="s">
        <v>41</v>
      </c>
      <c r="C23" s="11">
        <v>7250228593</v>
      </c>
      <c r="D23" s="10" t="s">
        <v>172</v>
      </c>
      <c r="E23" s="10" t="s">
        <v>45</v>
      </c>
      <c r="F23" s="10" t="s">
        <v>46</v>
      </c>
      <c r="G23" s="10" t="s">
        <v>47</v>
      </c>
      <c r="H23" s="12">
        <v>45974</v>
      </c>
      <c r="I23" s="14">
        <v>45974</v>
      </c>
      <c r="J23" s="9">
        <f>DATEDIF(H23,I23,"M")</f>
        <v>0</v>
      </c>
      <c r="K23" s="14" t="s">
        <v>203</v>
      </c>
      <c r="L23" s="14" t="s">
        <v>204</v>
      </c>
      <c r="M23" s="11">
        <v>-2.4700000000000002</v>
      </c>
      <c r="N23" s="11">
        <v>1.37</v>
      </c>
      <c r="O23" s="11">
        <v>-3.38</v>
      </c>
      <c r="P23" s="10" t="s">
        <v>212</v>
      </c>
    </row>
    <row r="24" spans="1:34" s="10" customFormat="1" x14ac:dyDescent="0.25">
      <c r="A24" s="10">
        <v>19681796</v>
      </c>
      <c r="B24" s="10" t="s">
        <v>41</v>
      </c>
      <c r="C24" s="11">
        <v>7250228593</v>
      </c>
      <c r="D24" s="10" t="s">
        <v>172</v>
      </c>
      <c r="E24" s="10" t="s">
        <v>45</v>
      </c>
      <c r="F24" s="10" t="s">
        <v>46</v>
      </c>
      <c r="G24" s="10" t="s">
        <v>47</v>
      </c>
      <c r="H24" s="12">
        <v>45974</v>
      </c>
      <c r="I24" s="14">
        <v>45974</v>
      </c>
      <c r="J24" s="9">
        <f>DATEDIF(H24,I24,"M")</f>
        <v>0</v>
      </c>
      <c r="K24" s="14" t="s">
        <v>203</v>
      </c>
      <c r="L24" s="14" t="s">
        <v>204</v>
      </c>
      <c r="M24" s="11">
        <v>-73.2</v>
      </c>
      <c r="N24" s="11">
        <v>1.37</v>
      </c>
      <c r="O24" s="11">
        <v>-100.28</v>
      </c>
      <c r="P24" s="10" t="s">
        <v>212</v>
      </c>
    </row>
    <row r="25" spans="1:34" x14ac:dyDescent="0.25">
      <c r="A25" s="10" t="s">
        <v>209</v>
      </c>
      <c r="B25" s="10" t="s">
        <v>55</v>
      </c>
      <c r="C25" s="11">
        <v>7250233926</v>
      </c>
      <c r="D25" s="10" t="s">
        <v>174</v>
      </c>
      <c r="E25" s="10" t="s">
        <v>45</v>
      </c>
      <c r="F25" s="10" t="s">
        <v>46</v>
      </c>
      <c r="G25" s="10" t="s">
        <v>47</v>
      </c>
      <c r="H25" s="12">
        <v>45980</v>
      </c>
      <c r="I25" s="13" t="s">
        <v>195</v>
      </c>
      <c r="J25" s="9">
        <f>DATEDIF(H25,I25,"M")</f>
        <v>0</v>
      </c>
      <c r="K25" s="13" t="s">
        <v>205</v>
      </c>
      <c r="L25" s="13" t="s">
        <v>206</v>
      </c>
      <c r="M25" s="11">
        <v>45.75</v>
      </c>
      <c r="N25" s="11">
        <v>1.37</v>
      </c>
      <c r="O25" s="11">
        <v>62.68</v>
      </c>
      <c r="P25" s="10" t="s">
        <v>212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</sheetData>
  <sortState xmlns:xlrd2="http://schemas.microsoft.com/office/spreadsheetml/2017/richdata2" ref="A2:AH25">
    <sortCondition ref="C2:C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2025-12-03T19:33:21Z</dcterms:modified>
</cp:coreProperties>
</file>