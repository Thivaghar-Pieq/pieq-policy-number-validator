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C80FA038-AB38-4282-9BE2-D19C2AC7DA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mission_Statement_Details_R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" i="2"/>
</calcChain>
</file>

<file path=xl/sharedStrings.xml><?xml version="1.0" encoding="utf-8"?>
<sst xmlns="http://schemas.openxmlformats.org/spreadsheetml/2006/main" count="975" uniqueCount="198">
  <si>
    <t xml:space="preserve">Commission Statement Details Report  
</t>
  </si>
  <si>
    <t>Activity For Period Ending</t>
  </si>
  <si>
    <t>Agent Number</t>
  </si>
  <si>
    <t>Agent Name</t>
  </si>
  <si>
    <t>Agency Number</t>
  </si>
  <si>
    <t>Agency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</si>
  <si>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</si>
  <si>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</si>
  <si>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</si>
  <si>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</si>
  <si>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</si>
  <si>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</si>
  <si>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</si>
  <si>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</si>
  <si>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</si>
  <si>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</si>
  <si>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</si>
  <si>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</si>
  <si>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</si>
  <si>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</si>
  <si>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</si>
  <si>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</si>
  <si>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</si>
  <si>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</si>
  <si>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</si>
  <si>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</si>
  <si>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</si>
  <si>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</si>
  <si>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Company Code</t>
  </si>
  <si>
    <t>Agent Level</t>
  </si>
  <si>
    <t>Agent TaxID</t>
  </si>
  <si>
    <t>Statement LOB</t>
  </si>
  <si>
    <t>149B0</t>
  </si>
  <si>
    <t>AGL</t>
  </si>
  <si>
    <t>2026-07-24</t>
  </si>
  <si>
    <t>MAIN LINE BENEFITS LLC</t>
  </si>
  <si>
    <t>6</t>
  </si>
  <si>
    <t>*****8192</t>
  </si>
  <si>
    <t>5Q29Q</t>
  </si>
  <si>
    <t>HEARTLAND FINANCIAL GROUP LLC</t>
  </si>
  <si>
    <t>1KPU2</t>
  </si>
  <si>
    <t>ALLAN, H</t>
  </si>
  <si>
    <t>Overwrite Activity</t>
  </si>
  <si>
    <t>6260096793</t>
  </si>
  <si>
    <t>SHERCK</t>
  </si>
  <si>
    <t>MNTHLY</t>
  </si>
  <si>
    <t>Life</t>
  </si>
  <si>
    <t>Term</t>
  </si>
  <si>
    <t>2026-04-23</t>
  </si>
  <si>
    <t>100.00</t>
  </si>
  <si>
    <t>25.38</t>
  </si>
  <si>
    <t>0.9000</t>
  </si>
  <si>
    <t>22.84</t>
  </si>
  <si>
    <t/>
  </si>
  <si>
    <t>14JWQ</t>
  </si>
  <si>
    <t>CALTAGIRONE, RYAN</t>
  </si>
  <si>
    <t>6250161714</t>
  </si>
  <si>
    <t>FILIPPO</t>
  </si>
  <si>
    <t>2025-10-22</t>
  </si>
  <si>
    <t>127.40</t>
  </si>
  <si>
    <t>114.66</t>
  </si>
  <si>
    <t>1FJU8</t>
  </si>
  <si>
    <t>ROLLER, JASON</t>
  </si>
  <si>
    <t>7250131409</t>
  </si>
  <si>
    <t>CLARKE LENNON</t>
  </si>
  <si>
    <t>2025-08-19</t>
  </si>
  <si>
    <t>4.23</t>
  </si>
  <si>
    <t>1.3700</t>
  </si>
  <si>
    <t>5.80</t>
  </si>
  <si>
    <t>18R72</t>
  </si>
  <si>
    <t>ARENSON, GREGG</t>
  </si>
  <si>
    <t>7250057814</t>
  </si>
  <si>
    <t>POLLARD</t>
  </si>
  <si>
    <t>QUARTLY</t>
  </si>
  <si>
    <t>2025-04-21</t>
  </si>
  <si>
    <t>13.94</t>
  </si>
  <si>
    <t>0.0600</t>
  </si>
  <si>
    <t>0.84</t>
  </si>
  <si>
    <t>81.57</t>
  </si>
  <si>
    <t>111.75</t>
  </si>
  <si>
    <t>1FGJ5</t>
  </si>
  <si>
    <t>BRANDT, STEVEN</t>
  </si>
  <si>
    <t>7250171145</t>
  </si>
  <si>
    <t>FLORY</t>
  </si>
  <si>
    <t>2025-09-20</t>
  </si>
  <si>
    <t>52.80</t>
  </si>
  <si>
    <t>72.34</t>
  </si>
  <si>
    <t>14MK0</t>
  </si>
  <si>
    <t>PORTUGAL, GARY</t>
  </si>
  <si>
    <t>6260062055</t>
  </si>
  <si>
    <t>ROBBINS</t>
  </si>
  <si>
    <t>2026-03-18</t>
  </si>
  <si>
    <t>50.42</t>
  </si>
  <si>
    <t>45.38</t>
  </si>
  <si>
    <t>14JK2</t>
  </si>
  <si>
    <t>CHOI, ANDREW</t>
  </si>
  <si>
    <t>7260207733</t>
  </si>
  <si>
    <t>KIM</t>
  </si>
  <si>
    <t>2026-07-20</t>
  </si>
  <si>
    <t>314.24</t>
  </si>
  <si>
    <t>1.4200</t>
  </si>
  <si>
    <t>4015.99</t>
  </si>
  <si>
    <t>7260075332</t>
  </si>
  <si>
    <t>CARROLL</t>
  </si>
  <si>
    <t>2026-03-21</t>
  </si>
  <si>
    <t>35.00</t>
  </si>
  <si>
    <t>47.95</t>
  </si>
  <si>
    <t>-314.24</t>
  </si>
  <si>
    <t>-4015.99</t>
  </si>
  <si>
    <t>7250130383</t>
  </si>
  <si>
    <t>PATER</t>
  </si>
  <si>
    <t>2025-07-23</t>
  </si>
  <si>
    <t>151.89</t>
  </si>
  <si>
    <t>9.11</t>
  </si>
  <si>
    <t>17YJ2</t>
  </si>
  <si>
    <t>FOLEY, CAROL</t>
  </si>
  <si>
    <t>7250064114</t>
  </si>
  <si>
    <t>POPE</t>
  </si>
  <si>
    <t>2025-04-23</t>
  </si>
  <si>
    <t>160.93</t>
  </si>
  <si>
    <t>0.0275</t>
  </si>
  <si>
    <t>4.43</t>
  </si>
  <si>
    <t>14JT4</t>
  </si>
  <si>
    <t>WALENGA, DALE</t>
  </si>
  <si>
    <t>7250233926</t>
  </si>
  <si>
    <t>VOLPENDESTA</t>
  </si>
  <si>
    <t>2025-11-19</t>
  </si>
  <si>
    <t>45.75</t>
  </si>
  <si>
    <t>62.68</t>
  </si>
  <si>
    <t>7250263530</t>
  </si>
  <si>
    <t>MANIC</t>
  </si>
  <si>
    <t>2025-12-23</t>
  </si>
  <si>
    <t>121.02</t>
  </si>
  <si>
    <t>165.80</t>
  </si>
  <si>
    <t>7250263515</t>
  </si>
  <si>
    <t>109.76</t>
  </si>
  <si>
    <t>150.37</t>
  </si>
  <si>
    <t>7250128277</t>
  </si>
  <si>
    <t>THOMPSON</t>
  </si>
  <si>
    <t>2025-07-22</t>
  </si>
  <si>
    <t>10.10</t>
  </si>
  <si>
    <t>0.61</t>
  </si>
  <si>
    <t>7250204150</t>
  </si>
  <si>
    <t>HARDY</t>
  </si>
  <si>
    <t>228.47</t>
  </si>
  <si>
    <t>313.00</t>
  </si>
  <si>
    <t>19XW6</t>
  </si>
  <si>
    <t>RICHTER, ADAM</t>
  </si>
  <si>
    <t>7250182035</t>
  </si>
  <si>
    <t>MELLO</t>
  </si>
  <si>
    <t>2025-09-23</t>
  </si>
  <si>
    <t>111.01</t>
  </si>
  <si>
    <t>0.9450</t>
  </si>
  <si>
    <t>104.90</t>
  </si>
  <si>
    <t>193.53</t>
  </si>
  <si>
    <t>11.61</t>
  </si>
  <si>
    <t>Annualization Activity</t>
  </si>
  <si>
    <t>-446.22</t>
  </si>
  <si>
    <t>7250171087</t>
  </si>
  <si>
    <t>77.55</t>
  </si>
  <si>
    <t>106.24</t>
  </si>
  <si>
    <t>446.22</t>
  </si>
  <si>
    <t>7250205603</t>
  </si>
  <si>
    <t>JENNINGS</t>
  </si>
  <si>
    <t>2025-11-18</t>
  </si>
  <si>
    <t>38.26</t>
  </si>
  <si>
    <t>36.16</t>
  </si>
  <si>
    <t>6260038224</t>
  </si>
  <si>
    <t>SMITH</t>
  </si>
  <si>
    <t>2026-02-19</t>
  </si>
  <si>
    <t>29.70</t>
  </si>
  <si>
    <t>26.73</t>
  </si>
  <si>
    <t>288.96</t>
  </si>
  <si>
    <t>17.34</t>
  </si>
  <si>
    <t>SHERCK,TIMBERLEY</t>
  </si>
  <si>
    <t>FILIPPO,RICHARD</t>
  </si>
  <si>
    <t>CLARKE LENNON,JOANNE</t>
  </si>
  <si>
    <t>POLLARD,PAULINE</t>
  </si>
  <si>
    <t>FLORY,LOLA K</t>
  </si>
  <si>
    <t>ROBBINS,THOMAS</t>
  </si>
  <si>
    <t>KIM,SOO</t>
  </si>
  <si>
    <t>CARROLL,MICHAEL</t>
  </si>
  <si>
    <t>PATER,JAMES</t>
  </si>
  <si>
    <t>POPE,TIMOTHY</t>
  </si>
  <si>
    <t>VOLPENDESTA,DEBRA</t>
  </si>
  <si>
    <t>MANIC,MILE</t>
  </si>
  <si>
    <t>MANIC,DRAGANA</t>
  </si>
  <si>
    <t>THOMPSON,BEVERLY</t>
  </si>
  <si>
    <t>HARDY,ALAN T</t>
  </si>
  <si>
    <t>MELLO,HENRY</t>
  </si>
  <si>
    <t>FLORY,JOSEPH P</t>
  </si>
  <si>
    <t>JENNINGS,DIANE S</t>
  </si>
  <si>
    <t>SMITH,LISA</t>
  </si>
  <si>
    <t>Corebridge Guaranteed Issue Whole Life (90)</t>
  </si>
  <si>
    <t>Corebridge SimpliNow Legacy Max (137)</t>
  </si>
  <si>
    <t>Corebridge SimpliNow Legacy (94.50)</t>
  </si>
  <si>
    <t>8046194AV9</t>
  </si>
  <si>
    <t>8325282AV9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</si>
</sst>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8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8"/>
  <sheetViews>
    <sheetView topLeftCell="G1" zoomScale="89" zoomScaleNormal="89" workbookViewId="0">
      <selection activeCell="G11" sqref="A11:XFD11"/>
    </sheetView>
  </sheetViews>
  <sheetFormatPr defaultRowHeight="15" x14ac:dyDescent="0.25"/>
  <cols>
    <col min="1" max="1" width="35.5703125" customWidth="1"/>
    <col min="2" max="2" width="25.85546875" customWidth="1"/>
    <col min="3" max="3" width="26.7109375" customWidth="1"/>
    <col min="4" max="4" width="16.28515625" customWidth="1"/>
    <col min="5" max="5" width="19" customWidth="1"/>
    <col min="6" max="6" width="18.85546875" customWidth="1"/>
    <col min="7" max="7" width="16.42578125" customWidth="1"/>
    <col min="8" max="8" width="16" customWidth="1"/>
    <col min="9" max="9" width="20.5703125" customWidth="1"/>
    <col min="10" max="10" width="24.140625" customWidth="1"/>
    <col min="11" max="11" width="16.7109375" customWidth="1"/>
    <col min="12" max="12" width="20.7109375" customWidth="1"/>
    <col min="13" max="13" width="13.140625" customWidth="1"/>
    <col min="14" max="14" width="16.42578125" customWidth="1"/>
    <col min="15" max="15" width="15" customWidth="1"/>
    <col min="16" max="16" width="15.42578125" customWidth="1"/>
    <col min="17" max="17" width="12" customWidth="1"/>
    <col min="18" max="18" width="13.28515625" customWidth="1"/>
    <col min="19" max="19" width="17.140625" customWidth="1"/>
    <col min="20" max="20" width="6.85546875" customWidth="1"/>
    <col min="21" max="21" width="17.28515625" customWidth="1"/>
    <col min="22" max="22" width="13.28515625" customWidth="1"/>
    <col min="23" max="23" width="12.28515625" customWidth="1"/>
    <col min="24" max="24" width="36.28515625" customWidth="1"/>
    <col min="25" max="25" width="43.140625" customWidth="1"/>
    <col min="26" max="26" width="43.7109375" customWidth="1"/>
    <col min="27" max="27" width="18.5703125" customWidth="1"/>
    <col min="28" max="28" width="24.5703125" customWidth="1"/>
    <col min="29" max="29" width="24" customWidth="1"/>
    <col min="30" max="30" width="18.28515625" bestFit="1" customWidth="1"/>
  </cols>
  <sheetData>
    <row r="1" spans="1:31" ht="15" customHeight="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ht="15" customHeight="1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1" t="s">
        <v>2</v>
      </c>
      <c r="B3" s="1" t="s">
        <v>28</v>
      </c>
      <c r="C3" s="1" t="s">
        <v>1</v>
      </c>
      <c r="D3" s="1" t="s">
        <v>3</v>
      </c>
      <c r="E3" s="1" t="s">
        <v>29</v>
      </c>
      <c r="F3" s="2" t="s">
        <v>30</v>
      </c>
      <c r="G3" s="2" t="s">
        <v>4</v>
      </c>
      <c r="H3" s="1" t="s">
        <v>5</v>
      </c>
      <c r="I3" s="1" t="s">
        <v>7</v>
      </c>
      <c r="J3" s="1" t="s">
        <v>6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31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16</v>
      </c>
      <c r="U3" s="1" t="s">
        <v>17</v>
      </c>
      <c r="V3" s="1" t="s">
        <v>18</v>
      </c>
      <c r="W3" s="1" t="s">
        <v>19</v>
      </c>
      <c r="X3" s="1" t="s">
        <v>20</v>
      </c>
      <c r="Y3" s="1" t="s">
        <v>21</v>
      </c>
      <c r="Z3" s="1" t="s">
        <v>22</v>
      </c>
      <c r="AA3" s="1" t="s">
        <v>23</v>
      </c>
      <c r="AB3" s="1" t="s">
        <v>24</v>
      </c>
      <c r="AC3" s="1" t="s">
        <v>25</v>
      </c>
      <c r="AD3" s="1" t="s">
        <v>26</v>
      </c>
      <c r="AE3" s="1" t="s">
        <v>27</v>
      </c>
    </row>
    <row r="4" spans="1:31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s="3" t="s">
        <v>37</v>
      </c>
      <c r="G4" s="3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48</v>
      </c>
      <c r="S4" t="s">
        <v>48</v>
      </c>
      <c r="T4" t="s">
        <v>49</v>
      </c>
      <c r="U4" s="4" t="s">
        <v>50</v>
      </c>
      <c r="V4" t="s">
        <v>51</v>
      </c>
      <c r="W4" s="4" t="s">
        <v>52</v>
      </c>
      <c r="X4" t="s">
        <v>53</v>
      </c>
      <c r="Y4" t="s">
        <v>53</v>
      </c>
      <c r="Z4" t="s">
        <v>53</v>
      </c>
      <c r="AA4" t="s">
        <v>53</v>
      </c>
      <c r="AB4" t="s">
        <v>53</v>
      </c>
      <c r="AC4" t="s">
        <v>53</v>
      </c>
      <c r="AD4" t="s">
        <v>35</v>
      </c>
      <c r="AE4" t="s">
        <v>53</v>
      </c>
    </row>
    <row r="5" spans="1:31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54</v>
      </c>
      <c r="J5" t="s">
        <v>55</v>
      </c>
      <c r="K5" t="s">
        <v>42</v>
      </c>
      <c r="L5" t="s">
        <v>56</v>
      </c>
      <c r="M5" t="s">
        <v>57</v>
      </c>
      <c r="N5" t="s">
        <v>45</v>
      </c>
      <c r="O5" t="s">
        <v>46</v>
      </c>
      <c r="P5" t="s">
        <v>47</v>
      </c>
      <c r="Q5" t="s">
        <v>58</v>
      </c>
      <c r="R5" t="s">
        <v>58</v>
      </c>
      <c r="S5" t="s">
        <v>58</v>
      </c>
      <c r="T5" t="s">
        <v>49</v>
      </c>
      <c r="U5" s="4" t="s">
        <v>59</v>
      </c>
      <c r="V5" t="s">
        <v>51</v>
      </c>
      <c r="W5" s="4" t="s">
        <v>60</v>
      </c>
      <c r="X5" t="s">
        <v>53</v>
      </c>
      <c r="Y5" t="s">
        <v>53</v>
      </c>
      <c r="Z5" t="s">
        <v>53</v>
      </c>
      <c r="AA5" t="s">
        <v>53</v>
      </c>
      <c r="AB5" t="s">
        <v>53</v>
      </c>
      <c r="AC5" t="s">
        <v>53</v>
      </c>
      <c r="AD5" t="s">
        <v>35</v>
      </c>
      <c r="AE5" t="s">
        <v>53</v>
      </c>
    </row>
    <row r="6" spans="1:31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42</v>
      </c>
      <c r="L6" t="s">
        <v>63</v>
      </c>
      <c r="M6" t="s">
        <v>64</v>
      </c>
      <c r="N6" t="s">
        <v>45</v>
      </c>
      <c r="O6" t="s">
        <v>46</v>
      </c>
      <c r="P6" t="s">
        <v>47</v>
      </c>
      <c r="Q6" t="s">
        <v>65</v>
      </c>
      <c r="R6" t="s">
        <v>65</v>
      </c>
      <c r="S6" t="s">
        <v>65</v>
      </c>
      <c r="T6" t="s">
        <v>49</v>
      </c>
      <c r="U6" s="4" t="s">
        <v>66</v>
      </c>
      <c r="V6" t="s">
        <v>67</v>
      </c>
      <c r="W6" s="4" t="s">
        <v>68</v>
      </c>
      <c r="X6" t="s">
        <v>53</v>
      </c>
      <c r="Y6" t="s">
        <v>53</v>
      </c>
      <c r="Z6" t="s">
        <v>53</v>
      </c>
      <c r="AA6" t="s">
        <v>53</v>
      </c>
      <c r="AB6" t="s">
        <v>53</v>
      </c>
      <c r="AC6" t="s">
        <v>53</v>
      </c>
      <c r="AD6" t="s">
        <v>35</v>
      </c>
      <c r="AE6" t="s">
        <v>53</v>
      </c>
    </row>
    <row r="7" spans="1:31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69</v>
      </c>
      <c r="J7" t="s">
        <v>70</v>
      </c>
      <c r="K7" t="s">
        <v>42</v>
      </c>
      <c r="L7" t="s">
        <v>71</v>
      </c>
      <c r="M7" t="s">
        <v>72</v>
      </c>
      <c r="N7" t="s">
        <v>73</v>
      </c>
      <c r="O7" t="s">
        <v>46</v>
      </c>
      <c r="P7" t="s">
        <v>47</v>
      </c>
      <c r="Q7" t="s">
        <v>74</v>
      </c>
      <c r="R7" t="s">
        <v>74</v>
      </c>
      <c r="S7" t="s">
        <v>74</v>
      </c>
      <c r="T7" t="s">
        <v>49</v>
      </c>
      <c r="U7" s="4" t="s">
        <v>75</v>
      </c>
      <c r="V7" t="s">
        <v>76</v>
      </c>
      <c r="W7" s="4" t="s">
        <v>77</v>
      </c>
      <c r="X7" t="s">
        <v>53</v>
      </c>
      <c r="Y7" t="s">
        <v>53</v>
      </c>
      <c r="Z7" t="s">
        <v>53</v>
      </c>
      <c r="AA7" t="s">
        <v>53</v>
      </c>
      <c r="AB7" t="s">
        <v>53</v>
      </c>
      <c r="AC7" t="s">
        <v>53</v>
      </c>
      <c r="AD7" t="s">
        <v>35</v>
      </c>
      <c r="AE7" t="s">
        <v>53</v>
      </c>
    </row>
    <row r="8" spans="1:31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61</v>
      </c>
      <c r="J8" t="s">
        <v>62</v>
      </c>
      <c r="K8" t="s">
        <v>42</v>
      </c>
      <c r="L8" t="s">
        <v>63</v>
      </c>
      <c r="M8" t="s">
        <v>64</v>
      </c>
      <c r="N8" t="s">
        <v>45</v>
      </c>
      <c r="O8" t="s">
        <v>46</v>
      </c>
      <c r="P8" t="s">
        <v>47</v>
      </c>
      <c r="Q8" t="s">
        <v>65</v>
      </c>
      <c r="R8" t="s">
        <v>65</v>
      </c>
      <c r="S8" t="s">
        <v>65</v>
      </c>
      <c r="T8" t="s">
        <v>49</v>
      </c>
      <c r="U8" s="4" t="s">
        <v>78</v>
      </c>
      <c r="V8" t="s">
        <v>67</v>
      </c>
      <c r="W8" s="4" t="s">
        <v>79</v>
      </c>
      <c r="X8" t="s">
        <v>53</v>
      </c>
      <c r="Y8" t="s">
        <v>53</v>
      </c>
      <c r="Z8" t="s">
        <v>53</v>
      </c>
      <c r="AA8" t="s">
        <v>53</v>
      </c>
      <c r="AB8" t="s">
        <v>53</v>
      </c>
      <c r="AC8" t="s">
        <v>53</v>
      </c>
      <c r="AD8" t="s">
        <v>35</v>
      </c>
      <c r="AE8" t="s">
        <v>53</v>
      </c>
    </row>
    <row r="9" spans="1:31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80</v>
      </c>
      <c r="J9" t="s">
        <v>81</v>
      </c>
      <c r="K9" t="s">
        <v>42</v>
      </c>
      <c r="L9" t="s">
        <v>82</v>
      </c>
      <c r="M9" t="s">
        <v>83</v>
      </c>
      <c r="N9" t="s">
        <v>45</v>
      </c>
      <c r="O9" t="s">
        <v>46</v>
      </c>
      <c r="P9" t="s">
        <v>47</v>
      </c>
      <c r="Q9" t="s">
        <v>84</v>
      </c>
      <c r="R9" t="s">
        <v>84</v>
      </c>
      <c r="S9" t="s">
        <v>84</v>
      </c>
      <c r="T9" t="s">
        <v>49</v>
      </c>
      <c r="U9" s="4" t="s">
        <v>85</v>
      </c>
      <c r="V9" t="s">
        <v>67</v>
      </c>
      <c r="W9" s="4" t="s">
        <v>86</v>
      </c>
      <c r="X9" t="s">
        <v>53</v>
      </c>
      <c r="Y9" t="s">
        <v>53</v>
      </c>
      <c r="Z9" t="s">
        <v>53</v>
      </c>
      <c r="AA9" t="s">
        <v>53</v>
      </c>
      <c r="AB9" t="s">
        <v>53</v>
      </c>
      <c r="AC9" t="s">
        <v>53</v>
      </c>
      <c r="AD9" t="s">
        <v>35</v>
      </c>
      <c r="AE9" t="s">
        <v>53</v>
      </c>
    </row>
    <row r="10" spans="1:31" x14ac:dyDescent="0.25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87</v>
      </c>
      <c r="J10" t="s">
        <v>88</v>
      </c>
      <c r="K10" t="s">
        <v>42</v>
      </c>
      <c r="L10" t="s">
        <v>89</v>
      </c>
      <c r="M10" t="s">
        <v>90</v>
      </c>
      <c r="N10" t="s">
        <v>45</v>
      </c>
      <c r="O10" t="s">
        <v>46</v>
      </c>
      <c r="P10" t="s">
        <v>47</v>
      </c>
      <c r="Q10" t="s">
        <v>91</v>
      </c>
      <c r="R10" t="s">
        <v>91</v>
      </c>
      <c r="S10" t="s">
        <v>91</v>
      </c>
      <c r="T10" t="s">
        <v>49</v>
      </c>
      <c r="U10" s="4" t="s">
        <v>92</v>
      </c>
      <c r="V10" t="s">
        <v>51</v>
      </c>
      <c r="W10" s="4" t="s">
        <v>93</v>
      </c>
      <c r="X10" t="s">
        <v>53</v>
      </c>
      <c r="Y10" t="s">
        <v>53</v>
      </c>
      <c r="Z10" t="s">
        <v>53</v>
      </c>
      <c r="AA10" t="s">
        <v>53</v>
      </c>
      <c r="AB10" t="s">
        <v>53</v>
      </c>
      <c r="AC10" t="s">
        <v>53</v>
      </c>
      <c r="AD10" t="s">
        <v>35</v>
      </c>
      <c r="AE10" t="s">
        <v>53</v>
      </c>
    </row>
    <row r="11" spans="1:31" x14ac:dyDescent="0.25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I11" t="s">
        <v>94</v>
      </c>
      <c r="J11" t="s">
        <v>95</v>
      </c>
      <c r="K11" t="s">
        <v>42</v>
      </c>
      <c r="L11" t="s">
        <v>96</v>
      </c>
      <c r="M11" t="s">
        <v>97</v>
      </c>
      <c r="N11" t="s">
        <v>45</v>
      </c>
      <c r="O11" t="s">
        <v>46</v>
      </c>
      <c r="P11" t="s">
        <v>47</v>
      </c>
      <c r="Q11" t="s">
        <v>98</v>
      </c>
      <c r="R11" t="s">
        <v>98</v>
      </c>
      <c r="S11" t="s">
        <v>98</v>
      </c>
      <c r="T11" t="s">
        <v>49</v>
      </c>
      <c r="U11" s="4" t="s">
        <v>99</v>
      </c>
      <c r="V11" t="s">
        <v>100</v>
      </c>
      <c r="W11" s="4" t="s">
        <v>101</v>
      </c>
      <c r="X11" t="s">
        <v>53</v>
      </c>
      <c r="Y11" t="s">
        <v>100</v>
      </c>
      <c r="Z11" t="s">
        <v>53</v>
      </c>
      <c r="AA11" t="s">
        <v>53</v>
      </c>
      <c r="AB11" t="s">
        <v>53</v>
      </c>
      <c r="AC11" t="s">
        <v>53</v>
      </c>
      <c r="AD11" t="s">
        <v>35</v>
      </c>
      <c r="AE11" t="s">
        <v>53</v>
      </c>
    </row>
    <row r="12" spans="1:31" x14ac:dyDescent="0.25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102</v>
      </c>
      <c r="M12" t="s">
        <v>103</v>
      </c>
      <c r="N12" t="s">
        <v>45</v>
      </c>
      <c r="O12" t="s">
        <v>46</v>
      </c>
      <c r="P12" t="s">
        <v>47</v>
      </c>
      <c r="Q12" t="s">
        <v>104</v>
      </c>
      <c r="R12" t="s">
        <v>104</v>
      </c>
      <c r="S12" t="s">
        <v>104</v>
      </c>
      <c r="T12" t="s">
        <v>49</v>
      </c>
      <c r="U12" s="4" t="s">
        <v>105</v>
      </c>
      <c r="V12" t="s">
        <v>67</v>
      </c>
      <c r="W12" s="4" t="s">
        <v>106</v>
      </c>
      <c r="X12" t="s">
        <v>53</v>
      </c>
      <c r="Y12" t="s">
        <v>53</v>
      </c>
      <c r="Z12" t="s">
        <v>53</v>
      </c>
      <c r="AA12" t="s">
        <v>53</v>
      </c>
      <c r="AB12" t="s">
        <v>53</v>
      </c>
      <c r="AC12" t="s">
        <v>53</v>
      </c>
      <c r="AD12" t="s">
        <v>35</v>
      </c>
      <c r="AE12" t="s">
        <v>53</v>
      </c>
    </row>
    <row r="13" spans="1:31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94</v>
      </c>
      <c r="J13" t="s">
        <v>95</v>
      </c>
      <c r="K13" t="s">
        <v>42</v>
      </c>
      <c r="L13" t="s">
        <v>96</v>
      </c>
      <c r="M13" t="s">
        <v>97</v>
      </c>
      <c r="N13" t="s">
        <v>45</v>
      </c>
      <c r="O13" t="s">
        <v>46</v>
      </c>
      <c r="P13" t="s">
        <v>47</v>
      </c>
      <c r="Q13" t="s">
        <v>98</v>
      </c>
      <c r="R13" t="s">
        <v>98</v>
      </c>
      <c r="S13" t="s">
        <v>98</v>
      </c>
      <c r="T13" t="s">
        <v>49</v>
      </c>
      <c r="U13" s="4" t="s">
        <v>107</v>
      </c>
      <c r="V13" t="s">
        <v>100</v>
      </c>
      <c r="W13" s="4" t="s">
        <v>108</v>
      </c>
      <c r="X13" t="s">
        <v>53</v>
      </c>
      <c r="Y13" t="s">
        <v>53</v>
      </c>
      <c r="Z13" t="s">
        <v>53</v>
      </c>
      <c r="AA13" t="s">
        <v>53</v>
      </c>
      <c r="AB13" t="s">
        <v>53</v>
      </c>
      <c r="AC13" t="s">
        <v>53</v>
      </c>
      <c r="AD13" t="s">
        <v>35</v>
      </c>
      <c r="AE13" t="s">
        <v>53</v>
      </c>
    </row>
    <row r="14" spans="1:31" x14ac:dyDescent="0.25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94</v>
      </c>
      <c r="J14" t="s">
        <v>95</v>
      </c>
      <c r="K14" t="s">
        <v>42</v>
      </c>
      <c r="L14" t="s">
        <v>109</v>
      </c>
      <c r="M14" t="s">
        <v>110</v>
      </c>
      <c r="N14" t="s">
        <v>45</v>
      </c>
      <c r="O14" t="s">
        <v>46</v>
      </c>
      <c r="P14" t="s">
        <v>47</v>
      </c>
      <c r="Q14" t="s">
        <v>111</v>
      </c>
      <c r="R14" t="s">
        <v>111</v>
      </c>
      <c r="S14" t="s">
        <v>111</v>
      </c>
      <c r="T14" t="s">
        <v>49</v>
      </c>
      <c r="U14" s="4" t="s">
        <v>112</v>
      </c>
      <c r="V14" t="s">
        <v>76</v>
      </c>
      <c r="W14" s="4" t="s">
        <v>113</v>
      </c>
      <c r="X14" t="s">
        <v>53</v>
      </c>
      <c r="Y14" t="s">
        <v>53</v>
      </c>
      <c r="Z14" t="s">
        <v>53</v>
      </c>
      <c r="AA14" t="s">
        <v>53</v>
      </c>
      <c r="AB14" t="s">
        <v>53</v>
      </c>
      <c r="AC14" t="s">
        <v>53</v>
      </c>
      <c r="AD14" t="s">
        <v>35</v>
      </c>
      <c r="AE14" t="s">
        <v>53</v>
      </c>
    </row>
    <row r="15" spans="1:31" x14ac:dyDescent="0.25">
      <c r="A15" t="s">
        <v>32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114</v>
      </c>
      <c r="J15" t="s">
        <v>115</v>
      </c>
      <c r="K15" t="s">
        <v>42</v>
      </c>
      <c r="L15" t="s">
        <v>116</v>
      </c>
      <c r="M15" t="s">
        <v>117</v>
      </c>
      <c r="N15" t="s">
        <v>45</v>
      </c>
      <c r="O15" t="s">
        <v>46</v>
      </c>
      <c r="P15" t="s">
        <v>47</v>
      </c>
      <c r="Q15" t="s">
        <v>118</v>
      </c>
      <c r="R15" t="s">
        <v>118</v>
      </c>
      <c r="S15" t="s">
        <v>118</v>
      </c>
      <c r="T15" t="s">
        <v>49</v>
      </c>
      <c r="U15" s="4" t="s">
        <v>119</v>
      </c>
      <c r="V15" t="s">
        <v>120</v>
      </c>
      <c r="W15" s="4" t="s">
        <v>121</v>
      </c>
      <c r="X15" t="s">
        <v>53</v>
      </c>
      <c r="Y15" t="s">
        <v>53</v>
      </c>
      <c r="Z15" t="s">
        <v>53</v>
      </c>
      <c r="AA15" t="s">
        <v>53</v>
      </c>
      <c r="AB15" t="s">
        <v>53</v>
      </c>
      <c r="AC15" t="s">
        <v>53</v>
      </c>
      <c r="AD15" t="s">
        <v>35</v>
      </c>
      <c r="AE15" t="s">
        <v>53</v>
      </c>
    </row>
    <row r="16" spans="1:31" x14ac:dyDescent="0.25">
      <c r="A16" t="s">
        <v>32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122</v>
      </c>
      <c r="J16" t="s">
        <v>123</v>
      </c>
      <c r="K16" t="s">
        <v>42</v>
      </c>
      <c r="L16" t="s">
        <v>124</v>
      </c>
      <c r="M16" t="s">
        <v>125</v>
      </c>
      <c r="N16" t="s">
        <v>45</v>
      </c>
      <c r="O16" t="s">
        <v>46</v>
      </c>
      <c r="P16" t="s">
        <v>47</v>
      </c>
      <c r="Q16" t="s">
        <v>126</v>
      </c>
      <c r="R16" t="s">
        <v>126</v>
      </c>
      <c r="S16" t="s">
        <v>126</v>
      </c>
      <c r="T16" t="s">
        <v>49</v>
      </c>
      <c r="U16" s="4" t="s">
        <v>127</v>
      </c>
      <c r="V16" t="s">
        <v>67</v>
      </c>
      <c r="W16" s="4" t="s">
        <v>128</v>
      </c>
      <c r="X16" t="s">
        <v>53</v>
      </c>
      <c r="Y16" t="s">
        <v>53</v>
      </c>
      <c r="Z16" t="s">
        <v>53</v>
      </c>
      <c r="AA16" t="s">
        <v>53</v>
      </c>
      <c r="AB16" t="s">
        <v>53</v>
      </c>
      <c r="AC16" t="s">
        <v>53</v>
      </c>
      <c r="AD16" t="s">
        <v>35</v>
      </c>
      <c r="AE16" t="s">
        <v>53</v>
      </c>
    </row>
    <row r="17" spans="1:31" x14ac:dyDescent="0.25">
      <c r="A17" t="s">
        <v>32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I17" t="s">
        <v>122</v>
      </c>
      <c r="J17" t="s">
        <v>123</v>
      </c>
      <c r="K17" t="s">
        <v>42</v>
      </c>
      <c r="L17" t="s">
        <v>129</v>
      </c>
      <c r="M17" t="s">
        <v>130</v>
      </c>
      <c r="N17" t="s">
        <v>45</v>
      </c>
      <c r="O17" t="s">
        <v>46</v>
      </c>
      <c r="P17" t="s">
        <v>47</v>
      </c>
      <c r="Q17" t="s">
        <v>131</v>
      </c>
      <c r="R17" t="s">
        <v>131</v>
      </c>
      <c r="S17" t="s">
        <v>131</v>
      </c>
      <c r="T17" t="s">
        <v>49</v>
      </c>
      <c r="U17" s="4" t="s">
        <v>132</v>
      </c>
      <c r="V17" t="s">
        <v>67</v>
      </c>
      <c r="W17" s="4" t="s">
        <v>133</v>
      </c>
      <c r="X17" t="s">
        <v>53</v>
      </c>
      <c r="Y17" t="s">
        <v>53</v>
      </c>
      <c r="Z17" t="s">
        <v>53</v>
      </c>
      <c r="AA17" t="s">
        <v>53</v>
      </c>
      <c r="AB17" t="s">
        <v>53</v>
      </c>
      <c r="AC17" t="s">
        <v>53</v>
      </c>
      <c r="AD17" t="s">
        <v>35</v>
      </c>
      <c r="AE17" t="s">
        <v>53</v>
      </c>
    </row>
    <row r="18" spans="1:31" x14ac:dyDescent="0.25">
      <c r="A18" t="s">
        <v>32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I18" t="s">
        <v>122</v>
      </c>
      <c r="J18" t="s">
        <v>123</v>
      </c>
      <c r="K18" t="s">
        <v>42</v>
      </c>
      <c r="L18" t="s">
        <v>134</v>
      </c>
      <c r="M18" t="s">
        <v>130</v>
      </c>
      <c r="N18" t="s">
        <v>45</v>
      </c>
      <c r="O18" t="s">
        <v>46</v>
      </c>
      <c r="P18" t="s">
        <v>47</v>
      </c>
      <c r="Q18" t="s">
        <v>131</v>
      </c>
      <c r="R18" t="s">
        <v>131</v>
      </c>
      <c r="S18" t="s">
        <v>131</v>
      </c>
      <c r="T18" t="s">
        <v>49</v>
      </c>
      <c r="U18" s="4" t="s">
        <v>135</v>
      </c>
      <c r="V18" t="s">
        <v>67</v>
      </c>
      <c r="W18" s="4" t="s">
        <v>136</v>
      </c>
      <c r="X18" t="s">
        <v>53</v>
      </c>
      <c r="Y18" t="s">
        <v>53</v>
      </c>
      <c r="Z18" t="s">
        <v>53</v>
      </c>
      <c r="AA18" t="s">
        <v>53</v>
      </c>
      <c r="AB18" t="s">
        <v>53</v>
      </c>
      <c r="AC18" t="s">
        <v>53</v>
      </c>
      <c r="AD18" t="s">
        <v>35</v>
      </c>
      <c r="AE18" t="s">
        <v>53</v>
      </c>
    </row>
    <row r="19" spans="1:31" x14ac:dyDescent="0.25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I19" t="s">
        <v>61</v>
      </c>
      <c r="J19" t="s">
        <v>62</v>
      </c>
      <c r="K19" t="s">
        <v>42</v>
      </c>
      <c r="L19" t="s">
        <v>137</v>
      </c>
      <c r="M19" t="s">
        <v>138</v>
      </c>
      <c r="N19" t="s">
        <v>45</v>
      </c>
      <c r="O19" t="s">
        <v>46</v>
      </c>
      <c r="P19" t="s">
        <v>47</v>
      </c>
      <c r="Q19" t="s">
        <v>139</v>
      </c>
      <c r="R19" t="s">
        <v>139</v>
      </c>
      <c r="S19" t="s">
        <v>139</v>
      </c>
      <c r="T19" t="s">
        <v>49</v>
      </c>
      <c r="U19" s="4" t="s">
        <v>140</v>
      </c>
      <c r="V19" t="s">
        <v>76</v>
      </c>
      <c r="W19" s="4" t="s">
        <v>141</v>
      </c>
      <c r="X19" t="s">
        <v>53</v>
      </c>
      <c r="Y19" t="s">
        <v>53</v>
      </c>
      <c r="Z19" t="s">
        <v>53</v>
      </c>
      <c r="AA19" t="s">
        <v>53</v>
      </c>
      <c r="AB19" t="s">
        <v>53</v>
      </c>
      <c r="AC19" t="s">
        <v>53</v>
      </c>
      <c r="AD19" t="s">
        <v>35</v>
      </c>
      <c r="AE19" t="s">
        <v>53</v>
      </c>
    </row>
    <row r="20" spans="1:31" x14ac:dyDescent="0.25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61</v>
      </c>
      <c r="J20" t="s">
        <v>62</v>
      </c>
      <c r="K20" t="s">
        <v>42</v>
      </c>
      <c r="L20" t="s">
        <v>142</v>
      </c>
      <c r="M20" t="s">
        <v>143</v>
      </c>
      <c r="N20" t="s">
        <v>45</v>
      </c>
      <c r="O20" t="s">
        <v>46</v>
      </c>
      <c r="P20" t="s">
        <v>47</v>
      </c>
      <c r="Q20" t="s">
        <v>58</v>
      </c>
      <c r="R20" t="s">
        <v>58</v>
      </c>
      <c r="S20" t="s">
        <v>58</v>
      </c>
      <c r="T20" t="s">
        <v>49</v>
      </c>
      <c r="U20" s="4" t="s">
        <v>144</v>
      </c>
      <c r="V20" t="s">
        <v>67</v>
      </c>
      <c r="W20" s="4" t="s">
        <v>145</v>
      </c>
      <c r="X20" t="s">
        <v>53</v>
      </c>
      <c r="Y20" t="s">
        <v>53</v>
      </c>
      <c r="Z20" t="s">
        <v>53</v>
      </c>
      <c r="AA20" t="s">
        <v>53</v>
      </c>
      <c r="AB20" t="s">
        <v>53</v>
      </c>
      <c r="AC20" t="s">
        <v>53</v>
      </c>
      <c r="AD20" t="s">
        <v>35</v>
      </c>
      <c r="AE20" t="s">
        <v>53</v>
      </c>
    </row>
    <row r="21" spans="1:31" x14ac:dyDescent="0.25">
      <c r="A21" t="s">
        <v>32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146</v>
      </c>
      <c r="J21" t="s">
        <v>147</v>
      </c>
      <c r="K21" t="s">
        <v>42</v>
      </c>
      <c r="L21" t="s">
        <v>148</v>
      </c>
      <c r="M21" t="s">
        <v>149</v>
      </c>
      <c r="N21" t="s">
        <v>45</v>
      </c>
      <c r="O21" t="s">
        <v>46</v>
      </c>
      <c r="P21" t="s">
        <v>47</v>
      </c>
      <c r="Q21" t="s">
        <v>150</v>
      </c>
      <c r="R21" t="s">
        <v>150</v>
      </c>
      <c r="S21" t="s">
        <v>150</v>
      </c>
      <c r="T21" t="s">
        <v>49</v>
      </c>
      <c r="U21" s="4" t="s">
        <v>151</v>
      </c>
      <c r="V21" t="s">
        <v>152</v>
      </c>
      <c r="W21" s="4" t="s">
        <v>153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  <c r="AC21" t="s">
        <v>53</v>
      </c>
      <c r="AD21" t="s">
        <v>35</v>
      </c>
      <c r="AE21" t="s">
        <v>53</v>
      </c>
    </row>
    <row r="22" spans="1:31" x14ac:dyDescent="0.25">
      <c r="A22" t="s">
        <v>32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61</v>
      </c>
      <c r="J22" t="s">
        <v>62</v>
      </c>
      <c r="K22" t="s">
        <v>42</v>
      </c>
      <c r="L22" t="s">
        <v>137</v>
      </c>
      <c r="M22" t="s">
        <v>138</v>
      </c>
      <c r="N22" t="s">
        <v>45</v>
      </c>
      <c r="O22" t="s">
        <v>46</v>
      </c>
      <c r="P22" t="s">
        <v>47</v>
      </c>
      <c r="Q22" t="s">
        <v>139</v>
      </c>
      <c r="R22" t="s">
        <v>139</v>
      </c>
      <c r="S22" t="s">
        <v>139</v>
      </c>
      <c r="T22" t="s">
        <v>49</v>
      </c>
      <c r="U22" s="4" t="s">
        <v>154</v>
      </c>
      <c r="V22" t="s">
        <v>76</v>
      </c>
      <c r="W22" s="4" t="s">
        <v>155</v>
      </c>
      <c r="X22" t="s">
        <v>53</v>
      </c>
      <c r="Y22" t="s">
        <v>53</v>
      </c>
      <c r="Z22" t="s">
        <v>53</v>
      </c>
      <c r="AA22" t="s">
        <v>53</v>
      </c>
      <c r="AB22" t="s">
        <v>53</v>
      </c>
      <c r="AC22" t="s">
        <v>53</v>
      </c>
      <c r="AD22" t="s">
        <v>35</v>
      </c>
      <c r="AE22" t="s">
        <v>53</v>
      </c>
    </row>
    <row r="23" spans="1:31" x14ac:dyDescent="0.25">
      <c r="A23" t="s">
        <v>32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94</v>
      </c>
      <c r="J23" t="s">
        <v>95</v>
      </c>
      <c r="K23" t="s">
        <v>156</v>
      </c>
      <c r="L23" t="s">
        <v>96</v>
      </c>
      <c r="M23" t="s">
        <v>97</v>
      </c>
      <c r="N23" t="s">
        <v>45</v>
      </c>
      <c r="O23" t="s">
        <v>46</v>
      </c>
      <c r="P23" t="s">
        <v>47</v>
      </c>
      <c r="Q23" t="s">
        <v>98</v>
      </c>
      <c r="R23" t="s">
        <v>98</v>
      </c>
      <c r="S23" t="s">
        <v>98</v>
      </c>
      <c r="T23" t="s">
        <v>49</v>
      </c>
      <c r="U23" s="4" t="s">
        <v>107</v>
      </c>
      <c r="V23" t="s">
        <v>100</v>
      </c>
      <c r="W23" s="4" t="s">
        <v>157</v>
      </c>
      <c r="X23" t="s">
        <v>157</v>
      </c>
      <c r="Y23" t="s">
        <v>53</v>
      </c>
      <c r="Z23" t="s">
        <v>53</v>
      </c>
      <c r="AA23" t="s">
        <v>53</v>
      </c>
      <c r="AB23" t="s">
        <v>53</v>
      </c>
      <c r="AC23" t="s">
        <v>53</v>
      </c>
      <c r="AD23" t="s">
        <v>35</v>
      </c>
      <c r="AE23" t="s">
        <v>53</v>
      </c>
    </row>
    <row r="24" spans="1:31" x14ac:dyDescent="0.25">
      <c r="A24" t="s">
        <v>32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I24" t="s">
        <v>80</v>
      </c>
      <c r="J24" t="s">
        <v>81</v>
      </c>
      <c r="K24" t="s">
        <v>42</v>
      </c>
      <c r="L24" t="s">
        <v>158</v>
      </c>
      <c r="M24" t="s">
        <v>83</v>
      </c>
      <c r="N24" t="s">
        <v>45</v>
      </c>
      <c r="O24" t="s">
        <v>46</v>
      </c>
      <c r="P24" t="s">
        <v>47</v>
      </c>
      <c r="Q24" t="s">
        <v>84</v>
      </c>
      <c r="R24" t="s">
        <v>84</v>
      </c>
      <c r="S24" t="s">
        <v>84</v>
      </c>
      <c r="T24" t="s">
        <v>49</v>
      </c>
      <c r="U24" s="4" t="s">
        <v>159</v>
      </c>
      <c r="V24" t="s">
        <v>67</v>
      </c>
      <c r="W24" s="4" t="s">
        <v>160</v>
      </c>
      <c r="X24" t="s">
        <v>53</v>
      </c>
      <c r="Y24" t="s">
        <v>53</v>
      </c>
      <c r="Z24" t="s">
        <v>53</v>
      </c>
      <c r="AA24" t="s">
        <v>53</v>
      </c>
      <c r="AB24" t="s">
        <v>53</v>
      </c>
      <c r="AC24" t="s">
        <v>53</v>
      </c>
      <c r="AD24" t="s">
        <v>35</v>
      </c>
      <c r="AE24" t="s">
        <v>53</v>
      </c>
    </row>
    <row r="25" spans="1:31" x14ac:dyDescent="0.25">
      <c r="A25" t="s">
        <v>32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I25" t="s">
        <v>94</v>
      </c>
      <c r="J25" t="s">
        <v>95</v>
      </c>
      <c r="K25" t="s">
        <v>156</v>
      </c>
      <c r="L25" t="s">
        <v>96</v>
      </c>
      <c r="M25" t="s">
        <v>97</v>
      </c>
      <c r="N25" t="s">
        <v>45</v>
      </c>
      <c r="O25" t="s">
        <v>46</v>
      </c>
      <c r="P25" t="s">
        <v>47</v>
      </c>
      <c r="Q25" t="s">
        <v>98</v>
      </c>
      <c r="R25" t="s">
        <v>98</v>
      </c>
      <c r="S25" t="s">
        <v>98</v>
      </c>
      <c r="T25" t="s">
        <v>49</v>
      </c>
      <c r="U25" s="4" t="s">
        <v>99</v>
      </c>
      <c r="V25" t="s">
        <v>100</v>
      </c>
      <c r="W25" s="4" t="s">
        <v>161</v>
      </c>
      <c r="X25" t="s">
        <v>161</v>
      </c>
      <c r="Y25" t="s">
        <v>53</v>
      </c>
      <c r="Z25" t="s">
        <v>53</v>
      </c>
      <c r="AA25" t="s">
        <v>53</v>
      </c>
      <c r="AB25" t="s">
        <v>53</v>
      </c>
      <c r="AC25" t="s">
        <v>53</v>
      </c>
      <c r="AD25" t="s">
        <v>35</v>
      </c>
      <c r="AE25" t="s">
        <v>53</v>
      </c>
    </row>
    <row r="26" spans="1:31" x14ac:dyDescent="0.25">
      <c r="A26" t="s">
        <v>32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61</v>
      </c>
      <c r="J26" t="s">
        <v>62</v>
      </c>
      <c r="K26" t="s">
        <v>42</v>
      </c>
      <c r="L26" t="s">
        <v>162</v>
      </c>
      <c r="M26" t="s">
        <v>163</v>
      </c>
      <c r="N26" t="s">
        <v>45</v>
      </c>
      <c r="O26" t="s">
        <v>46</v>
      </c>
      <c r="P26" t="s">
        <v>47</v>
      </c>
      <c r="Q26" t="s">
        <v>164</v>
      </c>
      <c r="R26" t="s">
        <v>164</v>
      </c>
      <c r="S26" t="s">
        <v>164</v>
      </c>
      <c r="T26" t="s">
        <v>49</v>
      </c>
      <c r="U26" s="4" t="s">
        <v>165</v>
      </c>
      <c r="V26" t="s">
        <v>152</v>
      </c>
      <c r="W26" s="4" t="s">
        <v>166</v>
      </c>
      <c r="X26" t="s">
        <v>53</v>
      </c>
      <c r="Y26" t="s">
        <v>53</v>
      </c>
      <c r="Z26" t="s">
        <v>53</v>
      </c>
      <c r="AA26" t="s">
        <v>53</v>
      </c>
      <c r="AB26" t="s">
        <v>53</v>
      </c>
      <c r="AC26" t="s">
        <v>53</v>
      </c>
      <c r="AD26" t="s">
        <v>35</v>
      </c>
      <c r="AE26" t="s">
        <v>53</v>
      </c>
    </row>
    <row r="27" spans="1:31" x14ac:dyDescent="0.25">
      <c r="A27" t="s">
        <v>32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167</v>
      </c>
      <c r="M27" t="s">
        <v>168</v>
      </c>
      <c r="N27" t="s">
        <v>45</v>
      </c>
      <c r="O27" t="s">
        <v>46</v>
      </c>
      <c r="P27" t="s">
        <v>47</v>
      </c>
      <c r="Q27" t="s">
        <v>169</v>
      </c>
      <c r="R27" t="s">
        <v>169</v>
      </c>
      <c r="S27" t="s">
        <v>169</v>
      </c>
      <c r="T27" t="s">
        <v>49</v>
      </c>
      <c r="U27" s="4" t="s">
        <v>170</v>
      </c>
      <c r="V27" t="s">
        <v>51</v>
      </c>
      <c r="W27" s="4" t="s">
        <v>171</v>
      </c>
      <c r="X27" t="s">
        <v>53</v>
      </c>
      <c r="Y27" t="s">
        <v>53</v>
      </c>
      <c r="Z27" t="s">
        <v>53</v>
      </c>
      <c r="AA27" t="s">
        <v>53</v>
      </c>
      <c r="AB27" t="s">
        <v>53</v>
      </c>
      <c r="AC27" t="s">
        <v>53</v>
      </c>
      <c r="AD27" t="s">
        <v>35</v>
      </c>
      <c r="AE27" t="s">
        <v>53</v>
      </c>
    </row>
    <row r="28" spans="1:31" x14ac:dyDescent="0.25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69</v>
      </c>
      <c r="J28" t="s">
        <v>70</v>
      </c>
      <c r="K28" t="s">
        <v>42</v>
      </c>
      <c r="L28" t="s">
        <v>71</v>
      </c>
      <c r="M28" t="s">
        <v>72</v>
      </c>
      <c r="N28" t="s">
        <v>73</v>
      </c>
      <c r="O28" t="s">
        <v>46</v>
      </c>
      <c r="P28" t="s">
        <v>47</v>
      </c>
      <c r="Q28" t="s">
        <v>74</v>
      </c>
      <c r="R28" t="s">
        <v>74</v>
      </c>
      <c r="S28" t="s">
        <v>74</v>
      </c>
      <c r="T28" t="s">
        <v>49</v>
      </c>
      <c r="U28" s="4" t="s">
        <v>172</v>
      </c>
      <c r="V28" t="s">
        <v>76</v>
      </c>
      <c r="W28" s="4" t="s">
        <v>173</v>
      </c>
      <c r="X28" t="s">
        <v>53</v>
      </c>
      <c r="Y28" t="s">
        <v>53</v>
      </c>
      <c r="Z28" t="s">
        <v>53</v>
      </c>
      <c r="AA28" t="s">
        <v>53</v>
      </c>
      <c r="AB28" t="s">
        <v>53</v>
      </c>
      <c r="AC28" t="s">
        <v>53</v>
      </c>
      <c r="AD28" t="s">
        <v>35</v>
      </c>
      <c r="AE28" t="s">
        <v>53</v>
      </c>
    </row>
  </sheetData>
  <mergeCells count="1">
    <mergeCell ref="A1:A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9A14-9679-4AF9-9BF1-E6502D41BF14}">
  <dimension ref="A1:O27"/>
  <sheetViews>
    <sheetView tabSelected="1" workbookViewId="0">
      <selection activeCell="N2" sqref="N2:N22"/>
    </sheetView>
  </sheetViews>
  <sheetFormatPr defaultRowHeight="15" x14ac:dyDescent="0.25"/>
  <cols>
    <col min="1" max="1" width="24.140625" customWidth="1"/>
    <col min="2" max="2" width="15.5703125" customWidth="1"/>
    <col min="3" max="3" width="20.7109375" customWidth="1"/>
    <col min="4" max="4" width="13.140625" customWidth="1"/>
    <col min="5" max="5" width="15" customWidth="1"/>
    <col min="6" max="6" width="16.42578125" customWidth="1"/>
    <col min="7" max="7" width="15.42578125" customWidth="1"/>
    <col min="8" max="8" width="12" customWidth="1"/>
    <col min="9" max="9" width="13.28515625" customWidth="1"/>
    <col min="10" max="10" width="17.140625" customWidth="1"/>
    <col min="11" max="11" width="6.85546875" customWidth="1"/>
    <col min="12" max="12" width="17.28515625" customWidth="1"/>
    <col min="13" max="13" width="13.28515625" customWidth="1"/>
    <col min="14" max="14" width="12.28515625" customWidth="1"/>
  </cols>
  <sheetData>
    <row r="1" spans="1:15" x14ac:dyDescent="0.25">
      <c r="A1" s="1" t="s">
        <v>6</v>
      </c>
      <c r="B1" s="1"/>
      <c r="C1" s="1" t="s">
        <v>9</v>
      </c>
      <c r="D1" s="1" t="s">
        <v>10</v>
      </c>
      <c r="E1" s="1"/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</row>
    <row r="2" spans="1:15" x14ac:dyDescent="0.25">
      <c r="A2" t="s">
        <v>55</v>
      </c>
      <c r="B2" s="8">
        <v>8977234</v>
      </c>
      <c r="C2" s="6">
        <v>6250161714</v>
      </c>
      <c r="D2" t="s">
        <v>57</v>
      </c>
      <c r="E2" t="s">
        <v>175</v>
      </c>
      <c r="F2" t="s">
        <v>45</v>
      </c>
      <c r="G2" t="s">
        <v>47</v>
      </c>
      <c r="H2" s="7">
        <v>45952</v>
      </c>
      <c r="I2" s="7">
        <v>46225</v>
      </c>
      <c r="J2" s="7">
        <f>DATE(YEAR(I2), MONTH(I2) +1, DAY(I2))</f>
        <v>46256</v>
      </c>
      <c r="K2" s="6">
        <v>100</v>
      </c>
      <c r="L2" s="6">
        <v>127.4</v>
      </c>
      <c r="M2" s="6">
        <v>0.9</v>
      </c>
      <c r="N2" s="6">
        <v>114.66</v>
      </c>
      <c r="O2" t="s">
        <v>193</v>
      </c>
    </row>
    <row r="3" spans="1:15" x14ac:dyDescent="0.25">
      <c r="A3" t="s">
        <v>41</v>
      </c>
      <c r="B3" s="8" t="s">
        <v>196</v>
      </c>
      <c r="C3" s="6">
        <v>6260038224</v>
      </c>
      <c r="D3" t="s">
        <v>168</v>
      </c>
      <c r="E3" t="s">
        <v>192</v>
      </c>
      <c r="F3" t="s">
        <v>45</v>
      </c>
      <c r="G3" t="s">
        <v>47</v>
      </c>
      <c r="H3" s="7">
        <v>46072</v>
      </c>
      <c r="I3" s="7">
        <v>46222</v>
      </c>
      <c r="J3" s="7">
        <f t="shared" ref="J3:J22" si="0">DATE(YEAR(I3), MONTH(I3) +1, DAY(I3))</f>
        <v>46253</v>
      </c>
      <c r="K3" s="6">
        <v>100</v>
      </c>
      <c r="L3" s="6">
        <v>29.7</v>
      </c>
      <c r="M3" s="6">
        <v>0.9</v>
      </c>
      <c r="N3" s="6">
        <v>26.73</v>
      </c>
      <c r="O3" t="s">
        <v>193</v>
      </c>
    </row>
    <row r="4" spans="1:15" x14ac:dyDescent="0.25">
      <c r="A4" t="s">
        <v>88</v>
      </c>
      <c r="B4" s="8">
        <v>9213293</v>
      </c>
      <c r="C4" s="6">
        <v>6260062055</v>
      </c>
      <c r="D4" t="s">
        <v>90</v>
      </c>
      <c r="E4" t="s">
        <v>179</v>
      </c>
      <c r="F4" t="s">
        <v>45</v>
      </c>
      <c r="G4" t="s">
        <v>47</v>
      </c>
      <c r="H4" s="7">
        <v>46099</v>
      </c>
      <c r="I4" s="7">
        <v>46221</v>
      </c>
      <c r="J4" s="7">
        <f t="shared" si="0"/>
        <v>46252</v>
      </c>
      <c r="K4" s="6">
        <v>100</v>
      </c>
      <c r="L4" s="6">
        <v>50.42</v>
      </c>
      <c r="M4" s="6">
        <v>0.9</v>
      </c>
      <c r="N4" s="6">
        <v>45.38</v>
      </c>
      <c r="O4" t="s">
        <v>193</v>
      </c>
    </row>
    <row r="5" spans="1:15" x14ac:dyDescent="0.25">
      <c r="A5" t="s">
        <v>41</v>
      </c>
      <c r="B5" s="8" t="s">
        <v>196</v>
      </c>
      <c r="C5" s="6">
        <v>6260096793</v>
      </c>
      <c r="D5" t="s">
        <v>44</v>
      </c>
      <c r="E5" t="s">
        <v>174</v>
      </c>
      <c r="F5" t="s">
        <v>45</v>
      </c>
      <c r="G5" t="s">
        <v>47</v>
      </c>
      <c r="H5" s="7">
        <v>46135</v>
      </c>
      <c r="I5" s="7">
        <v>46226</v>
      </c>
      <c r="J5" s="7">
        <f t="shared" si="0"/>
        <v>46257</v>
      </c>
      <c r="K5" s="6">
        <v>100</v>
      </c>
      <c r="L5" s="6">
        <v>25.38</v>
      </c>
      <c r="M5" s="6">
        <v>0.9</v>
      </c>
      <c r="N5" s="6">
        <v>22.84</v>
      </c>
      <c r="O5" t="s">
        <v>193</v>
      </c>
    </row>
    <row r="6" spans="1:15" x14ac:dyDescent="0.25">
      <c r="A6" t="s">
        <v>70</v>
      </c>
      <c r="B6" s="8">
        <v>20776610</v>
      </c>
      <c r="C6" s="6">
        <v>7250057814</v>
      </c>
      <c r="D6" t="s">
        <v>72</v>
      </c>
      <c r="E6" t="s">
        <v>177</v>
      </c>
      <c r="F6" t="s">
        <v>73</v>
      </c>
      <c r="G6" t="s">
        <v>47</v>
      </c>
      <c r="H6" s="7">
        <v>45768</v>
      </c>
      <c r="I6" s="7">
        <v>46224</v>
      </c>
      <c r="J6" s="7">
        <f t="shared" si="0"/>
        <v>46255</v>
      </c>
      <c r="K6" s="6">
        <v>100</v>
      </c>
      <c r="L6" s="6">
        <v>13.94</v>
      </c>
      <c r="M6" s="6">
        <v>0.06</v>
      </c>
      <c r="N6" s="6">
        <v>0.84</v>
      </c>
      <c r="O6" t="s">
        <v>194</v>
      </c>
    </row>
    <row r="7" spans="1:15" x14ac:dyDescent="0.25">
      <c r="A7" t="s">
        <v>70</v>
      </c>
      <c r="B7" s="8">
        <v>20776610</v>
      </c>
      <c r="C7" s="6">
        <v>7250057814</v>
      </c>
      <c r="D7" t="s">
        <v>72</v>
      </c>
      <c r="E7" t="s">
        <v>177</v>
      </c>
      <c r="F7" t="s">
        <v>73</v>
      </c>
      <c r="G7" t="s">
        <v>47</v>
      </c>
      <c r="H7" s="7">
        <v>45768</v>
      </c>
      <c r="I7" s="7">
        <v>46224</v>
      </c>
      <c r="J7" s="7">
        <f t="shared" si="0"/>
        <v>46255</v>
      </c>
      <c r="K7" s="6">
        <v>100</v>
      </c>
      <c r="L7" s="6">
        <v>288.95999999999998</v>
      </c>
      <c r="M7" s="6">
        <v>0.06</v>
      </c>
      <c r="N7" s="6">
        <v>17.34</v>
      </c>
      <c r="O7" t="s">
        <v>194</v>
      </c>
    </row>
    <row r="8" spans="1:15" x14ac:dyDescent="0.25">
      <c r="A8" t="s">
        <v>115</v>
      </c>
      <c r="B8" s="8">
        <v>17425766</v>
      </c>
      <c r="C8" s="6">
        <v>7250064114</v>
      </c>
      <c r="D8" t="s">
        <v>117</v>
      </c>
      <c r="E8" t="s">
        <v>183</v>
      </c>
      <c r="F8" t="s">
        <v>45</v>
      </c>
      <c r="G8" t="s">
        <v>47</v>
      </c>
      <c r="H8" s="7">
        <v>45770</v>
      </c>
      <c r="I8" s="7">
        <v>46226</v>
      </c>
      <c r="J8" s="7">
        <f t="shared" si="0"/>
        <v>46257</v>
      </c>
      <c r="K8" s="6">
        <v>100</v>
      </c>
      <c r="L8" s="6">
        <v>160.93</v>
      </c>
      <c r="M8" s="6">
        <v>2.75E-2</v>
      </c>
      <c r="N8" s="6">
        <v>4.43</v>
      </c>
      <c r="O8" t="s">
        <v>195</v>
      </c>
    </row>
    <row r="9" spans="1:15" x14ac:dyDescent="0.25">
      <c r="A9" t="s">
        <v>62</v>
      </c>
      <c r="B9" s="8">
        <v>16228684</v>
      </c>
      <c r="C9" s="6">
        <v>7250128277</v>
      </c>
      <c r="D9" t="s">
        <v>138</v>
      </c>
      <c r="E9" t="s">
        <v>187</v>
      </c>
      <c r="F9" t="s">
        <v>45</v>
      </c>
      <c r="G9" t="s">
        <v>47</v>
      </c>
      <c r="H9" s="7">
        <v>45860</v>
      </c>
      <c r="I9" s="7">
        <v>46225</v>
      </c>
      <c r="J9" s="7">
        <f t="shared" si="0"/>
        <v>46256</v>
      </c>
      <c r="K9" s="6">
        <v>100</v>
      </c>
      <c r="L9" s="6">
        <v>10.1</v>
      </c>
      <c r="M9" s="6">
        <v>0.06</v>
      </c>
      <c r="N9" s="6">
        <v>0.61</v>
      </c>
      <c r="O9" t="s">
        <v>194</v>
      </c>
    </row>
    <row r="10" spans="1:15" x14ac:dyDescent="0.25">
      <c r="A10" t="s">
        <v>62</v>
      </c>
      <c r="B10" s="8">
        <v>16228684</v>
      </c>
      <c r="C10" s="6">
        <v>7250128277</v>
      </c>
      <c r="D10" t="s">
        <v>138</v>
      </c>
      <c r="E10" t="s">
        <v>187</v>
      </c>
      <c r="F10" t="s">
        <v>45</v>
      </c>
      <c r="G10" t="s">
        <v>47</v>
      </c>
      <c r="H10" s="7">
        <v>45860</v>
      </c>
      <c r="I10" s="7">
        <v>46225</v>
      </c>
      <c r="J10" s="7">
        <f t="shared" si="0"/>
        <v>46256</v>
      </c>
      <c r="K10" s="6">
        <v>100</v>
      </c>
      <c r="L10" s="6">
        <v>193.53</v>
      </c>
      <c r="M10" s="6">
        <v>0.06</v>
      </c>
      <c r="N10" s="6">
        <v>11.61</v>
      </c>
      <c r="O10" t="s">
        <v>194</v>
      </c>
    </row>
    <row r="11" spans="1:15" x14ac:dyDescent="0.25">
      <c r="A11" t="s">
        <v>95</v>
      </c>
      <c r="B11" s="8">
        <v>7470776</v>
      </c>
      <c r="C11" s="6">
        <v>7250130383</v>
      </c>
      <c r="D11" t="s">
        <v>110</v>
      </c>
      <c r="E11" t="s">
        <v>182</v>
      </c>
      <c r="F11" t="s">
        <v>45</v>
      </c>
      <c r="G11" t="s">
        <v>47</v>
      </c>
      <c r="H11" s="7">
        <v>45861</v>
      </c>
      <c r="I11" s="7">
        <v>46226</v>
      </c>
      <c r="J11" s="7">
        <f t="shared" si="0"/>
        <v>46257</v>
      </c>
      <c r="K11" s="6">
        <v>100</v>
      </c>
      <c r="L11" s="6">
        <v>151.88999999999999</v>
      </c>
      <c r="M11" s="6">
        <v>0.06</v>
      </c>
      <c r="N11" s="6">
        <v>9.11</v>
      </c>
      <c r="O11" t="s">
        <v>194</v>
      </c>
    </row>
    <row r="12" spans="1:15" x14ac:dyDescent="0.25">
      <c r="A12" t="s">
        <v>62</v>
      </c>
      <c r="B12" s="8">
        <v>16228684</v>
      </c>
      <c r="C12" s="6">
        <v>7250131409</v>
      </c>
      <c r="D12" t="s">
        <v>64</v>
      </c>
      <c r="E12" t="s">
        <v>176</v>
      </c>
      <c r="F12" t="s">
        <v>45</v>
      </c>
      <c r="G12" t="s">
        <v>47</v>
      </c>
      <c r="H12" s="7">
        <v>45888</v>
      </c>
      <c r="I12" s="7">
        <v>46222</v>
      </c>
      <c r="J12" s="7">
        <f t="shared" si="0"/>
        <v>46253</v>
      </c>
      <c r="K12" s="6">
        <v>100</v>
      </c>
      <c r="L12" s="6">
        <v>4.2300000000000004</v>
      </c>
      <c r="M12" s="6">
        <v>1.37</v>
      </c>
      <c r="N12" s="6">
        <v>5.8</v>
      </c>
      <c r="O12" t="s">
        <v>194</v>
      </c>
    </row>
    <row r="13" spans="1:15" x14ac:dyDescent="0.25">
      <c r="A13" t="s">
        <v>62</v>
      </c>
      <c r="B13" s="8">
        <v>16228684</v>
      </c>
      <c r="C13" s="6">
        <v>7250131409</v>
      </c>
      <c r="D13" t="s">
        <v>64</v>
      </c>
      <c r="E13" t="s">
        <v>176</v>
      </c>
      <c r="F13" t="s">
        <v>45</v>
      </c>
      <c r="G13" t="s">
        <v>47</v>
      </c>
      <c r="H13" s="7">
        <v>45888</v>
      </c>
      <c r="I13" s="7">
        <v>46222</v>
      </c>
      <c r="J13" s="7">
        <f t="shared" si="0"/>
        <v>46253</v>
      </c>
      <c r="K13" s="6">
        <v>100</v>
      </c>
      <c r="L13" s="6">
        <v>81.569999999999993</v>
      </c>
      <c r="M13" s="6">
        <v>1.37</v>
      </c>
      <c r="N13" s="6">
        <v>111.75</v>
      </c>
      <c r="O13" t="s">
        <v>194</v>
      </c>
    </row>
    <row r="14" spans="1:15" x14ac:dyDescent="0.25">
      <c r="A14" t="s">
        <v>81</v>
      </c>
      <c r="B14" s="8">
        <v>19491313</v>
      </c>
      <c r="C14" s="6">
        <v>7250171087</v>
      </c>
      <c r="D14" t="s">
        <v>83</v>
      </c>
      <c r="E14" t="s">
        <v>190</v>
      </c>
      <c r="F14" t="s">
        <v>45</v>
      </c>
      <c r="G14" t="s">
        <v>47</v>
      </c>
      <c r="H14" s="7">
        <v>45920</v>
      </c>
      <c r="I14" s="7">
        <v>46223</v>
      </c>
      <c r="J14" s="7">
        <f t="shared" si="0"/>
        <v>46254</v>
      </c>
      <c r="K14" s="6">
        <v>100</v>
      </c>
      <c r="L14" s="6">
        <v>77.55</v>
      </c>
      <c r="M14" s="6">
        <v>1.37</v>
      </c>
      <c r="N14" s="6">
        <v>106.24</v>
      </c>
      <c r="O14" t="s">
        <v>194</v>
      </c>
    </row>
    <row r="15" spans="1:15" x14ac:dyDescent="0.25">
      <c r="A15" t="s">
        <v>81</v>
      </c>
      <c r="B15" s="8">
        <v>19491313</v>
      </c>
      <c r="C15" s="6">
        <v>7250171145</v>
      </c>
      <c r="D15" t="s">
        <v>83</v>
      </c>
      <c r="E15" t="s">
        <v>178</v>
      </c>
      <c r="F15" t="s">
        <v>45</v>
      </c>
      <c r="G15" t="s">
        <v>47</v>
      </c>
      <c r="H15" s="7">
        <v>45920</v>
      </c>
      <c r="I15" s="7">
        <v>46223</v>
      </c>
      <c r="J15" s="7">
        <f t="shared" si="0"/>
        <v>46254</v>
      </c>
      <c r="K15" s="6">
        <v>100</v>
      </c>
      <c r="L15" s="6">
        <v>52.8</v>
      </c>
      <c r="M15" s="6">
        <v>1.37</v>
      </c>
      <c r="N15" s="6">
        <v>72.34</v>
      </c>
      <c r="O15" t="s">
        <v>194</v>
      </c>
    </row>
    <row r="16" spans="1:15" x14ac:dyDescent="0.25">
      <c r="A16" t="s">
        <v>147</v>
      </c>
      <c r="B16" s="8">
        <v>9079571</v>
      </c>
      <c r="C16" s="6">
        <v>7250182035</v>
      </c>
      <c r="D16" t="s">
        <v>149</v>
      </c>
      <c r="E16" t="s">
        <v>189</v>
      </c>
      <c r="F16" t="s">
        <v>45</v>
      </c>
      <c r="G16" t="s">
        <v>47</v>
      </c>
      <c r="H16" s="7">
        <v>45923</v>
      </c>
      <c r="I16" s="7">
        <v>46226</v>
      </c>
      <c r="J16" s="7">
        <f t="shared" si="0"/>
        <v>46257</v>
      </c>
      <c r="K16" s="6">
        <v>100</v>
      </c>
      <c r="L16" s="6">
        <v>111.01</v>
      </c>
      <c r="M16" s="6">
        <v>0.94499999999999995</v>
      </c>
      <c r="N16" s="6">
        <v>104.9</v>
      </c>
      <c r="O16" t="s">
        <v>195</v>
      </c>
    </row>
    <row r="17" spans="1:15" x14ac:dyDescent="0.25">
      <c r="A17" t="s">
        <v>62</v>
      </c>
      <c r="B17" s="8">
        <v>16228684</v>
      </c>
      <c r="C17" s="6">
        <v>7250204150</v>
      </c>
      <c r="D17" t="s">
        <v>143</v>
      </c>
      <c r="E17" t="s">
        <v>188</v>
      </c>
      <c r="F17" t="s">
        <v>45</v>
      </c>
      <c r="G17" t="s">
        <v>47</v>
      </c>
      <c r="H17" s="7">
        <v>45952</v>
      </c>
      <c r="I17" s="7">
        <v>46225</v>
      </c>
      <c r="J17" s="7">
        <f t="shared" si="0"/>
        <v>46256</v>
      </c>
      <c r="K17" s="6">
        <v>100</v>
      </c>
      <c r="L17" s="6">
        <v>228.47</v>
      </c>
      <c r="M17" s="6">
        <v>1.37</v>
      </c>
      <c r="N17" s="6">
        <v>313</v>
      </c>
      <c r="O17" t="s">
        <v>194</v>
      </c>
    </row>
    <row r="18" spans="1:15" x14ac:dyDescent="0.25">
      <c r="A18" t="s">
        <v>62</v>
      </c>
      <c r="B18" s="8">
        <v>16228684</v>
      </c>
      <c r="C18" s="6">
        <v>7250205603</v>
      </c>
      <c r="D18" t="s">
        <v>163</v>
      </c>
      <c r="E18" t="s">
        <v>191</v>
      </c>
      <c r="F18" t="s">
        <v>45</v>
      </c>
      <c r="G18" t="s">
        <v>47</v>
      </c>
      <c r="H18" s="7">
        <v>45979</v>
      </c>
      <c r="I18" s="7">
        <v>46221</v>
      </c>
      <c r="J18" s="7">
        <f t="shared" si="0"/>
        <v>46252</v>
      </c>
      <c r="K18" s="6">
        <v>100</v>
      </c>
      <c r="L18" s="6">
        <v>38.26</v>
      </c>
      <c r="M18" s="6">
        <v>0.94499999999999995</v>
      </c>
      <c r="N18" s="6">
        <v>36.159999999999997</v>
      </c>
      <c r="O18" t="s">
        <v>195</v>
      </c>
    </row>
    <row r="19" spans="1:15" x14ac:dyDescent="0.25">
      <c r="A19" t="s">
        <v>123</v>
      </c>
      <c r="B19" s="8" t="s">
        <v>197</v>
      </c>
      <c r="C19" s="6">
        <v>7250233926</v>
      </c>
      <c r="D19" t="s">
        <v>125</v>
      </c>
      <c r="E19" t="s">
        <v>184</v>
      </c>
      <c r="F19" t="s">
        <v>45</v>
      </c>
      <c r="G19" t="s">
        <v>47</v>
      </c>
      <c r="H19" s="7">
        <v>45980</v>
      </c>
      <c r="I19" s="7">
        <v>46222</v>
      </c>
      <c r="J19" s="7">
        <f t="shared" si="0"/>
        <v>46253</v>
      </c>
      <c r="K19" s="6">
        <v>100</v>
      </c>
      <c r="L19" s="6">
        <v>45.75</v>
      </c>
      <c r="M19" s="6">
        <v>1.37</v>
      </c>
      <c r="N19" s="6">
        <v>62.68</v>
      </c>
      <c r="O19" t="s">
        <v>194</v>
      </c>
    </row>
    <row r="20" spans="1:15" x14ac:dyDescent="0.25">
      <c r="A20" t="s">
        <v>123</v>
      </c>
      <c r="B20" s="8" t="s">
        <v>197</v>
      </c>
      <c r="C20" s="6">
        <v>7250263515</v>
      </c>
      <c r="D20" t="s">
        <v>130</v>
      </c>
      <c r="E20" t="s">
        <v>186</v>
      </c>
      <c r="F20" t="s">
        <v>45</v>
      </c>
      <c r="G20" t="s">
        <v>47</v>
      </c>
      <c r="H20" s="7">
        <v>46014</v>
      </c>
      <c r="I20" s="7">
        <v>46226</v>
      </c>
      <c r="J20" s="7">
        <f t="shared" si="0"/>
        <v>46257</v>
      </c>
      <c r="K20" s="6">
        <v>100</v>
      </c>
      <c r="L20" s="6">
        <v>109.76</v>
      </c>
      <c r="M20" s="6">
        <v>1.37</v>
      </c>
      <c r="N20" s="6">
        <v>150.37</v>
      </c>
      <c r="O20" t="s">
        <v>194</v>
      </c>
    </row>
    <row r="21" spans="1:15" x14ac:dyDescent="0.25">
      <c r="A21" t="s">
        <v>123</v>
      </c>
      <c r="B21" s="8" t="s">
        <v>197</v>
      </c>
      <c r="C21" s="6">
        <v>7250263530</v>
      </c>
      <c r="D21" t="s">
        <v>130</v>
      </c>
      <c r="E21" t="s">
        <v>185</v>
      </c>
      <c r="F21" t="s">
        <v>45</v>
      </c>
      <c r="G21" t="s">
        <v>47</v>
      </c>
      <c r="H21" s="7">
        <v>46014</v>
      </c>
      <c r="I21" s="7">
        <v>46226</v>
      </c>
      <c r="J21" s="7">
        <f t="shared" si="0"/>
        <v>46257</v>
      </c>
      <c r="K21" s="6">
        <v>100</v>
      </c>
      <c r="L21" s="6">
        <v>121.02</v>
      </c>
      <c r="M21" s="6">
        <v>1.37</v>
      </c>
      <c r="N21" s="6">
        <v>165.8</v>
      </c>
      <c r="O21" t="s">
        <v>194</v>
      </c>
    </row>
    <row r="22" spans="1:15" x14ac:dyDescent="0.25">
      <c r="A22" t="s">
        <v>41</v>
      </c>
      <c r="B22" s="8" t="s">
        <v>196</v>
      </c>
      <c r="C22" s="6">
        <v>7260075332</v>
      </c>
      <c r="D22" t="s">
        <v>103</v>
      </c>
      <c r="E22" t="s">
        <v>181</v>
      </c>
      <c r="F22" t="s">
        <v>45</v>
      </c>
      <c r="G22" t="s">
        <v>47</v>
      </c>
      <c r="H22" s="7">
        <v>46102</v>
      </c>
      <c r="I22" s="7">
        <v>46224</v>
      </c>
      <c r="J22" s="7">
        <f t="shared" si="0"/>
        <v>46255</v>
      </c>
      <c r="K22" s="6">
        <v>100</v>
      </c>
      <c r="L22" s="6">
        <v>35</v>
      </c>
      <c r="M22" s="6">
        <v>1.37</v>
      </c>
      <c r="N22" s="6">
        <v>47.95</v>
      </c>
      <c r="O22" t="s">
        <v>194</v>
      </c>
    </row>
    <row r="23" spans="1:15" x14ac:dyDescent="0.25">
      <c r="C23" s="6"/>
      <c r="H23" s="7"/>
      <c r="I23" s="7"/>
      <c r="K23" s="6"/>
      <c r="L23" s="6"/>
      <c r="M23" s="6"/>
      <c r="N23" s="6"/>
    </row>
    <row r="24" spans="1:15" x14ac:dyDescent="0.25">
      <c r="A24" t="s">
        <v>95</v>
      </c>
      <c r="B24" t="e">
        <v>#N/A</v>
      </c>
      <c r="C24" s="6">
        <v>7260207733</v>
      </c>
      <c r="D24" t="s">
        <v>97</v>
      </c>
      <c r="E24" t="s">
        <v>180</v>
      </c>
      <c r="F24" t="s">
        <v>45</v>
      </c>
      <c r="G24" t="s">
        <v>47</v>
      </c>
      <c r="H24" s="7">
        <v>46223</v>
      </c>
      <c r="I24" s="7">
        <v>0</v>
      </c>
      <c r="J24" t="s">
        <v>98</v>
      </c>
      <c r="K24" s="6">
        <v>100</v>
      </c>
      <c r="L24" s="6">
        <v>314.24</v>
      </c>
      <c r="M24" s="6">
        <v>1.42</v>
      </c>
      <c r="N24" s="6">
        <v>4015.99</v>
      </c>
      <c r="O24" t="e">
        <v>#N/A</v>
      </c>
    </row>
    <row r="25" spans="1:15" x14ac:dyDescent="0.25">
      <c r="A25" t="s">
        <v>95</v>
      </c>
      <c r="B25" t="e">
        <v>#N/A</v>
      </c>
      <c r="C25" s="6">
        <v>7260207733</v>
      </c>
      <c r="D25" t="s">
        <v>97</v>
      </c>
      <c r="E25" t="s">
        <v>180</v>
      </c>
      <c r="F25" t="s">
        <v>45</v>
      </c>
      <c r="G25" t="s">
        <v>47</v>
      </c>
      <c r="H25" s="7">
        <v>46223</v>
      </c>
      <c r="I25" s="7">
        <v>0</v>
      </c>
      <c r="J25" t="s">
        <v>98</v>
      </c>
      <c r="K25" s="6">
        <v>100</v>
      </c>
      <c r="L25" s="6">
        <v>-314.24</v>
      </c>
      <c r="M25" s="6">
        <v>1.42</v>
      </c>
      <c r="N25" s="6">
        <v>-4015.99</v>
      </c>
      <c r="O25" t="e">
        <v>#N/A</v>
      </c>
    </row>
    <row r="26" spans="1:15" x14ac:dyDescent="0.25">
      <c r="A26" t="s">
        <v>95</v>
      </c>
      <c r="B26" t="e">
        <v>#N/A</v>
      </c>
      <c r="C26" s="6">
        <v>7260207733</v>
      </c>
      <c r="D26" t="s">
        <v>97</v>
      </c>
      <c r="E26" t="s">
        <v>180</v>
      </c>
      <c r="F26" t="s">
        <v>45</v>
      </c>
      <c r="G26" t="s">
        <v>47</v>
      </c>
      <c r="H26" s="7">
        <v>46223</v>
      </c>
      <c r="I26" s="7">
        <v>0</v>
      </c>
      <c r="J26" t="s">
        <v>98</v>
      </c>
      <c r="K26" s="6">
        <v>100</v>
      </c>
      <c r="L26" s="6">
        <v>-314.24</v>
      </c>
      <c r="M26" s="6">
        <v>1.42</v>
      </c>
      <c r="N26" s="6">
        <v>-446.22</v>
      </c>
      <c r="O26" t="e">
        <v>#N/A</v>
      </c>
    </row>
    <row r="27" spans="1:15" x14ac:dyDescent="0.25">
      <c r="A27" t="s">
        <v>95</v>
      </c>
      <c r="B27" t="e">
        <v>#N/A</v>
      </c>
      <c r="C27" s="6">
        <v>7260207733</v>
      </c>
      <c r="D27" t="s">
        <v>97</v>
      </c>
      <c r="E27" t="s">
        <v>180</v>
      </c>
      <c r="F27" t="s">
        <v>45</v>
      </c>
      <c r="G27" t="s">
        <v>47</v>
      </c>
      <c r="H27" s="7">
        <v>46223</v>
      </c>
      <c r="I27" s="7">
        <v>0</v>
      </c>
      <c r="J27" t="s">
        <v>98</v>
      </c>
      <c r="K27" s="6">
        <v>100</v>
      </c>
      <c r="L27" s="6">
        <v>314.24</v>
      </c>
      <c r="M27" s="6">
        <v>1.42</v>
      </c>
      <c r="N27" s="6">
        <v>446.22</v>
      </c>
      <c r="O27" t="e">
        <v>#N/A</v>
      </c>
    </row>
  </sheetData>
  <sortState xmlns:xlrd2="http://schemas.microsoft.com/office/spreadsheetml/2017/richdata2" ref="A2:AG27">
    <sortCondition ref="C2:C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Commission_Statement_Details_Re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2026-07-28T15:56:00Z</dcterms:modified>
</cp:coreProperties>
</file>