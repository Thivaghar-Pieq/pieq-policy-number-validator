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E89A5271-CD51-4C4C-8690-C951E75548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4" i="2"/>
</calcChain>
</file>

<file path=xl/sharedStrings.xml><?xml version="1.0" encoding="utf-8"?>
<sst xmlns="http://schemas.openxmlformats.org/spreadsheetml/2006/main" count="3135" uniqueCount="460">
  <si>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</si>
  <si>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</si>
  <si>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</si>
  <si>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</si>
  <si>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</si>
  <si>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</si>
  <si>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</si>
  <si>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</si>
  <si>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</si>
  <si>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</si>
  <si>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</si>
  <si>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</si>
  <si>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</si>
  <si>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</si>
  <si>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</si>
  <si>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</si>
  <si>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</si>
  <si>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</si>
  <si>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</si>
  <si>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</si>
  <si>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</si>
  <si>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</si>
  <si>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</si>
  <si>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</si>
  <si>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</si>
  <si>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</si>
  <si>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</si>
  <si>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</si>
  <si>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</si>
  <si>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</si>
  <si>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</si>
  <si>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</si>
  <si>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</si>
  <si>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</si>
  <si>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2026-06-26</t>
  </si>
  <si>
    <t>MAIN LINE BENEFITS LLC</t>
  </si>
  <si>
    <t>6</t>
  </si>
  <si>
    <t>*****8192</t>
  </si>
  <si>
    <t>5Q29Q</t>
  </si>
  <si>
    <t>HEARTLAND FINANCIAL GROUP LLC</t>
  </si>
  <si>
    <t>14JK2</t>
  </si>
  <si>
    <t>CHOI, ANDREW</t>
  </si>
  <si>
    <t>Overwrite Activity</t>
  </si>
  <si>
    <t>7250242406</t>
  </si>
  <si>
    <t>ANDERSON</t>
  </si>
  <si>
    <t>MNTHLY</t>
  </si>
  <si>
    <t>Life</t>
  </si>
  <si>
    <t>Term</t>
  </si>
  <si>
    <t>2025-12-25</t>
  </si>
  <si>
    <t>100.00</t>
  </si>
  <si>
    <t>44.50</t>
  </si>
  <si>
    <t>1.3700</t>
  </si>
  <si>
    <t>60.97</t>
  </si>
  <si>
    <t/>
  </si>
  <si>
    <t>1FJU8</t>
  </si>
  <si>
    <t>ROLLER, JASON</t>
  </si>
  <si>
    <t>7250134006</t>
  </si>
  <si>
    <t>SANCHEZ</t>
  </si>
  <si>
    <t>2025-08-27</t>
  </si>
  <si>
    <t>8.08</t>
  </si>
  <si>
    <t>11.07</t>
  </si>
  <si>
    <t>7250128277</t>
  </si>
  <si>
    <t>THOMPSON</t>
  </si>
  <si>
    <t>2025-07-22</t>
  </si>
  <si>
    <t>10.10</t>
  </si>
  <si>
    <t>13.84</t>
  </si>
  <si>
    <t>7250241499</t>
  </si>
  <si>
    <t>RYTINA</t>
  </si>
  <si>
    <t>102.40</t>
  </si>
  <si>
    <t>140.29</t>
  </si>
  <si>
    <t>7240119755</t>
  </si>
  <si>
    <t>ROPSKI</t>
  </si>
  <si>
    <t>2024-12-25</t>
  </si>
  <si>
    <t>98.56</t>
  </si>
  <si>
    <t>0.0600</t>
  </si>
  <si>
    <t>5.91</t>
  </si>
  <si>
    <t>6250209322</t>
  </si>
  <si>
    <t>KANALEY</t>
  </si>
  <si>
    <t>104.45</t>
  </si>
  <si>
    <t>0.9000</t>
  </si>
  <si>
    <t>94.01</t>
  </si>
  <si>
    <t>7250242849</t>
  </si>
  <si>
    <t>RUSSO</t>
  </si>
  <si>
    <t>93.61</t>
  </si>
  <si>
    <t>128.25</t>
  </si>
  <si>
    <t>14JT4</t>
  </si>
  <si>
    <t>WALENGA, DALE</t>
  </si>
  <si>
    <t>7250233926</t>
  </si>
  <si>
    <t>VOLPENDESTA</t>
  </si>
  <si>
    <t>2025-11-19</t>
  </si>
  <si>
    <t>45.75</t>
  </si>
  <si>
    <t>62.68</t>
  </si>
  <si>
    <t>7250131409</t>
  </si>
  <si>
    <t>CLARKE LENNON</t>
  </si>
  <si>
    <t>2025-08-19</t>
  </si>
  <si>
    <t>4.23</t>
  </si>
  <si>
    <t>5.80</t>
  </si>
  <si>
    <t>7250242384</t>
  </si>
  <si>
    <t>RITCHIE</t>
  </si>
  <si>
    <t>111.00</t>
  </si>
  <si>
    <t>152.07</t>
  </si>
  <si>
    <t>19XW6</t>
  </si>
  <si>
    <t>RICHTER, ADAM</t>
  </si>
  <si>
    <t>6250206068</t>
  </si>
  <si>
    <t>FORTIER</t>
  </si>
  <si>
    <t>2025-11-26</t>
  </si>
  <si>
    <t>76.01</t>
  </si>
  <si>
    <t>68.41</t>
  </si>
  <si>
    <t>7250184227</t>
  </si>
  <si>
    <t>PANATTONI</t>
  </si>
  <si>
    <t>2025-10-25</t>
  </si>
  <si>
    <t>91.00</t>
  </si>
  <si>
    <t>124.67</t>
  </si>
  <si>
    <t>7250240607</t>
  </si>
  <si>
    <t>IANNACE</t>
  </si>
  <si>
    <t>108.65</t>
  </si>
  <si>
    <t>148.85</t>
  </si>
  <si>
    <t>1818X</t>
  </si>
  <si>
    <t>HUNSBERGER, ANTHONY</t>
  </si>
  <si>
    <t>6250134171</t>
  </si>
  <si>
    <t>OUTLAW</t>
  </si>
  <si>
    <t>2025-08-28</t>
  </si>
  <si>
    <t>78.58</t>
  </si>
  <si>
    <t>70.72</t>
  </si>
  <si>
    <t>7250097410</t>
  </si>
  <si>
    <t>NOWAKOWSKI</t>
  </si>
  <si>
    <t>2025-06-26</t>
  </si>
  <si>
    <t>102.00</t>
  </si>
  <si>
    <t>6.12</t>
  </si>
  <si>
    <t>7250204150</t>
  </si>
  <si>
    <t>HARDY</t>
  </si>
  <si>
    <t>2025-10-22</t>
  </si>
  <si>
    <t>228.47</t>
  </si>
  <si>
    <t>313.00</t>
  </si>
  <si>
    <t>14Q63</t>
  </si>
  <si>
    <t>HERRERA-LARSEN, ESTHER</t>
  </si>
  <si>
    <t>6260114482</t>
  </si>
  <si>
    <t>JOHNSON</t>
  </si>
  <si>
    <t>2026-05-11</t>
  </si>
  <si>
    <t>218.11</t>
  </si>
  <si>
    <t>196.30</t>
  </si>
  <si>
    <t>7250183661</t>
  </si>
  <si>
    <t>THEODORAKAKIS</t>
  </si>
  <si>
    <t>110.16</t>
  </si>
  <si>
    <t>150.92</t>
  </si>
  <si>
    <t>7250210310</t>
  </si>
  <si>
    <t>SMITH</t>
  </si>
  <si>
    <t>2025-11-25</t>
  </si>
  <si>
    <t>120.06</t>
  </si>
  <si>
    <t>0.9450</t>
  </si>
  <si>
    <t>113.46</t>
  </si>
  <si>
    <t>7250243279</t>
  </si>
  <si>
    <t>GUSICH</t>
  </si>
  <si>
    <t>104.67</t>
  </si>
  <si>
    <t>143.40</t>
  </si>
  <si>
    <t>7250242878</t>
  </si>
  <si>
    <t>GLASSMAN</t>
  </si>
  <si>
    <t>83.12</t>
  </si>
  <si>
    <t>113.87</t>
  </si>
  <si>
    <t>7250104789</t>
  </si>
  <si>
    <t>NUTTLE</t>
  </si>
  <si>
    <t>99.86</t>
  </si>
  <si>
    <t>5.99</t>
  </si>
  <si>
    <t>17YJ2</t>
  </si>
  <si>
    <t>FOLEY, CAROL</t>
  </si>
  <si>
    <t>7250064114</t>
  </si>
  <si>
    <t>POPE</t>
  </si>
  <si>
    <t>2025-04-23</t>
  </si>
  <si>
    <t>160.93</t>
  </si>
  <si>
    <t>0.0275</t>
  </si>
  <si>
    <t>4.43</t>
  </si>
  <si>
    <t>1642Q</t>
  </si>
  <si>
    <t>DRAPAC, STEPHANIE</t>
  </si>
  <si>
    <t>7260100791</t>
  </si>
  <si>
    <t>BREIDENBACH</t>
  </si>
  <si>
    <t>2026-04-15</t>
  </si>
  <si>
    <t>75.00</t>
  </si>
  <si>
    <t>70.88</t>
  </si>
  <si>
    <t>7240119193</t>
  </si>
  <si>
    <t>ADAMEK</t>
  </si>
  <si>
    <t>68.61</t>
  </si>
  <si>
    <t>4.12</t>
  </si>
  <si>
    <t>1KPU2</t>
  </si>
  <si>
    <t>ALLAN, H</t>
  </si>
  <si>
    <t>6260096793</t>
  </si>
  <si>
    <t>SHERCK</t>
  </si>
  <si>
    <t>2026-04-23</t>
  </si>
  <si>
    <t>25.38</t>
  </si>
  <si>
    <t>22.84</t>
  </si>
  <si>
    <t>7240118756</t>
  </si>
  <si>
    <t>BRADLEY</t>
  </si>
  <si>
    <t>107.51</t>
  </si>
  <si>
    <t>2.96</t>
  </si>
  <si>
    <t>7250259170</t>
  </si>
  <si>
    <t>OHANIAN</t>
  </si>
  <si>
    <t>5.25</t>
  </si>
  <si>
    <t>7.19</t>
  </si>
  <si>
    <t>7250241040</t>
  </si>
  <si>
    <t>DE LOS REYES</t>
  </si>
  <si>
    <t>201.13</t>
  </si>
  <si>
    <t>275.55</t>
  </si>
  <si>
    <t>6260038224</t>
  </si>
  <si>
    <t>2026-02-19</t>
  </si>
  <si>
    <t>29.70</t>
  </si>
  <si>
    <t>26.73</t>
  </si>
  <si>
    <t>7250096963</t>
  </si>
  <si>
    <t>DURAY</t>
  </si>
  <si>
    <t>7250242858</t>
  </si>
  <si>
    <t>98.91</t>
  </si>
  <si>
    <t>7260165406</t>
  </si>
  <si>
    <t>SETLAK</t>
  </si>
  <si>
    <t>ANNUAL</t>
  </si>
  <si>
    <t>2026-06-19</t>
  </si>
  <si>
    <t>1427.25</t>
  </si>
  <si>
    <t>1955.33</t>
  </si>
  <si>
    <t>7250239243</t>
  </si>
  <si>
    <t>REICHE</t>
  </si>
  <si>
    <t>96.62</t>
  </si>
  <si>
    <t>132.37</t>
  </si>
  <si>
    <t>7250130383</t>
  </si>
  <si>
    <t>PATER</t>
  </si>
  <si>
    <t>2025-07-23</t>
  </si>
  <si>
    <t>151.89</t>
  </si>
  <si>
    <t>208.09</t>
  </si>
  <si>
    <t>7250094626</t>
  </si>
  <si>
    <t>ROSS</t>
  </si>
  <si>
    <t>95.00</t>
  </si>
  <si>
    <t>5.70</t>
  </si>
  <si>
    <t>7240119703</t>
  </si>
  <si>
    <t>102.68</t>
  </si>
  <si>
    <t>6.16</t>
  </si>
  <si>
    <t>6250207263</t>
  </si>
  <si>
    <t>BARCLAY</t>
  </si>
  <si>
    <t>101.41</t>
  </si>
  <si>
    <t>91.27</t>
  </si>
  <si>
    <t>7250246306</t>
  </si>
  <si>
    <t>139.74</t>
  </si>
  <si>
    <t>7250097140</t>
  </si>
  <si>
    <t>98.00</t>
  </si>
  <si>
    <t>5.88</t>
  </si>
  <si>
    <t>81.57</t>
  </si>
  <si>
    <t>111.75</t>
  </si>
  <si>
    <t>1FGJ5</t>
  </si>
  <si>
    <t>BRANDT, STEVEN</t>
  </si>
  <si>
    <t>7250171087</t>
  </si>
  <si>
    <t>FLORY</t>
  </si>
  <si>
    <t>2025-09-20</t>
  </si>
  <si>
    <t>77.55</t>
  </si>
  <si>
    <t>106.24</t>
  </si>
  <si>
    <t>6250206876</t>
  </si>
  <si>
    <t>THOMAS</t>
  </si>
  <si>
    <t>140.07</t>
  </si>
  <si>
    <t>126.06</t>
  </si>
  <si>
    <t>7250239265</t>
  </si>
  <si>
    <t>94.82</t>
  </si>
  <si>
    <t>129.90</t>
  </si>
  <si>
    <t>7250182035</t>
  </si>
  <si>
    <t>MELLO</t>
  </si>
  <si>
    <t>2025-09-23</t>
  </si>
  <si>
    <t>111.01</t>
  </si>
  <si>
    <t>104.90</t>
  </si>
  <si>
    <t>193.53</t>
  </si>
  <si>
    <t>265.14</t>
  </si>
  <si>
    <t>7250242914</t>
  </si>
  <si>
    <t>BRENNAN</t>
  </si>
  <si>
    <t>104.00</t>
  </si>
  <si>
    <t>142.48</t>
  </si>
  <si>
    <t>7250259160</t>
  </si>
  <si>
    <t>102.64</t>
  </si>
  <si>
    <t>140.62</t>
  </si>
  <si>
    <t>14JWQ</t>
  </si>
  <si>
    <t>CALTAGIRONE, RYAN</t>
  </si>
  <si>
    <t>6250161714</t>
  </si>
  <si>
    <t>FILIPPO</t>
  </si>
  <si>
    <t>127.40</t>
  </si>
  <si>
    <t>114.66</t>
  </si>
  <si>
    <t>7250263515</t>
  </si>
  <si>
    <t>MANIC</t>
  </si>
  <si>
    <t>2025-12-23</t>
  </si>
  <si>
    <t>109.76</t>
  </si>
  <si>
    <t>150.37</t>
  </si>
  <si>
    <t>7250247728</t>
  </si>
  <si>
    <t>NASH</t>
  </si>
  <si>
    <t>109.00</t>
  </si>
  <si>
    <t>103.01</t>
  </si>
  <si>
    <t>7250239289</t>
  </si>
  <si>
    <t>BRISCOE</t>
  </si>
  <si>
    <t>98.60</t>
  </si>
  <si>
    <t>135.08</t>
  </si>
  <si>
    <t>7250240292</t>
  </si>
  <si>
    <t>WOLFE</t>
  </si>
  <si>
    <t>105.45</t>
  </si>
  <si>
    <t>144.47</t>
  </si>
  <si>
    <t>5.03</t>
  </si>
  <si>
    <t>6.89</t>
  </si>
  <si>
    <t>149.72</t>
  </si>
  <si>
    <t>205.12</t>
  </si>
  <si>
    <t>7250110087</t>
  </si>
  <si>
    <t>KIM</t>
  </si>
  <si>
    <t>72.68</t>
  </si>
  <si>
    <t>4.36</t>
  </si>
  <si>
    <t>7250158819</t>
  </si>
  <si>
    <t>SASAKI</t>
  </si>
  <si>
    <t>2025-09-25</t>
  </si>
  <si>
    <t>130.00</t>
  </si>
  <si>
    <t>178.10</t>
  </si>
  <si>
    <t>7250263530</t>
  </si>
  <si>
    <t>121.02</t>
  </si>
  <si>
    <t>165.80</t>
  </si>
  <si>
    <t>7250171145</t>
  </si>
  <si>
    <t>52.80</t>
  </si>
  <si>
    <t>72.34</t>
  </si>
  <si>
    <t>7250245024</t>
  </si>
  <si>
    <t>HAANPAA</t>
  </si>
  <si>
    <t>101.26</t>
  </si>
  <si>
    <t>138.73</t>
  </si>
  <si>
    <t>7250241053</t>
  </si>
  <si>
    <t>152.00</t>
  </si>
  <si>
    <t>208.24</t>
  </si>
  <si>
    <t>7250183624</t>
  </si>
  <si>
    <t>112.68</t>
  </si>
  <si>
    <t>154.37</t>
  </si>
  <si>
    <t>7250247442</t>
  </si>
  <si>
    <t>DEVINE</t>
  </si>
  <si>
    <t>149.00</t>
  </si>
  <si>
    <t>204.13</t>
  </si>
  <si>
    <t>7250247464</t>
  </si>
  <si>
    <t>151.00</t>
  </si>
  <si>
    <t>206.87</t>
  </si>
  <si>
    <t>7250241973</t>
  </si>
  <si>
    <t>MEYER</t>
  </si>
  <si>
    <t>98.28</t>
  </si>
  <si>
    <t>7250244631</t>
  </si>
  <si>
    <t>SCHULTZ</t>
  </si>
  <si>
    <t>119.00</t>
  </si>
  <si>
    <t>112.46</t>
  </si>
  <si>
    <t>153CM</t>
  </si>
  <si>
    <t>YALE, JACOB</t>
  </si>
  <si>
    <t>6260106136</t>
  </si>
  <si>
    <t>VAN STRAATEN</t>
  </si>
  <si>
    <t>2026-05-01</t>
  </si>
  <si>
    <t>0.00</t>
  </si>
  <si>
    <t>1.0000</t>
  </si>
  <si>
    <t>-355.69</t>
  </si>
  <si>
    <t>7250250280</t>
  </si>
  <si>
    <t>DEMARTINI</t>
  </si>
  <si>
    <t>65.00</t>
  </si>
  <si>
    <t>89.05</t>
  </si>
  <si>
    <t>7250241966</t>
  </si>
  <si>
    <t>88.00</t>
  </si>
  <si>
    <t>120.56</t>
  </si>
  <si>
    <t>7250241677</t>
  </si>
  <si>
    <t>RIALLA</t>
  </si>
  <si>
    <t>77.00</t>
  </si>
  <si>
    <t>105.49</t>
  </si>
  <si>
    <t>7260075332</t>
  </si>
  <si>
    <t>CARROLL</t>
  </si>
  <si>
    <t>2026-03-21</t>
  </si>
  <si>
    <t>35.00</t>
  </si>
  <si>
    <t>47.95</t>
  </si>
  <si>
    <t>7250247798</t>
  </si>
  <si>
    <t>SLATKOFF</t>
  </si>
  <si>
    <t>163.03</t>
  </si>
  <si>
    <t>7250242824</t>
  </si>
  <si>
    <t>MACLEAN SCHANZ</t>
  </si>
  <si>
    <t>111.63</t>
  </si>
  <si>
    <t>152.93</t>
  </si>
  <si>
    <t>7250247874</t>
  </si>
  <si>
    <t>KLEIN</t>
  </si>
  <si>
    <t>47.00</t>
  </si>
  <si>
    <t>64.39</t>
  </si>
  <si>
    <t>7250102505</t>
  </si>
  <si>
    <t>MILLER</t>
  </si>
  <si>
    <t>93.78</t>
  </si>
  <si>
    <t>5.63</t>
  </si>
  <si>
    <t>ANDERSON,CAROL</t>
  </si>
  <si>
    <t>SANCHEZ,LINDA</t>
  </si>
  <si>
    <t>THOMPSON,BEVERLY</t>
  </si>
  <si>
    <t>RYTINA,NANCY</t>
  </si>
  <si>
    <t>ROPSKI,BRUCE</t>
  </si>
  <si>
    <t>KANALEY,MICHAEL</t>
  </si>
  <si>
    <t>RUSSO,RITA</t>
  </si>
  <si>
    <t>VOLPENDESTA,DEBRA</t>
  </si>
  <si>
    <t>CLARKE LENNON,JOANNE</t>
  </si>
  <si>
    <t>RITCHIE,MARY</t>
  </si>
  <si>
    <t>FORTIER,PATRICIA</t>
  </si>
  <si>
    <t>PANATTONI,RENEE</t>
  </si>
  <si>
    <t>IANNACE,LESLIE</t>
  </si>
  <si>
    <t>OUTLAW,ZACHARY</t>
  </si>
  <si>
    <t>NOWAKOWSKI,KIMBERLY</t>
  </si>
  <si>
    <t>HARDY,ALAN T</t>
  </si>
  <si>
    <t>JOHNSON,CHARLES</t>
  </si>
  <si>
    <t>THEODORAKAKIS,GEORGIA</t>
  </si>
  <si>
    <t>SMITH,TODD</t>
  </si>
  <si>
    <t>GUSICH,ELLEN</t>
  </si>
  <si>
    <t>GLASSMAN,ROBERT</t>
  </si>
  <si>
    <t>NUTTLE,HEIDI</t>
  </si>
  <si>
    <t>POPE,TIMOTHY</t>
  </si>
  <si>
    <t>BREIDENBACH,HELEN</t>
  </si>
  <si>
    <t>ADAMEK,WILLIAM</t>
  </si>
  <si>
    <t>SHERCK,TIMBERLEY</t>
  </si>
  <si>
    <t>BRADLEY,DIANNE</t>
  </si>
  <si>
    <t>OHANIAN,KEVORK</t>
  </si>
  <si>
    <t>DE LOS REYES,IRWIN</t>
  </si>
  <si>
    <t>SMITH,LISA</t>
  </si>
  <si>
    <t>DURAY,GREGORY</t>
  </si>
  <si>
    <t>RUSSO,MICHAEL</t>
  </si>
  <si>
    <t>SETLAK,TERESA</t>
  </si>
  <si>
    <t>REICHE,BRADLEY</t>
  </si>
  <si>
    <t>PATER,JAMES</t>
  </si>
  <si>
    <t>ROSS,KATHY</t>
  </si>
  <si>
    <t>ROPSKI,CARYN</t>
  </si>
  <si>
    <t>BARCLAY,SUSAN</t>
  </si>
  <si>
    <t>KANALEY,DONNA</t>
  </si>
  <si>
    <t>DURAY,JUDITH</t>
  </si>
  <si>
    <t>FLORY,JOSEPH P</t>
  </si>
  <si>
    <t>THOMAS,RICHARD</t>
  </si>
  <si>
    <t>REICHE,LAURA</t>
  </si>
  <si>
    <t>MELLO,HENRY</t>
  </si>
  <si>
    <t>BRENNAN,WILLIAM</t>
  </si>
  <si>
    <t>OHANIAN,LENA</t>
  </si>
  <si>
    <t>FILIPPO,RICHARD</t>
  </si>
  <si>
    <t>MANIC,DRAGANA</t>
  </si>
  <si>
    <t>NASH,LINDA</t>
  </si>
  <si>
    <t>BRISCOE,THOMAS</t>
  </si>
  <si>
    <t>WOLFE,PAUL</t>
  </si>
  <si>
    <t>KIM,DONG</t>
  </si>
  <si>
    <t>SASAKI,DAVIS K</t>
  </si>
  <si>
    <t>MANIC,MILE</t>
  </si>
  <si>
    <t>FLORY,LOLA K</t>
  </si>
  <si>
    <t>HAANPAA,MELINDA</t>
  </si>
  <si>
    <t>DE LOS REYES,BLESILDA</t>
  </si>
  <si>
    <t>THEODORAKAKIS,SARANTOS</t>
  </si>
  <si>
    <t>DEVINE,ANN</t>
  </si>
  <si>
    <t>DEVINE,MARK</t>
  </si>
  <si>
    <t>MEYER,WILLIAM</t>
  </si>
  <si>
    <t>SCHULTZ,THEODORE</t>
  </si>
  <si>
    <t>VAN STRAATEN,JAN</t>
  </si>
  <si>
    <t>DEMARTINI,JESSICA</t>
  </si>
  <si>
    <t>MEYER,GINA</t>
  </si>
  <si>
    <t>RIALLA,KAREN</t>
  </si>
  <si>
    <t>CARROLL,MICHAEL</t>
  </si>
  <si>
    <t>SLATKOFF,CHARLES</t>
  </si>
  <si>
    <t>MACLEAN SCHANZ,DAWN</t>
  </si>
  <si>
    <t>KLEIN,CARON</t>
  </si>
  <si>
    <t>MILLER,MARK</t>
  </si>
  <si>
    <t>Corebridge SimpliNow Legacy Max (137)</t>
  </si>
  <si>
    <t>Corebridge Guaranteed Issue Whole Life (90)</t>
  </si>
  <si>
    <t>Corebridge SimpliNow Legacy (94.50)</t>
  </si>
  <si>
    <t>AV</t>
  </si>
  <si>
    <t>AE</t>
  </si>
  <si>
    <t>AV1</t>
  </si>
  <si>
    <t>7470776AV9</t>
  </si>
  <si>
    <t>8325282AV9</t>
  </si>
  <si>
    <t>7146581AV9</t>
  </si>
  <si>
    <t>17126004AV9</t>
  </si>
  <si>
    <t>8046194AV9</t>
  </si>
  <si>
    <t>17301495AV9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</si>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</sst>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2" borderId="0" xfId="0" applyFill="1"/>
    <xf numFmtId="0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9"/>
  <sheetViews>
    <sheetView zoomScale="89" zoomScaleNormal="89" workbookViewId="0">
      <selection activeCell="D87" sqref="D87"/>
    </sheetView>
  </sheetViews>
  <sheetFormatPr defaultRowHeight="15" x14ac:dyDescent="0.25"/>
  <cols>
    <col min="1" max="1" width="14.28515625" bestFit="1" customWidth="1"/>
    <col min="2" max="2" width="14.42578125" bestFit="1" customWidth="1"/>
    <col min="3" max="3" width="24.140625" bestFit="1" customWidth="1"/>
    <col min="4" max="4" width="22.5703125" bestFit="1" customWidth="1"/>
    <col min="5" max="6" width="11.5703125" bestFit="1" customWidth="1"/>
    <col min="7" max="7" width="15.42578125" bestFit="1" customWidth="1"/>
    <col min="8" max="8" width="32.28515625" bestFit="1" customWidth="1"/>
    <col min="9" max="9" width="21.7109375" bestFit="1" customWidth="1"/>
    <col min="10" max="10" width="24.28515625" bestFit="1" customWidth="1"/>
    <col min="11" max="11" width="17.42578125" bestFit="1" customWidth="1"/>
    <col min="12" max="12" width="14.140625" bestFit="1" customWidth="1"/>
    <col min="13" max="13" width="17.5703125" bestFit="1" customWidth="1"/>
    <col min="14" max="14" width="8.5703125" bestFit="1" customWidth="1"/>
    <col min="15" max="15" width="14.7109375" bestFit="1" customWidth="1"/>
    <col min="16" max="16" width="12.7109375" bestFit="1" customWidth="1"/>
    <col min="17" max="19" width="11.42578125" bestFit="1" customWidth="1"/>
    <col min="20" max="20" width="7.140625" bestFit="1" customWidth="1"/>
    <col min="21" max="21" width="9.28515625" bestFit="1" customWidth="1"/>
    <col min="22" max="22" width="7.140625" bestFit="1" customWidth="1"/>
    <col min="23" max="23" width="8.28515625" bestFit="1" customWidth="1"/>
    <col min="24" max="24" width="30.5703125" bestFit="1" customWidth="1"/>
    <col min="25" max="25" width="40.140625" bestFit="1" customWidth="1"/>
    <col min="26" max="26" width="40.85546875" bestFit="1" customWidth="1"/>
    <col min="27" max="27" width="18" bestFit="1" customWidth="1"/>
    <col min="28" max="28" width="22.140625" bestFit="1" customWidth="1"/>
    <col min="29" max="30" width="22.5703125" bestFit="1" customWidth="1"/>
    <col min="31" max="31" width="5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51</v>
      </c>
      <c r="W5" s="4" t="s">
        <v>60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54</v>
      </c>
      <c r="J6" t="s">
        <v>55</v>
      </c>
      <c r="K6" t="s">
        <v>42</v>
      </c>
      <c r="L6" t="s">
        <v>61</v>
      </c>
      <c r="M6" t="s">
        <v>62</v>
      </c>
      <c r="N6" t="s">
        <v>45</v>
      </c>
      <c r="O6" t="s">
        <v>46</v>
      </c>
      <c r="P6" t="s">
        <v>47</v>
      </c>
      <c r="Q6" t="s">
        <v>63</v>
      </c>
      <c r="R6" t="s">
        <v>63</v>
      </c>
      <c r="S6" t="s">
        <v>63</v>
      </c>
      <c r="T6" t="s">
        <v>49</v>
      </c>
      <c r="U6" s="4" t="s">
        <v>64</v>
      </c>
      <c r="V6" t="s">
        <v>51</v>
      </c>
      <c r="W6" s="4" t="s">
        <v>65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66</v>
      </c>
      <c r="M7" t="s">
        <v>67</v>
      </c>
      <c r="N7" t="s">
        <v>45</v>
      </c>
      <c r="O7" t="s">
        <v>46</v>
      </c>
      <c r="P7" t="s">
        <v>47</v>
      </c>
      <c r="Q7" t="s">
        <v>48</v>
      </c>
      <c r="R7" t="s">
        <v>48</v>
      </c>
      <c r="S7" t="s">
        <v>48</v>
      </c>
      <c r="T7" t="s">
        <v>49</v>
      </c>
      <c r="U7" s="4" t="s">
        <v>68</v>
      </c>
      <c r="V7" t="s">
        <v>51</v>
      </c>
      <c r="W7" s="4" t="s">
        <v>69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70</v>
      </c>
      <c r="M8" t="s">
        <v>71</v>
      </c>
      <c r="N8" t="s">
        <v>45</v>
      </c>
      <c r="O8" t="s">
        <v>46</v>
      </c>
      <c r="P8" t="s">
        <v>47</v>
      </c>
      <c r="Q8" t="s">
        <v>72</v>
      </c>
      <c r="R8" t="s">
        <v>72</v>
      </c>
      <c r="S8" t="s">
        <v>72</v>
      </c>
      <c r="T8" t="s">
        <v>49</v>
      </c>
      <c r="U8" s="4" t="s">
        <v>73</v>
      </c>
      <c r="V8" t="s">
        <v>74</v>
      </c>
      <c r="W8" s="4" t="s">
        <v>75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76</v>
      </c>
      <c r="M9" t="s">
        <v>77</v>
      </c>
      <c r="N9" t="s">
        <v>45</v>
      </c>
      <c r="O9" t="s">
        <v>46</v>
      </c>
      <c r="P9" t="s">
        <v>47</v>
      </c>
      <c r="Q9" t="s">
        <v>48</v>
      </c>
      <c r="R9" t="s">
        <v>48</v>
      </c>
      <c r="S9" t="s">
        <v>48</v>
      </c>
      <c r="T9" t="s">
        <v>49</v>
      </c>
      <c r="U9" s="4" t="s">
        <v>78</v>
      </c>
      <c r="V9" t="s">
        <v>79</v>
      </c>
      <c r="W9" s="4" t="s">
        <v>80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81</v>
      </c>
      <c r="M10" t="s">
        <v>82</v>
      </c>
      <c r="N10" t="s">
        <v>45</v>
      </c>
      <c r="O10" t="s">
        <v>46</v>
      </c>
      <c r="P10" t="s">
        <v>47</v>
      </c>
      <c r="Q10" t="s">
        <v>48</v>
      </c>
      <c r="R10" t="s">
        <v>48</v>
      </c>
      <c r="S10" t="s">
        <v>48</v>
      </c>
      <c r="T10" t="s">
        <v>49</v>
      </c>
      <c r="U10" s="4" t="s">
        <v>83</v>
      </c>
      <c r="V10" t="s">
        <v>51</v>
      </c>
      <c r="W10" s="4" t="s">
        <v>84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85</v>
      </c>
      <c r="J11" t="s">
        <v>86</v>
      </c>
      <c r="K11" t="s">
        <v>42</v>
      </c>
      <c r="L11" t="s">
        <v>87</v>
      </c>
      <c r="M11" t="s">
        <v>88</v>
      </c>
      <c r="N11" t="s">
        <v>45</v>
      </c>
      <c r="O11" t="s">
        <v>46</v>
      </c>
      <c r="P11" t="s">
        <v>47</v>
      </c>
      <c r="Q11" t="s">
        <v>89</v>
      </c>
      <c r="R11" t="s">
        <v>89</v>
      </c>
      <c r="S11" t="s">
        <v>89</v>
      </c>
      <c r="T11" t="s">
        <v>49</v>
      </c>
      <c r="U11" s="4" t="s">
        <v>90</v>
      </c>
      <c r="V11" t="s">
        <v>51</v>
      </c>
      <c r="W11" s="4" t="s">
        <v>91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54</v>
      </c>
      <c r="J12" t="s">
        <v>55</v>
      </c>
      <c r="K12" t="s">
        <v>42</v>
      </c>
      <c r="L12" t="s">
        <v>92</v>
      </c>
      <c r="M12" t="s">
        <v>93</v>
      </c>
      <c r="N12" t="s">
        <v>45</v>
      </c>
      <c r="O12" t="s">
        <v>46</v>
      </c>
      <c r="P12" t="s">
        <v>47</v>
      </c>
      <c r="Q12" t="s">
        <v>94</v>
      </c>
      <c r="R12" t="s">
        <v>94</v>
      </c>
      <c r="S12" t="s">
        <v>94</v>
      </c>
      <c r="T12" t="s">
        <v>49</v>
      </c>
      <c r="U12" s="4" t="s">
        <v>95</v>
      </c>
      <c r="V12" t="s">
        <v>51</v>
      </c>
      <c r="W12" s="4" t="s">
        <v>96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97</v>
      </c>
      <c r="M13" t="s">
        <v>98</v>
      </c>
      <c r="N13" t="s">
        <v>45</v>
      </c>
      <c r="O13" t="s">
        <v>46</v>
      </c>
      <c r="P13" t="s">
        <v>47</v>
      </c>
      <c r="Q13" t="s">
        <v>48</v>
      </c>
      <c r="R13" t="s">
        <v>48</v>
      </c>
      <c r="S13" t="s">
        <v>48</v>
      </c>
      <c r="T13" t="s">
        <v>49</v>
      </c>
      <c r="U13" s="4" t="s">
        <v>99</v>
      </c>
      <c r="V13" t="s">
        <v>51</v>
      </c>
      <c r="W13" s="4" t="s">
        <v>100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101</v>
      </c>
      <c r="J14" t="s">
        <v>102</v>
      </c>
      <c r="K14" t="s">
        <v>42</v>
      </c>
      <c r="L14" t="s">
        <v>103</v>
      </c>
      <c r="M14" t="s">
        <v>104</v>
      </c>
      <c r="N14" t="s">
        <v>45</v>
      </c>
      <c r="O14" t="s">
        <v>46</v>
      </c>
      <c r="P14" t="s">
        <v>47</v>
      </c>
      <c r="Q14" t="s">
        <v>105</v>
      </c>
      <c r="R14" t="s">
        <v>105</v>
      </c>
      <c r="S14" t="s">
        <v>105</v>
      </c>
      <c r="T14" t="s">
        <v>49</v>
      </c>
      <c r="U14" s="4" t="s">
        <v>106</v>
      </c>
      <c r="V14" t="s">
        <v>79</v>
      </c>
      <c r="W14" s="4" t="s">
        <v>107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108</v>
      </c>
      <c r="M15" t="s">
        <v>109</v>
      </c>
      <c r="N15" t="s">
        <v>45</v>
      </c>
      <c r="O15" t="s">
        <v>46</v>
      </c>
      <c r="P15" t="s">
        <v>47</v>
      </c>
      <c r="Q15" t="s">
        <v>110</v>
      </c>
      <c r="R15" t="s">
        <v>110</v>
      </c>
      <c r="S15" t="s">
        <v>110</v>
      </c>
      <c r="T15" t="s">
        <v>49</v>
      </c>
      <c r="U15" s="4" t="s">
        <v>111</v>
      </c>
      <c r="V15" t="s">
        <v>51</v>
      </c>
      <c r="W15" s="4" t="s">
        <v>112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113</v>
      </c>
      <c r="M16" t="s">
        <v>114</v>
      </c>
      <c r="N16" t="s">
        <v>45</v>
      </c>
      <c r="O16" t="s">
        <v>46</v>
      </c>
      <c r="P16" t="s">
        <v>47</v>
      </c>
      <c r="Q16" t="s">
        <v>48</v>
      </c>
      <c r="R16" t="s">
        <v>48</v>
      </c>
      <c r="S16" t="s">
        <v>48</v>
      </c>
      <c r="T16" t="s">
        <v>49</v>
      </c>
      <c r="U16" s="4" t="s">
        <v>115</v>
      </c>
      <c r="V16" t="s">
        <v>51</v>
      </c>
      <c r="W16" s="4" t="s">
        <v>116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117</v>
      </c>
      <c r="J17" t="s">
        <v>118</v>
      </c>
      <c r="K17" t="s">
        <v>42</v>
      </c>
      <c r="L17" t="s">
        <v>119</v>
      </c>
      <c r="M17" t="s">
        <v>120</v>
      </c>
      <c r="N17" t="s">
        <v>45</v>
      </c>
      <c r="O17" t="s">
        <v>46</v>
      </c>
      <c r="P17" t="s">
        <v>47</v>
      </c>
      <c r="Q17" t="s">
        <v>121</v>
      </c>
      <c r="R17" t="s">
        <v>121</v>
      </c>
      <c r="S17" t="s">
        <v>121</v>
      </c>
      <c r="T17" t="s">
        <v>49</v>
      </c>
      <c r="U17" s="4" t="s">
        <v>122</v>
      </c>
      <c r="V17" t="s">
        <v>79</v>
      </c>
      <c r="W17" s="4" t="s">
        <v>123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124</v>
      </c>
      <c r="M18" t="s">
        <v>125</v>
      </c>
      <c r="N18" t="s">
        <v>45</v>
      </c>
      <c r="O18" t="s">
        <v>46</v>
      </c>
      <c r="P18" t="s">
        <v>47</v>
      </c>
      <c r="Q18" t="s">
        <v>126</v>
      </c>
      <c r="R18" t="s">
        <v>126</v>
      </c>
      <c r="S18" t="s">
        <v>126</v>
      </c>
      <c r="T18" t="s">
        <v>49</v>
      </c>
      <c r="U18" s="4" t="s">
        <v>127</v>
      </c>
      <c r="V18" t="s">
        <v>74</v>
      </c>
      <c r="W18" s="4" t="s">
        <v>128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54</v>
      </c>
      <c r="J19" t="s">
        <v>55</v>
      </c>
      <c r="K19" t="s">
        <v>42</v>
      </c>
      <c r="L19" t="s">
        <v>129</v>
      </c>
      <c r="M19" t="s">
        <v>130</v>
      </c>
      <c r="N19" t="s">
        <v>45</v>
      </c>
      <c r="O19" t="s">
        <v>46</v>
      </c>
      <c r="P19" t="s">
        <v>47</v>
      </c>
      <c r="Q19" t="s">
        <v>131</v>
      </c>
      <c r="R19" t="s">
        <v>131</v>
      </c>
      <c r="S19" t="s">
        <v>131</v>
      </c>
      <c r="T19" t="s">
        <v>49</v>
      </c>
      <c r="U19" s="4" t="s">
        <v>132</v>
      </c>
      <c r="V19" t="s">
        <v>51</v>
      </c>
      <c r="W19" s="4" t="s">
        <v>133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134</v>
      </c>
      <c r="J20" t="s">
        <v>135</v>
      </c>
      <c r="K20" t="s">
        <v>42</v>
      </c>
      <c r="L20" t="s">
        <v>136</v>
      </c>
      <c r="M20" t="s">
        <v>137</v>
      </c>
      <c r="N20" t="s">
        <v>45</v>
      </c>
      <c r="O20" t="s">
        <v>46</v>
      </c>
      <c r="P20" t="s">
        <v>47</v>
      </c>
      <c r="Q20" t="s">
        <v>138</v>
      </c>
      <c r="R20" t="s">
        <v>138</v>
      </c>
      <c r="S20" t="s">
        <v>138</v>
      </c>
      <c r="T20" t="s">
        <v>49</v>
      </c>
      <c r="U20" s="4" t="s">
        <v>139</v>
      </c>
      <c r="V20" t="s">
        <v>79</v>
      </c>
      <c r="W20" s="4" t="s">
        <v>140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141</v>
      </c>
      <c r="M21" t="s">
        <v>142</v>
      </c>
      <c r="N21" t="s">
        <v>45</v>
      </c>
      <c r="O21" t="s">
        <v>46</v>
      </c>
      <c r="P21" t="s">
        <v>47</v>
      </c>
      <c r="Q21" t="s">
        <v>110</v>
      </c>
      <c r="R21" t="s">
        <v>110</v>
      </c>
      <c r="S21" t="s">
        <v>110</v>
      </c>
      <c r="T21" t="s">
        <v>49</v>
      </c>
      <c r="U21" s="4" t="s">
        <v>143</v>
      </c>
      <c r="V21" t="s">
        <v>51</v>
      </c>
      <c r="W21" s="4" t="s">
        <v>144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145</v>
      </c>
      <c r="M22" t="s">
        <v>146</v>
      </c>
      <c r="N22" t="s">
        <v>45</v>
      </c>
      <c r="O22" t="s">
        <v>46</v>
      </c>
      <c r="P22" t="s">
        <v>47</v>
      </c>
      <c r="Q22" t="s">
        <v>147</v>
      </c>
      <c r="R22" t="s">
        <v>147</v>
      </c>
      <c r="S22" t="s">
        <v>147</v>
      </c>
      <c r="T22" t="s">
        <v>49</v>
      </c>
      <c r="U22" s="4" t="s">
        <v>148</v>
      </c>
      <c r="V22" t="s">
        <v>149</v>
      </c>
      <c r="W22" s="4" t="s">
        <v>150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151</v>
      </c>
      <c r="M23" t="s">
        <v>152</v>
      </c>
      <c r="N23" t="s">
        <v>45</v>
      </c>
      <c r="O23" t="s">
        <v>46</v>
      </c>
      <c r="P23" t="s">
        <v>47</v>
      </c>
      <c r="Q23" t="s">
        <v>48</v>
      </c>
      <c r="R23" t="s">
        <v>48</v>
      </c>
      <c r="S23" t="s">
        <v>48</v>
      </c>
      <c r="T23" t="s">
        <v>49</v>
      </c>
      <c r="U23" s="4" t="s">
        <v>153</v>
      </c>
      <c r="V23" t="s">
        <v>51</v>
      </c>
      <c r="W23" s="4" t="s">
        <v>154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155</v>
      </c>
      <c r="M24" t="s">
        <v>156</v>
      </c>
      <c r="N24" t="s">
        <v>45</v>
      </c>
      <c r="O24" t="s">
        <v>46</v>
      </c>
      <c r="P24" t="s">
        <v>47</v>
      </c>
      <c r="Q24" t="s">
        <v>48</v>
      </c>
      <c r="R24" t="s">
        <v>48</v>
      </c>
      <c r="S24" t="s">
        <v>48</v>
      </c>
      <c r="T24" t="s">
        <v>49</v>
      </c>
      <c r="U24" s="4" t="s">
        <v>157</v>
      </c>
      <c r="V24" t="s">
        <v>51</v>
      </c>
      <c r="W24" s="4" t="s">
        <v>158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159</v>
      </c>
      <c r="M25" t="s">
        <v>160</v>
      </c>
      <c r="N25" t="s">
        <v>45</v>
      </c>
      <c r="O25" t="s">
        <v>46</v>
      </c>
      <c r="P25" t="s">
        <v>47</v>
      </c>
      <c r="Q25" t="s">
        <v>126</v>
      </c>
      <c r="R25" t="s">
        <v>126</v>
      </c>
      <c r="S25" t="s">
        <v>126</v>
      </c>
      <c r="T25" t="s">
        <v>49</v>
      </c>
      <c r="U25" s="4" t="s">
        <v>161</v>
      </c>
      <c r="V25" t="s">
        <v>74</v>
      </c>
      <c r="W25" s="4" t="s">
        <v>162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163</v>
      </c>
      <c r="J26" t="s">
        <v>164</v>
      </c>
      <c r="K26" t="s">
        <v>42</v>
      </c>
      <c r="L26" t="s">
        <v>165</v>
      </c>
      <c r="M26" t="s">
        <v>166</v>
      </c>
      <c r="N26" t="s">
        <v>45</v>
      </c>
      <c r="O26" t="s">
        <v>46</v>
      </c>
      <c r="P26" t="s">
        <v>47</v>
      </c>
      <c r="Q26" t="s">
        <v>167</v>
      </c>
      <c r="R26" t="s">
        <v>167</v>
      </c>
      <c r="S26" t="s">
        <v>167</v>
      </c>
      <c r="T26" t="s">
        <v>49</v>
      </c>
      <c r="U26" s="4" t="s">
        <v>168</v>
      </c>
      <c r="V26" t="s">
        <v>169</v>
      </c>
      <c r="W26" s="4" t="s">
        <v>170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171</v>
      </c>
      <c r="J27" t="s">
        <v>172</v>
      </c>
      <c r="K27" t="s">
        <v>42</v>
      </c>
      <c r="L27" t="s">
        <v>173</v>
      </c>
      <c r="M27" t="s">
        <v>174</v>
      </c>
      <c r="N27" t="s">
        <v>45</v>
      </c>
      <c r="O27" t="s">
        <v>46</v>
      </c>
      <c r="P27" t="s">
        <v>47</v>
      </c>
      <c r="Q27" t="s">
        <v>175</v>
      </c>
      <c r="R27" t="s">
        <v>175</v>
      </c>
      <c r="S27" t="s">
        <v>175</v>
      </c>
      <c r="T27" t="s">
        <v>49</v>
      </c>
      <c r="U27" s="4" t="s">
        <v>176</v>
      </c>
      <c r="V27" t="s">
        <v>149</v>
      </c>
      <c r="W27" s="4" t="s">
        <v>177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178</v>
      </c>
      <c r="M28" t="s">
        <v>179</v>
      </c>
      <c r="N28" t="s">
        <v>45</v>
      </c>
      <c r="O28" t="s">
        <v>46</v>
      </c>
      <c r="P28" t="s">
        <v>47</v>
      </c>
      <c r="Q28" t="s">
        <v>72</v>
      </c>
      <c r="R28" t="s">
        <v>72</v>
      </c>
      <c r="S28" t="s">
        <v>72</v>
      </c>
      <c r="T28" t="s">
        <v>49</v>
      </c>
      <c r="U28" s="4" t="s">
        <v>180</v>
      </c>
      <c r="V28" t="s">
        <v>74</v>
      </c>
      <c r="W28" s="4" t="s">
        <v>181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182</v>
      </c>
      <c r="J29" t="s">
        <v>183</v>
      </c>
      <c r="K29" t="s">
        <v>42</v>
      </c>
      <c r="L29" t="s">
        <v>184</v>
      </c>
      <c r="M29" t="s">
        <v>185</v>
      </c>
      <c r="N29" t="s">
        <v>45</v>
      </c>
      <c r="O29" t="s">
        <v>46</v>
      </c>
      <c r="P29" t="s">
        <v>47</v>
      </c>
      <c r="Q29" t="s">
        <v>186</v>
      </c>
      <c r="R29" t="s">
        <v>186</v>
      </c>
      <c r="S29" t="s">
        <v>186</v>
      </c>
      <c r="T29" t="s">
        <v>49</v>
      </c>
      <c r="U29" s="4" t="s">
        <v>187</v>
      </c>
      <c r="V29" t="s">
        <v>79</v>
      </c>
      <c r="W29" s="4" t="s">
        <v>188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189</v>
      </c>
      <c r="M30" t="s">
        <v>190</v>
      </c>
      <c r="N30" t="s">
        <v>45</v>
      </c>
      <c r="O30" t="s">
        <v>46</v>
      </c>
      <c r="P30" t="s">
        <v>47</v>
      </c>
      <c r="Q30" t="s">
        <v>72</v>
      </c>
      <c r="R30" t="s">
        <v>72</v>
      </c>
      <c r="S30" t="s">
        <v>72</v>
      </c>
      <c r="T30" t="s">
        <v>49</v>
      </c>
      <c r="U30" s="4" t="s">
        <v>191</v>
      </c>
      <c r="V30" t="s">
        <v>169</v>
      </c>
      <c r="W30" s="4" t="s">
        <v>192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54</v>
      </c>
      <c r="J31" t="s">
        <v>55</v>
      </c>
      <c r="K31" t="s">
        <v>42</v>
      </c>
      <c r="L31" t="s">
        <v>193</v>
      </c>
      <c r="M31" t="s">
        <v>194</v>
      </c>
      <c r="N31" t="s">
        <v>45</v>
      </c>
      <c r="O31" t="s">
        <v>46</v>
      </c>
      <c r="P31" t="s">
        <v>47</v>
      </c>
      <c r="Q31" t="s">
        <v>48</v>
      </c>
      <c r="R31" t="s">
        <v>48</v>
      </c>
      <c r="S31" t="s">
        <v>48</v>
      </c>
      <c r="T31" t="s">
        <v>49</v>
      </c>
      <c r="U31" s="4" t="s">
        <v>195</v>
      </c>
      <c r="V31" t="s">
        <v>51</v>
      </c>
      <c r="W31" s="4" t="s">
        <v>196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197</v>
      </c>
      <c r="M32" t="s">
        <v>198</v>
      </c>
      <c r="N32" t="s">
        <v>45</v>
      </c>
      <c r="O32" t="s">
        <v>46</v>
      </c>
      <c r="P32" t="s">
        <v>47</v>
      </c>
      <c r="Q32" t="s">
        <v>48</v>
      </c>
      <c r="R32" t="s">
        <v>48</v>
      </c>
      <c r="S32" t="s">
        <v>48</v>
      </c>
      <c r="T32" t="s">
        <v>49</v>
      </c>
      <c r="U32" s="4" t="s">
        <v>199</v>
      </c>
      <c r="V32" t="s">
        <v>51</v>
      </c>
      <c r="W32" s="4" t="s">
        <v>200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182</v>
      </c>
      <c r="J33" t="s">
        <v>183</v>
      </c>
      <c r="K33" t="s">
        <v>42</v>
      </c>
      <c r="L33" t="s">
        <v>201</v>
      </c>
      <c r="M33" t="s">
        <v>146</v>
      </c>
      <c r="N33" t="s">
        <v>45</v>
      </c>
      <c r="O33" t="s">
        <v>46</v>
      </c>
      <c r="P33" t="s">
        <v>47</v>
      </c>
      <c r="Q33" t="s">
        <v>202</v>
      </c>
      <c r="R33" t="s">
        <v>202</v>
      </c>
      <c r="S33" t="s">
        <v>202</v>
      </c>
      <c r="T33" t="s">
        <v>49</v>
      </c>
      <c r="U33" s="4" t="s">
        <v>203</v>
      </c>
      <c r="V33" t="s">
        <v>79</v>
      </c>
      <c r="W33" s="4" t="s">
        <v>204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205</v>
      </c>
      <c r="M34" t="s">
        <v>206</v>
      </c>
      <c r="N34" t="s">
        <v>45</v>
      </c>
      <c r="O34" t="s">
        <v>46</v>
      </c>
      <c r="P34" t="s">
        <v>47</v>
      </c>
      <c r="Q34" t="s">
        <v>126</v>
      </c>
      <c r="R34" t="s">
        <v>126</v>
      </c>
      <c r="S34" t="s">
        <v>126</v>
      </c>
      <c r="T34" t="s">
        <v>49</v>
      </c>
      <c r="U34" s="4" t="s">
        <v>127</v>
      </c>
      <c r="V34" t="s">
        <v>74</v>
      </c>
      <c r="W34" s="4" t="s">
        <v>128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207</v>
      </c>
      <c r="M35" t="s">
        <v>82</v>
      </c>
      <c r="N35" t="s">
        <v>45</v>
      </c>
      <c r="O35" t="s">
        <v>46</v>
      </c>
      <c r="P35" t="s">
        <v>47</v>
      </c>
      <c r="Q35" t="s">
        <v>48</v>
      </c>
      <c r="R35" t="s">
        <v>48</v>
      </c>
      <c r="S35" t="s">
        <v>48</v>
      </c>
      <c r="T35" t="s">
        <v>49</v>
      </c>
      <c r="U35" s="4" t="s">
        <v>153</v>
      </c>
      <c r="V35" t="s">
        <v>149</v>
      </c>
      <c r="W35" s="4" t="s">
        <v>208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54</v>
      </c>
      <c r="J36" t="s">
        <v>55</v>
      </c>
      <c r="K36" t="s">
        <v>42</v>
      </c>
      <c r="L36" t="s">
        <v>209</v>
      </c>
      <c r="M36" t="s">
        <v>210</v>
      </c>
      <c r="N36" t="s">
        <v>211</v>
      </c>
      <c r="O36" t="s">
        <v>46</v>
      </c>
      <c r="P36" t="s">
        <v>47</v>
      </c>
      <c r="Q36" t="s">
        <v>212</v>
      </c>
      <c r="R36" t="s">
        <v>212</v>
      </c>
      <c r="S36" t="s">
        <v>212</v>
      </c>
      <c r="T36" t="s">
        <v>49</v>
      </c>
      <c r="U36" s="4" t="s">
        <v>213</v>
      </c>
      <c r="V36" t="s">
        <v>51</v>
      </c>
      <c r="W36" s="4" t="s">
        <v>214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215</v>
      </c>
      <c r="M37" t="s">
        <v>216</v>
      </c>
      <c r="N37" t="s">
        <v>45</v>
      </c>
      <c r="O37" t="s">
        <v>46</v>
      </c>
      <c r="P37" t="s">
        <v>47</v>
      </c>
      <c r="Q37" t="s">
        <v>48</v>
      </c>
      <c r="R37" t="s">
        <v>48</v>
      </c>
      <c r="S37" t="s">
        <v>48</v>
      </c>
      <c r="T37" t="s">
        <v>49</v>
      </c>
      <c r="U37" s="4" t="s">
        <v>217</v>
      </c>
      <c r="V37" t="s">
        <v>51</v>
      </c>
      <c r="W37" s="4" t="s">
        <v>218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219</v>
      </c>
      <c r="M38" t="s">
        <v>220</v>
      </c>
      <c r="N38" t="s">
        <v>45</v>
      </c>
      <c r="O38" t="s">
        <v>46</v>
      </c>
      <c r="P38" t="s">
        <v>47</v>
      </c>
      <c r="Q38" t="s">
        <v>221</v>
      </c>
      <c r="R38" t="s">
        <v>221</v>
      </c>
      <c r="S38" t="s">
        <v>221</v>
      </c>
      <c r="T38" t="s">
        <v>49</v>
      </c>
      <c r="U38" s="4" t="s">
        <v>222</v>
      </c>
      <c r="V38" t="s">
        <v>51</v>
      </c>
      <c r="W38" s="4" t="s">
        <v>223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224</v>
      </c>
      <c r="M39" t="s">
        <v>225</v>
      </c>
      <c r="N39" t="s">
        <v>45</v>
      </c>
      <c r="O39" t="s">
        <v>46</v>
      </c>
      <c r="P39" t="s">
        <v>47</v>
      </c>
      <c r="Q39" t="s">
        <v>126</v>
      </c>
      <c r="R39" t="s">
        <v>126</v>
      </c>
      <c r="S39" t="s">
        <v>126</v>
      </c>
      <c r="T39" t="s">
        <v>49</v>
      </c>
      <c r="U39" s="4" t="s">
        <v>226</v>
      </c>
      <c r="V39" t="s">
        <v>74</v>
      </c>
      <c r="W39" s="4" t="s">
        <v>227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228</v>
      </c>
      <c r="M40" t="s">
        <v>71</v>
      </c>
      <c r="N40" t="s">
        <v>45</v>
      </c>
      <c r="O40" t="s">
        <v>46</v>
      </c>
      <c r="P40" t="s">
        <v>47</v>
      </c>
      <c r="Q40" t="s">
        <v>72</v>
      </c>
      <c r="R40" t="s">
        <v>72</v>
      </c>
      <c r="S40" t="s">
        <v>72</v>
      </c>
      <c r="T40" t="s">
        <v>49</v>
      </c>
      <c r="U40" s="4" t="s">
        <v>229</v>
      </c>
      <c r="V40" t="s">
        <v>74</v>
      </c>
      <c r="W40" s="4" t="s">
        <v>230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231</v>
      </c>
      <c r="M41" t="s">
        <v>232</v>
      </c>
      <c r="N41" t="s">
        <v>45</v>
      </c>
      <c r="O41" t="s">
        <v>46</v>
      </c>
      <c r="P41" t="s">
        <v>47</v>
      </c>
      <c r="Q41" t="s">
        <v>48</v>
      </c>
      <c r="R41" t="s">
        <v>48</v>
      </c>
      <c r="S41" t="s">
        <v>48</v>
      </c>
      <c r="T41" t="s">
        <v>49</v>
      </c>
      <c r="U41" s="4" t="s">
        <v>233</v>
      </c>
      <c r="V41" t="s">
        <v>79</v>
      </c>
      <c r="W41" s="4" t="s">
        <v>234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235</v>
      </c>
      <c r="M42" t="s">
        <v>77</v>
      </c>
      <c r="N42" t="s">
        <v>45</v>
      </c>
      <c r="O42" t="s">
        <v>46</v>
      </c>
      <c r="P42" t="s">
        <v>47</v>
      </c>
      <c r="Q42" t="s">
        <v>48</v>
      </c>
      <c r="R42" t="s">
        <v>48</v>
      </c>
      <c r="S42" t="s">
        <v>48</v>
      </c>
      <c r="T42" t="s">
        <v>49</v>
      </c>
      <c r="U42" s="4" t="s">
        <v>127</v>
      </c>
      <c r="V42" t="s">
        <v>51</v>
      </c>
      <c r="W42" s="4" t="s">
        <v>236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237</v>
      </c>
      <c r="M43" t="s">
        <v>206</v>
      </c>
      <c r="N43" t="s">
        <v>45</v>
      </c>
      <c r="O43" t="s">
        <v>46</v>
      </c>
      <c r="P43" t="s">
        <v>47</v>
      </c>
      <c r="Q43" t="s">
        <v>126</v>
      </c>
      <c r="R43" t="s">
        <v>126</v>
      </c>
      <c r="S43" t="s">
        <v>126</v>
      </c>
      <c r="T43" t="s">
        <v>49</v>
      </c>
      <c r="U43" s="4" t="s">
        <v>238</v>
      </c>
      <c r="V43" t="s">
        <v>74</v>
      </c>
      <c r="W43" s="4" t="s">
        <v>239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54</v>
      </c>
      <c r="J44" t="s">
        <v>55</v>
      </c>
      <c r="K44" t="s">
        <v>42</v>
      </c>
      <c r="L44" t="s">
        <v>92</v>
      </c>
      <c r="M44" t="s">
        <v>93</v>
      </c>
      <c r="N44" t="s">
        <v>45</v>
      </c>
      <c r="O44" t="s">
        <v>46</v>
      </c>
      <c r="P44" t="s">
        <v>47</v>
      </c>
      <c r="Q44" t="s">
        <v>94</v>
      </c>
      <c r="R44" t="s">
        <v>94</v>
      </c>
      <c r="S44" t="s">
        <v>94</v>
      </c>
      <c r="T44" t="s">
        <v>49</v>
      </c>
      <c r="U44" s="4" t="s">
        <v>240</v>
      </c>
      <c r="V44" t="s">
        <v>51</v>
      </c>
      <c r="W44" s="4" t="s">
        <v>241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242</v>
      </c>
      <c r="J45" t="s">
        <v>243</v>
      </c>
      <c r="K45" t="s">
        <v>42</v>
      </c>
      <c r="L45" t="s">
        <v>244</v>
      </c>
      <c r="M45" t="s">
        <v>245</v>
      </c>
      <c r="N45" t="s">
        <v>45</v>
      </c>
      <c r="O45" t="s">
        <v>46</v>
      </c>
      <c r="P45" t="s">
        <v>47</v>
      </c>
      <c r="Q45" t="s">
        <v>246</v>
      </c>
      <c r="R45" t="s">
        <v>246</v>
      </c>
      <c r="S45" t="s">
        <v>246</v>
      </c>
      <c r="T45" t="s">
        <v>49</v>
      </c>
      <c r="U45" s="4" t="s">
        <v>247</v>
      </c>
      <c r="V45" t="s">
        <v>51</v>
      </c>
      <c r="W45" s="4" t="s">
        <v>248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249</v>
      </c>
      <c r="M46" t="s">
        <v>250</v>
      </c>
      <c r="N46" t="s">
        <v>45</v>
      </c>
      <c r="O46" t="s">
        <v>46</v>
      </c>
      <c r="P46" t="s">
        <v>47</v>
      </c>
      <c r="Q46" t="s">
        <v>48</v>
      </c>
      <c r="R46" t="s">
        <v>48</v>
      </c>
      <c r="S46" t="s">
        <v>48</v>
      </c>
      <c r="T46" t="s">
        <v>49</v>
      </c>
      <c r="U46" s="4" t="s">
        <v>251</v>
      </c>
      <c r="V46" t="s">
        <v>79</v>
      </c>
      <c r="W46" s="4" t="s">
        <v>252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253</v>
      </c>
      <c r="M47" t="s">
        <v>216</v>
      </c>
      <c r="N47" t="s">
        <v>45</v>
      </c>
      <c r="O47" t="s">
        <v>46</v>
      </c>
      <c r="P47" t="s">
        <v>47</v>
      </c>
      <c r="Q47" t="s">
        <v>48</v>
      </c>
      <c r="R47" t="s">
        <v>48</v>
      </c>
      <c r="S47" t="s">
        <v>48</v>
      </c>
      <c r="T47" t="s">
        <v>49</v>
      </c>
      <c r="U47" s="4" t="s">
        <v>254</v>
      </c>
      <c r="V47" t="s">
        <v>51</v>
      </c>
      <c r="W47" s="4" t="s">
        <v>255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101</v>
      </c>
      <c r="J48" t="s">
        <v>102</v>
      </c>
      <c r="K48" t="s">
        <v>42</v>
      </c>
      <c r="L48" t="s">
        <v>256</v>
      </c>
      <c r="M48" t="s">
        <v>257</v>
      </c>
      <c r="N48" t="s">
        <v>45</v>
      </c>
      <c r="O48" t="s">
        <v>46</v>
      </c>
      <c r="P48" t="s">
        <v>47</v>
      </c>
      <c r="Q48" t="s">
        <v>258</v>
      </c>
      <c r="R48" t="s">
        <v>258</v>
      </c>
      <c r="S48" t="s">
        <v>258</v>
      </c>
      <c r="T48" t="s">
        <v>49</v>
      </c>
      <c r="U48" s="4" t="s">
        <v>259</v>
      </c>
      <c r="V48" t="s">
        <v>149</v>
      </c>
      <c r="W48" s="4" t="s">
        <v>260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54</v>
      </c>
      <c r="J49" t="s">
        <v>55</v>
      </c>
      <c r="K49" t="s">
        <v>42</v>
      </c>
      <c r="L49" t="s">
        <v>61</v>
      </c>
      <c r="M49" t="s">
        <v>62</v>
      </c>
      <c r="N49" t="s">
        <v>45</v>
      </c>
      <c r="O49" t="s">
        <v>46</v>
      </c>
      <c r="P49" t="s">
        <v>47</v>
      </c>
      <c r="Q49" t="s">
        <v>63</v>
      </c>
      <c r="R49" t="s">
        <v>63</v>
      </c>
      <c r="S49" t="s">
        <v>63</v>
      </c>
      <c r="T49" t="s">
        <v>49</v>
      </c>
      <c r="U49" s="4" t="s">
        <v>261</v>
      </c>
      <c r="V49" t="s">
        <v>51</v>
      </c>
      <c r="W49" s="4" t="s">
        <v>262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263</v>
      </c>
      <c r="M50" t="s">
        <v>264</v>
      </c>
      <c r="N50" t="s">
        <v>45</v>
      </c>
      <c r="O50" t="s">
        <v>46</v>
      </c>
      <c r="P50" t="s">
        <v>47</v>
      </c>
      <c r="Q50" t="s">
        <v>48</v>
      </c>
      <c r="R50" t="s">
        <v>48</v>
      </c>
      <c r="S50" t="s">
        <v>48</v>
      </c>
      <c r="T50" t="s">
        <v>49</v>
      </c>
      <c r="U50" s="4" t="s">
        <v>265</v>
      </c>
      <c r="V50" t="s">
        <v>51</v>
      </c>
      <c r="W50" s="4" t="s">
        <v>266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54</v>
      </c>
      <c r="J51" t="s">
        <v>55</v>
      </c>
      <c r="K51" t="s">
        <v>42</v>
      </c>
      <c r="L51" t="s">
        <v>267</v>
      </c>
      <c r="M51" t="s">
        <v>194</v>
      </c>
      <c r="N51" t="s">
        <v>45</v>
      </c>
      <c r="O51" t="s">
        <v>46</v>
      </c>
      <c r="P51" t="s">
        <v>47</v>
      </c>
      <c r="Q51" t="s">
        <v>48</v>
      </c>
      <c r="R51" t="s">
        <v>48</v>
      </c>
      <c r="S51" t="s">
        <v>48</v>
      </c>
      <c r="T51" t="s">
        <v>49</v>
      </c>
      <c r="U51" s="4" t="s">
        <v>268</v>
      </c>
      <c r="V51" t="s">
        <v>51</v>
      </c>
      <c r="W51" s="4" t="s">
        <v>269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270</v>
      </c>
      <c r="J52" t="s">
        <v>271</v>
      </c>
      <c r="K52" t="s">
        <v>42</v>
      </c>
      <c r="L52" t="s">
        <v>272</v>
      </c>
      <c r="M52" t="s">
        <v>273</v>
      </c>
      <c r="N52" t="s">
        <v>45</v>
      </c>
      <c r="O52" t="s">
        <v>46</v>
      </c>
      <c r="P52" t="s">
        <v>47</v>
      </c>
      <c r="Q52" t="s">
        <v>131</v>
      </c>
      <c r="R52" t="s">
        <v>131</v>
      </c>
      <c r="S52" t="s">
        <v>131</v>
      </c>
      <c r="T52" t="s">
        <v>49</v>
      </c>
      <c r="U52" s="4" t="s">
        <v>274</v>
      </c>
      <c r="V52" t="s">
        <v>79</v>
      </c>
      <c r="W52" s="4" t="s">
        <v>275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85</v>
      </c>
      <c r="J53" t="s">
        <v>86</v>
      </c>
      <c r="K53" t="s">
        <v>42</v>
      </c>
      <c r="L53" t="s">
        <v>276</v>
      </c>
      <c r="M53" t="s">
        <v>277</v>
      </c>
      <c r="N53" t="s">
        <v>45</v>
      </c>
      <c r="O53" t="s">
        <v>46</v>
      </c>
      <c r="P53" t="s">
        <v>47</v>
      </c>
      <c r="Q53" t="s">
        <v>278</v>
      </c>
      <c r="R53" t="s">
        <v>278</v>
      </c>
      <c r="S53" t="s">
        <v>278</v>
      </c>
      <c r="T53" t="s">
        <v>49</v>
      </c>
      <c r="U53" s="4" t="s">
        <v>279</v>
      </c>
      <c r="V53" t="s">
        <v>51</v>
      </c>
      <c r="W53" s="4" t="s">
        <v>280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281</v>
      </c>
      <c r="M54" t="s">
        <v>282</v>
      </c>
      <c r="N54" t="s">
        <v>45</v>
      </c>
      <c r="O54" t="s">
        <v>46</v>
      </c>
      <c r="P54" t="s">
        <v>47</v>
      </c>
      <c r="Q54" t="s">
        <v>48</v>
      </c>
      <c r="R54" t="s">
        <v>48</v>
      </c>
      <c r="S54" t="s">
        <v>48</v>
      </c>
      <c r="T54" t="s">
        <v>49</v>
      </c>
      <c r="U54" s="4" t="s">
        <v>283</v>
      </c>
      <c r="V54" t="s">
        <v>149</v>
      </c>
      <c r="W54" s="4" t="s">
        <v>284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285</v>
      </c>
      <c r="M55" t="s">
        <v>286</v>
      </c>
      <c r="N55" t="s">
        <v>45</v>
      </c>
      <c r="O55" t="s">
        <v>46</v>
      </c>
      <c r="P55" t="s">
        <v>47</v>
      </c>
      <c r="Q55" t="s">
        <v>48</v>
      </c>
      <c r="R55" t="s">
        <v>48</v>
      </c>
      <c r="S55" t="s">
        <v>48</v>
      </c>
      <c r="T55" t="s">
        <v>49</v>
      </c>
      <c r="U55" s="4" t="s">
        <v>287</v>
      </c>
      <c r="V55" t="s">
        <v>51</v>
      </c>
      <c r="W55" s="4" t="s">
        <v>288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289</v>
      </c>
      <c r="M56" t="s">
        <v>290</v>
      </c>
      <c r="N56" t="s">
        <v>45</v>
      </c>
      <c r="O56" t="s">
        <v>46</v>
      </c>
      <c r="P56" t="s">
        <v>47</v>
      </c>
      <c r="Q56" t="s">
        <v>48</v>
      </c>
      <c r="R56" t="s">
        <v>48</v>
      </c>
      <c r="S56" t="s">
        <v>48</v>
      </c>
      <c r="T56" t="s">
        <v>49</v>
      </c>
      <c r="U56" s="4" t="s">
        <v>291</v>
      </c>
      <c r="V56" t="s">
        <v>51</v>
      </c>
      <c r="W56" s="4" t="s">
        <v>292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54</v>
      </c>
      <c r="J57" t="s">
        <v>55</v>
      </c>
      <c r="K57" t="s">
        <v>42</v>
      </c>
      <c r="L57" t="s">
        <v>267</v>
      </c>
      <c r="M57" t="s">
        <v>194</v>
      </c>
      <c r="N57" t="s">
        <v>45</v>
      </c>
      <c r="O57" t="s">
        <v>46</v>
      </c>
      <c r="P57" t="s">
        <v>47</v>
      </c>
      <c r="Q57" t="s">
        <v>48</v>
      </c>
      <c r="R57" t="s">
        <v>48</v>
      </c>
      <c r="S57" t="s">
        <v>48</v>
      </c>
      <c r="T57" t="s">
        <v>49</v>
      </c>
      <c r="U57" s="4" t="s">
        <v>293</v>
      </c>
      <c r="V57" t="s">
        <v>51</v>
      </c>
      <c r="W57" s="4" t="s">
        <v>294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54</v>
      </c>
      <c r="J58" t="s">
        <v>55</v>
      </c>
      <c r="K58" t="s">
        <v>42</v>
      </c>
      <c r="L58" t="s">
        <v>193</v>
      </c>
      <c r="M58" t="s">
        <v>194</v>
      </c>
      <c r="N58" t="s">
        <v>45</v>
      </c>
      <c r="O58" t="s">
        <v>46</v>
      </c>
      <c r="P58" t="s">
        <v>47</v>
      </c>
      <c r="Q58" t="s">
        <v>48</v>
      </c>
      <c r="R58" t="s">
        <v>48</v>
      </c>
      <c r="S58" t="s">
        <v>48</v>
      </c>
      <c r="T58" t="s">
        <v>49</v>
      </c>
      <c r="U58" s="4" t="s">
        <v>295</v>
      </c>
      <c r="V58" t="s">
        <v>51</v>
      </c>
      <c r="W58" s="4" t="s">
        <v>296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297</v>
      </c>
      <c r="M59" t="s">
        <v>298</v>
      </c>
      <c r="N59" t="s">
        <v>45</v>
      </c>
      <c r="O59" t="s">
        <v>46</v>
      </c>
      <c r="P59" t="s">
        <v>47</v>
      </c>
      <c r="Q59" t="s">
        <v>126</v>
      </c>
      <c r="R59" t="s">
        <v>126</v>
      </c>
      <c r="S59" t="s">
        <v>126</v>
      </c>
      <c r="T59" t="s">
        <v>49</v>
      </c>
      <c r="U59" s="4" t="s">
        <v>299</v>
      </c>
      <c r="V59" t="s">
        <v>74</v>
      </c>
      <c r="W59" s="4" t="s">
        <v>300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301</v>
      </c>
      <c r="M60" t="s">
        <v>302</v>
      </c>
      <c r="N60" t="s">
        <v>45</v>
      </c>
      <c r="O60" t="s">
        <v>46</v>
      </c>
      <c r="P60" t="s">
        <v>47</v>
      </c>
      <c r="Q60" t="s">
        <v>303</v>
      </c>
      <c r="R60" t="s">
        <v>303</v>
      </c>
      <c r="S60" t="s">
        <v>303</v>
      </c>
      <c r="T60" t="s">
        <v>49</v>
      </c>
      <c r="U60" s="4" t="s">
        <v>304</v>
      </c>
      <c r="V60" t="s">
        <v>51</v>
      </c>
      <c r="W60" s="4" t="s">
        <v>305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85</v>
      </c>
      <c r="J61" t="s">
        <v>86</v>
      </c>
      <c r="K61" t="s">
        <v>42</v>
      </c>
      <c r="L61" t="s">
        <v>306</v>
      </c>
      <c r="M61" t="s">
        <v>277</v>
      </c>
      <c r="N61" t="s">
        <v>45</v>
      </c>
      <c r="O61" t="s">
        <v>46</v>
      </c>
      <c r="P61" t="s">
        <v>47</v>
      </c>
      <c r="Q61" t="s">
        <v>278</v>
      </c>
      <c r="R61" t="s">
        <v>278</v>
      </c>
      <c r="S61" t="s">
        <v>278</v>
      </c>
      <c r="T61" t="s">
        <v>49</v>
      </c>
      <c r="U61" s="4" t="s">
        <v>307</v>
      </c>
      <c r="V61" t="s">
        <v>51</v>
      </c>
      <c r="W61" s="4" t="s">
        <v>308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242</v>
      </c>
      <c r="J62" t="s">
        <v>243</v>
      </c>
      <c r="K62" t="s">
        <v>42</v>
      </c>
      <c r="L62" t="s">
        <v>309</v>
      </c>
      <c r="M62" t="s">
        <v>245</v>
      </c>
      <c r="N62" t="s">
        <v>45</v>
      </c>
      <c r="O62" t="s">
        <v>46</v>
      </c>
      <c r="P62" t="s">
        <v>47</v>
      </c>
      <c r="Q62" t="s">
        <v>246</v>
      </c>
      <c r="R62" t="s">
        <v>246</v>
      </c>
      <c r="S62" t="s">
        <v>246</v>
      </c>
      <c r="T62" t="s">
        <v>49</v>
      </c>
      <c r="U62" s="4" t="s">
        <v>310</v>
      </c>
      <c r="V62" t="s">
        <v>51</v>
      </c>
      <c r="W62" s="4" t="s">
        <v>311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312</v>
      </c>
      <c r="M63" t="s">
        <v>313</v>
      </c>
      <c r="N63" t="s">
        <v>45</v>
      </c>
      <c r="O63" t="s">
        <v>46</v>
      </c>
      <c r="P63" t="s">
        <v>47</v>
      </c>
      <c r="Q63" t="s">
        <v>48</v>
      </c>
      <c r="R63" t="s">
        <v>48</v>
      </c>
      <c r="S63" t="s">
        <v>48</v>
      </c>
      <c r="T63" t="s">
        <v>49</v>
      </c>
      <c r="U63" s="4" t="s">
        <v>314</v>
      </c>
      <c r="V63" t="s">
        <v>51</v>
      </c>
      <c r="W63" s="4" t="s">
        <v>315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316</v>
      </c>
      <c r="M64" t="s">
        <v>198</v>
      </c>
      <c r="N64" t="s">
        <v>45</v>
      </c>
      <c r="O64" t="s">
        <v>46</v>
      </c>
      <c r="P64" t="s">
        <v>47</v>
      </c>
      <c r="Q64" t="s">
        <v>48</v>
      </c>
      <c r="R64" t="s">
        <v>48</v>
      </c>
      <c r="S64" t="s">
        <v>48</v>
      </c>
      <c r="T64" t="s">
        <v>49</v>
      </c>
      <c r="U64" s="4" t="s">
        <v>317</v>
      </c>
      <c r="V64" t="s">
        <v>51</v>
      </c>
      <c r="W64" s="4" t="s">
        <v>318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319</v>
      </c>
      <c r="M65" t="s">
        <v>142</v>
      </c>
      <c r="N65" t="s">
        <v>45</v>
      </c>
      <c r="O65" t="s">
        <v>46</v>
      </c>
      <c r="P65" t="s">
        <v>47</v>
      </c>
      <c r="Q65" t="s">
        <v>110</v>
      </c>
      <c r="R65" t="s">
        <v>110</v>
      </c>
      <c r="S65" t="s">
        <v>110</v>
      </c>
      <c r="T65" t="s">
        <v>49</v>
      </c>
      <c r="U65" s="4" t="s">
        <v>320</v>
      </c>
      <c r="V65" t="s">
        <v>51</v>
      </c>
      <c r="W65" s="4" t="s">
        <v>321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322</v>
      </c>
      <c r="M66" t="s">
        <v>323</v>
      </c>
      <c r="N66" t="s">
        <v>45</v>
      </c>
      <c r="O66" t="s">
        <v>46</v>
      </c>
      <c r="P66" t="s">
        <v>47</v>
      </c>
      <c r="Q66" t="s">
        <v>48</v>
      </c>
      <c r="R66" t="s">
        <v>48</v>
      </c>
      <c r="S66" t="s">
        <v>48</v>
      </c>
      <c r="T66" t="s">
        <v>49</v>
      </c>
      <c r="U66" s="4" t="s">
        <v>324</v>
      </c>
      <c r="V66" t="s">
        <v>51</v>
      </c>
      <c r="W66" s="4" t="s">
        <v>325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326</v>
      </c>
      <c r="M67" t="s">
        <v>323</v>
      </c>
      <c r="N67" t="s">
        <v>45</v>
      </c>
      <c r="O67" t="s">
        <v>46</v>
      </c>
      <c r="P67" t="s">
        <v>47</v>
      </c>
      <c r="Q67" t="s">
        <v>48</v>
      </c>
      <c r="R67" t="s">
        <v>48</v>
      </c>
      <c r="S67" t="s">
        <v>48</v>
      </c>
      <c r="T67" t="s">
        <v>49</v>
      </c>
      <c r="U67" s="4" t="s">
        <v>327</v>
      </c>
      <c r="V67" t="s">
        <v>51</v>
      </c>
      <c r="W67" s="4" t="s">
        <v>328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329</v>
      </c>
      <c r="M68" t="s">
        <v>330</v>
      </c>
      <c r="N68" t="s">
        <v>45</v>
      </c>
      <c r="O68" t="s">
        <v>46</v>
      </c>
      <c r="P68" t="s">
        <v>47</v>
      </c>
      <c r="Q68" t="s">
        <v>48</v>
      </c>
      <c r="R68" t="s">
        <v>48</v>
      </c>
      <c r="S68" t="s">
        <v>48</v>
      </c>
      <c r="T68" t="s">
        <v>49</v>
      </c>
      <c r="U68" s="4" t="s">
        <v>265</v>
      </c>
      <c r="V68" t="s">
        <v>149</v>
      </c>
      <c r="W68" s="4" t="s">
        <v>331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332</v>
      </c>
      <c r="M69" t="s">
        <v>333</v>
      </c>
      <c r="N69" t="s">
        <v>45</v>
      </c>
      <c r="O69" t="s">
        <v>46</v>
      </c>
      <c r="P69" t="s">
        <v>47</v>
      </c>
      <c r="Q69" t="s">
        <v>48</v>
      </c>
      <c r="R69" t="s">
        <v>48</v>
      </c>
      <c r="S69" t="s">
        <v>48</v>
      </c>
      <c r="T69" t="s">
        <v>49</v>
      </c>
      <c r="U69" s="4" t="s">
        <v>334</v>
      </c>
      <c r="V69" t="s">
        <v>149</v>
      </c>
      <c r="W69" s="4" t="s">
        <v>335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336</v>
      </c>
      <c r="J70" t="s">
        <v>337</v>
      </c>
      <c r="K70" t="s">
        <v>42</v>
      </c>
      <c r="L70" t="s">
        <v>338</v>
      </c>
      <c r="M70" t="s">
        <v>339</v>
      </c>
      <c r="N70" t="s">
        <v>45</v>
      </c>
      <c r="O70" t="s">
        <v>46</v>
      </c>
      <c r="P70" t="s">
        <v>47</v>
      </c>
      <c r="Q70" t="s">
        <v>340</v>
      </c>
      <c r="R70" t="s">
        <v>340</v>
      </c>
      <c r="S70" t="s">
        <v>340</v>
      </c>
      <c r="T70" t="s">
        <v>49</v>
      </c>
      <c r="U70" s="4" t="s">
        <v>341</v>
      </c>
      <c r="V70" t="s">
        <v>342</v>
      </c>
      <c r="W70" s="4" t="s">
        <v>343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344</v>
      </c>
      <c r="M71" t="s">
        <v>345</v>
      </c>
      <c r="N71" t="s">
        <v>45</v>
      </c>
      <c r="O71" t="s">
        <v>46</v>
      </c>
      <c r="P71" t="s">
        <v>47</v>
      </c>
      <c r="Q71" t="s">
        <v>48</v>
      </c>
      <c r="R71" t="s">
        <v>48</v>
      </c>
      <c r="S71" t="s">
        <v>48</v>
      </c>
      <c r="T71" t="s">
        <v>49</v>
      </c>
      <c r="U71" s="4" t="s">
        <v>346</v>
      </c>
      <c r="V71" t="s">
        <v>51</v>
      </c>
      <c r="W71" s="4" t="s">
        <v>347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348</v>
      </c>
      <c r="M72" t="s">
        <v>330</v>
      </c>
      <c r="N72" t="s">
        <v>45</v>
      </c>
      <c r="O72" t="s">
        <v>46</v>
      </c>
      <c r="P72" t="s">
        <v>47</v>
      </c>
      <c r="Q72" t="s">
        <v>48</v>
      </c>
      <c r="R72" t="s">
        <v>48</v>
      </c>
      <c r="S72" t="s">
        <v>48</v>
      </c>
      <c r="T72" t="s">
        <v>49</v>
      </c>
      <c r="U72" s="4" t="s">
        <v>349</v>
      </c>
      <c r="V72" t="s">
        <v>51</v>
      </c>
      <c r="W72" s="4" t="s">
        <v>350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351</v>
      </c>
      <c r="M73" t="s">
        <v>352</v>
      </c>
      <c r="N73" t="s">
        <v>45</v>
      </c>
      <c r="O73" t="s">
        <v>46</v>
      </c>
      <c r="P73" t="s">
        <v>47</v>
      </c>
      <c r="Q73" t="s">
        <v>48</v>
      </c>
      <c r="R73" t="s">
        <v>48</v>
      </c>
      <c r="S73" t="s">
        <v>48</v>
      </c>
      <c r="T73" t="s">
        <v>49</v>
      </c>
      <c r="U73" s="4" t="s">
        <v>353</v>
      </c>
      <c r="V73" t="s">
        <v>51</v>
      </c>
      <c r="W73" s="4" t="s">
        <v>354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182</v>
      </c>
      <c r="J74" t="s">
        <v>183</v>
      </c>
      <c r="K74" t="s">
        <v>42</v>
      </c>
      <c r="L74" t="s">
        <v>355</v>
      </c>
      <c r="M74" t="s">
        <v>356</v>
      </c>
      <c r="N74" t="s">
        <v>45</v>
      </c>
      <c r="O74" t="s">
        <v>46</v>
      </c>
      <c r="P74" t="s">
        <v>47</v>
      </c>
      <c r="Q74" t="s">
        <v>357</v>
      </c>
      <c r="R74" t="s">
        <v>357</v>
      </c>
      <c r="S74" t="s">
        <v>357</v>
      </c>
      <c r="T74" t="s">
        <v>49</v>
      </c>
      <c r="U74" s="4" t="s">
        <v>358</v>
      </c>
      <c r="V74" t="s">
        <v>51</v>
      </c>
      <c r="W74" s="4" t="s">
        <v>359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360</v>
      </c>
      <c r="M75" t="s">
        <v>361</v>
      </c>
      <c r="N75" t="s">
        <v>45</v>
      </c>
      <c r="O75" t="s">
        <v>46</v>
      </c>
      <c r="P75" t="s">
        <v>47</v>
      </c>
      <c r="Q75" t="s">
        <v>48</v>
      </c>
      <c r="R75" t="s">
        <v>48</v>
      </c>
      <c r="S75" t="s">
        <v>48</v>
      </c>
      <c r="T75" t="s">
        <v>49</v>
      </c>
      <c r="U75" s="4" t="s">
        <v>334</v>
      </c>
      <c r="V75" t="s">
        <v>51</v>
      </c>
      <c r="W75" s="4" t="s">
        <v>362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134</v>
      </c>
      <c r="J76" t="s">
        <v>135</v>
      </c>
      <c r="K76" t="s">
        <v>42</v>
      </c>
      <c r="L76" t="s">
        <v>136</v>
      </c>
      <c r="M76" t="s">
        <v>137</v>
      </c>
      <c r="N76" t="s">
        <v>45</v>
      </c>
      <c r="O76" t="s">
        <v>46</v>
      </c>
      <c r="P76" t="s">
        <v>47</v>
      </c>
      <c r="Q76" t="s">
        <v>138</v>
      </c>
      <c r="R76" t="s">
        <v>138</v>
      </c>
      <c r="S76" t="s">
        <v>138</v>
      </c>
      <c r="T76" t="s">
        <v>49</v>
      </c>
      <c r="U76" s="4" t="s">
        <v>139</v>
      </c>
      <c r="V76" t="s">
        <v>79</v>
      </c>
      <c r="W76" s="4" t="s">
        <v>140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25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363</v>
      </c>
      <c r="M77" t="s">
        <v>364</v>
      </c>
      <c r="N77" t="s">
        <v>45</v>
      </c>
      <c r="O77" t="s">
        <v>46</v>
      </c>
      <c r="P77" t="s">
        <v>47</v>
      </c>
      <c r="Q77" t="s">
        <v>48</v>
      </c>
      <c r="R77" t="s">
        <v>48</v>
      </c>
      <c r="S77" t="s">
        <v>48</v>
      </c>
      <c r="T77" t="s">
        <v>49</v>
      </c>
      <c r="U77" s="4" t="s">
        <v>365</v>
      </c>
      <c r="V77" t="s">
        <v>51</v>
      </c>
      <c r="W77" s="4" t="s">
        <v>366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367</v>
      </c>
      <c r="M78" t="s">
        <v>368</v>
      </c>
      <c r="N78" t="s">
        <v>45</v>
      </c>
      <c r="O78" t="s">
        <v>46</v>
      </c>
      <c r="P78" t="s">
        <v>47</v>
      </c>
      <c r="Q78" t="s">
        <v>48</v>
      </c>
      <c r="R78" t="s">
        <v>48</v>
      </c>
      <c r="S78" t="s">
        <v>48</v>
      </c>
      <c r="T78" t="s">
        <v>49</v>
      </c>
      <c r="U78" s="4" t="s">
        <v>369</v>
      </c>
      <c r="V78" t="s">
        <v>51</v>
      </c>
      <c r="W78" s="4" t="s">
        <v>370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371</v>
      </c>
      <c r="M79" t="s">
        <v>372</v>
      </c>
      <c r="N79" t="s">
        <v>45</v>
      </c>
      <c r="O79" t="s">
        <v>46</v>
      </c>
      <c r="P79" t="s">
        <v>47</v>
      </c>
      <c r="Q79" t="s">
        <v>126</v>
      </c>
      <c r="R79" t="s">
        <v>126</v>
      </c>
      <c r="S79" t="s">
        <v>126</v>
      </c>
      <c r="T79" t="s">
        <v>49</v>
      </c>
      <c r="U79" s="4" t="s">
        <v>373</v>
      </c>
      <c r="V79" t="s">
        <v>74</v>
      </c>
      <c r="W79" s="4" t="s">
        <v>374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207E-0C8B-4515-A2F3-F0DA6BCB36F7}">
  <dimension ref="A1:AH77"/>
  <sheetViews>
    <sheetView tabSelected="1" topLeftCell="A10" workbookViewId="0">
      <selection activeCell="J29" sqref="J29"/>
    </sheetView>
  </sheetViews>
  <sheetFormatPr defaultRowHeight="15" x14ac:dyDescent="0.25"/>
  <cols>
    <col min="1" max="1" width="24.28515625" bestFit="1" customWidth="1"/>
    <col min="2" max="2" width="16.85546875" customWidth="1"/>
    <col min="3" max="3" width="14.140625" bestFit="1" customWidth="1"/>
    <col min="4" max="4" width="17.5703125" bestFit="1" customWidth="1"/>
    <col min="5" max="5" width="17.5703125" customWidth="1"/>
    <col min="6" max="6" width="8.5703125" bestFit="1" customWidth="1"/>
    <col min="7" max="7" width="14.7109375" bestFit="1" customWidth="1"/>
    <col min="8" max="8" width="12.7109375" bestFit="1" customWidth="1"/>
    <col min="9" max="10" width="11.42578125" bestFit="1" customWidth="1"/>
    <col min="11" max="11" width="11.42578125" customWidth="1"/>
    <col min="12" max="12" width="9.28515625" bestFit="1" customWidth="1"/>
    <col min="13" max="13" width="7.140625" bestFit="1" customWidth="1"/>
    <col min="14" max="14" width="8.28515625" bestFit="1" customWidth="1"/>
    <col min="15" max="15" width="41.5703125" bestFit="1" customWidth="1"/>
  </cols>
  <sheetData>
    <row r="1" spans="1:34" x14ac:dyDescent="0.25">
      <c r="A1" s="1" t="s">
        <v>6</v>
      </c>
      <c r="B1" s="1"/>
      <c r="C1" s="1" t="s">
        <v>9</v>
      </c>
      <c r="D1" s="1" t="s">
        <v>10</v>
      </c>
      <c r="E1" s="1"/>
      <c r="F1" s="1" t="s">
        <v>11</v>
      </c>
      <c r="G1" s="1" t="s">
        <v>31</v>
      </c>
      <c r="H1" s="1" t="s">
        <v>12</v>
      </c>
      <c r="I1" s="1" t="s">
        <v>13</v>
      </c>
      <c r="J1" s="1" t="s">
        <v>14</v>
      </c>
      <c r="K1" s="1"/>
      <c r="L1" s="1" t="s">
        <v>17</v>
      </c>
      <c r="M1" s="1" t="s">
        <v>18</v>
      </c>
      <c r="N1" s="1" t="s">
        <v>19</v>
      </c>
    </row>
    <row r="2" spans="1:34" x14ac:dyDescent="0.25">
      <c r="A2" s="9" t="s">
        <v>135</v>
      </c>
      <c r="B2" s="14" t="s">
        <v>457</v>
      </c>
      <c r="C2" s="10">
        <v>6260114482</v>
      </c>
      <c r="D2" s="9" t="s">
        <v>137</v>
      </c>
      <c r="E2" s="9" t="s">
        <v>391</v>
      </c>
      <c r="F2" s="9" t="s">
        <v>45</v>
      </c>
      <c r="G2" s="9" t="s">
        <v>46</v>
      </c>
      <c r="H2" s="9" t="s">
        <v>47</v>
      </c>
      <c r="I2" s="11">
        <v>46153</v>
      </c>
      <c r="J2" s="11">
        <v>46184</v>
      </c>
      <c r="K2" s="11">
        <v>46184</v>
      </c>
      <c r="L2" s="12">
        <v>218.11</v>
      </c>
      <c r="M2" s="12">
        <v>0.9</v>
      </c>
      <c r="N2" s="12">
        <v>196.3</v>
      </c>
      <c r="O2" s="9" t="s">
        <v>447</v>
      </c>
      <c r="P2" s="9" t="s">
        <v>458</v>
      </c>
      <c r="Q2" s="9" t="s">
        <v>449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x14ac:dyDescent="0.25">
      <c r="A3" s="9" t="s">
        <v>135</v>
      </c>
      <c r="B3" s="14" t="s">
        <v>457</v>
      </c>
      <c r="C3" s="10">
        <v>6260114482</v>
      </c>
      <c r="D3" s="9" t="s">
        <v>137</v>
      </c>
      <c r="E3" s="9" t="s">
        <v>391</v>
      </c>
      <c r="F3" s="9" t="s">
        <v>45</v>
      </c>
      <c r="G3" s="9" t="s">
        <v>46</v>
      </c>
      <c r="H3" s="9" t="s">
        <v>47</v>
      </c>
      <c r="I3" s="11">
        <v>46153</v>
      </c>
      <c r="J3" s="11">
        <v>46184</v>
      </c>
      <c r="K3" s="11">
        <v>46184</v>
      </c>
      <c r="L3" s="12">
        <v>218.11</v>
      </c>
      <c r="M3" s="12">
        <v>0.9</v>
      </c>
      <c r="N3" s="12">
        <v>196.3</v>
      </c>
      <c r="O3" s="9" t="s">
        <v>447</v>
      </c>
      <c r="P3" s="9" t="s">
        <v>458</v>
      </c>
      <c r="Q3" s="9" t="s">
        <v>449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x14ac:dyDescent="0.25">
      <c r="A4" t="s">
        <v>164</v>
      </c>
      <c r="B4" s="13">
        <v>17425766</v>
      </c>
      <c r="C4" s="7">
        <v>7250064114</v>
      </c>
      <c r="D4" t="s">
        <v>166</v>
      </c>
      <c r="E4" t="s">
        <v>397</v>
      </c>
      <c r="F4" t="s">
        <v>45</v>
      </c>
      <c r="G4" t="s">
        <v>46</v>
      </c>
      <c r="H4" t="s">
        <v>47</v>
      </c>
      <c r="I4" s="8">
        <v>45770</v>
      </c>
      <c r="J4" s="8">
        <v>46196</v>
      </c>
      <c r="K4" s="8">
        <f>DATE(YEAR(J4), MONTH(J4) +1, DAY(J4))</f>
        <v>46226</v>
      </c>
      <c r="L4" s="6">
        <v>160.93</v>
      </c>
      <c r="M4" s="6">
        <v>2.75E-2</v>
      </c>
      <c r="N4" s="6">
        <v>4.43</v>
      </c>
      <c r="O4" t="s">
        <v>448</v>
      </c>
      <c r="P4" t="s">
        <v>459</v>
      </c>
      <c r="Q4" t="s">
        <v>450</v>
      </c>
    </row>
    <row r="5" spans="1:34" x14ac:dyDescent="0.25">
      <c r="A5" t="s">
        <v>41</v>
      </c>
      <c r="B5" s="13">
        <v>7470776</v>
      </c>
      <c r="C5" s="7">
        <v>7240118756</v>
      </c>
      <c r="D5" t="s">
        <v>190</v>
      </c>
      <c r="E5" t="s">
        <v>401</v>
      </c>
      <c r="F5" t="s">
        <v>45</v>
      </c>
      <c r="G5" t="s">
        <v>46</v>
      </c>
      <c r="H5" t="s">
        <v>47</v>
      </c>
      <c r="I5" s="8">
        <v>45651</v>
      </c>
      <c r="J5" s="8">
        <v>46198</v>
      </c>
      <c r="K5" s="8">
        <f>DATE(YEAR(J5), MONTH(J5) +1, DAY(J5))</f>
        <v>46228</v>
      </c>
      <c r="L5" s="6">
        <v>107.51</v>
      </c>
      <c r="M5" s="6">
        <v>2.75E-2</v>
      </c>
      <c r="N5" s="6">
        <v>2.96</v>
      </c>
      <c r="O5" t="s">
        <v>448</v>
      </c>
      <c r="P5" t="s">
        <v>459</v>
      </c>
      <c r="Q5" t="s">
        <v>450</v>
      </c>
    </row>
    <row r="6" spans="1:34" x14ac:dyDescent="0.25">
      <c r="A6" t="s">
        <v>41</v>
      </c>
      <c r="B6" s="13">
        <v>7470776</v>
      </c>
      <c r="C6" s="7">
        <v>7240119755</v>
      </c>
      <c r="D6" t="s">
        <v>71</v>
      </c>
      <c r="E6" t="s">
        <v>379</v>
      </c>
      <c r="F6" t="s">
        <v>45</v>
      </c>
      <c r="G6" t="s">
        <v>46</v>
      </c>
      <c r="H6" t="s">
        <v>47</v>
      </c>
      <c r="I6" s="8">
        <v>45651</v>
      </c>
      <c r="J6" s="8">
        <v>46198</v>
      </c>
      <c r="K6" s="8">
        <f>DATE(YEAR(J6), MONTH(J6) +1, DAY(J6))</f>
        <v>46228</v>
      </c>
      <c r="L6" s="6">
        <v>98.56</v>
      </c>
      <c r="M6" s="6">
        <v>0.06</v>
      </c>
      <c r="N6" s="6">
        <v>5.91</v>
      </c>
      <c r="O6" t="s">
        <v>446</v>
      </c>
      <c r="P6" t="s">
        <v>459</v>
      </c>
      <c r="Q6" t="s">
        <v>450</v>
      </c>
    </row>
    <row r="7" spans="1:34" x14ac:dyDescent="0.25">
      <c r="A7" t="s">
        <v>41</v>
      </c>
      <c r="B7" s="13" t="s">
        <v>452</v>
      </c>
      <c r="C7" s="7">
        <v>7250097410</v>
      </c>
      <c r="D7" t="s">
        <v>125</v>
      </c>
      <c r="E7" t="s">
        <v>389</v>
      </c>
      <c r="F7" t="s">
        <v>45</v>
      </c>
      <c r="G7" t="s">
        <v>46</v>
      </c>
      <c r="H7" t="s">
        <v>47</v>
      </c>
      <c r="I7" s="8">
        <v>45834</v>
      </c>
      <c r="J7" s="8">
        <v>46199</v>
      </c>
      <c r="K7" s="8">
        <f>DATE(YEAR(J7), MONTH(J7) +1, DAY(J7))</f>
        <v>46229</v>
      </c>
      <c r="L7" s="6">
        <v>102</v>
      </c>
      <c r="M7" s="6">
        <v>0.06</v>
      </c>
      <c r="N7" s="6">
        <v>6.12</v>
      </c>
      <c r="O7" t="s">
        <v>446</v>
      </c>
      <c r="P7" t="s">
        <v>459</v>
      </c>
      <c r="Q7" t="s">
        <v>450</v>
      </c>
    </row>
    <row r="8" spans="1:34" x14ac:dyDescent="0.25">
      <c r="A8" t="s">
        <v>41</v>
      </c>
      <c r="B8" s="13" t="s">
        <v>452</v>
      </c>
      <c r="C8" s="7">
        <v>7250104789</v>
      </c>
      <c r="D8" t="s">
        <v>160</v>
      </c>
      <c r="E8" t="s">
        <v>396</v>
      </c>
      <c r="F8" t="s">
        <v>45</v>
      </c>
      <c r="G8" t="s">
        <v>46</v>
      </c>
      <c r="H8" t="s">
        <v>47</v>
      </c>
      <c r="I8" s="8">
        <v>45834</v>
      </c>
      <c r="J8" s="8">
        <v>46199</v>
      </c>
      <c r="K8" s="8">
        <f>DATE(YEAR(J8), MONTH(J8) +1, DAY(J8))</f>
        <v>46229</v>
      </c>
      <c r="L8" s="6">
        <v>99.86</v>
      </c>
      <c r="M8" s="6">
        <v>0.06</v>
      </c>
      <c r="N8" s="6">
        <v>5.99</v>
      </c>
      <c r="O8" t="s">
        <v>446</v>
      </c>
      <c r="P8" t="s">
        <v>459</v>
      </c>
      <c r="Q8" t="s">
        <v>450</v>
      </c>
    </row>
    <row r="9" spans="1:34" x14ac:dyDescent="0.25">
      <c r="A9" t="s">
        <v>41</v>
      </c>
      <c r="B9" s="13">
        <v>7470776</v>
      </c>
      <c r="C9" s="7">
        <v>7240119193</v>
      </c>
      <c r="D9" t="s">
        <v>179</v>
      </c>
      <c r="E9" t="s">
        <v>399</v>
      </c>
      <c r="F9" t="s">
        <v>45</v>
      </c>
      <c r="G9" t="s">
        <v>46</v>
      </c>
      <c r="H9" t="s">
        <v>47</v>
      </c>
      <c r="I9" s="8">
        <v>45651</v>
      </c>
      <c r="J9" s="8">
        <v>46198</v>
      </c>
      <c r="K9" s="8">
        <f>DATE(YEAR(J9), MONTH(J9) +1, DAY(J9))</f>
        <v>46228</v>
      </c>
      <c r="L9" s="6">
        <v>68.61</v>
      </c>
      <c r="M9" s="6">
        <v>0.06</v>
      </c>
      <c r="N9" s="6">
        <v>4.12</v>
      </c>
      <c r="O9" t="s">
        <v>446</v>
      </c>
      <c r="P9" t="s">
        <v>459</v>
      </c>
      <c r="Q9" t="s">
        <v>450</v>
      </c>
    </row>
    <row r="10" spans="1:34" x14ac:dyDescent="0.25">
      <c r="A10" t="s">
        <v>41</v>
      </c>
      <c r="B10" s="13" t="s">
        <v>452</v>
      </c>
      <c r="C10" s="7">
        <v>7250096963</v>
      </c>
      <c r="D10" t="s">
        <v>206</v>
      </c>
      <c r="E10" t="s">
        <v>405</v>
      </c>
      <c r="F10" t="s">
        <v>45</v>
      </c>
      <c r="G10" t="s">
        <v>46</v>
      </c>
      <c r="H10" t="s">
        <v>47</v>
      </c>
      <c r="I10" s="8">
        <v>45834</v>
      </c>
      <c r="J10" s="8">
        <v>46199</v>
      </c>
      <c r="K10" s="8">
        <f>DATE(YEAR(J10), MONTH(J10) +1, DAY(J10))</f>
        <v>46229</v>
      </c>
      <c r="L10" s="6">
        <v>102</v>
      </c>
      <c r="M10" s="6">
        <v>0.06</v>
      </c>
      <c r="N10" s="6">
        <v>6.12</v>
      </c>
      <c r="O10" t="s">
        <v>446</v>
      </c>
      <c r="P10" t="s">
        <v>459</v>
      </c>
      <c r="Q10" t="s">
        <v>450</v>
      </c>
    </row>
    <row r="11" spans="1:34" x14ac:dyDescent="0.25">
      <c r="A11" t="s">
        <v>41</v>
      </c>
      <c r="B11" s="13" t="s">
        <v>452</v>
      </c>
      <c r="C11" s="7">
        <v>7250094626</v>
      </c>
      <c r="D11" t="s">
        <v>225</v>
      </c>
      <c r="E11" t="s">
        <v>410</v>
      </c>
      <c r="F11" t="s">
        <v>45</v>
      </c>
      <c r="G11" t="s">
        <v>46</v>
      </c>
      <c r="H11" t="s">
        <v>47</v>
      </c>
      <c r="I11" s="8">
        <v>45834</v>
      </c>
      <c r="J11" s="8">
        <v>46199</v>
      </c>
      <c r="K11" s="8">
        <f>DATE(YEAR(J11), MONTH(J11) +1, DAY(J11))</f>
        <v>46229</v>
      </c>
      <c r="L11" s="6">
        <v>95</v>
      </c>
      <c r="M11" s="6">
        <v>0.06</v>
      </c>
      <c r="N11" s="6">
        <v>5.7</v>
      </c>
      <c r="O11" t="s">
        <v>446</v>
      </c>
      <c r="P11" t="s">
        <v>459</v>
      </c>
      <c r="Q11" t="s">
        <v>450</v>
      </c>
    </row>
    <row r="12" spans="1:34" x14ac:dyDescent="0.25">
      <c r="A12" t="s">
        <v>41</v>
      </c>
      <c r="B12" s="13">
        <v>7470776</v>
      </c>
      <c r="C12" s="7">
        <v>7240119703</v>
      </c>
      <c r="D12" t="s">
        <v>71</v>
      </c>
      <c r="E12" t="s">
        <v>411</v>
      </c>
      <c r="F12" t="s">
        <v>45</v>
      </c>
      <c r="G12" t="s">
        <v>46</v>
      </c>
      <c r="H12" t="s">
        <v>47</v>
      </c>
      <c r="I12" s="8">
        <v>45651</v>
      </c>
      <c r="J12" s="8">
        <v>46198</v>
      </c>
      <c r="K12" s="8">
        <f>DATE(YEAR(J12), MONTH(J12) +1, DAY(J12))</f>
        <v>46228</v>
      </c>
      <c r="L12" s="6">
        <v>102.68</v>
      </c>
      <c r="M12" s="6">
        <v>0.06</v>
      </c>
      <c r="N12" s="6">
        <v>6.16</v>
      </c>
      <c r="O12" t="s">
        <v>446</v>
      </c>
      <c r="P12" t="s">
        <v>459</v>
      </c>
      <c r="Q12" t="s">
        <v>450</v>
      </c>
    </row>
    <row r="13" spans="1:34" x14ac:dyDescent="0.25">
      <c r="A13" t="s">
        <v>41</v>
      </c>
      <c r="B13" s="13" t="s">
        <v>452</v>
      </c>
      <c r="C13" s="7">
        <v>7250097140</v>
      </c>
      <c r="D13" t="s">
        <v>206</v>
      </c>
      <c r="E13" t="s">
        <v>414</v>
      </c>
      <c r="F13" t="s">
        <v>45</v>
      </c>
      <c r="G13" t="s">
        <v>46</v>
      </c>
      <c r="H13" t="s">
        <v>47</v>
      </c>
      <c r="I13" s="8">
        <v>45834</v>
      </c>
      <c r="J13" s="8">
        <v>46199</v>
      </c>
      <c r="K13" s="8">
        <f>DATE(YEAR(J13), MONTH(J13) +1, DAY(J13))</f>
        <v>46229</v>
      </c>
      <c r="L13" s="6">
        <v>98</v>
      </c>
      <c r="M13" s="6">
        <v>0.06</v>
      </c>
      <c r="N13" s="6">
        <v>5.88</v>
      </c>
      <c r="O13" t="s">
        <v>446</v>
      </c>
      <c r="P13" t="s">
        <v>459</v>
      </c>
      <c r="Q13" t="s">
        <v>450</v>
      </c>
    </row>
    <row r="14" spans="1:34" x14ac:dyDescent="0.25">
      <c r="A14" t="s">
        <v>41</v>
      </c>
      <c r="B14" s="13" t="s">
        <v>452</v>
      </c>
      <c r="C14" s="7">
        <v>7250110087</v>
      </c>
      <c r="D14" t="s">
        <v>298</v>
      </c>
      <c r="E14" t="s">
        <v>426</v>
      </c>
      <c r="F14" t="s">
        <v>45</v>
      </c>
      <c r="G14" t="s">
        <v>46</v>
      </c>
      <c r="H14" t="s">
        <v>47</v>
      </c>
      <c r="I14" s="8">
        <v>45834</v>
      </c>
      <c r="J14" s="8">
        <v>46199</v>
      </c>
      <c r="K14" s="8">
        <f>DATE(YEAR(J14), MONTH(J14) +1, DAY(J14))</f>
        <v>46229</v>
      </c>
      <c r="L14" s="6">
        <v>72.680000000000007</v>
      </c>
      <c r="M14" s="6">
        <v>0.06</v>
      </c>
      <c r="N14" s="6">
        <v>4.3600000000000003</v>
      </c>
      <c r="O14" t="s">
        <v>446</v>
      </c>
      <c r="P14" t="s">
        <v>459</v>
      </c>
      <c r="Q14" t="s">
        <v>450</v>
      </c>
    </row>
    <row r="15" spans="1:34" x14ac:dyDescent="0.25">
      <c r="A15" t="s">
        <v>41</v>
      </c>
      <c r="B15" s="13" t="s">
        <v>452</v>
      </c>
      <c r="C15" s="7">
        <v>7250102505</v>
      </c>
      <c r="D15" t="s">
        <v>372</v>
      </c>
      <c r="E15" t="s">
        <v>445</v>
      </c>
      <c r="F15" t="s">
        <v>45</v>
      </c>
      <c r="G15" t="s">
        <v>46</v>
      </c>
      <c r="H15" t="s">
        <v>47</v>
      </c>
      <c r="I15" s="8">
        <v>45834</v>
      </c>
      <c r="J15" s="8">
        <v>46199</v>
      </c>
      <c r="K15" s="8">
        <f>DATE(YEAR(J15), MONTH(J15) +1, DAY(J15))</f>
        <v>46229</v>
      </c>
      <c r="L15" s="6">
        <v>93.78</v>
      </c>
      <c r="M15" s="6">
        <v>0.06</v>
      </c>
      <c r="N15" s="6">
        <v>5.63</v>
      </c>
      <c r="O15" t="s">
        <v>446</v>
      </c>
      <c r="P15" t="s">
        <v>459</v>
      </c>
      <c r="Q15" t="s">
        <v>450</v>
      </c>
    </row>
    <row r="16" spans="1:34" x14ac:dyDescent="0.25">
      <c r="A16" t="s">
        <v>41</v>
      </c>
      <c r="B16" s="13" t="s">
        <v>452</v>
      </c>
      <c r="C16" s="7">
        <v>6250209322</v>
      </c>
      <c r="D16" t="s">
        <v>77</v>
      </c>
      <c r="E16" t="s">
        <v>380</v>
      </c>
      <c r="F16" t="s">
        <v>45</v>
      </c>
      <c r="G16" t="s">
        <v>46</v>
      </c>
      <c r="H16" t="s">
        <v>47</v>
      </c>
      <c r="I16" s="8">
        <v>46016</v>
      </c>
      <c r="J16" s="8">
        <v>46198</v>
      </c>
      <c r="K16" s="8">
        <f>DATE(YEAR(J16), MONTH(J16) +1, DAY(J16))</f>
        <v>46228</v>
      </c>
      <c r="L16" s="6">
        <v>104.45</v>
      </c>
      <c r="M16" s="6">
        <v>0.9</v>
      </c>
      <c r="N16" s="6">
        <v>94.01</v>
      </c>
      <c r="O16" t="s">
        <v>447</v>
      </c>
      <c r="P16" t="s">
        <v>459</v>
      </c>
      <c r="Q16" t="s">
        <v>449</v>
      </c>
    </row>
    <row r="17" spans="1:34" x14ac:dyDescent="0.25">
      <c r="A17" t="s">
        <v>102</v>
      </c>
      <c r="B17" s="13">
        <v>9079571</v>
      </c>
      <c r="C17" s="7">
        <v>6250206068</v>
      </c>
      <c r="D17" t="s">
        <v>104</v>
      </c>
      <c r="E17" t="s">
        <v>385</v>
      </c>
      <c r="F17" t="s">
        <v>45</v>
      </c>
      <c r="G17" t="s">
        <v>46</v>
      </c>
      <c r="H17" t="s">
        <v>47</v>
      </c>
      <c r="I17" s="8">
        <v>45987</v>
      </c>
      <c r="J17" s="8">
        <v>46199</v>
      </c>
      <c r="K17" s="8">
        <f>DATE(YEAR(J17), MONTH(J17) +1, DAY(J17))</f>
        <v>46229</v>
      </c>
      <c r="L17" s="6">
        <v>76.010000000000005</v>
      </c>
      <c r="M17" s="6">
        <v>0.9</v>
      </c>
      <c r="N17" s="6">
        <v>68.41</v>
      </c>
      <c r="O17" t="s">
        <v>447</v>
      </c>
      <c r="P17" t="s">
        <v>459</v>
      </c>
      <c r="Q17" t="s">
        <v>450</v>
      </c>
    </row>
    <row r="18" spans="1:34" s="9" customFormat="1" x14ac:dyDescent="0.25">
      <c r="A18" t="s">
        <v>118</v>
      </c>
      <c r="B18" s="13" t="s">
        <v>454</v>
      </c>
      <c r="C18" s="7">
        <v>6250134171</v>
      </c>
      <c r="D18" t="s">
        <v>120</v>
      </c>
      <c r="E18" t="s">
        <v>388</v>
      </c>
      <c r="F18" t="s">
        <v>45</v>
      </c>
      <c r="G18" t="s">
        <v>46</v>
      </c>
      <c r="H18" t="s">
        <v>47</v>
      </c>
      <c r="I18" s="8">
        <v>45897</v>
      </c>
      <c r="J18" s="8">
        <v>46201</v>
      </c>
      <c r="K18" s="8">
        <f>DATE(YEAR(J18), MONTH(J18) +1, DAY(J18))</f>
        <v>46231</v>
      </c>
      <c r="L18" s="6">
        <v>78.58</v>
      </c>
      <c r="M18" s="6">
        <v>0.9</v>
      </c>
      <c r="N18" s="6">
        <v>70.72</v>
      </c>
      <c r="O18" t="s">
        <v>447</v>
      </c>
      <c r="P18" t="s">
        <v>459</v>
      </c>
      <c r="Q18" t="s">
        <v>451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x14ac:dyDescent="0.25">
      <c r="A19" t="s">
        <v>183</v>
      </c>
      <c r="B19" s="13" t="s">
        <v>456</v>
      </c>
      <c r="C19" s="7">
        <v>6260096793</v>
      </c>
      <c r="D19" t="s">
        <v>185</v>
      </c>
      <c r="E19" t="s">
        <v>400</v>
      </c>
      <c r="F19" t="s">
        <v>45</v>
      </c>
      <c r="G19" t="s">
        <v>46</v>
      </c>
      <c r="H19" t="s">
        <v>47</v>
      </c>
      <c r="I19" s="8">
        <v>46135</v>
      </c>
      <c r="J19" s="8">
        <v>46196</v>
      </c>
      <c r="K19" s="8">
        <f>DATE(YEAR(J19), MONTH(J19) +1, DAY(J19))</f>
        <v>46226</v>
      </c>
      <c r="L19" s="6">
        <v>25.38</v>
      </c>
      <c r="M19" s="6">
        <v>0.9</v>
      </c>
      <c r="N19" s="6">
        <v>22.84</v>
      </c>
      <c r="O19" t="s">
        <v>447</v>
      </c>
      <c r="P19" t="s">
        <v>459</v>
      </c>
      <c r="Q19" t="s">
        <v>449</v>
      </c>
    </row>
    <row r="20" spans="1:34" x14ac:dyDescent="0.25">
      <c r="A20" t="s">
        <v>183</v>
      </c>
      <c r="B20" s="13" t="s">
        <v>456</v>
      </c>
      <c r="C20" s="7">
        <v>6260038224</v>
      </c>
      <c r="D20" t="s">
        <v>146</v>
      </c>
      <c r="E20" t="s">
        <v>404</v>
      </c>
      <c r="F20" t="s">
        <v>45</v>
      </c>
      <c r="G20" t="s">
        <v>46</v>
      </c>
      <c r="H20" t="s">
        <v>47</v>
      </c>
      <c r="I20" s="8">
        <v>46072</v>
      </c>
      <c r="J20" s="8">
        <v>46192</v>
      </c>
      <c r="K20" s="8">
        <f>DATE(YEAR(J20), MONTH(J20) +1, DAY(J20))</f>
        <v>46222</v>
      </c>
      <c r="L20" s="6">
        <v>29.7</v>
      </c>
      <c r="M20" s="6">
        <v>0.9</v>
      </c>
      <c r="N20" s="6">
        <v>26.73</v>
      </c>
      <c r="O20" t="s">
        <v>447</v>
      </c>
      <c r="P20" t="s">
        <v>459</v>
      </c>
      <c r="Q20" t="s">
        <v>450</v>
      </c>
    </row>
    <row r="21" spans="1:34" x14ac:dyDescent="0.25">
      <c r="A21" t="s">
        <v>41</v>
      </c>
      <c r="B21" s="13" t="s">
        <v>452</v>
      </c>
      <c r="C21" s="7">
        <v>6250207263</v>
      </c>
      <c r="D21" t="s">
        <v>232</v>
      </c>
      <c r="E21" t="s">
        <v>412</v>
      </c>
      <c r="F21" t="s">
        <v>45</v>
      </c>
      <c r="G21" t="s">
        <v>46</v>
      </c>
      <c r="H21" t="s">
        <v>47</v>
      </c>
      <c r="I21" s="8">
        <v>46016</v>
      </c>
      <c r="J21" s="8">
        <v>46198</v>
      </c>
      <c r="K21" s="8">
        <f>DATE(YEAR(J21), MONTH(J21) +1, DAY(J21))</f>
        <v>46228</v>
      </c>
      <c r="L21" s="6">
        <v>101.41</v>
      </c>
      <c r="M21" s="6">
        <v>0.9</v>
      </c>
      <c r="N21" s="6">
        <v>91.27</v>
      </c>
      <c r="O21" t="s">
        <v>447</v>
      </c>
      <c r="P21" t="s">
        <v>459</v>
      </c>
      <c r="Q21" t="s">
        <v>449</v>
      </c>
    </row>
    <row r="22" spans="1:34" x14ac:dyDescent="0.25">
      <c r="A22" t="s">
        <v>41</v>
      </c>
      <c r="B22" s="13" t="s">
        <v>452</v>
      </c>
      <c r="C22" s="7">
        <v>6250206876</v>
      </c>
      <c r="D22" t="s">
        <v>250</v>
      </c>
      <c r="E22" t="s">
        <v>416</v>
      </c>
      <c r="F22" t="s">
        <v>45</v>
      </c>
      <c r="G22" t="s">
        <v>46</v>
      </c>
      <c r="H22" t="s">
        <v>47</v>
      </c>
      <c r="I22" s="8">
        <v>46016</v>
      </c>
      <c r="J22" s="8">
        <v>46198</v>
      </c>
      <c r="K22" s="8">
        <f>DATE(YEAR(J22), MONTH(J22) +1, DAY(J22))</f>
        <v>46228</v>
      </c>
      <c r="L22" s="6">
        <v>140.07</v>
      </c>
      <c r="M22" s="6">
        <v>0.9</v>
      </c>
      <c r="N22" s="6">
        <v>126.06</v>
      </c>
      <c r="O22" t="s">
        <v>447</v>
      </c>
      <c r="P22" t="s">
        <v>459</v>
      </c>
      <c r="Q22" t="s">
        <v>449</v>
      </c>
    </row>
    <row r="23" spans="1:34" x14ac:dyDescent="0.25">
      <c r="A23" t="s">
        <v>271</v>
      </c>
      <c r="B23" s="13">
        <v>8977234</v>
      </c>
      <c r="C23" s="7">
        <v>6250161714</v>
      </c>
      <c r="D23" t="s">
        <v>273</v>
      </c>
      <c r="E23" t="s">
        <v>421</v>
      </c>
      <c r="F23" t="s">
        <v>45</v>
      </c>
      <c r="G23" t="s">
        <v>46</v>
      </c>
      <c r="H23" t="s">
        <v>47</v>
      </c>
      <c r="I23" s="8">
        <v>45952</v>
      </c>
      <c r="J23" s="8">
        <v>46195</v>
      </c>
      <c r="K23" s="8">
        <f>DATE(YEAR(J23), MONTH(J23) +1, DAY(J23))</f>
        <v>46225</v>
      </c>
      <c r="L23" s="6">
        <v>127.4</v>
      </c>
      <c r="M23" s="6">
        <v>0.9</v>
      </c>
      <c r="N23" s="6">
        <v>114.66</v>
      </c>
      <c r="O23" t="s">
        <v>447</v>
      </c>
      <c r="P23" t="s">
        <v>459</v>
      </c>
      <c r="Q23" t="s">
        <v>450</v>
      </c>
    </row>
    <row r="24" spans="1:34" x14ac:dyDescent="0.25">
      <c r="A24" t="s">
        <v>41</v>
      </c>
      <c r="B24" s="13">
        <v>7470776</v>
      </c>
      <c r="C24" s="7">
        <v>7250210310</v>
      </c>
      <c r="D24" t="s">
        <v>146</v>
      </c>
      <c r="E24" t="s">
        <v>393</v>
      </c>
      <c r="F24" t="s">
        <v>45</v>
      </c>
      <c r="G24" t="s">
        <v>46</v>
      </c>
      <c r="H24" t="s">
        <v>47</v>
      </c>
      <c r="I24" s="8">
        <v>45986</v>
      </c>
      <c r="J24" s="8">
        <v>46198</v>
      </c>
      <c r="K24" s="8">
        <f>DATE(YEAR(J24), MONTH(J24) +1, DAY(J24))</f>
        <v>46228</v>
      </c>
      <c r="L24" s="6">
        <v>120.06</v>
      </c>
      <c r="M24" s="6">
        <v>0.94499999999999995</v>
      </c>
      <c r="N24" s="6">
        <v>113.46</v>
      </c>
      <c r="O24" t="s">
        <v>448</v>
      </c>
      <c r="P24" t="s">
        <v>459</v>
      </c>
      <c r="Q24" t="s">
        <v>451</v>
      </c>
    </row>
    <row r="25" spans="1:34" x14ac:dyDescent="0.25">
      <c r="A25" t="s">
        <v>172</v>
      </c>
      <c r="B25" s="13" t="s">
        <v>455</v>
      </c>
      <c r="C25" s="7">
        <v>7260100791</v>
      </c>
      <c r="D25" t="s">
        <v>174</v>
      </c>
      <c r="E25" t="s">
        <v>398</v>
      </c>
      <c r="F25" t="s">
        <v>45</v>
      </c>
      <c r="G25" t="s">
        <v>46</v>
      </c>
      <c r="H25" t="s">
        <v>47</v>
      </c>
      <c r="I25" s="8">
        <v>46127</v>
      </c>
      <c r="J25" s="8">
        <v>46188</v>
      </c>
      <c r="K25" s="8">
        <f>DATE(YEAR(J25), MONTH(J25) +1, DAY(J25))</f>
        <v>46218</v>
      </c>
      <c r="L25" s="6">
        <v>75</v>
      </c>
      <c r="M25" s="6">
        <v>0.94499999999999995</v>
      </c>
      <c r="N25" s="6">
        <v>70.88</v>
      </c>
      <c r="O25" t="s">
        <v>448</v>
      </c>
      <c r="P25" t="s">
        <v>459</v>
      </c>
      <c r="Q25" t="s">
        <v>449</v>
      </c>
    </row>
    <row r="26" spans="1:34" x14ac:dyDescent="0.25">
      <c r="A26" t="s">
        <v>41</v>
      </c>
      <c r="B26" s="13" t="s">
        <v>452</v>
      </c>
      <c r="C26" s="7">
        <v>7250242858</v>
      </c>
      <c r="D26" t="s">
        <v>82</v>
      </c>
      <c r="E26" t="s">
        <v>406</v>
      </c>
      <c r="F26" t="s">
        <v>45</v>
      </c>
      <c r="G26" t="s">
        <v>46</v>
      </c>
      <c r="H26" t="s">
        <v>47</v>
      </c>
      <c r="I26" s="8">
        <v>46016</v>
      </c>
      <c r="J26" s="8">
        <v>46198</v>
      </c>
      <c r="K26" s="8">
        <f>DATE(YEAR(J26), MONTH(J26) +1, DAY(J26))</f>
        <v>46228</v>
      </c>
      <c r="L26" s="6">
        <v>104.67</v>
      </c>
      <c r="M26" s="6">
        <v>0.94499999999999995</v>
      </c>
      <c r="N26" s="6">
        <v>98.91</v>
      </c>
      <c r="O26" t="s">
        <v>448</v>
      </c>
      <c r="P26" t="s">
        <v>459</v>
      </c>
      <c r="Q26" t="s">
        <v>449</v>
      </c>
    </row>
    <row r="27" spans="1:34" x14ac:dyDescent="0.25">
      <c r="A27" t="s">
        <v>102</v>
      </c>
      <c r="B27" s="13">
        <v>9079571</v>
      </c>
      <c r="C27" s="7">
        <v>7250182035</v>
      </c>
      <c r="D27" t="s">
        <v>257</v>
      </c>
      <c r="E27" t="s">
        <v>418</v>
      </c>
      <c r="F27" t="s">
        <v>45</v>
      </c>
      <c r="G27" t="s">
        <v>46</v>
      </c>
      <c r="H27" t="s">
        <v>47</v>
      </c>
      <c r="I27" s="8">
        <v>45923</v>
      </c>
      <c r="J27" s="8">
        <v>46196</v>
      </c>
      <c r="K27" s="8">
        <f>DATE(YEAR(J27), MONTH(J27) +1, DAY(J27))</f>
        <v>46226</v>
      </c>
      <c r="L27" s="6">
        <v>111.01</v>
      </c>
      <c r="M27" s="6">
        <v>0.94499999999999995</v>
      </c>
      <c r="N27" s="6">
        <v>104.9</v>
      </c>
      <c r="O27" t="s">
        <v>448</v>
      </c>
      <c r="P27" t="s">
        <v>459</v>
      </c>
      <c r="Q27" t="s">
        <v>450</v>
      </c>
    </row>
    <row r="28" spans="1:34" x14ac:dyDescent="0.25">
      <c r="A28" t="s">
        <v>41</v>
      </c>
      <c r="B28" s="13" t="s">
        <v>452</v>
      </c>
      <c r="C28" s="7">
        <v>7250247728</v>
      </c>
      <c r="D28" t="s">
        <v>282</v>
      </c>
      <c r="E28" t="s">
        <v>423</v>
      </c>
      <c r="F28" t="s">
        <v>45</v>
      </c>
      <c r="G28" t="s">
        <v>46</v>
      </c>
      <c r="H28" t="s">
        <v>47</v>
      </c>
      <c r="I28" s="8">
        <v>46016</v>
      </c>
      <c r="J28" s="8">
        <v>46198</v>
      </c>
      <c r="K28" s="8">
        <f>DATE(YEAR(J28), MONTH(J28) +1, DAY(J28))</f>
        <v>46228</v>
      </c>
      <c r="L28" s="6">
        <v>109</v>
      </c>
      <c r="M28" s="6">
        <v>0.94499999999999995</v>
      </c>
      <c r="N28" s="6">
        <v>103.01</v>
      </c>
      <c r="O28" t="s">
        <v>448</v>
      </c>
      <c r="P28" t="s">
        <v>459</v>
      </c>
      <c r="Q28" t="s">
        <v>449</v>
      </c>
    </row>
    <row r="29" spans="1:34" x14ac:dyDescent="0.25">
      <c r="A29" t="s">
        <v>41</v>
      </c>
      <c r="B29" s="13" t="s">
        <v>452</v>
      </c>
      <c r="C29" s="7">
        <v>7250241973</v>
      </c>
      <c r="D29" t="s">
        <v>330</v>
      </c>
      <c r="E29" t="s">
        <v>435</v>
      </c>
      <c r="F29" t="s">
        <v>45</v>
      </c>
      <c r="G29" t="s">
        <v>46</v>
      </c>
      <c r="H29" t="s">
        <v>47</v>
      </c>
      <c r="I29" s="8">
        <v>46016</v>
      </c>
      <c r="J29" s="8">
        <v>46198</v>
      </c>
      <c r="K29" s="8">
        <f>DATE(YEAR(J29), MONTH(J29) +1, DAY(J29))</f>
        <v>46228</v>
      </c>
      <c r="L29" s="6">
        <v>104</v>
      </c>
      <c r="M29" s="6">
        <v>0.94499999999999995</v>
      </c>
      <c r="N29" s="6">
        <v>98.28</v>
      </c>
      <c r="O29" t="s">
        <v>448</v>
      </c>
      <c r="P29" t="s">
        <v>459</v>
      </c>
      <c r="Q29" t="s">
        <v>449</v>
      </c>
    </row>
    <row r="30" spans="1:34" x14ac:dyDescent="0.25">
      <c r="A30" t="s">
        <v>41</v>
      </c>
      <c r="B30" s="13" t="s">
        <v>452</v>
      </c>
      <c r="C30" s="7">
        <v>7250244631</v>
      </c>
      <c r="D30" t="s">
        <v>333</v>
      </c>
      <c r="E30" t="s">
        <v>436</v>
      </c>
      <c r="F30" t="s">
        <v>45</v>
      </c>
      <c r="G30" t="s">
        <v>46</v>
      </c>
      <c r="H30" t="s">
        <v>47</v>
      </c>
      <c r="I30" s="8">
        <v>46016</v>
      </c>
      <c r="J30" s="8">
        <v>46198</v>
      </c>
      <c r="K30" s="8">
        <f>DATE(YEAR(J30), MONTH(J30) +1, DAY(J30))</f>
        <v>46228</v>
      </c>
      <c r="L30" s="6">
        <v>119</v>
      </c>
      <c r="M30" s="6">
        <v>0.94499999999999995</v>
      </c>
      <c r="N30" s="6">
        <v>112.46</v>
      </c>
      <c r="O30" t="s">
        <v>448</v>
      </c>
      <c r="P30" t="s">
        <v>459</v>
      </c>
      <c r="Q30" t="s">
        <v>449</v>
      </c>
    </row>
    <row r="31" spans="1:34" x14ac:dyDescent="0.25">
      <c r="A31" t="s">
        <v>337</v>
      </c>
      <c r="B31" s="13">
        <v>18754354</v>
      </c>
      <c r="C31" s="7">
        <v>6260106136</v>
      </c>
      <c r="D31" t="s">
        <v>339</v>
      </c>
      <c r="E31" t="s">
        <v>437</v>
      </c>
      <c r="F31" t="s">
        <v>45</v>
      </c>
      <c r="G31" t="s">
        <v>46</v>
      </c>
      <c r="H31" t="s">
        <v>47</v>
      </c>
      <c r="I31" s="8">
        <v>46143</v>
      </c>
      <c r="J31" s="8">
        <v>46204</v>
      </c>
      <c r="K31" s="8">
        <f>DATE(YEAR(J31), MONTH(J31) +1, DAY(J31))</f>
        <v>46235</v>
      </c>
      <c r="L31" s="6">
        <v>0</v>
      </c>
      <c r="M31" s="6">
        <v>1</v>
      </c>
      <c r="N31" s="6">
        <v>-355.69</v>
      </c>
      <c r="O31" t="s">
        <v>447</v>
      </c>
      <c r="P31" t="s">
        <v>459</v>
      </c>
      <c r="Q31" t="s">
        <v>450</v>
      </c>
    </row>
    <row r="32" spans="1:34" x14ac:dyDescent="0.25">
      <c r="A32" t="s">
        <v>41</v>
      </c>
      <c r="B32" s="13" t="s">
        <v>452</v>
      </c>
      <c r="C32" s="7">
        <v>7250242406</v>
      </c>
      <c r="D32" t="s">
        <v>44</v>
      </c>
      <c r="E32" t="s">
        <v>375</v>
      </c>
      <c r="F32" t="s">
        <v>45</v>
      </c>
      <c r="G32" t="s">
        <v>46</v>
      </c>
      <c r="H32" t="s">
        <v>47</v>
      </c>
      <c r="I32" s="8">
        <v>46016</v>
      </c>
      <c r="J32" s="8">
        <v>46198</v>
      </c>
      <c r="K32" s="8">
        <f>DATE(YEAR(J32), MONTH(J32) +1, DAY(J32))</f>
        <v>46228</v>
      </c>
      <c r="L32" s="6">
        <v>44.5</v>
      </c>
      <c r="M32" s="6">
        <v>1.37</v>
      </c>
      <c r="N32" s="6">
        <v>60.97</v>
      </c>
      <c r="O32" t="s">
        <v>446</v>
      </c>
      <c r="P32" t="s">
        <v>459</v>
      </c>
      <c r="Q32" t="s">
        <v>449</v>
      </c>
    </row>
    <row r="33" spans="1:34" x14ac:dyDescent="0.25">
      <c r="A33" t="s">
        <v>55</v>
      </c>
      <c r="B33" s="13">
        <v>16228684</v>
      </c>
      <c r="C33" s="7">
        <v>7250134006</v>
      </c>
      <c r="D33" t="s">
        <v>57</v>
      </c>
      <c r="E33" t="s">
        <v>376</v>
      </c>
      <c r="F33" t="s">
        <v>45</v>
      </c>
      <c r="G33" t="s">
        <v>46</v>
      </c>
      <c r="H33" t="s">
        <v>47</v>
      </c>
      <c r="I33" s="8">
        <v>45896</v>
      </c>
      <c r="J33" s="8">
        <v>46200</v>
      </c>
      <c r="K33" s="8">
        <f>DATE(YEAR(J33), MONTH(J33) +1, DAY(J33))</f>
        <v>46230</v>
      </c>
      <c r="L33" s="6">
        <v>8.08</v>
      </c>
      <c r="M33" s="6">
        <v>1.37</v>
      </c>
      <c r="N33" s="6">
        <v>11.07</v>
      </c>
      <c r="O33" t="s">
        <v>446</v>
      </c>
      <c r="P33" t="s">
        <v>459</v>
      </c>
      <c r="Q33" t="s">
        <v>450</v>
      </c>
    </row>
    <row r="34" spans="1:34" s="9" customFormat="1" x14ac:dyDescent="0.25">
      <c r="A34" t="s">
        <v>55</v>
      </c>
      <c r="B34" s="13">
        <v>16228684</v>
      </c>
      <c r="C34" s="7">
        <v>7250128277</v>
      </c>
      <c r="D34" t="s">
        <v>62</v>
      </c>
      <c r="E34" t="s">
        <v>377</v>
      </c>
      <c r="F34" t="s">
        <v>45</v>
      </c>
      <c r="G34" t="s">
        <v>46</v>
      </c>
      <c r="H34" t="s">
        <v>47</v>
      </c>
      <c r="I34" s="8">
        <v>45860</v>
      </c>
      <c r="J34" s="8">
        <v>46195</v>
      </c>
      <c r="K34" s="8">
        <f>DATE(YEAR(J34), MONTH(J34) +1, DAY(J34))</f>
        <v>46225</v>
      </c>
      <c r="L34" s="6">
        <v>10.1</v>
      </c>
      <c r="M34" s="6">
        <v>1.37</v>
      </c>
      <c r="N34" s="6">
        <v>13.84</v>
      </c>
      <c r="O34" t="s">
        <v>446</v>
      </c>
      <c r="P34" t="s">
        <v>459</v>
      </c>
      <c r="Q34" t="s">
        <v>450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x14ac:dyDescent="0.25">
      <c r="A35" t="s">
        <v>41</v>
      </c>
      <c r="B35" s="13" t="s">
        <v>452</v>
      </c>
      <c r="C35" s="7">
        <v>7250241499</v>
      </c>
      <c r="D35" t="s">
        <v>67</v>
      </c>
      <c r="E35" t="s">
        <v>378</v>
      </c>
      <c r="F35" t="s">
        <v>45</v>
      </c>
      <c r="G35" t="s">
        <v>46</v>
      </c>
      <c r="H35" t="s">
        <v>47</v>
      </c>
      <c r="I35" s="8">
        <v>46016</v>
      </c>
      <c r="J35" s="8">
        <v>46198</v>
      </c>
      <c r="K35" s="8">
        <f>DATE(YEAR(J35), MONTH(J35) +1, DAY(J35))</f>
        <v>46228</v>
      </c>
      <c r="L35" s="6">
        <v>102.4</v>
      </c>
      <c r="M35" s="6">
        <v>1.37</v>
      </c>
      <c r="N35" s="6">
        <v>140.29</v>
      </c>
      <c r="O35" t="s">
        <v>446</v>
      </c>
      <c r="P35" t="s">
        <v>459</v>
      </c>
      <c r="Q35" t="s">
        <v>449</v>
      </c>
    </row>
    <row r="36" spans="1:34" x14ac:dyDescent="0.25">
      <c r="A36" t="s">
        <v>41</v>
      </c>
      <c r="B36" s="13" t="s">
        <v>452</v>
      </c>
      <c r="C36" s="7">
        <v>7250242849</v>
      </c>
      <c r="D36" t="s">
        <v>82</v>
      </c>
      <c r="E36" t="s">
        <v>381</v>
      </c>
      <c r="F36" t="s">
        <v>45</v>
      </c>
      <c r="G36" t="s">
        <v>46</v>
      </c>
      <c r="H36" t="s">
        <v>47</v>
      </c>
      <c r="I36" s="8">
        <v>46016</v>
      </c>
      <c r="J36" s="8">
        <v>46198</v>
      </c>
      <c r="K36" s="8">
        <f>DATE(YEAR(J36), MONTH(J36) +1, DAY(J36))</f>
        <v>46228</v>
      </c>
      <c r="L36" s="6">
        <v>93.61</v>
      </c>
      <c r="M36" s="6">
        <v>1.37</v>
      </c>
      <c r="N36" s="6">
        <v>128.25</v>
      </c>
      <c r="O36" t="s">
        <v>446</v>
      </c>
      <c r="P36" t="s">
        <v>459</v>
      </c>
      <c r="Q36" t="s">
        <v>449</v>
      </c>
    </row>
    <row r="37" spans="1:34" x14ac:dyDescent="0.25">
      <c r="A37" t="s">
        <v>86</v>
      </c>
      <c r="B37" s="13" t="s">
        <v>453</v>
      </c>
      <c r="C37" s="7">
        <v>7250233926</v>
      </c>
      <c r="D37" t="s">
        <v>88</v>
      </c>
      <c r="E37" t="s">
        <v>382</v>
      </c>
      <c r="F37" t="s">
        <v>45</v>
      </c>
      <c r="G37" t="s">
        <v>46</v>
      </c>
      <c r="H37" t="s">
        <v>47</v>
      </c>
      <c r="I37" s="8">
        <v>45980</v>
      </c>
      <c r="J37" s="8">
        <v>46192</v>
      </c>
      <c r="K37" s="8">
        <f>DATE(YEAR(J37), MONTH(J37) +1, DAY(J37))</f>
        <v>46222</v>
      </c>
      <c r="L37" s="6">
        <v>45.75</v>
      </c>
      <c r="M37" s="6">
        <v>1.37</v>
      </c>
      <c r="N37" s="6">
        <v>62.68</v>
      </c>
      <c r="O37" t="s">
        <v>446</v>
      </c>
      <c r="P37" t="s">
        <v>459</v>
      </c>
      <c r="Q37" t="s">
        <v>449</v>
      </c>
    </row>
    <row r="38" spans="1:34" x14ac:dyDescent="0.25">
      <c r="A38" t="s">
        <v>55</v>
      </c>
      <c r="B38" s="13">
        <v>16228684</v>
      </c>
      <c r="C38" s="7">
        <v>7250131409</v>
      </c>
      <c r="D38" t="s">
        <v>93</v>
      </c>
      <c r="E38" t="s">
        <v>383</v>
      </c>
      <c r="F38" t="s">
        <v>45</v>
      </c>
      <c r="G38" t="s">
        <v>46</v>
      </c>
      <c r="H38" t="s">
        <v>47</v>
      </c>
      <c r="I38" s="8">
        <v>45888</v>
      </c>
      <c r="J38" s="8">
        <v>46192</v>
      </c>
      <c r="K38" s="8">
        <f>DATE(YEAR(J38), MONTH(J38) +1, DAY(J38))</f>
        <v>46222</v>
      </c>
      <c r="L38" s="6">
        <v>4.2300000000000004</v>
      </c>
      <c r="M38" s="6">
        <v>1.37</v>
      </c>
      <c r="N38" s="6">
        <v>5.8</v>
      </c>
      <c r="O38" t="s">
        <v>446</v>
      </c>
      <c r="P38" t="s">
        <v>459</v>
      </c>
      <c r="Q38" t="s">
        <v>450</v>
      </c>
    </row>
    <row r="39" spans="1:34" x14ac:dyDescent="0.25">
      <c r="A39" t="s">
        <v>41</v>
      </c>
      <c r="B39" s="13" t="s">
        <v>452</v>
      </c>
      <c r="C39" s="7">
        <v>7250242384</v>
      </c>
      <c r="D39" t="s">
        <v>98</v>
      </c>
      <c r="E39" t="s">
        <v>384</v>
      </c>
      <c r="F39" t="s">
        <v>45</v>
      </c>
      <c r="G39" t="s">
        <v>46</v>
      </c>
      <c r="H39" t="s">
        <v>47</v>
      </c>
      <c r="I39" s="8">
        <v>46016</v>
      </c>
      <c r="J39" s="8">
        <v>46198</v>
      </c>
      <c r="K39" s="8">
        <f>DATE(YEAR(J39), MONTH(J39) +1, DAY(J39))</f>
        <v>46228</v>
      </c>
      <c r="L39" s="6">
        <v>111</v>
      </c>
      <c r="M39" s="6">
        <v>1.37</v>
      </c>
      <c r="N39" s="6">
        <v>152.07</v>
      </c>
      <c r="O39" t="s">
        <v>446</v>
      </c>
      <c r="P39" t="s">
        <v>459</v>
      </c>
      <c r="Q39" t="s">
        <v>449</v>
      </c>
    </row>
    <row r="40" spans="1:34" x14ac:dyDescent="0.25">
      <c r="A40" t="s">
        <v>41</v>
      </c>
      <c r="B40" s="13" t="s">
        <v>452</v>
      </c>
      <c r="C40" s="7">
        <v>7250184227</v>
      </c>
      <c r="D40" t="s">
        <v>109</v>
      </c>
      <c r="E40" t="s">
        <v>386</v>
      </c>
      <c r="F40" t="s">
        <v>45</v>
      </c>
      <c r="G40" t="s">
        <v>46</v>
      </c>
      <c r="H40" t="s">
        <v>47</v>
      </c>
      <c r="I40" s="8">
        <v>45955</v>
      </c>
      <c r="J40" s="8">
        <v>46198</v>
      </c>
      <c r="K40" s="8">
        <f>DATE(YEAR(J40), MONTH(J40) +1, DAY(J40))</f>
        <v>46228</v>
      </c>
      <c r="L40" s="6">
        <v>91</v>
      </c>
      <c r="M40" s="6">
        <v>1.37</v>
      </c>
      <c r="N40" s="6">
        <v>124.67</v>
      </c>
      <c r="O40" t="s">
        <v>446</v>
      </c>
      <c r="P40" t="s">
        <v>459</v>
      </c>
      <c r="Q40" t="s">
        <v>451</v>
      </c>
    </row>
    <row r="41" spans="1:34" x14ac:dyDescent="0.25">
      <c r="A41" t="s">
        <v>41</v>
      </c>
      <c r="B41" s="13" t="s">
        <v>452</v>
      </c>
      <c r="C41" s="7">
        <v>7250240607</v>
      </c>
      <c r="D41" t="s">
        <v>114</v>
      </c>
      <c r="E41" t="s">
        <v>387</v>
      </c>
      <c r="F41" t="s">
        <v>45</v>
      </c>
      <c r="G41" t="s">
        <v>46</v>
      </c>
      <c r="H41" t="s">
        <v>47</v>
      </c>
      <c r="I41" s="8">
        <v>46016</v>
      </c>
      <c r="J41" s="8">
        <v>46198</v>
      </c>
      <c r="K41" s="8">
        <f>DATE(YEAR(J41), MONTH(J41) +1, DAY(J41))</f>
        <v>46228</v>
      </c>
      <c r="L41" s="6">
        <v>108.65</v>
      </c>
      <c r="M41" s="6">
        <v>1.37</v>
      </c>
      <c r="N41" s="6">
        <v>148.85</v>
      </c>
      <c r="O41" t="s">
        <v>446</v>
      </c>
      <c r="P41" t="s">
        <v>459</v>
      </c>
      <c r="Q41" t="s">
        <v>449</v>
      </c>
    </row>
    <row r="42" spans="1:34" x14ac:dyDescent="0.25">
      <c r="A42" t="s">
        <v>55</v>
      </c>
      <c r="B42" s="13">
        <v>16228684</v>
      </c>
      <c r="C42" s="7">
        <v>7250204150</v>
      </c>
      <c r="D42" t="s">
        <v>130</v>
      </c>
      <c r="E42" t="s">
        <v>390</v>
      </c>
      <c r="F42" t="s">
        <v>45</v>
      </c>
      <c r="G42" t="s">
        <v>46</v>
      </c>
      <c r="H42" t="s">
        <v>47</v>
      </c>
      <c r="I42" s="8">
        <v>45952</v>
      </c>
      <c r="J42" s="8">
        <v>46195</v>
      </c>
      <c r="K42" s="8">
        <f>DATE(YEAR(J42), MONTH(J42) +1, DAY(J42))</f>
        <v>46225</v>
      </c>
      <c r="L42" s="6">
        <v>228.47</v>
      </c>
      <c r="M42" s="6">
        <v>1.37</v>
      </c>
      <c r="N42" s="6">
        <v>313</v>
      </c>
      <c r="O42" t="s">
        <v>446</v>
      </c>
      <c r="P42" t="s">
        <v>459</v>
      </c>
      <c r="Q42" t="s">
        <v>450</v>
      </c>
    </row>
    <row r="43" spans="1:34" x14ac:dyDescent="0.25">
      <c r="A43" t="s">
        <v>41</v>
      </c>
      <c r="B43" s="13" t="s">
        <v>452</v>
      </c>
      <c r="C43" s="7">
        <v>7250183661</v>
      </c>
      <c r="D43" t="s">
        <v>142</v>
      </c>
      <c r="E43" t="s">
        <v>392</v>
      </c>
      <c r="F43" t="s">
        <v>45</v>
      </c>
      <c r="G43" t="s">
        <v>46</v>
      </c>
      <c r="H43" t="s">
        <v>47</v>
      </c>
      <c r="I43" s="8">
        <v>45955</v>
      </c>
      <c r="J43" s="8">
        <v>46198</v>
      </c>
      <c r="K43" s="8">
        <f>DATE(YEAR(J43), MONTH(J43) +1, DAY(J43))</f>
        <v>46228</v>
      </c>
      <c r="L43" s="6">
        <v>110.16</v>
      </c>
      <c r="M43" s="6">
        <v>1.37</v>
      </c>
      <c r="N43" s="6">
        <v>150.91999999999999</v>
      </c>
      <c r="O43" t="s">
        <v>446</v>
      </c>
      <c r="P43" t="s">
        <v>459</v>
      </c>
      <c r="Q43" t="s">
        <v>451</v>
      </c>
    </row>
    <row r="44" spans="1:34" x14ac:dyDescent="0.25">
      <c r="A44" t="s">
        <v>41</v>
      </c>
      <c r="B44" s="13" t="s">
        <v>452</v>
      </c>
      <c r="C44" s="7">
        <v>7250243279</v>
      </c>
      <c r="D44" t="s">
        <v>152</v>
      </c>
      <c r="E44" t="s">
        <v>394</v>
      </c>
      <c r="F44" t="s">
        <v>45</v>
      </c>
      <c r="G44" t="s">
        <v>46</v>
      </c>
      <c r="H44" t="s">
        <v>47</v>
      </c>
      <c r="I44" s="8">
        <v>46016</v>
      </c>
      <c r="J44" s="8">
        <v>46198</v>
      </c>
      <c r="K44" s="8">
        <f>DATE(YEAR(J44), MONTH(J44) +1, DAY(J44))</f>
        <v>46228</v>
      </c>
      <c r="L44" s="6">
        <v>104.67</v>
      </c>
      <c r="M44" s="6">
        <v>1.37</v>
      </c>
      <c r="N44" s="6">
        <v>143.4</v>
      </c>
      <c r="O44" t="s">
        <v>446</v>
      </c>
      <c r="P44" t="s">
        <v>459</v>
      </c>
      <c r="Q44" t="s">
        <v>449</v>
      </c>
    </row>
    <row r="45" spans="1:34" x14ac:dyDescent="0.25">
      <c r="A45" t="s">
        <v>41</v>
      </c>
      <c r="B45" s="13" t="s">
        <v>452</v>
      </c>
      <c r="C45" s="7">
        <v>7250242878</v>
      </c>
      <c r="D45" t="s">
        <v>156</v>
      </c>
      <c r="E45" t="s">
        <v>395</v>
      </c>
      <c r="F45" t="s">
        <v>45</v>
      </c>
      <c r="G45" t="s">
        <v>46</v>
      </c>
      <c r="H45" t="s">
        <v>47</v>
      </c>
      <c r="I45" s="8">
        <v>46016</v>
      </c>
      <c r="J45" s="8">
        <v>46198</v>
      </c>
      <c r="K45" s="8">
        <f>DATE(YEAR(J45), MONTH(J45) +1, DAY(J45))</f>
        <v>46228</v>
      </c>
      <c r="L45" s="6">
        <v>83.12</v>
      </c>
      <c r="M45" s="6">
        <v>1.37</v>
      </c>
      <c r="N45" s="6">
        <v>113.87</v>
      </c>
      <c r="O45" t="s">
        <v>446</v>
      </c>
      <c r="P45" t="s">
        <v>459</v>
      </c>
      <c r="Q45" t="s">
        <v>449</v>
      </c>
    </row>
    <row r="46" spans="1:34" x14ac:dyDescent="0.25">
      <c r="A46" t="s">
        <v>55</v>
      </c>
      <c r="B46" s="13">
        <v>16228684</v>
      </c>
      <c r="C46" s="7">
        <v>7250259170</v>
      </c>
      <c r="D46" t="s">
        <v>194</v>
      </c>
      <c r="E46" t="s">
        <v>402</v>
      </c>
      <c r="F46" t="s">
        <v>45</v>
      </c>
      <c r="G46" t="s">
        <v>46</v>
      </c>
      <c r="H46" t="s">
        <v>47</v>
      </c>
      <c r="I46" s="8">
        <v>46016</v>
      </c>
      <c r="J46" s="8">
        <v>46198</v>
      </c>
      <c r="K46" s="8">
        <f>DATE(YEAR(J46), MONTH(J46) +1, DAY(J46))</f>
        <v>46228</v>
      </c>
      <c r="L46" s="6">
        <v>5.25</v>
      </c>
      <c r="M46" s="6">
        <v>1.37</v>
      </c>
      <c r="N46" s="6">
        <v>7.19</v>
      </c>
      <c r="O46" t="s">
        <v>446</v>
      </c>
      <c r="P46" t="s">
        <v>459</v>
      </c>
      <c r="Q46" t="s">
        <v>450</v>
      </c>
    </row>
    <row r="47" spans="1:34" x14ac:dyDescent="0.25">
      <c r="A47" t="s">
        <v>41</v>
      </c>
      <c r="B47" s="13" t="s">
        <v>452</v>
      </c>
      <c r="C47" s="7">
        <v>7250241040</v>
      </c>
      <c r="D47" t="s">
        <v>198</v>
      </c>
      <c r="E47" t="s">
        <v>403</v>
      </c>
      <c r="F47" t="s">
        <v>45</v>
      </c>
      <c r="G47" t="s">
        <v>46</v>
      </c>
      <c r="H47" t="s">
        <v>47</v>
      </c>
      <c r="I47" s="8">
        <v>46016</v>
      </c>
      <c r="J47" s="8">
        <v>46198</v>
      </c>
      <c r="K47" s="8">
        <f>DATE(YEAR(J47), MONTH(J47) +1, DAY(J47))</f>
        <v>46228</v>
      </c>
      <c r="L47" s="6">
        <v>201.13</v>
      </c>
      <c r="M47" s="6">
        <v>1.37</v>
      </c>
      <c r="N47" s="6">
        <v>275.55</v>
      </c>
      <c r="O47" t="s">
        <v>446</v>
      </c>
      <c r="P47" t="s">
        <v>459</v>
      </c>
      <c r="Q47" t="s">
        <v>449</v>
      </c>
    </row>
    <row r="48" spans="1:34" s="9" customFormat="1" x14ac:dyDescent="0.25">
      <c r="A48" s="9" t="s">
        <v>55</v>
      </c>
      <c r="B48" s="14">
        <v>16228684</v>
      </c>
      <c r="C48" s="10">
        <v>7260165406</v>
      </c>
      <c r="D48" s="9" t="s">
        <v>210</v>
      </c>
      <c r="E48" s="9" t="s">
        <v>407</v>
      </c>
      <c r="F48" s="9" t="s">
        <v>211</v>
      </c>
      <c r="G48" s="9" t="s">
        <v>46</v>
      </c>
      <c r="H48" s="9" t="s">
        <v>47</v>
      </c>
      <c r="I48" s="11">
        <v>46192</v>
      </c>
      <c r="J48" s="11">
        <v>46192</v>
      </c>
      <c r="K48" s="11">
        <f>DATE(YEAR(J48), MONTH(J48) +1, DAY(J48))</f>
        <v>46222</v>
      </c>
      <c r="L48" s="12">
        <v>1427.25</v>
      </c>
      <c r="M48" s="12">
        <v>1.37</v>
      </c>
      <c r="N48" s="12">
        <v>1955.33</v>
      </c>
      <c r="O48" s="9" t="s">
        <v>446</v>
      </c>
      <c r="P48" s="9" t="s">
        <v>459</v>
      </c>
      <c r="Q48" s="9" t="s">
        <v>450</v>
      </c>
    </row>
    <row r="49" spans="1:17" x14ac:dyDescent="0.25">
      <c r="A49" t="s">
        <v>41</v>
      </c>
      <c r="B49" s="13" t="s">
        <v>452</v>
      </c>
      <c r="C49" s="7">
        <v>7250239243</v>
      </c>
      <c r="D49" t="s">
        <v>216</v>
      </c>
      <c r="E49" t="s">
        <v>408</v>
      </c>
      <c r="F49" t="s">
        <v>45</v>
      </c>
      <c r="G49" t="s">
        <v>46</v>
      </c>
      <c r="H49" t="s">
        <v>47</v>
      </c>
      <c r="I49" s="8">
        <v>46016</v>
      </c>
      <c r="J49" s="8">
        <v>46198</v>
      </c>
      <c r="K49" s="8">
        <f>DATE(YEAR(J49), MONTH(J49) +1, DAY(J49))</f>
        <v>46228</v>
      </c>
      <c r="L49" s="6">
        <v>96.62</v>
      </c>
      <c r="M49" s="6">
        <v>1.37</v>
      </c>
      <c r="N49" s="6">
        <v>132.37</v>
      </c>
      <c r="O49" t="s">
        <v>446</v>
      </c>
      <c r="P49" t="s">
        <v>459</v>
      </c>
      <c r="Q49" t="s">
        <v>449</v>
      </c>
    </row>
    <row r="50" spans="1:17" x14ac:dyDescent="0.25">
      <c r="A50" t="s">
        <v>41</v>
      </c>
      <c r="B50" s="13">
        <v>7470776</v>
      </c>
      <c r="C50" s="7">
        <v>7250130383</v>
      </c>
      <c r="D50" t="s">
        <v>220</v>
      </c>
      <c r="E50" t="s">
        <v>409</v>
      </c>
      <c r="F50" t="s">
        <v>45</v>
      </c>
      <c r="G50" t="s">
        <v>46</v>
      </c>
      <c r="H50" t="s">
        <v>47</v>
      </c>
      <c r="I50" s="8">
        <v>45861</v>
      </c>
      <c r="J50" s="8">
        <v>46196</v>
      </c>
      <c r="K50" s="8">
        <f>DATE(YEAR(J50), MONTH(J50) +1, DAY(J50))</f>
        <v>46226</v>
      </c>
      <c r="L50" s="6">
        <v>151.88999999999999</v>
      </c>
      <c r="M50" s="6">
        <v>1.37</v>
      </c>
      <c r="N50" s="6">
        <v>208.09</v>
      </c>
      <c r="O50" t="s">
        <v>446</v>
      </c>
      <c r="P50" t="s">
        <v>459</v>
      </c>
      <c r="Q50" t="s">
        <v>451</v>
      </c>
    </row>
    <row r="51" spans="1:17" x14ac:dyDescent="0.25">
      <c r="A51" t="s">
        <v>41</v>
      </c>
      <c r="B51" s="13" t="s">
        <v>452</v>
      </c>
      <c r="C51" s="7">
        <v>7250246306</v>
      </c>
      <c r="D51" t="s">
        <v>77</v>
      </c>
      <c r="E51" t="s">
        <v>413</v>
      </c>
      <c r="F51" t="s">
        <v>45</v>
      </c>
      <c r="G51" t="s">
        <v>46</v>
      </c>
      <c r="H51" t="s">
        <v>47</v>
      </c>
      <c r="I51" s="8">
        <v>46016</v>
      </c>
      <c r="J51" s="8">
        <v>46198</v>
      </c>
      <c r="K51" s="8">
        <f>DATE(YEAR(J51), MONTH(J51) +1, DAY(J51))</f>
        <v>46228</v>
      </c>
      <c r="L51" s="6">
        <v>102</v>
      </c>
      <c r="M51" s="6">
        <v>1.37</v>
      </c>
      <c r="N51" s="6">
        <v>139.74</v>
      </c>
      <c r="O51" t="s">
        <v>446</v>
      </c>
      <c r="P51" t="s">
        <v>459</v>
      </c>
      <c r="Q51" t="s">
        <v>449</v>
      </c>
    </row>
    <row r="52" spans="1:17" x14ac:dyDescent="0.25">
      <c r="A52" t="s">
        <v>55</v>
      </c>
      <c r="B52" s="13">
        <v>16228684</v>
      </c>
      <c r="C52" s="7">
        <v>7250131409</v>
      </c>
      <c r="D52" t="s">
        <v>93</v>
      </c>
      <c r="E52" t="s">
        <v>383</v>
      </c>
      <c r="F52" t="s">
        <v>45</v>
      </c>
      <c r="G52" t="s">
        <v>46</v>
      </c>
      <c r="H52" t="s">
        <v>47</v>
      </c>
      <c r="I52" s="8">
        <v>45888</v>
      </c>
      <c r="J52" s="8">
        <v>46192</v>
      </c>
      <c r="K52" s="8">
        <f>DATE(YEAR(J52), MONTH(J52) +1, DAY(J52))</f>
        <v>46222</v>
      </c>
      <c r="L52" s="6">
        <v>81.569999999999993</v>
      </c>
      <c r="M52" s="6">
        <v>1.37</v>
      </c>
      <c r="N52" s="6">
        <v>111.75</v>
      </c>
      <c r="O52" t="s">
        <v>446</v>
      </c>
      <c r="P52" t="s">
        <v>459</v>
      </c>
      <c r="Q52" t="s">
        <v>450</v>
      </c>
    </row>
    <row r="53" spans="1:17" x14ac:dyDescent="0.25">
      <c r="A53" t="s">
        <v>243</v>
      </c>
      <c r="B53" s="13">
        <v>19491313</v>
      </c>
      <c r="C53" s="7">
        <v>7250171087</v>
      </c>
      <c r="D53" t="s">
        <v>245</v>
      </c>
      <c r="E53" t="s">
        <v>415</v>
      </c>
      <c r="F53" t="s">
        <v>45</v>
      </c>
      <c r="G53" t="s">
        <v>46</v>
      </c>
      <c r="H53" t="s">
        <v>47</v>
      </c>
      <c r="I53" s="8">
        <v>45920</v>
      </c>
      <c r="J53" s="8">
        <v>46193</v>
      </c>
      <c r="K53" s="8">
        <f>DATE(YEAR(J53), MONTH(J53) +1, DAY(J53))</f>
        <v>46223</v>
      </c>
      <c r="L53" s="6">
        <v>77.55</v>
      </c>
      <c r="M53" s="6">
        <v>1.37</v>
      </c>
      <c r="N53" s="6">
        <v>106.24</v>
      </c>
      <c r="O53" t="s">
        <v>446</v>
      </c>
      <c r="P53" t="s">
        <v>459</v>
      </c>
      <c r="Q53" t="s">
        <v>450</v>
      </c>
    </row>
    <row r="54" spans="1:17" x14ac:dyDescent="0.25">
      <c r="A54" t="s">
        <v>41</v>
      </c>
      <c r="B54" s="13" t="s">
        <v>452</v>
      </c>
      <c r="C54" s="7">
        <v>7250239265</v>
      </c>
      <c r="D54" t="s">
        <v>216</v>
      </c>
      <c r="E54" t="s">
        <v>417</v>
      </c>
      <c r="F54" t="s">
        <v>45</v>
      </c>
      <c r="G54" t="s">
        <v>46</v>
      </c>
      <c r="H54" t="s">
        <v>47</v>
      </c>
      <c r="I54" s="8">
        <v>46016</v>
      </c>
      <c r="J54" s="8">
        <v>46198</v>
      </c>
      <c r="K54" s="8">
        <f>DATE(YEAR(J54), MONTH(J54) +1, DAY(J54))</f>
        <v>46228</v>
      </c>
      <c r="L54" s="6">
        <v>94.82</v>
      </c>
      <c r="M54" s="6">
        <v>1.37</v>
      </c>
      <c r="N54" s="6">
        <v>129.9</v>
      </c>
      <c r="O54" t="s">
        <v>446</v>
      </c>
      <c r="P54" t="s">
        <v>459</v>
      </c>
      <c r="Q54" t="s">
        <v>449</v>
      </c>
    </row>
    <row r="55" spans="1:17" x14ac:dyDescent="0.25">
      <c r="A55" t="s">
        <v>55</v>
      </c>
      <c r="B55" s="13">
        <v>16228684</v>
      </c>
      <c r="C55" s="7">
        <v>7250128277</v>
      </c>
      <c r="D55" t="s">
        <v>62</v>
      </c>
      <c r="E55" t="s">
        <v>377</v>
      </c>
      <c r="F55" t="s">
        <v>45</v>
      </c>
      <c r="G55" t="s">
        <v>46</v>
      </c>
      <c r="H55" t="s">
        <v>47</v>
      </c>
      <c r="I55" s="8">
        <v>45860</v>
      </c>
      <c r="J55" s="8">
        <v>46195</v>
      </c>
      <c r="K55" s="8">
        <f>DATE(YEAR(J55), MONTH(J55) +1, DAY(J55))</f>
        <v>46225</v>
      </c>
      <c r="L55" s="6">
        <v>193.53</v>
      </c>
      <c r="M55" s="6">
        <v>1.37</v>
      </c>
      <c r="N55" s="6">
        <v>265.14</v>
      </c>
      <c r="O55" t="s">
        <v>446</v>
      </c>
      <c r="P55" t="s">
        <v>459</v>
      </c>
      <c r="Q55" t="s">
        <v>450</v>
      </c>
    </row>
    <row r="56" spans="1:17" x14ac:dyDescent="0.25">
      <c r="A56" t="s">
        <v>41</v>
      </c>
      <c r="B56" s="13" t="s">
        <v>452</v>
      </c>
      <c r="C56" s="7">
        <v>7250242914</v>
      </c>
      <c r="D56" t="s">
        <v>264</v>
      </c>
      <c r="E56" t="s">
        <v>419</v>
      </c>
      <c r="F56" t="s">
        <v>45</v>
      </c>
      <c r="G56" t="s">
        <v>46</v>
      </c>
      <c r="H56" t="s">
        <v>47</v>
      </c>
      <c r="I56" s="8">
        <v>46016</v>
      </c>
      <c r="J56" s="8">
        <v>46198</v>
      </c>
      <c r="K56" s="8">
        <f>DATE(YEAR(J56), MONTH(J56) +1, DAY(J56))</f>
        <v>46228</v>
      </c>
      <c r="L56" s="6">
        <v>104</v>
      </c>
      <c r="M56" s="6">
        <v>1.37</v>
      </c>
      <c r="N56" s="6">
        <v>142.47999999999999</v>
      </c>
      <c r="O56" t="s">
        <v>446</v>
      </c>
      <c r="P56" t="s">
        <v>459</v>
      </c>
      <c r="Q56" t="s">
        <v>449</v>
      </c>
    </row>
    <row r="57" spans="1:17" x14ac:dyDescent="0.25">
      <c r="A57" t="s">
        <v>55</v>
      </c>
      <c r="B57" s="13">
        <v>16228684</v>
      </c>
      <c r="C57" s="7">
        <v>7250259160</v>
      </c>
      <c r="D57" t="s">
        <v>194</v>
      </c>
      <c r="E57" t="s">
        <v>420</v>
      </c>
      <c r="F57" t="s">
        <v>45</v>
      </c>
      <c r="G57" t="s">
        <v>46</v>
      </c>
      <c r="H57" t="s">
        <v>47</v>
      </c>
      <c r="I57" s="8">
        <v>46016</v>
      </c>
      <c r="J57" s="8">
        <v>46198</v>
      </c>
      <c r="K57" s="8">
        <f>DATE(YEAR(J57), MONTH(J57) +1, DAY(J57))</f>
        <v>46228</v>
      </c>
      <c r="L57" s="6">
        <v>102.64</v>
      </c>
      <c r="M57" s="6">
        <v>1.37</v>
      </c>
      <c r="N57" s="6">
        <v>140.62</v>
      </c>
      <c r="O57" t="s">
        <v>446</v>
      </c>
      <c r="P57" t="s">
        <v>459</v>
      </c>
      <c r="Q57" t="s">
        <v>450</v>
      </c>
    </row>
    <row r="58" spans="1:17" x14ac:dyDescent="0.25">
      <c r="A58" t="s">
        <v>86</v>
      </c>
      <c r="B58" s="13" t="s">
        <v>453</v>
      </c>
      <c r="C58" s="7">
        <v>7250263515</v>
      </c>
      <c r="D58" t="s">
        <v>277</v>
      </c>
      <c r="E58" t="s">
        <v>422</v>
      </c>
      <c r="F58" t="s">
        <v>45</v>
      </c>
      <c r="G58" t="s">
        <v>46</v>
      </c>
      <c r="H58" t="s">
        <v>47</v>
      </c>
      <c r="I58" s="8">
        <v>46014</v>
      </c>
      <c r="J58" s="8">
        <v>46196</v>
      </c>
      <c r="K58" s="8">
        <f>DATE(YEAR(J58), MONTH(J58) +1, DAY(J58))</f>
        <v>46226</v>
      </c>
      <c r="L58" s="6">
        <v>109.76</v>
      </c>
      <c r="M58" s="6">
        <v>1.37</v>
      </c>
      <c r="N58" s="6">
        <v>150.37</v>
      </c>
      <c r="O58" t="s">
        <v>446</v>
      </c>
      <c r="P58" t="s">
        <v>459</v>
      </c>
      <c r="Q58" t="s">
        <v>449</v>
      </c>
    </row>
    <row r="59" spans="1:17" x14ac:dyDescent="0.25">
      <c r="A59" t="s">
        <v>41</v>
      </c>
      <c r="B59" s="13" t="s">
        <v>452</v>
      </c>
      <c r="C59" s="7">
        <v>7250239289</v>
      </c>
      <c r="D59" t="s">
        <v>286</v>
      </c>
      <c r="E59" t="s">
        <v>424</v>
      </c>
      <c r="F59" t="s">
        <v>45</v>
      </c>
      <c r="G59" t="s">
        <v>46</v>
      </c>
      <c r="H59" t="s">
        <v>47</v>
      </c>
      <c r="I59" s="8">
        <v>46016</v>
      </c>
      <c r="J59" s="8">
        <v>46198</v>
      </c>
      <c r="K59" s="8">
        <f>DATE(YEAR(J59), MONTH(J59) +1, DAY(J59))</f>
        <v>46228</v>
      </c>
      <c r="L59" s="6">
        <v>98.6</v>
      </c>
      <c r="M59" s="6">
        <v>1.37</v>
      </c>
      <c r="N59" s="6">
        <v>135.08000000000001</v>
      </c>
      <c r="O59" t="s">
        <v>446</v>
      </c>
      <c r="P59" t="s">
        <v>459</v>
      </c>
      <c r="Q59" t="s">
        <v>449</v>
      </c>
    </row>
    <row r="60" spans="1:17" x14ac:dyDescent="0.25">
      <c r="A60" t="s">
        <v>41</v>
      </c>
      <c r="B60" s="13" t="s">
        <v>452</v>
      </c>
      <c r="C60" s="7">
        <v>7250240292</v>
      </c>
      <c r="D60" t="s">
        <v>290</v>
      </c>
      <c r="E60" t="s">
        <v>425</v>
      </c>
      <c r="F60" t="s">
        <v>45</v>
      </c>
      <c r="G60" t="s">
        <v>46</v>
      </c>
      <c r="H60" t="s">
        <v>47</v>
      </c>
      <c r="I60" s="8">
        <v>46016</v>
      </c>
      <c r="J60" s="8">
        <v>46198</v>
      </c>
      <c r="K60" s="8">
        <f>DATE(YEAR(J60), MONTH(J60) +1, DAY(J60))</f>
        <v>46228</v>
      </c>
      <c r="L60" s="6">
        <v>105.45</v>
      </c>
      <c r="M60" s="6">
        <v>1.37</v>
      </c>
      <c r="N60" s="6">
        <v>144.47</v>
      </c>
      <c r="O60" t="s">
        <v>446</v>
      </c>
      <c r="P60" t="s">
        <v>459</v>
      </c>
      <c r="Q60" t="s">
        <v>449</v>
      </c>
    </row>
    <row r="61" spans="1:17" x14ac:dyDescent="0.25">
      <c r="A61" t="s">
        <v>55</v>
      </c>
      <c r="B61" s="13">
        <v>16228684</v>
      </c>
      <c r="C61" s="7">
        <v>7250259160</v>
      </c>
      <c r="D61" t="s">
        <v>194</v>
      </c>
      <c r="E61" t="s">
        <v>420</v>
      </c>
      <c r="F61" t="s">
        <v>45</v>
      </c>
      <c r="G61" t="s">
        <v>46</v>
      </c>
      <c r="H61" t="s">
        <v>47</v>
      </c>
      <c r="I61" s="8">
        <v>46016</v>
      </c>
      <c r="J61" s="8">
        <v>46198</v>
      </c>
      <c r="K61" s="8">
        <f>DATE(YEAR(J61), MONTH(J61) +1, DAY(J61))</f>
        <v>46228</v>
      </c>
      <c r="L61" s="6">
        <v>5.03</v>
      </c>
      <c r="M61" s="6">
        <v>1.37</v>
      </c>
      <c r="N61" s="6">
        <v>6.89</v>
      </c>
      <c r="O61" t="s">
        <v>446</v>
      </c>
      <c r="P61" t="s">
        <v>459</v>
      </c>
      <c r="Q61" t="s">
        <v>450</v>
      </c>
    </row>
    <row r="62" spans="1:17" x14ac:dyDescent="0.25">
      <c r="A62" t="s">
        <v>55</v>
      </c>
      <c r="B62" s="13">
        <v>16228684</v>
      </c>
      <c r="C62" s="7">
        <v>7250259170</v>
      </c>
      <c r="D62" t="s">
        <v>194</v>
      </c>
      <c r="E62" t="s">
        <v>402</v>
      </c>
      <c r="F62" t="s">
        <v>45</v>
      </c>
      <c r="G62" t="s">
        <v>46</v>
      </c>
      <c r="H62" t="s">
        <v>47</v>
      </c>
      <c r="I62" s="8">
        <v>46016</v>
      </c>
      <c r="J62" s="8">
        <v>46198</v>
      </c>
      <c r="K62" s="8">
        <f>DATE(YEAR(J62), MONTH(J62) +1, DAY(J62))</f>
        <v>46228</v>
      </c>
      <c r="L62" s="6">
        <v>149.72</v>
      </c>
      <c r="M62" s="6">
        <v>1.37</v>
      </c>
      <c r="N62" s="6">
        <v>205.12</v>
      </c>
      <c r="O62" t="s">
        <v>446</v>
      </c>
      <c r="P62" t="s">
        <v>459</v>
      </c>
      <c r="Q62" t="s">
        <v>450</v>
      </c>
    </row>
    <row r="63" spans="1:17" x14ac:dyDescent="0.25">
      <c r="A63" t="s">
        <v>41</v>
      </c>
      <c r="B63" s="13" t="s">
        <v>452</v>
      </c>
      <c r="C63" s="7">
        <v>7250158819</v>
      </c>
      <c r="D63" t="s">
        <v>302</v>
      </c>
      <c r="E63" t="s">
        <v>427</v>
      </c>
      <c r="F63" t="s">
        <v>45</v>
      </c>
      <c r="G63" t="s">
        <v>46</v>
      </c>
      <c r="H63" t="s">
        <v>47</v>
      </c>
      <c r="I63" s="8">
        <v>45925</v>
      </c>
      <c r="J63" s="8">
        <v>46198</v>
      </c>
      <c r="K63" s="8">
        <f>DATE(YEAR(J63), MONTH(J63) +1, DAY(J63))</f>
        <v>46228</v>
      </c>
      <c r="L63" s="6">
        <v>130</v>
      </c>
      <c r="M63" s="6">
        <v>1.37</v>
      </c>
      <c r="N63" s="6">
        <v>178.1</v>
      </c>
      <c r="O63" t="s">
        <v>446</v>
      </c>
      <c r="P63" t="s">
        <v>459</v>
      </c>
      <c r="Q63" t="s">
        <v>451</v>
      </c>
    </row>
    <row r="64" spans="1:17" x14ac:dyDescent="0.25">
      <c r="A64" t="s">
        <v>86</v>
      </c>
      <c r="B64" s="13" t="s">
        <v>453</v>
      </c>
      <c r="C64" s="7">
        <v>7250263530</v>
      </c>
      <c r="D64" t="s">
        <v>277</v>
      </c>
      <c r="E64" t="s">
        <v>428</v>
      </c>
      <c r="F64" t="s">
        <v>45</v>
      </c>
      <c r="G64" t="s">
        <v>46</v>
      </c>
      <c r="H64" t="s">
        <v>47</v>
      </c>
      <c r="I64" s="8">
        <v>46014</v>
      </c>
      <c r="J64" s="8">
        <v>46196</v>
      </c>
      <c r="K64" s="8">
        <f>DATE(YEAR(J64), MONTH(J64) +1, DAY(J64))</f>
        <v>46226</v>
      </c>
      <c r="L64" s="6">
        <v>121.02</v>
      </c>
      <c r="M64" s="6">
        <v>1.37</v>
      </c>
      <c r="N64" s="6">
        <v>165.8</v>
      </c>
      <c r="O64" t="s">
        <v>446</v>
      </c>
      <c r="P64" t="s">
        <v>459</v>
      </c>
      <c r="Q64" t="s">
        <v>449</v>
      </c>
    </row>
    <row r="65" spans="1:34" x14ac:dyDescent="0.25">
      <c r="A65" t="s">
        <v>243</v>
      </c>
      <c r="B65" s="13">
        <v>19491313</v>
      </c>
      <c r="C65" s="7">
        <v>7250171145</v>
      </c>
      <c r="D65" t="s">
        <v>245</v>
      </c>
      <c r="E65" t="s">
        <v>429</v>
      </c>
      <c r="F65" t="s">
        <v>45</v>
      </c>
      <c r="G65" t="s">
        <v>46</v>
      </c>
      <c r="H65" t="s">
        <v>47</v>
      </c>
      <c r="I65" s="8">
        <v>45920</v>
      </c>
      <c r="J65" s="8">
        <v>46193</v>
      </c>
      <c r="K65" s="8">
        <f>DATE(YEAR(J65), MONTH(J65) +1, DAY(J65))</f>
        <v>46223</v>
      </c>
      <c r="L65" s="6">
        <v>52.8</v>
      </c>
      <c r="M65" s="6">
        <v>1.37</v>
      </c>
      <c r="N65" s="6">
        <v>72.34</v>
      </c>
      <c r="O65" t="s">
        <v>446</v>
      </c>
      <c r="P65" t="s">
        <v>459</v>
      </c>
      <c r="Q65" t="s">
        <v>450</v>
      </c>
    </row>
    <row r="66" spans="1:34" x14ac:dyDescent="0.25">
      <c r="A66" t="s">
        <v>41</v>
      </c>
      <c r="B66" s="13" t="s">
        <v>452</v>
      </c>
      <c r="C66" s="7">
        <v>7250245024</v>
      </c>
      <c r="D66" t="s">
        <v>313</v>
      </c>
      <c r="E66" t="s">
        <v>430</v>
      </c>
      <c r="F66" t="s">
        <v>45</v>
      </c>
      <c r="G66" t="s">
        <v>46</v>
      </c>
      <c r="H66" t="s">
        <v>47</v>
      </c>
      <c r="I66" s="8">
        <v>46016</v>
      </c>
      <c r="J66" s="8">
        <v>46198</v>
      </c>
      <c r="K66" s="8">
        <f>DATE(YEAR(J66), MONTH(J66) +1, DAY(J66))</f>
        <v>46228</v>
      </c>
      <c r="L66" s="6">
        <v>101.26</v>
      </c>
      <c r="M66" s="6">
        <v>1.37</v>
      </c>
      <c r="N66" s="6">
        <v>138.72999999999999</v>
      </c>
      <c r="O66" t="s">
        <v>446</v>
      </c>
      <c r="P66" t="s">
        <v>459</v>
      </c>
      <c r="Q66" t="s">
        <v>449</v>
      </c>
    </row>
    <row r="67" spans="1:34" x14ac:dyDescent="0.25">
      <c r="A67" t="s">
        <v>41</v>
      </c>
      <c r="B67" s="13" t="s">
        <v>452</v>
      </c>
      <c r="C67" s="7">
        <v>7250241053</v>
      </c>
      <c r="D67" t="s">
        <v>198</v>
      </c>
      <c r="E67" t="s">
        <v>431</v>
      </c>
      <c r="F67" t="s">
        <v>45</v>
      </c>
      <c r="G67" t="s">
        <v>46</v>
      </c>
      <c r="H67" t="s">
        <v>47</v>
      </c>
      <c r="I67" s="8">
        <v>46016</v>
      </c>
      <c r="J67" s="8">
        <v>46198</v>
      </c>
      <c r="K67" s="8">
        <f>DATE(YEAR(J67), MONTH(J67) +1, DAY(J67))</f>
        <v>46228</v>
      </c>
      <c r="L67" s="6">
        <v>152</v>
      </c>
      <c r="M67" s="6">
        <v>1.37</v>
      </c>
      <c r="N67" s="6">
        <v>208.24</v>
      </c>
      <c r="O67" t="s">
        <v>446</v>
      </c>
      <c r="P67" t="s">
        <v>459</v>
      </c>
      <c r="Q67" t="s">
        <v>449</v>
      </c>
    </row>
    <row r="68" spans="1:34" x14ac:dyDescent="0.25">
      <c r="A68" t="s">
        <v>41</v>
      </c>
      <c r="B68" s="13" t="s">
        <v>452</v>
      </c>
      <c r="C68" s="7">
        <v>7250183624</v>
      </c>
      <c r="D68" t="s">
        <v>142</v>
      </c>
      <c r="E68" t="s">
        <v>432</v>
      </c>
      <c r="F68" t="s">
        <v>45</v>
      </c>
      <c r="G68" t="s">
        <v>46</v>
      </c>
      <c r="H68" t="s">
        <v>47</v>
      </c>
      <c r="I68" s="8">
        <v>45955</v>
      </c>
      <c r="J68" s="8">
        <v>46198</v>
      </c>
      <c r="K68" s="8">
        <f>DATE(YEAR(J68), MONTH(J68) +1, DAY(J68))</f>
        <v>46228</v>
      </c>
      <c r="L68" s="6">
        <v>112.68</v>
      </c>
      <c r="M68" s="6">
        <v>1.37</v>
      </c>
      <c r="N68" s="6">
        <v>154.37</v>
      </c>
      <c r="O68" t="s">
        <v>446</v>
      </c>
      <c r="P68" t="s">
        <v>459</v>
      </c>
      <c r="Q68" t="s">
        <v>451</v>
      </c>
    </row>
    <row r="69" spans="1:34" x14ac:dyDescent="0.25">
      <c r="A69" t="s">
        <v>41</v>
      </c>
      <c r="B69" s="13" t="s">
        <v>452</v>
      </c>
      <c r="C69" s="7">
        <v>7250247442</v>
      </c>
      <c r="D69" t="s">
        <v>323</v>
      </c>
      <c r="E69" t="s">
        <v>433</v>
      </c>
      <c r="F69" t="s">
        <v>45</v>
      </c>
      <c r="G69" t="s">
        <v>46</v>
      </c>
      <c r="H69" t="s">
        <v>47</v>
      </c>
      <c r="I69" s="8">
        <v>46016</v>
      </c>
      <c r="J69" s="8">
        <v>46198</v>
      </c>
      <c r="K69" s="8">
        <f>DATE(YEAR(J69), MONTH(J69) +1, DAY(J69))</f>
        <v>46228</v>
      </c>
      <c r="L69" s="6">
        <v>149</v>
      </c>
      <c r="M69" s="6">
        <v>1.37</v>
      </c>
      <c r="N69" s="6">
        <v>204.13</v>
      </c>
      <c r="O69" t="s">
        <v>446</v>
      </c>
      <c r="P69" t="s">
        <v>459</v>
      </c>
      <c r="Q69" t="s">
        <v>449</v>
      </c>
    </row>
    <row r="70" spans="1:34" x14ac:dyDescent="0.25">
      <c r="A70" t="s">
        <v>41</v>
      </c>
      <c r="B70" s="13" t="s">
        <v>452</v>
      </c>
      <c r="C70" s="7">
        <v>7250247464</v>
      </c>
      <c r="D70" t="s">
        <v>323</v>
      </c>
      <c r="E70" t="s">
        <v>434</v>
      </c>
      <c r="F70" t="s">
        <v>45</v>
      </c>
      <c r="G70" t="s">
        <v>46</v>
      </c>
      <c r="H70" t="s">
        <v>47</v>
      </c>
      <c r="I70" s="8">
        <v>46016</v>
      </c>
      <c r="J70" s="8">
        <v>46198</v>
      </c>
      <c r="K70" s="8">
        <f>DATE(YEAR(J70), MONTH(J70) +1, DAY(J70))</f>
        <v>46228</v>
      </c>
      <c r="L70" s="6">
        <v>151</v>
      </c>
      <c r="M70" s="6">
        <v>1.37</v>
      </c>
      <c r="N70" s="6">
        <v>206.87</v>
      </c>
      <c r="O70" t="s">
        <v>446</v>
      </c>
      <c r="P70" t="s">
        <v>459</v>
      </c>
      <c r="Q70" t="s">
        <v>449</v>
      </c>
    </row>
    <row r="71" spans="1:34" x14ac:dyDescent="0.25">
      <c r="A71" t="s">
        <v>41</v>
      </c>
      <c r="B71" s="13" t="s">
        <v>452</v>
      </c>
      <c r="C71" s="7">
        <v>7250250280</v>
      </c>
      <c r="D71" t="s">
        <v>345</v>
      </c>
      <c r="E71" t="s">
        <v>438</v>
      </c>
      <c r="F71" t="s">
        <v>45</v>
      </c>
      <c r="G71" t="s">
        <v>46</v>
      </c>
      <c r="H71" t="s">
        <v>47</v>
      </c>
      <c r="I71" s="8">
        <v>46016</v>
      </c>
      <c r="J71" s="8">
        <v>46198</v>
      </c>
      <c r="K71" s="8">
        <f>DATE(YEAR(J71), MONTH(J71) +1, DAY(J71))</f>
        <v>46228</v>
      </c>
      <c r="L71" s="6">
        <v>65</v>
      </c>
      <c r="M71" s="6">
        <v>1.37</v>
      </c>
      <c r="N71" s="6">
        <v>89.05</v>
      </c>
      <c r="O71" t="s">
        <v>446</v>
      </c>
      <c r="P71" t="s">
        <v>459</v>
      </c>
      <c r="Q71" t="s">
        <v>449</v>
      </c>
    </row>
    <row r="72" spans="1:34" x14ac:dyDescent="0.25">
      <c r="A72" t="s">
        <v>41</v>
      </c>
      <c r="B72" s="13" t="s">
        <v>452</v>
      </c>
      <c r="C72" s="7">
        <v>7250241966</v>
      </c>
      <c r="D72" t="s">
        <v>330</v>
      </c>
      <c r="E72" t="s">
        <v>439</v>
      </c>
      <c r="F72" t="s">
        <v>45</v>
      </c>
      <c r="G72" t="s">
        <v>46</v>
      </c>
      <c r="H72" t="s">
        <v>47</v>
      </c>
      <c r="I72" s="8">
        <v>46016</v>
      </c>
      <c r="J72" s="8">
        <v>46198</v>
      </c>
      <c r="K72" s="8">
        <f>DATE(YEAR(J72), MONTH(J72) +1, DAY(J72))</f>
        <v>46228</v>
      </c>
      <c r="L72" s="6">
        <v>88</v>
      </c>
      <c r="M72" s="6">
        <v>1.37</v>
      </c>
      <c r="N72" s="6">
        <v>120.56</v>
      </c>
      <c r="O72" t="s">
        <v>446</v>
      </c>
      <c r="P72" t="s">
        <v>459</v>
      </c>
      <c r="Q72" t="s">
        <v>449</v>
      </c>
    </row>
    <row r="73" spans="1:34" x14ac:dyDescent="0.25">
      <c r="A73" t="s">
        <v>41</v>
      </c>
      <c r="B73" s="13" t="s">
        <v>452</v>
      </c>
      <c r="C73" s="7">
        <v>7250241677</v>
      </c>
      <c r="D73" t="s">
        <v>352</v>
      </c>
      <c r="E73" t="s">
        <v>440</v>
      </c>
      <c r="F73" t="s">
        <v>45</v>
      </c>
      <c r="G73" t="s">
        <v>46</v>
      </c>
      <c r="H73" t="s">
        <v>47</v>
      </c>
      <c r="I73" s="8">
        <v>46016</v>
      </c>
      <c r="J73" s="8">
        <v>46198</v>
      </c>
      <c r="K73" s="8">
        <f>DATE(YEAR(J73), MONTH(J73) +1, DAY(J73))</f>
        <v>46228</v>
      </c>
      <c r="L73" s="6">
        <v>77</v>
      </c>
      <c r="M73" s="6">
        <v>1.37</v>
      </c>
      <c r="N73" s="6">
        <v>105.49</v>
      </c>
      <c r="O73" t="s">
        <v>446</v>
      </c>
      <c r="P73" t="s">
        <v>459</v>
      </c>
      <c r="Q73" t="s">
        <v>449</v>
      </c>
    </row>
    <row r="74" spans="1:34" s="9" customFormat="1" x14ac:dyDescent="0.25">
      <c r="A74" t="s">
        <v>183</v>
      </c>
      <c r="B74" s="13" t="s">
        <v>456</v>
      </c>
      <c r="C74" s="7">
        <v>7260075332</v>
      </c>
      <c r="D74" t="s">
        <v>356</v>
      </c>
      <c r="E74" t="s">
        <v>441</v>
      </c>
      <c r="F74" t="s">
        <v>45</v>
      </c>
      <c r="G74" t="s">
        <v>46</v>
      </c>
      <c r="H74" t="s">
        <v>47</v>
      </c>
      <c r="I74" s="8">
        <v>46102</v>
      </c>
      <c r="J74" s="8">
        <v>46194</v>
      </c>
      <c r="K74" s="8">
        <f>DATE(YEAR(J74), MONTH(J74) +1, DAY(J74))</f>
        <v>46224</v>
      </c>
      <c r="L74" s="6">
        <v>35</v>
      </c>
      <c r="M74" s="6">
        <v>1.37</v>
      </c>
      <c r="N74" s="6">
        <v>47.95</v>
      </c>
      <c r="O74" t="s">
        <v>446</v>
      </c>
      <c r="P74" t="s">
        <v>459</v>
      </c>
      <c r="Q74" t="s">
        <v>449</v>
      </c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x14ac:dyDescent="0.25">
      <c r="A75" t="s">
        <v>41</v>
      </c>
      <c r="B75" s="13" t="s">
        <v>452</v>
      </c>
      <c r="C75" s="7">
        <v>7250247798</v>
      </c>
      <c r="D75" t="s">
        <v>361</v>
      </c>
      <c r="E75" t="s">
        <v>442</v>
      </c>
      <c r="F75" t="s">
        <v>45</v>
      </c>
      <c r="G75" t="s">
        <v>46</v>
      </c>
      <c r="H75" t="s">
        <v>47</v>
      </c>
      <c r="I75" s="8">
        <v>46016</v>
      </c>
      <c r="J75" s="8">
        <v>46198</v>
      </c>
      <c r="K75" s="8">
        <f>DATE(YEAR(J75), MONTH(J75) +1, DAY(J75))</f>
        <v>46228</v>
      </c>
      <c r="L75" s="6">
        <v>119</v>
      </c>
      <c r="M75" s="6">
        <v>1.37</v>
      </c>
      <c r="N75" s="6">
        <v>163.03</v>
      </c>
      <c r="O75" t="s">
        <v>446</v>
      </c>
      <c r="P75" t="s">
        <v>459</v>
      </c>
      <c r="Q75" t="s">
        <v>449</v>
      </c>
    </row>
    <row r="76" spans="1:34" x14ac:dyDescent="0.25">
      <c r="A76" t="s">
        <v>41</v>
      </c>
      <c r="B76" s="13" t="s">
        <v>452</v>
      </c>
      <c r="C76" s="7">
        <v>7250242824</v>
      </c>
      <c r="D76" t="s">
        <v>364</v>
      </c>
      <c r="E76" t="s">
        <v>443</v>
      </c>
      <c r="F76" t="s">
        <v>45</v>
      </c>
      <c r="G76" t="s">
        <v>46</v>
      </c>
      <c r="H76" t="s">
        <v>47</v>
      </c>
      <c r="I76" s="8">
        <v>46016</v>
      </c>
      <c r="J76" s="8">
        <v>46198</v>
      </c>
      <c r="K76" s="8">
        <f>DATE(YEAR(J76), MONTH(J76) +1, DAY(J76))</f>
        <v>46228</v>
      </c>
      <c r="L76" s="6">
        <v>111.63</v>
      </c>
      <c r="M76" s="6">
        <v>1.37</v>
      </c>
      <c r="N76" s="6">
        <v>152.93</v>
      </c>
      <c r="O76" t="s">
        <v>446</v>
      </c>
      <c r="P76" t="s">
        <v>459</v>
      </c>
      <c r="Q76" t="s">
        <v>449</v>
      </c>
    </row>
    <row r="77" spans="1:34" x14ac:dyDescent="0.25">
      <c r="A77" t="s">
        <v>41</v>
      </c>
      <c r="B77" s="13" t="s">
        <v>452</v>
      </c>
      <c r="C77" s="7">
        <v>7250247874</v>
      </c>
      <c r="D77" t="s">
        <v>368</v>
      </c>
      <c r="E77" t="s">
        <v>444</v>
      </c>
      <c r="F77" t="s">
        <v>45</v>
      </c>
      <c r="G77" t="s">
        <v>46</v>
      </c>
      <c r="H77" t="s">
        <v>47</v>
      </c>
      <c r="I77" s="8">
        <v>46016</v>
      </c>
      <c r="J77" s="8">
        <v>46198</v>
      </c>
      <c r="K77" s="8">
        <f>DATE(YEAR(J77), MONTH(J77) +1, DAY(J77))</f>
        <v>46228</v>
      </c>
      <c r="L77" s="6">
        <v>47</v>
      </c>
      <c r="M77" s="6">
        <v>1.37</v>
      </c>
      <c r="N77" s="6">
        <v>64.39</v>
      </c>
      <c r="O77" t="s">
        <v>446</v>
      </c>
      <c r="P77" t="s">
        <v>459</v>
      </c>
      <c r="Q77" t="s">
        <v>449</v>
      </c>
    </row>
  </sheetData>
  <sortState xmlns:xlrd2="http://schemas.microsoft.com/office/spreadsheetml/2017/richdata2" ref="A2:AH77">
    <sortCondition ref="P2:P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2026-06-30T14:03:24Z</dcterms:modified>
</cp:coreProperties>
</file>