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6342C77B-E09E-4407-B8CB-4F00D3F175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2" l="1"/>
  <c r="K27" i="2"/>
  <c r="K26" i="2"/>
  <c r="K25" i="2"/>
  <c r="K24" i="2"/>
  <c r="K23" i="2"/>
  <c r="K22" i="2"/>
  <c r="K21" i="2"/>
  <c r="K19" i="2"/>
  <c r="K18" i="2"/>
  <c r="K17" i="2"/>
  <c r="K16" i="2"/>
  <c r="K15" i="2"/>
  <c r="K14" i="2"/>
  <c r="K12" i="2"/>
  <c r="K11" i="2"/>
  <c r="K10" i="2"/>
  <c r="K9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<sst xmlns="http://schemas.openxmlformats.org/spreadsheetml/2006/main" count="1184" uniqueCount="216">
  <si>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</si>
  <si>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</si>
  <si>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</si>
  <si>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</si>
  <si>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</si>
  <si>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</si>
  <si>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</si>
  <si>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</si>
  <si>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</si>
  <si>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</si>
  <si>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</si>
  <si>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</si>
  <si>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</si>
  <si>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</si>
  <si>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</si>
  <si>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</si>
  <si>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</si>
  <si>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</si>
  <si>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</si>
  <si>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</si>
  <si>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</si>
  <si>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</si>
  <si>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</si>
  <si>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</si>
  <si>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</si>
  <si>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</si>
  <si>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</si>
  <si>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</si>
  <si>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</si>
  <si>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</si>
  <si>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</si>
  <si>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</si>
  <si>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</si>
  <si>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</si>
  <si>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2026-06-12</t>
  </si>
  <si>
    <t>MAIN LINE BENEFITS LLC</t>
  </si>
  <si>
    <t>6</t>
  </si>
  <si>
    <t>*****8192</t>
  </si>
  <si>
    <t>5Q29Q</t>
  </si>
  <si>
    <t>HEARTLAND FINANCIAL GROUP LLC</t>
  </si>
  <si>
    <t>14Q63</t>
  </si>
  <si>
    <t>HERRERA-LARSEN, ESTHER</t>
  </si>
  <si>
    <t>Overwrite Activity</t>
  </si>
  <si>
    <t>6260114482</t>
  </si>
  <si>
    <t>JOHNSON</t>
  </si>
  <si>
    <t>MNTHLY</t>
  </si>
  <si>
    <t>Life</t>
  </si>
  <si>
    <t>Term</t>
  </si>
  <si>
    <t>2026-05-11</t>
  </si>
  <si>
    <t>100.00</t>
  </si>
  <si>
    <t>218.11</t>
  </si>
  <si>
    <t>0.9000</t>
  </si>
  <si>
    <t>196.30</t>
  </si>
  <si>
    <t/>
  </si>
  <si>
    <t>14MK0</t>
  </si>
  <si>
    <t>PORTUGAL, GARY</t>
  </si>
  <si>
    <t>6260080272</t>
  </si>
  <si>
    <t>DEITERS</t>
  </si>
  <si>
    <t>2026-04-07</t>
  </si>
  <si>
    <t>77.21</t>
  </si>
  <si>
    <t>69.49</t>
  </si>
  <si>
    <t>1FJU8</t>
  </si>
  <si>
    <t>ROLLER, JASON</t>
  </si>
  <si>
    <t>7250193100</t>
  </si>
  <si>
    <t>SANTANGELO</t>
  </si>
  <si>
    <t>2025-10-10</t>
  </si>
  <si>
    <t>102.77</t>
  </si>
  <si>
    <t>1.3700</t>
  </si>
  <si>
    <t>140.79</t>
  </si>
  <si>
    <t>1FGJ5</t>
  </si>
  <si>
    <t>BRANDT, STEVEN</t>
  </si>
  <si>
    <t>7250168418</t>
  </si>
  <si>
    <t>MILLS</t>
  </si>
  <si>
    <t>2025-09-08</t>
  </si>
  <si>
    <t>69.59</t>
  </si>
  <si>
    <t>95.34</t>
  </si>
  <si>
    <t>1KPU2</t>
  </si>
  <si>
    <t>ALLAN, H</t>
  </si>
  <si>
    <t>7260127959</t>
  </si>
  <si>
    <t>VON RAABE</t>
  </si>
  <si>
    <t>91.54</t>
  </si>
  <si>
    <t>125.41</t>
  </si>
  <si>
    <t>7250161361</t>
  </si>
  <si>
    <t>OLDENBURG</t>
  </si>
  <si>
    <t>2025-09-10</t>
  </si>
  <si>
    <t>6.16</t>
  </si>
  <si>
    <t>8.44</t>
  </si>
  <si>
    <t>7260129880</t>
  </si>
  <si>
    <t>2026-06-11</t>
  </si>
  <si>
    <t>135.98</t>
  </si>
  <si>
    <t>186.29</t>
  </si>
  <si>
    <t>5.07</t>
  </si>
  <si>
    <t>6.95</t>
  </si>
  <si>
    <t>7250171748</t>
  </si>
  <si>
    <t>THOMAS</t>
  </si>
  <si>
    <t>2025-09-12</t>
  </si>
  <si>
    <t>177.84</t>
  </si>
  <si>
    <t>0.9450</t>
  </si>
  <si>
    <t>168.06</t>
  </si>
  <si>
    <t>7250169460</t>
  </si>
  <si>
    <t>LIST</t>
  </si>
  <si>
    <t>28.00</t>
  </si>
  <si>
    <t>38.36</t>
  </si>
  <si>
    <t>7250169190</t>
  </si>
  <si>
    <t>HANSEN</t>
  </si>
  <si>
    <t>4.06</t>
  </si>
  <si>
    <t>5.56</t>
  </si>
  <si>
    <t>7260157302</t>
  </si>
  <si>
    <t>REYNOLDS</t>
  </si>
  <si>
    <t>2026-06-10</t>
  </si>
  <si>
    <t>28.82</t>
  </si>
  <si>
    <t>27.23</t>
  </si>
  <si>
    <t>14JK2</t>
  </si>
  <si>
    <t>CHOI, ANDREW</t>
  </si>
  <si>
    <t>7240123973</t>
  </si>
  <si>
    <t>LOVE</t>
  </si>
  <si>
    <t>2025-01-06</t>
  </si>
  <si>
    <t>85.91</t>
  </si>
  <si>
    <t>0.0275</t>
  </si>
  <si>
    <t>2.36</t>
  </si>
  <si>
    <t>7250249151</t>
  </si>
  <si>
    <t>FOX</t>
  </si>
  <si>
    <t>2025-12-07</t>
  </si>
  <si>
    <t>149.72</t>
  </si>
  <si>
    <t>205.12</t>
  </si>
  <si>
    <t>7250195097</t>
  </si>
  <si>
    <t>EVANS</t>
  </si>
  <si>
    <t>2025-11-08</t>
  </si>
  <si>
    <t>70.58</t>
  </si>
  <si>
    <t>96.69</t>
  </si>
  <si>
    <t>119.64</t>
  </si>
  <si>
    <t>163.91</t>
  </si>
  <si>
    <t>14JT4</t>
  </si>
  <si>
    <t>WALENGA, DALE</t>
  </si>
  <si>
    <t>7240110364</t>
  </si>
  <si>
    <t>MINJARES</t>
  </si>
  <si>
    <t>2024-11-08</t>
  </si>
  <si>
    <t>50.65</t>
  </si>
  <si>
    <t>0.0600</t>
  </si>
  <si>
    <t>3.04</t>
  </si>
  <si>
    <t>1H56R</t>
  </si>
  <si>
    <t>SHEPARD, RYAN</t>
  </si>
  <si>
    <t>6260079929</t>
  </si>
  <si>
    <t>NORRIS</t>
  </si>
  <si>
    <t>98.83</t>
  </si>
  <si>
    <t>88.95</t>
  </si>
  <si>
    <t>178.20</t>
  </si>
  <si>
    <t>244.13</t>
  </si>
  <si>
    <t>7240123968</t>
  </si>
  <si>
    <t>80.34</t>
  </si>
  <si>
    <t>2.21</t>
  </si>
  <si>
    <t>7240110349</t>
  </si>
  <si>
    <t>25.33</t>
  </si>
  <si>
    <t>1.52</t>
  </si>
  <si>
    <t>6250171855</t>
  </si>
  <si>
    <t>SILVA</t>
  </si>
  <si>
    <t>2025-10-07</t>
  </si>
  <si>
    <t>112.77</t>
  </si>
  <si>
    <t>101.49</t>
  </si>
  <si>
    <t>7250169502</t>
  </si>
  <si>
    <t>51.07</t>
  </si>
  <si>
    <t>48.26</t>
  </si>
  <si>
    <t>1811F</t>
  </si>
  <si>
    <t>LISKOVEC, FRANK</t>
  </si>
  <si>
    <t>7250163636</t>
  </si>
  <si>
    <t>KOMA</t>
  </si>
  <si>
    <t>2025-09-02</t>
  </si>
  <si>
    <t>268.20</t>
  </si>
  <si>
    <t>367.43</t>
  </si>
  <si>
    <t>3.92</t>
  </si>
  <si>
    <t>5.37</t>
  </si>
  <si>
    <t>7250195078</t>
  </si>
  <si>
    <t>179.87</t>
  </si>
  <si>
    <t>246.42</t>
  </si>
  <si>
    <t>Corebridge Guaranteed Issue Whole Life (90)</t>
  </si>
  <si>
    <t>GARY  PORTUGAL</t>
  </si>
  <si>
    <t>AE</t>
  </si>
  <si>
    <t>Corebridge SimpliNow Legacy Max (137)</t>
  </si>
  <si>
    <t>JASON  ROLLER</t>
  </si>
  <si>
    <t>STEVEN  BRANDT</t>
  </si>
  <si>
    <t>H  ALLAN</t>
  </si>
  <si>
    <t>AV</t>
  </si>
  <si>
    <t>Corebridge SimpliNow Legacy (94.50)</t>
  </si>
  <si>
    <t>ANDREW  CHOI</t>
  </si>
  <si>
    <t>AV1</t>
  </si>
  <si>
    <t>DALE  WALENGA</t>
  </si>
  <si>
    <t>RYAN  SHEPARD</t>
  </si>
  <si>
    <t>FRANK  LISKOVEC</t>
  </si>
  <si>
    <t>JOHNSON,CHARLES</t>
  </si>
  <si>
    <t>DEITERS,LINDA M</t>
  </si>
  <si>
    <t>SANTANGELO,JOAN J</t>
  </si>
  <si>
    <t>MILLS,PAMELA C</t>
  </si>
  <si>
    <t>VON RAABE,ANDREA</t>
  </si>
  <si>
    <t>OLDENBURG,ROBERT</t>
  </si>
  <si>
    <t>JOHNSON,JANET</t>
  </si>
  <si>
    <t>THOMAS,CHARLES</t>
  </si>
  <si>
    <t>LIST,MARY T</t>
  </si>
  <si>
    <t>HANSEN,DOUGLAS</t>
  </si>
  <si>
    <t>REYNOLDS,BARBARA</t>
  </si>
  <si>
    <t>LOVE,MICHAEL</t>
  </si>
  <si>
    <t>FOX,HOWARD</t>
  </si>
  <si>
    <t>EVANS,ANGELA R</t>
  </si>
  <si>
    <t>MINJARES,JOE</t>
  </si>
  <si>
    <t>NORRIS,JERRY</t>
  </si>
  <si>
    <t>LOVE,MAXINE</t>
  </si>
  <si>
    <t>MINJARES,MONICA</t>
  </si>
  <si>
    <t>SILVA,ALFRED</t>
  </si>
  <si>
    <t>LIST,DARYL W</t>
  </si>
  <si>
    <t>KOMA,SHAMIRAN</t>
  </si>
  <si>
    <t>EVANS,PEGGIE L</t>
  </si>
  <si>
    <t>8046194AV9</t>
  </si>
  <si>
    <t>7470776AV9</t>
  </si>
  <si>
    <t>8814784AV9</t>
  </si>
  <si>
    <t>17301495AV9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</si>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</sst>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51</v>
      </c>
      <c r="W5" s="4" t="s">
        <v>60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67</v>
      </c>
      <c r="W6" s="4" t="s">
        <v>68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69</v>
      </c>
      <c r="J7" t="s">
        <v>70</v>
      </c>
      <c r="K7" t="s">
        <v>42</v>
      </c>
      <c r="L7" t="s">
        <v>71</v>
      </c>
      <c r="M7" t="s">
        <v>72</v>
      </c>
      <c r="N7" t="s">
        <v>45</v>
      </c>
      <c r="O7" t="s">
        <v>46</v>
      </c>
      <c r="P7" t="s">
        <v>47</v>
      </c>
      <c r="Q7" t="s">
        <v>73</v>
      </c>
      <c r="R7" t="s">
        <v>73</v>
      </c>
      <c r="S7" t="s">
        <v>73</v>
      </c>
      <c r="T7" t="s">
        <v>49</v>
      </c>
      <c r="U7" s="4" t="s">
        <v>74</v>
      </c>
      <c r="V7" t="s">
        <v>67</v>
      </c>
      <c r="W7" s="4" t="s">
        <v>75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76</v>
      </c>
      <c r="J8" t="s">
        <v>77</v>
      </c>
      <c r="K8" t="s">
        <v>42</v>
      </c>
      <c r="L8" t="s">
        <v>78</v>
      </c>
      <c r="M8" t="s">
        <v>79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48</v>
      </c>
      <c r="T8" t="s">
        <v>49</v>
      </c>
      <c r="U8" s="4" t="s">
        <v>80</v>
      </c>
      <c r="V8" t="s">
        <v>67</v>
      </c>
      <c r="W8" s="4" t="s">
        <v>81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61</v>
      </c>
      <c r="J9" t="s">
        <v>62</v>
      </c>
      <c r="K9" t="s">
        <v>42</v>
      </c>
      <c r="L9" t="s">
        <v>82</v>
      </c>
      <c r="M9" t="s">
        <v>83</v>
      </c>
      <c r="N9" t="s">
        <v>45</v>
      </c>
      <c r="O9" t="s">
        <v>46</v>
      </c>
      <c r="P9" t="s">
        <v>47</v>
      </c>
      <c r="Q9" t="s">
        <v>84</v>
      </c>
      <c r="R9" t="s">
        <v>84</v>
      </c>
      <c r="S9" t="s">
        <v>84</v>
      </c>
      <c r="T9" t="s">
        <v>49</v>
      </c>
      <c r="U9" s="4" t="s">
        <v>85</v>
      </c>
      <c r="V9" t="s">
        <v>67</v>
      </c>
      <c r="W9" s="4" t="s">
        <v>86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87</v>
      </c>
      <c r="M10" t="s">
        <v>44</v>
      </c>
      <c r="N10" t="s">
        <v>45</v>
      </c>
      <c r="O10" t="s">
        <v>46</v>
      </c>
      <c r="P10" t="s">
        <v>47</v>
      </c>
      <c r="Q10" t="s">
        <v>88</v>
      </c>
      <c r="R10" t="s">
        <v>88</v>
      </c>
      <c r="S10" t="s">
        <v>88</v>
      </c>
      <c r="T10" t="s">
        <v>49</v>
      </c>
      <c r="U10" s="4" t="s">
        <v>89</v>
      </c>
      <c r="V10" t="s">
        <v>67</v>
      </c>
      <c r="W10" s="4" t="s">
        <v>90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61</v>
      </c>
      <c r="J11" t="s">
        <v>62</v>
      </c>
      <c r="K11" t="s">
        <v>42</v>
      </c>
      <c r="L11" t="s">
        <v>63</v>
      </c>
      <c r="M11" t="s">
        <v>64</v>
      </c>
      <c r="N11" t="s">
        <v>45</v>
      </c>
      <c r="O11" t="s">
        <v>46</v>
      </c>
      <c r="P11" t="s">
        <v>47</v>
      </c>
      <c r="Q11" t="s">
        <v>65</v>
      </c>
      <c r="R11" t="s">
        <v>65</v>
      </c>
      <c r="S11" t="s">
        <v>65</v>
      </c>
      <c r="T11" t="s">
        <v>49</v>
      </c>
      <c r="U11" s="4" t="s">
        <v>91</v>
      </c>
      <c r="V11" t="s">
        <v>67</v>
      </c>
      <c r="W11" s="4" t="s">
        <v>92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61</v>
      </c>
      <c r="J12" t="s">
        <v>62</v>
      </c>
      <c r="K12" t="s">
        <v>42</v>
      </c>
      <c r="L12" t="s">
        <v>93</v>
      </c>
      <c r="M12" t="s">
        <v>94</v>
      </c>
      <c r="N12" t="s">
        <v>45</v>
      </c>
      <c r="O12" t="s">
        <v>46</v>
      </c>
      <c r="P12" t="s">
        <v>47</v>
      </c>
      <c r="Q12" t="s">
        <v>95</v>
      </c>
      <c r="R12" t="s">
        <v>95</v>
      </c>
      <c r="S12" t="s">
        <v>95</v>
      </c>
      <c r="T12" t="s">
        <v>49</v>
      </c>
      <c r="U12" s="4" t="s">
        <v>96</v>
      </c>
      <c r="V12" t="s">
        <v>97</v>
      </c>
      <c r="W12" s="4" t="s">
        <v>98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69</v>
      </c>
      <c r="J13" t="s">
        <v>70</v>
      </c>
      <c r="K13" t="s">
        <v>42</v>
      </c>
      <c r="L13" t="s">
        <v>99</v>
      </c>
      <c r="M13" t="s">
        <v>100</v>
      </c>
      <c r="N13" t="s">
        <v>45</v>
      </c>
      <c r="O13" t="s">
        <v>46</v>
      </c>
      <c r="P13" t="s">
        <v>47</v>
      </c>
      <c r="Q13" t="s">
        <v>84</v>
      </c>
      <c r="R13" t="s">
        <v>84</v>
      </c>
      <c r="S13" t="s">
        <v>84</v>
      </c>
      <c r="T13" t="s">
        <v>49</v>
      </c>
      <c r="U13" s="4" t="s">
        <v>101</v>
      </c>
      <c r="V13" t="s">
        <v>67</v>
      </c>
      <c r="W13" s="4" t="s">
        <v>102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61</v>
      </c>
      <c r="J14" t="s">
        <v>62</v>
      </c>
      <c r="K14" t="s">
        <v>42</v>
      </c>
      <c r="L14" t="s">
        <v>103</v>
      </c>
      <c r="M14" t="s">
        <v>104</v>
      </c>
      <c r="N14" t="s">
        <v>45</v>
      </c>
      <c r="O14" t="s">
        <v>46</v>
      </c>
      <c r="P14" t="s">
        <v>47</v>
      </c>
      <c r="Q14" t="s">
        <v>84</v>
      </c>
      <c r="R14" t="s">
        <v>84</v>
      </c>
      <c r="S14" t="s">
        <v>84</v>
      </c>
      <c r="T14" t="s">
        <v>49</v>
      </c>
      <c r="U14" s="4" t="s">
        <v>105</v>
      </c>
      <c r="V14" t="s">
        <v>67</v>
      </c>
      <c r="W14" s="4" t="s">
        <v>106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69</v>
      </c>
      <c r="J15" t="s">
        <v>70</v>
      </c>
      <c r="K15" t="s">
        <v>42</v>
      </c>
      <c r="L15" t="s">
        <v>107</v>
      </c>
      <c r="M15" t="s">
        <v>108</v>
      </c>
      <c r="N15" t="s">
        <v>45</v>
      </c>
      <c r="O15" t="s">
        <v>46</v>
      </c>
      <c r="P15" t="s">
        <v>47</v>
      </c>
      <c r="Q15" t="s">
        <v>109</v>
      </c>
      <c r="R15" t="s">
        <v>109</v>
      </c>
      <c r="S15" t="s">
        <v>109</v>
      </c>
      <c r="T15" t="s">
        <v>49</v>
      </c>
      <c r="U15" s="4" t="s">
        <v>110</v>
      </c>
      <c r="V15" t="s">
        <v>97</v>
      </c>
      <c r="W15" s="4" t="s">
        <v>111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112</v>
      </c>
      <c r="J16" t="s">
        <v>113</v>
      </c>
      <c r="K16" t="s">
        <v>42</v>
      </c>
      <c r="L16" t="s">
        <v>114</v>
      </c>
      <c r="M16" t="s">
        <v>115</v>
      </c>
      <c r="N16" t="s">
        <v>45</v>
      </c>
      <c r="O16" t="s">
        <v>46</v>
      </c>
      <c r="P16" t="s">
        <v>47</v>
      </c>
      <c r="Q16" t="s">
        <v>116</v>
      </c>
      <c r="R16" t="s">
        <v>116</v>
      </c>
      <c r="S16" t="s">
        <v>116</v>
      </c>
      <c r="T16" t="s">
        <v>49</v>
      </c>
      <c r="U16" s="4" t="s">
        <v>117</v>
      </c>
      <c r="V16" t="s">
        <v>118</v>
      </c>
      <c r="W16" s="4" t="s">
        <v>119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112</v>
      </c>
      <c r="J17" t="s">
        <v>113</v>
      </c>
      <c r="K17" t="s">
        <v>42</v>
      </c>
      <c r="L17" t="s">
        <v>120</v>
      </c>
      <c r="M17" t="s">
        <v>121</v>
      </c>
      <c r="N17" t="s">
        <v>45</v>
      </c>
      <c r="O17" t="s">
        <v>46</v>
      </c>
      <c r="P17" t="s">
        <v>47</v>
      </c>
      <c r="Q17" t="s">
        <v>122</v>
      </c>
      <c r="R17" t="s">
        <v>122</v>
      </c>
      <c r="S17" t="s">
        <v>122</v>
      </c>
      <c r="T17" t="s">
        <v>49</v>
      </c>
      <c r="U17" s="4" t="s">
        <v>123</v>
      </c>
      <c r="V17" t="s">
        <v>67</v>
      </c>
      <c r="W17" s="4" t="s">
        <v>124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61</v>
      </c>
      <c r="J18" t="s">
        <v>62</v>
      </c>
      <c r="K18" t="s">
        <v>42</v>
      </c>
      <c r="L18" t="s">
        <v>125</v>
      </c>
      <c r="M18" t="s">
        <v>126</v>
      </c>
      <c r="N18" t="s">
        <v>45</v>
      </c>
      <c r="O18" t="s">
        <v>46</v>
      </c>
      <c r="P18" t="s">
        <v>47</v>
      </c>
      <c r="Q18" t="s">
        <v>127</v>
      </c>
      <c r="R18" t="s">
        <v>127</v>
      </c>
      <c r="S18" t="s">
        <v>127</v>
      </c>
      <c r="T18" t="s">
        <v>49</v>
      </c>
      <c r="U18" s="4" t="s">
        <v>128</v>
      </c>
      <c r="V18" t="s">
        <v>67</v>
      </c>
      <c r="W18" s="4" t="s">
        <v>129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61</v>
      </c>
      <c r="J19" t="s">
        <v>62</v>
      </c>
      <c r="K19" t="s">
        <v>42</v>
      </c>
      <c r="L19" t="s">
        <v>103</v>
      </c>
      <c r="M19" t="s">
        <v>104</v>
      </c>
      <c r="N19" t="s">
        <v>45</v>
      </c>
      <c r="O19" t="s">
        <v>46</v>
      </c>
      <c r="P19" t="s">
        <v>47</v>
      </c>
      <c r="Q19" t="s">
        <v>84</v>
      </c>
      <c r="R19" t="s">
        <v>84</v>
      </c>
      <c r="S19" t="s">
        <v>84</v>
      </c>
      <c r="T19" t="s">
        <v>49</v>
      </c>
      <c r="U19" s="4" t="s">
        <v>130</v>
      </c>
      <c r="V19" t="s">
        <v>67</v>
      </c>
      <c r="W19" s="4" t="s">
        <v>131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132</v>
      </c>
      <c r="J20" t="s">
        <v>133</v>
      </c>
      <c r="K20" t="s">
        <v>42</v>
      </c>
      <c r="L20" t="s">
        <v>134</v>
      </c>
      <c r="M20" t="s">
        <v>135</v>
      </c>
      <c r="N20" t="s">
        <v>45</v>
      </c>
      <c r="O20" t="s">
        <v>46</v>
      </c>
      <c r="P20" t="s">
        <v>47</v>
      </c>
      <c r="Q20" t="s">
        <v>136</v>
      </c>
      <c r="R20" t="s">
        <v>136</v>
      </c>
      <c r="S20" t="s">
        <v>136</v>
      </c>
      <c r="T20" t="s">
        <v>49</v>
      </c>
      <c r="U20" s="4" t="s">
        <v>137</v>
      </c>
      <c r="V20" t="s">
        <v>138</v>
      </c>
      <c r="W20" s="4" t="s">
        <v>139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140</v>
      </c>
      <c r="J21" t="s">
        <v>141</v>
      </c>
      <c r="K21" t="s">
        <v>42</v>
      </c>
      <c r="L21" t="s">
        <v>142</v>
      </c>
      <c r="M21" t="s">
        <v>143</v>
      </c>
      <c r="N21" t="s">
        <v>45</v>
      </c>
      <c r="O21" t="s">
        <v>46</v>
      </c>
      <c r="P21" t="s">
        <v>47</v>
      </c>
      <c r="Q21" t="s">
        <v>58</v>
      </c>
      <c r="R21" t="s">
        <v>58</v>
      </c>
      <c r="S21" t="s">
        <v>58</v>
      </c>
      <c r="T21" t="s">
        <v>49</v>
      </c>
      <c r="U21" s="4" t="s">
        <v>144</v>
      </c>
      <c r="V21" t="s">
        <v>51</v>
      </c>
      <c r="W21" s="4" t="s">
        <v>145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43</v>
      </c>
      <c r="M22" t="s">
        <v>44</v>
      </c>
      <c r="N22" t="s">
        <v>45</v>
      </c>
      <c r="O22" t="s">
        <v>46</v>
      </c>
      <c r="P22" t="s">
        <v>47</v>
      </c>
      <c r="Q22" t="s">
        <v>48</v>
      </c>
      <c r="R22" t="s">
        <v>48</v>
      </c>
      <c r="S22" t="s">
        <v>48</v>
      </c>
      <c r="T22" t="s">
        <v>49</v>
      </c>
      <c r="U22" s="4" t="s">
        <v>50</v>
      </c>
      <c r="V22" t="s">
        <v>51</v>
      </c>
      <c r="W22" s="4" t="s">
        <v>52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61</v>
      </c>
      <c r="J23" t="s">
        <v>62</v>
      </c>
      <c r="K23" t="s">
        <v>42</v>
      </c>
      <c r="L23" t="s">
        <v>82</v>
      </c>
      <c r="M23" t="s">
        <v>83</v>
      </c>
      <c r="N23" t="s">
        <v>45</v>
      </c>
      <c r="O23" t="s">
        <v>46</v>
      </c>
      <c r="P23" t="s">
        <v>47</v>
      </c>
      <c r="Q23" t="s">
        <v>84</v>
      </c>
      <c r="R23" t="s">
        <v>84</v>
      </c>
      <c r="S23" t="s">
        <v>84</v>
      </c>
      <c r="T23" t="s">
        <v>49</v>
      </c>
      <c r="U23" s="4" t="s">
        <v>146</v>
      </c>
      <c r="V23" t="s">
        <v>67</v>
      </c>
      <c r="W23" s="4" t="s">
        <v>147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112</v>
      </c>
      <c r="J24" t="s">
        <v>113</v>
      </c>
      <c r="K24" t="s">
        <v>42</v>
      </c>
      <c r="L24" t="s">
        <v>148</v>
      </c>
      <c r="M24" t="s">
        <v>115</v>
      </c>
      <c r="N24" t="s">
        <v>45</v>
      </c>
      <c r="O24" t="s">
        <v>46</v>
      </c>
      <c r="P24" t="s">
        <v>47</v>
      </c>
      <c r="Q24" t="s">
        <v>116</v>
      </c>
      <c r="R24" t="s">
        <v>116</v>
      </c>
      <c r="S24" t="s">
        <v>116</v>
      </c>
      <c r="T24" t="s">
        <v>49</v>
      </c>
      <c r="U24" s="4" t="s">
        <v>149</v>
      </c>
      <c r="V24" t="s">
        <v>118</v>
      </c>
      <c r="W24" s="4" t="s">
        <v>150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132</v>
      </c>
      <c r="J25" t="s">
        <v>133</v>
      </c>
      <c r="K25" t="s">
        <v>42</v>
      </c>
      <c r="L25" t="s">
        <v>151</v>
      </c>
      <c r="M25" t="s">
        <v>135</v>
      </c>
      <c r="N25" t="s">
        <v>45</v>
      </c>
      <c r="O25" t="s">
        <v>46</v>
      </c>
      <c r="P25" t="s">
        <v>47</v>
      </c>
      <c r="Q25" t="s">
        <v>136</v>
      </c>
      <c r="R25" t="s">
        <v>136</v>
      </c>
      <c r="S25" t="s">
        <v>136</v>
      </c>
      <c r="T25" t="s">
        <v>49</v>
      </c>
      <c r="U25" s="4" t="s">
        <v>152</v>
      </c>
      <c r="V25" t="s">
        <v>138</v>
      </c>
      <c r="W25" s="4" t="s">
        <v>153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54</v>
      </c>
      <c r="J26" t="s">
        <v>55</v>
      </c>
      <c r="K26" t="s">
        <v>42</v>
      </c>
      <c r="L26" t="s">
        <v>154</v>
      </c>
      <c r="M26" t="s">
        <v>155</v>
      </c>
      <c r="N26" t="s">
        <v>45</v>
      </c>
      <c r="O26" t="s">
        <v>46</v>
      </c>
      <c r="P26" t="s">
        <v>47</v>
      </c>
      <c r="Q26" t="s">
        <v>156</v>
      </c>
      <c r="R26" t="s">
        <v>156</v>
      </c>
      <c r="S26" t="s">
        <v>156</v>
      </c>
      <c r="T26" t="s">
        <v>49</v>
      </c>
      <c r="U26" s="4" t="s">
        <v>157</v>
      </c>
      <c r="V26" t="s">
        <v>51</v>
      </c>
      <c r="W26" s="4" t="s">
        <v>158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69</v>
      </c>
      <c r="J27" t="s">
        <v>70</v>
      </c>
      <c r="K27" t="s">
        <v>42</v>
      </c>
      <c r="L27" t="s">
        <v>159</v>
      </c>
      <c r="M27" t="s">
        <v>100</v>
      </c>
      <c r="N27" t="s">
        <v>45</v>
      </c>
      <c r="O27" t="s">
        <v>46</v>
      </c>
      <c r="P27" t="s">
        <v>47</v>
      </c>
      <c r="Q27" t="s">
        <v>84</v>
      </c>
      <c r="R27" t="s">
        <v>84</v>
      </c>
      <c r="S27" t="s">
        <v>84</v>
      </c>
      <c r="T27" t="s">
        <v>49</v>
      </c>
      <c r="U27" s="4" t="s">
        <v>160</v>
      </c>
      <c r="V27" t="s">
        <v>97</v>
      </c>
      <c r="W27" s="4" t="s">
        <v>161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162</v>
      </c>
      <c r="J28" t="s">
        <v>163</v>
      </c>
      <c r="K28" t="s">
        <v>42</v>
      </c>
      <c r="L28" t="s">
        <v>164</v>
      </c>
      <c r="M28" t="s">
        <v>165</v>
      </c>
      <c r="N28" t="s">
        <v>45</v>
      </c>
      <c r="O28" t="s">
        <v>46</v>
      </c>
      <c r="P28" t="s">
        <v>47</v>
      </c>
      <c r="Q28" t="s">
        <v>166</v>
      </c>
      <c r="R28" t="s">
        <v>166</v>
      </c>
      <c r="S28" t="s">
        <v>166</v>
      </c>
      <c r="T28" t="s">
        <v>49</v>
      </c>
      <c r="U28" s="4" t="s">
        <v>167</v>
      </c>
      <c r="V28" t="s">
        <v>67</v>
      </c>
      <c r="W28" s="4" t="s">
        <v>168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61</v>
      </c>
      <c r="J29" t="s">
        <v>62</v>
      </c>
      <c r="K29" t="s">
        <v>42</v>
      </c>
      <c r="L29" t="s">
        <v>125</v>
      </c>
      <c r="M29" t="s">
        <v>126</v>
      </c>
      <c r="N29" t="s">
        <v>45</v>
      </c>
      <c r="O29" t="s">
        <v>46</v>
      </c>
      <c r="P29" t="s">
        <v>47</v>
      </c>
      <c r="Q29" t="s">
        <v>127</v>
      </c>
      <c r="R29" t="s">
        <v>127</v>
      </c>
      <c r="S29" t="s">
        <v>127</v>
      </c>
      <c r="T29" t="s">
        <v>49</v>
      </c>
      <c r="U29" s="4" t="s">
        <v>169</v>
      </c>
      <c r="V29" t="s">
        <v>67</v>
      </c>
      <c r="W29" s="4" t="s">
        <v>170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61</v>
      </c>
      <c r="J30" t="s">
        <v>62</v>
      </c>
      <c r="K30" t="s">
        <v>42</v>
      </c>
      <c r="L30" t="s">
        <v>171</v>
      </c>
      <c r="M30" t="s">
        <v>126</v>
      </c>
      <c r="N30" t="s">
        <v>45</v>
      </c>
      <c r="O30" t="s">
        <v>46</v>
      </c>
      <c r="P30" t="s">
        <v>47</v>
      </c>
      <c r="Q30" t="s">
        <v>127</v>
      </c>
      <c r="R30" t="s">
        <v>127</v>
      </c>
      <c r="S30" t="s">
        <v>127</v>
      </c>
      <c r="T30" t="s">
        <v>49</v>
      </c>
      <c r="U30" s="4" t="s">
        <v>172</v>
      </c>
      <c r="V30" t="s">
        <v>67</v>
      </c>
      <c r="W30" s="4" t="s">
        <v>173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4175-E388-4F5A-8C7B-9F56BD6D8DB8}">
  <dimension ref="A1:T28"/>
  <sheetViews>
    <sheetView tabSelected="1" topLeftCell="B1" workbookViewId="0">
      <selection activeCell="J19" sqref="J19"/>
    </sheetView>
  </sheetViews>
  <sheetFormatPr defaultRowHeight="15" x14ac:dyDescent="0.25"/>
  <cols>
    <col min="1" max="1" width="24.140625" customWidth="1"/>
    <col min="2" max="2" width="16.7109375" customWidth="1"/>
    <col min="3" max="3" width="13.28515625" customWidth="1"/>
    <col min="4" max="4" width="11.42578125" customWidth="1"/>
    <col min="5" max="5" width="13.140625" customWidth="1"/>
    <col min="6" max="6" width="10.28515625" customWidth="1"/>
    <col min="7" max="7" width="7.5703125" customWidth="1"/>
    <col min="8" max="8" width="8.5703125" customWidth="1"/>
    <col min="9" max="9" width="12" customWidth="1"/>
    <col min="10" max="11" width="13.28515625" customWidth="1"/>
    <col min="12" max="12" width="6.85546875" customWidth="1"/>
    <col min="13" max="13" width="17.28515625" customWidth="1"/>
    <col min="14" max="14" width="13.28515625" customWidth="1"/>
    <col min="15" max="15" width="12.28515625" customWidth="1"/>
    <col min="16" max="16" width="41.5703125" bestFit="1" customWidth="1"/>
    <col min="17" max="17" width="11.5703125" bestFit="1" customWidth="1"/>
    <col min="18" max="18" width="24.28515625" bestFit="1" customWidth="1"/>
  </cols>
  <sheetData>
    <row r="1" spans="1:20" x14ac:dyDescent="0.25">
      <c r="A1" s="1" t="s">
        <v>6</v>
      </c>
      <c r="B1" s="1" t="s">
        <v>8</v>
      </c>
      <c r="C1" s="1" t="s">
        <v>9</v>
      </c>
      <c r="D1" s="1" t="s">
        <v>10</v>
      </c>
      <c r="E1" s="1"/>
      <c r="F1" s="1" t="s">
        <v>11</v>
      </c>
      <c r="G1" s="1" t="s">
        <v>31</v>
      </c>
      <c r="H1" s="1" t="s">
        <v>12</v>
      </c>
      <c r="I1" s="1" t="s">
        <v>13</v>
      </c>
      <c r="J1" s="1" t="s">
        <v>14</v>
      </c>
      <c r="K1" s="1"/>
      <c r="L1" s="1" t="s">
        <v>16</v>
      </c>
      <c r="M1" s="1" t="s">
        <v>17</v>
      </c>
      <c r="N1" s="1" t="s">
        <v>18</v>
      </c>
      <c r="O1" s="1" t="s">
        <v>19</v>
      </c>
    </row>
    <row r="2" spans="1:20" s="9" customFormat="1" x14ac:dyDescent="0.25">
      <c r="A2" s="9" t="s">
        <v>41</v>
      </c>
      <c r="B2" s="9" t="s">
        <v>42</v>
      </c>
      <c r="C2" s="10">
        <v>6260114482</v>
      </c>
      <c r="D2" s="9" t="s">
        <v>44</v>
      </c>
      <c r="E2" s="9" t="s">
        <v>188</v>
      </c>
      <c r="F2" s="9" t="s">
        <v>45</v>
      </c>
      <c r="G2" s="9" t="s">
        <v>46</v>
      </c>
      <c r="H2" s="9" t="s">
        <v>47</v>
      </c>
      <c r="I2" s="11">
        <v>46153</v>
      </c>
      <c r="J2" s="11">
        <v>46184</v>
      </c>
      <c r="K2" s="11">
        <v>46184</v>
      </c>
      <c r="L2" s="12">
        <v>100</v>
      </c>
      <c r="M2" s="12">
        <v>218.11</v>
      </c>
      <c r="N2" s="12">
        <v>0.9</v>
      </c>
      <c r="O2" s="12">
        <v>196.3</v>
      </c>
      <c r="P2" s="9" t="s">
        <v>174</v>
      </c>
      <c r="Q2" s="13" t="s">
        <v>213</v>
      </c>
      <c r="R2" s="9" t="s">
        <v>41</v>
      </c>
      <c r="S2" s="9" t="s">
        <v>214</v>
      </c>
      <c r="T2" s="9" t="s">
        <v>181</v>
      </c>
    </row>
    <row r="3" spans="1:20" x14ac:dyDescent="0.25">
      <c r="A3" t="s">
        <v>55</v>
      </c>
      <c r="B3" t="s">
        <v>42</v>
      </c>
      <c r="C3" s="7">
        <v>6260080272</v>
      </c>
      <c r="D3" t="s">
        <v>57</v>
      </c>
      <c r="E3" t="s">
        <v>189</v>
      </c>
      <c r="F3" t="s">
        <v>45</v>
      </c>
      <c r="G3" t="s">
        <v>46</v>
      </c>
      <c r="H3" t="s">
        <v>47</v>
      </c>
      <c r="I3" s="8">
        <v>46119</v>
      </c>
      <c r="J3" s="8">
        <v>46180</v>
      </c>
      <c r="K3" s="8">
        <f>DATE(YEAR(J3), MONTH(J3) +1, DAY(J3))</f>
        <v>46210</v>
      </c>
      <c r="L3" s="6">
        <v>100</v>
      </c>
      <c r="M3" s="6">
        <v>77.209999999999994</v>
      </c>
      <c r="N3" s="6">
        <v>0.9</v>
      </c>
      <c r="O3" s="6">
        <v>69.489999999999995</v>
      </c>
      <c r="P3" t="s">
        <v>174</v>
      </c>
      <c r="Q3" s="14">
        <v>9213293</v>
      </c>
      <c r="R3" t="s">
        <v>175</v>
      </c>
      <c r="S3" t="s">
        <v>215</v>
      </c>
      <c r="T3" t="s">
        <v>176</v>
      </c>
    </row>
    <row r="4" spans="1:20" x14ac:dyDescent="0.25">
      <c r="A4" t="s">
        <v>62</v>
      </c>
      <c r="B4" t="s">
        <v>42</v>
      </c>
      <c r="C4" s="7">
        <v>7250193100</v>
      </c>
      <c r="D4" t="s">
        <v>64</v>
      </c>
      <c r="E4" t="s">
        <v>190</v>
      </c>
      <c r="F4" t="s">
        <v>45</v>
      </c>
      <c r="G4" t="s">
        <v>46</v>
      </c>
      <c r="H4" t="s">
        <v>47</v>
      </c>
      <c r="I4" s="8">
        <v>45940</v>
      </c>
      <c r="J4" s="8">
        <v>46183</v>
      </c>
      <c r="K4" s="8">
        <f t="shared" ref="K4:K7" si="0">DATE(YEAR(J4), MONTH(J4) +1, DAY(J4))</f>
        <v>46213</v>
      </c>
      <c r="L4" s="6">
        <v>100</v>
      </c>
      <c r="M4" s="6">
        <v>102.77</v>
      </c>
      <c r="N4" s="6">
        <v>1.37</v>
      </c>
      <c r="O4" s="6">
        <v>140.79</v>
      </c>
      <c r="P4" t="s">
        <v>177</v>
      </c>
      <c r="Q4" s="14">
        <v>16228684</v>
      </c>
      <c r="R4" t="s">
        <v>178</v>
      </c>
      <c r="S4" t="s">
        <v>215</v>
      </c>
      <c r="T4" t="s">
        <v>176</v>
      </c>
    </row>
    <row r="5" spans="1:20" x14ac:dyDescent="0.25">
      <c r="A5" t="s">
        <v>70</v>
      </c>
      <c r="B5" t="s">
        <v>42</v>
      </c>
      <c r="C5" s="7">
        <v>7250168418</v>
      </c>
      <c r="D5" t="s">
        <v>72</v>
      </c>
      <c r="E5" t="s">
        <v>191</v>
      </c>
      <c r="F5" t="s">
        <v>45</v>
      </c>
      <c r="G5" t="s">
        <v>46</v>
      </c>
      <c r="H5" t="s">
        <v>47</v>
      </c>
      <c r="I5" s="8">
        <v>45908</v>
      </c>
      <c r="J5" s="8">
        <v>46181</v>
      </c>
      <c r="K5" s="8">
        <f t="shared" si="0"/>
        <v>46211</v>
      </c>
      <c r="L5" s="6">
        <v>100</v>
      </c>
      <c r="M5" s="6">
        <v>69.59</v>
      </c>
      <c r="N5" s="6">
        <v>1.37</v>
      </c>
      <c r="O5" s="6">
        <v>95.34</v>
      </c>
      <c r="P5" t="s">
        <v>177</v>
      </c>
      <c r="Q5" s="14">
        <v>19491313</v>
      </c>
      <c r="R5" t="s">
        <v>179</v>
      </c>
      <c r="S5" t="s">
        <v>215</v>
      </c>
      <c r="T5" t="s">
        <v>176</v>
      </c>
    </row>
    <row r="6" spans="1:20" x14ac:dyDescent="0.25">
      <c r="A6" t="s">
        <v>77</v>
      </c>
      <c r="B6" t="s">
        <v>42</v>
      </c>
      <c r="C6" s="7">
        <v>7260127959</v>
      </c>
      <c r="D6" t="s">
        <v>79</v>
      </c>
      <c r="E6" t="s">
        <v>192</v>
      </c>
      <c r="F6" t="s">
        <v>45</v>
      </c>
      <c r="G6" t="s">
        <v>46</v>
      </c>
      <c r="H6" t="s">
        <v>47</v>
      </c>
      <c r="I6" s="8">
        <v>46153</v>
      </c>
      <c r="J6" s="8">
        <v>46184</v>
      </c>
      <c r="K6" s="8">
        <f t="shared" si="0"/>
        <v>46214</v>
      </c>
      <c r="L6" s="6">
        <v>100</v>
      </c>
      <c r="M6" s="6">
        <v>91.54</v>
      </c>
      <c r="N6" s="6">
        <v>1.37</v>
      </c>
      <c r="O6" s="6">
        <v>125.41</v>
      </c>
      <c r="P6" t="s">
        <v>177</v>
      </c>
      <c r="Q6" s="14" t="s">
        <v>210</v>
      </c>
      <c r="R6" t="s">
        <v>180</v>
      </c>
      <c r="S6" t="s">
        <v>215</v>
      </c>
      <c r="T6" t="s">
        <v>181</v>
      </c>
    </row>
    <row r="7" spans="1:20" x14ac:dyDescent="0.25">
      <c r="A7" t="s">
        <v>62</v>
      </c>
      <c r="B7" t="s">
        <v>42</v>
      </c>
      <c r="C7" s="7">
        <v>7250161361</v>
      </c>
      <c r="D7" t="s">
        <v>83</v>
      </c>
      <c r="E7" t="s">
        <v>193</v>
      </c>
      <c r="F7" t="s">
        <v>45</v>
      </c>
      <c r="G7" t="s">
        <v>46</v>
      </c>
      <c r="H7" t="s">
        <v>47</v>
      </c>
      <c r="I7" s="8">
        <v>45910</v>
      </c>
      <c r="J7" s="8">
        <v>46183</v>
      </c>
      <c r="K7" s="8">
        <f t="shared" si="0"/>
        <v>46213</v>
      </c>
      <c r="L7" s="6">
        <v>100</v>
      </c>
      <c r="M7" s="6">
        <v>6.16</v>
      </c>
      <c r="N7" s="6">
        <v>1.37</v>
      </c>
      <c r="O7" s="6">
        <v>8.44</v>
      </c>
      <c r="P7" t="s">
        <v>177</v>
      </c>
      <c r="Q7" s="14">
        <v>16228684</v>
      </c>
      <c r="R7" t="s">
        <v>178</v>
      </c>
      <c r="S7" t="s">
        <v>215</v>
      </c>
      <c r="T7" t="s">
        <v>176</v>
      </c>
    </row>
    <row r="8" spans="1:20" s="9" customFormat="1" x14ac:dyDescent="0.25">
      <c r="A8" s="9" t="s">
        <v>41</v>
      </c>
      <c r="B8" s="9" t="s">
        <v>42</v>
      </c>
      <c r="C8" s="10">
        <v>7260129880</v>
      </c>
      <c r="D8" s="9" t="s">
        <v>44</v>
      </c>
      <c r="E8" s="9" t="s">
        <v>194</v>
      </c>
      <c r="F8" s="9" t="s">
        <v>45</v>
      </c>
      <c r="G8" s="9" t="s">
        <v>46</v>
      </c>
      <c r="H8" s="9" t="s">
        <v>47</v>
      </c>
      <c r="I8" s="11">
        <v>46184</v>
      </c>
      <c r="J8" s="11">
        <v>46214</v>
      </c>
      <c r="K8" s="11">
        <v>46214</v>
      </c>
      <c r="L8" s="12">
        <v>100</v>
      </c>
      <c r="M8" s="12">
        <v>135.97999999999999</v>
      </c>
      <c r="N8" s="12">
        <v>1.37</v>
      </c>
      <c r="O8" s="12">
        <v>186.29</v>
      </c>
      <c r="P8" s="9" t="s">
        <v>177</v>
      </c>
      <c r="Q8" s="13" t="s">
        <v>213</v>
      </c>
      <c r="R8" s="9" t="s">
        <v>41</v>
      </c>
      <c r="S8" s="9" t="s">
        <v>214</v>
      </c>
      <c r="T8" s="9" t="s">
        <v>181</v>
      </c>
    </row>
    <row r="9" spans="1:20" x14ac:dyDescent="0.25">
      <c r="A9" t="s">
        <v>62</v>
      </c>
      <c r="B9" t="s">
        <v>42</v>
      </c>
      <c r="C9" s="7">
        <v>7250193100</v>
      </c>
      <c r="D9" t="s">
        <v>64</v>
      </c>
      <c r="E9" t="s">
        <v>190</v>
      </c>
      <c r="F9" t="s">
        <v>45</v>
      </c>
      <c r="G9" t="s">
        <v>46</v>
      </c>
      <c r="H9" t="s">
        <v>47</v>
      </c>
      <c r="I9" s="8">
        <v>45940</v>
      </c>
      <c r="J9" s="8">
        <v>46183</v>
      </c>
      <c r="K9" s="8">
        <f t="shared" ref="K9:K12" si="1">DATE(YEAR(J9), MONTH(J9) +1, DAY(J9))</f>
        <v>46213</v>
      </c>
      <c r="L9" s="6">
        <v>100</v>
      </c>
      <c r="M9" s="6">
        <v>5.07</v>
      </c>
      <c r="N9" s="6">
        <v>1.37</v>
      </c>
      <c r="O9" s="6">
        <v>6.95</v>
      </c>
      <c r="P9" t="s">
        <v>177</v>
      </c>
      <c r="Q9" s="14">
        <v>16228684</v>
      </c>
      <c r="R9" t="s">
        <v>178</v>
      </c>
      <c r="S9" t="s">
        <v>215</v>
      </c>
      <c r="T9" t="s">
        <v>176</v>
      </c>
    </row>
    <row r="10" spans="1:20" x14ac:dyDescent="0.25">
      <c r="A10" t="s">
        <v>62</v>
      </c>
      <c r="B10" t="s">
        <v>42</v>
      </c>
      <c r="C10" s="7">
        <v>7250171748</v>
      </c>
      <c r="D10" t="s">
        <v>94</v>
      </c>
      <c r="E10" t="s">
        <v>195</v>
      </c>
      <c r="F10" t="s">
        <v>45</v>
      </c>
      <c r="G10" t="s">
        <v>46</v>
      </c>
      <c r="H10" t="s">
        <v>47</v>
      </c>
      <c r="I10" s="8">
        <v>45912</v>
      </c>
      <c r="J10" s="8">
        <v>46185</v>
      </c>
      <c r="K10" s="8">
        <f t="shared" si="1"/>
        <v>46215</v>
      </c>
      <c r="L10" s="6">
        <v>100</v>
      </c>
      <c r="M10" s="6">
        <v>177.84</v>
      </c>
      <c r="N10" s="6">
        <v>0.94499999999999995</v>
      </c>
      <c r="O10" s="6">
        <v>168.06</v>
      </c>
      <c r="P10" t="s">
        <v>182</v>
      </c>
      <c r="Q10" s="14">
        <v>16228684</v>
      </c>
      <c r="R10" t="s">
        <v>178</v>
      </c>
      <c r="S10" t="s">
        <v>215</v>
      </c>
      <c r="T10" t="s">
        <v>176</v>
      </c>
    </row>
    <row r="11" spans="1:20" x14ac:dyDescent="0.25">
      <c r="A11" t="s">
        <v>70</v>
      </c>
      <c r="B11" t="s">
        <v>42</v>
      </c>
      <c r="C11" s="7">
        <v>7250169460</v>
      </c>
      <c r="D11" t="s">
        <v>100</v>
      </c>
      <c r="E11" t="s">
        <v>196</v>
      </c>
      <c r="F11" t="s">
        <v>45</v>
      </c>
      <c r="G11" t="s">
        <v>46</v>
      </c>
      <c r="H11" t="s">
        <v>47</v>
      </c>
      <c r="I11" s="8">
        <v>45910</v>
      </c>
      <c r="J11" s="8">
        <v>46183</v>
      </c>
      <c r="K11" s="8">
        <f t="shared" si="1"/>
        <v>46213</v>
      </c>
      <c r="L11" s="6">
        <v>100</v>
      </c>
      <c r="M11" s="6">
        <v>28</v>
      </c>
      <c r="N11" s="6">
        <v>1.37</v>
      </c>
      <c r="O11" s="6">
        <v>38.36</v>
      </c>
      <c r="P11" t="s">
        <v>177</v>
      </c>
      <c r="Q11" s="14">
        <v>19491313</v>
      </c>
      <c r="R11" t="s">
        <v>179</v>
      </c>
      <c r="S11" t="s">
        <v>215</v>
      </c>
      <c r="T11" t="s">
        <v>176</v>
      </c>
    </row>
    <row r="12" spans="1:20" x14ac:dyDescent="0.25">
      <c r="A12" t="s">
        <v>62</v>
      </c>
      <c r="B12" t="s">
        <v>42</v>
      </c>
      <c r="C12" s="7">
        <v>7250169190</v>
      </c>
      <c r="D12" t="s">
        <v>104</v>
      </c>
      <c r="E12" t="s">
        <v>197</v>
      </c>
      <c r="F12" t="s">
        <v>45</v>
      </c>
      <c r="G12" t="s">
        <v>46</v>
      </c>
      <c r="H12" t="s">
        <v>47</v>
      </c>
      <c r="I12" s="8">
        <v>45910</v>
      </c>
      <c r="J12" s="8">
        <v>46183</v>
      </c>
      <c r="K12" s="8">
        <f t="shared" si="1"/>
        <v>46213</v>
      </c>
      <c r="L12" s="6">
        <v>100</v>
      </c>
      <c r="M12" s="6">
        <v>4.0599999999999996</v>
      </c>
      <c r="N12" s="6">
        <v>1.37</v>
      </c>
      <c r="O12" s="6">
        <v>5.56</v>
      </c>
      <c r="P12" t="s">
        <v>177</v>
      </c>
      <c r="Q12" s="14">
        <v>16228684</v>
      </c>
      <c r="R12" t="s">
        <v>178</v>
      </c>
      <c r="S12" t="s">
        <v>215</v>
      </c>
      <c r="T12" t="s">
        <v>176</v>
      </c>
    </row>
    <row r="13" spans="1:20" s="9" customFormat="1" x14ac:dyDescent="0.25">
      <c r="A13" s="9" t="s">
        <v>70</v>
      </c>
      <c r="B13" s="9" t="s">
        <v>42</v>
      </c>
      <c r="C13" s="10">
        <v>7260157302</v>
      </c>
      <c r="D13" s="9" t="s">
        <v>108</v>
      </c>
      <c r="E13" s="9" t="s">
        <v>198</v>
      </c>
      <c r="F13" s="9" t="s">
        <v>45</v>
      </c>
      <c r="G13" s="9" t="s">
        <v>46</v>
      </c>
      <c r="H13" s="9" t="s">
        <v>47</v>
      </c>
      <c r="I13" s="11">
        <v>46183</v>
      </c>
      <c r="J13" s="11">
        <v>46213</v>
      </c>
      <c r="K13" s="11">
        <v>46213</v>
      </c>
      <c r="L13" s="12">
        <v>100</v>
      </c>
      <c r="M13" s="12">
        <v>28.82</v>
      </c>
      <c r="N13" s="12">
        <v>0.94499999999999995</v>
      </c>
      <c r="O13" s="12">
        <v>27.23</v>
      </c>
      <c r="P13" s="9" t="s">
        <v>182</v>
      </c>
      <c r="Q13" s="13">
        <v>19491313</v>
      </c>
      <c r="R13" s="9" t="s">
        <v>70</v>
      </c>
      <c r="S13" s="9" t="s">
        <v>215</v>
      </c>
      <c r="T13" s="9" t="s">
        <v>176</v>
      </c>
    </row>
    <row r="14" spans="1:20" x14ac:dyDescent="0.25">
      <c r="A14" t="s">
        <v>113</v>
      </c>
      <c r="B14" t="s">
        <v>42</v>
      </c>
      <c r="C14" s="7">
        <v>7240123973</v>
      </c>
      <c r="D14" t="s">
        <v>115</v>
      </c>
      <c r="E14" t="s">
        <v>199</v>
      </c>
      <c r="F14" t="s">
        <v>45</v>
      </c>
      <c r="G14" t="s">
        <v>46</v>
      </c>
      <c r="H14" t="s">
        <v>47</v>
      </c>
      <c r="I14" s="8">
        <v>45663</v>
      </c>
      <c r="J14" s="8">
        <v>46179</v>
      </c>
      <c r="K14" s="8">
        <f t="shared" ref="K14:K19" si="2">DATE(YEAR(J14), MONTH(J14) +1, DAY(J14))</f>
        <v>46209</v>
      </c>
      <c r="L14" s="6">
        <v>100</v>
      </c>
      <c r="M14" s="6">
        <v>85.91</v>
      </c>
      <c r="N14" s="6">
        <v>2.75E-2</v>
      </c>
      <c r="O14" s="6">
        <v>2.36</v>
      </c>
      <c r="P14" t="s">
        <v>182</v>
      </c>
      <c r="Q14" s="14">
        <v>7470776</v>
      </c>
      <c r="R14" t="s">
        <v>183</v>
      </c>
      <c r="S14" t="s">
        <v>215</v>
      </c>
      <c r="T14" t="s">
        <v>176</v>
      </c>
    </row>
    <row r="15" spans="1:20" x14ac:dyDescent="0.25">
      <c r="A15" t="s">
        <v>113</v>
      </c>
      <c r="B15" t="s">
        <v>42</v>
      </c>
      <c r="C15" s="7">
        <v>7250249151</v>
      </c>
      <c r="D15" t="s">
        <v>121</v>
      </c>
      <c r="E15" t="s">
        <v>200</v>
      </c>
      <c r="F15" t="s">
        <v>45</v>
      </c>
      <c r="G15" t="s">
        <v>46</v>
      </c>
      <c r="H15" t="s">
        <v>47</v>
      </c>
      <c r="I15" s="8">
        <v>45998</v>
      </c>
      <c r="J15" s="8">
        <v>46180</v>
      </c>
      <c r="K15" s="8">
        <f t="shared" si="2"/>
        <v>46210</v>
      </c>
      <c r="L15" s="6">
        <v>100</v>
      </c>
      <c r="M15" s="6">
        <v>149.72</v>
      </c>
      <c r="N15" s="6">
        <v>1.37</v>
      </c>
      <c r="O15" s="6">
        <v>205.12</v>
      </c>
      <c r="P15" t="s">
        <v>177</v>
      </c>
      <c r="Q15" s="14" t="s">
        <v>211</v>
      </c>
      <c r="R15" t="s">
        <v>183</v>
      </c>
      <c r="S15" t="s">
        <v>215</v>
      </c>
      <c r="T15" t="s">
        <v>184</v>
      </c>
    </row>
    <row r="16" spans="1:20" x14ac:dyDescent="0.25">
      <c r="A16" t="s">
        <v>62</v>
      </c>
      <c r="B16" t="s">
        <v>42</v>
      </c>
      <c r="C16" s="7">
        <v>7250195097</v>
      </c>
      <c r="D16" t="s">
        <v>126</v>
      </c>
      <c r="E16" t="s">
        <v>201</v>
      </c>
      <c r="F16" t="s">
        <v>45</v>
      </c>
      <c r="G16" t="s">
        <v>46</v>
      </c>
      <c r="H16" t="s">
        <v>47</v>
      </c>
      <c r="I16" s="8">
        <v>45969</v>
      </c>
      <c r="J16" s="8">
        <v>46181</v>
      </c>
      <c r="K16" s="8">
        <f t="shared" si="2"/>
        <v>46211</v>
      </c>
      <c r="L16" s="6">
        <v>100</v>
      </c>
      <c r="M16" s="6">
        <v>70.58</v>
      </c>
      <c r="N16" s="6">
        <v>1.37</v>
      </c>
      <c r="O16" s="6">
        <v>96.69</v>
      </c>
      <c r="P16" t="s">
        <v>177</v>
      </c>
      <c r="Q16" s="14">
        <v>16228684</v>
      </c>
      <c r="R16" t="s">
        <v>178</v>
      </c>
      <c r="S16" t="s">
        <v>215</v>
      </c>
      <c r="T16" t="s">
        <v>176</v>
      </c>
    </row>
    <row r="17" spans="1:20" x14ac:dyDescent="0.25">
      <c r="A17" t="s">
        <v>62</v>
      </c>
      <c r="B17" t="s">
        <v>42</v>
      </c>
      <c r="C17" s="7">
        <v>7250169190</v>
      </c>
      <c r="D17" t="s">
        <v>104</v>
      </c>
      <c r="E17" t="s">
        <v>197</v>
      </c>
      <c r="F17" t="s">
        <v>45</v>
      </c>
      <c r="G17" t="s">
        <v>46</v>
      </c>
      <c r="H17" t="s">
        <v>47</v>
      </c>
      <c r="I17" s="8">
        <v>45910</v>
      </c>
      <c r="J17" s="8">
        <v>46183</v>
      </c>
      <c r="K17" s="8">
        <f t="shared" si="2"/>
        <v>46213</v>
      </c>
      <c r="L17" s="6">
        <v>100</v>
      </c>
      <c r="M17" s="6">
        <v>119.64</v>
      </c>
      <c r="N17" s="6">
        <v>1.37</v>
      </c>
      <c r="O17" s="6">
        <v>163.91</v>
      </c>
      <c r="P17" t="s">
        <v>177</v>
      </c>
      <c r="Q17" s="14">
        <v>16228684</v>
      </c>
      <c r="R17" t="s">
        <v>178</v>
      </c>
      <c r="S17" t="s">
        <v>215</v>
      </c>
      <c r="T17" t="s">
        <v>176</v>
      </c>
    </row>
    <row r="18" spans="1:20" x14ac:dyDescent="0.25">
      <c r="A18" t="s">
        <v>133</v>
      </c>
      <c r="B18" t="s">
        <v>42</v>
      </c>
      <c r="C18" s="7">
        <v>7240110364</v>
      </c>
      <c r="D18" t="s">
        <v>135</v>
      </c>
      <c r="E18" t="s">
        <v>202</v>
      </c>
      <c r="F18" t="s">
        <v>45</v>
      </c>
      <c r="G18" t="s">
        <v>46</v>
      </c>
      <c r="H18" t="s">
        <v>47</v>
      </c>
      <c r="I18" s="8">
        <v>45604</v>
      </c>
      <c r="J18" s="8">
        <v>46181</v>
      </c>
      <c r="K18" s="8">
        <f t="shared" si="2"/>
        <v>46211</v>
      </c>
      <c r="L18" s="6">
        <v>100</v>
      </c>
      <c r="M18" s="6">
        <v>50.65</v>
      </c>
      <c r="N18" s="6">
        <v>0.06</v>
      </c>
      <c r="O18" s="6">
        <v>3.04</v>
      </c>
      <c r="P18" t="s">
        <v>177</v>
      </c>
      <c r="Q18" s="14">
        <v>8325282</v>
      </c>
      <c r="R18" t="s">
        <v>185</v>
      </c>
      <c r="S18" t="s">
        <v>215</v>
      </c>
      <c r="T18" t="s">
        <v>176</v>
      </c>
    </row>
    <row r="19" spans="1:20" x14ac:dyDescent="0.25">
      <c r="A19" t="s">
        <v>141</v>
      </c>
      <c r="B19" t="s">
        <v>42</v>
      </c>
      <c r="C19" s="7">
        <v>6260079929</v>
      </c>
      <c r="D19" t="s">
        <v>143</v>
      </c>
      <c r="E19" t="s">
        <v>203</v>
      </c>
      <c r="F19" t="s">
        <v>45</v>
      </c>
      <c r="G19" t="s">
        <v>46</v>
      </c>
      <c r="H19" t="s">
        <v>47</v>
      </c>
      <c r="I19" s="8">
        <v>46119</v>
      </c>
      <c r="J19" s="8">
        <v>46180</v>
      </c>
      <c r="K19" s="8">
        <f t="shared" si="2"/>
        <v>46210</v>
      </c>
      <c r="L19" s="6">
        <v>100</v>
      </c>
      <c r="M19" s="6">
        <v>98.83</v>
      </c>
      <c r="N19" s="6">
        <v>0.9</v>
      </c>
      <c r="O19" s="6">
        <v>88.95</v>
      </c>
      <c r="P19" t="s">
        <v>174</v>
      </c>
      <c r="Q19" s="14">
        <v>16170994</v>
      </c>
      <c r="R19" t="s">
        <v>186</v>
      </c>
      <c r="S19" t="s">
        <v>215</v>
      </c>
      <c r="T19" t="s">
        <v>176</v>
      </c>
    </row>
    <row r="20" spans="1:20" s="9" customFormat="1" x14ac:dyDescent="0.25">
      <c r="A20" s="9" t="s">
        <v>41</v>
      </c>
      <c r="B20" s="9" t="s">
        <v>42</v>
      </c>
      <c r="C20" s="10">
        <v>6260114482</v>
      </c>
      <c r="D20" s="9" t="s">
        <v>44</v>
      </c>
      <c r="E20" s="9" t="s">
        <v>188</v>
      </c>
      <c r="F20" s="9" t="s">
        <v>45</v>
      </c>
      <c r="G20" s="9" t="s">
        <v>46</v>
      </c>
      <c r="H20" s="9" t="s">
        <v>47</v>
      </c>
      <c r="I20" s="11">
        <v>46153</v>
      </c>
      <c r="J20" s="11">
        <v>46184</v>
      </c>
      <c r="K20" s="11">
        <v>46184</v>
      </c>
      <c r="L20" s="12">
        <v>100</v>
      </c>
      <c r="M20" s="12">
        <v>218.11</v>
      </c>
      <c r="N20" s="12">
        <v>0.9</v>
      </c>
      <c r="O20" s="12">
        <v>196.3</v>
      </c>
      <c r="P20" s="9" t="s">
        <v>174</v>
      </c>
      <c r="Q20" s="13">
        <v>17301495</v>
      </c>
      <c r="R20" s="9" t="s">
        <v>41</v>
      </c>
      <c r="S20" s="9" t="s">
        <v>215</v>
      </c>
      <c r="T20" s="9" t="s">
        <v>176</v>
      </c>
    </row>
    <row r="21" spans="1:20" x14ac:dyDescent="0.25">
      <c r="A21" t="s">
        <v>62</v>
      </c>
      <c r="B21" t="s">
        <v>42</v>
      </c>
      <c r="C21" s="7">
        <v>7250161361</v>
      </c>
      <c r="D21" t="s">
        <v>83</v>
      </c>
      <c r="E21" t="s">
        <v>193</v>
      </c>
      <c r="F21" t="s">
        <v>45</v>
      </c>
      <c r="G21" t="s">
        <v>46</v>
      </c>
      <c r="H21" t="s">
        <v>47</v>
      </c>
      <c r="I21" s="8">
        <v>45910</v>
      </c>
      <c r="J21" s="8">
        <v>46183</v>
      </c>
      <c r="K21" s="8">
        <f t="shared" ref="K21:K28" si="3">DATE(YEAR(J21), MONTH(J21) +1, DAY(J21))</f>
        <v>46213</v>
      </c>
      <c r="L21" s="6">
        <v>100</v>
      </c>
      <c r="M21" s="6">
        <v>178.2</v>
      </c>
      <c r="N21" s="6">
        <v>1.37</v>
      </c>
      <c r="O21" s="6">
        <v>244.13</v>
      </c>
      <c r="P21" t="s">
        <v>177</v>
      </c>
      <c r="Q21" s="14">
        <v>16228684</v>
      </c>
      <c r="R21" t="s">
        <v>178</v>
      </c>
      <c r="S21" t="s">
        <v>215</v>
      </c>
      <c r="T21" t="s">
        <v>176</v>
      </c>
    </row>
    <row r="22" spans="1:20" x14ac:dyDescent="0.25">
      <c r="A22" t="s">
        <v>113</v>
      </c>
      <c r="B22" t="s">
        <v>42</v>
      </c>
      <c r="C22" s="7">
        <v>7240123968</v>
      </c>
      <c r="D22" t="s">
        <v>115</v>
      </c>
      <c r="E22" t="s">
        <v>204</v>
      </c>
      <c r="F22" t="s">
        <v>45</v>
      </c>
      <c r="G22" t="s">
        <v>46</v>
      </c>
      <c r="H22" t="s">
        <v>47</v>
      </c>
      <c r="I22" s="8">
        <v>45663</v>
      </c>
      <c r="J22" s="8">
        <v>46179</v>
      </c>
      <c r="K22" s="8">
        <f t="shared" si="3"/>
        <v>46209</v>
      </c>
      <c r="L22" s="6">
        <v>100</v>
      </c>
      <c r="M22" s="6">
        <v>80.34</v>
      </c>
      <c r="N22" s="6">
        <v>2.75E-2</v>
      </c>
      <c r="O22" s="6">
        <v>2.21</v>
      </c>
      <c r="P22" t="s">
        <v>182</v>
      </c>
      <c r="Q22" s="14">
        <v>7470776</v>
      </c>
      <c r="R22" t="s">
        <v>183</v>
      </c>
      <c r="S22" t="s">
        <v>215</v>
      </c>
      <c r="T22" t="s">
        <v>176</v>
      </c>
    </row>
    <row r="23" spans="1:20" x14ac:dyDescent="0.25">
      <c r="A23" t="s">
        <v>133</v>
      </c>
      <c r="B23" t="s">
        <v>42</v>
      </c>
      <c r="C23" s="7">
        <v>7240110349</v>
      </c>
      <c r="D23" t="s">
        <v>135</v>
      </c>
      <c r="E23" t="s">
        <v>205</v>
      </c>
      <c r="F23" t="s">
        <v>45</v>
      </c>
      <c r="G23" t="s">
        <v>46</v>
      </c>
      <c r="H23" t="s">
        <v>47</v>
      </c>
      <c r="I23" s="8">
        <v>45604</v>
      </c>
      <c r="J23" s="8">
        <v>46181</v>
      </c>
      <c r="K23" s="8">
        <f t="shared" si="3"/>
        <v>46211</v>
      </c>
      <c r="L23" s="6">
        <v>100</v>
      </c>
      <c r="M23" s="6">
        <v>25.33</v>
      </c>
      <c r="N23" s="6">
        <v>0.06</v>
      </c>
      <c r="O23" s="6">
        <v>1.52</v>
      </c>
      <c r="P23" t="s">
        <v>177</v>
      </c>
      <c r="Q23" s="14">
        <v>8325282</v>
      </c>
      <c r="R23" t="s">
        <v>185</v>
      </c>
      <c r="S23" t="s">
        <v>215</v>
      </c>
      <c r="T23" t="s">
        <v>176</v>
      </c>
    </row>
    <row r="24" spans="1:20" x14ac:dyDescent="0.25">
      <c r="A24" t="s">
        <v>55</v>
      </c>
      <c r="B24" t="s">
        <v>42</v>
      </c>
      <c r="C24" s="7">
        <v>6250171855</v>
      </c>
      <c r="D24" t="s">
        <v>155</v>
      </c>
      <c r="E24" t="s">
        <v>206</v>
      </c>
      <c r="F24" t="s">
        <v>45</v>
      </c>
      <c r="G24" t="s">
        <v>46</v>
      </c>
      <c r="H24" t="s">
        <v>47</v>
      </c>
      <c r="I24" s="8">
        <v>45937</v>
      </c>
      <c r="J24" s="8">
        <v>46180</v>
      </c>
      <c r="K24" s="8">
        <f t="shared" si="3"/>
        <v>46210</v>
      </c>
      <c r="L24" s="6">
        <v>100</v>
      </c>
      <c r="M24" s="6">
        <v>112.77</v>
      </c>
      <c r="N24" s="6">
        <v>0.9</v>
      </c>
      <c r="O24" s="6">
        <v>101.49</v>
      </c>
      <c r="P24" t="s">
        <v>174</v>
      </c>
      <c r="Q24" s="14">
        <v>9213293</v>
      </c>
      <c r="R24" t="s">
        <v>175</v>
      </c>
      <c r="S24" t="s">
        <v>215</v>
      </c>
      <c r="T24" t="s">
        <v>176</v>
      </c>
    </row>
    <row r="25" spans="1:20" x14ac:dyDescent="0.25">
      <c r="A25" t="s">
        <v>70</v>
      </c>
      <c r="B25" t="s">
        <v>42</v>
      </c>
      <c r="C25" s="7">
        <v>7250169502</v>
      </c>
      <c r="D25" t="s">
        <v>100</v>
      </c>
      <c r="E25" t="s">
        <v>207</v>
      </c>
      <c r="F25" t="s">
        <v>45</v>
      </c>
      <c r="G25" t="s">
        <v>46</v>
      </c>
      <c r="H25" t="s">
        <v>47</v>
      </c>
      <c r="I25" s="8">
        <v>45910</v>
      </c>
      <c r="J25" s="8">
        <v>46183</v>
      </c>
      <c r="K25" s="8">
        <f t="shared" si="3"/>
        <v>46213</v>
      </c>
      <c r="L25" s="6">
        <v>100</v>
      </c>
      <c r="M25" s="6">
        <v>51.07</v>
      </c>
      <c r="N25" s="6">
        <v>0.94499999999999995</v>
      </c>
      <c r="O25" s="6">
        <v>48.26</v>
      </c>
      <c r="P25" t="s">
        <v>182</v>
      </c>
      <c r="Q25" s="14">
        <v>19491313</v>
      </c>
      <c r="R25" t="s">
        <v>179</v>
      </c>
      <c r="S25" t="s">
        <v>215</v>
      </c>
      <c r="T25" t="s">
        <v>176</v>
      </c>
    </row>
    <row r="26" spans="1:20" x14ac:dyDescent="0.25">
      <c r="A26" t="s">
        <v>163</v>
      </c>
      <c r="B26" t="s">
        <v>42</v>
      </c>
      <c r="C26" s="7">
        <v>7250163636</v>
      </c>
      <c r="D26" t="s">
        <v>165</v>
      </c>
      <c r="E26" t="s">
        <v>208</v>
      </c>
      <c r="F26" t="s">
        <v>45</v>
      </c>
      <c r="G26" t="s">
        <v>46</v>
      </c>
      <c r="H26" t="s">
        <v>47</v>
      </c>
      <c r="I26" s="8">
        <v>45902</v>
      </c>
      <c r="J26" s="8">
        <v>46175</v>
      </c>
      <c r="K26" s="8">
        <f t="shared" si="3"/>
        <v>46205</v>
      </c>
      <c r="L26" s="6">
        <v>100</v>
      </c>
      <c r="M26" s="6">
        <v>268.2</v>
      </c>
      <c r="N26" s="6">
        <v>1.37</v>
      </c>
      <c r="O26" s="6">
        <v>367.43</v>
      </c>
      <c r="P26" t="s">
        <v>177</v>
      </c>
      <c r="Q26" s="14" t="s">
        <v>212</v>
      </c>
      <c r="R26" t="s">
        <v>187</v>
      </c>
      <c r="S26" t="s">
        <v>215</v>
      </c>
      <c r="T26" t="s">
        <v>184</v>
      </c>
    </row>
    <row r="27" spans="1:20" x14ac:dyDescent="0.25">
      <c r="A27" t="s">
        <v>62</v>
      </c>
      <c r="B27" t="s">
        <v>42</v>
      </c>
      <c r="C27" s="7">
        <v>7250195097</v>
      </c>
      <c r="D27" t="s">
        <v>126</v>
      </c>
      <c r="E27" t="s">
        <v>201</v>
      </c>
      <c r="F27" t="s">
        <v>45</v>
      </c>
      <c r="G27" t="s">
        <v>46</v>
      </c>
      <c r="H27" t="s">
        <v>47</v>
      </c>
      <c r="I27" s="8">
        <v>45969</v>
      </c>
      <c r="J27" s="8">
        <v>46181</v>
      </c>
      <c r="K27" s="8">
        <f t="shared" si="3"/>
        <v>46211</v>
      </c>
      <c r="L27" s="6">
        <v>100</v>
      </c>
      <c r="M27" s="6">
        <v>3.92</v>
      </c>
      <c r="N27" s="6">
        <v>1.37</v>
      </c>
      <c r="O27" s="6">
        <v>5.37</v>
      </c>
      <c r="P27" t="s">
        <v>177</v>
      </c>
      <c r="Q27" s="14">
        <v>16228684</v>
      </c>
      <c r="R27" t="s">
        <v>178</v>
      </c>
      <c r="S27" t="s">
        <v>215</v>
      </c>
      <c r="T27" t="s">
        <v>176</v>
      </c>
    </row>
    <row r="28" spans="1:20" x14ac:dyDescent="0.25">
      <c r="A28" t="s">
        <v>62</v>
      </c>
      <c r="B28" t="s">
        <v>42</v>
      </c>
      <c r="C28" s="7">
        <v>7250195078</v>
      </c>
      <c r="D28" t="s">
        <v>126</v>
      </c>
      <c r="E28" t="s">
        <v>209</v>
      </c>
      <c r="F28" t="s">
        <v>45</v>
      </c>
      <c r="G28" t="s">
        <v>46</v>
      </c>
      <c r="H28" t="s">
        <v>47</v>
      </c>
      <c r="I28" s="8">
        <v>45969</v>
      </c>
      <c r="J28" s="8">
        <v>46181</v>
      </c>
      <c r="K28" s="8">
        <f t="shared" si="3"/>
        <v>46211</v>
      </c>
      <c r="L28" s="6">
        <v>100</v>
      </c>
      <c r="M28" s="6">
        <v>179.87</v>
      </c>
      <c r="N28" s="6">
        <v>1.37</v>
      </c>
      <c r="O28" s="6">
        <v>246.42</v>
      </c>
      <c r="P28" t="s">
        <v>177</v>
      </c>
      <c r="Q28" s="14">
        <v>16228684</v>
      </c>
      <c r="R28" t="s">
        <v>178</v>
      </c>
      <c r="S28" t="s">
        <v>215</v>
      </c>
      <c r="T2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2026-06-15T20:52:00Z</dcterms:modified>
</cp:coreProperties>
</file>