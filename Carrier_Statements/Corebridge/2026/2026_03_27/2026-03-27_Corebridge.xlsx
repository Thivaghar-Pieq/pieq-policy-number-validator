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0F1AF58A-211B-427F-9108-3461A5E13C5C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" i="2"/>
  <c r="Q3" i="2"/>
  <c r="Q4" i="2"/>
  <c r="Q5" i="2"/>
  <c r="Q6" i="2"/>
  <c r="Q7" i="2"/>
  <c r="Q8" i="2"/>
  <c r="Q9" i="2"/>
  <c r="Q10" i="2"/>
  <c r="Q217" i="2"/>
  <c r="Q164" i="2"/>
  <c r="Q165" i="2"/>
  <c r="Q199" i="2"/>
  <c r="Q200" i="2"/>
  <c r="Q201" i="2"/>
  <c r="Q202" i="2"/>
  <c r="Q203" i="2"/>
  <c r="Q204" i="2"/>
  <c r="Q205" i="2"/>
  <c r="Q206" i="2"/>
  <c r="Q193" i="2"/>
  <c r="Q207" i="2"/>
  <c r="Q258" i="2"/>
  <c r="Q218" i="2"/>
  <c r="Q251" i="2"/>
  <c r="Q194" i="2"/>
  <c r="Q259" i="2"/>
  <c r="Q260" i="2"/>
  <c r="Q261" i="2"/>
  <c r="Q166" i="2"/>
  <c r="Q167" i="2"/>
  <c r="Q16" i="2"/>
  <c r="Q17" i="2"/>
  <c r="Q18" i="2"/>
  <c r="Q41" i="2"/>
  <c r="Q42" i="2"/>
  <c r="Q43" i="2"/>
  <c r="Q19" i="2"/>
  <c r="Q20" i="2"/>
  <c r="Q93" i="2"/>
  <c r="Q76" i="2"/>
  <c r="Q77" i="2"/>
  <c r="Q11" i="2"/>
  <c r="Q44" i="2"/>
  <c r="Q78" i="2"/>
  <c r="Q45" i="2"/>
  <c r="Q94" i="2"/>
  <c r="Q46" i="2"/>
  <c r="Q47" i="2"/>
  <c r="Q21" i="2"/>
  <c r="Q22" i="2"/>
  <c r="Q23" i="2"/>
  <c r="Q24" i="2"/>
  <c r="Q135" i="2"/>
  <c r="Q123" i="2"/>
  <c r="Q118" i="2"/>
  <c r="Q124" i="2"/>
  <c r="Q125" i="2"/>
  <c r="Q119" i="2"/>
  <c r="Q136" i="2"/>
  <c r="Q137" i="2"/>
  <c r="Q159" i="2"/>
  <c r="Q138" i="2"/>
  <c r="Q126" i="2"/>
  <c r="Q139" i="2"/>
  <c r="Q140" i="2"/>
  <c r="Q98" i="2"/>
  <c r="Q48" i="2"/>
  <c r="Q79" i="2"/>
  <c r="Q25" i="2"/>
  <c r="Q26" i="2"/>
  <c r="Q27" i="2"/>
  <c r="Q80" i="2"/>
  <c r="Q28" i="2"/>
  <c r="Q110" i="2"/>
  <c r="Q49" i="2"/>
  <c r="Q99" i="2"/>
  <c r="Q29" i="2"/>
  <c r="Q50" i="2"/>
  <c r="Q102" i="2"/>
  <c r="Q51" i="2"/>
  <c r="Q30" i="2"/>
  <c r="Q111" i="2"/>
  <c r="Q31" i="2"/>
  <c r="Q52" i="2"/>
  <c r="Q113" i="2"/>
  <c r="Q53" i="2"/>
  <c r="Q54" i="2"/>
  <c r="Q55" i="2"/>
  <c r="Q56" i="2"/>
  <c r="Q89" i="2"/>
  <c r="Q57" i="2"/>
  <c r="Q58" i="2"/>
  <c r="Q81" i="2"/>
  <c r="Q114" i="2"/>
  <c r="Q59" i="2"/>
  <c r="Q103" i="2"/>
  <c r="Q32" i="2"/>
  <c r="Q104" i="2"/>
  <c r="Q33" i="2"/>
  <c r="Q82" i="2"/>
  <c r="Q12" i="2"/>
  <c r="Q34" i="2"/>
  <c r="Q13" i="2"/>
  <c r="Q86" i="2"/>
  <c r="Q105" i="2"/>
  <c r="Q115" i="2"/>
  <c r="Q35" i="2"/>
  <c r="Q90" i="2"/>
  <c r="Q106" i="2"/>
  <c r="Q60" i="2"/>
  <c r="Q14" i="2"/>
  <c r="Q61" i="2"/>
  <c r="Q87" i="2"/>
  <c r="Q107" i="2"/>
  <c r="Q62" i="2"/>
  <c r="Q63" i="2"/>
  <c r="Q64" i="2"/>
  <c r="Q65" i="2"/>
  <c r="Q36" i="2"/>
  <c r="Q95" i="2"/>
  <c r="Q37" i="2"/>
  <c r="Q66" i="2"/>
  <c r="Q88" i="2"/>
  <c r="Q67" i="2"/>
  <c r="Q38" i="2"/>
  <c r="Q108" i="2"/>
  <c r="Q109" i="2"/>
  <c r="Q112" i="2"/>
  <c r="Q15" i="2"/>
  <c r="Q68" i="2"/>
  <c r="Q39" i="2"/>
  <c r="Q69" i="2"/>
  <c r="Q70" i="2"/>
  <c r="Q96" i="2"/>
  <c r="Q40" i="2"/>
  <c r="Q71" i="2"/>
  <c r="Q72" i="2"/>
  <c r="Q73" i="2"/>
  <c r="Q141" i="2"/>
  <c r="Q127" i="2"/>
  <c r="Q142" i="2"/>
  <c r="Q143" i="2"/>
  <c r="Q128" i="2"/>
  <c r="Q129" i="2"/>
  <c r="Q144" i="2"/>
  <c r="Q130" i="2"/>
  <c r="Q145" i="2"/>
  <c r="Q146" i="2"/>
  <c r="Q120" i="2"/>
  <c r="Q147" i="2"/>
  <c r="Q148" i="2"/>
  <c r="Q121" i="2"/>
  <c r="Q131" i="2"/>
  <c r="Q149" i="2"/>
  <c r="Q150" i="2"/>
  <c r="Q132" i="2"/>
  <c r="Q151" i="2"/>
  <c r="Q133" i="2"/>
  <c r="Q152" i="2"/>
  <c r="Q153" i="2"/>
  <c r="Q154" i="2"/>
  <c r="Q134" i="2"/>
  <c r="Q155" i="2"/>
  <c r="Q156" i="2"/>
  <c r="Q157" i="2"/>
  <c r="Q122" i="2"/>
  <c r="Q158" i="2"/>
  <c r="Q263" i="2"/>
  <c r="Q168" i="2"/>
  <c r="Q97" i="2"/>
  <c r="Q181" i="2"/>
  <c r="Q91" i="2"/>
  <c r="Q116" i="2"/>
  <c r="Q257" i="2"/>
  <c r="Q208" i="2"/>
  <c r="Q195" i="2"/>
  <c r="Q209" i="2"/>
  <c r="Q219" i="2"/>
  <c r="Q262" i="2"/>
  <c r="Q169" i="2"/>
  <c r="Q170" i="2"/>
  <c r="Q171" i="2"/>
  <c r="Q172" i="2"/>
  <c r="Q173" i="2"/>
  <c r="Q174" i="2"/>
  <c r="Q264" i="2"/>
  <c r="Q175" i="2"/>
  <c r="Q176" i="2"/>
  <c r="Q252" i="2"/>
  <c r="Q177" i="2"/>
  <c r="Q178" i="2"/>
  <c r="Q188" i="2"/>
  <c r="Q210" i="2"/>
  <c r="Q211" i="2"/>
  <c r="Q179" i="2"/>
  <c r="Q180" i="2"/>
  <c r="Q212" i="2"/>
  <c r="Q189" i="2"/>
  <c r="Q220" i="2"/>
  <c r="Q221" i="2"/>
  <c r="Q213" i="2"/>
  <c r="Q222" i="2"/>
  <c r="Q196" i="2"/>
  <c r="Q182" i="2"/>
  <c r="Q223" i="2"/>
  <c r="Q183" i="2"/>
  <c r="Q224" i="2"/>
  <c r="Q225" i="2"/>
  <c r="Q226" i="2"/>
  <c r="Q184" i="2"/>
  <c r="Q227" i="2"/>
  <c r="Q190" i="2"/>
  <c r="Q228" i="2"/>
  <c r="Q229" i="2"/>
  <c r="Q230" i="2"/>
  <c r="Q197" i="2"/>
  <c r="Q231" i="2"/>
  <c r="Q232" i="2"/>
  <c r="Q253" i="2"/>
  <c r="Q254" i="2"/>
  <c r="Q255" i="2"/>
  <c r="Q233" i="2"/>
  <c r="Q234" i="2"/>
  <c r="Q235" i="2"/>
  <c r="Q236" i="2"/>
  <c r="Q185" i="2"/>
  <c r="Q214" i="2"/>
  <c r="Q237" i="2"/>
  <c r="Q215" i="2"/>
  <c r="Q238" i="2"/>
  <c r="Q216" i="2"/>
  <c r="Q239" i="2"/>
  <c r="Q240" i="2"/>
  <c r="Q241" i="2"/>
  <c r="Q198" i="2"/>
  <c r="Q186" i="2"/>
  <c r="Q187" i="2"/>
  <c r="Q242" i="2"/>
  <c r="Q243" i="2"/>
  <c r="Q191" i="2"/>
  <c r="Q244" i="2"/>
  <c r="Q245" i="2"/>
  <c r="Q246" i="2"/>
  <c r="Q247" i="2"/>
  <c r="Q248" i="2"/>
  <c r="Q249" i="2"/>
  <c r="Q192" i="2"/>
  <c r="Q256" i="2"/>
  <c r="Q250" i="2"/>
  <c r="Q83" i="2"/>
  <c r="Q84" i="2"/>
  <c r="Q92" i="2"/>
  <c r="Q74" i="2"/>
  <c r="Q85" i="2"/>
  <c r="Q75" i="2"/>
  <c r="Q100" i="2"/>
  <c r="Q117" i="2"/>
  <c r="Q162" i="2"/>
  <c r="Q163" i="2"/>
  <c r="Q160" i="2"/>
  <c r="Q161" i="2"/>
  <c r="Q101" i="2"/>
  <c r="Q2" i="2"/>
</calcChain>
</file>

<file path=xl/sharedStrings.xml><?xml version="1.0" encoding="utf-8"?>
<sst xmlns="http://schemas.openxmlformats.org/spreadsheetml/2006/main" count="10438" uniqueCount="1203">
  <si>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</si>
  <si>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</si>
  <si>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</si>
  <si>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</si>
  <si>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</si>
  <si>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</si>
  <si>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</si>
  <si>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</si>
  <si>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</si>
  <si>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</si>
  <si>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</si>
  <si>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</si>
  <si>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</si>
  <si>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</si>
  <si>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</si>
  <si>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</si>
  <si>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</si>
  <si>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</si>
  <si>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</si>
  <si>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</si>
  <si>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</si>
  <si>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</si>
  <si>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</si>
  <si>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</si>
  <si>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</si>
  <si>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</si>
  <si>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</si>
  <si>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</si>
  <si>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</si>
  <si>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</si>
  <si>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</si>
  <si>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</si>
  <si>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</si>
  <si>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</si>
  <si>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2026-03-20</t>
  </si>
  <si>
    <t>MAIN LINE BENEFITS LLC</t>
  </si>
  <si>
    <t>6</t>
  </si>
  <si>
    <t>*****8192</t>
  </si>
  <si>
    <t>5Q29Q</t>
  </si>
  <si>
    <t>HEARTLAND FINANCIAL GROUP LLC</t>
  </si>
  <si>
    <t>14MK0</t>
  </si>
  <si>
    <t>PORTUGAL, GARY</t>
  </si>
  <si>
    <t>Overwrite Activity</t>
  </si>
  <si>
    <t>7260033170</t>
  </si>
  <si>
    <t>RIVERA</t>
  </si>
  <si>
    <t>MNTHLY</t>
  </si>
  <si>
    <t>Life</t>
  </si>
  <si>
    <t>Term</t>
  </si>
  <si>
    <t>2026-02-08</t>
  </si>
  <si>
    <t>100.00</t>
  </si>
  <si>
    <t>48.54</t>
  </si>
  <si>
    <t>1.3700</t>
  </si>
  <si>
    <t>66.50</t>
  </si>
  <si>
    <t/>
  </si>
  <si>
    <t>2026-03-06</t>
  </si>
  <si>
    <t>14JK2</t>
  </si>
  <si>
    <t>CHOI, ANDREW</t>
  </si>
  <si>
    <t>7250121607</t>
  </si>
  <si>
    <t>REYNA</t>
  </si>
  <si>
    <t>2025-07-28</t>
  </si>
  <si>
    <t>108.25</t>
  </si>
  <si>
    <t>148.30</t>
  </si>
  <si>
    <t>7240101224</t>
  </si>
  <si>
    <t>MCGARY</t>
  </si>
  <si>
    <t>2024-12-01</t>
  </si>
  <si>
    <t>102.93</t>
  </si>
  <si>
    <t>0.0600</t>
  </si>
  <si>
    <t>6.18</t>
  </si>
  <si>
    <t>7240125202</t>
  </si>
  <si>
    <t>CRESSY</t>
  </si>
  <si>
    <t>2024-12-28</t>
  </si>
  <si>
    <t>132.10</t>
  </si>
  <si>
    <t>0.0275</t>
  </si>
  <si>
    <t>3.63</t>
  </si>
  <si>
    <t>2026-03-27</t>
  </si>
  <si>
    <t>7250242384</t>
  </si>
  <si>
    <t>RITCHIE</t>
  </si>
  <si>
    <t>2025-12-25</t>
  </si>
  <si>
    <t>111.00</t>
  </si>
  <si>
    <t>152.07</t>
  </si>
  <si>
    <t>2026-03-13</t>
  </si>
  <si>
    <t>14QX4</t>
  </si>
  <si>
    <t>INSKIPT, DEBORAH</t>
  </si>
  <si>
    <t>6250205165</t>
  </si>
  <si>
    <t>KIGER</t>
  </si>
  <si>
    <t>2025-12-05</t>
  </si>
  <si>
    <t>33.45</t>
  </si>
  <si>
    <t>0.9000</t>
  </si>
  <si>
    <t>30.11</t>
  </si>
  <si>
    <t>7240123973</t>
  </si>
  <si>
    <t>LOVE</t>
  </si>
  <si>
    <t>2025-01-06</t>
  </si>
  <si>
    <t>85.91</t>
  </si>
  <si>
    <t>2.36</t>
  </si>
  <si>
    <t>-48.54</t>
  </si>
  <si>
    <t>-66.50</t>
  </si>
  <si>
    <t>7250200941</t>
  </si>
  <si>
    <t>PURCELL</t>
  </si>
  <si>
    <t>2025-11-01</t>
  </si>
  <si>
    <t>101.60</t>
  </si>
  <si>
    <t>139.19</t>
  </si>
  <si>
    <t>1FGJ5</t>
  </si>
  <si>
    <t>BRANDT, STEVEN</t>
  </si>
  <si>
    <t>7260020034</t>
  </si>
  <si>
    <t>HARSHMAN</t>
  </si>
  <si>
    <t>2026-03-03</t>
  </si>
  <si>
    <t>-75.45</t>
  </si>
  <si>
    <t>0.9450</t>
  </si>
  <si>
    <t>-71.30</t>
  </si>
  <si>
    <t>7250257834</t>
  </si>
  <si>
    <t>KRAWIEC</t>
  </si>
  <si>
    <t>2026-01-01</t>
  </si>
  <si>
    <t>108.67</t>
  </si>
  <si>
    <t>148.88</t>
  </si>
  <si>
    <t>7250257754</t>
  </si>
  <si>
    <t>BOROWIEC</t>
  </si>
  <si>
    <t>101.00</t>
  </si>
  <si>
    <t>138.37</t>
  </si>
  <si>
    <t>14JT4</t>
  </si>
  <si>
    <t>WALENGA, DALE</t>
  </si>
  <si>
    <t>7240098094</t>
  </si>
  <si>
    <t>LOPRIORE</t>
  </si>
  <si>
    <t>2024-10-16</t>
  </si>
  <si>
    <t>44.79</t>
  </si>
  <si>
    <t>2.69</t>
  </si>
  <si>
    <t>1FJU8</t>
  </si>
  <si>
    <t>ROLLER, JASON</t>
  </si>
  <si>
    <t>7250131409</t>
  </si>
  <si>
    <t>CLARKE LENNON</t>
  </si>
  <si>
    <t>2025-08-19</t>
  </si>
  <si>
    <t>4.23</t>
  </si>
  <si>
    <t>5.80</t>
  </si>
  <si>
    <t>14JWQ</t>
  </si>
  <si>
    <t>CALTAGIRONE, RYAN</t>
  </si>
  <si>
    <t>6250063528</t>
  </si>
  <si>
    <t>HAPNER</t>
  </si>
  <si>
    <t>2025-05-01</t>
  </si>
  <si>
    <t>71.91</t>
  </si>
  <si>
    <t>64.72</t>
  </si>
  <si>
    <t>7250256267</t>
  </si>
  <si>
    <t>EGILSKE</t>
  </si>
  <si>
    <t>52.00</t>
  </si>
  <si>
    <t>71.24</t>
  </si>
  <si>
    <t>7250169190</t>
  </si>
  <si>
    <t>HANSEN</t>
  </si>
  <si>
    <t>2025-09-10</t>
  </si>
  <si>
    <t>4.06</t>
  </si>
  <si>
    <t>5.56</t>
  </si>
  <si>
    <t>7250212961</t>
  </si>
  <si>
    <t>KOSNIK</t>
  </si>
  <si>
    <t>102.26</t>
  </si>
  <si>
    <t>140.10</t>
  </si>
  <si>
    <t>7250267282</t>
  </si>
  <si>
    <t>NUTTLE</t>
  </si>
  <si>
    <t>2026-02-01</t>
  </si>
  <si>
    <t>99.25</t>
  </si>
  <si>
    <t>93.79</t>
  </si>
  <si>
    <t>7250254927</t>
  </si>
  <si>
    <t>BLANCAS GARCIA</t>
  </si>
  <si>
    <t>160.00</t>
  </si>
  <si>
    <t>219.20</t>
  </si>
  <si>
    <t>7250134006</t>
  </si>
  <si>
    <t>SANCHEZ</t>
  </si>
  <si>
    <t>2025-08-27</t>
  </si>
  <si>
    <t>155.47</t>
  </si>
  <si>
    <t>212.99</t>
  </si>
  <si>
    <t>15R6V</t>
  </si>
  <si>
    <t>TAUGNER, CHRISTIAN</t>
  </si>
  <si>
    <t>7250228593</t>
  </si>
  <si>
    <t>BONAVOLANTO</t>
  </si>
  <si>
    <t>2025-11-22</t>
  </si>
  <si>
    <t>2.47</t>
  </si>
  <si>
    <t>3.38</t>
  </si>
  <si>
    <t>7250026367</t>
  </si>
  <si>
    <t>CONNERY</t>
  </si>
  <si>
    <t>2025-02-28</t>
  </si>
  <si>
    <t>93.30</t>
  </si>
  <si>
    <t>2.57</t>
  </si>
  <si>
    <t>7250204150</t>
  </si>
  <si>
    <t>HARDY</t>
  </si>
  <si>
    <t>2025-10-22</t>
  </si>
  <si>
    <t>228.47</t>
  </si>
  <si>
    <t>313.00</t>
  </si>
  <si>
    <t>7250259160</t>
  </si>
  <si>
    <t>OHANIAN</t>
  </si>
  <si>
    <t>5.03</t>
  </si>
  <si>
    <t>6.89</t>
  </si>
  <si>
    <t>7240119914</t>
  </si>
  <si>
    <t>JACKSON</t>
  </si>
  <si>
    <t>2025-01-01</t>
  </si>
  <si>
    <t>78.10</t>
  </si>
  <si>
    <t>4.69</t>
  </si>
  <si>
    <t>1KPU2</t>
  </si>
  <si>
    <t>ALLAN, H</t>
  </si>
  <si>
    <t>7260075332</t>
  </si>
  <si>
    <t>CARROLL</t>
  </si>
  <si>
    <t>2026-03-21</t>
  </si>
  <si>
    <t>35.00</t>
  </si>
  <si>
    <t>47.95</t>
  </si>
  <si>
    <t>7240113999</t>
  </si>
  <si>
    <t>SAVOY</t>
  </si>
  <si>
    <t>128.80</t>
  </si>
  <si>
    <t>7.73</t>
  </si>
  <si>
    <t>7240116791</t>
  </si>
  <si>
    <t>NAHLEY</t>
  </si>
  <si>
    <t>102.23</t>
  </si>
  <si>
    <t>6.13</t>
  </si>
  <si>
    <t>7250131554</t>
  </si>
  <si>
    <t>STRAUSS</t>
  </si>
  <si>
    <t>2025-08-05</t>
  </si>
  <si>
    <t>3.75</t>
  </si>
  <si>
    <t>5.14</t>
  </si>
  <si>
    <t>14NG1</t>
  </si>
  <si>
    <t>PETRUNGARO, ANDREA</t>
  </si>
  <si>
    <t>7250052846</t>
  </si>
  <si>
    <t>CLIENT</t>
  </si>
  <si>
    <t>2025-04-05</t>
  </si>
  <si>
    <t>95.23</t>
  </si>
  <si>
    <t>130.47</t>
  </si>
  <si>
    <t>7250242858</t>
  </si>
  <si>
    <t>RUSSO</t>
  </si>
  <si>
    <t>104.67</t>
  </si>
  <si>
    <t>98.91</t>
  </si>
  <si>
    <t>7250059859</t>
  </si>
  <si>
    <t>HIVON</t>
  </si>
  <si>
    <t>92.91</t>
  </si>
  <si>
    <t>127.29</t>
  </si>
  <si>
    <t>1811F</t>
  </si>
  <si>
    <t>LISKOVEC, FRANK</t>
  </si>
  <si>
    <t>7250163636</t>
  </si>
  <si>
    <t>KOMA</t>
  </si>
  <si>
    <t>2025-09-02</t>
  </si>
  <si>
    <t>268.20</t>
  </si>
  <si>
    <t>367.43</t>
  </si>
  <si>
    <t>7250266530</t>
  </si>
  <si>
    <t>HARRIS</t>
  </si>
  <si>
    <t>2025-12-28</t>
  </si>
  <si>
    <t>4.83</t>
  </si>
  <si>
    <t>6.62</t>
  </si>
  <si>
    <t>187MH</t>
  </si>
  <si>
    <t>WERNER, STEVEN</t>
  </si>
  <si>
    <t>6250111822</t>
  </si>
  <si>
    <t>DALY</t>
  </si>
  <si>
    <t>2025-07-14</t>
  </si>
  <si>
    <t>140.27</t>
  </si>
  <si>
    <t>126.24</t>
  </si>
  <si>
    <t>7240122461</t>
  </si>
  <si>
    <t>PHELPS</t>
  </si>
  <si>
    <t>81.52</t>
  </si>
  <si>
    <t>4.89</t>
  </si>
  <si>
    <t>7250057563</t>
  </si>
  <si>
    <t>JAROS</t>
  </si>
  <si>
    <t>76.85</t>
  </si>
  <si>
    <t>105.28</t>
  </si>
  <si>
    <t>7240122077</t>
  </si>
  <si>
    <t>STOCKER</t>
  </si>
  <si>
    <t>96.30</t>
  </si>
  <si>
    <t>5.78</t>
  </si>
  <si>
    <t>7250132001</t>
  </si>
  <si>
    <t>DAVEY</t>
  </si>
  <si>
    <t>2025-08-01</t>
  </si>
  <si>
    <t>3.70</t>
  </si>
  <si>
    <t>5.07</t>
  </si>
  <si>
    <t>19XW6</t>
  </si>
  <si>
    <t>RICHTER, ADAM</t>
  </si>
  <si>
    <t>7250170394</t>
  </si>
  <si>
    <t>TYLER</t>
  </si>
  <si>
    <t>55.58</t>
  </si>
  <si>
    <t>76.14</t>
  </si>
  <si>
    <t>7250243279</t>
  </si>
  <si>
    <t>GUSICH</t>
  </si>
  <si>
    <t>143.40</t>
  </si>
  <si>
    <t>7250171145</t>
  </si>
  <si>
    <t>FLORY</t>
  </si>
  <si>
    <t>2025-09-20</t>
  </si>
  <si>
    <t>52.80</t>
  </si>
  <si>
    <t>72.34</t>
  </si>
  <si>
    <t>7250182035</t>
  </si>
  <si>
    <t>MELLO</t>
  </si>
  <si>
    <t>2025-09-23</t>
  </si>
  <si>
    <t>111.01</t>
  </si>
  <si>
    <t>104.90</t>
  </si>
  <si>
    <t>7250130383</t>
  </si>
  <si>
    <t>PATER</t>
  </si>
  <si>
    <t>2025-07-23</t>
  </si>
  <si>
    <t>151.89</t>
  </si>
  <si>
    <t>208.09</t>
  </si>
  <si>
    <t>73.20</t>
  </si>
  <si>
    <t>100.28</t>
  </si>
  <si>
    <t>7240119755</t>
  </si>
  <si>
    <t>ROPSKI</t>
  </si>
  <si>
    <t>2024-12-25</t>
  </si>
  <si>
    <t>98.56</t>
  </si>
  <si>
    <t>5.91</t>
  </si>
  <si>
    <t>7250139267</t>
  </si>
  <si>
    <t>KOWALCZYK</t>
  </si>
  <si>
    <t>2025-08-14</t>
  </si>
  <si>
    <t>109.45</t>
  </si>
  <si>
    <t>149.95</t>
  </si>
  <si>
    <t>6250217507</t>
  </si>
  <si>
    <t>SHIPKIN</t>
  </si>
  <si>
    <t>80.59</t>
  </si>
  <si>
    <t>72.53</t>
  </si>
  <si>
    <t>7250128521</t>
  </si>
  <si>
    <t>FITZSIMMONS</t>
  </si>
  <si>
    <t>98.09</t>
  </si>
  <si>
    <t>134.38</t>
  </si>
  <si>
    <t>7260068210</t>
  </si>
  <si>
    <t>VINCENT</t>
  </si>
  <si>
    <t>2026-03-14</t>
  </si>
  <si>
    <t>69.58</t>
  </si>
  <si>
    <t>95.32</t>
  </si>
  <si>
    <t>7250256844</t>
  </si>
  <si>
    <t>RAPP</t>
  </si>
  <si>
    <t>102.34</t>
  </si>
  <si>
    <t>140.21</t>
  </si>
  <si>
    <t>7250246306</t>
  </si>
  <si>
    <t>KANALEY</t>
  </si>
  <si>
    <t>102.00</t>
  </si>
  <si>
    <t>139.74</t>
  </si>
  <si>
    <t>7250170272</t>
  </si>
  <si>
    <t>WALKER</t>
  </si>
  <si>
    <t>2025-09-16</t>
  </si>
  <si>
    <t>86.32</t>
  </si>
  <si>
    <t>118.26</t>
  </si>
  <si>
    <t>7260058500</t>
  </si>
  <si>
    <t>KAUFFMAN</t>
  </si>
  <si>
    <t>2026-03-15</t>
  </si>
  <si>
    <t>-104.09</t>
  </si>
  <si>
    <t>-142.60</t>
  </si>
  <si>
    <t>7240122919</t>
  </si>
  <si>
    <t>73.79</t>
  </si>
  <si>
    <t>4.43</t>
  </si>
  <si>
    <t>6250214763</t>
  </si>
  <si>
    <t>BEGESCHKE</t>
  </si>
  <si>
    <t>109.50</t>
  </si>
  <si>
    <t>98.55</t>
  </si>
  <si>
    <t>7250104789</t>
  </si>
  <si>
    <t>2025-06-26</t>
  </si>
  <si>
    <t>99.86</t>
  </si>
  <si>
    <t>136.81</t>
  </si>
  <si>
    <t>7250259170</t>
  </si>
  <si>
    <t>149.72</t>
  </si>
  <si>
    <t>205.12</t>
  </si>
  <si>
    <t>7240098074</t>
  </si>
  <si>
    <t>61.81</t>
  </si>
  <si>
    <t>3.71</t>
  </si>
  <si>
    <t>7250247464</t>
  </si>
  <si>
    <t>DEVINE</t>
  </si>
  <si>
    <t>151.00</t>
  </si>
  <si>
    <t>206.87</t>
  </si>
  <si>
    <t>7250210310</t>
  </si>
  <si>
    <t>SMITH</t>
  </si>
  <si>
    <t>2025-11-25</t>
  </si>
  <si>
    <t>120.06</t>
  </si>
  <si>
    <t>113.46</t>
  </si>
  <si>
    <t>7250139741</t>
  </si>
  <si>
    <t>7250195097</t>
  </si>
  <si>
    <t>EVANS</t>
  </si>
  <si>
    <t>2025-11-08</t>
  </si>
  <si>
    <t>3.92</t>
  </si>
  <si>
    <t>5.37</t>
  </si>
  <si>
    <t>7250252682</t>
  </si>
  <si>
    <t>MASELLA</t>
  </si>
  <si>
    <t>82.00</t>
  </si>
  <si>
    <t>112.34</t>
  </si>
  <si>
    <t>7260030654</t>
  </si>
  <si>
    <t>CONFORTI</t>
  </si>
  <si>
    <t>2026-03-01</t>
  </si>
  <si>
    <t>52.63</t>
  </si>
  <si>
    <t>72.10</t>
  </si>
  <si>
    <t>7240119703</t>
  </si>
  <si>
    <t>102.68</t>
  </si>
  <si>
    <t>6.16</t>
  </si>
  <si>
    <t>7250244631</t>
  </si>
  <si>
    <t>SCHULTZ</t>
  </si>
  <si>
    <t>119.00</t>
  </si>
  <si>
    <t>112.46</t>
  </si>
  <si>
    <t>7250135854</t>
  </si>
  <si>
    <t>KAPPELMAN</t>
  </si>
  <si>
    <t>2025-08-28</t>
  </si>
  <si>
    <t>86.40</t>
  </si>
  <si>
    <t>81.65</t>
  </si>
  <si>
    <t>7240115124</t>
  </si>
  <si>
    <t>ETTERS</t>
  </si>
  <si>
    <t>79.00</t>
  </si>
  <si>
    <t>4.74</t>
  </si>
  <si>
    <t>7250000354</t>
  </si>
  <si>
    <t>SCHULD</t>
  </si>
  <si>
    <t>2025-02-01</t>
  </si>
  <si>
    <t>6.81</t>
  </si>
  <si>
    <t>7250139233</t>
  </si>
  <si>
    <t>4.41</t>
  </si>
  <si>
    <t>6.04</t>
  </si>
  <si>
    <t>7240122471</t>
  </si>
  <si>
    <t>KARPIEL</t>
  </si>
  <si>
    <t>80.96</t>
  </si>
  <si>
    <t>2.23</t>
  </si>
  <si>
    <t>7250263530</t>
  </si>
  <si>
    <t>MANIC</t>
  </si>
  <si>
    <t>2025-12-23</t>
  </si>
  <si>
    <t>121.02</t>
  </si>
  <si>
    <t>165.80</t>
  </si>
  <si>
    <t>7250060334</t>
  </si>
  <si>
    <t>91.00</t>
  </si>
  <si>
    <t>124.67</t>
  </si>
  <si>
    <t>7250257885</t>
  </si>
  <si>
    <t>HOFFMAN</t>
  </si>
  <si>
    <t>69.00</t>
  </si>
  <si>
    <t>94.53</t>
  </si>
  <si>
    <t>7250136480</t>
  </si>
  <si>
    <t>AURRICHIO</t>
  </si>
  <si>
    <t>55.57</t>
  </si>
  <si>
    <t>76.13</t>
  </si>
  <si>
    <t>17YJ2</t>
  </si>
  <si>
    <t>FOLEY, CAROL</t>
  </si>
  <si>
    <t>7250064114</t>
  </si>
  <si>
    <t>POPE</t>
  </si>
  <si>
    <t>2025-04-23</t>
  </si>
  <si>
    <t>160.93</t>
  </si>
  <si>
    <t>152.08</t>
  </si>
  <si>
    <t>6260062055</t>
  </si>
  <si>
    <t>ROBBINS</t>
  </si>
  <si>
    <t>2026-03-18</t>
  </si>
  <si>
    <t>50.42</t>
  </si>
  <si>
    <t>45.38</t>
  </si>
  <si>
    <t>7250193100</t>
  </si>
  <si>
    <t>SANTANGELO</t>
  </si>
  <si>
    <t>2025-10-10</t>
  </si>
  <si>
    <t>102.77</t>
  </si>
  <si>
    <t>140.79</t>
  </si>
  <si>
    <t>7250239289</t>
  </si>
  <si>
    <t>BRISCOE</t>
  </si>
  <si>
    <t>98.60</t>
  </si>
  <si>
    <t>135.08</t>
  </si>
  <si>
    <t>6250218358</t>
  </si>
  <si>
    <t>GOLDA</t>
  </si>
  <si>
    <t>121.08</t>
  </si>
  <si>
    <t>108.97</t>
  </si>
  <si>
    <t>7250031045</t>
  </si>
  <si>
    <t>REMIAS</t>
  </si>
  <si>
    <t>2025-04-01</t>
  </si>
  <si>
    <t>101.78</t>
  </si>
  <si>
    <t>139.44</t>
  </si>
  <si>
    <t>7250242914</t>
  </si>
  <si>
    <t>BRENNAN</t>
  </si>
  <si>
    <t>104.00</t>
  </si>
  <si>
    <t>142.48</t>
  </si>
  <si>
    <t>7250169460</t>
  </si>
  <si>
    <t>LIST</t>
  </si>
  <si>
    <t>28.00</t>
  </si>
  <si>
    <t>38.36</t>
  </si>
  <si>
    <t>6250209322</t>
  </si>
  <si>
    <t>104.45</t>
  </si>
  <si>
    <t>94.01</t>
  </si>
  <si>
    <t>108.77</t>
  </si>
  <si>
    <t>149.01</t>
  </si>
  <si>
    <t>7250129739</t>
  </si>
  <si>
    <t>KOZA</t>
  </si>
  <si>
    <t>70.58</t>
  </si>
  <si>
    <t>96.69</t>
  </si>
  <si>
    <t>7250241040</t>
  </si>
  <si>
    <t>DE LOS REYES</t>
  </si>
  <si>
    <t>201.13</t>
  </si>
  <si>
    <t>275.55</t>
  </si>
  <si>
    <t>7250152061</t>
  </si>
  <si>
    <t>MCCLELLAN</t>
  </si>
  <si>
    <t>2025-09-01</t>
  </si>
  <si>
    <t>84.68</t>
  </si>
  <si>
    <t>7250233926</t>
  </si>
  <si>
    <t>VOLPENDESTA</t>
  </si>
  <si>
    <t>2025-11-19</t>
  </si>
  <si>
    <t>45.75</t>
  </si>
  <si>
    <t>62.68</t>
  </si>
  <si>
    <t>7250132579</t>
  </si>
  <si>
    <t>DEVEE</t>
  </si>
  <si>
    <t>7.95</t>
  </si>
  <si>
    <t>7240123968</t>
  </si>
  <si>
    <t>80.34</t>
  </si>
  <si>
    <t>2.21</t>
  </si>
  <si>
    <t>7240112327</t>
  </si>
  <si>
    <t>SKENDER</t>
  </si>
  <si>
    <t>114.98</t>
  </si>
  <si>
    <t>6.90</t>
  </si>
  <si>
    <t>7250249151</t>
  </si>
  <si>
    <t>FOX</t>
  </si>
  <si>
    <t>2025-12-07</t>
  </si>
  <si>
    <t>7250241966</t>
  </si>
  <si>
    <t>MEYER</t>
  </si>
  <si>
    <t>88.00</t>
  </si>
  <si>
    <t>120.56</t>
  </si>
  <si>
    <t>7250151538</t>
  </si>
  <si>
    <t>BLASCO</t>
  </si>
  <si>
    <t>102.64</t>
  </si>
  <si>
    <t>140.62</t>
  </si>
  <si>
    <t>7250242824</t>
  </si>
  <si>
    <t>MACLEAN SCHANZ</t>
  </si>
  <si>
    <t>111.63</t>
  </si>
  <si>
    <t>152.93</t>
  </si>
  <si>
    <t>104.09</t>
  </si>
  <si>
    <t>142.60</t>
  </si>
  <si>
    <t>7240112385</t>
  </si>
  <si>
    <t>TYNAN</t>
  </si>
  <si>
    <t>91.63</t>
  </si>
  <si>
    <t>5.50</t>
  </si>
  <si>
    <t>7250241499</t>
  </si>
  <si>
    <t>RYTINA</t>
  </si>
  <si>
    <t>102.40</t>
  </si>
  <si>
    <t>140.29</t>
  </si>
  <si>
    <t>7250182527</t>
  </si>
  <si>
    <t>JOHNSON KING</t>
  </si>
  <si>
    <t>2025-11-13</t>
  </si>
  <si>
    <t>106.14</t>
  </si>
  <si>
    <t>145.41</t>
  </si>
  <si>
    <t>7250128277</t>
  </si>
  <si>
    <t>THOMPSON</t>
  </si>
  <si>
    <t>2025-07-22</t>
  </si>
  <si>
    <t>193.53</t>
  </si>
  <si>
    <t>265.14</t>
  </si>
  <si>
    <t>75.45</t>
  </si>
  <si>
    <t>71.30</t>
  </si>
  <si>
    <t>10.10</t>
  </si>
  <si>
    <t>13.84</t>
  </si>
  <si>
    <t>7250001863</t>
  </si>
  <si>
    <t>113.80</t>
  </si>
  <si>
    <t>3.13</t>
  </si>
  <si>
    <t>7240112516</t>
  </si>
  <si>
    <t>SPLANT</t>
  </si>
  <si>
    <t>145.00</t>
  </si>
  <si>
    <t>3.99</t>
  </si>
  <si>
    <t>7250133520</t>
  </si>
  <si>
    <t>JOHNSTON</t>
  </si>
  <si>
    <t>2025-08-15</t>
  </si>
  <si>
    <t>117.40</t>
  </si>
  <si>
    <t>160.84</t>
  </si>
  <si>
    <t>7250037352</t>
  </si>
  <si>
    <t>WEISS</t>
  </si>
  <si>
    <t>101.26</t>
  </si>
  <si>
    <t>138.73</t>
  </si>
  <si>
    <t>7250250280</t>
  </si>
  <si>
    <t>DEMARTINI</t>
  </si>
  <si>
    <t>65.00</t>
  </si>
  <si>
    <t>89.05</t>
  </si>
  <si>
    <t>6250146673</t>
  </si>
  <si>
    <t>MALONE</t>
  </si>
  <si>
    <t>36.19</t>
  </si>
  <si>
    <t>32.57</t>
  </si>
  <si>
    <t>7250006451</t>
  </si>
  <si>
    <t>FORSBERG</t>
  </si>
  <si>
    <t>102.30</t>
  </si>
  <si>
    <t>6.14</t>
  </si>
  <si>
    <t>7250096963</t>
  </si>
  <si>
    <t>DURAY</t>
  </si>
  <si>
    <t>7250256551</t>
  </si>
  <si>
    <t>JOHNSON</t>
  </si>
  <si>
    <t>108.23</t>
  </si>
  <si>
    <t>7250102505</t>
  </si>
  <si>
    <t>MILLER</t>
  </si>
  <si>
    <t>93.78</t>
  </si>
  <si>
    <t>128.48</t>
  </si>
  <si>
    <t>7250254586</t>
  </si>
  <si>
    <t>BLANCAS</t>
  </si>
  <si>
    <t>93.00</t>
  </si>
  <si>
    <t>127.41</t>
  </si>
  <si>
    <t>6260060145</t>
  </si>
  <si>
    <t>DIPASQUALE</t>
  </si>
  <si>
    <t>2026-03-16</t>
  </si>
  <si>
    <t>79.25</t>
  </si>
  <si>
    <t>71.33</t>
  </si>
  <si>
    <t>7250263515</t>
  </si>
  <si>
    <t>109.76</t>
  </si>
  <si>
    <t>150.37</t>
  </si>
  <si>
    <t>7240126463</t>
  </si>
  <si>
    <t>PIRHOFER</t>
  </si>
  <si>
    <t>92.65</t>
  </si>
  <si>
    <t>7240112603</t>
  </si>
  <si>
    <t>FORD</t>
  </si>
  <si>
    <t>62.90</t>
  </si>
  <si>
    <t>3.77</t>
  </si>
  <si>
    <t>7250247728</t>
  </si>
  <si>
    <t>NASH</t>
  </si>
  <si>
    <t>109.00</t>
  </si>
  <si>
    <t>103.01</t>
  </si>
  <si>
    <t>6260037184</t>
  </si>
  <si>
    <t>BELO</t>
  </si>
  <si>
    <t>6250206876</t>
  </si>
  <si>
    <t>THOMAS</t>
  </si>
  <si>
    <t>140.07</t>
  </si>
  <si>
    <t>126.06</t>
  </si>
  <si>
    <t>6250207263</t>
  </si>
  <si>
    <t>BARCLAY</t>
  </si>
  <si>
    <t>101.41</t>
  </si>
  <si>
    <t>91.27</t>
  </si>
  <si>
    <t>4.63</t>
  </si>
  <si>
    <t>7250133944</t>
  </si>
  <si>
    <t>OLSON</t>
  </si>
  <si>
    <t>2025-08-04</t>
  </si>
  <si>
    <t>6.83</t>
  </si>
  <si>
    <t>9.36</t>
  </si>
  <si>
    <t>7250197617</t>
  </si>
  <si>
    <t>WALEWANDER</t>
  </si>
  <si>
    <t>7260017569</t>
  </si>
  <si>
    <t>RATH</t>
  </si>
  <si>
    <t>126.93</t>
  </si>
  <si>
    <t>173.89</t>
  </si>
  <si>
    <t>7240114781</t>
  </si>
  <si>
    <t>POONOOSAMY</t>
  </si>
  <si>
    <t>81.24</t>
  </si>
  <si>
    <t>7250062261</t>
  </si>
  <si>
    <t>32.66</t>
  </si>
  <si>
    <t>44.74</t>
  </si>
  <si>
    <t>7250067462</t>
  </si>
  <si>
    <t>PITTS</t>
  </si>
  <si>
    <t>2025-04-28</t>
  </si>
  <si>
    <t>72.09</t>
  </si>
  <si>
    <t>98.76</t>
  </si>
  <si>
    <t>7250253714</t>
  </si>
  <si>
    <t>EATON</t>
  </si>
  <si>
    <t>47.69</t>
  </si>
  <si>
    <t>65.34</t>
  </si>
  <si>
    <t>6250092297</t>
  </si>
  <si>
    <t>BELL</t>
  </si>
  <si>
    <t>2025-06-05</t>
  </si>
  <si>
    <t>76.01</t>
  </si>
  <si>
    <t>68.41</t>
  </si>
  <si>
    <t>7250241973</t>
  </si>
  <si>
    <t>98.28</t>
  </si>
  <si>
    <t>7260007416</t>
  </si>
  <si>
    <t>ALFARO</t>
  </si>
  <si>
    <t>120.63</t>
  </si>
  <si>
    <t>165.26</t>
  </si>
  <si>
    <t>7240111936</t>
  </si>
  <si>
    <t>CROSBY</t>
  </si>
  <si>
    <t>64.00</t>
  </si>
  <si>
    <t>3.84</t>
  </si>
  <si>
    <t>7260044705</t>
  </si>
  <si>
    <t>KWITSCHAU</t>
  </si>
  <si>
    <t>169.44</t>
  </si>
  <si>
    <t>232.13</t>
  </si>
  <si>
    <t>7250183624</t>
  </si>
  <si>
    <t>THEODORAKAKIS</t>
  </si>
  <si>
    <t>2025-10-25</t>
  </si>
  <si>
    <t>112.68</t>
  </si>
  <si>
    <t>154.37</t>
  </si>
  <si>
    <t>7240121167</t>
  </si>
  <si>
    <t>HEIN</t>
  </si>
  <si>
    <t>98.46</t>
  </si>
  <si>
    <t>7250097140</t>
  </si>
  <si>
    <t>98.00</t>
  </si>
  <si>
    <t>134.26</t>
  </si>
  <si>
    <t>7250253450</t>
  </si>
  <si>
    <t>71.25</t>
  </si>
  <si>
    <t>67.33</t>
  </si>
  <si>
    <t>6260052027</t>
  </si>
  <si>
    <t>REGALADO</t>
  </si>
  <si>
    <t>144.33</t>
  </si>
  <si>
    <t>129.90</t>
  </si>
  <si>
    <t>7250149956</t>
  </si>
  <si>
    <t>WENT</t>
  </si>
  <si>
    <t>48.96</t>
  </si>
  <si>
    <t>46.27</t>
  </si>
  <si>
    <t>7250037369</t>
  </si>
  <si>
    <t>103.78</t>
  </si>
  <si>
    <t>142.18</t>
  </si>
  <si>
    <t>6250100038</t>
  </si>
  <si>
    <t>SCHUTJER</t>
  </si>
  <si>
    <t>2025-07-03</t>
  </si>
  <si>
    <t>65.42</t>
  </si>
  <si>
    <t>58.88</t>
  </si>
  <si>
    <t>7240112093</t>
  </si>
  <si>
    <t>CASSATO</t>
  </si>
  <si>
    <t>7250155601</t>
  </si>
  <si>
    <t>DAUER</t>
  </si>
  <si>
    <t>2025-08-21</t>
  </si>
  <si>
    <t>111.39</t>
  </si>
  <si>
    <t>105.26</t>
  </si>
  <si>
    <t>7250125384</t>
  </si>
  <si>
    <t>GARZA</t>
  </si>
  <si>
    <t>2025-07-16</t>
  </si>
  <si>
    <t>113.28</t>
  </si>
  <si>
    <t>155.19</t>
  </si>
  <si>
    <t>7250253613</t>
  </si>
  <si>
    <t>ANTOSH</t>
  </si>
  <si>
    <t>84.00</t>
  </si>
  <si>
    <t>115.08</t>
  </si>
  <si>
    <t>7250186205</t>
  </si>
  <si>
    <t>GARY</t>
  </si>
  <si>
    <t>2025-10-02</t>
  </si>
  <si>
    <t>29.60</t>
  </si>
  <si>
    <t>27.97</t>
  </si>
  <si>
    <t>7250171087</t>
  </si>
  <si>
    <t>77.55</t>
  </si>
  <si>
    <t>106.24</t>
  </si>
  <si>
    <t>7250158819</t>
  </si>
  <si>
    <t>SASAKI</t>
  </si>
  <si>
    <t>2025-09-25</t>
  </si>
  <si>
    <t>130.00</t>
  </si>
  <si>
    <t>178.10</t>
  </si>
  <si>
    <t>7250097410</t>
  </si>
  <si>
    <t>NOWAKOWSKI</t>
  </si>
  <si>
    <t>6250214889</t>
  </si>
  <si>
    <t>112.90</t>
  </si>
  <si>
    <t>101.61</t>
  </si>
  <si>
    <t>6250217503</t>
  </si>
  <si>
    <t>REIF</t>
  </si>
  <si>
    <t>112.02</t>
  </si>
  <si>
    <t>100.82</t>
  </si>
  <si>
    <t>5.25</t>
  </si>
  <si>
    <t>7.19</t>
  </si>
  <si>
    <t>7250161361</t>
  </si>
  <si>
    <t>OLDENBURG</t>
  </si>
  <si>
    <t>8.44</t>
  </si>
  <si>
    <t>7240101268</t>
  </si>
  <si>
    <t>PILCHER</t>
  </si>
  <si>
    <t>2024-11-01</t>
  </si>
  <si>
    <t>116.07</t>
  </si>
  <si>
    <t>3.19</t>
  </si>
  <si>
    <t>7250169502</t>
  </si>
  <si>
    <t>51.07</t>
  </si>
  <si>
    <t>48.26</t>
  </si>
  <si>
    <t>7250065229</t>
  </si>
  <si>
    <t>VOLPE</t>
  </si>
  <si>
    <t>2025-05-15</t>
  </si>
  <si>
    <t>200.32</t>
  </si>
  <si>
    <t>189.30</t>
  </si>
  <si>
    <t>7250240292</t>
  </si>
  <si>
    <t>WOLFE</t>
  </si>
  <si>
    <t>105.45</t>
  </si>
  <si>
    <t>144.47</t>
  </si>
  <si>
    <t>7260010909</t>
  </si>
  <si>
    <t>TEHAN</t>
  </si>
  <si>
    <t>144.26</t>
  </si>
  <si>
    <t>197.64</t>
  </si>
  <si>
    <t>7240125223</t>
  </si>
  <si>
    <t>88.23</t>
  </si>
  <si>
    <t>5.29</t>
  </si>
  <si>
    <t>6260060191</t>
  </si>
  <si>
    <t>RAGLAND</t>
  </si>
  <si>
    <t>180.66</t>
  </si>
  <si>
    <t>162.59</t>
  </si>
  <si>
    <t>127.84</t>
  </si>
  <si>
    <t>175.14</t>
  </si>
  <si>
    <t>7250043503</t>
  </si>
  <si>
    <t>SCIARRONE</t>
  </si>
  <si>
    <t>125.22</t>
  </si>
  <si>
    <t>171.55</t>
  </si>
  <si>
    <t>7250241677</t>
  </si>
  <si>
    <t>RIALLA</t>
  </si>
  <si>
    <t>77.00</t>
  </si>
  <si>
    <t>105.49</t>
  </si>
  <si>
    <t>7250184227</t>
  </si>
  <si>
    <t>PANATTONI</t>
  </si>
  <si>
    <t>7250088780</t>
  </si>
  <si>
    <t>BELL JR</t>
  </si>
  <si>
    <t>2025-05-28</t>
  </si>
  <si>
    <t>80.77</t>
  </si>
  <si>
    <t>76.33</t>
  </si>
  <si>
    <t>7240110570</t>
  </si>
  <si>
    <t>RAMSEY</t>
  </si>
  <si>
    <t>68.97</t>
  </si>
  <si>
    <t>4.14</t>
  </si>
  <si>
    <t>7240110364</t>
  </si>
  <si>
    <t>MINJARES</t>
  </si>
  <si>
    <t>2024-11-08</t>
  </si>
  <si>
    <t>50.65</t>
  </si>
  <si>
    <t>3.04</t>
  </si>
  <si>
    <t>7250094626</t>
  </si>
  <si>
    <t>ROSS</t>
  </si>
  <si>
    <t>95.00</t>
  </si>
  <si>
    <t>130.15</t>
  </si>
  <si>
    <t>6250158506</t>
  </si>
  <si>
    <t>SANDOVAL</t>
  </si>
  <si>
    <t>74.07</t>
  </si>
  <si>
    <t>66.66</t>
  </si>
  <si>
    <t>178.20</t>
  </si>
  <si>
    <t>244.13</t>
  </si>
  <si>
    <t>7240112321</t>
  </si>
  <si>
    <t>RICHERT</t>
  </si>
  <si>
    <t>6.32</t>
  </si>
  <si>
    <t>7250247442</t>
  </si>
  <si>
    <t>149.00</t>
  </si>
  <si>
    <t>204.13</t>
  </si>
  <si>
    <t>7250241053</t>
  </si>
  <si>
    <t>152.00</t>
  </si>
  <si>
    <t>208.24</t>
  </si>
  <si>
    <t>7240101034</t>
  </si>
  <si>
    <t>GALLINA</t>
  </si>
  <si>
    <t>106.65</t>
  </si>
  <si>
    <t>6.40</t>
  </si>
  <si>
    <t>7250131524</t>
  </si>
  <si>
    <t>124.76</t>
  </si>
  <si>
    <t>170.92</t>
  </si>
  <si>
    <t>7250247874</t>
  </si>
  <si>
    <t>KLEIN</t>
  </si>
  <si>
    <t>47.00</t>
  </si>
  <si>
    <t>64.39</t>
  </si>
  <si>
    <t>7250171748</t>
  </si>
  <si>
    <t>2025-09-12</t>
  </si>
  <si>
    <t>177.84</t>
  </si>
  <si>
    <t>168.06</t>
  </si>
  <si>
    <t>7250184438</t>
  </si>
  <si>
    <t>DEBATTISTA</t>
  </si>
  <si>
    <t>2025-10-15</t>
  </si>
  <si>
    <t>58.24</t>
  </si>
  <si>
    <t>79.79</t>
  </si>
  <si>
    <t>7240121170</t>
  </si>
  <si>
    <t>TOBIAS</t>
  </si>
  <si>
    <t>93.43</t>
  </si>
  <si>
    <t>5.61</t>
  </si>
  <si>
    <t>1818X</t>
  </si>
  <si>
    <t>HUNSBERGER, ANTHONY</t>
  </si>
  <si>
    <t>6250134171</t>
  </si>
  <si>
    <t>OUTLAW</t>
  </si>
  <si>
    <t>78.58</t>
  </si>
  <si>
    <t>70.72</t>
  </si>
  <si>
    <t>7250257861</t>
  </si>
  <si>
    <t>KATAYAMA</t>
  </si>
  <si>
    <t>105.00</t>
  </si>
  <si>
    <t>99.23</t>
  </si>
  <si>
    <t>7250256522</t>
  </si>
  <si>
    <t>WAGGONER</t>
  </si>
  <si>
    <t>86.73</t>
  </si>
  <si>
    <t>81.96</t>
  </si>
  <si>
    <t>7250240607</t>
  </si>
  <si>
    <t>IANNACE</t>
  </si>
  <si>
    <t>108.65</t>
  </si>
  <si>
    <t>148.85</t>
  </si>
  <si>
    <t>7240110753</t>
  </si>
  <si>
    <t>SHEE</t>
  </si>
  <si>
    <t>104.23</t>
  </si>
  <si>
    <t>2.87</t>
  </si>
  <si>
    <t>119.64</t>
  </si>
  <si>
    <t>163.91</t>
  </si>
  <si>
    <t>6250121740</t>
  </si>
  <si>
    <t>KRAMER</t>
  </si>
  <si>
    <t>76.53</t>
  </si>
  <si>
    <t>68.88</t>
  </si>
  <si>
    <t>7260046349</t>
  </si>
  <si>
    <t>102.63</t>
  </si>
  <si>
    <t>140.60</t>
  </si>
  <si>
    <t>7260028811</t>
  </si>
  <si>
    <t>DELABAR</t>
  </si>
  <si>
    <t>121.06</t>
  </si>
  <si>
    <t>165.85</t>
  </si>
  <si>
    <t>77.60</t>
  </si>
  <si>
    <t>106.31</t>
  </si>
  <si>
    <t>7250257798</t>
  </si>
  <si>
    <t>103.45</t>
  </si>
  <si>
    <t>141.73</t>
  </si>
  <si>
    <t>2.58</t>
  </si>
  <si>
    <t>3.53</t>
  </si>
  <si>
    <t>7240119193</t>
  </si>
  <si>
    <t>ADAMEK</t>
  </si>
  <si>
    <t>68.61</t>
  </si>
  <si>
    <t>4.12</t>
  </si>
  <si>
    <t>7250123977</t>
  </si>
  <si>
    <t>SPASO</t>
  </si>
  <si>
    <t>102.96</t>
  </si>
  <si>
    <t>141.06</t>
  </si>
  <si>
    <t>7260026006</t>
  </si>
  <si>
    <t>107.23</t>
  </si>
  <si>
    <t>146.91</t>
  </si>
  <si>
    <t>7240114243</t>
  </si>
  <si>
    <t>ZURAWSKI</t>
  </si>
  <si>
    <t>7250258238</t>
  </si>
  <si>
    <t>VALENTIN</t>
  </si>
  <si>
    <t>7250247798</t>
  </si>
  <si>
    <t>SLATKOFF</t>
  </si>
  <si>
    <t>163.03</t>
  </si>
  <si>
    <t>6250171855</t>
  </si>
  <si>
    <t>SILVA</t>
  </si>
  <si>
    <t>2025-10-07</t>
  </si>
  <si>
    <t>112.77</t>
  </si>
  <si>
    <t>101.49</t>
  </si>
  <si>
    <t>6.95</t>
  </si>
  <si>
    <t>7250183661</t>
  </si>
  <si>
    <t>110.16</t>
  </si>
  <si>
    <t>150.92</t>
  </si>
  <si>
    <t>7250242406</t>
  </si>
  <si>
    <t>ANDERSON</t>
  </si>
  <si>
    <t>44.50</t>
  </si>
  <si>
    <t>60.97</t>
  </si>
  <si>
    <t>7240110349</t>
  </si>
  <si>
    <t>25.33</t>
  </si>
  <si>
    <t>1.52</t>
  </si>
  <si>
    <t>98.12</t>
  </si>
  <si>
    <t>134.42</t>
  </si>
  <si>
    <t>7240129740</t>
  </si>
  <si>
    <t>RODRIGUEZ</t>
  </si>
  <si>
    <t>7240118756</t>
  </si>
  <si>
    <t>BRADLEY</t>
  </si>
  <si>
    <t>107.51</t>
  </si>
  <si>
    <t>2.96</t>
  </si>
  <si>
    <t>7250205603</t>
  </si>
  <si>
    <t>JENNINGS</t>
  </si>
  <si>
    <t>2025-11-18</t>
  </si>
  <si>
    <t>38.26</t>
  </si>
  <si>
    <t>36.16</t>
  </si>
  <si>
    <t>7250139118</t>
  </si>
  <si>
    <t>69.59</t>
  </si>
  <si>
    <t>95.34</t>
  </si>
  <si>
    <t>7250147909</t>
  </si>
  <si>
    <t>WESTMORELAND</t>
  </si>
  <si>
    <t>2025-08-13</t>
  </si>
  <si>
    <t>81.57</t>
  </si>
  <si>
    <t>111.75</t>
  </si>
  <si>
    <t>7250168418</t>
  </si>
  <si>
    <t>MILLS</t>
  </si>
  <si>
    <t>2025-09-08</t>
  </si>
  <si>
    <t>7250250764</t>
  </si>
  <si>
    <t>110.00</t>
  </si>
  <si>
    <t>103.95</t>
  </si>
  <si>
    <t>Miscellaneous Account Activity</t>
  </si>
  <si>
    <t>1Q26 Agt Bonus 14JK2</t>
  </si>
  <si>
    <t>Fixed Index Annuity</t>
  </si>
  <si>
    <t>0.00</t>
  </si>
  <si>
    <t>7000.00</t>
  </si>
  <si>
    <t>0.0000</t>
  </si>
  <si>
    <t>7250195078</t>
  </si>
  <si>
    <t>179.87</t>
  </si>
  <si>
    <t>246.42</t>
  </si>
  <si>
    <t>6250206068</t>
  </si>
  <si>
    <t>FORTIER</t>
  </si>
  <si>
    <t>2025-11-26</t>
  </si>
  <si>
    <t>6250169468</t>
  </si>
  <si>
    <t>ZAFIRIADIS</t>
  </si>
  <si>
    <t>79.15</t>
  </si>
  <si>
    <t>7250256836</t>
  </si>
  <si>
    <t>78.62</t>
  </si>
  <si>
    <t>107.71</t>
  </si>
  <si>
    <t>6250187897</t>
  </si>
  <si>
    <t>DUBOIS</t>
  </si>
  <si>
    <t>63.54</t>
  </si>
  <si>
    <t>57.19</t>
  </si>
  <si>
    <t>3.31</t>
  </si>
  <si>
    <t>4.53</t>
  </si>
  <si>
    <t>7250136668</t>
  </si>
  <si>
    <t>CODER</t>
  </si>
  <si>
    <t>127.03</t>
  </si>
  <si>
    <t>174.03</t>
  </si>
  <si>
    <t>6250134924</t>
  </si>
  <si>
    <t>2025-08-12</t>
  </si>
  <si>
    <t>60.74</t>
  </si>
  <si>
    <t>54.67</t>
  </si>
  <si>
    <t>7240112931</t>
  </si>
  <si>
    <t>INTILE</t>
  </si>
  <si>
    <t>77.32</t>
  </si>
  <si>
    <t>4.64</t>
  </si>
  <si>
    <t>7250110087</t>
  </si>
  <si>
    <t>KIM</t>
  </si>
  <si>
    <t>72.68</t>
  </si>
  <si>
    <t>99.57</t>
  </si>
  <si>
    <t>7250070948</t>
  </si>
  <si>
    <t>DICKSON</t>
  </si>
  <si>
    <t>2025-06-01</t>
  </si>
  <si>
    <t>75.98</t>
  </si>
  <si>
    <t>140.80</t>
  </si>
  <si>
    <t>192.90</t>
  </si>
  <si>
    <t>7250081390</t>
  </si>
  <si>
    <t>91.94</t>
  </si>
  <si>
    <t>125.96</t>
  </si>
  <si>
    <t>7250001892</t>
  </si>
  <si>
    <t>112.73</t>
  </si>
  <si>
    <t>6.76</t>
  </si>
  <si>
    <t>7250129238</t>
  </si>
  <si>
    <t>178.00</t>
  </si>
  <si>
    <t>168.21</t>
  </si>
  <si>
    <t>7250267295</t>
  </si>
  <si>
    <t>112.67</t>
  </si>
  <si>
    <t>154.36</t>
  </si>
  <si>
    <t>7240110782</t>
  </si>
  <si>
    <t>113.64</t>
  </si>
  <si>
    <t>7250242849</t>
  </si>
  <si>
    <t>93.61</t>
  </si>
  <si>
    <t>128.25</t>
  </si>
  <si>
    <t>8.08</t>
  </si>
  <si>
    <t>11.07</t>
  </si>
  <si>
    <t>6260038224</t>
  </si>
  <si>
    <t>2026-02-19</t>
  </si>
  <si>
    <t>29.70</t>
  </si>
  <si>
    <t>26.73</t>
  </si>
  <si>
    <t>7250256534</t>
  </si>
  <si>
    <t>GEMPP</t>
  </si>
  <si>
    <t>107.00</t>
  </si>
  <si>
    <t>146.59</t>
  </si>
  <si>
    <t>7250245024</t>
  </si>
  <si>
    <t>HAANPAA</t>
  </si>
  <si>
    <t>6250172656</t>
  </si>
  <si>
    <t>GAWAT</t>
  </si>
  <si>
    <t>7250149911</t>
  </si>
  <si>
    <t>32.27</t>
  </si>
  <si>
    <t>30.50</t>
  </si>
  <si>
    <t>7250239265</t>
  </si>
  <si>
    <t>REICHE</t>
  </si>
  <si>
    <t>94.82</t>
  </si>
  <si>
    <t>7250124322</t>
  </si>
  <si>
    <t>97.54</t>
  </si>
  <si>
    <t>133.63</t>
  </si>
  <si>
    <t>7250256846</t>
  </si>
  <si>
    <t>106.02</t>
  </si>
  <si>
    <t>145.25</t>
  </si>
  <si>
    <t>6250161714</t>
  </si>
  <si>
    <t>FILIPPO</t>
  </si>
  <si>
    <t>127.40</t>
  </si>
  <si>
    <t>114.66</t>
  </si>
  <si>
    <t>7250239243</t>
  </si>
  <si>
    <t>96.62</t>
  </si>
  <si>
    <t>132.37</t>
  </si>
  <si>
    <t>119.81</t>
  </si>
  <si>
    <t>164.14</t>
  </si>
  <si>
    <t>7240114020</t>
  </si>
  <si>
    <t>7250244511</t>
  </si>
  <si>
    <t>112.00</t>
  </si>
  <si>
    <t>153.44</t>
  </si>
  <si>
    <t>6.21</t>
  </si>
  <si>
    <t>8.51</t>
  </si>
  <si>
    <t>7260046751</t>
  </si>
  <si>
    <t>TERRICK</t>
  </si>
  <si>
    <t>73.42</t>
  </si>
  <si>
    <t>100.59</t>
  </si>
  <si>
    <t>7250134970</t>
  </si>
  <si>
    <t>86.38</t>
  </si>
  <si>
    <t>118.34</t>
  </si>
  <si>
    <t>7250242878</t>
  </si>
  <si>
    <t>GLASSMAN</t>
  </si>
  <si>
    <t>83.12</t>
  </si>
  <si>
    <t>113.87</t>
  </si>
  <si>
    <t>Corebridge SimpliNow Legacy Max (137)</t>
  </si>
  <si>
    <t>Corebridge SimpliNow Legacy (94.50)</t>
  </si>
  <si>
    <t>Corebridge Guaranteed Issue Whole Life (90)</t>
  </si>
  <si>
    <t>7470776AV9</t>
  </si>
  <si>
    <t>17528908N</t>
  </si>
  <si>
    <t>19681796AV9</t>
  </si>
  <si>
    <t>8814784AV9</t>
  </si>
  <si>
    <t>19481808AV9</t>
  </si>
  <si>
    <t>8325282AV9</t>
  </si>
  <si>
    <t>7146581AV9</t>
  </si>
  <si>
    <t>8046194AV9</t>
  </si>
  <si>
    <t>NB</t>
  </si>
  <si>
    <t>AV</t>
  </si>
  <si>
    <t>RN</t>
  </si>
  <si>
    <t>AE</t>
  </si>
  <si>
    <t>AV1</t>
  </si>
  <si>
    <t>MICHAEL</t>
  </si>
  <si>
    <t>WILLIAM</t>
  </si>
  <si>
    <t>MARTIN</t>
  </si>
  <si>
    <t>SUZANNE</t>
  </si>
  <si>
    <t>KURT</t>
  </si>
  <si>
    <t>JUDITH</t>
  </si>
  <si>
    <t>LISA</t>
  </si>
  <si>
    <t>DANIEL</t>
  </si>
  <si>
    <t>ANA</t>
  </si>
  <si>
    <t>JAMES</t>
  </si>
  <si>
    <t>DEBORAH</t>
  </si>
  <si>
    <t>PHILIP</t>
  </si>
  <si>
    <t>LAURENCE</t>
  </si>
  <si>
    <t>ANTHONY</t>
  </si>
  <si>
    <t>ALLEN</t>
  </si>
  <si>
    <t>VERNON</t>
  </si>
  <si>
    <t>LEONA</t>
  </si>
  <si>
    <t>KENT</t>
  </si>
  <si>
    <t>GORDON</t>
  </si>
  <si>
    <t>KENNETH</t>
  </si>
  <si>
    <t>ELSA</t>
  </si>
  <si>
    <t>HARRIET</t>
  </si>
  <si>
    <t>JORGE</t>
  </si>
  <si>
    <t>MARIE</t>
  </si>
  <si>
    <t>EUGENE</t>
  </si>
  <si>
    <t>ROBERT</t>
  </si>
  <si>
    <t>MARIA</t>
  </si>
  <si>
    <t>VICKI</t>
  </si>
  <si>
    <t>JOHN</t>
  </si>
  <si>
    <t>NANCY</t>
  </si>
  <si>
    <t>SYLVIA</t>
  </si>
  <si>
    <t>JILL</t>
  </si>
  <si>
    <t>LAWRENCE</t>
  </si>
  <si>
    <t>MARK</t>
  </si>
  <si>
    <t>RICHARD</t>
  </si>
  <si>
    <t>SUSAN</t>
  </si>
  <si>
    <t>THEODORE</t>
  </si>
  <si>
    <t>LINDA</t>
  </si>
  <si>
    <t>MARY</t>
  </si>
  <si>
    <t>ELLEN</t>
  </si>
  <si>
    <t>DONNA</t>
  </si>
  <si>
    <t>IRWIN</t>
  </si>
  <si>
    <t>HOWARD</t>
  </si>
  <si>
    <t>GINA</t>
  </si>
  <si>
    <t>MACLEAN</t>
  </si>
  <si>
    <t>DAWN</t>
  </si>
  <si>
    <t>JESSICA</t>
  </si>
  <si>
    <t>PAUL</t>
  </si>
  <si>
    <t>KAREN</t>
  </si>
  <si>
    <t>ANN</t>
  </si>
  <si>
    <t>BLESILDA</t>
  </si>
  <si>
    <t>CARON</t>
  </si>
  <si>
    <t>LESLIE</t>
  </si>
  <si>
    <t>CHARLES</t>
  </si>
  <si>
    <t>CAROL</t>
  </si>
  <si>
    <t>RITA</t>
  </si>
  <si>
    <t>MELINDA</t>
  </si>
  <si>
    <t>LAURA</t>
  </si>
  <si>
    <t>CHRISTINE</t>
  </si>
  <si>
    <t>MILE</t>
  </si>
  <si>
    <t>DRAGANA</t>
  </si>
  <si>
    <t>TODD</t>
  </si>
  <si>
    <t>BRENDA</t>
  </si>
  <si>
    <t>CARL</t>
  </si>
  <si>
    <t>DEBRA</t>
  </si>
  <si>
    <t>SARANTOS</t>
  </si>
  <si>
    <t>RENEE</t>
  </si>
  <si>
    <t>GEORGIA</t>
  </si>
  <si>
    <t>DAVIS</t>
  </si>
  <si>
    <t>SHAMIRAN</t>
  </si>
  <si>
    <t>JOSEPH</t>
  </si>
  <si>
    <t>SANDRA</t>
  </si>
  <si>
    <t>KATHLEEN</t>
  </si>
  <si>
    <t>RAYMOND</t>
  </si>
  <si>
    <t>NOEL</t>
  </si>
  <si>
    <t>ZACHARY</t>
  </si>
  <si>
    <t>JANAN</t>
  </si>
  <si>
    <t>KEVIN</t>
  </si>
  <si>
    <t>HEIDI</t>
  </si>
  <si>
    <t>GREGORY</t>
  </si>
  <si>
    <t>KIMBERLY</t>
  </si>
  <si>
    <t>KATHY</t>
  </si>
  <si>
    <t>DONG</t>
  </si>
  <si>
    <t>RANDOLPH</t>
  </si>
  <si>
    <t>THERESA</t>
  </si>
  <si>
    <t>JEAN</t>
  </si>
  <si>
    <t>CRAIG</t>
  </si>
  <si>
    <t>ANDREA</t>
  </si>
  <si>
    <t>DENNIS</t>
  </si>
  <si>
    <t>JERRY</t>
  </si>
  <si>
    <t>JEFFERY</t>
  </si>
  <si>
    <t>ISABELLA</t>
  </si>
  <si>
    <t>SHARON</t>
  </si>
  <si>
    <t>MAXINE</t>
  </si>
  <si>
    <t>TAMARA</t>
  </si>
  <si>
    <t>ESTER</t>
  </si>
  <si>
    <t>PHYLLIS</t>
  </si>
  <si>
    <t>JOSEPHINE</t>
  </si>
  <si>
    <t>ROGER</t>
  </si>
  <si>
    <t>ALAN</t>
  </si>
  <si>
    <t>CATHY</t>
  </si>
  <si>
    <t>MEIRION</t>
  </si>
  <si>
    <t>GAYLE</t>
  </si>
  <si>
    <t>DIANNE</t>
  </si>
  <si>
    <t>DONALD</t>
  </si>
  <si>
    <t>KONSTANTINE</t>
  </si>
  <si>
    <t>BRUCE</t>
  </si>
  <si>
    <t>CARYN</t>
  </si>
  <si>
    <t>JEFFREY</t>
  </si>
  <si>
    <t>LOUIS</t>
  </si>
  <si>
    <t>DYAN</t>
  </si>
  <si>
    <t>MARCELLA</t>
  </si>
  <si>
    <t>CONCETTA</t>
  </si>
  <si>
    <t>LEAH</t>
  </si>
  <si>
    <t>TIMOTHY</t>
  </si>
  <si>
    <t>JOE</t>
  </si>
  <si>
    <t>MONICA</t>
  </si>
  <si>
    <t>FILOMENA</t>
  </si>
  <si>
    <t>DAVID</t>
  </si>
  <si>
    <t>JUNE</t>
  </si>
  <si>
    <t>VIRGINIA</t>
  </si>
  <si>
    <t>RAFAEL</t>
  </si>
  <si>
    <t>LENA</t>
  </si>
  <si>
    <t>KATHRYN</t>
  </si>
  <si>
    <t>KEVORK</t>
  </si>
  <si>
    <t>PATRICIA</t>
  </si>
  <si>
    <t>DIANE</t>
  </si>
  <si>
    <t>ANGELA</t>
  </si>
  <si>
    <t>PEGGIE</t>
  </si>
  <si>
    <t>DENA</t>
  </si>
  <si>
    <t>ALFRED</t>
  </si>
  <si>
    <t>JOAN</t>
  </si>
  <si>
    <t>LARRY</t>
  </si>
  <si>
    <t>MICHELLE</t>
  </si>
  <si>
    <t>DARYL</t>
  </si>
  <si>
    <t>LOLA</t>
  </si>
  <si>
    <t>PAMELA</t>
  </si>
  <si>
    <t>LIA</t>
  </si>
  <si>
    <t>PIEDAD</t>
  </si>
  <si>
    <t>HENRY</t>
  </si>
  <si>
    <t>SALVATORA</t>
  </si>
  <si>
    <t>DOUGLAS</t>
  </si>
  <si>
    <t>JOANNE</t>
  </si>
  <si>
    <t>MERRILEE</t>
  </si>
  <si>
    <t>CLARKE</t>
  </si>
  <si>
    <t>MARCIA</t>
  </si>
  <si>
    <t>BRIAN</t>
  </si>
  <si>
    <t>DEAN</t>
  </si>
  <si>
    <t>VITTA</t>
  </si>
  <si>
    <t>JULIE</t>
  </si>
  <si>
    <t>SALLY</t>
  </si>
  <si>
    <t>CHARLOTTE</t>
  </si>
  <si>
    <t>ELIZABETH</t>
  </si>
  <si>
    <t>CISSIE</t>
  </si>
  <si>
    <t>TERESA</t>
  </si>
  <si>
    <t>BEVERLY</t>
  </si>
  <si>
    <t>CYNTHIA</t>
  </si>
  <si>
    <t>CONNIE</t>
  </si>
  <si>
    <t>MELISSA</t>
  </si>
  <si>
    <t>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</si>
</sst>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2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19" fillId="0" borderId="0" xfId="0" applyNumberFormat="1" applyFont="1" applyFill="1"/>
    <xf numFmtId="0" fontId="0" fillId="0" borderId="0" xfId="0" applyFill="1"/>
    <xf numFmtId="0" fontId="16" fillId="34" borderId="0" xfId="0" applyFont="1" applyFill="1" applyAlignment="1">
      <alignment horizontal="left"/>
    </xf>
    <xf numFmtId="0" fontId="0" fillId="33" borderId="0" xfId="0" applyFill="1"/>
    <xf numFmtId="0" fontId="19" fillId="0" borderId="0" xfId="0" applyFont="1" applyFill="1" applyAlignment="1">
      <alignment horizontal="left"/>
    </xf>
    <xf numFmtId="0" fontId="16" fillId="34" borderId="0" xfId="0" applyNumberFormat="1" applyFont="1" applyFill="1"/>
    <xf numFmtId="0" fontId="19" fillId="0" borderId="0" xfId="0" applyFont="1" applyFill="1"/>
    <xf numFmtId="0" fontId="0" fillId="0" borderId="0" xfId="0" applyAlignment="1">
      <alignment horizontal="left"/>
    </xf>
    <xf numFmtId="0" fontId="16" fillId="34" borderId="0" xfId="0" applyFont="1" applyFill="1"/>
    <xf numFmtId="14" fontId="0" fillId="34" borderId="0" xfId="0" applyNumberFormat="1" applyFill="1"/>
    <xf numFmtId="14" fontId="19" fillId="0" borderId="0" xfId="0" applyNumberFormat="1" applyFont="1" applyFill="1"/>
    <xf numFmtId="0" fontId="0" fillId="34" borderId="0" xfId="0" applyFill="1" applyAlignment="1">
      <alignment horizontal="left"/>
    </xf>
    <xf numFmtId="14" fontId="16" fillId="34" borderId="0" xfId="0" applyNumberFormat="1" applyFont="1" applyFill="1"/>
    <xf numFmtId="0" fontId="0" fillId="34" borderId="0" xfId="0" applyNumberFormat="1" applyFill="1"/>
    <xf numFmtId="0" fontId="0" fillId="34" borderId="0" xfId="0" applyFill="1"/>
    <xf numFmtId="0" fontId="19" fillId="0" borderId="0" xfId="0" applyFon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7"/>
  <sheetViews>
    <sheetView zoomScale="89" zoomScaleNormal="89" workbookViewId="0">
      <selection sqref="A1:XFD1048576"/>
    </sheetView>
  </sheetViews>
  <sheetFormatPr defaultRowHeight="14.4" x14ac:dyDescent="0.3"/>
  <cols>
    <col min="1" max="1" width="14.33203125" bestFit="1" customWidth="1"/>
    <col min="2" max="2" width="14.44140625" bestFit="1" customWidth="1"/>
    <col min="3" max="3" width="24.109375" bestFit="1" customWidth="1"/>
    <col min="4" max="4" width="22.5546875" bestFit="1" customWidth="1"/>
    <col min="5" max="6" width="11.5546875" bestFit="1" customWidth="1"/>
    <col min="7" max="7" width="15.44140625" bestFit="1" customWidth="1"/>
    <col min="8" max="8" width="32.33203125" bestFit="1" customWidth="1"/>
    <col min="9" max="9" width="21.6640625" bestFit="1" customWidth="1"/>
    <col min="10" max="10" width="23" bestFit="1" customWidth="1"/>
    <col min="11" max="11" width="29.33203125" bestFit="1" customWidth="1"/>
    <col min="12" max="12" width="14.109375" bestFit="1" customWidth="1"/>
    <col min="13" max="13" width="21" bestFit="1" customWidth="1"/>
    <col min="14" max="14" width="8.33203125" bestFit="1" customWidth="1"/>
    <col min="15" max="15" width="14.6640625" bestFit="1" customWidth="1"/>
    <col min="16" max="16" width="19" bestFit="1" customWidth="1"/>
    <col min="17" max="19" width="11.44140625" bestFit="1" customWidth="1"/>
    <col min="20" max="20" width="7.109375" bestFit="1" customWidth="1"/>
    <col min="21" max="21" width="9.33203125" bestFit="1" customWidth="1"/>
    <col min="22" max="22" width="7.109375" bestFit="1" customWidth="1"/>
    <col min="23" max="23" width="8.33203125" bestFit="1" customWidth="1"/>
    <col min="24" max="24" width="30.5546875" bestFit="1" customWidth="1"/>
    <col min="25" max="25" width="40.109375" bestFit="1" customWidth="1"/>
    <col min="26" max="26" width="40.88671875" bestFit="1" customWidth="1"/>
    <col min="27" max="27" width="18" bestFit="1" customWidth="1"/>
    <col min="28" max="28" width="22.109375" bestFit="1" customWidth="1"/>
    <col min="29" max="30" width="22.5546875" bestFit="1" customWidth="1"/>
    <col min="31" max="31" width="5.33203125" bestFit="1" customWidth="1"/>
  </cols>
  <sheetData>
    <row r="1" spans="1:31" ht="1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3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3">
      <c r="A5" t="s">
        <v>32</v>
      </c>
      <c r="B5" t="s">
        <v>33</v>
      </c>
      <c r="C5" t="s">
        <v>54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55</v>
      </c>
      <c r="J5" t="s">
        <v>56</v>
      </c>
      <c r="K5" t="s">
        <v>42</v>
      </c>
      <c r="L5" t="s">
        <v>57</v>
      </c>
      <c r="M5" t="s">
        <v>58</v>
      </c>
      <c r="N5" t="s">
        <v>45</v>
      </c>
      <c r="O5" t="s">
        <v>46</v>
      </c>
      <c r="P5" t="s">
        <v>47</v>
      </c>
      <c r="Q5" t="s">
        <v>59</v>
      </c>
      <c r="R5" t="s">
        <v>59</v>
      </c>
      <c r="S5" t="s">
        <v>59</v>
      </c>
      <c r="T5" t="s">
        <v>49</v>
      </c>
      <c r="U5" s="4" t="s">
        <v>60</v>
      </c>
      <c r="V5" t="s">
        <v>51</v>
      </c>
      <c r="W5" s="4" t="s">
        <v>61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3">
      <c r="A6" t="s">
        <v>32</v>
      </c>
      <c r="B6" t="s">
        <v>33</v>
      </c>
      <c r="C6" t="s">
        <v>54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55</v>
      </c>
      <c r="J6" t="s">
        <v>56</v>
      </c>
      <c r="K6" t="s">
        <v>42</v>
      </c>
      <c r="L6" t="s">
        <v>62</v>
      </c>
      <c r="M6" t="s">
        <v>63</v>
      </c>
      <c r="N6" t="s">
        <v>45</v>
      </c>
      <c r="O6" t="s">
        <v>46</v>
      </c>
      <c r="P6" t="s">
        <v>47</v>
      </c>
      <c r="Q6" t="s">
        <v>64</v>
      </c>
      <c r="R6" t="s">
        <v>64</v>
      </c>
      <c r="S6" t="s">
        <v>64</v>
      </c>
      <c r="T6" t="s">
        <v>49</v>
      </c>
      <c r="U6" s="4" t="s">
        <v>65</v>
      </c>
      <c r="V6" t="s">
        <v>66</v>
      </c>
      <c r="W6" s="4" t="s">
        <v>67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3">
      <c r="A7" t="s">
        <v>32</v>
      </c>
      <c r="B7" t="s">
        <v>33</v>
      </c>
      <c r="C7" t="s">
        <v>54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55</v>
      </c>
      <c r="J7" t="s">
        <v>56</v>
      </c>
      <c r="K7" t="s">
        <v>42</v>
      </c>
      <c r="L7" t="s">
        <v>68</v>
      </c>
      <c r="M7" t="s">
        <v>69</v>
      </c>
      <c r="N7" t="s">
        <v>45</v>
      </c>
      <c r="O7" t="s">
        <v>46</v>
      </c>
      <c r="P7" t="s">
        <v>47</v>
      </c>
      <c r="Q7" t="s">
        <v>70</v>
      </c>
      <c r="R7" t="s">
        <v>70</v>
      </c>
      <c r="S7" t="s">
        <v>70</v>
      </c>
      <c r="T7" t="s">
        <v>49</v>
      </c>
      <c r="U7" s="4" t="s">
        <v>71</v>
      </c>
      <c r="V7" t="s">
        <v>72</v>
      </c>
      <c r="W7" s="4" t="s">
        <v>73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3">
      <c r="A8" t="s">
        <v>32</v>
      </c>
      <c r="B8" t="s">
        <v>33</v>
      </c>
      <c r="C8" t="s">
        <v>74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55</v>
      </c>
      <c r="J8" t="s">
        <v>56</v>
      </c>
      <c r="K8" t="s">
        <v>42</v>
      </c>
      <c r="L8" t="s">
        <v>75</v>
      </c>
      <c r="M8" t="s">
        <v>76</v>
      </c>
      <c r="N8" t="s">
        <v>45</v>
      </c>
      <c r="O8" t="s">
        <v>46</v>
      </c>
      <c r="P8" t="s">
        <v>47</v>
      </c>
      <c r="Q8" t="s">
        <v>77</v>
      </c>
      <c r="R8" t="s">
        <v>77</v>
      </c>
      <c r="S8" t="s">
        <v>77</v>
      </c>
      <c r="T8" t="s">
        <v>49</v>
      </c>
      <c r="U8" s="4" t="s">
        <v>78</v>
      </c>
      <c r="V8" t="s">
        <v>51</v>
      </c>
      <c r="W8" s="4" t="s">
        <v>79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3">
      <c r="A9" t="s">
        <v>32</v>
      </c>
      <c r="B9" t="s">
        <v>33</v>
      </c>
      <c r="C9" t="s">
        <v>80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81</v>
      </c>
      <c r="J9" t="s">
        <v>82</v>
      </c>
      <c r="K9" t="s">
        <v>42</v>
      </c>
      <c r="L9" t="s">
        <v>83</v>
      </c>
      <c r="M9" t="s">
        <v>84</v>
      </c>
      <c r="N9" t="s">
        <v>45</v>
      </c>
      <c r="O9" t="s">
        <v>46</v>
      </c>
      <c r="P9" t="s">
        <v>47</v>
      </c>
      <c r="Q9" t="s">
        <v>85</v>
      </c>
      <c r="R9" t="s">
        <v>85</v>
      </c>
      <c r="S9" t="s">
        <v>85</v>
      </c>
      <c r="T9" t="s">
        <v>49</v>
      </c>
      <c r="U9" s="4" t="s">
        <v>86</v>
      </c>
      <c r="V9" t="s">
        <v>87</v>
      </c>
      <c r="W9" s="4" t="s">
        <v>88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3">
      <c r="A10" t="s">
        <v>32</v>
      </c>
      <c r="B10" t="s">
        <v>33</v>
      </c>
      <c r="C10" t="s">
        <v>80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55</v>
      </c>
      <c r="J10" t="s">
        <v>56</v>
      </c>
      <c r="K10" t="s">
        <v>42</v>
      </c>
      <c r="L10" t="s">
        <v>89</v>
      </c>
      <c r="M10" t="s">
        <v>90</v>
      </c>
      <c r="N10" t="s">
        <v>45</v>
      </c>
      <c r="O10" t="s">
        <v>46</v>
      </c>
      <c r="P10" t="s">
        <v>47</v>
      </c>
      <c r="Q10" t="s">
        <v>91</v>
      </c>
      <c r="R10" t="s">
        <v>91</v>
      </c>
      <c r="S10" t="s">
        <v>91</v>
      </c>
      <c r="T10" t="s">
        <v>49</v>
      </c>
      <c r="U10" s="4" t="s">
        <v>92</v>
      </c>
      <c r="V10" t="s">
        <v>72</v>
      </c>
      <c r="W10" s="4" t="s">
        <v>93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3">
      <c r="A11" t="s">
        <v>32</v>
      </c>
      <c r="B11" t="s">
        <v>33</v>
      </c>
      <c r="C11" t="s">
        <v>80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  <c r="P11" t="s">
        <v>47</v>
      </c>
      <c r="Q11" t="s">
        <v>48</v>
      </c>
      <c r="R11" t="s">
        <v>48</v>
      </c>
      <c r="S11" t="s">
        <v>48</v>
      </c>
      <c r="T11" t="s">
        <v>49</v>
      </c>
      <c r="U11" s="4" t="s">
        <v>94</v>
      </c>
      <c r="V11" t="s">
        <v>51</v>
      </c>
      <c r="W11" s="4" t="s">
        <v>95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3">
      <c r="A12" t="s">
        <v>32</v>
      </c>
      <c r="B12" t="s">
        <v>33</v>
      </c>
      <c r="C12" t="s">
        <v>54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55</v>
      </c>
      <c r="J12" t="s">
        <v>56</v>
      </c>
      <c r="K12" t="s">
        <v>42</v>
      </c>
      <c r="L12" t="s">
        <v>96</v>
      </c>
      <c r="M12" t="s">
        <v>97</v>
      </c>
      <c r="N12" t="s">
        <v>45</v>
      </c>
      <c r="O12" t="s">
        <v>46</v>
      </c>
      <c r="P12" t="s">
        <v>47</v>
      </c>
      <c r="Q12" t="s">
        <v>98</v>
      </c>
      <c r="R12" t="s">
        <v>98</v>
      </c>
      <c r="S12" t="s">
        <v>98</v>
      </c>
      <c r="T12" t="s">
        <v>49</v>
      </c>
      <c r="U12" s="4" t="s">
        <v>99</v>
      </c>
      <c r="V12" t="s">
        <v>51</v>
      </c>
      <c r="W12" s="4" t="s">
        <v>100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3">
      <c r="A13" t="s">
        <v>32</v>
      </c>
      <c r="B13" t="s">
        <v>33</v>
      </c>
      <c r="C13" t="s">
        <v>80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101</v>
      </c>
      <c r="J13" t="s">
        <v>102</v>
      </c>
      <c r="K13" t="s">
        <v>42</v>
      </c>
      <c r="L13" t="s">
        <v>103</v>
      </c>
      <c r="M13" t="s">
        <v>104</v>
      </c>
      <c r="N13" t="s">
        <v>45</v>
      </c>
      <c r="O13" t="s">
        <v>46</v>
      </c>
      <c r="P13" t="s">
        <v>47</v>
      </c>
      <c r="Q13" t="s">
        <v>105</v>
      </c>
      <c r="R13" t="s">
        <v>105</v>
      </c>
      <c r="S13" t="s">
        <v>105</v>
      </c>
      <c r="T13" t="s">
        <v>49</v>
      </c>
      <c r="U13" s="4" t="s">
        <v>106</v>
      </c>
      <c r="V13" t="s">
        <v>107</v>
      </c>
      <c r="W13" s="4" t="s">
        <v>108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3">
      <c r="A14" t="s">
        <v>32</v>
      </c>
      <c r="B14" t="s">
        <v>33</v>
      </c>
      <c r="C14" t="s">
        <v>54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55</v>
      </c>
      <c r="J14" t="s">
        <v>56</v>
      </c>
      <c r="K14" t="s">
        <v>42</v>
      </c>
      <c r="L14" t="s">
        <v>109</v>
      </c>
      <c r="M14" t="s">
        <v>110</v>
      </c>
      <c r="N14" t="s">
        <v>45</v>
      </c>
      <c r="O14" t="s">
        <v>46</v>
      </c>
      <c r="P14" t="s">
        <v>47</v>
      </c>
      <c r="Q14" t="s">
        <v>111</v>
      </c>
      <c r="R14" t="s">
        <v>111</v>
      </c>
      <c r="S14" t="s">
        <v>111</v>
      </c>
      <c r="T14" t="s">
        <v>49</v>
      </c>
      <c r="U14" s="4" t="s">
        <v>112</v>
      </c>
      <c r="V14" t="s">
        <v>51</v>
      </c>
      <c r="W14" s="4" t="s">
        <v>113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3">
      <c r="A15" t="s">
        <v>32</v>
      </c>
      <c r="B15" t="s">
        <v>33</v>
      </c>
      <c r="C15" t="s">
        <v>54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55</v>
      </c>
      <c r="J15" t="s">
        <v>56</v>
      </c>
      <c r="K15" t="s">
        <v>42</v>
      </c>
      <c r="L15" t="s">
        <v>114</v>
      </c>
      <c r="M15" t="s">
        <v>115</v>
      </c>
      <c r="N15" t="s">
        <v>45</v>
      </c>
      <c r="O15" t="s">
        <v>46</v>
      </c>
      <c r="P15" t="s">
        <v>47</v>
      </c>
      <c r="Q15" t="s">
        <v>111</v>
      </c>
      <c r="R15" t="s">
        <v>111</v>
      </c>
      <c r="S15" t="s">
        <v>111</v>
      </c>
      <c r="T15" t="s">
        <v>49</v>
      </c>
      <c r="U15" s="4" t="s">
        <v>116</v>
      </c>
      <c r="V15" t="s">
        <v>51</v>
      </c>
      <c r="W15" s="4" t="s">
        <v>117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3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118</v>
      </c>
      <c r="J16" t="s">
        <v>119</v>
      </c>
      <c r="K16" t="s">
        <v>42</v>
      </c>
      <c r="L16" t="s">
        <v>120</v>
      </c>
      <c r="M16" t="s">
        <v>121</v>
      </c>
      <c r="N16" t="s">
        <v>45</v>
      </c>
      <c r="O16" t="s">
        <v>46</v>
      </c>
      <c r="P16" t="s">
        <v>47</v>
      </c>
      <c r="Q16" t="s">
        <v>122</v>
      </c>
      <c r="R16" t="s">
        <v>122</v>
      </c>
      <c r="S16" t="s">
        <v>122</v>
      </c>
      <c r="T16" t="s">
        <v>49</v>
      </c>
      <c r="U16" s="4" t="s">
        <v>123</v>
      </c>
      <c r="V16" t="s">
        <v>66</v>
      </c>
      <c r="W16" s="4" t="s">
        <v>124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3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125</v>
      </c>
      <c r="J17" t="s">
        <v>126</v>
      </c>
      <c r="K17" t="s">
        <v>42</v>
      </c>
      <c r="L17" t="s">
        <v>127</v>
      </c>
      <c r="M17" t="s">
        <v>128</v>
      </c>
      <c r="N17" t="s">
        <v>45</v>
      </c>
      <c r="O17" t="s">
        <v>46</v>
      </c>
      <c r="P17" t="s">
        <v>47</v>
      </c>
      <c r="Q17" t="s">
        <v>129</v>
      </c>
      <c r="R17" t="s">
        <v>129</v>
      </c>
      <c r="S17" t="s">
        <v>129</v>
      </c>
      <c r="T17" t="s">
        <v>49</v>
      </c>
      <c r="U17" s="4" t="s">
        <v>130</v>
      </c>
      <c r="V17" t="s">
        <v>51</v>
      </c>
      <c r="W17" s="4" t="s">
        <v>131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3">
      <c r="A18" t="s">
        <v>32</v>
      </c>
      <c r="B18" t="s">
        <v>33</v>
      </c>
      <c r="C18" t="s">
        <v>54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132</v>
      </c>
      <c r="J18" t="s">
        <v>133</v>
      </c>
      <c r="K18" t="s">
        <v>42</v>
      </c>
      <c r="L18" t="s">
        <v>134</v>
      </c>
      <c r="M18" t="s">
        <v>135</v>
      </c>
      <c r="N18" t="s">
        <v>45</v>
      </c>
      <c r="O18" t="s">
        <v>46</v>
      </c>
      <c r="P18" t="s">
        <v>47</v>
      </c>
      <c r="Q18" t="s">
        <v>136</v>
      </c>
      <c r="R18" t="s">
        <v>136</v>
      </c>
      <c r="S18" t="s">
        <v>136</v>
      </c>
      <c r="T18" t="s">
        <v>49</v>
      </c>
      <c r="U18" s="4" t="s">
        <v>137</v>
      </c>
      <c r="V18" t="s">
        <v>87</v>
      </c>
      <c r="W18" s="4" t="s">
        <v>138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3">
      <c r="A19" t="s">
        <v>32</v>
      </c>
      <c r="B19" t="s">
        <v>33</v>
      </c>
      <c r="C19" t="s">
        <v>54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55</v>
      </c>
      <c r="J19" t="s">
        <v>56</v>
      </c>
      <c r="K19" t="s">
        <v>42</v>
      </c>
      <c r="L19" t="s">
        <v>139</v>
      </c>
      <c r="M19" t="s">
        <v>140</v>
      </c>
      <c r="N19" t="s">
        <v>45</v>
      </c>
      <c r="O19" t="s">
        <v>46</v>
      </c>
      <c r="P19" t="s">
        <v>47</v>
      </c>
      <c r="Q19" t="s">
        <v>111</v>
      </c>
      <c r="R19" t="s">
        <v>111</v>
      </c>
      <c r="S19" t="s">
        <v>111</v>
      </c>
      <c r="T19" t="s">
        <v>49</v>
      </c>
      <c r="U19" s="4" t="s">
        <v>141</v>
      </c>
      <c r="V19" t="s">
        <v>51</v>
      </c>
      <c r="W19" s="4" t="s">
        <v>142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3">
      <c r="A20" t="s">
        <v>32</v>
      </c>
      <c r="B20" t="s">
        <v>33</v>
      </c>
      <c r="C20" t="s">
        <v>80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125</v>
      </c>
      <c r="J20" t="s">
        <v>126</v>
      </c>
      <c r="K20" t="s">
        <v>42</v>
      </c>
      <c r="L20" t="s">
        <v>143</v>
      </c>
      <c r="M20" t="s">
        <v>144</v>
      </c>
      <c r="N20" t="s">
        <v>45</v>
      </c>
      <c r="O20" t="s">
        <v>46</v>
      </c>
      <c r="P20" t="s">
        <v>47</v>
      </c>
      <c r="Q20" t="s">
        <v>145</v>
      </c>
      <c r="R20" t="s">
        <v>145</v>
      </c>
      <c r="S20" t="s">
        <v>145</v>
      </c>
      <c r="T20" t="s">
        <v>49</v>
      </c>
      <c r="U20" s="4" t="s">
        <v>146</v>
      </c>
      <c r="V20" t="s">
        <v>51</v>
      </c>
      <c r="W20" s="4" t="s">
        <v>147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3">
      <c r="A21" t="s">
        <v>32</v>
      </c>
      <c r="B21" t="s">
        <v>33</v>
      </c>
      <c r="C21" t="s">
        <v>54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55</v>
      </c>
      <c r="J21" t="s">
        <v>56</v>
      </c>
      <c r="K21" t="s">
        <v>42</v>
      </c>
      <c r="L21" t="s">
        <v>148</v>
      </c>
      <c r="M21" t="s">
        <v>149</v>
      </c>
      <c r="N21" t="s">
        <v>45</v>
      </c>
      <c r="O21" t="s">
        <v>46</v>
      </c>
      <c r="P21" t="s">
        <v>47</v>
      </c>
      <c r="Q21" t="s">
        <v>98</v>
      </c>
      <c r="R21" t="s">
        <v>98</v>
      </c>
      <c r="S21" t="s">
        <v>98</v>
      </c>
      <c r="T21" t="s">
        <v>49</v>
      </c>
      <c r="U21" s="4" t="s">
        <v>150</v>
      </c>
      <c r="V21" t="s">
        <v>51</v>
      </c>
      <c r="W21" s="4" t="s">
        <v>151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3">
      <c r="A22" t="s">
        <v>32</v>
      </c>
      <c r="B22" t="s">
        <v>33</v>
      </c>
      <c r="C22" t="s">
        <v>54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55</v>
      </c>
      <c r="J22" t="s">
        <v>56</v>
      </c>
      <c r="K22" t="s">
        <v>42</v>
      </c>
      <c r="L22" t="s">
        <v>152</v>
      </c>
      <c r="M22" t="s">
        <v>153</v>
      </c>
      <c r="N22" t="s">
        <v>45</v>
      </c>
      <c r="O22" t="s">
        <v>46</v>
      </c>
      <c r="P22" t="s">
        <v>47</v>
      </c>
      <c r="Q22" t="s">
        <v>154</v>
      </c>
      <c r="R22" t="s">
        <v>154</v>
      </c>
      <c r="S22" t="s">
        <v>154</v>
      </c>
      <c r="T22" t="s">
        <v>49</v>
      </c>
      <c r="U22" s="4" t="s">
        <v>155</v>
      </c>
      <c r="V22" t="s">
        <v>107</v>
      </c>
      <c r="W22" s="4" t="s">
        <v>156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3">
      <c r="A23" t="s">
        <v>32</v>
      </c>
      <c r="B23" t="s">
        <v>33</v>
      </c>
      <c r="C23" t="s">
        <v>54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55</v>
      </c>
      <c r="J23" t="s">
        <v>56</v>
      </c>
      <c r="K23" t="s">
        <v>42</v>
      </c>
      <c r="L23" t="s">
        <v>157</v>
      </c>
      <c r="M23" t="s">
        <v>158</v>
      </c>
      <c r="N23" t="s">
        <v>45</v>
      </c>
      <c r="O23" t="s">
        <v>46</v>
      </c>
      <c r="P23" t="s">
        <v>47</v>
      </c>
      <c r="Q23" t="s">
        <v>111</v>
      </c>
      <c r="R23" t="s">
        <v>111</v>
      </c>
      <c r="S23" t="s">
        <v>111</v>
      </c>
      <c r="T23" t="s">
        <v>49</v>
      </c>
      <c r="U23" s="4" t="s">
        <v>159</v>
      </c>
      <c r="V23" t="s">
        <v>51</v>
      </c>
      <c r="W23" s="4" t="s">
        <v>160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3">
      <c r="A24" t="s">
        <v>32</v>
      </c>
      <c r="B24" t="s">
        <v>33</v>
      </c>
      <c r="C24" t="s">
        <v>54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125</v>
      </c>
      <c r="J24" t="s">
        <v>126</v>
      </c>
      <c r="K24" t="s">
        <v>42</v>
      </c>
      <c r="L24" t="s">
        <v>161</v>
      </c>
      <c r="M24" t="s">
        <v>162</v>
      </c>
      <c r="N24" t="s">
        <v>45</v>
      </c>
      <c r="O24" t="s">
        <v>46</v>
      </c>
      <c r="P24" t="s">
        <v>47</v>
      </c>
      <c r="Q24" t="s">
        <v>163</v>
      </c>
      <c r="R24" t="s">
        <v>163</v>
      </c>
      <c r="S24" t="s">
        <v>163</v>
      </c>
      <c r="T24" t="s">
        <v>49</v>
      </c>
      <c r="U24" s="4" t="s">
        <v>164</v>
      </c>
      <c r="V24" t="s">
        <v>51</v>
      </c>
      <c r="W24" s="4" t="s">
        <v>165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3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166</v>
      </c>
      <c r="J25" t="s">
        <v>167</v>
      </c>
      <c r="K25" t="s">
        <v>42</v>
      </c>
      <c r="L25" t="s">
        <v>168</v>
      </c>
      <c r="M25" t="s">
        <v>169</v>
      </c>
      <c r="N25" t="s">
        <v>45</v>
      </c>
      <c r="O25" t="s">
        <v>46</v>
      </c>
      <c r="P25" t="s">
        <v>47</v>
      </c>
      <c r="Q25" t="s">
        <v>170</v>
      </c>
      <c r="R25" t="s">
        <v>170</v>
      </c>
      <c r="S25" t="s">
        <v>170</v>
      </c>
      <c r="T25" t="s">
        <v>49</v>
      </c>
      <c r="U25" s="4" t="s">
        <v>171</v>
      </c>
      <c r="V25" t="s">
        <v>51</v>
      </c>
      <c r="W25" s="4" t="s">
        <v>172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3">
      <c r="A26" t="s">
        <v>32</v>
      </c>
      <c r="B26" t="s">
        <v>33</v>
      </c>
      <c r="C26" t="s">
        <v>54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55</v>
      </c>
      <c r="J26" t="s">
        <v>56</v>
      </c>
      <c r="K26" t="s">
        <v>42</v>
      </c>
      <c r="L26" t="s">
        <v>173</v>
      </c>
      <c r="M26" t="s">
        <v>174</v>
      </c>
      <c r="N26" t="s">
        <v>45</v>
      </c>
      <c r="O26" t="s">
        <v>46</v>
      </c>
      <c r="P26" t="s">
        <v>47</v>
      </c>
      <c r="Q26" t="s">
        <v>175</v>
      </c>
      <c r="R26" t="s">
        <v>175</v>
      </c>
      <c r="S26" t="s">
        <v>175</v>
      </c>
      <c r="T26" t="s">
        <v>49</v>
      </c>
      <c r="U26" s="4" t="s">
        <v>176</v>
      </c>
      <c r="V26" t="s">
        <v>72</v>
      </c>
      <c r="W26" s="4" t="s">
        <v>177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3">
      <c r="A27" t="s">
        <v>32</v>
      </c>
      <c r="B27" t="s">
        <v>33</v>
      </c>
      <c r="C27" t="s">
        <v>74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125</v>
      </c>
      <c r="J27" t="s">
        <v>126</v>
      </c>
      <c r="K27" t="s">
        <v>42</v>
      </c>
      <c r="L27" t="s">
        <v>178</v>
      </c>
      <c r="M27" t="s">
        <v>179</v>
      </c>
      <c r="N27" t="s">
        <v>45</v>
      </c>
      <c r="O27" t="s">
        <v>46</v>
      </c>
      <c r="P27" t="s">
        <v>47</v>
      </c>
      <c r="Q27" t="s">
        <v>180</v>
      </c>
      <c r="R27" t="s">
        <v>180</v>
      </c>
      <c r="S27" t="s">
        <v>180</v>
      </c>
      <c r="T27" t="s">
        <v>49</v>
      </c>
      <c r="U27" s="4" t="s">
        <v>181</v>
      </c>
      <c r="V27" t="s">
        <v>51</v>
      </c>
      <c r="W27" s="4" t="s">
        <v>182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3">
      <c r="A28" t="s">
        <v>32</v>
      </c>
      <c r="B28" t="s">
        <v>33</v>
      </c>
      <c r="C28" t="s">
        <v>74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125</v>
      </c>
      <c r="J28" t="s">
        <v>126</v>
      </c>
      <c r="K28" t="s">
        <v>42</v>
      </c>
      <c r="L28" t="s">
        <v>183</v>
      </c>
      <c r="M28" t="s">
        <v>184</v>
      </c>
      <c r="N28" t="s">
        <v>45</v>
      </c>
      <c r="O28" t="s">
        <v>46</v>
      </c>
      <c r="P28" t="s">
        <v>47</v>
      </c>
      <c r="Q28" t="s">
        <v>77</v>
      </c>
      <c r="R28" t="s">
        <v>77</v>
      </c>
      <c r="S28" t="s">
        <v>77</v>
      </c>
      <c r="T28" t="s">
        <v>49</v>
      </c>
      <c r="U28" s="4" t="s">
        <v>185</v>
      </c>
      <c r="V28" t="s">
        <v>51</v>
      </c>
      <c r="W28" s="4" t="s">
        <v>186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3">
      <c r="A29" t="s">
        <v>32</v>
      </c>
      <c r="B29" t="s">
        <v>33</v>
      </c>
      <c r="C29" t="s">
        <v>54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55</v>
      </c>
      <c r="J29" t="s">
        <v>56</v>
      </c>
      <c r="K29" t="s">
        <v>42</v>
      </c>
      <c r="L29" t="s">
        <v>187</v>
      </c>
      <c r="M29" t="s">
        <v>188</v>
      </c>
      <c r="N29" t="s">
        <v>45</v>
      </c>
      <c r="O29" t="s">
        <v>46</v>
      </c>
      <c r="P29" t="s">
        <v>47</v>
      </c>
      <c r="Q29" t="s">
        <v>189</v>
      </c>
      <c r="R29" t="s">
        <v>189</v>
      </c>
      <c r="S29" t="s">
        <v>189</v>
      </c>
      <c r="T29" t="s">
        <v>49</v>
      </c>
      <c r="U29" s="4" t="s">
        <v>190</v>
      </c>
      <c r="V29" t="s">
        <v>66</v>
      </c>
      <c r="W29" s="4" t="s">
        <v>191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3">
      <c r="A30" t="s">
        <v>32</v>
      </c>
      <c r="B30" t="s">
        <v>33</v>
      </c>
      <c r="C30" t="s">
        <v>74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192</v>
      </c>
      <c r="J30" t="s">
        <v>193</v>
      </c>
      <c r="K30" t="s">
        <v>42</v>
      </c>
      <c r="L30" t="s">
        <v>194</v>
      </c>
      <c r="M30" t="s">
        <v>195</v>
      </c>
      <c r="N30" t="s">
        <v>45</v>
      </c>
      <c r="O30" t="s">
        <v>46</v>
      </c>
      <c r="P30" t="s">
        <v>47</v>
      </c>
      <c r="Q30" t="s">
        <v>196</v>
      </c>
      <c r="R30" t="s">
        <v>196</v>
      </c>
      <c r="S30" t="s">
        <v>196</v>
      </c>
      <c r="T30" t="s">
        <v>49</v>
      </c>
      <c r="U30" s="4" t="s">
        <v>197</v>
      </c>
      <c r="V30" t="s">
        <v>51</v>
      </c>
      <c r="W30" s="4" t="s">
        <v>198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3">
      <c r="A31" t="s">
        <v>32</v>
      </c>
      <c r="B31" t="s">
        <v>33</v>
      </c>
      <c r="C31" t="s">
        <v>54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55</v>
      </c>
      <c r="J31" t="s">
        <v>56</v>
      </c>
      <c r="K31" t="s">
        <v>42</v>
      </c>
      <c r="L31" t="s">
        <v>199</v>
      </c>
      <c r="M31" t="s">
        <v>200</v>
      </c>
      <c r="N31" t="s">
        <v>45</v>
      </c>
      <c r="O31" t="s">
        <v>46</v>
      </c>
      <c r="P31" t="s">
        <v>47</v>
      </c>
      <c r="Q31" t="s">
        <v>70</v>
      </c>
      <c r="R31" t="s">
        <v>70</v>
      </c>
      <c r="S31" t="s">
        <v>70</v>
      </c>
      <c r="T31" t="s">
        <v>49</v>
      </c>
      <c r="U31" s="4" t="s">
        <v>201</v>
      </c>
      <c r="V31" t="s">
        <v>66</v>
      </c>
      <c r="W31" s="4" t="s">
        <v>202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3">
      <c r="A32" t="s">
        <v>32</v>
      </c>
      <c r="B32" t="s">
        <v>33</v>
      </c>
      <c r="C32" t="s">
        <v>54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55</v>
      </c>
      <c r="J32" t="s">
        <v>56</v>
      </c>
      <c r="K32" t="s">
        <v>42</v>
      </c>
      <c r="L32" t="s">
        <v>203</v>
      </c>
      <c r="M32" t="s">
        <v>204</v>
      </c>
      <c r="N32" t="s">
        <v>45</v>
      </c>
      <c r="O32" t="s">
        <v>46</v>
      </c>
      <c r="P32" t="s">
        <v>47</v>
      </c>
      <c r="Q32" t="s">
        <v>70</v>
      </c>
      <c r="R32" t="s">
        <v>70</v>
      </c>
      <c r="S32" t="s">
        <v>70</v>
      </c>
      <c r="T32" t="s">
        <v>49</v>
      </c>
      <c r="U32" s="4" t="s">
        <v>205</v>
      </c>
      <c r="V32" t="s">
        <v>66</v>
      </c>
      <c r="W32" s="4" t="s">
        <v>206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3">
      <c r="A33" t="s">
        <v>32</v>
      </c>
      <c r="B33" t="s">
        <v>33</v>
      </c>
      <c r="C33" t="s">
        <v>54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125</v>
      </c>
      <c r="J33" t="s">
        <v>126</v>
      </c>
      <c r="K33" t="s">
        <v>42</v>
      </c>
      <c r="L33" t="s">
        <v>207</v>
      </c>
      <c r="M33" t="s">
        <v>208</v>
      </c>
      <c r="N33" t="s">
        <v>45</v>
      </c>
      <c r="O33" t="s">
        <v>46</v>
      </c>
      <c r="P33" t="s">
        <v>47</v>
      </c>
      <c r="Q33" t="s">
        <v>209</v>
      </c>
      <c r="R33" t="s">
        <v>209</v>
      </c>
      <c r="S33" t="s">
        <v>209</v>
      </c>
      <c r="T33" t="s">
        <v>49</v>
      </c>
      <c r="U33" s="4" t="s">
        <v>210</v>
      </c>
      <c r="V33" t="s">
        <v>51</v>
      </c>
      <c r="W33" s="4" t="s">
        <v>211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3">
      <c r="A34" t="s">
        <v>32</v>
      </c>
      <c r="B34" t="s">
        <v>33</v>
      </c>
      <c r="C34" t="s">
        <v>54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212</v>
      </c>
      <c r="J34" t="s">
        <v>213</v>
      </c>
      <c r="K34" t="s">
        <v>42</v>
      </c>
      <c r="L34" t="s">
        <v>214</v>
      </c>
      <c r="M34" t="s">
        <v>215</v>
      </c>
      <c r="N34" t="s">
        <v>45</v>
      </c>
      <c r="O34" t="s">
        <v>46</v>
      </c>
      <c r="P34" t="s">
        <v>47</v>
      </c>
      <c r="Q34" t="s">
        <v>216</v>
      </c>
      <c r="R34" t="s">
        <v>216</v>
      </c>
      <c r="S34" t="s">
        <v>216</v>
      </c>
      <c r="T34" t="s">
        <v>49</v>
      </c>
      <c r="U34" s="4" t="s">
        <v>217</v>
      </c>
      <c r="V34" t="s">
        <v>51</v>
      </c>
      <c r="W34" s="4" t="s">
        <v>218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3">
      <c r="A35" t="s">
        <v>32</v>
      </c>
      <c r="B35" t="s">
        <v>33</v>
      </c>
      <c r="C35" t="s">
        <v>74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55</v>
      </c>
      <c r="J35" t="s">
        <v>56</v>
      </c>
      <c r="K35" t="s">
        <v>42</v>
      </c>
      <c r="L35" t="s">
        <v>219</v>
      </c>
      <c r="M35" t="s">
        <v>220</v>
      </c>
      <c r="N35" t="s">
        <v>45</v>
      </c>
      <c r="O35" t="s">
        <v>46</v>
      </c>
      <c r="P35" t="s">
        <v>47</v>
      </c>
      <c r="Q35" t="s">
        <v>77</v>
      </c>
      <c r="R35" t="s">
        <v>77</v>
      </c>
      <c r="S35" t="s">
        <v>77</v>
      </c>
      <c r="T35" t="s">
        <v>49</v>
      </c>
      <c r="U35" s="4" t="s">
        <v>221</v>
      </c>
      <c r="V35" t="s">
        <v>107</v>
      </c>
      <c r="W35" s="4" t="s">
        <v>222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3">
      <c r="A36" t="s">
        <v>32</v>
      </c>
      <c r="B36" t="s">
        <v>33</v>
      </c>
      <c r="C36" t="s">
        <v>54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55</v>
      </c>
      <c r="J36" t="s">
        <v>56</v>
      </c>
      <c r="K36" t="s">
        <v>42</v>
      </c>
      <c r="L36" t="s">
        <v>223</v>
      </c>
      <c r="M36" t="s">
        <v>224</v>
      </c>
      <c r="N36" t="s">
        <v>45</v>
      </c>
      <c r="O36" t="s">
        <v>46</v>
      </c>
      <c r="P36" t="s">
        <v>47</v>
      </c>
      <c r="Q36" t="s">
        <v>136</v>
      </c>
      <c r="R36" t="s">
        <v>136</v>
      </c>
      <c r="S36" t="s">
        <v>136</v>
      </c>
      <c r="T36" t="s">
        <v>49</v>
      </c>
      <c r="U36" s="4" t="s">
        <v>225</v>
      </c>
      <c r="V36" t="s">
        <v>51</v>
      </c>
      <c r="W36" s="4" t="s">
        <v>226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3">
      <c r="A37" t="s">
        <v>32</v>
      </c>
      <c r="B37" t="s">
        <v>33</v>
      </c>
      <c r="C37" t="s">
        <v>80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227</v>
      </c>
      <c r="J37" t="s">
        <v>228</v>
      </c>
      <c r="K37" t="s">
        <v>42</v>
      </c>
      <c r="L37" t="s">
        <v>229</v>
      </c>
      <c r="M37" t="s">
        <v>230</v>
      </c>
      <c r="N37" t="s">
        <v>45</v>
      </c>
      <c r="O37" t="s">
        <v>46</v>
      </c>
      <c r="P37" t="s">
        <v>47</v>
      </c>
      <c r="Q37" t="s">
        <v>231</v>
      </c>
      <c r="R37" t="s">
        <v>231</v>
      </c>
      <c r="S37" t="s">
        <v>231</v>
      </c>
      <c r="T37" t="s">
        <v>49</v>
      </c>
      <c r="U37" s="4" t="s">
        <v>232</v>
      </c>
      <c r="V37" t="s">
        <v>51</v>
      </c>
      <c r="W37" s="4" t="s">
        <v>233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3">
      <c r="A38" t="s">
        <v>32</v>
      </c>
      <c r="B38" t="s">
        <v>33</v>
      </c>
      <c r="C38" t="s">
        <v>54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125</v>
      </c>
      <c r="J38" t="s">
        <v>126</v>
      </c>
      <c r="K38" t="s">
        <v>42</v>
      </c>
      <c r="L38" t="s">
        <v>234</v>
      </c>
      <c r="M38" t="s">
        <v>235</v>
      </c>
      <c r="N38" t="s">
        <v>45</v>
      </c>
      <c r="O38" t="s">
        <v>46</v>
      </c>
      <c r="P38" t="s">
        <v>47</v>
      </c>
      <c r="Q38" t="s">
        <v>236</v>
      </c>
      <c r="R38" t="s">
        <v>236</v>
      </c>
      <c r="S38" t="s">
        <v>236</v>
      </c>
      <c r="T38" t="s">
        <v>49</v>
      </c>
      <c r="U38" s="4" t="s">
        <v>237</v>
      </c>
      <c r="V38" t="s">
        <v>51</v>
      </c>
      <c r="W38" s="4" t="s">
        <v>238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3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239</v>
      </c>
      <c r="J39" t="s">
        <v>240</v>
      </c>
      <c r="K39" t="s">
        <v>42</v>
      </c>
      <c r="L39" t="s">
        <v>241</v>
      </c>
      <c r="M39" t="s">
        <v>242</v>
      </c>
      <c r="N39" t="s">
        <v>45</v>
      </c>
      <c r="O39" t="s">
        <v>46</v>
      </c>
      <c r="P39" t="s">
        <v>47</v>
      </c>
      <c r="Q39" t="s">
        <v>243</v>
      </c>
      <c r="R39" t="s">
        <v>243</v>
      </c>
      <c r="S39" t="s">
        <v>243</v>
      </c>
      <c r="T39" t="s">
        <v>49</v>
      </c>
      <c r="U39" s="4" t="s">
        <v>244</v>
      </c>
      <c r="V39" t="s">
        <v>87</v>
      </c>
      <c r="W39" s="4" t="s">
        <v>245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3">
      <c r="A40" t="s">
        <v>32</v>
      </c>
      <c r="B40" t="s">
        <v>33</v>
      </c>
      <c r="C40" t="s">
        <v>54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55</v>
      </c>
      <c r="J40" t="s">
        <v>56</v>
      </c>
      <c r="K40" t="s">
        <v>42</v>
      </c>
      <c r="L40" t="s">
        <v>246</v>
      </c>
      <c r="M40" t="s">
        <v>247</v>
      </c>
      <c r="N40" t="s">
        <v>45</v>
      </c>
      <c r="O40" t="s">
        <v>46</v>
      </c>
      <c r="P40" t="s">
        <v>47</v>
      </c>
      <c r="Q40" t="s">
        <v>189</v>
      </c>
      <c r="R40" t="s">
        <v>189</v>
      </c>
      <c r="S40" t="s">
        <v>189</v>
      </c>
      <c r="T40" t="s">
        <v>49</v>
      </c>
      <c r="U40" s="4" t="s">
        <v>248</v>
      </c>
      <c r="V40" t="s">
        <v>66</v>
      </c>
      <c r="W40" s="4" t="s">
        <v>249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3">
      <c r="A41" t="s">
        <v>32</v>
      </c>
      <c r="B41" t="s">
        <v>33</v>
      </c>
      <c r="C41" t="s">
        <v>54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132</v>
      </c>
      <c r="J41" t="s">
        <v>133</v>
      </c>
      <c r="K41" t="s">
        <v>42</v>
      </c>
      <c r="L41" t="s">
        <v>250</v>
      </c>
      <c r="M41" t="s">
        <v>251</v>
      </c>
      <c r="N41" t="s">
        <v>45</v>
      </c>
      <c r="O41" t="s">
        <v>46</v>
      </c>
      <c r="P41" t="s">
        <v>47</v>
      </c>
      <c r="Q41" t="s">
        <v>136</v>
      </c>
      <c r="R41" t="s">
        <v>136</v>
      </c>
      <c r="S41" t="s">
        <v>136</v>
      </c>
      <c r="T41" t="s">
        <v>49</v>
      </c>
      <c r="U41" s="4" t="s">
        <v>252</v>
      </c>
      <c r="V41" t="s">
        <v>51</v>
      </c>
      <c r="W41" s="4" t="s">
        <v>253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3">
      <c r="A42" t="s">
        <v>32</v>
      </c>
      <c r="B42" t="s">
        <v>33</v>
      </c>
      <c r="C42" t="s">
        <v>54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55</v>
      </c>
      <c r="J42" t="s">
        <v>56</v>
      </c>
      <c r="K42" t="s">
        <v>42</v>
      </c>
      <c r="L42" t="s">
        <v>254</v>
      </c>
      <c r="M42" t="s">
        <v>255</v>
      </c>
      <c r="N42" t="s">
        <v>45</v>
      </c>
      <c r="O42" t="s">
        <v>46</v>
      </c>
      <c r="P42" t="s">
        <v>47</v>
      </c>
      <c r="Q42" t="s">
        <v>189</v>
      </c>
      <c r="R42" t="s">
        <v>189</v>
      </c>
      <c r="S42" t="s">
        <v>189</v>
      </c>
      <c r="T42" t="s">
        <v>49</v>
      </c>
      <c r="U42" s="4" t="s">
        <v>256</v>
      </c>
      <c r="V42" t="s">
        <v>66</v>
      </c>
      <c r="W42" s="4" t="s">
        <v>257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3">
      <c r="A43" t="s">
        <v>32</v>
      </c>
      <c r="B43" t="s">
        <v>33</v>
      </c>
      <c r="C43" t="s">
        <v>54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125</v>
      </c>
      <c r="J43" t="s">
        <v>126</v>
      </c>
      <c r="K43" t="s">
        <v>42</v>
      </c>
      <c r="L43" t="s">
        <v>258</v>
      </c>
      <c r="M43" t="s">
        <v>259</v>
      </c>
      <c r="N43" t="s">
        <v>45</v>
      </c>
      <c r="O43" t="s">
        <v>46</v>
      </c>
      <c r="P43" t="s">
        <v>47</v>
      </c>
      <c r="Q43" t="s">
        <v>260</v>
      </c>
      <c r="R43" t="s">
        <v>260</v>
      </c>
      <c r="S43" t="s">
        <v>260</v>
      </c>
      <c r="T43" t="s">
        <v>49</v>
      </c>
      <c r="U43" s="4" t="s">
        <v>261</v>
      </c>
      <c r="V43" t="s">
        <v>51</v>
      </c>
      <c r="W43" s="4" t="s">
        <v>262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3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263</v>
      </c>
      <c r="J44" t="s">
        <v>264</v>
      </c>
      <c r="K44" t="s">
        <v>42</v>
      </c>
      <c r="L44" t="s">
        <v>265</v>
      </c>
      <c r="M44" t="s">
        <v>266</v>
      </c>
      <c r="N44" t="s">
        <v>45</v>
      </c>
      <c r="O44" t="s">
        <v>46</v>
      </c>
      <c r="P44" t="s">
        <v>47</v>
      </c>
      <c r="Q44" t="s">
        <v>145</v>
      </c>
      <c r="R44" t="s">
        <v>145</v>
      </c>
      <c r="S44" t="s">
        <v>145</v>
      </c>
      <c r="T44" t="s">
        <v>49</v>
      </c>
      <c r="U44" s="4" t="s">
        <v>267</v>
      </c>
      <c r="V44" t="s">
        <v>51</v>
      </c>
      <c r="W44" s="4" t="s">
        <v>268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3">
      <c r="A45" t="s">
        <v>32</v>
      </c>
      <c r="B45" t="s">
        <v>33</v>
      </c>
      <c r="C45" t="s">
        <v>74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55</v>
      </c>
      <c r="J45" t="s">
        <v>56</v>
      </c>
      <c r="K45" t="s">
        <v>42</v>
      </c>
      <c r="L45" t="s">
        <v>269</v>
      </c>
      <c r="M45" t="s">
        <v>270</v>
      </c>
      <c r="N45" t="s">
        <v>45</v>
      </c>
      <c r="O45" t="s">
        <v>46</v>
      </c>
      <c r="P45" t="s">
        <v>47</v>
      </c>
      <c r="Q45" t="s">
        <v>77</v>
      </c>
      <c r="R45" t="s">
        <v>77</v>
      </c>
      <c r="S45" t="s">
        <v>77</v>
      </c>
      <c r="T45" t="s">
        <v>49</v>
      </c>
      <c r="U45" s="4" t="s">
        <v>221</v>
      </c>
      <c r="V45" t="s">
        <v>51</v>
      </c>
      <c r="W45" s="4" t="s">
        <v>271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3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101</v>
      </c>
      <c r="J46" t="s">
        <v>102</v>
      </c>
      <c r="K46" t="s">
        <v>42</v>
      </c>
      <c r="L46" t="s">
        <v>272</v>
      </c>
      <c r="M46" t="s">
        <v>273</v>
      </c>
      <c r="N46" t="s">
        <v>45</v>
      </c>
      <c r="O46" t="s">
        <v>46</v>
      </c>
      <c r="P46" t="s">
        <v>47</v>
      </c>
      <c r="Q46" t="s">
        <v>274</v>
      </c>
      <c r="R46" t="s">
        <v>274</v>
      </c>
      <c r="S46" t="s">
        <v>274</v>
      </c>
      <c r="T46" t="s">
        <v>49</v>
      </c>
      <c r="U46" s="4" t="s">
        <v>275</v>
      </c>
      <c r="V46" t="s">
        <v>51</v>
      </c>
      <c r="W46" s="4" t="s">
        <v>276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3">
      <c r="A47" t="s">
        <v>32</v>
      </c>
      <c r="B47" t="s">
        <v>33</v>
      </c>
      <c r="C47" t="s">
        <v>74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263</v>
      </c>
      <c r="J47" t="s">
        <v>264</v>
      </c>
      <c r="K47" t="s">
        <v>42</v>
      </c>
      <c r="L47" t="s">
        <v>277</v>
      </c>
      <c r="M47" t="s">
        <v>278</v>
      </c>
      <c r="N47" t="s">
        <v>45</v>
      </c>
      <c r="O47" t="s">
        <v>46</v>
      </c>
      <c r="P47" t="s">
        <v>47</v>
      </c>
      <c r="Q47" t="s">
        <v>279</v>
      </c>
      <c r="R47" t="s">
        <v>279</v>
      </c>
      <c r="S47" t="s">
        <v>279</v>
      </c>
      <c r="T47" t="s">
        <v>49</v>
      </c>
      <c r="U47" s="4" t="s">
        <v>280</v>
      </c>
      <c r="V47" t="s">
        <v>107</v>
      </c>
      <c r="W47" s="4" t="s">
        <v>281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3">
      <c r="A48" t="s">
        <v>32</v>
      </c>
      <c r="B48" t="s">
        <v>33</v>
      </c>
      <c r="C48" t="s">
        <v>74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55</v>
      </c>
      <c r="J48" t="s">
        <v>56</v>
      </c>
      <c r="K48" t="s">
        <v>42</v>
      </c>
      <c r="L48" t="s">
        <v>282</v>
      </c>
      <c r="M48" t="s">
        <v>283</v>
      </c>
      <c r="N48" t="s">
        <v>45</v>
      </c>
      <c r="O48" t="s">
        <v>46</v>
      </c>
      <c r="P48" t="s">
        <v>47</v>
      </c>
      <c r="Q48" t="s">
        <v>284</v>
      </c>
      <c r="R48" t="s">
        <v>284</v>
      </c>
      <c r="S48" t="s">
        <v>284</v>
      </c>
      <c r="T48" t="s">
        <v>49</v>
      </c>
      <c r="U48" s="4" t="s">
        <v>285</v>
      </c>
      <c r="V48" t="s">
        <v>51</v>
      </c>
      <c r="W48" s="4" t="s">
        <v>286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3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166</v>
      </c>
      <c r="J49" t="s">
        <v>167</v>
      </c>
      <c r="K49" t="s">
        <v>42</v>
      </c>
      <c r="L49" t="s">
        <v>168</v>
      </c>
      <c r="M49" t="s">
        <v>169</v>
      </c>
      <c r="N49" t="s">
        <v>45</v>
      </c>
      <c r="O49" t="s">
        <v>46</v>
      </c>
      <c r="P49" t="s">
        <v>47</v>
      </c>
      <c r="Q49" t="s">
        <v>170</v>
      </c>
      <c r="R49" t="s">
        <v>170</v>
      </c>
      <c r="S49" t="s">
        <v>170</v>
      </c>
      <c r="T49" t="s">
        <v>49</v>
      </c>
      <c r="U49" s="4" t="s">
        <v>287</v>
      </c>
      <c r="V49" t="s">
        <v>51</v>
      </c>
      <c r="W49" s="4" t="s">
        <v>288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3">
      <c r="A50" t="s">
        <v>32</v>
      </c>
      <c r="B50" t="s">
        <v>33</v>
      </c>
      <c r="C50" t="s">
        <v>74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55</v>
      </c>
      <c r="J50" t="s">
        <v>56</v>
      </c>
      <c r="K50" t="s">
        <v>42</v>
      </c>
      <c r="L50" t="s">
        <v>289</v>
      </c>
      <c r="M50" t="s">
        <v>290</v>
      </c>
      <c r="N50" t="s">
        <v>45</v>
      </c>
      <c r="O50" t="s">
        <v>46</v>
      </c>
      <c r="P50" t="s">
        <v>47</v>
      </c>
      <c r="Q50" t="s">
        <v>291</v>
      </c>
      <c r="R50" t="s">
        <v>291</v>
      </c>
      <c r="S50" t="s">
        <v>291</v>
      </c>
      <c r="T50" t="s">
        <v>49</v>
      </c>
      <c r="U50" s="4" t="s">
        <v>292</v>
      </c>
      <c r="V50" t="s">
        <v>66</v>
      </c>
      <c r="W50" s="4" t="s">
        <v>293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3">
      <c r="A51" t="s">
        <v>32</v>
      </c>
      <c r="B51" t="s">
        <v>33</v>
      </c>
      <c r="C51" t="s">
        <v>74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43</v>
      </c>
      <c r="M51" t="s">
        <v>44</v>
      </c>
      <c r="N51" t="s">
        <v>45</v>
      </c>
      <c r="O51" t="s">
        <v>46</v>
      </c>
      <c r="P51" t="s">
        <v>47</v>
      </c>
      <c r="Q51" t="s">
        <v>48</v>
      </c>
      <c r="R51" t="s">
        <v>48</v>
      </c>
      <c r="S51" t="s">
        <v>48</v>
      </c>
      <c r="T51" t="s">
        <v>49</v>
      </c>
      <c r="U51" s="4" t="s">
        <v>94</v>
      </c>
      <c r="V51" t="s">
        <v>51</v>
      </c>
      <c r="W51" s="4" t="s">
        <v>95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3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125</v>
      </c>
      <c r="J52" t="s">
        <v>126</v>
      </c>
      <c r="K52" t="s">
        <v>42</v>
      </c>
      <c r="L52" t="s">
        <v>294</v>
      </c>
      <c r="M52" t="s">
        <v>295</v>
      </c>
      <c r="N52" t="s">
        <v>45</v>
      </c>
      <c r="O52" t="s">
        <v>46</v>
      </c>
      <c r="P52" t="s">
        <v>47</v>
      </c>
      <c r="Q52" t="s">
        <v>296</v>
      </c>
      <c r="R52" t="s">
        <v>296</v>
      </c>
      <c r="S52" t="s">
        <v>296</v>
      </c>
      <c r="T52" t="s">
        <v>49</v>
      </c>
      <c r="U52" s="4" t="s">
        <v>297</v>
      </c>
      <c r="V52" t="s">
        <v>51</v>
      </c>
      <c r="W52" s="4" t="s">
        <v>298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3">
      <c r="A53" t="s">
        <v>32</v>
      </c>
      <c r="B53" t="s">
        <v>33</v>
      </c>
      <c r="C53" t="s">
        <v>54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55</v>
      </c>
      <c r="J53" t="s">
        <v>56</v>
      </c>
      <c r="K53" t="s">
        <v>42</v>
      </c>
      <c r="L53" t="s">
        <v>299</v>
      </c>
      <c r="M53" t="s">
        <v>300</v>
      </c>
      <c r="N53" t="s">
        <v>45</v>
      </c>
      <c r="O53" t="s">
        <v>46</v>
      </c>
      <c r="P53" t="s">
        <v>47</v>
      </c>
      <c r="Q53" t="s">
        <v>111</v>
      </c>
      <c r="R53" t="s">
        <v>111</v>
      </c>
      <c r="S53" t="s">
        <v>111</v>
      </c>
      <c r="T53" t="s">
        <v>49</v>
      </c>
      <c r="U53" s="4" t="s">
        <v>301</v>
      </c>
      <c r="V53" t="s">
        <v>87</v>
      </c>
      <c r="W53" s="4" t="s">
        <v>302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3">
      <c r="A54" t="s">
        <v>32</v>
      </c>
      <c r="B54" t="s">
        <v>33</v>
      </c>
      <c r="C54" t="s">
        <v>54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125</v>
      </c>
      <c r="J54" t="s">
        <v>126</v>
      </c>
      <c r="K54" t="s">
        <v>42</v>
      </c>
      <c r="L54" t="s">
        <v>303</v>
      </c>
      <c r="M54" t="s">
        <v>304</v>
      </c>
      <c r="N54" t="s">
        <v>45</v>
      </c>
      <c r="O54" t="s">
        <v>46</v>
      </c>
      <c r="P54" t="s">
        <v>47</v>
      </c>
      <c r="Q54" t="s">
        <v>260</v>
      </c>
      <c r="R54" t="s">
        <v>260</v>
      </c>
      <c r="S54" t="s">
        <v>260</v>
      </c>
      <c r="T54" t="s">
        <v>49</v>
      </c>
      <c r="U54" s="4" t="s">
        <v>305</v>
      </c>
      <c r="V54" t="s">
        <v>51</v>
      </c>
      <c r="W54" s="4" t="s">
        <v>306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3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307</v>
      </c>
      <c r="M55" t="s">
        <v>308</v>
      </c>
      <c r="N55" t="s">
        <v>45</v>
      </c>
      <c r="O55" t="s">
        <v>46</v>
      </c>
      <c r="P55" t="s">
        <v>47</v>
      </c>
      <c r="Q55" t="s">
        <v>309</v>
      </c>
      <c r="R55" t="s">
        <v>309</v>
      </c>
      <c r="S55" t="s">
        <v>309</v>
      </c>
      <c r="T55" t="s">
        <v>49</v>
      </c>
      <c r="U55" s="4" t="s">
        <v>310</v>
      </c>
      <c r="V55" t="s">
        <v>51</v>
      </c>
      <c r="W55" s="4" t="s">
        <v>311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3">
      <c r="A56" t="s">
        <v>32</v>
      </c>
      <c r="B56" t="s">
        <v>33</v>
      </c>
      <c r="C56" t="s">
        <v>54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55</v>
      </c>
      <c r="J56" t="s">
        <v>56</v>
      </c>
      <c r="K56" t="s">
        <v>42</v>
      </c>
      <c r="L56" t="s">
        <v>312</v>
      </c>
      <c r="M56" t="s">
        <v>313</v>
      </c>
      <c r="N56" t="s">
        <v>45</v>
      </c>
      <c r="O56" t="s">
        <v>46</v>
      </c>
      <c r="P56" t="s">
        <v>47</v>
      </c>
      <c r="Q56" t="s">
        <v>111</v>
      </c>
      <c r="R56" t="s">
        <v>111</v>
      </c>
      <c r="S56" t="s">
        <v>111</v>
      </c>
      <c r="T56" t="s">
        <v>49</v>
      </c>
      <c r="U56" s="4" t="s">
        <v>314</v>
      </c>
      <c r="V56" t="s">
        <v>51</v>
      </c>
      <c r="W56" s="4" t="s">
        <v>315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3">
      <c r="A57" t="s">
        <v>32</v>
      </c>
      <c r="B57" t="s">
        <v>33</v>
      </c>
      <c r="C57" t="s">
        <v>74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55</v>
      </c>
      <c r="J57" t="s">
        <v>56</v>
      </c>
      <c r="K57" t="s">
        <v>42</v>
      </c>
      <c r="L57" t="s">
        <v>316</v>
      </c>
      <c r="M57" t="s">
        <v>317</v>
      </c>
      <c r="N57" t="s">
        <v>45</v>
      </c>
      <c r="O57" t="s">
        <v>46</v>
      </c>
      <c r="P57" t="s">
        <v>47</v>
      </c>
      <c r="Q57" t="s">
        <v>77</v>
      </c>
      <c r="R57" t="s">
        <v>77</v>
      </c>
      <c r="S57" t="s">
        <v>77</v>
      </c>
      <c r="T57" t="s">
        <v>49</v>
      </c>
      <c r="U57" s="4" t="s">
        <v>318</v>
      </c>
      <c r="V57" t="s">
        <v>51</v>
      </c>
      <c r="W57" s="4" t="s">
        <v>319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3">
      <c r="A58" t="s">
        <v>32</v>
      </c>
      <c r="B58" t="s">
        <v>33</v>
      </c>
      <c r="C58" t="s">
        <v>80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118</v>
      </c>
      <c r="J58" t="s">
        <v>119</v>
      </c>
      <c r="K58" t="s">
        <v>42</v>
      </c>
      <c r="L58" t="s">
        <v>320</v>
      </c>
      <c r="M58" t="s">
        <v>321</v>
      </c>
      <c r="N58" t="s">
        <v>45</v>
      </c>
      <c r="O58" t="s">
        <v>46</v>
      </c>
      <c r="P58" t="s">
        <v>47</v>
      </c>
      <c r="Q58" t="s">
        <v>322</v>
      </c>
      <c r="R58" t="s">
        <v>322</v>
      </c>
      <c r="S58" t="s">
        <v>322</v>
      </c>
      <c r="T58" t="s">
        <v>49</v>
      </c>
      <c r="U58" s="4" t="s">
        <v>323</v>
      </c>
      <c r="V58" t="s">
        <v>51</v>
      </c>
      <c r="W58" s="4" t="s">
        <v>324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3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263</v>
      </c>
      <c r="J59" t="s">
        <v>264</v>
      </c>
      <c r="K59" t="s">
        <v>42</v>
      </c>
      <c r="L59" t="s">
        <v>325</v>
      </c>
      <c r="M59" t="s">
        <v>326</v>
      </c>
      <c r="N59" t="s">
        <v>45</v>
      </c>
      <c r="O59" t="s">
        <v>46</v>
      </c>
      <c r="P59" t="s">
        <v>47</v>
      </c>
      <c r="Q59" t="s">
        <v>327</v>
      </c>
      <c r="R59" t="s">
        <v>327</v>
      </c>
      <c r="S59" t="s">
        <v>327</v>
      </c>
      <c r="T59" t="s">
        <v>49</v>
      </c>
      <c r="U59" s="4" t="s">
        <v>328</v>
      </c>
      <c r="V59" t="s">
        <v>51</v>
      </c>
      <c r="W59" s="4" t="s">
        <v>329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3">
      <c r="A60" t="s">
        <v>32</v>
      </c>
      <c r="B60" t="s">
        <v>33</v>
      </c>
      <c r="C60" t="s">
        <v>54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55</v>
      </c>
      <c r="J60" t="s">
        <v>56</v>
      </c>
      <c r="K60" t="s">
        <v>42</v>
      </c>
      <c r="L60" t="s">
        <v>330</v>
      </c>
      <c r="M60" t="s">
        <v>195</v>
      </c>
      <c r="N60" t="s">
        <v>45</v>
      </c>
      <c r="O60" t="s">
        <v>46</v>
      </c>
      <c r="P60" t="s">
        <v>47</v>
      </c>
      <c r="Q60" t="s">
        <v>189</v>
      </c>
      <c r="R60" t="s">
        <v>189</v>
      </c>
      <c r="S60" t="s">
        <v>189</v>
      </c>
      <c r="T60" t="s">
        <v>49</v>
      </c>
      <c r="U60" s="4" t="s">
        <v>331</v>
      </c>
      <c r="V60" t="s">
        <v>66</v>
      </c>
      <c r="W60" s="4" t="s">
        <v>332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3">
      <c r="A61" t="s">
        <v>32</v>
      </c>
      <c r="B61" t="s">
        <v>33</v>
      </c>
      <c r="C61" t="s">
        <v>54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55</v>
      </c>
      <c r="J61" t="s">
        <v>56</v>
      </c>
      <c r="K61" t="s">
        <v>42</v>
      </c>
      <c r="L61" t="s">
        <v>333</v>
      </c>
      <c r="M61" t="s">
        <v>334</v>
      </c>
      <c r="N61" t="s">
        <v>45</v>
      </c>
      <c r="O61" t="s">
        <v>46</v>
      </c>
      <c r="P61" t="s">
        <v>47</v>
      </c>
      <c r="Q61" t="s">
        <v>111</v>
      </c>
      <c r="R61" t="s">
        <v>111</v>
      </c>
      <c r="S61" t="s">
        <v>111</v>
      </c>
      <c r="T61" t="s">
        <v>49</v>
      </c>
      <c r="U61" s="4" t="s">
        <v>335</v>
      </c>
      <c r="V61" t="s">
        <v>87</v>
      </c>
      <c r="W61" s="4" t="s">
        <v>336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3">
      <c r="A62" t="s">
        <v>32</v>
      </c>
      <c r="B62" t="s">
        <v>33</v>
      </c>
      <c r="C62" t="s">
        <v>74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55</v>
      </c>
      <c r="J62" t="s">
        <v>56</v>
      </c>
      <c r="K62" t="s">
        <v>42</v>
      </c>
      <c r="L62" t="s">
        <v>337</v>
      </c>
      <c r="M62" t="s">
        <v>153</v>
      </c>
      <c r="N62" t="s">
        <v>45</v>
      </c>
      <c r="O62" t="s">
        <v>46</v>
      </c>
      <c r="P62" t="s">
        <v>47</v>
      </c>
      <c r="Q62" t="s">
        <v>338</v>
      </c>
      <c r="R62" t="s">
        <v>338</v>
      </c>
      <c r="S62" t="s">
        <v>338</v>
      </c>
      <c r="T62" t="s">
        <v>49</v>
      </c>
      <c r="U62" s="4" t="s">
        <v>339</v>
      </c>
      <c r="V62" t="s">
        <v>51</v>
      </c>
      <c r="W62" s="4" t="s">
        <v>340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3">
      <c r="A63" t="s">
        <v>32</v>
      </c>
      <c r="B63" t="s">
        <v>33</v>
      </c>
      <c r="C63" t="s">
        <v>74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125</v>
      </c>
      <c r="J63" t="s">
        <v>126</v>
      </c>
      <c r="K63" t="s">
        <v>42</v>
      </c>
      <c r="L63" t="s">
        <v>341</v>
      </c>
      <c r="M63" t="s">
        <v>184</v>
      </c>
      <c r="N63" t="s">
        <v>45</v>
      </c>
      <c r="O63" t="s">
        <v>46</v>
      </c>
      <c r="P63" t="s">
        <v>47</v>
      </c>
      <c r="Q63" t="s">
        <v>77</v>
      </c>
      <c r="R63" t="s">
        <v>77</v>
      </c>
      <c r="S63" t="s">
        <v>77</v>
      </c>
      <c r="T63" t="s">
        <v>49</v>
      </c>
      <c r="U63" s="4" t="s">
        <v>342</v>
      </c>
      <c r="V63" t="s">
        <v>51</v>
      </c>
      <c r="W63" s="4" t="s">
        <v>343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3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118</v>
      </c>
      <c r="J64" t="s">
        <v>119</v>
      </c>
      <c r="K64" t="s">
        <v>42</v>
      </c>
      <c r="L64" t="s">
        <v>344</v>
      </c>
      <c r="M64" t="s">
        <v>121</v>
      </c>
      <c r="N64" t="s">
        <v>45</v>
      </c>
      <c r="O64" t="s">
        <v>46</v>
      </c>
      <c r="P64" t="s">
        <v>47</v>
      </c>
      <c r="Q64" t="s">
        <v>122</v>
      </c>
      <c r="R64" t="s">
        <v>122</v>
      </c>
      <c r="S64" t="s">
        <v>122</v>
      </c>
      <c r="T64" t="s">
        <v>49</v>
      </c>
      <c r="U64" s="4" t="s">
        <v>345</v>
      </c>
      <c r="V64" t="s">
        <v>66</v>
      </c>
      <c r="W64" s="4" t="s">
        <v>346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3">
      <c r="A65" t="s">
        <v>32</v>
      </c>
      <c r="B65" t="s">
        <v>33</v>
      </c>
      <c r="C65" t="s">
        <v>74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55</v>
      </c>
      <c r="J65" t="s">
        <v>56</v>
      </c>
      <c r="K65" t="s">
        <v>42</v>
      </c>
      <c r="L65" t="s">
        <v>347</v>
      </c>
      <c r="M65" t="s">
        <v>348</v>
      </c>
      <c r="N65" t="s">
        <v>45</v>
      </c>
      <c r="O65" t="s">
        <v>46</v>
      </c>
      <c r="P65" t="s">
        <v>47</v>
      </c>
      <c r="Q65" t="s">
        <v>77</v>
      </c>
      <c r="R65" t="s">
        <v>77</v>
      </c>
      <c r="S65" t="s">
        <v>77</v>
      </c>
      <c r="T65" t="s">
        <v>49</v>
      </c>
      <c r="U65" s="4" t="s">
        <v>349</v>
      </c>
      <c r="V65" t="s">
        <v>51</v>
      </c>
      <c r="W65" s="4" t="s">
        <v>350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3">
      <c r="A66" t="s">
        <v>32</v>
      </c>
      <c r="B66" t="s">
        <v>33</v>
      </c>
      <c r="C66" t="s">
        <v>74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55</v>
      </c>
      <c r="J66" t="s">
        <v>56</v>
      </c>
      <c r="K66" t="s">
        <v>42</v>
      </c>
      <c r="L66" t="s">
        <v>351</v>
      </c>
      <c r="M66" t="s">
        <v>352</v>
      </c>
      <c r="N66" t="s">
        <v>45</v>
      </c>
      <c r="O66" t="s">
        <v>46</v>
      </c>
      <c r="P66" t="s">
        <v>47</v>
      </c>
      <c r="Q66" t="s">
        <v>353</v>
      </c>
      <c r="R66" t="s">
        <v>353</v>
      </c>
      <c r="S66" t="s">
        <v>353</v>
      </c>
      <c r="T66" t="s">
        <v>49</v>
      </c>
      <c r="U66" s="4" t="s">
        <v>354</v>
      </c>
      <c r="V66" t="s">
        <v>107</v>
      </c>
      <c r="W66" s="4" t="s">
        <v>355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3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125</v>
      </c>
      <c r="J67" t="s">
        <v>126</v>
      </c>
      <c r="K67" t="s">
        <v>42</v>
      </c>
      <c r="L67" t="s">
        <v>356</v>
      </c>
      <c r="M67" t="s">
        <v>295</v>
      </c>
      <c r="N67" t="s">
        <v>45</v>
      </c>
      <c r="O67" t="s">
        <v>46</v>
      </c>
      <c r="P67" t="s">
        <v>47</v>
      </c>
      <c r="Q67" t="s">
        <v>296</v>
      </c>
      <c r="R67" t="s">
        <v>296</v>
      </c>
      <c r="S67" t="s">
        <v>296</v>
      </c>
      <c r="T67" t="s">
        <v>49</v>
      </c>
      <c r="U67" s="4" t="s">
        <v>130</v>
      </c>
      <c r="V67" t="s">
        <v>51</v>
      </c>
      <c r="W67" s="4" t="s">
        <v>131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3">
      <c r="A68" t="s">
        <v>32</v>
      </c>
      <c r="B68" t="s">
        <v>33</v>
      </c>
      <c r="C68" t="s">
        <v>80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125</v>
      </c>
      <c r="J68" t="s">
        <v>126</v>
      </c>
      <c r="K68" t="s">
        <v>42</v>
      </c>
      <c r="L68" t="s">
        <v>357</v>
      </c>
      <c r="M68" t="s">
        <v>358</v>
      </c>
      <c r="N68" t="s">
        <v>45</v>
      </c>
      <c r="O68" t="s">
        <v>46</v>
      </c>
      <c r="P68" t="s">
        <v>47</v>
      </c>
      <c r="Q68" t="s">
        <v>359</v>
      </c>
      <c r="R68" t="s">
        <v>359</v>
      </c>
      <c r="S68" t="s">
        <v>359</v>
      </c>
      <c r="T68" t="s">
        <v>49</v>
      </c>
      <c r="U68" s="4" t="s">
        <v>360</v>
      </c>
      <c r="V68" t="s">
        <v>51</v>
      </c>
      <c r="W68" s="4" t="s">
        <v>361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3">
      <c r="A69" t="s">
        <v>32</v>
      </c>
      <c r="B69" t="s">
        <v>33</v>
      </c>
      <c r="C69" t="s">
        <v>54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55</v>
      </c>
      <c r="J69" t="s">
        <v>56</v>
      </c>
      <c r="K69" t="s">
        <v>42</v>
      </c>
      <c r="L69" t="s">
        <v>362</v>
      </c>
      <c r="M69" t="s">
        <v>363</v>
      </c>
      <c r="N69" t="s">
        <v>45</v>
      </c>
      <c r="O69" t="s">
        <v>46</v>
      </c>
      <c r="P69" t="s">
        <v>47</v>
      </c>
      <c r="Q69" t="s">
        <v>111</v>
      </c>
      <c r="R69" t="s">
        <v>111</v>
      </c>
      <c r="S69" t="s">
        <v>111</v>
      </c>
      <c r="T69" t="s">
        <v>49</v>
      </c>
      <c r="U69" s="4" t="s">
        <v>364</v>
      </c>
      <c r="V69" t="s">
        <v>51</v>
      </c>
      <c r="W69" s="4" t="s">
        <v>365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3">
      <c r="A70" t="s">
        <v>32</v>
      </c>
      <c r="B70" t="s">
        <v>33</v>
      </c>
      <c r="C70" t="s">
        <v>54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55</v>
      </c>
      <c r="J70" t="s">
        <v>56</v>
      </c>
      <c r="K70" t="s">
        <v>42</v>
      </c>
      <c r="L70" t="s">
        <v>366</v>
      </c>
      <c r="M70" t="s">
        <v>367</v>
      </c>
      <c r="N70" t="s">
        <v>45</v>
      </c>
      <c r="O70" t="s">
        <v>46</v>
      </c>
      <c r="P70" t="s">
        <v>47</v>
      </c>
      <c r="Q70" t="s">
        <v>368</v>
      </c>
      <c r="R70" t="s">
        <v>368</v>
      </c>
      <c r="S70" t="s">
        <v>368</v>
      </c>
      <c r="T70" t="s">
        <v>49</v>
      </c>
      <c r="U70" s="4" t="s">
        <v>369</v>
      </c>
      <c r="V70" t="s">
        <v>51</v>
      </c>
      <c r="W70" s="4" t="s">
        <v>370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3">
      <c r="A71" t="s">
        <v>32</v>
      </c>
      <c r="B71" t="s">
        <v>33</v>
      </c>
      <c r="C71" t="s">
        <v>74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55</v>
      </c>
      <c r="J71" t="s">
        <v>56</v>
      </c>
      <c r="K71" t="s">
        <v>42</v>
      </c>
      <c r="L71" t="s">
        <v>371</v>
      </c>
      <c r="M71" t="s">
        <v>290</v>
      </c>
      <c r="N71" t="s">
        <v>45</v>
      </c>
      <c r="O71" t="s">
        <v>46</v>
      </c>
      <c r="P71" t="s">
        <v>47</v>
      </c>
      <c r="Q71" t="s">
        <v>291</v>
      </c>
      <c r="R71" t="s">
        <v>291</v>
      </c>
      <c r="S71" t="s">
        <v>291</v>
      </c>
      <c r="T71" t="s">
        <v>49</v>
      </c>
      <c r="U71" s="4" t="s">
        <v>372</v>
      </c>
      <c r="V71" t="s">
        <v>66</v>
      </c>
      <c r="W71" s="4" t="s">
        <v>373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3">
      <c r="A72" t="s">
        <v>32</v>
      </c>
      <c r="B72" t="s">
        <v>33</v>
      </c>
      <c r="C72" t="s">
        <v>74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55</v>
      </c>
      <c r="J72" t="s">
        <v>56</v>
      </c>
      <c r="K72" t="s">
        <v>42</v>
      </c>
      <c r="L72" t="s">
        <v>374</v>
      </c>
      <c r="M72" t="s">
        <v>375</v>
      </c>
      <c r="N72" t="s">
        <v>45</v>
      </c>
      <c r="O72" t="s">
        <v>46</v>
      </c>
      <c r="P72" t="s">
        <v>47</v>
      </c>
      <c r="Q72" t="s">
        <v>77</v>
      </c>
      <c r="R72" t="s">
        <v>77</v>
      </c>
      <c r="S72" t="s">
        <v>77</v>
      </c>
      <c r="T72" t="s">
        <v>49</v>
      </c>
      <c r="U72" s="4" t="s">
        <v>376</v>
      </c>
      <c r="V72" t="s">
        <v>107</v>
      </c>
      <c r="W72" s="4" t="s">
        <v>377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3">
      <c r="A73" t="s">
        <v>32</v>
      </c>
      <c r="B73" t="s">
        <v>33</v>
      </c>
      <c r="C73" t="s">
        <v>54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55</v>
      </c>
      <c r="J73" t="s">
        <v>56</v>
      </c>
      <c r="K73" t="s">
        <v>42</v>
      </c>
      <c r="L73" t="s">
        <v>378</v>
      </c>
      <c r="M73" t="s">
        <v>379</v>
      </c>
      <c r="N73" t="s">
        <v>45</v>
      </c>
      <c r="O73" t="s">
        <v>46</v>
      </c>
      <c r="P73" t="s">
        <v>47</v>
      </c>
      <c r="Q73" t="s">
        <v>380</v>
      </c>
      <c r="R73" t="s">
        <v>380</v>
      </c>
      <c r="S73" t="s">
        <v>380</v>
      </c>
      <c r="T73" t="s">
        <v>49</v>
      </c>
      <c r="U73" s="4" t="s">
        <v>381</v>
      </c>
      <c r="V73" t="s">
        <v>107</v>
      </c>
      <c r="W73" s="4" t="s">
        <v>382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3">
      <c r="A74" t="s">
        <v>32</v>
      </c>
      <c r="B74" t="s">
        <v>33</v>
      </c>
      <c r="C74" t="s">
        <v>54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55</v>
      </c>
      <c r="J74" t="s">
        <v>56</v>
      </c>
      <c r="K74" t="s">
        <v>42</v>
      </c>
      <c r="L74" t="s">
        <v>383</v>
      </c>
      <c r="M74" t="s">
        <v>384</v>
      </c>
      <c r="N74" t="s">
        <v>45</v>
      </c>
      <c r="O74" t="s">
        <v>46</v>
      </c>
      <c r="P74" t="s">
        <v>47</v>
      </c>
      <c r="Q74" t="s">
        <v>70</v>
      </c>
      <c r="R74" t="s">
        <v>70</v>
      </c>
      <c r="S74" t="s">
        <v>70</v>
      </c>
      <c r="T74" t="s">
        <v>49</v>
      </c>
      <c r="U74" s="4" t="s">
        <v>385</v>
      </c>
      <c r="V74" t="s">
        <v>66</v>
      </c>
      <c r="W74" s="4" t="s">
        <v>386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3">
      <c r="A75" t="s">
        <v>32</v>
      </c>
      <c r="B75" t="s">
        <v>33</v>
      </c>
      <c r="C75" t="s">
        <v>54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55</v>
      </c>
      <c r="J75" t="s">
        <v>56</v>
      </c>
      <c r="K75" t="s">
        <v>42</v>
      </c>
      <c r="L75" t="s">
        <v>387</v>
      </c>
      <c r="M75" t="s">
        <v>388</v>
      </c>
      <c r="N75" t="s">
        <v>45</v>
      </c>
      <c r="O75" t="s">
        <v>46</v>
      </c>
      <c r="P75" t="s">
        <v>47</v>
      </c>
      <c r="Q75" t="s">
        <v>389</v>
      </c>
      <c r="R75" t="s">
        <v>389</v>
      </c>
      <c r="S75" t="s">
        <v>389</v>
      </c>
      <c r="T75" t="s">
        <v>49</v>
      </c>
      <c r="U75" s="4" t="s">
        <v>355</v>
      </c>
      <c r="V75" t="s">
        <v>66</v>
      </c>
      <c r="W75" s="4" t="s">
        <v>390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3">
      <c r="A76" t="s">
        <v>32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125</v>
      </c>
      <c r="J76" t="s">
        <v>126</v>
      </c>
      <c r="K76" t="s">
        <v>42</v>
      </c>
      <c r="L76" t="s">
        <v>391</v>
      </c>
      <c r="M76" t="s">
        <v>295</v>
      </c>
      <c r="N76" t="s">
        <v>45</v>
      </c>
      <c r="O76" t="s">
        <v>46</v>
      </c>
      <c r="P76" t="s">
        <v>47</v>
      </c>
      <c r="Q76" t="s">
        <v>296</v>
      </c>
      <c r="R76" t="s">
        <v>296</v>
      </c>
      <c r="S76" t="s">
        <v>296</v>
      </c>
      <c r="T76" t="s">
        <v>49</v>
      </c>
      <c r="U76" s="4" t="s">
        <v>392</v>
      </c>
      <c r="V76" t="s">
        <v>51</v>
      </c>
      <c r="W76" s="4" t="s">
        <v>393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3">
      <c r="A77" t="s">
        <v>32</v>
      </c>
      <c r="B77" t="s">
        <v>33</v>
      </c>
      <c r="C77" t="s">
        <v>54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55</v>
      </c>
      <c r="J77" t="s">
        <v>56</v>
      </c>
      <c r="K77" t="s">
        <v>42</v>
      </c>
      <c r="L77" t="s">
        <v>394</v>
      </c>
      <c r="M77" t="s">
        <v>395</v>
      </c>
      <c r="N77" t="s">
        <v>45</v>
      </c>
      <c r="O77" t="s">
        <v>46</v>
      </c>
      <c r="P77" t="s">
        <v>47</v>
      </c>
      <c r="Q77" t="s">
        <v>189</v>
      </c>
      <c r="R77" t="s">
        <v>189</v>
      </c>
      <c r="S77" t="s">
        <v>189</v>
      </c>
      <c r="T77" t="s">
        <v>49</v>
      </c>
      <c r="U77" s="4" t="s">
        <v>396</v>
      </c>
      <c r="V77" t="s">
        <v>72</v>
      </c>
      <c r="W77" s="4" t="s">
        <v>397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3">
      <c r="A78" t="s">
        <v>32</v>
      </c>
      <c r="B78" t="s">
        <v>33</v>
      </c>
      <c r="C78" t="s">
        <v>74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118</v>
      </c>
      <c r="J78" t="s">
        <v>119</v>
      </c>
      <c r="K78" t="s">
        <v>42</v>
      </c>
      <c r="L78" t="s">
        <v>398</v>
      </c>
      <c r="M78" t="s">
        <v>399</v>
      </c>
      <c r="N78" t="s">
        <v>45</v>
      </c>
      <c r="O78" t="s">
        <v>46</v>
      </c>
      <c r="P78" t="s">
        <v>47</v>
      </c>
      <c r="Q78" t="s">
        <v>400</v>
      </c>
      <c r="R78" t="s">
        <v>400</v>
      </c>
      <c r="S78" t="s">
        <v>400</v>
      </c>
      <c r="T78" t="s">
        <v>49</v>
      </c>
      <c r="U78" s="4" t="s">
        <v>401</v>
      </c>
      <c r="V78" t="s">
        <v>51</v>
      </c>
      <c r="W78" s="4" t="s">
        <v>402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3">
      <c r="A79" t="s">
        <v>32</v>
      </c>
      <c r="B79" t="s">
        <v>33</v>
      </c>
      <c r="C79" t="s">
        <v>54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55</v>
      </c>
      <c r="J79" t="s">
        <v>56</v>
      </c>
      <c r="K79" t="s">
        <v>42</v>
      </c>
      <c r="L79" t="s">
        <v>403</v>
      </c>
      <c r="M79" t="s">
        <v>224</v>
      </c>
      <c r="N79" t="s">
        <v>45</v>
      </c>
      <c r="O79" t="s">
        <v>46</v>
      </c>
      <c r="P79" t="s">
        <v>47</v>
      </c>
      <c r="Q79" t="s">
        <v>136</v>
      </c>
      <c r="R79" t="s">
        <v>136</v>
      </c>
      <c r="S79" t="s">
        <v>136</v>
      </c>
      <c r="T79" t="s">
        <v>49</v>
      </c>
      <c r="U79" s="4" t="s">
        <v>404</v>
      </c>
      <c r="V79" t="s">
        <v>51</v>
      </c>
      <c r="W79" s="4" t="s">
        <v>405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  <row r="80" spans="1:31" x14ac:dyDescent="0.3">
      <c r="A80" t="s">
        <v>32</v>
      </c>
      <c r="B80" t="s">
        <v>33</v>
      </c>
      <c r="C80" t="s">
        <v>34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125</v>
      </c>
      <c r="J80" t="s">
        <v>126</v>
      </c>
      <c r="K80" t="s">
        <v>42</v>
      </c>
      <c r="L80" t="s">
        <v>356</v>
      </c>
      <c r="M80" t="s">
        <v>295</v>
      </c>
      <c r="N80" t="s">
        <v>45</v>
      </c>
      <c r="O80" t="s">
        <v>46</v>
      </c>
      <c r="P80" t="s">
        <v>47</v>
      </c>
      <c r="Q80" t="s">
        <v>296</v>
      </c>
      <c r="R80" t="s">
        <v>296</v>
      </c>
      <c r="S80" t="s">
        <v>296</v>
      </c>
      <c r="T80" t="s">
        <v>49</v>
      </c>
      <c r="U80" s="4" t="s">
        <v>297</v>
      </c>
      <c r="V80" t="s">
        <v>51</v>
      </c>
      <c r="W80" s="4" t="s">
        <v>298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35</v>
      </c>
      <c r="AE80" t="s">
        <v>53</v>
      </c>
    </row>
    <row r="81" spans="1:31" x14ac:dyDescent="0.3">
      <c r="A81" t="s">
        <v>32</v>
      </c>
      <c r="B81" t="s">
        <v>33</v>
      </c>
      <c r="C81" t="s">
        <v>54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I81" t="s">
        <v>55</v>
      </c>
      <c r="J81" t="s">
        <v>56</v>
      </c>
      <c r="K81" t="s">
        <v>42</v>
      </c>
      <c r="L81" t="s">
        <v>406</v>
      </c>
      <c r="M81" t="s">
        <v>407</v>
      </c>
      <c r="N81" t="s">
        <v>45</v>
      </c>
      <c r="O81" t="s">
        <v>46</v>
      </c>
      <c r="P81" t="s">
        <v>47</v>
      </c>
      <c r="Q81" t="s">
        <v>111</v>
      </c>
      <c r="R81" t="s">
        <v>111</v>
      </c>
      <c r="S81" t="s">
        <v>111</v>
      </c>
      <c r="T81" t="s">
        <v>49</v>
      </c>
      <c r="U81" s="4" t="s">
        <v>408</v>
      </c>
      <c r="V81" t="s">
        <v>51</v>
      </c>
      <c r="W81" s="4" t="s">
        <v>409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35</v>
      </c>
      <c r="AE81" t="s">
        <v>53</v>
      </c>
    </row>
    <row r="82" spans="1:31" x14ac:dyDescent="0.3">
      <c r="A82" t="s">
        <v>32</v>
      </c>
      <c r="B82" t="s">
        <v>33</v>
      </c>
      <c r="C82" t="s">
        <v>54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125</v>
      </c>
      <c r="J82" t="s">
        <v>126</v>
      </c>
      <c r="K82" t="s">
        <v>42</v>
      </c>
      <c r="L82" t="s">
        <v>410</v>
      </c>
      <c r="M82" t="s">
        <v>411</v>
      </c>
      <c r="N82" t="s">
        <v>45</v>
      </c>
      <c r="O82" t="s">
        <v>46</v>
      </c>
      <c r="P82" t="s">
        <v>47</v>
      </c>
      <c r="Q82" t="s">
        <v>209</v>
      </c>
      <c r="R82" t="s">
        <v>209</v>
      </c>
      <c r="S82" t="s">
        <v>209</v>
      </c>
      <c r="T82" t="s">
        <v>49</v>
      </c>
      <c r="U82" s="4" t="s">
        <v>412</v>
      </c>
      <c r="V82" t="s">
        <v>51</v>
      </c>
      <c r="W82" s="4" t="s">
        <v>413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35</v>
      </c>
      <c r="AE82" t="s">
        <v>53</v>
      </c>
    </row>
    <row r="83" spans="1:31" x14ac:dyDescent="0.3">
      <c r="A83" t="s">
        <v>32</v>
      </c>
      <c r="B83" t="s">
        <v>33</v>
      </c>
      <c r="C83" t="s">
        <v>74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I83" t="s">
        <v>414</v>
      </c>
      <c r="J83" t="s">
        <v>415</v>
      </c>
      <c r="K83" t="s">
        <v>42</v>
      </c>
      <c r="L83" t="s">
        <v>416</v>
      </c>
      <c r="M83" t="s">
        <v>417</v>
      </c>
      <c r="N83" t="s">
        <v>45</v>
      </c>
      <c r="O83" t="s">
        <v>46</v>
      </c>
      <c r="P83" t="s">
        <v>47</v>
      </c>
      <c r="Q83" t="s">
        <v>418</v>
      </c>
      <c r="R83" t="s">
        <v>418</v>
      </c>
      <c r="S83" t="s">
        <v>418</v>
      </c>
      <c r="T83" t="s">
        <v>49</v>
      </c>
      <c r="U83" s="4" t="s">
        <v>419</v>
      </c>
      <c r="V83" t="s">
        <v>107</v>
      </c>
      <c r="W83" s="4" t="s">
        <v>420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35</v>
      </c>
      <c r="AE83" t="s">
        <v>53</v>
      </c>
    </row>
    <row r="84" spans="1:31" x14ac:dyDescent="0.3">
      <c r="A84" t="s">
        <v>32</v>
      </c>
      <c r="B84" t="s">
        <v>33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421</v>
      </c>
      <c r="M84" t="s">
        <v>422</v>
      </c>
      <c r="N84" t="s">
        <v>45</v>
      </c>
      <c r="O84" t="s">
        <v>46</v>
      </c>
      <c r="P84" t="s">
        <v>47</v>
      </c>
      <c r="Q84" t="s">
        <v>423</v>
      </c>
      <c r="R84" t="s">
        <v>423</v>
      </c>
      <c r="S84" t="s">
        <v>423</v>
      </c>
      <c r="T84" t="s">
        <v>49</v>
      </c>
      <c r="U84" s="4" t="s">
        <v>424</v>
      </c>
      <c r="V84" t="s">
        <v>87</v>
      </c>
      <c r="W84" s="4" t="s">
        <v>425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35</v>
      </c>
      <c r="AE84" t="s">
        <v>53</v>
      </c>
    </row>
    <row r="85" spans="1:31" x14ac:dyDescent="0.3">
      <c r="A85" t="s">
        <v>32</v>
      </c>
      <c r="B85" t="s">
        <v>33</v>
      </c>
      <c r="C85" t="s">
        <v>80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125</v>
      </c>
      <c r="J85" t="s">
        <v>126</v>
      </c>
      <c r="K85" t="s">
        <v>42</v>
      </c>
      <c r="L85" t="s">
        <v>426</v>
      </c>
      <c r="M85" t="s">
        <v>427</v>
      </c>
      <c r="N85" t="s">
        <v>45</v>
      </c>
      <c r="O85" t="s">
        <v>46</v>
      </c>
      <c r="P85" t="s">
        <v>47</v>
      </c>
      <c r="Q85" t="s">
        <v>428</v>
      </c>
      <c r="R85" t="s">
        <v>428</v>
      </c>
      <c r="S85" t="s">
        <v>428</v>
      </c>
      <c r="T85" t="s">
        <v>49</v>
      </c>
      <c r="U85" s="4" t="s">
        <v>429</v>
      </c>
      <c r="V85" t="s">
        <v>51</v>
      </c>
      <c r="W85" s="4" t="s">
        <v>430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35</v>
      </c>
      <c r="AE85" t="s">
        <v>53</v>
      </c>
    </row>
    <row r="86" spans="1:31" x14ac:dyDescent="0.3">
      <c r="A86" t="s">
        <v>32</v>
      </c>
      <c r="B86" t="s">
        <v>33</v>
      </c>
      <c r="C86" t="s">
        <v>74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I86" t="s">
        <v>55</v>
      </c>
      <c r="J86" t="s">
        <v>56</v>
      </c>
      <c r="K86" t="s">
        <v>42</v>
      </c>
      <c r="L86" t="s">
        <v>431</v>
      </c>
      <c r="M86" t="s">
        <v>432</v>
      </c>
      <c r="N86" t="s">
        <v>45</v>
      </c>
      <c r="O86" t="s">
        <v>46</v>
      </c>
      <c r="P86" t="s">
        <v>47</v>
      </c>
      <c r="Q86" t="s">
        <v>77</v>
      </c>
      <c r="R86" t="s">
        <v>77</v>
      </c>
      <c r="S86" t="s">
        <v>77</v>
      </c>
      <c r="T86" t="s">
        <v>49</v>
      </c>
      <c r="U86" s="4" t="s">
        <v>433</v>
      </c>
      <c r="V86" t="s">
        <v>51</v>
      </c>
      <c r="W86" s="4" t="s">
        <v>434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35</v>
      </c>
      <c r="AE86" t="s">
        <v>53</v>
      </c>
    </row>
    <row r="87" spans="1:31" x14ac:dyDescent="0.3">
      <c r="A87" t="s">
        <v>32</v>
      </c>
      <c r="B87" t="s">
        <v>33</v>
      </c>
      <c r="C87" t="s">
        <v>54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55</v>
      </c>
      <c r="J87" t="s">
        <v>56</v>
      </c>
      <c r="K87" t="s">
        <v>42</v>
      </c>
      <c r="L87" t="s">
        <v>435</v>
      </c>
      <c r="M87" t="s">
        <v>436</v>
      </c>
      <c r="N87" t="s">
        <v>45</v>
      </c>
      <c r="O87" t="s">
        <v>46</v>
      </c>
      <c r="P87" t="s">
        <v>47</v>
      </c>
      <c r="Q87" t="s">
        <v>111</v>
      </c>
      <c r="R87" t="s">
        <v>111</v>
      </c>
      <c r="S87" t="s">
        <v>111</v>
      </c>
      <c r="T87" t="s">
        <v>49</v>
      </c>
      <c r="U87" s="4" t="s">
        <v>437</v>
      </c>
      <c r="V87" t="s">
        <v>87</v>
      </c>
      <c r="W87" s="4" t="s">
        <v>438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35</v>
      </c>
      <c r="AE87" t="s">
        <v>53</v>
      </c>
    </row>
    <row r="88" spans="1:31" x14ac:dyDescent="0.3">
      <c r="A88" t="s">
        <v>32</v>
      </c>
      <c r="B88" t="s">
        <v>33</v>
      </c>
      <c r="C88" t="s">
        <v>54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55</v>
      </c>
      <c r="J88" t="s">
        <v>56</v>
      </c>
      <c r="K88" t="s">
        <v>42</v>
      </c>
      <c r="L88" t="s">
        <v>439</v>
      </c>
      <c r="M88" t="s">
        <v>440</v>
      </c>
      <c r="N88" t="s">
        <v>45</v>
      </c>
      <c r="O88" t="s">
        <v>46</v>
      </c>
      <c r="P88" t="s">
        <v>47</v>
      </c>
      <c r="Q88" t="s">
        <v>441</v>
      </c>
      <c r="R88" t="s">
        <v>441</v>
      </c>
      <c r="S88" t="s">
        <v>441</v>
      </c>
      <c r="T88" t="s">
        <v>49</v>
      </c>
      <c r="U88" s="4" t="s">
        <v>442</v>
      </c>
      <c r="V88" t="s">
        <v>51</v>
      </c>
      <c r="W88" s="4" t="s">
        <v>443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35</v>
      </c>
      <c r="AE88" t="s">
        <v>53</v>
      </c>
    </row>
    <row r="89" spans="1:31" x14ac:dyDescent="0.3">
      <c r="A89" t="s">
        <v>32</v>
      </c>
      <c r="B89" t="s">
        <v>33</v>
      </c>
      <c r="C89" t="s">
        <v>74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55</v>
      </c>
      <c r="J89" t="s">
        <v>56</v>
      </c>
      <c r="K89" t="s">
        <v>42</v>
      </c>
      <c r="L89" t="s">
        <v>444</v>
      </c>
      <c r="M89" t="s">
        <v>445</v>
      </c>
      <c r="N89" t="s">
        <v>45</v>
      </c>
      <c r="O89" t="s">
        <v>46</v>
      </c>
      <c r="P89" t="s">
        <v>47</v>
      </c>
      <c r="Q89" t="s">
        <v>77</v>
      </c>
      <c r="R89" t="s">
        <v>77</v>
      </c>
      <c r="S89" t="s">
        <v>77</v>
      </c>
      <c r="T89" t="s">
        <v>49</v>
      </c>
      <c r="U89" s="4" t="s">
        <v>446</v>
      </c>
      <c r="V89" t="s">
        <v>51</v>
      </c>
      <c r="W89" s="4" t="s">
        <v>447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35</v>
      </c>
      <c r="AE89" t="s">
        <v>53</v>
      </c>
    </row>
    <row r="90" spans="1:31" x14ac:dyDescent="0.3">
      <c r="A90" t="s">
        <v>32</v>
      </c>
      <c r="B90" t="s">
        <v>33</v>
      </c>
      <c r="C90" t="s">
        <v>80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101</v>
      </c>
      <c r="J90" t="s">
        <v>102</v>
      </c>
      <c r="K90" t="s">
        <v>42</v>
      </c>
      <c r="L90" t="s">
        <v>448</v>
      </c>
      <c r="M90" t="s">
        <v>449</v>
      </c>
      <c r="N90" t="s">
        <v>45</v>
      </c>
      <c r="O90" t="s">
        <v>46</v>
      </c>
      <c r="P90" t="s">
        <v>47</v>
      </c>
      <c r="Q90" t="s">
        <v>145</v>
      </c>
      <c r="R90" t="s">
        <v>145</v>
      </c>
      <c r="S90" t="s">
        <v>145</v>
      </c>
      <c r="T90" t="s">
        <v>49</v>
      </c>
      <c r="U90" s="4" t="s">
        <v>450</v>
      </c>
      <c r="V90" t="s">
        <v>51</v>
      </c>
      <c r="W90" s="4" t="s">
        <v>451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35</v>
      </c>
      <c r="AE90" t="s">
        <v>53</v>
      </c>
    </row>
    <row r="91" spans="1:31" x14ac:dyDescent="0.3">
      <c r="A91" t="s">
        <v>32</v>
      </c>
      <c r="B91" t="s">
        <v>33</v>
      </c>
      <c r="C91" t="s">
        <v>74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43</v>
      </c>
      <c r="M91" t="s">
        <v>44</v>
      </c>
      <c r="N91" t="s">
        <v>45</v>
      </c>
      <c r="O91" t="s">
        <v>46</v>
      </c>
      <c r="P91" t="s">
        <v>47</v>
      </c>
      <c r="Q91" t="s">
        <v>48</v>
      </c>
      <c r="R91" t="s">
        <v>48</v>
      </c>
      <c r="S91" t="s">
        <v>48</v>
      </c>
      <c r="T91" t="s">
        <v>49</v>
      </c>
      <c r="U91" s="4" t="s">
        <v>94</v>
      </c>
      <c r="V91" t="s">
        <v>51</v>
      </c>
      <c r="W91" s="4" t="s">
        <v>95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35</v>
      </c>
      <c r="AE91" t="s">
        <v>53</v>
      </c>
    </row>
    <row r="92" spans="1:31" x14ac:dyDescent="0.3">
      <c r="A92" t="s">
        <v>32</v>
      </c>
      <c r="B92" t="s">
        <v>33</v>
      </c>
      <c r="C92" t="s">
        <v>74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55</v>
      </c>
      <c r="J92" t="s">
        <v>56</v>
      </c>
      <c r="K92" t="s">
        <v>42</v>
      </c>
      <c r="L92" t="s">
        <v>452</v>
      </c>
      <c r="M92" t="s">
        <v>317</v>
      </c>
      <c r="N92" t="s">
        <v>45</v>
      </c>
      <c r="O92" t="s">
        <v>46</v>
      </c>
      <c r="P92" t="s">
        <v>47</v>
      </c>
      <c r="Q92" t="s">
        <v>77</v>
      </c>
      <c r="R92" t="s">
        <v>77</v>
      </c>
      <c r="S92" t="s">
        <v>77</v>
      </c>
      <c r="T92" t="s">
        <v>49</v>
      </c>
      <c r="U92" s="4" t="s">
        <v>453</v>
      </c>
      <c r="V92" t="s">
        <v>87</v>
      </c>
      <c r="W92" s="4" t="s">
        <v>454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35</v>
      </c>
      <c r="AE92" t="s">
        <v>53</v>
      </c>
    </row>
    <row r="93" spans="1:31" x14ac:dyDescent="0.3">
      <c r="A93" t="s">
        <v>32</v>
      </c>
      <c r="B93" t="s">
        <v>33</v>
      </c>
      <c r="C93" t="s">
        <v>54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125</v>
      </c>
      <c r="J93" t="s">
        <v>126</v>
      </c>
      <c r="K93" t="s">
        <v>42</v>
      </c>
      <c r="L93" t="s">
        <v>207</v>
      </c>
      <c r="M93" t="s">
        <v>208</v>
      </c>
      <c r="N93" t="s">
        <v>45</v>
      </c>
      <c r="O93" t="s">
        <v>46</v>
      </c>
      <c r="P93" t="s">
        <v>47</v>
      </c>
      <c r="Q93" t="s">
        <v>209</v>
      </c>
      <c r="R93" t="s">
        <v>209</v>
      </c>
      <c r="S93" t="s">
        <v>209</v>
      </c>
      <c r="T93" t="s">
        <v>49</v>
      </c>
      <c r="U93" s="4" t="s">
        <v>455</v>
      </c>
      <c r="V93" t="s">
        <v>51</v>
      </c>
      <c r="W93" s="4" t="s">
        <v>456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35</v>
      </c>
      <c r="AE93" t="s">
        <v>53</v>
      </c>
    </row>
    <row r="94" spans="1:31" x14ac:dyDescent="0.3">
      <c r="A94" t="s">
        <v>32</v>
      </c>
      <c r="B94" t="s">
        <v>33</v>
      </c>
      <c r="C94" t="s">
        <v>54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I94" t="s">
        <v>125</v>
      </c>
      <c r="J94" t="s">
        <v>126</v>
      </c>
      <c r="K94" t="s">
        <v>42</v>
      </c>
      <c r="L94" t="s">
        <v>457</v>
      </c>
      <c r="M94" t="s">
        <v>458</v>
      </c>
      <c r="N94" t="s">
        <v>45</v>
      </c>
      <c r="O94" t="s">
        <v>46</v>
      </c>
      <c r="P94" t="s">
        <v>47</v>
      </c>
      <c r="Q94" t="s">
        <v>260</v>
      </c>
      <c r="R94" t="s">
        <v>260</v>
      </c>
      <c r="S94" t="s">
        <v>260</v>
      </c>
      <c r="T94" t="s">
        <v>49</v>
      </c>
      <c r="U94" s="4" t="s">
        <v>459</v>
      </c>
      <c r="V94" t="s">
        <v>51</v>
      </c>
      <c r="W94" s="4" t="s">
        <v>460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35</v>
      </c>
      <c r="AE94" t="s">
        <v>53</v>
      </c>
    </row>
    <row r="95" spans="1:31" x14ac:dyDescent="0.3">
      <c r="A95" t="s">
        <v>32</v>
      </c>
      <c r="B95" t="s">
        <v>33</v>
      </c>
      <c r="C95" t="s">
        <v>74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55</v>
      </c>
      <c r="J95" t="s">
        <v>56</v>
      </c>
      <c r="K95" t="s">
        <v>42</v>
      </c>
      <c r="L95" t="s">
        <v>461</v>
      </c>
      <c r="M95" t="s">
        <v>462</v>
      </c>
      <c r="N95" t="s">
        <v>45</v>
      </c>
      <c r="O95" t="s">
        <v>46</v>
      </c>
      <c r="P95" t="s">
        <v>47</v>
      </c>
      <c r="Q95" t="s">
        <v>77</v>
      </c>
      <c r="R95" t="s">
        <v>77</v>
      </c>
      <c r="S95" t="s">
        <v>77</v>
      </c>
      <c r="T95" t="s">
        <v>49</v>
      </c>
      <c r="U95" s="4" t="s">
        <v>463</v>
      </c>
      <c r="V95" t="s">
        <v>51</v>
      </c>
      <c r="W95" s="4" t="s">
        <v>464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35</v>
      </c>
      <c r="AE95" t="s">
        <v>53</v>
      </c>
    </row>
    <row r="96" spans="1:31" x14ac:dyDescent="0.3">
      <c r="A96" t="s">
        <v>32</v>
      </c>
      <c r="B96" t="s">
        <v>33</v>
      </c>
      <c r="C96" t="s">
        <v>54</v>
      </c>
      <c r="D96" t="s">
        <v>35</v>
      </c>
      <c r="E96" t="s">
        <v>36</v>
      </c>
      <c r="F96" t="s">
        <v>37</v>
      </c>
      <c r="G96" t="s">
        <v>38</v>
      </c>
      <c r="H96" t="s">
        <v>39</v>
      </c>
      <c r="I96" t="s">
        <v>101</v>
      </c>
      <c r="J96" t="s">
        <v>102</v>
      </c>
      <c r="K96" t="s">
        <v>42</v>
      </c>
      <c r="L96" t="s">
        <v>465</v>
      </c>
      <c r="M96" t="s">
        <v>466</v>
      </c>
      <c r="N96" t="s">
        <v>45</v>
      </c>
      <c r="O96" t="s">
        <v>46</v>
      </c>
      <c r="P96" t="s">
        <v>47</v>
      </c>
      <c r="Q96" t="s">
        <v>467</v>
      </c>
      <c r="R96" t="s">
        <v>467</v>
      </c>
      <c r="S96" t="s">
        <v>467</v>
      </c>
      <c r="T96" t="s">
        <v>49</v>
      </c>
      <c r="U96" s="4" t="s">
        <v>345</v>
      </c>
      <c r="V96" t="s">
        <v>51</v>
      </c>
      <c r="W96" s="4" t="s">
        <v>468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35</v>
      </c>
      <c r="AE96" t="s">
        <v>53</v>
      </c>
    </row>
    <row r="97" spans="1:31" x14ac:dyDescent="0.3">
      <c r="A97" t="s">
        <v>32</v>
      </c>
      <c r="B97" t="s">
        <v>33</v>
      </c>
      <c r="C97" t="s">
        <v>34</v>
      </c>
      <c r="D97" t="s">
        <v>35</v>
      </c>
      <c r="E97" t="s">
        <v>36</v>
      </c>
      <c r="F97" t="s">
        <v>37</v>
      </c>
      <c r="G97" t="s">
        <v>38</v>
      </c>
      <c r="H97" t="s">
        <v>39</v>
      </c>
      <c r="I97" t="s">
        <v>118</v>
      </c>
      <c r="J97" t="s">
        <v>119</v>
      </c>
      <c r="K97" t="s">
        <v>42</v>
      </c>
      <c r="L97" t="s">
        <v>469</v>
      </c>
      <c r="M97" t="s">
        <v>470</v>
      </c>
      <c r="N97" t="s">
        <v>45</v>
      </c>
      <c r="O97" t="s">
        <v>46</v>
      </c>
      <c r="P97" t="s">
        <v>47</v>
      </c>
      <c r="Q97" t="s">
        <v>471</v>
      </c>
      <c r="R97" t="s">
        <v>471</v>
      </c>
      <c r="S97" t="s">
        <v>471</v>
      </c>
      <c r="T97" t="s">
        <v>49</v>
      </c>
      <c r="U97" s="4" t="s">
        <v>472</v>
      </c>
      <c r="V97" t="s">
        <v>51</v>
      </c>
      <c r="W97" s="4" t="s">
        <v>473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35</v>
      </c>
      <c r="AE97" t="s">
        <v>53</v>
      </c>
    </row>
    <row r="98" spans="1:31" x14ac:dyDescent="0.3">
      <c r="A98" t="s">
        <v>32</v>
      </c>
      <c r="B98" t="s">
        <v>33</v>
      </c>
      <c r="C98" t="s">
        <v>54</v>
      </c>
      <c r="D98" t="s">
        <v>35</v>
      </c>
      <c r="E98" t="s">
        <v>36</v>
      </c>
      <c r="F98" t="s">
        <v>37</v>
      </c>
      <c r="G98" t="s">
        <v>38</v>
      </c>
      <c r="H98" t="s">
        <v>39</v>
      </c>
      <c r="I98" t="s">
        <v>125</v>
      </c>
      <c r="J98" t="s">
        <v>126</v>
      </c>
      <c r="K98" t="s">
        <v>42</v>
      </c>
      <c r="L98" t="s">
        <v>474</v>
      </c>
      <c r="M98" t="s">
        <v>475</v>
      </c>
      <c r="N98" t="s">
        <v>45</v>
      </c>
      <c r="O98" t="s">
        <v>46</v>
      </c>
      <c r="P98" t="s">
        <v>47</v>
      </c>
      <c r="Q98" t="s">
        <v>59</v>
      </c>
      <c r="R98" t="s">
        <v>59</v>
      </c>
      <c r="S98" t="s">
        <v>59</v>
      </c>
      <c r="T98" t="s">
        <v>49</v>
      </c>
      <c r="U98" s="4" t="s">
        <v>131</v>
      </c>
      <c r="V98" t="s">
        <v>51</v>
      </c>
      <c r="W98" s="4" t="s">
        <v>476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35</v>
      </c>
      <c r="AE98" t="s">
        <v>53</v>
      </c>
    </row>
    <row r="99" spans="1:31" x14ac:dyDescent="0.3">
      <c r="A99" t="s">
        <v>32</v>
      </c>
      <c r="B99" t="s">
        <v>33</v>
      </c>
      <c r="C99" t="s">
        <v>80</v>
      </c>
      <c r="D99" t="s">
        <v>35</v>
      </c>
      <c r="E99" t="s">
        <v>36</v>
      </c>
      <c r="F99" t="s">
        <v>37</v>
      </c>
      <c r="G99" t="s">
        <v>38</v>
      </c>
      <c r="H99" t="s">
        <v>39</v>
      </c>
      <c r="I99" t="s">
        <v>55</v>
      </c>
      <c r="J99" t="s">
        <v>56</v>
      </c>
      <c r="K99" t="s">
        <v>42</v>
      </c>
      <c r="L99" t="s">
        <v>477</v>
      </c>
      <c r="M99" t="s">
        <v>90</v>
      </c>
      <c r="N99" t="s">
        <v>45</v>
      </c>
      <c r="O99" t="s">
        <v>46</v>
      </c>
      <c r="P99" t="s">
        <v>47</v>
      </c>
      <c r="Q99" t="s">
        <v>91</v>
      </c>
      <c r="R99" t="s">
        <v>91</v>
      </c>
      <c r="S99" t="s">
        <v>91</v>
      </c>
      <c r="T99" t="s">
        <v>49</v>
      </c>
      <c r="U99" s="4" t="s">
        <v>478</v>
      </c>
      <c r="V99" t="s">
        <v>72</v>
      </c>
      <c r="W99" s="4" t="s">
        <v>479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35</v>
      </c>
      <c r="AE99" t="s">
        <v>53</v>
      </c>
    </row>
    <row r="100" spans="1:31" x14ac:dyDescent="0.3">
      <c r="A100" t="s">
        <v>32</v>
      </c>
      <c r="B100" t="s">
        <v>33</v>
      </c>
      <c r="C100" t="s">
        <v>54</v>
      </c>
      <c r="D100" t="s">
        <v>35</v>
      </c>
      <c r="E100" t="s">
        <v>36</v>
      </c>
      <c r="F100" t="s">
        <v>37</v>
      </c>
      <c r="G100" t="s">
        <v>38</v>
      </c>
      <c r="H100" t="s">
        <v>39</v>
      </c>
      <c r="I100" t="s">
        <v>55</v>
      </c>
      <c r="J100" t="s">
        <v>56</v>
      </c>
      <c r="K100" t="s">
        <v>42</v>
      </c>
      <c r="L100" t="s">
        <v>480</v>
      </c>
      <c r="M100" t="s">
        <v>481</v>
      </c>
      <c r="N100" t="s">
        <v>45</v>
      </c>
      <c r="O100" t="s">
        <v>46</v>
      </c>
      <c r="P100" t="s">
        <v>47</v>
      </c>
      <c r="Q100" t="s">
        <v>70</v>
      </c>
      <c r="R100" t="s">
        <v>70</v>
      </c>
      <c r="S100" t="s">
        <v>70</v>
      </c>
      <c r="T100" t="s">
        <v>49</v>
      </c>
      <c r="U100" s="4" t="s">
        <v>482</v>
      </c>
      <c r="V100" t="s">
        <v>66</v>
      </c>
      <c r="W100" s="4" t="s">
        <v>483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35</v>
      </c>
      <c r="AE100" t="s">
        <v>53</v>
      </c>
    </row>
    <row r="101" spans="1:31" x14ac:dyDescent="0.3">
      <c r="A101" t="s">
        <v>32</v>
      </c>
      <c r="B101" t="s">
        <v>33</v>
      </c>
      <c r="C101" t="s">
        <v>80</v>
      </c>
      <c r="D101" t="s">
        <v>35</v>
      </c>
      <c r="E101" t="s">
        <v>36</v>
      </c>
      <c r="F101" t="s">
        <v>37</v>
      </c>
      <c r="G101" t="s">
        <v>38</v>
      </c>
      <c r="H101" t="s">
        <v>39</v>
      </c>
      <c r="I101" t="s">
        <v>55</v>
      </c>
      <c r="J101" t="s">
        <v>56</v>
      </c>
      <c r="K101" t="s">
        <v>42</v>
      </c>
      <c r="L101" t="s">
        <v>484</v>
      </c>
      <c r="M101" t="s">
        <v>485</v>
      </c>
      <c r="N101" t="s">
        <v>45</v>
      </c>
      <c r="O101" t="s">
        <v>46</v>
      </c>
      <c r="P101" t="s">
        <v>47</v>
      </c>
      <c r="Q101" t="s">
        <v>486</v>
      </c>
      <c r="R101" t="s">
        <v>486</v>
      </c>
      <c r="S101" t="s">
        <v>486</v>
      </c>
      <c r="T101" t="s">
        <v>49</v>
      </c>
      <c r="U101" s="4" t="s">
        <v>342</v>
      </c>
      <c r="V101" t="s">
        <v>51</v>
      </c>
      <c r="W101" s="4" t="s">
        <v>343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35</v>
      </c>
      <c r="AE101" t="s">
        <v>53</v>
      </c>
    </row>
    <row r="102" spans="1:31" x14ac:dyDescent="0.3">
      <c r="A102" t="s">
        <v>32</v>
      </c>
      <c r="B102" t="s">
        <v>33</v>
      </c>
      <c r="C102" t="s">
        <v>74</v>
      </c>
      <c r="D102" t="s">
        <v>35</v>
      </c>
      <c r="E102" t="s">
        <v>36</v>
      </c>
      <c r="F102" t="s">
        <v>37</v>
      </c>
      <c r="G102" t="s">
        <v>38</v>
      </c>
      <c r="H102" t="s">
        <v>39</v>
      </c>
      <c r="I102" t="s">
        <v>55</v>
      </c>
      <c r="J102" t="s">
        <v>56</v>
      </c>
      <c r="K102" t="s">
        <v>42</v>
      </c>
      <c r="L102" t="s">
        <v>487</v>
      </c>
      <c r="M102" t="s">
        <v>488</v>
      </c>
      <c r="N102" t="s">
        <v>45</v>
      </c>
      <c r="O102" t="s">
        <v>46</v>
      </c>
      <c r="P102" t="s">
        <v>47</v>
      </c>
      <c r="Q102" t="s">
        <v>77</v>
      </c>
      <c r="R102" t="s">
        <v>77</v>
      </c>
      <c r="S102" t="s">
        <v>77</v>
      </c>
      <c r="T102" t="s">
        <v>49</v>
      </c>
      <c r="U102" s="4" t="s">
        <v>489</v>
      </c>
      <c r="V102" t="s">
        <v>51</v>
      </c>
      <c r="W102" s="4" t="s">
        <v>490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35</v>
      </c>
      <c r="AE102" t="s">
        <v>53</v>
      </c>
    </row>
    <row r="103" spans="1:31" x14ac:dyDescent="0.3">
      <c r="A103" t="s">
        <v>32</v>
      </c>
      <c r="B103" t="s">
        <v>33</v>
      </c>
      <c r="C103" t="s">
        <v>54</v>
      </c>
      <c r="D103" t="s">
        <v>35</v>
      </c>
      <c r="E103" t="s">
        <v>36</v>
      </c>
      <c r="F103" t="s">
        <v>37</v>
      </c>
      <c r="G103" t="s">
        <v>38</v>
      </c>
      <c r="H103" t="s">
        <v>39</v>
      </c>
      <c r="I103" t="s">
        <v>55</v>
      </c>
      <c r="J103" t="s">
        <v>56</v>
      </c>
      <c r="K103" t="s">
        <v>42</v>
      </c>
      <c r="L103" t="s">
        <v>491</v>
      </c>
      <c r="M103" t="s">
        <v>492</v>
      </c>
      <c r="N103" t="s">
        <v>45</v>
      </c>
      <c r="O103" t="s">
        <v>46</v>
      </c>
      <c r="P103" t="s">
        <v>47</v>
      </c>
      <c r="Q103" t="s">
        <v>467</v>
      </c>
      <c r="R103" t="s">
        <v>467</v>
      </c>
      <c r="S103" t="s">
        <v>467</v>
      </c>
      <c r="T103" t="s">
        <v>49</v>
      </c>
      <c r="U103" s="4" t="s">
        <v>493</v>
      </c>
      <c r="V103" t="s">
        <v>51</v>
      </c>
      <c r="W103" s="4" t="s">
        <v>494</v>
      </c>
      <c r="X103" t="s">
        <v>53</v>
      </c>
      <c r="Y103" t="s">
        <v>53</v>
      </c>
      <c r="Z103" t="s">
        <v>53</v>
      </c>
      <c r="AA103" t="s">
        <v>53</v>
      </c>
      <c r="AB103" t="s">
        <v>53</v>
      </c>
      <c r="AC103" t="s">
        <v>53</v>
      </c>
      <c r="AD103" t="s">
        <v>35</v>
      </c>
      <c r="AE103" t="s">
        <v>53</v>
      </c>
    </row>
    <row r="104" spans="1:31" x14ac:dyDescent="0.3">
      <c r="A104" t="s">
        <v>32</v>
      </c>
      <c r="B104" t="s">
        <v>33</v>
      </c>
      <c r="C104" t="s">
        <v>74</v>
      </c>
      <c r="D104" t="s">
        <v>35</v>
      </c>
      <c r="E104" t="s">
        <v>36</v>
      </c>
      <c r="F104" t="s">
        <v>37</v>
      </c>
      <c r="G104" t="s">
        <v>38</v>
      </c>
      <c r="H104" t="s">
        <v>39</v>
      </c>
      <c r="I104" t="s">
        <v>55</v>
      </c>
      <c r="J104" t="s">
        <v>56</v>
      </c>
      <c r="K104" t="s">
        <v>42</v>
      </c>
      <c r="L104" t="s">
        <v>495</v>
      </c>
      <c r="M104" t="s">
        <v>496</v>
      </c>
      <c r="N104" t="s">
        <v>45</v>
      </c>
      <c r="O104" t="s">
        <v>46</v>
      </c>
      <c r="P104" t="s">
        <v>47</v>
      </c>
      <c r="Q104" t="s">
        <v>77</v>
      </c>
      <c r="R104" t="s">
        <v>77</v>
      </c>
      <c r="S104" t="s">
        <v>77</v>
      </c>
      <c r="T104" t="s">
        <v>49</v>
      </c>
      <c r="U104" s="4" t="s">
        <v>497</v>
      </c>
      <c r="V104" t="s">
        <v>51</v>
      </c>
      <c r="W104" s="4" t="s">
        <v>498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 t="s">
        <v>53</v>
      </c>
      <c r="AD104" t="s">
        <v>35</v>
      </c>
      <c r="AE104" t="s">
        <v>53</v>
      </c>
    </row>
    <row r="105" spans="1:31" x14ac:dyDescent="0.3">
      <c r="A105" t="s">
        <v>32</v>
      </c>
      <c r="B105" t="s">
        <v>33</v>
      </c>
      <c r="C105" t="s">
        <v>34</v>
      </c>
      <c r="D105" t="s">
        <v>35</v>
      </c>
      <c r="E105" t="s">
        <v>36</v>
      </c>
      <c r="F105" t="s">
        <v>37</v>
      </c>
      <c r="G105" t="s">
        <v>38</v>
      </c>
      <c r="H105" t="s">
        <v>39</v>
      </c>
      <c r="I105" t="s">
        <v>263</v>
      </c>
      <c r="J105" t="s">
        <v>264</v>
      </c>
      <c r="K105" t="s">
        <v>42</v>
      </c>
      <c r="L105" t="s">
        <v>325</v>
      </c>
      <c r="M105" t="s">
        <v>326</v>
      </c>
      <c r="N105" t="s">
        <v>45</v>
      </c>
      <c r="O105" t="s">
        <v>46</v>
      </c>
      <c r="P105" t="s">
        <v>47</v>
      </c>
      <c r="Q105" t="s">
        <v>327</v>
      </c>
      <c r="R105" t="s">
        <v>327</v>
      </c>
      <c r="S105" t="s">
        <v>327</v>
      </c>
      <c r="T105" t="s">
        <v>49</v>
      </c>
      <c r="U105" s="4" t="s">
        <v>499</v>
      </c>
      <c r="V105" t="s">
        <v>51</v>
      </c>
      <c r="W105" s="4" t="s">
        <v>500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35</v>
      </c>
      <c r="AE105" t="s">
        <v>53</v>
      </c>
    </row>
    <row r="106" spans="1:31" x14ac:dyDescent="0.3">
      <c r="A106" t="s">
        <v>32</v>
      </c>
      <c r="B106" t="s">
        <v>33</v>
      </c>
      <c r="C106" t="s">
        <v>54</v>
      </c>
      <c r="D106" t="s">
        <v>35</v>
      </c>
      <c r="E106" t="s">
        <v>36</v>
      </c>
      <c r="F106" t="s">
        <v>37</v>
      </c>
      <c r="G106" t="s">
        <v>38</v>
      </c>
      <c r="H106" t="s">
        <v>39</v>
      </c>
      <c r="I106" t="s">
        <v>55</v>
      </c>
      <c r="J106" t="s">
        <v>56</v>
      </c>
      <c r="K106" t="s">
        <v>42</v>
      </c>
      <c r="L106" t="s">
        <v>501</v>
      </c>
      <c r="M106" t="s">
        <v>502</v>
      </c>
      <c r="N106" t="s">
        <v>45</v>
      </c>
      <c r="O106" t="s">
        <v>46</v>
      </c>
      <c r="P106" t="s">
        <v>47</v>
      </c>
      <c r="Q106" t="s">
        <v>70</v>
      </c>
      <c r="R106" t="s">
        <v>70</v>
      </c>
      <c r="S106" t="s">
        <v>70</v>
      </c>
      <c r="T106" t="s">
        <v>49</v>
      </c>
      <c r="U106" s="4" t="s">
        <v>503</v>
      </c>
      <c r="V106" t="s">
        <v>66</v>
      </c>
      <c r="W106" s="4" t="s">
        <v>504</v>
      </c>
      <c r="X106" t="s">
        <v>53</v>
      </c>
      <c r="Y106" t="s">
        <v>53</v>
      </c>
      <c r="Z106" t="s">
        <v>53</v>
      </c>
      <c r="AA106" t="s">
        <v>53</v>
      </c>
      <c r="AB106" t="s">
        <v>53</v>
      </c>
      <c r="AC106" t="s">
        <v>53</v>
      </c>
      <c r="AD106" t="s">
        <v>35</v>
      </c>
      <c r="AE106" t="s">
        <v>53</v>
      </c>
    </row>
    <row r="107" spans="1:31" x14ac:dyDescent="0.3">
      <c r="A107" t="s">
        <v>32</v>
      </c>
      <c r="B107" t="s">
        <v>33</v>
      </c>
      <c r="C107" t="s">
        <v>74</v>
      </c>
      <c r="D107" t="s">
        <v>35</v>
      </c>
      <c r="E107" t="s">
        <v>36</v>
      </c>
      <c r="F107" t="s">
        <v>37</v>
      </c>
      <c r="G107" t="s">
        <v>38</v>
      </c>
      <c r="H107" t="s">
        <v>39</v>
      </c>
      <c r="I107" t="s">
        <v>55</v>
      </c>
      <c r="J107" t="s">
        <v>56</v>
      </c>
      <c r="K107" t="s">
        <v>42</v>
      </c>
      <c r="L107" t="s">
        <v>505</v>
      </c>
      <c r="M107" t="s">
        <v>506</v>
      </c>
      <c r="N107" t="s">
        <v>45</v>
      </c>
      <c r="O107" t="s">
        <v>46</v>
      </c>
      <c r="P107" t="s">
        <v>47</v>
      </c>
      <c r="Q107" t="s">
        <v>77</v>
      </c>
      <c r="R107" t="s">
        <v>77</v>
      </c>
      <c r="S107" t="s">
        <v>77</v>
      </c>
      <c r="T107" t="s">
        <v>49</v>
      </c>
      <c r="U107" s="4" t="s">
        <v>507</v>
      </c>
      <c r="V107" t="s">
        <v>51</v>
      </c>
      <c r="W107" s="4" t="s">
        <v>508</v>
      </c>
      <c r="X107" t="s">
        <v>53</v>
      </c>
      <c r="Y107" t="s">
        <v>53</v>
      </c>
      <c r="Z107" t="s">
        <v>53</v>
      </c>
      <c r="AA107" t="s">
        <v>53</v>
      </c>
      <c r="AB107" t="s">
        <v>53</v>
      </c>
      <c r="AC107" t="s">
        <v>53</v>
      </c>
      <c r="AD107" t="s">
        <v>35</v>
      </c>
      <c r="AE107" t="s">
        <v>53</v>
      </c>
    </row>
    <row r="108" spans="1:31" x14ac:dyDescent="0.3">
      <c r="A108" t="s">
        <v>32</v>
      </c>
      <c r="B108" t="s">
        <v>33</v>
      </c>
      <c r="C108" t="s">
        <v>80</v>
      </c>
      <c r="D108" t="s">
        <v>35</v>
      </c>
      <c r="E108" t="s">
        <v>36</v>
      </c>
      <c r="F108" t="s">
        <v>37</v>
      </c>
      <c r="G108" t="s">
        <v>38</v>
      </c>
      <c r="H108" t="s">
        <v>39</v>
      </c>
      <c r="I108" t="s">
        <v>55</v>
      </c>
      <c r="J108" t="s">
        <v>56</v>
      </c>
      <c r="K108" t="s">
        <v>42</v>
      </c>
      <c r="L108" t="s">
        <v>509</v>
      </c>
      <c r="M108" t="s">
        <v>510</v>
      </c>
      <c r="N108" t="s">
        <v>45</v>
      </c>
      <c r="O108" t="s">
        <v>46</v>
      </c>
      <c r="P108" t="s">
        <v>47</v>
      </c>
      <c r="Q108" t="s">
        <v>511</v>
      </c>
      <c r="R108" t="s">
        <v>511</v>
      </c>
      <c r="S108" t="s">
        <v>511</v>
      </c>
      <c r="T108" t="s">
        <v>49</v>
      </c>
      <c r="U108" s="4" t="s">
        <v>512</v>
      </c>
      <c r="V108" t="s">
        <v>51</v>
      </c>
      <c r="W108" s="4" t="s">
        <v>513</v>
      </c>
      <c r="X108" t="s">
        <v>53</v>
      </c>
      <c r="Y108" t="s">
        <v>53</v>
      </c>
      <c r="Z108" t="s">
        <v>53</v>
      </c>
      <c r="AA108" t="s">
        <v>53</v>
      </c>
      <c r="AB108" t="s">
        <v>53</v>
      </c>
      <c r="AC108" t="s">
        <v>53</v>
      </c>
      <c r="AD108" t="s">
        <v>35</v>
      </c>
      <c r="AE108" t="s">
        <v>53</v>
      </c>
    </row>
    <row r="109" spans="1:31" x14ac:dyDescent="0.3">
      <c r="A109" t="s">
        <v>32</v>
      </c>
      <c r="B109" t="s">
        <v>33</v>
      </c>
      <c r="C109" t="s">
        <v>74</v>
      </c>
      <c r="D109" t="s">
        <v>35</v>
      </c>
      <c r="E109" t="s">
        <v>36</v>
      </c>
      <c r="F109" t="s">
        <v>37</v>
      </c>
      <c r="G109" t="s">
        <v>38</v>
      </c>
      <c r="H109" t="s">
        <v>39</v>
      </c>
      <c r="I109" t="s">
        <v>125</v>
      </c>
      <c r="J109" t="s">
        <v>126</v>
      </c>
      <c r="K109" t="s">
        <v>42</v>
      </c>
      <c r="L109" t="s">
        <v>514</v>
      </c>
      <c r="M109" t="s">
        <v>515</v>
      </c>
      <c r="N109" t="s">
        <v>45</v>
      </c>
      <c r="O109" t="s">
        <v>46</v>
      </c>
      <c r="P109" t="s">
        <v>47</v>
      </c>
      <c r="Q109" t="s">
        <v>516</v>
      </c>
      <c r="R109" t="s">
        <v>516</v>
      </c>
      <c r="S109" t="s">
        <v>516</v>
      </c>
      <c r="T109" t="s">
        <v>49</v>
      </c>
      <c r="U109" s="4" t="s">
        <v>517</v>
      </c>
      <c r="V109" t="s">
        <v>51</v>
      </c>
      <c r="W109" s="4" t="s">
        <v>518</v>
      </c>
      <c r="X109" t="s">
        <v>53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35</v>
      </c>
      <c r="AE109" t="s">
        <v>53</v>
      </c>
    </row>
    <row r="110" spans="1:31" x14ac:dyDescent="0.3">
      <c r="A110" t="s">
        <v>32</v>
      </c>
      <c r="B110" t="s">
        <v>33</v>
      </c>
      <c r="C110" t="s">
        <v>54</v>
      </c>
      <c r="D110" t="s">
        <v>35</v>
      </c>
      <c r="E110" t="s">
        <v>36</v>
      </c>
      <c r="F110" t="s">
        <v>37</v>
      </c>
      <c r="G110" t="s">
        <v>38</v>
      </c>
      <c r="H110" t="s">
        <v>39</v>
      </c>
      <c r="I110" t="s">
        <v>101</v>
      </c>
      <c r="J110" t="s">
        <v>102</v>
      </c>
      <c r="K110" t="s">
        <v>42</v>
      </c>
      <c r="L110" t="s">
        <v>103</v>
      </c>
      <c r="M110" t="s">
        <v>104</v>
      </c>
      <c r="N110" t="s">
        <v>45</v>
      </c>
      <c r="O110" t="s">
        <v>46</v>
      </c>
      <c r="P110" t="s">
        <v>47</v>
      </c>
      <c r="Q110" t="s">
        <v>105</v>
      </c>
      <c r="R110" t="s">
        <v>105</v>
      </c>
      <c r="S110" t="s">
        <v>105</v>
      </c>
      <c r="T110" t="s">
        <v>49</v>
      </c>
      <c r="U110" s="4" t="s">
        <v>519</v>
      </c>
      <c r="V110" t="s">
        <v>107</v>
      </c>
      <c r="W110" s="4" t="s">
        <v>520</v>
      </c>
      <c r="X110" t="s">
        <v>53</v>
      </c>
      <c r="Y110" t="s">
        <v>53</v>
      </c>
      <c r="Z110" t="s">
        <v>53</v>
      </c>
      <c r="AA110" t="s">
        <v>53</v>
      </c>
      <c r="AB110" t="s">
        <v>53</v>
      </c>
      <c r="AC110" t="s">
        <v>53</v>
      </c>
      <c r="AD110" t="s">
        <v>35</v>
      </c>
      <c r="AE110" t="s">
        <v>53</v>
      </c>
    </row>
    <row r="111" spans="1:31" x14ac:dyDescent="0.3">
      <c r="A111" t="s">
        <v>32</v>
      </c>
      <c r="B111" t="s">
        <v>33</v>
      </c>
      <c r="C111" t="s">
        <v>74</v>
      </c>
      <c r="D111" t="s">
        <v>35</v>
      </c>
      <c r="E111" t="s">
        <v>36</v>
      </c>
      <c r="F111" t="s">
        <v>37</v>
      </c>
      <c r="G111" t="s">
        <v>38</v>
      </c>
      <c r="H111" t="s">
        <v>39</v>
      </c>
      <c r="I111" t="s">
        <v>125</v>
      </c>
      <c r="J111" t="s">
        <v>126</v>
      </c>
      <c r="K111" t="s">
        <v>42</v>
      </c>
      <c r="L111" t="s">
        <v>514</v>
      </c>
      <c r="M111" t="s">
        <v>515</v>
      </c>
      <c r="N111" t="s">
        <v>45</v>
      </c>
      <c r="O111" t="s">
        <v>46</v>
      </c>
      <c r="P111" t="s">
        <v>47</v>
      </c>
      <c r="Q111" t="s">
        <v>516</v>
      </c>
      <c r="R111" t="s">
        <v>516</v>
      </c>
      <c r="S111" t="s">
        <v>516</v>
      </c>
      <c r="T111" t="s">
        <v>49</v>
      </c>
      <c r="U111" s="4" t="s">
        <v>521</v>
      </c>
      <c r="V111" t="s">
        <v>51</v>
      </c>
      <c r="W111" s="4" t="s">
        <v>522</v>
      </c>
      <c r="X111" t="s">
        <v>53</v>
      </c>
      <c r="Y111" t="s">
        <v>53</v>
      </c>
      <c r="Z111" t="s">
        <v>53</v>
      </c>
      <c r="AA111" t="s">
        <v>53</v>
      </c>
      <c r="AB111" t="s">
        <v>53</v>
      </c>
      <c r="AC111" t="s">
        <v>53</v>
      </c>
      <c r="AD111" t="s">
        <v>35</v>
      </c>
      <c r="AE111" t="s">
        <v>53</v>
      </c>
    </row>
    <row r="112" spans="1:31" x14ac:dyDescent="0.3">
      <c r="A112" t="s">
        <v>32</v>
      </c>
      <c r="B112" t="s">
        <v>33</v>
      </c>
      <c r="C112" t="s">
        <v>54</v>
      </c>
      <c r="D112" t="s">
        <v>35</v>
      </c>
      <c r="E112" t="s">
        <v>36</v>
      </c>
      <c r="F112" t="s">
        <v>37</v>
      </c>
      <c r="G112" t="s">
        <v>38</v>
      </c>
      <c r="H112" t="s">
        <v>39</v>
      </c>
      <c r="I112" t="s">
        <v>55</v>
      </c>
      <c r="J112" t="s">
        <v>56</v>
      </c>
      <c r="K112" t="s">
        <v>42</v>
      </c>
      <c r="L112" t="s">
        <v>523</v>
      </c>
      <c r="M112" t="s">
        <v>300</v>
      </c>
      <c r="N112" t="s">
        <v>45</v>
      </c>
      <c r="O112" t="s">
        <v>46</v>
      </c>
      <c r="P112" t="s">
        <v>47</v>
      </c>
      <c r="Q112" t="s">
        <v>389</v>
      </c>
      <c r="R112" t="s">
        <v>389</v>
      </c>
      <c r="S112" t="s">
        <v>389</v>
      </c>
      <c r="T112" t="s">
        <v>49</v>
      </c>
      <c r="U112" s="4" t="s">
        <v>524</v>
      </c>
      <c r="V112" t="s">
        <v>72</v>
      </c>
      <c r="W112" s="4" t="s">
        <v>525</v>
      </c>
      <c r="X112" t="s">
        <v>53</v>
      </c>
      <c r="Y112" t="s">
        <v>53</v>
      </c>
      <c r="Z112" t="s">
        <v>53</v>
      </c>
      <c r="AA112" t="s">
        <v>53</v>
      </c>
      <c r="AB112" t="s">
        <v>53</v>
      </c>
      <c r="AC112" t="s">
        <v>53</v>
      </c>
      <c r="AD112" t="s">
        <v>35</v>
      </c>
      <c r="AE112" t="s">
        <v>53</v>
      </c>
    </row>
    <row r="113" spans="1:31" x14ac:dyDescent="0.3">
      <c r="A113" t="s">
        <v>32</v>
      </c>
      <c r="B113" t="s">
        <v>33</v>
      </c>
      <c r="C113" t="s">
        <v>54</v>
      </c>
      <c r="D113" t="s">
        <v>35</v>
      </c>
      <c r="E113" t="s">
        <v>36</v>
      </c>
      <c r="F113" t="s">
        <v>37</v>
      </c>
      <c r="G113" t="s">
        <v>38</v>
      </c>
      <c r="H113" t="s">
        <v>39</v>
      </c>
      <c r="I113" t="s">
        <v>55</v>
      </c>
      <c r="J113" t="s">
        <v>56</v>
      </c>
      <c r="K113" t="s">
        <v>42</v>
      </c>
      <c r="L113" t="s">
        <v>526</v>
      </c>
      <c r="M113" t="s">
        <v>527</v>
      </c>
      <c r="N113" t="s">
        <v>45</v>
      </c>
      <c r="O113" t="s">
        <v>46</v>
      </c>
      <c r="P113" t="s">
        <v>47</v>
      </c>
      <c r="Q113" t="s">
        <v>70</v>
      </c>
      <c r="R113" t="s">
        <v>70</v>
      </c>
      <c r="S113" t="s">
        <v>70</v>
      </c>
      <c r="T113" t="s">
        <v>49</v>
      </c>
      <c r="U113" s="4" t="s">
        <v>528</v>
      </c>
      <c r="V113" t="s">
        <v>72</v>
      </c>
      <c r="W113" s="4" t="s">
        <v>529</v>
      </c>
      <c r="X113" t="s">
        <v>53</v>
      </c>
      <c r="Y113" t="s">
        <v>53</v>
      </c>
      <c r="Z113" t="s">
        <v>53</v>
      </c>
      <c r="AA113" t="s">
        <v>53</v>
      </c>
      <c r="AB113" t="s">
        <v>53</v>
      </c>
      <c r="AC113" t="s">
        <v>53</v>
      </c>
      <c r="AD113" t="s">
        <v>35</v>
      </c>
      <c r="AE113" t="s">
        <v>53</v>
      </c>
    </row>
    <row r="114" spans="1:31" x14ac:dyDescent="0.3">
      <c r="A114" t="s">
        <v>32</v>
      </c>
      <c r="B114" t="s">
        <v>33</v>
      </c>
      <c r="C114" t="s">
        <v>34</v>
      </c>
      <c r="D114" t="s">
        <v>35</v>
      </c>
      <c r="E114" t="s">
        <v>36</v>
      </c>
      <c r="F114" t="s">
        <v>37</v>
      </c>
      <c r="G114" t="s">
        <v>38</v>
      </c>
      <c r="H114" t="s">
        <v>39</v>
      </c>
      <c r="I114" t="s">
        <v>125</v>
      </c>
      <c r="J114" t="s">
        <v>126</v>
      </c>
      <c r="K114" t="s">
        <v>42</v>
      </c>
      <c r="L114" t="s">
        <v>530</v>
      </c>
      <c r="M114" t="s">
        <v>531</v>
      </c>
      <c r="N114" t="s">
        <v>45</v>
      </c>
      <c r="O114" t="s">
        <v>46</v>
      </c>
      <c r="P114" t="s">
        <v>47</v>
      </c>
      <c r="Q114" t="s">
        <v>532</v>
      </c>
      <c r="R114" t="s">
        <v>532</v>
      </c>
      <c r="S114" t="s">
        <v>532</v>
      </c>
      <c r="T114" t="s">
        <v>49</v>
      </c>
      <c r="U114" s="4" t="s">
        <v>533</v>
      </c>
      <c r="V114" t="s">
        <v>51</v>
      </c>
      <c r="W114" s="4" t="s">
        <v>534</v>
      </c>
      <c r="X114" t="s">
        <v>53</v>
      </c>
      <c r="Y114" t="s">
        <v>53</v>
      </c>
      <c r="Z114" t="s">
        <v>53</v>
      </c>
      <c r="AA114" t="s">
        <v>53</v>
      </c>
      <c r="AB114" t="s">
        <v>53</v>
      </c>
      <c r="AC114" t="s">
        <v>53</v>
      </c>
      <c r="AD114" t="s">
        <v>35</v>
      </c>
      <c r="AE114" t="s">
        <v>53</v>
      </c>
    </row>
    <row r="115" spans="1:31" x14ac:dyDescent="0.3">
      <c r="A115" t="s">
        <v>32</v>
      </c>
      <c r="B115" t="s">
        <v>33</v>
      </c>
      <c r="C115" t="s">
        <v>54</v>
      </c>
      <c r="D115" t="s">
        <v>35</v>
      </c>
      <c r="E115" t="s">
        <v>36</v>
      </c>
      <c r="F115" t="s">
        <v>37</v>
      </c>
      <c r="G115" t="s">
        <v>38</v>
      </c>
      <c r="H115" t="s">
        <v>39</v>
      </c>
      <c r="I115" t="s">
        <v>55</v>
      </c>
      <c r="J115" t="s">
        <v>56</v>
      </c>
      <c r="K115" t="s">
        <v>42</v>
      </c>
      <c r="L115" t="s">
        <v>535</v>
      </c>
      <c r="M115" t="s">
        <v>536</v>
      </c>
      <c r="N115" t="s">
        <v>45</v>
      </c>
      <c r="O115" t="s">
        <v>46</v>
      </c>
      <c r="P115" t="s">
        <v>47</v>
      </c>
      <c r="Q115" t="s">
        <v>441</v>
      </c>
      <c r="R115" t="s">
        <v>441</v>
      </c>
      <c r="S115" t="s">
        <v>441</v>
      </c>
      <c r="T115" t="s">
        <v>49</v>
      </c>
      <c r="U115" s="4" t="s">
        <v>537</v>
      </c>
      <c r="V115" t="s">
        <v>51</v>
      </c>
      <c r="W115" s="4" t="s">
        <v>538</v>
      </c>
      <c r="X115" t="s">
        <v>53</v>
      </c>
      <c r="Y115" t="s">
        <v>53</v>
      </c>
      <c r="Z115" t="s">
        <v>53</v>
      </c>
      <c r="AA115" t="s">
        <v>53</v>
      </c>
      <c r="AB115" t="s">
        <v>53</v>
      </c>
      <c r="AC115" t="s">
        <v>53</v>
      </c>
      <c r="AD115" t="s">
        <v>35</v>
      </c>
      <c r="AE115" t="s">
        <v>53</v>
      </c>
    </row>
    <row r="116" spans="1:31" x14ac:dyDescent="0.3">
      <c r="A116" t="s">
        <v>32</v>
      </c>
      <c r="B116" t="s">
        <v>33</v>
      </c>
      <c r="C116" t="s">
        <v>74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55</v>
      </c>
      <c r="J116" t="s">
        <v>56</v>
      </c>
      <c r="K116" t="s">
        <v>42</v>
      </c>
      <c r="L116" t="s">
        <v>539</v>
      </c>
      <c r="M116" t="s">
        <v>540</v>
      </c>
      <c r="N116" t="s">
        <v>45</v>
      </c>
      <c r="O116" t="s">
        <v>46</v>
      </c>
      <c r="P116" t="s">
        <v>47</v>
      </c>
      <c r="Q116" t="s">
        <v>77</v>
      </c>
      <c r="R116" t="s">
        <v>77</v>
      </c>
      <c r="S116" t="s">
        <v>77</v>
      </c>
      <c r="T116" t="s">
        <v>49</v>
      </c>
      <c r="U116" s="4" t="s">
        <v>541</v>
      </c>
      <c r="V116" t="s">
        <v>51</v>
      </c>
      <c r="W116" s="4" t="s">
        <v>542</v>
      </c>
      <c r="X116" t="s">
        <v>53</v>
      </c>
      <c r="Y116" t="s">
        <v>53</v>
      </c>
      <c r="Z116" t="s">
        <v>53</v>
      </c>
      <c r="AA116" t="s">
        <v>53</v>
      </c>
      <c r="AB116" t="s">
        <v>53</v>
      </c>
      <c r="AC116" t="s">
        <v>53</v>
      </c>
      <c r="AD116" t="s">
        <v>35</v>
      </c>
      <c r="AE116" t="s">
        <v>53</v>
      </c>
    </row>
    <row r="117" spans="1:31" x14ac:dyDescent="0.3">
      <c r="A117" t="s">
        <v>32</v>
      </c>
      <c r="B117" t="s">
        <v>33</v>
      </c>
      <c r="C117" t="s">
        <v>54</v>
      </c>
      <c r="D117" t="s">
        <v>35</v>
      </c>
      <c r="E117" t="s">
        <v>36</v>
      </c>
      <c r="F117" t="s">
        <v>37</v>
      </c>
      <c r="G117" t="s">
        <v>38</v>
      </c>
      <c r="H117" t="s">
        <v>39</v>
      </c>
      <c r="I117" t="s">
        <v>132</v>
      </c>
      <c r="J117" t="s">
        <v>133</v>
      </c>
      <c r="K117" t="s">
        <v>42</v>
      </c>
      <c r="L117" t="s">
        <v>543</v>
      </c>
      <c r="M117" t="s">
        <v>544</v>
      </c>
      <c r="N117" t="s">
        <v>45</v>
      </c>
      <c r="O117" t="s">
        <v>46</v>
      </c>
      <c r="P117" t="s">
        <v>47</v>
      </c>
      <c r="Q117" t="s">
        <v>380</v>
      </c>
      <c r="R117" t="s">
        <v>380</v>
      </c>
      <c r="S117" t="s">
        <v>380</v>
      </c>
      <c r="T117" t="s">
        <v>49</v>
      </c>
      <c r="U117" s="4" t="s">
        <v>545</v>
      </c>
      <c r="V117" t="s">
        <v>87</v>
      </c>
      <c r="W117" s="4" t="s">
        <v>546</v>
      </c>
      <c r="X117" t="s">
        <v>53</v>
      </c>
      <c r="Y117" t="s">
        <v>53</v>
      </c>
      <c r="Z117" t="s">
        <v>53</v>
      </c>
      <c r="AA117" t="s">
        <v>53</v>
      </c>
      <c r="AB117" t="s">
        <v>53</v>
      </c>
      <c r="AC117" t="s">
        <v>53</v>
      </c>
      <c r="AD117" t="s">
        <v>35</v>
      </c>
      <c r="AE117" t="s">
        <v>53</v>
      </c>
    </row>
    <row r="118" spans="1:31" x14ac:dyDescent="0.3">
      <c r="A118" t="s">
        <v>32</v>
      </c>
      <c r="B118" t="s">
        <v>33</v>
      </c>
      <c r="C118" t="s">
        <v>54</v>
      </c>
      <c r="D118" t="s">
        <v>35</v>
      </c>
      <c r="E118" t="s">
        <v>36</v>
      </c>
      <c r="F118" t="s">
        <v>37</v>
      </c>
      <c r="G118" t="s">
        <v>38</v>
      </c>
      <c r="H118" t="s">
        <v>39</v>
      </c>
      <c r="I118" t="s">
        <v>55</v>
      </c>
      <c r="J118" t="s">
        <v>56</v>
      </c>
      <c r="K118" t="s">
        <v>42</v>
      </c>
      <c r="L118" t="s">
        <v>547</v>
      </c>
      <c r="M118" t="s">
        <v>548</v>
      </c>
      <c r="N118" t="s">
        <v>45</v>
      </c>
      <c r="O118" t="s">
        <v>46</v>
      </c>
      <c r="P118" t="s">
        <v>47</v>
      </c>
      <c r="Q118" t="s">
        <v>389</v>
      </c>
      <c r="R118" t="s">
        <v>389</v>
      </c>
      <c r="S118" t="s">
        <v>389</v>
      </c>
      <c r="T118" t="s">
        <v>49</v>
      </c>
      <c r="U118" s="4" t="s">
        <v>549</v>
      </c>
      <c r="V118" t="s">
        <v>66</v>
      </c>
      <c r="W118" s="4" t="s">
        <v>550</v>
      </c>
      <c r="X118" t="s">
        <v>53</v>
      </c>
      <c r="Y118" t="s">
        <v>53</v>
      </c>
      <c r="Z118" t="s">
        <v>53</v>
      </c>
      <c r="AA118" t="s">
        <v>53</v>
      </c>
      <c r="AB118" t="s">
        <v>53</v>
      </c>
      <c r="AC118" t="s">
        <v>53</v>
      </c>
      <c r="AD118" t="s">
        <v>35</v>
      </c>
      <c r="AE118" t="s">
        <v>53</v>
      </c>
    </row>
    <row r="119" spans="1:31" x14ac:dyDescent="0.3">
      <c r="A119" t="s">
        <v>32</v>
      </c>
      <c r="B119" t="s">
        <v>33</v>
      </c>
      <c r="C119" t="s">
        <v>74</v>
      </c>
      <c r="D119" t="s">
        <v>35</v>
      </c>
      <c r="E119" t="s">
        <v>36</v>
      </c>
      <c r="F119" t="s">
        <v>37</v>
      </c>
      <c r="G119" t="s">
        <v>38</v>
      </c>
      <c r="H119" t="s">
        <v>39</v>
      </c>
      <c r="I119" t="s">
        <v>55</v>
      </c>
      <c r="J119" t="s">
        <v>56</v>
      </c>
      <c r="K119" t="s">
        <v>42</v>
      </c>
      <c r="L119" t="s">
        <v>551</v>
      </c>
      <c r="M119" t="s">
        <v>552</v>
      </c>
      <c r="N119" t="s">
        <v>45</v>
      </c>
      <c r="O119" t="s">
        <v>46</v>
      </c>
      <c r="P119" t="s">
        <v>47</v>
      </c>
      <c r="Q119" t="s">
        <v>338</v>
      </c>
      <c r="R119" t="s">
        <v>338</v>
      </c>
      <c r="S119" t="s">
        <v>338</v>
      </c>
      <c r="T119" t="s">
        <v>49</v>
      </c>
      <c r="U119" s="4" t="s">
        <v>318</v>
      </c>
      <c r="V119" t="s">
        <v>51</v>
      </c>
      <c r="W119" s="4" t="s">
        <v>319</v>
      </c>
      <c r="X119" t="s">
        <v>53</v>
      </c>
      <c r="Y119" t="s">
        <v>53</v>
      </c>
      <c r="Z119" t="s">
        <v>53</v>
      </c>
      <c r="AA119" t="s">
        <v>53</v>
      </c>
      <c r="AB119" t="s">
        <v>53</v>
      </c>
      <c r="AC119" t="s">
        <v>53</v>
      </c>
      <c r="AD119" t="s">
        <v>35</v>
      </c>
      <c r="AE119" t="s">
        <v>53</v>
      </c>
    </row>
    <row r="120" spans="1:31" x14ac:dyDescent="0.3">
      <c r="A120" t="s">
        <v>32</v>
      </c>
      <c r="B120" t="s">
        <v>33</v>
      </c>
      <c r="C120" t="s">
        <v>74</v>
      </c>
      <c r="D120" t="s">
        <v>35</v>
      </c>
      <c r="E120" t="s">
        <v>36</v>
      </c>
      <c r="F120" t="s">
        <v>37</v>
      </c>
      <c r="G120" t="s">
        <v>38</v>
      </c>
      <c r="H120" t="s">
        <v>39</v>
      </c>
      <c r="I120" t="s">
        <v>40</v>
      </c>
      <c r="J120" t="s">
        <v>41</v>
      </c>
      <c r="K120" t="s">
        <v>42</v>
      </c>
      <c r="L120" t="s">
        <v>43</v>
      </c>
      <c r="M120" t="s">
        <v>44</v>
      </c>
      <c r="N120" t="s">
        <v>45</v>
      </c>
      <c r="O120" t="s">
        <v>46</v>
      </c>
      <c r="P120" t="s">
        <v>47</v>
      </c>
      <c r="Q120" t="s">
        <v>48</v>
      </c>
      <c r="R120" t="s">
        <v>48</v>
      </c>
      <c r="S120" t="s">
        <v>48</v>
      </c>
      <c r="T120" t="s">
        <v>49</v>
      </c>
      <c r="U120" s="4" t="s">
        <v>50</v>
      </c>
      <c r="V120" t="s">
        <v>51</v>
      </c>
      <c r="W120" s="4" t="s">
        <v>52</v>
      </c>
      <c r="X120" t="s">
        <v>53</v>
      </c>
      <c r="Y120" t="s">
        <v>53</v>
      </c>
      <c r="Z120" t="s">
        <v>53</v>
      </c>
      <c r="AA120" t="s">
        <v>53</v>
      </c>
      <c r="AB120" t="s">
        <v>53</v>
      </c>
      <c r="AC120" t="s">
        <v>53</v>
      </c>
      <c r="AD120" t="s">
        <v>35</v>
      </c>
      <c r="AE120" t="s">
        <v>53</v>
      </c>
    </row>
    <row r="121" spans="1:31" x14ac:dyDescent="0.3">
      <c r="A121" t="s">
        <v>32</v>
      </c>
      <c r="B121" t="s">
        <v>33</v>
      </c>
      <c r="C121" t="s">
        <v>54</v>
      </c>
      <c r="D121" t="s">
        <v>35</v>
      </c>
      <c r="E121" t="s">
        <v>36</v>
      </c>
      <c r="F121" t="s">
        <v>37</v>
      </c>
      <c r="G121" t="s">
        <v>38</v>
      </c>
      <c r="H121" t="s">
        <v>39</v>
      </c>
      <c r="I121" t="s">
        <v>55</v>
      </c>
      <c r="J121" t="s">
        <v>56</v>
      </c>
      <c r="K121" t="s">
        <v>42</v>
      </c>
      <c r="L121" t="s">
        <v>553</v>
      </c>
      <c r="M121" t="s">
        <v>554</v>
      </c>
      <c r="N121" t="s">
        <v>45</v>
      </c>
      <c r="O121" t="s">
        <v>46</v>
      </c>
      <c r="P121" t="s">
        <v>47</v>
      </c>
      <c r="Q121" t="s">
        <v>111</v>
      </c>
      <c r="R121" t="s">
        <v>111</v>
      </c>
      <c r="S121" t="s">
        <v>111</v>
      </c>
      <c r="T121" t="s">
        <v>49</v>
      </c>
      <c r="U121" s="4" t="s">
        <v>385</v>
      </c>
      <c r="V121" t="s">
        <v>51</v>
      </c>
      <c r="W121" s="4" t="s">
        <v>555</v>
      </c>
      <c r="X121" t="s">
        <v>53</v>
      </c>
      <c r="Y121" t="s">
        <v>53</v>
      </c>
      <c r="Z121" t="s">
        <v>53</v>
      </c>
      <c r="AA121" t="s">
        <v>53</v>
      </c>
      <c r="AB121" t="s">
        <v>53</v>
      </c>
      <c r="AC121" t="s">
        <v>53</v>
      </c>
      <c r="AD121" t="s">
        <v>35</v>
      </c>
      <c r="AE121" t="s">
        <v>53</v>
      </c>
    </row>
    <row r="122" spans="1:31" x14ac:dyDescent="0.3">
      <c r="A122" t="s">
        <v>32</v>
      </c>
      <c r="B122" t="s">
        <v>33</v>
      </c>
      <c r="C122" t="s">
        <v>80</v>
      </c>
      <c r="D122" t="s">
        <v>35</v>
      </c>
      <c r="E122" t="s">
        <v>36</v>
      </c>
      <c r="F122" t="s">
        <v>37</v>
      </c>
      <c r="G122" t="s">
        <v>38</v>
      </c>
      <c r="H122" t="s">
        <v>39</v>
      </c>
      <c r="I122" t="s">
        <v>40</v>
      </c>
      <c r="J122" t="s">
        <v>41</v>
      </c>
      <c r="K122" t="s">
        <v>42</v>
      </c>
      <c r="L122" t="s">
        <v>43</v>
      </c>
      <c r="M122" t="s">
        <v>44</v>
      </c>
      <c r="N122" t="s">
        <v>45</v>
      </c>
      <c r="O122" t="s">
        <v>46</v>
      </c>
      <c r="P122" t="s">
        <v>47</v>
      </c>
      <c r="Q122" t="s">
        <v>48</v>
      </c>
      <c r="R122" t="s">
        <v>48</v>
      </c>
      <c r="S122" t="s">
        <v>48</v>
      </c>
      <c r="T122" t="s">
        <v>49</v>
      </c>
      <c r="U122" s="4" t="s">
        <v>94</v>
      </c>
      <c r="V122" t="s">
        <v>51</v>
      </c>
      <c r="W122" s="4" t="s">
        <v>95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53</v>
      </c>
      <c r="AD122" t="s">
        <v>35</v>
      </c>
      <c r="AE122" t="s">
        <v>53</v>
      </c>
    </row>
    <row r="123" spans="1:31" x14ac:dyDescent="0.3">
      <c r="A123" t="s">
        <v>32</v>
      </c>
      <c r="B123" t="s">
        <v>33</v>
      </c>
      <c r="C123" t="s">
        <v>74</v>
      </c>
      <c r="D123" t="s">
        <v>35</v>
      </c>
      <c r="E123" t="s">
        <v>36</v>
      </c>
      <c r="F123" t="s">
        <v>37</v>
      </c>
      <c r="G123" t="s">
        <v>38</v>
      </c>
      <c r="H123" t="s">
        <v>39</v>
      </c>
      <c r="I123" t="s">
        <v>55</v>
      </c>
      <c r="J123" t="s">
        <v>56</v>
      </c>
      <c r="K123" t="s">
        <v>42</v>
      </c>
      <c r="L123" t="s">
        <v>556</v>
      </c>
      <c r="M123" t="s">
        <v>557</v>
      </c>
      <c r="N123" t="s">
        <v>45</v>
      </c>
      <c r="O123" t="s">
        <v>46</v>
      </c>
      <c r="P123" t="s">
        <v>47</v>
      </c>
      <c r="Q123" t="s">
        <v>338</v>
      </c>
      <c r="R123" t="s">
        <v>338</v>
      </c>
      <c r="S123" t="s">
        <v>338</v>
      </c>
      <c r="T123" t="s">
        <v>49</v>
      </c>
      <c r="U123" s="4" t="s">
        <v>558</v>
      </c>
      <c r="V123" t="s">
        <v>51</v>
      </c>
      <c r="W123" s="4" t="s">
        <v>559</v>
      </c>
      <c r="X123" t="s">
        <v>53</v>
      </c>
      <c r="Y123" t="s">
        <v>53</v>
      </c>
      <c r="Z123" t="s">
        <v>53</v>
      </c>
      <c r="AA123" t="s">
        <v>53</v>
      </c>
      <c r="AB123" t="s">
        <v>53</v>
      </c>
      <c r="AC123" t="s">
        <v>53</v>
      </c>
      <c r="AD123" t="s">
        <v>35</v>
      </c>
      <c r="AE123" t="s">
        <v>53</v>
      </c>
    </row>
    <row r="124" spans="1:31" x14ac:dyDescent="0.3">
      <c r="A124" t="s">
        <v>32</v>
      </c>
      <c r="B124" t="s">
        <v>33</v>
      </c>
      <c r="C124" t="s">
        <v>54</v>
      </c>
      <c r="D124" t="s">
        <v>35</v>
      </c>
      <c r="E124" t="s">
        <v>36</v>
      </c>
      <c r="F124" t="s">
        <v>37</v>
      </c>
      <c r="G124" t="s">
        <v>38</v>
      </c>
      <c r="H124" t="s">
        <v>39</v>
      </c>
      <c r="I124" t="s">
        <v>55</v>
      </c>
      <c r="J124" t="s">
        <v>56</v>
      </c>
      <c r="K124" t="s">
        <v>42</v>
      </c>
      <c r="L124" t="s">
        <v>560</v>
      </c>
      <c r="M124" t="s">
        <v>561</v>
      </c>
      <c r="N124" t="s">
        <v>45</v>
      </c>
      <c r="O124" t="s">
        <v>46</v>
      </c>
      <c r="P124" t="s">
        <v>47</v>
      </c>
      <c r="Q124" t="s">
        <v>111</v>
      </c>
      <c r="R124" t="s">
        <v>111</v>
      </c>
      <c r="S124" t="s">
        <v>111</v>
      </c>
      <c r="T124" t="s">
        <v>49</v>
      </c>
      <c r="U124" s="4" t="s">
        <v>562</v>
      </c>
      <c r="V124" t="s">
        <v>51</v>
      </c>
      <c r="W124" s="4" t="s">
        <v>563</v>
      </c>
      <c r="X124" t="s">
        <v>53</v>
      </c>
      <c r="Y124" t="s">
        <v>53</v>
      </c>
      <c r="Z124" t="s">
        <v>53</v>
      </c>
      <c r="AA124" t="s">
        <v>53</v>
      </c>
      <c r="AB124" t="s">
        <v>53</v>
      </c>
      <c r="AC124" t="s">
        <v>53</v>
      </c>
      <c r="AD124" t="s">
        <v>35</v>
      </c>
      <c r="AE124" t="s">
        <v>53</v>
      </c>
    </row>
    <row r="125" spans="1:31" x14ac:dyDescent="0.3">
      <c r="A125" t="s">
        <v>32</v>
      </c>
      <c r="B125" t="s">
        <v>33</v>
      </c>
      <c r="C125" t="s">
        <v>34</v>
      </c>
      <c r="D125" t="s">
        <v>35</v>
      </c>
      <c r="E125" t="s">
        <v>36</v>
      </c>
      <c r="F125" t="s">
        <v>37</v>
      </c>
      <c r="G125" t="s">
        <v>38</v>
      </c>
      <c r="H125" t="s">
        <v>39</v>
      </c>
      <c r="I125" t="s">
        <v>132</v>
      </c>
      <c r="J125" t="s">
        <v>133</v>
      </c>
      <c r="K125" t="s">
        <v>42</v>
      </c>
      <c r="L125" t="s">
        <v>564</v>
      </c>
      <c r="M125" t="s">
        <v>565</v>
      </c>
      <c r="N125" t="s">
        <v>45</v>
      </c>
      <c r="O125" t="s">
        <v>46</v>
      </c>
      <c r="P125" t="s">
        <v>47</v>
      </c>
      <c r="Q125" t="s">
        <v>566</v>
      </c>
      <c r="R125" t="s">
        <v>566</v>
      </c>
      <c r="S125" t="s">
        <v>566</v>
      </c>
      <c r="T125" t="s">
        <v>49</v>
      </c>
      <c r="U125" s="4" t="s">
        <v>567</v>
      </c>
      <c r="V125" t="s">
        <v>87</v>
      </c>
      <c r="W125" s="4" t="s">
        <v>568</v>
      </c>
      <c r="X125" t="s">
        <v>53</v>
      </c>
      <c r="Y125" t="s">
        <v>53</v>
      </c>
      <c r="Z125" t="s">
        <v>53</v>
      </c>
      <c r="AA125" t="s">
        <v>53</v>
      </c>
      <c r="AB125" t="s">
        <v>53</v>
      </c>
      <c r="AC125" t="s">
        <v>53</v>
      </c>
      <c r="AD125" t="s">
        <v>35</v>
      </c>
      <c r="AE125" t="s">
        <v>53</v>
      </c>
    </row>
    <row r="126" spans="1:31" x14ac:dyDescent="0.3">
      <c r="A126" t="s">
        <v>32</v>
      </c>
      <c r="B126" t="s">
        <v>33</v>
      </c>
      <c r="C126" t="s">
        <v>74</v>
      </c>
      <c r="D126" t="s">
        <v>35</v>
      </c>
      <c r="E126" t="s">
        <v>36</v>
      </c>
      <c r="F126" t="s">
        <v>37</v>
      </c>
      <c r="G126" t="s">
        <v>38</v>
      </c>
      <c r="H126" t="s">
        <v>39</v>
      </c>
      <c r="I126" t="s">
        <v>118</v>
      </c>
      <c r="J126" t="s">
        <v>119</v>
      </c>
      <c r="K126" t="s">
        <v>42</v>
      </c>
      <c r="L126" t="s">
        <v>569</v>
      </c>
      <c r="M126" t="s">
        <v>399</v>
      </c>
      <c r="N126" t="s">
        <v>45</v>
      </c>
      <c r="O126" t="s">
        <v>46</v>
      </c>
      <c r="P126" t="s">
        <v>47</v>
      </c>
      <c r="Q126" t="s">
        <v>400</v>
      </c>
      <c r="R126" t="s">
        <v>400</v>
      </c>
      <c r="S126" t="s">
        <v>400</v>
      </c>
      <c r="T126" t="s">
        <v>49</v>
      </c>
      <c r="U126" s="4" t="s">
        <v>570</v>
      </c>
      <c r="V126" t="s">
        <v>51</v>
      </c>
      <c r="W126" s="4" t="s">
        <v>571</v>
      </c>
      <c r="X126" t="s">
        <v>53</v>
      </c>
      <c r="Y126" t="s">
        <v>53</v>
      </c>
      <c r="Z126" t="s">
        <v>53</v>
      </c>
      <c r="AA126" t="s">
        <v>53</v>
      </c>
      <c r="AB126" t="s">
        <v>53</v>
      </c>
      <c r="AC126" t="s">
        <v>53</v>
      </c>
      <c r="AD126" t="s">
        <v>35</v>
      </c>
      <c r="AE126" t="s">
        <v>53</v>
      </c>
    </row>
    <row r="127" spans="1:31" x14ac:dyDescent="0.3">
      <c r="A127" t="s">
        <v>32</v>
      </c>
      <c r="B127" t="s">
        <v>33</v>
      </c>
      <c r="C127" t="s">
        <v>54</v>
      </c>
      <c r="D127" t="s">
        <v>35</v>
      </c>
      <c r="E127" t="s">
        <v>36</v>
      </c>
      <c r="F127" t="s">
        <v>37</v>
      </c>
      <c r="G127" t="s">
        <v>38</v>
      </c>
      <c r="H127" t="s">
        <v>39</v>
      </c>
      <c r="I127" t="s">
        <v>55</v>
      </c>
      <c r="J127" t="s">
        <v>56</v>
      </c>
      <c r="K127" t="s">
        <v>42</v>
      </c>
      <c r="L127" t="s">
        <v>572</v>
      </c>
      <c r="M127" t="s">
        <v>573</v>
      </c>
      <c r="N127" t="s">
        <v>45</v>
      </c>
      <c r="O127" t="s">
        <v>46</v>
      </c>
      <c r="P127" t="s">
        <v>47</v>
      </c>
      <c r="Q127" t="s">
        <v>189</v>
      </c>
      <c r="R127" t="s">
        <v>189</v>
      </c>
      <c r="S127" t="s">
        <v>189</v>
      </c>
      <c r="T127" t="s">
        <v>49</v>
      </c>
      <c r="U127" s="4" t="s">
        <v>574</v>
      </c>
      <c r="V127" t="s">
        <v>66</v>
      </c>
      <c r="W127" s="4" t="s">
        <v>147</v>
      </c>
      <c r="X127" t="s">
        <v>53</v>
      </c>
      <c r="Y127" t="s">
        <v>53</v>
      </c>
      <c r="Z127" t="s">
        <v>53</v>
      </c>
      <c r="AA127" t="s">
        <v>53</v>
      </c>
      <c r="AB127" t="s">
        <v>53</v>
      </c>
      <c r="AC127" t="s">
        <v>53</v>
      </c>
      <c r="AD127" t="s">
        <v>35</v>
      </c>
      <c r="AE127" t="s">
        <v>53</v>
      </c>
    </row>
    <row r="128" spans="1:31" x14ac:dyDescent="0.3">
      <c r="A128" t="s">
        <v>32</v>
      </c>
      <c r="B128" t="s">
        <v>33</v>
      </c>
      <c r="C128" t="s">
        <v>54</v>
      </c>
      <c r="D128" t="s">
        <v>35</v>
      </c>
      <c r="E128" t="s">
        <v>36</v>
      </c>
      <c r="F128" t="s">
        <v>37</v>
      </c>
      <c r="G128" t="s">
        <v>38</v>
      </c>
      <c r="H128" t="s">
        <v>39</v>
      </c>
      <c r="I128" t="s">
        <v>55</v>
      </c>
      <c r="J128" t="s">
        <v>56</v>
      </c>
      <c r="K128" t="s">
        <v>42</v>
      </c>
      <c r="L128" t="s">
        <v>575</v>
      </c>
      <c r="M128" t="s">
        <v>576</v>
      </c>
      <c r="N128" t="s">
        <v>45</v>
      </c>
      <c r="O128" t="s">
        <v>46</v>
      </c>
      <c r="P128" t="s">
        <v>47</v>
      </c>
      <c r="Q128" t="s">
        <v>70</v>
      </c>
      <c r="R128" t="s">
        <v>70</v>
      </c>
      <c r="S128" t="s">
        <v>70</v>
      </c>
      <c r="T128" t="s">
        <v>49</v>
      </c>
      <c r="U128" s="4" t="s">
        <v>577</v>
      </c>
      <c r="V128" t="s">
        <v>66</v>
      </c>
      <c r="W128" s="4" t="s">
        <v>578</v>
      </c>
      <c r="X128" t="s">
        <v>53</v>
      </c>
      <c r="Y128" t="s">
        <v>53</v>
      </c>
      <c r="Z128" t="s">
        <v>53</v>
      </c>
      <c r="AA128" t="s">
        <v>53</v>
      </c>
      <c r="AB128" t="s">
        <v>53</v>
      </c>
      <c r="AC128" t="s">
        <v>53</v>
      </c>
      <c r="AD128" t="s">
        <v>35</v>
      </c>
      <c r="AE128" t="s">
        <v>53</v>
      </c>
    </row>
    <row r="129" spans="1:31" x14ac:dyDescent="0.3">
      <c r="A129" t="s">
        <v>32</v>
      </c>
      <c r="B129" t="s">
        <v>33</v>
      </c>
      <c r="C129" t="s">
        <v>74</v>
      </c>
      <c r="D129" t="s">
        <v>35</v>
      </c>
      <c r="E129" t="s">
        <v>36</v>
      </c>
      <c r="F129" t="s">
        <v>37</v>
      </c>
      <c r="G129" t="s">
        <v>38</v>
      </c>
      <c r="H129" t="s">
        <v>39</v>
      </c>
      <c r="I129" t="s">
        <v>55</v>
      </c>
      <c r="J129" t="s">
        <v>56</v>
      </c>
      <c r="K129" t="s">
        <v>42</v>
      </c>
      <c r="L129" t="s">
        <v>579</v>
      </c>
      <c r="M129" t="s">
        <v>580</v>
      </c>
      <c r="N129" t="s">
        <v>45</v>
      </c>
      <c r="O129" t="s">
        <v>46</v>
      </c>
      <c r="P129" t="s">
        <v>47</v>
      </c>
      <c r="Q129" t="s">
        <v>77</v>
      </c>
      <c r="R129" t="s">
        <v>77</v>
      </c>
      <c r="S129" t="s">
        <v>77</v>
      </c>
      <c r="T129" t="s">
        <v>49</v>
      </c>
      <c r="U129" s="4" t="s">
        <v>581</v>
      </c>
      <c r="V129" t="s">
        <v>107</v>
      </c>
      <c r="W129" s="4" t="s">
        <v>582</v>
      </c>
      <c r="X129" t="s">
        <v>53</v>
      </c>
      <c r="Y129" t="s">
        <v>53</v>
      </c>
      <c r="Z129" t="s">
        <v>53</v>
      </c>
      <c r="AA129" t="s">
        <v>53</v>
      </c>
      <c r="AB129" t="s">
        <v>53</v>
      </c>
      <c r="AC129" t="s">
        <v>53</v>
      </c>
      <c r="AD129" t="s">
        <v>35</v>
      </c>
      <c r="AE129" t="s">
        <v>53</v>
      </c>
    </row>
    <row r="130" spans="1:31" x14ac:dyDescent="0.3">
      <c r="A130" t="s">
        <v>32</v>
      </c>
      <c r="B130" t="s">
        <v>33</v>
      </c>
      <c r="C130" t="s">
        <v>54</v>
      </c>
      <c r="D130" t="s">
        <v>35</v>
      </c>
      <c r="E130" t="s">
        <v>36</v>
      </c>
      <c r="F130" t="s">
        <v>37</v>
      </c>
      <c r="G130" t="s">
        <v>38</v>
      </c>
      <c r="H130" t="s">
        <v>39</v>
      </c>
      <c r="I130" t="s">
        <v>192</v>
      </c>
      <c r="J130" t="s">
        <v>193</v>
      </c>
      <c r="K130" t="s">
        <v>42</v>
      </c>
      <c r="L130" t="s">
        <v>583</v>
      </c>
      <c r="M130" t="s">
        <v>584</v>
      </c>
      <c r="N130" t="s">
        <v>45</v>
      </c>
      <c r="O130" t="s">
        <v>46</v>
      </c>
      <c r="P130" t="s">
        <v>47</v>
      </c>
      <c r="Q130" t="s">
        <v>105</v>
      </c>
      <c r="R130" t="s">
        <v>105</v>
      </c>
      <c r="S130" t="s">
        <v>105</v>
      </c>
      <c r="T130" t="s">
        <v>49</v>
      </c>
      <c r="U130" s="4" t="s">
        <v>545</v>
      </c>
      <c r="V130" t="s">
        <v>87</v>
      </c>
      <c r="W130" s="4" t="s">
        <v>546</v>
      </c>
      <c r="X130" t="s">
        <v>53</v>
      </c>
      <c r="Y130" t="s">
        <v>53</v>
      </c>
      <c r="Z130" t="s">
        <v>53</v>
      </c>
      <c r="AA130" t="s">
        <v>53</v>
      </c>
      <c r="AB130" t="s">
        <v>53</v>
      </c>
      <c r="AC130" t="s">
        <v>53</v>
      </c>
      <c r="AD130" t="s">
        <v>35</v>
      </c>
      <c r="AE130" t="s">
        <v>53</v>
      </c>
    </row>
    <row r="131" spans="1:31" x14ac:dyDescent="0.3">
      <c r="A131" t="s">
        <v>32</v>
      </c>
      <c r="B131" t="s">
        <v>33</v>
      </c>
      <c r="C131" t="s">
        <v>74</v>
      </c>
      <c r="D131" t="s">
        <v>35</v>
      </c>
      <c r="E131" t="s">
        <v>36</v>
      </c>
      <c r="F131" t="s">
        <v>37</v>
      </c>
      <c r="G131" t="s">
        <v>38</v>
      </c>
      <c r="H131" t="s">
        <v>39</v>
      </c>
      <c r="I131" t="s">
        <v>55</v>
      </c>
      <c r="J131" t="s">
        <v>56</v>
      </c>
      <c r="K131" t="s">
        <v>42</v>
      </c>
      <c r="L131" t="s">
        <v>585</v>
      </c>
      <c r="M131" t="s">
        <v>586</v>
      </c>
      <c r="N131" t="s">
        <v>45</v>
      </c>
      <c r="O131" t="s">
        <v>46</v>
      </c>
      <c r="P131" t="s">
        <v>47</v>
      </c>
      <c r="Q131" t="s">
        <v>77</v>
      </c>
      <c r="R131" t="s">
        <v>77</v>
      </c>
      <c r="S131" t="s">
        <v>77</v>
      </c>
      <c r="T131" t="s">
        <v>49</v>
      </c>
      <c r="U131" s="4" t="s">
        <v>587</v>
      </c>
      <c r="V131" t="s">
        <v>87</v>
      </c>
      <c r="W131" s="4" t="s">
        <v>588</v>
      </c>
      <c r="X131" t="s">
        <v>53</v>
      </c>
      <c r="Y131" t="s">
        <v>53</v>
      </c>
      <c r="Z131" t="s">
        <v>53</v>
      </c>
      <c r="AA131" t="s">
        <v>53</v>
      </c>
      <c r="AB131" t="s">
        <v>53</v>
      </c>
      <c r="AC131" t="s">
        <v>53</v>
      </c>
      <c r="AD131" t="s">
        <v>35</v>
      </c>
      <c r="AE131" t="s">
        <v>53</v>
      </c>
    </row>
    <row r="132" spans="1:31" x14ac:dyDescent="0.3">
      <c r="A132" t="s">
        <v>32</v>
      </c>
      <c r="B132" t="s">
        <v>33</v>
      </c>
      <c r="C132" t="s">
        <v>34</v>
      </c>
      <c r="D132" t="s">
        <v>35</v>
      </c>
      <c r="E132" t="s">
        <v>36</v>
      </c>
      <c r="F132" t="s">
        <v>37</v>
      </c>
      <c r="G132" t="s">
        <v>38</v>
      </c>
      <c r="H132" t="s">
        <v>39</v>
      </c>
      <c r="I132" t="s">
        <v>125</v>
      </c>
      <c r="J132" t="s">
        <v>126</v>
      </c>
      <c r="K132" t="s">
        <v>42</v>
      </c>
      <c r="L132" t="s">
        <v>294</v>
      </c>
      <c r="M132" t="s">
        <v>295</v>
      </c>
      <c r="N132" t="s">
        <v>45</v>
      </c>
      <c r="O132" t="s">
        <v>46</v>
      </c>
      <c r="P132" t="s">
        <v>47</v>
      </c>
      <c r="Q132" t="s">
        <v>296</v>
      </c>
      <c r="R132" t="s">
        <v>296</v>
      </c>
      <c r="S132" t="s">
        <v>296</v>
      </c>
      <c r="T132" t="s">
        <v>49</v>
      </c>
      <c r="U132" s="4" t="s">
        <v>130</v>
      </c>
      <c r="V132" t="s">
        <v>51</v>
      </c>
      <c r="W132" s="4" t="s">
        <v>131</v>
      </c>
      <c r="X132" t="s">
        <v>53</v>
      </c>
      <c r="Y132" t="s">
        <v>53</v>
      </c>
      <c r="Z132" t="s">
        <v>53</v>
      </c>
      <c r="AA132" t="s">
        <v>53</v>
      </c>
      <c r="AB132" t="s">
        <v>53</v>
      </c>
      <c r="AC132" t="s">
        <v>53</v>
      </c>
      <c r="AD132" t="s">
        <v>35</v>
      </c>
      <c r="AE132" t="s">
        <v>53</v>
      </c>
    </row>
    <row r="133" spans="1:31" x14ac:dyDescent="0.3">
      <c r="A133" t="s">
        <v>32</v>
      </c>
      <c r="B133" t="s">
        <v>33</v>
      </c>
      <c r="C133" t="s">
        <v>74</v>
      </c>
      <c r="D133" t="s">
        <v>35</v>
      </c>
      <c r="E133" t="s">
        <v>36</v>
      </c>
      <c r="F133" t="s">
        <v>37</v>
      </c>
      <c r="G133" t="s">
        <v>38</v>
      </c>
      <c r="H133" t="s">
        <v>39</v>
      </c>
      <c r="I133" t="s">
        <v>55</v>
      </c>
      <c r="J133" t="s">
        <v>56</v>
      </c>
      <c r="K133" t="s">
        <v>42</v>
      </c>
      <c r="L133" t="s">
        <v>589</v>
      </c>
      <c r="M133" t="s">
        <v>590</v>
      </c>
      <c r="N133" t="s">
        <v>45</v>
      </c>
      <c r="O133" t="s">
        <v>46</v>
      </c>
      <c r="P133" t="s">
        <v>47</v>
      </c>
      <c r="Q133" t="s">
        <v>77</v>
      </c>
      <c r="R133" t="s">
        <v>77</v>
      </c>
      <c r="S133" t="s">
        <v>77</v>
      </c>
      <c r="T133" t="s">
        <v>49</v>
      </c>
      <c r="U133" s="4" t="s">
        <v>591</v>
      </c>
      <c r="V133" t="s">
        <v>87</v>
      </c>
      <c r="W133" s="4" t="s">
        <v>592</v>
      </c>
      <c r="X133" t="s">
        <v>53</v>
      </c>
      <c r="Y133" t="s">
        <v>53</v>
      </c>
      <c r="Z133" t="s">
        <v>53</v>
      </c>
      <c r="AA133" t="s">
        <v>53</v>
      </c>
      <c r="AB133" t="s">
        <v>53</v>
      </c>
      <c r="AC133" t="s">
        <v>53</v>
      </c>
      <c r="AD133" t="s">
        <v>35</v>
      </c>
      <c r="AE133" t="s">
        <v>53</v>
      </c>
    </row>
    <row r="134" spans="1:31" x14ac:dyDescent="0.3">
      <c r="A134" t="s">
        <v>32</v>
      </c>
      <c r="B134" t="s">
        <v>33</v>
      </c>
      <c r="C134" t="s">
        <v>54</v>
      </c>
      <c r="D134" t="s">
        <v>35</v>
      </c>
      <c r="E134" t="s">
        <v>36</v>
      </c>
      <c r="F134" t="s">
        <v>37</v>
      </c>
      <c r="G134" t="s">
        <v>38</v>
      </c>
      <c r="H134" t="s">
        <v>39</v>
      </c>
      <c r="I134" t="s">
        <v>125</v>
      </c>
      <c r="J134" t="s">
        <v>126</v>
      </c>
      <c r="K134" t="s">
        <v>42</v>
      </c>
      <c r="L134" t="s">
        <v>303</v>
      </c>
      <c r="M134" t="s">
        <v>304</v>
      </c>
      <c r="N134" t="s">
        <v>45</v>
      </c>
      <c r="O134" t="s">
        <v>46</v>
      </c>
      <c r="P134" t="s">
        <v>47</v>
      </c>
      <c r="Q134" t="s">
        <v>260</v>
      </c>
      <c r="R134" t="s">
        <v>260</v>
      </c>
      <c r="S134" t="s">
        <v>260</v>
      </c>
      <c r="T134" t="s">
        <v>49</v>
      </c>
      <c r="U134" s="4" t="s">
        <v>172</v>
      </c>
      <c r="V134" t="s">
        <v>51</v>
      </c>
      <c r="W134" s="4" t="s">
        <v>593</v>
      </c>
      <c r="X134" t="s">
        <v>53</v>
      </c>
      <c r="Y134" t="s">
        <v>53</v>
      </c>
      <c r="Z134" t="s">
        <v>53</v>
      </c>
      <c r="AA134" t="s">
        <v>53</v>
      </c>
      <c r="AB134" t="s">
        <v>53</v>
      </c>
      <c r="AC134" t="s">
        <v>53</v>
      </c>
      <c r="AD134" t="s">
        <v>35</v>
      </c>
      <c r="AE134" t="s">
        <v>53</v>
      </c>
    </row>
    <row r="135" spans="1:31" x14ac:dyDescent="0.3">
      <c r="A135" t="s">
        <v>32</v>
      </c>
      <c r="B135" t="s">
        <v>33</v>
      </c>
      <c r="C135" t="s">
        <v>54</v>
      </c>
      <c r="D135" t="s">
        <v>35</v>
      </c>
      <c r="E135" t="s">
        <v>36</v>
      </c>
      <c r="F135" t="s">
        <v>37</v>
      </c>
      <c r="G135" t="s">
        <v>38</v>
      </c>
      <c r="H135" t="s">
        <v>39</v>
      </c>
      <c r="I135" t="s">
        <v>125</v>
      </c>
      <c r="J135" t="s">
        <v>126</v>
      </c>
      <c r="K135" t="s">
        <v>42</v>
      </c>
      <c r="L135" t="s">
        <v>594</v>
      </c>
      <c r="M135" t="s">
        <v>595</v>
      </c>
      <c r="N135" t="s">
        <v>45</v>
      </c>
      <c r="O135" t="s">
        <v>46</v>
      </c>
      <c r="P135" t="s">
        <v>47</v>
      </c>
      <c r="Q135" t="s">
        <v>596</v>
      </c>
      <c r="R135" t="s">
        <v>596</v>
      </c>
      <c r="S135" t="s">
        <v>596</v>
      </c>
      <c r="T135" t="s">
        <v>49</v>
      </c>
      <c r="U135" s="4" t="s">
        <v>597</v>
      </c>
      <c r="V135" t="s">
        <v>51</v>
      </c>
      <c r="W135" s="4" t="s">
        <v>598</v>
      </c>
      <c r="X135" t="s">
        <v>53</v>
      </c>
      <c r="Y135" t="s">
        <v>53</v>
      </c>
      <c r="Z135" t="s">
        <v>53</v>
      </c>
      <c r="AA135" t="s">
        <v>53</v>
      </c>
      <c r="AB135" t="s">
        <v>53</v>
      </c>
      <c r="AC135" t="s">
        <v>53</v>
      </c>
      <c r="AD135" t="s">
        <v>35</v>
      </c>
      <c r="AE135" t="s">
        <v>53</v>
      </c>
    </row>
    <row r="136" spans="1:31" x14ac:dyDescent="0.3">
      <c r="A136" t="s">
        <v>32</v>
      </c>
      <c r="B136" t="s">
        <v>33</v>
      </c>
      <c r="C136" t="s">
        <v>54</v>
      </c>
      <c r="D136" t="s">
        <v>35</v>
      </c>
      <c r="E136" t="s">
        <v>36</v>
      </c>
      <c r="F136" t="s">
        <v>37</v>
      </c>
      <c r="G136" t="s">
        <v>38</v>
      </c>
      <c r="H136" t="s">
        <v>39</v>
      </c>
      <c r="I136" t="s">
        <v>55</v>
      </c>
      <c r="J136" t="s">
        <v>56</v>
      </c>
      <c r="K136" t="s">
        <v>42</v>
      </c>
      <c r="L136" t="s">
        <v>599</v>
      </c>
      <c r="M136" t="s">
        <v>600</v>
      </c>
      <c r="N136" t="s">
        <v>45</v>
      </c>
      <c r="O136" t="s">
        <v>46</v>
      </c>
      <c r="P136" t="s">
        <v>47</v>
      </c>
      <c r="Q136" t="s">
        <v>98</v>
      </c>
      <c r="R136" t="s">
        <v>98</v>
      </c>
      <c r="S136" t="s">
        <v>98</v>
      </c>
      <c r="T136" t="s">
        <v>49</v>
      </c>
      <c r="U136" s="4" t="s">
        <v>318</v>
      </c>
      <c r="V136" t="s">
        <v>51</v>
      </c>
      <c r="W136" s="4" t="s">
        <v>319</v>
      </c>
      <c r="X136" t="s">
        <v>53</v>
      </c>
      <c r="Y136" t="s">
        <v>53</v>
      </c>
      <c r="Z136" t="s">
        <v>53</v>
      </c>
      <c r="AA136" t="s">
        <v>53</v>
      </c>
      <c r="AB136" t="s">
        <v>53</v>
      </c>
      <c r="AC136" t="s">
        <v>53</v>
      </c>
      <c r="AD136" t="s">
        <v>35</v>
      </c>
      <c r="AE136" t="s">
        <v>53</v>
      </c>
    </row>
    <row r="137" spans="1:31" x14ac:dyDescent="0.3">
      <c r="A137" t="s">
        <v>32</v>
      </c>
      <c r="B137" t="s">
        <v>33</v>
      </c>
      <c r="C137" t="s">
        <v>54</v>
      </c>
      <c r="D137" t="s">
        <v>35</v>
      </c>
      <c r="E137" t="s">
        <v>36</v>
      </c>
      <c r="F137" t="s">
        <v>37</v>
      </c>
      <c r="G137" t="s">
        <v>38</v>
      </c>
      <c r="H137" t="s">
        <v>39</v>
      </c>
      <c r="I137" t="s">
        <v>55</v>
      </c>
      <c r="J137" t="s">
        <v>56</v>
      </c>
      <c r="K137" t="s">
        <v>42</v>
      </c>
      <c r="L137" t="s">
        <v>601</v>
      </c>
      <c r="M137" t="s">
        <v>602</v>
      </c>
      <c r="N137" t="s">
        <v>45</v>
      </c>
      <c r="O137" t="s">
        <v>46</v>
      </c>
      <c r="P137" t="s">
        <v>47</v>
      </c>
      <c r="Q137" t="s">
        <v>154</v>
      </c>
      <c r="R137" t="s">
        <v>154</v>
      </c>
      <c r="S137" t="s">
        <v>154</v>
      </c>
      <c r="T137" t="s">
        <v>49</v>
      </c>
      <c r="U137" s="4" t="s">
        <v>603</v>
      </c>
      <c r="V137" t="s">
        <v>51</v>
      </c>
      <c r="W137" s="4" t="s">
        <v>604</v>
      </c>
      <c r="X137" t="s">
        <v>53</v>
      </c>
      <c r="Y137" t="s">
        <v>53</v>
      </c>
      <c r="Z137" t="s">
        <v>53</v>
      </c>
      <c r="AA137" t="s">
        <v>53</v>
      </c>
      <c r="AB137" t="s">
        <v>53</v>
      </c>
      <c r="AC137" t="s">
        <v>53</v>
      </c>
      <c r="AD137" t="s">
        <v>35</v>
      </c>
      <c r="AE137" t="s">
        <v>53</v>
      </c>
    </row>
    <row r="138" spans="1:31" x14ac:dyDescent="0.3">
      <c r="A138" t="s">
        <v>32</v>
      </c>
      <c r="B138" t="s">
        <v>33</v>
      </c>
      <c r="C138" t="s">
        <v>54</v>
      </c>
      <c r="D138" t="s">
        <v>35</v>
      </c>
      <c r="E138" t="s">
        <v>36</v>
      </c>
      <c r="F138" t="s">
        <v>37</v>
      </c>
      <c r="G138" t="s">
        <v>38</v>
      </c>
      <c r="H138" t="s">
        <v>39</v>
      </c>
      <c r="I138" t="s">
        <v>55</v>
      </c>
      <c r="J138" t="s">
        <v>56</v>
      </c>
      <c r="K138" t="s">
        <v>42</v>
      </c>
      <c r="L138" t="s">
        <v>605</v>
      </c>
      <c r="M138" t="s">
        <v>606</v>
      </c>
      <c r="N138" t="s">
        <v>45</v>
      </c>
      <c r="O138" t="s">
        <v>46</v>
      </c>
      <c r="P138" t="s">
        <v>47</v>
      </c>
      <c r="Q138" t="s">
        <v>70</v>
      </c>
      <c r="R138" t="s">
        <v>70</v>
      </c>
      <c r="S138" t="s">
        <v>70</v>
      </c>
      <c r="T138" t="s">
        <v>49</v>
      </c>
      <c r="U138" s="4" t="s">
        <v>607</v>
      </c>
      <c r="V138" t="s">
        <v>72</v>
      </c>
      <c r="W138" s="4" t="s">
        <v>397</v>
      </c>
      <c r="X138" t="s">
        <v>53</v>
      </c>
      <c r="Y138" t="s">
        <v>53</v>
      </c>
      <c r="Z138" t="s">
        <v>53</v>
      </c>
      <c r="AA138" t="s">
        <v>53</v>
      </c>
      <c r="AB138" t="s">
        <v>53</v>
      </c>
      <c r="AC138" t="s">
        <v>53</v>
      </c>
      <c r="AD138" t="s">
        <v>35</v>
      </c>
      <c r="AE138" t="s">
        <v>53</v>
      </c>
    </row>
    <row r="139" spans="1:31" x14ac:dyDescent="0.3">
      <c r="A139" t="s">
        <v>32</v>
      </c>
      <c r="B139" t="s">
        <v>33</v>
      </c>
      <c r="C139" t="s">
        <v>54</v>
      </c>
      <c r="D139" t="s">
        <v>35</v>
      </c>
      <c r="E139" t="s">
        <v>36</v>
      </c>
      <c r="F139" t="s">
        <v>37</v>
      </c>
      <c r="G139" t="s">
        <v>38</v>
      </c>
      <c r="H139" t="s">
        <v>39</v>
      </c>
      <c r="I139" t="s">
        <v>132</v>
      </c>
      <c r="J139" t="s">
        <v>133</v>
      </c>
      <c r="K139" t="s">
        <v>42</v>
      </c>
      <c r="L139" t="s">
        <v>608</v>
      </c>
      <c r="M139" t="s">
        <v>135</v>
      </c>
      <c r="N139" t="s">
        <v>45</v>
      </c>
      <c r="O139" t="s">
        <v>46</v>
      </c>
      <c r="P139" t="s">
        <v>47</v>
      </c>
      <c r="Q139" t="s">
        <v>136</v>
      </c>
      <c r="R139" t="s">
        <v>136</v>
      </c>
      <c r="S139" t="s">
        <v>136</v>
      </c>
      <c r="T139" t="s">
        <v>49</v>
      </c>
      <c r="U139" s="4" t="s">
        <v>609</v>
      </c>
      <c r="V139" t="s">
        <v>51</v>
      </c>
      <c r="W139" s="4" t="s">
        <v>610</v>
      </c>
      <c r="X139" t="s">
        <v>53</v>
      </c>
      <c r="Y139" t="s">
        <v>53</v>
      </c>
      <c r="Z139" t="s">
        <v>53</v>
      </c>
      <c r="AA139" t="s">
        <v>53</v>
      </c>
      <c r="AB139" t="s">
        <v>53</v>
      </c>
      <c r="AC139" t="s">
        <v>53</v>
      </c>
      <c r="AD139" t="s">
        <v>35</v>
      </c>
      <c r="AE139" t="s">
        <v>53</v>
      </c>
    </row>
    <row r="140" spans="1:31" x14ac:dyDescent="0.3">
      <c r="A140" t="s">
        <v>32</v>
      </c>
      <c r="B140" t="s">
        <v>33</v>
      </c>
      <c r="C140" t="s">
        <v>54</v>
      </c>
      <c r="D140" t="s">
        <v>35</v>
      </c>
      <c r="E140" t="s">
        <v>36</v>
      </c>
      <c r="F140" t="s">
        <v>37</v>
      </c>
      <c r="G140" t="s">
        <v>38</v>
      </c>
      <c r="H140" t="s">
        <v>39</v>
      </c>
      <c r="I140" t="s">
        <v>40</v>
      </c>
      <c r="J140" t="s">
        <v>41</v>
      </c>
      <c r="K140" t="s">
        <v>42</v>
      </c>
      <c r="L140" t="s">
        <v>611</v>
      </c>
      <c r="M140" t="s">
        <v>612</v>
      </c>
      <c r="N140" t="s">
        <v>45</v>
      </c>
      <c r="O140" t="s">
        <v>46</v>
      </c>
      <c r="P140" t="s">
        <v>47</v>
      </c>
      <c r="Q140" t="s">
        <v>613</v>
      </c>
      <c r="R140" t="s">
        <v>613</v>
      </c>
      <c r="S140" t="s">
        <v>613</v>
      </c>
      <c r="T140" t="s">
        <v>49</v>
      </c>
      <c r="U140" s="4" t="s">
        <v>614</v>
      </c>
      <c r="V140" t="s">
        <v>51</v>
      </c>
      <c r="W140" s="4" t="s">
        <v>615</v>
      </c>
      <c r="X140" t="s">
        <v>53</v>
      </c>
      <c r="Y140" t="s">
        <v>53</v>
      </c>
      <c r="Z140" t="s">
        <v>53</v>
      </c>
      <c r="AA140" t="s">
        <v>53</v>
      </c>
      <c r="AB140" t="s">
        <v>53</v>
      </c>
      <c r="AC140" t="s">
        <v>53</v>
      </c>
      <c r="AD140" t="s">
        <v>35</v>
      </c>
      <c r="AE140" t="s">
        <v>53</v>
      </c>
    </row>
    <row r="141" spans="1:31" x14ac:dyDescent="0.3">
      <c r="A141" t="s">
        <v>32</v>
      </c>
      <c r="B141" t="s">
        <v>33</v>
      </c>
      <c r="C141" t="s">
        <v>54</v>
      </c>
      <c r="D141" t="s">
        <v>35</v>
      </c>
      <c r="E141" t="s">
        <v>36</v>
      </c>
      <c r="F141" t="s">
        <v>37</v>
      </c>
      <c r="G141" t="s">
        <v>38</v>
      </c>
      <c r="H141" t="s">
        <v>39</v>
      </c>
      <c r="I141" t="s">
        <v>55</v>
      </c>
      <c r="J141" t="s">
        <v>56</v>
      </c>
      <c r="K141" t="s">
        <v>42</v>
      </c>
      <c r="L141" t="s">
        <v>616</v>
      </c>
      <c r="M141" t="s">
        <v>617</v>
      </c>
      <c r="N141" t="s">
        <v>45</v>
      </c>
      <c r="O141" t="s">
        <v>46</v>
      </c>
      <c r="P141" t="s">
        <v>47</v>
      </c>
      <c r="Q141" t="s">
        <v>111</v>
      </c>
      <c r="R141" t="s">
        <v>111</v>
      </c>
      <c r="S141" t="s">
        <v>111</v>
      </c>
      <c r="T141" t="s">
        <v>49</v>
      </c>
      <c r="U141" s="4" t="s">
        <v>618</v>
      </c>
      <c r="V141" t="s">
        <v>51</v>
      </c>
      <c r="W141" s="4" t="s">
        <v>619</v>
      </c>
      <c r="X141" t="s">
        <v>53</v>
      </c>
      <c r="Y141" t="s">
        <v>53</v>
      </c>
      <c r="Z141" t="s">
        <v>53</v>
      </c>
      <c r="AA141" t="s">
        <v>53</v>
      </c>
      <c r="AB141" t="s">
        <v>53</v>
      </c>
      <c r="AC141" t="s">
        <v>53</v>
      </c>
      <c r="AD141" t="s">
        <v>35</v>
      </c>
      <c r="AE141" t="s">
        <v>53</v>
      </c>
    </row>
    <row r="142" spans="1:31" x14ac:dyDescent="0.3">
      <c r="A142" t="s">
        <v>32</v>
      </c>
      <c r="B142" t="s">
        <v>33</v>
      </c>
      <c r="C142" t="s">
        <v>54</v>
      </c>
      <c r="D142" t="s">
        <v>35</v>
      </c>
      <c r="E142" t="s">
        <v>36</v>
      </c>
      <c r="F142" t="s">
        <v>37</v>
      </c>
      <c r="G142" t="s">
        <v>38</v>
      </c>
      <c r="H142" t="s">
        <v>39</v>
      </c>
      <c r="I142" t="s">
        <v>40</v>
      </c>
      <c r="J142" t="s">
        <v>41</v>
      </c>
      <c r="K142" t="s">
        <v>42</v>
      </c>
      <c r="L142" t="s">
        <v>620</v>
      </c>
      <c r="M142" t="s">
        <v>621</v>
      </c>
      <c r="N142" t="s">
        <v>45</v>
      </c>
      <c r="O142" t="s">
        <v>46</v>
      </c>
      <c r="P142" t="s">
        <v>47</v>
      </c>
      <c r="Q142" t="s">
        <v>622</v>
      </c>
      <c r="R142" t="s">
        <v>622</v>
      </c>
      <c r="S142" t="s">
        <v>622</v>
      </c>
      <c r="T142" t="s">
        <v>49</v>
      </c>
      <c r="U142" s="4" t="s">
        <v>623</v>
      </c>
      <c r="V142" t="s">
        <v>87</v>
      </c>
      <c r="W142" s="4" t="s">
        <v>624</v>
      </c>
      <c r="X142" t="s">
        <v>53</v>
      </c>
      <c r="Y142" t="s">
        <v>53</v>
      </c>
      <c r="Z142" t="s">
        <v>53</v>
      </c>
      <c r="AA142" t="s">
        <v>53</v>
      </c>
      <c r="AB142" t="s">
        <v>53</v>
      </c>
      <c r="AC142" t="s">
        <v>53</v>
      </c>
      <c r="AD142" t="s">
        <v>35</v>
      </c>
      <c r="AE142" t="s">
        <v>53</v>
      </c>
    </row>
    <row r="143" spans="1:31" x14ac:dyDescent="0.3">
      <c r="A143" t="s">
        <v>32</v>
      </c>
      <c r="B143" t="s">
        <v>33</v>
      </c>
      <c r="C143" t="s">
        <v>80</v>
      </c>
      <c r="D143" t="s">
        <v>35</v>
      </c>
      <c r="E143" t="s">
        <v>36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43</v>
      </c>
      <c r="M143" t="s">
        <v>44</v>
      </c>
      <c r="N143" t="s">
        <v>45</v>
      </c>
      <c r="O143" t="s">
        <v>46</v>
      </c>
      <c r="P143" t="s">
        <v>47</v>
      </c>
      <c r="Q143" t="s">
        <v>48</v>
      </c>
      <c r="R143" t="s">
        <v>48</v>
      </c>
      <c r="S143" t="s">
        <v>48</v>
      </c>
      <c r="T143" t="s">
        <v>49</v>
      </c>
      <c r="U143" s="4" t="s">
        <v>50</v>
      </c>
      <c r="V143" t="s">
        <v>51</v>
      </c>
      <c r="W143" s="4" t="s">
        <v>52</v>
      </c>
      <c r="X143" t="s">
        <v>53</v>
      </c>
      <c r="Y143" t="s">
        <v>53</v>
      </c>
      <c r="Z143" t="s">
        <v>53</v>
      </c>
      <c r="AA143" t="s">
        <v>53</v>
      </c>
      <c r="AB143" t="s">
        <v>53</v>
      </c>
      <c r="AC143" t="s">
        <v>53</v>
      </c>
      <c r="AD143" t="s">
        <v>35</v>
      </c>
      <c r="AE143" t="s">
        <v>53</v>
      </c>
    </row>
    <row r="144" spans="1:31" x14ac:dyDescent="0.3">
      <c r="A144" t="s">
        <v>32</v>
      </c>
      <c r="B144" t="s">
        <v>33</v>
      </c>
      <c r="C144" t="s">
        <v>74</v>
      </c>
      <c r="D144" t="s">
        <v>35</v>
      </c>
      <c r="E144" t="s">
        <v>36</v>
      </c>
      <c r="F144" t="s">
        <v>37</v>
      </c>
      <c r="G144" t="s">
        <v>38</v>
      </c>
      <c r="H144" t="s">
        <v>39</v>
      </c>
      <c r="I144" t="s">
        <v>55</v>
      </c>
      <c r="J144" t="s">
        <v>56</v>
      </c>
      <c r="K144" t="s">
        <v>42</v>
      </c>
      <c r="L144" t="s">
        <v>625</v>
      </c>
      <c r="M144" t="s">
        <v>488</v>
      </c>
      <c r="N144" t="s">
        <v>45</v>
      </c>
      <c r="O144" t="s">
        <v>46</v>
      </c>
      <c r="P144" t="s">
        <v>47</v>
      </c>
      <c r="Q144" t="s">
        <v>77</v>
      </c>
      <c r="R144" t="s">
        <v>77</v>
      </c>
      <c r="S144" t="s">
        <v>77</v>
      </c>
      <c r="T144" t="s">
        <v>49</v>
      </c>
      <c r="U144" s="4" t="s">
        <v>446</v>
      </c>
      <c r="V144" t="s">
        <v>107</v>
      </c>
      <c r="W144" s="4" t="s">
        <v>626</v>
      </c>
      <c r="X144" t="s">
        <v>53</v>
      </c>
      <c r="Y144" t="s">
        <v>53</v>
      </c>
      <c r="Z144" t="s">
        <v>53</v>
      </c>
      <c r="AA144" t="s">
        <v>53</v>
      </c>
      <c r="AB144" t="s">
        <v>53</v>
      </c>
      <c r="AC144" t="s">
        <v>53</v>
      </c>
      <c r="AD144" t="s">
        <v>35</v>
      </c>
      <c r="AE144" t="s">
        <v>53</v>
      </c>
    </row>
    <row r="145" spans="1:31" x14ac:dyDescent="0.3">
      <c r="A145" t="s">
        <v>32</v>
      </c>
      <c r="B145" t="s">
        <v>33</v>
      </c>
      <c r="C145" t="s">
        <v>54</v>
      </c>
      <c r="D145" t="s">
        <v>35</v>
      </c>
      <c r="E145" t="s">
        <v>36</v>
      </c>
      <c r="F145" t="s">
        <v>37</v>
      </c>
      <c r="G145" t="s">
        <v>38</v>
      </c>
      <c r="H145" t="s">
        <v>39</v>
      </c>
      <c r="I145" t="s">
        <v>55</v>
      </c>
      <c r="J145" t="s">
        <v>56</v>
      </c>
      <c r="K145" t="s">
        <v>42</v>
      </c>
      <c r="L145" t="s">
        <v>627</v>
      </c>
      <c r="M145" t="s">
        <v>628</v>
      </c>
      <c r="N145" t="s">
        <v>45</v>
      </c>
      <c r="O145" t="s">
        <v>46</v>
      </c>
      <c r="P145" t="s">
        <v>47</v>
      </c>
      <c r="Q145" t="s">
        <v>154</v>
      </c>
      <c r="R145" t="s">
        <v>154</v>
      </c>
      <c r="S145" t="s">
        <v>154</v>
      </c>
      <c r="T145" t="s">
        <v>49</v>
      </c>
      <c r="U145" s="4" t="s">
        <v>629</v>
      </c>
      <c r="V145" t="s">
        <v>51</v>
      </c>
      <c r="W145" s="4" t="s">
        <v>630</v>
      </c>
      <c r="X145" t="s">
        <v>53</v>
      </c>
      <c r="Y145" t="s">
        <v>53</v>
      </c>
      <c r="Z145" t="s">
        <v>53</v>
      </c>
      <c r="AA145" t="s">
        <v>53</v>
      </c>
      <c r="AB145" t="s">
        <v>53</v>
      </c>
      <c r="AC145" t="s">
        <v>53</v>
      </c>
      <c r="AD145" t="s">
        <v>35</v>
      </c>
      <c r="AE145" t="s">
        <v>53</v>
      </c>
    </row>
    <row r="146" spans="1:31" x14ac:dyDescent="0.3">
      <c r="A146" t="s">
        <v>32</v>
      </c>
      <c r="B146" t="s">
        <v>33</v>
      </c>
      <c r="C146" t="s">
        <v>54</v>
      </c>
      <c r="D146" t="s">
        <v>35</v>
      </c>
      <c r="E146" t="s">
        <v>36</v>
      </c>
      <c r="F146" t="s">
        <v>37</v>
      </c>
      <c r="G146" t="s">
        <v>38</v>
      </c>
      <c r="H146" t="s">
        <v>39</v>
      </c>
      <c r="I146" t="s">
        <v>55</v>
      </c>
      <c r="J146" t="s">
        <v>56</v>
      </c>
      <c r="K146" t="s">
        <v>42</v>
      </c>
      <c r="L146" t="s">
        <v>631</v>
      </c>
      <c r="M146" t="s">
        <v>632</v>
      </c>
      <c r="N146" t="s">
        <v>45</v>
      </c>
      <c r="O146" t="s">
        <v>46</v>
      </c>
      <c r="P146" t="s">
        <v>47</v>
      </c>
      <c r="Q146" t="s">
        <v>70</v>
      </c>
      <c r="R146" t="s">
        <v>70</v>
      </c>
      <c r="S146" t="s">
        <v>70</v>
      </c>
      <c r="T146" t="s">
        <v>49</v>
      </c>
      <c r="U146" s="4" t="s">
        <v>633</v>
      </c>
      <c r="V146" t="s">
        <v>66</v>
      </c>
      <c r="W146" s="4" t="s">
        <v>634</v>
      </c>
      <c r="X146" t="s">
        <v>53</v>
      </c>
      <c r="Y146" t="s">
        <v>53</v>
      </c>
      <c r="Z146" t="s">
        <v>53</v>
      </c>
      <c r="AA146" t="s">
        <v>53</v>
      </c>
      <c r="AB146" t="s">
        <v>53</v>
      </c>
      <c r="AC146" t="s">
        <v>53</v>
      </c>
      <c r="AD146" t="s">
        <v>35</v>
      </c>
      <c r="AE146" t="s">
        <v>53</v>
      </c>
    </row>
    <row r="147" spans="1:31" x14ac:dyDescent="0.3">
      <c r="A147" t="s">
        <v>32</v>
      </c>
      <c r="B147" t="s">
        <v>33</v>
      </c>
      <c r="C147" t="s">
        <v>54</v>
      </c>
      <c r="D147" t="s">
        <v>35</v>
      </c>
      <c r="E147" t="s">
        <v>36</v>
      </c>
      <c r="F147" t="s">
        <v>37</v>
      </c>
      <c r="G147" t="s">
        <v>38</v>
      </c>
      <c r="H147" t="s">
        <v>39</v>
      </c>
      <c r="I147" t="s">
        <v>55</v>
      </c>
      <c r="J147" t="s">
        <v>56</v>
      </c>
      <c r="K147" t="s">
        <v>42</v>
      </c>
      <c r="L147" t="s">
        <v>635</v>
      </c>
      <c r="M147" t="s">
        <v>636</v>
      </c>
      <c r="N147" t="s">
        <v>45</v>
      </c>
      <c r="O147" t="s">
        <v>46</v>
      </c>
      <c r="P147" t="s">
        <v>47</v>
      </c>
      <c r="Q147" t="s">
        <v>368</v>
      </c>
      <c r="R147" t="s">
        <v>368</v>
      </c>
      <c r="S147" t="s">
        <v>368</v>
      </c>
      <c r="T147" t="s">
        <v>49</v>
      </c>
      <c r="U147" s="4" t="s">
        <v>637</v>
      </c>
      <c r="V147" t="s">
        <v>51</v>
      </c>
      <c r="W147" s="4" t="s">
        <v>638</v>
      </c>
      <c r="X147" t="s">
        <v>53</v>
      </c>
      <c r="Y147" t="s">
        <v>53</v>
      </c>
      <c r="Z147" t="s">
        <v>53</v>
      </c>
      <c r="AA147" t="s">
        <v>53</v>
      </c>
      <c r="AB147" t="s">
        <v>53</v>
      </c>
      <c r="AC147" t="s">
        <v>53</v>
      </c>
      <c r="AD147" t="s">
        <v>35</v>
      </c>
      <c r="AE147" t="s">
        <v>53</v>
      </c>
    </row>
    <row r="148" spans="1:31" x14ac:dyDescent="0.3">
      <c r="A148" t="s">
        <v>32</v>
      </c>
      <c r="B148" t="s">
        <v>33</v>
      </c>
      <c r="C148" t="s">
        <v>74</v>
      </c>
      <c r="D148" t="s">
        <v>35</v>
      </c>
      <c r="E148" t="s">
        <v>36</v>
      </c>
      <c r="F148" t="s">
        <v>37</v>
      </c>
      <c r="G148" t="s">
        <v>38</v>
      </c>
      <c r="H148" t="s">
        <v>39</v>
      </c>
      <c r="I148" t="s">
        <v>55</v>
      </c>
      <c r="J148" t="s">
        <v>56</v>
      </c>
      <c r="K148" t="s">
        <v>42</v>
      </c>
      <c r="L148" t="s">
        <v>639</v>
      </c>
      <c r="M148" t="s">
        <v>640</v>
      </c>
      <c r="N148" t="s">
        <v>45</v>
      </c>
      <c r="O148" t="s">
        <v>46</v>
      </c>
      <c r="P148" t="s">
        <v>47</v>
      </c>
      <c r="Q148" t="s">
        <v>641</v>
      </c>
      <c r="R148" t="s">
        <v>641</v>
      </c>
      <c r="S148" t="s">
        <v>641</v>
      </c>
      <c r="T148" t="s">
        <v>49</v>
      </c>
      <c r="U148" s="4" t="s">
        <v>642</v>
      </c>
      <c r="V148" t="s">
        <v>51</v>
      </c>
      <c r="W148" s="4" t="s">
        <v>643</v>
      </c>
      <c r="X148" t="s">
        <v>53</v>
      </c>
      <c r="Y148" t="s">
        <v>53</v>
      </c>
      <c r="Z148" t="s">
        <v>53</v>
      </c>
      <c r="AA148" t="s">
        <v>53</v>
      </c>
      <c r="AB148" t="s">
        <v>53</v>
      </c>
      <c r="AC148" t="s">
        <v>53</v>
      </c>
      <c r="AD148" t="s">
        <v>35</v>
      </c>
      <c r="AE148" t="s">
        <v>53</v>
      </c>
    </row>
    <row r="149" spans="1:31" x14ac:dyDescent="0.3">
      <c r="A149" t="s">
        <v>32</v>
      </c>
      <c r="B149" t="s">
        <v>33</v>
      </c>
      <c r="C149" t="s">
        <v>54</v>
      </c>
      <c r="D149" t="s">
        <v>35</v>
      </c>
      <c r="E149" t="s">
        <v>36</v>
      </c>
      <c r="F149" t="s">
        <v>37</v>
      </c>
      <c r="G149" t="s">
        <v>38</v>
      </c>
      <c r="H149" t="s">
        <v>39</v>
      </c>
      <c r="I149" t="s">
        <v>55</v>
      </c>
      <c r="J149" t="s">
        <v>56</v>
      </c>
      <c r="K149" t="s">
        <v>42</v>
      </c>
      <c r="L149" t="s">
        <v>644</v>
      </c>
      <c r="M149" t="s">
        <v>645</v>
      </c>
      <c r="N149" t="s">
        <v>45</v>
      </c>
      <c r="O149" t="s">
        <v>46</v>
      </c>
      <c r="P149" t="s">
        <v>47</v>
      </c>
      <c r="Q149" t="s">
        <v>189</v>
      </c>
      <c r="R149" t="s">
        <v>189</v>
      </c>
      <c r="S149" t="s">
        <v>189</v>
      </c>
      <c r="T149" t="s">
        <v>49</v>
      </c>
      <c r="U149" s="4" t="s">
        <v>646</v>
      </c>
      <c r="V149" t="s">
        <v>66</v>
      </c>
      <c r="W149" s="4" t="s">
        <v>293</v>
      </c>
      <c r="X149" t="s">
        <v>53</v>
      </c>
      <c r="Y149" t="s">
        <v>53</v>
      </c>
      <c r="Z149" t="s">
        <v>53</v>
      </c>
      <c r="AA149" t="s">
        <v>53</v>
      </c>
      <c r="AB149" t="s">
        <v>53</v>
      </c>
      <c r="AC149" t="s">
        <v>53</v>
      </c>
      <c r="AD149" t="s">
        <v>35</v>
      </c>
      <c r="AE149" t="s">
        <v>53</v>
      </c>
    </row>
    <row r="150" spans="1:31" x14ac:dyDescent="0.3">
      <c r="A150" t="s">
        <v>32</v>
      </c>
      <c r="B150" t="s">
        <v>33</v>
      </c>
      <c r="C150" t="s">
        <v>74</v>
      </c>
      <c r="D150" t="s">
        <v>35</v>
      </c>
      <c r="E150" t="s">
        <v>36</v>
      </c>
      <c r="F150" t="s">
        <v>37</v>
      </c>
      <c r="G150" t="s">
        <v>38</v>
      </c>
      <c r="H150" t="s">
        <v>39</v>
      </c>
      <c r="I150" t="s">
        <v>55</v>
      </c>
      <c r="J150" t="s">
        <v>56</v>
      </c>
      <c r="K150" t="s">
        <v>42</v>
      </c>
      <c r="L150" t="s">
        <v>647</v>
      </c>
      <c r="M150" t="s">
        <v>552</v>
      </c>
      <c r="N150" t="s">
        <v>45</v>
      </c>
      <c r="O150" t="s">
        <v>46</v>
      </c>
      <c r="P150" t="s">
        <v>47</v>
      </c>
      <c r="Q150" t="s">
        <v>338</v>
      </c>
      <c r="R150" t="s">
        <v>338</v>
      </c>
      <c r="S150" t="s">
        <v>338</v>
      </c>
      <c r="T150" t="s">
        <v>49</v>
      </c>
      <c r="U150" s="4" t="s">
        <v>648</v>
      </c>
      <c r="V150" t="s">
        <v>51</v>
      </c>
      <c r="W150" s="4" t="s">
        <v>649</v>
      </c>
      <c r="X150" t="s">
        <v>53</v>
      </c>
      <c r="Y150" t="s">
        <v>53</v>
      </c>
      <c r="Z150" t="s">
        <v>53</v>
      </c>
      <c r="AA150" t="s">
        <v>53</v>
      </c>
      <c r="AB150" t="s">
        <v>53</v>
      </c>
      <c r="AC150" t="s">
        <v>53</v>
      </c>
      <c r="AD150" t="s">
        <v>35</v>
      </c>
      <c r="AE150" t="s">
        <v>53</v>
      </c>
    </row>
    <row r="151" spans="1:31" x14ac:dyDescent="0.3">
      <c r="A151" t="s">
        <v>32</v>
      </c>
      <c r="B151" t="s">
        <v>33</v>
      </c>
      <c r="C151" t="s">
        <v>54</v>
      </c>
      <c r="D151" t="s">
        <v>35</v>
      </c>
      <c r="E151" t="s">
        <v>36</v>
      </c>
      <c r="F151" t="s">
        <v>37</v>
      </c>
      <c r="G151" t="s">
        <v>38</v>
      </c>
      <c r="H151" t="s">
        <v>39</v>
      </c>
      <c r="I151" t="s">
        <v>55</v>
      </c>
      <c r="J151" t="s">
        <v>56</v>
      </c>
      <c r="K151" t="s">
        <v>42</v>
      </c>
      <c r="L151" t="s">
        <v>650</v>
      </c>
      <c r="M151" t="s">
        <v>334</v>
      </c>
      <c r="N151" t="s">
        <v>45</v>
      </c>
      <c r="O151" t="s">
        <v>46</v>
      </c>
      <c r="P151" t="s">
        <v>47</v>
      </c>
      <c r="Q151" t="s">
        <v>111</v>
      </c>
      <c r="R151" t="s">
        <v>111</v>
      </c>
      <c r="S151" t="s">
        <v>111</v>
      </c>
      <c r="T151" t="s">
        <v>49</v>
      </c>
      <c r="U151" s="4" t="s">
        <v>651</v>
      </c>
      <c r="V151" t="s">
        <v>107</v>
      </c>
      <c r="W151" s="4" t="s">
        <v>652</v>
      </c>
      <c r="X151" t="s">
        <v>53</v>
      </c>
      <c r="Y151" t="s">
        <v>53</v>
      </c>
      <c r="Z151" t="s">
        <v>53</v>
      </c>
      <c r="AA151" t="s">
        <v>53</v>
      </c>
      <c r="AB151" t="s">
        <v>53</v>
      </c>
      <c r="AC151" t="s">
        <v>53</v>
      </c>
      <c r="AD151" t="s">
        <v>35</v>
      </c>
      <c r="AE151" t="s">
        <v>53</v>
      </c>
    </row>
    <row r="152" spans="1:31" x14ac:dyDescent="0.3">
      <c r="A152" t="s">
        <v>32</v>
      </c>
      <c r="B152" t="s">
        <v>33</v>
      </c>
      <c r="C152" t="s">
        <v>80</v>
      </c>
      <c r="D152" t="s">
        <v>35</v>
      </c>
      <c r="E152" t="s">
        <v>36</v>
      </c>
      <c r="F152" t="s">
        <v>37</v>
      </c>
      <c r="G152" t="s">
        <v>38</v>
      </c>
      <c r="H152" t="s">
        <v>39</v>
      </c>
      <c r="I152" t="s">
        <v>414</v>
      </c>
      <c r="J152" t="s">
        <v>415</v>
      </c>
      <c r="K152" t="s">
        <v>42</v>
      </c>
      <c r="L152" t="s">
        <v>653</v>
      </c>
      <c r="M152" t="s">
        <v>654</v>
      </c>
      <c r="N152" t="s">
        <v>45</v>
      </c>
      <c r="O152" t="s">
        <v>46</v>
      </c>
      <c r="P152" t="s">
        <v>47</v>
      </c>
      <c r="Q152" t="s">
        <v>54</v>
      </c>
      <c r="R152" t="s">
        <v>54</v>
      </c>
      <c r="S152" t="s">
        <v>54</v>
      </c>
      <c r="T152" t="s">
        <v>49</v>
      </c>
      <c r="U152" s="4" t="s">
        <v>655</v>
      </c>
      <c r="V152" t="s">
        <v>87</v>
      </c>
      <c r="W152" s="4" t="s">
        <v>656</v>
      </c>
      <c r="X152" t="s">
        <v>53</v>
      </c>
      <c r="Y152" t="s">
        <v>53</v>
      </c>
      <c r="Z152" t="s">
        <v>53</v>
      </c>
      <c r="AA152" t="s">
        <v>53</v>
      </c>
      <c r="AB152" t="s">
        <v>53</v>
      </c>
      <c r="AC152" t="s">
        <v>53</v>
      </c>
      <c r="AD152" t="s">
        <v>35</v>
      </c>
      <c r="AE152" t="s">
        <v>53</v>
      </c>
    </row>
    <row r="153" spans="1:31" x14ac:dyDescent="0.3">
      <c r="A153" t="s">
        <v>32</v>
      </c>
      <c r="B153" t="s">
        <v>33</v>
      </c>
      <c r="C153" t="s">
        <v>34</v>
      </c>
      <c r="D153" t="s">
        <v>35</v>
      </c>
      <c r="E153" t="s">
        <v>36</v>
      </c>
      <c r="F153" t="s">
        <v>37</v>
      </c>
      <c r="G153" t="s">
        <v>38</v>
      </c>
      <c r="H153" t="s">
        <v>39</v>
      </c>
      <c r="I153" t="s">
        <v>101</v>
      </c>
      <c r="J153" t="s">
        <v>102</v>
      </c>
      <c r="K153" t="s">
        <v>42</v>
      </c>
      <c r="L153" t="s">
        <v>657</v>
      </c>
      <c r="M153" t="s">
        <v>658</v>
      </c>
      <c r="N153" t="s">
        <v>45</v>
      </c>
      <c r="O153" t="s">
        <v>46</v>
      </c>
      <c r="P153" t="s">
        <v>47</v>
      </c>
      <c r="Q153" t="s">
        <v>274</v>
      </c>
      <c r="R153" t="s">
        <v>274</v>
      </c>
      <c r="S153" t="s">
        <v>274</v>
      </c>
      <c r="T153" t="s">
        <v>49</v>
      </c>
      <c r="U153" s="4" t="s">
        <v>659</v>
      </c>
      <c r="V153" t="s">
        <v>107</v>
      </c>
      <c r="W153" s="4" t="s">
        <v>660</v>
      </c>
      <c r="X153" t="s">
        <v>53</v>
      </c>
      <c r="Y153" t="s">
        <v>53</v>
      </c>
      <c r="Z153" t="s">
        <v>53</v>
      </c>
      <c r="AA153" t="s">
        <v>53</v>
      </c>
      <c r="AB153" t="s">
        <v>53</v>
      </c>
      <c r="AC153" t="s">
        <v>53</v>
      </c>
      <c r="AD153" t="s">
        <v>35</v>
      </c>
      <c r="AE153" t="s">
        <v>53</v>
      </c>
    </row>
    <row r="154" spans="1:31" x14ac:dyDescent="0.3">
      <c r="A154" t="s">
        <v>32</v>
      </c>
      <c r="B154" t="s">
        <v>33</v>
      </c>
      <c r="C154" t="s">
        <v>54</v>
      </c>
      <c r="D154" t="s">
        <v>35</v>
      </c>
      <c r="E154" t="s">
        <v>36</v>
      </c>
      <c r="F154" t="s">
        <v>37</v>
      </c>
      <c r="G154" t="s">
        <v>38</v>
      </c>
      <c r="H154" t="s">
        <v>39</v>
      </c>
      <c r="I154" t="s">
        <v>55</v>
      </c>
      <c r="J154" t="s">
        <v>56</v>
      </c>
      <c r="K154" t="s">
        <v>42</v>
      </c>
      <c r="L154" t="s">
        <v>661</v>
      </c>
      <c r="M154" t="s">
        <v>536</v>
      </c>
      <c r="N154" t="s">
        <v>45</v>
      </c>
      <c r="O154" t="s">
        <v>46</v>
      </c>
      <c r="P154" t="s">
        <v>47</v>
      </c>
      <c r="Q154" t="s">
        <v>441</v>
      </c>
      <c r="R154" t="s">
        <v>441</v>
      </c>
      <c r="S154" t="s">
        <v>441</v>
      </c>
      <c r="T154" t="s">
        <v>49</v>
      </c>
      <c r="U154" s="4" t="s">
        <v>662</v>
      </c>
      <c r="V154" t="s">
        <v>51</v>
      </c>
      <c r="W154" s="4" t="s">
        <v>663</v>
      </c>
      <c r="X154" t="s">
        <v>53</v>
      </c>
      <c r="Y154" t="s">
        <v>53</v>
      </c>
      <c r="Z154" t="s">
        <v>53</v>
      </c>
      <c r="AA154" t="s">
        <v>53</v>
      </c>
      <c r="AB154" t="s">
        <v>53</v>
      </c>
      <c r="AC154" t="s">
        <v>53</v>
      </c>
      <c r="AD154" t="s">
        <v>35</v>
      </c>
      <c r="AE154" t="s">
        <v>53</v>
      </c>
    </row>
    <row r="155" spans="1:31" x14ac:dyDescent="0.3">
      <c r="A155" t="s">
        <v>32</v>
      </c>
      <c r="B155" t="s">
        <v>33</v>
      </c>
      <c r="C155" t="s">
        <v>54</v>
      </c>
      <c r="D155" t="s">
        <v>35</v>
      </c>
      <c r="E155" t="s">
        <v>36</v>
      </c>
      <c r="F155" t="s">
        <v>37</v>
      </c>
      <c r="G155" t="s">
        <v>38</v>
      </c>
      <c r="H155" t="s">
        <v>39</v>
      </c>
      <c r="I155" t="s">
        <v>132</v>
      </c>
      <c r="J155" t="s">
        <v>133</v>
      </c>
      <c r="K155" t="s">
        <v>42</v>
      </c>
      <c r="L155" t="s">
        <v>664</v>
      </c>
      <c r="M155" t="s">
        <v>665</v>
      </c>
      <c r="N155" t="s">
        <v>45</v>
      </c>
      <c r="O155" t="s">
        <v>46</v>
      </c>
      <c r="P155" t="s">
        <v>47</v>
      </c>
      <c r="Q155" t="s">
        <v>666</v>
      </c>
      <c r="R155" t="s">
        <v>666</v>
      </c>
      <c r="S155" t="s">
        <v>666</v>
      </c>
      <c r="T155" t="s">
        <v>49</v>
      </c>
      <c r="U155" s="4" t="s">
        <v>667</v>
      </c>
      <c r="V155" t="s">
        <v>87</v>
      </c>
      <c r="W155" s="4" t="s">
        <v>668</v>
      </c>
      <c r="X155" t="s">
        <v>53</v>
      </c>
      <c r="Y155" t="s">
        <v>53</v>
      </c>
      <c r="Z155" t="s">
        <v>53</v>
      </c>
      <c r="AA155" t="s">
        <v>53</v>
      </c>
      <c r="AB155" t="s">
        <v>53</v>
      </c>
      <c r="AC155" t="s">
        <v>53</v>
      </c>
      <c r="AD155" t="s">
        <v>35</v>
      </c>
      <c r="AE155" t="s">
        <v>53</v>
      </c>
    </row>
    <row r="156" spans="1:31" x14ac:dyDescent="0.3">
      <c r="A156" t="s">
        <v>32</v>
      </c>
      <c r="B156" t="s">
        <v>33</v>
      </c>
      <c r="C156" t="s">
        <v>54</v>
      </c>
      <c r="D156" t="s">
        <v>35</v>
      </c>
      <c r="E156" t="s">
        <v>36</v>
      </c>
      <c r="F156" t="s">
        <v>37</v>
      </c>
      <c r="G156" t="s">
        <v>38</v>
      </c>
      <c r="H156" t="s">
        <v>39</v>
      </c>
      <c r="I156" t="s">
        <v>55</v>
      </c>
      <c r="J156" t="s">
        <v>56</v>
      </c>
      <c r="K156" t="s">
        <v>42</v>
      </c>
      <c r="L156" t="s">
        <v>669</v>
      </c>
      <c r="M156" t="s">
        <v>670</v>
      </c>
      <c r="N156" t="s">
        <v>45</v>
      </c>
      <c r="O156" t="s">
        <v>46</v>
      </c>
      <c r="P156" t="s">
        <v>47</v>
      </c>
      <c r="Q156" t="s">
        <v>70</v>
      </c>
      <c r="R156" t="s">
        <v>70</v>
      </c>
      <c r="S156" t="s">
        <v>70</v>
      </c>
      <c r="T156" t="s">
        <v>49</v>
      </c>
      <c r="U156" s="4" t="s">
        <v>314</v>
      </c>
      <c r="V156" t="s">
        <v>66</v>
      </c>
      <c r="W156" s="4" t="s">
        <v>550</v>
      </c>
      <c r="X156" t="s">
        <v>53</v>
      </c>
      <c r="Y156" t="s">
        <v>53</v>
      </c>
      <c r="Z156" t="s">
        <v>53</v>
      </c>
      <c r="AA156" t="s">
        <v>53</v>
      </c>
      <c r="AB156" t="s">
        <v>53</v>
      </c>
      <c r="AC156" t="s">
        <v>53</v>
      </c>
      <c r="AD156" t="s">
        <v>35</v>
      </c>
      <c r="AE156" t="s">
        <v>53</v>
      </c>
    </row>
    <row r="157" spans="1:31" x14ac:dyDescent="0.3">
      <c r="A157" t="s">
        <v>32</v>
      </c>
      <c r="B157" t="s">
        <v>33</v>
      </c>
      <c r="C157" t="s">
        <v>34</v>
      </c>
      <c r="D157" t="s">
        <v>35</v>
      </c>
      <c r="E157" t="s">
        <v>36</v>
      </c>
      <c r="F157" t="s">
        <v>37</v>
      </c>
      <c r="G157" t="s">
        <v>38</v>
      </c>
      <c r="H157" t="s">
        <v>39</v>
      </c>
      <c r="I157" t="s">
        <v>40</v>
      </c>
      <c r="J157" t="s">
        <v>41</v>
      </c>
      <c r="K157" t="s">
        <v>42</v>
      </c>
      <c r="L157" t="s">
        <v>671</v>
      </c>
      <c r="M157" t="s">
        <v>672</v>
      </c>
      <c r="N157" t="s">
        <v>45</v>
      </c>
      <c r="O157" t="s">
        <v>46</v>
      </c>
      <c r="P157" t="s">
        <v>47</v>
      </c>
      <c r="Q157" t="s">
        <v>673</v>
      </c>
      <c r="R157" t="s">
        <v>673</v>
      </c>
      <c r="S157" t="s">
        <v>673</v>
      </c>
      <c r="T157" t="s">
        <v>49</v>
      </c>
      <c r="U157" s="4" t="s">
        <v>674</v>
      </c>
      <c r="V157" t="s">
        <v>107</v>
      </c>
      <c r="W157" s="4" t="s">
        <v>675</v>
      </c>
      <c r="X157" t="s">
        <v>53</v>
      </c>
      <c r="Y157" t="s">
        <v>53</v>
      </c>
      <c r="Z157" t="s">
        <v>53</v>
      </c>
      <c r="AA157" t="s">
        <v>53</v>
      </c>
      <c r="AB157" t="s">
        <v>53</v>
      </c>
      <c r="AC157" t="s">
        <v>53</v>
      </c>
      <c r="AD157" t="s">
        <v>35</v>
      </c>
      <c r="AE157" t="s">
        <v>53</v>
      </c>
    </row>
    <row r="158" spans="1:31" x14ac:dyDescent="0.3">
      <c r="A158" t="s">
        <v>32</v>
      </c>
      <c r="B158" t="s">
        <v>33</v>
      </c>
      <c r="C158" t="s">
        <v>74</v>
      </c>
      <c r="D158" t="s">
        <v>35</v>
      </c>
      <c r="E158" t="s">
        <v>36</v>
      </c>
      <c r="F158" t="s">
        <v>37</v>
      </c>
      <c r="G158" t="s">
        <v>38</v>
      </c>
      <c r="H158" t="s">
        <v>39</v>
      </c>
      <c r="I158" t="s">
        <v>118</v>
      </c>
      <c r="J158" t="s">
        <v>119</v>
      </c>
      <c r="K158" t="s">
        <v>42</v>
      </c>
      <c r="L158" t="s">
        <v>676</v>
      </c>
      <c r="M158" t="s">
        <v>677</v>
      </c>
      <c r="N158" t="s">
        <v>45</v>
      </c>
      <c r="O158" t="s">
        <v>46</v>
      </c>
      <c r="P158" t="s">
        <v>47</v>
      </c>
      <c r="Q158" t="s">
        <v>678</v>
      </c>
      <c r="R158" t="s">
        <v>678</v>
      </c>
      <c r="S158" t="s">
        <v>678</v>
      </c>
      <c r="T158" t="s">
        <v>49</v>
      </c>
      <c r="U158" s="4" t="s">
        <v>679</v>
      </c>
      <c r="V158" t="s">
        <v>51</v>
      </c>
      <c r="W158" s="4" t="s">
        <v>680</v>
      </c>
      <c r="X158" t="s">
        <v>53</v>
      </c>
      <c r="Y158" t="s">
        <v>53</v>
      </c>
      <c r="Z158" t="s">
        <v>53</v>
      </c>
      <c r="AA158" t="s">
        <v>53</v>
      </c>
      <c r="AB158" t="s">
        <v>53</v>
      </c>
      <c r="AC158" t="s">
        <v>53</v>
      </c>
      <c r="AD158" t="s">
        <v>35</v>
      </c>
      <c r="AE158" t="s">
        <v>53</v>
      </c>
    </row>
    <row r="159" spans="1:31" x14ac:dyDescent="0.3">
      <c r="A159" t="s">
        <v>32</v>
      </c>
      <c r="B159" t="s">
        <v>33</v>
      </c>
      <c r="C159" t="s">
        <v>54</v>
      </c>
      <c r="D159" t="s">
        <v>35</v>
      </c>
      <c r="E159" t="s">
        <v>36</v>
      </c>
      <c r="F159" t="s">
        <v>37</v>
      </c>
      <c r="G159" t="s">
        <v>38</v>
      </c>
      <c r="H159" t="s">
        <v>39</v>
      </c>
      <c r="I159" t="s">
        <v>55</v>
      </c>
      <c r="J159" t="s">
        <v>56</v>
      </c>
      <c r="K159" t="s">
        <v>42</v>
      </c>
      <c r="L159" t="s">
        <v>681</v>
      </c>
      <c r="M159" t="s">
        <v>682</v>
      </c>
      <c r="N159" t="s">
        <v>45</v>
      </c>
      <c r="O159" t="s">
        <v>46</v>
      </c>
      <c r="P159" t="s">
        <v>47</v>
      </c>
      <c r="Q159" t="s">
        <v>111</v>
      </c>
      <c r="R159" t="s">
        <v>111</v>
      </c>
      <c r="S159" t="s">
        <v>111</v>
      </c>
      <c r="T159" t="s">
        <v>49</v>
      </c>
      <c r="U159" s="4" t="s">
        <v>683</v>
      </c>
      <c r="V159" t="s">
        <v>51</v>
      </c>
      <c r="W159" s="4" t="s">
        <v>684</v>
      </c>
      <c r="X159" t="s">
        <v>53</v>
      </c>
      <c r="Y159" t="s">
        <v>53</v>
      </c>
      <c r="Z159" t="s">
        <v>53</v>
      </c>
      <c r="AA159" t="s">
        <v>53</v>
      </c>
      <c r="AB159" t="s">
        <v>53</v>
      </c>
      <c r="AC159" t="s">
        <v>53</v>
      </c>
      <c r="AD159" t="s">
        <v>35</v>
      </c>
      <c r="AE159" t="s">
        <v>53</v>
      </c>
    </row>
    <row r="160" spans="1:31" x14ac:dyDescent="0.3">
      <c r="A160" t="s">
        <v>32</v>
      </c>
      <c r="B160" t="s">
        <v>33</v>
      </c>
      <c r="C160" t="s">
        <v>54</v>
      </c>
      <c r="D160" t="s">
        <v>35</v>
      </c>
      <c r="E160" t="s">
        <v>36</v>
      </c>
      <c r="F160" t="s">
        <v>37</v>
      </c>
      <c r="G160" t="s">
        <v>38</v>
      </c>
      <c r="H160" t="s">
        <v>39</v>
      </c>
      <c r="I160" t="s">
        <v>101</v>
      </c>
      <c r="J160" t="s">
        <v>102</v>
      </c>
      <c r="K160" t="s">
        <v>42</v>
      </c>
      <c r="L160" t="s">
        <v>685</v>
      </c>
      <c r="M160" t="s">
        <v>686</v>
      </c>
      <c r="N160" t="s">
        <v>45</v>
      </c>
      <c r="O160" t="s">
        <v>46</v>
      </c>
      <c r="P160" t="s">
        <v>47</v>
      </c>
      <c r="Q160" t="s">
        <v>687</v>
      </c>
      <c r="R160" t="s">
        <v>687</v>
      </c>
      <c r="S160" t="s">
        <v>687</v>
      </c>
      <c r="T160" t="s">
        <v>49</v>
      </c>
      <c r="U160" s="4" t="s">
        <v>688</v>
      </c>
      <c r="V160" t="s">
        <v>107</v>
      </c>
      <c r="W160" s="4" t="s">
        <v>689</v>
      </c>
      <c r="X160" t="s">
        <v>53</v>
      </c>
      <c r="Y160" t="s">
        <v>53</v>
      </c>
      <c r="Z160" t="s">
        <v>53</v>
      </c>
      <c r="AA160" t="s">
        <v>53</v>
      </c>
      <c r="AB160" t="s">
        <v>53</v>
      </c>
      <c r="AC160" t="s">
        <v>53</v>
      </c>
      <c r="AD160" t="s">
        <v>35</v>
      </c>
      <c r="AE160" t="s">
        <v>53</v>
      </c>
    </row>
    <row r="161" spans="1:31" x14ac:dyDescent="0.3">
      <c r="A161" t="s">
        <v>32</v>
      </c>
      <c r="B161" t="s">
        <v>33</v>
      </c>
      <c r="C161" t="s">
        <v>34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101</v>
      </c>
      <c r="J161" t="s">
        <v>102</v>
      </c>
      <c r="K161" t="s">
        <v>42</v>
      </c>
      <c r="L161" t="s">
        <v>690</v>
      </c>
      <c r="M161" t="s">
        <v>273</v>
      </c>
      <c r="N161" t="s">
        <v>45</v>
      </c>
      <c r="O161" t="s">
        <v>46</v>
      </c>
      <c r="P161" t="s">
        <v>47</v>
      </c>
      <c r="Q161" t="s">
        <v>274</v>
      </c>
      <c r="R161" t="s">
        <v>274</v>
      </c>
      <c r="S161" t="s">
        <v>274</v>
      </c>
      <c r="T161" t="s">
        <v>49</v>
      </c>
      <c r="U161" s="4" t="s">
        <v>691</v>
      </c>
      <c r="V161" t="s">
        <v>51</v>
      </c>
      <c r="W161" s="4" t="s">
        <v>692</v>
      </c>
      <c r="X161" t="s">
        <v>53</v>
      </c>
      <c r="Y161" t="s">
        <v>53</v>
      </c>
      <c r="Z161" t="s">
        <v>53</v>
      </c>
      <c r="AA161" t="s">
        <v>53</v>
      </c>
      <c r="AB161" t="s">
        <v>53</v>
      </c>
      <c r="AC161" t="s">
        <v>53</v>
      </c>
      <c r="AD161" t="s">
        <v>35</v>
      </c>
      <c r="AE161" t="s">
        <v>53</v>
      </c>
    </row>
    <row r="162" spans="1:31" x14ac:dyDescent="0.3">
      <c r="A162" t="s">
        <v>32</v>
      </c>
      <c r="B162" t="s">
        <v>33</v>
      </c>
      <c r="C162" t="s">
        <v>74</v>
      </c>
      <c r="D162" t="s">
        <v>35</v>
      </c>
      <c r="E162" t="s">
        <v>36</v>
      </c>
      <c r="F162" t="s">
        <v>37</v>
      </c>
      <c r="G162" t="s">
        <v>38</v>
      </c>
      <c r="H162" t="s">
        <v>39</v>
      </c>
      <c r="I162" t="s">
        <v>55</v>
      </c>
      <c r="J162" t="s">
        <v>56</v>
      </c>
      <c r="K162" t="s">
        <v>42</v>
      </c>
      <c r="L162" t="s">
        <v>693</v>
      </c>
      <c r="M162" t="s">
        <v>694</v>
      </c>
      <c r="N162" t="s">
        <v>45</v>
      </c>
      <c r="O162" t="s">
        <v>46</v>
      </c>
      <c r="P162" t="s">
        <v>47</v>
      </c>
      <c r="Q162" t="s">
        <v>695</v>
      </c>
      <c r="R162" t="s">
        <v>695</v>
      </c>
      <c r="S162" t="s">
        <v>695</v>
      </c>
      <c r="T162" t="s">
        <v>49</v>
      </c>
      <c r="U162" s="4" t="s">
        <v>696</v>
      </c>
      <c r="V162" t="s">
        <v>51</v>
      </c>
      <c r="W162" s="4" t="s">
        <v>697</v>
      </c>
      <c r="X162" t="s">
        <v>53</v>
      </c>
      <c r="Y162" t="s">
        <v>53</v>
      </c>
      <c r="Z162" t="s">
        <v>53</v>
      </c>
      <c r="AA162" t="s">
        <v>53</v>
      </c>
      <c r="AB162" t="s">
        <v>53</v>
      </c>
      <c r="AC162" t="s">
        <v>53</v>
      </c>
      <c r="AD162" t="s">
        <v>35</v>
      </c>
      <c r="AE162" t="s">
        <v>53</v>
      </c>
    </row>
    <row r="163" spans="1:31" x14ac:dyDescent="0.3">
      <c r="A163" t="s">
        <v>32</v>
      </c>
      <c r="B163" t="s">
        <v>33</v>
      </c>
      <c r="C163" t="s">
        <v>74</v>
      </c>
      <c r="D163" t="s">
        <v>35</v>
      </c>
      <c r="E163" t="s">
        <v>36</v>
      </c>
      <c r="F163" t="s">
        <v>37</v>
      </c>
      <c r="G163" t="s">
        <v>38</v>
      </c>
      <c r="H163" t="s">
        <v>39</v>
      </c>
      <c r="I163" t="s">
        <v>55</v>
      </c>
      <c r="J163" t="s">
        <v>56</v>
      </c>
      <c r="K163" t="s">
        <v>42</v>
      </c>
      <c r="L163" t="s">
        <v>698</v>
      </c>
      <c r="M163" t="s">
        <v>699</v>
      </c>
      <c r="N163" t="s">
        <v>45</v>
      </c>
      <c r="O163" t="s">
        <v>46</v>
      </c>
      <c r="P163" t="s">
        <v>47</v>
      </c>
      <c r="Q163" t="s">
        <v>338</v>
      </c>
      <c r="R163" t="s">
        <v>338</v>
      </c>
      <c r="S163" t="s">
        <v>338</v>
      </c>
      <c r="T163" t="s">
        <v>49</v>
      </c>
      <c r="U163" s="4" t="s">
        <v>318</v>
      </c>
      <c r="V163" t="s">
        <v>51</v>
      </c>
      <c r="W163" s="4" t="s">
        <v>319</v>
      </c>
      <c r="X163" t="s">
        <v>53</v>
      </c>
      <c r="Y163" t="s">
        <v>53</v>
      </c>
      <c r="Z163" t="s">
        <v>53</v>
      </c>
      <c r="AA163" t="s">
        <v>53</v>
      </c>
      <c r="AB163" t="s">
        <v>53</v>
      </c>
      <c r="AC163" t="s">
        <v>53</v>
      </c>
      <c r="AD163" t="s">
        <v>35</v>
      </c>
      <c r="AE163" t="s">
        <v>53</v>
      </c>
    </row>
    <row r="164" spans="1:31" x14ac:dyDescent="0.3">
      <c r="A164" t="s">
        <v>32</v>
      </c>
      <c r="B164" t="s">
        <v>33</v>
      </c>
      <c r="C164" t="s">
        <v>54</v>
      </c>
      <c r="D164" t="s">
        <v>35</v>
      </c>
      <c r="E164" t="s">
        <v>36</v>
      </c>
      <c r="F164" t="s">
        <v>37</v>
      </c>
      <c r="G164" t="s">
        <v>38</v>
      </c>
      <c r="H164" t="s">
        <v>39</v>
      </c>
      <c r="I164" t="s">
        <v>55</v>
      </c>
      <c r="J164" t="s">
        <v>56</v>
      </c>
      <c r="K164" t="s">
        <v>42</v>
      </c>
      <c r="L164" t="s">
        <v>700</v>
      </c>
      <c r="M164" t="s">
        <v>617</v>
      </c>
      <c r="N164" t="s">
        <v>45</v>
      </c>
      <c r="O164" t="s">
        <v>46</v>
      </c>
      <c r="P164" t="s">
        <v>47</v>
      </c>
      <c r="Q164" t="s">
        <v>111</v>
      </c>
      <c r="R164" t="s">
        <v>111</v>
      </c>
      <c r="S164" t="s">
        <v>111</v>
      </c>
      <c r="T164" t="s">
        <v>49</v>
      </c>
      <c r="U164" s="4" t="s">
        <v>701</v>
      </c>
      <c r="V164" t="s">
        <v>87</v>
      </c>
      <c r="W164" s="4" t="s">
        <v>702</v>
      </c>
      <c r="X164" t="s">
        <v>53</v>
      </c>
      <c r="Y164" t="s">
        <v>53</v>
      </c>
      <c r="Z164" t="s">
        <v>53</v>
      </c>
      <c r="AA164" t="s">
        <v>53</v>
      </c>
      <c r="AB164" t="s">
        <v>53</v>
      </c>
      <c r="AC164" t="s">
        <v>53</v>
      </c>
      <c r="AD164" t="s">
        <v>35</v>
      </c>
      <c r="AE164" t="s">
        <v>53</v>
      </c>
    </row>
    <row r="165" spans="1:31" x14ac:dyDescent="0.3">
      <c r="A165" t="s">
        <v>32</v>
      </c>
      <c r="B165" t="s">
        <v>33</v>
      </c>
      <c r="C165" t="s">
        <v>54</v>
      </c>
      <c r="D165" t="s">
        <v>35</v>
      </c>
      <c r="E165" t="s">
        <v>36</v>
      </c>
      <c r="F165" t="s">
        <v>37</v>
      </c>
      <c r="G165" t="s">
        <v>38</v>
      </c>
      <c r="H165" t="s">
        <v>39</v>
      </c>
      <c r="I165" t="s">
        <v>55</v>
      </c>
      <c r="J165" t="s">
        <v>56</v>
      </c>
      <c r="K165" t="s">
        <v>42</v>
      </c>
      <c r="L165" t="s">
        <v>703</v>
      </c>
      <c r="M165" t="s">
        <v>704</v>
      </c>
      <c r="N165" t="s">
        <v>45</v>
      </c>
      <c r="O165" t="s">
        <v>46</v>
      </c>
      <c r="P165" t="s">
        <v>47</v>
      </c>
      <c r="Q165" t="s">
        <v>111</v>
      </c>
      <c r="R165" t="s">
        <v>111</v>
      </c>
      <c r="S165" t="s">
        <v>111</v>
      </c>
      <c r="T165" t="s">
        <v>49</v>
      </c>
      <c r="U165" s="4" t="s">
        <v>705</v>
      </c>
      <c r="V165" t="s">
        <v>87</v>
      </c>
      <c r="W165" s="4" t="s">
        <v>706</v>
      </c>
      <c r="X165" t="s">
        <v>53</v>
      </c>
      <c r="Y165" t="s">
        <v>53</v>
      </c>
      <c r="Z165" t="s">
        <v>53</v>
      </c>
      <c r="AA165" t="s">
        <v>53</v>
      </c>
      <c r="AB165" t="s">
        <v>53</v>
      </c>
      <c r="AC165" t="s">
        <v>53</v>
      </c>
      <c r="AD165" t="s">
        <v>35</v>
      </c>
      <c r="AE165" t="s">
        <v>53</v>
      </c>
    </row>
    <row r="166" spans="1:31" x14ac:dyDescent="0.3">
      <c r="A166" t="s">
        <v>32</v>
      </c>
      <c r="B166" t="s">
        <v>33</v>
      </c>
      <c r="C166" t="s">
        <v>74</v>
      </c>
      <c r="D166" t="s">
        <v>35</v>
      </c>
      <c r="E166" t="s">
        <v>36</v>
      </c>
      <c r="F166" t="s">
        <v>37</v>
      </c>
      <c r="G166" t="s">
        <v>38</v>
      </c>
      <c r="H166" t="s">
        <v>39</v>
      </c>
      <c r="I166" t="s">
        <v>125</v>
      </c>
      <c r="J166" t="s">
        <v>126</v>
      </c>
      <c r="K166" t="s">
        <v>42</v>
      </c>
      <c r="L166" t="s">
        <v>341</v>
      </c>
      <c r="M166" t="s">
        <v>184</v>
      </c>
      <c r="N166" t="s">
        <v>45</v>
      </c>
      <c r="O166" t="s">
        <v>46</v>
      </c>
      <c r="P166" t="s">
        <v>47</v>
      </c>
      <c r="Q166" t="s">
        <v>77</v>
      </c>
      <c r="R166" t="s">
        <v>77</v>
      </c>
      <c r="S166" t="s">
        <v>77</v>
      </c>
      <c r="T166" t="s">
        <v>49</v>
      </c>
      <c r="U166" s="4" t="s">
        <v>707</v>
      </c>
      <c r="V166" t="s">
        <v>51</v>
      </c>
      <c r="W166" s="4" t="s">
        <v>708</v>
      </c>
      <c r="X166" t="s">
        <v>53</v>
      </c>
      <c r="Y166" t="s">
        <v>53</v>
      </c>
      <c r="Z166" t="s">
        <v>53</v>
      </c>
      <c r="AA166" t="s">
        <v>53</v>
      </c>
      <c r="AB166" t="s">
        <v>53</v>
      </c>
      <c r="AC166" t="s">
        <v>53</v>
      </c>
      <c r="AD166" t="s">
        <v>35</v>
      </c>
      <c r="AE166" t="s">
        <v>53</v>
      </c>
    </row>
    <row r="167" spans="1:31" x14ac:dyDescent="0.3">
      <c r="A167" t="s">
        <v>32</v>
      </c>
      <c r="B167" t="s">
        <v>33</v>
      </c>
      <c r="C167" t="s">
        <v>80</v>
      </c>
      <c r="D167" t="s">
        <v>35</v>
      </c>
      <c r="E167" t="s">
        <v>36</v>
      </c>
      <c r="F167" t="s">
        <v>37</v>
      </c>
      <c r="G167" t="s">
        <v>38</v>
      </c>
      <c r="H167" t="s">
        <v>39</v>
      </c>
      <c r="I167" t="s">
        <v>125</v>
      </c>
      <c r="J167" t="s">
        <v>126</v>
      </c>
      <c r="K167" t="s">
        <v>42</v>
      </c>
      <c r="L167" t="s">
        <v>709</v>
      </c>
      <c r="M167" t="s">
        <v>710</v>
      </c>
      <c r="N167" t="s">
        <v>45</v>
      </c>
      <c r="O167" t="s">
        <v>46</v>
      </c>
      <c r="P167" t="s">
        <v>47</v>
      </c>
      <c r="Q167" t="s">
        <v>145</v>
      </c>
      <c r="R167" t="s">
        <v>145</v>
      </c>
      <c r="S167" t="s">
        <v>145</v>
      </c>
      <c r="T167" t="s">
        <v>49</v>
      </c>
      <c r="U167" s="4" t="s">
        <v>373</v>
      </c>
      <c r="V167" t="s">
        <v>51</v>
      </c>
      <c r="W167" s="4" t="s">
        <v>711</v>
      </c>
      <c r="X167" t="s">
        <v>53</v>
      </c>
      <c r="Y167" t="s">
        <v>53</v>
      </c>
      <c r="Z167" t="s">
        <v>53</v>
      </c>
      <c r="AA167" t="s">
        <v>53</v>
      </c>
      <c r="AB167" t="s">
        <v>53</v>
      </c>
      <c r="AC167" t="s">
        <v>53</v>
      </c>
      <c r="AD167" t="s">
        <v>35</v>
      </c>
      <c r="AE167" t="s">
        <v>53</v>
      </c>
    </row>
    <row r="168" spans="1:31" x14ac:dyDescent="0.3">
      <c r="A168" t="s">
        <v>32</v>
      </c>
      <c r="B168" t="s">
        <v>33</v>
      </c>
      <c r="C168" t="s">
        <v>54</v>
      </c>
      <c r="D168" t="s">
        <v>35</v>
      </c>
      <c r="E168" t="s">
        <v>36</v>
      </c>
      <c r="F168" t="s">
        <v>37</v>
      </c>
      <c r="G168" t="s">
        <v>38</v>
      </c>
      <c r="H168" t="s">
        <v>39</v>
      </c>
      <c r="I168" t="s">
        <v>55</v>
      </c>
      <c r="J168" t="s">
        <v>56</v>
      </c>
      <c r="K168" t="s">
        <v>42</v>
      </c>
      <c r="L168" t="s">
        <v>712</v>
      </c>
      <c r="M168" t="s">
        <v>713</v>
      </c>
      <c r="N168" t="s">
        <v>45</v>
      </c>
      <c r="O168" t="s">
        <v>46</v>
      </c>
      <c r="P168" t="s">
        <v>47</v>
      </c>
      <c r="Q168" t="s">
        <v>714</v>
      </c>
      <c r="R168" t="s">
        <v>714</v>
      </c>
      <c r="S168" t="s">
        <v>714</v>
      </c>
      <c r="T168" t="s">
        <v>49</v>
      </c>
      <c r="U168" s="4" t="s">
        <v>715</v>
      </c>
      <c r="V168" t="s">
        <v>72</v>
      </c>
      <c r="W168" s="4" t="s">
        <v>716</v>
      </c>
      <c r="X168" t="s">
        <v>53</v>
      </c>
      <c r="Y168" t="s">
        <v>53</v>
      </c>
      <c r="Z168" t="s">
        <v>53</v>
      </c>
      <c r="AA168" t="s">
        <v>53</v>
      </c>
      <c r="AB168" t="s">
        <v>53</v>
      </c>
      <c r="AC168" t="s">
        <v>53</v>
      </c>
      <c r="AD168" t="s">
        <v>35</v>
      </c>
      <c r="AE168" t="s">
        <v>53</v>
      </c>
    </row>
    <row r="169" spans="1:31" x14ac:dyDescent="0.3">
      <c r="A169" t="s">
        <v>32</v>
      </c>
      <c r="B169" t="s">
        <v>33</v>
      </c>
      <c r="C169" t="s">
        <v>80</v>
      </c>
      <c r="D169" t="s">
        <v>35</v>
      </c>
      <c r="E169" t="s">
        <v>36</v>
      </c>
      <c r="F169" t="s">
        <v>37</v>
      </c>
      <c r="G169" t="s">
        <v>38</v>
      </c>
      <c r="H169" t="s">
        <v>39</v>
      </c>
      <c r="I169" t="s">
        <v>101</v>
      </c>
      <c r="J169" t="s">
        <v>102</v>
      </c>
      <c r="K169" t="s">
        <v>42</v>
      </c>
      <c r="L169" t="s">
        <v>717</v>
      </c>
      <c r="M169" t="s">
        <v>449</v>
      </c>
      <c r="N169" t="s">
        <v>45</v>
      </c>
      <c r="O169" t="s">
        <v>46</v>
      </c>
      <c r="P169" t="s">
        <v>47</v>
      </c>
      <c r="Q169" t="s">
        <v>145</v>
      </c>
      <c r="R169" t="s">
        <v>145</v>
      </c>
      <c r="S169" t="s">
        <v>145</v>
      </c>
      <c r="T169" t="s">
        <v>49</v>
      </c>
      <c r="U169" s="4" t="s">
        <v>718</v>
      </c>
      <c r="V169" t="s">
        <v>107</v>
      </c>
      <c r="W169" s="4" t="s">
        <v>719</v>
      </c>
      <c r="X169" t="s">
        <v>53</v>
      </c>
      <c r="Y169" t="s">
        <v>53</v>
      </c>
      <c r="Z169" t="s">
        <v>53</v>
      </c>
      <c r="AA169" t="s">
        <v>53</v>
      </c>
      <c r="AB169" t="s">
        <v>53</v>
      </c>
      <c r="AC169" t="s">
        <v>53</v>
      </c>
      <c r="AD169" t="s">
        <v>35</v>
      </c>
      <c r="AE169" t="s">
        <v>53</v>
      </c>
    </row>
    <row r="170" spans="1:31" x14ac:dyDescent="0.3">
      <c r="A170" t="s">
        <v>32</v>
      </c>
      <c r="B170" t="s">
        <v>33</v>
      </c>
      <c r="C170" t="s">
        <v>34</v>
      </c>
      <c r="D170" t="s">
        <v>35</v>
      </c>
      <c r="E170" t="s">
        <v>36</v>
      </c>
      <c r="F170" t="s">
        <v>37</v>
      </c>
      <c r="G170" t="s">
        <v>38</v>
      </c>
      <c r="H170" t="s">
        <v>39</v>
      </c>
      <c r="I170" t="s">
        <v>132</v>
      </c>
      <c r="J170" t="s">
        <v>133</v>
      </c>
      <c r="K170" t="s">
        <v>42</v>
      </c>
      <c r="L170" t="s">
        <v>720</v>
      </c>
      <c r="M170" t="s">
        <v>721</v>
      </c>
      <c r="N170" t="s">
        <v>45</v>
      </c>
      <c r="O170" t="s">
        <v>46</v>
      </c>
      <c r="P170" t="s">
        <v>47</v>
      </c>
      <c r="Q170" t="s">
        <v>722</v>
      </c>
      <c r="R170" t="s">
        <v>722</v>
      </c>
      <c r="S170" t="s">
        <v>722</v>
      </c>
      <c r="T170" t="s">
        <v>49</v>
      </c>
      <c r="U170" s="4" t="s">
        <v>723</v>
      </c>
      <c r="V170" t="s">
        <v>107</v>
      </c>
      <c r="W170" s="4" t="s">
        <v>724</v>
      </c>
      <c r="X170" t="s">
        <v>53</v>
      </c>
      <c r="Y170" t="s">
        <v>53</v>
      </c>
      <c r="Z170" t="s">
        <v>53</v>
      </c>
      <c r="AA170" t="s">
        <v>53</v>
      </c>
      <c r="AB170" t="s">
        <v>53</v>
      </c>
      <c r="AC170" t="s">
        <v>53</v>
      </c>
      <c r="AD170" t="s">
        <v>35</v>
      </c>
      <c r="AE170" t="s">
        <v>53</v>
      </c>
    </row>
    <row r="171" spans="1:31" x14ac:dyDescent="0.3">
      <c r="A171" t="s">
        <v>32</v>
      </c>
      <c r="B171" t="s">
        <v>33</v>
      </c>
      <c r="C171" t="s">
        <v>74</v>
      </c>
      <c r="D171" t="s">
        <v>35</v>
      </c>
      <c r="E171" t="s">
        <v>36</v>
      </c>
      <c r="F171" t="s">
        <v>37</v>
      </c>
      <c r="G171" t="s">
        <v>38</v>
      </c>
      <c r="H171" t="s">
        <v>39</v>
      </c>
      <c r="I171" t="s">
        <v>55</v>
      </c>
      <c r="J171" t="s">
        <v>56</v>
      </c>
      <c r="K171" t="s">
        <v>42</v>
      </c>
      <c r="L171" t="s">
        <v>725</v>
      </c>
      <c r="M171" t="s">
        <v>726</v>
      </c>
      <c r="N171" t="s">
        <v>45</v>
      </c>
      <c r="O171" t="s">
        <v>46</v>
      </c>
      <c r="P171" t="s">
        <v>47</v>
      </c>
      <c r="Q171" t="s">
        <v>77</v>
      </c>
      <c r="R171" t="s">
        <v>77</v>
      </c>
      <c r="S171" t="s">
        <v>77</v>
      </c>
      <c r="T171" t="s">
        <v>49</v>
      </c>
      <c r="U171" s="4" t="s">
        <v>727</v>
      </c>
      <c r="V171" t="s">
        <v>51</v>
      </c>
      <c r="W171" s="4" t="s">
        <v>728</v>
      </c>
      <c r="X171" t="s">
        <v>53</v>
      </c>
      <c r="Y171" t="s">
        <v>53</v>
      </c>
      <c r="Z171" t="s">
        <v>53</v>
      </c>
      <c r="AA171" t="s">
        <v>53</v>
      </c>
      <c r="AB171" t="s">
        <v>53</v>
      </c>
      <c r="AC171" t="s">
        <v>53</v>
      </c>
      <c r="AD171" t="s">
        <v>35</v>
      </c>
      <c r="AE171" t="s">
        <v>53</v>
      </c>
    </row>
    <row r="172" spans="1:31" x14ac:dyDescent="0.3">
      <c r="A172" t="s">
        <v>32</v>
      </c>
      <c r="B172" t="s">
        <v>33</v>
      </c>
      <c r="C172" t="s">
        <v>54</v>
      </c>
      <c r="D172" t="s">
        <v>35</v>
      </c>
      <c r="E172" t="s">
        <v>36</v>
      </c>
      <c r="F172" t="s">
        <v>37</v>
      </c>
      <c r="G172" t="s">
        <v>38</v>
      </c>
      <c r="H172" t="s">
        <v>39</v>
      </c>
      <c r="I172" t="s">
        <v>55</v>
      </c>
      <c r="J172" t="s">
        <v>56</v>
      </c>
      <c r="K172" t="s">
        <v>42</v>
      </c>
      <c r="L172" t="s">
        <v>729</v>
      </c>
      <c r="M172" t="s">
        <v>730</v>
      </c>
      <c r="N172" t="s">
        <v>45</v>
      </c>
      <c r="O172" t="s">
        <v>46</v>
      </c>
      <c r="P172" t="s">
        <v>47</v>
      </c>
      <c r="Q172" t="s">
        <v>154</v>
      </c>
      <c r="R172" t="s">
        <v>154</v>
      </c>
      <c r="S172" t="s">
        <v>154</v>
      </c>
      <c r="T172" t="s">
        <v>49</v>
      </c>
      <c r="U172" s="4" t="s">
        <v>731</v>
      </c>
      <c r="V172" t="s">
        <v>51</v>
      </c>
      <c r="W172" s="4" t="s">
        <v>732</v>
      </c>
      <c r="X172" t="s">
        <v>53</v>
      </c>
      <c r="Y172" t="s">
        <v>53</v>
      </c>
      <c r="Z172" t="s">
        <v>53</v>
      </c>
      <c r="AA172" t="s">
        <v>53</v>
      </c>
      <c r="AB172" t="s">
        <v>53</v>
      </c>
      <c r="AC172" t="s">
        <v>53</v>
      </c>
      <c r="AD172" t="s">
        <v>35</v>
      </c>
      <c r="AE172" t="s">
        <v>53</v>
      </c>
    </row>
    <row r="173" spans="1:31" x14ac:dyDescent="0.3">
      <c r="A173" t="s">
        <v>32</v>
      </c>
      <c r="B173" t="s">
        <v>33</v>
      </c>
      <c r="C173" t="s">
        <v>54</v>
      </c>
      <c r="D173" t="s">
        <v>35</v>
      </c>
      <c r="E173" t="s">
        <v>36</v>
      </c>
      <c r="F173" t="s">
        <v>37</v>
      </c>
      <c r="G173" t="s">
        <v>38</v>
      </c>
      <c r="H173" t="s">
        <v>39</v>
      </c>
      <c r="I173" t="s">
        <v>55</v>
      </c>
      <c r="J173" t="s">
        <v>56</v>
      </c>
      <c r="K173" t="s">
        <v>42</v>
      </c>
      <c r="L173" t="s">
        <v>733</v>
      </c>
      <c r="M173" t="s">
        <v>363</v>
      </c>
      <c r="N173" t="s">
        <v>45</v>
      </c>
      <c r="O173" t="s">
        <v>46</v>
      </c>
      <c r="P173" t="s">
        <v>47</v>
      </c>
      <c r="Q173" t="s">
        <v>189</v>
      </c>
      <c r="R173" t="s">
        <v>189</v>
      </c>
      <c r="S173" t="s">
        <v>189</v>
      </c>
      <c r="T173" t="s">
        <v>49</v>
      </c>
      <c r="U173" s="4" t="s">
        <v>734</v>
      </c>
      <c r="V173" t="s">
        <v>66</v>
      </c>
      <c r="W173" s="4" t="s">
        <v>735</v>
      </c>
      <c r="X173" t="s">
        <v>53</v>
      </c>
      <c r="Y173" t="s">
        <v>53</v>
      </c>
      <c r="Z173" t="s">
        <v>53</v>
      </c>
      <c r="AA173" t="s">
        <v>53</v>
      </c>
      <c r="AB173" t="s">
        <v>53</v>
      </c>
      <c r="AC173" t="s">
        <v>53</v>
      </c>
      <c r="AD173" t="s">
        <v>35</v>
      </c>
      <c r="AE173" t="s">
        <v>53</v>
      </c>
    </row>
    <row r="174" spans="1:31" x14ac:dyDescent="0.3">
      <c r="A174" t="s">
        <v>32</v>
      </c>
      <c r="B174" t="s">
        <v>33</v>
      </c>
      <c r="C174" t="s">
        <v>34</v>
      </c>
      <c r="D174" t="s">
        <v>35</v>
      </c>
      <c r="E174" t="s">
        <v>36</v>
      </c>
      <c r="F174" t="s">
        <v>37</v>
      </c>
      <c r="G174" t="s">
        <v>38</v>
      </c>
      <c r="H174" t="s">
        <v>39</v>
      </c>
      <c r="I174" t="s">
        <v>132</v>
      </c>
      <c r="J174" t="s">
        <v>133</v>
      </c>
      <c r="K174" t="s">
        <v>42</v>
      </c>
      <c r="L174" t="s">
        <v>736</v>
      </c>
      <c r="M174" t="s">
        <v>737</v>
      </c>
      <c r="N174" t="s">
        <v>45</v>
      </c>
      <c r="O174" t="s">
        <v>46</v>
      </c>
      <c r="P174" t="s">
        <v>47</v>
      </c>
      <c r="Q174" t="s">
        <v>566</v>
      </c>
      <c r="R174" t="s">
        <v>566</v>
      </c>
      <c r="S174" t="s">
        <v>566</v>
      </c>
      <c r="T174" t="s">
        <v>49</v>
      </c>
      <c r="U174" s="4" t="s">
        <v>738</v>
      </c>
      <c r="V174" t="s">
        <v>87</v>
      </c>
      <c r="W174" s="4" t="s">
        <v>739</v>
      </c>
      <c r="X174" t="s">
        <v>53</v>
      </c>
      <c r="Y174" t="s">
        <v>53</v>
      </c>
      <c r="Z174" t="s">
        <v>53</v>
      </c>
      <c r="AA174" t="s">
        <v>53</v>
      </c>
      <c r="AB174" t="s">
        <v>53</v>
      </c>
      <c r="AC174" t="s">
        <v>53</v>
      </c>
      <c r="AD174" t="s">
        <v>35</v>
      </c>
      <c r="AE174" t="s">
        <v>53</v>
      </c>
    </row>
    <row r="175" spans="1:31" x14ac:dyDescent="0.3">
      <c r="A175" t="s">
        <v>32</v>
      </c>
      <c r="B175" t="s">
        <v>33</v>
      </c>
      <c r="C175" t="s">
        <v>34</v>
      </c>
      <c r="D175" t="s">
        <v>35</v>
      </c>
      <c r="E175" t="s">
        <v>36</v>
      </c>
      <c r="F175" t="s">
        <v>37</v>
      </c>
      <c r="G175" t="s">
        <v>38</v>
      </c>
      <c r="H175" t="s">
        <v>39</v>
      </c>
      <c r="I175" t="s">
        <v>125</v>
      </c>
      <c r="J175" t="s">
        <v>126</v>
      </c>
      <c r="K175" t="s">
        <v>42</v>
      </c>
      <c r="L175" t="s">
        <v>391</v>
      </c>
      <c r="M175" t="s">
        <v>295</v>
      </c>
      <c r="N175" t="s">
        <v>45</v>
      </c>
      <c r="O175" t="s">
        <v>46</v>
      </c>
      <c r="P175" t="s">
        <v>47</v>
      </c>
      <c r="Q175" t="s">
        <v>296</v>
      </c>
      <c r="R175" t="s">
        <v>296</v>
      </c>
      <c r="S175" t="s">
        <v>296</v>
      </c>
      <c r="T175" t="s">
        <v>49</v>
      </c>
      <c r="U175" s="4" t="s">
        <v>740</v>
      </c>
      <c r="V175" t="s">
        <v>51</v>
      </c>
      <c r="W175" s="4" t="s">
        <v>741</v>
      </c>
      <c r="X175" t="s">
        <v>53</v>
      </c>
      <c r="Y175" t="s">
        <v>53</v>
      </c>
      <c r="Z175" t="s">
        <v>53</v>
      </c>
      <c r="AA175" t="s">
        <v>53</v>
      </c>
      <c r="AB175" t="s">
        <v>53</v>
      </c>
      <c r="AC175" t="s">
        <v>53</v>
      </c>
      <c r="AD175" t="s">
        <v>35</v>
      </c>
      <c r="AE175" t="s">
        <v>53</v>
      </c>
    </row>
    <row r="176" spans="1:31" x14ac:dyDescent="0.3">
      <c r="A176" t="s">
        <v>32</v>
      </c>
      <c r="B176" t="s">
        <v>33</v>
      </c>
      <c r="C176" t="s">
        <v>54</v>
      </c>
      <c r="D176" t="s">
        <v>35</v>
      </c>
      <c r="E176" t="s">
        <v>36</v>
      </c>
      <c r="F176" t="s">
        <v>37</v>
      </c>
      <c r="G176" t="s">
        <v>38</v>
      </c>
      <c r="H176" t="s">
        <v>39</v>
      </c>
      <c r="I176" t="s">
        <v>118</v>
      </c>
      <c r="J176" t="s">
        <v>119</v>
      </c>
      <c r="K176" t="s">
        <v>42</v>
      </c>
      <c r="L176" t="s">
        <v>742</v>
      </c>
      <c r="M176" t="s">
        <v>743</v>
      </c>
      <c r="N176" t="s">
        <v>45</v>
      </c>
      <c r="O176" t="s">
        <v>46</v>
      </c>
      <c r="P176" t="s">
        <v>47</v>
      </c>
      <c r="Q176" t="s">
        <v>441</v>
      </c>
      <c r="R176" t="s">
        <v>441</v>
      </c>
      <c r="S176" t="s">
        <v>441</v>
      </c>
      <c r="T176" t="s">
        <v>49</v>
      </c>
      <c r="U176" s="4" t="s">
        <v>744</v>
      </c>
      <c r="V176" t="s">
        <v>51</v>
      </c>
      <c r="W176" s="4" t="s">
        <v>745</v>
      </c>
      <c r="X176" t="s">
        <v>53</v>
      </c>
      <c r="Y176" t="s">
        <v>53</v>
      </c>
      <c r="Z176" t="s">
        <v>53</v>
      </c>
      <c r="AA176" t="s">
        <v>53</v>
      </c>
      <c r="AB176" t="s">
        <v>53</v>
      </c>
      <c r="AC176" t="s">
        <v>53</v>
      </c>
      <c r="AD176" t="s">
        <v>35</v>
      </c>
      <c r="AE176" t="s">
        <v>53</v>
      </c>
    </row>
    <row r="177" spans="1:31" x14ac:dyDescent="0.3">
      <c r="A177" t="s">
        <v>32</v>
      </c>
      <c r="B177" t="s">
        <v>33</v>
      </c>
      <c r="C177" t="s">
        <v>74</v>
      </c>
      <c r="D177" t="s">
        <v>35</v>
      </c>
      <c r="E177" t="s">
        <v>36</v>
      </c>
      <c r="F177" t="s">
        <v>37</v>
      </c>
      <c r="G177" t="s">
        <v>38</v>
      </c>
      <c r="H177" t="s">
        <v>39</v>
      </c>
      <c r="I177" t="s">
        <v>55</v>
      </c>
      <c r="J177" t="s">
        <v>56</v>
      </c>
      <c r="K177" t="s">
        <v>42</v>
      </c>
      <c r="L177" t="s">
        <v>746</v>
      </c>
      <c r="M177" t="s">
        <v>747</v>
      </c>
      <c r="N177" t="s">
        <v>45</v>
      </c>
      <c r="O177" t="s">
        <v>46</v>
      </c>
      <c r="P177" t="s">
        <v>47</v>
      </c>
      <c r="Q177" t="s">
        <v>77</v>
      </c>
      <c r="R177" t="s">
        <v>77</v>
      </c>
      <c r="S177" t="s">
        <v>77</v>
      </c>
      <c r="T177" t="s">
        <v>49</v>
      </c>
      <c r="U177" s="4" t="s">
        <v>748</v>
      </c>
      <c r="V177" t="s">
        <v>51</v>
      </c>
      <c r="W177" s="4" t="s">
        <v>749</v>
      </c>
      <c r="X177" t="s">
        <v>53</v>
      </c>
      <c r="Y177" t="s">
        <v>53</v>
      </c>
      <c r="Z177" t="s">
        <v>53</v>
      </c>
      <c r="AA177" t="s">
        <v>53</v>
      </c>
      <c r="AB177" t="s">
        <v>53</v>
      </c>
      <c r="AC177" t="s">
        <v>53</v>
      </c>
      <c r="AD177" t="s">
        <v>35</v>
      </c>
      <c r="AE177" t="s">
        <v>53</v>
      </c>
    </row>
    <row r="178" spans="1:31" x14ac:dyDescent="0.3">
      <c r="A178" t="s">
        <v>32</v>
      </c>
      <c r="B178" t="s">
        <v>33</v>
      </c>
      <c r="C178" t="s">
        <v>74</v>
      </c>
      <c r="D178" t="s">
        <v>35</v>
      </c>
      <c r="E178" t="s">
        <v>36</v>
      </c>
      <c r="F178" t="s">
        <v>37</v>
      </c>
      <c r="G178" t="s">
        <v>38</v>
      </c>
      <c r="H178" t="s">
        <v>39</v>
      </c>
      <c r="I178" t="s">
        <v>55</v>
      </c>
      <c r="J178" t="s">
        <v>56</v>
      </c>
      <c r="K178" t="s">
        <v>42</v>
      </c>
      <c r="L178" t="s">
        <v>750</v>
      </c>
      <c r="M178" t="s">
        <v>751</v>
      </c>
      <c r="N178" t="s">
        <v>45</v>
      </c>
      <c r="O178" t="s">
        <v>46</v>
      </c>
      <c r="P178" t="s">
        <v>47</v>
      </c>
      <c r="Q178" t="s">
        <v>641</v>
      </c>
      <c r="R178" t="s">
        <v>641</v>
      </c>
      <c r="S178" t="s">
        <v>641</v>
      </c>
      <c r="T178" t="s">
        <v>49</v>
      </c>
      <c r="U178" s="4" t="s">
        <v>404</v>
      </c>
      <c r="V178" t="s">
        <v>51</v>
      </c>
      <c r="W178" s="4" t="s">
        <v>405</v>
      </c>
      <c r="X178" t="s">
        <v>53</v>
      </c>
      <c r="Y178" t="s">
        <v>53</v>
      </c>
      <c r="Z178" t="s">
        <v>53</v>
      </c>
      <c r="AA178" t="s">
        <v>53</v>
      </c>
      <c r="AB178" t="s">
        <v>53</v>
      </c>
      <c r="AC178" t="s">
        <v>53</v>
      </c>
      <c r="AD178" t="s">
        <v>35</v>
      </c>
      <c r="AE178" t="s">
        <v>53</v>
      </c>
    </row>
    <row r="179" spans="1:31" x14ac:dyDescent="0.3">
      <c r="A179" t="s">
        <v>32</v>
      </c>
      <c r="B179" t="s">
        <v>33</v>
      </c>
      <c r="C179" t="s">
        <v>54</v>
      </c>
      <c r="D179" t="s">
        <v>35</v>
      </c>
      <c r="E179" t="s">
        <v>36</v>
      </c>
      <c r="F179" t="s">
        <v>37</v>
      </c>
      <c r="G179" t="s">
        <v>38</v>
      </c>
      <c r="H179" t="s">
        <v>39</v>
      </c>
      <c r="I179" t="s">
        <v>40</v>
      </c>
      <c r="J179" t="s">
        <v>41</v>
      </c>
      <c r="K179" t="s">
        <v>42</v>
      </c>
      <c r="L179" t="s">
        <v>752</v>
      </c>
      <c r="M179" t="s">
        <v>753</v>
      </c>
      <c r="N179" t="s">
        <v>45</v>
      </c>
      <c r="O179" t="s">
        <v>46</v>
      </c>
      <c r="P179" t="s">
        <v>47</v>
      </c>
      <c r="Q179" t="s">
        <v>754</v>
      </c>
      <c r="R179" t="s">
        <v>754</v>
      </c>
      <c r="S179" t="s">
        <v>754</v>
      </c>
      <c r="T179" t="s">
        <v>49</v>
      </c>
      <c r="U179" s="4" t="s">
        <v>755</v>
      </c>
      <c r="V179" t="s">
        <v>107</v>
      </c>
      <c r="W179" s="4" t="s">
        <v>756</v>
      </c>
      <c r="X179" t="s">
        <v>53</v>
      </c>
      <c r="Y179" t="s">
        <v>53</v>
      </c>
      <c r="Z179" t="s">
        <v>53</v>
      </c>
      <c r="AA179" t="s">
        <v>53</v>
      </c>
      <c r="AB179" t="s">
        <v>53</v>
      </c>
      <c r="AC179" t="s">
        <v>53</v>
      </c>
      <c r="AD179" t="s">
        <v>35</v>
      </c>
      <c r="AE179" t="s">
        <v>53</v>
      </c>
    </row>
    <row r="180" spans="1:31" x14ac:dyDescent="0.3">
      <c r="A180" t="s">
        <v>32</v>
      </c>
      <c r="B180" t="s">
        <v>33</v>
      </c>
      <c r="C180" t="s">
        <v>54</v>
      </c>
      <c r="D180" t="s">
        <v>35</v>
      </c>
      <c r="E180" t="s">
        <v>36</v>
      </c>
      <c r="F180" t="s">
        <v>37</v>
      </c>
      <c r="G180" t="s">
        <v>38</v>
      </c>
      <c r="H180" t="s">
        <v>39</v>
      </c>
      <c r="I180" t="s">
        <v>55</v>
      </c>
      <c r="J180" t="s">
        <v>56</v>
      </c>
      <c r="K180" t="s">
        <v>42</v>
      </c>
      <c r="L180" t="s">
        <v>757</v>
      </c>
      <c r="M180" t="s">
        <v>758</v>
      </c>
      <c r="N180" t="s">
        <v>45</v>
      </c>
      <c r="O180" t="s">
        <v>46</v>
      </c>
      <c r="P180" t="s">
        <v>47</v>
      </c>
      <c r="Q180" t="s">
        <v>70</v>
      </c>
      <c r="R180" t="s">
        <v>70</v>
      </c>
      <c r="S180" t="s">
        <v>70</v>
      </c>
      <c r="T180" t="s">
        <v>49</v>
      </c>
      <c r="U180" s="4" t="s">
        <v>759</v>
      </c>
      <c r="V180" t="s">
        <v>66</v>
      </c>
      <c r="W180" s="4" t="s">
        <v>760</v>
      </c>
      <c r="X180" t="s">
        <v>53</v>
      </c>
      <c r="Y180" t="s">
        <v>53</v>
      </c>
      <c r="Z180" t="s">
        <v>53</v>
      </c>
      <c r="AA180" t="s">
        <v>53</v>
      </c>
      <c r="AB180" t="s">
        <v>53</v>
      </c>
      <c r="AC180" t="s">
        <v>53</v>
      </c>
      <c r="AD180" t="s">
        <v>35</v>
      </c>
      <c r="AE180" t="s">
        <v>53</v>
      </c>
    </row>
    <row r="181" spans="1:31" x14ac:dyDescent="0.3">
      <c r="A181" t="s">
        <v>32</v>
      </c>
      <c r="B181" t="s">
        <v>33</v>
      </c>
      <c r="C181" t="s">
        <v>80</v>
      </c>
      <c r="D181" t="s">
        <v>35</v>
      </c>
      <c r="E181" t="s">
        <v>36</v>
      </c>
      <c r="F181" t="s">
        <v>37</v>
      </c>
      <c r="G181" t="s">
        <v>38</v>
      </c>
      <c r="H181" t="s">
        <v>39</v>
      </c>
      <c r="I181" t="s">
        <v>118</v>
      </c>
      <c r="J181" t="s">
        <v>119</v>
      </c>
      <c r="K181" t="s">
        <v>42</v>
      </c>
      <c r="L181" t="s">
        <v>761</v>
      </c>
      <c r="M181" t="s">
        <v>762</v>
      </c>
      <c r="N181" t="s">
        <v>45</v>
      </c>
      <c r="O181" t="s">
        <v>46</v>
      </c>
      <c r="P181" t="s">
        <v>47</v>
      </c>
      <c r="Q181" t="s">
        <v>763</v>
      </c>
      <c r="R181" t="s">
        <v>763</v>
      </c>
      <c r="S181" t="s">
        <v>763</v>
      </c>
      <c r="T181" t="s">
        <v>49</v>
      </c>
      <c r="U181" s="4" t="s">
        <v>764</v>
      </c>
      <c r="V181" t="s">
        <v>66</v>
      </c>
      <c r="W181" s="4" t="s">
        <v>765</v>
      </c>
      <c r="X181" t="s">
        <v>53</v>
      </c>
      <c r="Y181" t="s">
        <v>53</v>
      </c>
      <c r="Z181" t="s">
        <v>53</v>
      </c>
      <c r="AA181" t="s">
        <v>53</v>
      </c>
      <c r="AB181" t="s">
        <v>53</v>
      </c>
      <c r="AC181" t="s">
        <v>53</v>
      </c>
      <c r="AD181" t="s">
        <v>35</v>
      </c>
      <c r="AE181" t="s">
        <v>53</v>
      </c>
    </row>
    <row r="182" spans="1:31" x14ac:dyDescent="0.3">
      <c r="A182" t="s">
        <v>32</v>
      </c>
      <c r="B182" t="s">
        <v>33</v>
      </c>
      <c r="C182" t="s">
        <v>74</v>
      </c>
      <c r="D182" t="s">
        <v>35</v>
      </c>
      <c r="E182" t="s">
        <v>36</v>
      </c>
      <c r="F182" t="s">
        <v>37</v>
      </c>
      <c r="G182" t="s">
        <v>38</v>
      </c>
      <c r="H182" t="s">
        <v>39</v>
      </c>
      <c r="I182" t="s">
        <v>55</v>
      </c>
      <c r="J182" t="s">
        <v>56</v>
      </c>
      <c r="K182" t="s">
        <v>42</v>
      </c>
      <c r="L182" t="s">
        <v>766</v>
      </c>
      <c r="M182" t="s">
        <v>767</v>
      </c>
      <c r="N182" t="s">
        <v>45</v>
      </c>
      <c r="O182" t="s">
        <v>46</v>
      </c>
      <c r="P182" t="s">
        <v>47</v>
      </c>
      <c r="Q182" t="s">
        <v>338</v>
      </c>
      <c r="R182" t="s">
        <v>338</v>
      </c>
      <c r="S182" t="s">
        <v>338</v>
      </c>
      <c r="T182" t="s">
        <v>49</v>
      </c>
      <c r="U182" s="4" t="s">
        <v>768</v>
      </c>
      <c r="V182" t="s">
        <v>51</v>
      </c>
      <c r="W182" s="4" t="s">
        <v>769</v>
      </c>
      <c r="X182" t="s">
        <v>53</v>
      </c>
      <c r="Y182" t="s">
        <v>53</v>
      </c>
      <c r="Z182" t="s">
        <v>53</v>
      </c>
      <c r="AA182" t="s">
        <v>53</v>
      </c>
      <c r="AB182" t="s">
        <v>53</v>
      </c>
      <c r="AC182" t="s">
        <v>53</v>
      </c>
      <c r="AD182" t="s">
        <v>35</v>
      </c>
      <c r="AE182" t="s">
        <v>53</v>
      </c>
    </row>
    <row r="183" spans="1:31" x14ac:dyDescent="0.3">
      <c r="A183" t="s">
        <v>32</v>
      </c>
      <c r="B183" t="s">
        <v>33</v>
      </c>
      <c r="C183" t="s">
        <v>34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770</v>
      </c>
      <c r="M183" t="s">
        <v>771</v>
      </c>
      <c r="N183" t="s">
        <v>45</v>
      </c>
      <c r="O183" t="s">
        <v>46</v>
      </c>
      <c r="P183" t="s">
        <v>47</v>
      </c>
      <c r="Q183" t="s">
        <v>322</v>
      </c>
      <c r="R183" t="s">
        <v>322</v>
      </c>
      <c r="S183" t="s">
        <v>322</v>
      </c>
      <c r="T183" t="s">
        <v>49</v>
      </c>
      <c r="U183" s="4" t="s">
        <v>772</v>
      </c>
      <c r="V183" t="s">
        <v>87</v>
      </c>
      <c r="W183" s="4" t="s">
        <v>773</v>
      </c>
      <c r="X183" t="s">
        <v>53</v>
      </c>
      <c r="Y183" t="s">
        <v>53</v>
      </c>
      <c r="Z183" t="s">
        <v>53</v>
      </c>
      <c r="AA183" t="s">
        <v>53</v>
      </c>
      <c r="AB183" t="s">
        <v>53</v>
      </c>
      <c r="AC183" t="s">
        <v>53</v>
      </c>
      <c r="AD183" t="s">
        <v>35</v>
      </c>
      <c r="AE183" t="s">
        <v>53</v>
      </c>
    </row>
    <row r="184" spans="1:31" x14ac:dyDescent="0.3">
      <c r="A184" t="s">
        <v>32</v>
      </c>
      <c r="B184" t="s">
        <v>33</v>
      </c>
      <c r="C184" t="s">
        <v>80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125</v>
      </c>
      <c r="J184" t="s">
        <v>126</v>
      </c>
      <c r="K184" t="s">
        <v>42</v>
      </c>
      <c r="L184" t="s">
        <v>709</v>
      </c>
      <c r="M184" t="s">
        <v>710</v>
      </c>
      <c r="N184" t="s">
        <v>45</v>
      </c>
      <c r="O184" t="s">
        <v>46</v>
      </c>
      <c r="P184" t="s">
        <v>47</v>
      </c>
      <c r="Q184" t="s">
        <v>145</v>
      </c>
      <c r="R184" t="s">
        <v>145</v>
      </c>
      <c r="S184" t="s">
        <v>145</v>
      </c>
      <c r="T184" t="s">
        <v>49</v>
      </c>
      <c r="U184" s="4" t="s">
        <v>774</v>
      </c>
      <c r="V184" t="s">
        <v>51</v>
      </c>
      <c r="W184" s="4" t="s">
        <v>775</v>
      </c>
      <c r="X184" t="s">
        <v>53</v>
      </c>
      <c r="Y184" t="s">
        <v>53</v>
      </c>
      <c r="Z184" t="s">
        <v>53</v>
      </c>
      <c r="AA184" t="s">
        <v>53</v>
      </c>
      <c r="AB184" t="s">
        <v>53</v>
      </c>
      <c r="AC184" t="s">
        <v>53</v>
      </c>
      <c r="AD184" t="s">
        <v>35</v>
      </c>
      <c r="AE184" t="s">
        <v>53</v>
      </c>
    </row>
    <row r="185" spans="1:31" x14ac:dyDescent="0.3">
      <c r="A185" t="s">
        <v>32</v>
      </c>
      <c r="B185" t="s">
        <v>33</v>
      </c>
      <c r="C185" t="s">
        <v>54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55</v>
      </c>
      <c r="J185" t="s">
        <v>56</v>
      </c>
      <c r="K185" t="s">
        <v>42</v>
      </c>
      <c r="L185" t="s">
        <v>776</v>
      </c>
      <c r="M185" t="s">
        <v>777</v>
      </c>
      <c r="N185" t="s">
        <v>45</v>
      </c>
      <c r="O185" t="s">
        <v>46</v>
      </c>
      <c r="P185" t="s">
        <v>47</v>
      </c>
      <c r="Q185" t="s">
        <v>70</v>
      </c>
      <c r="R185" t="s">
        <v>70</v>
      </c>
      <c r="S185" t="s">
        <v>70</v>
      </c>
      <c r="T185" t="s">
        <v>49</v>
      </c>
      <c r="U185" s="4" t="s">
        <v>253</v>
      </c>
      <c r="V185" t="s">
        <v>66</v>
      </c>
      <c r="W185" s="4" t="s">
        <v>778</v>
      </c>
      <c r="X185" t="s">
        <v>53</v>
      </c>
      <c r="Y185" t="s">
        <v>53</v>
      </c>
      <c r="Z185" t="s">
        <v>53</v>
      </c>
      <c r="AA185" t="s">
        <v>53</v>
      </c>
      <c r="AB185" t="s">
        <v>53</v>
      </c>
      <c r="AC185" t="s">
        <v>53</v>
      </c>
      <c r="AD185" t="s">
        <v>35</v>
      </c>
      <c r="AE185" t="s">
        <v>53</v>
      </c>
    </row>
    <row r="186" spans="1:31" x14ac:dyDescent="0.3">
      <c r="A186" t="s">
        <v>32</v>
      </c>
      <c r="B186" t="s">
        <v>33</v>
      </c>
      <c r="C186" t="s">
        <v>74</v>
      </c>
      <c r="D186" t="s">
        <v>35</v>
      </c>
      <c r="E186" t="s">
        <v>36</v>
      </c>
      <c r="F186" t="s">
        <v>37</v>
      </c>
      <c r="G186" t="s">
        <v>38</v>
      </c>
      <c r="H186" t="s">
        <v>39</v>
      </c>
      <c r="I186" t="s">
        <v>55</v>
      </c>
      <c r="J186" t="s">
        <v>56</v>
      </c>
      <c r="K186" t="s">
        <v>42</v>
      </c>
      <c r="L186" t="s">
        <v>779</v>
      </c>
      <c r="M186" t="s">
        <v>348</v>
      </c>
      <c r="N186" t="s">
        <v>45</v>
      </c>
      <c r="O186" t="s">
        <v>46</v>
      </c>
      <c r="P186" t="s">
        <v>47</v>
      </c>
      <c r="Q186" t="s">
        <v>77</v>
      </c>
      <c r="R186" t="s">
        <v>77</v>
      </c>
      <c r="S186" t="s">
        <v>77</v>
      </c>
      <c r="T186" t="s">
        <v>49</v>
      </c>
      <c r="U186" s="4" t="s">
        <v>780</v>
      </c>
      <c r="V186" t="s">
        <v>51</v>
      </c>
      <c r="W186" s="4" t="s">
        <v>781</v>
      </c>
      <c r="X186" t="s">
        <v>53</v>
      </c>
      <c r="Y186" t="s">
        <v>53</v>
      </c>
      <c r="Z186" t="s">
        <v>53</v>
      </c>
      <c r="AA186" t="s">
        <v>53</v>
      </c>
      <c r="AB186" t="s">
        <v>53</v>
      </c>
      <c r="AC186" t="s">
        <v>53</v>
      </c>
      <c r="AD186" t="s">
        <v>35</v>
      </c>
      <c r="AE186" t="s">
        <v>53</v>
      </c>
    </row>
    <row r="187" spans="1:31" x14ac:dyDescent="0.3">
      <c r="A187" t="s">
        <v>32</v>
      </c>
      <c r="B187" t="s">
        <v>33</v>
      </c>
      <c r="C187" t="s">
        <v>74</v>
      </c>
      <c r="D187" t="s">
        <v>35</v>
      </c>
      <c r="E187" t="s">
        <v>36</v>
      </c>
      <c r="F187" t="s">
        <v>37</v>
      </c>
      <c r="G187" t="s">
        <v>38</v>
      </c>
      <c r="H187" t="s">
        <v>39</v>
      </c>
      <c r="I187" t="s">
        <v>55</v>
      </c>
      <c r="J187" t="s">
        <v>56</v>
      </c>
      <c r="K187" t="s">
        <v>42</v>
      </c>
      <c r="L187" t="s">
        <v>782</v>
      </c>
      <c r="M187" t="s">
        <v>462</v>
      </c>
      <c r="N187" t="s">
        <v>45</v>
      </c>
      <c r="O187" t="s">
        <v>46</v>
      </c>
      <c r="P187" t="s">
        <v>47</v>
      </c>
      <c r="Q187" t="s">
        <v>77</v>
      </c>
      <c r="R187" t="s">
        <v>77</v>
      </c>
      <c r="S187" t="s">
        <v>77</v>
      </c>
      <c r="T187" t="s">
        <v>49</v>
      </c>
      <c r="U187" s="4" t="s">
        <v>783</v>
      </c>
      <c r="V187" t="s">
        <v>51</v>
      </c>
      <c r="W187" s="4" t="s">
        <v>784</v>
      </c>
      <c r="X187" t="s">
        <v>53</v>
      </c>
      <c r="Y187" t="s">
        <v>53</v>
      </c>
      <c r="Z187" t="s">
        <v>53</v>
      </c>
      <c r="AA187" t="s">
        <v>53</v>
      </c>
      <c r="AB187" t="s">
        <v>53</v>
      </c>
      <c r="AC187" t="s">
        <v>53</v>
      </c>
      <c r="AD187" t="s">
        <v>35</v>
      </c>
      <c r="AE187" t="s">
        <v>53</v>
      </c>
    </row>
    <row r="188" spans="1:31" x14ac:dyDescent="0.3">
      <c r="A188" t="s">
        <v>32</v>
      </c>
      <c r="B188" t="s">
        <v>33</v>
      </c>
      <c r="C188" t="s">
        <v>54</v>
      </c>
      <c r="D188" t="s">
        <v>35</v>
      </c>
      <c r="E188" t="s">
        <v>36</v>
      </c>
      <c r="F188" t="s">
        <v>37</v>
      </c>
      <c r="G188" t="s">
        <v>38</v>
      </c>
      <c r="H188" t="s">
        <v>39</v>
      </c>
      <c r="I188" t="s">
        <v>55</v>
      </c>
      <c r="J188" t="s">
        <v>56</v>
      </c>
      <c r="K188" t="s">
        <v>42</v>
      </c>
      <c r="L188" t="s">
        <v>785</v>
      </c>
      <c r="M188" t="s">
        <v>786</v>
      </c>
      <c r="N188" t="s">
        <v>45</v>
      </c>
      <c r="O188" t="s">
        <v>46</v>
      </c>
      <c r="P188" t="s">
        <v>47</v>
      </c>
      <c r="Q188" t="s">
        <v>64</v>
      </c>
      <c r="R188" t="s">
        <v>64</v>
      </c>
      <c r="S188" t="s">
        <v>64</v>
      </c>
      <c r="T188" t="s">
        <v>49</v>
      </c>
      <c r="U188" s="4" t="s">
        <v>787</v>
      </c>
      <c r="V188" t="s">
        <v>66</v>
      </c>
      <c r="W188" s="4" t="s">
        <v>788</v>
      </c>
      <c r="X188" t="s">
        <v>53</v>
      </c>
      <c r="Y188" t="s">
        <v>53</v>
      </c>
      <c r="Z188" t="s">
        <v>53</v>
      </c>
      <c r="AA188" t="s">
        <v>53</v>
      </c>
      <c r="AB188" t="s">
        <v>53</v>
      </c>
      <c r="AC188" t="s">
        <v>53</v>
      </c>
      <c r="AD188" t="s">
        <v>35</v>
      </c>
      <c r="AE188" t="s">
        <v>53</v>
      </c>
    </row>
    <row r="189" spans="1:31" x14ac:dyDescent="0.3">
      <c r="A189" t="s">
        <v>32</v>
      </c>
      <c r="B189" t="s">
        <v>33</v>
      </c>
      <c r="C189" t="s">
        <v>54</v>
      </c>
      <c r="D189" t="s">
        <v>35</v>
      </c>
      <c r="E189" t="s">
        <v>36</v>
      </c>
      <c r="F189" t="s">
        <v>37</v>
      </c>
      <c r="G189" t="s">
        <v>38</v>
      </c>
      <c r="H189" t="s">
        <v>39</v>
      </c>
      <c r="I189" t="s">
        <v>125</v>
      </c>
      <c r="J189" t="s">
        <v>126</v>
      </c>
      <c r="K189" t="s">
        <v>42</v>
      </c>
      <c r="L189" t="s">
        <v>789</v>
      </c>
      <c r="M189" t="s">
        <v>208</v>
      </c>
      <c r="N189" t="s">
        <v>45</v>
      </c>
      <c r="O189" t="s">
        <v>46</v>
      </c>
      <c r="P189" t="s">
        <v>47</v>
      </c>
      <c r="Q189" t="s">
        <v>209</v>
      </c>
      <c r="R189" t="s">
        <v>209</v>
      </c>
      <c r="S189" t="s">
        <v>209</v>
      </c>
      <c r="T189" t="s">
        <v>49</v>
      </c>
      <c r="U189" s="4" t="s">
        <v>790</v>
      </c>
      <c r="V189" t="s">
        <v>51</v>
      </c>
      <c r="W189" s="4" t="s">
        <v>791</v>
      </c>
      <c r="X189" t="s">
        <v>53</v>
      </c>
      <c r="Y189" t="s">
        <v>53</v>
      </c>
      <c r="Z189" t="s">
        <v>53</v>
      </c>
      <c r="AA189" t="s">
        <v>53</v>
      </c>
      <c r="AB189" t="s">
        <v>53</v>
      </c>
      <c r="AC189" t="s">
        <v>53</v>
      </c>
      <c r="AD189" t="s">
        <v>35</v>
      </c>
      <c r="AE189" t="s">
        <v>53</v>
      </c>
    </row>
    <row r="190" spans="1:31" x14ac:dyDescent="0.3">
      <c r="A190" t="s">
        <v>32</v>
      </c>
      <c r="B190" t="s">
        <v>33</v>
      </c>
      <c r="C190" t="s">
        <v>74</v>
      </c>
      <c r="D190" t="s">
        <v>35</v>
      </c>
      <c r="E190" t="s">
        <v>36</v>
      </c>
      <c r="F190" t="s">
        <v>37</v>
      </c>
      <c r="G190" t="s">
        <v>38</v>
      </c>
      <c r="H190" t="s">
        <v>39</v>
      </c>
      <c r="I190" t="s">
        <v>55</v>
      </c>
      <c r="J190" t="s">
        <v>56</v>
      </c>
      <c r="K190" t="s">
        <v>42</v>
      </c>
      <c r="L190" t="s">
        <v>792</v>
      </c>
      <c r="M190" t="s">
        <v>793</v>
      </c>
      <c r="N190" t="s">
        <v>45</v>
      </c>
      <c r="O190" t="s">
        <v>46</v>
      </c>
      <c r="P190" t="s">
        <v>47</v>
      </c>
      <c r="Q190" t="s">
        <v>77</v>
      </c>
      <c r="R190" t="s">
        <v>77</v>
      </c>
      <c r="S190" t="s">
        <v>77</v>
      </c>
      <c r="T190" t="s">
        <v>49</v>
      </c>
      <c r="U190" s="4" t="s">
        <v>794</v>
      </c>
      <c r="V190" t="s">
        <v>51</v>
      </c>
      <c r="W190" s="4" t="s">
        <v>795</v>
      </c>
      <c r="X190" t="s">
        <v>53</v>
      </c>
      <c r="Y190" t="s">
        <v>53</v>
      </c>
      <c r="Z190" t="s">
        <v>53</v>
      </c>
      <c r="AA190" t="s">
        <v>53</v>
      </c>
      <c r="AB190" t="s">
        <v>53</v>
      </c>
      <c r="AC190" t="s">
        <v>53</v>
      </c>
      <c r="AD190" t="s">
        <v>35</v>
      </c>
      <c r="AE190" t="s">
        <v>53</v>
      </c>
    </row>
    <row r="191" spans="1:31" x14ac:dyDescent="0.3">
      <c r="A191" t="s">
        <v>32</v>
      </c>
      <c r="B191" t="s">
        <v>33</v>
      </c>
      <c r="C191" t="s">
        <v>80</v>
      </c>
      <c r="D191" t="s">
        <v>35</v>
      </c>
      <c r="E191" t="s">
        <v>36</v>
      </c>
      <c r="F191" t="s">
        <v>37</v>
      </c>
      <c r="G191" t="s">
        <v>38</v>
      </c>
      <c r="H191" t="s">
        <v>39</v>
      </c>
      <c r="I191" t="s">
        <v>125</v>
      </c>
      <c r="J191" t="s">
        <v>126</v>
      </c>
      <c r="K191" t="s">
        <v>42</v>
      </c>
      <c r="L191" t="s">
        <v>796</v>
      </c>
      <c r="M191" t="s">
        <v>586</v>
      </c>
      <c r="N191" t="s">
        <v>45</v>
      </c>
      <c r="O191" t="s">
        <v>46</v>
      </c>
      <c r="P191" t="s">
        <v>47</v>
      </c>
      <c r="Q191" t="s">
        <v>797</v>
      </c>
      <c r="R191" t="s">
        <v>797</v>
      </c>
      <c r="S191" t="s">
        <v>797</v>
      </c>
      <c r="T191" t="s">
        <v>49</v>
      </c>
      <c r="U191" s="4" t="s">
        <v>798</v>
      </c>
      <c r="V191" t="s">
        <v>107</v>
      </c>
      <c r="W191" s="4" t="s">
        <v>799</v>
      </c>
      <c r="X191" t="s">
        <v>53</v>
      </c>
      <c r="Y191" t="s">
        <v>53</v>
      </c>
      <c r="Z191" t="s">
        <v>53</v>
      </c>
      <c r="AA191" t="s">
        <v>53</v>
      </c>
      <c r="AB191" t="s">
        <v>53</v>
      </c>
      <c r="AC191" t="s">
        <v>53</v>
      </c>
      <c r="AD191" t="s">
        <v>35</v>
      </c>
      <c r="AE191" t="s">
        <v>53</v>
      </c>
    </row>
    <row r="192" spans="1:31" x14ac:dyDescent="0.3">
      <c r="A192" t="s">
        <v>32</v>
      </c>
      <c r="B192" t="s">
        <v>33</v>
      </c>
      <c r="C192" t="s">
        <v>34</v>
      </c>
      <c r="D192" t="s">
        <v>35</v>
      </c>
      <c r="E192" t="s">
        <v>36</v>
      </c>
      <c r="F192" t="s">
        <v>37</v>
      </c>
      <c r="G192" t="s">
        <v>38</v>
      </c>
      <c r="H192" t="s">
        <v>39</v>
      </c>
      <c r="I192" t="s">
        <v>101</v>
      </c>
      <c r="J192" t="s">
        <v>102</v>
      </c>
      <c r="K192" t="s">
        <v>42</v>
      </c>
      <c r="L192" t="s">
        <v>800</v>
      </c>
      <c r="M192" t="s">
        <v>801</v>
      </c>
      <c r="N192" t="s">
        <v>45</v>
      </c>
      <c r="O192" t="s">
        <v>46</v>
      </c>
      <c r="P192" t="s">
        <v>47</v>
      </c>
      <c r="Q192" t="s">
        <v>802</v>
      </c>
      <c r="R192" t="s">
        <v>802</v>
      </c>
      <c r="S192" t="s">
        <v>802</v>
      </c>
      <c r="T192" t="s">
        <v>49</v>
      </c>
      <c r="U192" s="4" t="s">
        <v>803</v>
      </c>
      <c r="V192" t="s">
        <v>51</v>
      </c>
      <c r="W192" s="4" t="s">
        <v>804</v>
      </c>
      <c r="X192" t="s">
        <v>53</v>
      </c>
      <c r="Y192" t="s">
        <v>53</v>
      </c>
      <c r="Z192" t="s">
        <v>53</v>
      </c>
      <c r="AA192" t="s">
        <v>53</v>
      </c>
      <c r="AB192" t="s">
        <v>53</v>
      </c>
      <c r="AC192" t="s">
        <v>53</v>
      </c>
      <c r="AD192" t="s">
        <v>35</v>
      </c>
      <c r="AE192" t="s">
        <v>53</v>
      </c>
    </row>
    <row r="193" spans="1:31" x14ac:dyDescent="0.3">
      <c r="A193" t="s">
        <v>32</v>
      </c>
      <c r="B193" t="s">
        <v>33</v>
      </c>
      <c r="C193" t="s">
        <v>54</v>
      </c>
      <c r="D193" t="s">
        <v>35</v>
      </c>
      <c r="E193" t="s">
        <v>36</v>
      </c>
      <c r="F193" t="s">
        <v>37</v>
      </c>
      <c r="G193" t="s">
        <v>38</v>
      </c>
      <c r="H193" t="s">
        <v>39</v>
      </c>
      <c r="I193" t="s">
        <v>55</v>
      </c>
      <c r="J193" t="s">
        <v>56</v>
      </c>
      <c r="K193" t="s">
        <v>42</v>
      </c>
      <c r="L193" t="s">
        <v>805</v>
      </c>
      <c r="M193" t="s">
        <v>806</v>
      </c>
      <c r="N193" t="s">
        <v>45</v>
      </c>
      <c r="O193" t="s">
        <v>46</v>
      </c>
      <c r="P193" t="s">
        <v>47</v>
      </c>
      <c r="Q193" t="s">
        <v>189</v>
      </c>
      <c r="R193" t="s">
        <v>189</v>
      </c>
      <c r="S193" t="s">
        <v>189</v>
      </c>
      <c r="T193" t="s">
        <v>49</v>
      </c>
      <c r="U193" s="4" t="s">
        <v>807</v>
      </c>
      <c r="V193" t="s">
        <v>66</v>
      </c>
      <c r="W193" s="4" t="s">
        <v>808</v>
      </c>
      <c r="X193" t="s">
        <v>53</v>
      </c>
      <c r="Y193" t="s">
        <v>53</v>
      </c>
      <c r="Z193" t="s">
        <v>53</v>
      </c>
      <c r="AA193" t="s">
        <v>53</v>
      </c>
      <c r="AB193" t="s">
        <v>53</v>
      </c>
      <c r="AC193" t="s">
        <v>53</v>
      </c>
      <c r="AD193" t="s">
        <v>35</v>
      </c>
      <c r="AE193" t="s">
        <v>53</v>
      </c>
    </row>
    <row r="194" spans="1:31" x14ac:dyDescent="0.3">
      <c r="A194" t="s">
        <v>32</v>
      </c>
      <c r="B194" t="s">
        <v>33</v>
      </c>
      <c r="C194" t="s">
        <v>54</v>
      </c>
      <c r="D194" t="s">
        <v>35</v>
      </c>
      <c r="E194" t="s">
        <v>36</v>
      </c>
      <c r="F194" t="s">
        <v>37</v>
      </c>
      <c r="G194" t="s">
        <v>38</v>
      </c>
      <c r="H194" t="s">
        <v>39</v>
      </c>
      <c r="I194" t="s">
        <v>809</v>
      </c>
      <c r="J194" t="s">
        <v>810</v>
      </c>
      <c r="K194" t="s">
        <v>42</v>
      </c>
      <c r="L194" t="s">
        <v>811</v>
      </c>
      <c r="M194" t="s">
        <v>812</v>
      </c>
      <c r="N194" t="s">
        <v>45</v>
      </c>
      <c r="O194" t="s">
        <v>46</v>
      </c>
      <c r="P194" t="s">
        <v>47</v>
      </c>
      <c r="Q194" t="s">
        <v>380</v>
      </c>
      <c r="R194" t="s">
        <v>380</v>
      </c>
      <c r="S194" t="s">
        <v>380</v>
      </c>
      <c r="T194" t="s">
        <v>49</v>
      </c>
      <c r="U194" s="4" t="s">
        <v>813</v>
      </c>
      <c r="V194" t="s">
        <v>87</v>
      </c>
      <c r="W194" s="4" t="s">
        <v>814</v>
      </c>
      <c r="X194" t="s">
        <v>53</v>
      </c>
      <c r="Y194" t="s">
        <v>53</v>
      </c>
      <c r="Z194" t="s">
        <v>53</v>
      </c>
      <c r="AA194" t="s">
        <v>53</v>
      </c>
      <c r="AB194" t="s">
        <v>53</v>
      </c>
      <c r="AC194" t="s">
        <v>53</v>
      </c>
      <c r="AD194" t="s">
        <v>35</v>
      </c>
      <c r="AE194" t="s">
        <v>53</v>
      </c>
    </row>
    <row r="195" spans="1:31" x14ac:dyDescent="0.3">
      <c r="A195" t="s">
        <v>32</v>
      </c>
      <c r="B195" t="s">
        <v>33</v>
      </c>
      <c r="C195" t="s">
        <v>54</v>
      </c>
      <c r="D195" t="s">
        <v>35</v>
      </c>
      <c r="E195" t="s">
        <v>36</v>
      </c>
      <c r="F195" t="s">
        <v>37</v>
      </c>
      <c r="G195" t="s">
        <v>38</v>
      </c>
      <c r="H195" t="s">
        <v>39</v>
      </c>
      <c r="I195" t="s">
        <v>55</v>
      </c>
      <c r="J195" t="s">
        <v>56</v>
      </c>
      <c r="K195" t="s">
        <v>42</v>
      </c>
      <c r="L195" t="s">
        <v>815</v>
      </c>
      <c r="M195" t="s">
        <v>816</v>
      </c>
      <c r="N195" t="s">
        <v>45</v>
      </c>
      <c r="O195" t="s">
        <v>46</v>
      </c>
      <c r="P195" t="s">
        <v>47</v>
      </c>
      <c r="Q195" t="s">
        <v>111</v>
      </c>
      <c r="R195" t="s">
        <v>111</v>
      </c>
      <c r="S195" t="s">
        <v>111</v>
      </c>
      <c r="T195" t="s">
        <v>49</v>
      </c>
      <c r="U195" s="4" t="s">
        <v>817</v>
      </c>
      <c r="V195" t="s">
        <v>107</v>
      </c>
      <c r="W195" s="4" t="s">
        <v>818</v>
      </c>
      <c r="X195" t="s">
        <v>53</v>
      </c>
      <c r="Y195" t="s">
        <v>53</v>
      </c>
      <c r="Z195" t="s">
        <v>53</v>
      </c>
      <c r="AA195" t="s">
        <v>53</v>
      </c>
      <c r="AB195" t="s">
        <v>53</v>
      </c>
      <c r="AC195" t="s">
        <v>53</v>
      </c>
      <c r="AD195" t="s">
        <v>35</v>
      </c>
      <c r="AE195" t="s">
        <v>53</v>
      </c>
    </row>
    <row r="196" spans="1:31" x14ac:dyDescent="0.3">
      <c r="A196" t="s">
        <v>32</v>
      </c>
      <c r="B196" t="s">
        <v>33</v>
      </c>
      <c r="C196" t="s">
        <v>54</v>
      </c>
      <c r="D196" t="s">
        <v>35</v>
      </c>
      <c r="E196" t="s">
        <v>36</v>
      </c>
      <c r="F196" t="s">
        <v>37</v>
      </c>
      <c r="G196" t="s">
        <v>38</v>
      </c>
      <c r="H196" t="s">
        <v>39</v>
      </c>
      <c r="I196" t="s">
        <v>55</v>
      </c>
      <c r="J196" t="s">
        <v>56</v>
      </c>
      <c r="K196" t="s">
        <v>42</v>
      </c>
      <c r="L196" t="s">
        <v>819</v>
      </c>
      <c r="M196" t="s">
        <v>820</v>
      </c>
      <c r="N196" t="s">
        <v>45</v>
      </c>
      <c r="O196" t="s">
        <v>46</v>
      </c>
      <c r="P196" t="s">
        <v>47</v>
      </c>
      <c r="Q196" t="s">
        <v>111</v>
      </c>
      <c r="R196" t="s">
        <v>111</v>
      </c>
      <c r="S196" t="s">
        <v>111</v>
      </c>
      <c r="T196" t="s">
        <v>49</v>
      </c>
      <c r="U196" s="4" t="s">
        <v>821</v>
      </c>
      <c r="V196" t="s">
        <v>107</v>
      </c>
      <c r="W196" s="4" t="s">
        <v>822</v>
      </c>
      <c r="X196" t="s">
        <v>53</v>
      </c>
      <c r="Y196" t="s">
        <v>53</v>
      </c>
      <c r="Z196" t="s">
        <v>53</v>
      </c>
      <c r="AA196" t="s">
        <v>53</v>
      </c>
      <c r="AB196" t="s">
        <v>53</v>
      </c>
      <c r="AC196" t="s">
        <v>53</v>
      </c>
      <c r="AD196" t="s">
        <v>35</v>
      </c>
      <c r="AE196" t="s">
        <v>53</v>
      </c>
    </row>
    <row r="197" spans="1:31" x14ac:dyDescent="0.3">
      <c r="A197" t="s">
        <v>32</v>
      </c>
      <c r="B197" t="s">
        <v>33</v>
      </c>
      <c r="C197" t="s">
        <v>74</v>
      </c>
      <c r="D197" t="s">
        <v>35</v>
      </c>
      <c r="E197" t="s">
        <v>36</v>
      </c>
      <c r="F197" t="s">
        <v>37</v>
      </c>
      <c r="G197" t="s">
        <v>38</v>
      </c>
      <c r="H197" t="s">
        <v>39</v>
      </c>
      <c r="I197" t="s">
        <v>55</v>
      </c>
      <c r="J197" t="s">
        <v>56</v>
      </c>
      <c r="K197" t="s">
        <v>42</v>
      </c>
      <c r="L197" t="s">
        <v>823</v>
      </c>
      <c r="M197" t="s">
        <v>824</v>
      </c>
      <c r="N197" t="s">
        <v>45</v>
      </c>
      <c r="O197" t="s">
        <v>46</v>
      </c>
      <c r="P197" t="s">
        <v>47</v>
      </c>
      <c r="Q197" t="s">
        <v>77</v>
      </c>
      <c r="R197" t="s">
        <v>77</v>
      </c>
      <c r="S197" t="s">
        <v>77</v>
      </c>
      <c r="T197" t="s">
        <v>49</v>
      </c>
      <c r="U197" s="4" t="s">
        <v>825</v>
      </c>
      <c r="V197" t="s">
        <v>51</v>
      </c>
      <c r="W197" s="4" t="s">
        <v>826</v>
      </c>
      <c r="X197" t="s">
        <v>53</v>
      </c>
      <c r="Y197" t="s">
        <v>53</v>
      </c>
      <c r="Z197" t="s">
        <v>53</v>
      </c>
      <c r="AA197" t="s">
        <v>53</v>
      </c>
      <c r="AB197" t="s">
        <v>53</v>
      </c>
      <c r="AC197" t="s">
        <v>53</v>
      </c>
      <c r="AD197" t="s">
        <v>35</v>
      </c>
      <c r="AE197" t="s">
        <v>53</v>
      </c>
    </row>
    <row r="198" spans="1:31" x14ac:dyDescent="0.3">
      <c r="A198" t="s">
        <v>32</v>
      </c>
      <c r="B198" t="s">
        <v>33</v>
      </c>
      <c r="C198" t="s">
        <v>54</v>
      </c>
      <c r="D198" t="s">
        <v>35</v>
      </c>
      <c r="E198" t="s">
        <v>36</v>
      </c>
      <c r="F198" t="s">
        <v>37</v>
      </c>
      <c r="G198" t="s">
        <v>38</v>
      </c>
      <c r="H198" t="s">
        <v>39</v>
      </c>
      <c r="I198" t="s">
        <v>55</v>
      </c>
      <c r="J198" t="s">
        <v>56</v>
      </c>
      <c r="K198" t="s">
        <v>42</v>
      </c>
      <c r="L198" t="s">
        <v>827</v>
      </c>
      <c r="M198" t="s">
        <v>828</v>
      </c>
      <c r="N198" t="s">
        <v>45</v>
      </c>
      <c r="O198" t="s">
        <v>46</v>
      </c>
      <c r="P198" t="s">
        <v>47</v>
      </c>
      <c r="Q198" t="s">
        <v>70</v>
      </c>
      <c r="R198" t="s">
        <v>70</v>
      </c>
      <c r="S198" t="s">
        <v>70</v>
      </c>
      <c r="T198" t="s">
        <v>49</v>
      </c>
      <c r="U198" s="4" t="s">
        <v>829</v>
      </c>
      <c r="V198" t="s">
        <v>72</v>
      </c>
      <c r="W198" s="4" t="s">
        <v>830</v>
      </c>
      <c r="X198" t="s">
        <v>53</v>
      </c>
      <c r="Y198" t="s">
        <v>53</v>
      </c>
      <c r="Z198" t="s">
        <v>53</v>
      </c>
      <c r="AA198" t="s">
        <v>53</v>
      </c>
      <c r="AB198" t="s">
        <v>53</v>
      </c>
      <c r="AC198" t="s">
        <v>53</v>
      </c>
      <c r="AD198" t="s">
        <v>35</v>
      </c>
      <c r="AE198" t="s">
        <v>53</v>
      </c>
    </row>
    <row r="199" spans="1:31" x14ac:dyDescent="0.3">
      <c r="A199" t="s">
        <v>32</v>
      </c>
      <c r="B199" t="s">
        <v>33</v>
      </c>
      <c r="C199" t="s">
        <v>80</v>
      </c>
      <c r="D199" t="s">
        <v>35</v>
      </c>
      <c r="E199" t="s">
        <v>36</v>
      </c>
      <c r="F199" t="s">
        <v>37</v>
      </c>
      <c r="G199" t="s">
        <v>38</v>
      </c>
      <c r="H199" t="s">
        <v>39</v>
      </c>
      <c r="I199" t="s">
        <v>125</v>
      </c>
      <c r="J199" t="s">
        <v>126</v>
      </c>
      <c r="K199" t="s">
        <v>42</v>
      </c>
      <c r="L199" t="s">
        <v>143</v>
      </c>
      <c r="M199" t="s">
        <v>144</v>
      </c>
      <c r="N199" t="s">
        <v>45</v>
      </c>
      <c r="O199" t="s">
        <v>46</v>
      </c>
      <c r="P199" t="s">
        <v>47</v>
      </c>
      <c r="Q199" t="s">
        <v>145</v>
      </c>
      <c r="R199" t="s">
        <v>145</v>
      </c>
      <c r="S199" t="s">
        <v>145</v>
      </c>
      <c r="T199" t="s">
        <v>49</v>
      </c>
      <c r="U199" s="4" t="s">
        <v>831</v>
      </c>
      <c r="V199" t="s">
        <v>51</v>
      </c>
      <c r="W199" s="4" t="s">
        <v>832</v>
      </c>
      <c r="X199" t="s">
        <v>53</v>
      </c>
      <c r="Y199" t="s">
        <v>53</v>
      </c>
      <c r="Z199" t="s">
        <v>53</v>
      </c>
      <c r="AA199" t="s">
        <v>53</v>
      </c>
      <c r="AB199" t="s">
        <v>53</v>
      </c>
      <c r="AC199" t="s">
        <v>53</v>
      </c>
      <c r="AD199" t="s">
        <v>35</v>
      </c>
      <c r="AE199" t="s">
        <v>53</v>
      </c>
    </row>
    <row r="200" spans="1:31" x14ac:dyDescent="0.3">
      <c r="A200" t="s">
        <v>32</v>
      </c>
      <c r="B200" t="s">
        <v>33</v>
      </c>
      <c r="C200" t="s">
        <v>54</v>
      </c>
      <c r="D200" t="s">
        <v>35</v>
      </c>
      <c r="E200" t="s">
        <v>36</v>
      </c>
      <c r="F200" t="s">
        <v>37</v>
      </c>
      <c r="G200" t="s">
        <v>38</v>
      </c>
      <c r="H200" t="s">
        <v>39</v>
      </c>
      <c r="I200" t="s">
        <v>55</v>
      </c>
      <c r="J200" t="s">
        <v>56</v>
      </c>
      <c r="K200" t="s">
        <v>42</v>
      </c>
      <c r="L200" t="s">
        <v>833</v>
      </c>
      <c r="M200" t="s">
        <v>834</v>
      </c>
      <c r="N200" t="s">
        <v>45</v>
      </c>
      <c r="O200" t="s">
        <v>46</v>
      </c>
      <c r="P200" t="s">
        <v>47</v>
      </c>
      <c r="Q200" t="s">
        <v>260</v>
      </c>
      <c r="R200" t="s">
        <v>260</v>
      </c>
      <c r="S200" t="s">
        <v>260</v>
      </c>
      <c r="T200" t="s">
        <v>49</v>
      </c>
      <c r="U200" s="4" t="s">
        <v>835</v>
      </c>
      <c r="V200" t="s">
        <v>87</v>
      </c>
      <c r="W200" s="4" t="s">
        <v>836</v>
      </c>
      <c r="X200" t="s">
        <v>53</v>
      </c>
      <c r="Y200" t="s">
        <v>53</v>
      </c>
      <c r="Z200" t="s">
        <v>53</v>
      </c>
      <c r="AA200" t="s">
        <v>53</v>
      </c>
      <c r="AB200" t="s">
        <v>53</v>
      </c>
      <c r="AC200" t="s">
        <v>53</v>
      </c>
      <c r="AD200" t="s">
        <v>35</v>
      </c>
      <c r="AE200" t="s">
        <v>53</v>
      </c>
    </row>
    <row r="201" spans="1:31" x14ac:dyDescent="0.3">
      <c r="A201" t="s">
        <v>32</v>
      </c>
      <c r="B201" t="s">
        <v>33</v>
      </c>
      <c r="C201" t="s">
        <v>54</v>
      </c>
      <c r="D201" t="s">
        <v>35</v>
      </c>
      <c r="E201" t="s">
        <v>36</v>
      </c>
      <c r="F201" t="s">
        <v>37</v>
      </c>
      <c r="G201" t="s">
        <v>38</v>
      </c>
      <c r="H201" t="s">
        <v>39</v>
      </c>
      <c r="I201" t="s">
        <v>55</v>
      </c>
      <c r="J201" t="s">
        <v>56</v>
      </c>
      <c r="K201" t="s">
        <v>42</v>
      </c>
      <c r="L201" t="s">
        <v>837</v>
      </c>
      <c r="M201" t="s">
        <v>63</v>
      </c>
      <c r="N201" t="s">
        <v>45</v>
      </c>
      <c r="O201" t="s">
        <v>46</v>
      </c>
      <c r="P201" t="s">
        <v>47</v>
      </c>
      <c r="Q201" t="s">
        <v>368</v>
      </c>
      <c r="R201" t="s">
        <v>368</v>
      </c>
      <c r="S201" t="s">
        <v>368</v>
      </c>
      <c r="T201" t="s">
        <v>49</v>
      </c>
      <c r="U201" s="4" t="s">
        <v>838</v>
      </c>
      <c r="V201" t="s">
        <v>51</v>
      </c>
      <c r="W201" s="4" t="s">
        <v>839</v>
      </c>
      <c r="X201" t="s">
        <v>53</v>
      </c>
      <c r="Y201" t="s">
        <v>53</v>
      </c>
      <c r="Z201" t="s">
        <v>53</v>
      </c>
      <c r="AA201" t="s">
        <v>53</v>
      </c>
      <c r="AB201" t="s">
        <v>53</v>
      </c>
      <c r="AC201" t="s">
        <v>53</v>
      </c>
      <c r="AD201" t="s">
        <v>35</v>
      </c>
      <c r="AE201" t="s">
        <v>53</v>
      </c>
    </row>
    <row r="202" spans="1:31" x14ac:dyDescent="0.3">
      <c r="A202" t="s">
        <v>32</v>
      </c>
      <c r="B202" t="s">
        <v>33</v>
      </c>
      <c r="C202" t="s">
        <v>54</v>
      </c>
      <c r="D202" t="s">
        <v>35</v>
      </c>
      <c r="E202" t="s">
        <v>36</v>
      </c>
      <c r="F202" t="s">
        <v>37</v>
      </c>
      <c r="G202" t="s">
        <v>38</v>
      </c>
      <c r="H202" t="s">
        <v>39</v>
      </c>
      <c r="I202" t="s">
        <v>55</v>
      </c>
      <c r="J202" t="s">
        <v>56</v>
      </c>
      <c r="K202" t="s">
        <v>42</v>
      </c>
      <c r="L202" t="s">
        <v>840</v>
      </c>
      <c r="M202" t="s">
        <v>841</v>
      </c>
      <c r="N202" t="s">
        <v>45</v>
      </c>
      <c r="O202" t="s">
        <v>46</v>
      </c>
      <c r="P202" t="s">
        <v>47</v>
      </c>
      <c r="Q202" t="s">
        <v>368</v>
      </c>
      <c r="R202" t="s">
        <v>368</v>
      </c>
      <c r="S202" t="s">
        <v>368</v>
      </c>
      <c r="T202" t="s">
        <v>49</v>
      </c>
      <c r="U202" s="4" t="s">
        <v>842</v>
      </c>
      <c r="V202" t="s">
        <v>51</v>
      </c>
      <c r="W202" s="4" t="s">
        <v>843</v>
      </c>
      <c r="X202" t="s">
        <v>53</v>
      </c>
      <c r="Y202" t="s">
        <v>53</v>
      </c>
      <c r="Z202" t="s">
        <v>53</v>
      </c>
      <c r="AA202" t="s">
        <v>53</v>
      </c>
      <c r="AB202" t="s">
        <v>53</v>
      </c>
      <c r="AC202" t="s">
        <v>53</v>
      </c>
      <c r="AD202" t="s">
        <v>35</v>
      </c>
      <c r="AE202" t="s">
        <v>53</v>
      </c>
    </row>
    <row r="203" spans="1:31" x14ac:dyDescent="0.3">
      <c r="A203" t="s">
        <v>32</v>
      </c>
      <c r="B203" t="s">
        <v>33</v>
      </c>
      <c r="C203" t="s">
        <v>54</v>
      </c>
      <c r="D203" t="s">
        <v>35</v>
      </c>
      <c r="E203" t="s">
        <v>36</v>
      </c>
      <c r="F203" t="s">
        <v>37</v>
      </c>
      <c r="G203" t="s">
        <v>38</v>
      </c>
      <c r="H203" t="s">
        <v>39</v>
      </c>
      <c r="I203" t="s">
        <v>125</v>
      </c>
      <c r="J203" t="s">
        <v>126</v>
      </c>
      <c r="K203" t="s">
        <v>42</v>
      </c>
      <c r="L203" t="s">
        <v>258</v>
      </c>
      <c r="M203" t="s">
        <v>259</v>
      </c>
      <c r="N203" t="s">
        <v>45</v>
      </c>
      <c r="O203" t="s">
        <v>46</v>
      </c>
      <c r="P203" t="s">
        <v>47</v>
      </c>
      <c r="Q203" t="s">
        <v>260</v>
      </c>
      <c r="R203" t="s">
        <v>260</v>
      </c>
      <c r="S203" t="s">
        <v>260</v>
      </c>
      <c r="T203" t="s">
        <v>49</v>
      </c>
      <c r="U203" s="4" t="s">
        <v>844</v>
      </c>
      <c r="V203" t="s">
        <v>51</v>
      </c>
      <c r="W203" s="4" t="s">
        <v>845</v>
      </c>
      <c r="X203" t="s">
        <v>53</v>
      </c>
      <c r="Y203" t="s">
        <v>53</v>
      </c>
      <c r="Z203" t="s">
        <v>53</v>
      </c>
      <c r="AA203" t="s">
        <v>53</v>
      </c>
      <c r="AB203" t="s">
        <v>53</v>
      </c>
      <c r="AC203" t="s">
        <v>53</v>
      </c>
      <c r="AD203" t="s">
        <v>35</v>
      </c>
      <c r="AE203" t="s">
        <v>53</v>
      </c>
    </row>
    <row r="204" spans="1:31" x14ac:dyDescent="0.3">
      <c r="A204" t="s">
        <v>32</v>
      </c>
      <c r="B204" t="s">
        <v>33</v>
      </c>
      <c r="C204" t="s">
        <v>54</v>
      </c>
      <c r="D204" t="s">
        <v>35</v>
      </c>
      <c r="E204" t="s">
        <v>36</v>
      </c>
      <c r="F204" t="s">
        <v>37</v>
      </c>
      <c r="G204" t="s">
        <v>38</v>
      </c>
      <c r="H204" t="s">
        <v>39</v>
      </c>
      <c r="I204" t="s">
        <v>125</v>
      </c>
      <c r="J204" t="s">
        <v>126</v>
      </c>
      <c r="K204" t="s">
        <v>42</v>
      </c>
      <c r="L204" t="s">
        <v>457</v>
      </c>
      <c r="M204" t="s">
        <v>458</v>
      </c>
      <c r="N204" t="s">
        <v>45</v>
      </c>
      <c r="O204" t="s">
        <v>46</v>
      </c>
      <c r="P204" t="s">
        <v>47</v>
      </c>
      <c r="Q204" t="s">
        <v>260</v>
      </c>
      <c r="R204" t="s">
        <v>260</v>
      </c>
      <c r="S204" t="s">
        <v>260</v>
      </c>
      <c r="T204" t="s">
        <v>49</v>
      </c>
      <c r="U204" s="4" t="s">
        <v>360</v>
      </c>
      <c r="V204" t="s">
        <v>51</v>
      </c>
      <c r="W204" s="4" t="s">
        <v>361</v>
      </c>
      <c r="X204" t="s">
        <v>53</v>
      </c>
      <c r="Y204" t="s">
        <v>53</v>
      </c>
      <c r="Z204" t="s">
        <v>53</v>
      </c>
      <c r="AA204" t="s">
        <v>53</v>
      </c>
      <c r="AB204" t="s">
        <v>53</v>
      </c>
      <c r="AC204" t="s">
        <v>53</v>
      </c>
      <c r="AD204" t="s">
        <v>35</v>
      </c>
      <c r="AE204" t="s">
        <v>53</v>
      </c>
    </row>
    <row r="205" spans="1:31" x14ac:dyDescent="0.3">
      <c r="A205" t="s">
        <v>32</v>
      </c>
      <c r="B205" t="s">
        <v>33</v>
      </c>
      <c r="C205" t="s">
        <v>54</v>
      </c>
      <c r="D205" t="s">
        <v>35</v>
      </c>
      <c r="E205" t="s">
        <v>36</v>
      </c>
      <c r="F205" t="s">
        <v>37</v>
      </c>
      <c r="G205" t="s">
        <v>38</v>
      </c>
      <c r="H205" t="s">
        <v>39</v>
      </c>
      <c r="I205" t="s">
        <v>55</v>
      </c>
      <c r="J205" t="s">
        <v>56</v>
      </c>
      <c r="K205" t="s">
        <v>42</v>
      </c>
      <c r="L205" t="s">
        <v>846</v>
      </c>
      <c r="M205" t="s">
        <v>110</v>
      </c>
      <c r="N205" t="s">
        <v>45</v>
      </c>
      <c r="O205" t="s">
        <v>46</v>
      </c>
      <c r="P205" t="s">
        <v>47</v>
      </c>
      <c r="Q205" t="s">
        <v>111</v>
      </c>
      <c r="R205" t="s">
        <v>111</v>
      </c>
      <c r="S205" t="s">
        <v>111</v>
      </c>
      <c r="T205" t="s">
        <v>49</v>
      </c>
      <c r="U205" s="4" t="s">
        <v>847</v>
      </c>
      <c r="V205" t="s">
        <v>51</v>
      </c>
      <c r="W205" s="4" t="s">
        <v>848</v>
      </c>
      <c r="X205" t="s">
        <v>53</v>
      </c>
      <c r="Y205" t="s">
        <v>53</v>
      </c>
      <c r="Z205" t="s">
        <v>53</v>
      </c>
      <c r="AA205" t="s">
        <v>53</v>
      </c>
      <c r="AB205" t="s">
        <v>53</v>
      </c>
      <c r="AC205" t="s">
        <v>53</v>
      </c>
      <c r="AD205" t="s">
        <v>35</v>
      </c>
      <c r="AE205" t="s">
        <v>53</v>
      </c>
    </row>
    <row r="206" spans="1:31" x14ac:dyDescent="0.3">
      <c r="A206" t="s">
        <v>32</v>
      </c>
      <c r="B206" t="s">
        <v>33</v>
      </c>
      <c r="C206" t="s">
        <v>54</v>
      </c>
      <c r="D206" t="s">
        <v>35</v>
      </c>
      <c r="E206" t="s">
        <v>36</v>
      </c>
      <c r="F206" t="s">
        <v>37</v>
      </c>
      <c r="G206" t="s">
        <v>38</v>
      </c>
      <c r="H206" t="s">
        <v>39</v>
      </c>
      <c r="I206" t="s">
        <v>125</v>
      </c>
      <c r="J206" t="s">
        <v>126</v>
      </c>
      <c r="K206" t="s">
        <v>42</v>
      </c>
      <c r="L206" t="s">
        <v>410</v>
      </c>
      <c r="M206" t="s">
        <v>411</v>
      </c>
      <c r="N206" t="s">
        <v>45</v>
      </c>
      <c r="O206" t="s">
        <v>46</v>
      </c>
      <c r="P206" t="s">
        <v>47</v>
      </c>
      <c r="Q206" t="s">
        <v>209</v>
      </c>
      <c r="R206" t="s">
        <v>209</v>
      </c>
      <c r="S206" t="s">
        <v>209</v>
      </c>
      <c r="T206" t="s">
        <v>49</v>
      </c>
      <c r="U206" s="4" t="s">
        <v>849</v>
      </c>
      <c r="V206" t="s">
        <v>51</v>
      </c>
      <c r="W206" s="4" t="s">
        <v>850</v>
      </c>
      <c r="X206" t="s">
        <v>53</v>
      </c>
      <c r="Y206" t="s">
        <v>53</v>
      </c>
      <c r="Z206" t="s">
        <v>53</v>
      </c>
      <c r="AA206" t="s">
        <v>53</v>
      </c>
      <c r="AB206" t="s">
        <v>53</v>
      </c>
      <c r="AC206" t="s">
        <v>53</v>
      </c>
      <c r="AD206" t="s">
        <v>35</v>
      </c>
      <c r="AE206" t="s">
        <v>53</v>
      </c>
    </row>
    <row r="207" spans="1:31" x14ac:dyDescent="0.3">
      <c r="A207" t="s">
        <v>32</v>
      </c>
      <c r="B207" t="s">
        <v>33</v>
      </c>
      <c r="C207" t="s">
        <v>74</v>
      </c>
      <c r="D207" t="s">
        <v>35</v>
      </c>
      <c r="E207" t="s">
        <v>36</v>
      </c>
      <c r="F207" t="s">
        <v>37</v>
      </c>
      <c r="G207" t="s">
        <v>38</v>
      </c>
      <c r="H207" t="s">
        <v>39</v>
      </c>
      <c r="I207" t="s">
        <v>55</v>
      </c>
      <c r="J207" t="s">
        <v>56</v>
      </c>
      <c r="K207" t="s">
        <v>42</v>
      </c>
      <c r="L207" t="s">
        <v>851</v>
      </c>
      <c r="M207" t="s">
        <v>852</v>
      </c>
      <c r="N207" t="s">
        <v>45</v>
      </c>
      <c r="O207" t="s">
        <v>46</v>
      </c>
      <c r="P207" t="s">
        <v>47</v>
      </c>
      <c r="Q207" t="s">
        <v>291</v>
      </c>
      <c r="R207" t="s">
        <v>291</v>
      </c>
      <c r="S207" t="s">
        <v>291</v>
      </c>
      <c r="T207" t="s">
        <v>49</v>
      </c>
      <c r="U207" s="4" t="s">
        <v>853</v>
      </c>
      <c r="V207" t="s">
        <v>66</v>
      </c>
      <c r="W207" s="4" t="s">
        <v>854</v>
      </c>
      <c r="X207" t="s">
        <v>53</v>
      </c>
      <c r="Y207" t="s">
        <v>53</v>
      </c>
      <c r="Z207" t="s">
        <v>53</v>
      </c>
      <c r="AA207" t="s">
        <v>53</v>
      </c>
      <c r="AB207" t="s">
        <v>53</v>
      </c>
      <c r="AC207" t="s">
        <v>53</v>
      </c>
      <c r="AD207" t="s">
        <v>35</v>
      </c>
      <c r="AE207" t="s">
        <v>53</v>
      </c>
    </row>
    <row r="208" spans="1:31" x14ac:dyDescent="0.3">
      <c r="A208" t="s">
        <v>32</v>
      </c>
      <c r="B208" t="s">
        <v>33</v>
      </c>
      <c r="C208" t="s">
        <v>54</v>
      </c>
      <c r="D208" t="s">
        <v>35</v>
      </c>
      <c r="E208" t="s">
        <v>36</v>
      </c>
      <c r="F208" t="s">
        <v>37</v>
      </c>
      <c r="G208" t="s">
        <v>38</v>
      </c>
      <c r="H208" t="s">
        <v>39</v>
      </c>
      <c r="I208" t="s">
        <v>55</v>
      </c>
      <c r="J208" t="s">
        <v>56</v>
      </c>
      <c r="K208" t="s">
        <v>42</v>
      </c>
      <c r="L208" t="s">
        <v>855</v>
      </c>
      <c r="M208" t="s">
        <v>856</v>
      </c>
      <c r="N208" t="s">
        <v>45</v>
      </c>
      <c r="O208" t="s">
        <v>46</v>
      </c>
      <c r="P208" t="s">
        <v>47</v>
      </c>
      <c r="Q208" t="s">
        <v>260</v>
      </c>
      <c r="R208" t="s">
        <v>260</v>
      </c>
      <c r="S208" t="s">
        <v>260</v>
      </c>
      <c r="T208" t="s">
        <v>49</v>
      </c>
      <c r="U208" s="4" t="s">
        <v>857</v>
      </c>
      <c r="V208" t="s">
        <v>51</v>
      </c>
      <c r="W208" s="4" t="s">
        <v>858</v>
      </c>
      <c r="X208" t="s">
        <v>53</v>
      </c>
      <c r="Y208" t="s">
        <v>53</v>
      </c>
      <c r="Z208" t="s">
        <v>53</v>
      </c>
      <c r="AA208" t="s">
        <v>53</v>
      </c>
      <c r="AB208" t="s">
        <v>53</v>
      </c>
      <c r="AC208" t="s">
        <v>53</v>
      </c>
      <c r="AD208" t="s">
        <v>35</v>
      </c>
      <c r="AE208" t="s">
        <v>53</v>
      </c>
    </row>
    <row r="209" spans="1:31" x14ac:dyDescent="0.3">
      <c r="A209" t="s">
        <v>32</v>
      </c>
      <c r="B209" t="s">
        <v>33</v>
      </c>
      <c r="C209" t="s">
        <v>54</v>
      </c>
      <c r="D209" t="s">
        <v>35</v>
      </c>
      <c r="E209" t="s">
        <v>36</v>
      </c>
      <c r="F209" t="s">
        <v>37</v>
      </c>
      <c r="G209" t="s">
        <v>38</v>
      </c>
      <c r="H209" t="s">
        <v>39</v>
      </c>
      <c r="I209" t="s">
        <v>55</v>
      </c>
      <c r="J209" t="s">
        <v>56</v>
      </c>
      <c r="K209" t="s">
        <v>42</v>
      </c>
      <c r="L209" t="s">
        <v>859</v>
      </c>
      <c r="M209" t="s">
        <v>704</v>
      </c>
      <c r="N209" t="s">
        <v>45</v>
      </c>
      <c r="O209" t="s">
        <v>46</v>
      </c>
      <c r="P209" t="s">
        <v>47</v>
      </c>
      <c r="Q209" t="s">
        <v>368</v>
      </c>
      <c r="R209" t="s">
        <v>368</v>
      </c>
      <c r="S209" t="s">
        <v>368</v>
      </c>
      <c r="T209" t="s">
        <v>49</v>
      </c>
      <c r="U209" s="4" t="s">
        <v>860</v>
      </c>
      <c r="V209" t="s">
        <v>51</v>
      </c>
      <c r="W209" s="4" t="s">
        <v>861</v>
      </c>
      <c r="X209" t="s">
        <v>53</v>
      </c>
      <c r="Y209" t="s">
        <v>53</v>
      </c>
      <c r="Z209" t="s">
        <v>53</v>
      </c>
      <c r="AA209" t="s">
        <v>53</v>
      </c>
      <c r="AB209" t="s">
        <v>53</v>
      </c>
      <c r="AC209" t="s">
        <v>53</v>
      </c>
      <c r="AD209" t="s">
        <v>35</v>
      </c>
      <c r="AE209" t="s">
        <v>53</v>
      </c>
    </row>
    <row r="210" spans="1:31" x14ac:dyDescent="0.3">
      <c r="A210" t="s">
        <v>32</v>
      </c>
      <c r="B210" t="s">
        <v>33</v>
      </c>
      <c r="C210" t="s">
        <v>54</v>
      </c>
      <c r="D210" t="s">
        <v>35</v>
      </c>
      <c r="E210" t="s">
        <v>36</v>
      </c>
      <c r="F210" t="s">
        <v>37</v>
      </c>
      <c r="G210" t="s">
        <v>38</v>
      </c>
      <c r="H210" t="s">
        <v>39</v>
      </c>
      <c r="I210" t="s">
        <v>55</v>
      </c>
      <c r="J210" t="s">
        <v>56</v>
      </c>
      <c r="K210" t="s">
        <v>42</v>
      </c>
      <c r="L210" t="s">
        <v>862</v>
      </c>
      <c r="M210" t="s">
        <v>863</v>
      </c>
      <c r="N210" t="s">
        <v>45</v>
      </c>
      <c r="O210" t="s">
        <v>46</v>
      </c>
      <c r="P210" t="s">
        <v>47</v>
      </c>
      <c r="Q210" t="s">
        <v>70</v>
      </c>
      <c r="R210" t="s">
        <v>70</v>
      </c>
      <c r="S210" t="s">
        <v>70</v>
      </c>
      <c r="T210" t="s">
        <v>49</v>
      </c>
      <c r="U210" s="4" t="s">
        <v>331</v>
      </c>
      <c r="V210" t="s">
        <v>66</v>
      </c>
      <c r="W210" s="4" t="s">
        <v>332</v>
      </c>
      <c r="X210" t="s">
        <v>53</v>
      </c>
      <c r="Y210" t="s">
        <v>53</v>
      </c>
      <c r="Z210" t="s">
        <v>53</v>
      </c>
      <c r="AA210" t="s">
        <v>53</v>
      </c>
      <c r="AB210" t="s">
        <v>53</v>
      </c>
      <c r="AC210" t="s">
        <v>53</v>
      </c>
      <c r="AD210" t="s">
        <v>35</v>
      </c>
      <c r="AE210" t="s">
        <v>53</v>
      </c>
    </row>
    <row r="211" spans="1:31" x14ac:dyDescent="0.3">
      <c r="A211" t="s">
        <v>32</v>
      </c>
      <c r="B211" t="s">
        <v>33</v>
      </c>
      <c r="C211" t="s">
        <v>54</v>
      </c>
      <c r="D211" t="s">
        <v>35</v>
      </c>
      <c r="E211" t="s">
        <v>36</v>
      </c>
      <c r="F211" t="s">
        <v>37</v>
      </c>
      <c r="G211" t="s">
        <v>38</v>
      </c>
      <c r="H211" t="s">
        <v>39</v>
      </c>
      <c r="I211" t="s">
        <v>55</v>
      </c>
      <c r="J211" t="s">
        <v>56</v>
      </c>
      <c r="K211" t="s">
        <v>42</v>
      </c>
      <c r="L211" t="s">
        <v>864</v>
      </c>
      <c r="M211" t="s">
        <v>865</v>
      </c>
      <c r="N211" t="s">
        <v>45</v>
      </c>
      <c r="O211" t="s">
        <v>46</v>
      </c>
      <c r="P211" t="s">
        <v>47</v>
      </c>
      <c r="Q211" t="s">
        <v>111</v>
      </c>
      <c r="R211" t="s">
        <v>111</v>
      </c>
      <c r="S211" t="s">
        <v>111</v>
      </c>
      <c r="T211" t="s">
        <v>49</v>
      </c>
      <c r="U211" s="4" t="s">
        <v>442</v>
      </c>
      <c r="V211" t="s">
        <v>51</v>
      </c>
      <c r="W211" s="4" t="s">
        <v>443</v>
      </c>
      <c r="X211" t="s">
        <v>53</v>
      </c>
      <c r="Y211" t="s">
        <v>53</v>
      </c>
      <c r="Z211" t="s">
        <v>53</v>
      </c>
      <c r="AA211" t="s">
        <v>53</v>
      </c>
      <c r="AB211" t="s">
        <v>53</v>
      </c>
      <c r="AC211" t="s">
        <v>53</v>
      </c>
      <c r="AD211" t="s">
        <v>35</v>
      </c>
      <c r="AE211" t="s">
        <v>53</v>
      </c>
    </row>
    <row r="212" spans="1:31" x14ac:dyDescent="0.3">
      <c r="A212" t="s">
        <v>32</v>
      </c>
      <c r="B212" t="s">
        <v>33</v>
      </c>
      <c r="C212" t="s">
        <v>74</v>
      </c>
      <c r="D212" t="s">
        <v>35</v>
      </c>
      <c r="E212" t="s">
        <v>36</v>
      </c>
      <c r="F212" t="s">
        <v>37</v>
      </c>
      <c r="G212" t="s">
        <v>38</v>
      </c>
      <c r="H212" t="s">
        <v>39</v>
      </c>
      <c r="I212" t="s">
        <v>55</v>
      </c>
      <c r="J212" t="s">
        <v>56</v>
      </c>
      <c r="K212" t="s">
        <v>42</v>
      </c>
      <c r="L212" t="s">
        <v>866</v>
      </c>
      <c r="M212" t="s">
        <v>867</v>
      </c>
      <c r="N212" t="s">
        <v>45</v>
      </c>
      <c r="O212" t="s">
        <v>46</v>
      </c>
      <c r="P212" t="s">
        <v>47</v>
      </c>
      <c r="Q212" t="s">
        <v>77</v>
      </c>
      <c r="R212" t="s">
        <v>77</v>
      </c>
      <c r="S212" t="s">
        <v>77</v>
      </c>
      <c r="T212" t="s">
        <v>49</v>
      </c>
      <c r="U212" s="4" t="s">
        <v>376</v>
      </c>
      <c r="V212" t="s">
        <v>51</v>
      </c>
      <c r="W212" s="4" t="s">
        <v>868</v>
      </c>
      <c r="X212" t="s">
        <v>53</v>
      </c>
      <c r="Y212" t="s">
        <v>53</v>
      </c>
      <c r="Z212" t="s">
        <v>53</v>
      </c>
      <c r="AA212" t="s">
        <v>53</v>
      </c>
      <c r="AB212" t="s">
        <v>53</v>
      </c>
      <c r="AC212" t="s">
        <v>53</v>
      </c>
      <c r="AD212" t="s">
        <v>35</v>
      </c>
      <c r="AE212" t="s">
        <v>53</v>
      </c>
    </row>
    <row r="213" spans="1:31" x14ac:dyDescent="0.3">
      <c r="A213" t="s">
        <v>32</v>
      </c>
      <c r="B213" t="s">
        <v>33</v>
      </c>
      <c r="C213" t="s">
        <v>80</v>
      </c>
      <c r="D213" t="s">
        <v>35</v>
      </c>
      <c r="E213" t="s">
        <v>36</v>
      </c>
      <c r="F213" t="s">
        <v>37</v>
      </c>
      <c r="G213" t="s">
        <v>38</v>
      </c>
      <c r="H213" t="s">
        <v>39</v>
      </c>
      <c r="I213" t="s">
        <v>40</v>
      </c>
      <c r="J213" t="s">
        <v>41</v>
      </c>
      <c r="K213" t="s">
        <v>42</v>
      </c>
      <c r="L213" t="s">
        <v>869</v>
      </c>
      <c r="M213" t="s">
        <v>870</v>
      </c>
      <c r="N213" t="s">
        <v>45</v>
      </c>
      <c r="O213" t="s">
        <v>46</v>
      </c>
      <c r="P213" t="s">
        <v>47</v>
      </c>
      <c r="Q213" t="s">
        <v>871</v>
      </c>
      <c r="R213" t="s">
        <v>871</v>
      </c>
      <c r="S213" t="s">
        <v>871</v>
      </c>
      <c r="T213" t="s">
        <v>49</v>
      </c>
      <c r="U213" s="4" t="s">
        <v>872</v>
      </c>
      <c r="V213" t="s">
        <v>87</v>
      </c>
      <c r="W213" s="4" t="s">
        <v>873</v>
      </c>
      <c r="X213" t="s">
        <v>53</v>
      </c>
      <c r="Y213" t="s">
        <v>53</v>
      </c>
      <c r="Z213" t="s">
        <v>53</v>
      </c>
      <c r="AA213" t="s">
        <v>53</v>
      </c>
      <c r="AB213" t="s">
        <v>53</v>
      </c>
      <c r="AC213" t="s">
        <v>53</v>
      </c>
      <c r="AD213" t="s">
        <v>35</v>
      </c>
      <c r="AE213" t="s">
        <v>53</v>
      </c>
    </row>
    <row r="214" spans="1:31" x14ac:dyDescent="0.3">
      <c r="A214" t="s">
        <v>32</v>
      </c>
      <c r="B214" t="s">
        <v>33</v>
      </c>
      <c r="C214" t="s">
        <v>80</v>
      </c>
      <c r="D214" t="s">
        <v>35</v>
      </c>
      <c r="E214" t="s">
        <v>36</v>
      </c>
      <c r="F214" t="s">
        <v>37</v>
      </c>
      <c r="G214" t="s">
        <v>38</v>
      </c>
      <c r="H214" t="s">
        <v>39</v>
      </c>
      <c r="I214" t="s">
        <v>125</v>
      </c>
      <c r="J214" t="s">
        <v>126</v>
      </c>
      <c r="K214" t="s">
        <v>42</v>
      </c>
      <c r="L214" t="s">
        <v>426</v>
      </c>
      <c r="M214" t="s">
        <v>427</v>
      </c>
      <c r="N214" t="s">
        <v>45</v>
      </c>
      <c r="O214" t="s">
        <v>46</v>
      </c>
      <c r="P214" t="s">
        <v>47</v>
      </c>
      <c r="Q214" t="s">
        <v>428</v>
      </c>
      <c r="R214" t="s">
        <v>428</v>
      </c>
      <c r="S214" t="s">
        <v>428</v>
      </c>
      <c r="T214" t="s">
        <v>49</v>
      </c>
      <c r="U214" s="4" t="s">
        <v>262</v>
      </c>
      <c r="V214" t="s">
        <v>51</v>
      </c>
      <c r="W214" s="4" t="s">
        <v>874</v>
      </c>
      <c r="X214" t="s">
        <v>53</v>
      </c>
      <c r="Y214" t="s">
        <v>53</v>
      </c>
      <c r="Z214" t="s">
        <v>53</v>
      </c>
      <c r="AA214" t="s">
        <v>53</v>
      </c>
      <c r="AB214" t="s">
        <v>53</v>
      </c>
      <c r="AC214" t="s">
        <v>53</v>
      </c>
      <c r="AD214" t="s">
        <v>35</v>
      </c>
      <c r="AE214" t="s">
        <v>53</v>
      </c>
    </row>
    <row r="215" spans="1:31" x14ac:dyDescent="0.3">
      <c r="A215" t="s">
        <v>32</v>
      </c>
      <c r="B215" t="s">
        <v>33</v>
      </c>
      <c r="C215" t="s">
        <v>74</v>
      </c>
      <c r="D215" t="s">
        <v>35</v>
      </c>
      <c r="E215" t="s">
        <v>36</v>
      </c>
      <c r="F215" t="s">
        <v>37</v>
      </c>
      <c r="G215" t="s">
        <v>38</v>
      </c>
      <c r="H215" t="s">
        <v>39</v>
      </c>
      <c r="I215" t="s">
        <v>55</v>
      </c>
      <c r="J215" t="s">
        <v>56</v>
      </c>
      <c r="K215" t="s">
        <v>42</v>
      </c>
      <c r="L215" t="s">
        <v>875</v>
      </c>
      <c r="M215" t="s">
        <v>640</v>
      </c>
      <c r="N215" t="s">
        <v>45</v>
      </c>
      <c r="O215" t="s">
        <v>46</v>
      </c>
      <c r="P215" t="s">
        <v>47</v>
      </c>
      <c r="Q215" t="s">
        <v>641</v>
      </c>
      <c r="R215" t="s">
        <v>641</v>
      </c>
      <c r="S215" t="s">
        <v>641</v>
      </c>
      <c r="T215" t="s">
        <v>49</v>
      </c>
      <c r="U215" s="4" t="s">
        <v>876</v>
      </c>
      <c r="V215" t="s">
        <v>51</v>
      </c>
      <c r="W215" s="4" t="s">
        <v>877</v>
      </c>
      <c r="X215" t="s">
        <v>53</v>
      </c>
      <c r="Y215" t="s">
        <v>53</v>
      </c>
      <c r="Z215" t="s">
        <v>53</v>
      </c>
      <c r="AA215" t="s">
        <v>53</v>
      </c>
      <c r="AB215" t="s">
        <v>53</v>
      </c>
      <c r="AC215" t="s">
        <v>53</v>
      </c>
      <c r="AD215" t="s">
        <v>35</v>
      </c>
      <c r="AE215" t="s">
        <v>53</v>
      </c>
    </row>
    <row r="216" spans="1:31" x14ac:dyDescent="0.3">
      <c r="A216" t="s">
        <v>32</v>
      </c>
      <c r="B216" t="s">
        <v>33</v>
      </c>
      <c r="C216" t="s">
        <v>74</v>
      </c>
      <c r="D216" t="s">
        <v>35</v>
      </c>
      <c r="E216" t="s">
        <v>36</v>
      </c>
      <c r="F216" t="s">
        <v>37</v>
      </c>
      <c r="G216" t="s">
        <v>38</v>
      </c>
      <c r="H216" t="s">
        <v>39</v>
      </c>
      <c r="I216" t="s">
        <v>55</v>
      </c>
      <c r="J216" t="s">
        <v>56</v>
      </c>
      <c r="K216" t="s">
        <v>42</v>
      </c>
      <c r="L216" t="s">
        <v>878</v>
      </c>
      <c r="M216" t="s">
        <v>879</v>
      </c>
      <c r="N216" t="s">
        <v>45</v>
      </c>
      <c r="O216" t="s">
        <v>46</v>
      </c>
      <c r="P216" t="s">
        <v>47</v>
      </c>
      <c r="Q216" t="s">
        <v>77</v>
      </c>
      <c r="R216" t="s">
        <v>77</v>
      </c>
      <c r="S216" t="s">
        <v>77</v>
      </c>
      <c r="T216" t="s">
        <v>49</v>
      </c>
      <c r="U216" s="4" t="s">
        <v>880</v>
      </c>
      <c r="V216" t="s">
        <v>51</v>
      </c>
      <c r="W216" s="4" t="s">
        <v>881</v>
      </c>
      <c r="X216" t="s">
        <v>53</v>
      </c>
      <c r="Y216" t="s">
        <v>53</v>
      </c>
      <c r="Z216" t="s">
        <v>53</v>
      </c>
      <c r="AA216" t="s">
        <v>53</v>
      </c>
      <c r="AB216" t="s">
        <v>53</v>
      </c>
      <c r="AC216" t="s">
        <v>53</v>
      </c>
      <c r="AD216" t="s">
        <v>35</v>
      </c>
      <c r="AE216" t="s">
        <v>53</v>
      </c>
    </row>
    <row r="217" spans="1:31" x14ac:dyDescent="0.3">
      <c r="A217" t="s">
        <v>32</v>
      </c>
      <c r="B217" t="s">
        <v>33</v>
      </c>
      <c r="C217" t="s">
        <v>80</v>
      </c>
      <c r="D217" t="s">
        <v>35</v>
      </c>
      <c r="E217" t="s">
        <v>36</v>
      </c>
      <c r="F217" t="s">
        <v>37</v>
      </c>
      <c r="G217" t="s">
        <v>38</v>
      </c>
      <c r="H217" t="s">
        <v>39</v>
      </c>
      <c r="I217" t="s">
        <v>118</v>
      </c>
      <c r="J217" t="s">
        <v>119</v>
      </c>
      <c r="K217" t="s">
        <v>42</v>
      </c>
      <c r="L217" t="s">
        <v>882</v>
      </c>
      <c r="M217" t="s">
        <v>762</v>
      </c>
      <c r="N217" t="s">
        <v>45</v>
      </c>
      <c r="O217" t="s">
        <v>46</v>
      </c>
      <c r="P217" t="s">
        <v>47</v>
      </c>
      <c r="Q217" t="s">
        <v>763</v>
      </c>
      <c r="R217" t="s">
        <v>763</v>
      </c>
      <c r="S217" t="s">
        <v>763</v>
      </c>
      <c r="T217" t="s">
        <v>49</v>
      </c>
      <c r="U217" s="4" t="s">
        <v>883</v>
      </c>
      <c r="V217" t="s">
        <v>66</v>
      </c>
      <c r="W217" s="4" t="s">
        <v>884</v>
      </c>
      <c r="X217" t="s">
        <v>53</v>
      </c>
      <c r="Y217" t="s">
        <v>53</v>
      </c>
      <c r="Z217" t="s">
        <v>53</v>
      </c>
      <c r="AA217" t="s">
        <v>53</v>
      </c>
      <c r="AB217" t="s">
        <v>53</v>
      </c>
      <c r="AC217" t="s">
        <v>53</v>
      </c>
      <c r="AD217" t="s">
        <v>35</v>
      </c>
      <c r="AE217" t="s">
        <v>53</v>
      </c>
    </row>
    <row r="218" spans="1:31" x14ac:dyDescent="0.3">
      <c r="A218" t="s">
        <v>32</v>
      </c>
      <c r="B218" t="s">
        <v>33</v>
      </c>
      <c r="C218" t="s">
        <v>74</v>
      </c>
      <c r="D218" t="s">
        <v>35</v>
      </c>
      <c r="E218" t="s">
        <v>36</v>
      </c>
      <c r="F218" t="s">
        <v>37</v>
      </c>
      <c r="G218" t="s">
        <v>38</v>
      </c>
      <c r="H218" t="s">
        <v>39</v>
      </c>
      <c r="I218" t="s">
        <v>125</v>
      </c>
      <c r="J218" t="s">
        <v>126</v>
      </c>
      <c r="K218" t="s">
        <v>42</v>
      </c>
      <c r="L218" t="s">
        <v>183</v>
      </c>
      <c r="M218" t="s">
        <v>184</v>
      </c>
      <c r="N218" t="s">
        <v>45</v>
      </c>
      <c r="O218" t="s">
        <v>46</v>
      </c>
      <c r="P218" t="s">
        <v>47</v>
      </c>
      <c r="Q218" t="s">
        <v>77</v>
      </c>
      <c r="R218" t="s">
        <v>77</v>
      </c>
      <c r="S218" t="s">
        <v>77</v>
      </c>
      <c r="T218" t="s">
        <v>49</v>
      </c>
      <c r="U218" s="4" t="s">
        <v>493</v>
      </c>
      <c r="V218" t="s">
        <v>51</v>
      </c>
      <c r="W218" s="4" t="s">
        <v>494</v>
      </c>
      <c r="X218" t="s">
        <v>53</v>
      </c>
      <c r="Y218" t="s">
        <v>53</v>
      </c>
      <c r="Z218" t="s">
        <v>53</v>
      </c>
      <c r="AA218" t="s">
        <v>53</v>
      </c>
      <c r="AB218" t="s">
        <v>53</v>
      </c>
      <c r="AC218" t="s">
        <v>53</v>
      </c>
      <c r="AD218" t="s">
        <v>35</v>
      </c>
      <c r="AE218" t="s">
        <v>53</v>
      </c>
    </row>
    <row r="219" spans="1:31" x14ac:dyDescent="0.3">
      <c r="A219" t="s">
        <v>32</v>
      </c>
      <c r="B219" t="s">
        <v>33</v>
      </c>
      <c r="C219" t="s">
        <v>54</v>
      </c>
      <c r="D219" t="s">
        <v>35</v>
      </c>
      <c r="E219" t="s">
        <v>36</v>
      </c>
      <c r="F219" t="s">
        <v>37</v>
      </c>
      <c r="G219" t="s">
        <v>38</v>
      </c>
      <c r="H219" t="s">
        <v>39</v>
      </c>
      <c r="I219" t="s">
        <v>125</v>
      </c>
      <c r="J219" t="s">
        <v>126</v>
      </c>
      <c r="K219" t="s">
        <v>42</v>
      </c>
      <c r="L219" t="s">
        <v>234</v>
      </c>
      <c r="M219" t="s">
        <v>235</v>
      </c>
      <c r="N219" t="s">
        <v>45</v>
      </c>
      <c r="O219" t="s">
        <v>46</v>
      </c>
      <c r="P219" t="s">
        <v>47</v>
      </c>
      <c r="Q219" t="s">
        <v>236</v>
      </c>
      <c r="R219" t="s">
        <v>236</v>
      </c>
      <c r="S219" t="s">
        <v>236</v>
      </c>
      <c r="T219" t="s">
        <v>49</v>
      </c>
      <c r="U219" s="4" t="s">
        <v>885</v>
      </c>
      <c r="V219" t="s">
        <v>51</v>
      </c>
      <c r="W219" s="4" t="s">
        <v>886</v>
      </c>
      <c r="X219" t="s">
        <v>53</v>
      </c>
      <c r="Y219" t="s">
        <v>53</v>
      </c>
      <c r="Z219" t="s">
        <v>53</v>
      </c>
      <c r="AA219" t="s">
        <v>53</v>
      </c>
      <c r="AB219" t="s">
        <v>53</v>
      </c>
      <c r="AC219" t="s">
        <v>53</v>
      </c>
      <c r="AD219" t="s">
        <v>35</v>
      </c>
      <c r="AE219" t="s">
        <v>53</v>
      </c>
    </row>
    <row r="220" spans="1:31" x14ac:dyDescent="0.3">
      <c r="A220" t="s">
        <v>32</v>
      </c>
      <c r="B220" t="s">
        <v>33</v>
      </c>
      <c r="C220" t="s">
        <v>54</v>
      </c>
      <c r="D220" t="s">
        <v>35</v>
      </c>
      <c r="E220" t="s">
        <v>36</v>
      </c>
      <c r="F220" t="s">
        <v>37</v>
      </c>
      <c r="G220" t="s">
        <v>38</v>
      </c>
      <c r="H220" t="s">
        <v>39</v>
      </c>
      <c r="I220" t="s">
        <v>55</v>
      </c>
      <c r="J220" t="s">
        <v>56</v>
      </c>
      <c r="K220" t="s">
        <v>42</v>
      </c>
      <c r="L220" t="s">
        <v>887</v>
      </c>
      <c r="M220" t="s">
        <v>888</v>
      </c>
      <c r="N220" t="s">
        <v>45</v>
      </c>
      <c r="O220" t="s">
        <v>46</v>
      </c>
      <c r="P220" t="s">
        <v>47</v>
      </c>
      <c r="Q220" t="s">
        <v>189</v>
      </c>
      <c r="R220" t="s">
        <v>189</v>
      </c>
      <c r="S220" t="s">
        <v>189</v>
      </c>
      <c r="T220" t="s">
        <v>49</v>
      </c>
      <c r="U220" s="4" t="s">
        <v>71</v>
      </c>
      <c r="V220" t="s">
        <v>72</v>
      </c>
      <c r="W220" s="4" t="s">
        <v>73</v>
      </c>
      <c r="X220" t="s">
        <v>53</v>
      </c>
      <c r="Y220" t="s">
        <v>53</v>
      </c>
      <c r="Z220" t="s">
        <v>53</v>
      </c>
      <c r="AA220" t="s">
        <v>53</v>
      </c>
      <c r="AB220" t="s">
        <v>53</v>
      </c>
      <c r="AC220" t="s">
        <v>53</v>
      </c>
      <c r="AD220" t="s">
        <v>35</v>
      </c>
      <c r="AE220" t="s">
        <v>53</v>
      </c>
    </row>
    <row r="221" spans="1:31" x14ac:dyDescent="0.3">
      <c r="A221" t="s">
        <v>32</v>
      </c>
      <c r="B221" t="s">
        <v>33</v>
      </c>
      <c r="C221" t="s">
        <v>74</v>
      </c>
      <c r="D221" t="s">
        <v>35</v>
      </c>
      <c r="E221" t="s">
        <v>36</v>
      </c>
      <c r="F221" t="s">
        <v>37</v>
      </c>
      <c r="G221" t="s">
        <v>38</v>
      </c>
      <c r="H221" t="s">
        <v>39</v>
      </c>
      <c r="I221" t="s">
        <v>55</v>
      </c>
      <c r="J221" t="s">
        <v>56</v>
      </c>
      <c r="K221" t="s">
        <v>42</v>
      </c>
      <c r="L221" t="s">
        <v>889</v>
      </c>
      <c r="M221" t="s">
        <v>890</v>
      </c>
      <c r="N221" t="s">
        <v>45</v>
      </c>
      <c r="O221" t="s">
        <v>46</v>
      </c>
      <c r="P221" t="s">
        <v>47</v>
      </c>
      <c r="Q221" t="s">
        <v>291</v>
      </c>
      <c r="R221" t="s">
        <v>291</v>
      </c>
      <c r="S221" t="s">
        <v>291</v>
      </c>
      <c r="T221" t="s">
        <v>49</v>
      </c>
      <c r="U221" s="4" t="s">
        <v>891</v>
      </c>
      <c r="V221" t="s">
        <v>72</v>
      </c>
      <c r="W221" s="4" t="s">
        <v>892</v>
      </c>
      <c r="X221" t="s">
        <v>53</v>
      </c>
      <c r="Y221" t="s">
        <v>53</v>
      </c>
      <c r="Z221" t="s">
        <v>53</v>
      </c>
      <c r="AA221" t="s">
        <v>53</v>
      </c>
      <c r="AB221" t="s">
        <v>53</v>
      </c>
      <c r="AC221" t="s">
        <v>53</v>
      </c>
      <c r="AD221" t="s">
        <v>35</v>
      </c>
      <c r="AE221" t="s">
        <v>53</v>
      </c>
    </row>
    <row r="222" spans="1:31" x14ac:dyDescent="0.3">
      <c r="A222" t="s">
        <v>32</v>
      </c>
      <c r="B222" t="s">
        <v>33</v>
      </c>
      <c r="C222" t="s">
        <v>34</v>
      </c>
      <c r="D222" t="s">
        <v>35</v>
      </c>
      <c r="E222" t="s">
        <v>36</v>
      </c>
      <c r="F222" t="s">
        <v>37</v>
      </c>
      <c r="G222" t="s">
        <v>38</v>
      </c>
      <c r="H222" t="s">
        <v>39</v>
      </c>
      <c r="I222" t="s">
        <v>125</v>
      </c>
      <c r="J222" t="s">
        <v>126</v>
      </c>
      <c r="K222" t="s">
        <v>42</v>
      </c>
      <c r="L222" t="s">
        <v>893</v>
      </c>
      <c r="M222" t="s">
        <v>894</v>
      </c>
      <c r="N222" t="s">
        <v>45</v>
      </c>
      <c r="O222" t="s">
        <v>46</v>
      </c>
      <c r="P222" t="s">
        <v>47</v>
      </c>
      <c r="Q222" t="s">
        <v>895</v>
      </c>
      <c r="R222" t="s">
        <v>895</v>
      </c>
      <c r="S222" t="s">
        <v>895</v>
      </c>
      <c r="T222" t="s">
        <v>49</v>
      </c>
      <c r="U222" s="4" t="s">
        <v>896</v>
      </c>
      <c r="V222" t="s">
        <v>107</v>
      </c>
      <c r="W222" s="4" t="s">
        <v>897</v>
      </c>
      <c r="X222" t="s">
        <v>53</v>
      </c>
      <c r="Y222" t="s">
        <v>53</v>
      </c>
      <c r="Z222" t="s">
        <v>53</v>
      </c>
      <c r="AA222" t="s">
        <v>53</v>
      </c>
      <c r="AB222" t="s">
        <v>53</v>
      </c>
      <c r="AC222" t="s">
        <v>53</v>
      </c>
      <c r="AD222" t="s">
        <v>35</v>
      </c>
      <c r="AE222" t="s">
        <v>53</v>
      </c>
    </row>
    <row r="223" spans="1:31" x14ac:dyDescent="0.3">
      <c r="A223" t="s">
        <v>32</v>
      </c>
      <c r="B223" t="s">
        <v>33</v>
      </c>
      <c r="C223" t="s">
        <v>74</v>
      </c>
      <c r="D223" t="s">
        <v>35</v>
      </c>
      <c r="E223" t="s">
        <v>36</v>
      </c>
      <c r="F223" t="s">
        <v>37</v>
      </c>
      <c r="G223" t="s">
        <v>38</v>
      </c>
      <c r="H223" t="s">
        <v>39</v>
      </c>
      <c r="I223" t="s">
        <v>125</v>
      </c>
      <c r="J223" t="s">
        <v>126</v>
      </c>
      <c r="K223" t="s">
        <v>42</v>
      </c>
      <c r="L223" t="s">
        <v>898</v>
      </c>
      <c r="M223" t="s">
        <v>144</v>
      </c>
      <c r="N223" t="s">
        <v>45</v>
      </c>
      <c r="O223" t="s">
        <v>46</v>
      </c>
      <c r="P223" t="s">
        <v>47</v>
      </c>
      <c r="Q223" t="s">
        <v>163</v>
      </c>
      <c r="R223" t="s">
        <v>163</v>
      </c>
      <c r="S223" t="s">
        <v>163</v>
      </c>
      <c r="T223" t="s">
        <v>49</v>
      </c>
      <c r="U223" s="4" t="s">
        <v>899</v>
      </c>
      <c r="V223" t="s">
        <v>51</v>
      </c>
      <c r="W223" s="4" t="s">
        <v>900</v>
      </c>
      <c r="X223" t="s">
        <v>53</v>
      </c>
      <c r="Y223" t="s">
        <v>53</v>
      </c>
      <c r="Z223" t="s">
        <v>53</v>
      </c>
      <c r="AA223" t="s">
        <v>53</v>
      </c>
      <c r="AB223" t="s">
        <v>53</v>
      </c>
      <c r="AC223" t="s">
        <v>53</v>
      </c>
      <c r="AD223" t="s">
        <v>35</v>
      </c>
      <c r="AE223" t="s">
        <v>53</v>
      </c>
    </row>
    <row r="224" spans="1:31" x14ac:dyDescent="0.3">
      <c r="A224" t="s">
        <v>32</v>
      </c>
      <c r="B224" t="s">
        <v>33</v>
      </c>
      <c r="C224" t="s">
        <v>54</v>
      </c>
      <c r="D224" t="s">
        <v>35</v>
      </c>
      <c r="E224" t="s">
        <v>36</v>
      </c>
      <c r="F224" t="s">
        <v>37</v>
      </c>
      <c r="G224" t="s">
        <v>38</v>
      </c>
      <c r="H224" t="s">
        <v>39</v>
      </c>
      <c r="I224" t="s">
        <v>125</v>
      </c>
      <c r="J224" t="s">
        <v>126</v>
      </c>
      <c r="K224" t="s">
        <v>42</v>
      </c>
      <c r="L224" t="s">
        <v>901</v>
      </c>
      <c r="M224" t="s">
        <v>902</v>
      </c>
      <c r="N224" t="s">
        <v>45</v>
      </c>
      <c r="O224" t="s">
        <v>46</v>
      </c>
      <c r="P224" t="s">
        <v>47</v>
      </c>
      <c r="Q224" t="s">
        <v>903</v>
      </c>
      <c r="R224" t="s">
        <v>903</v>
      </c>
      <c r="S224" t="s">
        <v>903</v>
      </c>
      <c r="T224" t="s">
        <v>49</v>
      </c>
      <c r="U224" s="4" t="s">
        <v>904</v>
      </c>
      <c r="V224" t="s">
        <v>51</v>
      </c>
      <c r="W224" s="4" t="s">
        <v>905</v>
      </c>
      <c r="X224" t="s">
        <v>53</v>
      </c>
      <c r="Y224" t="s">
        <v>53</v>
      </c>
      <c r="Z224" t="s">
        <v>53</v>
      </c>
      <c r="AA224" t="s">
        <v>53</v>
      </c>
      <c r="AB224" t="s">
        <v>53</v>
      </c>
      <c r="AC224" t="s">
        <v>53</v>
      </c>
      <c r="AD224" t="s">
        <v>35</v>
      </c>
      <c r="AE224" t="s">
        <v>53</v>
      </c>
    </row>
    <row r="225" spans="1:31" x14ac:dyDescent="0.3">
      <c r="A225" t="s">
        <v>32</v>
      </c>
      <c r="B225" t="s">
        <v>33</v>
      </c>
      <c r="C225" t="s">
        <v>80</v>
      </c>
      <c r="D225" t="s">
        <v>35</v>
      </c>
      <c r="E225" t="s">
        <v>36</v>
      </c>
      <c r="F225" t="s">
        <v>37</v>
      </c>
      <c r="G225" t="s">
        <v>38</v>
      </c>
      <c r="H225" t="s">
        <v>39</v>
      </c>
      <c r="I225" t="s">
        <v>101</v>
      </c>
      <c r="J225" t="s">
        <v>102</v>
      </c>
      <c r="K225" t="s">
        <v>42</v>
      </c>
      <c r="L225" t="s">
        <v>906</v>
      </c>
      <c r="M225" t="s">
        <v>907</v>
      </c>
      <c r="N225" t="s">
        <v>45</v>
      </c>
      <c r="O225" t="s">
        <v>46</v>
      </c>
      <c r="P225" t="s">
        <v>47</v>
      </c>
      <c r="Q225" t="s">
        <v>908</v>
      </c>
      <c r="R225" t="s">
        <v>908</v>
      </c>
      <c r="S225" t="s">
        <v>908</v>
      </c>
      <c r="T225" t="s">
        <v>49</v>
      </c>
      <c r="U225" s="4" t="s">
        <v>899</v>
      </c>
      <c r="V225" t="s">
        <v>51</v>
      </c>
      <c r="W225" s="4" t="s">
        <v>900</v>
      </c>
      <c r="X225" t="s">
        <v>53</v>
      </c>
      <c r="Y225" t="s">
        <v>53</v>
      </c>
      <c r="Z225" t="s">
        <v>53</v>
      </c>
      <c r="AA225" t="s">
        <v>53</v>
      </c>
      <c r="AB225" t="s">
        <v>53</v>
      </c>
      <c r="AC225" t="s">
        <v>53</v>
      </c>
      <c r="AD225" t="s">
        <v>35</v>
      </c>
      <c r="AE225" t="s">
        <v>53</v>
      </c>
    </row>
    <row r="226" spans="1:31" x14ac:dyDescent="0.3">
      <c r="A226" t="s">
        <v>32</v>
      </c>
      <c r="B226" t="s">
        <v>33</v>
      </c>
      <c r="C226" t="s">
        <v>54</v>
      </c>
      <c r="D226" t="s">
        <v>35</v>
      </c>
      <c r="E226" t="s">
        <v>36</v>
      </c>
      <c r="F226" t="s">
        <v>37</v>
      </c>
      <c r="G226" t="s">
        <v>38</v>
      </c>
      <c r="H226" t="s">
        <v>39</v>
      </c>
      <c r="I226" t="s">
        <v>55</v>
      </c>
      <c r="J226" t="s">
        <v>56</v>
      </c>
      <c r="K226" t="s">
        <v>42</v>
      </c>
      <c r="L226" t="s">
        <v>909</v>
      </c>
      <c r="M226" t="s">
        <v>580</v>
      </c>
      <c r="N226" t="s">
        <v>45</v>
      </c>
      <c r="O226" t="s">
        <v>46</v>
      </c>
      <c r="P226" t="s">
        <v>47</v>
      </c>
      <c r="Q226" t="s">
        <v>111</v>
      </c>
      <c r="R226" t="s">
        <v>111</v>
      </c>
      <c r="S226" t="s">
        <v>111</v>
      </c>
      <c r="T226" t="s">
        <v>49</v>
      </c>
      <c r="U226" s="4" t="s">
        <v>910</v>
      </c>
      <c r="V226" t="s">
        <v>107</v>
      </c>
      <c r="W226" s="4" t="s">
        <v>911</v>
      </c>
      <c r="X226" t="s">
        <v>53</v>
      </c>
      <c r="Y226" t="s">
        <v>53</v>
      </c>
      <c r="Z226" t="s">
        <v>53</v>
      </c>
      <c r="AA226" t="s">
        <v>53</v>
      </c>
      <c r="AB226" t="s">
        <v>53</v>
      </c>
      <c r="AC226" t="s">
        <v>53</v>
      </c>
      <c r="AD226" t="s">
        <v>35</v>
      </c>
      <c r="AE226" t="s">
        <v>53</v>
      </c>
    </row>
    <row r="227" spans="1:31" x14ac:dyDescent="0.3">
      <c r="A227" t="s">
        <v>32</v>
      </c>
      <c r="B227" t="s">
        <v>33</v>
      </c>
      <c r="C227" t="s">
        <v>80</v>
      </c>
      <c r="D227" t="s">
        <v>35</v>
      </c>
      <c r="E227" t="s">
        <v>36</v>
      </c>
      <c r="F227" t="s">
        <v>37</v>
      </c>
      <c r="G227" t="s">
        <v>38</v>
      </c>
      <c r="H227" t="s">
        <v>39</v>
      </c>
      <c r="I227" t="s">
        <v>32</v>
      </c>
      <c r="J227" t="s">
        <v>53</v>
      </c>
      <c r="K227" t="s">
        <v>912</v>
      </c>
      <c r="L227" t="s">
        <v>53</v>
      </c>
      <c r="M227" t="s">
        <v>913</v>
      </c>
      <c r="N227" t="s">
        <v>53</v>
      </c>
      <c r="O227" t="s">
        <v>53</v>
      </c>
      <c r="P227" t="s">
        <v>914</v>
      </c>
      <c r="Q227" t="s">
        <v>53</v>
      </c>
      <c r="R227" t="s">
        <v>53</v>
      </c>
      <c r="S227" t="s">
        <v>53</v>
      </c>
      <c r="T227" t="s">
        <v>915</v>
      </c>
      <c r="U227" s="4" t="s">
        <v>916</v>
      </c>
      <c r="V227" t="s">
        <v>917</v>
      </c>
      <c r="W227" s="4" t="s">
        <v>916</v>
      </c>
      <c r="X227" t="s">
        <v>53</v>
      </c>
      <c r="Y227" t="s">
        <v>53</v>
      </c>
      <c r="Z227" t="s">
        <v>53</v>
      </c>
      <c r="AA227" t="s">
        <v>53</v>
      </c>
      <c r="AB227" t="s">
        <v>53</v>
      </c>
      <c r="AC227" t="s">
        <v>53</v>
      </c>
      <c r="AD227" t="s">
        <v>35</v>
      </c>
      <c r="AE227" t="s">
        <v>53</v>
      </c>
    </row>
    <row r="228" spans="1:31" x14ac:dyDescent="0.3">
      <c r="A228" t="s">
        <v>32</v>
      </c>
      <c r="B228" t="s">
        <v>33</v>
      </c>
      <c r="C228" t="s">
        <v>80</v>
      </c>
      <c r="D228" t="s">
        <v>35</v>
      </c>
      <c r="E228" t="s">
        <v>36</v>
      </c>
      <c r="F228" t="s">
        <v>37</v>
      </c>
      <c r="G228" t="s">
        <v>38</v>
      </c>
      <c r="H228" t="s">
        <v>39</v>
      </c>
      <c r="I228" t="s">
        <v>125</v>
      </c>
      <c r="J228" t="s">
        <v>126</v>
      </c>
      <c r="K228" t="s">
        <v>42</v>
      </c>
      <c r="L228" t="s">
        <v>918</v>
      </c>
      <c r="M228" t="s">
        <v>358</v>
      </c>
      <c r="N228" t="s">
        <v>45</v>
      </c>
      <c r="O228" t="s">
        <v>46</v>
      </c>
      <c r="P228" t="s">
        <v>47</v>
      </c>
      <c r="Q228" t="s">
        <v>359</v>
      </c>
      <c r="R228" t="s">
        <v>359</v>
      </c>
      <c r="S228" t="s">
        <v>359</v>
      </c>
      <c r="T228" t="s">
        <v>49</v>
      </c>
      <c r="U228" s="4" t="s">
        <v>919</v>
      </c>
      <c r="V228" t="s">
        <v>51</v>
      </c>
      <c r="W228" s="4" t="s">
        <v>920</v>
      </c>
      <c r="X228" t="s">
        <v>53</v>
      </c>
      <c r="Y228" t="s">
        <v>53</v>
      </c>
      <c r="Z228" t="s">
        <v>53</v>
      </c>
      <c r="AA228" t="s">
        <v>53</v>
      </c>
      <c r="AB228" t="s">
        <v>53</v>
      </c>
      <c r="AC228" t="s">
        <v>53</v>
      </c>
      <c r="AD228" t="s">
        <v>35</v>
      </c>
      <c r="AE228" t="s">
        <v>53</v>
      </c>
    </row>
    <row r="229" spans="1:31" x14ac:dyDescent="0.3">
      <c r="A229" t="s">
        <v>32</v>
      </c>
      <c r="B229" t="s">
        <v>33</v>
      </c>
      <c r="C229" t="s">
        <v>74</v>
      </c>
      <c r="D229" t="s">
        <v>35</v>
      </c>
      <c r="E229" t="s">
        <v>36</v>
      </c>
      <c r="F229" t="s">
        <v>37</v>
      </c>
      <c r="G229" t="s">
        <v>38</v>
      </c>
      <c r="H229" t="s">
        <v>39</v>
      </c>
      <c r="I229" t="s">
        <v>263</v>
      </c>
      <c r="J229" t="s">
        <v>264</v>
      </c>
      <c r="K229" t="s">
        <v>42</v>
      </c>
      <c r="L229" t="s">
        <v>921</v>
      </c>
      <c r="M229" t="s">
        <v>922</v>
      </c>
      <c r="N229" t="s">
        <v>45</v>
      </c>
      <c r="O229" t="s">
        <v>46</v>
      </c>
      <c r="P229" t="s">
        <v>47</v>
      </c>
      <c r="Q229" t="s">
        <v>923</v>
      </c>
      <c r="R229" t="s">
        <v>923</v>
      </c>
      <c r="S229" t="s">
        <v>923</v>
      </c>
      <c r="T229" t="s">
        <v>49</v>
      </c>
      <c r="U229" s="4" t="s">
        <v>623</v>
      </c>
      <c r="V229" t="s">
        <v>87</v>
      </c>
      <c r="W229" s="4" t="s">
        <v>624</v>
      </c>
      <c r="X229" t="s">
        <v>53</v>
      </c>
      <c r="Y229" t="s">
        <v>53</v>
      </c>
      <c r="Z229" t="s">
        <v>53</v>
      </c>
      <c r="AA229" t="s">
        <v>53</v>
      </c>
      <c r="AB229" t="s">
        <v>53</v>
      </c>
      <c r="AC229" t="s">
        <v>53</v>
      </c>
      <c r="AD229" t="s">
        <v>35</v>
      </c>
      <c r="AE229" t="s">
        <v>53</v>
      </c>
    </row>
    <row r="230" spans="1:31" x14ac:dyDescent="0.3">
      <c r="A230" t="s">
        <v>32</v>
      </c>
      <c r="B230" t="s">
        <v>33</v>
      </c>
      <c r="C230" t="s">
        <v>54</v>
      </c>
      <c r="D230" t="s">
        <v>35</v>
      </c>
      <c r="E230" t="s">
        <v>36</v>
      </c>
      <c r="F230" t="s">
        <v>37</v>
      </c>
      <c r="G230" t="s">
        <v>38</v>
      </c>
      <c r="H230" t="s">
        <v>39</v>
      </c>
      <c r="I230" t="s">
        <v>40</v>
      </c>
      <c r="J230" t="s">
        <v>41</v>
      </c>
      <c r="K230" t="s">
        <v>42</v>
      </c>
      <c r="L230" t="s">
        <v>924</v>
      </c>
      <c r="M230" t="s">
        <v>925</v>
      </c>
      <c r="N230" t="s">
        <v>45</v>
      </c>
      <c r="O230" t="s">
        <v>46</v>
      </c>
      <c r="P230" t="s">
        <v>47</v>
      </c>
      <c r="Q230" t="s">
        <v>687</v>
      </c>
      <c r="R230" t="s">
        <v>687</v>
      </c>
      <c r="S230" t="s">
        <v>687</v>
      </c>
      <c r="T230" t="s">
        <v>49</v>
      </c>
      <c r="U230" s="4" t="s">
        <v>926</v>
      </c>
      <c r="V230" t="s">
        <v>87</v>
      </c>
      <c r="W230" s="4" t="s">
        <v>142</v>
      </c>
      <c r="X230" t="s">
        <v>53</v>
      </c>
      <c r="Y230" t="s">
        <v>53</v>
      </c>
      <c r="Z230" t="s">
        <v>53</v>
      </c>
      <c r="AA230" t="s">
        <v>53</v>
      </c>
      <c r="AB230" t="s">
        <v>53</v>
      </c>
      <c r="AC230" t="s">
        <v>53</v>
      </c>
      <c r="AD230" t="s">
        <v>35</v>
      </c>
      <c r="AE230" t="s">
        <v>53</v>
      </c>
    </row>
    <row r="231" spans="1:31" x14ac:dyDescent="0.3">
      <c r="A231" t="s">
        <v>32</v>
      </c>
      <c r="B231" t="s">
        <v>33</v>
      </c>
      <c r="C231" t="s">
        <v>54</v>
      </c>
      <c r="D231" t="s">
        <v>35</v>
      </c>
      <c r="E231" t="s">
        <v>36</v>
      </c>
      <c r="F231" t="s">
        <v>37</v>
      </c>
      <c r="G231" t="s">
        <v>38</v>
      </c>
      <c r="H231" t="s">
        <v>39</v>
      </c>
      <c r="I231" t="s">
        <v>55</v>
      </c>
      <c r="J231" t="s">
        <v>56</v>
      </c>
      <c r="K231" t="s">
        <v>42</v>
      </c>
      <c r="L231" t="s">
        <v>927</v>
      </c>
      <c r="M231" t="s">
        <v>300</v>
      </c>
      <c r="N231" t="s">
        <v>45</v>
      </c>
      <c r="O231" t="s">
        <v>46</v>
      </c>
      <c r="P231" t="s">
        <v>47</v>
      </c>
      <c r="Q231" t="s">
        <v>111</v>
      </c>
      <c r="R231" t="s">
        <v>111</v>
      </c>
      <c r="S231" t="s">
        <v>111</v>
      </c>
      <c r="T231" t="s">
        <v>49</v>
      </c>
      <c r="U231" s="4" t="s">
        <v>928</v>
      </c>
      <c r="V231" t="s">
        <v>51</v>
      </c>
      <c r="W231" s="4" t="s">
        <v>929</v>
      </c>
      <c r="X231" t="s">
        <v>53</v>
      </c>
      <c r="Y231" t="s">
        <v>53</v>
      </c>
      <c r="Z231" t="s">
        <v>53</v>
      </c>
      <c r="AA231" t="s">
        <v>53</v>
      </c>
      <c r="AB231" t="s">
        <v>53</v>
      </c>
      <c r="AC231" t="s">
        <v>53</v>
      </c>
      <c r="AD231" t="s">
        <v>35</v>
      </c>
      <c r="AE231" t="s">
        <v>53</v>
      </c>
    </row>
    <row r="232" spans="1:31" x14ac:dyDescent="0.3">
      <c r="A232" t="s">
        <v>32</v>
      </c>
      <c r="B232" t="s">
        <v>33</v>
      </c>
      <c r="C232" t="s">
        <v>54</v>
      </c>
      <c r="D232" t="s">
        <v>35</v>
      </c>
      <c r="E232" t="s">
        <v>36</v>
      </c>
      <c r="F232" t="s">
        <v>37</v>
      </c>
      <c r="G232" t="s">
        <v>38</v>
      </c>
      <c r="H232" t="s">
        <v>39</v>
      </c>
      <c r="I232" t="s">
        <v>55</v>
      </c>
      <c r="J232" t="s">
        <v>56</v>
      </c>
      <c r="K232" t="s">
        <v>42</v>
      </c>
      <c r="L232" t="s">
        <v>930</v>
      </c>
      <c r="M232" t="s">
        <v>931</v>
      </c>
      <c r="N232" t="s">
        <v>45</v>
      </c>
      <c r="O232" t="s">
        <v>46</v>
      </c>
      <c r="P232" t="s">
        <v>47</v>
      </c>
      <c r="Q232" t="s">
        <v>98</v>
      </c>
      <c r="R232" t="s">
        <v>98</v>
      </c>
      <c r="S232" t="s">
        <v>98</v>
      </c>
      <c r="T232" t="s">
        <v>49</v>
      </c>
      <c r="U232" s="4" t="s">
        <v>932</v>
      </c>
      <c r="V232" t="s">
        <v>87</v>
      </c>
      <c r="W232" s="4" t="s">
        <v>933</v>
      </c>
      <c r="X232" t="s">
        <v>53</v>
      </c>
      <c r="Y232" t="s">
        <v>53</v>
      </c>
      <c r="Z232" t="s">
        <v>53</v>
      </c>
      <c r="AA232" t="s">
        <v>53</v>
      </c>
      <c r="AB232" t="s">
        <v>53</v>
      </c>
      <c r="AC232" t="s">
        <v>53</v>
      </c>
      <c r="AD232" t="s">
        <v>35</v>
      </c>
      <c r="AE232" t="s">
        <v>53</v>
      </c>
    </row>
    <row r="233" spans="1:31" x14ac:dyDescent="0.3">
      <c r="A233" t="s">
        <v>32</v>
      </c>
      <c r="B233" t="s">
        <v>33</v>
      </c>
      <c r="C233" t="s">
        <v>54</v>
      </c>
      <c r="D233" t="s">
        <v>35</v>
      </c>
      <c r="E233" t="s">
        <v>36</v>
      </c>
      <c r="F233" t="s">
        <v>37</v>
      </c>
      <c r="G233" t="s">
        <v>38</v>
      </c>
      <c r="H233" t="s">
        <v>39</v>
      </c>
      <c r="I233" t="s">
        <v>125</v>
      </c>
      <c r="J233" t="s">
        <v>126</v>
      </c>
      <c r="K233" t="s">
        <v>42</v>
      </c>
      <c r="L233" t="s">
        <v>901</v>
      </c>
      <c r="M233" t="s">
        <v>902</v>
      </c>
      <c r="N233" t="s">
        <v>45</v>
      </c>
      <c r="O233" t="s">
        <v>46</v>
      </c>
      <c r="P233" t="s">
        <v>47</v>
      </c>
      <c r="Q233" t="s">
        <v>903</v>
      </c>
      <c r="R233" t="s">
        <v>903</v>
      </c>
      <c r="S233" t="s">
        <v>903</v>
      </c>
      <c r="T233" t="s">
        <v>49</v>
      </c>
      <c r="U233" s="4" t="s">
        <v>130</v>
      </c>
      <c r="V233" t="s">
        <v>51</v>
      </c>
      <c r="W233" s="4" t="s">
        <v>131</v>
      </c>
      <c r="X233" t="s">
        <v>53</v>
      </c>
      <c r="Y233" t="s">
        <v>53</v>
      </c>
      <c r="Z233" t="s">
        <v>53</v>
      </c>
      <c r="AA233" t="s">
        <v>53</v>
      </c>
      <c r="AB233" t="s">
        <v>53</v>
      </c>
      <c r="AC233" t="s">
        <v>53</v>
      </c>
      <c r="AD233" t="s">
        <v>35</v>
      </c>
      <c r="AE233" t="s">
        <v>53</v>
      </c>
    </row>
    <row r="234" spans="1:31" x14ac:dyDescent="0.3">
      <c r="A234" t="s">
        <v>32</v>
      </c>
      <c r="B234" t="s">
        <v>33</v>
      </c>
      <c r="C234" t="s">
        <v>74</v>
      </c>
      <c r="D234" t="s">
        <v>35</v>
      </c>
      <c r="E234" t="s">
        <v>36</v>
      </c>
      <c r="F234" t="s">
        <v>37</v>
      </c>
      <c r="G234" t="s">
        <v>38</v>
      </c>
      <c r="H234" t="s">
        <v>39</v>
      </c>
      <c r="I234" t="s">
        <v>125</v>
      </c>
      <c r="J234" t="s">
        <v>126</v>
      </c>
      <c r="K234" t="s">
        <v>42</v>
      </c>
      <c r="L234" t="s">
        <v>898</v>
      </c>
      <c r="M234" t="s">
        <v>144</v>
      </c>
      <c r="N234" t="s">
        <v>45</v>
      </c>
      <c r="O234" t="s">
        <v>46</v>
      </c>
      <c r="P234" t="s">
        <v>47</v>
      </c>
      <c r="Q234" t="s">
        <v>163</v>
      </c>
      <c r="R234" t="s">
        <v>163</v>
      </c>
      <c r="S234" t="s">
        <v>163</v>
      </c>
      <c r="T234" t="s">
        <v>49</v>
      </c>
      <c r="U234" s="4" t="s">
        <v>934</v>
      </c>
      <c r="V234" t="s">
        <v>51</v>
      </c>
      <c r="W234" s="4" t="s">
        <v>935</v>
      </c>
      <c r="X234" t="s">
        <v>53</v>
      </c>
      <c r="Y234" t="s">
        <v>53</v>
      </c>
      <c r="Z234" t="s">
        <v>53</v>
      </c>
      <c r="AA234" t="s">
        <v>53</v>
      </c>
      <c r="AB234" t="s">
        <v>53</v>
      </c>
      <c r="AC234" t="s">
        <v>53</v>
      </c>
      <c r="AD234" t="s">
        <v>35</v>
      </c>
      <c r="AE234" t="s">
        <v>53</v>
      </c>
    </row>
    <row r="235" spans="1:31" x14ac:dyDescent="0.3">
      <c r="A235" t="s">
        <v>32</v>
      </c>
      <c r="B235" t="s">
        <v>33</v>
      </c>
      <c r="C235" t="s">
        <v>34</v>
      </c>
      <c r="D235" t="s">
        <v>35</v>
      </c>
      <c r="E235" t="s">
        <v>36</v>
      </c>
      <c r="F235" t="s">
        <v>37</v>
      </c>
      <c r="G235" t="s">
        <v>38</v>
      </c>
      <c r="H235" t="s">
        <v>39</v>
      </c>
      <c r="I235" t="s">
        <v>125</v>
      </c>
      <c r="J235" t="s">
        <v>126</v>
      </c>
      <c r="K235" t="s">
        <v>42</v>
      </c>
      <c r="L235" t="s">
        <v>936</v>
      </c>
      <c r="M235" t="s">
        <v>937</v>
      </c>
      <c r="N235" t="s">
        <v>45</v>
      </c>
      <c r="O235" t="s">
        <v>46</v>
      </c>
      <c r="P235" t="s">
        <v>47</v>
      </c>
      <c r="Q235" t="s">
        <v>532</v>
      </c>
      <c r="R235" t="s">
        <v>532</v>
      </c>
      <c r="S235" t="s">
        <v>532</v>
      </c>
      <c r="T235" t="s">
        <v>49</v>
      </c>
      <c r="U235" s="4" t="s">
        <v>938</v>
      </c>
      <c r="V235" t="s">
        <v>51</v>
      </c>
      <c r="W235" s="4" t="s">
        <v>939</v>
      </c>
      <c r="X235" t="s">
        <v>53</v>
      </c>
      <c r="Y235" t="s">
        <v>53</v>
      </c>
      <c r="Z235" t="s">
        <v>53</v>
      </c>
      <c r="AA235" t="s">
        <v>53</v>
      </c>
      <c r="AB235" t="s">
        <v>53</v>
      </c>
      <c r="AC235" t="s">
        <v>53</v>
      </c>
      <c r="AD235" t="s">
        <v>35</v>
      </c>
      <c r="AE235" t="s">
        <v>53</v>
      </c>
    </row>
    <row r="236" spans="1:31" x14ac:dyDescent="0.3">
      <c r="A236" t="s">
        <v>32</v>
      </c>
      <c r="B236" t="s">
        <v>33</v>
      </c>
      <c r="C236" t="s">
        <v>54</v>
      </c>
      <c r="D236" t="s">
        <v>35</v>
      </c>
      <c r="E236" t="s">
        <v>36</v>
      </c>
      <c r="F236" t="s">
        <v>37</v>
      </c>
      <c r="G236" t="s">
        <v>38</v>
      </c>
      <c r="H236" t="s">
        <v>39</v>
      </c>
      <c r="I236" t="s">
        <v>101</v>
      </c>
      <c r="J236" t="s">
        <v>102</v>
      </c>
      <c r="K236" t="s">
        <v>42</v>
      </c>
      <c r="L236" t="s">
        <v>940</v>
      </c>
      <c r="M236" t="s">
        <v>352</v>
      </c>
      <c r="N236" t="s">
        <v>45</v>
      </c>
      <c r="O236" t="s">
        <v>46</v>
      </c>
      <c r="P236" t="s">
        <v>47</v>
      </c>
      <c r="Q236" t="s">
        <v>941</v>
      </c>
      <c r="R236" t="s">
        <v>941</v>
      </c>
      <c r="S236" t="s">
        <v>941</v>
      </c>
      <c r="T236" t="s">
        <v>49</v>
      </c>
      <c r="U236" s="4" t="s">
        <v>942</v>
      </c>
      <c r="V236" t="s">
        <v>87</v>
      </c>
      <c r="W236" s="4" t="s">
        <v>943</v>
      </c>
      <c r="X236" t="s">
        <v>53</v>
      </c>
      <c r="Y236" t="s">
        <v>53</v>
      </c>
      <c r="Z236" t="s">
        <v>53</v>
      </c>
      <c r="AA236" t="s">
        <v>53</v>
      </c>
      <c r="AB236" t="s">
        <v>53</v>
      </c>
      <c r="AC236" t="s">
        <v>53</v>
      </c>
      <c r="AD236" t="s">
        <v>35</v>
      </c>
      <c r="AE236" t="s">
        <v>53</v>
      </c>
    </row>
    <row r="237" spans="1:31" x14ac:dyDescent="0.3">
      <c r="A237" t="s">
        <v>32</v>
      </c>
      <c r="B237" t="s">
        <v>33</v>
      </c>
      <c r="C237" t="s">
        <v>54</v>
      </c>
      <c r="D237" t="s">
        <v>35</v>
      </c>
      <c r="E237" t="s">
        <v>36</v>
      </c>
      <c r="F237" t="s">
        <v>37</v>
      </c>
      <c r="G237" t="s">
        <v>38</v>
      </c>
      <c r="H237" t="s">
        <v>39</v>
      </c>
      <c r="I237" t="s">
        <v>55</v>
      </c>
      <c r="J237" t="s">
        <v>56</v>
      </c>
      <c r="K237" t="s">
        <v>42</v>
      </c>
      <c r="L237" t="s">
        <v>944</v>
      </c>
      <c r="M237" t="s">
        <v>945</v>
      </c>
      <c r="N237" t="s">
        <v>45</v>
      </c>
      <c r="O237" t="s">
        <v>46</v>
      </c>
      <c r="P237" t="s">
        <v>47</v>
      </c>
      <c r="Q237" t="s">
        <v>70</v>
      </c>
      <c r="R237" t="s">
        <v>70</v>
      </c>
      <c r="S237" t="s">
        <v>70</v>
      </c>
      <c r="T237" t="s">
        <v>49</v>
      </c>
      <c r="U237" s="4" t="s">
        <v>946</v>
      </c>
      <c r="V237" t="s">
        <v>66</v>
      </c>
      <c r="W237" s="4" t="s">
        <v>947</v>
      </c>
      <c r="X237" t="s">
        <v>53</v>
      </c>
      <c r="Y237" t="s">
        <v>53</v>
      </c>
      <c r="Z237" t="s">
        <v>53</v>
      </c>
      <c r="AA237" t="s">
        <v>53</v>
      </c>
      <c r="AB237" t="s">
        <v>53</v>
      </c>
      <c r="AC237" t="s">
        <v>53</v>
      </c>
      <c r="AD237" t="s">
        <v>35</v>
      </c>
      <c r="AE237" t="s">
        <v>53</v>
      </c>
    </row>
    <row r="238" spans="1:31" x14ac:dyDescent="0.3">
      <c r="A238" t="s">
        <v>32</v>
      </c>
      <c r="B238" t="s">
        <v>33</v>
      </c>
      <c r="C238" t="s">
        <v>74</v>
      </c>
      <c r="D238" t="s">
        <v>35</v>
      </c>
      <c r="E238" t="s">
        <v>36</v>
      </c>
      <c r="F238" t="s">
        <v>37</v>
      </c>
      <c r="G238" t="s">
        <v>38</v>
      </c>
      <c r="H238" t="s">
        <v>39</v>
      </c>
      <c r="I238" t="s">
        <v>55</v>
      </c>
      <c r="J238" t="s">
        <v>56</v>
      </c>
      <c r="K238" t="s">
        <v>42</v>
      </c>
      <c r="L238" t="s">
        <v>948</v>
      </c>
      <c r="M238" t="s">
        <v>949</v>
      </c>
      <c r="N238" t="s">
        <v>45</v>
      </c>
      <c r="O238" t="s">
        <v>46</v>
      </c>
      <c r="P238" t="s">
        <v>47</v>
      </c>
      <c r="Q238" t="s">
        <v>338</v>
      </c>
      <c r="R238" t="s">
        <v>338</v>
      </c>
      <c r="S238" t="s">
        <v>338</v>
      </c>
      <c r="T238" t="s">
        <v>49</v>
      </c>
      <c r="U238" s="4" t="s">
        <v>950</v>
      </c>
      <c r="V238" t="s">
        <v>51</v>
      </c>
      <c r="W238" s="4" t="s">
        <v>951</v>
      </c>
      <c r="X238" t="s">
        <v>53</v>
      </c>
      <c r="Y238" t="s">
        <v>53</v>
      </c>
      <c r="Z238" t="s">
        <v>53</v>
      </c>
      <c r="AA238" t="s">
        <v>53</v>
      </c>
      <c r="AB238" t="s">
        <v>53</v>
      </c>
      <c r="AC238" t="s">
        <v>53</v>
      </c>
      <c r="AD238" t="s">
        <v>35</v>
      </c>
      <c r="AE238" t="s">
        <v>53</v>
      </c>
    </row>
    <row r="239" spans="1:31" x14ac:dyDescent="0.3">
      <c r="A239" t="s">
        <v>32</v>
      </c>
      <c r="B239" t="s">
        <v>33</v>
      </c>
      <c r="C239" t="s">
        <v>54</v>
      </c>
      <c r="D239" t="s">
        <v>35</v>
      </c>
      <c r="E239" t="s">
        <v>36</v>
      </c>
      <c r="F239" t="s">
        <v>37</v>
      </c>
      <c r="G239" t="s">
        <v>38</v>
      </c>
      <c r="H239" t="s">
        <v>39</v>
      </c>
      <c r="I239" t="s">
        <v>55</v>
      </c>
      <c r="J239" t="s">
        <v>56</v>
      </c>
      <c r="K239" t="s">
        <v>42</v>
      </c>
      <c r="L239" t="s">
        <v>952</v>
      </c>
      <c r="M239" t="s">
        <v>953</v>
      </c>
      <c r="N239" t="s">
        <v>45</v>
      </c>
      <c r="O239" t="s">
        <v>46</v>
      </c>
      <c r="P239" t="s">
        <v>47</v>
      </c>
      <c r="Q239" t="s">
        <v>954</v>
      </c>
      <c r="R239" t="s">
        <v>954</v>
      </c>
      <c r="S239" t="s">
        <v>954</v>
      </c>
      <c r="T239" t="s">
        <v>49</v>
      </c>
      <c r="U239" s="4" t="s">
        <v>955</v>
      </c>
      <c r="V239" t="s">
        <v>51</v>
      </c>
      <c r="W239" s="4" t="s">
        <v>499</v>
      </c>
      <c r="X239" t="s">
        <v>53</v>
      </c>
      <c r="Y239" t="s">
        <v>53</v>
      </c>
      <c r="Z239" t="s">
        <v>53</v>
      </c>
      <c r="AA239" t="s">
        <v>53</v>
      </c>
      <c r="AB239" t="s">
        <v>53</v>
      </c>
      <c r="AC239" t="s">
        <v>53</v>
      </c>
      <c r="AD239" t="s">
        <v>35</v>
      </c>
      <c r="AE239" t="s">
        <v>53</v>
      </c>
    </row>
    <row r="240" spans="1:31" x14ac:dyDescent="0.3">
      <c r="A240" t="s">
        <v>32</v>
      </c>
      <c r="B240" t="s">
        <v>33</v>
      </c>
      <c r="C240" t="s">
        <v>54</v>
      </c>
      <c r="D240" t="s">
        <v>35</v>
      </c>
      <c r="E240" t="s">
        <v>36</v>
      </c>
      <c r="F240" t="s">
        <v>37</v>
      </c>
      <c r="G240" t="s">
        <v>38</v>
      </c>
      <c r="H240" t="s">
        <v>39</v>
      </c>
      <c r="I240" t="s">
        <v>125</v>
      </c>
      <c r="J240" t="s">
        <v>126</v>
      </c>
      <c r="K240" t="s">
        <v>42</v>
      </c>
      <c r="L240" t="s">
        <v>594</v>
      </c>
      <c r="M240" t="s">
        <v>595</v>
      </c>
      <c r="N240" t="s">
        <v>45</v>
      </c>
      <c r="O240" t="s">
        <v>46</v>
      </c>
      <c r="P240" t="s">
        <v>47</v>
      </c>
      <c r="Q240" t="s">
        <v>596</v>
      </c>
      <c r="R240" t="s">
        <v>596</v>
      </c>
      <c r="S240" t="s">
        <v>596</v>
      </c>
      <c r="T240" t="s">
        <v>49</v>
      </c>
      <c r="U240" s="4" t="s">
        <v>956</v>
      </c>
      <c r="V240" t="s">
        <v>51</v>
      </c>
      <c r="W240" s="4" t="s">
        <v>957</v>
      </c>
      <c r="X240" t="s">
        <v>53</v>
      </c>
      <c r="Y240" t="s">
        <v>53</v>
      </c>
      <c r="Z240" t="s">
        <v>53</v>
      </c>
      <c r="AA240" t="s">
        <v>53</v>
      </c>
      <c r="AB240" t="s">
        <v>53</v>
      </c>
      <c r="AC240" t="s">
        <v>53</v>
      </c>
      <c r="AD240" t="s">
        <v>35</v>
      </c>
      <c r="AE240" t="s">
        <v>53</v>
      </c>
    </row>
    <row r="241" spans="1:31" x14ac:dyDescent="0.3">
      <c r="A241" t="s">
        <v>32</v>
      </c>
      <c r="B241" t="s">
        <v>33</v>
      </c>
      <c r="C241" t="s">
        <v>54</v>
      </c>
      <c r="D241" t="s">
        <v>35</v>
      </c>
      <c r="E241" t="s">
        <v>36</v>
      </c>
      <c r="F241" t="s">
        <v>37</v>
      </c>
      <c r="G241" t="s">
        <v>38</v>
      </c>
      <c r="H241" t="s">
        <v>39</v>
      </c>
      <c r="I241" t="s">
        <v>55</v>
      </c>
      <c r="J241" t="s">
        <v>56</v>
      </c>
      <c r="K241" t="s">
        <v>42</v>
      </c>
      <c r="L241" t="s">
        <v>958</v>
      </c>
      <c r="M241" t="s">
        <v>949</v>
      </c>
      <c r="N241" t="s">
        <v>45</v>
      </c>
      <c r="O241" t="s">
        <v>46</v>
      </c>
      <c r="P241" t="s">
        <v>47</v>
      </c>
      <c r="Q241" t="s">
        <v>754</v>
      </c>
      <c r="R241" t="s">
        <v>754</v>
      </c>
      <c r="S241" t="s">
        <v>754</v>
      </c>
      <c r="T241" t="s">
        <v>49</v>
      </c>
      <c r="U241" s="4" t="s">
        <v>959</v>
      </c>
      <c r="V241" t="s">
        <v>51</v>
      </c>
      <c r="W241" s="4" t="s">
        <v>960</v>
      </c>
      <c r="X241" t="s">
        <v>53</v>
      </c>
      <c r="Y241" t="s">
        <v>53</v>
      </c>
      <c r="Z241" t="s">
        <v>53</v>
      </c>
      <c r="AA241" t="s">
        <v>53</v>
      </c>
      <c r="AB241" t="s">
        <v>53</v>
      </c>
      <c r="AC241" t="s">
        <v>53</v>
      </c>
      <c r="AD241" t="s">
        <v>35</v>
      </c>
      <c r="AE241" t="s">
        <v>53</v>
      </c>
    </row>
    <row r="242" spans="1:31" x14ac:dyDescent="0.3">
      <c r="A242" t="s">
        <v>32</v>
      </c>
      <c r="B242" t="s">
        <v>33</v>
      </c>
      <c r="C242" t="s">
        <v>54</v>
      </c>
      <c r="D242" t="s">
        <v>35</v>
      </c>
      <c r="E242" t="s">
        <v>36</v>
      </c>
      <c r="F242" t="s">
        <v>37</v>
      </c>
      <c r="G242" t="s">
        <v>38</v>
      </c>
      <c r="H242" t="s">
        <v>39</v>
      </c>
      <c r="I242" t="s">
        <v>55</v>
      </c>
      <c r="J242" t="s">
        <v>56</v>
      </c>
      <c r="K242" t="s">
        <v>42</v>
      </c>
      <c r="L242" t="s">
        <v>961</v>
      </c>
      <c r="M242" t="s">
        <v>300</v>
      </c>
      <c r="N242" t="s">
        <v>45</v>
      </c>
      <c r="O242" t="s">
        <v>46</v>
      </c>
      <c r="P242" t="s">
        <v>47</v>
      </c>
      <c r="Q242" t="s">
        <v>389</v>
      </c>
      <c r="R242" t="s">
        <v>389</v>
      </c>
      <c r="S242" t="s">
        <v>389</v>
      </c>
      <c r="T242" t="s">
        <v>49</v>
      </c>
      <c r="U242" s="4" t="s">
        <v>962</v>
      </c>
      <c r="V242" t="s">
        <v>66</v>
      </c>
      <c r="W242" s="4" t="s">
        <v>963</v>
      </c>
      <c r="X242" t="s">
        <v>53</v>
      </c>
      <c r="Y242" t="s">
        <v>53</v>
      </c>
      <c r="Z242" t="s">
        <v>53</v>
      </c>
      <c r="AA242" t="s">
        <v>53</v>
      </c>
      <c r="AB242" t="s">
        <v>53</v>
      </c>
      <c r="AC242" t="s">
        <v>53</v>
      </c>
      <c r="AD242" t="s">
        <v>35</v>
      </c>
      <c r="AE242" t="s">
        <v>53</v>
      </c>
    </row>
    <row r="243" spans="1:31" x14ac:dyDescent="0.3">
      <c r="A243" t="s">
        <v>32</v>
      </c>
      <c r="B243" t="s">
        <v>33</v>
      </c>
      <c r="C243" t="s">
        <v>54</v>
      </c>
      <c r="D243" t="s">
        <v>35</v>
      </c>
      <c r="E243" t="s">
        <v>36</v>
      </c>
      <c r="F243" t="s">
        <v>37</v>
      </c>
      <c r="G243" t="s">
        <v>38</v>
      </c>
      <c r="H243" t="s">
        <v>39</v>
      </c>
      <c r="I243" t="s">
        <v>125</v>
      </c>
      <c r="J243" t="s">
        <v>126</v>
      </c>
      <c r="K243" t="s">
        <v>42</v>
      </c>
      <c r="L243" t="s">
        <v>964</v>
      </c>
      <c r="M243" t="s">
        <v>259</v>
      </c>
      <c r="N243" t="s">
        <v>45</v>
      </c>
      <c r="O243" t="s">
        <v>46</v>
      </c>
      <c r="P243" t="s">
        <v>47</v>
      </c>
      <c r="Q243" t="s">
        <v>260</v>
      </c>
      <c r="R243" t="s">
        <v>260</v>
      </c>
      <c r="S243" t="s">
        <v>260</v>
      </c>
      <c r="T243" t="s">
        <v>49</v>
      </c>
      <c r="U243" s="4" t="s">
        <v>965</v>
      </c>
      <c r="V243" t="s">
        <v>107</v>
      </c>
      <c r="W243" s="4" t="s">
        <v>966</v>
      </c>
      <c r="X243" t="s">
        <v>53</v>
      </c>
      <c r="Y243" t="s">
        <v>53</v>
      </c>
      <c r="Z243" t="s">
        <v>53</v>
      </c>
      <c r="AA243" t="s">
        <v>53</v>
      </c>
      <c r="AB243" t="s">
        <v>53</v>
      </c>
      <c r="AC243" t="s">
        <v>53</v>
      </c>
      <c r="AD243" t="s">
        <v>35</v>
      </c>
      <c r="AE243" t="s">
        <v>53</v>
      </c>
    </row>
    <row r="244" spans="1:31" x14ac:dyDescent="0.3">
      <c r="A244" t="s">
        <v>32</v>
      </c>
      <c r="B244" t="s">
        <v>33</v>
      </c>
      <c r="C244" t="s">
        <v>54</v>
      </c>
      <c r="D244" t="s">
        <v>35</v>
      </c>
      <c r="E244" t="s">
        <v>36</v>
      </c>
      <c r="F244" t="s">
        <v>37</v>
      </c>
      <c r="G244" t="s">
        <v>38</v>
      </c>
      <c r="H244" t="s">
        <v>39</v>
      </c>
      <c r="I244" t="s">
        <v>55</v>
      </c>
      <c r="J244" t="s">
        <v>56</v>
      </c>
      <c r="K244" t="s">
        <v>42</v>
      </c>
      <c r="L244" t="s">
        <v>967</v>
      </c>
      <c r="M244" t="s">
        <v>481</v>
      </c>
      <c r="N244" t="s">
        <v>45</v>
      </c>
      <c r="O244" t="s">
        <v>46</v>
      </c>
      <c r="P244" t="s">
        <v>47</v>
      </c>
      <c r="Q244" t="s">
        <v>154</v>
      </c>
      <c r="R244" t="s">
        <v>154</v>
      </c>
      <c r="S244" t="s">
        <v>154</v>
      </c>
      <c r="T244" t="s">
        <v>49</v>
      </c>
      <c r="U244" s="4" t="s">
        <v>968</v>
      </c>
      <c r="V244" t="s">
        <v>51</v>
      </c>
      <c r="W244" s="4" t="s">
        <v>969</v>
      </c>
      <c r="X244" t="s">
        <v>53</v>
      </c>
      <c r="Y244" t="s">
        <v>53</v>
      </c>
      <c r="Z244" t="s">
        <v>53</v>
      </c>
      <c r="AA244" t="s">
        <v>53</v>
      </c>
      <c r="AB244" t="s">
        <v>53</v>
      </c>
      <c r="AC244" t="s">
        <v>53</v>
      </c>
      <c r="AD244" t="s">
        <v>35</v>
      </c>
      <c r="AE244" t="s">
        <v>53</v>
      </c>
    </row>
    <row r="245" spans="1:31" x14ac:dyDescent="0.3">
      <c r="A245" t="s">
        <v>32</v>
      </c>
      <c r="B245" t="s">
        <v>33</v>
      </c>
      <c r="C245" t="s">
        <v>54</v>
      </c>
      <c r="D245" t="s">
        <v>35</v>
      </c>
      <c r="E245" t="s">
        <v>36</v>
      </c>
      <c r="F245" t="s">
        <v>37</v>
      </c>
      <c r="G245" t="s">
        <v>38</v>
      </c>
      <c r="H245" t="s">
        <v>39</v>
      </c>
      <c r="I245" t="s">
        <v>55</v>
      </c>
      <c r="J245" t="s">
        <v>56</v>
      </c>
      <c r="K245" t="s">
        <v>42</v>
      </c>
      <c r="L245" t="s">
        <v>970</v>
      </c>
      <c r="M245" t="s">
        <v>828</v>
      </c>
      <c r="N245" t="s">
        <v>45</v>
      </c>
      <c r="O245" t="s">
        <v>46</v>
      </c>
      <c r="P245" t="s">
        <v>47</v>
      </c>
      <c r="Q245" t="s">
        <v>70</v>
      </c>
      <c r="R245" t="s">
        <v>70</v>
      </c>
      <c r="S245" t="s">
        <v>70</v>
      </c>
      <c r="T245" t="s">
        <v>49</v>
      </c>
      <c r="U245" s="4" t="s">
        <v>971</v>
      </c>
      <c r="V245" t="s">
        <v>72</v>
      </c>
      <c r="W245" s="4" t="s">
        <v>525</v>
      </c>
      <c r="X245" t="s">
        <v>53</v>
      </c>
      <c r="Y245" t="s">
        <v>53</v>
      </c>
      <c r="Z245" t="s">
        <v>53</v>
      </c>
      <c r="AA245" t="s">
        <v>53</v>
      </c>
      <c r="AB245" t="s">
        <v>53</v>
      </c>
      <c r="AC245" t="s">
        <v>53</v>
      </c>
      <c r="AD245" t="s">
        <v>35</v>
      </c>
      <c r="AE245" t="s">
        <v>53</v>
      </c>
    </row>
    <row r="246" spans="1:31" x14ac:dyDescent="0.3">
      <c r="A246" t="s">
        <v>32</v>
      </c>
      <c r="B246" t="s">
        <v>33</v>
      </c>
      <c r="C246" t="s">
        <v>74</v>
      </c>
      <c r="D246" t="s">
        <v>35</v>
      </c>
      <c r="E246" t="s">
        <v>36</v>
      </c>
      <c r="F246" t="s">
        <v>37</v>
      </c>
      <c r="G246" t="s">
        <v>38</v>
      </c>
      <c r="H246" t="s">
        <v>39</v>
      </c>
      <c r="I246" t="s">
        <v>55</v>
      </c>
      <c r="J246" t="s">
        <v>56</v>
      </c>
      <c r="K246" t="s">
        <v>42</v>
      </c>
      <c r="L246" t="s">
        <v>972</v>
      </c>
      <c r="M246" t="s">
        <v>220</v>
      </c>
      <c r="N246" t="s">
        <v>45</v>
      </c>
      <c r="O246" t="s">
        <v>46</v>
      </c>
      <c r="P246" t="s">
        <v>47</v>
      </c>
      <c r="Q246" t="s">
        <v>77</v>
      </c>
      <c r="R246" t="s">
        <v>77</v>
      </c>
      <c r="S246" t="s">
        <v>77</v>
      </c>
      <c r="T246" t="s">
        <v>49</v>
      </c>
      <c r="U246" s="4" t="s">
        <v>973</v>
      </c>
      <c r="V246" t="s">
        <v>51</v>
      </c>
      <c r="W246" s="4" t="s">
        <v>974</v>
      </c>
      <c r="X246" t="s">
        <v>53</v>
      </c>
      <c r="Y246" t="s">
        <v>53</v>
      </c>
      <c r="Z246" t="s">
        <v>53</v>
      </c>
      <c r="AA246" t="s">
        <v>53</v>
      </c>
      <c r="AB246" t="s">
        <v>53</v>
      </c>
      <c r="AC246" t="s">
        <v>53</v>
      </c>
      <c r="AD246" t="s">
        <v>35</v>
      </c>
      <c r="AE246" t="s">
        <v>53</v>
      </c>
    </row>
    <row r="247" spans="1:31" x14ac:dyDescent="0.3">
      <c r="A247" t="s">
        <v>32</v>
      </c>
      <c r="B247" t="s">
        <v>33</v>
      </c>
      <c r="C247" t="s">
        <v>34</v>
      </c>
      <c r="D247" t="s">
        <v>35</v>
      </c>
      <c r="E247" t="s">
        <v>36</v>
      </c>
      <c r="F247" t="s">
        <v>37</v>
      </c>
      <c r="G247" t="s">
        <v>38</v>
      </c>
      <c r="H247" t="s">
        <v>39</v>
      </c>
      <c r="I247" t="s">
        <v>125</v>
      </c>
      <c r="J247" t="s">
        <v>126</v>
      </c>
      <c r="K247" t="s">
        <v>42</v>
      </c>
      <c r="L247" t="s">
        <v>127</v>
      </c>
      <c r="M247" t="s">
        <v>128</v>
      </c>
      <c r="N247" t="s">
        <v>45</v>
      </c>
      <c r="O247" t="s">
        <v>46</v>
      </c>
      <c r="P247" t="s">
        <v>47</v>
      </c>
      <c r="Q247" t="s">
        <v>129</v>
      </c>
      <c r="R247" t="s">
        <v>129</v>
      </c>
      <c r="S247" t="s">
        <v>129</v>
      </c>
      <c r="T247" t="s">
        <v>49</v>
      </c>
      <c r="U247" s="4" t="s">
        <v>904</v>
      </c>
      <c r="V247" t="s">
        <v>51</v>
      </c>
      <c r="W247" s="4" t="s">
        <v>905</v>
      </c>
      <c r="X247" t="s">
        <v>53</v>
      </c>
      <c r="Y247" t="s">
        <v>53</v>
      </c>
      <c r="Z247" t="s">
        <v>53</v>
      </c>
      <c r="AA247" t="s">
        <v>53</v>
      </c>
      <c r="AB247" t="s">
        <v>53</v>
      </c>
      <c r="AC247" t="s">
        <v>53</v>
      </c>
      <c r="AD247" t="s">
        <v>35</v>
      </c>
      <c r="AE247" t="s">
        <v>53</v>
      </c>
    </row>
    <row r="248" spans="1:31" x14ac:dyDescent="0.3">
      <c r="A248" t="s">
        <v>32</v>
      </c>
      <c r="B248" t="s">
        <v>33</v>
      </c>
      <c r="C248" t="s">
        <v>34</v>
      </c>
      <c r="D248" t="s">
        <v>35</v>
      </c>
      <c r="E248" t="s">
        <v>36</v>
      </c>
      <c r="F248" t="s">
        <v>37</v>
      </c>
      <c r="G248" t="s">
        <v>38</v>
      </c>
      <c r="H248" t="s">
        <v>39</v>
      </c>
      <c r="I248" t="s">
        <v>125</v>
      </c>
      <c r="J248" t="s">
        <v>126</v>
      </c>
      <c r="K248" t="s">
        <v>42</v>
      </c>
      <c r="L248" t="s">
        <v>161</v>
      </c>
      <c r="M248" t="s">
        <v>162</v>
      </c>
      <c r="N248" t="s">
        <v>45</v>
      </c>
      <c r="O248" t="s">
        <v>46</v>
      </c>
      <c r="P248" t="s">
        <v>47</v>
      </c>
      <c r="Q248" t="s">
        <v>163</v>
      </c>
      <c r="R248" t="s">
        <v>163</v>
      </c>
      <c r="S248" t="s">
        <v>163</v>
      </c>
      <c r="T248" t="s">
        <v>49</v>
      </c>
      <c r="U248" s="4" t="s">
        <v>975</v>
      </c>
      <c r="V248" t="s">
        <v>51</v>
      </c>
      <c r="W248" s="4" t="s">
        <v>976</v>
      </c>
      <c r="X248" t="s">
        <v>53</v>
      </c>
      <c r="Y248" t="s">
        <v>53</v>
      </c>
      <c r="Z248" t="s">
        <v>53</v>
      </c>
      <c r="AA248" t="s">
        <v>53</v>
      </c>
      <c r="AB248" t="s">
        <v>53</v>
      </c>
      <c r="AC248" t="s">
        <v>53</v>
      </c>
      <c r="AD248" t="s">
        <v>35</v>
      </c>
      <c r="AE248" t="s">
        <v>53</v>
      </c>
    </row>
    <row r="249" spans="1:31" x14ac:dyDescent="0.3">
      <c r="A249" t="s">
        <v>32</v>
      </c>
      <c r="B249" t="s">
        <v>33</v>
      </c>
      <c r="C249" t="s">
        <v>80</v>
      </c>
      <c r="D249" t="s">
        <v>35</v>
      </c>
      <c r="E249" t="s">
        <v>36</v>
      </c>
      <c r="F249" t="s">
        <v>37</v>
      </c>
      <c r="G249" t="s">
        <v>38</v>
      </c>
      <c r="H249" t="s">
        <v>39</v>
      </c>
      <c r="I249" t="s">
        <v>40</v>
      </c>
      <c r="J249" t="s">
        <v>41</v>
      </c>
      <c r="K249" t="s">
        <v>42</v>
      </c>
      <c r="L249" t="s">
        <v>43</v>
      </c>
      <c r="M249" t="s">
        <v>44</v>
      </c>
      <c r="N249" t="s">
        <v>45</v>
      </c>
      <c r="O249" t="s">
        <v>46</v>
      </c>
      <c r="P249" t="s">
        <v>47</v>
      </c>
      <c r="Q249" t="s">
        <v>48</v>
      </c>
      <c r="R249" t="s">
        <v>48</v>
      </c>
      <c r="S249" t="s">
        <v>48</v>
      </c>
      <c r="T249" t="s">
        <v>49</v>
      </c>
      <c r="U249" s="4" t="s">
        <v>50</v>
      </c>
      <c r="V249" t="s">
        <v>51</v>
      </c>
      <c r="W249" s="4" t="s">
        <v>52</v>
      </c>
      <c r="X249" t="s">
        <v>53</v>
      </c>
      <c r="Y249" t="s">
        <v>53</v>
      </c>
      <c r="Z249" t="s">
        <v>53</v>
      </c>
      <c r="AA249" t="s">
        <v>53</v>
      </c>
      <c r="AB249" t="s">
        <v>53</v>
      </c>
      <c r="AC249" t="s">
        <v>53</v>
      </c>
      <c r="AD249" t="s">
        <v>35</v>
      </c>
      <c r="AE249" t="s">
        <v>53</v>
      </c>
    </row>
    <row r="250" spans="1:31" x14ac:dyDescent="0.3">
      <c r="A250" t="s">
        <v>32</v>
      </c>
      <c r="B250" t="s">
        <v>33</v>
      </c>
      <c r="C250" t="s">
        <v>34</v>
      </c>
      <c r="D250" t="s">
        <v>35</v>
      </c>
      <c r="E250" t="s">
        <v>36</v>
      </c>
      <c r="F250" t="s">
        <v>37</v>
      </c>
      <c r="G250" t="s">
        <v>38</v>
      </c>
      <c r="H250" t="s">
        <v>39</v>
      </c>
      <c r="I250" t="s">
        <v>192</v>
      </c>
      <c r="J250" t="s">
        <v>193</v>
      </c>
      <c r="K250" t="s">
        <v>42</v>
      </c>
      <c r="L250" t="s">
        <v>977</v>
      </c>
      <c r="M250" t="s">
        <v>352</v>
      </c>
      <c r="N250" t="s">
        <v>45</v>
      </c>
      <c r="O250" t="s">
        <v>46</v>
      </c>
      <c r="P250" t="s">
        <v>47</v>
      </c>
      <c r="Q250" t="s">
        <v>978</v>
      </c>
      <c r="R250" t="s">
        <v>978</v>
      </c>
      <c r="S250" t="s">
        <v>978</v>
      </c>
      <c r="T250" t="s">
        <v>49</v>
      </c>
      <c r="U250" s="4" t="s">
        <v>979</v>
      </c>
      <c r="V250" t="s">
        <v>87</v>
      </c>
      <c r="W250" s="4" t="s">
        <v>980</v>
      </c>
      <c r="X250" t="s">
        <v>53</v>
      </c>
      <c r="Y250" t="s">
        <v>53</v>
      </c>
      <c r="Z250" t="s">
        <v>53</v>
      </c>
      <c r="AA250" t="s">
        <v>53</v>
      </c>
      <c r="AB250" t="s">
        <v>53</v>
      </c>
      <c r="AC250" t="s">
        <v>53</v>
      </c>
      <c r="AD250" t="s">
        <v>35</v>
      </c>
      <c r="AE250" t="s">
        <v>53</v>
      </c>
    </row>
    <row r="251" spans="1:31" x14ac:dyDescent="0.3">
      <c r="A251" t="s">
        <v>32</v>
      </c>
      <c r="B251" t="s">
        <v>33</v>
      </c>
      <c r="C251" t="s">
        <v>54</v>
      </c>
      <c r="D251" t="s">
        <v>35</v>
      </c>
      <c r="E251" t="s">
        <v>36</v>
      </c>
      <c r="F251" t="s">
        <v>37</v>
      </c>
      <c r="G251" t="s">
        <v>38</v>
      </c>
      <c r="H251" t="s">
        <v>39</v>
      </c>
      <c r="I251" t="s">
        <v>55</v>
      </c>
      <c r="J251" t="s">
        <v>56</v>
      </c>
      <c r="K251" t="s">
        <v>42</v>
      </c>
      <c r="L251" t="s">
        <v>981</v>
      </c>
      <c r="M251" t="s">
        <v>982</v>
      </c>
      <c r="N251" t="s">
        <v>45</v>
      </c>
      <c r="O251" t="s">
        <v>46</v>
      </c>
      <c r="P251" t="s">
        <v>47</v>
      </c>
      <c r="Q251" t="s">
        <v>111</v>
      </c>
      <c r="R251" t="s">
        <v>111</v>
      </c>
      <c r="S251" t="s">
        <v>111</v>
      </c>
      <c r="T251" t="s">
        <v>49</v>
      </c>
      <c r="U251" s="4" t="s">
        <v>983</v>
      </c>
      <c r="V251" t="s">
        <v>51</v>
      </c>
      <c r="W251" s="4" t="s">
        <v>984</v>
      </c>
      <c r="X251" t="s">
        <v>53</v>
      </c>
      <c r="Y251" t="s">
        <v>53</v>
      </c>
      <c r="Z251" t="s">
        <v>53</v>
      </c>
      <c r="AA251" t="s">
        <v>53</v>
      </c>
      <c r="AB251" t="s">
        <v>53</v>
      </c>
      <c r="AC251" t="s">
        <v>53</v>
      </c>
      <c r="AD251" t="s">
        <v>35</v>
      </c>
      <c r="AE251" t="s">
        <v>53</v>
      </c>
    </row>
    <row r="252" spans="1:31" x14ac:dyDescent="0.3">
      <c r="A252" t="s">
        <v>32</v>
      </c>
      <c r="B252" t="s">
        <v>33</v>
      </c>
      <c r="C252" t="s">
        <v>74</v>
      </c>
      <c r="D252" t="s">
        <v>35</v>
      </c>
      <c r="E252" t="s">
        <v>36</v>
      </c>
      <c r="F252" t="s">
        <v>37</v>
      </c>
      <c r="G252" t="s">
        <v>38</v>
      </c>
      <c r="H252" t="s">
        <v>39</v>
      </c>
      <c r="I252" t="s">
        <v>55</v>
      </c>
      <c r="J252" t="s">
        <v>56</v>
      </c>
      <c r="K252" t="s">
        <v>42</v>
      </c>
      <c r="L252" t="s">
        <v>985</v>
      </c>
      <c r="M252" t="s">
        <v>986</v>
      </c>
      <c r="N252" t="s">
        <v>45</v>
      </c>
      <c r="O252" t="s">
        <v>46</v>
      </c>
      <c r="P252" t="s">
        <v>47</v>
      </c>
      <c r="Q252" t="s">
        <v>77</v>
      </c>
      <c r="R252" t="s">
        <v>77</v>
      </c>
      <c r="S252" t="s">
        <v>77</v>
      </c>
      <c r="T252" t="s">
        <v>49</v>
      </c>
      <c r="U252" s="4" t="s">
        <v>537</v>
      </c>
      <c r="V252" t="s">
        <v>51</v>
      </c>
      <c r="W252" s="4" t="s">
        <v>538</v>
      </c>
      <c r="X252" t="s">
        <v>53</v>
      </c>
      <c r="Y252" t="s">
        <v>53</v>
      </c>
      <c r="Z252" t="s">
        <v>53</v>
      </c>
      <c r="AA252" t="s">
        <v>53</v>
      </c>
      <c r="AB252" t="s">
        <v>53</v>
      </c>
      <c r="AC252" t="s">
        <v>53</v>
      </c>
      <c r="AD252" t="s">
        <v>35</v>
      </c>
      <c r="AE252" t="s">
        <v>53</v>
      </c>
    </row>
    <row r="253" spans="1:31" x14ac:dyDescent="0.3">
      <c r="A253" t="s">
        <v>32</v>
      </c>
      <c r="B253" t="s">
        <v>33</v>
      </c>
      <c r="C253" t="s">
        <v>80</v>
      </c>
      <c r="D253" t="s">
        <v>35</v>
      </c>
      <c r="E253" t="s">
        <v>36</v>
      </c>
      <c r="F253" t="s">
        <v>37</v>
      </c>
      <c r="G253" t="s">
        <v>38</v>
      </c>
      <c r="H253" t="s">
        <v>39</v>
      </c>
      <c r="I253" t="s">
        <v>125</v>
      </c>
      <c r="J253" t="s">
        <v>126</v>
      </c>
      <c r="K253" t="s">
        <v>42</v>
      </c>
      <c r="L253" t="s">
        <v>357</v>
      </c>
      <c r="M253" t="s">
        <v>358</v>
      </c>
      <c r="N253" t="s">
        <v>45</v>
      </c>
      <c r="O253" t="s">
        <v>46</v>
      </c>
      <c r="P253" t="s">
        <v>47</v>
      </c>
      <c r="Q253" t="s">
        <v>359</v>
      </c>
      <c r="R253" t="s">
        <v>359</v>
      </c>
      <c r="S253" t="s">
        <v>359</v>
      </c>
      <c r="T253" t="s">
        <v>49</v>
      </c>
      <c r="U253" s="4" t="s">
        <v>459</v>
      </c>
      <c r="V253" t="s">
        <v>51</v>
      </c>
      <c r="W253" s="4" t="s">
        <v>460</v>
      </c>
      <c r="X253" t="s">
        <v>53</v>
      </c>
      <c r="Y253" t="s">
        <v>53</v>
      </c>
      <c r="Z253" t="s">
        <v>53</v>
      </c>
      <c r="AA253" t="s">
        <v>53</v>
      </c>
      <c r="AB253" t="s">
        <v>53</v>
      </c>
      <c r="AC253" t="s">
        <v>53</v>
      </c>
      <c r="AD253" t="s">
        <v>35</v>
      </c>
      <c r="AE253" t="s">
        <v>53</v>
      </c>
    </row>
    <row r="254" spans="1:31" x14ac:dyDescent="0.3">
      <c r="A254" t="s">
        <v>32</v>
      </c>
      <c r="B254" t="s">
        <v>33</v>
      </c>
      <c r="C254" t="s">
        <v>54</v>
      </c>
      <c r="D254" t="s">
        <v>35</v>
      </c>
      <c r="E254" t="s">
        <v>36</v>
      </c>
      <c r="F254" t="s">
        <v>37</v>
      </c>
      <c r="G254" t="s">
        <v>38</v>
      </c>
      <c r="H254" t="s">
        <v>39</v>
      </c>
      <c r="I254" t="s">
        <v>55</v>
      </c>
      <c r="J254" t="s">
        <v>56</v>
      </c>
      <c r="K254" t="s">
        <v>42</v>
      </c>
      <c r="L254" t="s">
        <v>987</v>
      </c>
      <c r="M254" t="s">
        <v>988</v>
      </c>
      <c r="N254" t="s">
        <v>45</v>
      </c>
      <c r="O254" t="s">
        <v>46</v>
      </c>
      <c r="P254" t="s">
        <v>47</v>
      </c>
      <c r="Q254" t="s">
        <v>98</v>
      </c>
      <c r="R254" t="s">
        <v>98</v>
      </c>
      <c r="S254" t="s">
        <v>98</v>
      </c>
      <c r="T254" t="s">
        <v>49</v>
      </c>
      <c r="U254" s="4" t="s">
        <v>872</v>
      </c>
      <c r="V254" t="s">
        <v>87</v>
      </c>
      <c r="W254" s="4" t="s">
        <v>873</v>
      </c>
      <c r="X254" t="s">
        <v>53</v>
      </c>
      <c r="Y254" t="s">
        <v>53</v>
      </c>
      <c r="Z254" t="s">
        <v>53</v>
      </c>
      <c r="AA254" t="s">
        <v>53</v>
      </c>
      <c r="AB254" t="s">
        <v>53</v>
      </c>
      <c r="AC254" t="s">
        <v>53</v>
      </c>
      <c r="AD254" t="s">
        <v>35</v>
      </c>
      <c r="AE254" t="s">
        <v>53</v>
      </c>
    </row>
    <row r="255" spans="1:31" x14ac:dyDescent="0.3">
      <c r="A255" t="s">
        <v>32</v>
      </c>
      <c r="B255" t="s">
        <v>33</v>
      </c>
      <c r="C255" t="s">
        <v>34</v>
      </c>
      <c r="D255" t="s">
        <v>35</v>
      </c>
      <c r="E255" t="s">
        <v>36</v>
      </c>
      <c r="F255" t="s">
        <v>37</v>
      </c>
      <c r="G255" t="s">
        <v>38</v>
      </c>
      <c r="H255" t="s">
        <v>39</v>
      </c>
      <c r="I255" t="s">
        <v>101</v>
      </c>
      <c r="J255" t="s">
        <v>102</v>
      </c>
      <c r="K255" t="s">
        <v>42</v>
      </c>
      <c r="L255" t="s">
        <v>989</v>
      </c>
      <c r="M255" t="s">
        <v>658</v>
      </c>
      <c r="N255" t="s">
        <v>45</v>
      </c>
      <c r="O255" t="s">
        <v>46</v>
      </c>
      <c r="P255" t="s">
        <v>47</v>
      </c>
      <c r="Q255" t="s">
        <v>274</v>
      </c>
      <c r="R255" t="s">
        <v>274</v>
      </c>
      <c r="S255" t="s">
        <v>274</v>
      </c>
      <c r="T255" t="s">
        <v>49</v>
      </c>
      <c r="U255" s="4" t="s">
        <v>990</v>
      </c>
      <c r="V255" t="s">
        <v>107</v>
      </c>
      <c r="W255" s="4" t="s">
        <v>991</v>
      </c>
      <c r="X255" t="s">
        <v>53</v>
      </c>
      <c r="Y255" t="s">
        <v>53</v>
      </c>
      <c r="Z255" t="s">
        <v>53</v>
      </c>
      <c r="AA255" t="s">
        <v>53</v>
      </c>
      <c r="AB255" t="s">
        <v>53</v>
      </c>
      <c r="AC255" t="s">
        <v>53</v>
      </c>
      <c r="AD255" t="s">
        <v>35</v>
      </c>
      <c r="AE255" t="s">
        <v>53</v>
      </c>
    </row>
    <row r="256" spans="1:31" x14ac:dyDescent="0.3">
      <c r="A256" t="s">
        <v>32</v>
      </c>
      <c r="B256" t="s">
        <v>33</v>
      </c>
      <c r="C256" t="s">
        <v>74</v>
      </c>
      <c r="D256" t="s">
        <v>35</v>
      </c>
      <c r="E256" t="s">
        <v>36</v>
      </c>
      <c r="F256" t="s">
        <v>37</v>
      </c>
      <c r="G256" t="s">
        <v>38</v>
      </c>
      <c r="H256" t="s">
        <v>39</v>
      </c>
      <c r="I256" t="s">
        <v>55</v>
      </c>
      <c r="J256" t="s">
        <v>56</v>
      </c>
      <c r="K256" t="s">
        <v>42</v>
      </c>
      <c r="L256" t="s">
        <v>992</v>
      </c>
      <c r="M256" t="s">
        <v>993</v>
      </c>
      <c r="N256" t="s">
        <v>45</v>
      </c>
      <c r="O256" t="s">
        <v>46</v>
      </c>
      <c r="P256" t="s">
        <v>47</v>
      </c>
      <c r="Q256" t="s">
        <v>77</v>
      </c>
      <c r="R256" t="s">
        <v>77</v>
      </c>
      <c r="S256" t="s">
        <v>77</v>
      </c>
      <c r="T256" t="s">
        <v>49</v>
      </c>
      <c r="U256" s="4" t="s">
        <v>994</v>
      </c>
      <c r="V256" t="s">
        <v>51</v>
      </c>
      <c r="W256" s="4" t="s">
        <v>656</v>
      </c>
      <c r="X256" t="s">
        <v>53</v>
      </c>
      <c r="Y256" t="s">
        <v>53</v>
      </c>
      <c r="Z256" t="s">
        <v>53</v>
      </c>
      <c r="AA256" t="s">
        <v>53</v>
      </c>
      <c r="AB256" t="s">
        <v>53</v>
      </c>
      <c r="AC256" t="s">
        <v>53</v>
      </c>
      <c r="AD256" t="s">
        <v>35</v>
      </c>
      <c r="AE256" t="s">
        <v>53</v>
      </c>
    </row>
    <row r="257" spans="1:31" x14ac:dyDescent="0.3">
      <c r="A257" t="s">
        <v>32</v>
      </c>
      <c r="B257" t="s">
        <v>33</v>
      </c>
      <c r="C257" t="s">
        <v>54</v>
      </c>
      <c r="D257" t="s">
        <v>35</v>
      </c>
      <c r="E257" t="s">
        <v>36</v>
      </c>
      <c r="F257" t="s">
        <v>37</v>
      </c>
      <c r="G257" t="s">
        <v>38</v>
      </c>
      <c r="H257" t="s">
        <v>39</v>
      </c>
      <c r="I257" t="s">
        <v>55</v>
      </c>
      <c r="J257" t="s">
        <v>56</v>
      </c>
      <c r="K257" t="s">
        <v>42</v>
      </c>
      <c r="L257" t="s">
        <v>995</v>
      </c>
      <c r="M257" t="s">
        <v>856</v>
      </c>
      <c r="N257" t="s">
        <v>45</v>
      </c>
      <c r="O257" t="s">
        <v>46</v>
      </c>
      <c r="P257" t="s">
        <v>47</v>
      </c>
      <c r="Q257" t="s">
        <v>260</v>
      </c>
      <c r="R257" t="s">
        <v>260</v>
      </c>
      <c r="S257" t="s">
        <v>260</v>
      </c>
      <c r="T257" t="s">
        <v>49</v>
      </c>
      <c r="U257" s="4" t="s">
        <v>996</v>
      </c>
      <c r="V257" t="s">
        <v>51</v>
      </c>
      <c r="W257" s="4" t="s">
        <v>997</v>
      </c>
      <c r="X257" t="s">
        <v>53</v>
      </c>
      <c r="Y257" t="s">
        <v>53</v>
      </c>
      <c r="Z257" t="s">
        <v>53</v>
      </c>
      <c r="AA257" t="s">
        <v>53</v>
      </c>
      <c r="AB257" t="s">
        <v>53</v>
      </c>
      <c r="AC257" t="s">
        <v>53</v>
      </c>
      <c r="AD257" t="s">
        <v>35</v>
      </c>
      <c r="AE257" t="s">
        <v>53</v>
      </c>
    </row>
    <row r="258" spans="1:31" x14ac:dyDescent="0.3">
      <c r="A258" t="s">
        <v>32</v>
      </c>
      <c r="B258" t="s">
        <v>33</v>
      </c>
      <c r="C258" t="s">
        <v>54</v>
      </c>
      <c r="D258" t="s">
        <v>35</v>
      </c>
      <c r="E258" t="s">
        <v>36</v>
      </c>
      <c r="F258" t="s">
        <v>37</v>
      </c>
      <c r="G258" t="s">
        <v>38</v>
      </c>
      <c r="H258" t="s">
        <v>39</v>
      </c>
      <c r="I258" t="s">
        <v>55</v>
      </c>
      <c r="J258" t="s">
        <v>56</v>
      </c>
      <c r="K258" t="s">
        <v>42</v>
      </c>
      <c r="L258" t="s">
        <v>998</v>
      </c>
      <c r="M258" t="s">
        <v>313</v>
      </c>
      <c r="N258" t="s">
        <v>45</v>
      </c>
      <c r="O258" t="s">
        <v>46</v>
      </c>
      <c r="P258" t="s">
        <v>47</v>
      </c>
      <c r="Q258" t="s">
        <v>111</v>
      </c>
      <c r="R258" t="s">
        <v>111</v>
      </c>
      <c r="S258" t="s">
        <v>111</v>
      </c>
      <c r="T258" t="s">
        <v>49</v>
      </c>
      <c r="U258" s="4" t="s">
        <v>999</v>
      </c>
      <c r="V258" t="s">
        <v>51</v>
      </c>
      <c r="W258" s="4" t="s">
        <v>1000</v>
      </c>
      <c r="X258" t="s">
        <v>53</v>
      </c>
      <c r="Y258" t="s">
        <v>53</v>
      </c>
      <c r="Z258" t="s">
        <v>53</v>
      </c>
      <c r="AA258" t="s">
        <v>53</v>
      </c>
      <c r="AB258" t="s">
        <v>53</v>
      </c>
      <c r="AC258" t="s">
        <v>53</v>
      </c>
      <c r="AD258" t="s">
        <v>35</v>
      </c>
      <c r="AE258" t="s">
        <v>53</v>
      </c>
    </row>
    <row r="259" spans="1:31" x14ac:dyDescent="0.3">
      <c r="A259" t="s">
        <v>32</v>
      </c>
      <c r="B259" t="s">
        <v>33</v>
      </c>
      <c r="C259" t="s">
        <v>74</v>
      </c>
      <c r="D259" t="s">
        <v>35</v>
      </c>
      <c r="E259" t="s">
        <v>36</v>
      </c>
      <c r="F259" t="s">
        <v>37</v>
      </c>
      <c r="G259" t="s">
        <v>38</v>
      </c>
      <c r="H259" t="s">
        <v>39</v>
      </c>
      <c r="I259" t="s">
        <v>132</v>
      </c>
      <c r="J259" t="s">
        <v>133</v>
      </c>
      <c r="K259" t="s">
        <v>42</v>
      </c>
      <c r="L259" t="s">
        <v>1001</v>
      </c>
      <c r="M259" t="s">
        <v>1002</v>
      </c>
      <c r="N259" t="s">
        <v>45</v>
      </c>
      <c r="O259" t="s">
        <v>46</v>
      </c>
      <c r="P259" t="s">
        <v>47</v>
      </c>
      <c r="Q259" t="s">
        <v>180</v>
      </c>
      <c r="R259" t="s">
        <v>180</v>
      </c>
      <c r="S259" t="s">
        <v>180</v>
      </c>
      <c r="T259" t="s">
        <v>49</v>
      </c>
      <c r="U259" s="4" t="s">
        <v>1003</v>
      </c>
      <c r="V259" t="s">
        <v>87</v>
      </c>
      <c r="W259" s="4" t="s">
        <v>1004</v>
      </c>
      <c r="X259" t="s">
        <v>53</v>
      </c>
      <c r="Y259" t="s">
        <v>53</v>
      </c>
      <c r="Z259" t="s">
        <v>53</v>
      </c>
      <c r="AA259" t="s">
        <v>53</v>
      </c>
      <c r="AB259" t="s">
        <v>53</v>
      </c>
      <c r="AC259" t="s">
        <v>53</v>
      </c>
      <c r="AD259" t="s">
        <v>35</v>
      </c>
      <c r="AE259" t="s">
        <v>53</v>
      </c>
    </row>
    <row r="260" spans="1:31" x14ac:dyDescent="0.3">
      <c r="A260" t="s">
        <v>32</v>
      </c>
      <c r="B260" t="s">
        <v>33</v>
      </c>
      <c r="C260" t="s">
        <v>74</v>
      </c>
      <c r="D260" t="s">
        <v>35</v>
      </c>
      <c r="E260" t="s">
        <v>36</v>
      </c>
      <c r="F260" t="s">
        <v>37</v>
      </c>
      <c r="G260" t="s">
        <v>38</v>
      </c>
      <c r="H260" t="s">
        <v>39</v>
      </c>
      <c r="I260" t="s">
        <v>55</v>
      </c>
      <c r="J260" t="s">
        <v>56</v>
      </c>
      <c r="K260" t="s">
        <v>42</v>
      </c>
      <c r="L260" t="s">
        <v>1005</v>
      </c>
      <c r="M260" t="s">
        <v>993</v>
      </c>
      <c r="N260" t="s">
        <v>45</v>
      </c>
      <c r="O260" t="s">
        <v>46</v>
      </c>
      <c r="P260" t="s">
        <v>47</v>
      </c>
      <c r="Q260" t="s">
        <v>77</v>
      </c>
      <c r="R260" t="s">
        <v>77</v>
      </c>
      <c r="S260" t="s">
        <v>77</v>
      </c>
      <c r="T260" t="s">
        <v>49</v>
      </c>
      <c r="U260" s="4" t="s">
        <v>1006</v>
      </c>
      <c r="V260" t="s">
        <v>51</v>
      </c>
      <c r="W260" s="4" t="s">
        <v>1007</v>
      </c>
      <c r="X260" t="s">
        <v>53</v>
      </c>
      <c r="Y260" t="s">
        <v>53</v>
      </c>
      <c r="Z260" t="s">
        <v>53</v>
      </c>
      <c r="AA260" t="s">
        <v>53</v>
      </c>
      <c r="AB260" t="s">
        <v>53</v>
      </c>
      <c r="AC260" t="s">
        <v>53</v>
      </c>
      <c r="AD260" t="s">
        <v>35</v>
      </c>
      <c r="AE260" t="s">
        <v>53</v>
      </c>
    </row>
    <row r="261" spans="1:31" x14ac:dyDescent="0.3">
      <c r="A261" t="s">
        <v>32</v>
      </c>
      <c r="B261" t="s">
        <v>33</v>
      </c>
      <c r="C261" t="s">
        <v>54</v>
      </c>
      <c r="D261" t="s">
        <v>35</v>
      </c>
      <c r="E261" t="s">
        <v>36</v>
      </c>
      <c r="F261" t="s">
        <v>37</v>
      </c>
      <c r="G261" t="s">
        <v>38</v>
      </c>
      <c r="H261" t="s">
        <v>39</v>
      </c>
      <c r="I261" t="s">
        <v>125</v>
      </c>
      <c r="J261" t="s">
        <v>126</v>
      </c>
      <c r="K261" t="s">
        <v>42</v>
      </c>
      <c r="L261" t="s">
        <v>474</v>
      </c>
      <c r="M261" t="s">
        <v>475</v>
      </c>
      <c r="N261" t="s">
        <v>45</v>
      </c>
      <c r="O261" t="s">
        <v>46</v>
      </c>
      <c r="P261" t="s">
        <v>47</v>
      </c>
      <c r="Q261" t="s">
        <v>59</v>
      </c>
      <c r="R261" t="s">
        <v>59</v>
      </c>
      <c r="S261" t="s">
        <v>59</v>
      </c>
      <c r="T261" t="s">
        <v>49</v>
      </c>
      <c r="U261" s="4" t="s">
        <v>1008</v>
      </c>
      <c r="V261" t="s">
        <v>51</v>
      </c>
      <c r="W261" s="4" t="s">
        <v>1009</v>
      </c>
      <c r="X261" t="s">
        <v>53</v>
      </c>
      <c r="Y261" t="s">
        <v>53</v>
      </c>
      <c r="Z261" t="s">
        <v>53</v>
      </c>
      <c r="AA261" t="s">
        <v>53</v>
      </c>
      <c r="AB261" t="s">
        <v>53</v>
      </c>
      <c r="AC261" t="s">
        <v>53</v>
      </c>
      <c r="AD261" t="s">
        <v>35</v>
      </c>
      <c r="AE261" t="s">
        <v>53</v>
      </c>
    </row>
    <row r="262" spans="1:31" x14ac:dyDescent="0.3">
      <c r="A262" t="s">
        <v>32</v>
      </c>
      <c r="B262" t="s">
        <v>33</v>
      </c>
      <c r="C262" t="s">
        <v>54</v>
      </c>
      <c r="D262" t="s">
        <v>35</v>
      </c>
      <c r="E262" t="s">
        <v>36</v>
      </c>
      <c r="F262" t="s">
        <v>37</v>
      </c>
      <c r="G262" t="s">
        <v>38</v>
      </c>
      <c r="H262" t="s">
        <v>39</v>
      </c>
      <c r="I262" t="s">
        <v>55</v>
      </c>
      <c r="J262" t="s">
        <v>56</v>
      </c>
      <c r="K262" t="s">
        <v>42</v>
      </c>
      <c r="L262" t="s">
        <v>1010</v>
      </c>
      <c r="M262" t="s">
        <v>200</v>
      </c>
      <c r="N262" t="s">
        <v>45</v>
      </c>
      <c r="O262" t="s">
        <v>46</v>
      </c>
      <c r="P262" t="s">
        <v>47</v>
      </c>
      <c r="Q262" t="s">
        <v>70</v>
      </c>
      <c r="R262" t="s">
        <v>70</v>
      </c>
      <c r="S262" t="s">
        <v>70</v>
      </c>
      <c r="T262" t="s">
        <v>49</v>
      </c>
      <c r="U262" s="4" t="s">
        <v>201</v>
      </c>
      <c r="V262" t="s">
        <v>66</v>
      </c>
      <c r="W262" s="4" t="s">
        <v>202</v>
      </c>
      <c r="X262" t="s">
        <v>53</v>
      </c>
      <c r="Y262" t="s">
        <v>53</v>
      </c>
      <c r="Z262" t="s">
        <v>53</v>
      </c>
      <c r="AA262" t="s">
        <v>53</v>
      </c>
      <c r="AB262" t="s">
        <v>53</v>
      </c>
      <c r="AC262" t="s">
        <v>53</v>
      </c>
      <c r="AD262" t="s">
        <v>35</v>
      </c>
      <c r="AE262" t="s">
        <v>53</v>
      </c>
    </row>
    <row r="263" spans="1:31" x14ac:dyDescent="0.3">
      <c r="A263" t="s">
        <v>32</v>
      </c>
      <c r="B263" t="s">
        <v>33</v>
      </c>
      <c r="C263" t="s">
        <v>74</v>
      </c>
      <c r="D263" t="s">
        <v>35</v>
      </c>
      <c r="E263" t="s">
        <v>36</v>
      </c>
      <c r="F263" t="s">
        <v>37</v>
      </c>
      <c r="G263" t="s">
        <v>38</v>
      </c>
      <c r="H263" t="s">
        <v>39</v>
      </c>
      <c r="I263" t="s">
        <v>55</v>
      </c>
      <c r="J263" t="s">
        <v>56</v>
      </c>
      <c r="K263" t="s">
        <v>42</v>
      </c>
      <c r="L263" t="s">
        <v>1011</v>
      </c>
      <c r="M263" t="s">
        <v>348</v>
      </c>
      <c r="N263" t="s">
        <v>45</v>
      </c>
      <c r="O263" t="s">
        <v>46</v>
      </c>
      <c r="P263" t="s">
        <v>47</v>
      </c>
      <c r="Q263" t="s">
        <v>77</v>
      </c>
      <c r="R263" t="s">
        <v>77</v>
      </c>
      <c r="S263" t="s">
        <v>77</v>
      </c>
      <c r="T263" t="s">
        <v>49</v>
      </c>
      <c r="U263" s="4" t="s">
        <v>1012</v>
      </c>
      <c r="V263" t="s">
        <v>51</v>
      </c>
      <c r="W263" s="4" t="s">
        <v>1013</v>
      </c>
      <c r="X263" t="s">
        <v>53</v>
      </c>
      <c r="Y263" t="s">
        <v>53</v>
      </c>
      <c r="Z263" t="s">
        <v>53</v>
      </c>
      <c r="AA263" t="s">
        <v>53</v>
      </c>
      <c r="AB263" t="s">
        <v>53</v>
      </c>
      <c r="AC263" t="s">
        <v>53</v>
      </c>
      <c r="AD263" t="s">
        <v>35</v>
      </c>
      <c r="AE263" t="s">
        <v>53</v>
      </c>
    </row>
    <row r="264" spans="1:31" x14ac:dyDescent="0.3">
      <c r="A264" t="s">
        <v>32</v>
      </c>
      <c r="B264" t="s">
        <v>33</v>
      </c>
      <c r="C264" t="s">
        <v>54</v>
      </c>
      <c r="D264" t="s">
        <v>35</v>
      </c>
      <c r="E264" t="s">
        <v>36</v>
      </c>
      <c r="F264" t="s">
        <v>37</v>
      </c>
      <c r="G264" t="s">
        <v>38</v>
      </c>
      <c r="H264" t="s">
        <v>39</v>
      </c>
      <c r="I264" t="s">
        <v>125</v>
      </c>
      <c r="J264" t="s">
        <v>126</v>
      </c>
      <c r="K264" t="s">
        <v>42</v>
      </c>
      <c r="L264" t="s">
        <v>789</v>
      </c>
      <c r="M264" t="s">
        <v>208</v>
      </c>
      <c r="N264" t="s">
        <v>45</v>
      </c>
      <c r="O264" t="s">
        <v>46</v>
      </c>
      <c r="P264" t="s">
        <v>47</v>
      </c>
      <c r="Q264" t="s">
        <v>209</v>
      </c>
      <c r="R264" t="s">
        <v>209</v>
      </c>
      <c r="S264" t="s">
        <v>209</v>
      </c>
      <c r="T264" t="s">
        <v>49</v>
      </c>
      <c r="U264" s="4" t="s">
        <v>1014</v>
      </c>
      <c r="V264" t="s">
        <v>51</v>
      </c>
      <c r="W264" s="4" t="s">
        <v>1015</v>
      </c>
      <c r="X264" t="s">
        <v>53</v>
      </c>
      <c r="Y264" t="s">
        <v>53</v>
      </c>
      <c r="Z264" t="s">
        <v>53</v>
      </c>
      <c r="AA264" t="s">
        <v>53</v>
      </c>
      <c r="AB264" t="s">
        <v>53</v>
      </c>
      <c r="AC264" t="s">
        <v>53</v>
      </c>
      <c r="AD264" t="s">
        <v>35</v>
      </c>
      <c r="AE264" t="s">
        <v>53</v>
      </c>
    </row>
    <row r="265" spans="1:31" x14ac:dyDescent="0.3">
      <c r="A265" t="s">
        <v>32</v>
      </c>
      <c r="B265" t="s">
        <v>33</v>
      </c>
      <c r="C265" t="s">
        <v>54</v>
      </c>
      <c r="D265" t="s">
        <v>35</v>
      </c>
      <c r="E265" t="s">
        <v>36</v>
      </c>
      <c r="F265" t="s">
        <v>37</v>
      </c>
      <c r="G265" t="s">
        <v>38</v>
      </c>
      <c r="H265" t="s">
        <v>39</v>
      </c>
      <c r="I265" t="s">
        <v>55</v>
      </c>
      <c r="J265" t="s">
        <v>56</v>
      </c>
      <c r="K265" t="s">
        <v>42</v>
      </c>
      <c r="L265" t="s">
        <v>1016</v>
      </c>
      <c r="M265" t="s">
        <v>1017</v>
      </c>
      <c r="N265" t="s">
        <v>45</v>
      </c>
      <c r="O265" t="s">
        <v>46</v>
      </c>
      <c r="P265" t="s">
        <v>47</v>
      </c>
      <c r="Q265" t="s">
        <v>368</v>
      </c>
      <c r="R265" t="s">
        <v>368</v>
      </c>
      <c r="S265" t="s">
        <v>368</v>
      </c>
      <c r="T265" t="s">
        <v>49</v>
      </c>
      <c r="U265" s="4" t="s">
        <v>1018</v>
      </c>
      <c r="V265" t="s">
        <v>51</v>
      </c>
      <c r="W265" s="4" t="s">
        <v>1019</v>
      </c>
      <c r="X265" t="s">
        <v>53</v>
      </c>
      <c r="Y265" t="s">
        <v>53</v>
      </c>
      <c r="Z265" t="s">
        <v>53</v>
      </c>
      <c r="AA265" t="s">
        <v>53</v>
      </c>
      <c r="AB265" t="s">
        <v>53</v>
      </c>
      <c r="AC265" t="s">
        <v>53</v>
      </c>
      <c r="AD265" t="s">
        <v>35</v>
      </c>
      <c r="AE265" t="s">
        <v>53</v>
      </c>
    </row>
    <row r="266" spans="1:31" x14ac:dyDescent="0.3">
      <c r="A266" t="s">
        <v>32</v>
      </c>
      <c r="B266" t="s">
        <v>33</v>
      </c>
      <c r="C266" t="s">
        <v>34</v>
      </c>
      <c r="D266" t="s">
        <v>35</v>
      </c>
      <c r="E266" t="s">
        <v>36</v>
      </c>
      <c r="F266" t="s">
        <v>37</v>
      </c>
      <c r="G266" t="s">
        <v>38</v>
      </c>
      <c r="H266" t="s">
        <v>39</v>
      </c>
      <c r="I266" t="s">
        <v>40</v>
      </c>
      <c r="J266" t="s">
        <v>41</v>
      </c>
      <c r="K266" t="s">
        <v>42</v>
      </c>
      <c r="L266" t="s">
        <v>1020</v>
      </c>
      <c r="M266" t="s">
        <v>870</v>
      </c>
      <c r="N266" t="s">
        <v>45</v>
      </c>
      <c r="O266" t="s">
        <v>46</v>
      </c>
      <c r="P266" t="s">
        <v>47</v>
      </c>
      <c r="Q266" t="s">
        <v>59</v>
      </c>
      <c r="R266" t="s">
        <v>59</v>
      </c>
      <c r="S266" t="s">
        <v>59</v>
      </c>
      <c r="T266" t="s">
        <v>49</v>
      </c>
      <c r="U266" s="4" t="s">
        <v>1021</v>
      </c>
      <c r="V266" t="s">
        <v>51</v>
      </c>
      <c r="W266" s="4" t="s">
        <v>1022</v>
      </c>
      <c r="X266" t="s">
        <v>53</v>
      </c>
      <c r="Y266" t="s">
        <v>53</v>
      </c>
      <c r="Z266" t="s">
        <v>53</v>
      </c>
      <c r="AA266" t="s">
        <v>53</v>
      </c>
      <c r="AB266" t="s">
        <v>53</v>
      </c>
      <c r="AC266" t="s">
        <v>53</v>
      </c>
      <c r="AD266" t="s">
        <v>35</v>
      </c>
      <c r="AE266" t="s">
        <v>53</v>
      </c>
    </row>
    <row r="267" spans="1:31" x14ac:dyDescent="0.3">
      <c r="A267" t="s">
        <v>32</v>
      </c>
      <c r="B267" t="s">
        <v>33</v>
      </c>
      <c r="C267" t="s">
        <v>74</v>
      </c>
      <c r="D267" t="s">
        <v>35</v>
      </c>
      <c r="E267" t="s">
        <v>36</v>
      </c>
      <c r="F267" t="s">
        <v>37</v>
      </c>
      <c r="G267" t="s">
        <v>38</v>
      </c>
      <c r="H267" t="s">
        <v>39</v>
      </c>
      <c r="I267" t="s">
        <v>55</v>
      </c>
      <c r="J267" t="s">
        <v>56</v>
      </c>
      <c r="K267" t="s">
        <v>42</v>
      </c>
      <c r="L267" t="s">
        <v>1023</v>
      </c>
      <c r="M267" t="s">
        <v>1024</v>
      </c>
      <c r="N267" t="s">
        <v>45</v>
      </c>
      <c r="O267" t="s">
        <v>46</v>
      </c>
      <c r="P267" t="s">
        <v>47</v>
      </c>
      <c r="Q267" t="s">
        <v>77</v>
      </c>
      <c r="R267" t="s">
        <v>77</v>
      </c>
      <c r="S267" t="s">
        <v>77</v>
      </c>
      <c r="T267" t="s">
        <v>49</v>
      </c>
      <c r="U267" s="4" t="s">
        <v>1025</v>
      </c>
      <c r="V267" t="s">
        <v>51</v>
      </c>
      <c r="W267" s="4" t="s">
        <v>1026</v>
      </c>
      <c r="X267" t="s">
        <v>53</v>
      </c>
      <c r="Y267" t="s">
        <v>53</v>
      </c>
      <c r="Z267" t="s">
        <v>53</v>
      </c>
      <c r="AA267" t="s">
        <v>53</v>
      </c>
      <c r="AB267" t="s">
        <v>53</v>
      </c>
      <c r="AC267" t="s">
        <v>53</v>
      </c>
      <c r="AD267" t="s">
        <v>35</v>
      </c>
      <c r="AE267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A046-9FBD-4FB8-BC90-F9998C5B3F3E}">
  <dimension ref="A1:AH264"/>
  <sheetViews>
    <sheetView tabSelected="1" workbookViewId="0">
      <selection activeCell="D10" sqref="D10"/>
    </sheetView>
  </sheetViews>
  <sheetFormatPr defaultRowHeight="14.4" x14ac:dyDescent="0.3"/>
  <cols>
    <col min="1" max="1" width="21.6640625" bestFit="1" customWidth="1"/>
    <col min="2" max="2" width="23" bestFit="1" customWidth="1"/>
    <col min="3" max="3" width="17.21875" customWidth="1"/>
    <col min="4" max="4" width="14.109375" bestFit="1" customWidth="1"/>
    <col min="5" max="5" width="15.33203125" customWidth="1"/>
    <col min="6" max="6" width="13.21875" style="24" customWidth="1"/>
    <col min="7" max="7" width="11" style="24" customWidth="1"/>
    <col min="8" max="8" width="13.109375" style="24" customWidth="1"/>
    <col min="9" max="10" width="11.44140625" bestFit="1" customWidth="1"/>
    <col min="11" max="11" width="9.33203125" bestFit="1" customWidth="1"/>
    <col min="12" max="12" width="7.109375" bestFit="1" customWidth="1"/>
    <col min="13" max="13" width="8.33203125" bestFit="1" customWidth="1"/>
    <col min="14" max="14" width="40.44140625" bestFit="1" customWidth="1"/>
  </cols>
  <sheetData>
    <row r="1" spans="1:34" x14ac:dyDescent="0.3">
      <c r="A1" s="1" t="s">
        <v>7</v>
      </c>
      <c r="B1" s="1" t="s">
        <v>6</v>
      </c>
      <c r="C1" s="1" t="s">
        <v>8</v>
      </c>
      <c r="D1" s="1" t="s">
        <v>9</v>
      </c>
      <c r="E1" s="1" t="s">
        <v>10</v>
      </c>
      <c r="F1" s="1"/>
      <c r="G1" s="1"/>
      <c r="H1" s="1"/>
      <c r="I1" s="1" t="s">
        <v>13</v>
      </c>
      <c r="J1" s="1" t="s">
        <v>14</v>
      </c>
      <c r="K1" s="1" t="s">
        <v>17</v>
      </c>
      <c r="L1" s="1" t="s">
        <v>18</v>
      </c>
      <c r="M1" s="1" t="s">
        <v>19</v>
      </c>
    </row>
    <row r="2" spans="1:34" x14ac:dyDescent="0.3">
      <c r="A2" s="9" t="s">
        <v>1037</v>
      </c>
      <c r="B2" s="15" t="s">
        <v>193</v>
      </c>
      <c r="C2" s="15" t="s">
        <v>42</v>
      </c>
      <c r="D2" s="12">
        <v>7260075332</v>
      </c>
      <c r="E2" s="15" t="s">
        <v>195</v>
      </c>
      <c r="F2" s="15" t="s">
        <v>195</v>
      </c>
      <c r="G2" s="15" t="s">
        <v>1043</v>
      </c>
      <c r="H2" s="15" t="str">
        <f>_xlfn.CONCAT(G2, " ",F2)</f>
        <v>MICHAEL CARROLL</v>
      </c>
      <c r="I2" s="19">
        <v>46102</v>
      </c>
      <c r="J2" s="19">
        <v>46102</v>
      </c>
      <c r="K2" s="12">
        <v>35</v>
      </c>
      <c r="L2" s="12">
        <v>1.37</v>
      </c>
      <c r="M2" s="12">
        <v>47.95</v>
      </c>
      <c r="N2" s="15" t="s">
        <v>1027</v>
      </c>
      <c r="O2" s="15" t="s">
        <v>1038</v>
      </c>
      <c r="P2" s="15" t="s">
        <v>1039</v>
      </c>
      <c r="Q2" s="15">
        <f>DATEDIF(I2,J2,"M")</f>
        <v>0</v>
      </c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4" x14ac:dyDescent="0.3">
      <c r="A3" s="9" t="s">
        <v>1037</v>
      </c>
      <c r="B3" s="15" t="s">
        <v>193</v>
      </c>
      <c r="C3" s="15" t="s">
        <v>42</v>
      </c>
      <c r="D3" s="12">
        <v>6260037184</v>
      </c>
      <c r="E3" s="15" t="s">
        <v>584</v>
      </c>
      <c r="F3" s="15" t="s">
        <v>584</v>
      </c>
      <c r="G3" s="15" t="s">
        <v>1044</v>
      </c>
      <c r="H3" s="15" t="str">
        <f t="shared" ref="H3:H66" si="0">_xlfn.CONCAT(G3, " ",F3)</f>
        <v>WILLIAM BELO</v>
      </c>
      <c r="I3" s="19">
        <v>46084</v>
      </c>
      <c r="J3" s="19">
        <v>46084</v>
      </c>
      <c r="K3" s="12">
        <v>36.19</v>
      </c>
      <c r="L3" s="12">
        <v>0.9</v>
      </c>
      <c r="M3" s="12">
        <v>32.57</v>
      </c>
      <c r="N3" s="15" t="s">
        <v>1029</v>
      </c>
      <c r="O3" s="15" t="s">
        <v>1038</v>
      </c>
      <c r="P3" s="15" t="s">
        <v>1039</v>
      </c>
      <c r="Q3" s="15">
        <f>DATEDIF(I3,J3,"M")</f>
        <v>0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4" s="21" customFormat="1" x14ac:dyDescent="0.3">
      <c r="A4" s="9" t="s">
        <v>1030</v>
      </c>
      <c r="B4" s="15" t="s">
        <v>56</v>
      </c>
      <c r="C4" s="15" t="s">
        <v>42</v>
      </c>
      <c r="D4" s="12">
        <v>7260030654</v>
      </c>
      <c r="E4" s="15" t="s">
        <v>367</v>
      </c>
      <c r="F4" s="15" t="s">
        <v>367</v>
      </c>
      <c r="G4" s="15" t="s">
        <v>586</v>
      </c>
      <c r="H4" s="15" t="str">
        <f t="shared" si="0"/>
        <v>THOMAS CONFORTI</v>
      </c>
      <c r="I4" s="19">
        <v>46082</v>
      </c>
      <c r="J4" s="19">
        <v>46082</v>
      </c>
      <c r="K4" s="12">
        <v>52.63</v>
      </c>
      <c r="L4" s="12">
        <v>1.37</v>
      </c>
      <c r="M4" s="12">
        <v>72.099999999999994</v>
      </c>
      <c r="N4" s="15" t="s">
        <v>1027</v>
      </c>
      <c r="O4" s="15" t="s">
        <v>1038</v>
      </c>
      <c r="P4" s="15" t="s">
        <v>1039</v>
      </c>
      <c r="Q4" s="15">
        <f>DATEDIF(I4,J4,"M")</f>
        <v>0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24"/>
    </row>
    <row r="5" spans="1:34" x14ac:dyDescent="0.3">
      <c r="A5" s="9" t="s">
        <v>1030</v>
      </c>
      <c r="B5" s="15" t="s">
        <v>56</v>
      </c>
      <c r="C5" s="15" t="s">
        <v>42</v>
      </c>
      <c r="D5" s="12">
        <v>7260044705</v>
      </c>
      <c r="E5" s="15" t="s">
        <v>636</v>
      </c>
      <c r="F5" s="15" t="s">
        <v>636</v>
      </c>
      <c r="G5" s="15" t="s">
        <v>1045</v>
      </c>
      <c r="H5" s="15" t="str">
        <f t="shared" si="0"/>
        <v>MARTIN KWITSCHAU</v>
      </c>
      <c r="I5" s="19">
        <v>46082</v>
      </c>
      <c r="J5" s="19">
        <v>46082</v>
      </c>
      <c r="K5" s="12">
        <v>169.44</v>
      </c>
      <c r="L5" s="12">
        <v>1.37</v>
      </c>
      <c r="M5" s="12">
        <v>232.13</v>
      </c>
      <c r="N5" s="15" t="s">
        <v>1027</v>
      </c>
      <c r="O5" s="15" t="s">
        <v>1038</v>
      </c>
      <c r="P5" s="15" t="s">
        <v>1039</v>
      </c>
      <c r="Q5" s="15">
        <f>DATEDIF(I5,J5,"M")</f>
        <v>0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4" x14ac:dyDescent="0.3">
      <c r="A6" s="9" t="s">
        <v>1030</v>
      </c>
      <c r="B6" s="15" t="s">
        <v>56</v>
      </c>
      <c r="C6" s="15" t="s">
        <v>42</v>
      </c>
      <c r="D6" s="12">
        <v>7260046349</v>
      </c>
      <c r="E6" s="15" t="s">
        <v>63</v>
      </c>
      <c r="F6" s="15" t="s">
        <v>63</v>
      </c>
      <c r="G6" s="15" t="s">
        <v>1046</v>
      </c>
      <c r="H6" s="15" t="str">
        <f t="shared" si="0"/>
        <v>SUZANNE MCGARY</v>
      </c>
      <c r="I6" s="19">
        <v>46082</v>
      </c>
      <c r="J6" s="19">
        <v>46082</v>
      </c>
      <c r="K6" s="12">
        <v>102.63</v>
      </c>
      <c r="L6" s="12">
        <v>1.37</v>
      </c>
      <c r="M6" s="12">
        <v>140.6</v>
      </c>
      <c r="N6" s="15" t="s">
        <v>1027</v>
      </c>
      <c r="O6" s="15" t="s">
        <v>1038</v>
      </c>
      <c r="P6" s="15" t="s">
        <v>1039</v>
      </c>
      <c r="Q6" s="15">
        <f>DATEDIF(I6,J6,"M")</f>
        <v>0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4" x14ac:dyDescent="0.3">
      <c r="A7" s="9" t="s">
        <v>1030</v>
      </c>
      <c r="B7" s="15" t="s">
        <v>56</v>
      </c>
      <c r="C7" s="15" t="s">
        <v>42</v>
      </c>
      <c r="D7" s="12">
        <v>7260028811</v>
      </c>
      <c r="E7" s="15" t="s">
        <v>841</v>
      </c>
      <c r="F7" s="15" t="s">
        <v>841</v>
      </c>
      <c r="G7" s="15" t="s">
        <v>1047</v>
      </c>
      <c r="H7" s="15" t="str">
        <f t="shared" si="0"/>
        <v>KURT DELABAR</v>
      </c>
      <c r="I7" s="19">
        <v>46082</v>
      </c>
      <c r="J7" s="19">
        <v>46082</v>
      </c>
      <c r="K7" s="12">
        <v>121.06</v>
      </c>
      <c r="L7" s="12">
        <v>1.37</v>
      </c>
      <c r="M7" s="12">
        <v>165.85</v>
      </c>
      <c r="N7" s="15" t="s">
        <v>1027</v>
      </c>
      <c r="O7" s="15" t="s">
        <v>1038</v>
      </c>
      <c r="P7" s="15" t="s">
        <v>1039</v>
      </c>
      <c r="Q7" s="15">
        <f>DATEDIF(I7,J7,"M")</f>
        <v>0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4" x14ac:dyDescent="0.3">
      <c r="A8" s="9" t="s">
        <v>1030</v>
      </c>
      <c r="B8" s="15" t="s">
        <v>56</v>
      </c>
      <c r="C8" s="15" t="s">
        <v>42</v>
      </c>
      <c r="D8" s="12">
        <v>7260026006</v>
      </c>
      <c r="E8" s="15" t="s">
        <v>704</v>
      </c>
      <c r="F8" s="15" t="s">
        <v>704</v>
      </c>
      <c r="G8" s="15" t="s">
        <v>1048</v>
      </c>
      <c r="H8" s="15" t="str">
        <f t="shared" si="0"/>
        <v>JUDITH REIF</v>
      </c>
      <c r="I8" s="19">
        <v>46082</v>
      </c>
      <c r="J8" s="19">
        <v>46082</v>
      </c>
      <c r="K8" s="12">
        <v>107.23</v>
      </c>
      <c r="L8" s="12">
        <v>1.37</v>
      </c>
      <c r="M8" s="12">
        <v>146.91</v>
      </c>
      <c r="N8" s="15" t="s">
        <v>1027</v>
      </c>
      <c r="O8" s="15" t="s">
        <v>1038</v>
      </c>
      <c r="P8" s="15" t="s">
        <v>1039</v>
      </c>
      <c r="Q8" s="15">
        <f>DATEDIF(I8,J8,"M")</f>
        <v>0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4" x14ac:dyDescent="0.3">
      <c r="A9" s="9" t="s">
        <v>1030</v>
      </c>
      <c r="B9" s="15" t="s">
        <v>56</v>
      </c>
      <c r="C9" s="15" t="s">
        <v>42</v>
      </c>
      <c r="D9" s="12">
        <v>7260046751</v>
      </c>
      <c r="E9" s="15" t="s">
        <v>1017</v>
      </c>
      <c r="F9" s="15" t="s">
        <v>1017</v>
      </c>
      <c r="G9" s="15" t="s">
        <v>1044</v>
      </c>
      <c r="H9" s="15" t="str">
        <f t="shared" si="0"/>
        <v>WILLIAM TERRICK</v>
      </c>
      <c r="I9" s="19">
        <v>46082</v>
      </c>
      <c r="J9" s="19">
        <v>46082</v>
      </c>
      <c r="K9" s="12">
        <v>73.42</v>
      </c>
      <c r="L9" s="12">
        <v>1.37</v>
      </c>
      <c r="M9" s="12">
        <v>100.59</v>
      </c>
      <c r="N9" s="15" t="s">
        <v>1027</v>
      </c>
      <c r="O9" s="15" t="s">
        <v>1038</v>
      </c>
      <c r="P9" s="15" t="s">
        <v>1039</v>
      </c>
      <c r="Q9" s="15">
        <f>DATEDIF(I9,J9,"M")</f>
        <v>0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spans="1:34" s="8" customFormat="1" x14ac:dyDescent="0.3">
      <c r="A10" s="18" t="s">
        <v>1037</v>
      </c>
      <c r="B10" s="21" t="s">
        <v>193</v>
      </c>
      <c r="C10" s="21" t="s">
        <v>42</v>
      </c>
      <c r="D10" s="20">
        <v>6260038224</v>
      </c>
      <c r="E10" s="21" t="s">
        <v>352</v>
      </c>
      <c r="F10" s="21" t="s">
        <v>352</v>
      </c>
      <c r="G10" s="21" t="s">
        <v>1049</v>
      </c>
      <c r="H10" s="15" t="str">
        <f t="shared" si="0"/>
        <v>LISA SMITH</v>
      </c>
      <c r="I10" s="16">
        <v>46072</v>
      </c>
      <c r="J10" s="16">
        <v>46100</v>
      </c>
      <c r="K10" s="20">
        <v>29.7</v>
      </c>
      <c r="L10" s="20">
        <v>0.9</v>
      </c>
      <c r="M10" s="20">
        <v>26.73</v>
      </c>
      <c r="N10" s="21" t="s">
        <v>1029</v>
      </c>
      <c r="O10" s="21" t="s">
        <v>1040</v>
      </c>
      <c r="P10" s="21" t="s">
        <v>1042</v>
      </c>
      <c r="Q10" s="15">
        <f>DATEDIF(I10,J10,"M")</f>
        <v>1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spans="1:34" x14ac:dyDescent="0.3">
      <c r="A11" s="18" t="s">
        <v>1030</v>
      </c>
      <c r="B11" s="21" t="s">
        <v>56</v>
      </c>
      <c r="C11" s="21" t="s">
        <v>42</v>
      </c>
      <c r="D11" s="20">
        <v>7250267282</v>
      </c>
      <c r="E11" s="21" t="s">
        <v>153</v>
      </c>
      <c r="F11" s="21" t="s">
        <v>153</v>
      </c>
      <c r="G11" s="21" t="s">
        <v>1050</v>
      </c>
      <c r="H11" s="15" t="str">
        <f t="shared" si="0"/>
        <v>DANIEL NUTTLE</v>
      </c>
      <c r="I11" s="16">
        <v>46054</v>
      </c>
      <c r="J11" s="16">
        <v>46082</v>
      </c>
      <c r="K11" s="20">
        <v>99.25</v>
      </c>
      <c r="L11" s="20">
        <v>0.94499999999999995</v>
      </c>
      <c r="M11" s="20">
        <v>93.79</v>
      </c>
      <c r="N11" s="21" t="s">
        <v>1028</v>
      </c>
      <c r="O11" s="21" t="s">
        <v>1040</v>
      </c>
      <c r="P11" s="21" t="s">
        <v>1042</v>
      </c>
      <c r="Q11" s="15">
        <f>DATEDIF(I11,J11,"M")</f>
        <v>1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spans="1:34" x14ac:dyDescent="0.3">
      <c r="A12" s="18" t="s">
        <v>1030</v>
      </c>
      <c r="B12" s="21" t="s">
        <v>56</v>
      </c>
      <c r="C12" s="21" t="s">
        <v>42</v>
      </c>
      <c r="D12" s="20">
        <v>7260017569</v>
      </c>
      <c r="E12" s="21" t="s">
        <v>602</v>
      </c>
      <c r="F12" s="21" t="s">
        <v>602</v>
      </c>
      <c r="G12" s="21" t="s">
        <v>686</v>
      </c>
      <c r="H12" s="15" t="str">
        <f t="shared" si="0"/>
        <v>GARY RATH</v>
      </c>
      <c r="I12" s="16">
        <v>46054</v>
      </c>
      <c r="J12" s="16">
        <v>46082</v>
      </c>
      <c r="K12" s="20">
        <v>126.93</v>
      </c>
      <c r="L12" s="20">
        <v>1.37</v>
      </c>
      <c r="M12" s="20">
        <v>173.89</v>
      </c>
      <c r="N12" s="21" t="s">
        <v>1027</v>
      </c>
      <c r="O12" s="21" t="s">
        <v>1040</v>
      </c>
      <c r="P12" s="21" t="s">
        <v>1042</v>
      </c>
      <c r="Q12" s="15">
        <f>DATEDIF(I12,J12,"M")</f>
        <v>1</v>
      </c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x14ac:dyDescent="0.3">
      <c r="A13" s="18" t="s">
        <v>1030</v>
      </c>
      <c r="B13" s="21" t="s">
        <v>56</v>
      </c>
      <c r="C13" s="21" t="s">
        <v>42</v>
      </c>
      <c r="D13" s="20">
        <v>7260007416</v>
      </c>
      <c r="E13" s="21" t="s">
        <v>628</v>
      </c>
      <c r="F13" s="21" t="s">
        <v>628</v>
      </c>
      <c r="G13" s="21" t="s">
        <v>1051</v>
      </c>
      <c r="H13" s="15" t="str">
        <f t="shared" si="0"/>
        <v>ANA ALFARO</v>
      </c>
      <c r="I13" s="16">
        <v>46054</v>
      </c>
      <c r="J13" s="16">
        <v>46082</v>
      </c>
      <c r="K13" s="20">
        <v>120.63</v>
      </c>
      <c r="L13" s="20">
        <v>1.37</v>
      </c>
      <c r="M13" s="20">
        <v>165.26</v>
      </c>
      <c r="N13" s="21" t="s">
        <v>1027</v>
      </c>
      <c r="O13" s="21" t="s">
        <v>1040</v>
      </c>
      <c r="P13" s="21" t="s">
        <v>1042</v>
      </c>
      <c r="Q13" s="15">
        <f>DATEDIF(I13,J13,"M")</f>
        <v>1</v>
      </c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34" x14ac:dyDescent="0.3">
      <c r="A14" s="18" t="s">
        <v>1030</v>
      </c>
      <c r="B14" s="21" t="s">
        <v>56</v>
      </c>
      <c r="C14" s="21" t="s">
        <v>42</v>
      </c>
      <c r="D14" s="20">
        <v>7260010909</v>
      </c>
      <c r="E14" s="21" t="s">
        <v>730</v>
      </c>
      <c r="F14" s="21" t="s">
        <v>730</v>
      </c>
      <c r="G14" s="21" t="s">
        <v>1052</v>
      </c>
      <c r="H14" s="15" t="str">
        <f t="shared" si="0"/>
        <v>JAMES TEHAN</v>
      </c>
      <c r="I14" s="16">
        <v>46054</v>
      </c>
      <c r="J14" s="16">
        <v>46082</v>
      </c>
      <c r="K14" s="20">
        <v>144.26</v>
      </c>
      <c r="L14" s="20">
        <v>1.37</v>
      </c>
      <c r="M14" s="20">
        <v>197.64</v>
      </c>
      <c r="N14" s="21" t="s">
        <v>1027</v>
      </c>
      <c r="O14" s="21" t="s">
        <v>1040</v>
      </c>
      <c r="P14" s="21" t="s">
        <v>1042</v>
      </c>
      <c r="Q14" s="15">
        <f>DATEDIF(I14,J14,"M")</f>
        <v>1</v>
      </c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1:34" x14ac:dyDescent="0.3">
      <c r="A15" s="18" t="s">
        <v>1030</v>
      </c>
      <c r="B15" s="21" t="s">
        <v>56</v>
      </c>
      <c r="C15" s="21" t="s">
        <v>42</v>
      </c>
      <c r="D15" s="20">
        <v>7250267295</v>
      </c>
      <c r="E15" s="21" t="s">
        <v>481</v>
      </c>
      <c r="F15" s="21" t="s">
        <v>481</v>
      </c>
      <c r="G15" s="21" t="s">
        <v>1053</v>
      </c>
      <c r="H15" s="15" t="str">
        <f t="shared" si="0"/>
        <v>DEBORAH SKENDER</v>
      </c>
      <c r="I15" s="16">
        <v>46054</v>
      </c>
      <c r="J15" s="16">
        <v>46082</v>
      </c>
      <c r="K15" s="20">
        <v>112.67</v>
      </c>
      <c r="L15" s="20">
        <v>1.37</v>
      </c>
      <c r="M15" s="20">
        <v>154.36000000000001</v>
      </c>
      <c r="N15" s="21" t="s">
        <v>1027</v>
      </c>
      <c r="O15" s="21" t="s">
        <v>1040</v>
      </c>
      <c r="P15" s="21" t="s">
        <v>1042</v>
      </c>
      <c r="Q15" s="15">
        <f>DATEDIF(I15,J15,"M")</f>
        <v>1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pans="1:34" x14ac:dyDescent="0.3">
      <c r="A16" s="18" t="s">
        <v>1030</v>
      </c>
      <c r="B16" s="21" t="s">
        <v>56</v>
      </c>
      <c r="C16" s="21" t="s">
        <v>42</v>
      </c>
      <c r="D16" s="20">
        <v>6250217507</v>
      </c>
      <c r="E16" s="21" t="s">
        <v>300</v>
      </c>
      <c r="F16" s="21" t="s">
        <v>300</v>
      </c>
      <c r="G16" s="21" t="s">
        <v>1054</v>
      </c>
      <c r="H16" s="15" t="str">
        <f t="shared" si="0"/>
        <v>PHILIP SHIPKIN</v>
      </c>
      <c r="I16" s="16">
        <v>46023</v>
      </c>
      <c r="J16" s="16">
        <v>46082</v>
      </c>
      <c r="K16" s="20">
        <v>80.59</v>
      </c>
      <c r="L16" s="20">
        <v>0.9</v>
      </c>
      <c r="M16" s="20">
        <v>72.53</v>
      </c>
      <c r="N16" s="21" t="s">
        <v>1029</v>
      </c>
      <c r="O16" s="21" t="s">
        <v>1040</v>
      </c>
      <c r="P16" s="21" t="s">
        <v>1042</v>
      </c>
      <c r="Q16" s="15">
        <f>DATEDIF(I16,J16,"M")</f>
        <v>2</v>
      </c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spans="1:34" x14ac:dyDescent="0.3">
      <c r="A17" s="18" t="s">
        <v>1030</v>
      </c>
      <c r="B17" s="21" t="s">
        <v>56</v>
      </c>
      <c r="C17" s="21" t="s">
        <v>42</v>
      </c>
      <c r="D17" s="20">
        <v>6250214763</v>
      </c>
      <c r="E17" s="21" t="s">
        <v>334</v>
      </c>
      <c r="F17" s="21" t="s">
        <v>334</v>
      </c>
      <c r="G17" s="21" t="s">
        <v>1055</v>
      </c>
      <c r="H17" s="15" t="str">
        <f t="shared" si="0"/>
        <v>LAURENCE BEGESCHKE</v>
      </c>
      <c r="I17" s="16">
        <v>46023</v>
      </c>
      <c r="J17" s="16">
        <v>46082</v>
      </c>
      <c r="K17" s="20">
        <v>109.5</v>
      </c>
      <c r="L17" s="20">
        <v>0.9</v>
      </c>
      <c r="M17" s="20">
        <v>98.55</v>
      </c>
      <c r="N17" s="21" t="s">
        <v>1029</v>
      </c>
      <c r="O17" s="21" t="s">
        <v>1040</v>
      </c>
      <c r="P17" s="21" t="s">
        <v>1042</v>
      </c>
      <c r="Q17" s="15">
        <f>DATEDIF(I17,J17,"M")</f>
        <v>2</v>
      </c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spans="1:34" x14ac:dyDescent="0.3">
      <c r="A18" s="18" t="s">
        <v>1030</v>
      </c>
      <c r="B18" s="21" t="s">
        <v>56</v>
      </c>
      <c r="C18" s="21" t="s">
        <v>42</v>
      </c>
      <c r="D18" s="20">
        <v>6250218358</v>
      </c>
      <c r="E18" s="21" t="s">
        <v>436</v>
      </c>
      <c r="F18" s="21" t="s">
        <v>436</v>
      </c>
      <c r="G18" s="21" t="s">
        <v>1056</v>
      </c>
      <c r="H18" s="15" t="str">
        <f t="shared" si="0"/>
        <v>ANTHONY GOLDA</v>
      </c>
      <c r="I18" s="16">
        <v>46023</v>
      </c>
      <c r="J18" s="16">
        <v>46082</v>
      </c>
      <c r="K18" s="20">
        <v>121.08</v>
      </c>
      <c r="L18" s="20">
        <v>0.9</v>
      </c>
      <c r="M18" s="20">
        <v>108.97</v>
      </c>
      <c r="N18" s="21" t="s">
        <v>1029</v>
      </c>
      <c r="O18" s="21" t="s">
        <v>1040</v>
      </c>
      <c r="P18" s="21" t="s">
        <v>1042</v>
      </c>
      <c r="Q18" s="15">
        <f>DATEDIF(I18,J18,"M")</f>
        <v>2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spans="1:34" x14ac:dyDescent="0.3">
      <c r="A19" s="18" t="s">
        <v>1030</v>
      </c>
      <c r="B19" s="21" t="s">
        <v>56</v>
      </c>
      <c r="C19" s="21" t="s">
        <v>42</v>
      </c>
      <c r="D19" s="20">
        <v>6250214889</v>
      </c>
      <c r="E19" s="21" t="s">
        <v>617</v>
      </c>
      <c r="F19" s="21" t="s">
        <v>617</v>
      </c>
      <c r="G19" s="21" t="s">
        <v>1057</v>
      </c>
      <c r="H19" s="15" t="str">
        <f t="shared" si="0"/>
        <v>ALLEN EATON</v>
      </c>
      <c r="I19" s="16">
        <v>46023</v>
      </c>
      <c r="J19" s="16">
        <v>46082</v>
      </c>
      <c r="K19" s="20">
        <v>112.9</v>
      </c>
      <c r="L19" s="20">
        <v>0.9</v>
      </c>
      <c r="M19" s="20">
        <v>101.61</v>
      </c>
      <c r="N19" s="21" t="s">
        <v>1029</v>
      </c>
      <c r="O19" s="21" t="s">
        <v>1040</v>
      </c>
      <c r="P19" s="21" t="s">
        <v>1042</v>
      </c>
      <c r="Q19" s="15">
        <f>DATEDIF(I19,J19,"M")</f>
        <v>2</v>
      </c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spans="1:34" x14ac:dyDescent="0.3">
      <c r="A20" s="18" t="s">
        <v>1030</v>
      </c>
      <c r="B20" s="21" t="s">
        <v>56</v>
      </c>
      <c r="C20" s="21" t="s">
        <v>42</v>
      </c>
      <c r="D20" s="20">
        <v>6250217503</v>
      </c>
      <c r="E20" s="21" t="s">
        <v>704</v>
      </c>
      <c r="F20" s="21" t="s">
        <v>704</v>
      </c>
      <c r="G20" s="21" t="s">
        <v>1058</v>
      </c>
      <c r="H20" s="15" t="str">
        <f t="shared" si="0"/>
        <v>VERNON REIF</v>
      </c>
      <c r="I20" s="16">
        <v>46023</v>
      </c>
      <c r="J20" s="16">
        <v>46082</v>
      </c>
      <c r="K20" s="20">
        <v>112.02</v>
      </c>
      <c r="L20" s="20">
        <v>0.9</v>
      </c>
      <c r="M20" s="20">
        <v>100.82</v>
      </c>
      <c r="N20" s="21" t="s">
        <v>1029</v>
      </c>
      <c r="O20" s="21" t="s">
        <v>1040</v>
      </c>
      <c r="P20" s="21" t="s">
        <v>1042</v>
      </c>
      <c r="Q20" s="15">
        <f>DATEDIF(I20,J20,"M")</f>
        <v>2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spans="1:34" x14ac:dyDescent="0.3">
      <c r="A21" s="18" t="s">
        <v>1030</v>
      </c>
      <c r="B21" s="21" t="s">
        <v>56</v>
      </c>
      <c r="C21" s="21" t="s">
        <v>42</v>
      </c>
      <c r="D21" s="20">
        <v>7250253450</v>
      </c>
      <c r="E21" s="21" t="s">
        <v>334</v>
      </c>
      <c r="F21" s="21" t="s">
        <v>334</v>
      </c>
      <c r="G21" s="21" t="s">
        <v>1059</v>
      </c>
      <c r="H21" s="15" t="str">
        <f t="shared" si="0"/>
        <v>LEONA BEGESCHKE</v>
      </c>
      <c r="I21" s="16">
        <v>46023</v>
      </c>
      <c r="J21" s="16">
        <v>46082</v>
      </c>
      <c r="K21" s="20">
        <v>71.25</v>
      </c>
      <c r="L21" s="20">
        <v>0.94499999999999995</v>
      </c>
      <c r="M21" s="20">
        <v>67.33</v>
      </c>
      <c r="N21" s="21" t="s">
        <v>1028</v>
      </c>
      <c r="O21" s="21" t="s">
        <v>1040</v>
      </c>
      <c r="P21" s="21" t="s">
        <v>1042</v>
      </c>
      <c r="Q21" s="15">
        <f>DATEDIF(I21,J21,"M")</f>
        <v>2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spans="1:34" x14ac:dyDescent="0.3">
      <c r="A22" s="18" t="s">
        <v>1030</v>
      </c>
      <c r="B22" s="21" t="s">
        <v>56</v>
      </c>
      <c r="C22" s="21" t="s">
        <v>42</v>
      </c>
      <c r="D22" s="20">
        <v>7250257861</v>
      </c>
      <c r="E22" s="21" t="s">
        <v>816</v>
      </c>
      <c r="F22" s="21" t="s">
        <v>816</v>
      </c>
      <c r="G22" s="21" t="s">
        <v>1060</v>
      </c>
      <c r="H22" s="15" t="str">
        <f t="shared" si="0"/>
        <v>KENT KATAYAMA</v>
      </c>
      <c r="I22" s="16">
        <v>46023</v>
      </c>
      <c r="J22" s="16">
        <v>46082</v>
      </c>
      <c r="K22" s="20">
        <v>105</v>
      </c>
      <c r="L22" s="20">
        <v>0.94499999999999995</v>
      </c>
      <c r="M22" s="20">
        <v>99.23</v>
      </c>
      <c r="N22" s="21" t="s">
        <v>1028</v>
      </c>
      <c r="O22" s="21" t="s">
        <v>1040</v>
      </c>
      <c r="P22" s="21" t="s">
        <v>1042</v>
      </c>
      <c r="Q22" s="15">
        <f>DATEDIF(I22,J22,"M")</f>
        <v>2</v>
      </c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spans="1:34" x14ac:dyDescent="0.3">
      <c r="A23" s="18" t="s">
        <v>1030</v>
      </c>
      <c r="B23" s="21" t="s">
        <v>56</v>
      </c>
      <c r="C23" s="21" t="s">
        <v>42</v>
      </c>
      <c r="D23" s="20">
        <v>7250256522</v>
      </c>
      <c r="E23" s="21" t="s">
        <v>820</v>
      </c>
      <c r="F23" s="21" t="s">
        <v>820</v>
      </c>
      <c r="G23" s="21" t="s">
        <v>1048</v>
      </c>
      <c r="H23" s="15" t="str">
        <f t="shared" si="0"/>
        <v>JUDITH WAGGONER</v>
      </c>
      <c r="I23" s="16">
        <v>46023</v>
      </c>
      <c r="J23" s="16">
        <v>46082</v>
      </c>
      <c r="K23" s="20">
        <v>86.73</v>
      </c>
      <c r="L23" s="20">
        <v>0.94499999999999995</v>
      </c>
      <c r="M23" s="20">
        <v>81.96</v>
      </c>
      <c r="N23" s="21" t="s">
        <v>1028</v>
      </c>
      <c r="O23" s="21" t="s">
        <v>1040</v>
      </c>
      <c r="P23" s="21" t="s">
        <v>1042</v>
      </c>
      <c r="Q23" s="15">
        <f>DATEDIF(I23,J23,"M")</f>
        <v>2</v>
      </c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spans="1:34" x14ac:dyDescent="0.3">
      <c r="A24" s="18" t="s">
        <v>1030</v>
      </c>
      <c r="B24" s="21" t="s">
        <v>56</v>
      </c>
      <c r="C24" s="21" t="s">
        <v>42</v>
      </c>
      <c r="D24" s="20">
        <v>7250250764</v>
      </c>
      <c r="E24" s="21" t="s">
        <v>580</v>
      </c>
      <c r="F24" s="21" t="s">
        <v>580</v>
      </c>
      <c r="G24" s="21" t="s">
        <v>1061</v>
      </c>
      <c r="H24" s="15" t="str">
        <f t="shared" si="0"/>
        <v>GORDON NASH</v>
      </c>
      <c r="I24" s="16">
        <v>46023</v>
      </c>
      <c r="J24" s="16">
        <v>46082</v>
      </c>
      <c r="K24" s="20">
        <v>110</v>
      </c>
      <c r="L24" s="20">
        <v>0.94499999999999995</v>
      </c>
      <c r="M24" s="20">
        <v>103.95</v>
      </c>
      <c r="N24" s="21" t="s">
        <v>1028</v>
      </c>
      <c r="O24" s="21" t="s">
        <v>1040</v>
      </c>
      <c r="P24" s="21" t="s">
        <v>1042</v>
      </c>
      <c r="Q24" s="15">
        <f>DATEDIF(I24,J24,"M")</f>
        <v>2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spans="1:34" s="13" customFormat="1" x14ac:dyDescent="0.3">
      <c r="A25" s="18" t="s">
        <v>1030</v>
      </c>
      <c r="B25" s="21" t="s">
        <v>56</v>
      </c>
      <c r="C25" s="21" t="s">
        <v>42</v>
      </c>
      <c r="D25" s="20">
        <v>7250257834</v>
      </c>
      <c r="E25" s="21" t="s">
        <v>110</v>
      </c>
      <c r="F25" s="21" t="s">
        <v>110</v>
      </c>
      <c r="G25" s="21" t="s">
        <v>1062</v>
      </c>
      <c r="H25" s="15" t="str">
        <f t="shared" si="0"/>
        <v>KENNETH KRAWIEC</v>
      </c>
      <c r="I25" s="16">
        <v>46023</v>
      </c>
      <c r="J25" s="16">
        <v>46082</v>
      </c>
      <c r="K25" s="20">
        <v>108.67</v>
      </c>
      <c r="L25" s="20">
        <v>1.37</v>
      </c>
      <c r="M25" s="20">
        <v>148.88</v>
      </c>
      <c r="N25" s="21" t="s">
        <v>1027</v>
      </c>
      <c r="O25" s="21" t="s">
        <v>1040</v>
      </c>
      <c r="P25" s="21" t="s">
        <v>1042</v>
      </c>
      <c r="Q25" s="15">
        <f>DATEDIF(I25,J25,"M")</f>
        <v>2</v>
      </c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 spans="1:34" s="13" customFormat="1" x14ac:dyDescent="0.3">
      <c r="A26" s="18" t="s">
        <v>1030</v>
      </c>
      <c r="B26" s="21" t="s">
        <v>56</v>
      </c>
      <c r="C26" s="21" t="s">
        <v>42</v>
      </c>
      <c r="D26" s="20">
        <v>7250257754</v>
      </c>
      <c r="E26" s="21" t="s">
        <v>115</v>
      </c>
      <c r="F26" s="21" t="s">
        <v>115</v>
      </c>
      <c r="G26" s="21" t="s">
        <v>1063</v>
      </c>
      <c r="H26" s="15" t="str">
        <f t="shared" si="0"/>
        <v>ELSA BOROWIEC</v>
      </c>
      <c r="I26" s="16">
        <v>46023</v>
      </c>
      <c r="J26" s="16">
        <v>46082</v>
      </c>
      <c r="K26" s="20">
        <v>101</v>
      </c>
      <c r="L26" s="20">
        <v>1.37</v>
      </c>
      <c r="M26" s="20">
        <v>138.37</v>
      </c>
      <c r="N26" s="21" t="s">
        <v>1027</v>
      </c>
      <c r="O26" s="21" t="s">
        <v>1040</v>
      </c>
      <c r="P26" s="21" t="s">
        <v>1042</v>
      </c>
      <c r="Q26" s="15">
        <f>DATEDIF(I26,J26,"M")</f>
        <v>2</v>
      </c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 spans="1:34" x14ac:dyDescent="0.3">
      <c r="A27" s="18" t="s">
        <v>1030</v>
      </c>
      <c r="B27" s="21" t="s">
        <v>56</v>
      </c>
      <c r="C27" s="21" t="s">
        <v>42</v>
      </c>
      <c r="D27" s="20">
        <v>7250256267</v>
      </c>
      <c r="E27" s="21" t="s">
        <v>140</v>
      </c>
      <c r="F27" s="21" t="s">
        <v>140</v>
      </c>
      <c r="G27" s="21" t="s">
        <v>1064</v>
      </c>
      <c r="H27" s="15" t="str">
        <f t="shared" si="0"/>
        <v>HARRIET EGILSKE</v>
      </c>
      <c r="I27" s="16">
        <v>46023</v>
      </c>
      <c r="J27" s="16">
        <v>46082</v>
      </c>
      <c r="K27" s="20">
        <v>52</v>
      </c>
      <c r="L27" s="20">
        <v>1.37</v>
      </c>
      <c r="M27" s="20">
        <v>71.239999999999995</v>
      </c>
      <c r="N27" s="21" t="s">
        <v>1027</v>
      </c>
      <c r="O27" s="21" t="s">
        <v>1040</v>
      </c>
      <c r="P27" s="21" t="s">
        <v>1042</v>
      </c>
      <c r="Q27" s="15">
        <f>DATEDIF(I27,J27,"M")</f>
        <v>2</v>
      </c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 spans="1:34" s="10" customFormat="1" x14ac:dyDescent="0.3">
      <c r="A28" s="18" t="s">
        <v>1030</v>
      </c>
      <c r="B28" s="21" t="s">
        <v>56</v>
      </c>
      <c r="C28" s="21" t="s">
        <v>42</v>
      </c>
      <c r="D28" s="20">
        <v>7250254927</v>
      </c>
      <c r="E28" s="21" t="s">
        <v>158</v>
      </c>
      <c r="F28" s="21" t="s">
        <v>561</v>
      </c>
      <c r="G28" s="21" t="s">
        <v>1065</v>
      </c>
      <c r="H28" s="15" t="str">
        <f t="shared" si="0"/>
        <v>JORGE BLANCAS</v>
      </c>
      <c r="I28" s="16">
        <v>46023</v>
      </c>
      <c r="J28" s="16">
        <v>46082</v>
      </c>
      <c r="K28" s="20">
        <v>160</v>
      </c>
      <c r="L28" s="20">
        <v>1.37</v>
      </c>
      <c r="M28" s="20">
        <v>219.2</v>
      </c>
      <c r="N28" s="21" t="s">
        <v>1027</v>
      </c>
      <c r="O28" s="21" t="s">
        <v>1040</v>
      </c>
      <c r="P28" s="21" t="s">
        <v>1042</v>
      </c>
      <c r="Q28" s="15">
        <f>DATEDIF(I28,J28,"M")</f>
        <v>2</v>
      </c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spans="1:34" x14ac:dyDescent="0.3">
      <c r="A29" s="18" t="s">
        <v>1030</v>
      </c>
      <c r="B29" s="21" t="s">
        <v>56</v>
      </c>
      <c r="C29" s="21" t="s">
        <v>42</v>
      </c>
      <c r="D29" s="20">
        <v>7250256844</v>
      </c>
      <c r="E29" s="21" t="s">
        <v>313</v>
      </c>
      <c r="F29" s="21" t="s">
        <v>313</v>
      </c>
      <c r="G29" s="21" t="s">
        <v>1066</v>
      </c>
      <c r="H29" s="15" t="str">
        <f t="shared" si="0"/>
        <v>MARIE RAPP</v>
      </c>
      <c r="I29" s="16">
        <v>46023</v>
      </c>
      <c r="J29" s="16">
        <v>46082</v>
      </c>
      <c r="K29" s="20">
        <v>102.34</v>
      </c>
      <c r="L29" s="20">
        <v>1.37</v>
      </c>
      <c r="M29" s="20">
        <v>140.21</v>
      </c>
      <c r="N29" s="21" t="s">
        <v>1027</v>
      </c>
      <c r="O29" s="21" t="s">
        <v>1040</v>
      </c>
      <c r="P29" s="21" t="s">
        <v>1042</v>
      </c>
      <c r="Q29" s="15">
        <f>DATEDIF(I29,J29,"M")</f>
        <v>2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4" x14ac:dyDescent="0.3">
      <c r="A30" s="18" t="s">
        <v>1030</v>
      </c>
      <c r="B30" s="21" t="s">
        <v>56</v>
      </c>
      <c r="C30" s="21" t="s">
        <v>42</v>
      </c>
      <c r="D30" s="20">
        <v>7250252682</v>
      </c>
      <c r="E30" s="21" t="s">
        <v>363</v>
      </c>
      <c r="F30" s="21" t="s">
        <v>363</v>
      </c>
      <c r="G30" s="21" t="s">
        <v>1067</v>
      </c>
      <c r="H30" s="15" t="str">
        <f t="shared" si="0"/>
        <v>EUGENE MASELLA</v>
      </c>
      <c r="I30" s="16">
        <v>46023</v>
      </c>
      <c r="J30" s="16">
        <v>46082</v>
      </c>
      <c r="K30" s="20">
        <v>82</v>
      </c>
      <c r="L30" s="20">
        <v>1.37</v>
      </c>
      <c r="M30" s="20">
        <v>112.34</v>
      </c>
      <c r="N30" s="21" t="s">
        <v>1027</v>
      </c>
      <c r="O30" s="21" t="s">
        <v>1040</v>
      </c>
      <c r="P30" s="21" t="s">
        <v>1042</v>
      </c>
      <c r="Q30" s="15">
        <f>DATEDIF(I30,J30,"M")</f>
        <v>2</v>
      </c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</row>
    <row r="31" spans="1:34" x14ac:dyDescent="0.3">
      <c r="A31" s="18" t="s">
        <v>1030</v>
      </c>
      <c r="B31" s="21" t="s">
        <v>56</v>
      </c>
      <c r="C31" s="21" t="s">
        <v>42</v>
      </c>
      <c r="D31" s="20">
        <v>7250257885</v>
      </c>
      <c r="E31" s="21" t="s">
        <v>407</v>
      </c>
      <c r="F31" s="21" t="s">
        <v>407</v>
      </c>
      <c r="G31" s="21" t="s">
        <v>1068</v>
      </c>
      <c r="H31" s="15" t="str">
        <f t="shared" si="0"/>
        <v>ROBERT HOFFMAN</v>
      </c>
      <c r="I31" s="16">
        <v>46023</v>
      </c>
      <c r="J31" s="16">
        <v>46082</v>
      </c>
      <c r="K31" s="20">
        <v>69</v>
      </c>
      <c r="L31" s="20">
        <v>1.37</v>
      </c>
      <c r="M31" s="20">
        <v>94.53</v>
      </c>
      <c r="N31" s="21" t="s">
        <v>1027</v>
      </c>
      <c r="O31" s="21" t="s">
        <v>1040</v>
      </c>
      <c r="P31" s="21" t="s">
        <v>1042</v>
      </c>
      <c r="Q31" s="15">
        <f>DATEDIF(I31,J31,"M")</f>
        <v>2</v>
      </c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</row>
    <row r="32" spans="1:34" x14ac:dyDescent="0.3">
      <c r="A32" s="18" t="s">
        <v>1030</v>
      </c>
      <c r="B32" s="21" t="s">
        <v>56</v>
      </c>
      <c r="C32" s="21" t="s">
        <v>42</v>
      </c>
      <c r="D32" s="20">
        <v>7250256551</v>
      </c>
      <c r="E32" s="21" t="s">
        <v>554</v>
      </c>
      <c r="F32" s="21" t="s">
        <v>554</v>
      </c>
      <c r="G32" s="21" t="s">
        <v>1052</v>
      </c>
      <c r="H32" s="15" t="str">
        <f t="shared" si="0"/>
        <v>JAMES JOHNSON</v>
      </c>
      <c r="I32" s="16">
        <v>46023</v>
      </c>
      <c r="J32" s="16">
        <v>46082</v>
      </c>
      <c r="K32" s="20">
        <v>79</v>
      </c>
      <c r="L32" s="20">
        <v>1.37</v>
      </c>
      <c r="M32" s="20">
        <v>108.23</v>
      </c>
      <c r="N32" s="21" t="s">
        <v>1027</v>
      </c>
      <c r="O32" s="21" t="s">
        <v>1040</v>
      </c>
      <c r="P32" s="21" t="s">
        <v>1042</v>
      </c>
      <c r="Q32" s="15">
        <f>DATEDIF(I32,J32,"M")</f>
        <v>2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</row>
    <row r="33" spans="1:17" s="21" customFormat="1" x14ac:dyDescent="0.3">
      <c r="A33" s="18" t="s">
        <v>1030</v>
      </c>
      <c r="B33" s="21" t="s">
        <v>56</v>
      </c>
      <c r="C33" s="21" t="s">
        <v>42</v>
      </c>
      <c r="D33" s="20">
        <v>7250254586</v>
      </c>
      <c r="E33" s="21" t="s">
        <v>561</v>
      </c>
      <c r="F33" s="21" t="s">
        <v>561</v>
      </c>
      <c r="G33" s="21" t="s">
        <v>1069</v>
      </c>
      <c r="H33" s="15" t="str">
        <f t="shared" si="0"/>
        <v>MARIA BLANCAS</v>
      </c>
      <c r="I33" s="16">
        <v>46023</v>
      </c>
      <c r="J33" s="16">
        <v>46082</v>
      </c>
      <c r="K33" s="20">
        <v>93</v>
      </c>
      <c r="L33" s="20">
        <v>1.37</v>
      </c>
      <c r="M33" s="20">
        <v>127.41</v>
      </c>
      <c r="N33" s="21" t="s">
        <v>1027</v>
      </c>
      <c r="O33" s="21" t="s">
        <v>1040</v>
      </c>
      <c r="P33" s="21" t="s">
        <v>1042</v>
      </c>
      <c r="Q33" s="15">
        <f>DATEDIF(I33,J33,"M")</f>
        <v>2</v>
      </c>
    </row>
    <row r="34" spans="1:17" s="21" customFormat="1" x14ac:dyDescent="0.3">
      <c r="A34" s="18" t="s">
        <v>1030</v>
      </c>
      <c r="B34" s="21" t="s">
        <v>56</v>
      </c>
      <c r="C34" s="21" t="s">
        <v>42</v>
      </c>
      <c r="D34" s="20">
        <v>7250253714</v>
      </c>
      <c r="E34" s="21" t="s">
        <v>617</v>
      </c>
      <c r="F34" s="21" t="s">
        <v>617</v>
      </c>
      <c r="G34" s="21" t="s">
        <v>1070</v>
      </c>
      <c r="H34" s="15" t="str">
        <f t="shared" si="0"/>
        <v>VICKI EATON</v>
      </c>
      <c r="I34" s="16">
        <v>46023</v>
      </c>
      <c r="J34" s="16">
        <v>46082</v>
      </c>
      <c r="K34" s="20">
        <v>47.69</v>
      </c>
      <c r="L34" s="20">
        <v>1.37</v>
      </c>
      <c r="M34" s="20">
        <v>65.34</v>
      </c>
      <c r="N34" s="21" t="s">
        <v>1027</v>
      </c>
      <c r="O34" s="21" t="s">
        <v>1040</v>
      </c>
      <c r="P34" s="21" t="s">
        <v>1042</v>
      </c>
      <c r="Q34" s="15">
        <f>DATEDIF(I34,J34,"M")</f>
        <v>2</v>
      </c>
    </row>
    <row r="35" spans="1:17" s="21" customFormat="1" x14ac:dyDescent="0.3">
      <c r="A35" s="18" t="s">
        <v>1030</v>
      </c>
      <c r="B35" s="21" t="s">
        <v>56</v>
      </c>
      <c r="C35" s="21" t="s">
        <v>42</v>
      </c>
      <c r="D35" s="20">
        <v>7250253613</v>
      </c>
      <c r="E35" s="21" t="s">
        <v>682</v>
      </c>
      <c r="F35" s="21" t="s">
        <v>682</v>
      </c>
      <c r="G35" s="21" t="s">
        <v>1071</v>
      </c>
      <c r="H35" s="15" t="str">
        <f t="shared" si="0"/>
        <v>JOHN ANTOSH</v>
      </c>
      <c r="I35" s="16">
        <v>46023</v>
      </c>
      <c r="J35" s="16">
        <v>46082</v>
      </c>
      <c r="K35" s="20">
        <v>84</v>
      </c>
      <c r="L35" s="20">
        <v>1.37</v>
      </c>
      <c r="M35" s="20">
        <v>115.08</v>
      </c>
      <c r="N35" s="21" t="s">
        <v>1027</v>
      </c>
      <c r="O35" s="21" t="s">
        <v>1040</v>
      </c>
      <c r="P35" s="21" t="s">
        <v>1042</v>
      </c>
      <c r="Q35" s="15">
        <f>DATEDIF(I35,J35,"M")</f>
        <v>2</v>
      </c>
    </row>
    <row r="36" spans="1:17" s="21" customFormat="1" x14ac:dyDescent="0.3">
      <c r="A36" s="18" t="s">
        <v>1030</v>
      </c>
      <c r="B36" s="21" t="s">
        <v>56</v>
      </c>
      <c r="C36" s="21" t="s">
        <v>42</v>
      </c>
      <c r="D36" s="20">
        <v>7250257798</v>
      </c>
      <c r="E36" s="21" t="s">
        <v>110</v>
      </c>
      <c r="F36" s="21" t="s">
        <v>110</v>
      </c>
      <c r="G36" s="21" t="s">
        <v>1072</v>
      </c>
      <c r="H36" s="15" t="str">
        <f t="shared" si="0"/>
        <v>NANCY KRAWIEC</v>
      </c>
      <c r="I36" s="16">
        <v>46023</v>
      </c>
      <c r="J36" s="16">
        <v>46082</v>
      </c>
      <c r="K36" s="20">
        <v>103.45</v>
      </c>
      <c r="L36" s="20">
        <v>1.37</v>
      </c>
      <c r="M36" s="20">
        <v>141.72999999999999</v>
      </c>
      <c r="N36" s="21" t="s">
        <v>1027</v>
      </c>
      <c r="O36" s="21" t="s">
        <v>1040</v>
      </c>
      <c r="P36" s="21" t="s">
        <v>1042</v>
      </c>
      <c r="Q36" s="15">
        <f>DATEDIF(I36,J36,"M")</f>
        <v>2</v>
      </c>
    </row>
    <row r="37" spans="1:17" s="21" customFormat="1" x14ac:dyDescent="0.3">
      <c r="A37" s="18" t="s">
        <v>1030</v>
      </c>
      <c r="B37" s="21" t="s">
        <v>56</v>
      </c>
      <c r="C37" s="21" t="s">
        <v>42</v>
      </c>
      <c r="D37" s="20">
        <v>7250258238</v>
      </c>
      <c r="E37" s="21" t="s">
        <v>865</v>
      </c>
      <c r="F37" s="21" t="s">
        <v>865</v>
      </c>
      <c r="G37" s="21" t="s">
        <v>1073</v>
      </c>
      <c r="H37" s="15" t="str">
        <f t="shared" si="0"/>
        <v>SYLVIA VALENTIN</v>
      </c>
      <c r="I37" s="16">
        <v>46023</v>
      </c>
      <c r="J37" s="16">
        <v>46082</v>
      </c>
      <c r="K37" s="20">
        <v>101.78</v>
      </c>
      <c r="L37" s="20">
        <v>1.37</v>
      </c>
      <c r="M37" s="20">
        <v>139.44</v>
      </c>
      <c r="N37" s="21" t="s">
        <v>1027</v>
      </c>
      <c r="O37" s="21" t="s">
        <v>1040</v>
      </c>
      <c r="P37" s="21" t="s">
        <v>1042</v>
      </c>
      <c r="Q37" s="15">
        <f>DATEDIF(I37,J37,"M")</f>
        <v>2</v>
      </c>
    </row>
    <row r="38" spans="1:17" s="21" customFormat="1" x14ac:dyDescent="0.3">
      <c r="A38" s="18" t="s">
        <v>1030</v>
      </c>
      <c r="B38" s="21" t="s">
        <v>56</v>
      </c>
      <c r="C38" s="21" t="s">
        <v>42</v>
      </c>
      <c r="D38" s="20">
        <v>7250256836</v>
      </c>
      <c r="E38" s="21" t="s">
        <v>300</v>
      </c>
      <c r="F38" s="21" t="s">
        <v>300</v>
      </c>
      <c r="G38" s="21" t="s">
        <v>1074</v>
      </c>
      <c r="H38" s="15" t="str">
        <f t="shared" si="0"/>
        <v>JILL SHIPKIN</v>
      </c>
      <c r="I38" s="16">
        <v>46023</v>
      </c>
      <c r="J38" s="16">
        <v>46082</v>
      </c>
      <c r="K38" s="20">
        <v>78.62</v>
      </c>
      <c r="L38" s="20">
        <v>1.37</v>
      </c>
      <c r="M38" s="20">
        <v>107.71</v>
      </c>
      <c r="N38" s="21" t="s">
        <v>1027</v>
      </c>
      <c r="O38" s="21" t="s">
        <v>1040</v>
      </c>
      <c r="P38" s="21" t="s">
        <v>1042</v>
      </c>
      <c r="Q38" s="15">
        <f>DATEDIF(I38,J38,"M")</f>
        <v>2</v>
      </c>
    </row>
    <row r="39" spans="1:17" s="21" customFormat="1" x14ac:dyDescent="0.3">
      <c r="A39" s="18" t="s">
        <v>1030</v>
      </c>
      <c r="B39" s="21" t="s">
        <v>56</v>
      </c>
      <c r="C39" s="21" t="s">
        <v>42</v>
      </c>
      <c r="D39" s="20">
        <v>7250256534</v>
      </c>
      <c r="E39" s="21" t="s">
        <v>982</v>
      </c>
      <c r="F39" s="21" t="s">
        <v>982</v>
      </c>
      <c r="G39" s="21" t="s">
        <v>1075</v>
      </c>
      <c r="H39" s="15" t="str">
        <f t="shared" si="0"/>
        <v>LAWRENCE GEMPP</v>
      </c>
      <c r="I39" s="16">
        <v>46023</v>
      </c>
      <c r="J39" s="16">
        <v>46082</v>
      </c>
      <c r="K39" s="20">
        <v>107</v>
      </c>
      <c r="L39" s="20">
        <v>1.37</v>
      </c>
      <c r="M39" s="20">
        <v>146.59</v>
      </c>
      <c r="N39" s="21" t="s">
        <v>1027</v>
      </c>
      <c r="O39" s="21" t="s">
        <v>1040</v>
      </c>
      <c r="P39" s="21" t="s">
        <v>1042</v>
      </c>
      <c r="Q39" s="15">
        <f>DATEDIF(I39,J39,"M")</f>
        <v>2</v>
      </c>
    </row>
    <row r="40" spans="1:17" s="21" customFormat="1" x14ac:dyDescent="0.3">
      <c r="A40" s="18" t="s">
        <v>1030</v>
      </c>
      <c r="B40" s="21" t="s">
        <v>56</v>
      </c>
      <c r="C40" s="21" t="s">
        <v>42</v>
      </c>
      <c r="D40" s="20">
        <v>7250256846</v>
      </c>
      <c r="E40" s="21" t="s">
        <v>313</v>
      </c>
      <c r="F40" s="21" t="s">
        <v>313</v>
      </c>
      <c r="G40" s="21" t="s">
        <v>1076</v>
      </c>
      <c r="H40" s="15" t="str">
        <f t="shared" si="0"/>
        <v>MARK RAPP</v>
      </c>
      <c r="I40" s="16">
        <v>46023</v>
      </c>
      <c r="J40" s="16">
        <v>46082</v>
      </c>
      <c r="K40" s="20">
        <v>106.02</v>
      </c>
      <c r="L40" s="20">
        <v>1.37</v>
      </c>
      <c r="M40" s="20">
        <v>145.25</v>
      </c>
      <c r="N40" s="21" t="s">
        <v>1027</v>
      </c>
      <c r="O40" s="21" t="s">
        <v>1040</v>
      </c>
      <c r="P40" s="21" t="s">
        <v>1042</v>
      </c>
      <c r="Q40" s="15">
        <f>DATEDIF(I40,J40,"M")</f>
        <v>2</v>
      </c>
    </row>
    <row r="41" spans="1:17" s="21" customFormat="1" x14ac:dyDescent="0.3">
      <c r="A41" s="18" t="s">
        <v>1030</v>
      </c>
      <c r="B41" s="21" t="s">
        <v>56</v>
      </c>
      <c r="C41" s="21" t="s">
        <v>42</v>
      </c>
      <c r="D41" s="20">
        <v>6250209322</v>
      </c>
      <c r="E41" s="21" t="s">
        <v>317</v>
      </c>
      <c r="F41" s="21" t="s">
        <v>317</v>
      </c>
      <c r="G41" s="21" t="s">
        <v>1043</v>
      </c>
      <c r="H41" s="15" t="str">
        <f t="shared" si="0"/>
        <v>MICHAEL KANALEY</v>
      </c>
      <c r="I41" s="16">
        <v>46016</v>
      </c>
      <c r="J41" s="16">
        <v>46106</v>
      </c>
      <c r="K41" s="20">
        <v>104.45</v>
      </c>
      <c r="L41" s="20">
        <v>0.9</v>
      </c>
      <c r="M41" s="20">
        <v>94.01</v>
      </c>
      <c r="N41" s="21" t="s">
        <v>1029</v>
      </c>
      <c r="O41" s="21" t="s">
        <v>1040</v>
      </c>
      <c r="P41" s="21" t="s">
        <v>1042</v>
      </c>
      <c r="Q41" s="15">
        <f>DATEDIF(I41,J41,"M")</f>
        <v>3</v>
      </c>
    </row>
    <row r="42" spans="1:17" s="21" customFormat="1" x14ac:dyDescent="0.3">
      <c r="A42" s="18" t="s">
        <v>1030</v>
      </c>
      <c r="B42" s="21" t="s">
        <v>56</v>
      </c>
      <c r="C42" s="21" t="s">
        <v>42</v>
      </c>
      <c r="D42" s="20">
        <v>6250206876</v>
      </c>
      <c r="E42" s="21" t="s">
        <v>586</v>
      </c>
      <c r="F42" s="21" t="s">
        <v>586</v>
      </c>
      <c r="G42" s="21" t="s">
        <v>1077</v>
      </c>
      <c r="H42" s="15" t="str">
        <f t="shared" si="0"/>
        <v>RICHARD THOMAS</v>
      </c>
      <c r="I42" s="16">
        <v>46016</v>
      </c>
      <c r="J42" s="16">
        <v>46106</v>
      </c>
      <c r="K42" s="20">
        <v>140.07</v>
      </c>
      <c r="L42" s="20">
        <v>0.9</v>
      </c>
      <c r="M42" s="20">
        <v>126.06</v>
      </c>
      <c r="N42" s="21" t="s">
        <v>1029</v>
      </c>
      <c r="O42" s="21" t="s">
        <v>1040</v>
      </c>
      <c r="P42" s="21" t="s">
        <v>1042</v>
      </c>
      <c r="Q42" s="15">
        <f>DATEDIF(I42,J42,"M")</f>
        <v>3</v>
      </c>
    </row>
    <row r="43" spans="1:17" s="21" customFormat="1" x14ac:dyDescent="0.3">
      <c r="A43" s="18" t="s">
        <v>1030</v>
      </c>
      <c r="B43" s="21" t="s">
        <v>56</v>
      </c>
      <c r="C43" s="21" t="s">
        <v>42</v>
      </c>
      <c r="D43" s="20">
        <v>6250207263</v>
      </c>
      <c r="E43" s="21" t="s">
        <v>590</v>
      </c>
      <c r="F43" s="21" t="s">
        <v>590</v>
      </c>
      <c r="G43" s="21" t="s">
        <v>1078</v>
      </c>
      <c r="H43" s="15" t="str">
        <f t="shared" si="0"/>
        <v>SUSAN BARCLAY</v>
      </c>
      <c r="I43" s="16">
        <v>46016</v>
      </c>
      <c r="J43" s="16">
        <v>46106</v>
      </c>
      <c r="K43" s="20">
        <v>101.41</v>
      </c>
      <c r="L43" s="20">
        <v>0.9</v>
      </c>
      <c r="M43" s="20">
        <v>91.27</v>
      </c>
      <c r="N43" s="21" t="s">
        <v>1029</v>
      </c>
      <c r="O43" s="21" t="s">
        <v>1040</v>
      </c>
      <c r="P43" s="21" t="s">
        <v>1042</v>
      </c>
      <c r="Q43" s="15">
        <f>DATEDIF(I43,J43,"M")</f>
        <v>3</v>
      </c>
    </row>
    <row r="44" spans="1:17" s="21" customFormat="1" x14ac:dyDescent="0.3">
      <c r="A44" s="18" t="s">
        <v>1030</v>
      </c>
      <c r="B44" s="21" t="s">
        <v>56</v>
      </c>
      <c r="C44" s="21" t="s">
        <v>42</v>
      </c>
      <c r="D44" s="20">
        <v>7250242858</v>
      </c>
      <c r="E44" s="21" t="s">
        <v>220</v>
      </c>
      <c r="F44" s="21" t="s">
        <v>220</v>
      </c>
      <c r="G44" s="21" t="s">
        <v>1043</v>
      </c>
      <c r="H44" s="15" t="str">
        <f t="shared" si="0"/>
        <v>MICHAEL RUSSO</v>
      </c>
      <c r="I44" s="16">
        <v>46016</v>
      </c>
      <c r="J44" s="16">
        <v>46106</v>
      </c>
      <c r="K44" s="20">
        <v>104.67</v>
      </c>
      <c r="L44" s="20">
        <v>0.94499999999999995</v>
      </c>
      <c r="M44" s="20">
        <v>98.91</v>
      </c>
      <c r="N44" s="21" t="s">
        <v>1028</v>
      </c>
      <c r="O44" s="21" t="s">
        <v>1040</v>
      </c>
      <c r="P44" s="21" t="s">
        <v>1042</v>
      </c>
      <c r="Q44" s="15">
        <f>DATEDIF(I44,J44,"M")</f>
        <v>3</v>
      </c>
    </row>
    <row r="45" spans="1:17" s="21" customFormat="1" x14ac:dyDescent="0.3">
      <c r="A45" s="18" t="s">
        <v>1030</v>
      </c>
      <c r="B45" s="21" t="s">
        <v>56</v>
      </c>
      <c r="C45" s="21" t="s">
        <v>42</v>
      </c>
      <c r="D45" s="20">
        <v>7250244631</v>
      </c>
      <c r="E45" s="21" t="s">
        <v>375</v>
      </c>
      <c r="F45" s="21" t="s">
        <v>375</v>
      </c>
      <c r="G45" s="21" t="s">
        <v>1079</v>
      </c>
      <c r="H45" s="15" t="str">
        <f t="shared" si="0"/>
        <v>THEODORE SCHULTZ</v>
      </c>
      <c r="I45" s="16">
        <v>46016</v>
      </c>
      <c r="J45" s="16">
        <v>46106</v>
      </c>
      <c r="K45" s="20">
        <v>119</v>
      </c>
      <c r="L45" s="20">
        <v>0.94499999999999995</v>
      </c>
      <c r="M45" s="20">
        <v>112.46</v>
      </c>
      <c r="N45" s="21" t="s">
        <v>1028</v>
      </c>
      <c r="O45" s="21" t="s">
        <v>1040</v>
      </c>
      <c r="P45" s="21" t="s">
        <v>1042</v>
      </c>
      <c r="Q45" s="15">
        <f>DATEDIF(I45,J45,"M")</f>
        <v>3</v>
      </c>
    </row>
    <row r="46" spans="1:17" s="21" customFormat="1" x14ac:dyDescent="0.3">
      <c r="A46" s="18" t="s">
        <v>1030</v>
      </c>
      <c r="B46" s="21" t="s">
        <v>56</v>
      </c>
      <c r="C46" s="21" t="s">
        <v>42</v>
      </c>
      <c r="D46" s="20">
        <v>7250247728</v>
      </c>
      <c r="E46" s="21" t="s">
        <v>580</v>
      </c>
      <c r="F46" s="21" t="s">
        <v>580</v>
      </c>
      <c r="G46" s="21" t="s">
        <v>1080</v>
      </c>
      <c r="H46" s="15" t="str">
        <f t="shared" si="0"/>
        <v>LINDA NASH</v>
      </c>
      <c r="I46" s="16">
        <v>46016</v>
      </c>
      <c r="J46" s="16">
        <v>46106</v>
      </c>
      <c r="K46" s="20">
        <v>109</v>
      </c>
      <c r="L46" s="20">
        <v>0.94499999999999995</v>
      </c>
      <c r="M46" s="20">
        <v>103.01</v>
      </c>
      <c r="N46" s="21" t="s">
        <v>1028</v>
      </c>
      <c r="O46" s="21" t="s">
        <v>1040</v>
      </c>
      <c r="P46" s="21" t="s">
        <v>1042</v>
      </c>
      <c r="Q46" s="15">
        <f>DATEDIF(I46,J46,"M")</f>
        <v>3</v>
      </c>
    </row>
    <row r="47" spans="1:17" s="21" customFormat="1" x14ac:dyDescent="0.3">
      <c r="A47" s="18" t="s">
        <v>1030</v>
      </c>
      <c r="B47" s="21" t="s">
        <v>56</v>
      </c>
      <c r="C47" s="21" t="s">
        <v>42</v>
      </c>
      <c r="D47" s="20">
        <v>7250241973</v>
      </c>
      <c r="E47" s="21" t="s">
        <v>488</v>
      </c>
      <c r="F47" s="21" t="s">
        <v>488</v>
      </c>
      <c r="G47" s="21" t="s">
        <v>1044</v>
      </c>
      <c r="H47" s="15" t="str">
        <f t="shared" si="0"/>
        <v>WILLIAM MEYER</v>
      </c>
      <c r="I47" s="16">
        <v>46016</v>
      </c>
      <c r="J47" s="16">
        <v>46106</v>
      </c>
      <c r="K47" s="20">
        <v>104</v>
      </c>
      <c r="L47" s="20">
        <v>0.94499999999999995</v>
      </c>
      <c r="M47" s="20">
        <v>98.28</v>
      </c>
      <c r="N47" s="21" t="s">
        <v>1028</v>
      </c>
      <c r="O47" s="21" t="s">
        <v>1040</v>
      </c>
      <c r="P47" s="21" t="s">
        <v>1042</v>
      </c>
      <c r="Q47" s="15">
        <f>DATEDIF(I47,J47,"M")</f>
        <v>3</v>
      </c>
    </row>
    <row r="48" spans="1:17" s="21" customFormat="1" x14ac:dyDescent="0.3">
      <c r="A48" s="18" t="s">
        <v>1030</v>
      </c>
      <c r="B48" s="21" t="s">
        <v>56</v>
      </c>
      <c r="C48" s="21" t="s">
        <v>42</v>
      </c>
      <c r="D48" s="20">
        <v>7250242384</v>
      </c>
      <c r="E48" s="21" t="s">
        <v>76</v>
      </c>
      <c r="F48" s="21" t="s">
        <v>76</v>
      </c>
      <c r="G48" s="21" t="s">
        <v>1081</v>
      </c>
      <c r="H48" s="15" t="str">
        <f t="shared" si="0"/>
        <v>MARY RITCHIE</v>
      </c>
      <c r="I48" s="16">
        <v>46016</v>
      </c>
      <c r="J48" s="16">
        <v>46106</v>
      </c>
      <c r="K48" s="20">
        <v>111</v>
      </c>
      <c r="L48" s="20">
        <v>1.37</v>
      </c>
      <c r="M48" s="20">
        <v>152.07</v>
      </c>
      <c r="N48" s="21" t="s">
        <v>1027</v>
      </c>
      <c r="O48" s="21" t="s">
        <v>1040</v>
      </c>
      <c r="P48" s="21" t="s">
        <v>1042</v>
      </c>
      <c r="Q48" s="15">
        <f>DATEDIF(I48,J48,"M")</f>
        <v>3</v>
      </c>
    </row>
    <row r="49" spans="1:17" s="21" customFormat="1" x14ac:dyDescent="0.3">
      <c r="A49" s="18" t="s">
        <v>1030</v>
      </c>
      <c r="B49" s="21" t="s">
        <v>56</v>
      </c>
      <c r="C49" s="21" t="s">
        <v>42</v>
      </c>
      <c r="D49" s="20">
        <v>7250243279</v>
      </c>
      <c r="E49" s="21" t="s">
        <v>270</v>
      </c>
      <c r="F49" s="21" t="s">
        <v>270</v>
      </c>
      <c r="G49" s="21" t="s">
        <v>1082</v>
      </c>
      <c r="H49" s="15" t="str">
        <f t="shared" si="0"/>
        <v>ELLEN GUSICH</v>
      </c>
      <c r="I49" s="16">
        <v>46016</v>
      </c>
      <c r="J49" s="16">
        <v>46106</v>
      </c>
      <c r="K49" s="20">
        <v>104.67</v>
      </c>
      <c r="L49" s="20">
        <v>1.37</v>
      </c>
      <c r="M49" s="20">
        <v>143.4</v>
      </c>
      <c r="N49" s="21" t="s">
        <v>1027</v>
      </c>
      <c r="O49" s="21" t="s">
        <v>1040</v>
      </c>
      <c r="P49" s="21" t="s">
        <v>1042</v>
      </c>
      <c r="Q49" s="15">
        <f>DATEDIF(I49,J49,"M")</f>
        <v>3</v>
      </c>
    </row>
    <row r="50" spans="1:17" s="21" customFormat="1" x14ac:dyDescent="0.3">
      <c r="A50" s="18" t="s">
        <v>1030</v>
      </c>
      <c r="B50" s="21" t="s">
        <v>56</v>
      </c>
      <c r="C50" s="21" t="s">
        <v>42</v>
      </c>
      <c r="D50" s="20">
        <v>7250246306</v>
      </c>
      <c r="E50" s="21" t="s">
        <v>317</v>
      </c>
      <c r="F50" s="21" t="s">
        <v>317</v>
      </c>
      <c r="G50" s="21" t="s">
        <v>1083</v>
      </c>
      <c r="H50" s="15" t="str">
        <f t="shared" si="0"/>
        <v>DONNA KANALEY</v>
      </c>
      <c r="I50" s="16">
        <v>46016</v>
      </c>
      <c r="J50" s="16">
        <v>46106</v>
      </c>
      <c r="K50" s="20">
        <v>102</v>
      </c>
      <c r="L50" s="20">
        <v>1.37</v>
      </c>
      <c r="M50" s="20">
        <v>139.74</v>
      </c>
      <c r="N50" s="21" t="s">
        <v>1027</v>
      </c>
      <c r="O50" s="21" t="s">
        <v>1040</v>
      </c>
      <c r="P50" s="21" t="s">
        <v>1042</v>
      </c>
      <c r="Q50" s="15">
        <f>DATEDIF(I50,J50,"M")</f>
        <v>3</v>
      </c>
    </row>
    <row r="51" spans="1:17" s="21" customFormat="1" x14ac:dyDescent="0.3">
      <c r="A51" s="18" t="s">
        <v>1030</v>
      </c>
      <c r="B51" s="21" t="s">
        <v>56</v>
      </c>
      <c r="C51" s="21" t="s">
        <v>42</v>
      </c>
      <c r="D51" s="20">
        <v>7250247464</v>
      </c>
      <c r="E51" s="21" t="s">
        <v>348</v>
      </c>
      <c r="F51" s="21" t="s">
        <v>348</v>
      </c>
      <c r="G51" s="21" t="s">
        <v>1076</v>
      </c>
      <c r="H51" s="15" t="str">
        <f t="shared" si="0"/>
        <v>MARK DEVINE</v>
      </c>
      <c r="I51" s="16">
        <v>46016</v>
      </c>
      <c r="J51" s="16">
        <v>46106</v>
      </c>
      <c r="K51" s="20">
        <v>151</v>
      </c>
      <c r="L51" s="20">
        <v>1.37</v>
      </c>
      <c r="M51" s="20">
        <v>206.87</v>
      </c>
      <c r="N51" s="21" t="s">
        <v>1027</v>
      </c>
      <c r="O51" s="21" t="s">
        <v>1040</v>
      </c>
      <c r="P51" s="21" t="s">
        <v>1042</v>
      </c>
      <c r="Q51" s="15">
        <f>DATEDIF(I51,J51,"M")</f>
        <v>3</v>
      </c>
    </row>
    <row r="52" spans="1:17" s="21" customFormat="1" x14ac:dyDescent="0.3">
      <c r="A52" s="18" t="s">
        <v>1030</v>
      </c>
      <c r="B52" s="21" t="s">
        <v>56</v>
      </c>
      <c r="C52" s="21" t="s">
        <v>42</v>
      </c>
      <c r="D52" s="20">
        <v>7250239289</v>
      </c>
      <c r="E52" s="21" t="s">
        <v>432</v>
      </c>
      <c r="F52" s="21" t="s">
        <v>432</v>
      </c>
      <c r="G52" s="21" t="s">
        <v>586</v>
      </c>
      <c r="H52" s="15" t="str">
        <f t="shared" si="0"/>
        <v>THOMAS BRISCOE</v>
      </c>
      <c r="I52" s="16">
        <v>46016</v>
      </c>
      <c r="J52" s="16">
        <v>46106</v>
      </c>
      <c r="K52" s="20">
        <v>98.6</v>
      </c>
      <c r="L52" s="20">
        <v>1.37</v>
      </c>
      <c r="M52" s="20">
        <v>135.08000000000001</v>
      </c>
      <c r="N52" s="21" t="s">
        <v>1027</v>
      </c>
      <c r="O52" s="21" t="s">
        <v>1040</v>
      </c>
      <c r="P52" s="21" t="s">
        <v>1042</v>
      </c>
      <c r="Q52" s="15">
        <f>DATEDIF(I52,J52,"M")</f>
        <v>3</v>
      </c>
    </row>
    <row r="53" spans="1:17" s="21" customFormat="1" x14ac:dyDescent="0.3">
      <c r="A53" s="18" t="s">
        <v>1030</v>
      </c>
      <c r="B53" s="21" t="s">
        <v>56</v>
      </c>
      <c r="C53" s="21" t="s">
        <v>42</v>
      </c>
      <c r="D53" s="20">
        <v>7250242914</v>
      </c>
      <c r="E53" s="21" t="s">
        <v>445</v>
      </c>
      <c r="F53" s="21" t="s">
        <v>445</v>
      </c>
      <c r="G53" s="21" t="s">
        <v>1044</v>
      </c>
      <c r="H53" s="15" t="str">
        <f t="shared" si="0"/>
        <v>WILLIAM BRENNAN</v>
      </c>
      <c r="I53" s="16">
        <v>46016</v>
      </c>
      <c r="J53" s="16">
        <v>46106</v>
      </c>
      <c r="K53" s="20">
        <v>104</v>
      </c>
      <c r="L53" s="20">
        <v>1.37</v>
      </c>
      <c r="M53" s="20">
        <v>142.47999999999999</v>
      </c>
      <c r="N53" s="21" t="s">
        <v>1027</v>
      </c>
      <c r="O53" s="21" t="s">
        <v>1040</v>
      </c>
      <c r="P53" s="21" t="s">
        <v>1042</v>
      </c>
      <c r="Q53" s="15">
        <f>DATEDIF(I53,J53,"M")</f>
        <v>3</v>
      </c>
    </row>
    <row r="54" spans="1:17" s="21" customFormat="1" x14ac:dyDescent="0.3">
      <c r="A54" s="18" t="s">
        <v>1030</v>
      </c>
      <c r="B54" s="21" t="s">
        <v>56</v>
      </c>
      <c r="C54" s="21" t="s">
        <v>42</v>
      </c>
      <c r="D54" s="20">
        <v>7250241040</v>
      </c>
      <c r="E54" s="21" t="s">
        <v>462</v>
      </c>
      <c r="F54" s="21" t="s">
        <v>462</v>
      </c>
      <c r="G54" s="21" t="s">
        <v>1084</v>
      </c>
      <c r="H54" s="15" t="str">
        <f t="shared" si="0"/>
        <v>IRWIN DE LOS REYES</v>
      </c>
      <c r="I54" s="16">
        <v>46016</v>
      </c>
      <c r="J54" s="16">
        <v>46106</v>
      </c>
      <c r="K54" s="20">
        <v>201.13</v>
      </c>
      <c r="L54" s="20">
        <v>1.37</v>
      </c>
      <c r="M54" s="20">
        <v>275.55</v>
      </c>
      <c r="N54" s="21" t="s">
        <v>1027</v>
      </c>
      <c r="O54" s="21" t="s">
        <v>1040</v>
      </c>
      <c r="P54" s="21" t="s">
        <v>1042</v>
      </c>
      <c r="Q54" s="15">
        <f>DATEDIF(I54,J54,"M")</f>
        <v>3</v>
      </c>
    </row>
    <row r="55" spans="1:17" s="21" customFormat="1" x14ac:dyDescent="0.3">
      <c r="A55" s="18" t="s">
        <v>1030</v>
      </c>
      <c r="B55" s="21" t="s">
        <v>56</v>
      </c>
      <c r="C55" s="21" t="s">
        <v>42</v>
      </c>
      <c r="D55" s="20">
        <v>7250249151</v>
      </c>
      <c r="E55" s="21" t="s">
        <v>485</v>
      </c>
      <c r="F55" s="21" t="s">
        <v>485</v>
      </c>
      <c r="G55" s="21" t="s">
        <v>1085</v>
      </c>
      <c r="H55" s="15" t="str">
        <f t="shared" si="0"/>
        <v>HOWARD FOX</v>
      </c>
      <c r="I55" s="16">
        <v>45998</v>
      </c>
      <c r="J55" s="16">
        <v>46088</v>
      </c>
      <c r="K55" s="20">
        <v>149.72</v>
      </c>
      <c r="L55" s="20">
        <v>1.37</v>
      </c>
      <c r="M55" s="20">
        <v>205.12</v>
      </c>
      <c r="N55" s="21" t="s">
        <v>1027</v>
      </c>
      <c r="O55" s="21" t="s">
        <v>1040</v>
      </c>
      <c r="P55" s="21" t="s">
        <v>1042</v>
      </c>
      <c r="Q55" s="15">
        <f>DATEDIF(I55,J55,"M")</f>
        <v>3</v>
      </c>
    </row>
    <row r="56" spans="1:17" s="21" customFormat="1" x14ac:dyDescent="0.3">
      <c r="A56" s="18" t="s">
        <v>1030</v>
      </c>
      <c r="B56" s="21" t="s">
        <v>56</v>
      </c>
      <c r="C56" s="21" t="s">
        <v>42</v>
      </c>
      <c r="D56" s="20">
        <v>7250241966</v>
      </c>
      <c r="E56" s="21" t="s">
        <v>488</v>
      </c>
      <c r="F56" s="21" t="s">
        <v>488</v>
      </c>
      <c r="G56" s="21" t="s">
        <v>1086</v>
      </c>
      <c r="H56" s="15" t="str">
        <f t="shared" si="0"/>
        <v>GINA MEYER</v>
      </c>
      <c r="I56" s="16">
        <v>46016</v>
      </c>
      <c r="J56" s="16">
        <v>46106</v>
      </c>
      <c r="K56" s="20">
        <v>88</v>
      </c>
      <c r="L56" s="20">
        <v>1.37</v>
      </c>
      <c r="M56" s="20">
        <v>120.56</v>
      </c>
      <c r="N56" s="21" t="s">
        <v>1027</v>
      </c>
      <c r="O56" s="21" t="s">
        <v>1040</v>
      </c>
      <c r="P56" s="21" t="s">
        <v>1042</v>
      </c>
      <c r="Q56" s="15">
        <f>DATEDIF(I56,J56,"M")</f>
        <v>3</v>
      </c>
    </row>
    <row r="57" spans="1:17" s="21" customFormat="1" x14ac:dyDescent="0.3">
      <c r="A57" s="18" t="s">
        <v>1030</v>
      </c>
      <c r="B57" s="21" t="s">
        <v>56</v>
      </c>
      <c r="C57" s="21" t="s">
        <v>42</v>
      </c>
      <c r="D57" s="20">
        <v>7250242824</v>
      </c>
      <c r="E57" s="21" t="s">
        <v>496</v>
      </c>
      <c r="F57" s="21" t="s">
        <v>1087</v>
      </c>
      <c r="G57" s="21" t="s">
        <v>1088</v>
      </c>
      <c r="H57" s="15" t="str">
        <f t="shared" si="0"/>
        <v>DAWN MACLEAN</v>
      </c>
      <c r="I57" s="16">
        <v>46016</v>
      </c>
      <c r="J57" s="16">
        <v>46106</v>
      </c>
      <c r="K57" s="20">
        <v>111.63</v>
      </c>
      <c r="L57" s="20">
        <v>1.37</v>
      </c>
      <c r="M57" s="20">
        <v>152.93</v>
      </c>
      <c r="N57" s="21" t="s">
        <v>1027</v>
      </c>
      <c r="O57" s="21" t="s">
        <v>1040</v>
      </c>
      <c r="P57" s="21" t="s">
        <v>1042</v>
      </c>
      <c r="Q57" s="15">
        <f>DATEDIF(I57,J57,"M")</f>
        <v>3</v>
      </c>
    </row>
    <row r="58" spans="1:17" s="21" customFormat="1" x14ac:dyDescent="0.3">
      <c r="A58" s="18" t="s">
        <v>1030</v>
      </c>
      <c r="B58" s="21" t="s">
        <v>56</v>
      </c>
      <c r="C58" s="21" t="s">
        <v>42</v>
      </c>
      <c r="D58" s="20">
        <v>7250241499</v>
      </c>
      <c r="E58" s="21" t="s">
        <v>506</v>
      </c>
      <c r="F58" s="21" t="s">
        <v>506</v>
      </c>
      <c r="G58" s="21" t="s">
        <v>1072</v>
      </c>
      <c r="H58" s="15" t="str">
        <f t="shared" si="0"/>
        <v>NANCY RYTINA</v>
      </c>
      <c r="I58" s="16">
        <v>46016</v>
      </c>
      <c r="J58" s="16">
        <v>46106</v>
      </c>
      <c r="K58" s="20">
        <v>102.4</v>
      </c>
      <c r="L58" s="20">
        <v>1.37</v>
      </c>
      <c r="M58" s="20">
        <v>140.29</v>
      </c>
      <c r="N58" s="21" t="s">
        <v>1027</v>
      </c>
      <c r="O58" s="21" t="s">
        <v>1040</v>
      </c>
      <c r="P58" s="21" t="s">
        <v>1042</v>
      </c>
      <c r="Q58" s="15">
        <f>DATEDIF(I58,J58,"M")</f>
        <v>3</v>
      </c>
    </row>
    <row r="59" spans="1:17" s="21" customFormat="1" x14ac:dyDescent="0.3">
      <c r="A59" s="18" t="s">
        <v>1030</v>
      </c>
      <c r="B59" s="21" t="s">
        <v>56</v>
      </c>
      <c r="C59" s="21" t="s">
        <v>42</v>
      </c>
      <c r="D59" s="20">
        <v>7250250280</v>
      </c>
      <c r="E59" s="21" t="s">
        <v>540</v>
      </c>
      <c r="F59" s="21" t="s">
        <v>540</v>
      </c>
      <c r="G59" s="21" t="s">
        <v>1089</v>
      </c>
      <c r="H59" s="15" t="str">
        <f t="shared" si="0"/>
        <v>JESSICA DEMARTINI</v>
      </c>
      <c r="I59" s="16">
        <v>46016</v>
      </c>
      <c r="J59" s="16">
        <v>46106</v>
      </c>
      <c r="K59" s="20">
        <v>65</v>
      </c>
      <c r="L59" s="20">
        <v>1.37</v>
      </c>
      <c r="M59" s="20">
        <v>89.05</v>
      </c>
      <c r="N59" s="21" t="s">
        <v>1027</v>
      </c>
      <c r="O59" s="21" t="s">
        <v>1040</v>
      </c>
      <c r="P59" s="21" t="s">
        <v>1042</v>
      </c>
      <c r="Q59" s="15">
        <f>DATEDIF(I59,J59,"M")</f>
        <v>3</v>
      </c>
    </row>
    <row r="60" spans="1:17" s="21" customFormat="1" x14ac:dyDescent="0.3">
      <c r="A60" s="18" t="s">
        <v>1030</v>
      </c>
      <c r="B60" s="21" t="s">
        <v>56</v>
      </c>
      <c r="C60" s="21" t="s">
        <v>42</v>
      </c>
      <c r="D60" s="20">
        <v>7250240292</v>
      </c>
      <c r="E60" s="21" t="s">
        <v>726</v>
      </c>
      <c r="F60" s="21" t="s">
        <v>726</v>
      </c>
      <c r="G60" s="21" t="s">
        <v>1090</v>
      </c>
      <c r="H60" s="15" t="str">
        <f t="shared" si="0"/>
        <v>PAUL WOLFE</v>
      </c>
      <c r="I60" s="16">
        <v>46016</v>
      </c>
      <c r="J60" s="16">
        <v>46106</v>
      </c>
      <c r="K60" s="20">
        <v>105.45</v>
      </c>
      <c r="L60" s="20">
        <v>1.37</v>
      </c>
      <c r="M60" s="20">
        <v>144.47</v>
      </c>
      <c r="N60" s="21" t="s">
        <v>1027</v>
      </c>
      <c r="O60" s="21" t="s">
        <v>1040</v>
      </c>
      <c r="P60" s="21" t="s">
        <v>1042</v>
      </c>
      <c r="Q60" s="15">
        <f>DATEDIF(I60,J60,"M")</f>
        <v>3</v>
      </c>
    </row>
    <row r="61" spans="1:17" s="21" customFormat="1" x14ac:dyDescent="0.3">
      <c r="A61" s="18" t="s">
        <v>1030</v>
      </c>
      <c r="B61" s="21" t="s">
        <v>56</v>
      </c>
      <c r="C61" s="21" t="s">
        <v>42</v>
      </c>
      <c r="D61" s="20">
        <v>7250241677</v>
      </c>
      <c r="E61" s="21" t="s">
        <v>747</v>
      </c>
      <c r="F61" s="21" t="s">
        <v>747</v>
      </c>
      <c r="G61" s="21" t="s">
        <v>1091</v>
      </c>
      <c r="H61" s="15" t="str">
        <f t="shared" si="0"/>
        <v>KAREN RIALLA</v>
      </c>
      <c r="I61" s="16">
        <v>46016</v>
      </c>
      <c r="J61" s="16">
        <v>46106</v>
      </c>
      <c r="K61" s="20">
        <v>77</v>
      </c>
      <c r="L61" s="20">
        <v>1.37</v>
      </c>
      <c r="M61" s="20">
        <v>105.49</v>
      </c>
      <c r="N61" s="21" t="s">
        <v>1027</v>
      </c>
      <c r="O61" s="21" t="s">
        <v>1040</v>
      </c>
      <c r="P61" s="21" t="s">
        <v>1042</v>
      </c>
      <c r="Q61" s="15">
        <f>DATEDIF(I61,J61,"M")</f>
        <v>3</v>
      </c>
    </row>
    <row r="62" spans="1:17" s="21" customFormat="1" x14ac:dyDescent="0.3">
      <c r="A62" s="18" t="s">
        <v>1030</v>
      </c>
      <c r="B62" s="21" t="s">
        <v>56</v>
      </c>
      <c r="C62" s="21" t="s">
        <v>42</v>
      </c>
      <c r="D62" s="20">
        <v>7250247442</v>
      </c>
      <c r="E62" s="21" t="s">
        <v>348</v>
      </c>
      <c r="F62" s="21" t="s">
        <v>348</v>
      </c>
      <c r="G62" s="21" t="s">
        <v>1092</v>
      </c>
      <c r="H62" s="15" t="str">
        <f t="shared" si="0"/>
        <v>ANN DEVINE</v>
      </c>
      <c r="I62" s="16">
        <v>46016</v>
      </c>
      <c r="J62" s="16">
        <v>46106</v>
      </c>
      <c r="K62" s="20">
        <v>149</v>
      </c>
      <c r="L62" s="20">
        <v>1.37</v>
      </c>
      <c r="M62" s="20">
        <v>204.13</v>
      </c>
      <c r="N62" s="21" t="s">
        <v>1027</v>
      </c>
      <c r="O62" s="21" t="s">
        <v>1040</v>
      </c>
      <c r="P62" s="21" t="s">
        <v>1042</v>
      </c>
      <c r="Q62" s="15">
        <f>DATEDIF(I62,J62,"M")</f>
        <v>3</v>
      </c>
    </row>
    <row r="63" spans="1:17" s="21" customFormat="1" x14ac:dyDescent="0.3">
      <c r="A63" s="18" t="s">
        <v>1030</v>
      </c>
      <c r="B63" s="21" t="s">
        <v>56</v>
      </c>
      <c r="C63" s="21" t="s">
        <v>42</v>
      </c>
      <c r="D63" s="20">
        <v>7250241053</v>
      </c>
      <c r="E63" s="21" t="s">
        <v>462</v>
      </c>
      <c r="F63" s="21" t="s">
        <v>462</v>
      </c>
      <c r="G63" s="21" t="s">
        <v>1093</v>
      </c>
      <c r="H63" s="15" t="str">
        <f t="shared" si="0"/>
        <v>BLESILDA DE LOS REYES</v>
      </c>
      <c r="I63" s="16">
        <v>46016</v>
      </c>
      <c r="J63" s="16">
        <v>46106</v>
      </c>
      <c r="K63" s="20">
        <v>152</v>
      </c>
      <c r="L63" s="20">
        <v>1.37</v>
      </c>
      <c r="M63" s="20">
        <v>208.24</v>
      </c>
      <c r="N63" s="21" t="s">
        <v>1027</v>
      </c>
      <c r="O63" s="21" t="s">
        <v>1040</v>
      </c>
      <c r="P63" s="21" t="s">
        <v>1042</v>
      </c>
      <c r="Q63" s="15">
        <f>DATEDIF(I63,J63,"M")</f>
        <v>3</v>
      </c>
    </row>
    <row r="64" spans="1:17" s="21" customFormat="1" x14ac:dyDescent="0.3">
      <c r="A64" s="18" t="s">
        <v>1030</v>
      </c>
      <c r="B64" s="21" t="s">
        <v>56</v>
      </c>
      <c r="C64" s="21" t="s">
        <v>42</v>
      </c>
      <c r="D64" s="20">
        <v>7250247874</v>
      </c>
      <c r="E64" s="21" t="s">
        <v>793</v>
      </c>
      <c r="F64" s="21" t="s">
        <v>793</v>
      </c>
      <c r="G64" s="21" t="s">
        <v>1094</v>
      </c>
      <c r="H64" s="15" t="str">
        <f t="shared" si="0"/>
        <v>CARON KLEIN</v>
      </c>
      <c r="I64" s="16">
        <v>46016</v>
      </c>
      <c r="J64" s="16">
        <v>46106</v>
      </c>
      <c r="K64" s="20">
        <v>47</v>
      </c>
      <c r="L64" s="20">
        <v>1.37</v>
      </c>
      <c r="M64" s="20">
        <v>64.39</v>
      </c>
      <c r="N64" s="21" t="s">
        <v>1027</v>
      </c>
      <c r="O64" s="21" t="s">
        <v>1040</v>
      </c>
      <c r="P64" s="21" t="s">
        <v>1042</v>
      </c>
      <c r="Q64" s="15">
        <f>DATEDIF(I64,J64,"M")</f>
        <v>3</v>
      </c>
    </row>
    <row r="65" spans="1:34" s="21" customFormat="1" x14ac:dyDescent="0.3">
      <c r="A65" s="18" t="s">
        <v>1030</v>
      </c>
      <c r="B65" s="21" t="s">
        <v>56</v>
      </c>
      <c r="C65" s="21" t="s">
        <v>42</v>
      </c>
      <c r="D65" s="20">
        <v>7250240607</v>
      </c>
      <c r="E65" s="21" t="s">
        <v>824</v>
      </c>
      <c r="F65" s="21" t="s">
        <v>824</v>
      </c>
      <c r="G65" s="21" t="s">
        <v>1095</v>
      </c>
      <c r="H65" s="15" t="str">
        <f t="shared" si="0"/>
        <v>LESLIE IANNACE</v>
      </c>
      <c r="I65" s="16">
        <v>46016</v>
      </c>
      <c r="J65" s="16">
        <v>46106</v>
      </c>
      <c r="K65" s="20">
        <v>108.65</v>
      </c>
      <c r="L65" s="20">
        <v>1.37</v>
      </c>
      <c r="M65" s="20">
        <v>148.85</v>
      </c>
      <c r="N65" s="21" t="s">
        <v>1027</v>
      </c>
      <c r="O65" s="21" t="s">
        <v>1040</v>
      </c>
      <c r="P65" s="21" t="s">
        <v>1042</v>
      </c>
      <c r="Q65" s="15">
        <f>DATEDIF(I65,J65,"M")</f>
        <v>3</v>
      </c>
    </row>
    <row r="66" spans="1:34" s="21" customFormat="1" x14ac:dyDescent="0.3">
      <c r="A66" s="18" t="s">
        <v>1030</v>
      </c>
      <c r="B66" s="21" t="s">
        <v>56</v>
      </c>
      <c r="C66" s="21" t="s">
        <v>42</v>
      </c>
      <c r="D66" s="20">
        <v>7250247798</v>
      </c>
      <c r="E66" s="21" t="s">
        <v>867</v>
      </c>
      <c r="F66" s="21" t="s">
        <v>867</v>
      </c>
      <c r="G66" s="21" t="s">
        <v>1096</v>
      </c>
      <c r="H66" s="15" t="str">
        <f t="shared" si="0"/>
        <v>CHARLES SLATKOFF</v>
      </c>
      <c r="I66" s="16">
        <v>46016</v>
      </c>
      <c r="J66" s="16">
        <v>46106</v>
      </c>
      <c r="K66" s="20">
        <v>119</v>
      </c>
      <c r="L66" s="20">
        <v>1.37</v>
      </c>
      <c r="M66" s="20">
        <v>163.03</v>
      </c>
      <c r="N66" s="21" t="s">
        <v>1027</v>
      </c>
      <c r="O66" s="21" t="s">
        <v>1040</v>
      </c>
      <c r="P66" s="21" t="s">
        <v>1042</v>
      </c>
      <c r="Q66" s="15">
        <f>DATEDIF(I66,J66,"M")</f>
        <v>3</v>
      </c>
    </row>
    <row r="67" spans="1:34" s="21" customFormat="1" x14ac:dyDescent="0.3">
      <c r="A67" s="18" t="s">
        <v>1030</v>
      </c>
      <c r="B67" s="21" t="s">
        <v>56</v>
      </c>
      <c r="C67" s="21" t="s">
        <v>42</v>
      </c>
      <c r="D67" s="20">
        <v>7250242406</v>
      </c>
      <c r="E67" s="21" t="s">
        <v>879</v>
      </c>
      <c r="F67" s="21" t="s">
        <v>879</v>
      </c>
      <c r="G67" s="21" t="s">
        <v>1097</v>
      </c>
      <c r="H67" s="15" t="str">
        <f t="shared" ref="H67:H130" si="1">_xlfn.CONCAT(G67, " ",F67)</f>
        <v>CAROL ANDERSON</v>
      </c>
      <c r="I67" s="16">
        <v>46016</v>
      </c>
      <c r="J67" s="16">
        <v>46106</v>
      </c>
      <c r="K67" s="20">
        <v>44.5</v>
      </c>
      <c r="L67" s="20">
        <v>1.37</v>
      </c>
      <c r="M67" s="20">
        <v>60.97</v>
      </c>
      <c r="N67" s="21" t="s">
        <v>1027</v>
      </c>
      <c r="O67" s="21" t="s">
        <v>1040</v>
      </c>
      <c r="P67" s="21" t="s">
        <v>1042</v>
      </c>
      <c r="Q67" s="15">
        <f>DATEDIF(I67,J67,"M")</f>
        <v>3</v>
      </c>
    </row>
    <row r="68" spans="1:34" s="21" customFormat="1" x14ac:dyDescent="0.3">
      <c r="A68" s="18" t="s">
        <v>1030</v>
      </c>
      <c r="B68" s="21" t="s">
        <v>56</v>
      </c>
      <c r="C68" s="21" t="s">
        <v>42</v>
      </c>
      <c r="D68" s="20">
        <v>7250242849</v>
      </c>
      <c r="E68" s="21" t="s">
        <v>220</v>
      </c>
      <c r="F68" s="21" t="s">
        <v>220</v>
      </c>
      <c r="G68" s="21" t="s">
        <v>1098</v>
      </c>
      <c r="H68" s="15" t="str">
        <f t="shared" si="1"/>
        <v>RITA RUSSO</v>
      </c>
      <c r="I68" s="16">
        <v>46016</v>
      </c>
      <c r="J68" s="16">
        <v>46106</v>
      </c>
      <c r="K68" s="20">
        <v>93.61</v>
      </c>
      <c r="L68" s="20">
        <v>1.37</v>
      </c>
      <c r="M68" s="20">
        <v>128.25</v>
      </c>
      <c r="N68" s="21" t="s">
        <v>1027</v>
      </c>
      <c r="O68" s="21" t="s">
        <v>1040</v>
      </c>
      <c r="P68" s="21" t="s">
        <v>1042</v>
      </c>
      <c r="Q68" s="15">
        <f>DATEDIF(I68,J68,"M")</f>
        <v>3</v>
      </c>
    </row>
    <row r="69" spans="1:34" s="21" customFormat="1" x14ac:dyDescent="0.3">
      <c r="A69" s="18" t="s">
        <v>1030</v>
      </c>
      <c r="B69" s="21" t="s">
        <v>56</v>
      </c>
      <c r="C69" s="21" t="s">
        <v>42</v>
      </c>
      <c r="D69" s="20">
        <v>7250245024</v>
      </c>
      <c r="E69" s="21" t="s">
        <v>986</v>
      </c>
      <c r="F69" s="21" t="s">
        <v>986</v>
      </c>
      <c r="G69" s="21" t="s">
        <v>1099</v>
      </c>
      <c r="H69" s="15" t="str">
        <f t="shared" si="1"/>
        <v>MELINDA HAANPAA</v>
      </c>
      <c r="I69" s="16">
        <v>46016</v>
      </c>
      <c r="J69" s="16">
        <v>46106</v>
      </c>
      <c r="K69" s="20">
        <v>101.26</v>
      </c>
      <c r="L69" s="20">
        <v>1.37</v>
      </c>
      <c r="M69" s="20">
        <v>138.72999999999999</v>
      </c>
      <c r="N69" s="21" t="s">
        <v>1027</v>
      </c>
      <c r="O69" s="21" t="s">
        <v>1040</v>
      </c>
      <c r="P69" s="21" t="s">
        <v>1042</v>
      </c>
      <c r="Q69" s="15">
        <f>DATEDIF(I69,J69,"M")</f>
        <v>3</v>
      </c>
    </row>
    <row r="70" spans="1:34" s="21" customFormat="1" x14ac:dyDescent="0.3">
      <c r="A70" s="18" t="s">
        <v>1030</v>
      </c>
      <c r="B70" s="21" t="s">
        <v>56</v>
      </c>
      <c r="C70" s="21" t="s">
        <v>42</v>
      </c>
      <c r="D70" s="20">
        <v>7250239265</v>
      </c>
      <c r="E70" s="21" t="s">
        <v>993</v>
      </c>
      <c r="F70" s="21" t="s">
        <v>993</v>
      </c>
      <c r="G70" s="21" t="s">
        <v>1100</v>
      </c>
      <c r="H70" s="15" t="str">
        <f t="shared" si="1"/>
        <v>LAURA REICHE</v>
      </c>
      <c r="I70" s="16">
        <v>46016</v>
      </c>
      <c r="J70" s="16">
        <v>46106</v>
      </c>
      <c r="K70" s="20">
        <v>94.82</v>
      </c>
      <c r="L70" s="20">
        <v>1.37</v>
      </c>
      <c r="M70" s="20">
        <v>129.9</v>
      </c>
      <c r="N70" s="21" t="s">
        <v>1027</v>
      </c>
      <c r="O70" s="21" t="s">
        <v>1040</v>
      </c>
      <c r="P70" s="21" t="s">
        <v>1042</v>
      </c>
      <c r="Q70" s="15">
        <f>DATEDIF(I70,J70,"M")</f>
        <v>3</v>
      </c>
    </row>
    <row r="71" spans="1:34" s="21" customFormat="1" x14ac:dyDescent="0.3">
      <c r="A71" s="18" t="s">
        <v>1030</v>
      </c>
      <c r="B71" s="21" t="s">
        <v>56</v>
      </c>
      <c r="C71" s="21" t="s">
        <v>42</v>
      </c>
      <c r="D71" s="20">
        <v>7250239243</v>
      </c>
      <c r="E71" s="21" t="s">
        <v>993</v>
      </c>
      <c r="F71" s="21" t="s">
        <v>993</v>
      </c>
      <c r="G71" s="21" t="s">
        <v>890</v>
      </c>
      <c r="H71" s="15" t="str">
        <f t="shared" si="1"/>
        <v>BRADLEY REICHE</v>
      </c>
      <c r="I71" s="16">
        <v>46016</v>
      </c>
      <c r="J71" s="16">
        <v>46106</v>
      </c>
      <c r="K71" s="20">
        <v>96.62</v>
      </c>
      <c r="L71" s="20">
        <v>1.37</v>
      </c>
      <c r="M71" s="20">
        <v>132.37</v>
      </c>
      <c r="N71" s="21" t="s">
        <v>1027</v>
      </c>
      <c r="O71" s="21" t="s">
        <v>1040</v>
      </c>
      <c r="P71" s="21" t="s">
        <v>1042</v>
      </c>
      <c r="Q71" s="15">
        <f>DATEDIF(I71,J71,"M")</f>
        <v>3</v>
      </c>
    </row>
    <row r="72" spans="1:34" s="21" customFormat="1" x14ac:dyDescent="0.3">
      <c r="A72" s="18" t="s">
        <v>1030</v>
      </c>
      <c r="B72" s="21" t="s">
        <v>56</v>
      </c>
      <c r="C72" s="21" t="s">
        <v>42</v>
      </c>
      <c r="D72" s="20">
        <v>7250244511</v>
      </c>
      <c r="E72" s="21" t="s">
        <v>348</v>
      </c>
      <c r="F72" s="21" t="s">
        <v>348</v>
      </c>
      <c r="G72" s="21" t="s">
        <v>1101</v>
      </c>
      <c r="H72" s="15" t="str">
        <f t="shared" si="1"/>
        <v>CHRISTINE DEVINE</v>
      </c>
      <c r="I72" s="16">
        <v>46016</v>
      </c>
      <c r="J72" s="16">
        <v>46106</v>
      </c>
      <c r="K72" s="20">
        <v>112</v>
      </c>
      <c r="L72" s="20">
        <v>1.37</v>
      </c>
      <c r="M72" s="20">
        <v>153.44</v>
      </c>
      <c r="N72" s="21" t="s">
        <v>1027</v>
      </c>
      <c r="O72" s="21" t="s">
        <v>1040</v>
      </c>
      <c r="P72" s="21" t="s">
        <v>1042</v>
      </c>
      <c r="Q72" s="15">
        <f>DATEDIF(I72,J72,"M")</f>
        <v>3</v>
      </c>
    </row>
    <row r="73" spans="1:34" s="21" customFormat="1" x14ac:dyDescent="0.3">
      <c r="A73" s="18" t="s">
        <v>1030</v>
      </c>
      <c r="B73" s="21" t="s">
        <v>56</v>
      </c>
      <c r="C73" s="21" t="s">
        <v>42</v>
      </c>
      <c r="D73" s="20">
        <v>7250242878</v>
      </c>
      <c r="E73" s="21" t="s">
        <v>1024</v>
      </c>
      <c r="F73" s="21" t="s">
        <v>1024</v>
      </c>
      <c r="G73" s="21" t="s">
        <v>1068</v>
      </c>
      <c r="H73" s="15" t="str">
        <f t="shared" si="1"/>
        <v>ROBERT GLASSMAN</v>
      </c>
      <c r="I73" s="16">
        <v>46016</v>
      </c>
      <c r="J73" s="16">
        <v>46106</v>
      </c>
      <c r="K73" s="20">
        <v>83.12</v>
      </c>
      <c r="L73" s="20">
        <v>1.37</v>
      </c>
      <c r="M73" s="20">
        <v>113.87</v>
      </c>
      <c r="N73" s="21" t="s">
        <v>1027</v>
      </c>
      <c r="O73" s="21" t="s">
        <v>1040</v>
      </c>
      <c r="P73" s="21" t="s">
        <v>1042</v>
      </c>
      <c r="Q73" s="15">
        <f>DATEDIF(I73,J73,"M")</f>
        <v>3</v>
      </c>
    </row>
    <row r="74" spans="1:34" s="21" customFormat="1" x14ac:dyDescent="0.3">
      <c r="A74" s="18" t="s">
        <v>1035</v>
      </c>
      <c r="B74" s="21" t="s">
        <v>119</v>
      </c>
      <c r="C74" s="21" t="s">
        <v>42</v>
      </c>
      <c r="D74" s="20">
        <v>7250263530</v>
      </c>
      <c r="E74" s="21" t="s">
        <v>399</v>
      </c>
      <c r="F74" s="21" t="s">
        <v>399</v>
      </c>
      <c r="G74" s="21" t="s">
        <v>1102</v>
      </c>
      <c r="H74" s="15" t="str">
        <f t="shared" si="1"/>
        <v>MILE MANIC</v>
      </c>
      <c r="I74" s="16">
        <v>46014</v>
      </c>
      <c r="J74" s="16">
        <v>46104</v>
      </c>
      <c r="K74" s="20">
        <v>121.02</v>
      </c>
      <c r="L74" s="20">
        <v>1.37</v>
      </c>
      <c r="M74" s="20">
        <v>165.8</v>
      </c>
      <c r="N74" s="21" t="s">
        <v>1027</v>
      </c>
      <c r="O74" s="21" t="s">
        <v>1040</v>
      </c>
      <c r="P74" s="21" t="s">
        <v>1042</v>
      </c>
      <c r="Q74" s="15">
        <f>DATEDIF(I74,J74,"M")</f>
        <v>3</v>
      </c>
      <c r="AH74" s="15"/>
    </row>
    <row r="75" spans="1:34" s="21" customFormat="1" x14ac:dyDescent="0.3">
      <c r="A75" s="18" t="s">
        <v>1035</v>
      </c>
      <c r="B75" s="21" t="s">
        <v>119</v>
      </c>
      <c r="C75" s="21" t="s">
        <v>42</v>
      </c>
      <c r="D75" s="20">
        <v>7250263515</v>
      </c>
      <c r="E75" s="21" t="s">
        <v>399</v>
      </c>
      <c r="F75" s="21" t="s">
        <v>399</v>
      </c>
      <c r="G75" s="21" t="s">
        <v>1103</v>
      </c>
      <c r="H75" s="15" t="str">
        <f t="shared" si="1"/>
        <v>DRAGANA MANIC</v>
      </c>
      <c r="I75" s="16">
        <v>46014</v>
      </c>
      <c r="J75" s="16">
        <v>46104</v>
      </c>
      <c r="K75" s="20">
        <v>109.76</v>
      </c>
      <c r="L75" s="20">
        <v>1.37</v>
      </c>
      <c r="M75" s="20">
        <v>150.37</v>
      </c>
      <c r="N75" s="21" t="s">
        <v>1027</v>
      </c>
      <c r="O75" s="21" t="s">
        <v>1040</v>
      </c>
      <c r="P75" s="21" t="s">
        <v>1042</v>
      </c>
      <c r="Q75" s="15">
        <f>DATEDIF(I75,J75,"M")</f>
        <v>3</v>
      </c>
      <c r="AH75" s="15"/>
    </row>
    <row r="76" spans="1:34" s="21" customFormat="1" x14ac:dyDescent="0.3">
      <c r="A76" s="18" t="s">
        <v>1030</v>
      </c>
      <c r="B76" s="21" t="s">
        <v>56</v>
      </c>
      <c r="C76" s="21" t="s">
        <v>42</v>
      </c>
      <c r="D76" s="20">
        <v>6250187897</v>
      </c>
      <c r="E76" s="21" t="s">
        <v>931</v>
      </c>
      <c r="F76" s="21" t="s">
        <v>931</v>
      </c>
      <c r="G76" s="21" t="s">
        <v>1097</v>
      </c>
      <c r="H76" s="15" t="str">
        <f t="shared" si="1"/>
        <v>CAROL DUBOIS</v>
      </c>
      <c r="I76" s="16">
        <v>45962</v>
      </c>
      <c r="J76" s="16">
        <v>46082</v>
      </c>
      <c r="K76" s="20">
        <v>63.54</v>
      </c>
      <c r="L76" s="20">
        <v>0.9</v>
      </c>
      <c r="M76" s="20">
        <v>57.19</v>
      </c>
      <c r="N76" s="21" t="s">
        <v>1029</v>
      </c>
      <c r="O76" s="21" t="s">
        <v>1040</v>
      </c>
      <c r="P76" s="21" t="s">
        <v>1042</v>
      </c>
      <c r="Q76" s="15">
        <f>DATEDIF(I76,J76,"M")</f>
        <v>4</v>
      </c>
    </row>
    <row r="77" spans="1:34" s="21" customFormat="1" x14ac:dyDescent="0.3">
      <c r="A77" s="18" t="s">
        <v>1030</v>
      </c>
      <c r="B77" s="21" t="s">
        <v>56</v>
      </c>
      <c r="C77" s="21" t="s">
        <v>42</v>
      </c>
      <c r="D77" s="20">
        <v>6250172656</v>
      </c>
      <c r="E77" s="21" t="s">
        <v>988</v>
      </c>
      <c r="F77" s="21" t="s">
        <v>988</v>
      </c>
      <c r="G77" s="21" t="s">
        <v>1050</v>
      </c>
      <c r="H77" s="15" t="str">
        <f t="shared" si="1"/>
        <v>DANIEL GAWAT</v>
      </c>
      <c r="I77" s="16">
        <v>45962</v>
      </c>
      <c r="J77" s="16">
        <v>46082</v>
      </c>
      <c r="K77" s="20">
        <v>112.77</v>
      </c>
      <c r="L77" s="20">
        <v>0.9</v>
      </c>
      <c r="M77" s="20">
        <v>101.49</v>
      </c>
      <c r="N77" s="21" t="s">
        <v>1029</v>
      </c>
      <c r="O77" s="21" t="s">
        <v>1040</v>
      </c>
      <c r="P77" s="21" t="s">
        <v>1042</v>
      </c>
      <c r="Q77" s="15">
        <f>DATEDIF(I77,J77,"M")</f>
        <v>4</v>
      </c>
    </row>
    <row r="78" spans="1:34" s="21" customFormat="1" x14ac:dyDescent="0.3">
      <c r="A78" s="18">
        <v>7470776</v>
      </c>
      <c r="B78" s="21" t="s">
        <v>56</v>
      </c>
      <c r="C78" s="21" t="s">
        <v>42</v>
      </c>
      <c r="D78" s="20">
        <v>7250210310</v>
      </c>
      <c r="E78" s="21" t="s">
        <v>352</v>
      </c>
      <c r="F78" s="21" t="s">
        <v>352</v>
      </c>
      <c r="G78" s="21" t="s">
        <v>1104</v>
      </c>
      <c r="H78" s="15" t="str">
        <f t="shared" si="1"/>
        <v>TODD SMITH</v>
      </c>
      <c r="I78" s="16">
        <v>45986</v>
      </c>
      <c r="J78" s="16">
        <v>46106</v>
      </c>
      <c r="K78" s="20">
        <v>120.06</v>
      </c>
      <c r="L78" s="20">
        <v>0.94499999999999995</v>
      </c>
      <c r="M78" s="20">
        <v>113.46</v>
      </c>
      <c r="N78" s="21" t="s">
        <v>1028</v>
      </c>
      <c r="O78" s="21" t="s">
        <v>1040</v>
      </c>
      <c r="P78" s="21" t="s">
        <v>1042</v>
      </c>
      <c r="Q78" s="15">
        <f>DATEDIF(I78,J78,"M")</f>
        <v>4</v>
      </c>
    </row>
    <row r="79" spans="1:34" s="21" customFormat="1" x14ac:dyDescent="0.3">
      <c r="A79" s="18" t="s">
        <v>1030</v>
      </c>
      <c r="B79" s="21" t="s">
        <v>56</v>
      </c>
      <c r="C79" s="21" t="s">
        <v>42</v>
      </c>
      <c r="D79" s="20">
        <v>7250200941</v>
      </c>
      <c r="E79" s="21" t="s">
        <v>97</v>
      </c>
      <c r="F79" s="21" t="s">
        <v>97</v>
      </c>
      <c r="G79" s="21" t="s">
        <v>1081</v>
      </c>
      <c r="H79" s="15" t="str">
        <f t="shared" si="1"/>
        <v>MARY PURCELL</v>
      </c>
      <c r="I79" s="16">
        <v>45962</v>
      </c>
      <c r="J79" s="16">
        <v>46082</v>
      </c>
      <c r="K79" s="20">
        <v>101.6</v>
      </c>
      <c r="L79" s="20">
        <v>1.37</v>
      </c>
      <c r="M79" s="20">
        <v>139.19</v>
      </c>
      <c r="N79" s="21" t="s">
        <v>1027</v>
      </c>
      <c r="O79" s="21" t="s">
        <v>1040</v>
      </c>
      <c r="P79" s="21" t="s">
        <v>1042</v>
      </c>
      <c r="Q79" s="15">
        <f>DATEDIF(I79,J79,"M")</f>
        <v>4</v>
      </c>
    </row>
    <row r="80" spans="1:34" s="21" customFormat="1" x14ac:dyDescent="0.3">
      <c r="A80" s="18" t="s">
        <v>1030</v>
      </c>
      <c r="B80" s="21" t="s">
        <v>56</v>
      </c>
      <c r="C80" s="21" t="s">
        <v>42</v>
      </c>
      <c r="D80" s="20">
        <v>7250212961</v>
      </c>
      <c r="E80" s="21" t="s">
        <v>149</v>
      </c>
      <c r="F80" s="21" t="s">
        <v>149</v>
      </c>
      <c r="G80" s="21" t="s">
        <v>586</v>
      </c>
      <c r="H80" s="15" t="str">
        <f t="shared" si="1"/>
        <v>THOMAS KOSNIK</v>
      </c>
      <c r="I80" s="16">
        <v>45962</v>
      </c>
      <c r="J80" s="16">
        <v>46082</v>
      </c>
      <c r="K80" s="20">
        <v>102.26</v>
      </c>
      <c r="L80" s="20">
        <v>1.37</v>
      </c>
      <c r="M80" s="20">
        <v>140.1</v>
      </c>
      <c r="N80" s="21" t="s">
        <v>1027</v>
      </c>
      <c r="O80" s="21" t="s">
        <v>1040</v>
      </c>
      <c r="P80" s="21" t="s">
        <v>1042</v>
      </c>
      <c r="Q80" s="15">
        <f>DATEDIF(I80,J80,"M")</f>
        <v>4</v>
      </c>
    </row>
    <row r="81" spans="1:34" s="21" customFormat="1" x14ac:dyDescent="0.3">
      <c r="A81" s="18" t="s">
        <v>1030</v>
      </c>
      <c r="B81" s="21" t="s">
        <v>56</v>
      </c>
      <c r="C81" s="21" t="s">
        <v>42</v>
      </c>
      <c r="D81" s="20">
        <v>7250182527</v>
      </c>
      <c r="E81" s="21" t="s">
        <v>510</v>
      </c>
      <c r="F81" s="21" t="s">
        <v>554</v>
      </c>
      <c r="G81" s="21" t="s">
        <v>1105</v>
      </c>
      <c r="H81" s="15" t="str">
        <f t="shared" si="1"/>
        <v>BRENDA JOHNSON</v>
      </c>
      <c r="I81" s="16">
        <v>45974</v>
      </c>
      <c r="J81" s="16">
        <v>46094</v>
      </c>
      <c r="K81" s="20">
        <v>106.14</v>
      </c>
      <c r="L81" s="20">
        <v>1.37</v>
      </c>
      <c r="M81" s="20">
        <v>145.41</v>
      </c>
      <c r="N81" s="21" t="s">
        <v>1027</v>
      </c>
      <c r="O81" s="21" t="s">
        <v>1040</v>
      </c>
      <c r="P81" s="21" t="s">
        <v>1042</v>
      </c>
      <c r="Q81" s="15">
        <f>DATEDIF(I81,J81,"M")</f>
        <v>4</v>
      </c>
    </row>
    <row r="82" spans="1:34" s="21" customFormat="1" x14ac:dyDescent="0.3">
      <c r="A82" s="18" t="s">
        <v>1030</v>
      </c>
      <c r="B82" s="21" t="s">
        <v>56</v>
      </c>
      <c r="C82" s="21" t="s">
        <v>42</v>
      </c>
      <c r="D82" s="20">
        <v>7250197617</v>
      </c>
      <c r="E82" s="21" t="s">
        <v>600</v>
      </c>
      <c r="F82" s="21" t="s">
        <v>600</v>
      </c>
      <c r="G82" s="21" t="s">
        <v>1068</v>
      </c>
      <c r="H82" s="15" t="str">
        <f t="shared" si="1"/>
        <v>ROBERT WALEWANDER</v>
      </c>
      <c r="I82" s="16">
        <v>45962</v>
      </c>
      <c r="J82" s="16">
        <v>46082</v>
      </c>
      <c r="K82" s="20">
        <v>102</v>
      </c>
      <c r="L82" s="20">
        <v>1.37</v>
      </c>
      <c r="M82" s="20">
        <v>139.74</v>
      </c>
      <c r="N82" s="21" t="s">
        <v>1027</v>
      </c>
      <c r="O82" s="21" t="s">
        <v>1040</v>
      </c>
      <c r="P82" s="21" t="s">
        <v>1042</v>
      </c>
      <c r="Q82" s="15">
        <f>DATEDIF(I82,J82,"M")</f>
        <v>4</v>
      </c>
    </row>
    <row r="83" spans="1:34" s="21" customFormat="1" x14ac:dyDescent="0.3">
      <c r="A83" s="18" t="s">
        <v>1032</v>
      </c>
      <c r="B83" s="21" t="s">
        <v>167</v>
      </c>
      <c r="C83" s="21" t="s">
        <v>42</v>
      </c>
      <c r="D83" s="20">
        <v>7250228593</v>
      </c>
      <c r="E83" s="21" t="s">
        <v>169</v>
      </c>
      <c r="F83" s="21" t="s">
        <v>169</v>
      </c>
      <c r="G83" s="21" t="s">
        <v>1106</v>
      </c>
      <c r="H83" s="15" t="str">
        <f t="shared" si="1"/>
        <v>CARL BONAVOLANTO</v>
      </c>
      <c r="I83" s="16">
        <v>45983</v>
      </c>
      <c r="J83" s="16">
        <v>46103</v>
      </c>
      <c r="K83" s="20">
        <v>2.4700000000000002</v>
      </c>
      <c r="L83" s="20">
        <v>1.37</v>
      </c>
      <c r="M83" s="20">
        <v>3.38</v>
      </c>
      <c r="N83" s="21" t="s">
        <v>1027</v>
      </c>
      <c r="O83" s="21" t="s">
        <v>1040</v>
      </c>
      <c r="P83" s="21" t="s">
        <v>1042</v>
      </c>
      <c r="Q83" s="15">
        <f>DATEDIF(I83,J83,"M")</f>
        <v>4</v>
      </c>
      <c r="AH83" s="15"/>
    </row>
    <row r="84" spans="1:34" s="21" customFormat="1" x14ac:dyDescent="0.3">
      <c r="A84" s="18" t="s">
        <v>1032</v>
      </c>
      <c r="B84" s="21" t="s">
        <v>167</v>
      </c>
      <c r="C84" s="21" t="s">
        <v>42</v>
      </c>
      <c r="D84" s="20">
        <v>7250228593</v>
      </c>
      <c r="E84" s="21" t="s">
        <v>169</v>
      </c>
      <c r="F84" s="21" t="s">
        <v>169</v>
      </c>
      <c r="G84" s="21" t="s">
        <v>1106</v>
      </c>
      <c r="H84" s="15" t="str">
        <f t="shared" si="1"/>
        <v>CARL BONAVOLANTO</v>
      </c>
      <c r="I84" s="16">
        <v>45983</v>
      </c>
      <c r="J84" s="16">
        <v>46103</v>
      </c>
      <c r="K84" s="20">
        <v>73.2</v>
      </c>
      <c r="L84" s="20">
        <v>1.37</v>
      </c>
      <c r="M84" s="20">
        <v>100.28</v>
      </c>
      <c r="N84" s="21" t="s">
        <v>1027</v>
      </c>
      <c r="O84" s="21" t="s">
        <v>1040</v>
      </c>
      <c r="P84" s="21" t="s">
        <v>1042</v>
      </c>
      <c r="Q84" s="15">
        <f>DATEDIF(I84,J84,"M")</f>
        <v>4</v>
      </c>
      <c r="AH84" s="15"/>
    </row>
    <row r="85" spans="1:34" s="21" customFormat="1" x14ac:dyDescent="0.3">
      <c r="A85" s="18" t="s">
        <v>1035</v>
      </c>
      <c r="B85" s="21" t="s">
        <v>119</v>
      </c>
      <c r="C85" s="21" t="s">
        <v>42</v>
      </c>
      <c r="D85" s="20">
        <v>7250233926</v>
      </c>
      <c r="E85" s="21" t="s">
        <v>470</v>
      </c>
      <c r="F85" s="21" t="s">
        <v>470</v>
      </c>
      <c r="G85" s="21" t="s">
        <v>1107</v>
      </c>
      <c r="H85" s="15" t="str">
        <f t="shared" si="1"/>
        <v>DEBRA VOLPENDESTA</v>
      </c>
      <c r="I85" s="16">
        <v>45980</v>
      </c>
      <c r="J85" s="16">
        <v>46100</v>
      </c>
      <c r="K85" s="20">
        <v>45.75</v>
      </c>
      <c r="L85" s="20">
        <v>1.37</v>
      </c>
      <c r="M85" s="20">
        <v>62.68</v>
      </c>
      <c r="N85" s="21" t="s">
        <v>1027</v>
      </c>
      <c r="O85" s="21" t="s">
        <v>1040</v>
      </c>
      <c r="P85" s="21" t="s">
        <v>1042</v>
      </c>
      <c r="Q85" s="15">
        <f>DATEDIF(I85,J85,"M")</f>
        <v>4</v>
      </c>
      <c r="AH85" s="15"/>
    </row>
    <row r="86" spans="1:34" s="21" customFormat="1" x14ac:dyDescent="0.3">
      <c r="A86" s="18" t="s">
        <v>1030</v>
      </c>
      <c r="B86" s="21" t="s">
        <v>56</v>
      </c>
      <c r="C86" s="21" t="s">
        <v>42</v>
      </c>
      <c r="D86" s="20">
        <v>7250183624</v>
      </c>
      <c r="E86" s="21" t="s">
        <v>640</v>
      </c>
      <c r="F86" s="21" t="s">
        <v>640</v>
      </c>
      <c r="G86" s="21" t="s">
        <v>1108</v>
      </c>
      <c r="H86" s="15" t="str">
        <f t="shared" si="1"/>
        <v>SARANTOS THEODORAKAKIS</v>
      </c>
      <c r="I86" s="16">
        <v>45955</v>
      </c>
      <c r="J86" s="16">
        <v>46106</v>
      </c>
      <c r="K86" s="20">
        <v>112.68</v>
      </c>
      <c r="L86" s="20">
        <v>1.37</v>
      </c>
      <c r="M86" s="20">
        <v>154.37</v>
      </c>
      <c r="N86" s="21" t="s">
        <v>1027</v>
      </c>
      <c r="O86" s="21" t="s">
        <v>1040</v>
      </c>
      <c r="P86" s="21" t="s">
        <v>1042</v>
      </c>
      <c r="Q86" s="15">
        <f>DATEDIF(I86,J86,"M")</f>
        <v>5</v>
      </c>
    </row>
    <row r="87" spans="1:34" s="21" customFormat="1" x14ac:dyDescent="0.3">
      <c r="A87" s="18" t="s">
        <v>1030</v>
      </c>
      <c r="B87" s="21" t="s">
        <v>56</v>
      </c>
      <c r="C87" s="21" t="s">
        <v>42</v>
      </c>
      <c r="D87" s="20">
        <v>7250184227</v>
      </c>
      <c r="E87" s="21" t="s">
        <v>751</v>
      </c>
      <c r="F87" s="21" t="s">
        <v>751</v>
      </c>
      <c r="G87" s="21" t="s">
        <v>1109</v>
      </c>
      <c r="H87" s="15" t="str">
        <f t="shared" si="1"/>
        <v>RENEE PANATTONI</v>
      </c>
      <c r="I87" s="16">
        <v>45955</v>
      </c>
      <c r="J87" s="16">
        <v>46106</v>
      </c>
      <c r="K87" s="20">
        <v>91</v>
      </c>
      <c r="L87" s="20">
        <v>1.37</v>
      </c>
      <c r="M87" s="20">
        <v>124.67</v>
      </c>
      <c r="N87" s="21" t="s">
        <v>1027</v>
      </c>
      <c r="O87" s="21" t="s">
        <v>1040</v>
      </c>
      <c r="P87" s="21" t="s">
        <v>1042</v>
      </c>
      <c r="Q87" s="15">
        <f>DATEDIF(I87,J87,"M")</f>
        <v>5</v>
      </c>
    </row>
    <row r="88" spans="1:34" s="21" customFormat="1" x14ac:dyDescent="0.3">
      <c r="A88" s="18" t="s">
        <v>1030</v>
      </c>
      <c r="B88" s="21" t="s">
        <v>56</v>
      </c>
      <c r="C88" s="21" t="s">
        <v>42</v>
      </c>
      <c r="D88" s="20">
        <v>7250183661</v>
      </c>
      <c r="E88" s="21" t="s">
        <v>640</v>
      </c>
      <c r="F88" s="21" t="s">
        <v>640</v>
      </c>
      <c r="G88" s="21" t="s">
        <v>1110</v>
      </c>
      <c r="H88" s="15" t="str">
        <f t="shared" si="1"/>
        <v>GEORGIA THEODORAKAKIS</v>
      </c>
      <c r="I88" s="16">
        <v>45955</v>
      </c>
      <c r="J88" s="16">
        <v>46106</v>
      </c>
      <c r="K88" s="20">
        <v>110.16</v>
      </c>
      <c r="L88" s="20">
        <v>1.37</v>
      </c>
      <c r="M88" s="20">
        <v>150.91999999999999</v>
      </c>
      <c r="N88" s="21" t="s">
        <v>1027</v>
      </c>
      <c r="O88" s="21" t="s">
        <v>1040</v>
      </c>
      <c r="P88" s="21" t="s">
        <v>1042</v>
      </c>
      <c r="Q88" s="15">
        <f>DATEDIF(I88,J88,"M")</f>
        <v>5</v>
      </c>
    </row>
    <row r="89" spans="1:34" s="21" customFormat="1" x14ac:dyDescent="0.3">
      <c r="A89" s="18" t="s">
        <v>1030</v>
      </c>
      <c r="B89" s="21" t="s">
        <v>56</v>
      </c>
      <c r="C89" s="21" t="s">
        <v>42</v>
      </c>
      <c r="D89" s="20">
        <v>7250151538</v>
      </c>
      <c r="E89" s="21" t="s">
        <v>492</v>
      </c>
      <c r="F89" s="21" t="s">
        <v>492</v>
      </c>
      <c r="G89" s="21" t="s">
        <v>1100</v>
      </c>
      <c r="H89" s="15" t="str">
        <f t="shared" si="1"/>
        <v>LAURA BLASCO</v>
      </c>
      <c r="I89" s="16">
        <v>45901</v>
      </c>
      <c r="J89" s="16">
        <v>46082</v>
      </c>
      <c r="K89" s="20">
        <v>102.64</v>
      </c>
      <c r="L89" s="20">
        <v>1.37</v>
      </c>
      <c r="M89" s="20">
        <v>140.62</v>
      </c>
      <c r="N89" s="21" t="s">
        <v>1027</v>
      </c>
      <c r="O89" s="21" t="s">
        <v>1040</v>
      </c>
      <c r="P89" s="21" t="s">
        <v>1042</v>
      </c>
      <c r="Q89" s="15">
        <f>DATEDIF(I89,J89,"M")</f>
        <v>6</v>
      </c>
    </row>
    <row r="90" spans="1:34" s="21" customFormat="1" x14ac:dyDescent="0.3">
      <c r="A90" s="18" t="s">
        <v>1030</v>
      </c>
      <c r="B90" s="21" t="s">
        <v>56</v>
      </c>
      <c r="C90" s="21" t="s">
        <v>42</v>
      </c>
      <c r="D90" s="20">
        <v>7250158819</v>
      </c>
      <c r="E90" s="21" t="s">
        <v>694</v>
      </c>
      <c r="F90" s="21" t="s">
        <v>694</v>
      </c>
      <c r="G90" s="21" t="s">
        <v>1111</v>
      </c>
      <c r="H90" s="15" t="str">
        <f t="shared" si="1"/>
        <v>DAVIS SASAKI</v>
      </c>
      <c r="I90" s="16">
        <v>45925</v>
      </c>
      <c r="J90" s="16">
        <v>46106</v>
      </c>
      <c r="K90" s="20">
        <v>130</v>
      </c>
      <c r="L90" s="20">
        <v>1.37</v>
      </c>
      <c r="M90" s="20">
        <v>178.1</v>
      </c>
      <c r="N90" s="21" t="s">
        <v>1027</v>
      </c>
      <c r="O90" s="21" t="s">
        <v>1040</v>
      </c>
      <c r="P90" s="21" t="s">
        <v>1042</v>
      </c>
      <c r="Q90" s="15">
        <f>DATEDIF(I90,J90,"M")</f>
        <v>6</v>
      </c>
    </row>
    <row r="91" spans="1:34" s="21" customFormat="1" x14ac:dyDescent="0.3">
      <c r="A91" s="18" t="s">
        <v>1033</v>
      </c>
      <c r="B91" s="21" t="s">
        <v>228</v>
      </c>
      <c r="C91" s="21" t="s">
        <v>42</v>
      </c>
      <c r="D91" s="20">
        <v>7250163636</v>
      </c>
      <c r="E91" s="21" t="s">
        <v>230</v>
      </c>
      <c r="F91" s="21" t="s">
        <v>230</v>
      </c>
      <c r="G91" s="21" t="s">
        <v>1112</v>
      </c>
      <c r="H91" s="15" t="str">
        <f t="shared" si="1"/>
        <v>SHAMIRAN KOMA</v>
      </c>
      <c r="I91" s="16">
        <v>45902</v>
      </c>
      <c r="J91" s="16">
        <v>46083</v>
      </c>
      <c r="K91" s="20">
        <v>268.2</v>
      </c>
      <c r="L91" s="20">
        <v>1.37</v>
      </c>
      <c r="M91" s="20">
        <v>367.43</v>
      </c>
      <c r="N91" s="21" t="s">
        <v>1027</v>
      </c>
      <c r="O91" s="21" t="s">
        <v>1040</v>
      </c>
      <c r="P91" s="21" t="s">
        <v>1042</v>
      </c>
      <c r="Q91" s="15">
        <f>DATEDIF(I91,J91,"M")</f>
        <v>6</v>
      </c>
    </row>
    <row r="92" spans="1:34" s="21" customFormat="1" x14ac:dyDescent="0.3">
      <c r="A92" s="18" t="s">
        <v>1035</v>
      </c>
      <c r="B92" s="21" t="s">
        <v>119</v>
      </c>
      <c r="C92" s="21" t="s">
        <v>42</v>
      </c>
      <c r="D92" s="20">
        <v>7250170272</v>
      </c>
      <c r="E92" s="21" t="s">
        <v>321</v>
      </c>
      <c r="F92" s="21" t="s">
        <v>321</v>
      </c>
      <c r="G92" s="21" t="s">
        <v>1113</v>
      </c>
      <c r="H92" s="15" t="str">
        <f t="shared" si="1"/>
        <v>JOSEPH WALKER</v>
      </c>
      <c r="I92" s="16">
        <v>45916</v>
      </c>
      <c r="J92" s="16">
        <v>46097</v>
      </c>
      <c r="K92" s="20">
        <v>86.32</v>
      </c>
      <c r="L92" s="20">
        <v>1.37</v>
      </c>
      <c r="M92" s="20">
        <v>118.26</v>
      </c>
      <c r="N92" s="21" t="s">
        <v>1027</v>
      </c>
      <c r="O92" s="21" t="s">
        <v>1040</v>
      </c>
      <c r="P92" s="21" t="s">
        <v>1042</v>
      </c>
      <c r="Q92" s="15">
        <f>DATEDIF(I92,J92,"M")</f>
        <v>6</v>
      </c>
      <c r="AH92" s="15"/>
    </row>
    <row r="93" spans="1:34" s="21" customFormat="1" x14ac:dyDescent="0.3">
      <c r="A93" s="18" t="s">
        <v>1030</v>
      </c>
      <c r="B93" s="21" t="s">
        <v>56</v>
      </c>
      <c r="C93" s="21" t="s">
        <v>42</v>
      </c>
      <c r="D93" s="20">
        <v>6250121740</v>
      </c>
      <c r="E93" s="21" t="s">
        <v>834</v>
      </c>
      <c r="F93" s="21" t="s">
        <v>834</v>
      </c>
      <c r="G93" s="21" t="s">
        <v>1114</v>
      </c>
      <c r="H93" s="15" t="str">
        <f t="shared" si="1"/>
        <v>SANDRA KRAMER</v>
      </c>
      <c r="I93" s="16">
        <v>45870</v>
      </c>
      <c r="J93" s="16">
        <v>46082</v>
      </c>
      <c r="K93" s="20">
        <v>76.53</v>
      </c>
      <c r="L93" s="20">
        <v>0.9</v>
      </c>
      <c r="M93" s="20">
        <v>68.88</v>
      </c>
      <c r="N93" s="21" t="s">
        <v>1029</v>
      </c>
      <c r="O93" s="21" t="s">
        <v>1040</v>
      </c>
      <c r="P93" s="21" t="s">
        <v>1042</v>
      </c>
      <c r="Q93" s="15">
        <f>DATEDIF(I93,J93,"M")</f>
        <v>7</v>
      </c>
    </row>
    <row r="94" spans="1:34" s="21" customFormat="1" x14ac:dyDescent="0.3">
      <c r="A94" s="18" t="s">
        <v>1030</v>
      </c>
      <c r="B94" s="21" t="s">
        <v>56</v>
      </c>
      <c r="C94" s="21" t="s">
        <v>42</v>
      </c>
      <c r="D94" s="20">
        <v>7250135854</v>
      </c>
      <c r="E94" s="21" t="s">
        <v>379</v>
      </c>
      <c r="F94" s="21" t="s">
        <v>379</v>
      </c>
      <c r="G94" s="21" t="s">
        <v>1115</v>
      </c>
      <c r="H94" s="15" t="str">
        <f t="shared" si="1"/>
        <v>KATHLEEN KAPPELMAN</v>
      </c>
      <c r="I94" s="16">
        <v>45897</v>
      </c>
      <c r="J94" s="16">
        <v>46109</v>
      </c>
      <c r="K94" s="20">
        <v>86.4</v>
      </c>
      <c r="L94" s="20">
        <v>0.94499999999999995</v>
      </c>
      <c r="M94" s="20">
        <v>81.650000000000006</v>
      </c>
      <c r="N94" s="21" t="s">
        <v>1028</v>
      </c>
      <c r="O94" s="21" t="s">
        <v>1040</v>
      </c>
      <c r="P94" s="21" t="s">
        <v>1042</v>
      </c>
      <c r="Q94" s="15">
        <f>DATEDIF(I94,J94,"M")</f>
        <v>7</v>
      </c>
    </row>
    <row r="95" spans="1:34" s="21" customFormat="1" x14ac:dyDescent="0.3">
      <c r="A95" s="18" t="s">
        <v>1030</v>
      </c>
      <c r="B95" s="21" t="s">
        <v>56</v>
      </c>
      <c r="C95" s="21" t="s">
        <v>42</v>
      </c>
      <c r="D95" s="20">
        <v>7250123977</v>
      </c>
      <c r="E95" s="21" t="s">
        <v>856</v>
      </c>
      <c r="F95" s="21" t="s">
        <v>856</v>
      </c>
      <c r="G95" s="21" t="s">
        <v>1116</v>
      </c>
      <c r="H95" s="15" t="str">
        <f t="shared" si="1"/>
        <v>RAYMOND SPASO</v>
      </c>
      <c r="I95" s="16">
        <v>45870</v>
      </c>
      <c r="J95" s="16">
        <v>46082</v>
      </c>
      <c r="K95" s="20">
        <v>102.96</v>
      </c>
      <c r="L95" s="20">
        <v>1.37</v>
      </c>
      <c r="M95" s="20">
        <v>141.06</v>
      </c>
      <c r="N95" s="21" t="s">
        <v>1027</v>
      </c>
      <c r="O95" s="21" t="s">
        <v>1040</v>
      </c>
      <c r="P95" s="21" t="s">
        <v>1042</v>
      </c>
      <c r="Q95" s="15">
        <f>DATEDIF(I95,J95,"M")</f>
        <v>7</v>
      </c>
    </row>
    <row r="96" spans="1:34" s="21" customFormat="1" x14ac:dyDescent="0.3">
      <c r="A96" s="18" t="s">
        <v>1030</v>
      </c>
      <c r="B96" s="21" t="s">
        <v>56</v>
      </c>
      <c r="C96" s="21" t="s">
        <v>42</v>
      </c>
      <c r="D96" s="20">
        <v>7250124322</v>
      </c>
      <c r="E96" s="21" t="s">
        <v>856</v>
      </c>
      <c r="F96" s="21" t="s">
        <v>856</v>
      </c>
      <c r="G96" s="21" t="s">
        <v>1117</v>
      </c>
      <c r="H96" s="15" t="str">
        <f t="shared" si="1"/>
        <v>NOEL SPASO</v>
      </c>
      <c r="I96" s="16">
        <v>45870</v>
      </c>
      <c r="J96" s="16">
        <v>46082</v>
      </c>
      <c r="K96" s="20">
        <v>97.54</v>
      </c>
      <c r="L96" s="20">
        <v>1.37</v>
      </c>
      <c r="M96" s="20">
        <v>133.63</v>
      </c>
      <c r="N96" s="21" t="s">
        <v>1027</v>
      </c>
      <c r="O96" s="21" t="s">
        <v>1040</v>
      </c>
      <c r="P96" s="21" t="s">
        <v>1042</v>
      </c>
      <c r="Q96" s="15">
        <f>DATEDIF(I96,J96,"M")</f>
        <v>7</v>
      </c>
    </row>
    <row r="97" spans="1:34" s="21" customFormat="1" x14ac:dyDescent="0.3">
      <c r="A97" s="18" t="s">
        <v>1036</v>
      </c>
      <c r="B97" s="21" t="s">
        <v>810</v>
      </c>
      <c r="C97" s="21" t="s">
        <v>42</v>
      </c>
      <c r="D97" s="20">
        <v>6250134171</v>
      </c>
      <c r="E97" s="21" t="s">
        <v>812</v>
      </c>
      <c r="F97" s="21" t="s">
        <v>812</v>
      </c>
      <c r="G97" s="21" t="s">
        <v>1118</v>
      </c>
      <c r="H97" s="15" t="str">
        <f t="shared" si="1"/>
        <v>ZACHARY OUTLAW</v>
      </c>
      <c r="I97" s="16">
        <v>45897</v>
      </c>
      <c r="J97" s="16">
        <v>46109</v>
      </c>
      <c r="K97" s="20">
        <v>78.58</v>
      </c>
      <c r="L97" s="20">
        <v>0.9</v>
      </c>
      <c r="M97" s="20">
        <v>70.72</v>
      </c>
      <c r="N97" s="21" t="s">
        <v>1029</v>
      </c>
      <c r="O97" s="21" t="s">
        <v>1040</v>
      </c>
      <c r="P97" s="21" t="s">
        <v>1042</v>
      </c>
      <c r="Q97" s="15">
        <f>DATEDIF(I97,J97,"M")</f>
        <v>7</v>
      </c>
    </row>
    <row r="98" spans="1:34" s="21" customFormat="1" x14ac:dyDescent="0.3">
      <c r="A98" s="18" t="s">
        <v>1030</v>
      </c>
      <c r="B98" s="21" t="s">
        <v>56</v>
      </c>
      <c r="C98" s="21" t="s">
        <v>42</v>
      </c>
      <c r="D98" s="20">
        <v>7250121607</v>
      </c>
      <c r="E98" s="21" t="s">
        <v>58</v>
      </c>
      <c r="F98" s="21" t="s">
        <v>58</v>
      </c>
      <c r="G98" s="21" t="s">
        <v>1119</v>
      </c>
      <c r="H98" s="15" t="str">
        <f t="shared" si="1"/>
        <v>JANAN REYNA</v>
      </c>
      <c r="I98" s="16">
        <v>45866</v>
      </c>
      <c r="J98" s="16">
        <v>46109</v>
      </c>
      <c r="K98" s="20">
        <v>108.25</v>
      </c>
      <c r="L98" s="20">
        <v>1.37</v>
      </c>
      <c r="M98" s="20">
        <v>148.30000000000001</v>
      </c>
      <c r="N98" s="21" t="s">
        <v>1027</v>
      </c>
      <c r="O98" s="21" t="s">
        <v>1040</v>
      </c>
      <c r="P98" s="21" t="s">
        <v>1042</v>
      </c>
      <c r="Q98" s="15">
        <f>DATEDIF(I98,J98,"M")</f>
        <v>8</v>
      </c>
    </row>
    <row r="99" spans="1:34" s="21" customFormat="1" x14ac:dyDescent="0.3">
      <c r="A99" s="18">
        <v>7470776</v>
      </c>
      <c r="B99" s="21" t="s">
        <v>56</v>
      </c>
      <c r="C99" s="21" t="s">
        <v>42</v>
      </c>
      <c r="D99" s="20">
        <v>7250130383</v>
      </c>
      <c r="E99" s="21" t="s">
        <v>283</v>
      </c>
      <c r="F99" s="21" t="s">
        <v>283</v>
      </c>
      <c r="G99" s="21" t="s">
        <v>1052</v>
      </c>
      <c r="H99" s="15" t="str">
        <f t="shared" si="1"/>
        <v>JAMES PATER</v>
      </c>
      <c r="I99" s="16">
        <v>45861</v>
      </c>
      <c r="J99" s="16">
        <v>46104</v>
      </c>
      <c r="K99" s="20">
        <v>151.88999999999999</v>
      </c>
      <c r="L99" s="20">
        <v>1.37</v>
      </c>
      <c r="M99" s="20">
        <v>208.09</v>
      </c>
      <c r="N99" s="21" t="s">
        <v>1027</v>
      </c>
      <c r="O99" s="21" t="s">
        <v>1040</v>
      </c>
      <c r="P99" s="21" t="s">
        <v>1042</v>
      </c>
      <c r="Q99" s="15">
        <f>DATEDIF(I99,J99,"M")</f>
        <v>8</v>
      </c>
    </row>
    <row r="100" spans="1:34" s="21" customFormat="1" x14ac:dyDescent="0.3">
      <c r="A100" s="18" t="s">
        <v>1035</v>
      </c>
      <c r="B100" s="21" t="s">
        <v>119</v>
      </c>
      <c r="C100" s="21" t="s">
        <v>42</v>
      </c>
      <c r="D100" s="20">
        <v>7250125384</v>
      </c>
      <c r="E100" s="21" t="s">
        <v>677</v>
      </c>
      <c r="F100" s="21" t="s">
        <v>677</v>
      </c>
      <c r="G100" s="21" t="s">
        <v>1080</v>
      </c>
      <c r="H100" s="15" t="str">
        <f t="shared" si="1"/>
        <v>LINDA GARZA</v>
      </c>
      <c r="I100" s="16">
        <v>45854</v>
      </c>
      <c r="J100" s="16">
        <v>46097</v>
      </c>
      <c r="K100" s="20">
        <v>113.28</v>
      </c>
      <c r="L100" s="20">
        <v>1.37</v>
      </c>
      <c r="M100" s="20">
        <v>155.19</v>
      </c>
      <c r="N100" s="21" t="s">
        <v>1027</v>
      </c>
      <c r="O100" s="21" t="s">
        <v>1040</v>
      </c>
      <c r="P100" s="21" t="s">
        <v>1042</v>
      </c>
      <c r="Q100" s="15">
        <f>DATEDIF(I100,J100,"M")</f>
        <v>8</v>
      </c>
      <c r="AH100" s="15"/>
    </row>
    <row r="101" spans="1:34" s="21" customFormat="1" x14ac:dyDescent="0.3">
      <c r="A101" s="18" t="s">
        <v>1034</v>
      </c>
      <c r="B101" s="21" t="s">
        <v>240</v>
      </c>
      <c r="C101" s="21" t="s">
        <v>42</v>
      </c>
      <c r="D101" s="20">
        <v>6250111822</v>
      </c>
      <c r="E101" s="21" t="s">
        <v>242</v>
      </c>
      <c r="F101" s="21" t="s">
        <v>242</v>
      </c>
      <c r="G101" s="21" t="s">
        <v>1120</v>
      </c>
      <c r="H101" s="15" t="str">
        <f t="shared" si="1"/>
        <v>KEVIN DALY</v>
      </c>
      <c r="I101" s="16">
        <v>45852</v>
      </c>
      <c r="J101" s="16">
        <v>46095</v>
      </c>
      <c r="K101" s="20">
        <v>140.27000000000001</v>
      </c>
      <c r="L101" s="20">
        <v>0.9</v>
      </c>
      <c r="M101" s="20">
        <v>126.24</v>
      </c>
      <c r="N101" s="21" t="s">
        <v>1029</v>
      </c>
      <c r="O101" s="21" t="s">
        <v>1040</v>
      </c>
      <c r="P101" s="21" t="s">
        <v>1041</v>
      </c>
      <c r="Q101" s="15">
        <f>DATEDIF(I101,J101,"M")</f>
        <v>8</v>
      </c>
      <c r="AH101" s="15"/>
    </row>
    <row r="102" spans="1:34" s="21" customFormat="1" x14ac:dyDescent="0.3">
      <c r="A102" s="18" t="s">
        <v>1030</v>
      </c>
      <c r="B102" s="21" t="s">
        <v>56</v>
      </c>
      <c r="C102" s="21" t="s">
        <v>42</v>
      </c>
      <c r="D102" s="20">
        <v>7250104789</v>
      </c>
      <c r="E102" s="21" t="s">
        <v>153</v>
      </c>
      <c r="F102" s="21" t="s">
        <v>153</v>
      </c>
      <c r="G102" s="21" t="s">
        <v>1121</v>
      </c>
      <c r="H102" s="15" t="str">
        <f t="shared" si="1"/>
        <v>HEIDI NUTTLE</v>
      </c>
      <c r="I102" s="16">
        <v>45834</v>
      </c>
      <c r="J102" s="16">
        <v>46107</v>
      </c>
      <c r="K102" s="20">
        <v>99.86</v>
      </c>
      <c r="L102" s="20">
        <v>1.37</v>
      </c>
      <c r="M102" s="20">
        <v>136.81</v>
      </c>
      <c r="N102" s="21" t="s">
        <v>1027</v>
      </c>
      <c r="O102" s="21" t="s">
        <v>1040</v>
      </c>
      <c r="P102" s="21" t="s">
        <v>1041</v>
      </c>
      <c r="Q102" s="15">
        <f>DATEDIF(I102,J102,"M")</f>
        <v>9</v>
      </c>
    </row>
    <row r="103" spans="1:34" s="21" customFormat="1" x14ac:dyDescent="0.3">
      <c r="A103" s="18" t="s">
        <v>1030</v>
      </c>
      <c r="B103" s="21" t="s">
        <v>56</v>
      </c>
      <c r="C103" s="21" t="s">
        <v>42</v>
      </c>
      <c r="D103" s="20">
        <v>7250096963</v>
      </c>
      <c r="E103" s="21" t="s">
        <v>552</v>
      </c>
      <c r="F103" s="21" t="s">
        <v>552</v>
      </c>
      <c r="G103" s="21" t="s">
        <v>1122</v>
      </c>
      <c r="H103" s="15" t="str">
        <f t="shared" si="1"/>
        <v>GREGORY DURAY</v>
      </c>
      <c r="I103" s="16">
        <v>45834</v>
      </c>
      <c r="J103" s="16">
        <v>46107</v>
      </c>
      <c r="K103" s="20">
        <v>102</v>
      </c>
      <c r="L103" s="20">
        <v>1.37</v>
      </c>
      <c r="M103" s="20">
        <v>139.74</v>
      </c>
      <c r="N103" s="21" t="s">
        <v>1027</v>
      </c>
      <c r="O103" s="21" t="s">
        <v>1040</v>
      </c>
      <c r="P103" s="21" t="s">
        <v>1041</v>
      </c>
      <c r="Q103" s="15">
        <f>DATEDIF(I103,J103,"M")</f>
        <v>9</v>
      </c>
    </row>
    <row r="104" spans="1:34" s="21" customFormat="1" x14ac:dyDescent="0.3">
      <c r="A104" s="18" t="s">
        <v>1030</v>
      </c>
      <c r="B104" s="21" t="s">
        <v>56</v>
      </c>
      <c r="C104" s="21" t="s">
        <v>42</v>
      </c>
      <c r="D104" s="20">
        <v>7250102505</v>
      </c>
      <c r="E104" s="21" t="s">
        <v>557</v>
      </c>
      <c r="F104" s="21" t="s">
        <v>557</v>
      </c>
      <c r="G104" s="21" t="s">
        <v>1076</v>
      </c>
      <c r="H104" s="15" t="str">
        <f t="shared" si="1"/>
        <v>MARK MILLER</v>
      </c>
      <c r="I104" s="16">
        <v>45834</v>
      </c>
      <c r="J104" s="16">
        <v>46107</v>
      </c>
      <c r="K104" s="20">
        <v>93.78</v>
      </c>
      <c r="L104" s="20">
        <v>1.37</v>
      </c>
      <c r="M104" s="20">
        <v>128.47999999999999</v>
      </c>
      <c r="N104" s="21" t="s">
        <v>1027</v>
      </c>
      <c r="O104" s="21" t="s">
        <v>1040</v>
      </c>
      <c r="P104" s="21" t="s">
        <v>1041</v>
      </c>
      <c r="Q104" s="15">
        <f>DATEDIF(I104,J104,"M")</f>
        <v>9</v>
      </c>
    </row>
    <row r="105" spans="1:34" s="21" customFormat="1" x14ac:dyDescent="0.3">
      <c r="A105" s="18" t="s">
        <v>1030</v>
      </c>
      <c r="B105" s="21" t="s">
        <v>56</v>
      </c>
      <c r="C105" s="21" t="s">
        <v>42</v>
      </c>
      <c r="D105" s="20">
        <v>7250097140</v>
      </c>
      <c r="E105" s="21" t="s">
        <v>552</v>
      </c>
      <c r="F105" s="21" t="s">
        <v>552</v>
      </c>
      <c r="G105" s="21" t="s">
        <v>1048</v>
      </c>
      <c r="H105" s="15" t="str">
        <f t="shared" si="1"/>
        <v>JUDITH DURAY</v>
      </c>
      <c r="I105" s="16">
        <v>45834</v>
      </c>
      <c r="J105" s="16">
        <v>46107</v>
      </c>
      <c r="K105" s="20">
        <v>98</v>
      </c>
      <c r="L105" s="20">
        <v>1.37</v>
      </c>
      <c r="M105" s="20">
        <v>134.26</v>
      </c>
      <c r="N105" s="21" t="s">
        <v>1027</v>
      </c>
      <c r="O105" s="21" t="s">
        <v>1040</v>
      </c>
      <c r="P105" s="21" t="s">
        <v>1041</v>
      </c>
      <c r="Q105" s="15">
        <f>DATEDIF(I105,J105,"M")</f>
        <v>9</v>
      </c>
    </row>
    <row r="106" spans="1:34" s="21" customFormat="1" x14ac:dyDescent="0.3">
      <c r="A106" s="18" t="s">
        <v>1030</v>
      </c>
      <c r="B106" s="21" t="s">
        <v>56</v>
      </c>
      <c r="C106" s="21" t="s">
        <v>42</v>
      </c>
      <c r="D106" s="20">
        <v>7250097410</v>
      </c>
      <c r="E106" s="21" t="s">
        <v>699</v>
      </c>
      <c r="F106" s="21" t="s">
        <v>699</v>
      </c>
      <c r="G106" s="21" t="s">
        <v>1123</v>
      </c>
      <c r="H106" s="15" t="str">
        <f t="shared" si="1"/>
        <v>KIMBERLY NOWAKOWSKI</v>
      </c>
      <c r="I106" s="16">
        <v>45834</v>
      </c>
      <c r="J106" s="16">
        <v>46107</v>
      </c>
      <c r="K106" s="20">
        <v>102</v>
      </c>
      <c r="L106" s="20">
        <v>1.37</v>
      </c>
      <c r="M106" s="20">
        <v>139.74</v>
      </c>
      <c r="N106" s="21" t="s">
        <v>1027</v>
      </c>
      <c r="O106" s="21" t="s">
        <v>1040</v>
      </c>
      <c r="P106" s="21" t="s">
        <v>1041</v>
      </c>
      <c r="Q106" s="15">
        <f>DATEDIF(I106,J106,"M")</f>
        <v>9</v>
      </c>
    </row>
    <row r="107" spans="1:34" s="21" customFormat="1" x14ac:dyDescent="0.3">
      <c r="A107" s="18" t="s">
        <v>1030</v>
      </c>
      <c r="B107" s="21" t="s">
        <v>56</v>
      </c>
      <c r="C107" s="21" t="s">
        <v>42</v>
      </c>
      <c r="D107" s="20">
        <v>7250094626</v>
      </c>
      <c r="E107" s="21" t="s">
        <v>767</v>
      </c>
      <c r="F107" s="21" t="s">
        <v>767</v>
      </c>
      <c r="G107" s="21" t="s">
        <v>1124</v>
      </c>
      <c r="H107" s="15" t="str">
        <f t="shared" si="1"/>
        <v>KATHY ROSS</v>
      </c>
      <c r="I107" s="16">
        <v>45834</v>
      </c>
      <c r="J107" s="16">
        <v>46107</v>
      </c>
      <c r="K107" s="20">
        <v>95</v>
      </c>
      <c r="L107" s="20">
        <v>1.37</v>
      </c>
      <c r="M107" s="20">
        <v>130.15</v>
      </c>
      <c r="N107" s="21" t="s">
        <v>1027</v>
      </c>
      <c r="O107" s="21" t="s">
        <v>1040</v>
      </c>
      <c r="P107" s="21" t="s">
        <v>1041</v>
      </c>
      <c r="Q107" s="15">
        <f>DATEDIF(I107,J107,"M")</f>
        <v>9</v>
      </c>
    </row>
    <row r="108" spans="1:34" s="21" customFormat="1" x14ac:dyDescent="0.3">
      <c r="A108" s="18" t="s">
        <v>1030</v>
      </c>
      <c r="B108" s="21" t="s">
        <v>56</v>
      </c>
      <c r="C108" s="21" t="s">
        <v>42</v>
      </c>
      <c r="D108" s="20">
        <v>7250110087</v>
      </c>
      <c r="E108" s="21" t="s">
        <v>949</v>
      </c>
      <c r="F108" s="21" t="s">
        <v>949</v>
      </c>
      <c r="G108" s="21" t="s">
        <v>1125</v>
      </c>
      <c r="H108" s="15" t="str">
        <f t="shared" si="1"/>
        <v>DONG KIM</v>
      </c>
      <c r="I108" s="16">
        <v>45834</v>
      </c>
      <c r="J108" s="16">
        <v>46107</v>
      </c>
      <c r="K108" s="20">
        <v>72.680000000000007</v>
      </c>
      <c r="L108" s="20">
        <v>1.37</v>
      </c>
      <c r="M108" s="20">
        <v>99.57</v>
      </c>
      <c r="N108" s="21" t="s">
        <v>1027</v>
      </c>
      <c r="O108" s="21" t="s">
        <v>1040</v>
      </c>
      <c r="P108" s="21" t="s">
        <v>1041</v>
      </c>
      <c r="Q108" s="15">
        <f>DATEDIF(I108,J108,"M")</f>
        <v>9</v>
      </c>
    </row>
    <row r="109" spans="1:34" s="21" customFormat="1" x14ac:dyDescent="0.3">
      <c r="A109" s="18" t="s">
        <v>1030</v>
      </c>
      <c r="B109" s="21" t="s">
        <v>56</v>
      </c>
      <c r="C109" s="21" t="s">
        <v>42</v>
      </c>
      <c r="D109" s="20">
        <v>7250070948</v>
      </c>
      <c r="E109" s="21" t="s">
        <v>953</v>
      </c>
      <c r="F109" s="21" t="s">
        <v>953</v>
      </c>
      <c r="G109" s="21" t="s">
        <v>1126</v>
      </c>
      <c r="H109" s="15" t="str">
        <f t="shared" si="1"/>
        <v>RANDOLPH DICKSON</v>
      </c>
      <c r="I109" s="16">
        <v>45809</v>
      </c>
      <c r="J109" s="16">
        <v>46082</v>
      </c>
      <c r="K109" s="20">
        <v>75.98</v>
      </c>
      <c r="L109" s="20">
        <v>1.37</v>
      </c>
      <c r="M109" s="20">
        <v>104.09</v>
      </c>
      <c r="N109" s="21" t="s">
        <v>1027</v>
      </c>
      <c r="O109" s="21" t="s">
        <v>1040</v>
      </c>
      <c r="P109" s="21" t="s">
        <v>1041</v>
      </c>
      <c r="Q109" s="15">
        <f>DATEDIF(I109,J109,"M")</f>
        <v>9</v>
      </c>
    </row>
    <row r="110" spans="1:34" s="21" customFormat="1" x14ac:dyDescent="0.3">
      <c r="A110" s="18">
        <v>7470776</v>
      </c>
      <c r="B110" s="21" t="s">
        <v>56</v>
      </c>
      <c r="C110" s="21" t="s">
        <v>42</v>
      </c>
      <c r="D110" s="20">
        <v>7250059859</v>
      </c>
      <c r="E110" s="21" t="s">
        <v>224</v>
      </c>
      <c r="F110" s="21" t="s">
        <v>224</v>
      </c>
      <c r="G110" s="21" t="s">
        <v>1101</v>
      </c>
      <c r="H110" s="15" t="str">
        <f t="shared" si="1"/>
        <v>CHRISTINE HIVON</v>
      </c>
      <c r="I110" s="16">
        <v>45778</v>
      </c>
      <c r="J110" s="16">
        <v>46082</v>
      </c>
      <c r="K110" s="20">
        <v>92.91</v>
      </c>
      <c r="L110" s="20">
        <v>1.37</v>
      </c>
      <c r="M110" s="20">
        <v>127.29</v>
      </c>
      <c r="N110" s="21" t="s">
        <v>1027</v>
      </c>
      <c r="O110" s="21" t="s">
        <v>1040</v>
      </c>
      <c r="P110" s="21" t="s">
        <v>1041</v>
      </c>
      <c r="Q110" s="15">
        <f>DATEDIF(I110,J110,"M")</f>
        <v>10</v>
      </c>
    </row>
    <row r="111" spans="1:34" s="21" customFormat="1" x14ac:dyDescent="0.3">
      <c r="A111" s="18">
        <v>7470776</v>
      </c>
      <c r="B111" s="21" t="s">
        <v>56</v>
      </c>
      <c r="C111" s="21" t="s">
        <v>42</v>
      </c>
      <c r="D111" s="20">
        <v>7250060334</v>
      </c>
      <c r="E111" s="21" t="s">
        <v>224</v>
      </c>
      <c r="F111" s="21" t="s">
        <v>224</v>
      </c>
      <c r="G111" s="21" t="s">
        <v>1076</v>
      </c>
      <c r="H111" s="15" t="str">
        <f t="shared" si="1"/>
        <v>MARK HIVON</v>
      </c>
      <c r="I111" s="16">
        <v>45778</v>
      </c>
      <c r="J111" s="16">
        <v>46082</v>
      </c>
      <c r="K111" s="20">
        <v>91</v>
      </c>
      <c r="L111" s="20">
        <v>1.37</v>
      </c>
      <c r="M111" s="20">
        <v>124.67</v>
      </c>
      <c r="N111" s="21" t="s">
        <v>1027</v>
      </c>
      <c r="O111" s="21" t="s">
        <v>1040</v>
      </c>
      <c r="P111" s="21" t="s">
        <v>1041</v>
      </c>
      <c r="Q111" s="15">
        <f>DATEDIF(I111,J111,"M")</f>
        <v>10</v>
      </c>
    </row>
    <row r="112" spans="1:34" s="21" customFormat="1" x14ac:dyDescent="0.3">
      <c r="A112" s="18" t="s">
        <v>1030</v>
      </c>
      <c r="B112" s="21" t="s">
        <v>56</v>
      </c>
      <c r="C112" s="21" t="s">
        <v>42</v>
      </c>
      <c r="D112" s="20">
        <v>7250081390</v>
      </c>
      <c r="E112" s="21" t="s">
        <v>949</v>
      </c>
      <c r="F112" s="21" t="s">
        <v>949</v>
      </c>
      <c r="G112" s="21" t="s">
        <v>1071</v>
      </c>
      <c r="H112" s="15" t="str">
        <f t="shared" si="1"/>
        <v>JOHN KIM</v>
      </c>
      <c r="I112" s="16">
        <v>45805</v>
      </c>
      <c r="J112" s="16">
        <v>46109</v>
      </c>
      <c r="K112" s="20">
        <v>91.94</v>
      </c>
      <c r="L112" s="20">
        <v>1.37</v>
      </c>
      <c r="M112" s="20">
        <v>125.96</v>
      </c>
      <c r="N112" s="21" t="s">
        <v>1027</v>
      </c>
      <c r="O112" s="21" t="s">
        <v>1040</v>
      </c>
      <c r="P112" s="21" t="s">
        <v>1041</v>
      </c>
      <c r="Q112" s="15">
        <f>DATEDIF(I112,J112,"M")</f>
        <v>10</v>
      </c>
    </row>
    <row r="113" spans="1:34" s="21" customFormat="1" x14ac:dyDescent="0.3">
      <c r="A113" s="18">
        <v>7470776</v>
      </c>
      <c r="B113" s="21" t="s">
        <v>56</v>
      </c>
      <c r="C113" s="21" t="s">
        <v>42</v>
      </c>
      <c r="D113" s="20">
        <v>7250031045</v>
      </c>
      <c r="E113" s="21" t="s">
        <v>440</v>
      </c>
      <c r="F113" s="21" t="s">
        <v>440</v>
      </c>
      <c r="G113" s="21" t="s">
        <v>1127</v>
      </c>
      <c r="H113" s="15" t="str">
        <f t="shared" si="1"/>
        <v>THERESA REMIAS</v>
      </c>
      <c r="I113" s="16">
        <v>45748</v>
      </c>
      <c r="J113" s="16">
        <v>46082</v>
      </c>
      <c r="K113" s="20">
        <v>101.78</v>
      </c>
      <c r="L113" s="20">
        <v>1.37</v>
      </c>
      <c r="M113" s="20">
        <v>139.44</v>
      </c>
      <c r="N113" s="21" t="s">
        <v>1027</v>
      </c>
      <c r="O113" s="21" t="s">
        <v>1040</v>
      </c>
      <c r="P113" s="21" t="s">
        <v>1041</v>
      </c>
      <c r="Q113" s="15">
        <f>DATEDIF(I113,J113,"M")</f>
        <v>11</v>
      </c>
    </row>
    <row r="114" spans="1:34" s="21" customFormat="1" x14ac:dyDescent="0.3">
      <c r="A114" s="18">
        <v>7470776</v>
      </c>
      <c r="B114" s="21" t="s">
        <v>56</v>
      </c>
      <c r="C114" s="21" t="s">
        <v>42</v>
      </c>
      <c r="D114" s="20">
        <v>7250037352</v>
      </c>
      <c r="E114" s="21" t="s">
        <v>536</v>
      </c>
      <c r="F114" s="21" t="s">
        <v>536</v>
      </c>
      <c r="G114" s="21" t="s">
        <v>1128</v>
      </c>
      <c r="H114" s="15" t="str">
        <f t="shared" si="1"/>
        <v>JEAN WEISS</v>
      </c>
      <c r="I114" s="16">
        <v>45748</v>
      </c>
      <c r="J114" s="16">
        <v>46082</v>
      </c>
      <c r="K114" s="20">
        <v>101.26</v>
      </c>
      <c r="L114" s="20">
        <v>1.37</v>
      </c>
      <c r="M114" s="20">
        <v>138.72999999999999</v>
      </c>
      <c r="N114" s="21" t="s">
        <v>1027</v>
      </c>
      <c r="O114" s="21" t="s">
        <v>1040</v>
      </c>
      <c r="P114" s="21" t="s">
        <v>1041</v>
      </c>
      <c r="Q114" s="15">
        <f>DATEDIF(I114,J114,"M")</f>
        <v>11</v>
      </c>
    </row>
    <row r="115" spans="1:34" s="21" customFormat="1" x14ac:dyDescent="0.3">
      <c r="A115" s="18">
        <v>7470776</v>
      </c>
      <c r="B115" s="21" t="s">
        <v>56</v>
      </c>
      <c r="C115" s="21" t="s">
        <v>42</v>
      </c>
      <c r="D115" s="20">
        <v>7250037369</v>
      </c>
      <c r="E115" s="21" t="s">
        <v>536</v>
      </c>
      <c r="F115" s="21" t="s">
        <v>536</v>
      </c>
      <c r="G115" s="21" t="s">
        <v>1129</v>
      </c>
      <c r="H115" s="15" t="str">
        <f t="shared" si="1"/>
        <v>CRAIG WEISS</v>
      </c>
      <c r="I115" s="16">
        <v>45748</v>
      </c>
      <c r="J115" s="16">
        <v>46082</v>
      </c>
      <c r="K115" s="20">
        <v>103.78</v>
      </c>
      <c r="L115" s="20">
        <v>1.37</v>
      </c>
      <c r="M115" s="20">
        <v>142.18</v>
      </c>
      <c r="N115" s="21" t="s">
        <v>1027</v>
      </c>
      <c r="O115" s="21" t="s">
        <v>1040</v>
      </c>
      <c r="P115" s="21" t="s">
        <v>1041</v>
      </c>
      <c r="Q115" s="15">
        <f>DATEDIF(I115,J115,"M")</f>
        <v>11</v>
      </c>
    </row>
    <row r="116" spans="1:34" s="21" customFormat="1" x14ac:dyDescent="0.3">
      <c r="A116" s="18">
        <v>16912722</v>
      </c>
      <c r="B116" s="21" t="s">
        <v>213</v>
      </c>
      <c r="C116" s="21" t="s">
        <v>42</v>
      </c>
      <c r="D116" s="20">
        <v>7250052846</v>
      </c>
      <c r="E116" s="21" t="s">
        <v>215</v>
      </c>
      <c r="F116" s="21" t="s">
        <v>215</v>
      </c>
      <c r="G116" s="21" t="s">
        <v>1130</v>
      </c>
      <c r="H116" s="15" t="str">
        <f t="shared" si="1"/>
        <v>ANDREA CLIENT</v>
      </c>
      <c r="I116" s="16">
        <v>45752</v>
      </c>
      <c r="J116" s="16">
        <v>46086</v>
      </c>
      <c r="K116" s="20">
        <v>95.23</v>
      </c>
      <c r="L116" s="20">
        <v>1.37</v>
      </c>
      <c r="M116" s="20">
        <v>130.47</v>
      </c>
      <c r="N116" s="21" t="s">
        <v>1027</v>
      </c>
      <c r="O116" s="21" t="s">
        <v>1040</v>
      </c>
      <c r="P116" s="21" t="s">
        <v>1041</v>
      </c>
      <c r="Q116" s="15">
        <f>DATEDIF(I116,J116,"M")</f>
        <v>11</v>
      </c>
    </row>
    <row r="117" spans="1:34" s="21" customFormat="1" x14ac:dyDescent="0.3">
      <c r="A117" s="18">
        <v>8325282</v>
      </c>
      <c r="B117" s="21" t="s">
        <v>119</v>
      </c>
      <c r="C117" s="21" t="s">
        <v>42</v>
      </c>
      <c r="D117" s="20">
        <v>7250043503</v>
      </c>
      <c r="E117" s="21" t="s">
        <v>743</v>
      </c>
      <c r="F117" s="21" t="s">
        <v>743</v>
      </c>
      <c r="G117" s="21" t="s">
        <v>1056</v>
      </c>
      <c r="H117" s="15" t="str">
        <f t="shared" si="1"/>
        <v>ANTHONY SCIARRONE</v>
      </c>
      <c r="I117" s="16">
        <v>45748</v>
      </c>
      <c r="J117" s="16">
        <v>46082</v>
      </c>
      <c r="K117" s="20">
        <v>125.22</v>
      </c>
      <c r="L117" s="20">
        <v>1.37</v>
      </c>
      <c r="M117" s="20">
        <v>171.55</v>
      </c>
      <c r="N117" s="21" t="s">
        <v>1027</v>
      </c>
      <c r="O117" s="21" t="s">
        <v>1040</v>
      </c>
      <c r="P117" s="21" t="s">
        <v>1041</v>
      </c>
      <c r="Q117" s="15">
        <f>DATEDIF(I117,J117,"M")</f>
        <v>11</v>
      </c>
      <c r="AH117" s="15"/>
    </row>
    <row r="118" spans="1:34" s="21" customFormat="1" x14ac:dyDescent="0.3">
      <c r="A118" s="18">
        <v>7470776</v>
      </c>
      <c r="B118" s="21" t="s">
        <v>56</v>
      </c>
      <c r="C118" s="21" t="s">
        <v>42</v>
      </c>
      <c r="D118" s="20">
        <v>7250026367</v>
      </c>
      <c r="E118" s="21" t="s">
        <v>174</v>
      </c>
      <c r="F118" s="21" t="s">
        <v>174</v>
      </c>
      <c r="G118" s="21" t="s">
        <v>1131</v>
      </c>
      <c r="H118" s="15" t="str">
        <f t="shared" si="1"/>
        <v>DENNIS CONNERY</v>
      </c>
      <c r="I118" s="16">
        <v>45716</v>
      </c>
      <c r="J118" s="16">
        <v>46109</v>
      </c>
      <c r="K118" s="20">
        <v>93.3</v>
      </c>
      <c r="L118" s="20">
        <v>2.75E-2</v>
      </c>
      <c r="M118" s="20">
        <v>2.57</v>
      </c>
      <c r="N118" s="21" t="s">
        <v>1028</v>
      </c>
      <c r="O118" s="21" t="s">
        <v>1040</v>
      </c>
      <c r="P118" s="21" t="s">
        <v>1041</v>
      </c>
      <c r="Q118" s="15">
        <f>DATEDIF(I118,J118,"M")</f>
        <v>13</v>
      </c>
    </row>
    <row r="119" spans="1:34" s="21" customFormat="1" x14ac:dyDescent="0.3">
      <c r="A119" s="18">
        <v>7470776</v>
      </c>
      <c r="B119" s="21" t="s">
        <v>56</v>
      </c>
      <c r="C119" s="21" t="s">
        <v>42</v>
      </c>
      <c r="D119" s="20">
        <v>7250001863</v>
      </c>
      <c r="E119" s="21" t="s">
        <v>300</v>
      </c>
      <c r="F119" s="21" t="s">
        <v>300</v>
      </c>
      <c r="G119" s="21" t="s">
        <v>1132</v>
      </c>
      <c r="H119" s="15" t="str">
        <f t="shared" si="1"/>
        <v>JERRY SHIPKIN</v>
      </c>
      <c r="I119" s="16">
        <v>45689</v>
      </c>
      <c r="J119" s="16">
        <v>46082</v>
      </c>
      <c r="K119" s="20">
        <v>113.8</v>
      </c>
      <c r="L119" s="20">
        <v>2.75E-2</v>
      </c>
      <c r="M119" s="20">
        <v>3.13</v>
      </c>
      <c r="N119" s="21" t="s">
        <v>1028</v>
      </c>
      <c r="O119" s="21" t="s">
        <v>1040</v>
      </c>
      <c r="P119" s="21" t="s">
        <v>1041</v>
      </c>
      <c r="Q119" s="15">
        <f>DATEDIF(I119,J119,"M")</f>
        <v>13</v>
      </c>
    </row>
    <row r="120" spans="1:34" s="21" customFormat="1" x14ac:dyDescent="0.3">
      <c r="A120" s="18">
        <v>7470776</v>
      </c>
      <c r="B120" s="21" t="s">
        <v>56</v>
      </c>
      <c r="C120" s="21" t="s">
        <v>42</v>
      </c>
      <c r="D120" s="20">
        <v>7250000354</v>
      </c>
      <c r="E120" s="21" t="s">
        <v>388</v>
      </c>
      <c r="F120" s="21" t="s">
        <v>388</v>
      </c>
      <c r="G120" s="21" t="s">
        <v>1077</v>
      </c>
      <c r="H120" s="15" t="str">
        <f t="shared" si="1"/>
        <v>RICHARD SCHULD</v>
      </c>
      <c r="I120" s="16">
        <v>45689</v>
      </c>
      <c r="J120" s="16">
        <v>46082</v>
      </c>
      <c r="K120" s="20">
        <v>113.46</v>
      </c>
      <c r="L120" s="20">
        <v>0.06</v>
      </c>
      <c r="M120" s="20">
        <v>6.81</v>
      </c>
      <c r="N120" s="21" t="s">
        <v>1027</v>
      </c>
      <c r="O120" s="21" t="s">
        <v>1040</v>
      </c>
      <c r="P120" s="21" t="s">
        <v>1041</v>
      </c>
      <c r="Q120" s="15">
        <f>DATEDIF(I120,J120,"M")</f>
        <v>13</v>
      </c>
    </row>
    <row r="121" spans="1:34" s="21" customFormat="1" x14ac:dyDescent="0.3">
      <c r="A121" s="18">
        <v>7470776</v>
      </c>
      <c r="B121" s="21" t="s">
        <v>56</v>
      </c>
      <c r="C121" s="21" t="s">
        <v>42</v>
      </c>
      <c r="D121" s="20">
        <v>7250006451</v>
      </c>
      <c r="E121" s="21" t="s">
        <v>548</v>
      </c>
      <c r="F121" s="21" t="s">
        <v>548</v>
      </c>
      <c r="G121" s="21" t="s">
        <v>1133</v>
      </c>
      <c r="H121" s="15" t="str">
        <f t="shared" si="1"/>
        <v>JEFFERY FORSBERG</v>
      </c>
      <c r="I121" s="16">
        <v>45689</v>
      </c>
      <c r="J121" s="16">
        <v>46082</v>
      </c>
      <c r="K121" s="20">
        <v>102.3</v>
      </c>
      <c r="L121" s="20">
        <v>0.06</v>
      </c>
      <c r="M121" s="20">
        <v>6.14</v>
      </c>
      <c r="N121" s="21" t="s">
        <v>1027</v>
      </c>
      <c r="O121" s="21" t="s">
        <v>1040</v>
      </c>
      <c r="P121" s="21" t="s">
        <v>1041</v>
      </c>
      <c r="Q121" s="15">
        <f>DATEDIF(I121,J121,"M")</f>
        <v>13</v>
      </c>
    </row>
    <row r="122" spans="1:34" s="21" customFormat="1" x14ac:dyDescent="0.3">
      <c r="A122" s="18">
        <v>7470776</v>
      </c>
      <c r="B122" s="21" t="s">
        <v>56</v>
      </c>
      <c r="C122" s="21" t="s">
        <v>42</v>
      </c>
      <c r="D122" s="20">
        <v>7250001892</v>
      </c>
      <c r="E122" s="21" t="s">
        <v>300</v>
      </c>
      <c r="F122" s="21" t="s">
        <v>300</v>
      </c>
      <c r="G122" s="21" t="s">
        <v>1134</v>
      </c>
      <c r="H122" s="15" t="str">
        <f t="shared" si="1"/>
        <v>ISABELLA SHIPKIN</v>
      </c>
      <c r="I122" s="16">
        <v>45689</v>
      </c>
      <c r="J122" s="16">
        <v>46082</v>
      </c>
      <c r="K122" s="20">
        <v>112.73</v>
      </c>
      <c r="L122" s="20">
        <v>0.06</v>
      </c>
      <c r="M122" s="20">
        <v>6.76</v>
      </c>
      <c r="N122" s="21" t="s">
        <v>1027</v>
      </c>
      <c r="O122" s="21" t="s">
        <v>1040</v>
      </c>
      <c r="P122" s="21" t="s">
        <v>1041</v>
      </c>
      <c r="Q122" s="15">
        <f>DATEDIF(I122,J122,"M")</f>
        <v>13</v>
      </c>
    </row>
    <row r="123" spans="1:34" s="21" customFormat="1" x14ac:dyDescent="0.3">
      <c r="A123" s="18">
        <v>7470776</v>
      </c>
      <c r="B123" s="21" t="s">
        <v>56</v>
      </c>
      <c r="C123" s="21" t="s">
        <v>42</v>
      </c>
      <c r="D123" s="20">
        <v>7240123973</v>
      </c>
      <c r="E123" s="21" t="s">
        <v>90</v>
      </c>
      <c r="F123" s="21" t="s">
        <v>90</v>
      </c>
      <c r="G123" s="21" t="s">
        <v>1043</v>
      </c>
      <c r="H123" s="15" t="str">
        <f t="shared" si="1"/>
        <v>MICHAEL LOVE</v>
      </c>
      <c r="I123" s="16">
        <v>45663</v>
      </c>
      <c r="J123" s="16">
        <v>46087</v>
      </c>
      <c r="K123" s="20">
        <v>85.91</v>
      </c>
      <c r="L123" s="20">
        <v>2.75E-2</v>
      </c>
      <c r="M123" s="20">
        <v>2.36</v>
      </c>
      <c r="N123" s="21" t="s">
        <v>1028</v>
      </c>
      <c r="O123" s="21" t="s">
        <v>1040</v>
      </c>
      <c r="P123" s="21" t="s">
        <v>1041</v>
      </c>
      <c r="Q123" s="15">
        <f>DATEDIF(I123,J123,"M")</f>
        <v>14</v>
      </c>
    </row>
    <row r="124" spans="1:34" s="21" customFormat="1" x14ac:dyDescent="0.3">
      <c r="A124" s="18">
        <v>7470776</v>
      </c>
      <c r="B124" s="21" t="s">
        <v>56</v>
      </c>
      <c r="C124" s="21" t="s">
        <v>42</v>
      </c>
      <c r="D124" s="20">
        <v>7240122471</v>
      </c>
      <c r="E124" s="21" t="s">
        <v>395</v>
      </c>
      <c r="F124" s="21" t="s">
        <v>395</v>
      </c>
      <c r="G124" s="21" t="s">
        <v>1135</v>
      </c>
      <c r="H124" s="15" t="str">
        <f t="shared" si="1"/>
        <v>SHARON KARPIEL</v>
      </c>
      <c r="I124" s="16">
        <v>45658</v>
      </c>
      <c r="J124" s="16">
        <v>46082</v>
      </c>
      <c r="K124" s="20">
        <v>80.959999999999994</v>
      </c>
      <c r="L124" s="20">
        <v>2.75E-2</v>
      </c>
      <c r="M124" s="20">
        <v>2.23</v>
      </c>
      <c r="N124" s="21" t="s">
        <v>1028</v>
      </c>
      <c r="O124" s="21" t="s">
        <v>1040</v>
      </c>
      <c r="P124" s="21" t="s">
        <v>1041</v>
      </c>
      <c r="Q124" s="15">
        <f>DATEDIF(I124,J124,"M")</f>
        <v>14</v>
      </c>
    </row>
    <row r="125" spans="1:34" s="21" customFormat="1" x14ac:dyDescent="0.3">
      <c r="A125" s="18">
        <v>7470776</v>
      </c>
      <c r="B125" s="21" t="s">
        <v>56</v>
      </c>
      <c r="C125" s="21" t="s">
        <v>42</v>
      </c>
      <c r="D125" s="20">
        <v>7240123968</v>
      </c>
      <c r="E125" s="21" t="s">
        <v>90</v>
      </c>
      <c r="F125" s="21" t="s">
        <v>90</v>
      </c>
      <c r="G125" s="21" t="s">
        <v>1136</v>
      </c>
      <c r="H125" s="15" t="str">
        <f t="shared" si="1"/>
        <v>MAXINE LOVE</v>
      </c>
      <c r="I125" s="16">
        <v>45663</v>
      </c>
      <c r="J125" s="16">
        <v>46087</v>
      </c>
      <c r="K125" s="20">
        <v>80.34</v>
      </c>
      <c r="L125" s="20">
        <v>2.75E-2</v>
      </c>
      <c r="M125" s="20">
        <v>2.21</v>
      </c>
      <c r="N125" s="21" t="s">
        <v>1028</v>
      </c>
      <c r="O125" s="21" t="s">
        <v>1040</v>
      </c>
      <c r="P125" s="21" t="s">
        <v>1041</v>
      </c>
      <c r="Q125" s="15">
        <f>DATEDIF(I125,J125,"M")</f>
        <v>14</v>
      </c>
    </row>
    <row r="126" spans="1:34" s="21" customFormat="1" x14ac:dyDescent="0.3">
      <c r="A126" s="18">
        <v>7470776</v>
      </c>
      <c r="B126" s="21" t="s">
        <v>56</v>
      </c>
      <c r="C126" s="21" t="s">
        <v>42</v>
      </c>
      <c r="D126" s="20">
        <v>7240129740</v>
      </c>
      <c r="E126" s="21" t="s">
        <v>888</v>
      </c>
      <c r="F126" s="21" t="s">
        <v>888</v>
      </c>
      <c r="G126" s="21" t="s">
        <v>1137</v>
      </c>
      <c r="H126" s="15" t="str">
        <f t="shared" si="1"/>
        <v>TAMARA RODRIGUEZ</v>
      </c>
      <c r="I126" s="16">
        <v>45658</v>
      </c>
      <c r="J126" s="16">
        <v>46082</v>
      </c>
      <c r="K126" s="20">
        <v>132.1</v>
      </c>
      <c r="L126" s="20">
        <v>2.75E-2</v>
      </c>
      <c r="M126" s="20">
        <v>3.63</v>
      </c>
      <c r="N126" s="21" t="s">
        <v>1028</v>
      </c>
      <c r="O126" s="21" t="s">
        <v>1040</v>
      </c>
      <c r="P126" s="21" t="s">
        <v>1041</v>
      </c>
      <c r="Q126" s="15">
        <f>DATEDIF(I126,J126,"M")</f>
        <v>14</v>
      </c>
    </row>
    <row r="127" spans="1:34" s="21" customFormat="1" x14ac:dyDescent="0.3">
      <c r="A127" s="18">
        <v>7470776</v>
      </c>
      <c r="B127" s="21" t="s">
        <v>56</v>
      </c>
      <c r="C127" s="21" t="s">
        <v>42</v>
      </c>
      <c r="D127" s="20">
        <v>7240119914</v>
      </c>
      <c r="E127" s="21" t="s">
        <v>188</v>
      </c>
      <c r="F127" s="21" t="s">
        <v>188</v>
      </c>
      <c r="G127" s="21" t="s">
        <v>1138</v>
      </c>
      <c r="H127" s="15" t="str">
        <f t="shared" si="1"/>
        <v>ESTER JACKSON</v>
      </c>
      <c r="I127" s="16">
        <v>45658</v>
      </c>
      <c r="J127" s="16">
        <v>46082</v>
      </c>
      <c r="K127" s="20">
        <v>78.099999999999994</v>
      </c>
      <c r="L127" s="20">
        <v>0.06</v>
      </c>
      <c r="M127" s="20">
        <v>4.6900000000000004</v>
      </c>
      <c r="N127" s="21" t="s">
        <v>1027</v>
      </c>
      <c r="O127" s="21" t="s">
        <v>1040</v>
      </c>
      <c r="P127" s="21" t="s">
        <v>1041</v>
      </c>
      <c r="Q127" s="15">
        <f>DATEDIF(I127,J127,"M")</f>
        <v>14</v>
      </c>
    </row>
    <row r="128" spans="1:34" s="21" customFormat="1" x14ac:dyDescent="0.3">
      <c r="A128" s="18">
        <v>7470776</v>
      </c>
      <c r="B128" s="21" t="s">
        <v>56</v>
      </c>
      <c r="C128" s="21" t="s">
        <v>42</v>
      </c>
      <c r="D128" s="20">
        <v>7240122461</v>
      </c>
      <c r="E128" s="21" t="s">
        <v>247</v>
      </c>
      <c r="F128" s="21" t="s">
        <v>247</v>
      </c>
      <c r="G128" s="21" t="s">
        <v>1139</v>
      </c>
      <c r="H128" s="15" t="str">
        <f t="shared" si="1"/>
        <v>PHYLLIS PHELPS</v>
      </c>
      <c r="I128" s="16">
        <v>45658</v>
      </c>
      <c r="J128" s="16">
        <v>46082</v>
      </c>
      <c r="K128" s="20">
        <v>81.52</v>
      </c>
      <c r="L128" s="20">
        <v>0.06</v>
      </c>
      <c r="M128" s="20">
        <v>4.8899999999999997</v>
      </c>
      <c r="N128" s="21" t="s">
        <v>1027</v>
      </c>
      <c r="O128" s="21" t="s">
        <v>1040</v>
      </c>
      <c r="P128" s="21" t="s">
        <v>1041</v>
      </c>
      <c r="Q128" s="15">
        <f>DATEDIF(I128,J128,"M")</f>
        <v>14</v>
      </c>
    </row>
    <row r="129" spans="1:17" s="21" customFormat="1" x14ac:dyDescent="0.3">
      <c r="A129" s="18">
        <v>7470776</v>
      </c>
      <c r="B129" s="21" t="s">
        <v>56</v>
      </c>
      <c r="C129" s="21" t="s">
        <v>42</v>
      </c>
      <c r="D129" s="20">
        <v>7240122077</v>
      </c>
      <c r="E129" s="21" t="s">
        <v>255</v>
      </c>
      <c r="F129" s="21" t="s">
        <v>255</v>
      </c>
      <c r="G129" s="21" t="s">
        <v>1140</v>
      </c>
      <c r="H129" s="15" t="str">
        <f t="shared" si="1"/>
        <v>JOSEPHINE STOCKER</v>
      </c>
      <c r="I129" s="16">
        <v>45658</v>
      </c>
      <c r="J129" s="16">
        <v>46082</v>
      </c>
      <c r="K129" s="20">
        <v>96.3</v>
      </c>
      <c r="L129" s="20">
        <v>0.06</v>
      </c>
      <c r="M129" s="20">
        <v>5.78</v>
      </c>
      <c r="N129" s="21" t="s">
        <v>1027</v>
      </c>
      <c r="O129" s="21" t="s">
        <v>1040</v>
      </c>
      <c r="P129" s="21" t="s">
        <v>1041</v>
      </c>
      <c r="Q129" s="15">
        <f>DATEDIF(I129,J129,"M")</f>
        <v>14</v>
      </c>
    </row>
    <row r="130" spans="1:17" s="21" customFormat="1" x14ac:dyDescent="0.3">
      <c r="A130" s="18">
        <v>7470776</v>
      </c>
      <c r="B130" s="21" t="s">
        <v>56</v>
      </c>
      <c r="C130" s="21" t="s">
        <v>42</v>
      </c>
      <c r="D130" s="20">
        <v>7240122919</v>
      </c>
      <c r="E130" s="21" t="s">
        <v>195</v>
      </c>
      <c r="F130" s="21" t="s">
        <v>195</v>
      </c>
      <c r="G130" s="21" t="s">
        <v>1141</v>
      </c>
      <c r="H130" s="15" t="str">
        <f t="shared" si="1"/>
        <v>ROGER CARROLL</v>
      </c>
      <c r="I130" s="16">
        <v>45658</v>
      </c>
      <c r="J130" s="16">
        <v>46082</v>
      </c>
      <c r="K130" s="20">
        <v>73.790000000000006</v>
      </c>
      <c r="L130" s="20">
        <v>0.06</v>
      </c>
      <c r="M130" s="20">
        <v>4.43</v>
      </c>
      <c r="N130" s="21" t="s">
        <v>1027</v>
      </c>
      <c r="O130" s="21" t="s">
        <v>1040</v>
      </c>
      <c r="P130" s="21" t="s">
        <v>1041</v>
      </c>
      <c r="Q130" s="15">
        <f>DATEDIF(I130,J130,"M")</f>
        <v>14</v>
      </c>
    </row>
    <row r="131" spans="1:17" s="21" customFormat="1" x14ac:dyDescent="0.3">
      <c r="A131" s="18">
        <v>7470776</v>
      </c>
      <c r="B131" s="21" t="s">
        <v>56</v>
      </c>
      <c r="C131" s="21" t="s">
        <v>42</v>
      </c>
      <c r="D131" s="20">
        <v>7240126463</v>
      </c>
      <c r="E131" s="21" t="s">
        <v>573</v>
      </c>
      <c r="F131" s="21" t="s">
        <v>573</v>
      </c>
      <c r="G131" s="21" t="s">
        <v>1142</v>
      </c>
      <c r="H131" s="15" t="str">
        <f t="shared" ref="H131:H194" si="2">_xlfn.CONCAT(G131, " ",F131)</f>
        <v>ALAN PIRHOFER</v>
      </c>
      <c r="I131" s="16">
        <v>45658</v>
      </c>
      <c r="J131" s="16">
        <v>46082</v>
      </c>
      <c r="K131" s="20">
        <v>92.65</v>
      </c>
      <c r="L131" s="20">
        <v>0.06</v>
      </c>
      <c r="M131" s="20">
        <v>5.56</v>
      </c>
      <c r="N131" s="21" t="s">
        <v>1027</v>
      </c>
      <c r="O131" s="21" t="s">
        <v>1040</v>
      </c>
      <c r="P131" s="21" t="s">
        <v>1041</v>
      </c>
      <c r="Q131" s="15">
        <f>DATEDIF(I131,J131,"M")</f>
        <v>14</v>
      </c>
    </row>
    <row r="132" spans="1:17" s="21" customFormat="1" x14ac:dyDescent="0.3">
      <c r="A132" s="18">
        <v>7470776</v>
      </c>
      <c r="B132" s="21" t="s">
        <v>56</v>
      </c>
      <c r="C132" s="21" t="s">
        <v>42</v>
      </c>
      <c r="D132" s="20">
        <v>7240121167</v>
      </c>
      <c r="E132" s="21" t="s">
        <v>645</v>
      </c>
      <c r="F132" s="21" t="s">
        <v>645</v>
      </c>
      <c r="G132" s="21" t="s">
        <v>1143</v>
      </c>
      <c r="H132" s="15" t="str">
        <f t="shared" si="2"/>
        <v>CATHY HEIN</v>
      </c>
      <c r="I132" s="16">
        <v>45658</v>
      </c>
      <c r="J132" s="16">
        <v>46082</v>
      </c>
      <c r="K132" s="20">
        <v>98.46</v>
      </c>
      <c r="L132" s="20">
        <v>0.06</v>
      </c>
      <c r="M132" s="20">
        <v>5.91</v>
      </c>
      <c r="N132" s="21" t="s">
        <v>1027</v>
      </c>
      <c r="O132" s="21" t="s">
        <v>1040</v>
      </c>
      <c r="P132" s="21" t="s">
        <v>1041</v>
      </c>
      <c r="Q132" s="15">
        <f>DATEDIF(I132,J132,"M")</f>
        <v>14</v>
      </c>
    </row>
    <row r="133" spans="1:17" s="21" customFormat="1" x14ac:dyDescent="0.3">
      <c r="A133" s="18">
        <v>7470776</v>
      </c>
      <c r="B133" s="21" t="s">
        <v>56</v>
      </c>
      <c r="C133" s="21" t="s">
        <v>42</v>
      </c>
      <c r="D133" s="20">
        <v>7240125223</v>
      </c>
      <c r="E133" s="21" t="s">
        <v>363</v>
      </c>
      <c r="F133" s="21" t="s">
        <v>363</v>
      </c>
      <c r="G133" s="21" t="s">
        <v>586</v>
      </c>
      <c r="H133" s="15" t="str">
        <f t="shared" si="2"/>
        <v>THOMAS MASELLA</v>
      </c>
      <c r="I133" s="16">
        <v>45658</v>
      </c>
      <c r="J133" s="16">
        <v>46082</v>
      </c>
      <c r="K133" s="20">
        <v>88.23</v>
      </c>
      <c r="L133" s="20">
        <v>0.06</v>
      </c>
      <c r="M133" s="20">
        <v>5.29</v>
      </c>
      <c r="N133" s="21" t="s">
        <v>1027</v>
      </c>
      <c r="O133" s="21" t="s">
        <v>1040</v>
      </c>
      <c r="P133" s="21" t="s">
        <v>1041</v>
      </c>
      <c r="Q133" s="15">
        <f>DATEDIF(I133,J133,"M")</f>
        <v>14</v>
      </c>
    </row>
    <row r="134" spans="1:17" s="21" customFormat="1" x14ac:dyDescent="0.3">
      <c r="A134" s="18">
        <v>7470776</v>
      </c>
      <c r="B134" s="21" t="s">
        <v>56</v>
      </c>
      <c r="C134" s="21" t="s">
        <v>42</v>
      </c>
      <c r="D134" s="20">
        <v>7240121170</v>
      </c>
      <c r="E134" s="21" t="s">
        <v>806</v>
      </c>
      <c r="F134" s="21" t="s">
        <v>806</v>
      </c>
      <c r="G134" s="21" t="s">
        <v>1144</v>
      </c>
      <c r="H134" s="15" t="str">
        <f t="shared" si="2"/>
        <v>MEIRION TOBIAS</v>
      </c>
      <c r="I134" s="16">
        <v>45658</v>
      </c>
      <c r="J134" s="16">
        <v>46082</v>
      </c>
      <c r="K134" s="20">
        <v>93.43</v>
      </c>
      <c r="L134" s="20">
        <v>0.06</v>
      </c>
      <c r="M134" s="20">
        <v>5.61</v>
      </c>
      <c r="N134" s="21" t="s">
        <v>1027</v>
      </c>
      <c r="O134" s="21" t="s">
        <v>1040</v>
      </c>
      <c r="P134" s="21" t="s">
        <v>1041</v>
      </c>
      <c r="Q134" s="15">
        <f>DATEDIF(I134,J134,"M")</f>
        <v>14</v>
      </c>
    </row>
    <row r="135" spans="1:17" s="21" customFormat="1" x14ac:dyDescent="0.3">
      <c r="A135" s="18">
        <v>7470776</v>
      </c>
      <c r="B135" s="21" t="s">
        <v>56</v>
      </c>
      <c r="C135" s="21" t="s">
        <v>42</v>
      </c>
      <c r="D135" s="20">
        <v>7240125202</v>
      </c>
      <c r="E135" s="21" t="s">
        <v>69</v>
      </c>
      <c r="F135" s="21" t="s">
        <v>69</v>
      </c>
      <c r="G135" s="21" t="s">
        <v>1100</v>
      </c>
      <c r="H135" s="15" t="str">
        <f t="shared" si="2"/>
        <v>LAURA CRESSY</v>
      </c>
      <c r="I135" s="16">
        <v>45654</v>
      </c>
      <c r="J135" s="16">
        <v>46109</v>
      </c>
      <c r="K135" s="20">
        <v>132.1</v>
      </c>
      <c r="L135" s="20">
        <v>2.75E-2</v>
      </c>
      <c r="M135" s="20">
        <v>3.63</v>
      </c>
      <c r="N135" s="21" t="s">
        <v>1028</v>
      </c>
      <c r="O135" s="21" t="s">
        <v>1040</v>
      </c>
      <c r="P135" s="21" t="s">
        <v>1041</v>
      </c>
      <c r="Q135" s="15">
        <f>DATEDIF(I135,J135,"M")</f>
        <v>15</v>
      </c>
    </row>
    <row r="136" spans="1:17" s="21" customFormat="1" x14ac:dyDescent="0.3">
      <c r="A136" s="18">
        <v>7470776</v>
      </c>
      <c r="B136" s="21" t="s">
        <v>56</v>
      </c>
      <c r="C136" s="21" t="s">
        <v>42</v>
      </c>
      <c r="D136" s="20">
        <v>7240112516</v>
      </c>
      <c r="E136" s="21" t="s">
        <v>527</v>
      </c>
      <c r="F136" s="21" t="s">
        <v>527</v>
      </c>
      <c r="G136" s="21" t="s">
        <v>1081</v>
      </c>
      <c r="H136" s="15" t="str">
        <f t="shared" si="2"/>
        <v>MARY SPLANT</v>
      </c>
      <c r="I136" s="16">
        <v>45654</v>
      </c>
      <c r="J136" s="16">
        <v>46109</v>
      </c>
      <c r="K136" s="20">
        <v>145</v>
      </c>
      <c r="L136" s="20">
        <v>2.75E-2</v>
      </c>
      <c r="M136" s="20">
        <v>3.99</v>
      </c>
      <c r="N136" s="21" t="s">
        <v>1028</v>
      </c>
      <c r="O136" s="21" t="s">
        <v>1040</v>
      </c>
      <c r="P136" s="21" t="s">
        <v>1041</v>
      </c>
      <c r="Q136" s="15">
        <f>DATEDIF(I136,J136,"M")</f>
        <v>15</v>
      </c>
    </row>
    <row r="137" spans="1:17" s="21" customFormat="1" x14ac:dyDescent="0.3">
      <c r="A137" s="18">
        <v>7470776</v>
      </c>
      <c r="B137" s="21" t="s">
        <v>56</v>
      </c>
      <c r="C137" s="21" t="s">
        <v>42</v>
      </c>
      <c r="D137" s="20">
        <v>7240114781</v>
      </c>
      <c r="E137" s="21" t="s">
        <v>606</v>
      </c>
      <c r="F137" s="21" t="s">
        <v>606</v>
      </c>
      <c r="G137" s="21" t="s">
        <v>1078</v>
      </c>
      <c r="H137" s="15" t="str">
        <f t="shared" si="2"/>
        <v>SUSAN POONOOSAMY</v>
      </c>
      <c r="I137" s="16">
        <v>45654</v>
      </c>
      <c r="J137" s="16">
        <v>46109</v>
      </c>
      <c r="K137" s="20">
        <v>81.239999999999995</v>
      </c>
      <c r="L137" s="20">
        <v>2.75E-2</v>
      </c>
      <c r="M137" s="20">
        <v>2.23</v>
      </c>
      <c r="N137" s="21" t="s">
        <v>1028</v>
      </c>
      <c r="O137" s="21" t="s">
        <v>1040</v>
      </c>
      <c r="P137" s="21" t="s">
        <v>1041</v>
      </c>
      <c r="Q137" s="15">
        <f>DATEDIF(I137,J137,"M")</f>
        <v>15</v>
      </c>
    </row>
    <row r="138" spans="1:17" s="21" customFormat="1" x14ac:dyDescent="0.3">
      <c r="A138" s="18">
        <v>7470776</v>
      </c>
      <c r="B138" s="21" t="s">
        <v>56</v>
      </c>
      <c r="C138" s="21" t="s">
        <v>42</v>
      </c>
      <c r="D138" s="20">
        <v>7240110753</v>
      </c>
      <c r="E138" s="21" t="s">
        <v>828</v>
      </c>
      <c r="F138" s="21" t="s">
        <v>828</v>
      </c>
      <c r="G138" s="21" t="s">
        <v>1145</v>
      </c>
      <c r="H138" s="15" t="str">
        <f t="shared" si="2"/>
        <v>GAYLE SHEE</v>
      </c>
      <c r="I138" s="16">
        <v>45654</v>
      </c>
      <c r="J138" s="16">
        <v>46109</v>
      </c>
      <c r="K138" s="20">
        <v>104.23</v>
      </c>
      <c r="L138" s="20">
        <v>2.75E-2</v>
      </c>
      <c r="M138" s="20">
        <v>2.87</v>
      </c>
      <c r="N138" s="21" t="s">
        <v>1028</v>
      </c>
      <c r="O138" s="21" t="s">
        <v>1040</v>
      </c>
      <c r="P138" s="21" t="s">
        <v>1041</v>
      </c>
      <c r="Q138" s="15">
        <f>DATEDIF(I138,J138,"M")</f>
        <v>15</v>
      </c>
    </row>
    <row r="139" spans="1:17" s="21" customFormat="1" x14ac:dyDescent="0.3">
      <c r="A139" s="18">
        <v>7470776</v>
      </c>
      <c r="B139" s="21" t="s">
        <v>56</v>
      </c>
      <c r="C139" s="21" t="s">
        <v>42</v>
      </c>
      <c r="D139" s="20">
        <v>7240118756</v>
      </c>
      <c r="E139" s="21" t="s">
        <v>890</v>
      </c>
      <c r="F139" s="21" t="s">
        <v>890</v>
      </c>
      <c r="G139" s="21" t="s">
        <v>1146</v>
      </c>
      <c r="H139" s="15" t="str">
        <f t="shared" si="2"/>
        <v>DIANNE BRADLEY</v>
      </c>
      <c r="I139" s="16">
        <v>45651</v>
      </c>
      <c r="J139" s="16">
        <v>46106</v>
      </c>
      <c r="K139" s="20">
        <v>107.51</v>
      </c>
      <c r="L139" s="20">
        <v>2.75E-2</v>
      </c>
      <c r="M139" s="20">
        <v>2.96</v>
      </c>
      <c r="N139" s="21" t="s">
        <v>1028</v>
      </c>
      <c r="O139" s="21" t="s">
        <v>1040</v>
      </c>
      <c r="P139" s="21" t="s">
        <v>1041</v>
      </c>
      <c r="Q139" s="15">
        <f>DATEDIF(I139,J139,"M")</f>
        <v>15</v>
      </c>
    </row>
    <row r="140" spans="1:17" s="21" customFormat="1" x14ac:dyDescent="0.3">
      <c r="A140" s="18">
        <v>7470776</v>
      </c>
      <c r="B140" s="21" t="s">
        <v>56</v>
      </c>
      <c r="C140" s="21" t="s">
        <v>42</v>
      </c>
      <c r="D140" s="20">
        <v>7240110782</v>
      </c>
      <c r="E140" s="21" t="s">
        <v>828</v>
      </c>
      <c r="F140" s="21" t="s">
        <v>828</v>
      </c>
      <c r="G140" s="21" t="s">
        <v>1147</v>
      </c>
      <c r="H140" s="15" t="str">
        <f t="shared" si="2"/>
        <v>DONALD SHEE</v>
      </c>
      <c r="I140" s="16">
        <v>45654</v>
      </c>
      <c r="J140" s="16">
        <v>46109</v>
      </c>
      <c r="K140" s="20">
        <v>113.64</v>
      </c>
      <c r="L140" s="20">
        <v>2.75E-2</v>
      </c>
      <c r="M140" s="20">
        <v>3.13</v>
      </c>
      <c r="N140" s="21" t="s">
        <v>1028</v>
      </c>
      <c r="O140" s="21" t="s">
        <v>1040</v>
      </c>
      <c r="P140" s="21" t="s">
        <v>1041</v>
      </c>
      <c r="Q140" s="15">
        <f>DATEDIF(I140,J140,"M")</f>
        <v>15</v>
      </c>
    </row>
    <row r="141" spans="1:17" s="21" customFormat="1" x14ac:dyDescent="0.3">
      <c r="A141" s="18">
        <v>7470776</v>
      </c>
      <c r="B141" s="21" t="s">
        <v>56</v>
      </c>
      <c r="C141" s="21" t="s">
        <v>42</v>
      </c>
      <c r="D141" s="20">
        <v>7240101224</v>
      </c>
      <c r="E141" s="21" t="s">
        <v>63</v>
      </c>
      <c r="F141" s="21" t="s">
        <v>63</v>
      </c>
      <c r="G141" s="21" t="s">
        <v>1071</v>
      </c>
      <c r="H141" s="15" t="str">
        <f t="shared" si="2"/>
        <v>JOHN MCGARY</v>
      </c>
      <c r="I141" s="16">
        <v>45627</v>
      </c>
      <c r="J141" s="16">
        <v>46082</v>
      </c>
      <c r="K141" s="20">
        <v>102.93</v>
      </c>
      <c r="L141" s="20">
        <v>0.06</v>
      </c>
      <c r="M141" s="20">
        <v>6.18</v>
      </c>
      <c r="N141" s="21" t="s">
        <v>1027</v>
      </c>
      <c r="O141" s="21" t="s">
        <v>1040</v>
      </c>
      <c r="P141" s="21" t="s">
        <v>1041</v>
      </c>
      <c r="Q141" s="15">
        <f>DATEDIF(I141,J141,"M")</f>
        <v>15</v>
      </c>
    </row>
    <row r="142" spans="1:17" s="21" customFormat="1" x14ac:dyDescent="0.3">
      <c r="A142" s="18">
        <v>7470776</v>
      </c>
      <c r="B142" s="21" t="s">
        <v>56</v>
      </c>
      <c r="C142" s="21" t="s">
        <v>42</v>
      </c>
      <c r="D142" s="20">
        <v>7240113999</v>
      </c>
      <c r="E142" s="21" t="s">
        <v>200</v>
      </c>
      <c r="F142" s="21" t="s">
        <v>200</v>
      </c>
      <c r="G142" s="21" t="s">
        <v>1148</v>
      </c>
      <c r="H142" s="15" t="str">
        <f t="shared" si="2"/>
        <v>KONSTANTINE SAVOY</v>
      </c>
      <c r="I142" s="16">
        <v>45654</v>
      </c>
      <c r="J142" s="16">
        <v>46109</v>
      </c>
      <c r="K142" s="20">
        <v>128.80000000000001</v>
      </c>
      <c r="L142" s="20">
        <v>0.06</v>
      </c>
      <c r="M142" s="20">
        <v>7.73</v>
      </c>
      <c r="N142" s="21" t="s">
        <v>1027</v>
      </c>
      <c r="O142" s="21" t="s">
        <v>1040</v>
      </c>
      <c r="P142" s="21" t="s">
        <v>1041</v>
      </c>
      <c r="Q142" s="15">
        <f>DATEDIF(I142,J142,"M")</f>
        <v>15</v>
      </c>
    </row>
    <row r="143" spans="1:17" s="21" customFormat="1" x14ac:dyDescent="0.3">
      <c r="A143" s="18">
        <v>7470776</v>
      </c>
      <c r="B143" s="21" t="s">
        <v>56</v>
      </c>
      <c r="C143" s="21" t="s">
        <v>42</v>
      </c>
      <c r="D143" s="20">
        <v>7240116791</v>
      </c>
      <c r="E143" s="21" t="s">
        <v>204</v>
      </c>
      <c r="F143" s="21" t="s">
        <v>204</v>
      </c>
      <c r="G143" s="21" t="s">
        <v>1091</v>
      </c>
      <c r="H143" s="15" t="str">
        <f t="shared" si="2"/>
        <v>KAREN NAHLEY</v>
      </c>
      <c r="I143" s="16">
        <v>45654</v>
      </c>
      <c r="J143" s="16">
        <v>46109</v>
      </c>
      <c r="K143" s="20">
        <v>102.23</v>
      </c>
      <c r="L143" s="20">
        <v>0.06</v>
      </c>
      <c r="M143" s="20">
        <v>6.13</v>
      </c>
      <c r="N143" s="21" t="s">
        <v>1027</v>
      </c>
      <c r="O143" s="21" t="s">
        <v>1040</v>
      </c>
      <c r="P143" s="21" t="s">
        <v>1041</v>
      </c>
      <c r="Q143" s="15">
        <f>DATEDIF(I143,J143,"M")</f>
        <v>15</v>
      </c>
    </row>
    <row r="144" spans="1:17" s="21" customFormat="1" x14ac:dyDescent="0.3">
      <c r="A144" s="18">
        <v>7470776</v>
      </c>
      <c r="B144" s="21" t="s">
        <v>56</v>
      </c>
      <c r="C144" s="21" t="s">
        <v>42</v>
      </c>
      <c r="D144" s="20">
        <v>7240119755</v>
      </c>
      <c r="E144" s="21" t="s">
        <v>290</v>
      </c>
      <c r="F144" s="21" t="s">
        <v>290</v>
      </c>
      <c r="G144" s="21" t="s">
        <v>1149</v>
      </c>
      <c r="H144" s="15" t="str">
        <f t="shared" si="2"/>
        <v>BRUCE ROPSKI</v>
      </c>
      <c r="I144" s="16">
        <v>45651</v>
      </c>
      <c r="J144" s="16">
        <v>46106</v>
      </c>
      <c r="K144" s="20">
        <v>98.56</v>
      </c>
      <c r="L144" s="20">
        <v>0.06</v>
      </c>
      <c r="M144" s="20">
        <v>5.91</v>
      </c>
      <c r="N144" s="21" t="s">
        <v>1027</v>
      </c>
      <c r="O144" s="21" t="s">
        <v>1040</v>
      </c>
      <c r="P144" s="21" t="s">
        <v>1041</v>
      </c>
      <c r="Q144" s="15">
        <f>DATEDIF(I144,J144,"M")</f>
        <v>15</v>
      </c>
    </row>
    <row r="145" spans="1:34" s="21" customFormat="1" x14ac:dyDescent="0.3">
      <c r="A145" s="18">
        <v>7470776</v>
      </c>
      <c r="B145" s="21" t="s">
        <v>56</v>
      </c>
      <c r="C145" s="21" t="s">
        <v>42</v>
      </c>
      <c r="D145" s="20">
        <v>7240119703</v>
      </c>
      <c r="E145" s="21" t="s">
        <v>290</v>
      </c>
      <c r="F145" s="21" t="s">
        <v>290</v>
      </c>
      <c r="G145" s="21" t="s">
        <v>1150</v>
      </c>
      <c r="H145" s="15" t="str">
        <f t="shared" si="2"/>
        <v>CARYN ROPSKI</v>
      </c>
      <c r="I145" s="16">
        <v>45651</v>
      </c>
      <c r="J145" s="16">
        <v>46106</v>
      </c>
      <c r="K145" s="20">
        <v>102.68</v>
      </c>
      <c r="L145" s="20">
        <v>0.06</v>
      </c>
      <c r="M145" s="20">
        <v>6.16</v>
      </c>
      <c r="N145" s="21" t="s">
        <v>1027</v>
      </c>
      <c r="O145" s="21" t="s">
        <v>1040</v>
      </c>
      <c r="P145" s="21" t="s">
        <v>1041</v>
      </c>
      <c r="Q145" s="15">
        <f>DATEDIF(I145,J145,"M")</f>
        <v>15</v>
      </c>
    </row>
    <row r="146" spans="1:34" s="21" customFormat="1" x14ac:dyDescent="0.3">
      <c r="A146" s="18">
        <v>7470776</v>
      </c>
      <c r="B146" s="21" t="s">
        <v>56</v>
      </c>
      <c r="C146" s="21" t="s">
        <v>42</v>
      </c>
      <c r="D146" s="20">
        <v>7240115124</v>
      </c>
      <c r="E146" s="21" t="s">
        <v>384</v>
      </c>
      <c r="F146" s="21" t="s">
        <v>384</v>
      </c>
      <c r="G146" s="21" t="s">
        <v>1151</v>
      </c>
      <c r="H146" s="15" t="str">
        <f t="shared" si="2"/>
        <v>JEFFREY ETTERS</v>
      </c>
      <c r="I146" s="16">
        <v>45654</v>
      </c>
      <c r="J146" s="16">
        <v>46109</v>
      </c>
      <c r="K146" s="20">
        <v>79</v>
      </c>
      <c r="L146" s="20">
        <v>0.06</v>
      </c>
      <c r="M146" s="20">
        <v>4.74</v>
      </c>
      <c r="N146" s="21" t="s">
        <v>1027</v>
      </c>
      <c r="O146" s="21" t="s">
        <v>1040</v>
      </c>
      <c r="P146" s="21" t="s">
        <v>1041</v>
      </c>
      <c r="Q146" s="15">
        <f>DATEDIF(I146,J146,"M")</f>
        <v>15</v>
      </c>
    </row>
    <row r="147" spans="1:34" s="21" customFormat="1" x14ac:dyDescent="0.3">
      <c r="A147" s="18">
        <v>7470776</v>
      </c>
      <c r="B147" s="21" t="s">
        <v>56</v>
      </c>
      <c r="C147" s="21" t="s">
        <v>42</v>
      </c>
      <c r="D147" s="20">
        <v>7240112327</v>
      </c>
      <c r="E147" s="21" t="s">
        <v>481</v>
      </c>
      <c r="F147" s="21" t="s">
        <v>481</v>
      </c>
      <c r="G147" s="21" t="s">
        <v>1152</v>
      </c>
      <c r="H147" s="15" t="str">
        <f t="shared" si="2"/>
        <v>LOUIS SKENDER</v>
      </c>
      <c r="I147" s="16">
        <v>45654</v>
      </c>
      <c r="J147" s="16">
        <v>46109</v>
      </c>
      <c r="K147" s="20">
        <v>114.98</v>
      </c>
      <c r="L147" s="20">
        <v>0.06</v>
      </c>
      <c r="M147" s="20">
        <v>6.9</v>
      </c>
      <c r="N147" s="21" t="s">
        <v>1027</v>
      </c>
      <c r="O147" s="21" t="s">
        <v>1040</v>
      </c>
      <c r="P147" s="21" t="s">
        <v>1041</v>
      </c>
      <c r="Q147" s="15">
        <f>DATEDIF(I147,J147,"M")</f>
        <v>15</v>
      </c>
    </row>
    <row r="148" spans="1:34" s="21" customFormat="1" x14ac:dyDescent="0.3">
      <c r="A148" s="18">
        <v>7470776</v>
      </c>
      <c r="B148" s="21" t="s">
        <v>56</v>
      </c>
      <c r="C148" s="21" t="s">
        <v>42</v>
      </c>
      <c r="D148" s="20">
        <v>7240112385</v>
      </c>
      <c r="E148" s="21" t="s">
        <v>502</v>
      </c>
      <c r="F148" s="21" t="s">
        <v>502</v>
      </c>
      <c r="G148" s="21" t="s">
        <v>1100</v>
      </c>
      <c r="H148" s="15" t="str">
        <f t="shared" si="2"/>
        <v>LAURA TYNAN</v>
      </c>
      <c r="I148" s="16">
        <v>45654</v>
      </c>
      <c r="J148" s="16">
        <v>46109</v>
      </c>
      <c r="K148" s="20">
        <v>91.63</v>
      </c>
      <c r="L148" s="20">
        <v>0.06</v>
      </c>
      <c r="M148" s="20">
        <v>5.5</v>
      </c>
      <c r="N148" s="21" t="s">
        <v>1027</v>
      </c>
      <c r="O148" s="21" t="s">
        <v>1040</v>
      </c>
      <c r="P148" s="21" t="s">
        <v>1041</v>
      </c>
      <c r="Q148" s="15">
        <f>DATEDIF(I148,J148,"M")</f>
        <v>15</v>
      </c>
    </row>
    <row r="149" spans="1:34" s="21" customFormat="1" x14ac:dyDescent="0.3">
      <c r="A149" s="18">
        <v>7470776</v>
      </c>
      <c r="B149" s="21" t="s">
        <v>56</v>
      </c>
      <c r="C149" s="21" t="s">
        <v>42</v>
      </c>
      <c r="D149" s="20">
        <v>7240112603</v>
      </c>
      <c r="E149" s="21" t="s">
        <v>576</v>
      </c>
      <c r="F149" s="21" t="s">
        <v>576</v>
      </c>
      <c r="G149" s="21" t="s">
        <v>1153</v>
      </c>
      <c r="H149" s="15" t="str">
        <f t="shared" si="2"/>
        <v>DYAN FORD</v>
      </c>
      <c r="I149" s="16">
        <v>45654</v>
      </c>
      <c r="J149" s="16">
        <v>46109</v>
      </c>
      <c r="K149" s="20">
        <v>62.9</v>
      </c>
      <c r="L149" s="20">
        <v>0.06</v>
      </c>
      <c r="M149" s="20">
        <v>3.77</v>
      </c>
      <c r="N149" s="21" t="s">
        <v>1027</v>
      </c>
      <c r="O149" s="21" t="s">
        <v>1040</v>
      </c>
      <c r="P149" s="21" t="s">
        <v>1041</v>
      </c>
      <c r="Q149" s="15">
        <f>DATEDIF(I149,J149,"M")</f>
        <v>15</v>
      </c>
    </row>
    <row r="150" spans="1:34" s="21" customFormat="1" x14ac:dyDescent="0.3">
      <c r="A150" s="18">
        <v>7470776</v>
      </c>
      <c r="B150" s="21" t="s">
        <v>56</v>
      </c>
      <c r="C150" s="21" t="s">
        <v>42</v>
      </c>
      <c r="D150" s="20">
        <v>7240111936</v>
      </c>
      <c r="E150" s="21" t="s">
        <v>632</v>
      </c>
      <c r="F150" s="21" t="s">
        <v>632</v>
      </c>
      <c r="G150" s="21" t="s">
        <v>1147</v>
      </c>
      <c r="H150" s="15" t="str">
        <f t="shared" si="2"/>
        <v>DONALD CROSBY</v>
      </c>
      <c r="I150" s="16">
        <v>45654</v>
      </c>
      <c r="J150" s="16">
        <v>46109</v>
      </c>
      <c r="K150" s="20">
        <v>64</v>
      </c>
      <c r="L150" s="20">
        <v>0.06</v>
      </c>
      <c r="M150" s="20">
        <v>3.84</v>
      </c>
      <c r="N150" s="21" t="s">
        <v>1027</v>
      </c>
      <c r="O150" s="21" t="s">
        <v>1040</v>
      </c>
      <c r="P150" s="21" t="s">
        <v>1041</v>
      </c>
      <c r="Q150" s="15">
        <f>DATEDIF(I150,J150,"M")</f>
        <v>15</v>
      </c>
    </row>
    <row r="151" spans="1:34" s="21" customFormat="1" x14ac:dyDescent="0.3">
      <c r="A151" s="18">
        <v>7470776</v>
      </c>
      <c r="B151" s="21" t="s">
        <v>56</v>
      </c>
      <c r="C151" s="21" t="s">
        <v>42</v>
      </c>
      <c r="D151" s="20">
        <v>7240112093</v>
      </c>
      <c r="E151" s="21" t="s">
        <v>670</v>
      </c>
      <c r="F151" s="21" t="s">
        <v>670</v>
      </c>
      <c r="G151" s="21" t="s">
        <v>1052</v>
      </c>
      <c r="H151" s="15" t="str">
        <f t="shared" si="2"/>
        <v>JAMES CASSATO</v>
      </c>
      <c r="I151" s="16">
        <v>45654</v>
      </c>
      <c r="J151" s="16">
        <v>46109</v>
      </c>
      <c r="K151" s="20">
        <v>102.34</v>
      </c>
      <c r="L151" s="20">
        <v>0.06</v>
      </c>
      <c r="M151" s="20">
        <v>6.14</v>
      </c>
      <c r="N151" s="21" t="s">
        <v>1027</v>
      </c>
      <c r="O151" s="21" t="s">
        <v>1040</v>
      </c>
      <c r="P151" s="21" t="s">
        <v>1041</v>
      </c>
      <c r="Q151" s="15">
        <f>DATEDIF(I151,J151,"M")</f>
        <v>15</v>
      </c>
    </row>
    <row r="152" spans="1:34" s="21" customFormat="1" x14ac:dyDescent="0.3">
      <c r="A152" s="18">
        <v>7470776</v>
      </c>
      <c r="B152" s="21" t="s">
        <v>56</v>
      </c>
      <c r="C152" s="21" t="s">
        <v>42</v>
      </c>
      <c r="D152" s="20">
        <v>7240110570</v>
      </c>
      <c r="E152" s="21" t="s">
        <v>758</v>
      </c>
      <c r="F152" s="21" t="s">
        <v>758</v>
      </c>
      <c r="G152" s="21" t="s">
        <v>1071</v>
      </c>
      <c r="H152" s="15" t="str">
        <f t="shared" si="2"/>
        <v>JOHN RAMSEY</v>
      </c>
      <c r="I152" s="16">
        <v>45654</v>
      </c>
      <c r="J152" s="16">
        <v>46109</v>
      </c>
      <c r="K152" s="20">
        <v>68.97</v>
      </c>
      <c r="L152" s="20">
        <v>0.06</v>
      </c>
      <c r="M152" s="20">
        <v>4.1399999999999997</v>
      </c>
      <c r="N152" s="21" t="s">
        <v>1027</v>
      </c>
      <c r="O152" s="21" t="s">
        <v>1040</v>
      </c>
      <c r="P152" s="21" t="s">
        <v>1041</v>
      </c>
      <c r="Q152" s="15">
        <f>DATEDIF(I152,J152,"M")</f>
        <v>15</v>
      </c>
    </row>
    <row r="153" spans="1:34" s="21" customFormat="1" x14ac:dyDescent="0.3">
      <c r="A153" s="18">
        <v>7470776</v>
      </c>
      <c r="B153" s="21" t="s">
        <v>56</v>
      </c>
      <c r="C153" s="21" t="s">
        <v>42</v>
      </c>
      <c r="D153" s="20">
        <v>7240112321</v>
      </c>
      <c r="E153" s="21" t="s">
        <v>777</v>
      </c>
      <c r="F153" s="21" t="s">
        <v>777</v>
      </c>
      <c r="G153" s="21" t="s">
        <v>1154</v>
      </c>
      <c r="H153" s="15" t="str">
        <f t="shared" si="2"/>
        <v>MARCELLA RICHERT</v>
      </c>
      <c r="I153" s="16">
        <v>45654</v>
      </c>
      <c r="J153" s="16">
        <v>46109</v>
      </c>
      <c r="K153" s="20">
        <v>105.28</v>
      </c>
      <c r="L153" s="20">
        <v>0.06</v>
      </c>
      <c r="M153" s="20">
        <v>6.32</v>
      </c>
      <c r="N153" s="21" t="s">
        <v>1027</v>
      </c>
      <c r="O153" s="21" t="s">
        <v>1040</v>
      </c>
      <c r="P153" s="21" t="s">
        <v>1041</v>
      </c>
      <c r="Q153" s="15">
        <f>DATEDIF(I153,J153,"M")</f>
        <v>15</v>
      </c>
    </row>
    <row r="154" spans="1:34" s="21" customFormat="1" x14ac:dyDescent="0.3">
      <c r="A154" s="18">
        <v>7470776</v>
      </c>
      <c r="B154" s="21" t="s">
        <v>56</v>
      </c>
      <c r="C154" s="21" t="s">
        <v>42</v>
      </c>
      <c r="D154" s="20">
        <v>7240101034</v>
      </c>
      <c r="E154" s="21" t="s">
        <v>786</v>
      </c>
      <c r="F154" s="21" t="s">
        <v>786</v>
      </c>
      <c r="G154" s="21" t="s">
        <v>1052</v>
      </c>
      <c r="H154" s="15" t="str">
        <f t="shared" si="2"/>
        <v>JAMES GALLINA</v>
      </c>
      <c r="I154" s="16">
        <v>45627</v>
      </c>
      <c r="J154" s="16">
        <v>46082</v>
      </c>
      <c r="K154" s="20">
        <v>106.65</v>
      </c>
      <c r="L154" s="20">
        <v>0.06</v>
      </c>
      <c r="M154" s="20">
        <v>6.4</v>
      </c>
      <c r="N154" s="21" t="s">
        <v>1027</v>
      </c>
      <c r="O154" s="21" t="s">
        <v>1040</v>
      </c>
      <c r="P154" s="21" t="s">
        <v>1041</v>
      </c>
      <c r="Q154" s="15">
        <f>DATEDIF(I154,J154,"M")</f>
        <v>15</v>
      </c>
    </row>
    <row r="155" spans="1:34" s="21" customFormat="1" x14ac:dyDescent="0.3">
      <c r="A155" s="18">
        <v>7470776</v>
      </c>
      <c r="B155" s="21" t="s">
        <v>56</v>
      </c>
      <c r="C155" s="21" t="s">
        <v>42</v>
      </c>
      <c r="D155" s="20">
        <v>7240119193</v>
      </c>
      <c r="E155" s="21" t="s">
        <v>852</v>
      </c>
      <c r="F155" s="21" t="s">
        <v>852</v>
      </c>
      <c r="G155" s="21" t="s">
        <v>1044</v>
      </c>
      <c r="H155" s="15" t="str">
        <f t="shared" si="2"/>
        <v>WILLIAM ADAMEK</v>
      </c>
      <c r="I155" s="16">
        <v>45651</v>
      </c>
      <c r="J155" s="16">
        <v>46106</v>
      </c>
      <c r="K155" s="20">
        <v>68.61</v>
      </c>
      <c r="L155" s="20">
        <v>0.06</v>
      </c>
      <c r="M155" s="20">
        <v>4.12</v>
      </c>
      <c r="N155" s="21" t="s">
        <v>1027</v>
      </c>
      <c r="O155" s="21" t="s">
        <v>1040</v>
      </c>
      <c r="P155" s="21" t="s">
        <v>1041</v>
      </c>
      <c r="Q155" s="15">
        <f>DATEDIF(I155,J155,"M")</f>
        <v>15</v>
      </c>
    </row>
    <row r="156" spans="1:34" s="21" customFormat="1" x14ac:dyDescent="0.3">
      <c r="A156" s="18">
        <v>7470776</v>
      </c>
      <c r="B156" s="21" t="s">
        <v>56</v>
      </c>
      <c r="C156" s="21" t="s">
        <v>42</v>
      </c>
      <c r="D156" s="20">
        <v>7240114243</v>
      </c>
      <c r="E156" s="21" t="s">
        <v>863</v>
      </c>
      <c r="F156" s="21" t="s">
        <v>863</v>
      </c>
      <c r="G156" s="21" t="s">
        <v>1114</v>
      </c>
      <c r="H156" s="15" t="str">
        <f t="shared" si="2"/>
        <v>SANDRA ZURAWSKI</v>
      </c>
      <c r="I156" s="16">
        <v>45654</v>
      </c>
      <c r="J156" s="16">
        <v>46109</v>
      </c>
      <c r="K156" s="20">
        <v>73.790000000000006</v>
      </c>
      <c r="L156" s="20">
        <v>0.06</v>
      </c>
      <c r="M156" s="20">
        <v>4.43</v>
      </c>
      <c r="N156" s="21" t="s">
        <v>1027</v>
      </c>
      <c r="O156" s="21" t="s">
        <v>1040</v>
      </c>
      <c r="P156" s="21" t="s">
        <v>1041</v>
      </c>
      <c r="Q156" s="15">
        <f>DATEDIF(I156,J156,"M")</f>
        <v>15</v>
      </c>
    </row>
    <row r="157" spans="1:34" s="21" customFormat="1" x14ac:dyDescent="0.3">
      <c r="A157" s="18">
        <v>7470776</v>
      </c>
      <c r="B157" s="21" t="s">
        <v>56</v>
      </c>
      <c r="C157" s="21" t="s">
        <v>42</v>
      </c>
      <c r="D157" s="20">
        <v>7240112931</v>
      </c>
      <c r="E157" s="21" t="s">
        <v>945</v>
      </c>
      <c r="F157" s="21" t="s">
        <v>945</v>
      </c>
      <c r="G157" s="21" t="s">
        <v>1155</v>
      </c>
      <c r="H157" s="15" t="str">
        <f t="shared" si="2"/>
        <v>CONCETTA INTILE</v>
      </c>
      <c r="I157" s="16">
        <v>45654</v>
      </c>
      <c r="J157" s="16">
        <v>46109</v>
      </c>
      <c r="K157" s="20">
        <v>77.319999999999993</v>
      </c>
      <c r="L157" s="20">
        <v>0.06</v>
      </c>
      <c r="M157" s="20">
        <v>4.6399999999999997</v>
      </c>
      <c r="N157" s="21" t="s">
        <v>1027</v>
      </c>
      <c r="O157" s="21" t="s">
        <v>1040</v>
      </c>
      <c r="P157" s="21" t="s">
        <v>1041</v>
      </c>
      <c r="Q157" s="15">
        <f>DATEDIF(I157,J157,"M")</f>
        <v>15</v>
      </c>
    </row>
    <row r="158" spans="1:34" s="21" customFormat="1" x14ac:dyDescent="0.3">
      <c r="A158" s="18">
        <v>7470776</v>
      </c>
      <c r="B158" s="21" t="s">
        <v>56</v>
      </c>
      <c r="C158" s="21" t="s">
        <v>42</v>
      </c>
      <c r="D158" s="20">
        <v>7240114020</v>
      </c>
      <c r="E158" s="21" t="s">
        <v>200</v>
      </c>
      <c r="F158" s="21" t="s">
        <v>200</v>
      </c>
      <c r="G158" s="21" t="s">
        <v>1156</v>
      </c>
      <c r="H158" s="15" t="str">
        <f t="shared" si="2"/>
        <v>LEAH SAVOY</v>
      </c>
      <c r="I158" s="16">
        <v>45654</v>
      </c>
      <c r="J158" s="16">
        <v>46109</v>
      </c>
      <c r="K158" s="20">
        <v>128.80000000000001</v>
      </c>
      <c r="L158" s="20">
        <v>0.06</v>
      </c>
      <c r="M158" s="20">
        <v>7.73</v>
      </c>
      <c r="N158" s="21" t="s">
        <v>1027</v>
      </c>
      <c r="O158" s="21" t="s">
        <v>1040</v>
      </c>
      <c r="P158" s="21" t="s">
        <v>1041</v>
      </c>
      <c r="Q158" s="15">
        <f>DATEDIF(I158,J158,"M")</f>
        <v>15</v>
      </c>
    </row>
    <row r="159" spans="1:34" s="21" customFormat="1" x14ac:dyDescent="0.3">
      <c r="A159" s="18">
        <v>7470776</v>
      </c>
      <c r="B159" s="21" t="s">
        <v>56</v>
      </c>
      <c r="C159" s="21" t="s">
        <v>42</v>
      </c>
      <c r="D159" s="20">
        <v>7240101268</v>
      </c>
      <c r="E159" s="21" t="s">
        <v>713</v>
      </c>
      <c r="F159" s="21" t="s">
        <v>713</v>
      </c>
      <c r="G159" s="21" t="s">
        <v>1157</v>
      </c>
      <c r="H159" s="15" t="str">
        <f t="shared" si="2"/>
        <v>TIMOTHY PILCHER</v>
      </c>
      <c r="I159" s="16">
        <v>45597</v>
      </c>
      <c r="J159" s="16">
        <v>46082</v>
      </c>
      <c r="K159" s="20">
        <v>116.07</v>
      </c>
      <c r="L159" s="20">
        <v>2.75E-2</v>
      </c>
      <c r="M159" s="20">
        <v>3.19</v>
      </c>
      <c r="N159" s="21" t="s">
        <v>1028</v>
      </c>
      <c r="O159" s="21" t="s">
        <v>1040</v>
      </c>
      <c r="P159" s="21" t="s">
        <v>1041</v>
      </c>
      <c r="Q159" s="15">
        <f>DATEDIF(I159,J159,"M")</f>
        <v>16</v>
      </c>
    </row>
    <row r="160" spans="1:34" s="21" customFormat="1" x14ac:dyDescent="0.3">
      <c r="A160" s="18">
        <v>8325282</v>
      </c>
      <c r="B160" s="21" t="s">
        <v>119</v>
      </c>
      <c r="C160" s="21" t="s">
        <v>42</v>
      </c>
      <c r="D160" s="20">
        <v>7240110364</v>
      </c>
      <c r="E160" s="21" t="s">
        <v>762</v>
      </c>
      <c r="F160" s="21" t="s">
        <v>762</v>
      </c>
      <c r="G160" s="21" t="s">
        <v>1158</v>
      </c>
      <c r="H160" s="15" t="str">
        <f t="shared" si="2"/>
        <v>JOE MINJARES</v>
      </c>
      <c r="I160" s="16">
        <v>45604</v>
      </c>
      <c r="J160" s="16">
        <v>46089</v>
      </c>
      <c r="K160" s="20">
        <v>50.65</v>
      </c>
      <c r="L160" s="20">
        <v>0.06</v>
      </c>
      <c r="M160" s="20">
        <v>3.04</v>
      </c>
      <c r="N160" s="21" t="s">
        <v>1027</v>
      </c>
      <c r="O160" s="21" t="s">
        <v>1040</v>
      </c>
      <c r="P160" s="21" t="s">
        <v>1041</v>
      </c>
      <c r="Q160" s="15">
        <f>DATEDIF(I160,J160,"M")</f>
        <v>16</v>
      </c>
      <c r="AH160" s="15"/>
    </row>
    <row r="161" spans="1:34" s="21" customFormat="1" x14ac:dyDescent="0.3">
      <c r="A161" s="18">
        <v>8325282</v>
      </c>
      <c r="B161" s="21" t="s">
        <v>119</v>
      </c>
      <c r="C161" s="21" t="s">
        <v>42</v>
      </c>
      <c r="D161" s="20">
        <v>7240110349</v>
      </c>
      <c r="E161" s="21" t="s">
        <v>762</v>
      </c>
      <c r="F161" s="21" t="s">
        <v>762</v>
      </c>
      <c r="G161" s="21" t="s">
        <v>1159</v>
      </c>
      <c r="H161" s="15" t="str">
        <f t="shared" si="2"/>
        <v>MONICA MINJARES</v>
      </c>
      <c r="I161" s="16">
        <v>45604</v>
      </c>
      <c r="J161" s="16">
        <v>46089</v>
      </c>
      <c r="K161" s="20">
        <v>25.33</v>
      </c>
      <c r="L161" s="20">
        <v>0.06</v>
      </c>
      <c r="M161" s="20">
        <v>1.52</v>
      </c>
      <c r="N161" s="21" t="s">
        <v>1027</v>
      </c>
      <c r="O161" s="21" t="s">
        <v>1040</v>
      </c>
      <c r="P161" s="21" t="s">
        <v>1041</v>
      </c>
      <c r="Q161" s="15">
        <f>DATEDIF(I161,J161,"M")</f>
        <v>16</v>
      </c>
      <c r="AH161" s="15"/>
    </row>
    <row r="162" spans="1:34" s="21" customFormat="1" x14ac:dyDescent="0.3">
      <c r="A162" s="18">
        <v>8325282</v>
      </c>
      <c r="B162" s="21" t="s">
        <v>119</v>
      </c>
      <c r="C162" s="21" t="s">
        <v>42</v>
      </c>
      <c r="D162" s="20">
        <v>7240098094</v>
      </c>
      <c r="E162" s="21" t="s">
        <v>121</v>
      </c>
      <c r="F162" s="21" t="s">
        <v>121</v>
      </c>
      <c r="G162" s="21" t="s">
        <v>1160</v>
      </c>
      <c r="H162" s="15" t="str">
        <f t="shared" si="2"/>
        <v>FILOMENA LOPRIORE</v>
      </c>
      <c r="I162" s="16">
        <v>45581</v>
      </c>
      <c r="J162" s="16">
        <v>46097</v>
      </c>
      <c r="K162" s="20">
        <v>44.79</v>
      </c>
      <c r="L162" s="20">
        <v>0.06</v>
      </c>
      <c r="M162" s="20">
        <v>2.69</v>
      </c>
      <c r="N162" s="21" t="s">
        <v>1027</v>
      </c>
      <c r="O162" s="21" t="s">
        <v>1040</v>
      </c>
      <c r="P162" s="21" t="s">
        <v>1041</v>
      </c>
      <c r="Q162" s="15">
        <f>DATEDIF(I162,J162,"M")</f>
        <v>17</v>
      </c>
      <c r="AH162" s="15"/>
    </row>
    <row r="163" spans="1:34" s="21" customFormat="1" x14ac:dyDescent="0.3">
      <c r="A163" s="18">
        <v>8325282</v>
      </c>
      <c r="B163" s="21" t="s">
        <v>119</v>
      </c>
      <c r="C163" s="21" t="s">
        <v>42</v>
      </c>
      <c r="D163" s="20">
        <v>7240098074</v>
      </c>
      <c r="E163" s="21" t="s">
        <v>121</v>
      </c>
      <c r="F163" s="21" t="s">
        <v>121</v>
      </c>
      <c r="G163" s="21" t="s">
        <v>1043</v>
      </c>
      <c r="H163" s="15" t="str">
        <f t="shared" si="2"/>
        <v>MICHAEL LOPRIORE</v>
      </c>
      <c r="I163" s="16">
        <v>45581</v>
      </c>
      <c r="J163" s="16">
        <v>46097</v>
      </c>
      <c r="K163" s="20">
        <v>61.81</v>
      </c>
      <c r="L163" s="20">
        <v>0.06</v>
      </c>
      <c r="M163" s="20">
        <v>3.71</v>
      </c>
      <c r="N163" s="21" t="s">
        <v>1027</v>
      </c>
      <c r="O163" s="21" t="s">
        <v>1040</v>
      </c>
      <c r="P163" s="21" t="s">
        <v>1041</v>
      </c>
      <c r="Q163" s="15">
        <f>DATEDIF(I163,J163,"M")</f>
        <v>17</v>
      </c>
      <c r="AH163" s="15"/>
    </row>
    <row r="164" spans="1:34" s="21" customFormat="1" x14ac:dyDescent="0.3">
      <c r="A164" s="14">
        <v>19491313</v>
      </c>
      <c r="B164" s="24" t="s">
        <v>102</v>
      </c>
      <c r="C164" s="24" t="s">
        <v>42</v>
      </c>
      <c r="D164" s="26">
        <v>7260020034</v>
      </c>
      <c r="E164" s="24" t="s">
        <v>104</v>
      </c>
      <c r="F164" s="24" t="s">
        <v>104</v>
      </c>
      <c r="G164" s="24" t="s">
        <v>1161</v>
      </c>
      <c r="H164" s="15" t="str">
        <f t="shared" si="2"/>
        <v>DAVID HARSHMAN</v>
      </c>
      <c r="I164" s="25">
        <v>46086</v>
      </c>
      <c r="J164" s="25">
        <v>46086</v>
      </c>
      <c r="K164" s="26">
        <v>-75.45</v>
      </c>
      <c r="L164" s="26">
        <v>0.94499999999999995</v>
      </c>
      <c r="M164" s="26">
        <v>-71.3</v>
      </c>
      <c r="N164" s="24" t="s">
        <v>1028</v>
      </c>
      <c r="O164" s="21" t="s">
        <v>1040</v>
      </c>
      <c r="P164" s="21" t="s">
        <v>1041</v>
      </c>
      <c r="Q164" s="15">
        <f>DATEDIF(I164,J164,"M")</f>
        <v>0</v>
      </c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</row>
    <row r="165" spans="1:34" s="21" customFormat="1" x14ac:dyDescent="0.3">
      <c r="A165" s="14">
        <v>19491313</v>
      </c>
      <c r="B165" s="24" t="s">
        <v>102</v>
      </c>
      <c r="C165" s="24" t="s">
        <v>42</v>
      </c>
      <c r="D165" s="26">
        <v>7260020034</v>
      </c>
      <c r="E165" s="24" t="s">
        <v>104</v>
      </c>
      <c r="F165" s="24" t="s">
        <v>104</v>
      </c>
      <c r="G165" s="24" t="s">
        <v>1161</v>
      </c>
      <c r="H165" s="15" t="str">
        <f t="shared" si="2"/>
        <v>DAVID HARSHMAN</v>
      </c>
      <c r="I165" s="25">
        <v>46086</v>
      </c>
      <c r="J165" s="25">
        <v>46086</v>
      </c>
      <c r="K165" s="26">
        <v>75.45</v>
      </c>
      <c r="L165" s="26">
        <v>0.94499999999999995</v>
      </c>
      <c r="M165" s="26">
        <v>71.3</v>
      </c>
      <c r="N165" s="24" t="s">
        <v>1028</v>
      </c>
      <c r="O165" s="21" t="s">
        <v>1040</v>
      </c>
      <c r="P165" s="21" t="s">
        <v>1041</v>
      </c>
      <c r="Q165" s="15">
        <f>DATEDIF(I165,J165,"M")</f>
        <v>0</v>
      </c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</row>
    <row r="166" spans="1:34" s="21" customFormat="1" x14ac:dyDescent="0.3">
      <c r="A166" s="11">
        <v>8977234</v>
      </c>
      <c r="B166" s="13" t="s">
        <v>133</v>
      </c>
      <c r="C166" s="13" t="s">
        <v>42</v>
      </c>
      <c r="D166" s="7">
        <v>6260060145</v>
      </c>
      <c r="E166" s="13" t="s">
        <v>565</v>
      </c>
      <c r="F166" s="13" t="s">
        <v>565</v>
      </c>
      <c r="G166" s="13" t="s">
        <v>1043</v>
      </c>
      <c r="H166" s="15" t="str">
        <f t="shared" si="2"/>
        <v>MICHAEL DIPASQUALE</v>
      </c>
      <c r="I166" s="17">
        <v>46097</v>
      </c>
      <c r="J166" s="17">
        <v>46097</v>
      </c>
      <c r="K166" s="7">
        <v>79.25</v>
      </c>
      <c r="L166" s="7">
        <v>0.9</v>
      </c>
      <c r="M166" s="7">
        <v>71.33</v>
      </c>
      <c r="N166" s="13" t="s">
        <v>1029</v>
      </c>
      <c r="O166" s="21" t="s">
        <v>1040</v>
      </c>
      <c r="P166" s="21" t="s">
        <v>1041</v>
      </c>
      <c r="Q166" s="15">
        <f>DATEDIF(I166,J166,"M")</f>
        <v>0</v>
      </c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s="21" customFormat="1" x14ac:dyDescent="0.3">
      <c r="A167" s="11">
        <v>8977234</v>
      </c>
      <c r="B167" s="13" t="s">
        <v>133</v>
      </c>
      <c r="C167" s="13" t="s">
        <v>42</v>
      </c>
      <c r="D167" s="7">
        <v>6260060191</v>
      </c>
      <c r="E167" s="13" t="s">
        <v>737</v>
      </c>
      <c r="F167" s="13" t="s">
        <v>737</v>
      </c>
      <c r="G167" s="13" t="s">
        <v>1162</v>
      </c>
      <c r="H167" s="15" t="str">
        <f t="shared" si="2"/>
        <v>JUNE RAGLAND</v>
      </c>
      <c r="I167" s="17">
        <v>46097</v>
      </c>
      <c r="J167" s="17">
        <v>46097</v>
      </c>
      <c r="K167" s="7">
        <v>180.66</v>
      </c>
      <c r="L167" s="7">
        <v>0.9</v>
      </c>
      <c r="M167" s="7">
        <v>162.59</v>
      </c>
      <c r="N167" s="13" t="s">
        <v>1029</v>
      </c>
      <c r="O167" s="21" t="s">
        <v>1040</v>
      </c>
      <c r="P167" s="21" t="s">
        <v>1041</v>
      </c>
      <c r="Q167" s="15">
        <f>DATEDIF(I167,J167,"M")</f>
        <v>0</v>
      </c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s="21" customFormat="1" x14ac:dyDescent="0.3">
      <c r="A168" s="11">
        <v>17425766</v>
      </c>
      <c r="B168" s="13" t="s">
        <v>415</v>
      </c>
      <c r="C168" s="13" t="s">
        <v>42</v>
      </c>
      <c r="D168" s="7">
        <v>6260052027</v>
      </c>
      <c r="E168" s="13" t="s">
        <v>654</v>
      </c>
      <c r="F168" s="13" t="s">
        <v>654</v>
      </c>
      <c r="G168" s="13" t="s">
        <v>1163</v>
      </c>
      <c r="H168" s="15" t="str">
        <f t="shared" si="2"/>
        <v>VIRGINIA REGALADO</v>
      </c>
      <c r="I168" s="17">
        <v>46087</v>
      </c>
      <c r="J168" s="17">
        <v>46087</v>
      </c>
      <c r="K168" s="7">
        <v>144.33000000000001</v>
      </c>
      <c r="L168" s="7">
        <v>0.9</v>
      </c>
      <c r="M168" s="7">
        <v>129.9</v>
      </c>
      <c r="N168" s="13" t="s">
        <v>1029</v>
      </c>
      <c r="O168" s="21" t="s">
        <v>1040</v>
      </c>
      <c r="P168" s="21" t="s">
        <v>1041</v>
      </c>
      <c r="Q168" s="15">
        <f>DATEDIF(I168,J168,"M")</f>
        <v>0</v>
      </c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22"/>
    </row>
    <row r="169" spans="1:34" s="21" customFormat="1" x14ac:dyDescent="0.3">
      <c r="A169" s="14">
        <v>9213293</v>
      </c>
      <c r="B169" s="24" t="s">
        <v>41</v>
      </c>
      <c r="C169" s="24" t="s">
        <v>42</v>
      </c>
      <c r="D169" s="26">
        <v>7260033170</v>
      </c>
      <c r="E169" s="24" t="s">
        <v>44</v>
      </c>
      <c r="F169" s="24" t="s">
        <v>44</v>
      </c>
      <c r="G169" s="24" t="s">
        <v>1164</v>
      </c>
      <c r="H169" s="15" t="str">
        <f t="shared" si="2"/>
        <v>RAFAEL RIVERA</v>
      </c>
      <c r="I169" s="25">
        <v>46061</v>
      </c>
      <c r="J169" s="25">
        <v>46061</v>
      </c>
      <c r="K169" s="26">
        <v>48.54</v>
      </c>
      <c r="L169" s="26">
        <v>1.37</v>
      </c>
      <c r="M169" s="26">
        <v>66.5</v>
      </c>
      <c r="N169" s="24" t="s">
        <v>1027</v>
      </c>
      <c r="O169" s="21" t="s">
        <v>1040</v>
      </c>
      <c r="P169" s="21" t="s">
        <v>1041</v>
      </c>
      <c r="Q169" s="15">
        <f>DATEDIF(I169,J169,"M")</f>
        <v>0</v>
      </c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</row>
    <row r="170" spans="1:34" x14ac:dyDescent="0.3">
      <c r="A170" s="14">
        <v>9213293</v>
      </c>
      <c r="B170" t="s">
        <v>41</v>
      </c>
      <c r="C170" t="s">
        <v>42</v>
      </c>
      <c r="D170" s="6">
        <v>7260033170</v>
      </c>
      <c r="E170" t="s">
        <v>44</v>
      </c>
      <c r="F170" s="24" t="s">
        <v>44</v>
      </c>
      <c r="G170" s="24" t="s">
        <v>1164</v>
      </c>
      <c r="H170" s="15" t="str">
        <f t="shared" si="2"/>
        <v>RAFAEL RIVERA</v>
      </c>
      <c r="I170" s="25">
        <v>46061</v>
      </c>
      <c r="J170" s="25">
        <v>46061</v>
      </c>
      <c r="K170" s="6">
        <v>-48.54</v>
      </c>
      <c r="L170" s="6">
        <v>1.37</v>
      </c>
      <c r="M170" s="6">
        <v>-66.5</v>
      </c>
      <c r="N170" s="23" t="s">
        <v>1027</v>
      </c>
      <c r="O170" s="21" t="s">
        <v>1040</v>
      </c>
      <c r="P170" s="21" t="s">
        <v>1041</v>
      </c>
      <c r="Q170" s="15">
        <f>DATEDIF(I170,J170,"M")</f>
        <v>0</v>
      </c>
    </row>
    <row r="171" spans="1:34" s="22" customFormat="1" x14ac:dyDescent="0.3">
      <c r="A171" s="14">
        <v>9213293</v>
      </c>
      <c r="B171" s="24" t="s">
        <v>41</v>
      </c>
      <c r="C171" s="24" t="s">
        <v>42</v>
      </c>
      <c r="D171" s="26">
        <v>7260033170</v>
      </c>
      <c r="E171" s="24" t="s">
        <v>44</v>
      </c>
      <c r="F171" s="24" t="s">
        <v>44</v>
      </c>
      <c r="G171" s="24" t="s">
        <v>1164</v>
      </c>
      <c r="H171" s="15" t="str">
        <f t="shared" si="2"/>
        <v>RAFAEL RIVERA</v>
      </c>
      <c r="I171" s="25">
        <v>46061</v>
      </c>
      <c r="J171" s="25">
        <v>46061</v>
      </c>
      <c r="K171" s="26">
        <v>-48.54</v>
      </c>
      <c r="L171" s="26">
        <v>1.37</v>
      </c>
      <c r="M171" s="26">
        <v>-66.5</v>
      </c>
      <c r="N171" s="24" t="s">
        <v>1027</v>
      </c>
      <c r="O171" s="21" t="s">
        <v>1040</v>
      </c>
      <c r="P171" s="21" t="s">
        <v>1041</v>
      </c>
      <c r="Q171" s="15">
        <f>DATEDIF(I171,J171,"M")</f>
        <v>0</v>
      </c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</row>
    <row r="172" spans="1:34" s="21" customFormat="1" x14ac:dyDescent="0.3">
      <c r="A172" s="14">
        <v>9213293</v>
      </c>
      <c r="B172" s="24" t="s">
        <v>41</v>
      </c>
      <c r="C172" s="24" t="s">
        <v>42</v>
      </c>
      <c r="D172" s="26">
        <v>7260033170</v>
      </c>
      <c r="E172" s="24" t="s">
        <v>44</v>
      </c>
      <c r="F172" s="24" t="s">
        <v>44</v>
      </c>
      <c r="G172" s="24" t="s">
        <v>1164</v>
      </c>
      <c r="H172" s="15" t="str">
        <f t="shared" si="2"/>
        <v>RAFAEL RIVERA</v>
      </c>
      <c r="I172" s="25">
        <v>46061</v>
      </c>
      <c r="J172" s="25">
        <v>46061</v>
      </c>
      <c r="K172" s="26">
        <v>-48.54</v>
      </c>
      <c r="L172" s="26">
        <v>1.37</v>
      </c>
      <c r="M172" s="26">
        <v>-66.5</v>
      </c>
      <c r="N172" s="24" t="s">
        <v>1027</v>
      </c>
      <c r="O172" s="21" t="s">
        <v>1040</v>
      </c>
      <c r="P172" s="21" t="s">
        <v>1041</v>
      </c>
      <c r="Q172" s="15">
        <f>DATEDIF(I172,J172,"M")</f>
        <v>0</v>
      </c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</row>
    <row r="173" spans="1:34" x14ac:dyDescent="0.3">
      <c r="A173" s="14">
        <v>9213293</v>
      </c>
      <c r="B173" t="s">
        <v>41</v>
      </c>
      <c r="C173" t="s">
        <v>42</v>
      </c>
      <c r="D173" s="6">
        <v>7260033170</v>
      </c>
      <c r="E173" t="s">
        <v>44</v>
      </c>
      <c r="F173" s="24" t="s">
        <v>44</v>
      </c>
      <c r="G173" s="24" t="s">
        <v>1164</v>
      </c>
      <c r="H173" s="15" t="str">
        <f t="shared" si="2"/>
        <v>RAFAEL RIVERA</v>
      </c>
      <c r="I173" s="25">
        <v>46061</v>
      </c>
      <c r="J173" s="25">
        <v>46061</v>
      </c>
      <c r="K173" s="6">
        <v>48.54</v>
      </c>
      <c r="L173" s="6">
        <v>1.37</v>
      </c>
      <c r="M173" s="6">
        <v>66.5</v>
      </c>
      <c r="N173" s="23" t="s">
        <v>1027</v>
      </c>
      <c r="O173" s="21" t="s">
        <v>1040</v>
      </c>
      <c r="P173" s="21" t="s">
        <v>1041</v>
      </c>
      <c r="Q173" s="15">
        <f>DATEDIF(I173,J173,"M")</f>
        <v>0</v>
      </c>
    </row>
    <row r="174" spans="1:34" s="21" customFormat="1" x14ac:dyDescent="0.3">
      <c r="A174" s="14">
        <v>9213293</v>
      </c>
      <c r="B174" s="24" t="s">
        <v>41</v>
      </c>
      <c r="C174" s="24" t="s">
        <v>42</v>
      </c>
      <c r="D174" s="26">
        <v>7260033170</v>
      </c>
      <c r="E174" s="24" t="s">
        <v>44</v>
      </c>
      <c r="F174" s="24" t="s">
        <v>44</v>
      </c>
      <c r="G174" s="24" t="s">
        <v>1164</v>
      </c>
      <c r="H174" s="15" t="str">
        <f t="shared" si="2"/>
        <v>RAFAEL RIVERA</v>
      </c>
      <c r="I174" s="25">
        <v>46061</v>
      </c>
      <c r="J174" s="25">
        <v>46061</v>
      </c>
      <c r="K174" s="26">
        <v>-48.54</v>
      </c>
      <c r="L174" s="26">
        <v>1.37</v>
      </c>
      <c r="M174" s="26">
        <v>-66.5</v>
      </c>
      <c r="N174" s="24" t="s">
        <v>1027</v>
      </c>
      <c r="O174" s="21" t="s">
        <v>1040</v>
      </c>
      <c r="P174" s="21" t="s">
        <v>1041</v>
      </c>
      <c r="Q174" s="15">
        <f>DATEDIF(I174,J174,"M")</f>
        <v>0</v>
      </c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</row>
    <row r="175" spans="1:34" s="21" customFormat="1" x14ac:dyDescent="0.3">
      <c r="A175" s="14">
        <v>9213293</v>
      </c>
      <c r="B175" s="24" t="s">
        <v>41</v>
      </c>
      <c r="C175" s="24" t="s">
        <v>42</v>
      </c>
      <c r="D175" s="26">
        <v>7260033170</v>
      </c>
      <c r="E175" s="24" t="s">
        <v>44</v>
      </c>
      <c r="F175" s="24" t="s">
        <v>44</v>
      </c>
      <c r="G175" s="24" t="s">
        <v>1164</v>
      </c>
      <c r="H175" s="15" t="str">
        <f t="shared" si="2"/>
        <v>RAFAEL RIVERA</v>
      </c>
      <c r="I175" s="25">
        <v>46061</v>
      </c>
      <c r="J175" s="25">
        <v>46061</v>
      </c>
      <c r="K175" s="26">
        <v>48.54</v>
      </c>
      <c r="L175" s="26">
        <v>1.37</v>
      </c>
      <c r="M175" s="26">
        <v>66.5</v>
      </c>
      <c r="N175" s="24" t="s">
        <v>1027</v>
      </c>
      <c r="O175" s="21" t="s">
        <v>1040</v>
      </c>
      <c r="P175" s="21" t="s">
        <v>1041</v>
      </c>
      <c r="Q175" s="15">
        <f>DATEDIF(I175,J175,"M")</f>
        <v>0</v>
      </c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</row>
    <row r="176" spans="1:34" x14ac:dyDescent="0.3">
      <c r="A176" s="14">
        <v>9213293</v>
      </c>
      <c r="B176" t="s">
        <v>41</v>
      </c>
      <c r="C176" t="s">
        <v>42</v>
      </c>
      <c r="D176" s="6">
        <v>7260033170</v>
      </c>
      <c r="E176" t="s">
        <v>44</v>
      </c>
      <c r="F176" s="24" t="s">
        <v>44</v>
      </c>
      <c r="G176" s="24" t="s">
        <v>1164</v>
      </c>
      <c r="H176" s="15" t="str">
        <f t="shared" si="2"/>
        <v>RAFAEL RIVERA</v>
      </c>
      <c r="I176" s="25">
        <v>46061</v>
      </c>
      <c r="J176" s="25">
        <v>46061</v>
      </c>
      <c r="K176" s="6">
        <v>48.54</v>
      </c>
      <c r="L176" s="6">
        <v>1.37</v>
      </c>
      <c r="M176" s="6">
        <v>66.5</v>
      </c>
      <c r="N176" s="23" t="s">
        <v>1027</v>
      </c>
      <c r="O176" s="21" t="s">
        <v>1040</v>
      </c>
      <c r="P176" s="21" t="s">
        <v>1041</v>
      </c>
      <c r="Q176" s="15">
        <f>DATEDIF(I176,J176,"M")</f>
        <v>0</v>
      </c>
    </row>
    <row r="177" spans="1:34" x14ac:dyDescent="0.3">
      <c r="A177" s="11">
        <v>9213293</v>
      </c>
      <c r="B177" s="13" t="s">
        <v>41</v>
      </c>
      <c r="C177" s="13" t="s">
        <v>42</v>
      </c>
      <c r="D177" s="7">
        <v>7260068210</v>
      </c>
      <c r="E177" s="13" t="s">
        <v>308</v>
      </c>
      <c r="F177" s="13" t="s">
        <v>308</v>
      </c>
      <c r="G177" s="13" t="s">
        <v>1083</v>
      </c>
      <c r="H177" s="15" t="str">
        <f t="shared" si="2"/>
        <v>DONNA VINCENT</v>
      </c>
      <c r="I177" s="17">
        <v>46095</v>
      </c>
      <c r="J177" s="17">
        <v>46095</v>
      </c>
      <c r="K177" s="7">
        <v>69.58</v>
      </c>
      <c r="L177" s="7">
        <v>1.37</v>
      </c>
      <c r="M177" s="7">
        <v>95.32</v>
      </c>
      <c r="N177" s="13" t="s">
        <v>1027</v>
      </c>
      <c r="O177" s="21" t="s">
        <v>1040</v>
      </c>
      <c r="P177" s="21" t="s">
        <v>1041</v>
      </c>
      <c r="Q177" s="15">
        <f>DATEDIF(I177,J177,"M")</f>
        <v>0</v>
      </c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22"/>
    </row>
    <row r="178" spans="1:34" x14ac:dyDescent="0.3">
      <c r="A178" s="11">
        <v>9213293</v>
      </c>
      <c r="B178" s="13" t="s">
        <v>41</v>
      </c>
      <c r="C178" s="13" t="s">
        <v>42</v>
      </c>
      <c r="D178" s="7">
        <v>6260062055</v>
      </c>
      <c r="E178" s="13" t="s">
        <v>422</v>
      </c>
      <c r="F178" s="13" t="s">
        <v>422</v>
      </c>
      <c r="G178" s="13" t="s">
        <v>586</v>
      </c>
      <c r="H178" s="15" t="str">
        <f t="shared" si="2"/>
        <v>THOMAS ROBBINS</v>
      </c>
      <c r="I178" s="17">
        <v>46099</v>
      </c>
      <c r="J178" s="17">
        <v>46099</v>
      </c>
      <c r="K178" s="7">
        <v>50.42</v>
      </c>
      <c r="L178" s="7">
        <v>0.9</v>
      </c>
      <c r="M178" s="7">
        <v>45.38</v>
      </c>
      <c r="N178" s="13" t="s">
        <v>1029</v>
      </c>
      <c r="O178" s="21" t="s">
        <v>1040</v>
      </c>
      <c r="P178" s="21" t="s">
        <v>1041</v>
      </c>
      <c r="Q178" s="15">
        <f>DATEDIF(I178,J178,"M")</f>
        <v>0</v>
      </c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22"/>
    </row>
    <row r="179" spans="1:34" x14ac:dyDescent="0.3">
      <c r="A179" s="11">
        <v>9079571</v>
      </c>
      <c r="B179" s="13" t="s">
        <v>264</v>
      </c>
      <c r="C179" s="13" t="s">
        <v>42</v>
      </c>
      <c r="D179" s="7">
        <v>7260058500</v>
      </c>
      <c r="E179" s="13" t="s">
        <v>326</v>
      </c>
      <c r="F179" s="13" t="s">
        <v>326</v>
      </c>
      <c r="G179" s="13" t="s">
        <v>1147</v>
      </c>
      <c r="H179" s="15" t="str">
        <f t="shared" si="2"/>
        <v>DONALD KAUFFMAN</v>
      </c>
      <c r="I179" s="17">
        <v>46096</v>
      </c>
      <c r="J179" s="17">
        <v>46096</v>
      </c>
      <c r="K179" s="7">
        <v>-104.09</v>
      </c>
      <c r="L179" s="7">
        <v>1.37</v>
      </c>
      <c r="M179" s="7">
        <v>-142.6</v>
      </c>
      <c r="N179" s="13" t="s">
        <v>1027</v>
      </c>
      <c r="O179" s="21" t="s">
        <v>1040</v>
      </c>
      <c r="P179" s="21" t="s">
        <v>1041</v>
      </c>
      <c r="Q179" s="15">
        <f>DATEDIF(I179,J179,"M")</f>
        <v>0</v>
      </c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22"/>
    </row>
    <row r="180" spans="1:34" x14ac:dyDescent="0.3">
      <c r="A180" s="11">
        <v>9079571</v>
      </c>
      <c r="B180" s="13" t="s">
        <v>264</v>
      </c>
      <c r="C180" s="13" t="s">
        <v>42</v>
      </c>
      <c r="D180" s="7">
        <v>7260058500</v>
      </c>
      <c r="E180" s="13" t="s">
        <v>326</v>
      </c>
      <c r="F180" s="13" t="s">
        <v>326</v>
      </c>
      <c r="G180" s="13" t="s">
        <v>1147</v>
      </c>
      <c r="H180" s="15" t="str">
        <f t="shared" si="2"/>
        <v>DONALD KAUFFMAN</v>
      </c>
      <c r="I180" s="17">
        <v>46096</v>
      </c>
      <c r="J180" s="17">
        <v>46096</v>
      </c>
      <c r="K180" s="7">
        <v>104.09</v>
      </c>
      <c r="L180" s="7">
        <v>1.37</v>
      </c>
      <c r="M180" s="7">
        <v>142.6</v>
      </c>
      <c r="N180" s="13" t="s">
        <v>1027</v>
      </c>
      <c r="O180" s="21" t="s">
        <v>1040</v>
      </c>
      <c r="P180" s="21" t="s">
        <v>1041</v>
      </c>
      <c r="Q180" s="15">
        <f>DATEDIF(I180,J180,"M")</f>
        <v>0</v>
      </c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22"/>
    </row>
    <row r="181" spans="1:34" x14ac:dyDescent="0.3">
      <c r="A181" s="14" t="s">
        <v>1031</v>
      </c>
      <c r="B181" t="s">
        <v>82</v>
      </c>
      <c r="C181" t="s">
        <v>42</v>
      </c>
      <c r="D181" s="6">
        <v>6250205165</v>
      </c>
      <c r="E181" t="s">
        <v>84</v>
      </c>
      <c r="F181" s="24" t="s">
        <v>84</v>
      </c>
      <c r="G181" s="24" t="s">
        <v>1161</v>
      </c>
      <c r="H181" s="15" t="str">
        <f t="shared" si="2"/>
        <v>DAVID KIGER</v>
      </c>
      <c r="I181" s="25">
        <v>45996</v>
      </c>
      <c r="J181" s="25">
        <v>46086</v>
      </c>
      <c r="K181" s="6">
        <v>33.450000000000003</v>
      </c>
      <c r="L181" s="6">
        <v>0.9</v>
      </c>
      <c r="M181" s="6">
        <v>30.11</v>
      </c>
      <c r="N181" s="23" t="s">
        <v>1029</v>
      </c>
      <c r="O181" s="21" t="s">
        <v>1040</v>
      </c>
      <c r="P181" s="21" t="s">
        <v>1041</v>
      </c>
      <c r="Q181" s="15">
        <f>DATEDIF(I181,J181,"M")</f>
        <v>3</v>
      </c>
    </row>
    <row r="182" spans="1:34" x14ac:dyDescent="0.3">
      <c r="A182" s="14">
        <v>16228684</v>
      </c>
      <c r="B182" t="s">
        <v>126</v>
      </c>
      <c r="C182" t="s">
        <v>42</v>
      </c>
      <c r="D182" s="6">
        <v>7250259160</v>
      </c>
      <c r="E182" t="s">
        <v>184</v>
      </c>
      <c r="F182" s="24" t="s">
        <v>184</v>
      </c>
      <c r="G182" s="24" t="s">
        <v>1165</v>
      </c>
      <c r="H182" s="15" t="str">
        <f t="shared" si="2"/>
        <v>LENA OHANIAN</v>
      </c>
      <c r="I182" s="25">
        <v>46016</v>
      </c>
      <c r="J182" s="25">
        <v>46106</v>
      </c>
      <c r="K182" s="6">
        <v>5.03</v>
      </c>
      <c r="L182" s="6">
        <v>1.37</v>
      </c>
      <c r="M182" s="6">
        <v>6.89</v>
      </c>
      <c r="N182" s="23" t="s">
        <v>1027</v>
      </c>
      <c r="O182" s="21" t="s">
        <v>1040</v>
      </c>
      <c r="P182" s="21" t="s">
        <v>1041</v>
      </c>
      <c r="Q182" s="15">
        <f>DATEDIF(I182,J182,"M")</f>
        <v>3</v>
      </c>
    </row>
    <row r="183" spans="1:34" x14ac:dyDescent="0.3">
      <c r="A183" s="14">
        <v>16228684</v>
      </c>
      <c r="B183" t="s">
        <v>126</v>
      </c>
      <c r="C183" t="s">
        <v>42</v>
      </c>
      <c r="D183" s="6">
        <v>7250266530</v>
      </c>
      <c r="E183" t="s">
        <v>235</v>
      </c>
      <c r="F183" s="24" t="s">
        <v>235</v>
      </c>
      <c r="G183" s="24" t="s">
        <v>1166</v>
      </c>
      <c r="H183" s="15" t="str">
        <f t="shared" si="2"/>
        <v>KATHRYN HARRIS</v>
      </c>
      <c r="I183" s="25">
        <v>46019</v>
      </c>
      <c r="J183" s="25">
        <v>46109</v>
      </c>
      <c r="K183" s="6">
        <v>4.83</v>
      </c>
      <c r="L183" s="6">
        <v>1.37</v>
      </c>
      <c r="M183" s="6">
        <v>6.62</v>
      </c>
      <c r="N183" s="23" t="s">
        <v>1027</v>
      </c>
      <c r="O183" s="21" t="s">
        <v>1040</v>
      </c>
      <c r="P183" s="21" t="s">
        <v>1041</v>
      </c>
      <c r="Q183" s="15">
        <f>DATEDIF(I183,J183,"M")</f>
        <v>3</v>
      </c>
    </row>
    <row r="184" spans="1:34" x14ac:dyDescent="0.3">
      <c r="A184" s="14">
        <v>16228684</v>
      </c>
      <c r="B184" t="s">
        <v>126</v>
      </c>
      <c r="C184" t="s">
        <v>42</v>
      </c>
      <c r="D184" s="6">
        <v>7250259170</v>
      </c>
      <c r="E184" t="s">
        <v>184</v>
      </c>
      <c r="F184" s="24" t="s">
        <v>184</v>
      </c>
      <c r="G184" s="24" t="s">
        <v>1167</v>
      </c>
      <c r="H184" s="15" t="str">
        <f t="shared" si="2"/>
        <v>KEVORK OHANIAN</v>
      </c>
      <c r="I184" s="25">
        <v>46016</v>
      </c>
      <c r="J184" s="25">
        <v>46106</v>
      </c>
      <c r="K184" s="6">
        <v>149.72</v>
      </c>
      <c r="L184" s="6">
        <v>1.37</v>
      </c>
      <c r="M184" s="6">
        <v>205.12</v>
      </c>
      <c r="N184" s="23" t="s">
        <v>1027</v>
      </c>
      <c r="O184" s="21" t="s">
        <v>1040</v>
      </c>
      <c r="P184" s="21" t="s">
        <v>1041</v>
      </c>
      <c r="Q184" s="15">
        <f>DATEDIF(I184,J184,"M")</f>
        <v>3</v>
      </c>
    </row>
    <row r="185" spans="1:34" x14ac:dyDescent="0.3">
      <c r="A185" s="14">
        <v>16228684</v>
      </c>
      <c r="B185" t="s">
        <v>126</v>
      </c>
      <c r="C185" t="s">
        <v>42</v>
      </c>
      <c r="D185" s="6">
        <v>7250259170</v>
      </c>
      <c r="E185" t="s">
        <v>184</v>
      </c>
      <c r="F185" s="24" t="s">
        <v>184</v>
      </c>
      <c r="G185" s="24" t="s">
        <v>1167</v>
      </c>
      <c r="H185" s="15" t="str">
        <f t="shared" si="2"/>
        <v>KEVORK OHANIAN</v>
      </c>
      <c r="I185" s="25">
        <v>46016</v>
      </c>
      <c r="J185" s="25">
        <v>46106</v>
      </c>
      <c r="K185" s="6">
        <v>5.25</v>
      </c>
      <c r="L185" s="6">
        <v>1.37</v>
      </c>
      <c r="M185" s="6">
        <v>7.19</v>
      </c>
      <c r="N185" s="23" t="s">
        <v>1027</v>
      </c>
      <c r="O185" s="21" t="s">
        <v>1040</v>
      </c>
      <c r="P185" s="21" t="s">
        <v>1041</v>
      </c>
      <c r="Q185" s="15">
        <f>DATEDIF(I185,J185,"M")</f>
        <v>3</v>
      </c>
    </row>
    <row r="186" spans="1:34" x14ac:dyDescent="0.3">
      <c r="A186" s="14">
        <v>16228684</v>
      </c>
      <c r="B186" t="s">
        <v>126</v>
      </c>
      <c r="C186" t="s">
        <v>42</v>
      </c>
      <c r="D186" s="6">
        <v>7250259160</v>
      </c>
      <c r="E186" t="s">
        <v>184</v>
      </c>
      <c r="F186" s="24" t="s">
        <v>184</v>
      </c>
      <c r="G186" s="24" t="s">
        <v>1165</v>
      </c>
      <c r="H186" s="15" t="str">
        <f t="shared" si="2"/>
        <v>LENA OHANIAN</v>
      </c>
      <c r="I186" s="25">
        <v>46016</v>
      </c>
      <c r="J186" s="25">
        <v>46106</v>
      </c>
      <c r="K186" s="6">
        <v>102.64</v>
      </c>
      <c r="L186" s="6">
        <v>1.37</v>
      </c>
      <c r="M186" s="6">
        <v>140.62</v>
      </c>
      <c r="N186" s="23" t="s">
        <v>1027</v>
      </c>
      <c r="O186" s="21" t="s">
        <v>1040</v>
      </c>
      <c r="P186" s="21" t="s">
        <v>1041</v>
      </c>
      <c r="Q186" s="15">
        <f>DATEDIF(I186,J186,"M")</f>
        <v>3</v>
      </c>
    </row>
    <row r="187" spans="1:34" x14ac:dyDescent="0.3">
      <c r="A187" s="14">
        <v>16228684</v>
      </c>
      <c r="B187" t="s">
        <v>126</v>
      </c>
      <c r="C187" t="s">
        <v>42</v>
      </c>
      <c r="D187" s="6">
        <v>7250266530</v>
      </c>
      <c r="E187" t="s">
        <v>235</v>
      </c>
      <c r="F187" s="24" t="s">
        <v>235</v>
      </c>
      <c r="G187" s="24" t="s">
        <v>1166</v>
      </c>
      <c r="H187" s="15" t="str">
        <f t="shared" si="2"/>
        <v>KATHRYN HARRIS</v>
      </c>
      <c r="I187" s="25">
        <v>46019</v>
      </c>
      <c r="J187" s="25">
        <v>46109</v>
      </c>
      <c r="K187" s="6">
        <v>98.12</v>
      </c>
      <c r="L187" s="6">
        <v>1.37</v>
      </c>
      <c r="M187" s="6">
        <v>134.41999999999999</v>
      </c>
      <c r="N187" s="23" t="s">
        <v>1027</v>
      </c>
      <c r="O187" s="21" t="s">
        <v>1040</v>
      </c>
      <c r="P187" s="21" t="s">
        <v>1041</v>
      </c>
      <c r="Q187" s="15">
        <f>DATEDIF(I187,J187,"M")</f>
        <v>3</v>
      </c>
    </row>
    <row r="188" spans="1:34" x14ac:dyDescent="0.3">
      <c r="A188" s="14">
        <v>9079571</v>
      </c>
      <c r="B188" t="s">
        <v>264</v>
      </c>
      <c r="C188" t="s">
        <v>42</v>
      </c>
      <c r="D188" s="6">
        <v>6250206068</v>
      </c>
      <c r="E188" t="s">
        <v>922</v>
      </c>
      <c r="F188" s="24" t="s">
        <v>922</v>
      </c>
      <c r="G188" s="24" t="s">
        <v>1168</v>
      </c>
      <c r="H188" s="15" t="str">
        <f t="shared" si="2"/>
        <v>PATRICIA FORTIER</v>
      </c>
      <c r="I188" s="25">
        <v>45987</v>
      </c>
      <c r="J188" s="25">
        <v>46107</v>
      </c>
      <c r="K188" s="6">
        <v>76.010000000000005</v>
      </c>
      <c r="L188" s="6">
        <v>0.9</v>
      </c>
      <c r="M188" s="6">
        <v>68.41</v>
      </c>
      <c r="N188" s="23" t="s">
        <v>1029</v>
      </c>
      <c r="O188" s="21" t="s">
        <v>1040</v>
      </c>
      <c r="P188" s="21" t="s">
        <v>1041</v>
      </c>
      <c r="Q188" s="15">
        <f>DATEDIF(I188,J188,"M")</f>
        <v>4</v>
      </c>
    </row>
    <row r="189" spans="1:34" x14ac:dyDescent="0.3">
      <c r="A189" s="14">
        <v>16228684</v>
      </c>
      <c r="B189" t="s">
        <v>126</v>
      </c>
      <c r="C189" t="s">
        <v>42</v>
      </c>
      <c r="D189" s="6">
        <v>7250205603</v>
      </c>
      <c r="E189" t="s">
        <v>894</v>
      </c>
      <c r="F189" s="24" t="s">
        <v>894</v>
      </c>
      <c r="G189" s="24" t="s">
        <v>1169</v>
      </c>
      <c r="H189" s="15" t="str">
        <f t="shared" si="2"/>
        <v>DIANE JENNINGS</v>
      </c>
      <c r="I189" s="25">
        <v>45979</v>
      </c>
      <c r="J189" s="25">
        <v>46099</v>
      </c>
      <c r="K189" s="6">
        <v>38.26</v>
      </c>
      <c r="L189" s="6">
        <v>0.94499999999999995</v>
      </c>
      <c r="M189" s="6">
        <v>36.159999999999997</v>
      </c>
      <c r="N189" s="23" t="s">
        <v>1028</v>
      </c>
      <c r="O189" s="21" t="s">
        <v>1040</v>
      </c>
      <c r="P189" s="21" t="s">
        <v>1041</v>
      </c>
      <c r="Q189" s="15">
        <f>DATEDIF(I189,J189,"M")</f>
        <v>4</v>
      </c>
      <c r="AH189" s="10"/>
    </row>
    <row r="190" spans="1:34" x14ac:dyDescent="0.3">
      <c r="A190" s="14">
        <v>16228684</v>
      </c>
      <c r="B190" t="s">
        <v>126</v>
      </c>
      <c r="C190" t="s">
        <v>42</v>
      </c>
      <c r="D190" s="6">
        <v>7250195097</v>
      </c>
      <c r="E190" t="s">
        <v>358</v>
      </c>
      <c r="F190" s="24" t="s">
        <v>358</v>
      </c>
      <c r="G190" s="24" t="s">
        <v>1170</v>
      </c>
      <c r="H190" s="15" t="str">
        <f t="shared" si="2"/>
        <v>ANGELA EVANS</v>
      </c>
      <c r="I190" s="25">
        <v>45969</v>
      </c>
      <c r="J190" s="25">
        <v>46089</v>
      </c>
      <c r="K190" s="6">
        <v>3.92</v>
      </c>
      <c r="L190" s="6">
        <v>1.37</v>
      </c>
      <c r="M190" s="6">
        <v>5.37</v>
      </c>
      <c r="N190" s="23" t="s">
        <v>1027</v>
      </c>
      <c r="O190" s="21" t="s">
        <v>1040</v>
      </c>
      <c r="P190" s="21" t="s">
        <v>1041</v>
      </c>
      <c r="Q190" s="15">
        <f>DATEDIF(I190,J190,"M")</f>
        <v>4</v>
      </c>
    </row>
    <row r="191" spans="1:34" x14ac:dyDescent="0.3">
      <c r="A191" s="14">
        <v>16228684</v>
      </c>
      <c r="B191" t="s">
        <v>126</v>
      </c>
      <c r="C191" t="s">
        <v>42</v>
      </c>
      <c r="D191" s="6">
        <v>7250195078</v>
      </c>
      <c r="E191" t="s">
        <v>358</v>
      </c>
      <c r="F191" s="24" t="s">
        <v>358</v>
      </c>
      <c r="G191" s="24" t="s">
        <v>1171</v>
      </c>
      <c r="H191" s="15" t="str">
        <f t="shared" si="2"/>
        <v>PEGGIE EVANS</v>
      </c>
      <c r="I191" s="25">
        <v>45969</v>
      </c>
      <c r="J191" s="25">
        <v>46089</v>
      </c>
      <c r="K191" s="6">
        <v>179.87</v>
      </c>
      <c r="L191" s="6">
        <v>1.37</v>
      </c>
      <c r="M191" s="6">
        <v>246.42</v>
      </c>
      <c r="N191" s="23" t="s">
        <v>1027</v>
      </c>
      <c r="O191" s="21" t="s">
        <v>1040</v>
      </c>
      <c r="P191" s="21" t="s">
        <v>1041</v>
      </c>
      <c r="Q191" s="15">
        <f>DATEDIF(I191,J191,"M")</f>
        <v>4</v>
      </c>
    </row>
    <row r="192" spans="1:34" s="22" customFormat="1" x14ac:dyDescent="0.3">
      <c r="A192" s="14">
        <v>16228684</v>
      </c>
      <c r="B192" s="24" t="s">
        <v>126</v>
      </c>
      <c r="C192" s="24" t="s">
        <v>42</v>
      </c>
      <c r="D192" s="26">
        <v>7250195097</v>
      </c>
      <c r="E192" s="24" t="s">
        <v>358</v>
      </c>
      <c r="F192" s="24" t="s">
        <v>358</v>
      </c>
      <c r="G192" s="24" t="s">
        <v>1170</v>
      </c>
      <c r="H192" s="15" t="str">
        <f t="shared" si="2"/>
        <v>ANGELA EVANS</v>
      </c>
      <c r="I192" s="25">
        <v>45969</v>
      </c>
      <c r="J192" s="25">
        <v>46089</v>
      </c>
      <c r="K192" s="26">
        <v>70.58</v>
      </c>
      <c r="L192" s="26">
        <v>1.37</v>
      </c>
      <c r="M192" s="26">
        <v>96.69</v>
      </c>
      <c r="N192" s="24" t="s">
        <v>1027</v>
      </c>
      <c r="O192" s="21" t="s">
        <v>1040</v>
      </c>
      <c r="P192" s="21" t="s">
        <v>1041</v>
      </c>
      <c r="Q192" s="15">
        <f>DATEDIF(I192,J192,"M")</f>
        <v>4</v>
      </c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</row>
    <row r="193" spans="1:34" s="22" customFormat="1" x14ac:dyDescent="0.3">
      <c r="A193" s="14">
        <v>19491313</v>
      </c>
      <c r="B193" s="24" t="s">
        <v>102</v>
      </c>
      <c r="C193" s="24" t="s">
        <v>42</v>
      </c>
      <c r="D193" s="26">
        <v>7250184438</v>
      </c>
      <c r="E193" s="24" t="s">
        <v>801</v>
      </c>
      <c r="F193" s="24" t="s">
        <v>801</v>
      </c>
      <c r="G193" s="24" t="s">
        <v>1172</v>
      </c>
      <c r="H193" s="15" t="str">
        <f t="shared" si="2"/>
        <v>DENA DEBATTISTA</v>
      </c>
      <c r="I193" s="25">
        <v>45945</v>
      </c>
      <c r="J193" s="25">
        <v>46096</v>
      </c>
      <c r="K193" s="26">
        <v>58.24</v>
      </c>
      <c r="L193" s="26">
        <v>1.37</v>
      </c>
      <c r="M193" s="26">
        <v>79.790000000000006</v>
      </c>
      <c r="N193" s="24" t="s">
        <v>1027</v>
      </c>
      <c r="O193" s="21" t="s">
        <v>1040</v>
      </c>
      <c r="P193" s="21" t="s">
        <v>1041</v>
      </c>
      <c r="Q193" s="15">
        <f>DATEDIF(I193,J193,"M")</f>
        <v>5</v>
      </c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</row>
    <row r="194" spans="1:34" x14ac:dyDescent="0.3">
      <c r="A194" s="14">
        <v>8977234</v>
      </c>
      <c r="B194" t="s">
        <v>133</v>
      </c>
      <c r="C194" t="s">
        <v>42</v>
      </c>
      <c r="D194" s="6">
        <v>6250161714</v>
      </c>
      <c r="E194" t="s">
        <v>1002</v>
      </c>
      <c r="F194" s="24" t="s">
        <v>1002</v>
      </c>
      <c r="G194" s="24" t="s">
        <v>1077</v>
      </c>
      <c r="H194" s="15" t="str">
        <f t="shared" si="2"/>
        <v>RICHARD FILIPPO</v>
      </c>
      <c r="I194" s="25">
        <v>45952</v>
      </c>
      <c r="J194" s="25">
        <v>46103</v>
      </c>
      <c r="K194" s="6">
        <v>127.4</v>
      </c>
      <c r="L194" s="6">
        <v>0.9</v>
      </c>
      <c r="M194" s="6">
        <v>114.66</v>
      </c>
      <c r="N194" s="23" t="s">
        <v>1029</v>
      </c>
      <c r="O194" s="21" t="s">
        <v>1040</v>
      </c>
      <c r="P194" s="21" t="s">
        <v>1041</v>
      </c>
      <c r="Q194" s="15">
        <f>DATEDIF(I194,J194,"M")</f>
        <v>5</v>
      </c>
    </row>
    <row r="195" spans="1:34" x14ac:dyDescent="0.3">
      <c r="A195" s="14">
        <v>9213293</v>
      </c>
      <c r="B195" t="s">
        <v>41</v>
      </c>
      <c r="C195" t="s">
        <v>42</v>
      </c>
      <c r="D195" s="6">
        <v>6250171855</v>
      </c>
      <c r="E195" t="s">
        <v>870</v>
      </c>
      <c r="F195" s="24" t="s">
        <v>870</v>
      </c>
      <c r="G195" s="24" t="s">
        <v>1173</v>
      </c>
      <c r="H195" s="15" t="str">
        <f t="shared" ref="H195:H258" si="3">_xlfn.CONCAT(G195, " ",F195)</f>
        <v>ALFRED SILVA</v>
      </c>
      <c r="I195" s="25">
        <v>45937</v>
      </c>
      <c r="J195" s="25">
        <v>46088</v>
      </c>
      <c r="K195" s="6">
        <v>112.77</v>
      </c>
      <c r="L195" s="6">
        <v>0.9</v>
      </c>
      <c r="M195" s="6">
        <v>101.49</v>
      </c>
      <c r="N195" s="23" t="s">
        <v>1029</v>
      </c>
      <c r="O195" s="21" t="s">
        <v>1040</v>
      </c>
      <c r="P195" s="21" t="s">
        <v>1041</v>
      </c>
      <c r="Q195" s="15">
        <f>DATEDIF(I195,J195,"M")</f>
        <v>5</v>
      </c>
    </row>
    <row r="196" spans="1:34" x14ac:dyDescent="0.3">
      <c r="A196" s="14">
        <v>16228684</v>
      </c>
      <c r="B196" t="s">
        <v>126</v>
      </c>
      <c r="C196" t="s">
        <v>42</v>
      </c>
      <c r="D196" s="6">
        <v>7250204150</v>
      </c>
      <c r="E196" t="s">
        <v>179</v>
      </c>
      <c r="F196" s="24" t="s">
        <v>179</v>
      </c>
      <c r="G196" s="24" t="s">
        <v>1142</v>
      </c>
      <c r="H196" s="15" t="str">
        <f t="shared" si="3"/>
        <v>ALAN HARDY</v>
      </c>
      <c r="I196" s="25">
        <v>45952</v>
      </c>
      <c r="J196" s="25">
        <v>46103</v>
      </c>
      <c r="K196" s="6">
        <v>228.47</v>
      </c>
      <c r="L196" s="6">
        <v>1.37</v>
      </c>
      <c r="M196" s="6">
        <v>313</v>
      </c>
      <c r="N196" s="23" t="s">
        <v>1027</v>
      </c>
      <c r="O196" s="21" t="s">
        <v>1040</v>
      </c>
      <c r="P196" s="21" t="s">
        <v>1041</v>
      </c>
      <c r="Q196" s="15">
        <f>DATEDIF(I196,J196,"M")</f>
        <v>5</v>
      </c>
    </row>
    <row r="197" spans="1:34" s="22" customFormat="1" x14ac:dyDescent="0.3">
      <c r="A197" s="14">
        <v>16228684</v>
      </c>
      <c r="B197" s="24" t="s">
        <v>126</v>
      </c>
      <c r="C197" s="24" t="s">
        <v>42</v>
      </c>
      <c r="D197" s="26">
        <v>7250193100</v>
      </c>
      <c r="E197" s="24" t="s">
        <v>427</v>
      </c>
      <c r="F197" s="24" t="s">
        <v>427</v>
      </c>
      <c r="G197" s="24" t="s">
        <v>1174</v>
      </c>
      <c r="H197" s="15" t="str">
        <f t="shared" si="3"/>
        <v>JOAN SANTANGELO</v>
      </c>
      <c r="I197" s="25">
        <v>45940</v>
      </c>
      <c r="J197" s="25">
        <v>46091</v>
      </c>
      <c r="K197" s="26">
        <v>102.77</v>
      </c>
      <c r="L197" s="26">
        <v>1.37</v>
      </c>
      <c r="M197" s="26">
        <v>140.79</v>
      </c>
      <c r="N197" s="24" t="s">
        <v>1027</v>
      </c>
      <c r="O197" s="21" t="s">
        <v>1040</v>
      </c>
      <c r="P197" s="21" t="s">
        <v>1041</v>
      </c>
      <c r="Q197" s="15">
        <f>DATEDIF(I197,J197,"M")</f>
        <v>5</v>
      </c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</row>
    <row r="198" spans="1:34" s="22" customFormat="1" x14ac:dyDescent="0.3">
      <c r="A198" s="14">
        <v>16228684</v>
      </c>
      <c r="B198" s="24" t="s">
        <v>126</v>
      </c>
      <c r="C198" s="24" t="s">
        <v>42</v>
      </c>
      <c r="D198" s="26">
        <v>7250193100</v>
      </c>
      <c r="E198" s="24" t="s">
        <v>427</v>
      </c>
      <c r="F198" s="24" t="s">
        <v>427</v>
      </c>
      <c r="G198" s="24" t="s">
        <v>1174</v>
      </c>
      <c r="H198" s="15" t="str">
        <f t="shared" si="3"/>
        <v>JOAN SANTANGELO</v>
      </c>
      <c r="I198" s="25">
        <v>45940</v>
      </c>
      <c r="J198" s="25">
        <v>46091</v>
      </c>
      <c r="K198" s="26">
        <v>5.07</v>
      </c>
      <c r="L198" s="26">
        <v>1.37</v>
      </c>
      <c r="M198" s="26">
        <v>6.95</v>
      </c>
      <c r="N198" s="24" t="s">
        <v>1027</v>
      </c>
      <c r="O198" s="21" t="s">
        <v>1040</v>
      </c>
      <c r="P198" s="21" t="s">
        <v>1041</v>
      </c>
      <c r="Q198" s="15">
        <f>DATEDIF(I198,J198,"M")</f>
        <v>5</v>
      </c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</row>
    <row r="199" spans="1:34" s="10" customFormat="1" x14ac:dyDescent="0.3">
      <c r="A199" s="14">
        <v>19491313</v>
      </c>
      <c r="B199" s="24" t="s">
        <v>102</v>
      </c>
      <c r="C199" s="24" t="s">
        <v>42</v>
      </c>
      <c r="D199" s="26">
        <v>7250149956</v>
      </c>
      <c r="E199" s="24" t="s">
        <v>658</v>
      </c>
      <c r="F199" s="24" t="s">
        <v>658</v>
      </c>
      <c r="G199" s="24" t="s">
        <v>1175</v>
      </c>
      <c r="H199" s="15" t="str">
        <f t="shared" si="3"/>
        <v>LARRY WENT</v>
      </c>
      <c r="I199" s="25">
        <v>45920</v>
      </c>
      <c r="J199" s="25">
        <v>46101</v>
      </c>
      <c r="K199" s="26">
        <v>48.96</v>
      </c>
      <c r="L199" s="26">
        <v>0.94499999999999995</v>
      </c>
      <c r="M199" s="26">
        <v>46.27</v>
      </c>
      <c r="N199" s="24" t="s">
        <v>1028</v>
      </c>
      <c r="O199" s="21" t="s">
        <v>1040</v>
      </c>
      <c r="P199" s="21" t="s">
        <v>1041</v>
      </c>
      <c r="Q199" s="15">
        <f>DATEDIF(I199,J199,"M")</f>
        <v>6</v>
      </c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</row>
    <row r="200" spans="1:34" s="10" customFormat="1" x14ac:dyDescent="0.3">
      <c r="A200" s="14">
        <v>19491313</v>
      </c>
      <c r="B200" s="24" t="s">
        <v>102</v>
      </c>
      <c r="C200" s="24" t="s">
        <v>42</v>
      </c>
      <c r="D200" s="26">
        <v>7250186205</v>
      </c>
      <c r="E200" s="24" t="s">
        <v>686</v>
      </c>
      <c r="F200" s="24" t="s">
        <v>686</v>
      </c>
      <c r="G200" s="24" t="s">
        <v>1176</v>
      </c>
      <c r="H200" s="15" t="str">
        <f t="shared" si="3"/>
        <v>MICHELLE GARY</v>
      </c>
      <c r="I200" s="25">
        <v>45932</v>
      </c>
      <c r="J200" s="25">
        <v>46114</v>
      </c>
      <c r="K200" s="26">
        <v>29.6</v>
      </c>
      <c r="L200" s="26">
        <v>0.94499999999999995</v>
      </c>
      <c r="M200" s="26">
        <v>27.97</v>
      </c>
      <c r="N200" s="24" t="s">
        <v>1028</v>
      </c>
      <c r="O200" s="21" t="s">
        <v>1040</v>
      </c>
      <c r="P200" s="21" t="s">
        <v>1041</v>
      </c>
      <c r="Q200" s="15">
        <f>DATEDIF(I200,J200,"M")</f>
        <v>6</v>
      </c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</row>
    <row r="201" spans="1:34" x14ac:dyDescent="0.3">
      <c r="A201" s="14">
        <v>19491313</v>
      </c>
      <c r="B201" t="s">
        <v>102</v>
      </c>
      <c r="C201" t="s">
        <v>42</v>
      </c>
      <c r="D201" s="6">
        <v>7250169502</v>
      </c>
      <c r="E201" t="s">
        <v>449</v>
      </c>
      <c r="F201" s="24" t="s">
        <v>449</v>
      </c>
      <c r="G201" s="24" t="s">
        <v>1177</v>
      </c>
      <c r="H201" s="15" t="str">
        <f t="shared" si="3"/>
        <v>DARYL LIST</v>
      </c>
      <c r="I201" s="25">
        <v>45910</v>
      </c>
      <c r="J201" s="25">
        <v>46091</v>
      </c>
      <c r="K201" s="6">
        <v>51.07</v>
      </c>
      <c r="L201" s="6">
        <v>0.94499999999999995</v>
      </c>
      <c r="M201" s="6">
        <v>48.26</v>
      </c>
      <c r="N201" s="23" t="s">
        <v>1028</v>
      </c>
      <c r="O201" s="21" t="s">
        <v>1040</v>
      </c>
      <c r="P201" s="21" t="s">
        <v>1041</v>
      </c>
      <c r="Q201" s="15">
        <f>DATEDIF(I201,J201,"M")</f>
        <v>6</v>
      </c>
    </row>
    <row r="202" spans="1:34" x14ac:dyDescent="0.3">
      <c r="A202" s="14">
        <v>19491313</v>
      </c>
      <c r="B202" t="s">
        <v>102</v>
      </c>
      <c r="C202" t="s">
        <v>42</v>
      </c>
      <c r="D202" s="6">
        <v>7250149911</v>
      </c>
      <c r="E202" t="s">
        <v>658</v>
      </c>
      <c r="F202" s="24" t="s">
        <v>658</v>
      </c>
      <c r="G202" s="24" t="s">
        <v>1123</v>
      </c>
      <c r="H202" s="15" t="str">
        <f t="shared" si="3"/>
        <v>KIMBERLY WENT</v>
      </c>
      <c r="I202" s="25">
        <v>45920</v>
      </c>
      <c r="J202" s="25">
        <v>46101</v>
      </c>
      <c r="K202" s="6">
        <v>32.270000000000003</v>
      </c>
      <c r="L202" s="6">
        <v>0.94499999999999995</v>
      </c>
      <c r="M202" s="6">
        <v>30.5</v>
      </c>
      <c r="N202" s="23" t="s">
        <v>1028</v>
      </c>
      <c r="O202" s="21" t="s">
        <v>1040</v>
      </c>
      <c r="P202" s="21" t="s">
        <v>1041</v>
      </c>
      <c r="Q202" s="15">
        <f>DATEDIF(I202,J202,"M")</f>
        <v>6</v>
      </c>
    </row>
    <row r="203" spans="1:34" x14ac:dyDescent="0.3">
      <c r="A203" s="14">
        <v>19491313</v>
      </c>
      <c r="B203" t="s">
        <v>102</v>
      </c>
      <c r="C203" t="s">
        <v>42</v>
      </c>
      <c r="D203" s="6">
        <v>7250171145</v>
      </c>
      <c r="E203" t="s">
        <v>273</v>
      </c>
      <c r="F203" s="24" t="s">
        <v>273</v>
      </c>
      <c r="G203" s="24" t="s">
        <v>1178</v>
      </c>
      <c r="H203" s="15" t="str">
        <f t="shared" si="3"/>
        <v>LOLA FLORY</v>
      </c>
      <c r="I203" s="25">
        <v>45920</v>
      </c>
      <c r="J203" s="25">
        <v>46101</v>
      </c>
      <c r="K203" s="6">
        <v>52.8</v>
      </c>
      <c r="L203" s="6">
        <v>1.37</v>
      </c>
      <c r="M203" s="6">
        <v>72.34</v>
      </c>
      <c r="N203" s="23" t="s">
        <v>1027</v>
      </c>
      <c r="O203" s="21" t="s">
        <v>1040</v>
      </c>
      <c r="P203" s="21" t="s">
        <v>1041</v>
      </c>
      <c r="Q203" s="15">
        <f>DATEDIF(I203,J203,"M")</f>
        <v>6</v>
      </c>
    </row>
    <row r="204" spans="1:34" x14ac:dyDescent="0.3">
      <c r="A204" s="14">
        <v>19491313</v>
      </c>
      <c r="B204" t="s">
        <v>102</v>
      </c>
      <c r="C204" t="s">
        <v>42</v>
      </c>
      <c r="D204" s="6">
        <v>7250169460</v>
      </c>
      <c r="E204" t="s">
        <v>449</v>
      </c>
      <c r="F204" s="24" t="s">
        <v>449</v>
      </c>
      <c r="G204" s="24" t="s">
        <v>1081</v>
      </c>
      <c r="H204" s="15" t="str">
        <f t="shared" si="3"/>
        <v>MARY LIST</v>
      </c>
      <c r="I204" s="25">
        <v>45910</v>
      </c>
      <c r="J204" s="25">
        <v>46091</v>
      </c>
      <c r="K204" s="6">
        <v>28</v>
      </c>
      <c r="L204" s="6">
        <v>1.37</v>
      </c>
      <c r="M204" s="6">
        <v>38.36</v>
      </c>
      <c r="N204" s="23" t="s">
        <v>1027</v>
      </c>
      <c r="O204" s="21" t="s">
        <v>1040</v>
      </c>
      <c r="P204" s="21" t="s">
        <v>1041</v>
      </c>
      <c r="Q204" s="15">
        <f>DATEDIF(I204,J204,"M")</f>
        <v>6</v>
      </c>
    </row>
    <row r="205" spans="1:34" x14ac:dyDescent="0.3">
      <c r="A205" s="14">
        <v>19491313</v>
      </c>
      <c r="B205" t="s">
        <v>102</v>
      </c>
      <c r="C205" t="s">
        <v>42</v>
      </c>
      <c r="D205" s="6">
        <v>7250152061</v>
      </c>
      <c r="E205" t="s">
        <v>466</v>
      </c>
      <c r="F205" s="24" t="s">
        <v>466</v>
      </c>
      <c r="G205" s="24" t="s">
        <v>1043</v>
      </c>
      <c r="H205" s="15" t="str">
        <f t="shared" si="3"/>
        <v>MICHAEL MCCLELLAN</v>
      </c>
      <c r="I205" s="25">
        <v>45901</v>
      </c>
      <c r="J205" s="25">
        <v>46082</v>
      </c>
      <c r="K205" s="6">
        <v>61.81</v>
      </c>
      <c r="L205" s="6">
        <v>1.37</v>
      </c>
      <c r="M205" s="6">
        <v>84.68</v>
      </c>
      <c r="N205" s="23" t="s">
        <v>1027</v>
      </c>
      <c r="O205" s="21" t="s">
        <v>1040</v>
      </c>
      <c r="P205" s="21" t="s">
        <v>1041</v>
      </c>
      <c r="Q205" s="15">
        <f>DATEDIF(I205,J205,"M")</f>
        <v>6</v>
      </c>
    </row>
    <row r="206" spans="1:34" x14ac:dyDescent="0.3">
      <c r="A206" s="14">
        <v>19491313</v>
      </c>
      <c r="B206" t="s">
        <v>102</v>
      </c>
      <c r="C206" t="s">
        <v>42</v>
      </c>
      <c r="D206" s="6">
        <v>7250171087</v>
      </c>
      <c r="E206" t="s">
        <v>273</v>
      </c>
      <c r="F206" s="24" t="s">
        <v>273</v>
      </c>
      <c r="G206" s="24" t="s">
        <v>1113</v>
      </c>
      <c r="H206" s="15" t="str">
        <f t="shared" si="3"/>
        <v>JOSEPH FLORY</v>
      </c>
      <c r="I206" s="25">
        <v>45920</v>
      </c>
      <c r="J206" s="25">
        <v>46101</v>
      </c>
      <c r="K206" s="6">
        <v>77.55</v>
      </c>
      <c r="L206" s="6">
        <v>1.37</v>
      </c>
      <c r="M206" s="6">
        <v>106.24</v>
      </c>
      <c r="N206" s="23" t="s">
        <v>1027</v>
      </c>
      <c r="O206" s="21" t="s">
        <v>1040</v>
      </c>
      <c r="P206" s="21" t="s">
        <v>1041</v>
      </c>
      <c r="Q206" s="15">
        <f>DATEDIF(I206,J206,"M")</f>
        <v>6</v>
      </c>
    </row>
    <row r="207" spans="1:34" s="10" customFormat="1" x14ac:dyDescent="0.3">
      <c r="A207" s="14">
        <v>19491313</v>
      </c>
      <c r="B207" s="24" t="s">
        <v>102</v>
      </c>
      <c r="C207" s="24" t="s">
        <v>42</v>
      </c>
      <c r="D207" s="26">
        <v>7250168418</v>
      </c>
      <c r="E207" s="24" t="s">
        <v>907</v>
      </c>
      <c r="F207" s="24" t="s">
        <v>907</v>
      </c>
      <c r="G207" s="24" t="s">
        <v>1179</v>
      </c>
      <c r="H207" s="15" t="str">
        <f t="shared" si="3"/>
        <v>PAMELA MILLS</v>
      </c>
      <c r="I207" s="25">
        <v>45908</v>
      </c>
      <c r="J207" s="25">
        <v>46089</v>
      </c>
      <c r="K207" s="26">
        <v>69.59</v>
      </c>
      <c r="L207" s="26">
        <v>1.37</v>
      </c>
      <c r="M207" s="26">
        <v>95.34</v>
      </c>
      <c r="N207" s="24" t="s">
        <v>1027</v>
      </c>
      <c r="O207" s="21" t="s">
        <v>1040</v>
      </c>
      <c r="P207" s="21" t="s">
        <v>1041</v>
      </c>
      <c r="Q207" s="15">
        <f>DATEDIF(I207,J207,"M")</f>
        <v>6</v>
      </c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</row>
    <row r="208" spans="1:34" x14ac:dyDescent="0.3">
      <c r="A208" s="14">
        <v>9213293</v>
      </c>
      <c r="B208" t="s">
        <v>41</v>
      </c>
      <c r="C208" t="s">
        <v>42</v>
      </c>
      <c r="D208" s="6">
        <v>6250158506</v>
      </c>
      <c r="E208" t="s">
        <v>771</v>
      </c>
      <c r="F208" s="24" t="s">
        <v>771</v>
      </c>
      <c r="G208" s="24" t="s">
        <v>1180</v>
      </c>
      <c r="H208" s="15" t="str">
        <f t="shared" si="3"/>
        <v>LIA SANDOVAL</v>
      </c>
      <c r="I208" s="25">
        <v>45916</v>
      </c>
      <c r="J208" s="25">
        <v>46097</v>
      </c>
      <c r="K208" s="6">
        <v>74.069999999999993</v>
      </c>
      <c r="L208" s="6">
        <v>0.9</v>
      </c>
      <c r="M208" s="6">
        <v>66.66</v>
      </c>
      <c r="N208" s="23" t="s">
        <v>1029</v>
      </c>
      <c r="O208" s="21" t="s">
        <v>1040</v>
      </c>
      <c r="P208" s="21" t="s">
        <v>1041</v>
      </c>
      <c r="Q208" s="15">
        <f>DATEDIF(I208,J208,"M")</f>
        <v>6</v>
      </c>
    </row>
    <row r="209" spans="1:34" x14ac:dyDescent="0.3">
      <c r="A209" s="14">
        <v>9213293</v>
      </c>
      <c r="B209" t="s">
        <v>41</v>
      </c>
      <c r="C209" t="s">
        <v>42</v>
      </c>
      <c r="D209" s="6">
        <v>6250169468</v>
      </c>
      <c r="E209" t="s">
        <v>925</v>
      </c>
      <c r="F209" s="24" t="s">
        <v>925</v>
      </c>
      <c r="G209" s="24" t="s">
        <v>1181</v>
      </c>
      <c r="H209" s="15" t="str">
        <f t="shared" si="3"/>
        <v>PIEDAD ZAFIRIADIS</v>
      </c>
      <c r="I209" s="25">
        <v>45932</v>
      </c>
      <c r="J209" s="25">
        <v>46114</v>
      </c>
      <c r="K209" s="6">
        <v>79.150000000000006</v>
      </c>
      <c r="L209" s="6">
        <v>0.9</v>
      </c>
      <c r="M209" s="6">
        <v>71.239999999999995</v>
      </c>
      <c r="N209" s="23" t="s">
        <v>1029</v>
      </c>
      <c r="O209" s="21" t="s">
        <v>1040</v>
      </c>
      <c r="P209" s="21" t="s">
        <v>1041</v>
      </c>
      <c r="Q209" s="15">
        <f>DATEDIF(I209,J209,"M")</f>
        <v>6</v>
      </c>
    </row>
    <row r="210" spans="1:34" x14ac:dyDescent="0.3">
      <c r="A210" s="14">
        <v>9079571</v>
      </c>
      <c r="B210" t="s">
        <v>264</v>
      </c>
      <c r="C210" t="s">
        <v>42</v>
      </c>
      <c r="D210" s="6">
        <v>7250182035</v>
      </c>
      <c r="E210" t="s">
        <v>278</v>
      </c>
      <c r="F210" s="24" t="s">
        <v>278</v>
      </c>
      <c r="G210" s="24" t="s">
        <v>1182</v>
      </c>
      <c r="H210" s="15" t="str">
        <f t="shared" si="3"/>
        <v>HENRY MELLO</v>
      </c>
      <c r="I210" s="25">
        <v>45923</v>
      </c>
      <c r="J210" s="25">
        <v>46104</v>
      </c>
      <c r="K210" s="6">
        <v>111.01</v>
      </c>
      <c r="L210" s="6">
        <v>0.94499999999999995</v>
      </c>
      <c r="M210" s="6">
        <v>104.9</v>
      </c>
      <c r="N210" s="23" t="s">
        <v>1028</v>
      </c>
      <c r="O210" s="21" t="s">
        <v>1040</v>
      </c>
      <c r="P210" s="21" t="s">
        <v>1041</v>
      </c>
      <c r="Q210" s="15">
        <f>DATEDIF(I210,J210,"M")</f>
        <v>6</v>
      </c>
    </row>
    <row r="211" spans="1:34" x14ac:dyDescent="0.3">
      <c r="A211" s="14">
        <v>9079571</v>
      </c>
      <c r="B211" t="s">
        <v>264</v>
      </c>
      <c r="C211" t="s">
        <v>42</v>
      </c>
      <c r="D211" s="6">
        <v>7250170394</v>
      </c>
      <c r="E211" t="s">
        <v>266</v>
      </c>
      <c r="F211" s="24" t="s">
        <v>266</v>
      </c>
      <c r="G211" s="24" t="s">
        <v>1183</v>
      </c>
      <c r="H211" s="15" t="str">
        <f t="shared" si="3"/>
        <v>SALVATORA TYLER</v>
      </c>
      <c r="I211" s="25">
        <v>45910</v>
      </c>
      <c r="J211" s="25">
        <v>46091</v>
      </c>
      <c r="K211" s="6">
        <v>55.58</v>
      </c>
      <c r="L211" s="6">
        <v>1.37</v>
      </c>
      <c r="M211" s="6">
        <v>76.14</v>
      </c>
      <c r="N211" s="23" t="s">
        <v>1027</v>
      </c>
      <c r="O211" s="21" t="s">
        <v>1040</v>
      </c>
      <c r="P211" s="21" t="s">
        <v>1041</v>
      </c>
      <c r="Q211" s="15">
        <f>DATEDIF(I211,J211,"M")</f>
        <v>6</v>
      </c>
    </row>
    <row r="212" spans="1:34" x14ac:dyDescent="0.3">
      <c r="A212" s="14">
        <v>16228684</v>
      </c>
      <c r="B212" t="s">
        <v>126</v>
      </c>
      <c r="C212" t="s">
        <v>42</v>
      </c>
      <c r="D212" s="6">
        <v>7250171748</v>
      </c>
      <c r="E212" t="s">
        <v>586</v>
      </c>
      <c r="F212" s="24" t="s">
        <v>586</v>
      </c>
      <c r="G212" s="24" t="s">
        <v>1096</v>
      </c>
      <c r="H212" s="15" t="str">
        <f t="shared" si="3"/>
        <v>CHARLES THOMAS</v>
      </c>
      <c r="I212" s="25">
        <v>45912</v>
      </c>
      <c r="J212" s="25">
        <v>46093</v>
      </c>
      <c r="K212" s="6">
        <v>177.84</v>
      </c>
      <c r="L212" s="6">
        <v>0.94499999999999995</v>
      </c>
      <c r="M212" s="6">
        <v>168.06</v>
      </c>
      <c r="N212" s="23" t="s">
        <v>1028</v>
      </c>
      <c r="O212" s="21" t="s">
        <v>1040</v>
      </c>
      <c r="P212" s="21" t="s">
        <v>1041</v>
      </c>
      <c r="Q212" s="15">
        <f>DATEDIF(I212,J212,"M")</f>
        <v>6</v>
      </c>
      <c r="AH212" s="10"/>
    </row>
    <row r="213" spans="1:34" x14ac:dyDescent="0.3">
      <c r="A213" s="14">
        <v>16228684</v>
      </c>
      <c r="B213" t="s">
        <v>126</v>
      </c>
      <c r="C213" t="s">
        <v>42</v>
      </c>
      <c r="D213" s="6">
        <v>7250169190</v>
      </c>
      <c r="E213" t="s">
        <v>144</v>
      </c>
      <c r="F213" s="24" t="s">
        <v>144</v>
      </c>
      <c r="G213" s="24" t="s">
        <v>1184</v>
      </c>
      <c r="H213" s="15" t="str">
        <f t="shared" si="3"/>
        <v>DOUGLAS HANSEN</v>
      </c>
      <c r="I213" s="25">
        <v>45910</v>
      </c>
      <c r="J213" s="25">
        <v>46091</v>
      </c>
      <c r="K213" s="6">
        <v>4.0599999999999996</v>
      </c>
      <c r="L213" s="6">
        <v>1.37</v>
      </c>
      <c r="M213" s="6">
        <v>5.56</v>
      </c>
      <c r="N213" s="23" t="s">
        <v>1027</v>
      </c>
      <c r="O213" s="21" t="s">
        <v>1040</v>
      </c>
      <c r="P213" s="21" t="s">
        <v>1041</v>
      </c>
      <c r="Q213" s="15">
        <f>DATEDIF(I213,J213,"M")</f>
        <v>6</v>
      </c>
    </row>
    <row r="214" spans="1:34" x14ac:dyDescent="0.3">
      <c r="A214" s="14">
        <v>16228684</v>
      </c>
      <c r="B214" t="s">
        <v>126</v>
      </c>
      <c r="C214" t="s">
        <v>42</v>
      </c>
      <c r="D214" s="6">
        <v>7250161361</v>
      </c>
      <c r="E214" t="s">
        <v>710</v>
      </c>
      <c r="F214" s="24" t="s">
        <v>710</v>
      </c>
      <c r="G214" s="24" t="s">
        <v>1068</v>
      </c>
      <c r="H214" s="15" t="str">
        <f t="shared" si="3"/>
        <v>ROBERT OLDENBURG</v>
      </c>
      <c r="I214" s="25">
        <v>45910</v>
      </c>
      <c r="J214" s="25">
        <v>46091</v>
      </c>
      <c r="K214" s="6">
        <v>6.16</v>
      </c>
      <c r="L214" s="6">
        <v>1.37</v>
      </c>
      <c r="M214" s="6">
        <v>8.44</v>
      </c>
      <c r="N214" s="23" t="s">
        <v>1027</v>
      </c>
      <c r="O214" s="21" t="s">
        <v>1040</v>
      </c>
      <c r="P214" s="21" t="s">
        <v>1041</v>
      </c>
      <c r="Q214" s="15">
        <f>DATEDIF(I214,J214,"M")</f>
        <v>6</v>
      </c>
    </row>
    <row r="215" spans="1:34" x14ac:dyDescent="0.3">
      <c r="A215" s="14">
        <v>16228684</v>
      </c>
      <c r="B215" t="s">
        <v>126</v>
      </c>
      <c r="C215" t="s">
        <v>42</v>
      </c>
      <c r="D215" s="6">
        <v>7250161361</v>
      </c>
      <c r="E215" t="s">
        <v>710</v>
      </c>
      <c r="F215" s="24" t="s">
        <v>710</v>
      </c>
      <c r="G215" s="24" t="s">
        <v>1068</v>
      </c>
      <c r="H215" s="15" t="str">
        <f t="shared" si="3"/>
        <v>ROBERT OLDENBURG</v>
      </c>
      <c r="I215" s="25">
        <v>45910</v>
      </c>
      <c r="J215" s="25">
        <v>46091</v>
      </c>
      <c r="K215" s="6">
        <v>178.2</v>
      </c>
      <c r="L215" s="6">
        <v>1.37</v>
      </c>
      <c r="M215" s="6">
        <v>244.13</v>
      </c>
      <c r="N215" s="23" t="s">
        <v>1027</v>
      </c>
      <c r="O215" s="21" t="s">
        <v>1040</v>
      </c>
      <c r="P215" s="21" t="s">
        <v>1041</v>
      </c>
      <c r="Q215" s="15">
        <f>DATEDIF(I215,J215,"M")</f>
        <v>6</v>
      </c>
    </row>
    <row r="216" spans="1:34" x14ac:dyDescent="0.3">
      <c r="A216" s="14">
        <v>16228684</v>
      </c>
      <c r="B216" t="s">
        <v>126</v>
      </c>
      <c r="C216" t="s">
        <v>42</v>
      </c>
      <c r="D216" s="6">
        <v>7250169190</v>
      </c>
      <c r="E216" t="s">
        <v>144</v>
      </c>
      <c r="F216" s="24" t="s">
        <v>144</v>
      </c>
      <c r="G216" s="24" t="s">
        <v>1184</v>
      </c>
      <c r="H216" s="15" t="str">
        <f t="shared" si="3"/>
        <v>DOUGLAS HANSEN</v>
      </c>
      <c r="I216" s="25">
        <v>45910</v>
      </c>
      <c r="J216" s="25">
        <v>46091</v>
      </c>
      <c r="K216" s="6">
        <v>119.64</v>
      </c>
      <c r="L216" s="6">
        <v>1.37</v>
      </c>
      <c r="M216" s="6">
        <v>163.91</v>
      </c>
      <c r="N216" s="23" t="s">
        <v>1027</v>
      </c>
      <c r="O216" s="21" t="s">
        <v>1040</v>
      </c>
      <c r="P216" s="21" t="s">
        <v>1041</v>
      </c>
      <c r="Q216" s="15">
        <f>DATEDIF(I216,J216,"M")</f>
        <v>6</v>
      </c>
    </row>
    <row r="217" spans="1:34" x14ac:dyDescent="0.3">
      <c r="A217" s="14">
        <v>19491313</v>
      </c>
      <c r="B217" t="s">
        <v>102</v>
      </c>
      <c r="C217" t="s">
        <v>42</v>
      </c>
      <c r="D217" s="6">
        <v>6250134924</v>
      </c>
      <c r="E217" t="s">
        <v>352</v>
      </c>
      <c r="F217" s="24" t="s">
        <v>352</v>
      </c>
      <c r="G217" s="24" t="s">
        <v>1080</v>
      </c>
      <c r="H217" s="15" t="str">
        <f t="shared" si="3"/>
        <v>LINDA SMITH</v>
      </c>
      <c r="I217" s="25">
        <v>45881</v>
      </c>
      <c r="J217" s="25">
        <v>46093</v>
      </c>
      <c r="K217" s="6">
        <v>60.74</v>
      </c>
      <c r="L217" s="6">
        <v>0.9</v>
      </c>
      <c r="M217" s="6">
        <v>54.67</v>
      </c>
      <c r="N217" s="23" t="s">
        <v>1029</v>
      </c>
      <c r="O217" s="21" t="s">
        <v>1040</v>
      </c>
      <c r="P217" s="21" t="s">
        <v>1041</v>
      </c>
      <c r="Q217" s="15">
        <f>DATEDIF(I217,J217,"M")</f>
        <v>7</v>
      </c>
    </row>
    <row r="218" spans="1:34" x14ac:dyDescent="0.3">
      <c r="A218" s="14">
        <v>8977234</v>
      </c>
      <c r="B218" t="s">
        <v>133</v>
      </c>
      <c r="C218" t="s">
        <v>42</v>
      </c>
      <c r="D218" s="6">
        <v>6250146673</v>
      </c>
      <c r="E218" t="s">
        <v>544</v>
      </c>
      <c r="F218" s="24" t="s">
        <v>544</v>
      </c>
      <c r="G218" s="24" t="s">
        <v>1185</v>
      </c>
      <c r="H218" s="15" t="str">
        <f t="shared" si="3"/>
        <v>JOANNE MALONE</v>
      </c>
      <c r="I218" s="25">
        <v>45897</v>
      </c>
      <c r="J218" s="25">
        <v>46109</v>
      </c>
      <c r="K218" s="6">
        <v>36.19</v>
      </c>
      <c r="L218" s="6">
        <v>0.9</v>
      </c>
      <c r="M218" s="6">
        <v>32.57</v>
      </c>
      <c r="N218" s="23" t="s">
        <v>1029</v>
      </c>
      <c r="O218" s="21" t="s">
        <v>1040</v>
      </c>
      <c r="P218" s="21" t="s">
        <v>1041</v>
      </c>
      <c r="Q218" s="15">
        <f>DATEDIF(I218,J218,"M")</f>
        <v>7</v>
      </c>
    </row>
    <row r="219" spans="1:34" x14ac:dyDescent="0.3">
      <c r="A219" s="14">
        <v>9213293</v>
      </c>
      <c r="B219" t="s">
        <v>41</v>
      </c>
      <c r="C219" t="s">
        <v>42</v>
      </c>
      <c r="D219" s="6">
        <v>7250155601</v>
      </c>
      <c r="E219" t="s">
        <v>672</v>
      </c>
      <c r="F219" s="24" t="s">
        <v>672</v>
      </c>
      <c r="G219" s="24" t="s">
        <v>1186</v>
      </c>
      <c r="H219" s="15" t="str">
        <f t="shared" si="3"/>
        <v>MERRILEE DAUER</v>
      </c>
      <c r="I219" s="25">
        <v>45890</v>
      </c>
      <c r="J219" s="25">
        <v>46102</v>
      </c>
      <c r="K219" s="6">
        <v>111.39</v>
      </c>
      <c r="L219" s="6">
        <v>0.94499999999999995</v>
      </c>
      <c r="M219" s="6">
        <v>105.26</v>
      </c>
      <c r="N219" s="23" t="s">
        <v>1028</v>
      </c>
      <c r="O219" s="21" t="s">
        <v>1040</v>
      </c>
      <c r="P219" s="21" t="s">
        <v>1041</v>
      </c>
      <c r="Q219" s="15">
        <f>DATEDIF(I219,J219,"M")</f>
        <v>7</v>
      </c>
    </row>
    <row r="220" spans="1:34" x14ac:dyDescent="0.3">
      <c r="A220" s="14">
        <v>16228684</v>
      </c>
      <c r="B220" t="s">
        <v>126</v>
      </c>
      <c r="C220" t="s">
        <v>42</v>
      </c>
      <c r="D220" s="6">
        <v>7250129238</v>
      </c>
      <c r="E220" t="s">
        <v>259</v>
      </c>
      <c r="F220" s="24" t="s">
        <v>259</v>
      </c>
      <c r="G220" s="24" t="s">
        <v>586</v>
      </c>
      <c r="H220" s="15" t="str">
        <f t="shared" si="3"/>
        <v>THOMAS DAVEY</v>
      </c>
      <c r="I220" s="25">
        <v>45870</v>
      </c>
      <c r="J220" s="25">
        <v>46082</v>
      </c>
      <c r="K220" s="6">
        <v>178</v>
      </c>
      <c r="L220" s="6">
        <v>0.94499999999999995</v>
      </c>
      <c r="M220" s="6">
        <v>168.21</v>
      </c>
      <c r="N220" s="23" t="s">
        <v>1028</v>
      </c>
      <c r="O220" s="21" t="s">
        <v>1040</v>
      </c>
      <c r="P220" s="21" t="s">
        <v>1041</v>
      </c>
      <c r="Q220" s="15">
        <f>DATEDIF(I220,J220,"M")</f>
        <v>7</v>
      </c>
    </row>
    <row r="221" spans="1:34" x14ac:dyDescent="0.3">
      <c r="A221" s="14">
        <v>16228684</v>
      </c>
      <c r="B221" t="s">
        <v>126</v>
      </c>
      <c r="C221" t="s">
        <v>42</v>
      </c>
      <c r="D221" s="6">
        <v>7250131409</v>
      </c>
      <c r="E221" t="s">
        <v>128</v>
      </c>
      <c r="F221" s="24" t="s">
        <v>1187</v>
      </c>
      <c r="G221" s="24" t="s">
        <v>1185</v>
      </c>
      <c r="H221" s="15" t="str">
        <f t="shared" si="3"/>
        <v>JOANNE CLARKE</v>
      </c>
      <c r="I221" s="25">
        <v>45888</v>
      </c>
      <c r="J221" s="25">
        <v>46100</v>
      </c>
      <c r="K221" s="6">
        <v>4.2300000000000004</v>
      </c>
      <c r="L221" s="6">
        <v>1.37</v>
      </c>
      <c r="M221" s="6">
        <v>5.8</v>
      </c>
      <c r="N221" s="23" t="s">
        <v>1027</v>
      </c>
      <c r="O221" s="21" t="s">
        <v>1040</v>
      </c>
      <c r="P221" s="21" t="s">
        <v>1041</v>
      </c>
      <c r="Q221" s="15">
        <f>DATEDIF(I221,J221,"M")</f>
        <v>7</v>
      </c>
    </row>
    <row r="222" spans="1:34" x14ac:dyDescent="0.3">
      <c r="A222" s="14">
        <v>16228684</v>
      </c>
      <c r="B222" t="s">
        <v>126</v>
      </c>
      <c r="C222" t="s">
        <v>42</v>
      </c>
      <c r="D222" s="6">
        <v>7250134006</v>
      </c>
      <c r="E222" t="s">
        <v>162</v>
      </c>
      <c r="F222" s="24" t="s">
        <v>162</v>
      </c>
      <c r="G222" s="24" t="s">
        <v>1080</v>
      </c>
      <c r="H222" s="15" t="str">
        <f t="shared" si="3"/>
        <v>LINDA SANCHEZ</v>
      </c>
      <c r="I222" s="25">
        <v>45896</v>
      </c>
      <c r="J222" s="25">
        <v>46108</v>
      </c>
      <c r="K222" s="6">
        <v>155.47</v>
      </c>
      <c r="L222" s="6">
        <v>1.37</v>
      </c>
      <c r="M222" s="6">
        <v>212.99</v>
      </c>
      <c r="N222" s="23" t="s">
        <v>1027</v>
      </c>
      <c r="O222" s="21" t="s">
        <v>1040</v>
      </c>
      <c r="P222" s="21" t="s">
        <v>1041</v>
      </c>
      <c r="Q222" s="15">
        <f>DATEDIF(I222,J222,"M")</f>
        <v>7</v>
      </c>
    </row>
    <row r="223" spans="1:34" x14ac:dyDescent="0.3">
      <c r="A223" s="14">
        <v>16228684</v>
      </c>
      <c r="B223" t="s">
        <v>126</v>
      </c>
      <c r="C223" t="s">
        <v>42</v>
      </c>
      <c r="D223" s="6">
        <v>7250131554</v>
      </c>
      <c r="E223" t="s">
        <v>208</v>
      </c>
      <c r="F223" s="24" t="s">
        <v>208</v>
      </c>
      <c r="G223" s="24" t="s">
        <v>1147</v>
      </c>
      <c r="H223" s="15" t="str">
        <f t="shared" si="3"/>
        <v>DONALD STRAUSS</v>
      </c>
      <c r="I223" s="25">
        <v>45874</v>
      </c>
      <c r="J223" s="25">
        <v>46086</v>
      </c>
      <c r="K223" s="6">
        <v>3.75</v>
      </c>
      <c r="L223" s="6">
        <v>1.37</v>
      </c>
      <c r="M223" s="6">
        <v>5.14</v>
      </c>
      <c r="N223" s="23" t="s">
        <v>1027</v>
      </c>
      <c r="O223" s="21" t="s">
        <v>1040</v>
      </c>
      <c r="P223" s="21" t="s">
        <v>1041</v>
      </c>
      <c r="Q223" s="15">
        <f>DATEDIF(I223,J223,"M")</f>
        <v>7</v>
      </c>
      <c r="AH223" s="10"/>
    </row>
    <row r="224" spans="1:34" x14ac:dyDescent="0.3">
      <c r="A224" s="14">
        <v>16228684</v>
      </c>
      <c r="B224" t="s">
        <v>126</v>
      </c>
      <c r="C224" t="s">
        <v>42</v>
      </c>
      <c r="D224" s="6">
        <v>7250132001</v>
      </c>
      <c r="E224" t="s">
        <v>259</v>
      </c>
      <c r="F224" s="24" t="s">
        <v>259</v>
      </c>
      <c r="G224" s="24" t="s">
        <v>1188</v>
      </c>
      <c r="H224" s="15" t="str">
        <f t="shared" si="3"/>
        <v>MARCIA DAVEY</v>
      </c>
      <c r="I224" s="25">
        <v>45870</v>
      </c>
      <c r="J224" s="25">
        <v>46082</v>
      </c>
      <c r="K224" s="6">
        <v>3.7</v>
      </c>
      <c r="L224" s="6">
        <v>1.37</v>
      </c>
      <c r="M224" s="6">
        <v>5.07</v>
      </c>
      <c r="N224" s="23" t="s">
        <v>1027</v>
      </c>
      <c r="O224" s="21" t="s">
        <v>1040</v>
      </c>
      <c r="P224" s="21" t="s">
        <v>1041</v>
      </c>
      <c r="Q224" s="15">
        <f>DATEDIF(I224,J224,"M")</f>
        <v>7</v>
      </c>
    </row>
    <row r="225" spans="1:17" x14ac:dyDescent="0.3">
      <c r="A225" s="14">
        <v>16228684</v>
      </c>
      <c r="B225" t="s">
        <v>126</v>
      </c>
      <c r="C225" t="s">
        <v>42</v>
      </c>
      <c r="D225" s="6">
        <v>7250139267</v>
      </c>
      <c r="E225" t="s">
        <v>295</v>
      </c>
      <c r="F225" s="24" t="s">
        <v>295</v>
      </c>
      <c r="G225" s="24" t="s">
        <v>1189</v>
      </c>
      <c r="H225" s="15" t="str">
        <f t="shared" si="3"/>
        <v>BRIAN KOWALCZYK</v>
      </c>
      <c r="I225" s="25">
        <v>45883</v>
      </c>
      <c r="J225" s="25">
        <v>46095</v>
      </c>
      <c r="K225" s="6">
        <v>109.45</v>
      </c>
      <c r="L225" s="6">
        <v>1.37</v>
      </c>
      <c r="M225" s="6">
        <v>149.94999999999999</v>
      </c>
      <c r="N225" s="23" t="s">
        <v>1027</v>
      </c>
      <c r="O225" s="21" t="s">
        <v>1040</v>
      </c>
      <c r="P225" s="21" t="s">
        <v>1041</v>
      </c>
      <c r="Q225" s="15">
        <f>DATEDIF(I225,J225,"M")</f>
        <v>7</v>
      </c>
    </row>
    <row r="226" spans="1:17" x14ac:dyDescent="0.3">
      <c r="A226" s="14">
        <v>16228684</v>
      </c>
      <c r="B226" t="s">
        <v>126</v>
      </c>
      <c r="C226" t="s">
        <v>42</v>
      </c>
      <c r="D226" s="6">
        <v>7250128521</v>
      </c>
      <c r="E226" t="s">
        <v>304</v>
      </c>
      <c r="F226" s="24" t="s">
        <v>304</v>
      </c>
      <c r="G226" s="24" t="s">
        <v>1190</v>
      </c>
      <c r="H226" s="15" t="str">
        <f t="shared" si="3"/>
        <v>DEAN FITZSIMMONS</v>
      </c>
      <c r="I226" s="25">
        <v>45870</v>
      </c>
      <c r="J226" s="25">
        <v>46082</v>
      </c>
      <c r="K226" s="6">
        <v>98.09</v>
      </c>
      <c r="L226" s="6">
        <v>1.37</v>
      </c>
      <c r="M226" s="6">
        <v>134.38</v>
      </c>
      <c r="N226" s="23" t="s">
        <v>1027</v>
      </c>
      <c r="O226" s="21" t="s">
        <v>1040</v>
      </c>
      <c r="P226" s="21" t="s">
        <v>1041</v>
      </c>
      <c r="Q226" s="15">
        <f>DATEDIF(I226,J226,"M")</f>
        <v>7</v>
      </c>
    </row>
    <row r="227" spans="1:17" x14ac:dyDescent="0.3">
      <c r="A227" s="14">
        <v>16228684</v>
      </c>
      <c r="B227" t="s">
        <v>126</v>
      </c>
      <c r="C227" t="s">
        <v>42</v>
      </c>
      <c r="D227" s="6">
        <v>7250139741</v>
      </c>
      <c r="E227" t="s">
        <v>295</v>
      </c>
      <c r="F227" s="24" t="s">
        <v>295</v>
      </c>
      <c r="G227" s="24" t="s">
        <v>1173</v>
      </c>
      <c r="H227" s="15" t="str">
        <f t="shared" si="3"/>
        <v>ALFRED KOWALCZYK</v>
      </c>
      <c r="I227" s="25">
        <v>45883</v>
      </c>
      <c r="J227" s="25">
        <v>46095</v>
      </c>
      <c r="K227" s="6">
        <v>4.2300000000000004</v>
      </c>
      <c r="L227" s="6">
        <v>1.37</v>
      </c>
      <c r="M227" s="6">
        <v>5.8</v>
      </c>
      <c r="N227" s="23" t="s">
        <v>1027</v>
      </c>
      <c r="O227" s="21" t="s">
        <v>1040</v>
      </c>
      <c r="P227" s="21" t="s">
        <v>1041</v>
      </c>
      <c r="Q227" s="15">
        <f>DATEDIF(I227,J227,"M")</f>
        <v>7</v>
      </c>
    </row>
    <row r="228" spans="1:17" x14ac:dyDescent="0.3">
      <c r="A228" s="14">
        <v>16228684</v>
      </c>
      <c r="B228" t="s">
        <v>126</v>
      </c>
      <c r="C228" t="s">
        <v>42</v>
      </c>
      <c r="D228" s="6">
        <v>7250139233</v>
      </c>
      <c r="E228" t="s">
        <v>295</v>
      </c>
      <c r="F228" s="24" t="s">
        <v>295</v>
      </c>
      <c r="G228" s="24" t="s">
        <v>1122</v>
      </c>
      <c r="H228" s="15" t="str">
        <f t="shared" si="3"/>
        <v>GREGORY KOWALCZYK</v>
      </c>
      <c r="I228" s="25">
        <v>45883</v>
      </c>
      <c r="J228" s="25">
        <v>46095</v>
      </c>
      <c r="K228" s="6">
        <v>4.41</v>
      </c>
      <c r="L228" s="6">
        <v>1.37</v>
      </c>
      <c r="M228" s="6">
        <v>6.04</v>
      </c>
      <c r="N228" s="23" t="s">
        <v>1027</v>
      </c>
      <c r="O228" s="21" t="s">
        <v>1040</v>
      </c>
      <c r="P228" s="21" t="s">
        <v>1041</v>
      </c>
      <c r="Q228" s="15">
        <f>DATEDIF(I228,J228,"M")</f>
        <v>7</v>
      </c>
    </row>
    <row r="229" spans="1:17" x14ac:dyDescent="0.3">
      <c r="A229" s="14">
        <v>16228684</v>
      </c>
      <c r="B229" t="s">
        <v>126</v>
      </c>
      <c r="C229" t="s">
        <v>42</v>
      </c>
      <c r="D229" s="6">
        <v>7250139741</v>
      </c>
      <c r="E229" t="s">
        <v>295</v>
      </c>
      <c r="F229" s="24" t="s">
        <v>295</v>
      </c>
      <c r="G229" s="24" t="s">
        <v>1173</v>
      </c>
      <c r="H229" s="15" t="str">
        <f t="shared" si="3"/>
        <v>ALFRED KOWALCZYK</v>
      </c>
      <c r="I229" s="25">
        <v>45883</v>
      </c>
      <c r="J229" s="25">
        <v>46095</v>
      </c>
      <c r="K229" s="6">
        <v>109.45</v>
      </c>
      <c r="L229" s="6">
        <v>1.37</v>
      </c>
      <c r="M229" s="6">
        <v>149.94999999999999</v>
      </c>
      <c r="N229" s="23" t="s">
        <v>1027</v>
      </c>
      <c r="O229" s="21" t="s">
        <v>1040</v>
      </c>
      <c r="P229" s="21" t="s">
        <v>1041</v>
      </c>
      <c r="Q229" s="15">
        <f>DATEDIF(I229,J229,"M")</f>
        <v>7</v>
      </c>
    </row>
    <row r="230" spans="1:17" x14ac:dyDescent="0.3">
      <c r="A230" s="14">
        <v>16228684</v>
      </c>
      <c r="B230" t="s">
        <v>126</v>
      </c>
      <c r="C230" t="s">
        <v>42</v>
      </c>
      <c r="D230" s="6">
        <v>7250136480</v>
      </c>
      <c r="E230" t="s">
        <v>411</v>
      </c>
      <c r="F230" s="24" t="s">
        <v>411</v>
      </c>
      <c r="G230" s="24" t="s">
        <v>1191</v>
      </c>
      <c r="H230" s="15" t="str">
        <f t="shared" si="3"/>
        <v>VITTA AURRICHIO</v>
      </c>
      <c r="I230" s="25">
        <v>45874</v>
      </c>
      <c r="J230" s="25">
        <v>46086</v>
      </c>
      <c r="K230" s="6">
        <v>55.57</v>
      </c>
      <c r="L230" s="6">
        <v>1.37</v>
      </c>
      <c r="M230" s="6">
        <v>76.13</v>
      </c>
      <c r="N230" s="23" t="s">
        <v>1027</v>
      </c>
      <c r="O230" s="21" t="s">
        <v>1040</v>
      </c>
      <c r="P230" s="21" t="s">
        <v>1041</v>
      </c>
      <c r="Q230" s="15">
        <f>DATEDIF(I230,J230,"M")</f>
        <v>7</v>
      </c>
    </row>
    <row r="231" spans="1:17" x14ac:dyDescent="0.3">
      <c r="A231" s="14">
        <v>16228684</v>
      </c>
      <c r="B231" t="s">
        <v>126</v>
      </c>
      <c r="C231" t="s">
        <v>42</v>
      </c>
      <c r="D231" s="6">
        <v>7250131554</v>
      </c>
      <c r="E231" t="s">
        <v>208</v>
      </c>
      <c r="F231" s="24" t="s">
        <v>208</v>
      </c>
      <c r="G231" s="24" t="s">
        <v>1147</v>
      </c>
      <c r="H231" s="15" t="str">
        <f t="shared" si="3"/>
        <v>DONALD STRAUSS</v>
      </c>
      <c r="I231" s="25">
        <v>45874</v>
      </c>
      <c r="J231" s="25">
        <v>46086</v>
      </c>
      <c r="K231" s="6">
        <v>108.77</v>
      </c>
      <c r="L231" s="6">
        <v>1.37</v>
      </c>
      <c r="M231" s="6">
        <v>149.01</v>
      </c>
      <c r="N231" s="23" t="s">
        <v>1027</v>
      </c>
      <c r="O231" s="21" t="s">
        <v>1040</v>
      </c>
      <c r="P231" s="21" t="s">
        <v>1041</v>
      </c>
      <c r="Q231" s="15">
        <f>DATEDIF(I231,J231,"M")</f>
        <v>7</v>
      </c>
    </row>
    <row r="232" spans="1:17" x14ac:dyDescent="0.3">
      <c r="A232" s="14">
        <v>16228684</v>
      </c>
      <c r="B232" t="s">
        <v>126</v>
      </c>
      <c r="C232" t="s">
        <v>42</v>
      </c>
      <c r="D232" s="6">
        <v>7250129739</v>
      </c>
      <c r="E232" t="s">
        <v>458</v>
      </c>
      <c r="F232" s="24" t="s">
        <v>458</v>
      </c>
      <c r="G232" s="24" t="s">
        <v>1176</v>
      </c>
      <c r="H232" s="15" t="str">
        <f t="shared" si="3"/>
        <v>MICHELLE KOZA</v>
      </c>
      <c r="I232" s="25">
        <v>45870</v>
      </c>
      <c r="J232" s="25">
        <v>46082</v>
      </c>
      <c r="K232" s="6">
        <v>70.58</v>
      </c>
      <c r="L232" s="6">
        <v>1.37</v>
      </c>
      <c r="M232" s="6">
        <v>96.69</v>
      </c>
      <c r="N232" s="23" t="s">
        <v>1027</v>
      </c>
      <c r="O232" s="21" t="s">
        <v>1040</v>
      </c>
      <c r="P232" s="21" t="s">
        <v>1041</v>
      </c>
      <c r="Q232" s="15">
        <f>DATEDIF(I232,J232,"M")</f>
        <v>7</v>
      </c>
    </row>
    <row r="233" spans="1:17" x14ac:dyDescent="0.3">
      <c r="A233" s="14">
        <v>16228684</v>
      </c>
      <c r="B233" t="s">
        <v>126</v>
      </c>
      <c r="C233" t="s">
        <v>42</v>
      </c>
      <c r="D233" s="6">
        <v>7250133520</v>
      </c>
      <c r="E233" t="s">
        <v>531</v>
      </c>
      <c r="F233" s="24" t="s">
        <v>531</v>
      </c>
      <c r="G233" s="24" t="s">
        <v>1145</v>
      </c>
      <c r="H233" s="15" t="str">
        <f t="shared" si="3"/>
        <v>GAYLE JOHNSTON</v>
      </c>
      <c r="I233" s="25">
        <v>45884</v>
      </c>
      <c r="J233" s="25">
        <v>46096</v>
      </c>
      <c r="K233" s="6">
        <v>117.4</v>
      </c>
      <c r="L233" s="6">
        <v>1.37</v>
      </c>
      <c r="M233" s="6">
        <v>160.84</v>
      </c>
      <c r="N233" s="23" t="s">
        <v>1027</v>
      </c>
      <c r="O233" s="21" t="s">
        <v>1040</v>
      </c>
      <c r="P233" s="21" t="s">
        <v>1041</v>
      </c>
      <c r="Q233" s="15">
        <f>DATEDIF(I233,J233,"M")</f>
        <v>7</v>
      </c>
    </row>
    <row r="234" spans="1:17" x14ac:dyDescent="0.3">
      <c r="A234" s="14">
        <v>16228684</v>
      </c>
      <c r="B234" t="s">
        <v>126</v>
      </c>
      <c r="C234" t="s">
        <v>42</v>
      </c>
      <c r="D234" s="6">
        <v>7250139267</v>
      </c>
      <c r="E234" t="s">
        <v>295</v>
      </c>
      <c r="F234" s="24" t="s">
        <v>295</v>
      </c>
      <c r="G234" s="24" t="s">
        <v>1189</v>
      </c>
      <c r="H234" s="15" t="str">
        <f t="shared" si="3"/>
        <v>BRIAN KOWALCZYK</v>
      </c>
      <c r="I234" s="25">
        <v>45883</v>
      </c>
      <c r="J234" s="25">
        <v>46095</v>
      </c>
      <c r="K234" s="6">
        <v>4.2300000000000004</v>
      </c>
      <c r="L234" s="6">
        <v>1.37</v>
      </c>
      <c r="M234" s="6">
        <v>5.8</v>
      </c>
      <c r="N234" s="23" t="s">
        <v>1027</v>
      </c>
      <c r="O234" s="21" t="s">
        <v>1040</v>
      </c>
      <c r="P234" s="21" t="s">
        <v>1041</v>
      </c>
      <c r="Q234" s="15">
        <f>DATEDIF(I234,J234,"M")</f>
        <v>7</v>
      </c>
    </row>
    <row r="235" spans="1:17" x14ac:dyDescent="0.3">
      <c r="A235" s="14">
        <v>16228684</v>
      </c>
      <c r="B235" t="s">
        <v>126</v>
      </c>
      <c r="C235" t="s">
        <v>42</v>
      </c>
      <c r="D235" s="6">
        <v>7250128521</v>
      </c>
      <c r="E235" t="s">
        <v>304</v>
      </c>
      <c r="F235" s="24" t="s">
        <v>304</v>
      </c>
      <c r="G235" s="24" t="s">
        <v>1190</v>
      </c>
      <c r="H235" s="15" t="str">
        <f t="shared" si="3"/>
        <v>DEAN FITZSIMMONS</v>
      </c>
      <c r="I235" s="25">
        <v>45870</v>
      </c>
      <c r="J235" s="25">
        <v>46082</v>
      </c>
      <c r="K235" s="6">
        <v>3.38</v>
      </c>
      <c r="L235" s="6">
        <v>1.37</v>
      </c>
      <c r="M235" s="6">
        <v>4.63</v>
      </c>
      <c r="N235" s="23" t="s">
        <v>1027</v>
      </c>
      <c r="O235" s="21" t="s">
        <v>1040</v>
      </c>
      <c r="P235" s="21" t="s">
        <v>1041</v>
      </c>
      <c r="Q235" s="15">
        <f>DATEDIF(I235,J235,"M")</f>
        <v>7</v>
      </c>
    </row>
    <row r="236" spans="1:17" x14ac:dyDescent="0.3">
      <c r="A236" s="14">
        <v>16228684</v>
      </c>
      <c r="B236" t="s">
        <v>126</v>
      </c>
      <c r="C236" t="s">
        <v>42</v>
      </c>
      <c r="D236" s="6">
        <v>7250133944</v>
      </c>
      <c r="E236" t="s">
        <v>595</v>
      </c>
      <c r="F236" s="24" t="s">
        <v>595</v>
      </c>
      <c r="G236" s="24" t="s">
        <v>1053</v>
      </c>
      <c r="H236" s="15" t="str">
        <f t="shared" si="3"/>
        <v>DEBORAH OLSON</v>
      </c>
      <c r="I236" s="25">
        <v>45873</v>
      </c>
      <c r="J236" s="25">
        <v>46085</v>
      </c>
      <c r="K236" s="6">
        <v>6.83</v>
      </c>
      <c r="L236" s="6">
        <v>1.37</v>
      </c>
      <c r="M236" s="6">
        <v>9.36</v>
      </c>
      <c r="N236" s="23" t="s">
        <v>1027</v>
      </c>
      <c r="O236" s="21" t="s">
        <v>1040</v>
      </c>
      <c r="P236" s="21" t="s">
        <v>1041</v>
      </c>
      <c r="Q236" s="15">
        <f>DATEDIF(I236,J236,"M")</f>
        <v>7</v>
      </c>
    </row>
    <row r="237" spans="1:17" x14ac:dyDescent="0.3">
      <c r="A237" s="14">
        <v>16228684</v>
      </c>
      <c r="B237" t="s">
        <v>126</v>
      </c>
      <c r="C237" t="s">
        <v>42</v>
      </c>
      <c r="D237" s="6">
        <v>7250139233</v>
      </c>
      <c r="E237" t="s">
        <v>295</v>
      </c>
      <c r="F237" s="24" t="s">
        <v>295</v>
      </c>
      <c r="G237" s="24" t="s">
        <v>1122</v>
      </c>
      <c r="H237" s="15" t="str">
        <f t="shared" si="3"/>
        <v>GREGORY KOWALCZYK</v>
      </c>
      <c r="I237" s="25">
        <v>45883</v>
      </c>
      <c r="J237" s="25">
        <v>46095</v>
      </c>
      <c r="K237" s="6">
        <v>127.84</v>
      </c>
      <c r="L237" s="6">
        <v>1.37</v>
      </c>
      <c r="M237" s="6">
        <v>175.14</v>
      </c>
      <c r="N237" s="23" t="s">
        <v>1027</v>
      </c>
      <c r="O237" s="21" t="s">
        <v>1040</v>
      </c>
      <c r="P237" s="21" t="s">
        <v>1041</v>
      </c>
      <c r="Q237" s="15">
        <f>DATEDIF(I237,J237,"M")</f>
        <v>7</v>
      </c>
    </row>
    <row r="238" spans="1:17" x14ac:dyDescent="0.3">
      <c r="A238" s="14">
        <v>16228684</v>
      </c>
      <c r="B238" t="s">
        <v>126</v>
      </c>
      <c r="C238" t="s">
        <v>42</v>
      </c>
      <c r="D238" s="6">
        <v>7250131524</v>
      </c>
      <c r="E238" t="s">
        <v>208</v>
      </c>
      <c r="F238" s="24" t="s">
        <v>208</v>
      </c>
      <c r="G238" s="24" t="s">
        <v>1192</v>
      </c>
      <c r="H238" s="15" t="str">
        <f t="shared" si="3"/>
        <v>JULIE STRAUSS</v>
      </c>
      <c r="I238" s="25">
        <v>45874</v>
      </c>
      <c r="J238" s="25">
        <v>46086</v>
      </c>
      <c r="K238" s="6">
        <v>124.76</v>
      </c>
      <c r="L238" s="6">
        <v>1.37</v>
      </c>
      <c r="M238" s="6">
        <v>170.92</v>
      </c>
      <c r="N238" s="23" t="s">
        <v>1027</v>
      </c>
      <c r="O238" s="21" t="s">
        <v>1040</v>
      </c>
      <c r="P238" s="21" t="s">
        <v>1041</v>
      </c>
      <c r="Q238" s="15">
        <f>DATEDIF(I238,J238,"M")</f>
        <v>7</v>
      </c>
    </row>
    <row r="239" spans="1:17" x14ac:dyDescent="0.3">
      <c r="A239" s="14">
        <v>16228684</v>
      </c>
      <c r="B239" t="s">
        <v>126</v>
      </c>
      <c r="C239" t="s">
        <v>42</v>
      </c>
      <c r="D239" s="6">
        <v>7250132001</v>
      </c>
      <c r="E239" t="s">
        <v>259</v>
      </c>
      <c r="F239" s="24" t="s">
        <v>259</v>
      </c>
      <c r="G239" s="24" t="s">
        <v>1188</v>
      </c>
      <c r="H239" s="15" t="str">
        <f t="shared" si="3"/>
        <v>MARCIA DAVEY</v>
      </c>
      <c r="I239" s="25">
        <v>45870</v>
      </c>
      <c r="J239" s="25">
        <v>46082</v>
      </c>
      <c r="K239" s="6">
        <v>77.599999999999994</v>
      </c>
      <c r="L239" s="6">
        <v>1.37</v>
      </c>
      <c r="M239" s="6">
        <v>106.31</v>
      </c>
      <c r="N239" s="23" t="s">
        <v>1027</v>
      </c>
      <c r="O239" s="21" t="s">
        <v>1040</v>
      </c>
      <c r="P239" s="21" t="s">
        <v>1041</v>
      </c>
      <c r="Q239" s="15">
        <f>DATEDIF(I239,J239,"M")</f>
        <v>7</v>
      </c>
    </row>
    <row r="240" spans="1:17" x14ac:dyDescent="0.3">
      <c r="A240" s="14">
        <v>16228684</v>
      </c>
      <c r="B240" t="s">
        <v>126</v>
      </c>
      <c r="C240" t="s">
        <v>42</v>
      </c>
      <c r="D240" s="6">
        <v>7250129739</v>
      </c>
      <c r="E240" t="s">
        <v>458</v>
      </c>
      <c r="F240" s="24" t="s">
        <v>458</v>
      </c>
      <c r="G240" s="24" t="s">
        <v>1176</v>
      </c>
      <c r="H240" s="15" t="str">
        <f t="shared" si="3"/>
        <v>MICHELLE KOZA</v>
      </c>
      <c r="I240" s="25">
        <v>45870</v>
      </c>
      <c r="J240" s="25">
        <v>46082</v>
      </c>
      <c r="K240" s="6">
        <v>3.92</v>
      </c>
      <c r="L240" s="6">
        <v>1.37</v>
      </c>
      <c r="M240" s="6">
        <v>5.37</v>
      </c>
      <c r="N240" s="23" t="s">
        <v>1027</v>
      </c>
      <c r="O240" s="21" t="s">
        <v>1040</v>
      </c>
      <c r="P240" s="21" t="s">
        <v>1041</v>
      </c>
      <c r="Q240" s="15">
        <f>DATEDIF(I240,J240,"M")</f>
        <v>7</v>
      </c>
    </row>
    <row r="241" spans="1:34" x14ac:dyDescent="0.3">
      <c r="A241" s="14">
        <v>16228684</v>
      </c>
      <c r="B241" t="s">
        <v>126</v>
      </c>
      <c r="C241" t="s">
        <v>42</v>
      </c>
      <c r="D241" s="6">
        <v>7250136480</v>
      </c>
      <c r="E241" t="s">
        <v>411</v>
      </c>
      <c r="F241" s="24" t="s">
        <v>411</v>
      </c>
      <c r="G241" s="24" t="s">
        <v>1191</v>
      </c>
      <c r="H241" s="15" t="str">
        <f t="shared" si="3"/>
        <v>VITTA AURRICHIO</v>
      </c>
      <c r="I241" s="25">
        <v>45874</v>
      </c>
      <c r="J241" s="25">
        <v>46086</v>
      </c>
      <c r="K241" s="6">
        <v>2.58</v>
      </c>
      <c r="L241" s="6">
        <v>1.37</v>
      </c>
      <c r="M241" s="6">
        <v>3.53</v>
      </c>
      <c r="N241" s="23" t="s">
        <v>1027</v>
      </c>
      <c r="O241" s="21" t="s">
        <v>1040</v>
      </c>
      <c r="P241" s="21" t="s">
        <v>1041</v>
      </c>
      <c r="Q241" s="15">
        <f>DATEDIF(I241,J241,"M")</f>
        <v>7</v>
      </c>
    </row>
    <row r="242" spans="1:34" x14ac:dyDescent="0.3">
      <c r="A242" s="14">
        <v>16228684</v>
      </c>
      <c r="B242" t="s">
        <v>126</v>
      </c>
      <c r="C242" t="s">
        <v>42</v>
      </c>
      <c r="D242" s="6">
        <v>7250139118</v>
      </c>
      <c r="E242" t="s">
        <v>144</v>
      </c>
      <c r="F242" s="24" t="s">
        <v>144</v>
      </c>
      <c r="G242" s="24" t="s">
        <v>1193</v>
      </c>
      <c r="H242" s="15" t="str">
        <f t="shared" si="3"/>
        <v>SALLY HANSEN</v>
      </c>
      <c r="I242" s="25">
        <v>45896</v>
      </c>
      <c r="J242" s="25">
        <v>46108</v>
      </c>
      <c r="K242" s="6">
        <v>69.59</v>
      </c>
      <c r="L242" s="6">
        <v>1.37</v>
      </c>
      <c r="M242" s="6">
        <v>95.34</v>
      </c>
      <c r="N242" s="23" t="s">
        <v>1027</v>
      </c>
      <c r="O242" s="21" t="s">
        <v>1040</v>
      </c>
      <c r="P242" s="21" t="s">
        <v>1041</v>
      </c>
      <c r="Q242" s="15">
        <f>DATEDIF(I242,J242,"M")</f>
        <v>7</v>
      </c>
    </row>
    <row r="243" spans="1:34" x14ac:dyDescent="0.3">
      <c r="A243" s="14">
        <v>16228684</v>
      </c>
      <c r="B243" t="s">
        <v>126</v>
      </c>
      <c r="C243" t="s">
        <v>42</v>
      </c>
      <c r="D243" s="6">
        <v>7250147909</v>
      </c>
      <c r="E243" t="s">
        <v>902</v>
      </c>
      <c r="F243" s="24" t="s">
        <v>902</v>
      </c>
      <c r="G243" s="24" t="s">
        <v>1194</v>
      </c>
      <c r="H243" s="15" t="str">
        <f t="shared" si="3"/>
        <v>CHARLOTTE WESTMORELAND</v>
      </c>
      <c r="I243" s="25">
        <v>45882</v>
      </c>
      <c r="J243" s="25">
        <v>46094</v>
      </c>
      <c r="K243" s="6">
        <v>81.569999999999993</v>
      </c>
      <c r="L243" s="6">
        <v>1.37</v>
      </c>
      <c r="M243" s="6">
        <v>111.75</v>
      </c>
      <c r="N243" s="23" t="s">
        <v>1027</v>
      </c>
      <c r="O243" s="21" t="s">
        <v>1040</v>
      </c>
      <c r="P243" s="21" t="s">
        <v>1041</v>
      </c>
      <c r="Q243" s="15">
        <f>DATEDIF(I243,J243,"M")</f>
        <v>7</v>
      </c>
    </row>
    <row r="244" spans="1:34" x14ac:dyDescent="0.3">
      <c r="A244" s="14">
        <v>16228684</v>
      </c>
      <c r="B244" t="s">
        <v>126</v>
      </c>
      <c r="C244" t="s">
        <v>42</v>
      </c>
      <c r="D244" s="6">
        <v>7250147909</v>
      </c>
      <c r="E244" t="s">
        <v>902</v>
      </c>
      <c r="F244" s="24" t="s">
        <v>902</v>
      </c>
      <c r="G244" s="24" t="s">
        <v>1194</v>
      </c>
      <c r="H244" s="15" t="str">
        <f t="shared" si="3"/>
        <v>CHARLOTTE WESTMORELAND</v>
      </c>
      <c r="I244" s="25">
        <v>45882</v>
      </c>
      <c r="J244" s="25">
        <v>46094</v>
      </c>
      <c r="K244" s="6">
        <v>4.2300000000000004</v>
      </c>
      <c r="L244" s="6">
        <v>1.37</v>
      </c>
      <c r="M244" s="6">
        <v>5.8</v>
      </c>
      <c r="N244" s="23" t="s">
        <v>1027</v>
      </c>
      <c r="O244" s="21" t="s">
        <v>1040</v>
      </c>
      <c r="P244" s="21" t="s">
        <v>1041</v>
      </c>
      <c r="Q244" s="15">
        <f>DATEDIF(I244,J244,"M")</f>
        <v>7</v>
      </c>
    </row>
    <row r="245" spans="1:34" x14ac:dyDescent="0.3">
      <c r="A245" s="14">
        <v>16228684</v>
      </c>
      <c r="B245" t="s">
        <v>126</v>
      </c>
      <c r="C245" t="s">
        <v>42</v>
      </c>
      <c r="D245" s="6">
        <v>7250139118</v>
      </c>
      <c r="E245" t="s">
        <v>144</v>
      </c>
      <c r="F245" s="24" t="s">
        <v>144</v>
      </c>
      <c r="G245" s="24" t="s">
        <v>1193</v>
      </c>
      <c r="H245" s="15" t="str">
        <f t="shared" si="3"/>
        <v>SALLY HANSEN</v>
      </c>
      <c r="I245" s="25">
        <v>45896</v>
      </c>
      <c r="J245" s="25">
        <v>46108</v>
      </c>
      <c r="K245" s="6">
        <v>3.31</v>
      </c>
      <c r="L245" s="6">
        <v>1.37</v>
      </c>
      <c r="M245" s="6">
        <v>4.53</v>
      </c>
      <c r="N245" s="23" t="s">
        <v>1027</v>
      </c>
      <c r="O245" s="21" t="s">
        <v>1040</v>
      </c>
      <c r="P245" s="21" t="s">
        <v>1041</v>
      </c>
      <c r="Q245" s="15">
        <f>DATEDIF(I245,J245,"M")</f>
        <v>7</v>
      </c>
    </row>
    <row r="246" spans="1:34" x14ac:dyDescent="0.3">
      <c r="A246" s="14">
        <v>16228684</v>
      </c>
      <c r="B246" t="s">
        <v>126</v>
      </c>
      <c r="C246" t="s">
        <v>42</v>
      </c>
      <c r="D246" s="6">
        <v>7250136668</v>
      </c>
      <c r="E246" t="s">
        <v>937</v>
      </c>
      <c r="F246" s="24" t="s">
        <v>937</v>
      </c>
      <c r="G246" s="24" t="s">
        <v>1195</v>
      </c>
      <c r="H246" s="15" t="str">
        <f t="shared" si="3"/>
        <v>ELIZABETH CODER</v>
      </c>
      <c r="I246" s="25">
        <v>45884</v>
      </c>
      <c r="J246" s="25">
        <v>46096</v>
      </c>
      <c r="K246" s="6">
        <v>127.03</v>
      </c>
      <c r="L246" s="6">
        <v>1.37</v>
      </c>
      <c r="M246" s="6">
        <v>174.03</v>
      </c>
      <c r="N246" s="23" t="s">
        <v>1027</v>
      </c>
      <c r="O246" s="21" t="s">
        <v>1040</v>
      </c>
      <c r="P246" s="21" t="s">
        <v>1041</v>
      </c>
      <c r="Q246" s="15">
        <f>DATEDIF(I246,J246,"M")</f>
        <v>7</v>
      </c>
    </row>
    <row r="247" spans="1:34" x14ac:dyDescent="0.3">
      <c r="A247" s="14">
        <v>16228684</v>
      </c>
      <c r="B247" t="s">
        <v>126</v>
      </c>
      <c r="C247" t="s">
        <v>42</v>
      </c>
      <c r="D247" s="6">
        <v>7250133944</v>
      </c>
      <c r="E247" t="s">
        <v>595</v>
      </c>
      <c r="F247" s="24" t="s">
        <v>595</v>
      </c>
      <c r="G247" s="24" t="s">
        <v>1053</v>
      </c>
      <c r="H247" s="15" t="str">
        <f t="shared" si="3"/>
        <v>DEBORAH OLSON</v>
      </c>
      <c r="I247" s="25">
        <v>45873</v>
      </c>
      <c r="J247" s="25">
        <v>46085</v>
      </c>
      <c r="K247" s="6">
        <v>140.80000000000001</v>
      </c>
      <c r="L247" s="6">
        <v>1.37</v>
      </c>
      <c r="M247" s="6">
        <v>192.9</v>
      </c>
      <c r="N247" s="23" t="s">
        <v>1027</v>
      </c>
      <c r="O247" s="21" t="s">
        <v>1040</v>
      </c>
      <c r="P247" s="21" t="s">
        <v>1041</v>
      </c>
      <c r="Q247" s="15">
        <f>DATEDIF(I247,J247,"M")</f>
        <v>7</v>
      </c>
    </row>
    <row r="248" spans="1:34" x14ac:dyDescent="0.3">
      <c r="A248" s="14">
        <v>16228684</v>
      </c>
      <c r="B248" t="s">
        <v>126</v>
      </c>
      <c r="C248" t="s">
        <v>42</v>
      </c>
      <c r="D248" s="6">
        <v>7250131409</v>
      </c>
      <c r="E248" t="s">
        <v>128</v>
      </c>
      <c r="F248" s="24" t="s">
        <v>1187</v>
      </c>
      <c r="G248" s="24" t="s">
        <v>1185</v>
      </c>
      <c r="H248" s="15" t="str">
        <f t="shared" si="3"/>
        <v>JOANNE CLARKE</v>
      </c>
      <c r="I248" s="25">
        <v>45888</v>
      </c>
      <c r="J248" s="25">
        <v>46100</v>
      </c>
      <c r="K248" s="6">
        <v>81.569999999999993</v>
      </c>
      <c r="L248" s="6">
        <v>1.37</v>
      </c>
      <c r="M248" s="6">
        <v>111.75</v>
      </c>
      <c r="N248" s="23" t="s">
        <v>1027</v>
      </c>
      <c r="O248" s="21" t="s">
        <v>1040</v>
      </c>
      <c r="P248" s="21" t="s">
        <v>1041</v>
      </c>
      <c r="Q248" s="15">
        <f>DATEDIF(I248,J248,"M")</f>
        <v>7</v>
      </c>
    </row>
    <row r="249" spans="1:34" x14ac:dyDescent="0.3">
      <c r="A249" s="14">
        <v>16228684</v>
      </c>
      <c r="B249" t="s">
        <v>126</v>
      </c>
      <c r="C249" t="s">
        <v>42</v>
      </c>
      <c r="D249" s="6">
        <v>7250134006</v>
      </c>
      <c r="E249" t="s">
        <v>162</v>
      </c>
      <c r="F249" s="24" t="s">
        <v>162</v>
      </c>
      <c r="G249" s="24" t="s">
        <v>1080</v>
      </c>
      <c r="H249" s="15" t="str">
        <f t="shared" si="3"/>
        <v>LINDA SANCHEZ</v>
      </c>
      <c r="I249" s="25">
        <v>45896</v>
      </c>
      <c r="J249" s="25">
        <v>46108</v>
      </c>
      <c r="K249" s="6">
        <v>8.08</v>
      </c>
      <c r="L249" s="6">
        <v>1.37</v>
      </c>
      <c r="M249" s="6">
        <v>11.07</v>
      </c>
      <c r="N249" s="23" t="s">
        <v>1027</v>
      </c>
      <c r="O249" s="21" t="s">
        <v>1040</v>
      </c>
      <c r="P249" s="21" t="s">
        <v>1041</v>
      </c>
      <c r="Q249" s="15">
        <f>DATEDIF(I249,J249,"M")</f>
        <v>7</v>
      </c>
    </row>
    <row r="250" spans="1:34" s="15" customFormat="1" x14ac:dyDescent="0.3">
      <c r="A250" s="14">
        <v>16228684</v>
      </c>
      <c r="B250" s="24" t="s">
        <v>126</v>
      </c>
      <c r="C250" s="24" t="s">
        <v>42</v>
      </c>
      <c r="D250" s="26">
        <v>7250131524</v>
      </c>
      <c r="E250" s="24" t="s">
        <v>208</v>
      </c>
      <c r="F250" s="24" t="s">
        <v>208</v>
      </c>
      <c r="G250" s="24" t="s">
        <v>1192</v>
      </c>
      <c r="H250" s="15" t="str">
        <f t="shared" si="3"/>
        <v>JULIE STRAUSS</v>
      </c>
      <c r="I250" s="25">
        <v>45874</v>
      </c>
      <c r="J250" s="25">
        <v>46086</v>
      </c>
      <c r="K250" s="26">
        <v>6.21</v>
      </c>
      <c r="L250" s="26">
        <v>1.37</v>
      </c>
      <c r="M250" s="26">
        <v>8.51</v>
      </c>
      <c r="N250" s="24" t="s">
        <v>1027</v>
      </c>
      <c r="O250" s="21" t="s">
        <v>1040</v>
      </c>
      <c r="P250" s="21" t="s">
        <v>1041</v>
      </c>
      <c r="Q250" s="15">
        <f>DATEDIF(I250,J250,"M")</f>
        <v>7</v>
      </c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4" s="15" customFormat="1" x14ac:dyDescent="0.3">
      <c r="A251" s="14">
        <v>8977234</v>
      </c>
      <c r="B251" s="24" t="s">
        <v>133</v>
      </c>
      <c r="C251" s="24" t="s">
        <v>42</v>
      </c>
      <c r="D251" s="26">
        <v>6250100038</v>
      </c>
      <c r="E251" s="24" t="s">
        <v>665</v>
      </c>
      <c r="F251" s="24" t="s">
        <v>665</v>
      </c>
      <c r="G251" s="24" t="s">
        <v>1196</v>
      </c>
      <c r="H251" s="15" t="str">
        <f t="shared" si="3"/>
        <v>CISSIE SCHUTJER</v>
      </c>
      <c r="I251" s="25">
        <v>45841</v>
      </c>
      <c r="J251" s="25">
        <v>46084</v>
      </c>
      <c r="K251" s="26">
        <v>65.42</v>
      </c>
      <c r="L251" s="26">
        <v>0.9</v>
      </c>
      <c r="M251" s="26">
        <v>58.88</v>
      </c>
      <c r="N251" s="24" t="s">
        <v>1029</v>
      </c>
      <c r="O251" s="21" t="s">
        <v>1040</v>
      </c>
      <c r="P251" s="21" t="s">
        <v>1041</v>
      </c>
      <c r="Q251" s="15">
        <f>DATEDIF(I251,J251,"M")</f>
        <v>8</v>
      </c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</row>
    <row r="252" spans="1:34" s="15" customFormat="1" x14ac:dyDescent="0.3">
      <c r="A252" s="14">
        <v>9213293</v>
      </c>
      <c r="B252" s="24" t="s">
        <v>41</v>
      </c>
      <c r="C252" s="24" t="s">
        <v>42</v>
      </c>
      <c r="D252" s="26">
        <v>7250134970</v>
      </c>
      <c r="E252" s="24" t="s">
        <v>870</v>
      </c>
      <c r="F252" s="24" t="s">
        <v>870</v>
      </c>
      <c r="G252" s="24" t="s">
        <v>1197</v>
      </c>
      <c r="H252" s="15" t="str">
        <f t="shared" si="3"/>
        <v>TERESA SILVA</v>
      </c>
      <c r="I252" s="25">
        <v>45866</v>
      </c>
      <c r="J252" s="25">
        <v>46109</v>
      </c>
      <c r="K252" s="26">
        <v>86.38</v>
      </c>
      <c r="L252" s="26">
        <v>1.37</v>
      </c>
      <c r="M252" s="26">
        <v>118.34</v>
      </c>
      <c r="N252" s="24" t="s">
        <v>1027</v>
      </c>
      <c r="O252" s="21" t="s">
        <v>1040</v>
      </c>
      <c r="P252" s="21" t="s">
        <v>1041</v>
      </c>
      <c r="Q252" s="15">
        <f>DATEDIF(I252,J252,"M")</f>
        <v>8</v>
      </c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</row>
    <row r="253" spans="1:34" s="15" customFormat="1" x14ac:dyDescent="0.3">
      <c r="A253" s="14">
        <v>16228684</v>
      </c>
      <c r="B253" s="24" t="s">
        <v>126</v>
      </c>
      <c r="C253" s="24" t="s">
        <v>42</v>
      </c>
      <c r="D253" s="26">
        <v>7250132579</v>
      </c>
      <c r="E253" s="24" t="s">
        <v>475</v>
      </c>
      <c r="F253" s="24" t="s">
        <v>475</v>
      </c>
      <c r="G253" s="24" t="s">
        <v>1168</v>
      </c>
      <c r="H253" s="15" t="str">
        <f t="shared" si="3"/>
        <v>PATRICIA DEVEE</v>
      </c>
      <c r="I253" s="25">
        <v>45866</v>
      </c>
      <c r="J253" s="25">
        <v>46109</v>
      </c>
      <c r="K253" s="26">
        <v>5.8</v>
      </c>
      <c r="L253" s="26">
        <v>1.37</v>
      </c>
      <c r="M253" s="26">
        <v>7.95</v>
      </c>
      <c r="N253" s="24" t="s">
        <v>1027</v>
      </c>
      <c r="O253" s="21" t="s">
        <v>1040</v>
      </c>
      <c r="P253" s="21" t="s">
        <v>1041</v>
      </c>
      <c r="Q253" s="15">
        <f>DATEDIF(I253,J253,"M")</f>
        <v>8</v>
      </c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</row>
    <row r="254" spans="1:34" s="15" customFormat="1" x14ac:dyDescent="0.3">
      <c r="A254" s="14">
        <v>16228684</v>
      </c>
      <c r="B254" s="24" t="s">
        <v>126</v>
      </c>
      <c r="C254" s="24" t="s">
        <v>42</v>
      </c>
      <c r="D254" s="26">
        <v>7250128277</v>
      </c>
      <c r="E254" s="24" t="s">
        <v>515</v>
      </c>
      <c r="F254" s="24" t="s">
        <v>515</v>
      </c>
      <c r="G254" s="24" t="s">
        <v>1198</v>
      </c>
      <c r="H254" s="15" t="str">
        <f t="shared" si="3"/>
        <v>BEVERLY THOMPSON</v>
      </c>
      <c r="I254" s="25">
        <v>45860</v>
      </c>
      <c r="J254" s="25">
        <v>46103</v>
      </c>
      <c r="K254" s="26">
        <v>193.53</v>
      </c>
      <c r="L254" s="26">
        <v>1.37</v>
      </c>
      <c r="M254" s="26">
        <v>265.14</v>
      </c>
      <c r="N254" s="24" t="s">
        <v>1027</v>
      </c>
      <c r="O254" s="21" t="s">
        <v>1040</v>
      </c>
      <c r="P254" s="21" t="s">
        <v>1041</v>
      </c>
      <c r="Q254" s="15">
        <f>DATEDIF(I254,J254,"M")</f>
        <v>8</v>
      </c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</row>
    <row r="255" spans="1:34" s="15" customFormat="1" x14ac:dyDescent="0.3">
      <c r="A255" s="14">
        <v>16228684</v>
      </c>
      <c r="B255" s="24" t="s">
        <v>126</v>
      </c>
      <c r="C255" s="24" t="s">
        <v>42</v>
      </c>
      <c r="D255" s="26">
        <v>7250128277</v>
      </c>
      <c r="E255" s="24" t="s">
        <v>515</v>
      </c>
      <c r="F255" s="24" t="s">
        <v>515</v>
      </c>
      <c r="G255" s="24" t="s">
        <v>1198</v>
      </c>
      <c r="H255" s="15" t="str">
        <f t="shared" si="3"/>
        <v>BEVERLY THOMPSON</v>
      </c>
      <c r="I255" s="25">
        <v>45860</v>
      </c>
      <c r="J255" s="25">
        <v>46103</v>
      </c>
      <c r="K255" s="26">
        <v>10.1</v>
      </c>
      <c r="L255" s="26">
        <v>1.37</v>
      </c>
      <c r="M255" s="26">
        <v>13.84</v>
      </c>
      <c r="N255" s="24" t="s">
        <v>1027</v>
      </c>
      <c r="O255" s="21" t="s">
        <v>1040</v>
      </c>
      <c r="P255" s="21" t="s">
        <v>1041</v>
      </c>
      <c r="Q255" s="15">
        <f>DATEDIF(I255,J255,"M")</f>
        <v>8</v>
      </c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</row>
    <row r="256" spans="1:34" s="15" customFormat="1" x14ac:dyDescent="0.3">
      <c r="A256" s="14">
        <v>16228684</v>
      </c>
      <c r="B256" s="24" t="s">
        <v>126</v>
      </c>
      <c r="C256" s="24" t="s">
        <v>42</v>
      </c>
      <c r="D256" s="26">
        <v>7250132579</v>
      </c>
      <c r="E256" s="24" t="s">
        <v>475</v>
      </c>
      <c r="F256" s="24" t="s">
        <v>475</v>
      </c>
      <c r="G256" s="24" t="s">
        <v>1168</v>
      </c>
      <c r="H256" s="15" t="str">
        <f t="shared" si="3"/>
        <v>PATRICIA DEVEE</v>
      </c>
      <c r="I256" s="25">
        <v>45866</v>
      </c>
      <c r="J256" s="25">
        <v>46109</v>
      </c>
      <c r="K256" s="26">
        <v>119.81</v>
      </c>
      <c r="L256" s="26">
        <v>1.37</v>
      </c>
      <c r="M256" s="26">
        <v>164.14</v>
      </c>
      <c r="N256" s="24" t="s">
        <v>1027</v>
      </c>
      <c r="O256" s="21" t="s">
        <v>1040</v>
      </c>
      <c r="P256" s="21" t="s">
        <v>1041</v>
      </c>
      <c r="Q256" s="15">
        <f>DATEDIF(I256,J256,"M")</f>
        <v>8</v>
      </c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4" s="15" customFormat="1" x14ac:dyDescent="0.3">
      <c r="A257" s="14">
        <v>9213293</v>
      </c>
      <c r="B257" s="24" t="s">
        <v>41</v>
      </c>
      <c r="C257" s="24" t="s">
        <v>42</v>
      </c>
      <c r="D257" s="26">
        <v>6250092297</v>
      </c>
      <c r="E257" s="24" t="s">
        <v>621</v>
      </c>
      <c r="F257" s="24" t="s">
        <v>621</v>
      </c>
      <c r="G257" s="24" t="s">
        <v>1199</v>
      </c>
      <c r="H257" s="15" t="str">
        <f t="shared" si="3"/>
        <v>CYNTHIA BELL</v>
      </c>
      <c r="I257" s="25">
        <v>45813</v>
      </c>
      <c r="J257" s="25">
        <v>46086</v>
      </c>
      <c r="K257" s="26">
        <v>76.010000000000005</v>
      </c>
      <c r="L257" s="26">
        <v>0.9</v>
      </c>
      <c r="M257" s="26">
        <v>68.41</v>
      </c>
      <c r="N257" s="24" t="s">
        <v>1029</v>
      </c>
      <c r="O257" s="21" t="s">
        <v>1040</v>
      </c>
      <c r="P257" s="21" t="s">
        <v>1041</v>
      </c>
      <c r="Q257" s="15">
        <f>DATEDIF(I257,J257,"M")</f>
        <v>9</v>
      </c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</row>
    <row r="258" spans="1:34" s="15" customFormat="1" x14ac:dyDescent="0.3">
      <c r="A258" s="14">
        <v>8977234</v>
      </c>
      <c r="B258" s="24" t="s">
        <v>133</v>
      </c>
      <c r="C258" s="24" t="s">
        <v>42</v>
      </c>
      <c r="D258" s="26">
        <v>6250063528</v>
      </c>
      <c r="E258" s="24" t="s">
        <v>135</v>
      </c>
      <c r="F258" s="24" t="s">
        <v>135</v>
      </c>
      <c r="G258" s="24" t="s">
        <v>586</v>
      </c>
      <c r="H258" s="15" t="str">
        <f t="shared" si="3"/>
        <v>THOMAS HAPNER</v>
      </c>
      <c r="I258" s="25">
        <v>45778</v>
      </c>
      <c r="J258" s="25">
        <v>46082</v>
      </c>
      <c r="K258" s="26">
        <v>71.91</v>
      </c>
      <c r="L258" s="26">
        <v>0.9</v>
      </c>
      <c r="M258" s="26">
        <v>64.72</v>
      </c>
      <c r="N258" s="24" t="s">
        <v>1029</v>
      </c>
      <c r="O258" s="21" t="s">
        <v>1040</v>
      </c>
      <c r="P258" s="21" t="s">
        <v>1041</v>
      </c>
      <c r="Q258" s="15">
        <f>DATEDIF(I258,J258,"M")</f>
        <v>10</v>
      </c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</row>
    <row r="259" spans="1:34" s="15" customFormat="1" x14ac:dyDescent="0.3">
      <c r="A259" s="14">
        <v>8977234</v>
      </c>
      <c r="B259" s="24" t="s">
        <v>133</v>
      </c>
      <c r="C259" s="24" t="s">
        <v>42</v>
      </c>
      <c r="D259" s="26">
        <v>7250065229</v>
      </c>
      <c r="E259" s="24" t="s">
        <v>721</v>
      </c>
      <c r="F259" s="24" t="s">
        <v>721</v>
      </c>
      <c r="G259" s="24" t="s">
        <v>1076</v>
      </c>
      <c r="H259" s="15" t="str">
        <f t="shared" ref="H259:H264" si="4">_xlfn.CONCAT(G259, " ",F259)</f>
        <v>MARK VOLPE</v>
      </c>
      <c r="I259" s="25">
        <v>45792</v>
      </c>
      <c r="J259" s="25">
        <v>46096</v>
      </c>
      <c r="K259" s="26">
        <v>200.32</v>
      </c>
      <c r="L259" s="26">
        <v>0.94499999999999995</v>
      </c>
      <c r="M259" s="26">
        <v>189.3</v>
      </c>
      <c r="N259" s="24" t="s">
        <v>1028</v>
      </c>
      <c r="O259" s="21" t="s">
        <v>1040</v>
      </c>
      <c r="P259" s="21" t="s">
        <v>1041</v>
      </c>
      <c r="Q259" s="15">
        <f>DATEDIF(I259,J259,"M")</f>
        <v>10</v>
      </c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</row>
    <row r="260" spans="1:34" s="15" customFormat="1" x14ac:dyDescent="0.3">
      <c r="A260" s="14">
        <v>8977234</v>
      </c>
      <c r="B260" s="24" t="s">
        <v>133</v>
      </c>
      <c r="C260" s="24" t="s">
        <v>42</v>
      </c>
      <c r="D260" s="26">
        <v>7250057563</v>
      </c>
      <c r="E260" s="24" t="s">
        <v>251</v>
      </c>
      <c r="F260" s="24" t="s">
        <v>251</v>
      </c>
      <c r="G260" s="24" t="s">
        <v>1200</v>
      </c>
      <c r="H260" s="15" t="str">
        <f t="shared" si="4"/>
        <v>CONNIE JAROS</v>
      </c>
      <c r="I260" s="25">
        <v>45778</v>
      </c>
      <c r="J260" s="25">
        <v>46082</v>
      </c>
      <c r="K260" s="26">
        <v>76.849999999999994</v>
      </c>
      <c r="L260" s="26">
        <v>1.37</v>
      </c>
      <c r="M260" s="26">
        <v>105.28</v>
      </c>
      <c r="N260" s="24" t="s">
        <v>1027</v>
      </c>
      <c r="O260" s="21" t="s">
        <v>1040</v>
      </c>
      <c r="P260" s="21" t="s">
        <v>1041</v>
      </c>
      <c r="Q260" s="15">
        <f>DATEDIF(I260,J260,"M")</f>
        <v>10</v>
      </c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</row>
    <row r="261" spans="1:34" s="15" customFormat="1" x14ac:dyDescent="0.3">
      <c r="A261" s="14">
        <v>8977234</v>
      </c>
      <c r="B261" s="24" t="s">
        <v>133</v>
      </c>
      <c r="C261" s="24" t="s">
        <v>42</v>
      </c>
      <c r="D261" s="26">
        <v>7250062261</v>
      </c>
      <c r="E261" s="24" t="s">
        <v>135</v>
      </c>
      <c r="F261" s="24" t="s">
        <v>135</v>
      </c>
      <c r="G261" s="24" t="s">
        <v>1201</v>
      </c>
      <c r="H261" s="15" t="str">
        <f t="shared" si="4"/>
        <v>MELISSA HAPNER</v>
      </c>
      <c r="I261" s="25">
        <v>45778</v>
      </c>
      <c r="J261" s="25">
        <v>46082</v>
      </c>
      <c r="K261" s="26">
        <v>32.659999999999997</v>
      </c>
      <c r="L261" s="26">
        <v>1.37</v>
      </c>
      <c r="M261" s="26">
        <v>44.74</v>
      </c>
      <c r="N261" s="24" t="s">
        <v>1027</v>
      </c>
      <c r="O261" s="21" t="s">
        <v>1040</v>
      </c>
      <c r="P261" s="21" t="s">
        <v>1041</v>
      </c>
      <c r="Q261" s="15">
        <f>DATEDIF(I261,J261,"M")</f>
        <v>10</v>
      </c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</row>
    <row r="262" spans="1:34" s="15" customFormat="1" x14ac:dyDescent="0.3">
      <c r="A262" s="14">
        <v>9213293</v>
      </c>
      <c r="B262" s="24" t="s">
        <v>41</v>
      </c>
      <c r="C262" s="24" t="s">
        <v>42</v>
      </c>
      <c r="D262" s="26">
        <v>7250088780</v>
      </c>
      <c r="E262" s="24" t="s">
        <v>753</v>
      </c>
      <c r="F262" s="24" t="s">
        <v>621</v>
      </c>
      <c r="G262" s="24" t="s">
        <v>1202</v>
      </c>
      <c r="H262" s="15" t="str">
        <f t="shared" si="4"/>
        <v>MILTON BELL</v>
      </c>
      <c r="I262" s="25">
        <v>45805</v>
      </c>
      <c r="J262" s="25">
        <v>46109</v>
      </c>
      <c r="K262" s="26">
        <v>80.77</v>
      </c>
      <c r="L262" s="26">
        <v>0.94499999999999995</v>
      </c>
      <c r="M262" s="26">
        <v>76.33</v>
      </c>
      <c r="N262" s="24" t="s">
        <v>1028</v>
      </c>
      <c r="O262" s="21" t="s">
        <v>1040</v>
      </c>
      <c r="P262" s="21" t="s">
        <v>1041</v>
      </c>
      <c r="Q262" s="15">
        <f>DATEDIF(I262,J262,"M")</f>
        <v>10</v>
      </c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</row>
    <row r="263" spans="1:34" s="15" customFormat="1" x14ac:dyDescent="0.3">
      <c r="A263" s="14">
        <v>17425766</v>
      </c>
      <c r="B263" s="24" t="s">
        <v>415</v>
      </c>
      <c r="C263" s="24" t="s">
        <v>42</v>
      </c>
      <c r="D263" s="26">
        <v>7250064114</v>
      </c>
      <c r="E263" s="24" t="s">
        <v>417</v>
      </c>
      <c r="F263" s="24" t="s">
        <v>417</v>
      </c>
      <c r="G263" s="24" t="s">
        <v>1157</v>
      </c>
      <c r="H263" s="15" t="str">
        <f t="shared" si="4"/>
        <v>TIMOTHY POPE</v>
      </c>
      <c r="I263" s="25">
        <v>45770</v>
      </c>
      <c r="J263" s="25">
        <v>46104</v>
      </c>
      <c r="K263" s="26">
        <v>160.93</v>
      </c>
      <c r="L263" s="26">
        <v>0.94499999999999995</v>
      </c>
      <c r="M263" s="26">
        <v>152.08000000000001</v>
      </c>
      <c r="N263" s="24" t="s">
        <v>1028</v>
      </c>
      <c r="O263" s="21" t="s">
        <v>1040</v>
      </c>
      <c r="P263" s="21" t="s">
        <v>1041</v>
      </c>
      <c r="Q263" s="15">
        <f>DATEDIF(I263,J263,"M")</f>
        <v>11</v>
      </c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</row>
    <row r="264" spans="1:34" s="15" customFormat="1" x14ac:dyDescent="0.3">
      <c r="A264" s="14">
        <v>9213293</v>
      </c>
      <c r="B264" s="24" t="s">
        <v>41</v>
      </c>
      <c r="C264" s="24" t="s">
        <v>42</v>
      </c>
      <c r="D264" s="26">
        <v>7250067462</v>
      </c>
      <c r="E264" s="24" t="s">
        <v>612</v>
      </c>
      <c r="F264" s="24" t="s">
        <v>612</v>
      </c>
      <c r="G264" s="24" t="s">
        <v>1165</v>
      </c>
      <c r="H264" s="15" t="str">
        <f t="shared" si="4"/>
        <v>LENA PITTS</v>
      </c>
      <c r="I264" s="25">
        <v>45775</v>
      </c>
      <c r="J264" s="25">
        <v>46109</v>
      </c>
      <c r="K264" s="26">
        <v>72.09</v>
      </c>
      <c r="L264" s="26">
        <v>1.37</v>
      </c>
      <c r="M264" s="26">
        <v>98.76</v>
      </c>
      <c r="N264" s="24" t="s">
        <v>1027</v>
      </c>
      <c r="O264" s="21" t="s">
        <v>1040</v>
      </c>
      <c r="P264" s="21" t="s">
        <v>1041</v>
      </c>
      <c r="Q264" s="15">
        <f>DATEDIF(I264,J264,"M")</f>
        <v>11</v>
      </c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</row>
  </sheetData>
  <sortState xmlns:xlrd2="http://schemas.microsoft.com/office/spreadsheetml/2017/richdata2" ref="A2:AH264">
    <sortCondition sortBy="cellColor" ref="B2:B264" dxfId="0"/>
    <sortCondition ref="Q2:Q2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2026-04-01T17:53:58Z</dcterms:modified>
</cp:coreProperties>
</file>