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DD968165-6F8D-494C-961F-446932543BC2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Commission_Statement_Details_Re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L3" i="2" l="1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" i="2"/>
</calcChain>
</file>

<file path=xl/sharedStrings.xml><?xml version="1.0" encoding="utf-8"?>
<sst xmlns="http://schemas.openxmlformats.org/spreadsheetml/2006/main" count="957" uniqueCount="181">
  <si>
    <t xml:space="preserve">Commission Statement Details Report  
</t>
  </si>
  <si>
    <t>Activity For Period Ending</t>
  </si>
  <si>
    <t>Agent Number</t>
  </si>
  <si>
    <t>Agent Name</t>
  </si>
  <si>
    <t>Agency Number</t>
  </si>
  <si>
    <t>Agency Name</t>
  </si>
  <si>
    <t>Writing Agent Name</t>
  </si>
  <si>
    <t>Writing Agent Number</t>
  </si>
  <si>
    <t>Activity</t>
  </si>
  <si>
    <t>Policy Number</t>
  </si>
  <si>
    <t>Description</t>
  </si>
  <si>
    <t>Mode</t>
  </si>
  <si>
    <t>Product Type</t>
  </si>
  <si>
    <t>Issue Date</t>
  </si>
  <si>
    <t>Due Date</t>
  </si>
  <si>
    <t>Tran Date</t>
  </si>
  <si>
    <t>Split</t>
  </si>
  <si>
    <t>Premium</t>
  </si>
  <si>
    <t>Rate</t>
  </si>
  <si>
    <t>Amount</t>
  </si>
  <si>
    <t>Payoff Item not Included in Total</t>
  </si>
  <si>
    <t>Commission Rate Times Annualization Rate</t>
  </si>
  <si>
    <t>Advance Amount Times Annualization Rates</t>
  </si>
  <si>
    <t>Lapse Recoupment</t>
  </si>
  <si>
    <t>Surrender Recoupment</t>
  </si>
  <si>
    <t>Reinstate Annualization</t>
  </si>
  <si>
    <t>Financial Owner</t>
  </si>
  <si>
    <t>Type</t>
  </si>
  <si>
    <t>Company Code</t>
  </si>
  <si>
    <t>Agent Level</t>
  </si>
  <si>
    <t>Agent TaxID</t>
  </si>
  <si>
    <t>Statement LOB</t>
  </si>
  <si>
    <t>149B0</t>
  </si>
  <si>
    <t>AGL</t>
  </si>
  <si>
    <t>2026-02-13</t>
  </si>
  <si>
    <t>MAIN LINE BENEFITS LLC</t>
  </si>
  <si>
    <t>6</t>
  </si>
  <si>
    <t>*****8192</t>
  </si>
  <si>
    <t>5Q29Q</t>
  </si>
  <si>
    <t>HEARTLAND FINANCIAL GROUP LLC</t>
  </si>
  <si>
    <t>1FJU8</t>
  </si>
  <si>
    <t>ROLLER, JASON</t>
  </si>
  <si>
    <t>Overwrite Activity</t>
  </si>
  <si>
    <t>7250161361</t>
  </si>
  <si>
    <t>OLDENBURG</t>
  </si>
  <si>
    <t>MNTHLY</t>
  </si>
  <si>
    <t>Life</t>
  </si>
  <si>
    <t>Term</t>
  </si>
  <si>
    <t>2025-09-10</t>
  </si>
  <si>
    <t>100.00</t>
  </si>
  <si>
    <t>178.20</t>
  </si>
  <si>
    <t>1.3700</t>
  </si>
  <si>
    <t>244.13</t>
  </si>
  <si>
    <t/>
  </si>
  <si>
    <t>7250195078</t>
  </si>
  <si>
    <t>EVANS</t>
  </si>
  <si>
    <t>2025-11-08</t>
  </si>
  <si>
    <t>179.87</t>
  </si>
  <si>
    <t>246.42</t>
  </si>
  <si>
    <t>14JT4</t>
  </si>
  <si>
    <t>WALENGA, DALE</t>
  </si>
  <si>
    <t>7240110364</t>
  </si>
  <si>
    <t>MINJARES</t>
  </si>
  <si>
    <t>2024-11-08</t>
  </si>
  <si>
    <t>50.65</t>
  </si>
  <si>
    <t>0.0600</t>
  </si>
  <si>
    <t>3.04</t>
  </si>
  <si>
    <t>6.16</t>
  </si>
  <si>
    <t>8.44</t>
  </si>
  <si>
    <t>1FGJ5</t>
  </si>
  <si>
    <t>BRANDT, STEVEN</t>
  </si>
  <si>
    <t>7260020034</t>
  </si>
  <si>
    <t>HARSHMAN</t>
  </si>
  <si>
    <t>2026-02-03</t>
  </si>
  <si>
    <t>-75.45</t>
  </si>
  <si>
    <t>0.9450</t>
  </si>
  <si>
    <t>-71.30</t>
  </si>
  <si>
    <t>7250171748</t>
  </si>
  <si>
    <t>THOMAS</t>
  </si>
  <si>
    <t>2025-09-12</t>
  </si>
  <si>
    <t>177.84</t>
  </si>
  <si>
    <t>168.06</t>
  </si>
  <si>
    <t>14MK0</t>
  </si>
  <si>
    <t>PORTUGAL, GARY</t>
  </si>
  <si>
    <t>7260033170</t>
  </si>
  <si>
    <t>RIVERA</t>
  </si>
  <si>
    <t>2026-02-08</t>
  </si>
  <si>
    <t>-48.54</t>
  </si>
  <si>
    <t>-66.50</t>
  </si>
  <si>
    <t>7250134006</t>
  </si>
  <si>
    <t>SANCHEZ</t>
  </si>
  <si>
    <t>2025-08-27</t>
  </si>
  <si>
    <t>8.08</t>
  </si>
  <si>
    <t>11.07</t>
  </si>
  <si>
    <t>14JK2</t>
  </si>
  <si>
    <t>CHOI, ANDREW</t>
  </si>
  <si>
    <t>7250182527</t>
  </si>
  <si>
    <t>JOHNSON KING</t>
  </si>
  <si>
    <t>2025-11-13</t>
  </si>
  <si>
    <t>106.14</t>
  </si>
  <si>
    <t>145.41</t>
  </si>
  <si>
    <t>6250171855</t>
  </si>
  <si>
    <t>SILVA</t>
  </si>
  <si>
    <t>2025-10-07</t>
  </si>
  <si>
    <t>112.77</t>
  </si>
  <si>
    <t>0.9000</t>
  </si>
  <si>
    <t>101.49</t>
  </si>
  <si>
    <t>7250195097</t>
  </si>
  <si>
    <t>3.92</t>
  </si>
  <si>
    <t>5.37</t>
  </si>
  <si>
    <t>7250170272</t>
  </si>
  <si>
    <t>WALKER</t>
  </si>
  <si>
    <t>2025-09-16</t>
  </si>
  <si>
    <t>86.32</t>
  </si>
  <si>
    <t>118.26</t>
  </si>
  <si>
    <t>70.58</t>
  </si>
  <si>
    <t>96.69</t>
  </si>
  <si>
    <t>7250193100</t>
  </si>
  <si>
    <t>SANTANGELO</t>
  </si>
  <si>
    <t>2025-10-10</t>
  </si>
  <si>
    <t>102.77</t>
  </si>
  <si>
    <t>140.79</t>
  </si>
  <si>
    <t>Miscellaneous Account Activity</t>
  </si>
  <si>
    <t>4Q25 Agt Bonus 1FJU8</t>
  </si>
  <si>
    <t>Fixed Index Annuity</t>
  </si>
  <si>
    <t>0.00</t>
  </si>
  <si>
    <t>500.00</t>
  </si>
  <si>
    <t>0.0000</t>
  </si>
  <si>
    <t>7250169190</t>
  </si>
  <si>
    <t>HANSEN</t>
  </si>
  <si>
    <t>4.06</t>
  </si>
  <si>
    <t>5.56</t>
  </si>
  <si>
    <t>7250249151</t>
  </si>
  <si>
    <t>FOX</t>
  </si>
  <si>
    <t>2025-12-07</t>
  </si>
  <si>
    <t>149.72</t>
  </si>
  <si>
    <t>205.12</t>
  </si>
  <si>
    <t>7250169502</t>
  </si>
  <si>
    <t>LIST</t>
  </si>
  <si>
    <t>51.07</t>
  </si>
  <si>
    <t>48.26</t>
  </si>
  <si>
    <t>48.54</t>
  </si>
  <si>
    <t>66.50</t>
  </si>
  <si>
    <t>7240110349</t>
  </si>
  <si>
    <t>25.33</t>
  </si>
  <si>
    <t>1.52</t>
  </si>
  <si>
    <t>5.07</t>
  </si>
  <si>
    <t>6.95</t>
  </si>
  <si>
    <t>7250168418</t>
  </si>
  <si>
    <t>MILLS</t>
  </si>
  <si>
    <t>2025-09-08</t>
  </si>
  <si>
    <t>69.59</t>
  </si>
  <si>
    <t>95.34</t>
  </si>
  <si>
    <t>119.64</t>
  </si>
  <si>
    <t>163.91</t>
  </si>
  <si>
    <t>7250169460</t>
  </si>
  <si>
    <t>28.00</t>
  </si>
  <si>
    <t>38.36</t>
  </si>
  <si>
    <t>Product</t>
  </si>
  <si>
    <t>Corebridge SimpliNow Legacy Max (137)</t>
  </si>
  <si>
    <t>Corebridge SimpliNow Legacy (94.50)</t>
  </si>
  <si>
    <t>Corebridge Guaranteed Issue Whole Life (90)</t>
  </si>
  <si>
    <t>OLDENBURG,ROBERT</t>
  </si>
  <si>
    <t>EVANS,PEGGIE L</t>
  </si>
  <si>
    <t>MINJARES,JOE</t>
  </si>
  <si>
    <t>HARSHMAN,DAVID W</t>
  </si>
  <si>
    <t>THOMAS,CHARLES</t>
  </si>
  <si>
    <t>SANCHEZ,LINDA</t>
  </si>
  <si>
    <t>JOHNSON KING,BRENDA</t>
  </si>
  <si>
    <t>SILVA,ALFRED</t>
  </si>
  <si>
    <t>EVANS,ANGELA R</t>
  </si>
  <si>
    <t>WALKER,JOSEPH C</t>
  </si>
  <si>
    <t>SANTANGELO,JOAN J</t>
  </si>
  <si>
    <t>HANSEN,DOUGLAS</t>
  </si>
  <si>
    <t>FOX,HOWARD</t>
  </si>
  <si>
    <t>LIST,DARYL W</t>
  </si>
  <si>
    <t>MINJARES,MONICA</t>
  </si>
  <si>
    <t>MILLS,PAMELA C</t>
  </si>
  <si>
    <t>LIST,MARY T</t>
  </si>
  <si>
    <t>AV1</t>
  </si>
  <si>
    <t>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</si>
</sst>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8" fontId="0" fillId="0" borderId="0" xfId="0" applyNumberFormat="1"/>
    <xf numFmtId="0" fontId="2" fillId="0" borderId="0" xfId="0" applyFont="1" applyAlignment="1">
      <alignment horizontal="center"/>
    </xf>
    <xf numFmtId="0" fontId="0" fillId="2" borderId="0" xfId="0" applyFill="1"/>
    <xf numFmtId="8" fontId="0" fillId="2" borderId="0" xfId="0" applyNumberFormat="1" applyFill="1"/>
    <xf numFmtId="0" fontId="0" fillId="0" borderId="0" xfId="0" applyNumberFormat="1"/>
    <xf numFmtId="0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2" borderId="0" xfId="0" applyNumberFormat="1" applyFill="1" applyAlignment="1">
      <alignment horizontal="left"/>
    </xf>
    <xf numFmtId="0" fontId="0" fillId="2" borderId="0" xfId="0" applyFill="1" applyAlignment="1">
      <alignment horizontal="left"/>
    </xf>
    <xf numFmtId="14" fontId="0" fillId="2" borderId="0" xfId="0" applyNumberFormat="1" applyFill="1" applyAlignment="1">
      <alignment horizontal="left"/>
    </xf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7"/>
  <sheetViews>
    <sheetView topLeftCell="H1" zoomScale="89" zoomScaleNormal="89" workbookViewId="0">
      <selection activeCell="M18" sqref="M18"/>
    </sheetView>
  </sheetViews>
  <sheetFormatPr defaultRowHeight="15" x14ac:dyDescent="0.25"/>
  <cols>
    <col min="1" max="1" width="35.5703125" customWidth="1"/>
    <col min="2" max="2" width="25.85546875" customWidth="1"/>
    <col min="3" max="3" width="26.7109375" customWidth="1"/>
    <col min="4" max="4" width="16.28515625" customWidth="1"/>
    <col min="5" max="5" width="19" customWidth="1"/>
    <col min="6" max="6" width="18.85546875" customWidth="1"/>
    <col min="7" max="7" width="16.42578125" customWidth="1"/>
    <col min="8" max="8" width="16" customWidth="1"/>
    <col min="9" max="9" width="20.5703125" customWidth="1"/>
    <col min="10" max="10" width="24.140625" customWidth="1"/>
    <col min="11" max="11" width="29.28515625" bestFit="1" customWidth="1"/>
    <col min="12" max="12" width="20.7109375" customWidth="1"/>
    <col min="13" max="13" width="21" bestFit="1" customWidth="1"/>
    <col min="14" max="14" width="16.42578125" customWidth="1"/>
    <col min="15" max="15" width="15" customWidth="1"/>
    <col min="16" max="16" width="19" bestFit="1" customWidth="1"/>
    <col min="17" max="17" width="12" customWidth="1"/>
    <col min="18" max="18" width="13.28515625" customWidth="1"/>
    <col min="19" max="19" width="17.140625" customWidth="1"/>
    <col min="20" max="20" width="6.85546875" customWidth="1"/>
    <col min="21" max="21" width="17.28515625" customWidth="1"/>
    <col min="22" max="22" width="13.28515625" customWidth="1"/>
    <col min="23" max="23" width="12.28515625" customWidth="1"/>
    <col min="24" max="24" width="36.28515625" customWidth="1"/>
    <col min="25" max="25" width="43.140625" customWidth="1"/>
    <col min="26" max="26" width="43.7109375" customWidth="1"/>
    <col min="27" max="27" width="18.5703125" customWidth="1"/>
    <col min="28" max="28" width="24.5703125" customWidth="1"/>
    <col min="29" max="29" width="24" customWidth="1"/>
    <col min="30" max="30" width="18.28515625" bestFit="1" customWidth="1"/>
  </cols>
  <sheetData>
    <row r="1" spans="1:31" ht="15" customHeight="1" x14ac:dyDescent="0.2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</row>
    <row r="2" spans="1:31" ht="15" customHeight="1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</row>
    <row r="3" spans="1:31" x14ac:dyDescent="0.25">
      <c r="A3" s="1" t="s">
        <v>2</v>
      </c>
      <c r="B3" s="1" t="s">
        <v>28</v>
      </c>
      <c r="C3" s="1" t="s">
        <v>1</v>
      </c>
      <c r="D3" s="1" t="s">
        <v>3</v>
      </c>
      <c r="E3" s="1" t="s">
        <v>29</v>
      </c>
      <c r="F3" s="2" t="s">
        <v>30</v>
      </c>
      <c r="G3" s="2" t="s">
        <v>4</v>
      </c>
      <c r="H3" s="1" t="s">
        <v>5</v>
      </c>
      <c r="I3" s="1" t="s">
        <v>7</v>
      </c>
      <c r="J3" s="1" t="s">
        <v>6</v>
      </c>
      <c r="K3" s="1" t="s">
        <v>8</v>
      </c>
      <c r="L3" s="1" t="s">
        <v>9</v>
      </c>
      <c r="M3" s="1" t="s">
        <v>10</v>
      </c>
      <c r="N3" s="1" t="s">
        <v>11</v>
      </c>
      <c r="O3" s="1" t="s">
        <v>31</v>
      </c>
      <c r="P3" s="1" t="s">
        <v>12</v>
      </c>
      <c r="Q3" s="1" t="s">
        <v>13</v>
      </c>
      <c r="R3" s="1" t="s">
        <v>14</v>
      </c>
      <c r="S3" s="1" t="s">
        <v>15</v>
      </c>
      <c r="T3" s="1" t="s">
        <v>16</v>
      </c>
      <c r="U3" s="1" t="s">
        <v>17</v>
      </c>
      <c r="V3" s="1" t="s">
        <v>18</v>
      </c>
      <c r="W3" s="1" t="s">
        <v>19</v>
      </c>
      <c r="X3" s="1" t="s">
        <v>20</v>
      </c>
      <c r="Y3" s="1" t="s">
        <v>21</v>
      </c>
      <c r="Z3" s="1" t="s">
        <v>22</v>
      </c>
      <c r="AA3" s="1" t="s">
        <v>23</v>
      </c>
      <c r="AB3" s="1" t="s">
        <v>24</v>
      </c>
      <c r="AC3" s="1" t="s">
        <v>25</v>
      </c>
      <c r="AD3" s="1" t="s">
        <v>26</v>
      </c>
      <c r="AE3" s="1" t="s">
        <v>27</v>
      </c>
    </row>
    <row r="4" spans="1:31" x14ac:dyDescent="0.25">
      <c r="A4" t="s">
        <v>32</v>
      </c>
      <c r="B4" t="s">
        <v>33</v>
      </c>
      <c r="C4" t="s">
        <v>34</v>
      </c>
      <c r="D4" t="s">
        <v>35</v>
      </c>
      <c r="E4" t="s">
        <v>36</v>
      </c>
      <c r="F4" s="3" t="s">
        <v>37</v>
      </c>
      <c r="G4" s="3" t="s">
        <v>38</v>
      </c>
      <c r="H4" t="s">
        <v>39</v>
      </c>
      <c r="I4" t="s">
        <v>40</v>
      </c>
      <c r="J4" t="s">
        <v>41</v>
      </c>
      <c r="K4" t="s">
        <v>42</v>
      </c>
      <c r="L4" t="s">
        <v>43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 t="s">
        <v>48</v>
      </c>
      <c r="S4" t="s">
        <v>48</v>
      </c>
      <c r="T4" t="s">
        <v>49</v>
      </c>
      <c r="U4" s="4" t="s">
        <v>50</v>
      </c>
      <c r="V4" t="s">
        <v>51</v>
      </c>
      <c r="W4" s="4" t="s">
        <v>52</v>
      </c>
      <c r="X4" t="s">
        <v>53</v>
      </c>
      <c r="Y4" t="s">
        <v>53</v>
      </c>
      <c r="Z4" t="s">
        <v>53</v>
      </c>
      <c r="AA4" t="s">
        <v>53</v>
      </c>
      <c r="AB4" t="s">
        <v>53</v>
      </c>
      <c r="AC4" t="s">
        <v>53</v>
      </c>
      <c r="AD4" t="s">
        <v>35</v>
      </c>
      <c r="AE4" t="s">
        <v>53</v>
      </c>
    </row>
    <row r="5" spans="1:31" x14ac:dyDescent="0.25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  <c r="J5" t="s">
        <v>41</v>
      </c>
      <c r="K5" t="s">
        <v>42</v>
      </c>
      <c r="L5" t="s">
        <v>54</v>
      </c>
      <c r="M5" t="s">
        <v>55</v>
      </c>
      <c r="N5" t="s">
        <v>45</v>
      </c>
      <c r="O5" t="s">
        <v>46</v>
      </c>
      <c r="P5" t="s">
        <v>47</v>
      </c>
      <c r="Q5" t="s">
        <v>56</v>
      </c>
      <c r="R5" t="s">
        <v>56</v>
      </c>
      <c r="S5" t="s">
        <v>56</v>
      </c>
      <c r="T5" t="s">
        <v>49</v>
      </c>
      <c r="U5" s="4" t="s">
        <v>57</v>
      </c>
      <c r="V5" t="s">
        <v>51</v>
      </c>
      <c r="W5" s="4" t="s">
        <v>58</v>
      </c>
      <c r="X5" t="s">
        <v>53</v>
      </c>
      <c r="Y5" t="s">
        <v>53</v>
      </c>
      <c r="Z5" t="s">
        <v>53</v>
      </c>
      <c r="AA5" t="s">
        <v>53</v>
      </c>
      <c r="AB5" t="s">
        <v>53</v>
      </c>
      <c r="AC5" t="s">
        <v>53</v>
      </c>
      <c r="AD5" t="s">
        <v>35</v>
      </c>
      <c r="AE5" t="s">
        <v>53</v>
      </c>
    </row>
    <row r="6" spans="1:31" x14ac:dyDescent="0.25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  <c r="H6" t="s">
        <v>39</v>
      </c>
      <c r="I6" t="s">
        <v>59</v>
      </c>
      <c r="J6" t="s">
        <v>60</v>
      </c>
      <c r="K6" t="s">
        <v>42</v>
      </c>
      <c r="L6" t="s">
        <v>61</v>
      </c>
      <c r="M6" t="s">
        <v>62</v>
      </c>
      <c r="N6" t="s">
        <v>45</v>
      </c>
      <c r="O6" t="s">
        <v>46</v>
      </c>
      <c r="P6" t="s">
        <v>47</v>
      </c>
      <c r="Q6" t="s">
        <v>63</v>
      </c>
      <c r="R6" t="s">
        <v>63</v>
      </c>
      <c r="S6" t="s">
        <v>63</v>
      </c>
      <c r="T6" t="s">
        <v>49</v>
      </c>
      <c r="U6" s="4" t="s">
        <v>64</v>
      </c>
      <c r="V6" t="s">
        <v>65</v>
      </c>
      <c r="W6" s="4" t="s">
        <v>66</v>
      </c>
      <c r="X6" t="s">
        <v>53</v>
      </c>
      <c r="Y6" t="s">
        <v>53</v>
      </c>
      <c r="Z6" t="s">
        <v>53</v>
      </c>
      <c r="AA6" t="s">
        <v>53</v>
      </c>
      <c r="AB6" t="s">
        <v>53</v>
      </c>
      <c r="AC6" t="s">
        <v>53</v>
      </c>
      <c r="AD6" t="s">
        <v>35</v>
      </c>
      <c r="AE6" t="s">
        <v>53</v>
      </c>
    </row>
    <row r="7" spans="1:31" x14ac:dyDescent="0.25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  <c r="L7" t="s">
        <v>43</v>
      </c>
      <c r="M7" t="s">
        <v>44</v>
      </c>
      <c r="N7" t="s">
        <v>45</v>
      </c>
      <c r="O7" t="s">
        <v>46</v>
      </c>
      <c r="P7" t="s">
        <v>47</v>
      </c>
      <c r="Q7" t="s">
        <v>48</v>
      </c>
      <c r="R7" t="s">
        <v>48</v>
      </c>
      <c r="S7" t="s">
        <v>48</v>
      </c>
      <c r="T7" t="s">
        <v>49</v>
      </c>
      <c r="U7" s="4" t="s">
        <v>67</v>
      </c>
      <c r="V7" t="s">
        <v>51</v>
      </c>
      <c r="W7" s="4" t="s">
        <v>68</v>
      </c>
      <c r="X7" t="s">
        <v>53</v>
      </c>
      <c r="Y7" t="s">
        <v>53</v>
      </c>
      <c r="Z7" t="s">
        <v>53</v>
      </c>
      <c r="AA7" t="s">
        <v>53</v>
      </c>
      <c r="AB7" t="s">
        <v>53</v>
      </c>
      <c r="AC7" t="s">
        <v>53</v>
      </c>
      <c r="AD7" t="s">
        <v>35</v>
      </c>
      <c r="AE7" t="s">
        <v>53</v>
      </c>
    </row>
    <row r="8" spans="1:31" x14ac:dyDescent="0.2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37</v>
      </c>
      <c r="G8" t="s">
        <v>38</v>
      </c>
      <c r="H8" t="s">
        <v>39</v>
      </c>
      <c r="I8" t="s">
        <v>69</v>
      </c>
      <c r="J8" t="s">
        <v>70</v>
      </c>
      <c r="K8" t="s">
        <v>42</v>
      </c>
      <c r="L8" t="s">
        <v>71</v>
      </c>
      <c r="M8" t="s">
        <v>72</v>
      </c>
      <c r="N8" t="s">
        <v>45</v>
      </c>
      <c r="O8" t="s">
        <v>46</v>
      </c>
      <c r="P8" t="s">
        <v>47</v>
      </c>
      <c r="Q8" t="s">
        <v>73</v>
      </c>
      <c r="R8" t="s">
        <v>73</v>
      </c>
      <c r="S8" t="s">
        <v>73</v>
      </c>
      <c r="T8" t="s">
        <v>49</v>
      </c>
      <c r="U8" s="4" t="s">
        <v>74</v>
      </c>
      <c r="V8" t="s">
        <v>75</v>
      </c>
      <c r="W8" s="4" t="s">
        <v>76</v>
      </c>
      <c r="X8" t="s">
        <v>53</v>
      </c>
      <c r="Y8" t="s">
        <v>53</v>
      </c>
      <c r="Z8" t="s">
        <v>53</v>
      </c>
      <c r="AA8" t="s">
        <v>53</v>
      </c>
      <c r="AB8" t="s">
        <v>53</v>
      </c>
      <c r="AC8" t="s">
        <v>53</v>
      </c>
      <c r="AD8" t="s">
        <v>35</v>
      </c>
      <c r="AE8" t="s">
        <v>53</v>
      </c>
    </row>
    <row r="9" spans="1:31" x14ac:dyDescent="0.25">
      <c r="A9" t="s">
        <v>32</v>
      </c>
      <c r="B9" t="s">
        <v>33</v>
      </c>
      <c r="C9" t="s">
        <v>34</v>
      </c>
      <c r="D9" t="s">
        <v>35</v>
      </c>
      <c r="E9" t="s">
        <v>36</v>
      </c>
      <c r="F9" t="s">
        <v>37</v>
      </c>
      <c r="G9" t="s">
        <v>38</v>
      </c>
      <c r="H9" t="s">
        <v>39</v>
      </c>
      <c r="I9" t="s">
        <v>40</v>
      </c>
      <c r="J9" t="s">
        <v>41</v>
      </c>
      <c r="K9" t="s">
        <v>42</v>
      </c>
      <c r="L9" t="s">
        <v>77</v>
      </c>
      <c r="M9" t="s">
        <v>78</v>
      </c>
      <c r="N9" t="s">
        <v>45</v>
      </c>
      <c r="O9" t="s">
        <v>46</v>
      </c>
      <c r="P9" t="s">
        <v>47</v>
      </c>
      <c r="Q9" t="s">
        <v>79</v>
      </c>
      <c r="R9" t="s">
        <v>79</v>
      </c>
      <c r="S9" t="s">
        <v>79</v>
      </c>
      <c r="T9" t="s">
        <v>49</v>
      </c>
      <c r="U9" s="4" t="s">
        <v>80</v>
      </c>
      <c r="V9" t="s">
        <v>75</v>
      </c>
      <c r="W9" s="4" t="s">
        <v>81</v>
      </c>
      <c r="X9" t="s">
        <v>53</v>
      </c>
      <c r="Y9" t="s">
        <v>53</v>
      </c>
      <c r="Z9" t="s">
        <v>53</v>
      </c>
      <c r="AA9" t="s">
        <v>53</v>
      </c>
      <c r="AB9" t="s">
        <v>53</v>
      </c>
      <c r="AC9" t="s">
        <v>53</v>
      </c>
      <c r="AD9" t="s">
        <v>35</v>
      </c>
      <c r="AE9" t="s">
        <v>53</v>
      </c>
    </row>
    <row r="10" spans="1:31" x14ac:dyDescent="0.25">
      <c r="A10" t="s">
        <v>32</v>
      </c>
      <c r="B10" t="s">
        <v>33</v>
      </c>
      <c r="C10" t="s">
        <v>34</v>
      </c>
      <c r="D10" t="s">
        <v>35</v>
      </c>
      <c r="E10" t="s">
        <v>36</v>
      </c>
      <c r="F10" t="s">
        <v>37</v>
      </c>
      <c r="G10" t="s">
        <v>38</v>
      </c>
      <c r="H10" t="s">
        <v>39</v>
      </c>
      <c r="I10" t="s">
        <v>82</v>
      </c>
      <c r="J10" t="s">
        <v>83</v>
      </c>
      <c r="K10" t="s">
        <v>42</v>
      </c>
      <c r="L10" t="s">
        <v>84</v>
      </c>
      <c r="M10" t="s">
        <v>85</v>
      </c>
      <c r="N10" t="s">
        <v>45</v>
      </c>
      <c r="O10" t="s">
        <v>46</v>
      </c>
      <c r="P10" t="s">
        <v>47</v>
      </c>
      <c r="Q10" t="s">
        <v>86</v>
      </c>
      <c r="R10" t="s">
        <v>86</v>
      </c>
      <c r="S10" t="s">
        <v>86</v>
      </c>
      <c r="T10" t="s">
        <v>49</v>
      </c>
      <c r="U10" s="4" t="s">
        <v>87</v>
      </c>
      <c r="V10" t="s">
        <v>51</v>
      </c>
      <c r="W10" s="4" t="s">
        <v>88</v>
      </c>
      <c r="X10" t="s">
        <v>53</v>
      </c>
      <c r="Y10" t="s">
        <v>53</v>
      </c>
      <c r="Z10" t="s">
        <v>53</v>
      </c>
      <c r="AA10" t="s">
        <v>53</v>
      </c>
      <c r="AB10" t="s">
        <v>53</v>
      </c>
      <c r="AC10" t="s">
        <v>53</v>
      </c>
      <c r="AD10" t="s">
        <v>35</v>
      </c>
      <c r="AE10" t="s">
        <v>53</v>
      </c>
    </row>
    <row r="11" spans="1:31" x14ac:dyDescent="0.25">
      <c r="A11" t="s">
        <v>32</v>
      </c>
      <c r="B11" t="s">
        <v>33</v>
      </c>
      <c r="C11" t="s">
        <v>34</v>
      </c>
      <c r="D11" t="s">
        <v>35</v>
      </c>
      <c r="E11" t="s">
        <v>36</v>
      </c>
      <c r="F11" t="s">
        <v>37</v>
      </c>
      <c r="G11" t="s">
        <v>38</v>
      </c>
      <c r="H11" t="s">
        <v>39</v>
      </c>
      <c r="I11" t="s">
        <v>40</v>
      </c>
      <c r="J11" t="s">
        <v>41</v>
      </c>
      <c r="K11" t="s">
        <v>42</v>
      </c>
      <c r="L11" t="s">
        <v>89</v>
      </c>
      <c r="M11" t="s">
        <v>90</v>
      </c>
      <c r="N11" t="s">
        <v>45</v>
      </c>
      <c r="O11" t="s">
        <v>46</v>
      </c>
      <c r="P11" t="s">
        <v>47</v>
      </c>
      <c r="Q11" t="s">
        <v>91</v>
      </c>
      <c r="R11" t="s">
        <v>91</v>
      </c>
      <c r="S11" t="s">
        <v>91</v>
      </c>
      <c r="T11" t="s">
        <v>49</v>
      </c>
      <c r="U11" s="4" t="s">
        <v>92</v>
      </c>
      <c r="V11" t="s">
        <v>51</v>
      </c>
      <c r="W11" s="4" t="s">
        <v>93</v>
      </c>
      <c r="X11" t="s">
        <v>53</v>
      </c>
      <c r="Y11" t="s">
        <v>53</v>
      </c>
      <c r="Z11" t="s">
        <v>53</v>
      </c>
      <c r="AA11" t="s">
        <v>53</v>
      </c>
      <c r="AB11" t="s">
        <v>53</v>
      </c>
      <c r="AC11" t="s">
        <v>53</v>
      </c>
      <c r="AD11" t="s">
        <v>35</v>
      </c>
      <c r="AE11" t="s">
        <v>53</v>
      </c>
    </row>
    <row r="12" spans="1:31" x14ac:dyDescent="0.25">
      <c r="A12" t="s">
        <v>32</v>
      </c>
      <c r="B12" t="s">
        <v>33</v>
      </c>
      <c r="C12" t="s">
        <v>34</v>
      </c>
      <c r="D12" t="s">
        <v>35</v>
      </c>
      <c r="E12" t="s">
        <v>36</v>
      </c>
      <c r="F12" t="s">
        <v>37</v>
      </c>
      <c r="G12" t="s">
        <v>38</v>
      </c>
      <c r="H12" t="s">
        <v>39</v>
      </c>
      <c r="I12" t="s">
        <v>94</v>
      </c>
      <c r="J12" t="s">
        <v>95</v>
      </c>
      <c r="K12" t="s">
        <v>42</v>
      </c>
      <c r="L12" t="s">
        <v>96</v>
      </c>
      <c r="M12" t="s">
        <v>97</v>
      </c>
      <c r="N12" t="s">
        <v>45</v>
      </c>
      <c r="O12" t="s">
        <v>46</v>
      </c>
      <c r="P12" t="s">
        <v>47</v>
      </c>
      <c r="Q12" t="s">
        <v>98</v>
      </c>
      <c r="R12" t="s">
        <v>98</v>
      </c>
      <c r="S12" t="s">
        <v>98</v>
      </c>
      <c r="T12" t="s">
        <v>49</v>
      </c>
      <c r="U12" s="4" t="s">
        <v>99</v>
      </c>
      <c r="V12" t="s">
        <v>51</v>
      </c>
      <c r="W12" s="4" t="s">
        <v>100</v>
      </c>
      <c r="X12" t="s">
        <v>53</v>
      </c>
      <c r="Y12" t="s">
        <v>53</v>
      </c>
      <c r="Z12" t="s">
        <v>53</v>
      </c>
      <c r="AA12" t="s">
        <v>53</v>
      </c>
      <c r="AB12" t="s">
        <v>53</v>
      </c>
      <c r="AC12" t="s">
        <v>53</v>
      </c>
      <c r="AD12" t="s">
        <v>35</v>
      </c>
      <c r="AE12" t="s">
        <v>53</v>
      </c>
    </row>
    <row r="13" spans="1:31" x14ac:dyDescent="0.25">
      <c r="A13" t="s">
        <v>32</v>
      </c>
      <c r="B13" t="s">
        <v>33</v>
      </c>
      <c r="C13" t="s">
        <v>34</v>
      </c>
      <c r="D13" t="s">
        <v>35</v>
      </c>
      <c r="E13" t="s">
        <v>36</v>
      </c>
      <c r="F13" t="s">
        <v>37</v>
      </c>
      <c r="G13" t="s">
        <v>38</v>
      </c>
      <c r="H13" t="s">
        <v>39</v>
      </c>
      <c r="I13" t="s">
        <v>82</v>
      </c>
      <c r="J13" t="s">
        <v>83</v>
      </c>
      <c r="K13" t="s">
        <v>42</v>
      </c>
      <c r="L13" t="s">
        <v>101</v>
      </c>
      <c r="M13" t="s">
        <v>102</v>
      </c>
      <c r="N13" t="s">
        <v>45</v>
      </c>
      <c r="O13" t="s">
        <v>46</v>
      </c>
      <c r="P13" t="s">
        <v>47</v>
      </c>
      <c r="Q13" t="s">
        <v>103</v>
      </c>
      <c r="R13" t="s">
        <v>103</v>
      </c>
      <c r="S13" t="s">
        <v>103</v>
      </c>
      <c r="T13" t="s">
        <v>49</v>
      </c>
      <c r="U13" s="4" t="s">
        <v>104</v>
      </c>
      <c r="V13" t="s">
        <v>105</v>
      </c>
      <c r="W13" s="4" t="s">
        <v>106</v>
      </c>
      <c r="X13" t="s">
        <v>53</v>
      </c>
      <c r="Y13" t="s">
        <v>53</v>
      </c>
      <c r="Z13" t="s">
        <v>53</v>
      </c>
      <c r="AA13" t="s">
        <v>53</v>
      </c>
      <c r="AB13" t="s">
        <v>53</v>
      </c>
      <c r="AC13" t="s">
        <v>53</v>
      </c>
      <c r="AD13" t="s">
        <v>35</v>
      </c>
      <c r="AE13" t="s">
        <v>53</v>
      </c>
    </row>
    <row r="14" spans="1:31" x14ac:dyDescent="0.25">
      <c r="A14" t="s">
        <v>32</v>
      </c>
      <c r="B14" t="s">
        <v>33</v>
      </c>
      <c r="C14" t="s">
        <v>34</v>
      </c>
      <c r="D14" t="s">
        <v>35</v>
      </c>
      <c r="E14" t="s">
        <v>36</v>
      </c>
      <c r="F14" t="s">
        <v>37</v>
      </c>
      <c r="G14" t="s">
        <v>38</v>
      </c>
      <c r="H14" t="s">
        <v>39</v>
      </c>
      <c r="I14" t="s">
        <v>40</v>
      </c>
      <c r="J14" t="s">
        <v>41</v>
      </c>
      <c r="K14" t="s">
        <v>42</v>
      </c>
      <c r="L14" t="s">
        <v>107</v>
      </c>
      <c r="M14" t="s">
        <v>55</v>
      </c>
      <c r="N14" t="s">
        <v>45</v>
      </c>
      <c r="O14" t="s">
        <v>46</v>
      </c>
      <c r="P14" t="s">
        <v>47</v>
      </c>
      <c r="Q14" t="s">
        <v>56</v>
      </c>
      <c r="R14" t="s">
        <v>56</v>
      </c>
      <c r="S14" t="s">
        <v>56</v>
      </c>
      <c r="T14" t="s">
        <v>49</v>
      </c>
      <c r="U14" s="4" t="s">
        <v>108</v>
      </c>
      <c r="V14" t="s">
        <v>51</v>
      </c>
      <c r="W14" s="4" t="s">
        <v>109</v>
      </c>
      <c r="X14" t="s">
        <v>53</v>
      </c>
      <c r="Y14" t="s">
        <v>53</v>
      </c>
      <c r="Z14" t="s">
        <v>53</v>
      </c>
      <c r="AA14" t="s">
        <v>53</v>
      </c>
      <c r="AB14" t="s">
        <v>53</v>
      </c>
      <c r="AC14" t="s">
        <v>53</v>
      </c>
      <c r="AD14" t="s">
        <v>35</v>
      </c>
      <c r="AE14" t="s">
        <v>53</v>
      </c>
    </row>
    <row r="15" spans="1:31" x14ac:dyDescent="0.25">
      <c r="A15" t="s">
        <v>32</v>
      </c>
      <c r="B15" t="s">
        <v>33</v>
      </c>
      <c r="C15" t="s">
        <v>34</v>
      </c>
      <c r="D15" t="s">
        <v>35</v>
      </c>
      <c r="E15" t="s">
        <v>36</v>
      </c>
      <c r="F15" t="s">
        <v>37</v>
      </c>
      <c r="G15" t="s">
        <v>38</v>
      </c>
      <c r="H15" t="s">
        <v>39</v>
      </c>
      <c r="I15" t="s">
        <v>59</v>
      </c>
      <c r="J15" t="s">
        <v>60</v>
      </c>
      <c r="K15" t="s">
        <v>42</v>
      </c>
      <c r="L15" t="s">
        <v>110</v>
      </c>
      <c r="M15" t="s">
        <v>111</v>
      </c>
      <c r="N15" t="s">
        <v>45</v>
      </c>
      <c r="O15" t="s">
        <v>46</v>
      </c>
      <c r="P15" t="s">
        <v>47</v>
      </c>
      <c r="Q15" t="s">
        <v>112</v>
      </c>
      <c r="R15" t="s">
        <v>112</v>
      </c>
      <c r="S15" t="s">
        <v>112</v>
      </c>
      <c r="T15" t="s">
        <v>49</v>
      </c>
      <c r="U15" s="4" t="s">
        <v>113</v>
      </c>
      <c r="V15" t="s">
        <v>51</v>
      </c>
      <c r="W15" s="4" t="s">
        <v>114</v>
      </c>
      <c r="X15" t="s">
        <v>53</v>
      </c>
      <c r="Y15" t="s">
        <v>53</v>
      </c>
      <c r="Z15" t="s">
        <v>53</v>
      </c>
      <c r="AA15" t="s">
        <v>53</v>
      </c>
      <c r="AB15" t="s">
        <v>53</v>
      </c>
      <c r="AC15" t="s">
        <v>53</v>
      </c>
      <c r="AD15" t="s">
        <v>35</v>
      </c>
      <c r="AE15" t="s">
        <v>53</v>
      </c>
    </row>
    <row r="16" spans="1:31" x14ac:dyDescent="0.25">
      <c r="A16" t="s">
        <v>32</v>
      </c>
      <c r="B16" t="s">
        <v>33</v>
      </c>
      <c r="C16" t="s">
        <v>34</v>
      </c>
      <c r="D16" t="s">
        <v>35</v>
      </c>
      <c r="E16" t="s">
        <v>36</v>
      </c>
      <c r="F16" t="s">
        <v>37</v>
      </c>
      <c r="G16" t="s">
        <v>38</v>
      </c>
      <c r="H16" t="s">
        <v>39</v>
      </c>
      <c r="I16" t="s">
        <v>40</v>
      </c>
      <c r="J16" t="s">
        <v>41</v>
      </c>
      <c r="K16" t="s">
        <v>42</v>
      </c>
      <c r="L16" t="s">
        <v>107</v>
      </c>
      <c r="M16" t="s">
        <v>55</v>
      </c>
      <c r="N16" t="s">
        <v>45</v>
      </c>
      <c r="O16" t="s">
        <v>46</v>
      </c>
      <c r="P16" t="s">
        <v>47</v>
      </c>
      <c r="Q16" t="s">
        <v>56</v>
      </c>
      <c r="R16" t="s">
        <v>56</v>
      </c>
      <c r="S16" t="s">
        <v>56</v>
      </c>
      <c r="T16" t="s">
        <v>49</v>
      </c>
      <c r="U16" s="4" t="s">
        <v>115</v>
      </c>
      <c r="V16" t="s">
        <v>51</v>
      </c>
      <c r="W16" s="4" t="s">
        <v>116</v>
      </c>
      <c r="X16" t="s">
        <v>53</v>
      </c>
      <c r="Y16" t="s">
        <v>53</v>
      </c>
      <c r="Z16" t="s">
        <v>53</v>
      </c>
      <c r="AA16" t="s">
        <v>53</v>
      </c>
      <c r="AB16" t="s">
        <v>53</v>
      </c>
      <c r="AC16" t="s">
        <v>53</v>
      </c>
      <c r="AD16" t="s">
        <v>35</v>
      </c>
      <c r="AE16" t="s">
        <v>53</v>
      </c>
    </row>
    <row r="17" spans="1:31" x14ac:dyDescent="0.25">
      <c r="A17" t="s">
        <v>32</v>
      </c>
      <c r="B17" t="s">
        <v>33</v>
      </c>
      <c r="C17" t="s">
        <v>34</v>
      </c>
      <c r="D17" t="s">
        <v>35</v>
      </c>
      <c r="E17" t="s">
        <v>36</v>
      </c>
      <c r="F17" t="s">
        <v>37</v>
      </c>
      <c r="G17" t="s">
        <v>38</v>
      </c>
      <c r="H17" t="s">
        <v>39</v>
      </c>
      <c r="I17" t="s">
        <v>40</v>
      </c>
      <c r="J17" t="s">
        <v>41</v>
      </c>
      <c r="K17" t="s">
        <v>42</v>
      </c>
      <c r="L17" t="s">
        <v>117</v>
      </c>
      <c r="M17" t="s">
        <v>118</v>
      </c>
      <c r="N17" t="s">
        <v>45</v>
      </c>
      <c r="O17" t="s">
        <v>46</v>
      </c>
      <c r="P17" t="s">
        <v>47</v>
      </c>
      <c r="Q17" t="s">
        <v>119</v>
      </c>
      <c r="R17" t="s">
        <v>119</v>
      </c>
      <c r="S17" t="s">
        <v>119</v>
      </c>
      <c r="T17" t="s">
        <v>49</v>
      </c>
      <c r="U17" s="4" t="s">
        <v>120</v>
      </c>
      <c r="V17" t="s">
        <v>51</v>
      </c>
      <c r="W17" s="4" t="s">
        <v>121</v>
      </c>
      <c r="X17" t="s">
        <v>53</v>
      </c>
      <c r="Y17" t="s">
        <v>53</v>
      </c>
      <c r="Z17" t="s">
        <v>53</v>
      </c>
      <c r="AA17" t="s">
        <v>53</v>
      </c>
      <c r="AB17" t="s">
        <v>53</v>
      </c>
      <c r="AC17" t="s">
        <v>53</v>
      </c>
      <c r="AD17" t="s">
        <v>35</v>
      </c>
      <c r="AE17" t="s">
        <v>53</v>
      </c>
    </row>
    <row r="18" spans="1:31" s="6" customFormat="1" x14ac:dyDescent="0.25">
      <c r="A18" s="6" t="s">
        <v>32</v>
      </c>
      <c r="B18" s="6" t="s">
        <v>33</v>
      </c>
      <c r="C18" s="6" t="s">
        <v>34</v>
      </c>
      <c r="D18" s="6" t="s">
        <v>35</v>
      </c>
      <c r="E18" s="6" t="s">
        <v>36</v>
      </c>
      <c r="F18" s="6" t="s">
        <v>37</v>
      </c>
      <c r="G18" s="6" t="s">
        <v>38</v>
      </c>
      <c r="H18" s="6" t="s">
        <v>39</v>
      </c>
      <c r="I18" s="6" t="s">
        <v>32</v>
      </c>
      <c r="J18" s="6" t="s">
        <v>53</v>
      </c>
      <c r="K18" s="6" t="s">
        <v>122</v>
      </c>
      <c r="L18" s="6" t="s">
        <v>53</v>
      </c>
      <c r="M18" s="6" t="s">
        <v>123</v>
      </c>
      <c r="N18" s="6" t="s">
        <v>53</v>
      </c>
      <c r="O18" s="6" t="s">
        <v>53</v>
      </c>
      <c r="P18" s="6" t="s">
        <v>124</v>
      </c>
      <c r="Q18" s="6" t="s">
        <v>53</v>
      </c>
      <c r="R18" s="6" t="s">
        <v>53</v>
      </c>
      <c r="S18" s="6" t="s">
        <v>53</v>
      </c>
      <c r="T18" s="6" t="s">
        <v>125</v>
      </c>
      <c r="U18" s="7" t="s">
        <v>126</v>
      </c>
      <c r="V18" s="6" t="s">
        <v>127</v>
      </c>
      <c r="W18" s="7" t="s">
        <v>126</v>
      </c>
      <c r="X18" s="6" t="s">
        <v>53</v>
      </c>
      <c r="Y18" s="6" t="s">
        <v>53</v>
      </c>
      <c r="Z18" s="6" t="s">
        <v>53</v>
      </c>
      <c r="AA18" s="6" t="s">
        <v>53</v>
      </c>
      <c r="AB18" s="6" t="s">
        <v>53</v>
      </c>
      <c r="AC18" s="6" t="s">
        <v>53</v>
      </c>
      <c r="AD18" s="6" t="s">
        <v>35</v>
      </c>
      <c r="AE18" s="6" t="s">
        <v>53</v>
      </c>
    </row>
    <row r="19" spans="1:31" x14ac:dyDescent="0.25">
      <c r="A19" t="s">
        <v>32</v>
      </c>
      <c r="B19" t="s">
        <v>33</v>
      </c>
      <c r="C19" t="s">
        <v>34</v>
      </c>
      <c r="D19" t="s">
        <v>35</v>
      </c>
      <c r="E19" t="s">
        <v>36</v>
      </c>
      <c r="F19" t="s">
        <v>37</v>
      </c>
      <c r="G19" t="s">
        <v>38</v>
      </c>
      <c r="H19" t="s">
        <v>39</v>
      </c>
      <c r="I19" t="s">
        <v>40</v>
      </c>
      <c r="J19" t="s">
        <v>41</v>
      </c>
      <c r="K19" t="s">
        <v>42</v>
      </c>
      <c r="L19" t="s">
        <v>128</v>
      </c>
      <c r="M19" t="s">
        <v>129</v>
      </c>
      <c r="N19" t="s">
        <v>45</v>
      </c>
      <c r="O19" t="s">
        <v>46</v>
      </c>
      <c r="P19" t="s">
        <v>47</v>
      </c>
      <c r="Q19" t="s">
        <v>48</v>
      </c>
      <c r="R19" t="s">
        <v>48</v>
      </c>
      <c r="S19" t="s">
        <v>48</v>
      </c>
      <c r="T19" t="s">
        <v>49</v>
      </c>
      <c r="U19" s="4" t="s">
        <v>130</v>
      </c>
      <c r="V19" t="s">
        <v>51</v>
      </c>
      <c r="W19" s="4" t="s">
        <v>131</v>
      </c>
      <c r="X19" t="s">
        <v>53</v>
      </c>
      <c r="Y19" t="s">
        <v>53</v>
      </c>
      <c r="Z19" t="s">
        <v>53</v>
      </c>
      <c r="AA19" t="s">
        <v>53</v>
      </c>
      <c r="AB19" t="s">
        <v>53</v>
      </c>
      <c r="AC19" t="s">
        <v>53</v>
      </c>
      <c r="AD19" t="s">
        <v>35</v>
      </c>
      <c r="AE19" t="s">
        <v>53</v>
      </c>
    </row>
    <row r="20" spans="1:31" x14ac:dyDescent="0.25">
      <c r="A20" t="s">
        <v>32</v>
      </c>
      <c r="B20" t="s">
        <v>33</v>
      </c>
      <c r="C20" t="s">
        <v>34</v>
      </c>
      <c r="D20" t="s">
        <v>35</v>
      </c>
      <c r="E20" t="s">
        <v>36</v>
      </c>
      <c r="F20" t="s">
        <v>37</v>
      </c>
      <c r="G20" t="s">
        <v>38</v>
      </c>
      <c r="H20" t="s">
        <v>39</v>
      </c>
      <c r="I20" t="s">
        <v>94</v>
      </c>
      <c r="J20" t="s">
        <v>95</v>
      </c>
      <c r="K20" t="s">
        <v>42</v>
      </c>
      <c r="L20" t="s">
        <v>132</v>
      </c>
      <c r="M20" t="s">
        <v>133</v>
      </c>
      <c r="N20" t="s">
        <v>45</v>
      </c>
      <c r="O20" t="s">
        <v>46</v>
      </c>
      <c r="P20" t="s">
        <v>47</v>
      </c>
      <c r="Q20" t="s">
        <v>134</v>
      </c>
      <c r="R20" t="s">
        <v>134</v>
      </c>
      <c r="S20" t="s">
        <v>134</v>
      </c>
      <c r="T20" t="s">
        <v>49</v>
      </c>
      <c r="U20" s="4" t="s">
        <v>135</v>
      </c>
      <c r="V20" t="s">
        <v>51</v>
      </c>
      <c r="W20" s="4" t="s">
        <v>136</v>
      </c>
      <c r="X20" t="s">
        <v>53</v>
      </c>
      <c r="Y20" t="s">
        <v>53</v>
      </c>
      <c r="Z20" t="s">
        <v>53</v>
      </c>
      <c r="AA20" t="s">
        <v>53</v>
      </c>
      <c r="AB20" t="s">
        <v>53</v>
      </c>
      <c r="AC20" t="s">
        <v>53</v>
      </c>
      <c r="AD20" t="s">
        <v>35</v>
      </c>
      <c r="AE20" t="s">
        <v>53</v>
      </c>
    </row>
    <row r="21" spans="1:31" x14ac:dyDescent="0.25">
      <c r="A21" t="s">
        <v>32</v>
      </c>
      <c r="B21" t="s">
        <v>33</v>
      </c>
      <c r="C21" t="s">
        <v>34</v>
      </c>
      <c r="D21" t="s">
        <v>35</v>
      </c>
      <c r="E21" t="s">
        <v>36</v>
      </c>
      <c r="F21" t="s">
        <v>37</v>
      </c>
      <c r="G21" t="s">
        <v>38</v>
      </c>
      <c r="H21" t="s">
        <v>39</v>
      </c>
      <c r="I21" t="s">
        <v>69</v>
      </c>
      <c r="J21" t="s">
        <v>70</v>
      </c>
      <c r="K21" t="s">
        <v>42</v>
      </c>
      <c r="L21" t="s">
        <v>137</v>
      </c>
      <c r="M21" t="s">
        <v>138</v>
      </c>
      <c r="N21" t="s">
        <v>45</v>
      </c>
      <c r="O21" t="s">
        <v>46</v>
      </c>
      <c r="P21" t="s">
        <v>47</v>
      </c>
      <c r="Q21" t="s">
        <v>48</v>
      </c>
      <c r="R21" t="s">
        <v>48</v>
      </c>
      <c r="S21" t="s">
        <v>48</v>
      </c>
      <c r="T21" t="s">
        <v>49</v>
      </c>
      <c r="U21" s="4" t="s">
        <v>139</v>
      </c>
      <c r="V21" t="s">
        <v>75</v>
      </c>
      <c r="W21" s="4" t="s">
        <v>140</v>
      </c>
      <c r="X21" t="s">
        <v>53</v>
      </c>
      <c r="Y21" t="s">
        <v>53</v>
      </c>
      <c r="Z21" t="s">
        <v>53</v>
      </c>
      <c r="AA21" t="s">
        <v>53</v>
      </c>
      <c r="AB21" t="s">
        <v>53</v>
      </c>
      <c r="AC21" t="s">
        <v>53</v>
      </c>
      <c r="AD21" t="s">
        <v>35</v>
      </c>
      <c r="AE21" t="s">
        <v>53</v>
      </c>
    </row>
    <row r="22" spans="1:31" x14ac:dyDescent="0.25">
      <c r="A22" t="s">
        <v>32</v>
      </c>
      <c r="B22" t="s">
        <v>33</v>
      </c>
      <c r="C22" t="s">
        <v>34</v>
      </c>
      <c r="D22" t="s">
        <v>35</v>
      </c>
      <c r="E22" t="s">
        <v>36</v>
      </c>
      <c r="F22" t="s">
        <v>37</v>
      </c>
      <c r="G22" t="s">
        <v>38</v>
      </c>
      <c r="H22" t="s">
        <v>39</v>
      </c>
      <c r="I22" t="s">
        <v>82</v>
      </c>
      <c r="J22" t="s">
        <v>83</v>
      </c>
      <c r="K22" t="s">
        <v>42</v>
      </c>
      <c r="L22" t="s">
        <v>84</v>
      </c>
      <c r="M22" t="s">
        <v>85</v>
      </c>
      <c r="N22" t="s">
        <v>45</v>
      </c>
      <c r="O22" t="s">
        <v>46</v>
      </c>
      <c r="P22" t="s">
        <v>47</v>
      </c>
      <c r="Q22" t="s">
        <v>86</v>
      </c>
      <c r="R22" t="s">
        <v>86</v>
      </c>
      <c r="S22" t="s">
        <v>86</v>
      </c>
      <c r="T22" t="s">
        <v>49</v>
      </c>
      <c r="U22" s="4" t="s">
        <v>141</v>
      </c>
      <c r="V22" t="s">
        <v>51</v>
      </c>
      <c r="W22" s="4" t="s">
        <v>142</v>
      </c>
      <c r="X22" t="s">
        <v>53</v>
      </c>
      <c r="Y22" t="s">
        <v>53</v>
      </c>
      <c r="Z22" t="s">
        <v>53</v>
      </c>
      <c r="AA22" t="s">
        <v>53</v>
      </c>
      <c r="AB22" t="s">
        <v>53</v>
      </c>
      <c r="AC22" t="s">
        <v>53</v>
      </c>
      <c r="AD22" t="s">
        <v>35</v>
      </c>
      <c r="AE22" t="s">
        <v>53</v>
      </c>
    </row>
    <row r="23" spans="1:31" x14ac:dyDescent="0.25">
      <c r="A23" t="s">
        <v>32</v>
      </c>
      <c r="B23" t="s">
        <v>33</v>
      </c>
      <c r="C23" t="s">
        <v>34</v>
      </c>
      <c r="D23" t="s">
        <v>35</v>
      </c>
      <c r="E23" t="s">
        <v>36</v>
      </c>
      <c r="F23" t="s">
        <v>37</v>
      </c>
      <c r="G23" t="s">
        <v>38</v>
      </c>
      <c r="H23" t="s">
        <v>39</v>
      </c>
      <c r="I23" t="s">
        <v>59</v>
      </c>
      <c r="J23" t="s">
        <v>60</v>
      </c>
      <c r="K23" t="s">
        <v>42</v>
      </c>
      <c r="L23" t="s">
        <v>143</v>
      </c>
      <c r="M23" t="s">
        <v>62</v>
      </c>
      <c r="N23" t="s">
        <v>45</v>
      </c>
      <c r="O23" t="s">
        <v>46</v>
      </c>
      <c r="P23" t="s">
        <v>47</v>
      </c>
      <c r="Q23" t="s">
        <v>63</v>
      </c>
      <c r="R23" t="s">
        <v>63</v>
      </c>
      <c r="S23" t="s">
        <v>63</v>
      </c>
      <c r="T23" t="s">
        <v>49</v>
      </c>
      <c r="U23" s="4" t="s">
        <v>144</v>
      </c>
      <c r="V23" t="s">
        <v>65</v>
      </c>
      <c r="W23" s="4" t="s">
        <v>145</v>
      </c>
      <c r="X23" t="s">
        <v>53</v>
      </c>
      <c r="Y23" t="s">
        <v>53</v>
      </c>
      <c r="Z23" t="s">
        <v>53</v>
      </c>
      <c r="AA23" t="s">
        <v>53</v>
      </c>
      <c r="AB23" t="s">
        <v>53</v>
      </c>
      <c r="AC23" t="s">
        <v>53</v>
      </c>
      <c r="AD23" t="s">
        <v>35</v>
      </c>
      <c r="AE23" t="s">
        <v>53</v>
      </c>
    </row>
    <row r="24" spans="1:31" x14ac:dyDescent="0.25">
      <c r="A24" t="s">
        <v>32</v>
      </c>
      <c r="B24" t="s">
        <v>33</v>
      </c>
      <c r="C24" t="s">
        <v>34</v>
      </c>
      <c r="D24" t="s">
        <v>35</v>
      </c>
      <c r="E24" t="s">
        <v>36</v>
      </c>
      <c r="F24" t="s">
        <v>37</v>
      </c>
      <c r="G24" t="s">
        <v>38</v>
      </c>
      <c r="H24" t="s">
        <v>39</v>
      </c>
      <c r="I24" t="s">
        <v>40</v>
      </c>
      <c r="J24" t="s">
        <v>41</v>
      </c>
      <c r="K24" t="s">
        <v>42</v>
      </c>
      <c r="L24" t="s">
        <v>117</v>
      </c>
      <c r="M24" t="s">
        <v>118</v>
      </c>
      <c r="N24" t="s">
        <v>45</v>
      </c>
      <c r="O24" t="s">
        <v>46</v>
      </c>
      <c r="P24" t="s">
        <v>47</v>
      </c>
      <c r="Q24" t="s">
        <v>119</v>
      </c>
      <c r="R24" t="s">
        <v>119</v>
      </c>
      <c r="S24" t="s">
        <v>119</v>
      </c>
      <c r="T24" t="s">
        <v>49</v>
      </c>
      <c r="U24" s="4" t="s">
        <v>146</v>
      </c>
      <c r="V24" t="s">
        <v>51</v>
      </c>
      <c r="W24" s="4" t="s">
        <v>147</v>
      </c>
      <c r="X24" t="s">
        <v>53</v>
      </c>
      <c r="Y24" t="s">
        <v>53</v>
      </c>
      <c r="Z24" t="s">
        <v>53</v>
      </c>
      <c r="AA24" t="s">
        <v>53</v>
      </c>
      <c r="AB24" t="s">
        <v>53</v>
      </c>
      <c r="AC24" t="s">
        <v>53</v>
      </c>
      <c r="AD24" t="s">
        <v>35</v>
      </c>
      <c r="AE24" t="s">
        <v>53</v>
      </c>
    </row>
    <row r="25" spans="1:31" x14ac:dyDescent="0.25">
      <c r="A25" t="s">
        <v>32</v>
      </c>
      <c r="B25" t="s">
        <v>33</v>
      </c>
      <c r="C25" t="s">
        <v>34</v>
      </c>
      <c r="D25" t="s">
        <v>35</v>
      </c>
      <c r="E25" t="s">
        <v>36</v>
      </c>
      <c r="F25" t="s">
        <v>37</v>
      </c>
      <c r="G25" t="s">
        <v>38</v>
      </c>
      <c r="H25" t="s">
        <v>39</v>
      </c>
      <c r="I25" t="s">
        <v>69</v>
      </c>
      <c r="J25" t="s">
        <v>70</v>
      </c>
      <c r="K25" t="s">
        <v>42</v>
      </c>
      <c r="L25" t="s">
        <v>148</v>
      </c>
      <c r="M25" t="s">
        <v>149</v>
      </c>
      <c r="N25" t="s">
        <v>45</v>
      </c>
      <c r="O25" t="s">
        <v>46</v>
      </c>
      <c r="P25" t="s">
        <v>47</v>
      </c>
      <c r="Q25" t="s">
        <v>150</v>
      </c>
      <c r="R25" t="s">
        <v>150</v>
      </c>
      <c r="S25" t="s">
        <v>150</v>
      </c>
      <c r="T25" t="s">
        <v>49</v>
      </c>
      <c r="U25" s="4" t="s">
        <v>151</v>
      </c>
      <c r="V25" t="s">
        <v>51</v>
      </c>
      <c r="W25" s="4" t="s">
        <v>152</v>
      </c>
      <c r="X25" t="s">
        <v>53</v>
      </c>
      <c r="Y25" t="s">
        <v>53</v>
      </c>
      <c r="Z25" t="s">
        <v>53</v>
      </c>
      <c r="AA25" t="s">
        <v>53</v>
      </c>
      <c r="AB25" t="s">
        <v>53</v>
      </c>
      <c r="AC25" t="s">
        <v>53</v>
      </c>
      <c r="AD25" t="s">
        <v>35</v>
      </c>
      <c r="AE25" t="s">
        <v>53</v>
      </c>
    </row>
    <row r="26" spans="1:31" x14ac:dyDescent="0.25">
      <c r="A26" t="s">
        <v>32</v>
      </c>
      <c r="B26" t="s">
        <v>33</v>
      </c>
      <c r="C26" t="s">
        <v>34</v>
      </c>
      <c r="D26" t="s">
        <v>35</v>
      </c>
      <c r="E26" t="s">
        <v>36</v>
      </c>
      <c r="F26" t="s">
        <v>37</v>
      </c>
      <c r="G26" t="s">
        <v>38</v>
      </c>
      <c r="H26" t="s">
        <v>39</v>
      </c>
      <c r="I26" t="s">
        <v>40</v>
      </c>
      <c r="J26" t="s">
        <v>41</v>
      </c>
      <c r="K26" t="s">
        <v>42</v>
      </c>
      <c r="L26" t="s">
        <v>128</v>
      </c>
      <c r="M26" t="s">
        <v>129</v>
      </c>
      <c r="N26" t="s">
        <v>45</v>
      </c>
      <c r="O26" t="s">
        <v>46</v>
      </c>
      <c r="P26" t="s">
        <v>47</v>
      </c>
      <c r="Q26" t="s">
        <v>48</v>
      </c>
      <c r="R26" t="s">
        <v>48</v>
      </c>
      <c r="S26" t="s">
        <v>48</v>
      </c>
      <c r="T26" t="s">
        <v>49</v>
      </c>
      <c r="U26" s="4" t="s">
        <v>153</v>
      </c>
      <c r="V26" t="s">
        <v>51</v>
      </c>
      <c r="W26" s="4" t="s">
        <v>154</v>
      </c>
      <c r="X26" t="s">
        <v>53</v>
      </c>
      <c r="Y26" t="s">
        <v>53</v>
      </c>
      <c r="Z26" t="s">
        <v>53</v>
      </c>
      <c r="AA26" t="s">
        <v>53</v>
      </c>
      <c r="AB26" t="s">
        <v>53</v>
      </c>
      <c r="AC26" t="s">
        <v>53</v>
      </c>
      <c r="AD26" t="s">
        <v>35</v>
      </c>
      <c r="AE26" t="s">
        <v>53</v>
      </c>
    </row>
    <row r="27" spans="1:31" x14ac:dyDescent="0.25">
      <c r="A27" t="s">
        <v>32</v>
      </c>
      <c r="B27" t="s">
        <v>33</v>
      </c>
      <c r="C27" t="s">
        <v>34</v>
      </c>
      <c r="D27" t="s">
        <v>35</v>
      </c>
      <c r="E27" t="s">
        <v>36</v>
      </c>
      <c r="F27" t="s">
        <v>37</v>
      </c>
      <c r="G27" t="s">
        <v>38</v>
      </c>
      <c r="H27" t="s">
        <v>39</v>
      </c>
      <c r="I27" t="s">
        <v>69</v>
      </c>
      <c r="J27" t="s">
        <v>70</v>
      </c>
      <c r="K27" t="s">
        <v>42</v>
      </c>
      <c r="L27" t="s">
        <v>155</v>
      </c>
      <c r="M27" t="s">
        <v>138</v>
      </c>
      <c r="N27" t="s">
        <v>45</v>
      </c>
      <c r="O27" t="s">
        <v>46</v>
      </c>
      <c r="P27" t="s">
        <v>47</v>
      </c>
      <c r="Q27" t="s">
        <v>48</v>
      </c>
      <c r="R27" t="s">
        <v>48</v>
      </c>
      <c r="S27" t="s">
        <v>48</v>
      </c>
      <c r="T27" t="s">
        <v>49</v>
      </c>
      <c r="U27" s="4" t="s">
        <v>156</v>
      </c>
      <c r="V27" t="s">
        <v>51</v>
      </c>
      <c r="W27" s="4" t="s">
        <v>157</v>
      </c>
      <c r="X27" t="s">
        <v>53</v>
      </c>
      <c r="Y27" t="s">
        <v>53</v>
      </c>
      <c r="Z27" t="s">
        <v>53</v>
      </c>
      <c r="AA27" t="s">
        <v>53</v>
      </c>
      <c r="AB27" t="s">
        <v>53</v>
      </c>
      <c r="AC27" t="s">
        <v>53</v>
      </c>
      <c r="AD27" t="s">
        <v>35</v>
      </c>
      <c r="AE27" t="s">
        <v>53</v>
      </c>
    </row>
  </sheetData>
  <mergeCells count="1">
    <mergeCell ref="A1:AE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7AD1E-06C2-4A15-98D0-338B170EBB8C}">
  <dimension ref="A1:AA22"/>
  <sheetViews>
    <sheetView tabSelected="1" workbookViewId="0">
      <selection activeCell="K3" sqref="K3"/>
    </sheetView>
  </sheetViews>
  <sheetFormatPr defaultRowHeight="15" x14ac:dyDescent="0.25"/>
  <cols>
    <col min="1" max="1" width="20.5703125" customWidth="1"/>
    <col min="2" max="2" width="24.140625" customWidth="1"/>
    <col min="3" max="3" width="15" customWidth="1"/>
    <col min="4" max="4" width="20.7109375" customWidth="1"/>
    <col min="5" max="5" width="13.140625" customWidth="1"/>
    <col min="6" max="6" width="22.85546875" bestFit="1" customWidth="1"/>
    <col min="7" max="7" width="16.42578125" customWidth="1"/>
    <col min="8" max="8" width="15" customWidth="1"/>
    <col min="9" max="9" width="15.42578125" customWidth="1"/>
    <col min="10" max="10" width="12" customWidth="1"/>
    <col min="11" max="11" width="13.28515625" customWidth="1"/>
    <col min="12" max="13" width="8.42578125" style="8" customWidth="1"/>
    <col min="14" max="14" width="17.28515625" customWidth="1"/>
    <col min="15" max="15" width="13.28515625" customWidth="1"/>
    <col min="16" max="16" width="12.28515625" customWidth="1"/>
  </cols>
  <sheetData>
    <row r="1" spans="1:16" x14ac:dyDescent="0.25">
      <c r="A1" s="1" t="s">
        <v>7</v>
      </c>
      <c r="B1" s="1" t="s">
        <v>6</v>
      </c>
      <c r="C1" s="1" t="s">
        <v>9</v>
      </c>
      <c r="D1" s="1" t="s">
        <v>158</v>
      </c>
      <c r="E1" s="1" t="s">
        <v>10</v>
      </c>
      <c r="F1" s="1"/>
      <c r="G1" s="1" t="s">
        <v>11</v>
      </c>
      <c r="H1" s="1" t="s">
        <v>31</v>
      </c>
      <c r="I1" s="1" t="s">
        <v>12</v>
      </c>
      <c r="J1" s="1" t="s">
        <v>13</v>
      </c>
      <c r="K1" s="1" t="s">
        <v>14</v>
      </c>
      <c r="L1" s="15"/>
      <c r="M1" s="15"/>
      <c r="N1" s="1" t="s">
        <v>17</v>
      </c>
      <c r="O1" s="1" t="s">
        <v>18</v>
      </c>
      <c r="P1" s="1" t="s">
        <v>19</v>
      </c>
    </row>
    <row r="2" spans="1:16" x14ac:dyDescent="0.25">
      <c r="A2" s="10">
        <v>19491313</v>
      </c>
      <c r="B2" t="s">
        <v>70</v>
      </c>
      <c r="C2" s="9">
        <v>7260020034</v>
      </c>
      <c r="D2" s="10" t="s">
        <v>160</v>
      </c>
      <c r="E2" s="10" t="s">
        <v>72</v>
      </c>
      <c r="F2" s="10" t="s">
        <v>165</v>
      </c>
      <c r="G2" s="10" t="s">
        <v>45</v>
      </c>
      <c r="H2" s="10" t="s">
        <v>46</v>
      </c>
      <c r="I2" s="10" t="s">
        <v>47</v>
      </c>
      <c r="J2" s="11">
        <v>46084</v>
      </c>
      <c r="K2" s="11">
        <v>46084</v>
      </c>
      <c r="L2" s="9">
        <f>DATEDIF(J2,K2,"M")</f>
        <v>0</v>
      </c>
      <c r="M2" s="9" t="s">
        <v>180</v>
      </c>
      <c r="N2" s="9">
        <v>-75.45</v>
      </c>
      <c r="O2" s="9">
        <v>0.94499999999999995</v>
      </c>
      <c r="P2" s="9">
        <v>-71.3</v>
      </c>
    </row>
    <row r="3" spans="1:16" x14ac:dyDescent="0.25">
      <c r="A3" s="10">
        <v>19491313</v>
      </c>
      <c r="B3" t="s">
        <v>70</v>
      </c>
      <c r="C3" s="9">
        <v>7250169502</v>
      </c>
      <c r="D3" s="10" t="s">
        <v>160</v>
      </c>
      <c r="E3" s="10" t="s">
        <v>138</v>
      </c>
      <c r="F3" s="10" t="s">
        <v>175</v>
      </c>
      <c r="G3" s="10" t="s">
        <v>45</v>
      </c>
      <c r="H3" s="10" t="s">
        <v>46</v>
      </c>
      <c r="I3" s="10" t="s">
        <v>47</v>
      </c>
      <c r="J3" s="11">
        <v>45910</v>
      </c>
      <c r="K3" s="11">
        <v>46063</v>
      </c>
      <c r="L3" s="9">
        <f t="shared" ref="L3:L22" si="0">DATEDIF(J3,K3,"M")</f>
        <v>5</v>
      </c>
      <c r="M3" s="9" t="s">
        <v>180</v>
      </c>
      <c r="N3" s="9">
        <v>51.07</v>
      </c>
      <c r="O3" s="9">
        <v>0.94499999999999995</v>
      </c>
      <c r="P3" s="9">
        <v>48.26</v>
      </c>
    </row>
    <row r="4" spans="1:16" x14ac:dyDescent="0.25">
      <c r="A4" s="10">
        <v>19491313</v>
      </c>
      <c r="B4" t="s">
        <v>70</v>
      </c>
      <c r="C4" s="9">
        <v>7250168418</v>
      </c>
      <c r="D4" s="10" t="s">
        <v>159</v>
      </c>
      <c r="E4" s="10" t="s">
        <v>149</v>
      </c>
      <c r="F4" s="10" t="s">
        <v>177</v>
      </c>
      <c r="G4" s="10" t="s">
        <v>45</v>
      </c>
      <c r="H4" s="10" t="s">
        <v>46</v>
      </c>
      <c r="I4" s="10" t="s">
        <v>47</v>
      </c>
      <c r="J4" s="11">
        <v>45908</v>
      </c>
      <c r="K4" s="11">
        <v>46061</v>
      </c>
      <c r="L4" s="9">
        <f t="shared" si="0"/>
        <v>5</v>
      </c>
      <c r="M4" s="9" t="s">
        <v>180</v>
      </c>
      <c r="N4" s="9">
        <v>69.59</v>
      </c>
      <c r="O4" s="9">
        <v>1.37</v>
      </c>
      <c r="P4" s="9">
        <v>95.34</v>
      </c>
    </row>
    <row r="5" spans="1:16" x14ac:dyDescent="0.25">
      <c r="A5" s="10">
        <v>19491313</v>
      </c>
      <c r="B5" t="s">
        <v>70</v>
      </c>
      <c r="C5" s="9">
        <v>7250169460</v>
      </c>
      <c r="D5" s="10" t="s">
        <v>159</v>
      </c>
      <c r="E5" s="10" t="s">
        <v>138</v>
      </c>
      <c r="F5" s="10" t="s">
        <v>178</v>
      </c>
      <c r="G5" s="10" t="s">
        <v>45</v>
      </c>
      <c r="H5" s="10" t="s">
        <v>46</v>
      </c>
      <c r="I5" s="10" t="s">
        <v>47</v>
      </c>
      <c r="J5" s="11">
        <v>45910</v>
      </c>
      <c r="K5" s="11">
        <v>46063</v>
      </c>
      <c r="L5" s="9">
        <f t="shared" si="0"/>
        <v>5</v>
      </c>
      <c r="M5" s="9" t="s">
        <v>180</v>
      </c>
      <c r="N5" s="9">
        <v>28</v>
      </c>
      <c r="O5" s="9">
        <v>1.37</v>
      </c>
      <c r="P5" s="9">
        <v>38.36</v>
      </c>
    </row>
    <row r="6" spans="1:16" s="6" customFormat="1" x14ac:dyDescent="0.25">
      <c r="A6" s="13">
        <v>7470776</v>
      </c>
      <c r="B6" s="6" t="s">
        <v>95</v>
      </c>
      <c r="C6" s="12">
        <v>7250182527</v>
      </c>
      <c r="D6" s="13" t="s">
        <v>159</v>
      </c>
      <c r="E6" s="13" t="s">
        <v>97</v>
      </c>
      <c r="F6" s="13" t="s">
        <v>168</v>
      </c>
      <c r="G6" s="13" t="s">
        <v>45</v>
      </c>
      <c r="H6" s="13" t="s">
        <v>46</v>
      </c>
      <c r="I6" s="13" t="s">
        <v>47</v>
      </c>
      <c r="J6" s="14">
        <v>45974</v>
      </c>
      <c r="K6" s="14">
        <v>46066</v>
      </c>
      <c r="L6" s="9">
        <f t="shared" si="0"/>
        <v>3</v>
      </c>
      <c r="M6" s="9" t="s">
        <v>179</v>
      </c>
      <c r="N6" s="12">
        <v>106.14</v>
      </c>
      <c r="O6" s="12">
        <v>1.37</v>
      </c>
      <c r="P6" s="12">
        <v>145.41</v>
      </c>
    </row>
    <row r="7" spans="1:16" s="6" customFormat="1" x14ac:dyDescent="0.25">
      <c r="A7" s="13">
        <v>7470776</v>
      </c>
      <c r="B7" s="6" t="s">
        <v>95</v>
      </c>
      <c r="C7" s="12">
        <v>7250249151</v>
      </c>
      <c r="D7" s="13" t="s">
        <v>159</v>
      </c>
      <c r="E7" s="13" t="s">
        <v>133</v>
      </c>
      <c r="F7" s="13" t="s">
        <v>174</v>
      </c>
      <c r="G7" s="13" t="s">
        <v>45</v>
      </c>
      <c r="H7" s="13" t="s">
        <v>46</v>
      </c>
      <c r="I7" s="13" t="s">
        <v>47</v>
      </c>
      <c r="J7" s="14">
        <v>45998</v>
      </c>
      <c r="K7" s="14">
        <v>46060</v>
      </c>
      <c r="L7" s="9">
        <f t="shared" si="0"/>
        <v>2</v>
      </c>
      <c r="M7" s="9" t="s">
        <v>179</v>
      </c>
      <c r="N7" s="12">
        <v>149.72</v>
      </c>
      <c r="O7" s="12">
        <v>1.37</v>
      </c>
      <c r="P7" s="12">
        <v>205.12</v>
      </c>
    </row>
    <row r="8" spans="1:16" x14ac:dyDescent="0.25">
      <c r="A8" s="10">
        <v>9213293</v>
      </c>
      <c r="B8" t="s">
        <v>83</v>
      </c>
      <c r="C8" s="9">
        <v>6250171855</v>
      </c>
      <c r="D8" s="10" t="s">
        <v>161</v>
      </c>
      <c r="E8" s="10" t="s">
        <v>102</v>
      </c>
      <c r="F8" s="10" t="s">
        <v>169</v>
      </c>
      <c r="G8" s="10" t="s">
        <v>45</v>
      </c>
      <c r="H8" s="10" t="s">
        <v>46</v>
      </c>
      <c r="I8" s="10" t="s">
        <v>47</v>
      </c>
      <c r="J8" s="11">
        <v>45937</v>
      </c>
      <c r="K8" s="11">
        <v>46060</v>
      </c>
      <c r="L8" s="9">
        <f t="shared" si="0"/>
        <v>4</v>
      </c>
      <c r="M8" s="9" t="s">
        <v>180</v>
      </c>
      <c r="N8" s="9">
        <v>112.77</v>
      </c>
      <c r="O8" s="9">
        <v>0.9</v>
      </c>
      <c r="P8" s="9">
        <v>101.49</v>
      </c>
    </row>
    <row r="9" spans="1:16" x14ac:dyDescent="0.25">
      <c r="A9" s="10">
        <v>16228684</v>
      </c>
      <c r="B9" t="s">
        <v>41</v>
      </c>
      <c r="C9" s="9">
        <v>7250161361</v>
      </c>
      <c r="D9" s="10" t="s">
        <v>159</v>
      </c>
      <c r="E9" s="10" t="s">
        <v>44</v>
      </c>
      <c r="F9" s="10" t="s">
        <v>162</v>
      </c>
      <c r="G9" s="10" t="s">
        <v>45</v>
      </c>
      <c r="H9" s="10" t="s">
        <v>46</v>
      </c>
      <c r="I9" s="10" t="s">
        <v>47</v>
      </c>
      <c r="J9" s="11">
        <v>45910</v>
      </c>
      <c r="K9" s="11">
        <v>46063</v>
      </c>
      <c r="L9" s="9">
        <f t="shared" si="0"/>
        <v>5</v>
      </c>
      <c r="M9" s="9" t="s">
        <v>180</v>
      </c>
      <c r="N9" s="9">
        <v>178.2</v>
      </c>
      <c r="O9" s="9">
        <v>1.37</v>
      </c>
      <c r="P9" s="9">
        <v>244.13</v>
      </c>
    </row>
    <row r="10" spans="1:16" x14ac:dyDescent="0.25">
      <c r="A10" s="10">
        <v>16228684</v>
      </c>
      <c r="B10" t="s">
        <v>41</v>
      </c>
      <c r="C10" s="9">
        <v>7250195078</v>
      </c>
      <c r="D10" s="10" t="s">
        <v>159</v>
      </c>
      <c r="E10" s="10" t="s">
        <v>55</v>
      </c>
      <c r="F10" s="10" t="s">
        <v>163</v>
      </c>
      <c r="G10" s="10" t="s">
        <v>45</v>
      </c>
      <c r="H10" s="10" t="s">
        <v>46</v>
      </c>
      <c r="I10" s="10" t="s">
        <v>47</v>
      </c>
      <c r="J10" s="11">
        <v>45969</v>
      </c>
      <c r="K10" s="11">
        <v>46061</v>
      </c>
      <c r="L10" s="9">
        <f t="shared" si="0"/>
        <v>3</v>
      </c>
      <c r="M10" s="9" t="s">
        <v>180</v>
      </c>
      <c r="N10" s="9">
        <v>179.87</v>
      </c>
      <c r="O10" s="9">
        <v>1.37</v>
      </c>
      <c r="P10" s="9">
        <v>246.42</v>
      </c>
    </row>
    <row r="11" spans="1:16" x14ac:dyDescent="0.25">
      <c r="A11" s="10">
        <v>16228684</v>
      </c>
      <c r="B11" t="s">
        <v>41</v>
      </c>
      <c r="C11" s="9">
        <v>7250161361</v>
      </c>
      <c r="D11" s="10" t="s">
        <v>159</v>
      </c>
      <c r="E11" s="10" t="s">
        <v>44</v>
      </c>
      <c r="F11" s="10" t="s">
        <v>162</v>
      </c>
      <c r="G11" s="10" t="s">
        <v>45</v>
      </c>
      <c r="H11" s="10" t="s">
        <v>46</v>
      </c>
      <c r="I11" s="10" t="s">
        <v>47</v>
      </c>
      <c r="J11" s="11">
        <v>45910</v>
      </c>
      <c r="K11" s="11">
        <v>46063</v>
      </c>
      <c r="L11" s="9">
        <f t="shared" si="0"/>
        <v>5</v>
      </c>
      <c r="M11" s="9" t="s">
        <v>180</v>
      </c>
      <c r="N11" s="9">
        <v>6.16</v>
      </c>
      <c r="O11" s="9">
        <v>1.37</v>
      </c>
      <c r="P11" s="9">
        <v>8.44</v>
      </c>
    </row>
    <row r="12" spans="1:16" x14ac:dyDescent="0.25">
      <c r="A12" s="10">
        <v>16228684</v>
      </c>
      <c r="B12" t="s">
        <v>41</v>
      </c>
      <c r="C12" s="9">
        <v>7250171748</v>
      </c>
      <c r="D12" s="10" t="s">
        <v>160</v>
      </c>
      <c r="E12" s="10" t="s">
        <v>78</v>
      </c>
      <c r="F12" s="10" t="s">
        <v>166</v>
      </c>
      <c r="G12" s="10" t="s">
        <v>45</v>
      </c>
      <c r="H12" s="10" t="s">
        <v>46</v>
      </c>
      <c r="I12" s="10" t="s">
        <v>47</v>
      </c>
      <c r="J12" s="11">
        <v>45912</v>
      </c>
      <c r="K12" s="11">
        <v>46065</v>
      </c>
      <c r="L12" s="9">
        <f t="shared" si="0"/>
        <v>5</v>
      </c>
      <c r="M12" s="9" t="s">
        <v>180</v>
      </c>
      <c r="N12" s="9">
        <v>177.84</v>
      </c>
      <c r="O12" s="9">
        <v>0.94499999999999995</v>
      </c>
      <c r="P12" s="9">
        <v>168.06</v>
      </c>
    </row>
    <row r="13" spans="1:16" x14ac:dyDescent="0.25">
      <c r="A13" s="10">
        <v>16228684</v>
      </c>
      <c r="B13" t="s">
        <v>41</v>
      </c>
      <c r="C13" s="9">
        <v>7250134006</v>
      </c>
      <c r="D13" s="10" t="s">
        <v>159</v>
      </c>
      <c r="E13" s="10" t="s">
        <v>90</v>
      </c>
      <c r="F13" s="10" t="s">
        <v>167</v>
      </c>
      <c r="G13" s="10" t="s">
        <v>45</v>
      </c>
      <c r="H13" s="10" t="s">
        <v>46</v>
      </c>
      <c r="I13" s="10" t="s">
        <v>47</v>
      </c>
      <c r="J13" s="11">
        <v>45896</v>
      </c>
      <c r="K13" s="11">
        <v>46080</v>
      </c>
      <c r="L13" s="9">
        <f t="shared" si="0"/>
        <v>6</v>
      </c>
      <c r="M13" s="9" t="s">
        <v>180</v>
      </c>
      <c r="N13" s="9">
        <v>8.08</v>
      </c>
      <c r="O13" s="9">
        <v>1.37</v>
      </c>
      <c r="P13" s="9">
        <v>11.07</v>
      </c>
    </row>
    <row r="14" spans="1:16" x14ac:dyDescent="0.25">
      <c r="A14" s="10">
        <v>16228684</v>
      </c>
      <c r="B14" t="s">
        <v>41</v>
      </c>
      <c r="C14" s="9">
        <v>7250195097</v>
      </c>
      <c r="D14" s="10" t="s">
        <v>159</v>
      </c>
      <c r="E14" s="10" t="s">
        <v>55</v>
      </c>
      <c r="F14" s="10" t="s">
        <v>170</v>
      </c>
      <c r="G14" s="10" t="s">
        <v>45</v>
      </c>
      <c r="H14" s="10" t="s">
        <v>46</v>
      </c>
      <c r="I14" s="10" t="s">
        <v>47</v>
      </c>
      <c r="J14" s="11">
        <v>45969</v>
      </c>
      <c r="K14" s="11">
        <v>46061</v>
      </c>
      <c r="L14" s="9">
        <f t="shared" si="0"/>
        <v>3</v>
      </c>
      <c r="M14" s="9" t="s">
        <v>180</v>
      </c>
      <c r="N14" s="9">
        <v>3.92</v>
      </c>
      <c r="O14" s="9">
        <v>1.37</v>
      </c>
      <c r="P14" s="9">
        <v>5.37</v>
      </c>
    </row>
    <row r="15" spans="1:16" x14ac:dyDescent="0.25">
      <c r="A15" s="10">
        <v>16228684</v>
      </c>
      <c r="B15" t="s">
        <v>41</v>
      </c>
      <c r="C15" s="9">
        <v>7250195097</v>
      </c>
      <c r="D15" s="10" t="s">
        <v>159</v>
      </c>
      <c r="E15" s="10" t="s">
        <v>55</v>
      </c>
      <c r="F15" s="10" t="s">
        <v>170</v>
      </c>
      <c r="G15" s="10" t="s">
        <v>45</v>
      </c>
      <c r="H15" s="10" t="s">
        <v>46</v>
      </c>
      <c r="I15" s="10" t="s">
        <v>47</v>
      </c>
      <c r="J15" s="11">
        <v>45969</v>
      </c>
      <c r="K15" s="11">
        <v>46061</v>
      </c>
      <c r="L15" s="9">
        <f t="shared" si="0"/>
        <v>3</v>
      </c>
      <c r="M15" s="9" t="s">
        <v>180</v>
      </c>
      <c r="N15" s="9">
        <v>70.58</v>
      </c>
      <c r="O15" s="9">
        <v>1.37</v>
      </c>
      <c r="P15" s="9">
        <v>96.69</v>
      </c>
    </row>
    <row r="16" spans="1:16" x14ac:dyDescent="0.25">
      <c r="A16" s="10">
        <v>16228684</v>
      </c>
      <c r="B16" t="s">
        <v>41</v>
      </c>
      <c r="C16" s="9">
        <v>7250193100</v>
      </c>
      <c r="D16" s="10" t="s">
        <v>159</v>
      </c>
      <c r="E16" s="10" t="s">
        <v>118</v>
      </c>
      <c r="F16" s="10" t="s">
        <v>172</v>
      </c>
      <c r="G16" s="10" t="s">
        <v>45</v>
      </c>
      <c r="H16" s="10" t="s">
        <v>46</v>
      </c>
      <c r="I16" s="10" t="s">
        <v>47</v>
      </c>
      <c r="J16" s="11">
        <v>45940</v>
      </c>
      <c r="K16" s="11">
        <v>46063</v>
      </c>
      <c r="L16" s="9">
        <f t="shared" si="0"/>
        <v>4</v>
      </c>
      <c r="M16" s="9" t="s">
        <v>180</v>
      </c>
      <c r="N16" s="9">
        <v>102.77</v>
      </c>
      <c r="O16" s="9">
        <v>1.37</v>
      </c>
      <c r="P16" s="9">
        <v>140.79</v>
      </c>
    </row>
    <row r="17" spans="1:27" s="6" customFormat="1" x14ac:dyDescent="0.25">
      <c r="A17" s="10">
        <v>16228684</v>
      </c>
      <c r="B17" t="s">
        <v>41</v>
      </c>
      <c r="C17" s="9">
        <v>7250169190</v>
      </c>
      <c r="D17" s="10" t="s">
        <v>159</v>
      </c>
      <c r="E17" s="10" t="s">
        <v>129</v>
      </c>
      <c r="F17" s="10" t="s">
        <v>173</v>
      </c>
      <c r="G17" s="10" t="s">
        <v>45</v>
      </c>
      <c r="H17" s="10" t="s">
        <v>46</v>
      </c>
      <c r="I17" s="10" t="s">
        <v>47</v>
      </c>
      <c r="J17" s="11">
        <v>45910</v>
      </c>
      <c r="K17" s="11">
        <v>46063</v>
      </c>
      <c r="L17" s="9">
        <f t="shared" si="0"/>
        <v>5</v>
      </c>
      <c r="M17" s="9" t="s">
        <v>180</v>
      </c>
      <c r="N17" s="9">
        <v>4.0599999999999996</v>
      </c>
      <c r="O17" s="9">
        <v>1.37</v>
      </c>
      <c r="P17" s="9">
        <v>5.56</v>
      </c>
      <c r="Q17"/>
      <c r="R17"/>
      <c r="S17"/>
      <c r="T17"/>
      <c r="U17"/>
      <c r="V17"/>
      <c r="W17"/>
      <c r="X17"/>
      <c r="Y17"/>
      <c r="Z17"/>
      <c r="AA17"/>
    </row>
    <row r="18" spans="1:27" x14ac:dyDescent="0.25">
      <c r="A18" s="10">
        <v>16228684</v>
      </c>
      <c r="B18" t="s">
        <v>41</v>
      </c>
      <c r="C18" s="9">
        <v>7250193100</v>
      </c>
      <c r="D18" s="10" t="s">
        <v>159</v>
      </c>
      <c r="E18" s="10" t="s">
        <v>118</v>
      </c>
      <c r="F18" s="10" t="s">
        <v>172</v>
      </c>
      <c r="G18" s="10" t="s">
        <v>45</v>
      </c>
      <c r="H18" s="10" t="s">
        <v>46</v>
      </c>
      <c r="I18" s="10" t="s">
        <v>47</v>
      </c>
      <c r="J18" s="11">
        <v>45940</v>
      </c>
      <c r="K18" s="11">
        <v>46063</v>
      </c>
      <c r="L18" s="9">
        <f t="shared" si="0"/>
        <v>4</v>
      </c>
      <c r="M18" s="9" t="s">
        <v>180</v>
      </c>
      <c r="N18" s="9">
        <v>5.07</v>
      </c>
      <c r="O18" s="9">
        <v>1.37</v>
      </c>
      <c r="P18" s="9">
        <v>6.95</v>
      </c>
    </row>
    <row r="19" spans="1:27" x14ac:dyDescent="0.25">
      <c r="A19" s="10">
        <v>16228684</v>
      </c>
      <c r="B19" t="s">
        <v>41</v>
      </c>
      <c r="C19" s="9">
        <v>7250169190</v>
      </c>
      <c r="D19" s="10" t="s">
        <v>159</v>
      </c>
      <c r="E19" s="10" t="s">
        <v>129</v>
      </c>
      <c r="F19" s="10" t="s">
        <v>173</v>
      </c>
      <c r="G19" s="10" t="s">
        <v>45</v>
      </c>
      <c r="H19" s="10" t="s">
        <v>46</v>
      </c>
      <c r="I19" s="10" t="s">
        <v>47</v>
      </c>
      <c r="J19" s="11">
        <v>45910</v>
      </c>
      <c r="K19" s="11">
        <v>46063</v>
      </c>
      <c r="L19" s="9">
        <f t="shared" si="0"/>
        <v>5</v>
      </c>
      <c r="M19" s="9" t="s">
        <v>180</v>
      </c>
      <c r="N19" s="9">
        <v>119.64</v>
      </c>
      <c r="O19" s="9">
        <v>1.37</v>
      </c>
      <c r="P19" s="9">
        <v>163.91</v>
      </c>
    </row>
    <row r="20" spans="1:27" s="6" customFormat="1" x14ac:dyDescent="0.25">
      <c r="A20" s="13">
        <v>8325282</v>
      </c>
      <c r="B20" s="6" t="s">
        <v>60</v>
      </c>
      <c r="C20" s="12">
        <v>7240110364</v>
      </c>
      <c r="D20" s="13" t="s">
        <v>159</v>
      </c>
      <c r="E20" s="13" t="s">
        <v>62</v>
      </c>
      <c r="F20" s="13" t="s">
        <v>164</v>
      </c>
      <c r="G20" s="13" t="s">
        <v>45</v>
      </c>
      <c r="H20" s="13" t="s">
        <v>46</v>
      </c>
      <c r="I20" s="13" t="s">
        <v>47</v>
      </c>
      <c r="J20" s="14">
        <v>45604</v>
      </c>
      <c r="K20" s="14">
        <v>46061</v>
      </c>
      <c r="L20" s="9">
        <f t="shared" si="0"/>
        <v>15</v>
      </c>
      <c r="M20" s="9" t="s">
        <v>180</v>
      </c>
      <c r="N20" s="12">
        <v>50.65</v>
      </c>
      <c r="O20" s="12">
        <v>0.06</v>
      </c>
      <c r="P20" s="12">
        <v>3.04</v>
      </c>
    </row>
    <row r="21" spans="1:27" s="6" customFormat="1" x14ac:dyDescent="0.25">
      <c r="A21" s="13">
        <v>8325282</v>
      </c>
      <c r="B21" s="6" t="s">
        <v>60</v>
      </c>
      <c r="C21" s="12">
        <v>7250170272</v>
      </c>
      <c r="D21" s="13" t="s">
        <v>159</v>
      </c>
      <c r="E21" s="13" t="s">
        <v>111</v>
      </c>
      <c r="F21" s="13" t="s">
        <v>171</v>
      </c>
      <c r="G21" s="13" t="s">
        <v>45</v>
      </c>
      <c r="H21" s="13" t="s">
        <v>46</v>
      </c>
      <c r="I21" s="13" t="s">
        <v>47</v>
      </c>
      <c r="J21" s="14">
        <v>45916</v>
      </c>
      <c r="K21" s="14">
        <v>46069</v>
      </c>
      <c r="L21" s="9">
        <f t="shared" si="0"/>
        <v>5</v>
      </c>
      <c r="M21" s="9" t="s">
        <v>179</v>
      </c>
      <c r="N21" s="12">
        <v>86.32</v>
      </c>
      <c r="O21" s="12">
        <v>1.37</v>
      </c>
      <c r="P21" s="12">
        <v>118.26</v>
      </c>
    </row>
    <row r="22" spans="1:27" s="6" customFormat="1" x14ac:dyDescent="0.25">
      <c r="A22" s="13">
        <v>8325282</v>
      </c>
      <c r="B22" s="6" t="s">
        <v>60</v>
      </c>
      <c r="C22" s="12">
        <v>7240110349</v>
      </c>
      <c r="D22" s="13" t="s">
        <v>159</v>
      </c>
      <c r="E22" s="13" t="s">
        <v>62</v>
      </c>
      <c r="F22" s="13" t="s">
        <v>176</v>
      </c>
      <c r="G22" s="13" t="s">
        <v>45</v>
      </c>
      <c r="H22" s="13" t="s">
        <v>46</v>
      </c>
      <c r="I22" s="13" t="s">
        <v>47</v>
      </c>
      <c r="J22" s="14">
        <v>45604</v>
      </c>
      <c r="K22" s="14">
        <v>46061</v>
      </c>
      <c r="L22" s="9">
        <f t="shared" si="0"/>
        <v>15</v>
      </c>
      <c r="M22" s="9" t="s">
        <v>180</v>
      </c>
      <c r="N22" s="12">
        <v>25.33</v>
      </c>
      <c r="O22" s="12">
        <v>0.06</v>
      </c>
      <c r="P22" s="12">
        <v>1.52</v>
      </c>
    </row>
  </sheetData>
  <sortState xmlns:xlrd2="http://schemas.microsoft.com/office/spreadsheetml/2017/richdata2" ref="A2:AA22">
    <sortCondition ref="B2:B2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Commission_Statement_Details_Re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2026-02-25T19:47:56Z</dcterms:modified>
</cp:coreProperties>
</file>