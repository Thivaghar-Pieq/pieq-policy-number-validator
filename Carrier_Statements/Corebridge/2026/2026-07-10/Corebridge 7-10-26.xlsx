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65EFC503-DD2D-49E6-A6CE-FB19DCE9226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mission_Statement_Details_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3" i="2"/>
</calcChain>
</file>

<file path=xl/sharedStrings.xml><?xml version="1.0" encoding="utf-8"?>
<sst xmlns="http://schemas.openxmlformats.org/spreadsheetml/2006/main" count="1636" uniqueCount="262">
  <si>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</si>
  <si>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</si>
  <si>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</si>
  <si>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</si>
  <si>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</si>
  <si>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</si>
  <si>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</si>
  <si>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</si>
  <si>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</si>
  <si>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</si>
  <si>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</si>
  <si>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</si>
  <si>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</si>
  <si>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</si>
  <si>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</si>
  <si>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</si>
  <si>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</si>
  <si>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</si>
  <si>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</si>
  <si>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</si>
  <si>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</si>
  <si>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</si>
  <si>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</si>
  <si>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</si>
  <si>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</si>
  <si>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</si>
  <si>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</si>
  <si>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</si>
  <si>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</si>
  <si>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</si>
  <si>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</si>
  <si>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</si>
  <si>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</si>
  <si>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</si>
  <si>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2026-07-10</t>
  </si>
  <si>
    <t>MAIN LINE BENEFITS LLC</t>
  </si>
  <si>
    <t>6</t>
  </si>
  <si>
    <t>*****8192</t>
  </si>
  <si>
    <t>5Q29Q</t>
  </si>
  <si>
    <t>HEARTLAND FINANCIAL GROUP LLC</t>
  </si>
  <si>
    <t>18R72</t>
  </si>
  <si>
    <t>ARENSON, GREGG</t>
  </si>
  <si>
    <t>Overwrite Activity</t>
  </si>
  <si>
    <t>7260191218</t>
  </si>
  <si>
    <t>GETTES</t>
  </si>
  <si>
    <t>ANNUAL</t>
  </si>
  <si>
    <t>Life</t>
  </si>
  <si>
    <t>Term</t>
  </si>
  <si>
    <t>2026-07-09</t>
  </si>
  <si>
    <t>100.00</t>
  </si>
  <si>
    <t>2678.70</t>
  </si>
  <si>
    <t>1.3700</t>
  </si>
  <si>
    <t>3669.82</t>
  </si>
  <si>
    <t/>
  </si>
  <si>
    <t>1FGJ5</t>
  </si>
  <si>
    <t>BRANDT, STEVEN</t>
  </si>
  <si>
    <t>7260157302</t>
  </si>
  <si>
    <t>REYNOLDS</t>
  </si>
  <si>
    <t>MNTHLY</t>
  </si>
  <si>
    <t>2026-06-10</t>
  </si>
  <si>
    <t>28.82</t>
  </si>
  <si>
    <t>0.9450</t>
  </si>
  <si>
    <t>27.23</t>
  </si>
  <si>
    <t>1FJU8</t>
  </si>
  <si>
    <t>ROLLER, JASON</t>
  </si>
  <si>
    <t>7250136480</t>
  </si>
  <si>
    <t>AURRICHIO</t>
  </si>
  <si>
    <t>2025-08-05</t>
  </si>
  <si>
    <t>2.58</t>
  </si>
  <si>
    <t>3.53</t>
  </si>
  <si>
    <t>7250134006</t>
  </si>
  <si>
    <t>SANCHEZ</t>
  </si>
  <si>
    <t>2025-08-27</t>
  </si>
  <si>
    <t>8.08</t>
  </si>
  <si>
    <t>11.07</t>
  </si>
  <si>
    <t>14JK2</t>
  </si>
  <si>
    <t>CHOI, ANDREW</t>
  </si>
  <si>
    <t>7240123973</t>
  </si>
  <si>
    <t>LOVE</t>
  </si>
  <si>
    <t>2025-01-06</t>
  </si>
  <si>
    <t>85.91</t>
  </si>
  <si>
    <t>0.0275</t>
  </si>
  <si>
    <t>2.36</t>
  </si>
  <si>
    <t>7250131524</t>
  </si>
  <si>
    <t>STRAUSS</t>
  </si>
  <si>
    <t>124.76</t>
  </si>
  <si>
    <t>170.92</t>
  </si>
  <si>
    <t>7250195078</t>
  </si>
  <si>
    <t>EVANS</t>
  </si>
  <si>
    <t>2025-11-08</t>
  </si>
  <si>
    <t>179.87</t>
  </si>
  <si>
    <t>246.42</t>
  </si>
  <si>
    <t>7250249151</t>
  </si>
  <si>
    <t>FOX</t>
  </si>
  <si>
    <t>2025-12-07</t>
  </si>
  <si>
    <t>149.72</t>
  </si>
  <si>
    <t>205.12</t>
  </si>
  <si>
    <t>7250169502</t>
  </si>
  <si>
    <t>LIST</t>
  </si>
  <si>
    <t>2025-09-10</t>
  </si>
  <si>
    <t>51.07</t>
  </si>
  <si>
    <t>48.26</t>
  </si>
  <si>
    <t>7250195097</t>
  </si>
  <si>
    <t>70.58</t>
  </si>
  <si>
    <t>96.69</t>
  </si>
  <si>
    <t>7240123968</t>
  </si>
  <si>
    <t>80.34</t>
  </si>
  <si>
    <t>2.21</t>
  </si>
  <si>
    <t>7250169190</t>
  </si>
  <si>
    <t>HANSEN</t>
  </si>
  <si>
    <t>4.06</t>
  </si>
  <si>
    <t>5.56</t>
  </si>
  <si>
    <t>155.47</t>
  </si>
  <si>
    <t>212.99</t>
  </si>
  <si>
    <t>14NG1</t>
  </si>
  <si>
    <t>PETRUNGARO, ANDREA</t>
  </si>
  <si>
    <t>7250052846</t>
  </si>
  <si>
    <t>CLIENT</t>
  </si>
  <si>
    <t>2025-04-05</t>
  </si>
  <si>
    <t>95.23</t>
  </si>
  <si>
    <t>0.0600</t>
  </si>
  <si>
    <t>5.71</t>
  </si>
  <si>
    <t>7250169460</t>
  </si>
  <si>
    <t>28.00</t>
  </si>
  <si>
    <t>38.36</t>
  </si>
  <si>
    <t>7250193100</t>
  </si>
  <si>
    <t>SANTANGELO</t>
  </si>
  <si>
    <t>2025-10-10</t>
  </si>
  <si>
    <t>5.07</t>
  </si>
  <si>
    <t>6.95</t>
  </si>
  <si>
    <t>1811F</t>
  </si>
  <si>
    <t>LISKOVEC, FRANK</t>
  </si>
  <si>
    <t>7250163636</t>
  </si>
  <si>
    <t>KOMA</t>
  </si>
  <si>
    <t>2025-09-02</t>
  </si>
  <si>
    <t>268.20</t>
  </si>
  <si>
    <t>367.43</t>
  </si>
  <si>
    <t>14MK0</t>
  </si>
  <si>
    <t>PORTUGAL, GARY</t>
  </si>
  <si>
    <t>6250171855</t>
  </si>
  <si>
    <t>SILVA</t>
  </si>
  <si>
    <t>2025-10-07</t>
  </si>
  <si>
    <t>112.77</t>
  </si>
  <si>
    <t>0.9000</t>
  </si>
  <si>
    <t>101.49</t>
  </si>
  <si>
    <t>7250161361</t>
  </si>
  <si>
    <t>OLDENBURG</t>
  </si>
  <si>
    <t>178.20</t>
  </si>
  <si>
    <t>244.13</t>
  </si>
  <si>
    <t>119.64</t>
  </si>
  <si>
    <t>163.91</t>
  </si>
  <si>
    <t>7250133944</t>
  </si>
  <si>
    <t>OLSON</t>
  </si>
  <si>
    <t>2025-08-04</t>
  </si>
  <si>
    <t>140.80</t>
  </si>
  <si>
    <t>192.90</t>
  </si>
  <si>
    <t>14QX4</t>
  </si>
  <si>
    <t>INSKIPT, DEBORAH</t>
  </si>
  <si>
    <t>6250205165</t>
  </si>
  <si>
    <t>KIGER</t>
  </si>
  <si>
    <t>2025-12-05</t>
  </si>
  <si>
    <t>33.45</t>
  </si>
  <si>
    <t>30.11</t>
  </si>
  <si>
    <t>7250168418</t>
  </si>
  <si>
    <t>MILLS</t>
  </si>
  <si>
    <t>2025-09-08</t>
  </si>
  <si>
    <t>69.59</t>
  </si>
  <si>
    <t>95.34</t>
  </si>
  <si>
    <t>14JT4</t>
  </si>
  <si>
    <t>WALENGA, DALE</t>
  </si>
  <si>
    <t>7240110364</t>
  </si>
  <si>
    <t>MINJARES</t>
  </si>
  <si>
    <t>2024-11-08</t>
  </si>
  <si>
    <t>50.65</t>
  </si>
  <si>
    <t>3.04</t>
  </si>
  <si>
    <t>6260080272</t>
  </si>
  <si>
    <t>DEITERS</t>
  </si>
  <si>
    <t>2026-04-07</t>
  </si>
  <si>
    <t>77.21</t>
  </si>
  <si>
    <t>69.49</t>
  </si>
  <si>
    <t>55.57</t>
  </si>
  <si>
    <t>76.13</t>
  </si>
  <si>
    <t>1H56R</t>
  </si>
  <si>
    <t>SHEPARD, RYAN</t>
  </si>
  <si>
    <t>6260140207</t>
  </si>
  <si>
    <t>GASKIN</t>
  </si>
  <si>
    <t>2026-06-05</t>
  </si>
  <si>
    <t>6.16</t>
  </si>
  <si>
    <t>8.44</t>
  </si>
  <si>
    <t>102.77</t>
  </si>
  <si>
    <t>140.79</t>
  </si>
  <si>
    <t>Miscellaneous Account Activity</t>
  </si>
  <si>
    <t>2Q26 Agt Bonus 14JK2</t>
  </si>
  <si>
    <t>Fixed Index Annuity</t>
  </si>
  <si>
    <t>0.00</t>
  </si>
  <si>
    <t>2000.00</t>
  </si>
  <si>
    <t>0.0000</t>
  </si>
  <si>
    <t>6.21</t>
  </si>
  <si>
    <t>8.51</t>
  </si>
  <si>
    <t>6260156323</t>
  </si>
  <si>
    <t>DAILY</t>
  </si>
  <si>
    <t>2026-07-03</t>
  </si>
  <si>
    <t>108.02</t>
  </si>
  <si>
    <t>97.22</t>
  </si>
  <si>
    <t>7250131554</t>
  </si>
  <si>
    <t>3.75</t>
  </si>
  <si>
    <t>5.14</t>
  </si>
  <si>
    <t>7260154633</t>
  </si>
  <si>
    <t>69.58</t>
  </si>
  <si>
    <t>95.32</t>
  </si>
  <si>
    <t>6.83</t>
  </si>
  <si>
    <t>9.36</t>
  </si>
  <si>
    <t>6260079929</t>
  </si>
  <si>
    <t>NORRIS</t>
  </si>
  <si>
    <t>98.83</t>
  </si>
  <si>
    <t>88.95</t>
  </si>
  <si>
    <t>108.77</t>
  </si>
  <si>
    <t>149.01</t>
  </si>
  <si>
    <t>7240110349</t>
  </si>
  <si>
    <t>25.33</t>
  </si>
  <si>
    <t>1.52</t>
  </si>
  <si>
    <t>3.92</t>
  </si>
  <si>
    <t>5.37</t>
  </si>
  <si>
    <t>GETTES,THERESA</t>
  </si>
  <si>
    <t>REYNOLDS,BARBARA</t>
  </si>
  <si>
    <t>AURRICHIO,VITTA</t>
  </si>
  <si>
    <t>SANCHEZ,LINDA</t>
  </si>
  <si>
    <t>LOVE,MICHAEL</t>
  </si>
  <si>
    <t>STRAUSS,JULIE</t>
  </si>
  <si>
    <t>EVANS,PEGGIE L</t>
  </si>
  <si>
    <t>FOX,HOWARD</t>
  </si>
  <si>
    <t>LIST,DARYL W</t>
  </si>
  <si>
    <t>EVANS,ANGELA R</t>
  </si>
  <si>
    <t>LOVE,MAXINE</t>
  </si>
  <si>
    <t>HANSEN,DOUGLAS</t>
  </si>
  <si>
    <t>CLIENT,ANDREA</t>
  </si>
  <si>
    <t>LIST,MARY T</t>
  </si>
  <si>
    <t>SANTANGELO,JOAN J</t>
  </si>
  <si>
    <t>KOMA,SHAMIRAN</t>
  </si>
  <si>
    <t>SILVA,ALFRED</t>
  </si>
  <si>
    <t>OLDENBURG,ROBERT</t>
  </si>
  <si>
    <t>OLSON,DEBORAH</t>
  </si>
  <si>
    <t>KIGER,DAVID</t>
  </si>
  <si>
    <t>MILLS,PAMELA C</t>
  </si>
  <si>
    <t>MINJARES,JOE</t>
  </si>
  <si>
    <t>DEITERS,LINDA M</t>
  </si>
  <si>
    <t>GASKIN,GREGORY</t>
  </si>
  <si>
    <t>DAILY,CINDY</t>
  </si>
  <si>
    <t>STRAUSS,DONALD</t>
  </si>
  <si>
    <t>GASKIN,DEBRA</t>
  </si>
  <si>
    <t>NORRIS,JERRY</t>
  </si>
  <si>
    <t>MINJARES,MONICA</t>
  </si>
  <si>
    <t>7470776AV9</t>
  </si>
  <si>
    <t>8814784AV9</t>
  </si>
  <si>
    <t>17528908N</t>
  </si>
  <si>
    <t>AE</t>
  </si>
  <si>
    <t>Corebridge SimpliNow Legacy (94.50)</t>
  </si>
  <si>
    <t>Corebridge SimpliNow Legacy Max (137)</t>
  </si>
  <si>
    <t>Corebridge Guaranteed Issue Whole Life (90)</t>
  </si>
  <si>
    <t>RN</t>
  </si>
  <si>
    <t>Annually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</si>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</sst>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2" borderId="0" xfId="0" applyFill="1"/>
    <xf numFmtId="8" fontId="0" fillId="2" borderId="0" xfId="0" applyNumberFormat="1" applyFill="1"/>
    <xf numFmtId="0" fontId="0" fillId="0" borderId="0" xfId="0" applyNumberFormat="1"/>
    <xf numFmtId="0" fontId="0" fillId="0" borderId="0" xfId="0" applyNumberFormat="1" applyAlignment="1">
      <alignment horizontal="left"/>
    </xf>
    <xf numFmtId="14" fontId="0" fillId="0" borderId="0" xfId="0" applyNumberFormat="1"/>
    <xf numFmtId="0" fontId="0" fillId="3" borderId="0" xfId="0" applyFill="1"/>
    <xf numFmtId="0" fontId="0" fillId="3" borderId="0" xfId="0" applyNumberFormat="1" applyFill="1" applyAlignment="1">
      <alignment horizontal="left"/>
    </xf>
    <xf numFmtId="14" fontId="0" fillId="3" borderId="0" xfId="0" applyNumberFormat="1" applyFill="1"/>
    <xf numFmtId="0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2"/>
  <sheetViews>
    <sheetView topLeftCell="G1" zoomScale="89" zoomScaleNormal="89" workbookViewId="0">
      <selection activeCell="L30" sqref="L30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54</v>
      </c>
      <c r="J5" t="s">
        <v>55</v>
      </c>
      <c r="K5" t="s">
        <v>42</v>
      </c>
      <c r="L5" t="s">
        <v>56</v>
      </c>
      <c r="M5" t="s">
        <v>57</v>
      </c>
      <c r="N5" t="s">
        <v>58</v>
      </c>
      <c r="O5" t="s">
        <v>46</v>
      </c>
      <c r="P5" t="s">
        <v>47</v>
      </c>
      <c r="Q5" t="s">
        <v>59</v>
      </c>
      <c r="R5" t="s">
        <v>59</v>
      </c>
      <c r="S5" t="s">
        <v>59</v>
      </c>
      <c r="T5" t="s">
        <v>49</v>
      </c>
      <c r="U5" s="4" t="s">
        <v>60</v>
      </c>
      <c r="V5" t="s">
        <v>61</v>
      </c>
      <c r="W5" s="4" t="s">
        <v>62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63</v>
      </c>
      <c r="J6" t="s">
        <v>64</v>
      </c>
      <c r="K6" t="s">
        <v>42</v>
      </c>
      <c r="L6" t="s">
        <v>65</v>
      </c>
      <c r="M6" t="s">
        <v>66</v>
      </c>
      <c r="N6" t="s">
        <v>58</v>
      </c>
      <c r="O6" t="s">
        <v>46</v>
      </c>
      <c r="P6" t="s">
        <v>47</v>
      </c>
      <c r="Q6" t="s">
        <v>67</v>
      </c>
      <c r="R6" t="s">
        <v>67</v>
      </c>
      <c r="S6" t="s">
        <v>67</v>
      </c>
      <c r="T6" t="s">
        <v>49</v>
      </c>
      <c r="U6" s="4" t="s">
        <v>68</v>
      </c>
      <c r="V6" t="s">
        <v>51</v>
      </c>
      <c r="W6" s="4" t="s">
        <v>69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63</v>
      </c>
      <c r="J7" t="s">
        <v>64</v>
      </c>
      <c r="K7" t="s">
        <v>42</v>
      </c>
      <c r="L7" t="s">
        <v>70</v>
      </c>
      <c r="M7" t="s">
        <v>71</v>
      </c>
      <c r="N7" t="s">
        <v>58</v>
      </c>
      <c r="O7" t="s">
        <v>46</v>
      </c>
      <c r="P7" t="s">
        <v>47</v>
      </c>
      <c r="Q7" t="s">
        <v>72</v>
      </c>
      <c r="R7" t="s">
        <v>72</v>
      </c>
      <c r="S7" t="s">
        <v>72</v>
      </c>
      <c r="T7" t="s">
        <v>49</v>
      </c>
      <c r="U7" s="4" t="s">
        <v>73</v>
      </c>
      <c r="V7" t="s">
        <v>51</v>
      </c>
      <c r="W7" s="4" t="s">
        <v>74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75</v>
      </c>
      <c r="J8" t="s">
        <v>76</v>
      </c>
      <c r="K8" t="s">
        <v>42</v>
      </c>
      <c r="L8" t="s">
        <v>77</v>
      </c>
      <c r="M8" t="s">
        <v>78</v>
      </c>
      <c r="N8" t="s">
        <v>58</v>
      </c>
      <c r="O8" t="s">
        <v>46</v>
      </c>
      <c r="P8" t="s">
        <v>47</v>
      </c>
      <c r="Q8" t="s">
        <v>79</v>
      </c>
      <c r="R8" t="s">
        <v>79</v>
      </c>
      <c r="S8" t="s">
        <v>79</v>
      </c>
      <c r="T8" t="s">
        <v>49</v>
      </c>
      <c r="U8" s="4" t="s">
        <v>80</v>
      </c>
      <c r="V8" t="s">
        <v>81</v>
      </c>
      <c r="W8" s="4" t="s">
        <v>82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63</v>
      </c>
      <c r="J9" t="s">
        <v>64</v>
      </c>
      <c r="K9" t="s">
        <v>42</v>
      </c>
      <c r="L9" t="s">
        <v>83</v>
      </c>
      <c r="M9" t="s">
        <v>84</v>
      </c>
      <c r="N9" t="s">
        <v>58</v>
      </c>
      <c r="O9" t="s">
        <v>46</v>
      </c>
      <c r="P9" t="s">
        <v>47</v>
      </c>
      <c r="Q9" t="s">
        <v>67</v>
      </c>
      <c r="R9" t="s">
        <v>67</v>
      </c>
      <c r="S9" t="s">
        <v>67</v>
      </c>
      <c r="T9" t="s">
        <v>49</v>
      </c>
      <c r="U9" s="4" t="s">
        <v>85</v>
      </c>
      <c r="V9" t="s">
        <v>51</v>
      </c>
      <c r="W9" s="4" t="s">
        <v>86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63</v>
      </c>
      <c r="J10" t="s">
        <v>64</v>
      </c>
      <c r="K10" t="s">
        <v>42</v>
      </c>
      <c r="L10" t="s">
        <v>87</v>
      </c>
      <c r="M10" t="s">
        <v>88</v>
      </c>
      <c r="N10" t="s">
        <v>58</v>
      </c>
      <c r="O10" t="s">
        <v>46</v>
      </c>
      <c r="P10" t="s">
        <v>47</v>
      </c>
      <c r="Q10" t="s">
        <v>89</v>
      </c>
      <c r="R10" t="s">
        <v>89</v>
      </c>
      <c r="S10" t="s">
        <v>89</v>
      </c>
      <c r="T10" t="s">
        <v>49</v>
      </c>
      <c r="U10" s="4" t="s">
        <v>90</v>
      </c>
      <c r="V10" t="s">
        <v>51</v>
      </c>
      <c r="W10" s="4" t="s">
        <v>91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75</v>
      </c>
      <c r="J11" t="s">
        <v>76</v>
      </c>
      <c r="K11" t="s">
        <v>42</v>
      </c>
      <c r="L11" t="s">
        <v>92</v>
      </c>
      <c r="M11" t="s">
        <v>93</v>
      </c>
      <c r="N11" t="s">
        <v>58</v>
      </c>
      <c r="O11" t="s">
        <v>46</v>
      </c>
      <c r="P11" t="s">
        <v>47</v>
      </c>
      <c r="Q11" t="s">
        <v>94</v>
      </c>
      <c r="R11" t="s">
        <v>94</v>
      </c>
      <c r="S11" t="s">
        <v>94</v>
      </c>
      <c r="T11" t="s">
        <v>49</v>
      </c>
      <c r="U11" s="4" t="s">
        <v>95</v>
      </c>
      <c r="V11" t="s">
        <v>51</v>
      </c>
      <c r="W11" s="4" t="s">
        <v>96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54</v>
      </c>
      <c r="J12" t="s">
        <v>55</v>
      </c>
      <c r="K12" t="s">
        <v>42</v>
      </c>
      <c r="L12" t="s">
        <v>97</v>
      </c>
      <c r="M12" t="s">
        <v>98</v>
      </c>
      <c r="N12" t="s">
        <v>58</v>
      </c>
      <c r="O12" t="s">
        <v>46</v>
      </c>
      <c r="P12" t="s">
        <v>47</v>
      </c>
      <c r="Q12" t="s">
        <v>99</v>
      </c>
      <c r="R12" t="s">
        <v>99</v>
      </c>
      <c r="S12" t="s">
        <v>99</v>
      </c>
      <c r="T12" t="s">
        <v>49</v>
      </c>
      <c r="U12" s="4" t="s">
        <v>100</v>
      </c>
      <c r="V12" t="s">
        <v>61</v>
      </c>
      <c r="W12" s="4" t="s">
        <v>101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63</v>
      </c>
      <c r="J13" t="s">
        <v>64</v>
      </c>
      <c r="K13" t="s">
        <v>42</v>
      </c>
      <c r="L13" t="s">
        <v>102</v>
      </c>
      <c r="M13" t="s">
        <v>88</v>
      </c>
      <c r="N13" t="s">
        <v>58</v>
      </c>
      <c r="O13" t="s">
        <v>46</v>
      </c>
      <c r="P13" t="s">
        <v>47</v>
      </c>
      <c r="Q13" t="s">
        <v>89</v>
      </c>
      <c r="R13" t="s">
        <v>89</v>
      </c>
      <c r="S13" t="s">
        <v>89</v>
      </c>
      <c r="T13" t="s">
        <v>49</v>
      </c>
      <c r="U13" s="4" t="s">
        <v>103</v>
      </c>
      <c r="V13" t="s">
        <v>51</v>
      </c>
      <c r="W13" s="4" t="s">
        <v>104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75</v>
      </c>
      <c r="J14" t="s">
        <v>76</v>
      </c>
      <c r="K14" t="s">
        <v>42</v>
      </c>
      <c r="L14" t="s">
        <v>105</v>
      </c>
      <c r="M14" t="s">
        <v>78</v>
      </c>
      <c r="N14" t="s">
        <v>58</v>
      </c>
      <c r="O14" t="s">
        <v>46</v>
      </c>
      <c r="P14" t="s">
        <v>47</v>
      </c>
      <c r="Q14" t="s">
        <v>79</v>
      </c>
      <c r="R14" t="s">
        <v>79</v>
      </c>
      <c r="S14" t="s">
        <v>79</v>
      </c>
      <c r="T14" t="s">
        <v>49</v>
      </c>
      <c r="U14" s="4" t="s">
        <v>106</v>
      </c>
      <c r="V14" t="s">
        <v>81</v>
      </c>
      <c r="W14" s="4" t="s">
        <v>107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63</v>
      </c>
      <c r="J15" t="s">
        <v>64</v>
      </c>
      <c r="K15" t="s">
        <v>42</v>
      </c>
      <c r="L15" t="s">
        <v>108</v>
      </c>
      <c r="M15" t="s">
        <v>109</v>
      </c>
      <c r="N15" t="s">
        <v>58</v>
      </c>
      <c r="O15" t="s">
        <v>46</v>
      </c>
      <c r="P15" t="s">
        <v>47</v>
      </c>
      <c r="Q15" t="s">
        <v>99</v>
      </c>
      <c r="R15" t="s">
        <v>99</v>
      </c>
      <c r="S15" t="s">
        <v>99</v>
      </c>
      <c r="T15" t="s">
        <v>49</v>
      </c>
      <c r="U15" s="4" t="s">
        <v>110</v>
      </c>
      <c r="V15" t="s">
        <v>51</v>
      </c>
      <c r="W15" s="4" t="s">
        <v>111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63</v>
      </c>
      <c r="J16" t="s">
        <v>64</v>
      </c>
      <c r="K16" t="s">
        <v>42</v>
      </c>
      <c r="L16" t="s">
        <v>70</v>
      </c>
      <c r="M16" t="s">
        <v>71</v>
      </c>
      <c r="N16" t="s">
        <v>58</v>
      </c>
      <c r="O16" t="s">
        <v>46</v>
      </c>
      <c r="P16" t="s">
        <v>47</v>
      </c>
      <c r="Q16" t="s">
        <v>72</v>
      </c>
      <c r="R16" t="s">
        <v>72</v>
      </c>
      <c r="S16" t="s">
        <v>72</v>
      </c>
      <c r="T16" t="s">
        <v>49</v>
      </c>
      <c r="U16" s="4" t="s">
        <v>112</v>
      </c>
      <c r="V16" t="s">
        <v>51</v>
      </c>
      <c r="W16" s="4" t="s">
        <v>113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114</v>
      </c>
      <c r="J17" t="s">
        <v>115</v>
      </c>
      <c r="K17" t="s">
        <v>42</v>
      </c>
      <c r="L17" t="s">
        <v>116</v>
      </c>
      <c r="M17" t="s">
        <v>117</v>
      </c>
      <c r="N17" t="s">
        <v>58</v>
      </c>
      <c r="O17" t="s">
        <v>46</v>
      </c>
      <c r="P17" t="s">
        <v>47</v>
      </c>
      <c r="Q17" t="s">
        <v>118</v>
      </c>
      <c r="R17" t="s">
        <v>118</v>
      </c>
      <c r="S17" t="s">
        <v>118</v>
      </c>
      <c r="T17" t="s">
        <v>49</v>
      </c>
      <c r="U17" s="4" t="s">
        <v>119</v>
      </c>
      <c r="V17" t="s">
        <v>120</v>
      </c>
      <c r="W17" s="4" t="s">
        <v>121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54</v>
      </c>
      <c r="J18" t="s">
        <v>55</v>
      </c>
      <c r="K18" t="s">
        <v>42</v>
      </c>
      <c r="L18" t="s">
        <v>122</v>
      </c>
      <c r="M18" t="s">
        <v>98</v>
      </c>
      <c r="N18" t="s">
        <v>58</v>
      </c>
      <c r="O18" t="s">
        <v>46</v>
      </c>
      <c r="P18" t="s">
        <v>47</v>
      </c>
      <c r="Q18" t="s">
        <v>99</v>
      </c>
      <c r="R18" t="s">
        <v>99</v>
      </c>
      <c r="S18" t="s">
        <v>99</v>
      </c>
      <c r="T18" t="s">
        <v>49</v>
      </c>
      <c r="U18" s="4" t="s">
        <v>123</v>
      </c>
      <c r="V18" t="s">
        <v>51</v>
      </c>
      <c r="W18" s="4" t="s">
        <v>124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63</v>
      </c>
      <c r="J19" t="s">
        <v>64</v>
      </c>
      <c r="K19" t="s">
        <v>42</v>
      </c>
      <c r="L19" t="s">
        <v>125</v>
      </c>
      <c r="M19" t="s">
        <v>126</v>
      </c>
      <c r="N19" t="s">
        <v>58</v>
      </c>
      <c r="O19" t="s">
        <v>46</v>
      </c>
      <c r="P19" t="s">
        <v>47</v>
      </c>
      <c r="Q19" t="s">
        <v>127</v>
      </c>
      <c r="R19" t="s">
        <v>127</v>
      </c>
      <c r="S19" t="s">
        <v>127</v>
      </c>
      <c r="T19" t="s">
        <v>49</v>
      </c>
      <c r="U19" s="4" t="s">
        <v>128</v>
      </c>
      <c r="V19" t="s">
        <v>51</v>
      </c>
      <c r="W19" s="4" t="s">
        <v>129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130</v>
      </c>
      <c r="J20" t="s">
        <v>131</v>
      </c>
      <c r="K20" t="s">
        <v>42</v>
      </c>
      <c r="L20" t="s">
        <v>132</v>
      </c>
      <c r="M20" t="s">
        <v>133</v>
      </c>
      <c r="N20" t="s">
        <v>58</v>
      </c>
      <c r="O20" t="s">
        <v>46</v>
      </c>
      <c r="P20" t="s">
        <v>47</v>
      </c>
      <c r="Q20" t="s">
        <v>134</v>
      </c>
      <c r="R20" t="s">
        <v>134</v>
      </c>
      <c r="S20" t="s">
        <v>134</v>
      </c>
      <c r="T20" t="s">
        <v>49</v>
      </c>
      <c r="U20" s="4" t="s">
        <v>135</v>
      </c>
      <c r="V20" t="s">
        <v>51</v>
      </c>
      <c r="W20" s="4" t="s">
        <v>136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137</v>
      </c>
      <c r="J21" t="s">
        <v>138</v>
      </c>
      <c r="K21" t="s">
        <v>42</v>
      </c>
      <c r="L21" t="s">
        <v>139</v>
      </c>
      <c r="M21" t="s">
        <v>140</v>
      </c>
      <c r="N21" t="s">
        <v>58</v>
      </c>
      <c r="O21" t="s">
        <v>46</v>
      </c>
      <c r="P21" t="s">
        <v>47</v>
      </c>
      <c r="Q21" t="s">
        <v>141</v>
      </c>
      <c r="R21" t="s">
        <v>141</v>
      </c>
      <c r="S21" t="s">
        <v>141</v>
      </c>
      <c r="T21" t="s">
        <v>49</v>
      </c>
      <c r="U21" s="4" t="s">
        <v>142</v>
      </c>
      <c r="V21" t="s">
        <v>143</v>
      </c>
      <c r="W21" s="4" t="s">
        <v>144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63</v>
      </c>
      <c r="J22" t="s">
        <v>64</v>
      </c>
      <c r="K22" t="s">
        <v>42</v>
      </c>
      <c r="L22" t="s">
        <v>145</v>
      </c>
      <c r="M22" t="s">
        <v>146</v>
      </c>
      <c r="N22" t="s">
        <v>58</v>
      </c>
      <c r="O22" t="s">
        <v>46</v>
      </c>
      <c r="P22" t="s">
        <v>47</v>
      </c>
      <c r="Q22" t="s">
        <v>99</v>
      </c>
      <c r="R22" t="s">
        <v>99</v>
      </c>
      <c r="S22" t="s">
        <v>99</v>
      </c>
      <c r="T22" t="s">
        <v>49</v>
      </c>
      <c r="U22" s="4" t="s">
        <v>147</v>
      </c>
      <c r="V22" t="s">
        <v>51</v>
      </c>
      <c r="W22" s="4" t="s">
        <v>148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63</v>
      </c>
      <c r="J23" t="s">
        <v>64</v>
      </c>
      <c r="K23" t="s">
        <v>42</v>
      </c>
      <c r="L23" t="s">
        <v>108</v>
      </c>
      <c r="M23" t="s">
        <v>109</v>
      </c>
      <c r="N23" t="s">
        <v>58</v>
      </c>
      <c r="O23" t="s">
        <v>46</v>
      </c>
      <c r="P23" t="s">
        <v>47</v>
      </c>
      <c r="Q23" t="s">
        <v>99</v>
      </c>
      <c r="R23" t="s">
        <v>99</v>
      </c>
      <c r="S23" t="s">
        <v>99</v>
      </c>
      <c r="T23" t="s">
        <v>49</v>
      </c>
      <c r="U23" s="4" t="s">
        <v>149</v>
      </c>
      <c r="V23" t="s">
        <v>51</v>
      </c>
      <c r="W23" s="4" t="s">
        <v>150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63</v>
      </c>
      <c r="J24" t="s">
        <v>64</v>
      </c>
      <c r="K24" t="s">
        <v>42</v>
      </c>
      <c r="L24" t="s">
        <v>151</v>
      </c>
      <c r="M24" t="s">
        <v>152</v>
      </c>
      <c r="N24" t="s">
        <v>58</v>
      </c>
      <c r="O24" t="s">
        <v>46</v>
      </c>
      <c r="P24" t="s">
        <v>47</v>
      </c>
      <c r="Q24" t="s">
        <v>153</v>
      </c>
      <c r="R24" t="s">
        <v>153</v>
      </c>
      <c r="S24" t="s">
        <v>153</v>
      </c>
      <c r="T24" t="s">
        <v>49</v>
      </c>
      <c r="U24" s="4" t="s">
        <v>154</v>
      </c>
      <c r="V24" t="s">
        <v>51</v>
      </c>
      <c r="W24" s="4" t="s">
        <v>155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156</v>
      </c>
      <c r="J25" t="s">
        <v>157</v>
      </c>
      <c r="K25" t="s">
        <v>42</v>
      </c>
      <c r="L25" t="s">
        <v>158</v>
      </c>
      <c r="M25" t="s">
        <v>159</v>
      </c>
      <c r="N25" t="s">
        <v>58</v>
      </c>
      <c r="O25" t="s">
        <v>46</v>
      </c>
      <c r="P25" t="s">
        <v>47</v>
      </c>
      <c r="Q25" t="s">
        <v>160</v>
      </c>
      <c r="R25" t="s">
        <v>160</v>
      </c>
      <c r="S25" t="s">
        <v>160</v>
      </c>
      <c r="T25" t="s">
        <v>49</v>
      </c>
      <c r="U25" s="4" t="s">
        <v>161</v>
      </c>
      <c r="V25" t="s">
        <v>143</v>
      </c>
      <c r="W25" s="4" t="s">
        <v>162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54</v>
      </c>
      <c r="J26" t="s">
        <v>55</v>
      </c>
      <c r="K26" t="s">
        <v>42</v>
      </c>
      <c r="L26" t="s">
        <v>163</v>
      </c>
      <c r="M26" t="s">
        <v>164</v>
      </c>
      <c r="N26" t="s">
        <v>58</v>
      </c>
      <c r="O26" t="s">
        <v>46</v>
      </c>
      <c r="P26" t="s">
        <v>47</v>
      </c>
      <c r="Q26" t="s">
        <v>165</v>
      </c>
      <c r="R26" t="s">
        <v>165</v>
      </c>
      <c r="S26" t="s">
        <v>165</v>
      </c>
      <c r="T26" t="s">
        <v>49</v>
      </c>
      <c r="U26" s="4" t="s">
        <v>166</v>
      </c>
      <c r="V26" t="s">
        <v>51</v>
      </c>
      <c r="W26" s="4" t="s">
        <v>167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168</v>
      </c>
      <c r="J27" t="s">
        <v>169</v>
      </c>
      <c r="K27" t="s">
        <v>42</v>
      </c>
      <c r="L27" t="s">
        <v>170</v>
      </c>
      <c r="M27" t="s">
        <v>171</v>
      </c>
      <c r="N27" t="s">
        <v>58</v>
      </c>
      <c r="O27" t="s">
        <v>46</v>
      </c>
      <c r="P27" t="s">
        <v>47</v>
      </c>
      <c r="Q27" t="s">
        <v>172</v>
      </c>
      <c r="R27" t="s">
        <v>172</v>
      </c>
      <c r="S27" t="s">
        <v>172</v>
      </c>
      <c r="T27" t="s">
        <v>49</v>
      </c>
      <c r="U27" s="4" t="s">
        <v>173</v>
      </c>
      <c r="V27" t="s">
        <v>120</v>
      </c>
      <c r="W27" s="4" t="s">
        <v>174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137</v>
      </c>
      <c r="J28" t="s">
        <v>138</v>
      </c>
      <c r="K28" t="s">
        <v>42</v>
      </c>
      <c r="L28" t="s">
        <v>175</v>
      </c>
      <c r="M28" t="s">
        <v>176</v>
      </c>
      <c r="N28" t="s">
        <v>58</v>
      </c>
      <c r="O28" t="s">
        <v>46</v>
      </c>
      <c r="P28" t="s">
        <v>47</v>
      </c>
      <c r="Q28" t="s">
        <v>177</v>
      </c>
      <c r="R28" t="s">
        <v>177</v>
      </c>
      <c r="S28" t="s">
        <v>177</v>
      </c>
      <c r="T28" t="s">
        <v>49</v>
      </c>
      <c r="U28" s="4" t="s">
        <v>178</v>
      </c>
      <c r="V28" t="s">
        <v>143</v>
      </c>
      <c r="W28" s="4" t="s">
        <v>179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25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63</v>
      </c>
      <c r="J29" t="s">
        <v>64</v>
      </c>
      <c r="K29" t="s">
        <v>42</v>
      </c>
      <c r="L29" t="s">
        <v>65</v>
      </c>
      <c r="M29" t="s">
        <v>66</v>
      </c>
      <c r="N29" t="s">
        <v>58</v>
      </c>
      <c r="O29" t="s">
        <v>46</v>
      </c>
      <c r="P29" t="s">
        <v>47</v>
      </c>
      <c r="Q29" t="s">
        <v>67</v>
      </c>
      <c r="R29" t="s">
        <v>67</v>
      </c>
      <c r="S29" t="s">
        <v>67</v>
      </c>
      <c r="T29" t="s">
        <v>49</v>
      </c>
      <c r="U29" s="4" t="s">
        <v>180</v>
      </c>
      <c r="V29" t="s">
        <v>51</v>
      </c>
      <c r="W29" s="4" t="s">
        <v>181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25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182</v>
      </c>
      <c r="J30" t="s">
        <v>183</v>
      </c>
      <c r="K30" t="s">
        <v>42</v>
      </c>
      <c r="L30" t="s">
        <v>184</v>
      </c>
      <c r="M30" t="s">
        <v>185</v>
      </c>
      <c r="N30" t="s">
        <v>58</v>
      </c>
      <c r="O30" t="s">
        <v>46</v>
      </c>
      <c r="P30" t="s">
        <v>47</v>
      </c>
      <c r="Q30" t="s">
        <v>186</v>
      </c>
      <c r="R30" t="s">
        <v>186</v>
      </c>
      <c r="S30" t="s">
        <v>186</v>
      </c>
      <c r="T30" t="s">
        <v>49</v>
      </c>
      <c r="U30" s="4" t="s">
        <v>142</v>
      </c>
      <c r="V30" t="s">
        <v>143</v>
      </c>
      <c r="W30" s="4" t="s">
        <v>144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25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63</v>
      </c>
      <c r="J31" t="s">
        <v>64</v>
      </c>
      <c r="K31" t="s">
        <v>42</v>
      </c>
      <c r="L31" t="s">
        <v>145</v>
      </c>
      <c r="M31" t="s">
        <v>146</v>
      </c>
      <c r="N31" t="s">
        <v>58</v>
      </c>
      <c r="O31" t="s">
        <v>46</v>
      </c>
      <c r="P31" t="s">
        <v>47</v>
      </c>
      <c r="Q31" t="s">
        <v>99</v>
      </c>
      <c r="R31" t="s">
        <v>99</v>
      </c>
      <c r="S31" t="s">
        <v>99</v>
      </c>
      <c r="T31" t="s">
        <v>49</v>
      </c>
      <c r="U31" s="4" t="s">
        <v>187</v>
      </c>
      <c r="V31" t="s">
        <v>51</v>
      </c>
      <c r="W31" s="4" t="s">
        <v>188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25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63</v>
      </c>
      <c r="J32" t="s">
        <v>64</v>
      </c>
      <c r="K32" t="s">
        <v>42</v>
      </c>
      <c r="L32" t="s">
        <v>125</v>
      </c>
      <c r="M32" t="s">
        <v>126</v>
      </c>
      <c r="N32" t="s">
        <v>58</v>
      </c>
      <c r="O32" t="s">
        <v>46</v>
      </c>
      <c r="P32" t="s">
        <v>47</v>
      </c>
      <c r="Q32" t="s">
        <v>127</v>
      </c>
      <c r="R32" t="s">
        <v>127</v>
      </c>
      <c r="S32" t="s">
        <v>127</v>
      </c>
      <c r="T32" t="s">
        <v>49</v>
      </c>
      <c r="U32" s="4" t="s">
        <v>189</v>
      </c>
      <c r="V32" t="s">
        <v>51</v>
      </c>
      <c r="W32" s="4" t="s">
        <v>190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s="6" customFormat="1" x14ac:dyDescent="0.25">
      <c r="A33" s="6" t="s">
        <v>32</v>
      </c>
      <c r="B33" s="6" t="s">
        <v>33</v>
      </c>
      <c r="C33" s="6" t="s">
        <v>34</v>
      </c>
      <c r="D33" s="6" t="s">
        <v>35</v>
      </c>
      <c r="E33" s="6" t="s">
        <v>36</v>
      </c>
      <c r="F33" s="6" t="s">
        <v>37</v>
      </c>
      <c r="G33" s="6" t="s">
        <v>38</v>
      </c>
      <c r="H33" s="6" t="s">
        <v>39</v>
      </c>
      <c r="I33" s="6" t="s">
        <v>32</v>
      </c>
      <c r="J33" s="6" t="s">
        <v>53</v>
      </c>
      <c r="K33" s="6" t="s">
        <v>191</v>
      </c>
      <c r="L33" s="6" t="s">
        <v>53</v>
      </c>
      <c r="M33" s="6" t="s">
        <v>192</v>
      </c>
      <c r="N33" s="6" t="s">
        <v>53</v>
      </c>
      <c r="O33" s="6" t="s">
        <v>53</v>
      </c>
      <c r="P33" s="6" t="s">
        <v>193</v>
      </c>
      <c r="Q33" s="6" t="s">
        <v>53</v>
      </c>
      <c r="R33" s="6" t="s">
        <v>53</v>
      </c>
      <c r="S33" s="6" t="s">
        <v>53</v>
      </c>
      <c r="T33" s="6" t="s">
        <v>194</v>
      </c>
      <c r="U33" s="7" t="s">
        <v>195</v>
      </c>
      <c r="V33" s="6" t="s">
        <v>196</v>
      </c>
      <c r="W33" s="7" t="s">
        <v>195</v>
      </c>
      <c r="X33" s="6" t="s">
        <v>53</v>
      </c>
      <c r="Y33" s="6" t="s">
        <v>53</v>
      </c>
      <c r="Z33" s="6" t="s">
        <v>53</v>
      </c>
      <c r="AA33" s="6" t="s">
        <v>53</v>
      </c>
      <c r="AB33" s="6" t="s">
        <v>53</v>
      </c>
      <c r="AC33" s="6" t="s">
        <v>53</v>
      </c>
      <c r="AD33" s="6" t="s">
        <v>35</v>
      </c>
      <c r="AE33" s="6" t="s">
        <v>53</v>
      </c>
    </row>
    <row r="34" spans="1:31" x14ac:dyDescent="0.25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63</v>
      </c>
      <c r="J34" t="s">
        <v>64</v>
      </c>
      <c r="K34" t="s">
        <v>42</v>
      </c>
      <c r="L34" t="s">
        <v>83</v>
      </c>
      <c r="M34" t="s">
        <v>84</v>
      </c>
      <c r="N34" t="s">
        <v>58</v>
      </c>
      <c r="O34" t="s">
        <v>46</v>
      </c>
      <c r="P34" t="s">
        <v>47</v>
      </c>
      <c r="Q34" t="s">
        <v>67</v>
      </c>
      <c r="R34" t="s">
        <v>67</v>
      </c>
      <c r="S34" t="s">
        <v>67</v>
      </c>
      <c r="T34" t="s">
        <v>49</v>
      </c>
      <c r="U34" s="4" t="s">
        <v>197</v>
      </c>
      <c r="V34" t="s">
        <v>51</v>
      </c>
      <c r="W34" s="4" t="s">
        <v>198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35</v>
      </c>
      <c r="AE34" t="s">
        <v>53</v>
      </c>
    </row>
    <row r="35" spans="1:31" x14ac:dyDescent="0.25">
      <c r="A35" t="s">
        <v>32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54</v>
      </c>
      <c r="J35" t="s">
        <v>55</v>
      </c>
      <c r="K35" t="s">
        <v>42</v>
      </c>
      <c r="L35" t="s">
        <v>199</v>
      </c>
      <c r="M35" t="s">
        <v>200</v>
      </c>
      <c r="N35" t="s">
        <v>58</v>
      </c>
      <c r="O35" t="s">
        <v>46</v>
      </c>
      <c r="P35" t="s">
        <v>47</v>
      </c>
      <c r="Q35" t="s">
        <v>201</v>
      </c>
      <c r="R35" t="s">
        <v>201</v>
      </c>
      <c r="S35" t="s">
        <v>201</v>
      </c>
      <c r="T35" t="s">
        <v>49</v>
      </c>
      <c r="U35" s="4" t="s">
        <v>202</v>
      </c>
      <c r="V35" t="s">
        <v>143</v>
      </c>
      <c r="W35" s="4" t="s">
        <v>203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35</v>
      </c>
      <c r="AE35" t="s">
        <v>53</v>
      </c>
    </row>
    <row r="36" spans="1:31" x14ac:dyDescent="0.25">
      <c r="A36" t="s">
        <v>32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63</v>
      </c>
      <c r="J36" t="s">
        <v>64</v>
      </c>
      <c r="K36" t="s">
        <v>42</v>
      </c>
      <c r="L36" t="s">
        <v>204</v>
      </c>
      <c r="M36" t="s">
        <v>84</v>
      </c>
      <c r="N36" t="s">
        <v>58</v>
      </c>
      <c r="O36" t="s">
        <v>46</v>
      </c>
      <c r="P36" t="s">
        <v>47</v>
      </c>
      <c r="Q36" t="s">
        <v>67</v>
      </c>
      <c r="R36" t="s">
        <v>67</v>
      </c>
      <c r="S36" t="s">
        <v>67</v>
      </c>
      <c r="T36" t="s">
        <v>49</v>
      </c>
      <c r="U36" s="4" t="s">
        <v>205</v>
      </c>
      <c r="V36" t="s">
        <v>51</v>
      </c>
      <c r="W36" s="4" t="s">
        <v>206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35</v>
      </c>
      <c r="AE36" t="s">
        <v>53</v>
      </c>
    </row>
    <row r="37" spans="1:31" x14ac:dyDescent="0.25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182</v>
      </c>
      <c r="J37" t="s">
        <v>183</v>
      </c>
      <c r="K37" t="s">
        <v>42</v>
      </c>
      <c r="L37" t="s">
        <v>207</v>
      </c>
      <c r="M37" t="s">
        <v>185</v>
      </c>
      <c r="N37" t="s">
        <v>58</v>
      </c>
      <c r="O37" t="s">
        <v>46</v>
      </c>
      <c r="P37" t="s">
        <v>47</v>
      </c>
      <c r="Q37" t="s">
        <v>186</v>
      </c>
      <c r="R37" t="s">
        <v>186</v>
      </c>
      <c r="S37" t="s">
        <v>186</v>
      </c>
      <c r="T37" t="s">
        <v>49</v>
      </c>
      <c r="U37" s="4" t="s">
        <v>208</v>
      </c>
      <c r="V37" t="s">
        <v>51</v>
      </c>
      <c r="W37" s="4" t="s">
        <v>209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35</v>
      </c>
      <c r="AE37" t="s">
        <v>53</v>
      </c>
    </row>
    <row r="38" spans="1:31" x14ac:dyDescent="0.25">
      <c r="A38" t="s">
        <v>32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63</v>
      </c>
      <c r="J38" t="s">
        <v>64</v>
      </c>
      <c r="K38" t="s">
        <v>42</v>
      </c>
      <c r="L38" t="s">
        <v>151</v>
      </c>
      <c r="M38" t="s">
        <v>152</v>
      </c>
      <c r="N38" t="s">
        <v>58</v>
      </c>
      <c r="O38" t="s">
        <v>46</v>
      </c>
      <c r="P38" t="s">
        <v>47</v>
      </c>
      <c r="Q38" t="s">
        <v>153</v>
      </c>
      <c r="R38" t="s">
        <v>153</v>
      </c>
      <c r="S38" t="s">
        <v>153</v>
      </c>
      <c r="T38" t="s">
        <v>49</v>
      </c>
      <c r="U38" s="4" t="s">
        <v>210</v>
      </c>
      <c r="V38" t="s">
        <v>51</v>
      </c>
      <c r="W38" s="4" t="s">
        <v>211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35</v>
      </c>
      <c r="AE38" t="s">
        <v>53</v>
      </c>
    </row>
    <row r="39" spans="1:31" x14ac:dyDescent="0.25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182</v>
      </c>
      <c r="J39" t="s">
        <v>183</v>
      </c>
      <c r="K39" t="s">
        <v>42</v>
      </c>
      <c r="L39" t="s">
        <v>212</v>
      </c>
      <c r="M39" t="s">
        <v>213</v>
      </c>
      <c r="N39" t="s">
        <v>58</v>
      </c>
      <c r="O39" t="s">
        <v>46</v>
      </c>
      <c r="P39" t="s">
        <v>47</v>
      </c>
      <c r="Q39" t="s">
        <v>177</v>
      </c>
      <c r="R39" t="s">
        <v>177</v>
      </c>
      <c r="S39" t="s">
        <v>177</v>
      </c>
      <c r="T39" t="s">
        <v>49</v>
      </c>
      <c r="U39" s="4" t="s">
        <v>214</v>
      </c>
      <c r="V39" t="s">
        <v>143</v>
      </c>
      <c r="W39" s="4" t="s">
        <v>215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35</v>
      </c>
      <c r="AE39" t="s">
        <v>53</v>
      </c>
    </row>
    <row r="40" spans="1:31" x14ac:dyDescent="0.25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63</v>
      </c>
      <c r="J40" t="s">
        <v>64</v>
      </c>
      <c r="K40" t="s">
        <v>42</v>
      </c>
      <c r="L40" t="s">
        <v>204</v>
      </c>
      <c r="M40" t="s">
        <v>84</v>
      </c>
      <c r="N40" t="s">
        <v>58</v>
      </c>
      <c r="O40" t="s">
        <v>46</v>
      </c>
      <c r="P40" t="s">
        <v>47</v>
      </c>
      <c r="Q40" t="s">
        <v>67</v>
      </c>
      <c r="R40" t="s">
        <v>67</v>
      </c>
      <c r="S40" t="s">
        <v>67</v>
      </c>
      <c r="T40" t="s">
        <v>49</v>
      </c>
      <c r="U40" s="4" t="s">
        <v>216</v>
      </c>
      <c r="V40" t="s">
        <v>51</v>
      </c>
      <c r="W40" s="4" t="s">
        <v>217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35</v>
      </c>
      <c r="AE40" t="s">
        <v>53</v>
      </c>
    </row>
    <row r="41" spans="1:31" x14ac:dyDescent="0.25">
      <c r="A41" t="s">
        <v>32</v>
      </c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168</v>
      </c>
      <c r="J41" t="s">
        <v>169</v>
      </c>
      <c r="K41" t="s">
        <v>42</v>
      </c>
      <c r="L41" t="s">
        <v>218</v>
      </c>
      <c r="M41" t="s">
        <v>171</v>
      </c>
      <c r="N41" t="s">
        <v>58</v>
      </c>
      <c r="O41" t="s">
        <v>46</v>
      </c>
      <c r="P41" t="s">
        <v>47</v>
      </c>
      <c r="Q41" t="s">
        <v>172</v>
      </c>
      <c r="R41" t="s">
        <v>172</v>
      </c>
      <c r="S41" t="s">
        <v>172</v>
      </c>
      <c r="T41" t="s">
        <v>49</v>
      </c>
      <c r="U41" s="4" t="s">
        <v>219</v>
      </c>
      <c r="V41" t="s">
        <v>120</v>
      </c>
      <c r="W41" s="4" t="s">
        <v>220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35</v>
      </c>
      <c r="AE41" t="s">
        <v>53</v>
      </c>
    </row>
    <row r="42" spans="1:31" x14ac:dyDescent="0.25">
      <c r="A42" t="s">
        <v>32</v>
      </c>
      <c r="B42" t="s">
        <v>33</v>
      </c>
      <c r="C42" t="s">
        <v>34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63</v>
      </c>
      <c r="J42" t="s">
        <v>64</v>
      </c>
      <c r="K42" t="s">
        <v>42</v>
      </c>
      <c r="L42" t="s">
        <v>102</v>
      </c>
      <c r="M42" t="s">
        <v>88</v>
      </c>
      <c r="N42" t="s">
        <v>58</v>
      </c>
      <c r="O42" t="s">
        <v>46</v>
      </c>
      <c r="P42" t="s">
        <v>47</v>
      </c>
      <c r="Q42" t="s">
        <v>89</v>
      </c>
      <c r="R42" t="s">
        <v>89</v>
      </c>
      <c r="S42" t="s">
        <v>89</v>
      </c>
      <c r="T42" t="s">
        <v>49</v>
      </c>
      <c r="U42" s="4" t="s">
        <v>221</v>
      </c>
      <c r="V42" t="s">
        <v>51</v>
      </c>
      <c r="W42" s="4" t="s">
        <v>222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35</v>
      </c>
      <c r="AE42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FAF5-BFFA-4ECE-B238-3140AB8250D1}">
  <dimension ref="A1:AJ39"/>
  <sheetViews>
    <sheetView tabSelected="1" topLeftCell="B1" workbookViewId="0">
      <selection activeCell="R27" sqref="R27"/>
    </sheetView>
  </sheetViews>
  <sheetFormatPr defaultRowHeight="15" x14ac:dyDescent="0.25"/>
  <cols>
    <col min="1" max="1" width="24.140625" customWidth="1"/>
    <col min="2" max="2" width="13.7109375" customWidth="1"/>
    <col min="3" max="3" width="11" customWidth="1"/>
    <col min="4" max="4" width="8.85546875" customWidth="1"/>
    <col min="5" max="5" width="16.7109375" customWidth="1"/>
    <col min="6" max="6" width="20.7109375" customWidth="1"/>
    <col min="7" max="8" width="13.140625" customWidth="1"/>
    <col min="9" max="9" width="16.42578125" customWidth="1"/>
    <col min="10" max="10" width="8.28515625" customWidth="1"/>
    <col min="11" max="11" width="9" customWidth="1"/>
    <col min="12" max="12" width="12" customWidth="1"/>
    <col min="13" max="14" width="13.28515625" customWidth="1"/>
    <col min="15" max="15" width="17.28515625" customWidth="1"/>
    <col min="16" max="16" width="13.28515625" customWidth="1"/>
    <col min="17" max="17" width="12.28515625" customWidth="1"/>
  </cols>
  <sheetData>
    <row r="1" spans="1:18" x14ac:dyDescent="0.25">
      <c r="A1" s="1" t="s">
        <v>6</v>
      </c>
      <c r="B1" s="1"/>
      <c r="C1" s="1"/>
      <c r="D1" s="1"/>
      <c r="E1" s="1" t="s">
        <v>8</v>
      </c>
      <c r="F1" s="1" t="s">
        <v>9</v>
      </c>
      <c r="G1" s="1" t="s">
        <v>10</v>
      </c>
      <c r="H1" s="1"/>
      <c r="I1" s="1" t="s">
        <v>11</v>
      </c>
      <c r="J1" s="1" t="s">
        <v>31</v>
      </c>
      <c r="K1" s="1" t="s">
        <v>12</v>
      </c>
      <c r="L1" s="1" t="s">
        <v>13</v>
      </c>
      <c r="M1" s="1" t="s">
        <v>14</v>
      </c>
      <c r="N1" s="1"/>
      <c r="O1" s="1" t="s">
        <v>17</v>
      </c>
      <c r="P1" s="1" t="s">
        <v>18</v>
      </c>
      <c r="Q1" s="1" t="s">
        <v>19</v>
      </c>
    </row>
    <row r="2" spans="1:18" s="11" customFormat="1" x14ac:dyDescent="0.25">
      <c r="A2" s="11" t="s">
        <v>41</v>
      </c>
      <c r="B2" s="15">
        <v>20776610</v>
      </c>
      <c r="C2" s="15" t="s">
        <v>259</v>
      </c>
      <c r="D2" s="15" t="s">
        <v>255</v>
      </c>
      <c r="E2" s="11" t="s">
        <v>42</v>
      </c>
      <c r="F2" s="12">
        <v>7260191218</v>
      </c>
      <c r="G2" s="11" t="s">
        <v>44</v>
      </c>
      <c r="H2" s="11" t="s">
        <v>223</v>
      </c>
      <c r="I2" s="11" t="s">
        <v>260</v>
      </c>
      <c r="J2" s="11" t="s">
        <v>46</v>
      </c>
      <c r="K2" s="11" t="s">
        <v>47</v>
      </c>
      <c r="L2" s="13">
        <v>46212</v>
      </c>
      <c r="M2" s="13">
        <v>46577</v>
      </c>
      <c r="N2" s="13">
        <v>46577</v>
      </c>
      <c r="O2" s="14">
        <v>2678.7</v>
      </c>
      <c r="P2" s="14">
        <v>1.37</v>
      </c>
      <c r="Q2" s="14">
        <v>3669.82</v>
      </c>
      <c r="R2" s="11" t="s">
        <v>257</v>
      </c>
    </row>
    <row r="3" spans="1:18" x14ac:dyDescent="0.25">
      <c r="A3" t="s">
        <v>55</v>
      </c>
      <c r="B3" s="16">
        <v>19491313</v>
      </c>
      <c r="C3" s="16" t="s">
        <v>259</v>
      </c>
      <c r="D3" s="16" t="s">
        <v>255</v>
      </c>
      <c r="E3" t="s">
        <v>42</v>
      </c>
      <c r="F3" s="9">
        <v>7260157302</v>
      </c>
      <c r="G3" t="s">
        <v>57</v>
      </c>
      <c r="H3" t="s">
        <v>224</v>
      </c>
      <c r="I3" t="s">
        <v>261</v>
      </c>
      <c r="J3" t="s">
        <v>46</v>
      </c>
      <c r="K3" t="s">
        <v>47</v>
      </c>
      <c r="L3" s="10">
        <v>46183</v>
      </c>
      <c r="M3" s="10">
        <v>46213</v>
      </c>
      <c r="N3" s="10">
        <f>DATE(YEAR(M3), MONTH(M3) +1, DAY(M3))</f>
        <v>46244</v>
      </c>
      <c r="O3" s="8">
        <v>28.82</v>
      </c>
      <c r="P3" s="8">
        <v>0.94499999999999995</v>
      </c>
      <c r="Q3" s="8">
        <v>27.23</v>
      </c>
      <c r="R3" t="s">
        <v>256</v>
      </c>
    </row>
    <row r="4" spans="1:18" x14ac:dyDescent="0.25">
      <c r="A4" t="s">
        <v>55</v>
      </c>
      <c r="B4" s="16">
        <v>19491313</v>
      </c>
      <c r="C4" s="16" t="s">
        <v>259</v>
      </c>
      <c r="D4" s="16" t="s">
        <v>255</v>
      </c>
      <c r="E4" t="s">
        <v>42</v>
      </c>
      <c r="F4" s="9">
        <v>7250169502</v>
      </c>
      <c r="G4" t="s">
        <v>98</v>
      </c>
      <c r="H4" t="s">
        <v>231</v>
      </c>
      <c r="I4" t="s">
        <v>261</v>
      </c>
      <c r="J4" t="s">
        <v>46</v>
      </c>
      <c r="K4" t="s">
        <v>47</v>
      </c>
      <c r="L4" s="10">
        <v>45910</v>
      </c>
      <c r="M4" s="10">
        <v>46213</v>
      </c>
      <c r="N4" s="10">
        <f t="shared" ref="N4:N39" si="0">DATE(YEAR(M4), MONTH(M4) +1, DAY(M4))</f>
        <v>46244</v>
      </c>
      <c r="O4" s="8">
        <v>51.07</v>
      </c>
      <c r="P4" s="8">
        <v>0.94499999999999995</v>
      </c>
      <c r="Q4" s="8">
        <v>48.26</v>
      </c>
      <c r="R4" t="s">
        <v>256</v>
      </c>
    </row>
    <row r="5" spans="1:18" x14ac:dyDescent="0.25">
      <c r="A5" t="s">
        <v>55</v>
      </c>
      <c r="B5" s="16">
        <v>19491313</v>
      </c>
      <c r="C5" s="16" t="s">
        <v>259</v>
      </c>
      <c r="D5" s="16" t="s">
        <v>255</v>
      </c>
      <c r="E5" t="s">
        <v>42</v>
      </c>
      <c r="F5" s="9">
        <v>7250169460</v>
      </c>
      <c r="G5" t="s">
        <v>98</v>
      </c>
      <c r="H5" t="s">
        <v>236</v>
      </c>
      <c r="I5" t="s">
        <v>261</v>
      </c>
      <c r="J5" t="s">
        <v>46</v>
      </c>
      <c r="K5" t="s">
        <v>47</v>
      </c>
      <c r="L5" s="10">
        <v>45910</v>
      </c>
      <c r="M5" s="10">
        <v>46213</v>
      </c>
      <c r="N5" s="10">
        <f t="shared" si="0"/>
        <v>46244</v>
      </c>
      <c r="O5" s="8">
        <v>28</v>
      </c>
      <c r="P5" s="8">
        <v>1.37</v>
      </c>
      <c r="Q5" s="8">
        <v>38.36</v>
      </c>
      <c r="R5" t="s">
        <v>257</v>
      </c>
    </row>
    <row r="6" spans="1:18" x14ac:dyDescent="0.25">
      <c r="A6" t="s">
        <v>55</v>
      </c>
      <c r="B6" s="16">
        <v>19491313</v>
      </c>
      <c r="C6" s="16" t="s">
        <v>259</v>
      </c>
      <c r="D6" s="16" t="s">
        <v>255</v>
      </c>
      <c r="E6" t="s">
        <v>42</v>
      </c>
      <c r="F6" s="9">
        <v>7250168418</v>
      </c>
      <c r="G6" t="s">
        <v>164</v>
      </c>
      <c r="H6" t="s">
        <v>243</v>
      </c>
      <c r="I6" t="s">
        <v>261</v>
      </c>
      <c r="J6" t="s">
        <v>46</v>
      </c>
      <c r="K6" t="s">
        <v>47</v>
      </c>
      <c r="L6" s="10">
        <v>45908</v>
      </c>
      <c r="M6" s="10">
        <v>46211</v>
      </c>
      <c r="N6" s="10">
        <f t="shared" si="0"/>
        <v>46242</v>
      </c>
      <c r="O6" s="8">
        <v>69.59</v>
      </c>
      <c r="P6" s="8">
        <v>1.37</v>
      </c>
      <c r="Q6" s="8">
        <v>95.34</v>
      </c>
      <c r="R6" t="s">
        <v>257</v>
      </c>
    </row>
    <row r="7" spans="1:18" s="11" customFormat="1" x14ac:dyDescent="0.25">
      <c r="A7" s="11" t="s">
        <v>55</v>
      </c>
      <c r="B7" s="15">
        <v>19491313</v>
      </c>
      <c r="C7" s="15" t="s">
        <v>259</v>
      </c>
      <c r="D7" s="15" t="s">
        <v>255</v>
      </c>
      <c r="E7" s="11" t="s">
        <v>42</v>
      </c>
      <c r="F7" s="12">
        <v>6260156323</v>
      </c>
      <c r="G7" s="11" t="s">
        <v>200</v>
      </c>
      <c r="H7" s="11" t="s">
        <v>247</v>
      </c>
      <c r="I7" s="11" t="s">
        <v>261</v>
      </c>
      <c r="J7" s="11" t="s">
        <v>46</v>
      </c>
      <c r="K7" s="11" t="s">
        <v>47</v>
      </c>
      <c r="L7" s="13">
        <v>46206</v>
      </c>
      <c r="M7" s="13">
        <v>46206</v>
      </c>
      <c r="N7" s="13">
        <f t="shared" si="0"/>
        <v>46237</v>
      </c>
      <c r="O7" s="14">
        <v>108.02</v>
      </c>
      <c r="P7" s="14">
        <v>0.9</v>
      </c>
      <c r="Q7" s="14">
        <v>97.22</v>
      </c>
      <c r="R7" s="11" t="s">
        <v>258</v>
      </c>
    </row>
    <row r="8" spans="1:18" x14ac:dyDescent="0.25">
      <c r="A8" t="s">
        <v>76</v>
      </c>
      <c r="B8" s="16">
        <v>7470776</v>
      </c>
      <c r="C8" s="16" t="s">
        <v>259</v>
      </c>
      <c r="D8" s="16" t="s">
        <v>255</v>
      </c>
      <c r="E8" t="s">
        <v>42</v>
      </c>
      <c r="F8" s="9">
        <v>7240123973</v>
      </c>
      <c r="G8" t="s">
        <v>78</v>
      </c>
      <c r="H8" t="s">
        <v>227</v>
      </c>
      <c r="I8" t="s">
        <v>261</v>
      </c>
      <c r="J8" t="s">
        <v>46</v>
      </c>
      <c r="K8" t="s">
        <v>47</v>
      </c>
      <c r="L8" s="10">
        <v>45663</v>
      </c>
      <c r="M8" s="10">
        <v>46209</v>
      </c>
      <c r="N8" s="10">
        <f t="shared" si="0"/>
        <v>46240</v>
      </c>
      <c r="O8" s="8">
        <v>85.91</v>
      </c>
      <c r="P8" s="8">
        <v>2.75E-2</v>
      </c>
      <c r="Q8" s="8">
        <v>2.36</v>
      </c>
      <c r="R8" t="s">
        <v>256</v>
      </c>
    </row>
    <row r="9" spans="1:18" x14ac:dyDescent="0.25">
      <c r="A9" t="s">
        <v>76</v>
      </c>
      <c r="B9" s="16" t="s">
        <v>252</v>
      </c>
      <c r="C9" s="16" t="s">
        <v>259</v>
      </c>
      <c r="D9" s="16" t="s">
        <v>255</v>
      </c>
      <c r="E9" t="s">
        <v>42</v>
      </c>
      <c r="F9" s="9">
        <v>7250249151</v>
      </c>
      <c r="G9" t="s">
        <v>93</v>
      </c>
      <c r="H9" t="s">
        <v>230</v>
      </c>
      <c r="I9" t="s">
        <v>261</v>
      </c>
      <c r="J9" t="s">
        <v>46</v>
      </c>
      <c r="K9" t="s">
        <v>47</v>
      </c>
      <c r="L9" s="10">
        <v>45998</v>
      </c>
      <c r="M9" s="10">
        <v>46210</v>
      </c>
      <c r="N9" s="10">
        <f t="shared" si="0"/>
        <v>46241</v>
      </c>
      <c r="O9" s="8">
        <v>149.72</v>
      </c>
      <c r="P9" s="8">
        <v>1.37</v>
      </c>
      <c r="Q9" s="8">
        <v>205.12</v>
      </c>
      <c r="R9" t="s">
        <v>257</v>
      </c>
    </row>
    <row r="10" spans="1:18" x14ac:dyDescent="0.25">
      <c r="A10" t="s">
        <v>76</v>
      </c>
      <c r="B10" s="16">
        <v>7470776</v>
      </c>
      <c r="C10" s="16" t="s">
        <v>259</v>
      </c>
      <c r="D10" s="16" t="s">
        <v>255</v>
      </c>
      <c r="E10" t="s">
        <v>42</v>
      </c>
      <c r="F10" s="9">
        <v>7240123968</v>
      </c>
      <c r="G10" t="s">
        <v>78</v>
      </c>
      <c r="H10" t="s">
        <v>233</v>
      </c>
      <c r="I10" t="s">
        <v>261</v>
      </c>
      <c r="J10" t="s">
        <v>46</v>
      </c>
      <c r="K10" t="s">
        <v>47</v>
      </c>
      <c r="L10" s="10">
        <v>45663</v>
      </c>
      <c r="M10" s="10">
        <v>46209</v>
      </c>
      <c r="N10" s="10">
        <f t="shared" si="0"/>
        <v>46240</v>
      </c>
      <c r="O10" s="8">
        <v>80.34</v>
      </c>
      <c r="P10" s="8">
        <v>2.75E-2</v>
      </c>
      <c r="Q10" s="8">
        <v>2.21</v>
      </c>
      <c r="R10" t="s">
        <v>256</v>
      </c>
    </row>
    <row r="11" spans="1:18" x14ac:dyDescent="0.25">
      <c r="A11" t="s">
        <v>157</v>
      </c>
      <c r="B11" s="16" t="s">
        <v>254</v>
      </c>
      <c r="C11" s="16" t="s">
        <v>259</v>
      </c>
      <c r="D11" s="16" t="s">
        <v>255</v>
      </c>
      <c r="E11" t="s">
        <v>42</v>
      </c>
      <c r="F11" s="9">
        <v>6250205165</v>
      </c>
      <c r="G11" t="s">
        <v>159</v>
      </c>
      <c r="H11" t="s">
        <v>242</v>
      </c>
      <c r="I11" t="s">
        <v>261</v>
      </c>
      <c r="J11" t="s">
        <v>46</v>
      </c>
      <c r="K11" t="s">
        <v>47</v>
      </c>
      <c r="L11" s="10">
        <v>45996</v>
      </c>
      <c r="M11" s="10">
        <v>46208</v>
      </c>
      <c r="N11" s="10">
        <f t="shared" si="0"/>
        <v>46239</v>
      </c>
      <c r="O11" s="8">
        <v>33.450000000000003</v>
      </c>
      <c r="P11" s="8">
        <v>0.9</v>
      </c>
      <c r="Q11" s="8">
        <v>30.11</v>
      </c>
      <c r="R11" t="s">
        <v>258</v>
      </c>
    </row>
    <row r="12" spans="1:18" x14ac:dyDescent="0.25">
      <c r="A12" t="s">
        <v>131</v>
      </c>
      <c r="B12" s="16" t="s">
        <v>253</v>
      </c>
      <c r="C12" s="16" t="s">
        <v>259</v>
      </c>
      <c r="D12" s="16" t="s">
        <v>255</v>
      </c>
      <c r="E12" t="s">
        <v>42</v>
      </c>
      <c r="F12" s="9">
        <v>7250163636</v>
      </c>
      <c r="G12" t="s">
        <v>133</v>
      </c>
      <c r="H12" t="s">
        <v>238</v>
      </c>
      <c r="I12" t="s">
        <v>261</v>
      </c>
      <c r="J12" t="s">
        <v>46</v>
      </c>
      <c r="K12" t="s">
        <v>47</v>
      </c>
      <c r="L12" s="10">
        <v>45902</v>
      </c>
      <c r="M12" s="10">
        <v>46205</v>
      </c>
      <c r="N12" s="10">
        <f t="shared" si="0"/>
        <v>46236</v>
      </c>
      <c r="O12" s="8">
        <v>268.2</v>
      </c>
      <c r="P12" s="8">
        <v>1.37</v>
      </c>
      <c r="Q12" s="8">
        <v>367.43</v>
      </c>
      <c r="R12" t="s">
        <v>257</v>
      </c>
    </row>
    <row r="13" spans="1:18" x14ac:dyDescent="0.25">
      <c r="A13" t="s">
        <v>115</v>
      </c>
      <c r="B13" s="16">
        <v>16912722</v>
      </c>
      <c r="C13" s="16" t="s">
        <v>259</v>
      </c>
      <c r="D13" s="16" t="s">
        <v>255</v>
      </c>
      <c r="E13" t="s">
        <v>42</v>
      </c>
      <c r="F13" s="9">
        <v>7250052846</v>
      </c>
      <c r="G13" t="s">
        <v>117</v>
      </c>
      <c r="H13" t="s">
        <v>235</v>
      </c>
      <c r="I13" t="s">
        <v>261</v>
      </c>
      <c r="J13" t="s">
        <v>46</v>
      </c>
      <c r="K13" t="s">
        <v>47</v>
      </c>
      <c r="L13" s="10">
        <v>45752</v>
      </c>
      <c r="M13" s="10">
        <v>46208</v>
      </c>
      <c r="N13" s="10">
        <f t="shared" si="0"/>
        <v>46239</v>
      </c>
      <c r="O13" s="8">
        <v>95.23</v>
      </c>
      <c r="P13" s="8">
        <v>0.06</v>
      </c>
      <c r="Q13" s="8">
        <v>5.71</v>
      </c>
      <c r="R13" t="s">
        <v>257</v>
      </c>
    </row>
    <row r="14" spans="1:18" x14ac:dyDescent="0.25">
      <c r="A14" t="s">
        <v>138</v>
      </c>
      <c r="B14" s="16">
        <v>9213293</v>
      </c>
      <c r="C14" s="16" t="s">
        <v>259</v>
      </c>
      <c r="D14" s="16" t="s">
        <v>255</v>
      </c>
      <c r="E14" t="s">
        <v>42</v>
      </c>
      <c r="F14" s="9">
        <v>6250171855</v>
      </c>
      <c r="G14" t="s">
        <v>140</v>
      </c>
      <c r="H14" t="s">
        <v>239</v>
      </c>
      <c r="I14" t="s">
        <v>261</v>
      </c>
      <c r="J14" t="s">
        <v>46</v>
      </c>
      <c r="K14" t="s">
        <v>47</v>
      </c>
      <c r="L14" s="10">
        <v>45937</v>
      </c>
      <c r="M14" s="10">
        <v>46210</v>
      </c>
      <c r="N14" s="10">
        <f t="shared" si="0"/>
        <v>46241</v>
      </c>
      <c r="O14" s="8">
        <v>112.77</v>
      </c>
      <c r="P14" s="8">
        <v>0.9</v>
      </c>
      <c r="Q14" s="8">
        <v>101.49</v>
      </c>
      <c r="R14" t="s">
        <v>258</v>
      </c>
    </row>
    <row r="15" spans="1:18" x14ac:dyDescent="0.25">
      <c r="A15" t="s">
        <v>138</v>
      </c>
      <c r="B15" s="16">
        <v>9213293</v>
      </c>
      <c r="C15" s="16" t="s">
        <v>259</v>
      </c>
      <c r="D15" s="16" t="s">
        <v>255</v>
      </c>
      <c r="E15" t="s">
        <v>42</v>
      </c>
      <c r="F15" s="9">
        <v>6260080272</v>
      </c>
      <c r="G15" t="s">
        <v>176</v>
      </c>
      <c r="H15" t="s">
        <v>245</v>
      </c>
      <c r="I15" t="s">
        <v>261</v>
      </c>
      <c r="J15" t="s">
        <v>46</v>
      </c>
      <c r="K15" t="s">
        <v>47</v>
      </c>
      <c r="L15" s="10">
        <v>46119</v>
      </c>
      <c r="M15" s="10">
        <v>46210</v>
      </c>
      <c r="N15" s="10">
        <f t="shared" si="0"/>
        <v>46241</v>
      </c>
      <c r="O15" s="8">
        <v>77.209999999999994</v>
      </c>
      <c r="P15" s="8">
        <v>0.9</v>
      </c>
      <c r="Q15" s="8">
        <v>69.489999999999995</v>
      </c>
      <c r="R15" t="s">
        <v>258</v>
      </c>
    </row>
    <row r="16" spans="1:18" x14ac:dyDescent="0.25">
      <c r="A16" t="s">
        <v>64</v>
      </c>
      <c r="B16" s="16">
        <v>16228684</v>
      </c>
      <c r="C16" s="16" t="s">
        <v>259</v>
      </c>
      <c r="D16" s="16" t="s">
        <v>255</v>
      </c>
      <c r="E16" t="s">
        <v>42</v>
      </c>
      <c r="F16" s="9">
        <v>7250136480</v>
      </c>
      <c r="G16" t="s">
        <v>66</v>
      </c>
      <c r="H16" t="s">
        <v>225</v>
      </c>
      <c r="I16" t="s">
        <v>261</v>
      </c>
      <c r="J16" t="s">
        <v>46</v>
      </c>
      <c r="K16" t="s">
        <v>47</v>
      </c>
      <c r="L16" s="10">
        <v>45874</v>
      </c>
      <c r="M16" s="10">
        <v>46208</v>
      </c>
      <c r="N16" s="10">
        <f t="shared" si="0"/>
        <v>46239</v>
      </c>
      <c r="O16" s="8">
        <v>2.58</v>
      </c>
      <c r="P16" s="8">
        <v>1.37</v>
      </c>
      <c r="Q16" s="8">
        <v>3.53</v>
      </c>
      <c r="R16" t="s">
        <v>257</v>
      </c>
    </row>
    <row r="17" spans="1:36" x14ac:dyDescent="0.25">
      <c r="A17" t="s">
        <v>64</v>
      </c>
      <c r="B17" s="16">
        <v>16228684</v>
      </c>
      <c r="C17" s="16" t="s">
        <v>259</v>
      </c>
      <c r="D17" s="16" t="s">
        <v>255</v>
      </c>
      <c r="E17" t="s">
        <v>42</v>
      </c>
      <c r="F17" s="9">
        <v>7250134006</v>
      </c>
      <c r="G17" t="s">
        <v>71</v>
      </c>
      <c r="H17" t="s">
        <v>226</v>
      </c>
      <c r="I17" t="s">
        <v>261</v>
      </c>
      <c r="J17" t="s">
        <v>46</v>
      </c>
      <c r="K17" t="s">
        <v>47</v>
      </c>
      <c r="L17" s="10">
        <v>45896</v>
      </c>
      <c r="M17" s="10">
        <v>46230</v>
      </c>
      <c r="N17" s="10">
        <f t="shared" si="0"/>
        <v>46261</v>
      </c>
      <c r="O17" s="8">
        <v>8.08</v>
      </c>
      <c r="P17" s="8">
        <v>1.37</v>
      </c>
      <c r="Q17" s="8">
        <v>11.07</v>
      </c>
      <c r="R17" t="s">
        <v>257</v>
      </c>
    </row>
    <row r="18" spans="1:36" x14ac:dyDescent="0.25">
      <c r="A18" t="s">
        <v>64</v>
      </c>
      <c r="B18" s="16">
        <v>16228684</v>
      </c>
      <c r="C18" s="16" t="s">
        <v>259</v>
      </c>
      <c r="D18" s="16" t="s">
        <v>255</v>
      </c>
      <c r="E18" t="s">
        <v>42</v>
      </c>
      <c r="F18" s="9">
        <v>7250131524</v>
      </c>
      <c r="G18" t="s">
        <v>84</v>
      </c>
      <c r="H18" t="s">
        <v>228</v>
      </c>
      <c r="I18" t="s">
        <v>261</v>
      </c>
      <c r="J18" t="s">
        <v>46</v>
      </c>
      <c r="K18" t="s">
        <v>47</v>
      </c>
      <c r="L18" s="10">
        <v>45874</v>
      </c>
      <c r="M18" s="10">
        <v>46208</v>
      </c>
      <c r="N18" s="10">
        <f t="shared" si="0"/>
        <v>46239</v>
      </c>
      <c r="O18" s="8">
        <v>124.76</v>
      </c>
      <c r="P18" s="8">
        <v>1.37</v>
      </c>
      <c r="Q18" s="8">
        <v>170.92</v>
      </c>
      <c r="R18" t="s">
        <v>257</v>
      </c>
    </row>
    <row r="19" spans="1:36" x14ac:dyDescent="0.25">
      <c r="A19" t="s">
        <v>64</v>
      </c>
      <c r="B19" s="16">
        <v>16228684</v>
      </c>
      <c r="C19" s="16" t="s">
        <v>259</v>
      </c>
      <c r="D19" s="16" t="s">
        <v>255</v>
      </c>
      <c r="E19" t="s">
        <v>42</v>
      </c>
      <c r="F19" s="9">
        <v>7250195078</v>
      </c>
      <c r="G19" t="s">
        <v>88</v>
      </c>
      <c r="H19" t="s">
        <v>229</v>
      </c>
      <c r="I19" t="s">
        <v>261</v>
      </c>
      <c r="J19" t="s">
        <v>46</v>
      </c>
      <c r="K19" t="s">
        <v>47</v>
      </c>
      <c r="L19" s="10">
        <v>45969</v>
      </c>
      <c r="M19" s="10">
        <v>46211</v>
      </c>
      <c r="N19" s="10">
        <f t="shared" si="0"/>
        <v>46242</v>
      </c>
      <c r="O19" s="8">
        <v>179.87</v>
      </c>
      <c r="P19" s="8">
        <v>1.37</v>
      </c>
      <c r="Q19" s="8">
        <v>246.42</v>
      </c>
      <c r="R19" t="s">
        <v>257</v>
      </c>
    </row>
    <row r="20" spans="1:36" x14ac:dyDescent="0.25">
      <c r="A20" t="s">
        <v>64</v>
      </c>
      <c r="B20" s="16">
        <v>16228684</v>
      </c>
      <c r="C20" s="16" t="s">
        <v>259</v>
      </c>
      <c r="D20" s="16" t="s">
        <v>255</v>
      </c>
      <c r="E20" t="s">
        <v>42</v>
      </c>
      <c r="F20" s="9">
        <v>7250195097</v>
      </c>
      <c r="G20" t="s">
        <v>88</v>
      </c>
      <c r="H20" t="s">
        <v>232</v>
      </c>
      <c r="I20" t="s">
        <v>261</v>
      </c>
      <c r="J20" t="s">
        <v>46</v>
      </c>
      <c r="K20" t="s">
        <v>47</v>
      </c>
      <c r="L20" s="10">
        <v>45969</v>
      </c>
      <c r="M20" s="10">
        <v>46211</v>
      </c>
      <c r="N20" s="10">
        <f t="shared" si="0"/>
        <v>46242</v>
      </c>
      <c r="O20" s="8">
        <v>70.58</v>
      </c>
      <c r="P20" s="8">
        <v>1.37</v>
      </c>
      <c r="Q20" s="8">
        <v>96.69</v>
      </c>
      <c r="R20" t="s">
        <v>257</v>
      </c>
    </row>
    <row r="21" spans="1:36" x14ac:dyDescent="0.25">
      <c r="A21" t="s">
        <v>64</v>
      </c>
      <c r="B21" s="16">
        <v>16228684</v>
      </c>
      <c r="C21" s="16" t="s">
        <v>259</v>
      </c>
      <c r="D21" s="16" t="s">
        <v>255</v>
      </c>
      <c r="E21" t="s">
        <v>42</v>
      </c>
      <c r="F21" s="9">
        <v>7250169190</v>
      </c>
      <c r="G21" t="s">
        <v>109</v>
      </c>
      <c r="H21" t="s">
        <v>234</v>
      </c>
      <c r="I21" t="s">
        <v>261</v>
      </c>
      <c r="J21" t="s">
        <v>46</v>
      </c>
      <c r="K21" t="s">
        <v>47</v>
      </c>
      <c r="L21" s="10">
        <v>45910</v>
      </c>
      <c r="M21" s="10">
        <v>46213</v>
      </c>
      <c r="N21" s="10">
        <f t="shared" si="0"/>
        <v>46244</v>
      </c>
      <c r="O21" s="8">
        <v>4.0599999999999996</v>
      </c>
      <c r="P21" s="8">
        <v>1.37</v>
      </c>
      <c r="Q21" s="8">
        <v>5.56</v>
      </c>
      <c r="R21" t="s">
        <v>257</v>
      </c>
    </row>
    <row r="22" spans="1:36" x14ac:dyDescent="0.25">
      <c r="A22" t="s">
        <v>64</v>
      </c>
      <c r="B22" s="16">
        <v>16228684</v>
      </c>
      <c r="C22" s="16" t="s">
        <v>259</v>
      </c>
      <c r="D22" s="16" t="s">
        <v>255</v>
      </c>
      <c r="E22" t="s">
        <v>42</v>
      </c>
      <c r="F22" s="9">
        <v>7250134006</v>
      </c>
      <c r="G22" t="s">
        <v>71</v>
      </c>
      <c r="H22" t="s">
        <v>226</v>
      </c>
      <c r="I22" t="s">
        <v>261</v>
      </c>
      <c r="J22" t="s">
        <v>46</v>
      </c>
      <c r="K22" t="s">
        <v>47</v>
      </c>
      <c r="L22" s="10">
        <v>45896</v>
      </c>
      <c r="M22" s="10">
        <v>46230</v>
      </c>
      <c r="N22" s="10">
        <f t="shared" si="0"/>
        <v>46261</v>
      </c>
      <c r="O22" s="8">
        <v>155.47</v>
      </c>
      <c r="P22" s="8">
        <v>1.37</v>
      </c>
      <c r="Q22" s="8">
        <v>212.99</v>
      </c>
      <c r="R22" t="s">
        <v>257</v>
      </c>
    </row>
    <row r="23" spans="1:36" x14ac:dyDescent="0.25">
      <c r="A23" t="s">
        <v>64</v>
      </c>
      <c r="B23" s="16">
        <v>16228684</v>
      </c>
      <c r="C23" s="16" t="s">
        <v>259</v>
      </c>
      <c r="D23" s="16" t="s">
        <v>255</v>
      </c>
      <c r="E23" t="s">
        <v>42</v>
      </c>
      <c r="F23" s="9">
        <v>7250193100</v>
      </c>
      <c r="G23" t="s">
        <v>126</v>
      </c>
      <c r="H23" t="s">
        <v>237</v>
      </c>
      <c r="I23" t="s">
        <v>261</v>
      </c>
      <c r="J23" t="s">
        <v>46</v>
      </c>
      <c r="K23" t="s">
        <v>47</v>
      </c>
      <c r="L23" s="10">
        <v>45940</v>
      </c>
      <c r="M23" s="10">
        <v>46213</v>
      </c>
      <c r="N23" s="10">
        <f t="shared" si="0"/>
        <v>46244</v>
      </c>
      <c r="O23" s="8">
        <v>5.07</v>
      </c>
      <c r="P23" s="8">
        <v>1.37</v>
      </c>
      <c r="Q23" s="8">
        <v>6.95</v>
      </c>
      <c r="R23" t="s">
        <v>257</v>
      </c>
    </row>
    <row r="24" spans="1:36" x14ac:dyDescent="0.25">
      <c r="A24" t="s">
        <v>64</v>
      </c>
      <c r="B24" s="16">
        <v>16228684</v>
      </c>
      <c r="C24" s="16" t="s">
        <v>259</v>
      </c>
      <c r="D24" s="16" t="s">
        <v>255</v>
      </c>
      <c r="E24" t="s">
        <v>42</v>
      </c>
      <c r="F24" s="9">
        <v>7250161361</v>
      </c>
      <c r="G24" t="s">
        <v>146</v>
      </c>
      <c r="H24" t="s">
        <v>240</v>
      </c>
      <c r="I24" t="s">
        <v>261</v>
      </c>
      <c r="J24" t="s">
        <v>46</v>
      </c>
      <c r="K24" t="s">
        <v>47</v>
      </c>
      <c r="L24" s="10">
        <v>45910</v>
      </c>
      <c r="M24" s="10">
        <v>46213</v>
      </c>
      <c r="N24" s="10">
        <f t="shared" si="0"/>
        <v>46244</v>
      </c>
      <c r="O24" s="8">
        <v>178.2</v>
      </c>
      <c r="P24" s="8">
        <v>1.37</v>
      </c>
      <c r="Q24" s="8">
        <v>244.13</v>
      </c>
      <c r="R24" t="s">
        <v>257</v>
      </c>
    </row>
    <row r="25" spans="1:36" x14ac:dyDescent="0.25">
      <c r="A25" t="s">
        <v>64</v>
      </c>
      <c r="B25" s="16">
        <v>16228684</v>
      </c>
      <c r="C25" s="16" t="s">
        <v>259</v>
      </c>
      <c r="D25" s="16" t="s">
        <v>255</v>
      </c>
      <c r="E25" t="s">
        <v>42</v>
      </c>
      <c r="F25" s="9">
        <v>7250169190</v>
      </c>
      <c r="G25" t="s">
        <v>109</v>
      </c>
      <c r="H25" t="s">
        <v>234</v>
      </c>
      <c r="I25" t="s">
        <v>261</v>
      </c>
      <c r="J25" t="s">
        <v>46</v>
      </c>
      <c r="K25" t="s">
        <v>47</v>
      </c>
      <c r="L25" s="10">
        <v>45910</v>
      </c>
      <c r="M25" s="10">
        <v>46213</v>
      </c>
      <c r="N25" s="10">
        <f t="shared" si="0"/>
        <v>46244</v>
      </c>
      <c r="O25" s="8">
        <v>119.64</v>
      </c>
      <c r="P25" s="8">
        <v>1.37</v>
      </c>
      <c r="Q25" s="8">
        <v>163.91</v>
      </c>
      <c r="R25" t="s">
        <v>257</v>
      </c>
    </row>
    <row r="26" spans="1:36" x14ac:dyDescent="0.25">
      <c r="A26" t="s">
        <v>64</v>
      </c>
      <c r="B26" s="16">
        <v>16228684</v>
      </c>
      <c r="C26" s="16" t="s">
        <v>259</v>
      </c>
      <c r="D26" s="16" t="s">
        <v>255</v>
      </c>
      <c r="E26" t="s">
        <v>42</v>
      </c>
      <c r="F26" s="9">
        <v>7250133944</v>
      </c>
      <c r="G26" t="s">
        <v>152</v>
      </c>
      <c r="H26" t="s">
        <v>241</v>
      </c>
      <c r="I26" t="s">
        <v>261</v>
      </c>
      <c r="J26" t="s">
        <v>46</v>
      </c>
      <c r="K26" t="s">
        <v>47</v>
      </c>
      <c r="L26" s="10">
        <v>45873</v>
      </c>
      <c r="M26" s="10">
        <v>46207</v>
      </c>
      <c r="N26" s="10">
        <f t="shared" si="0"/>
        <v>46238</v>
      </c>
      <c r="O26" s="8">
        <v>140.80000000000001</v>
      </c>
      <c r="P26" s="8">
        <v>1.37</v>
      </c>
      <c r="Q26" s="8">
        <v>192.9</v>
      </c>
      <c r="R26" t="s">
        <v>257</v>
      </c>
    </row>
    <row r="27" spans="1:36" x14ac:dyDescent="0.25">
      <c r="A27" t="s">
        <v>64</v>
      </c>
      <c r="B27" s="16">
        <v>16228684</v>
      </c>
      <c r="C27" s="16" t="s">
        <v>259</v>
      </c>
      <c r="D27" s="16" t="s">
        <v>255</v>
      </c>
      <c r="E27" t="s">
        <v>42</v>
      </c>
      <c r="F27" s="9">
        <v>7250136480</v>
      </c>
      <c r="G27" t="s">
        <v>66</v>
      </c>
      <c r="H27" t="s">
        <v>225</v>
      </c>
      <c r="I27" t="s">
        <v>261</v>
      </c>
      <c r="J27" t="s">
        <v>46</v>
      </c>
      <c r="K27" t="s">
        <v>47</v>
      </c>
      <c r="L27" s="10">
        <v>45874</v>
      </c>
      <c r="M27" s="10">
        <v>46208</v>
      </c>
      <c r="N27" s="10">
        <f t="shared" si="0"/>
        <v>46239</v>
      </c>
      <c r="O27" s="8">
        <v>55.57</v>
      </c>
      <c r="P27" s="8">
        <v>1.37</v>
      </c>
      <c r="Q27" s="8">
        <v>76.13</v>
      </c>
      <c r="R27" t="s">
        <v>257</v>
      </c>
    </row>
    <row r="28" spans="1:36" x14ac:dyDescent="0.25">
      <c r="A28" t="s">
        <v>64</v>
      </c>
      <c r="B28" s="16">
        <v>16228684</v>
      </c>
      <c r="C28" s="16" t="s">
        <v>259</v>
      </c>
      <c r="D28" s="16" t="s">
        <v>255</v>
      </c>
      <c r="E28" t="s">
        <v>42</v>
      </c>
      <c r="F28" s="9">
        <v>7250161361</v>
      </c>
      <c r="G28" t="s">
        <v>146</v>
      </c>
      <c r="H28" t="s">
        <v>240</v>
      </c>
      <c r="I28" t="s">
        <v>261</v>
      </c>
      <c r="J28" t="s">
        <v>46</v>
      </c>
      <c r="K28" t="s">
        <v>47</v>
      </c>
      <c r="L28" s="10">
        <v>45910</v>
      </c>
      <c r="M28" s="10">
        <v>46213</v>
      </c>
      <c r="N28" s="10">
        <f t="shared" si="0"/>
        <v>46244</v>
      </c>
      <c r="O28" s="8">
        <v>6.16</v>
      </c>
      <c r="P28" s="8">
        <v>1.37</v>
      </c>
      <c r="Q28" s="8">
        <v>8.44</v>
      </c>
      <c r="R28" t="s">
        <v>257</v>
      </c>
    </row>
    <row r="29" spans="1:36" x14ac:dyDescent="0.25">
      <c r="A29" t="s">
        <v>64</v>
      </c>
      <c r="B29" s="16">
        <v>16228684</v>
      </c>
      <c r="C29" s="16" t="s">
        <v>259</v>
      </c>
      <c r="D29" s="16" t="s">
        <v>255</v>
      </c>
      <c r="E29" t="s">
        <v>42</v>
      </c>
      <c r="F29" s="9">
        <v>7250193100</v>
      </c>
      <c r="G29" t="s">
        <v>126</v>
      </c>
      <c r="H29" t="s">
        <v>237</v>
      </c>
      <c r="I29" t="s">
        <v>261</v>
      </c>
      <c r="J29" t="s">
        <v>46</v>
      </c>
      <c r="K29" t="s">
        <v>47</v>
      </c>
      <c r="L29" s="10">
        <v>45940</v>
      </c>
      <c r="M29" s="10">
        <v>46213</v>
      </c>
      <c r="N29" s="10">
        <f t="shared" si="0"/>
        <v>46244</v>
      </c>
      <c r="O29" s="8">
        <v>102.77</v>
      </c>
      <c r="P29" s="8">
        <v>1.37</v>
      </c>
      <c r="Q29" s="8">
        <v>140.79</v>
      </c>
      <c r="R29" t="s">
        <v>257</v>
      </c>
    </row>
    <row r="30" spans="1:36" x14ac:dyDescent="0.25">
      <c r="A30" t="s">
        <v>64</v>
      </c>
      <c r="B30" s="16">
        <v>16228684</v>
      </c>
      <c r="C30" s="16" t="s">
        <v>259</v>
      </c>
      <c r="D30" s="16" t="s">
        <v>255</v>
      </c>
      <c r="E30" t="s">
        <v>42</v>
      </c>
      <c r="F30" s="9">
        <v>7250131524</v>
      </c>
      <c r="G30" t="s">
        <v>84</v>
      </c>
      <c r="H30" t="s">
        <v>228</v>
      </c>
      <c r="I30" t="s">
        <v>261</v>
      </c>
      <c r="J30" t="s">
        <v>46</v>
      </c>
      <c r="K30" t="s">
        <v>47</v>
      </c>
      <c r="L30" s="10">
        <v>45874</v>
      </c>
      <c r="M30" s="10">
        <v>46208</v>
      </c>
      <c r="N30" s="10">
        <f t="shared" si="0"/>
        <v>46239</v>
      </c>
      <c r="O30" s="8">
        <v>6.21</v>
      </c>
      <c r="P30" s="8">
        <v>1.37</v>
      </c>
      <c r="Q30" s="8">
        <v>8.51</v>
      </c>
      <c r="R30" t="s">
        <v>257</v>
      </c>
    </row>
    <row r="31" spans="1:36" x14ac:dyDescent="0.25">
      <c r="A31" t="s">
        <v>64</v>
      </c>
      <c r="B31" s="16">
        <v>16228684</v>
      </c>
      <c r="C31" s="16" t="s">
        <v>259</v>
      </c>
      <c r="D31" s="16" t="s">
        <v>255</v>
      </c>
      <c r="E31" t="s">
        <v>42</v>
      </c>
      <c r="F31" s="9">
        <v>7250131554</v>
      </c>
      <c r="G31" t="s">
        <v>84</v>
      </c>
      <c r="H31" t="s">
        <v>248</v>
      </c>
      <c r="I31" t="s">
        <v>261</v>
      </c>
      <c r="J31" t="s">
        <v>46</v>
      </c>
      <c r="K31" t="s">
        <v>47</v>
      </c>
      <c r="L31" s="10">
        <v>45874</v>
      </c>
      <c r="M31" s="10">
        <v>46208</v>
      </c>
      <c r="N31" s="10">
        <f t="shared" si="0"/>
        <v>46239</v>
      </c>
      <c r="O31" s="8">
        <v>3.75</v>
      </c>
      <c r="P31" s="8">
        <v>1.37</v>
      </c>
      <c r="Q31" s="8">
        <v>5.14</v>
      </c>
      <c r="R31" t="s">
        <v>257</v>
      </c>
    </row>
    <row r="32" spans="1:36" s="11" customFormat="1" x14ac:dyDescent="0.25">
      <c r="A32" t="s">
        <v>64</v>
      </c>
      <c r="B32" s="16">
        <v>16228684</v>
      </c>
      <c r="C32" s="16" t="s">
        <v>259</v>
      </c>
      <c r="D32" s="16" t="s">
        <v>255</v>
      </c>
      <c r="E32" t="s">
        <v>42</v>
      </c>
      <c r="F32" s="9">
        <v>7250133944</v>
      </c>
      <c r="G32" t="s">
        <v>152</v>
      </c>
      <c r="H32" t="s">
        <v>241</v>
      </c>
      <c r="I32" t="s">
        <v>261</v>
      </c>
      <c r="J32" t="s">
        <v>46</v>
      </c>
      <c r="K32" t="s">
        <v>47</v>
      </c>
      <c r="L32" s="10">
        <v>45873</v>
      </c>
      <c r="M32" s="10">
        <v>46207</v>
      </c>
      <c r="N32" s="10">
        <f t="shared" si="0"/>
        <v>46238</v>
      </c>
      <c r="O32" s="8">
        <v>6.83</v>
      </c>
      <c r="P32" s="8">
        <v>1.37</v>
      </c>
      <c r="Q32" s="8">
        <v>9.36</v>
      </c>
      <c r="R32" t="s">
        <v>257</v>
      </c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</row>
    <row r="33" spans="1:18" x14ac:dyDescent="0.25">
      <c r="A33" t="s">
        <v>64</v>
      </c>
      <c r="B33" s="16">
        <v>16228684</v>
      </c>
      <c r="C33" s="16" t="s">
        <v>259</v>
      </c>
      <c r="D33" s="16" t="s">
        <v>255</v>
      </c>
      <c r="E33" t="s">
        <v>42</v>
      </c>
      <c r="F33" s="9">
        <v>7250131554</v>
      </c>
      <c r="G33" t="s">
        <v>84</v>
      </c>
      <c r="H33" t="s">
        <v>248</v>
      </c>
      <c r="I33" t="s">
        <v>261</v>
      </c>
      <c r="J33" t="s">
        <v>46</v>
      </c>
      <c r="K33" t="s">
        <v>47</v>
      </c>
      <c r="L33" s="10">
        <v>45874</v>
      </c>
      <c r="M33" s="10">
        <v>46208</v>
      </c>
      <c r="N33" s="10">
        <f t="shared" si="0"/>
        <v>46239</v>
      </c>
      <c r="O33" s="8">
        <v>108.77</v>
      </c>
      <c r="P33" s="8">
        <v>1.37</v>
      </c>
      <c r="Q33" s="8">
        <v>149.01</v>
      </c>
      <c r="R33" t="s">
        <v>257</v>
      </c>
    </row>
    <row r="34" spans="1:18" x14ac:dyDescent="0.25">
      <c r="A34" t="s">
        <v>64</v>
      </c>
      <c r="B34" s="16">
        <v>16228684</v>
      </c>
      <c r="C34" s="16" t="s">
        <v>259</v>
      </c>
      <c r="D34" s="16" t="s">
        <v>255</v>
      </c>
      <c r="E34" t="s">
        <v>42</v>
      </c>
      <c r="F34" s="9">
        <v>7250195097</v>
      </c>
      <c r="G34" t="s">
        <v>88</v>
      </c>
      <c r="H34" t="s">
        <v>232</v>
      </c>
      <c r="I34" t="s">
        <v>261</v>
      </c>
      <c r="J34" t="s">
        <v>46</v>
      </c>
      <c r="K34" t="s">
        <v>47</v>
      </c>
      <c r="L34" s="10">
        <v>45969</v>
      </c>
      <c r="M34" s="10">
        <v>46211</v>
      </c>
      <c r="N34" s="10">
        <f t="shared" si="0"/>
        <v>46242</v>
      </c>
      <c r="O34" s="8">
        <v>3.92</v>
      </c>
      <c r="P34" s="8">
        <v>1.37</v>
      </c>
      <c r="Q34" s="8">
        <v>5.37</v>
      </c>
      <c r="R34" t="s">
        <v>257</v>
      </c>
    </row>
    <row r="35" spans="1:18" x14ac:dyDescent="0.25">
      <c r="A35" t="s">
        <v>183</v>
      </c>
      <c r="B35" s="16">
        <v>16170994</v>
      </c>
      <c r="C35" s="16" t="s">
        <v>259</v>
      </c>
      <c r="D35" s="16" t="s">
        <v>255</v>
      </c>
      <c r="E35" t="s">
        <v>42</v>
      </c>
      <c r="F35" s="9">
        <v>6260140207</v>
      </c>
      <c r="G35" t="s">
        <v>185</v>
      </c>
      <c r="H35" t="s">
        <v>246</v>
      </c>
      <c r="I35" t="s">
        <v>261</v>
      </c>
      <c r="J35" t="s">
        <v>46</v>
      </c>
      <c r="K35" t="s">
        <v>47</v>
      </c>
      <c r="L35" s="10">
        <v>46178</v>
      </c>
      <c r="M35" s="10">
        <v>46208</v>
      </c>
      <c r="N35" s="10">
        <f t="shared" si="0"/>
        <v>46239</v>
      </c>
      <c r="O35" s="8">
        <v>112.77</v>
      </c>
      <c r="P35" s="8">
        <v>0.9</v>
      </c>
      <c r="Q35" s="8">
        <v>101.49</v>
      </c>
      <c r="R35" t="s">
        <v>258</v>
      </c>
    </row>
    <row r="36" spans="1:18" x14ac:dyDescent="0.25">
      <c r="A36" t="s">
        <v>183</v>
      </c>
      <c r="B36" s="16">
        <v>16170994</v>
      </c>
      <c r="C36" s="16" t="s">
        <v>259</v>
      </c>
      <c r="D36" s="16" t="s">
        <v>255</v>
      </c>
      <c r="E36" t="s">
        <v>42</v>
      </c>
      <c r="F36" s="9">
        <v>7260154633</v>
      </c>
      <c r="G36" t="s">
        <v>185</v>
      </c>
      <c r="H36" t="s">
        <v>249</v>
      </c>
      <c r="I36" t="s">
        <v>261</v>
      </c>
      <c r="J36" t="s">
        <v>46</v>
      </c>
      <c r="K36" t="s">
        <v>47</v>
      </c>
      <c r="L36" s="10">
        <v>46178</v>
      </c>
      <c r="M36" s="10">
        <v>46208</v>
      </c>
      <c r="N36" s="10">
        <f t="shared" si="0"/>
        <v>46239</v>
      </c>
      <c r="O36" s="8">
        <v>69.58</v>
      </c>
      <c r="P36" s="8">
        <v>1.37</v>
      </c>
      <c r="Q36" s="8">
        <v>95.32</v>
      </c>
      <c r="R36" t="s">
        <v>257</v>
      </c>
    </row>
    <row r="37" spans="1:18" x14ac:dyDescent="0.25">
      <c r="A37" t="s">
        <v>183</v>
      </c>
      <c r="B37" s="16">
        <v>16170994</v>
      </c>
      <c r="C37" s="16" t="s">
        <v>259</v>
      </c>
      <c r="D37" s="16" t="s">
        <v>255</v>
      </c>
      <c r="E37" t="s">
        <v>42</v>
      </c>
      <c r="F37" s="9">
        <v>6260079929</v>
      </c>
      <c r="G37" t="s">
        <v>213</v>
      </c>
      <c r="H37" t="s">
        <v>250</v>
      </c>
      <c r="I37" t="s">
        <v>261</v>
      </c>
      <c r="J37" t="s">
        <v>46</v>
      </c>
      <c r="K37" t="s">
        <v>47</v>
      </c>
      <c r="L37" s="10">
        <v>46119</v>
      </c>
      <c r="M37" s="10">
        <v>46210</v>
      </c>
      <c r="N37" s="10">
        <f t="shared" si="0"/>
        <v>46241</v>
      </c>
      <c r="O37" s="8">
        <v>98.83</v>
      </c>
      <c r="P37" s="8">
        <v>0.9</v>
      </c>
      <c r="Q37" s="8">
        <v>88.95</v>
      </c>
      <c r="R37" t="s">
        <v>258</v>
      </c>
    </row>
    <row r="38" spans="1:18" x14ac:dyDescent="0.25">
      <c r="A38" t="s">
        <v>169</v>
      </c>
      <c r="B38" s="16">
        <v>8325282</v>
      </c>
      <c r="C38" s="16" t="s">
        <v>259</v>
      </c>
      <c r="D38" s="16" t="s">
        <v>255</v>
      </c>
      <c r="E38" t="s">
        <v>42</v>
      </c>
      <c r="F38" s="9">
        <v>7240110364</v>
      </c>
      <c r="G38" t="s">
        <v>171</v>
      </c>
      <c r="H38" t="s">
        <v>244</v>
      </c>
      <c r="I38" t="s">
        <v>261</v>
      </c>
      <c r="J38" t="s">
        <v>46</v>
      </c>
      <c r="K38" t="s">
        <v>47</v>
      </c>
      <c r="L38" s="10">
        <v>45604</v>
      </c>
      <c r="M38" s="10">
        <v>46211</v>
      </c>
      <c r="N38" s="10">
        <f t="shared" si="0"/>
        <v>46242</v>
      </c>
      <c r="O38" s="8">
        <v>50.65</v>
      </c>
      <c r="P38" s="8">
        <v>0.06</v>
      </c>
      <c r="Q38" s="8">
        <v>3.04</v>
      </c>
      <c r="R38" t="s">
        <v>257</v>
      </c>
    </row>
    <row r="39" spans="1:18" x14ac:dyDescent="0.25">
      <c r="A39" t="s">
        <v>169</v>
      </c>
      <c r="B39" s="16">
        <v>8325282</v>
      </c>
      <c r="C39" s="16" t="s">
        <v>259</v>
      </c>
      <c r="D39" s="16" t="s">
        <v>255</v>
      </c>
      <c r="E39" t="s">
        <v>42</v>
      </c>
      <c r="F39" s="9">
        <v>7240110349</v>
      </c>
      <c r="G39" t="s">
        <v>171</v>
      </c>
      <c r="H39" t="s">
        <v>251</v>
      </c>
      <c r="I39" t="s">
        <v>261</v>
      </c>
      <c r="J39" t="s">
        <v>46</v>
      </c>
      <c r="K39" t="s">
        <v>47</v>
      </c>
      <c r="L39" s="10">
        <v>45604</v>
      </c>
      <c r="M39" s="10">
        <v>46211</v>
      </c>
      <c r="N39" s="10">
        <f t="shared" si="0"/>
        <v>46242</v>
      </c>
      <c r="O39" s="8">
        <v>25.33</v>
      </c>
      <c r="P39" s="8">
        <v>0.06</v>
      </c>
      <c r="Q39" s="8">
        <v>1.52</v>
      </c>
      <c r="R39" t="s">
        <v>257</v>
      </c>
    </row>
  </sheetData>
  <sortState xmlns:xlrd2="http://schemas.microsoft.com/office/spreadsheetml/2017/richdata2" ref="A2:AJ39">
    <sortCondition ref="A2:A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2026-07-14T16:29:01Z</dcterms:modified>
</cp:coreProperties>
</file>