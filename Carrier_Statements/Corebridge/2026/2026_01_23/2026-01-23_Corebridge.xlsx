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A51EFED1-084D-481E-B93B-CB48EA0601FC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Commission_Statement_Details_Re" sheetId="1" r:id="rId1"/>
    <sheet name="clean sheet" sheetId="2" r:id="rId2"/>
    <sheet name="Sheet2" sheetId="3" r:id="rId3"/>
  </sheets>
  <definedNames>
    <definedName name="_xlnm._FilterDatabase" localSheetId="1" hidden="1">'clean sheet'!$A$1:$O$25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1" i="3"/>
</calcChain>
</file>

<file path=xl/sharedStrings.xml><?xml version="1.0" encoding="utf-8"?>
<sst xmlns="http://schemas.openxmlformats.org/spreadsheetml/2006/main" count="1009" uniqueCount="197">
  <si>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</si>
  <si>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</si>
  <si>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</si>
  <si>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</si>
  <si>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</si>
  <si>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</si>
  <si>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</si>
  <si>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</si>
  <si>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</si>
  <si>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</si>
  <si>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</si>
  <si>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</si>
  <si>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</si>
  <si>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</si>
  <si>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</si>
  <si>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</si>
  <si>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</si>
  <si>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</si>
  <si>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</si>
  <si>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</si>
  <si>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</si>
  <si>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</si>
  <si>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</si>
  <si>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</si>
  <si>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</si>
  <si>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</si>
  <si>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</si>
  <si>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</si>
  <si>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</si>
  <si>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</si>
  <si>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</si>
  <si>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</si>
  <si>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</si>
  <si>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</si>
  <si>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2026-01-23</t>
  </si>
  <si>
    <t>MAIN LINE BENEFITS LLC</t>
  </si>
  <si>
    <t>6</t>
  </si>
  <si>
    <t>*****8192</t>
  </si>
  <si>
    <t>5Q29Q</t>
  </si>
  <si>
    <t>HEARTLAND FINANCIAL GROUP LLC</t>
  </si>
  <si>
    <t>1FJU8</t>
  </si>
  <si>
    <t>ROLLER, JASON</t>
  </si>
  <si>
    <t>Overwrite Activity</t>
  </si>
  <si>
    <t>HARDY</t>
  </si>
  <si>
    <t>MNTHLY</t>
  </si>
  <si>
    <t>Life</t>
  </si>
  <si>
    <t>Term</t>
  </si>
  <si>
    <t>2025-10-22</t>
  </si>
  <si>
    <t>100.00</t>
  </si>
  <si>
    <t>228.47</t>
  </si>
  <si>
    <t>1.3700</t>
  </si>
  <si>
    <t>313.00</t>
  </si>
  <si>
    <t/>
  </si>
  <si>
    <t>17YJ2</t>
  </si>
  <si>
    <t>FOLEY, CAROL</t>
  </si>
  <si>
    <t>POPE</t>
  </si>
  <si>
    <t>2025-04-23</t>
  </si>
  <si>
    <t>160.93</t>
  </si>
  <si>
    <t>0.9450</t>
  </si>
  <si>
    <t>152.08</t>
  </si>
  <si>
    <t>19XW6</t>
  </si>
  <si>
    <t>RICHTER, ADAM</t>
  </si>
  <si>
    <t>TYLER</t>
  </si>
  <si>
    <t>2025-09-10</t>
  </si>
  <si>
    <t>55.58</t>
  </si>
  <si>
    <t>76.14</t>
  </si>
  <si>
    <t>14JWQ</t>
  </si>
  <si>
    <t>CALTAGIRONE, RYAN</t>
  </si>
  <si>
    <t>FILIPPO</t>
  </si>
  <si>
    <t>127.40</t>
  </si>
  <si>
    <t>0.9000</t>
  </si>
  <si>
    <t>114.66</t>
  </si>
  <si>
    <t>MELLO</t>
  </si>
  <si>
    <t>2025-09-23</t>
  </si>
  <si>
    <t>111.01</t>
  </si>
  <si>
    <t>104.90</t>
  </si>
  <si>
    <t>THOMPSON</t>
  </si>
  <si>
    <t>2025-07-22</t>
  </si>
  <si>
    <t>10.10</t>
  </si>
  <si>
    <t>13.84</t>
  </si>
  <si>
    <t>14JT4</t>
  </si>
  <si>
    <t>WALENGA, DALE</t>
  </si>
  <si>
    <t>GARZA</t>
  </si>
  <si>
    <t>2025-07-16</t>
  </si>
  <si>
    <t>113.28</t>
  </si>
  <si>
    <t>155.19</t>
  </si>
  <si>
    <t>193.53</t>
  </si>
  <si>
    <t>265.14</t>
  </si>
  <si>
    <t>14JK2</t>
  </si>
  <si>
    <t>CHOI, ANDREW</t>
  </si>
  <si>
    <t>PATER</t>
  </si>
  <si>
    <t>2025-07-23</t>
  </si>
  <si>
    <t>151.89</t>
  </si>
  <si>
    <t>208.09</t>
  </si>
  <si>
    <t>MANIC</t>
  </si>
  <si>
    <t>2025-12-23</t>
  </si>
  <si>
    <t>121.02</t>
  </si>
  <si>
    <t>165.80</t>
  </si>
  <si>
    <t>18R72</t>
  </si>
  <si>
    <t>ARENSON, GREGG</t>
  </si>
  <si>
    <t>POLLARD</t>
  </si>
  <si>
    <t>QUARTLY</t>
  </si>
  <si>
    <t>2025-04-21</t>
  </si>
  <si>
    <t>288.96</t>
  </si>
  <si>
    <t>395.88</t>
  </si>
  <si>
    <t>VOLPENDESTA</t>
  </si>
  <si>
    <t>2025-11-19</t>
  </si>
  <si>
    <t>45.75</t>
  </si>
  <si>
    <t>62.68</t>
  </si>
  <si>
    <t>CLARKE LENNON</t>
  </si>
  <si>
    <t>2025-08-19</t>
  </si>
  <si>
    <t>81.57</t>
  </si>
  <si>
    <t>111.75</t>
  </si>
  <si>
    <t>JENNINGS</t>
  </si>
  <si>
    <t>2025-11-18</t>
  </si>
  <si>
    <t>38.26</t>
  </si>
  <si>
    <t>36.16</t>
  </si>
  <si>
    <t>4.23</t>
  </si>
  <si>
    <t>5.80</t>
  </si>
  <si>
    <t>WILSON</t>
  </si>
  <si>
    <t>2026-01-01</t>
  </si>
  <si>
    <t>0.00</t>
  </si>
  <si>
    <t>1.0000</t>
  </si>
  <si>
    <t>-136.81</t>
  </si>
  <si>
    <t>WOLZEN</t>
  </si>
  <si>
    <t>ANNUAL</t>
  </si>
  <si>
    <t>2026-01-22</t>
  </si>
  <si>
    <t>1519.75</t>
  </si>
  <si>
    <t>2082.06</t>
  </si>
  <si>
    <t>1FGJ5</t>
  </si>
  <si>
    <t>BRANDT, STEVEN</t>
  </si>
  <si>
    <t>FLORY</t>
  </si>
  <si>
    <t>2025-09-20</t>
  </si>
  <si>
    <t>52.80</t>
  </si>
  <si>
    <t>72.34</t>
  </si>
  <si>
    <t>WENT</t>
  </si>
  <si>
    <t>48.96</t>
  </si>
  <si>
    <t>46.27</t>
  </si>
  <si>
    <t>32.27</t>
  </si>
  <si>
    <t>30.50</t>
  </si>
  <si>
    <t>54.25</t>
  </si>
  <si>
    <t>74.32</t>
  </si>
  <si>
    <t>13.94</t>
  </si>
  <si>
    <t>19.10</t>
  </si>
  <si>
    <t>77.55</t>
  </si>
  <si>
    <t>106.24</t>
  </si>
  <si>
    <t>BAKER</t>
  </si>
  <si>
    <t>2025-03-19</t>
  </si>
  <si>
    <t>92.25</t>
  </si>
  <si>
    <t>83.03</t>
  </si>
  <si>
    <t>109.76</t>
  </si>
  <si>
    <t>150.37</t>
  </si>
  <si>
    <t>HARDY,ALAN T</t>
  </si>
  <si>
    <t>POPE,TIMOTHY</t>
  </si>
  <si>
    <t>TYLER,SALVATORA</t>
  </si>
  <si>
    <t>FILIPPO,RICHARD</t>
  </si>
  <si>
    <t>MELLO,HENRY</t>
  </si>
  <si>
    <t>THOMPSON,BEVERLY</t>
  </si>
  <si>
    <t>GARZA,LINDA</t>
  </si>
  <si>
    <t>PATER,JAMES</t>
  </si>
  <si>
    <t>MANIC,MILE</t>
  </si>
  <si>
    <t>POLLARD,PAULINE</t>
  </si>
  <si>
    <t>VOLPENDESTA,DEBRA</t>
  </si>
  <si>
    <t>CLARKE LENNON,JOANNE</t>
  </si>
  <si>
    <t>JENNINGS,DIANE S</t>
  </si>
  <si>
    <t>FLORY,LOLA K</t>
  </si>
  <si>
    <t>WENT,LARRY L</t>
  </si>
  <si>
    <t>WENT,KIMBERLY J</t>
  </si>
  <si>
    <t>FLORY,JOSEPH P</t>
  </si>
  <si>
    <t>BAKER,CINDY</t>
  </si>
  <si>
    <t>MANIC,DRAGANA</t>
  </si>
  <si>
    <t>01/18/2026</t>
  </si>
  <si>
    <t>paid to date</t>
  </si>
  <si>
    <t>WOLZEN,CHRISTOPHER</t>
  </si>
  <si>
    <t>01/19/2026</t>
  </si>
  <si>
    <t>01/22/2026</t>
  </si>
  <si>
    <t>01/21/2026</t>
  </si>
  <si>
    <t>01/23/2026</t>
  </si>
  <si>
    <t>01/16/2026</t>
  </si>
  <si>
    <t>01/20/2026</t>
  </si>
  <si>
    <t>01/10/2026</t>
  </si>
  <si>
    <t>Corebridge Guaranteed Issue Whole Life (90)</t>
  </si>
  <si>
    <t>product</t>
  </si>
  <si>
    <t>Corebridge SimpliNow Legacy (94.50)</t>
  </si>
  <si>
    <t>Corebridge SimpliNow Legacy Max (137)</t>
  </si>
  <si>
    <t xml:space="preserve"> ANDREW CHOI</t>
  </si>
  <si>
    <t xml:space="preserve"> RYAN CALTAGIRONE</t>
  </si>
  <si>
    <t xml:space="preserve"> CAROL FOLEY</t>
  </si>
  <si>
    <t xml:space="preserve"> STEVEN BRANDT</t>
  </si>
  <si>
    <t xml:space="preserve"> ADAM RICHTER</t>
  </si>
  <si>
    <t xml:space="preserve"> JASON ROLLER</t>
  </si>
  <si>
    <t xml:space="preserve"> GREGG ARENSON</t>
  </si>
  <si>
    <t xml:space="preserve"> DALE WALENGA</t>
  </si>
  <si>
    <t>paycode</t>
  </si>
  <si>
    <t>AV1</t>
  </si>
  <si>
    <t>months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</si>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</sst>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NumberFormat="1" applyFill="1" applyAlignment="1">
      <alignment horizontal="left"/>
    </xf>
    <xf numFmtId="14" fontId="0" fillId="0" borderId="0" xfId="0" applyNumberFormat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NumberFormat="1" applyFill="1" applyAlignment="1">
      <alignment horizontal="left"/>
    </xf>
    <xf numFmtId="14" fontId="0" fillId="3" borderId="0" xfId="0" applyNumberFormat="1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8"/>
  <sheetViews>
    <sheetView topLeftCell="C1" zoomScale="89" zoomScaleNormal="89" workbookViewId="0">
      <selection sqref="A1:XFD1048576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s="6">
        <v>7250204150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47</v>
      </c>
      <c r="S4" t="s">
        <v>47</v>
      </c>
      <c r="T4" t="s">
        <v>48</v>
      </c>
      <c r="U4" s="4" t="s">
        <v>49</v>
      </c>
      <c r="V4" t="s">
        <v>50</v>
      </c>
      <c r="W4" s="4" t="s">
        <v>51</v>
      </c>
      <c r="X4" t="s">
        <v>52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35</v>
      </c>
      <c r="AE4" t="s">
        <v>52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53</v>
      </c>
      <c r="J5" t="s">
        <v>54</v>
      </c>
      <c r="K5" t="s">
        <v>42</v>
      </c>
      <c r="L5" s="6">
        <v>7250064114</v>
      </c>
      <c r="M5" t="s">
        <v>55</v>
      </c>
      <c r="N5" t="s">
        <v>44</v>
      </c>
      <c r="O5" t="s">
        <v>45</v>
      </c>
      <c r="P5" t="s">
        <v>46</v>
      </c>
      <c r="Q5" t="s">
        <v>56</v>
      </c>
      <c r="R5" t="s">
        <v>56</v>
      </c>
      <c r="S5" t="s">
        <v>56</v>
      </c>
      <c r="T5" t="s">
        <v>48</v>
      </c>
      <c r="U5" s="4" t="s">
        <v>57</v>
      </c>
      <c r="V5" t="s">
        <v>58</v>
      </c>
      <c r="W5" s="4" t="s">
        <v>59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35</v>
      </c>
      <c r="AE5" t="s">
        <v>52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60</v>
      </c>
      <c r="J6" t="s">
        <v>61</v>
      </c>
      <c r="K6" t="s">
        <v>42</v>
      </c>
      <c r="L6" s="6">
        <v>7250170394</v>
      </c>
      <c r="M6" t="s">
        <v>62</v>
      </c>
      <c r="N6" t="s">
        <v>44</v>
      </c>
      <c r="O6" t="s">
        <v>45</v>
      </c>
      <c r="P6" t="s">
        <v>46</v>
      </c>
      <c r="Q6" t="s">
        <v>63</v>
      </c>
      <c r="R6" t="s">
        <v>63</v>
      </c>
      <c r="S6" t="s">
        <v>63</v>
      </c>
      <c r="T6" t="s">
        <v>48</v>
      </c>
      <c r="U6" s="4" t="s">
        <v>64</v>
      </c>
      <c r="V6" t="s">
        <v>50</v>
      </c>
      <c r="W6" s="4" t="s">
        <v>65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35</v>
      </c>
      <c r="AE6" t="s">
        <v>52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66</v>
      </c>
      <c r="J7" t="s">
        <v>67</v>
      </c>
      <c r="K7" t="s">
        <v>42</v>
      </c>
      <c r="L7" s="6">
        <v>6250161714</v>
      </c>
      <c r="M7" t="s">
        <v>68</v>
      </c>
      <c r="N7" t="s">
        <v>44</v>
      </c>
      <c r="O7" t="s">
        <v>45</v>
      </c>
      <c r="P7" t="s">
        <v>46</v>
      </c>
      <c r="Q7" t="s">
        <v>47</v>
      </c>
      <c r="R7" t="s">
        <v>47</v>
      </c>
      <c r="S7" t="s">
        <v>47</v>
      </c>
      <c r="T7" t="s">
        <v>48</v>
      </c>
      <c r="U7" s="4" t="s">
        <v>69</v>
      </c>
      <c r="V7" t="s">
        <v>70</v>
      </c>
      <c r="W7" s="4" t="s">
        <v>71</v>
      </c>
      <c r="X7" t="s">
        <v>52</v>
      </c>
      <c r="Y7" t="s">
        <v>52</v>
      </c>
      <c r="Z7" t="s">
        <v>52</v>
      </c>
      <c r="AA7" t="s">
        <v>52</v>
      </c>
      <c r="AB7" t="s">
        <v>52</v>
      </c>
      <c r="AC7" t="s">
        <v>52</v>
      </c>
      <c r="AD7" t="s">
        <v>35</v>
      </c>
      <c r="AE7" t="s">
        <v>52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60</v>
      </c>
      <c r="J8" t="s">
        <v>61</v>
      </c>
      <c r="K8" t="s">
        <v>42</v>
      </c>
      <c r="L8" s="6">
        <v>7250182035</v>
      </c>
      <c r="M8" t="s">
        <v>72</v>
      </c>
      <c r="N8" t="s">
        <v>44</v>
      </c>
      <c r="O8" t="s">
        <v>45</v>
      </c>
      <c r="P8" t="s">
        <v>46</v>
      </c>
      <c r="Q8" t="s">
        <v>73</v>
      </c>
      <c r="R8" t="s">
        <v>73</v>
      </c>
      <c r="S8" t="s">
        <v>73</v>
      </c>
      <c r="T8" t="s">
        <v>48</v>
      </c>
      <c r="U8" s="4" t="s">
        <v>74</v>
      </c>
      <c r="V8" t="s">
        <v>58</v>
      </c>
      <c r="W8" s="4" t="s">
        <v>75</v>
      </c>
      <c r="X8" t="s">
        <v>52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35</v>
      </c>
      <c r="AE8" t="s">
        <v>52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s="6">
        <v>7250128277</v>
      </c>
      <c r="M9" t="s">
        <v>76</v>
      </c>
      <c r="N9" t="s">
        <v>44</v>
      </c>
      <c r="O9" t="s">
        <v>45</v>
      </c>
      <c r="P9" t="s">
        <v>46</v>
      </c>
      <c r="Q9" t="s">
        <v>77</v>
      </c>
      <c r="R9" t="s">
        <v>77</v>
      </c>
      <c r="S9" t="s">
        <v>77</v>
      </c>
      <c r="T9" t="s">
        <v>48</v>
      </c>
      <c r="U9" s="4" t="s">
        <v>78</v>
      </c>
      <c r="V9" t="s">
        <v>50</v>
      </c>
      <c r="W9" s="4" t="s">
        <v>79</v>
      </c>
      <c r="X9" t="s">
        <v>52</v>
      </c>
      <c r="Y9" t="s">
        <v>52</v>
      </c>
      <c r="Z9" t="s">
        <v>52</v>
      </c>
      <c r="AA9" t="s">
        <v>52</v>
      </c>
      <c r="AB9" t="s">
        <v>52</v>
      </c>
      <c r="AC9" t="s">
        <v>52</v>
      </c>
      <c r="AD9" t="s">
        <v>35</v>
      </c>
      <c r="AE9" t="s">
        <v>52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80</v>
      </c>
      <c r="J10" t="s">
        <v>81</v>
      </c>
      <c r="K10" t="s">
        <v>42</v>
      </c>
      <c r="L10" s="6">
        <v>7250125384</v>
      </c>
      <c r="M10" t="s">
        <v>82</v>
      </c>
      <c r="N10" t="s">
        <v>44</v>
      </c>
      <c r="O10" t="s">
        <v>45</v>
      </c>
      <c r="P10" t="s">
        <v>46</v>
      </c>
      <c r="Q10" t="s">
        <v>83</v>
      </c>
      <c r="R10" t="s">
        <v>83</v>
      </c>
      <c r="S10" t="s">
        <v>83</v>
      </c>
      <c r="T10" t="s">
        <v>48</v>
      </c>
      <c r="U10" s="4" t="s">
        <v>84</v>
      </c>
      <c r="V10" t="s">
        <v>50</v>
      </c>
      <c r="W10" s="4" t="s">
        <v>85</v>
      </c>
      <c r="X10" t="s">
        <v>52</v>
      </c>
      <c r="Y10" t="s">
        <v>52</v>
      </c>
      <c r="Z10" t="s">
        <v>52</v>
      </c>
      <c r="AA10" t="s">
        <v>52</v>
      </c>
      <c r="AB10" t="s">
        <v>52</v>
      </c>
      <c r="AC10" t="s">
        <v>52</v>
      </c>
      <c r="AD10" t="s">
        <v>35</v>
      </c>
      <c r="AE10" t="s">
        <v>52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s="6">
        <v>7250128277</v>
      </c>
      <c r="M11" t="s">
        <v>76</v>
      </c>
      <c r="N11" t="s">
        <v>44</v>
      </c>
      <c r="O11" t="s">
        <v>45</v>
      </c>
      <c r="P11" t="s">
        <v>46</v>
      </c>
      <c r="Q11" t="s">
        <v>77</v>
      </c>
      <c r="R11" t="s">
        <v>77</v>
      </c>
      <c r="S11" t="s">
        <v>77</v>
      </c>
      <c r="T11" t="s">
        <v>48</v>
      </c>
      <c r="U11" s="4" t="s">
        <v>86</v>
      </c>
      <c r="V11" t="s">
        <v>50</v>
      </c>
      <c r="W11" s="4" t="s">
        <v>87</v>
      </c>
      <c r="X11" t="s">
        <v>52</v>
      </c>
      <c r="Y11" t="s">
        <v>52</v>
      </c>
      <c r="Z11" t="s">
        <v>52</v>
      </c>
      <c r="AA11" t="s">
        <v>52</v>
      </c>
      <c r="AB11" t="s">
        <v>52</v>
      </c>
      <c r="AC11" t="s">
        <v>52</v>
      </c>
      <c r="AD11" t="s">
        <v>35</v>
      </c>
      <c r="AE11" t="s">
        <v>52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88</v>
      </c>
      <c r="J12" t="s">
        <v>89</v>
      </c>
      <c r="K12" t="s">
        <v>42</v>
      </c>
      <c r="L12" s="6">
        <v>7250130383</v>
      </c>
      <c r="M12" t="s">
        <v>90</v>
      </c>
      <c r="N12" t="s">
        <v>44</v>
      </c>
      <c r="O12" t="s">
        <v>45</v>
      </c>
      <c r="P12" t="s">
        <v>46</v>
      </c>
      <c r="Q12" t="s">
        <v>91</v>
      </c>
      <c r="R12" t="s">
        <v>91</v>
      </c>
      <c r="S12" t="s">
        <v>91</v>
      </c>
      <c r="T12" t="s">
        <v>48</v>
      </c>
      <c r="U12" s="4" t="s">
        <v>92</v>
      </c>
      <c r="V12" t="s">
        <v>50</v>
      </c>
      <c r="W12" s="4" t="s">
        <v>93</v>
      </c>
      <c r="X12" t="s">
        <v>52</v>
      </c>
      <c r="Y12" t="s">
        <v>52</v>
      </c>
      <c r="Z12" t="s">
        <v>52</v>
      </c>
      <c r="AA12" t="s">
        <v>52</v>
      </c>
      <c r="AB12" t="s">
        <v>52</v>
      </c>
      <c r="AC12" t="s">
        <v>52</v>
      </c>
      <c r="AD12" t="s">
        <v>35</v>
      </c>
      <c r="AE12" t="s">
        <v>52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80</v>
      </c>
      <c r="J13" t="s">
        <v>81</v>
      </c>
      <c r="K13" t="s">
        <v>42</v>
      </c>
      <c r="L13" s="6">
        <v>7250263530</v>
      </c>
      <c r="M13" t="s">
        <v>94</v>
      </c>
      <c r="N13" t="s">
        <v>44</v>
      </c>
      <c r="O13" t="s">
        <v>45</v>
      </c>
      <c r="P13" t="s">
        <v>46</v>
      </c>
      <c r="Q13" t="s">
        <v>95</v>
      </c>
      <c r="R13" t="s">
        <v>95</v>
      </c>
      <c r="S13" t="s">
        <v>95</v>
      </c>
      <c r="T13" t="s">
        <v>48</v>
      </c>
      <c r="U13" s="4" t="s">
        <v>96</v>
      </c>
      <c r="V13" t="s">
        <v>50</v>
      </c>
      <c r="W13" s="4" t="s">
        <v>97</v>
      </c>
      <c r="X13" t="s">
        <v>52</v>
      </c>
      <c r="Y13" t="s">
        <v>52</v>
      </c>
      <c r="Z13" t="s">
        <v>52</v>
      </c>
      <c r="AA13" t="s">
        <v>52</v>
      </c>
      <c r="AB13" t="s">
        <v>52</v>
      </c>
      <c r="AC13" t="s">
        <v>52</v>
      </c>
      <c r="AD13" t="s">
        <v>35</v>
      </c>
      <c r="AE13" t="s">
        <v>52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98</v>
      </c>
      <c r="J14" t="s">
        <v>99</v>
      </c>
      <c r="K14" t="s">
        <v>42</v>
      </c>
      <c r="L14" s="6">
        <v>7250057814</v>
      </c>
      <c r="M14" t="s">
        <v>100</v>
      </c>
      <c r="N14" t="s">
        <v>101</v>
      </c>
      <c r="O14" t="s">
        <v>45</v>
      </c>
      <c r="P14" t="s">
        <v>46</v>
      </c>
      <c r="Q14" t="s">
        <v>102</v>
      </c>
      <c r="R14" t="s">
        <v>102</v>
      </c>
      <c r="S14" t="s">
        <v>102</v>
      </c>
      <c r="T14" t="s">
        <v>48</v>
      </c>
      <c r="U14" s="4" t="s">
        <v>103</v>
      </c>
      <c r="V14" t="s">
        <v>50</v>
      </c>
      <c r="W14" s="4" t="s">
        <v>104</v>
      </c>
      <c r="X14" t="s">
        <v>52</v>
      </c>
      <c r="Y14" t="s">
        <v>52</v>
      </c>
      <c r="Z14" t="s">
        <v>52</v>
      </c>
      <c r="AA14" t="s">
        <v>52</v>
      </c>
      <c r="AB14" t="s">
        <v>52</v>
      </c>
      <c r="AC14" t="s">
        <v>52</v>
      </c>
      <c r="AD14" t="s">
        <v>35</v>
      </c>
      <c r="AE14" t="s">
        <v>52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80</v>
      </c>
      <c r="J15" t="s">
        <v>81</v>
      </c>
      <c r="K15" t="s">
        <v>42</v>
      </c>
      <c r="L15" s="6">
        <v>7250233926</v>
      </c>
      <c r="M15" t="s">
        <v>105</v>
      </c>
      <c r="N15" t="s">
        <v>44</v>
      </c>
      <c r="O15" t="s">
        <v>45</v>
      </c>
      <c r="P15" t="s">
        <v>46</v>
      </c>
      <c r="Q15" t="s">
        <v>106</v>
      </c>
      <c r="R15" t="s">
        <v>106</v>
      </c>
      <c r="S15" t="s">
        <v>106</v>
      </c>
      <c r="T15" t="s">
        <v>48</v>
      </c>
      <c r="U15" s="4" t="s">
        <v>107</v>
      </c>
      <c r="V15" t="s">
        <v>50</v>
      </c>
      <c r="W15" s="4" t="s">
        <v>108</v>
      </c>
      <c r="X15" t="s">
        <v>52</v>
      </c>
      <c r="Y15" t="s">
        <v>52</v>
      </c>
      <c r="Z15" t="s">
        <v>52</v>
      </c>
      <c r="AA15" t="s">
        <v>52</v>
      </c>
      <c r="AB15" t="s">
        <v>52</v>
      </c>
      <c r="AC15" t="s">
        <v>52</v>
      </c>
      <c r="AD15" t="s">
        <v>35</v>
      </c>
      <c r="AE15" t="s">
        <v>52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s="6">
        <v>7250131409</v>
      </c>
      <c r="M16" t="s">
        <v>109</v>
      </c>
      <c r="N16" t="s">
        <v>44</v>
      </c>
      <c r="O16" t="s">
        <v>45</v>
      </c>
      <c r="P16" t="s">
        <v>46</v>
      </c>
      <c r="Q16" t="s">
        <v>110</v>
      </c>
      <c r="R16" t="s">
        <v>110</v>
      </c>
      <c r="S16" t="s">
        <v>110</v>
      </c>
      <c r="T16" t="s">
        <v>48</v>
      </c>
      <c r="U16" s="4" t="s">
        <v>111</v>
      </c>
      <c r="V16" t="s">
        <v>50</v>
      </c>
      <c r="W16" s="4" t="s">
        <v>112</v>
      </c>
      <c r="X16" t="s">
        <v>52</v>
      </c>
      <c r="Y16" t="s">
        <v>52</v>
      </c>
      <c r="Z16" t="s">
        <v>52</v>
      </c>
      <c r="AA16" t="s">
        <v>52</v>
      </c>
      <c r="AB16" t="s">
        <v>52</v>
      </c>
      <c r="AC16" t="s">
        <v>52</v>
      </c>
      <c r="AD16" t="s">
        <v>35</v>
      </c>
      <c r="AE16" t="s">
        <v>52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s="6">
        <v>7250205603</v>
      </c>
      <c r="M17" t="s">
        <v>113</v>
      </c>
      <c r="N17" t="s">
        <v>44</v>
      </c>
      <c r="O17" t="s">
        <v>45</v>
      </c>
      <c r="P17" t="s">
        <v>46</v>
      </c>
      <c r="Q17" t="s">
        <v>114</v>
      </c>
      <c r="R17" t="s">
        <v>114</v>
      </c>
      <c r="S17" t="s">
        <v>114</v>
      </c>
      <c r="T17" t="s">
        <v>48</v>
      </c>
      <c r="U17" s="4" t="s">
        <v>115</v>
      </c>
      <c r="V17" t="s">
        <v>58</v>
      </c>
      <c r="W17" s="4" t="s">
        <v>116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35</v>
      </c>
      <c r="AE17" t="s">
        <v>52</v>
      </c>
    </row>
    <row r="18" spans="1:31" x14ac:dyDescent="0.2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s="6">
        <v>7250131409</v>
      </c>
      <c r="M18" t="s">
        <v>109</v>
      </c>
      <c r="N18" t="s">
        <v>44</v>
      </c>
      <c r="O18" t="s">
        <v>45</v>
      </c>
      <c r="P18" t="s">
        <v>46</v>
      </c>
      <c r="Q18" t="s">
        <v>110</v>
      </c>
      <c r="R18" t="s">
        <v>110</v>
      </c>
      <c r="S18" t="s">
        <v>110</v>
      </c>
      <c r="T18" t="s">
        <v>48</v>
      </c>
      <c r="U18" s="4" t="s">
        <v>117</v>
      </c>
      <c r="V18" t="s">
        <v>50</v>
      </c>
      <c r="W18" s="4" t="s">
        <v>118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35</v>
      </c>
      <c r="AE18" t="s">
        <v>52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88</v>
      </c>
      <c r="J19" t="s">
        <v>89</v>
      </c>
      <c r="K19" t="s">
        <v>42</v>
      </c>
      <c r="L19" s="6">
        <v>7250256287</v>
      </c>
      <c r="M19" t="s">
        <v>119</v>
      </c>
      <c r="N19" t="s">
        <v>44</v>
      </c>
      <c r="O19" t="s">
        <v>45</v>
      </c>
      <c r="P19" t="s">
        <v>46</v>
      </c>
      <c r="Q19" t="s">
        <v>120</v>
      </c>
      <c r="R19" t="s">
        <v>120</v>
      </c>
      <c r="S19" t="s">
        <v>120</v>
      </c>
      <c r="T19" t="s">
        <v>48</v>
      </c>
      <c r="U19" s="4" t="s">
        <v>121</v>
      </c>
      <c r="V19" t="s">
        <v>122</v>
      </c>
      <c r="W19" s="4" t="s">
        <v>123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35</v>
      </c>
      <c r="AE19" t="s">
        <v>52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s="6">
        <v>7260018124</v>
      </c>
      <c r="M20" t="s">
        <v>124</v>
      </c>
      <c r="N20" t="s">
        <v>125</v>
      </c>
      <c r="O20" t="s">
        <v>45</v>
      </c>
      <c r="P20" t="s">
        <v>46</v>
      </c>
      <c r="Q20" t="s">
        <v>126</v>
      </c>
      <c r="R20" t="s">
        <v>126</v>
      </c>
      <c r="S20" t="s">
        <v>126</v>
      </c>
      <c r="T20" t="s">
        <v>48</v>
      </c>
      <c r="U20" s="4" t="s">
        <v>127</v>
      </c>
      <c r="V20" t="s">
        <v>50</v>
      </c>
      <c r="W20" s="4" t="s">
        <v>128</v>
      </c>
      <c r="X20" t="s">
        <v>52</v>
      </c>
      <c r="Y20" t="s">
        <v>52</v>
      </c>
      <c r="Z20" t="s">
        <v>52</v>
      </c>
      <c r="AA20" t="s">
        <v>52</v>
      </c>
      <c r="AB20" t="s">
        <v>52</v>
      </c>
      <c r="AC20" t="s">
        <v>52</v>
      </c>
      <c r="AD20" t="s">
        <v>35</v>
      </c>
      <c r="AE20" t="s">
        <v>52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129</v>
      </c>
      <c r="J21" t="s">
        <v>130</v>
      </c>
      <c r="K21" t="s">
        <v>42</v>
      </c>
      <c r="L21" s="6">
        <v>7250171145</v>
      </c>
      <c r="M21" t="s">
        <v>131</v>
      </c>
      <c r="N21" t="s">
        <v>44</v>
      </c>
      <c r="O21" t="s">
        <v>45</v>
      </c>
      <c r="P21" t="s">
        <v>46</v>
      </c>
      <c r="Q21" t="s">
        <v>132</v>
      </c>
      <c r="R21" t="s">
        <v>132</v>
      </c>
      <c r="S21" t="s">
        <v>132</v>
      </c>
      <c r="T21" t="s">
        <v>48</v>
      </c>
      <c r="U21" s="4" t="s">
        <v>133</v>
      </c>
      <c r="V21" t="s">
        <v>50</v>
      </c>
      <c r="W21" s="4" t="s">
        <v>134</v>
      </c>
      <c r="X21" t="s">
        <v>52</v>
      </c>
      <c r="Y21" t="s">
        <v>52</v>
      </c>
      <c r="Z21" t="s">
        <v>52</v>
      </c>
      <c r="AA21" t="s">
        <v>52</v>
      </c>
      <c r="AB21" t="s">
        <v>52</v>
      </c>
      <c r="AC21" t="s">
        <v>52</v>
      </c>
      <c r="AD21" t="s">
        <v>35</v>
      </c>
      <c r="AE21" t="s">
        <v>52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129</v>
      </c>
      <c r="J22" t="s">
        <v>130</v>
      </c>
      <c r="K22" t="s">
        <v>42</v>
      </c>
      <c r="L22" s="6">
        <v>7250149956</v>
      </c>
      <c r="M22" t="s">
        <v>135</v>
      </c>
      <c r="N22" t="s">
        <v>44</v>
      </c>
      <c r="O22" t="s">
        <v>45</v>
      </c>
      <c r="P22" t="s">
        <v>46</v>
      </c>
      <c r="Q22" t="s">
        <v>132</v>
      </c>
      <c r="R22" t="s">
        <v>132</v>
      </c>
      <c r="S22" t="s">
        <v>132</v>
      </c>
      <c r="T22" t="s">
        <v>48</v>
      </c>
      <c r="U22" s="4" t="s">
        <v>136</v>
      </c>
      <c r="V22" t="s">
        <v>58</v>
      </c>
      <c r="W22" s="4" t="s">
        <v>137</v>
      </c>
      <c r="X22" t="s">
        <v>52</v>
      </c>
      <c r="Y22" t="s">
        <v>52</v>
      </c>
      <c r="Z22" t="s">
        <v>52</v>
      </c>
      <c r="AA22" t="s">
        <v>52</v>
      </c>
      <c r="AB22" t="s">
        <v>52</v>
      </c>
      <c r="AC22" t="s">
        <v>52</v>
      </c>
      <c r="AD22" t="s">
        <v>35</v>
      </c>
      <c r="AE22" t="s">
        <v>52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129</v>
      </c>
      <c r="J23" t="s">
        <v>130</v>
      </c>
      <c r="K23" t="s">
        <v>42</v>
      </c>
      <c r="L23" s="6">
        <v>7250149911</v>
      </c>
      <c r="M23" t="s">
        <v>135</v>
      </c>
      <c r="N23" t="s">
        <v>44</v>
      </c>
      <c r="O23" t="s">
        <v>45</v>
      </c>
      <c r="P23" t="s">
        <v>46</v>
      </c>
      <c r="Q23" t="s">
        <v>132</v>
      </c>
      <c r="R23" t="s">
        <v>132</v>
      </c>
      <c r="S23" t="s">
        <v>132</v>
      </c>
      <c r="T23" t="s">
        <v>48</v>
      </c>
      <c r="U23" s="4" t="s">
        <v>138</v>
      </c>
      <c r="V23" t="s">
        <v>58</v>
      </c>
      <c r="W23" s="4" t="s">
        <v>139</v>
      </c>
      <c r="X23" t="s">
        <v>52</v>
      </c>
      <c r="Y23" t="s">
        <v>52</v>
      </c>
      <c r="Z23" t="s">
        <v>52</v>
      </c>
      <c r="AA23" t="s">
        <v>52</v>
      </c>
      <c r="AB23" t="s">
        <v>52</v>
      </c>
      <c r="AC23" t="s">
        <v>52</v>
      </c>
      <c r="AD23" t="s">
        <v>35</v>
      </c>
      <c r="AE23" t="s">
        <v>52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s="6">
        <v>7260018124</v>
      </c>
      <c r="M24" t="s">
        <v>124</v>
      </c>
      <c r="N24" t="s">
        <v>125</v>
      </c>
      <c r="O24" t="s">
        <v>45</v>
      </c>
      <c r="P24" t="s">
        <v>46</v>
      </c>
      <c r="Q24" t="s">
        <v>126</v>
      </c>
      <c r="R24" t="s">
        <v>126</v>
      </c>
      <c r="S24" t="s">
        <v>126</v>
      </c>
      <c r="T24" t="s">
        <v>48</v>
      </c>
      <c r="U24" s="4" t="s">
        <v>140</v>
      </c>
      <c r="V24" t="s">
        <v>50</v>
      </c>
      <c r="W24" s="4" t="s">
        <v>141</v>
      </c>
      <c r="X24" t="s">
        <v>52</v>
      </c>
      <c r="Y24" t="s">
        <v>52</v>
      </c>
      <c r="Z24" t="s">
        <v>52</v>
      </c>
      <c r="AA24" t="s">
        <v>52</v>
      </c>
      <c r="AB24" t="s">
        <v>52</v>
      </c>
      <c r="AC24" t="s">
        <v>52</v>
      </c>
      <c r="AD24" t="s">
        <v>35</v>
      </c>
      <c r="AE24" t="s">
        <v>52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98</v>
      </c>
      <c r="J25" t="s">
        <v>99</v>
      </c>
      <c r="K25" t="s">
        <v>42</v>
      </c>
      <c r="L25" s="6">
        <v>7250057814</v>
      </c>
      <c r="M25" t="s">
        <v>100</v>
      </c>
      <c r="N25" t="s">
        <v>101</v>
      </c>
      <c r="O25" t="s">
        <v>45</v>
      </c>
      <c r="P25" t="s">
        <v>46</v>
      </c>
      <c r="Q25" t="s">
        <v>102</v>
      </c>
      <c r="R25" t="s">
        <v>102</v>
      </c>
      <c r="S25" t="s">
        <v>102</v>
      </c>
      <c r="T25" t="s">
        <v>48</v>
      </c>
      <c r="U25" s="4" t="s">
        <v>142</v>
      </c>
      <c r="V25" t="s">
        <v>50</v>
      </c>
      <c r="W25" s="4" t="s">
        <v>143</v>
      </c>
      <c r="X25" t="s">
        <v>52</v>
      </c>
      <c r="Y25" t="s">
        <v>52</v>
      </c>
      <c r="Z25" t="s">
        <v>52</v>
      </c>
      <c r="AA25" t="s">
        <v>52</v>
      </c>
      <c r="AB25" t="s">
        <v>52</v>
      </c>
      <c r="AC25" t="s">
        <v>52</v>
      </c>
      <c r="AD25" t="s">
        <v>35</v>
      </c>
      <c r="AE25" t="s">
        <v>52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129</v>
      </c>
      <c r="J26" t="s">
        <v>130</v>
      </c>
      <c r="K26" t="s">
        <v>42</v>
      </c>
      <c r="L26" s="6">
        <v>7250171087</v>
      </c>
      <c r="M26" t="s">
        <v>131</v>
      </c>
      <c r="N26" t="s">
        <v>44</v>
      </c>
      <c r="O26" t="s">
        <v>45</v>
      </c>
      <c r="P26" t="s">
        <v>46</v>
      </c>
      <c r="Q26" t="s">
        <v>132</v>
      </c>
      <c r="R26" t="s">
        <v>132</v>
      </c>
      <c r="S26" t="s">
        <v>132</v>
      </c>
      <c r="T26" t="s">
        <v>48</v>
      </c>
      <c r="U26" s="4" t="s">
        <v>144</v>
      </c>
      <c r="V26" t="s">
        <v>50</v>
      </c>
      <c r="W26" s="4" t="s">
        <v>145</v>
      </c>
      <c r="X26" t="s">
        <v>52</v>
      </c>
      <c r="Y26" t="s">
        <v>52</v>
      </c>
      <c r="Z26" t="s">
        <v>52</v>
      </c>
      <c r="AA26" t="s">
        <v>52</v>
      </c>
      <c r="AB26" t="s">
        <v>52</v>
      </c>
      <c r="AC26" t="s">
        <v>52</v>
      </c>
      <c r="AD26" t="s">
        <v>35</v>
      </c>
      <c r="AE26" t="s">
        <v>52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88</v>
      </c>
      <c r="J27" t="s">
        <v>89</v>
      </c>
      <c r="K27" t="s">
        <v>42</v>
      </c>
      <c r="L27" s="6">
        <v>6250043034</v>
      </c>
      <c r="M27" t="s">
        <v>146</v>
      </c>
      <c r="N27" t="s">
        <v>44</v>
      </c>
      <c r="O27" t="s">
        <v>45</v>
      </c>
      <c r="P27" t="s">
        <v>46</v>
      </c>
      <c r="Q27" t="s">
        <v>147</v>
      </c>
      <c r="R27" t="s">
        <v>147</v>
      </c>
      <c r="S27" t="s">
        <v>147</v>
      </c>
      <c r="T27" t="s">
        <v>48</v>
      </c>
      <c r="U27" s="4" t="s">
        <v>148</v>
      </c>
      <c r="V27" t="s">
        <v>70</v>
      </c>
      <c r="W27" s="4" t="s">
        <v>149</v>
      </c>
      <c r="X27" t="s">
        <v>52</v>
      </c>
      <c r="Y27" t="s">
        <v>52</v>
      </c>
      <c r="Z27" t="s">
        <v>52</v>
      </c>
      <c r="AA27" t="s">
        <v>52</v>
      </c>
      <c r="AB27" t="s">
        <v>52</v>
      </c>
      <c r="AC27" t="s">
        <v>52</v>
      </c>
      <c r="AD27" t="s">
        <v>35</v>
      </c>
      <c r="AE27" t="s">
        <v>52</v>
      </c>
    </row>
    <row r="28" spans="1:31" x14ac:dyDescent="0.25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80</v>
      </c>
      <c r="J28" t="s">
        <v>81</v>
      </c>
      <c r="K28" t="s">
        <v>42</v>
      </c>
      <c r="L28" s="6">
        <v>7250263515</v>
      </c>
      <c r="M28" t="s">
        <v>94</v>
      </c>
      <c r="N28" t="s">
        <v>44</v>
      </c>
      <c r="O28" t="s">
        <v>45</v>
      </c>
      <c r="P28" t="s">
        <v>46</v>
      </c>
      <c r="Q28" t="s">
        <v>95</v>
      </c>
      <c r="R28" t="s">
        <v>95</v>
      </c>
      <c r="S28" t="s">
        <v>95</v>
      </c>
      <c r="T28" t="s">
        <v>48</v>
      </c>
      <c r="U28" s="4" t="s">
        <v>150</v>
      </c>
      <c r="V28" t="s">
        <v>50</v>
      </c>
      <c r="W28" s="4" t="s">
        <v>151</v>
      </c>
      <c r="X28" t="s">
        <v>52</v>
      </c>
      <c r="Y28" t="s">
        <v>52</v>
      </c>
      <c r="Z28" t="s">
        <v>52</v>
      </c>
      <c r="AA28" t="s">
        <v>52</v>
      </c>
      <c r="AB28" t="s">
        <v>52</v>
      </c>
      <c r="AC28" t="s">
        <v>52</v>
      </c>
      <c r="AD28" t="s">
        <v>35</v>
      </c>
      <c r="AE28" t="s">
        <v>52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1800-2AC3-40E3-9222-F9F4E7B0654F}">
  <dimension ref="A1:O25"/>
  <sheetViews>
    <sheetView tabSelected="1" workbookViewId="0">
      <selection activeCell="C22" sqref="C22"/>
    </sheetView>
  </sheetViews>
  <sheetFormatPr defaultRowHeight="15" x14ac:dyDescent="0.25"/>
  <cols>
    <col min="1" max="1" width="20.5703125" style="8" customWidth="1"/>
    <col min="2" max="2" width="24.140625" style="8" customWidth="1"/>
    <col min="3" max="3" width="20.7109375" style="8" customWidth="1"/>
    <col min="4" max="4" width="23.85546875" style="8" bestFit="1" customWidth="1"/>
    <col min="5" max="5" width="16.42578125" style="8" customWidth="1"/>
    <col min="6" max="6" width="15" style="8" customWidth="1"/>
    <col min="7" max="7" width="15.42578125" style="8" customWidth="1"/>
    <col min="8" max="8" width="12" style="8" customWidth="1"/>
    <col min="9" max="9" width="11.5703125" style="8" bestFit="1" customWidth="1"/>
    <col min="10" max="10" width="11.5703125" style="8" customWidth="1"/>
    <col min="11" max="12" width="17.28515625" style="8" customWidth="1"/>
    <col min="13" max="13" width="41.5703125" style="8" bestFit="1" customWidth="1"/>
    <col min="14" max="14" width="13.28515625" style="8" customWidth="1"/>
    <col min="15" max="15" width="12.28515625" style="8" customWidth="1"/>
    <col min="16" max="16384" width="9.140625" style="8"/>
  </cols>
  <sheetData>
    <row r="1" spans="1:15" x14ac:dyDescent="0.25">
      <c r="A1" s="7" t="s">
        <v>7</v>
      </c>
      <c r="B1" s="7" t="s">
        <v>6</v>
      </c>
      <c r="C1" s="7" t="s">
        <v>9</v>
      </c>
      <c r="D1" s="7" t="s">
        <v>10</v>
      </c>
      <c r="E1" s="7" t="s">
        <v>11</v>
      </c>
      <c r="F1" s="7" t="s">
        <v>31</v>
      </c>
      <c r="G1" s="7" t="s">
        <v>12</v>
      </c>
      <c r="H1" s="7" t="s">
        <v>13</v>
      </c>
      <c r="I1" s="8" t="s">
        <v>172</v>
      </c>
      <c r="J1" s="8" t="s">
        <v>195</v>
      </c>
      <c r="K1" s="7" t="s">
        <v>17</v>
      </c>
      <c r="L1" s="7" t="s">
        <v>193</v>
      </c>
      <c r="M1" s="7" t="s">
        <v>182</v>
      </c>
      <c r="N1" s="7" t="s">
        <v>18</v>
      </c>
      <c r="O1" s="7" t="s">
        <v>19</v>
      </c>
    </row>
    <row r="2" spans="1:15" x14ac:dyDescent="0.25">
      <c r="A2" s="8">
        <v>9079571</v>
      </c>
      <c r="B2" s="8" t="s">
        <v>189</v>
      </c>
      <c r="C2" s="9">
        <v>7250182035</v>
      </c>
      <c r="D2" s="8" t="s">
        <v>156</v>
      </c>
      <c r="E2" s="8" t="s">
        <v>44</v>
      </c>
      <c r="F2" s="8" t="s">
        <v>45</v>
      </c>
      <c r="G2" s="8" t="s">
        <v>46</v>
      </c>
      <c r="H2" s="12">
        <v>45923</v>
      </c>
      <c r="I2" s="8" t="s">
        <v>177</v>
      </c>
      <c r="J2" s="9">
        <v>4</v>
      </c>
      <c r="K2" s="9">
        <v>111.01</v>
      </c>
      <c r="L2" s="9" t="s">
        <v>196</v>
      </c>
      <c r="M2" s="10" t="s">
        <v>183</v>
      </c>
      <c r="N2" s="9">
        <v>94.5</v>
      </c>
      <c r="O2" s="9">
        <v>104.9</v>
      </c>
    </row>
    <row r="3" spans="1:15" x14ac:dyDescent="0.25">
      <c r="A3" s="8">
        <v>9079571</v>
      </c>
      <c r="B3" s="8" t="s">
        <v>189</v>
      </c>
      <c r="C3" s="9">
        <v>7250170394</v>
      </c>
      <c r="D3" s="8" t="s">
        <v>154</v>
      </c>
      <c r="E3" s="8" t="s">
        <v>44</v>
      </c>
      <c r="F3" s="8" t="s">
        <v>45</v>
      </c>
      <c r="G3" s="8" t="s">
        <v>46</v>
      </c>
      <c r="H3" s="12">
        <v>45910</v>
      </c>
      <c r="I3" s="8" t="s">
        <v>180</v>
      </c>
      <c r="J3" s="9">
        <v>4</v>
      </c>
      <c r="K3" s="9">
        <v>55.58</v>
      </c>
      <c r="L3" s="9" t="s">
        <v>196</v>
      </c>
      <c r="M3" s="17" t="s">
        <v>184</v>
      </c>
      <c r="N3" s="9">
        <v>137</v>
      </c>
      <c r="O3" s="9">
        <v>76.14</v>
      </c>
    </row>
    <row r="4" spans="1:15" x14ac:dyDescent="0.25">
      <c r="A4" s="8">
        <v>7470776</v>
      </c>
      <c r="B4" s="8" t="s">
        <v>185</v>
      </c>
      <c r="C4" s="9">
        <v>6250043034</v>
      </c>
      <c r="D4" s="8" t="s">
        <v>169</v>
      </c>
      <c r="E4" s="8" t="s">
        <v>44</v>
      </c>
      <c r="F4" s="8" t="s">
        <v>45</v>
      </c>
      <c r="G4" s="8" t="s">
        <v>46</v>
      </c>
      <c r="H4" s="12">
        <v>45735</v>
      </c>
      <c r="I4" s="8" t="s">
        <v>174</v>
      </c>
      <c r="J4" s="9">
        <v>10</v>
      </c>
      <c r="K4" s="9">
        <v>92.25</v>
      </c>
      <c r="L4" s="9" t="s">
        <v>194</v>
      </c>
      <c r="M4" s="8" t="s">
        <v>181</v>
      </c>
      <c r="N4" s="9">
        <v>90</v>
      </c>
      <c r="O4" s="9">
        <v>83.03</v>
      </c>
    </row>
    <row r="5" spans="1:15" x14ac:dyDescent="0.25">
      <c r="A5" s="8">
        <v>7470776</v>
      </c>
      <c r="B5" s="8" t="s">
        <v>185</v>
      </c>
      <c r="C5" s="9">
        <v>7250130383</v>
      </c>
      <c r="D5" s="8" t="s">
        <v>159</v>
      </c>
      <c r="E5" s="8" t="s">
        <v>44</v>
      </c>
      <c r="F5" s="8" t="s">
        <v>45</v>
      </c>
      <c r="G5" s="8" t="s">
        <v>46</v>
      </c>
      <c r="H5" s="12">
        <v>45861</v>
      </c>
      <c r="I5" s="8" t="s">
        <v>177</v>
      </c>
      <c r="J5" s="9">
        <v>6</v>
      </c>
      <c r="K5" s="9">
        <v>151.88999999999999</v>
      </c>
      <c r="L5" s="9" t="s">
        <v>194</v>
      </c>
      <c r="M5" s="8" t="s">
        <v>184</v>
      </c>
      <c r="N5" s="9">
        <v>137</v>
      </c>
      <c r="O5" s="9">
        <v>208.09</v>
      </c>
    </row>
    <row r="6" spans="1:15" x14ac:dyDescent="0.25">
      <c r="A6" s="8">
        <v>17425766</v>
      </c>
      <c r="B6" s="8" t="s">
        <v>187</v>
      </c>
      <c r="C6" s="9">
        <v>7250064114</v>
      </c>
      <c r="D6" s="8" t="s">
        <v>153</v>
      </c>
      <c r="E6" s="8" t="s">
        <v>44</v>
      </c>
      <c r="F6" s="8" t="s">
        <v>45</v>
      </c>
      <c r="G6" s="8" t="s">
        <v>46</v>
      </c>
      <c r="H6" s="12">
        <v>45770</v>
      </c>
      <c r="I6" s="8" t="s">
        <v>177</v>
      </c>
      <c r="J6" s="9">
        <v>9</v>
      </c>
      <c r="K6" s="9">
        <v>160.93</v>
      </c>
      <c r="L6" s="9" t="s">
        <v>196</v>
      </c>
      <c r="M6" s="8" t="s">
        <v>183</v>
      </c>
      <c r="N6" s="9">
        <v>94.5</v>
      </c>
      <c r="O6" s="9">
        <v>152.08000000000001</v>
      </c>
    </row>
    <row r="7" spans="1:15" x14ac:dyDescent="0.25">
      <c r="A7" s="8">
        <v>8325282</v>
      </c>
      <c r="B7" s="8" t="s">
        <v>192</v>
      </c>
      <c r="C7" s="9">
        <v>7250125384</v>
      </c>
      <c r="D7" s="8" t="s">
        <v>158</v>
      </c>
      <c r="E7" s="8" t="s">
        <v>44</v>
      </c>
      <c r="F7" s="8" t="s">
        <v>45</v>
      </c>
      <c r="G7" s="8" t="s">
        <v>46</v>
      </c>
      <c r="H7" s="12">
        <v>45854</v>
      </c>
      <c r="I7" s="8" t="s">
        <v>178</v>
      </c>
      <c r="J7" s="9">
        <v>6</v>
      </c>
      <c r="K7" s="9">
        <v>113.28</v>
      </c>
      <c r="L7" s="9" t="s">
        <v>194</v>
      </c>
      <c r="M7" s="8" t="s">
        <v>184</v>
      </c>
      <c r="N7" s="9">
        <v>137</v>
      </c>
      <c r="O7" s="9">
        <v>155.19</v>
      </c>
    </row>
    <row r="8" spans="1:15" x14ac:dyDescent="0.25">
      <c r="A8" s="8">
        <v>8325282</v>
      </c>
      <c r="B8" s="8" t="s">
        <v>192</v>
      </c>
      <c r="C8" s="9">
        <v>7250233926</v>
      </c>
      <c r="D8" s="8" t="s">
        <v>162</v>
      </c>
      <c r="E8" s="8" t="s">
        <v>44</v>
      </c>
      <c r="F8" s="8" t="s">
        <v>45</v>
      </c>
      <c r="G8" s="8" t="s">
        <v>46</v>
      </c>
      <c r="H8" s="12">
        <v>45980</v>
      </c>
      <c r="I8" s="8" t="s">
        <v>174</v>
      </c>
      <c r="J8" s="9">
        <v>2</v>
      </c>
      <c r="K8" s="9">
        <v>45.75</v>
      </c>
      <c r="L8" s="9" t="s">
        <v>194</v>
      </c>
      <c r="M8" s="17" t="s">
        <v>184</v>
      </c>
      <c r="N8" s="9">
        <v>137</v>
      </c>
      <c r="O8" s="9">
        <v>62.68</v>
      </c>
    </row>
    <row r="9" spans="1:15" x14ac:dyDescent="0.25">
      <c r="A9" s="8">
        <v>8325282</v>
      </c>
      <c r="B9" s="8" t="s">
        <v>192</v>
      </c>
      <c r="C9" s="9">
        <v>7250263515</v>
      </c>
      <c r="D9" s="8" t="s">
        <v>170</v>
      </c>
      <c r="E9" s="8" t="s">
        <v>44</v>
      </c>
      <c r="F9" s="8" t="s">
        <v>45</v>
      </c>
      <c r="G9" s="8" t="s">
        <v>46</v>
      </c>
      <c r="H9" s="12">
        <v>46014</v>
      </c>
      <c r="I9" s="8" t="s">
        <v>177</v>
      </c>
      <c r="J9" s="9">
        <v>1</v>
      </c>
      <c r="K9" s="9">
        <v>109.76</v>
      </c>
      <c r="L9" s="9" t="s">
        <v>194</v>
      </c>
      <c r="M9" s="17" t="s">
        <v>184</v>
      </c>
      <c r="N9" s="9">
        <v>137</v>
      </c>
      <c r="O9" s="9">
        <v>150.37</v>
      </c>
    </row>
    <row r="10" spans="1:15" x14ac:dyDescent="0.25">
      <c r="A10" s="8">
        <v>8325282</v>
      </c>
      <c r="B10" s="8" t="s">
        <v>192</v>
      </c>
      <c r="C10" s="9">
        <v>7250263530</v>
      </c>
      <c r="D10" s="8" t="s">
        <v>160</v>
      </c>
      <c r="E10" s="8" t="s">
        <v>44</v>
      </c>
      <c r="F10" s="8" t="s">
        <v>45</v>
      </c>
      <c r="G10" s="8" t="s">
        <v>46</v>
      </c>
      <c r="H10" s="12">
        <v>46014</v>
      </c>
      <c r="I10" s="8" t="s">
        <v>177</v>
      </c>
      <c r="J10" s="9">
        <v>1</v>
      </c>
      <c r="K10" s="9">
        <v>121.02</v>
      </c>
      <c r="L10" s="9" t="s">
        <v>194</v>
      </c>
      <c r="M10" s="17" t="s">
        <v>184</v>
      </c>
      <c r="N10" s="9">
        <v>137</v>
      </c>
      <c r="O10" s="9">
        <v>165.8</v>
      </c>
    </row>
    <row r="11" spans="1:15" s="14" customFormat="1" x14ac:dyDescent="0.25">
      <c r="A11" s="14">
        <v>20776610</v>
      </c>
      <c r="B11" s="14" t="s">
        <v>191</v>
      </c>
      <c r="C11" s="15">
        <v>7250057814</v>
      </c>
      <c r="D11" s="14" t="s">
        <v>161</v>
      </c>
      <c r="E11" s="14" t="s">
        <v>101</v>
      </c>
      <c r="F11" s="14" t="s">
        <v>45</v>
      </c>
      <c r="G11" s="14" t="s">
        <v>46</v>
      </c>
      <c r="H11" s="16">
        <v>45768</v>
      </c>
      <c r="I11" s="14" t="s">
        <v>176</v>
      </c>
      <c r="J11" s="15">
        <v>9</v>
      </c>
      <c r="K11" s="15">
        <v>288.95999999999998</v>
      </c>
      <c r="L11" s="15" t="s">
        <v>196</v>
      </c>
      <c r="M11" s="8" t="s">
        <v>184</v>
      </c>
      <c r="N11" s="15">
        <v>137</v>
      </c>
      <c r="O11" s="15">
        <v>395.88</v>
      </c>
    </row>
    <row r="12" spans="1:15" x14ac:dyDescent="0.25">
      <c r="A12" s="14">
        <v>20776610</v>
      </c>
      <c r="B12" s="14" t="s">
        <v>191</v>
      </c>
      <c r="C12" s="15">
        <v>7250057814</v>
      </c>
      <c r="D12" s="14" t="s">
        <v>161</v>
      </c>
      <c r="E12" s="14" t="s">
        <v>101</v>
      </c>
      <c r="F12" s="14" t="s">
        <v>45</v>
      </c>
      <c r="G12" s="14" t="s">
        <v>46</v>
      </c>
      <c r="H12" s="16">
        <v>45768</v>
      </c>
      <c r="I12" s="14" t="s">
        <v>176</v>
      </c>
      <c r="J12" s="15">
        <v>9</v>
      </c>
      <c r="K12" s="15">
        <v>13.94</v>
      </c>
      <c r="L12" s="15" t="s">
        <v>196</v>
      </c>
      <c r="M12" s="8" t="s">
        <v>184</v>
      </c>
      <c r="N12" s="15">
        <v>137</v>
      </c>
      <c r="O12" s="15">
        <v>19.100000000000001</v>
      </c>
    </row>
    <row r="13" spans="1:15" x14ac:dyDescent="0.25">
      <c r="A13" s="8">
        <v>16228684</v>
      </c>
      <c r="B13" s="8" t="s">
        <v>190</v>
      </c>
      <c r="C13" s="9">
        <v>7250205603</v>
      </c>
      <c r="D13" s="8" t="s">
        <v>164</v>
      </c>
      <c r="E13" s="8" t="s">
        <v>44</v>
      </c>
      <c r="F13" s="8" t="s">
        <v>45</v>
      </c>
      <c r="G13" s="8" t="s">
        <v>46</v>
      </c>
      <c r="H13" s="12">
        <v>45979</v>
      </c>
      <c r="I13" s="8" t="s">
        <v>171</v>
      </c>
      <c r="J13" s="9">
        <v>2</v>
      </c>
      <c r="K13" s="9">
        <v>38.26</v>
      </c>
      <c r="L13" s="9" t="s">
        <v>196</v>
      </c>
      <c r="M13" s="8" t="s">
        <v>183</v>
      </c>
      <c r="N13" s="9">
        <v>94.5</v>
      </c>
      <c r="O13" s="9">
        <v>36.159999999999997</v>
      </c>
    </row>
    <row r="14" spans="1:15" x14ac:dyDescent="0.25">
      <c r="A14" s="8">
        <v>16228684</v>
      </c>
      <c r="B14" s="8" t="s">
        <v>190</v>
      </c>
      <c r="C14" s="9">
        <v>7250128277</v>
      </c>
      <c r="D14" s="8" t="s">
        <v>157</v>
      </c>
      <c r="E14" s="8" t="s">
        <v>44</v>
      </c>
      <c r="F14" s="8" t="s">
        <v>45</v>
      </c>
      <c r="G14" s="8" t="s">
        <v>46</v>
      </c>
      <c r="H14" s="12">
        <v>45860</v>
      </c>
      <c r="I14" s="8" t="s">
        <v>175</v>
      </c>
      <c r="J14" s="9">
        <v>6</v>
      </c>
      <c r="K14" s="9">
        <v>10.1</v>
      </c>
      <c r="L14" s="9" t="s">
        <v>196</v>
      </c>
      <c r="M14" s="8" t="s">
        <v>184</v>
      </c>
      <c r="N14" s="9">
        <v>137</v>
      </c>
      <c r="O14" s="9">
        <v>13.84</v>
      </c>
    </row>
    <row r="15" spans="1:15" x14ac:dyDescent="0.25">
      <c r="A15" s="8">
        <v>16228684</v>
      </c>
      <c r="B15" s="8" t="s">
        <v>190</v>
      </c>
      <c r="C15" s="9">
        <v>7250128277</v>
      </c>
      <c r="D15" s="8" t="s">
        <v>157</v>
      </c>
      <c r="E15" s="8" t="s">
        <v>44</v>
      </c>
      <c r="F15" s="8" t="s">
        <v>45</v>
      </c>
      <c r="G15" s="8" t="s">
        <v>46</v>
      </c>
      <c r="H15" s="12">
        <v>45860</v>
      </c>
      <c r="I15" s="8" t="s">
        <v>175</v>
      </c>
      <c r="J15" s="9">
        <v>6</v>
      </c>
      <c r="K15" s="9">
        <v>193.53</v>
      </c>
      <c r="L15" s="9" t="s">
        <v>196</v>
      </c>
      <c r="M15" s="8" t="s">
        <v>184</v>
      </c>
      <c r="N15" s="9">
        <v>137</v>
      </c>
      <c r="O15" s="9">
        <v>265.14</v>
      </c>
    </row>
    <row r="16" spans="1:15" x14ac:dyDescent="0.25">
      <c r="A16" s="8">
        <v>16228684</v>
      </c>
      <c r="B16" s="8" t="s">
        <v>190</v>
      </c>
      <c r="C16" s="9">
        <v>7250131409</v>
      </c>
      <c r="D16" s="8" t="s">
        <v>163</v>
      </c>
      <c r="E16" s="8" t="s">
        <v>44</v>
      </c>
      <c r="F16" s="8" t="s">
        <v>45</v>
      </c>
      <c r="G16" s="8" t="s">
        <v>46</v>
      </c>
      <c r="H16" s="12">
        <v>45888</v>
      </c>
      <c r="I16" s="8" t="s">
        <v>174</v>
      </c>
      <c r="J16" s="9">
        <v>5</v>
      </c>
      <c r="K16" s="9">
        <v>81.569999999999993</v>
      </c>
      <c r="L16" s="9" t="s">
        <v>196</v>
      </c>
      <c r="M16" s="8" t="s">
        <v>184</v>
      </c>
      <c r="N16" s="9">
        <v>137</v>
      </c>
      <c r="O16" s="9">
        <v>111.75</v>
      </c>
    </row>
    <row r="17" spans="1:15" s="10" customFormat="1" x14ac:dyDescent="0.25">
      <c r="A17" s="8">
        <v>16228684</v>
      </c>
      <c r="B17" s="8" t="s">
        <v>190</v>
      </c>
      <c r="C17" s="9">
        <v>7250131409</v>
      </c>
      <c r="D17" s="8" t="s">
        <v>163</v>
      </c>
      <c r="E17" s="8" t="s">
        <v>44</v>
      </c>
      <c r="F17" s="8" t="s">
        <v>45</v>
      </c>
      <c r="G17" s="8" t="s">
        <v>46</v>
      </c>
      <c r="H17" s="12">
        <v>45888</v>
      </c>
      <c r="I17" s="8" t="s">
        <v>174</v>
      </c>
      <c r="J17" s="9">
        <v>5</v>
      </c>
      <c r="K17" s="9">
        <v>4.2300000000000004</v>
      </c>
      <c r="L17" s="9" t="s">
        <v>196</v>
      </c>
      <c r="M17" s="17" t="s">
        <v>184</v>
      </c>
      <c r="N17" s="9">
        <v>137</v>
      </c>
      <c r="O17" s="9">
        <v>5.8</v>
      </c>
    </row>
    <row r="18" spans="1:15" x14ac:dyDescent="0.25">
      <c r="A18" s="8">
        <v>16228684</v>
      </c>
      <c r="B18" s="8" t="s">
        <v>190</v>
      </c>
      <c r="C18" s="9">
        <v>7250204150</v>
      </c>
      <c r="D18" s="8" t="s">
        <v>152</v>
      </c>
      <c r="E18" s="8" t="s">
        <v>44</v>
      </c>
      <c r="F18" s="8" t="s">
        <v>45</v>
      </c>
      <c r="G18" s="8" t="s">
        <v>46</v>
      </c>
      <c r="H18" s="12">
        <v>45952</v>
      </c>
      <c r="I18" s="8" t="s">
        <v>175</v>
      </c>
      <c r="J18" s="9">
        <v>3</v>
      </c>
      <c r="K18" s="9">
        <v>228.47</v>
      </c>
      <c r="L18" s="9" t="s">
        <v>196</v>
      </c>
      <c r="M18" s="17" t="s">
        <v>184</v>
      </c>
      <c r="N18" s="9">
        <v>137</v>
      </c>
      <c r="O18" s="9">
        <v>313</v>
      </c>
    </row>
    <row r="19" spans="1:15" x14ac:dyDescent="0.25">
      <c r="A19" s="10">
        <v>16228684</v>
      </c>
      <c r="B19" s="10" t="s">
        <v>190</v>
      </c>
      <c r="C19" s="11">
        <v>7260018124</v>
      </c>
      <c r="D19" s="10" t="s">
        <v>173</v>
      </c>
      <c r="E19" s="10" t="s">
        <v>125</v>
      </c>
      <c r="F19" s="10" t="s">
        <v>45</v>
      </c>
      <c r="G19" s="10" t="s">
        <v>46</v>
      </c>
      <c r="H19" s="13">
        <v>46044</v>
      </c>
      <c r="I19" s="13">
        <v>46409</v>
      </c>
      <c r="J19" s="11">
        <v>12</v>
      </c>
      <c r="K19" s="11">
        <v>1519.75</v>
      </c>
      <c r="L19" s="11" t="s">
        <v>196</v>
      </c>
      <c r="M19" s="8" t="s">
        <v>184</v>
      </c>
      <c r="N19" s="11">
        <v>137</v>
      </c>
      <c r="O19" s="11">
        <v>2082.06</v>
      </c>
    </row>
    <row r="20" spans="1:15" x14ac:dyDescent="0.25">
      <c r="A20" s="10">
        <v>16228684</v>
      </c>
      <c r="B20" s="10" t="s">
        <v>190</v>
      </c>
      <c r="C20" s="11">
        <v>7260018124</v>
      </c>
      <c r="D20" s="10" t="s">
        <v>173</v>
      </c>
      <c r="E20" s="10" t="s">
        <v>125</v>
      </c>
      <c r="F20" s="10" t="s">
        <v>45</v>
      </c>
      <c r="G20" s="10" t="s">
        <v>46</v>
      </c>
      <c r="H20" s="13">
        <v>46044</v>
      </c>
      <c r="I20" s="13">
        <v>46409</v>
      </c>
      <c r="J20" s="11">
        <v>12</v>
      </c>
      <c r="K20" s="11">
        <v>54.25</v>
      </c>
      <c r="L20" s="11" t="s">
        <v>196</v>
      </c>
      <c r="M20" s="8" t="s">
        <v>184</v>
      </c>
      <c r="N20" s="11">
        <v>137</v>
      </c>
      <c r="O20" s="11">
        <v>74.319999999999993</v>
      </c>
    </row>
    <row r="21" spans="1:15" s="10" customFormat="1" x14ac:dyDescent="0.25">
      <c r="A21" s="8">
        <v>8977234</v>
      </c>
      <c r="B21" s="8" t="s">
        <v>186</v>
      </c>
      <c r="C21" s="9">
        <v>6250161714</v>
      </c>
      <c r="D21" s="8" t="s">
        <v>155</v>
      </c>
      <c r="E21" s="8" t="s">
        <v>44</v>
      </c>
      <c r="F21" s="8" t="s">
        <v>45</v>
      </c>
      <c r="G21" s="8" t="s">
        <v>46</v>
      </c>
      <c r="H21" s="12">
        <v>45952</v>
      </c>
      <c r="I21" s="8" t="s">
        <v>175</v>
      </c>
      <c r="J21" s="9">
        <v>3</v>
      </c>
      <c r="K21" s="9">
        <v>127.4</v>
      </c>
      <c r="L21" s="9" t="s">
        <v>196</v>
      </c>
      <c r="M21" s="8" t="s">
        <v>181</v>
      </c>
      <c r="N21" s="9">
        <v>90</v>
      </c>
      <c r="O21" s="9">
        <v>114.66</v>
      </c>
    </row>
    <row r="22" spans="1:15" s="14" customFormat="1" x14ac:dyDescent="0.25">
      <c r="A22" s="8">
        <v>19491313</v>
      </c>
      <c r="B22" s="8" t="s">
        <v>188</v>
      </c>
      <c r="C22" s="9">
        <v>7250149911</v>
      </c>
      <c r="D22" s="8" t="s">
        <v>167</v>
      </c>
      <c r="E22" s="8" t="s">
        <v>44</v>
      </c>
      <c r="F22" s="8" t="s">
        <v>45</v>
      </c>
      <c r="G22" s="8" t="s">
        <v>46</v>
      </c>
      <c r="H22" s="12">
        <v>45920</v>
      </c>
      <c r="I22" s="8" t="s">
        <v>179</v>
      </c>
      <c r="J22" s="9">
        <v>4</v>
      </c>
      <c r="K22" s="9">
        <v>32.270000000000003</v>
      </c>
      <c r="L22" s="9" t="s">
        <v>194</v>
      </c>
      <c r="M22" s="8" t="s">
        <v>183</v>
      </c>
      <c r="N22" s="9">
        <v>94.5</v>
      </c>
      <c r="O22" s="9">
        <v>30.5</v>
      </c>
    </row>
    <row r="23" spans="1:15" x14ac:dyDescent="0.25">
      <c r="A23" s="8">
        <v>19491313</v>
      </c>
      <c r="B23" s="8" t="s">
        <v>188</v>
      </c>
      <c r="C23" s="9">
        <v>7250149956</v>
      </c>
      <c r="D23" s="8" t="s">
        <v>166</v>
      </c>
      <c r="E23" s="8" t="s">
        <v>44</v>
      </c>
      <c r="F23" s="8" t="s">
        <v>45</v>
      </c>
      <c r="G23" s="8" t="s">
        <v>46</v>
      </c>
      <c r="H23" s="12">
        <v>45920</v>
      </c>
      <c r="I23" s="8" t="s">
        <v>179</v>
      </c>
      <c r="J23" s="9">
        <v>4</v>
      </c>
      <c r="K23" s="9">
        <v>48.96</v>
      </c>
      <c r="L23" s="9" t="s">
        <v>194</v>
      </c>
      <c r="M23" s="8" t="s">
        <v>183</v>
      </c>
      <c r="N23" s="9">
        <v>94.5</v>
      </c>
      <c r="O23" s="9">
        <v>46.27</v>
      </c>
    </row>
    <row r="24" spans="1:15" x14ac:dyDescent="0.25">
      <c r="A24" s="8">
        <v>19491313</v>
      </c>
      <c r="B24" s="8" t="s">
        <v>188</v>
      </c>
      <c r="C24" s="9">
        <v>7250171087</v>
      </c>
      <c r="D24" s="8" t="s">
        <v>168</v>
      </c>
      <c r="E24" s="8" t="s">
        <v>44</v>
      </c>
      <c r="F24" s="8" t="s">
        <v>45</v>
      </c>
      <c r="G24" s="8" t="s">
        <v>46</v>
      </c>
      <c r="H24" s="12">
        <v>45920</v>
      </c>
      <c r="I24" s="8" t="s">
        <v>179</v>
      </c>
      <c r="J24" s="9">
        <v>4</v>
      </c>
      <c r="K24" s="9">
        <v>77.55</v>
      </c>
      <c r="L24" s="9" t="s">
        <v>194</v>
      </c>
      <c r="M24" s="17" t="s">
        <v>184</v>
      </c>
      <c r="N24" s="9">
        <v>137</v>
      </c>
      <c r="O24" s="9">
        <v>106.24</v>
      </c>
    </row>
    <row r="25" spans="1:15" x14ac:dyDescent="0.25">
      <c r="A25" s="8">
        <v>19491313</v>
      </c>
      <c r="B25" s="8" t="s">
        <v>188</v>
      </c>
      <c r="C25" s="9">
        <v>7250171145</v>
      </c>
      <c r="D25" s="8" t="s">
        <v>165</v>
      </c>
      <c r="E25" s="8" t="s">
        <v>44</v>
      </c>
      <c r="F25" s="8" t="s">
        <v>45</v>
      </c>
      <c r="G25" s="8" t="s">
        <v>46</v>
      </c>
      <c r="H25" s="12">
        <v>45920</v>
      </c>
      <c r="I25" s="8" t="s">
        <v>179</v>
      </c>
      <c r="J25" s="9">
        <v>4</v>
      </c>
      <c r="K25" s="9">
        <v>52.8</v>
      </c>
      <c r="L25" s="9" t="s">
        <v>194</v>
      </c>
      <c r="M25" s="17" t="s">
        <v>184</v>
      </c>
      <c r="N25" s="9">
        <v>137</v>
      </c>
      <c r="O25" s="9">
        <v>72.34</v>
      </c>
    </row>
  </sheetData>
  <autoFilter ref="A1:O25" xr:uid="{34021800-2AC3-40E3-9222-F9F4E7B0654F}">
    <sortState xmlns:xlrd2="http://schemas.microsoft.com/office/spreadsheetml/2017/richdata2" ref="A2:O25">
      <sortCondition ref="B1:B25"/>
    </sortState>
  </autoFilter>
  <sortState xmlns:xlrd2="http://schemas.microsoft.com/office/spreadsheetml/2017/richdata2" ref="A2:O25">
    <sortCondition ref="C2:C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A91C-F14B-4C03-98A9-1BE934F2B961}">
  <dimension ref="A1:C24"/>
  <sheetViews>
    <sheetView workbookViewId="0">
      <selection activeCell="C1" sqref="C1:C24"/>
    </sheetView>
  </sheetViews>
  <sheetFormatPr defaultRowHeight="15" x14ac:dyDescent="0.25"/>
  <cols>
    <col min="1" max="1" width="11" bestFit="1" customWidth="1"/>
  </cols>
  <sheetData>
    <row r="1" spans="1:3" x14ac:dyDescent="0.25">
      <c r="A1" s="12">
        <v>45735</v>
      </c>
      <c r="B1" s="8" t="s">
        <v>174</v>
      </c>
      <c r="C1">
        <f>DATEDIF(A1,B1,"M")</f>
        <v>10</v>
      </c>
    </row>
    <row r="2" spans="1:3" x14ac:dyDescent="0.25">
      <c r="A2" s="12">
        <v>45952</v>
      </c>
      <c r="B2" s="8" t="s">
        <v>175</v>
      </c>
      <c r="C2">
        <f t="shared" ref="C2:C24" si="0">DATEDIF(A2,B2,"M")</f>
        <v>3</v>
      </c>
    </row>
    <row r="3" spans="1:3" x14ac:dyDescent="0.25">
      <c r="A3" s="12">
        <v>45770</v>
      </c>
      <c r="B3" s="8" t="s">
        <v>177</v>
      </c>
      <c r="C3">
        <f t="shared" si="0"/>
        <v>9</v>
      </c>
    </row>
    <row r="4" spans="1:3" x14ac:dyDescent="0.25">
      <c r="A4" s="12">
        <v>45920</v>
      </c>
      <c r="B4" s="8" t="s">
        <v>179</v>
      </c>
      <c r="C4">
        <f t="shared" si="0"/>
        <v>4</v>
      </c>
    </row>
    <row r="5" spans="1:3" x14ac:dyDescent="0.25">
      <c r="A5" s="12">
        <v>45920</v>
      </c>
      <c r="B5" s="8" t="s">
        <v>179</v>
      </c>
      <c r="C5">
        <f t="shared" si="0"/>
        <v>4</v>
      </c>
    </row>
    <row r="6" spans="1:3" x14ac:dyDescent="0.25">
      <c r="A6" s="12">
        <v>45923</v>
      </c>
      <c r="B6" s="8" t="s">
        <v>177</v>
      </c>
      <c r="C6">
        <f t="shared" si="0"/>
        <v>4</v>
      </c>
    </row>
    <row r="7" spans="1:3" x14ac:dyDescent="0.25">
      <c r="A7" s="12">
        <v>45979</v>
      </c>
      <c r="B7" s="8" t="s">
        <v>171</v>
      </c>
      <c r="C7">
        <f t="shared" si="0"/>
        <v>2</v>
      </c>
    </row>
    <row r="8" spans="1:3" x14ac:dyDescent="0.25">
      <c r="A8" s="16">
        <v>45768</v>
      </c>
      <c r="B8" s="14" t="s">
        <v>176</v>
      </c>
      <c r="C8">
        <f t="shared" si="0"/>
        <v>9</v>
      </c>
    </row>
    <row r="9" spans="1:3" x14ac:dyDescent="0.25">
      <c r="A9" s="16">
        <v>45768</v>
      </c>
      <c r="B9" s="14" t="s">
        <v>176</v>
      </c>
      <c r="C9">
        <f t="shared" si="0"/>
        <v>9</v>
      </c>
    </row>
    <row r="10" spans="1:3" x14ac:dyDescent="0.25">
      <c r="A10" s="12">
        <v>45854</v>
      </c>
      <c r="B10" s="8" t="s">
        <v>178</v>
      </c>
      <c r="C10">
        <f t="shared" si="0"/>
        <v>6</v>
      </c>
    </row>
    <row r="11" spans="1:3" x14ac:dyDescent="0.25">
      <c r="A11" s="12">
        <v>45860</v>
      </c>
      <c r="B11" s="8" t="s">
        <v>175</v>
      </c>
      <c r="C11">
        <f t="shared" si="0"/>
        <v>6</v>
      </c>
    </row>
    <row r="12" spans="1:3" x14ac:dyDescent="0.25">
      <c r="A12" s="12">
        <v>45860</v>
      </c>
      <c r="B12" s="8" t="s">
        <v>175</v>
      </c>
      <c r="C12">
        <f t="shared" si="0"/>
        <v>6</v>
      </c>
    </row>
    <row r="13" spans="1:3" x14ac:dyDescent="0.25">
      <c r="A13" s="12">
        <v>45861</v>
      </c>
      <c r="B13" s="8" t="s">
        <v>177</v>
      </c>
      <c r="C13">
        <f t="shared" si="0"/>
        <v>6</v>
      </c>
    </row>
    <row r="14" spans="1:3" x14ac:dyDescent="0.25">
      <c r="A14" s="12">
        <v>45888</v>
      </c>
      <c r="B14" s="8" t="s">
        <v>174</v>
      </c>
      <c r="C14">
        <f t="shared" si="0"/>
        <v>5</v>
      </c>
    </row>
    <row r="15" spans="1:3" x14ac:dyDescent="0.25">
      <c r="A15" s="12">
        <v>45888</v>
      </c>
      <c r="B15" s="8" t="s">
        <v>174</v>
      </c>
      <c r="C15">
        <f t="shared" si="0"/>
        <v>5</v>
      </c>
    </row>
    <row r="16" spans="1:3" x14ac:dyDescent="0.25">
      <c r="A16" s="12">
        <v>45910</v>
      </c>
      <c r="B16" s="8" t="s">
        <v>180</v>
      </c>
      <c r="C16">
        <f t="shared" si="0"/>
        <v>4</v>
      </c>
    </row>
    <row r="17" spans="1:3" x14ac:dyDescent="0.25">
      <c r="A17" s="12">
        <v>45920</v>
      </c>
      <c r="B17" s="8" t="s">
        <v>179</v>
      </c>
      <c r="C17">
        <f t="shared" si="0"/>
        <v>4</v>
      </c>
    </row>
    <row r="18" spans="1:3" x14ac:dyDescent="0.25">
      <c r="A18" s="12">
        <v>45920</v>
      </c>
      <c r="B18" s="8" t="s">
        <v>179</v>
      </c>
      <c r="C18">
        <f t="shared" si="0"/>
        <v>4</v>
      </c>
    </row>
    <row r="19" spans="1:3" x14ac:dyDescent="0.25">
      <c r="A19" s="12">
        <v>45952</v>
      </c>
      <c r="B19" s="8" t="s">
        <v>175</v>
      </c>
      <c r="C19">
        <f t="shared" si="0"/>
        <v>3</v>
      </c>
    </row>
    <row r="20" spans="1:3" x14ac:dyDescent="0.25">
      <c r="A20" s="12">
        <v>45980</v>
      </c>
      <c r="B20" s="8" t="s">
        <v>174</v>
      </c>
      <c r="C20">
        <f t="shared" si="0"/>
        <v>2</v>
      </c>
    </row>
    <row r="21" spans="1:3" x14ac:dyDescent="0.25">
      <c r="A21" s="12">
        <v>46014</v>
      </c>
      <c r="B21" s="8" t="s">
        <v>177</v>
      </c>
      <c r="C21">
        <f t="shared" si="0"/>
        <v>1</v>
      </c>
    </row>
    <row r="22" spans="1:3" x14ac:dyDescent="0.25">
      <c r="A22" s="12">
        <v>46014</v>
      </c>
      <c r="B22" s="8" t="s">
        <v>177</v>
      </c>
      <c r="C22">
        <f t="shared" si="0"/>
        <v>1</v>
      </c>
    </row>
    <row r="23" spans="1:3" x14ac:dyDescent="0.25">
      <c r="A23" s="13">
        <v>46044</v>
      </c>
      <c r="B23" s="13">
        <v>46409</v>
      </c>
      <c r="C23">
        <f t="shared" si="0"/>
        <v>12</v>
      </c>
    </row>
    <row r="24" spans="1:3" x14ac:dyDescent="0.25">
      <c r="A24" s="13">
        <v>46044</v>
      </c>
      <c r="B24" s="13">
        <v>46409</v>
      </c>
      <c r="C24">
        <f t="shared" si="0"/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Commission_Statement_Details_Re</vt:lpstr>
      <vt:lpstr>clean sheet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2026-01-27T20:59:12Z</dcterms:modified>
</cp:coreProperties>
</file>