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5-27-25\"/>
    </mc:Choice>
  </mc:AlternateContent>
  <xr:revisionPtr revIDLastSave="0" documentId="13_ncr:1_{47767B81-D6CC-4FFB-8C56-1AD73703D087}" xr6:coauthVersionLast="47" xr6:coauthVersionMax="47" xr10:uidLastSave="{00000000-0000-0000-0000-000000000000}"/>
  <bookViews>
    <workbookView xWindow="28680" yWindow="-120" windowWidth="29040" windowHeight="16440" activeTab="1" xr2:uid="{BCDF6515-7ECA-4D38-8096-8A612FD852AF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2" l="1"/>
  <c r="E57" i="2"/>
  <c r="E42" i="2"/>
  <c r="E41" i="2"/>
  <c r="E40" i="2"/>
  <c r="E24" i="2"/>
  <c r="E23" i="2"/>
  <c r="E22" i="2"/>
  <c r="E16" i="2"/>
  <c r="E15" i="2"/>
  <c r="E46" i="2"/>
  <c r="E45" i="2"/>
  <c r="E44" i="2"/>
  <c r="E43" i="2"/>
  <c r="E61" i="2"/>
  <c r="E60" i="2"/>
  <c r="E59" i="2"/>
  <c r="E56" i="2"/>
  <c r="E55" i="2"/>
  <c r="E54" i="2"/>
  <c r="E53" i="2"/>
  <c r="E52" i="2"/>
  <c r="E51" i="2"/>
  <c r="E50" i="2"/>
  <c r="E49" i="2"/>
  <c r="E48" i="2"/>
  <c r="E47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1" i="2"/>
  <c r="E20" i="2"/>
  <c r="E19" i="2"/>
  <c r="E18" i="2"/>
  <c r="E17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<sst xmlns="http://schemas.openxmlformats.org/spreadsheetml/2006/main" count="849" uniqueCount="165">
  <si>
    <t>Payee</t>
  </si>
  <si>
    <t>Writing Agent</t>
  </si>
  <si>
    <t>Writing Agent NPN</t>
  </si>
  <si>
    <t>Customer Name</t>
  </si>
  <si>
    <t>Subscriber ID</t>
  </si>
  <si>
    <t>State</t>
  </si>
  <si>
    <t>Effective Date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</si>
  <si>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</si>
  <si>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</si>
  <si>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</si>
  <si>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</si>
  <si>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</si>
  <si>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</si>
  <si>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</si>
  <si>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</si>
  <si>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</si>
  <si>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ANDREW GOODMAN</t>
  </si>
  <si>
    <t>SANTO, ADELE SANTO</t>
  </si>
  <si>
    <t>42T0F9</t>
  </si>
  <si>
    <t>SC</t>
  </si>
  <si>
    <t xml:space="preserve"> </t>
  </si>
  <si>
    <t>Dental, IVDPPO</t>
  </si>
  <si>
    <t>BRIAN STROHMAN</t>
  </si>
  <si>
    <t>KENNEDY, STACY</t>
  </si>
  <si>
    <t>06P64N</t>
  </si>
  <si>
    <t>WI</t>
  </si>
  <si>
    <t>ADELMAN, MARC</t>
  </si>
  <si>
    <t>14NW31</t>
  </si>
  <si>
    <t>IL</t>
  </si>
  <si>
    <t>BARMORE, CHINALISA</t>
  </si>
  <si>
    <t>22T8R6</t>
  </si>
  <si>
    <t>SESSLER, WENDY</t>
  </si>
  <si>
    <t>38Q22K</t>
  </si>
  <si>
    <t>RENDON, JOSE</t>
  </si>
  <si>
    <t>82PX55</t>
  </si>
  <si>
    <t>MELNICK, MICHAEL</t>
  </si>
  <si>
    <t>47N6E8</t>
  </si>
  <si>
    <t>CAROL FOLEY</t>
  </si>
  <si>
    <t>DEPHILLIPS, DEVON</t>
  </si>
  <si>
    <t>0J4F07</t>
  </si>
  <si>
    <t>BRAZELTON, KYLEE</t>
  </si>
  <si>
    <t>41Q71G</t>
  </si>
  <si>
    <t>FL-S</t>
  </si>
  <si>
    <t>KELLY, ISAIAH</t>
  </si>
  <si>
    <t>12PY60</t>
  </si>
  <si>
    <t>DE</t>
  </si>
  <si>
    <t>KALOKOH, NENNEH</t>
  </si>
  <si>
    <t>62R96P</t>
  </si>
  <si>
    <t>PA</t>
  </si>
  <si>
    <t>RUPERT, CATHERINE</t>
  </si>
  <si>
    <t>70P2B9</t>
  </si>
  <si>
    <t>HEWLETT, RASHIDA</t>
  </si>
  <si>
    <t>72N6G9</t>
  </si>
  <si>
    <t>WARNER, REGINALD</t>
  </si>
  <si>
    <t>80QC76</t>
  </si>
  <si>
    <t>BALAWEJDER, QWENTON</t>
  </si>
  <si>
    <t>87PH60</t>
  </si>
  <si>
    <t>HEATHER GESKE</t>
  </si>
  <si>
    <t>JORDAN, SUSAN</t>
  </si>
  <si>
    <t>06UY15</t>
  </si>
  <si>
    <t>CO</t>
  </si>
  <si>
    <t>DICKEY-JONES, NADIIRA</t>
  </si>
  <si>
    <t>72P58Q</t>
  </si>
  <si>
    <t>PHILBIN, SARA</t>
  </si>
  <si>
    <t>88T35K</t>
  </si>
  <si>
    <t>REGGI, DESIREE</t>
  </si>
  <si>
    <t>16R2Q4</t>
  </si>
  <si>
    <t>PLAYER, LENA</t>
  </si>
  <si>
    <t>16RT86</t>
  </si>
  <si>
    <t>LEFEVER, BETTE</t>
  </si>
  <si>
    <t>69T3N9</t>
  </si>
  <si>
    <t>TRUJILLO, JOHN</t>
  </si>
  <si>
    <t>91PB62</t>
  </si>
  <si>
    <t>06UY14</t>
  </si>
  <si>
    <t>JACOB YALE</t>
  </si>
  <si>
    <t>PHELAN, RYAN</t>
  </si>
  <si>
    <t>08P50D</t>
  </si>
  <si>
    <t>WILTGEN, LAWRENCE</t>
  </si>
  <si>
    <t>95TK06</t>
  </si>
  <si>
    <t>JARED KINYUA</t>
  </si>
  <si>
    <t>OBI, FLORENCE</t>
  </si>
  <si>
    <t>07QM57</t>
  </si>
  <si>
    <t>MD</t>
  </si>
  <si>
    <t>EDMONDS, TONYA</t>
  </si>
  <si>
    <t>08R7V6</t>
  </si>
  <si>
    <t>VIDES OSORIO, CARLOS</t>
  </si>
  <si>
    <t>09R89N</t>
  </si>
  <si>
    <t>MAYE, LEA</t>
  </si>
  <si>
    <t>21Q1B0</t>
  </si>
  <si>
    <t>HAIDAU, CORNELIA</t>
  </si>
  <si>
    <t>28PY20</t>
  </si>
  <si>
    <t>WANI, ASHAQ</t>
  </si>
  <si>
    <t>33PJ95</t>
  </si>
  <si>
    <t>TORO, PIER</t>
  </si>
  <si>
    <t>39Q9Q0</t>
  </si>
  <si>
    <t>FREDERICK, JEAN</t>
  </si>
  <si>
    <t>94N25Y</t>
  </si>
  <si>
    <t>FRANCIS, CAROLINE</t>
  </si>
  <si>
    <t>95Q10L</t>
  </si>
  <si>
    <t>TX</t>
  </si>
  <si>
    <t>JOEL LEE</t>
  </si>
  <si>
    <t>EDMISTON, AJA</t>
  </si>
  <si>
    <t>04N2X0</t>
  </si>
  <si>
    <t>BRUCKMAN, VALERIE</t>
  </si>
  <si>
    <t>41Q3R2</t>
  </si>
  <si>
    <t>GODDARD, SUSAN</t>
  </si>
  <si>
    <t>41R91U</t>
  </si>
  <si>
    <t>DEUTSCH, TIFFANY</t>
  </si>
  <si>
    <t>88RH06</t>
  </si>
  <si>
    <t>CULTON, EVA</t>
  </si>
  <si>
    <t>39T05J</t>
  </si>
  <si>
    <t>CHAFFIN, KATHRYN</t>
  </si>
  <si>
    <t>61N2C4</t>
  </si>
  <si>
    <t>SNOOK, EMRIE</t>
  </si>
  <si>
    <t>81P98F</t>
  </si>
  <si>
    <t>MICHAEL DUNAVANT</t>
  </si>
  <si>
    <t>BLOODWORTH, BRYAN</t>
  </si>
  <si>
    <t>03P25D</t>
  </si>
  <si>
    <t>WILLS, JENNIFER</t>
  </si>
  <si>
    <t>04R42R</t>
  </si>
  <si>
    <t>REIS, RAYMOND</t>
  </si>
  <si>
    <t>46R1Q0</t>
  </si>
  <si>
    <t>BUTLER MAGSOMBOL, ANGELA</t>
  </si>
  <si>
    <t>56Q3B8</t>
  </si>
  <si>
    <t>MCCULLOUGH, ELENA</t>
  </si>
  <si>
    <t>42T1F6</t>
  </si>
  <si>
    <t>JENSEN, BRIAN</t>
  </si>
  <si>
    <t>58P14V</t>
  </si>
  <si>
    <t>HOWE, PATRICIA</t>
  </si>
  <si>
    <t>30RQ52</t>
  </si>
  <si>
    <t>MCBRIDE, STEVEN</t>
  </si>
  <si>
    <t>60Q27N</t>
  </si>
  <si>
    <t>WALLACE, PAULA</t>
  </si>
  <si>
    <t>62R17P</t>
  </si>
  <si>
    <t>MORRIS, LINDA</t>
  </si>
  <si>
    <t>64RC60</t>
  </si>
  <si>
    <t>PAMELA DEATON</t>
  </si>
  <si>
    <t>MISSAKASAVAKE, THANADOBI</t>
  </si>
  <si>
    <t>38Q40Y</t>
  </si>
  <si>
    <t>CRUMP, SCOTT</t>
  </si>
  <si>
    <t>18RY53</t>
  </si>
  <si>
    <t>RICHARD YALE</t>
  </si>
  <si>
    <t>STOTTER, JAKE</t>
  </si>
  <si>
    <t>31TG75</t>
  </si>
  <si>
    <t>STOTTER, THOMAS</t>
  </si>
  <si>
    <t>31TG87</t>
  </si>
  <si>
    <t>RYAN CALTAGIRONE</t>
  </si>
  <si>
    <t>RAWDING, LISA</t>
  </si>
  <si>
    <t>46DX33</t>
  </si>
  <si>
    <t>RAPPAPORT, CONSTANCE</t>
  </si>
  <si>
    <t>8PJ653</t>
  </si>
  <si>
    <t>SCOTT FINE</t>
  </si>
  <si>
    <t>SOREN, SCOTT</t>
  </si>
  <si>
    <t>24R79F</t>
  </si>
  <si>
    <t>GRIECO, JOSEPH</t>
  </si>
  <si>
    <t>65R42C</t>
  </si>
  <si>
    <t>THOMAS KUCAN</t>
  </si>
  <si>
    <t>ARRICH, MICHAEL</t>
  </si>
  <si>
    <t>80TQ84</t>
  </si>
  <si>
    <t>Total</t>
  </si>
  <si>
    <t>Cigna Dental</t>
  </si>
  <si>
    <t>Cigna DVH</t>
  </si>
  <si>
    <t>Cigna 2025 AZ, CO, IL</t>
  </si>
  <si>
    <t>Cigna - FL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</si>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</sst>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4" fontId="4" fillId="0" borderId="1" xfId="1" applyFont="1" applyBorder="1"/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4" fontId="2" fillId="0" borderId="0" xfId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4" fontId="4" fillId="0" borderId="0" xfId="1" applyFont="1" applyFill="1" applyBorder="1"/>
    <xf numFmtId="44" fontId="0" fillId="0" borderId="0" xfId="0" applyNumberForma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44" fontId="7" fillId="0" borderId="0" xfId="1" applyFont="1" applyFill="1" applyBorder="1"/>
    <xf numFmtId="0" fontId="6" fillId="0" borderId="0" xfId="0" applyFont="1"/>
    <xf numFmtId="44" fontId="6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087F-10F5-402C-BD39-BC5727327A91}">
  <dimension ref="A1:M62"/>
  <sheetViews>
    <sheetView workbookViewId="0">
      <selection sqref="A1:XFD1048576"/>
    </sheetView>
  </sheetViews>
  <sheetFormatPr defaultRowHeight="15" x14ac:dyDescent="0.25"/>
  <cols>
    <col min="1" max="1" width="26" customWidth="1"/>
    <col min="2" max="2" width="34.28515625" customWidth="1"/>
    <col min="3" max="3" width="14" customWidth="1"/>
    <col min="4" max="4" width="33.42578125" customWidth="1"/>
    <col min="5" max="5" width="12.140625" customWidth="1"/>
    <col min="6" max="6" width="8.140625" customWidth="1"/>
    <col min="7" max="7" width="12.28515625" customWidth="1"/>
    <col min="8" max="8" width="8.7109375" customWidth="1"/>
    <col min="9" max="9" width="11.5703125" customWidth="1"/>
    <col min="10" max="10" width="17" customWidth="1"/>
    <col min="11" max="11" width="12.28515625" customWidth="1"/>
    <col min="12" max="12" width="9" customWidth="1"/>
    <col min="13" max="13" width="13.855468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</row>
    <row r="2" spans="1:13" ht="15.75" x14ac:dyDescent="0.25">
      <c r="A2" s="6" t="s">
        <v>15</v>
      </c>
      <c r="B2" s="6" t="s">
        <v>16</v>
      </c>
      <c r="C2" s="7">
        <v>593918</v>
      </c>
      <c r="D2" s="6" t="s">
        <v>17</v>
      </c>
      <c r="E2" s="6" t="s">
        <v>18</v>
      </c>
      <c r="F2" s="8" t="s">
        <v>19</v>
      </c>
      <c r="G2" s="9">
        <v>45748</v>
      </c>
      <c r="H2" s="6" t="s">
        <v>20</v>
      </c>
      <c r="I2" s="6">
        <v>20250501</v>
      </c>
      <c r="J2" s="6" t="s">
        <v>21</v>
      </c>
      <c r="K2" s="10">
        <v>66.599999999999994</v>
      </c>
      <c r="L2" s="6">
        <v>0.2</v>
      </c>
      <c r="M2" s="10">
        <v>13.32</v>
      </c>
    </row>
    <row r="3" spans="1:13" ht="15.75" x14ac:dyDescent="0.25">
      <c r="A3" s="6" t="s">
        <v>15</v>
      </c>
      <c r="B3" s="6" t="s">
        <v>22</v>
      </c>
      <c r="C3" s="7">
        <v>21104854</v>
      </c>
      <c r="D3" s="6" t="s">
        <v>23</v>
      </c>
      <c r="E3" s="6" t="s">
        <v>24</v>
      </c>
      <c r="F3" s="8" t="s">
        <v>25</v>
      </c>
      <c r="G3" s="9">
        <v>45778</v>
      </c>
      <c r="H3" s="6" t="s">
        <v>20</v>
      </c>
      <c r="I3" s="6">
        <v>20250501</v>
      </c>
      <c r="J3" s="6" t="s">
        <v>21</v>
      </c>
      <c r="K3" s="10">
        <v>52.45</v>
      </c>
      <c r="L3" s="6">
        <v>0.2</v>
      </c>
      <c r="M3" s="10">
        <v>10.490000000000002</v>
      </c>
    </row>
    <row r="4" spans="1:13" ht="15.75" x14ac:dyDescent="0.25">
      <c r="A4" s="6" t="s">
        <v>15</v>
      </c>
      <c r="B4" s="6" t="s">
        <v>22</v>
      </c>
      <c r="C4" s="7">
        <v>21104854</v>
      </c>
      <c r="D4" s="6" t="s">
        <v>26</v>
      </c>
      <c r="E4" s="6" t="s">
        <v>27</v>
      </c>
      <c r="F4" s="8" t="s">
        <v>28</v>
      </c>
      <c r="G4" s="9">
        <v>45778</v>
      </c>
      <c r="H4" s="6" t="s">
        <v>20</v>
      </c>
      <c r="I4" s="6">
        <v>20250501</v>
      </c>
      <c r="J4" s="6" t="s">
        <v>21</v>
      </c>
      <c r="K4" s="10">
        <v>120.15</v>
      </c>
      <c r="L4" s="6">
        <v>0.2</v>
      </c>
      <c r="M4" s="10">
        <v>24.03</v>
      </c>
    </row>
    <row r="5" spans="1:13" ht="15.75" x14ac:dyDescent="0.25">
      <c r="A5" s="6" t="s">
        <v>15</v>
      </c>
      <c r="B5" s="6" t="s">
        <v>22</v>
      </c>
      <c r="C5" s="7">
        <v>21104854</v>
      </c>
      <c r="D5" s="6" t="s">
        <v>29</v>
      </c>
      <c r="E5" s="6" t="s">
        <v>30</v>
      </c>
      <c r="F5" s="8" t="s">
        <v>28</v>
      </c>
      <c r="G5" s="9">
        <v>45778</v>
      </c>
      <c r="H5" s="6" t="s">
        <v>20</v>
      </c>
      <c r="I5" s="6">
        <v>20250501</v>
      </c>
      <c r="J5" s="6" t="s">
        <v>21</v>
      </c>
      <c r="K5" s="10">
        <v>34.17</v>
      </c>
      <c r="L5" s="6">
        <v>0.2</v>
      </c>
      <c r="M5" s="10">
        <v>6.8340000000000005</v>
      </c>
    </row>
    <row r="6" spans="1:13" ht="15.75" x14ac:dyDescent="0.25">
      <c r="A6" s="6" t="s">
        <v>15</v>
      </c>
      <c r="B6" s="6" t="s">
        <v>22</v>
      </c>
      <c r="C6" s="7">
        <v>21104854</v>
      </c>
      <c r="D6" s="6" t="s">
        <v>31</v>
      </c>
      <c r="E6" s="6" t="s">
        <v>32</v>
      </c>
      <c r="F6" s="8" t="s">
        <v>28</v>
      </c>
      <c r="G6" s="9">
        <v>45778</v>
      </c>
      <c r="H6" s="6" t="s">
        <v>20</v>
      </c>
      <c r="I6" s="6">
        <v>20250501</v>
      </c>
      <c r="J6" s="6" t="s">
        <v>21</v>
      </c>
      <c r="K6" s="10">
        <v>41.44</v>
      </c>
      <c r="L6" s="6">
        <v>0.2</v>
      </c>
      <c r="M6" s="10">
        <v>8.2880000000000003</v>
      </c>
    </row>
    <row r="7" spans="1:13" ht="15.75" x14ac:dyDescent="0.25">
      <c r="A7" s="6" t="s">
        <v>15</v>
      </c>
      <c r="B7" s="6" t="s">
        <v>22</v>
      </c>
      <c r="C7" s="7">
        <v>21104854</v>
      </c>
      <c r="D7" s="6" t="s">
        <v>33</v>
      </c>
      <c r="E7" s="6" t="s">
        <v>34</v>
      </c>
      <c r="F7" s="8" t="s">
        <v>28</v>
      </c>
      <c r="G7" s="9">
        <v>45778</v>
      </c>
      <c r="H7" s="6" t="s">
        <v>20</v>
      </c>
      <c r="I7" s="6">
        <v>20250501</v>
      </c>
      <c r="J7" s="6" t="s">
        <v>21</v>
      </c>
      <c r="K7" s="10">
        <v>41.44</v>
      </c>
      <c r="L7" s="6">
        <v>0.2</v>
      </c>
      <c r="M7" s="10">
        <v>8.2880000000000003</v>
      </c>
    </row>
    <row r="8" spans="1:13" ht="15.75" x14ac:dyDescent="0.25">
      <c r="A8" s="6" t="s">
        <v>15</v>
      </c>
      <c r="B8" s="6" t="s">
        <v>22</v>
      </c>
      <c r="C8" s="7">
        <v>21104854</v>
      </c>
      <c r="D8" s="6" t="s">
        <v>35</v>
      </c>
      <c r="E8" s="6" t="s">
        <v>36</v>
      </c>
      <c r="F8" s="8" t="s">
        <v>28</v>
      </c>
      <c r="G8" s="9">
        <v>45778</v>
      </c>
      <c r="H8" s="6" t="s">
        <v>20</v>
      </c>
      <c r="I8" s="6">
        <v>20250501</v>
      </c>
      <c r="J8" s="6" t="s">
        <v>21</v>
      </c>
      <c r="K8" s="10">
        <v>29</v>
      </c>
      <c r="L8" s="6">
        <v>0.2</v>
      </c>
      <c r="M8" s="10">
        <v>5.8000000000000007</v>
      </c>
    </row>
    <row r="9" spans="1:13" ht="15.75" x14ac:dyDescent="0.25">
      <c r="A9" s="6" t="s">
        <v>15</v>
      </c>
      <c r="B9" s="6" t="s">
        <v>37</v>
      </c>
      <c r="C9" s="7">
        <v>17425766</v>
      </c>
      <c r="D9" s="6" t="s">
        <v>38</v>
      </c>
      <c r="E9" s="6" t="s">
        <v>39</v>
      </c>
      <c r="F9" s="8" t="s">
        <v>13</v>
      </c>
      <c r="G9" s="9">
        <v>45778</v>
      </c>
      <c r="H9" s="6">
        <v>3</v>
      </c>
      <c r="I9" s="6">
        <v>20250501</v>
      </c>
      <c r="J9" s="6" t="s">
        <v>14</v>
      </c>
      <c r="K9" s="10">
        <v>191.23</v>
      </c>
      <c r="L9" s="6">
        <v>27</v>
      </c>
      <c r="M9" s="10">
        <v>81</v>
      </c>
    </row>
    <row r="10" spans="1:13" ht="15.75" x14ac:dyDescent="0.25">
      <c r="A10" s="6" t="s">
        <v>15</v>
      </c>
      <c r="B10" s="6" t="s">
        <v>37</v>
      </c>
      <c r="C10" s="7">
        <v>17425766</v>
      </c>
      <c r="D10" s="6" t="s">
        <v>40</v>
      </c>
      <c r="E10" s="6" t="s">
        <v>41</v>
      </c>
      <c r="F10" s="8" t="s">
        <v>42</v>
      </c>
      <c r="G10" s="9">
        <v>45778</v>
      </c>
      <c r="H10" s="6">
        <v>1</v>
      </c>
      <c r="I10" s="6">
        <v>20250501</v>
      </c>
      <c r="J10" s="6" t="s">
        <v>14</v>
      </c>
      <c r="K10" s="10">
        <v>192.18</v>
      </c>
      <c r="L10" s="6">
        <v>27</v>
      </c>
      <c r="M10" s="10">
        <v>27</v>
      </c>
    </row>
    <row r="11" spans="1:13" ht="15.75" x14ac:dyDescent="0.25">
      <c r="A11" s="6" t="s">
        <v>15</v>
      </c>
      <c r="B11" s="6" t="s">
        <v>37</v>
      </c>
      <c r="C11" s="7">
        <v>17425766</v>
      </c>
      <c r="D11" s="6" t="s">
        <v>43</v>
      </c>
      <c r="E11" s="6" t="s">
        <v>44</v>
      </c>
      <c r="F11" s="8" t="s">
        <v>45</v>
      </c>
      <c r="G11" s="9">
        <v>45778</v>
      </c>
      <c r="H11" s="6" t="s">
        <v>20</v>
      </c>
      <c r="I11" s="6">
        <v>20250501</v>
      </c>
      <c r="J11" s="6" t="s">
        <v>21</v>
      </c>
      <c r="K11" s="10">
        <v>29</v>
      </c>
      <c r="L11" s="6">
        <v>0.2</v>
      </c>
      <c r="M11" s="10">
        <v>5.8000000000000007</v>
      </c>
    </row>
    <row r="12" spans="1:13" ht="15.75" x14ac:dyDescent="0.25">
      <c r="A12" s="6" t="s">
        <v>15</v>
      </c>
      <c r="B12" s="6" t="s">
        <v>37</v>
      </c>
      <c r="C12" s="7">
        <v>17425766</v>
      </c>
      <c r="D12" s="6" t="s">
        <v>46</v>
      </c>
      <c r="E12" s="6" t="s">
        <v>47</v>
      </c>
      <c r="F12" s="8" t="s">
        <v>48</v>
      </c>
      <c r="G12" s="9">
        <v>45778</v>
      </c>
      <c r="H12" s="6" t="s">
        <v>20</v>
      </c>
      <c r="I12" s="6">
        <v>20250501</v>
      </c>
      <c r="J12" s="6" t="s">
        <v>21</v>
      </c>
      <c r="K12" s="10">
        <v>43</v>
      </c>
      <c r="L12" s="6">
        <v>0.2</v>
      </c>
      <c r="M12" s="10">
        <v>8.6</v>
      </c>
    </row>
    <row r="13" spans="1:13" ht="15.75" x14ac:dyDescent="0.25">
      <c r="A13" s="6" t="s">
        <v>15</v>
      </c>
      <c r="B13" s="6" t="s">
        <v>37</v>
      </c>
      <c r="C13" s="7">
        <v>17425766</v>
      </c>
      <c r="D13" s="6" t="s">
        <v>49</v>
      </c>
      <c r="E13" s="6" t="s">
        <v>50</v>
      </c>
      <c r="F13" s="8" t="s">
        <v>48</v>
      </c>
      <c r="G13" s="9">
        <v>45778</v>
      </c>
      <c r="H13" s="6" t="s">
        <v>20</v>
      </c>
      <c r="I13" s="6">
        <v>20250501</v>
      </c>
      <c r="J13" s="6" t="s">
        <v>21</v>
      </c>
      <c r="K13" s="10">
        <v>85.1</v>
      </c>
      <c r="L13" s="6">
        <v>0.2</v>
      </c>
      <c r="M13" s="10">
        <v>17.02</v>
      </c>
    </row>
    <row r="14" spans="1:13" ht="15.75" x14ac:dyDescent="0.25">
      <c r="A14" s="6" t="s">
        <v>15</v>
      </c>
      <c r="B14" s="6" t="s">
        <v>37</v>
      </c>
      <c r="C14" s="7">
        <v>17425766</v>
      </c>
      <c r="D14" s="6" t="s">
        <v>51</v>
      </c>
      <c r="E14" s="6" t="s">
        <v>52</v>
      </c>
      <c r="F14" s="8" t="s">
        <v>48</v>
      </c>
      <c r="G14" s="9">
        <v>45778</v>
      </c>
      <c r="H14" s="6" t="s">
        <v>20</v>
      </c>
      <c r="I14" s="6">
        <v>20250501</v>
      </c>
      <c r="J14" s="6" t="s">
        <v>21</v>
      </c>
      <c r="K14" s="10">
        <v>43</v>
      </c>
      <c r="L14" s="6">
        <v>0.2</v>
      </c>
      <c r="M14" s="10">
        <v>8.6</v>
      </c>
    </row>
    <row r="15" spans="1:13" ht="15.75" x14ac:dyDescent="0.25">
      <c r="A15" s="6" t="s">
        <v>15</v>
      </c>
      <c r="B15" s="6" t="s">
        <v>37</v>
      </c>
      <c r="C15" s="7">
        <v>17425766</v>
      </c>
      <c r="D15" s="6" t="s">
        <v>53</v>
      </c>
      <c r="E15" s="6" t="s">
        <v>54</v>
      </c>
      <c r="F15" s="8" t="s">
        <v>48</v>
      </c>
      <c r="G15" s="9">
        <v>45778</v>
      </c>
      <c r="H15" s="6" t="s">
        <v>20</v>
      </c>
      <c r="I15" s="6">
        <v>20250501</v>
      </c>
      <c r="J15" s="6" t="s">
        <v>21</v>
      </c>
      <c r="K15" s="10">
        <v>43</v>
      </c>
      <c r="L15" s="6">
        <v>0.2</v>
      </c>
      <c r="M15" s="10">
        <v>8.6</v>
      </c>
    </row>
    <row r="16" spans="1:13" ht="15.75" x14ac:dyDescent="0.25">
      <c r="A16" s="6" t="s">
        <v>15</v>
      </c>
      <c r="B16" s="6" t="s">
        <v>37</v>
      </c>
      <c r="C16" s="7">
        <v>17425766</v>
      </c>
      <c r="D16" s="6" t="s">
        <v>55</v>
      </c>
      <c r="E16" s="6" t="s">
        <v>56</v>
      </c>
      <c r="F16" s="8" t="s">
        <v>48</v>
      </c>
      <c r="G16" s="9">
        <v>45778</v>
      </c>
      <c r="H16" s="6" t="s">
        <v>20</v>
      </c>
      <c r="I16" s="6">
        <v>20250501</v>
      </c>
      <c r="J16" s="6" t="s">
        <v>21</v>
      </c>
      <c r="K16" s="10">
        <v>43</v>
      </c>
      <c r="L16" s="6">
        <v>0.2</v>
      </c>
      <c r="M16" s="10">
        <v>8.6</v>
      </c>
    </row>
    <row r="17" spans="1:13" ht="15.75" x14ac:dyDescent="0.25">
      <c r="A17" s="6" t="s">
        <v>15</v>
      </c>
      <c r="B17" s="6" t="s">
        <v>57</v>
      </c>
      <c r="C17" s="7">
        <v>16865615</v>
      </c>
      <c r="D17" s="6" t="s">
        <v>58</v>
      </c>
      <c r="E17" s="6" t="s">
        <v>59</v>
      </c>
      <c r="F17" s="8" t="s">
        <v>60</v>
      </c>
      <c r="G17" s="9">
        <v>45778</v>
      </c>
      <c r="H17" s="6">
        <v>1</v>
      </c>
      <c r="I17" s="6">
        <v>20250501</v>
      </c>
      <c r="J17" s="6" t="s">
        <v>14</v>
      </c>
      <c r="K17" s="10">
        <v>664.82</v>
      </c>
      <c r="L17" s="6">
        <v>20</v>
      </c>
      <c r="M17" s="10">
        <v>20</v>
      </c>
    </row>
    <row r="18" spans="1:13" ht="15.75" x14ac:dyDescent="0.25">
      <c r="A18" s="6" t="s">
        <v>15</v>
      </c>
      <c r="B18" s="6" t="s">
        <v>57</v>
      </c>
      <c r="C18" s="7">
        <v>16865615</v>
      </c>
      <c r="D18" s="6" t="s">
        <v>61</v>
      </c>
      <c r="E18" s="6" t="s">
        <v>62</v>
      </c>
      <c r="F18" s="8" t="s">
        <v>60</v>
      </c>
      <c r="G18" s="9">
        <v>45778</v>
      </c>
      <c r="H18" s="6">
        <v>1</v>
      </c>
      <c r="I18" s="6">
        <v>20250501</v>
      </c>
      <c r="J18" s="6" t="s">
        <v>14</v>
      </c>
      <c r="K18" s="10">
        <v>55.34</v>
      </c>
      <c r="L18" s="6">
        <v>20</v>
      </c>
      <c r="M18" s="10">
        <v>20</v>
      </c>
    </row>
    <row r="19" spans="1:13" ht="15.75" x14ac:dyDescent="0.25">
      <c r="A19" s="6" t="s">
        <v>15</v>
      </c>
      <c r="B19" s="6" t="s">
        <v>57</v>
      </c>
      <c r="C19" s="7">
        <v>16865615</v>
      </c>
      <c r="D19" s="6" t="s">
        <v>63</v>
      </c>
      <c r="E19" s="6" t="s">
        <v>64</v>
      </c>
      <c r="F19" s="8" t="s">
        <v>60</v>
      </c>
      <c r="G19" s="9">
        <v>45778</v>
      </c>
      <c r="H19" s="6">
        <v>1</v>
      </c>
      <c r="I19" s="6">
        <v>20250501</v>
      </c>
      <c r="J19" s="6" t="s">
        <v>14</v>
      </c>
      <c r="K19" s="10">
        <v>165.78</v>
      </c>
      <c r="L19" s="6">
        <v>20</v>
      </c>
      <c r="M19" s="10">
        <v>20</v>
      </c>
    </row>
    <row r="20" spans="1:13" ht="15.75" x14ac:dyDescent="0.25">
      <c r="A20" s="6" t="s">
        <v>15</v>
      </c>
      <c r="B20" s="6" t="s">
        <v>57</v>
      </c>
      <c r="C20" s="7">
        <v>16865615</v>
      </c>
      <c r="D20" s="6" t="s">
        <v>65</v>
      </c>
      <c r="E20" s="6" t="s">
        <v>66</v>
      </c>
      <c r="F20" s="8" t="s">
        <v>28</v>
      </c>
      <c r="G20" s="9">
        <v>45778</v>
      </c>
      <c r="H20" s="6" t="s">
        <v>20</v>
      </c>
      <c r="I20" s="6">
        <v>20250501</v>
      </c>
      <c r="J20" s="6" t="s">
        <v>21</v>
      </c>
      <c r="K20" s="10">
        <v>48.96</v>
      </c>
      <c r="L20" s="6">
        <v>0.2</v>
      </c>
      <c r="M20" s="10">
        <v>9.7920000000000016</v>
      </c>
    </row>
    <row r="21" spans="1:13" ht="15.75" x14ac:dyDescent="0.25">
      <c r="A21" s="6" t="s">
        <v>15</v>
      </c>
      <c r="B21" s="6" t="s">
        <v>57</v>
      </c>
      <c r="C21" s="7">
        <v>16865615</v>
      </c>
      <c r="D21" s="6" t="s">
        <v>67</v>
      </c>
      <c r="E21" s="6" t="s">
        <v>68</v>
      </c>
      <c r="F21" s="8" t="s">
        <v>60</v>
      </c>
      <c r="G21" s="9">
        <v>45778</v>
      </c>
      <c r="H21" s="6" t="s">
        <v>20</v>
      </c>
      <c r="I21" s="6">
        <v>20250501</v>
      </c>
      <c r="J21" s="6" t="s">
        <v>21</v>
      </c>
      <c r="K21" s="10">
        <v>99.32</v>
      </c>
      <c r="L21" s="6">
        <v>0.2</v>
      </c>
      <c r="M21" s="10">
        <v>19.864000000000001</v>
      </c>
    </row>
    <row r="22" spans="1:13" ht="15.75" x14ac:dyDescent="0.25">
      <c r="A22" s="6" t="s">
        <v>15</v>
      </c>
      <c r="B22" s="6" t="s">
        <v>57</v>
      </c>
      <c r="C22" s="7">
        <v>16865615</v>
      </c>
      <c r="D22" s="6" t="s">
        <v>69</v>
      </c>
      <c r="E22" s="6" t="s">
        <v>70</v>
      </c>
      <c r="F22" s="8" t="s">
        <v>60</v>
      </c>
      <c r="G22" s="9">
        <v>45778</v>
      </c>
      <c r="H22" s="6" t="s">
        <v>20</v>
      </c>
      <c r="I22" s="6">
        <v>20250501</v>
      </c>
      <c r="J22" s="6" t="s">
        <v>21</v>
      </c>
      <c r="K22" s="10">
        <v>56.34</v>
      </c>
      <c r="L22" s="6">
        <v>0.2</v>
      </c>
      <c r="M22" s="10">
        <v>11.268000000000001</v>
      </c>
    </row>
    <row r="23" spans="1:13" ht="15.75" x14ac:dyDescent="0.25">
      <c r="A23" s="6" t="s">
        <v>15</v>
      </c>
      <c r="B23" s="6" t="s">
        <v>57</v>
      </c>
      <c r="C23" s="7">
        <v>16865615</v>
      </c>
      <c r="D23" s="6" t="s">
        <v>71</v>
      </c>
      <c r="E23" s="6" t="s">
        <v>72</v>
      </c>
      <c r="F23" s="8" t="s">
        <v>60</v>
      </c>
      <c r="G23" s="9">
        <v>45778</v>
      </c>
      <c r="H23" s="6" t="s">
        <v>20</v>
      </c>
      <c r="I23" s="6">
        <v>20250501</v>
      </c>
      <c r="J23" s="6" t="s">
        <v>21</v>
      </c>
      <c r="K23" s="10">
        <v>64.09</v>
      </c>
      <c r="L23" s="6">
        <v>0.2</v>
      </c>
      <c r="M23" s="10">
        <v>12.818000000000001</v>
      </c>
    </row>
    <row r="24" spans="1:13" ht="15.75" x14ac:dyDescent="0.25">
      <c r="A24" s="6" t="s">
        <v>15</v>
      </c>
      <c r="B24" s="6" t="s">
        <v>57</v>
      </c>
      <c r="C24" s="7">
        <v>16865615</v>
      </c>
      <c r="D24" s="6" t="s">
        <v>58</v>
      </c>
      <c r="E24" s="6" t="s">
        <v>73</v>
      </c>
      <c r="F24" s="8" t="s">
        <v>60</v>
      </c>
      <c r="G24" s="9">
        <v>45778</v>
      </c>
      <c r="H24" s="6" t="s">
        <v>20</v>
      </c>
      <c r="I24" s="6">
        <v>20250501</v>
      </c>
      <c r="J24" s="6" t="s">
        <v>21</v>
      </c>
      <c r="K24" s="10">
        <v>20.99</v>
      </c>
      <c r="L24" s="6">
        <v>0.2</v>
      </c>
      <c r="M24" s="10">
        <v>4.1979999999999995</v>
      </c>
    </row>
    <row r="25" spans="1:13" ht="15.75" x14ac:dyDescent="0.25">
      <c r="A25" s="6" t="s">
        <v>15</v>
      </c>
      <c r="B25" s="6" t="s">
        <v>74</v>
      </c>
      <c r="C25" s="7">
        <v>18754354</v>
      </c>
      <c r="D25" s="6" t="s">
        <v>75</v>
      </c>
      <c r="E25" s="6" t="s">
        <v>76</v>
      </c>
      <c r="F25" s="8" t="s">
        <v>28</v>
      </c>
      <c r="G25" s="9">
        <v>45839</v>
      </c>
      <c r="H25" s="6" t="s">
        <v>20</v>
      </c>
      <c r="I25" s="6">
        <v>20250501</v>
      </c>
      <c r="J25" s="6" t="s">
        <v>21</v>
      </c>
      <c r="K25" s="10">
        <v>157.46</v>
      </c>
      <c r="L25" s="6">
        <v>0.2</v>
      </c>
      <c r="M25" s="10">
        <v>31.492000000000004</v>
      </c>
    </row>
    <row r="26" spans="1:13" ht="15.75" x14ac:dyDescent="0.25">
      <c r="A26" s="6" t="s">
        <v>15</v>
      </c>
      <c r="B26" s="6" t="s">
        <v>74</v>
      </c>
      <c r="C26" s="7">
        <v>18754354</v>
      </c>
      <c r="D26" s="6" t="s">
        <v>77</v>
      </c>
      <c r="E26" s="6" t="s">
        <v>78</v>
      </c>
      <c r="F26" s="8" t="s">
        <v>28</v>
      </c>
      <c r="G26" s="9">
        <v>45839</v>
      </c>
      <c r="H26" s="6" t="s">
        <v>20</v>
      </c>
      <c r="I26" s="6">
        <v>20250501</v>
      </c>
      <c r="J26" s="6" t="s">
        <v>21</v>
      </c>
      <c r="K26" s="10">
        <v>120.17</v>
      </c>
      <c r="L26" s="6">
        <v>0.2</v>
      </c>
      <c r="M26" s="10">
        <v>24.034000000000002</v>
      </c>
    </row>
    <row r="27" spans="1:13" ht="15.75" x14ac:dyDescent="0.25">
      <c r="A27" s="6" t="s">
        <v>15</v>
      </c>
      <c r="B27" s="6" t="s">
        <v>79</v>
      </c>
      <c r="C27" s="7">
        <v>19279958</v>
      </c>
      <c r="D27" s="6" t="s">
        <v>80</v>
      </c>
      <c r="E27" s="6" t="s">
        <v>81</v>
      </c>
      <c r="F27" s="8" t="s">
        <v>82</v>
      </c>
      <c r="G27" s="9">
        <v>45809</v>
      </c>
      <c r="H27" s="6" t="s">
        <v>20</v>
      </c>
      <c r="I27" s="6">
        <v>20250501</v>
      </c>
      <c r="J27" s="6" t="s">
        <v>21</v>
      </c>
      <c r="K27" s="10">
        <v>40.89</v>
      </c>
      <c r="L27" s="6">
        <v>0.2</v>
      </c>
      <c r="M27" s="10">
        <v>8.1780000000000008</v>
      </c>
    </row>
    <row r="28" spans="1:13" ht="15.75" x14ac:dyDescent="0.25">
      <c r="A28" s="6" t="s">
        <v>15</v>
      </c>
      <c r="B28" s="6" t="s">
        <v>79</v>
      </c>
      <c r="C28" s="7">
        <v>19279958</v>
      </c>
      <c r="D28" s="6" t="s">
        <v>83</v>
      </c>
      <c r="E28" s="6" t="s">
        <v>84</v>
      </c>
      <c r="F28" s="8" t="s">
        <v>82</v>
      </c>
      <c r="G28" s="9">
        <v>45809</v>
      </c>
      <c r="H28" s="6" t="s">
        <v>20</v>
      </c>
      <c r="I28" s="6">
        <v>20250501</v>
      </c>
      <c r="J28" s="6" t="s">
        <v>21</v>
      </c>
      <c r="K28" s="10">
        <v>64.17</v>
      </c>
      <c r="L28" s="6">
        <v>0.2</v>
      </c>
      <c r="M28" s="10">
        <v>12.834000000000001</v>
      </c>
    </row>
    <row r="29" spans="1:13" ht="15.75" x14ac:dyDescent="0.25">
      <c r="A29" s="6" t="s">
        <v>15</v>
      </c>
      <c r="B29" s="6" t="s">
        <v>79</v>
      </c>
      <c r="C29" s="7">
        <v>19279958</v>
      </c>
      <c r="D29" s="6" t="s">
        <v>85</v>
      </c>
      <c r="E29" s="6" t="s">
        <v>86</v>
      </c>
      <c r="F29" s="8" t="s">
        <v>82</v>
      </c>
      <c r="G29" s="9">
        <v>45809</v>
      </c>
      <c r="H29" s="6" t="s">
        <v>20</v>
      </c>
      <c r="I29" s="6">
        <v>20250501</v>
      </c>
      <c r="J29" s="6" t="s">
        <v>21</v>
      </c>
      <c r="K29" s="10">
        <v>56.51</v>
      </c>
      <c r="L29" s="6">
        <v>0.2</v>
      </c>
      <c r="M29" s="10">
        <v>11.302</v>
      </c>
    </row>
    <row r="30" spans="1:13" ht="15.75" x14ac:dyDescent="0.25">
      <c r="A30" s="6" t="s">
        <v>15</v>
      </c>
      <c r="B30" s="6" t="s">
        <v>79</v>
      </c>
      <c r="C30" s="7">
        <v>19279958</v>
      </c>
      <c r="D30" s="6" t="s">
        <v>87</v>
      </c>
      <c r="E30" s="6" t="s">
        <v>88</v>
      </c>
      <c r="F30" s="8" t="s">
        <v>82</v>
      </c>
      <c r="G30" s="9">
        <v>45809</v>
      </c>
      <c r="H30" s="6" t="s">
        <v>20</v>
      </c>
      <c r="I30" s="6">
        <v>20250501</v>
      </c>
      <c r="J30" s="6" t="s">
        <v>21</v>
      </c>
      <c r="K30" s="10">
        <v>37.29</v>
      </c>
      <c r="L30" s="6">
        <v>0.2</v>
      </c>
      <c r="M30" s="10">
        <v>7.4580000000000002</v>
      </c>
    </row>
    <row r="31" spans="1:13" ht="15.75" x14ac:dyDescent="0.25">
      <c r="A31" s="6" t="s">
        <v>15</v>
      </c>
      <c r="B31" s="6" t="s">
        <v>79</v>
      </c>
      <c r="C31" s="7">
        <v>19279958</v>
      </c>
      <c r="D31" s="6" t="s">
        <v>89</v>
      </c>
      <c r="E31" s="6" t="s">
        <v>90</v>
      </c>
      <c r="F31" s="8" t="s">
        <v>82</v>
      </c>
      <c r="G31" s="9">
        <v>45809</v>
      </c>
      <c r="H31" s="6" t="s">
        <v>20</v>
      </c>
      <c r="I31" s="6">
        <v>20250501</v>
      </c>
      <c r="J31" s="6" t="s">
        <v>21</v>
      </c>
      <c r="K31" s="10">
        <v>36.92</v>
      </c>
      <c r="L31" s="6">
        <v>0.2</v>
      </c>
      <c r="M31" s="10">
        <v>7.3840000000000003</v>
      </c>
    </row>
    <row r="32" spans="1:13" ht="15.75" x14ac:dyDescent="0.25">
      <c r="A32" s="6" t="s">
        <v>15</v>
      </c>
      <c r="B32" s="6" t="s">
        <v>79</v>
      </c>
      <c r="C32" s="7">
        <v>19279958</v>
      </c>
      <c r="D32" s="6" t="s">
        <v>91</v>
      </c>
      <c r="E32" s="6" t="s">
        <v>92</v>
      </c>
      <c r="F32" s="8" t="s">
        <v>82</v>
      </c>
      <c r="G32" s="9">
        <v>45809</v>
      </c>
      <c r="H32" s="6" t="s">
        <v>20</v>
      </c>
      <c r="I32" s="6">
        <v>20250501</v>
      </c>
      <c r="J32" s="6" t="s">
        <v>21</v>
      </c>
      <c r="K32" s="10">
        <v>54.87</v>
      </c>
      <c r="L32" s="6">
        <v>0.2</v>
      </c>
      <c r="M32" s="10">
        <v>10.974</v>
      </c>
    </row>
    <row r="33" spans="1:13" ht="15.75" x14ac:dyDescent="0.25">
      <c r="A33" s="6" t="s">
        <v>15</v>
      </c>
      <c r="B33" s="6" t="s">
        <v>79</v>
      </c>
      <c r="C33" s="7">
        <v>19279958</v>
      </c>
      <c r="D33" s="6" t="s">
        <v>93</v>
      </c>
      <c r="E33" s="6" t="s">
        <v>94</v>
      </c>
      <c r="F33" s="8" t="s">
        <v>82</v>
      </c>
      <c r="G33" s="9">
        <v>45809</v>
      </c>
      <c r="H33" s="6" t="s">
        <v>20</v>
      </c>
      <c r="I33" s="6">
        <v>20250501</v>
      </c>
      <c r="J33" s="6" t="s">
        <v>21</v>
      </c>
      <c r="K33" s="10">
        <v>72.92</v>
      </c>
      <c r="L33" s="6">
        <v>0.2</v>
      </c>
      <c r="M33" s="10">
        <v>14.584000000000001</v>
      </c>
    </row>
    <row r="34" spans="1:13" ht="15.75" x14ac:dyDescent="0.25">
      <c r="A34" s="6" t="s">
        <v>15</v>
      </c>
      <c r="B34" s="6" t="s">
        <v>79</v>
      </c>
      <c r="C34" s="7">
        <v>19279958</v>
      </c>
      <c r="D34" s="6" t="s">
        <v>95</v>
      </c>
      <c r="E34" s="6" t="s">
        <v>96</v>
      </c>
      <c r="F34" s="8" t="s">
        <v>82</v>
      </c>
      <c r="G34" s="9">
        <v>45809</v>
      </c>
      <c r="H34" s="6" t="s">
        <v>20</v>
      </c>
      <c r="I34" s="6">
        <v>20250501</v>
      </c>
      <c r="J34" s="6" t="s">
        <v>21</v>
      </c>
      <c r="K34" s="10">
        <v>39.700000000000003</v>
      </c>
      <c r="L34" s="6">
        <v>0.2</v>
      </c>
      <c r="M34" s="10">
        <v>7.9400000000000013</v>
      </c>
    </row>
    <row r="35" spans="1:13" ht="15.75" x14ac:dyDescent="0.25">
      <c r="A35" s="6" t="s">
        <v>15</v>
      </c>
      <c r="B35" s="6" t="s">
        <v>79</v>
      </c>
      <c r="C35" s="7">
        <v>19279958</v>
      </c>
      <c r="D35" s="6" t="s">
        <v>97</v>
      </c>
      <c r="E35" s="6" t="s">
        <v>98</v>
      </c>
      <c r="F35" s="8" t="s">
        <v>99</v>
      </c>
      <c r="G35" s="9">
        <v>45809</v>
      </c>
      <c r="H35" s="6" t="s">
        <v>20</v>
      </c>
      <c r="I35" s="6">
        <v>20250501</v>
      </c>
      <c r="J35" s="6" t="s">
        <v>21</v>
      </c>
      <c r="K35" s="10">
        <v>51.11</v>
      </c>
      <c r="L35" s="6">
        <v>0.2</v>
      </c>
      <c r="M35" s="10">
        <v>10.222000000000001</v>
      </c>
    </row>
    <row r="36" spans="1:13" ht="15.75" x14ac:dyDescent="0.25">
      <c r="A36" s="6" t="s">
        <v>15</v>
      </c>
      <c r="B36" s="6" t="s">
        <v>100</v>
      </c>
      <c r="C36" s="7">
        <v>6634327</v>
      </c>
      <c r="D36" s="6" t="s">
        <v>101</v>
      </c>
      <c r="E36" s="6" t="s">
        <v>102</v>
      </c>
      <c r="F36" s="8" t="s">
        <v>60</v>
      </c>
      <c r="G36" s="9">
        <v>45809</v>
      </c>
      <c r="H36" s="6">
        <v>1</v>
      </c>
      <c r="I36" s="6">
        <v>20250501</v>
      </c>
      <c r="J36" s="6" t="s">
        <v>14</v>
      </c>
      <c r="K36" s="10">
        <v>29.68</v>
      </c>
      <c r="L36" s="6">
        <v>20</v>
      </c>
      <c r="M36" s="10">
        <v>20</v>
      </c>
    </row>
    <row r="37" spans="1:13" ht="15.75" x14ac:dyDescent="0.25">
      <c r="A37" s="6" t="s">
        <v>15</v>
      </c>
      <c r="B37" s="6" t="s">
        <v>100</v>
      </c>
      <c r="C37" s="7">
        <v>6634327</v>
      </c>
      <c r="D37" s="6" t="s">
        <v>103</v>
      </c>
      <c r="E37" s="6" t="s">
        <v>104</v>
      </c>
      <c r="F37" s="8" t="s">
        <v>60</v>
      </c>
      <c r="G37" s="9">
        <v>45809</v>
      </c>
      <c r="H37" s="6">
        <v>3</v>
      </c>
      <c r="I37" s="6">
        <v>20250501</v>
      </c>
      <c r="J37" s="6" t="s">
        <v>14</v>
      </c>
      <c r="K37" s="10">
        <v>1604.64</v>
      </c>
      <c r="L37" s="6">
        <v>20</v>
      </c>
      <c r="M37" s="10">
        <v>60</v>
      </c>
    </row>
    <row r="38" spans="1:13" ht="15.75" x14ac:dyDescent="0.25">
      <c r="A38" s="6" t="s">
        <v>15</v>
      </c>
      <c r="B38" s="6" t="s">
        <v>100</v>
      </c>
      <c r="C38" s="7">
        <v>6634327</v>
      </c>
      <c r="D38" s="6" t="s">
        <v>105</v>
      </c>
      <c r="E38" s="6" t="s">
        <v>106</v>
      </c>
      <c r="F38" s="8" t="s">
        <v>60</v>
      </c>
      <c r="G38" s="9">
        <v>45809</v>
      </c>
      <c r="H38" s="6">
        <v>1</v>
      </c>
      <c r="I38" s="6">
        <v>20250501</v>
      </c>
      <c r="J38" s="6" t="s">
        <v>14</v>
      </c>
      <c r="K38" s="10">
        <v>219.28</v>
      </c>
      <c r="L38" s="6">
        <v>20</v>
      </c>
      <c r="M38" s="10">
        <v>20</v>
      </c>
    </row>
    <row r="39" spans="1:13" ht="15.75" x14ac:dyDescent="0.25">
      <c r="A39" s="6" t="s">
        <v>15</v>
      </c>
      <c r="B39" s="6" t="s">
        <v>100</v>
      </c>
      <c r="C39" s="7">
        <v>6634327</v>
      </c>
      <c r="D39" s="6" t="s">
        <v>107</v>
      </c>
      <c r="E39" s="6" t="s">
        <v>108</v>
      </c>
      <c r="F39" s="8" t="s">
        <v>60</v>
      </c>
      <c r="G39" s="9">
        <v>45809</v>
      </c>
      <c r="H39" s="6" t="s">
        <v>20</v>
      </c>
      <c r="I39" s="6">
        <v>20250501</v>
      </c>
      <c r="J39" s="6" t="s">
        <v>21</v>
      </c>
      <c r="K39" s="10">
        <v>221.92</v>
      </c>
      <c r="L39" s="6">
        <v>0.2</v>
      </c>
      <c r="M39" s="10">
        <v>44.384</v>
      </c>
    </row>
    <row r="40" spans="1:13" ht="15.75" x14ac:dyDescent="0.25">
      <c r="A40" s="6" t="s">
        <v>15</v>
      </c>
      <c r="B40" s="6" t="s">
        <v>100</v>
      </c>
      <c r="C40" s="7">
        <v>6634327</v>
      </c>
      <c r="D40" s="6" t="s">
        <v>109</v>
      </c>
      <c r="E40" s="6" t="s">
        <v>110</v>
      </c>
      <c r="F40" s="8" t="s">
        <v>60</v>
      </c>
      <c r="G40" s="9">
        <v>45809</v>
      </c>
      <c r="H40" s="6" t="s">
        <v>20</v>
      </c>
      <c r="I40" s="6">
        <v>20250501</v>
      </c>
      <c r="J40" s="6" t="s">
        <v>21</v>
      </c>
      <c r="K40" s="10">
        <v>49</v>
      </c>
      <c r="L40" s="6">
        <v>0.2</v>
      </c>
      <c r="M40" s="10">
        <v>9.8000000000000007</v>
      </c>
    </row>
    <row r="41" spans="1:13" ht="15.75" x14ac:dyDescent="0.25">
      <c r="A41" s="6" t="s">
        <v>15</v>
      </c>
      <c r="B41" s="6" t="s">
        <v>100</v>
      </c>
      <c r="C41" s="7">
        <v>6634327</v>
      </c>
      <c r="D41" s="6" t="s">
        <v>111</v>
      </c>
      <c r="E41" s="6" t="s">
        <v>112</v>
      </c>
      <c r="F41" s="8" t="s">
        <v>60</v>
      </c>
      <c r="G41" s="9">
        <v>45809</v>
      </c>
      <c r="H41" s="6" t="s">
        <v>20</v>
      </c>
      <c r="I41" s="6">
        <v>20250501</v>
      </c>
      <c r="J41" s="6" t="s">
        <v>21</v>
      </c>
      <c r="K41" s="10">
        <v>49</v>
      </c>
      <c r="L41" s="6">
        <v>0.2</v>
      </c>
      <c r="M41" s="10">
        <v>9.8000000000000007</v>
      </c>
    </row>
    <row r="42" spans="1:13" ht="15.75" x14ac:dyDescent="0.25">
      <c r="A42" s="6" t="s">
        <v>15</v>
      </c>
      <c r="B42" s="6" t="s">
        <v>100</v>
      </c>
      <c r="C42" s="7">
        <v>6634327</v>
      </c>
      <c r="D42" s="6" t="s">
        <v>113</v>
      </c>
      <c r="E42" s="6" t="s">
        <v>114</v>
      </c>
      <c r="F42" s="8" t="s">
        <v>60</v>
      </c>
      <c r="G42" s="9">
        <v>45809</v>
      </c>
      <c r="H42" s="6" t="s">
        <v>20</v>
      </c>
      <c r="I42" s="6">
        <v>20250501</v>
      </c>
      <c r="J42" s="6" t="s">
        <v>21</v>
      </c>
      <c r="K42" s="10">
        <v>53.65</v>
      </c>
      <c r="L42" s="6">
        <v>0.2</v>
      </c>
      <c r="M42" s="10">
        <v>10.73</v>
      </c>
    </row>
    <row r="43" spans="1:13" ht="15.75" x14ac:dyDescent="0.25">
      <c r="A43" s="6" t="s">
        <v>15</v>
      </c>
      <c r="B43" s="6" t="s">
        <v>115</v>
      </c>
      <c r="C43" s="7">
        <v>18828278</v>
      </c>
      <c r="D43" s="6" t="s">
        <v>116</v>
      </c>
      <c r="E43" s="6" t="s">
        <v>117</v>
      </c>
      <c r="F43" s="8" t="s">
        <v>28</v>
      </c>
      <c r="G43" s="9">
        <v>45839</v>
      </c>
      <c r="H43" s="6" t="s">
        <v>20</v>
      </c>
      <c r="I43" s="6">
        <v>20250501</v>
      </c>
      <c r="J43" s="6" t="s">
        <v>21</v>
      </c>
      <c r="K43" s="10">
        <v>18</v>
      </c>
      <c r="L43" s="6">
        <v>0.1</v>
      </c>
      <c r="M43" s="10">
        <v>1.8</v>
      </c>
    </row>
    <row r="44" spans="1:13" ht="15.75" x14ac:dyDescent="0.25">
      <c r="A44" s="6" t="s">
        <v>15</v>
      </c>
      <c r="B44" s="6" t="s">
        <v>115</v>
      </c>
      <c r="C44" s="7">
        <v>18828278</v>
      </c>
      <c r="D44" s="6" t="s">
        <v>118</v>
      </c>
      <c r="E44" s="6" t="s">
        <v>119</v>
      </c>
      <c r="F44" s="8" t="s">
        <v>28</v>
      </c>
      <c r="G44" s="9">
        <v>45839</v>
      </c>
      <c r="H44" s="6" t="s">
        <v>20</v>
      </c>
      <c r="I44" s="6">
        <v>20250501</v>
      </c>
      <c r="J44" s="6" t="s">
        <v>21</v>
      </c>
      <c r="K44" s="10">
        <v>18</v>
      </c>
      <c r="L44" s="6">
        <v>0.1</v>
      </c>
      <c r="M44" s="10">
        <v>1.8</v>
      </c>
    </row>
    <row r="45" spans="1:13" ht="15.75" x14ac:dyDescent="0.25">
      <c r="A45" s="6" t="s">
        <v>15</v>
      </c>
      <c r="B45" s="6" t="s">
        <v>115</v>
      </c>
      <c r="C45" s="7">
        <v>18828278</v>
      </c>
      <c r="D45" s="6" t="s">
        <v>120</v>
      </c>
      <c r="E45" s="6" t="s">
        <v>121</v>
      </c>
      <c r="F45" s="8" t="s">
        <v>28</v>
      </c>
      <c r="G45" s="9">
        <v>45839</v>
      </c>
      <c r="H45" s="6" t="s">
        <v>20</v>
      </c>
      <c r="I45" s="6">
        <v>20250501</v>
      </c>
      <c r="J45" s="6" t="s">
        <v>21</v>
      </c>
      <c r="K45" s="10">
        <v>18</v>
      </c>
      <c r="L45" s="6">
        <v>0.1</v>
      </c>
      <c r="M45" s="10">
        <v>1.8</v>
      </c>
    </row>
    <row r="46" spans="1:13" ht="15.75" x14ac:dyDescent="0.25">
      <c r="A46" s="6" t="s">
        <v>15</v>
      </c>
      <c r="B46" s="6" t="s">
        <v>115</v>
      </c>
      <c r="C46" s="7">
        <v>18828278</v>
      </c>
      <c r="D46" s="6" t="s">
        <v>122</v>
      </c>
      <c r="E46" s="6" t="s">
        <v>123</v>
      </c>
      <c r="F46" s="8" t="s">
        <v>28</v>
      </c>
      <c r="G46" s="9">
        <v>45839</v>
      </c>
      <c r="H46" s="6" t="s">
        <v>20</v>
      </c>
      <c r="I46" s="6">
        <v>20250501</v>
      </c>
      <c r="J46" s="6" t="s">
        <v>21</v>
      </c>
      <c r="K46" s="10">
        <v>18</v>
      </c>
      <c r="L46" s="6">
        <v>0.1</v>
      </c>
      <c r="M46" s="10">
        <v>1.8</v>
      </c>
    </row>
    <row r="47" spans="1:13" ht="15.75" x14ac:dyDescent="0.25">
      <c r="A47" s="6" t="s">
        <v>15</v>
      </c>
      <c r="B47" s="6" t="s">
        <v>115</v>
      </c>
      <c r="C47" s="7">
        <v>18828278</v>
      </c>
      <c r="D47" s="6" t="s">
        <v>124</v>
      </c>
      <c r="E47" s="6" t="s">
        <v>125</v>
      </c>
      <c r="F47" s="8" t="s">
        <v>28</v>
      </c>
      <c r="G47" s="9">
        <v>45839</v>
      </c>
      <c r="H47" s="6" t="s">
        <v>20</v>
      </c>
      <c r="I47" s="6">
        <v>20250501</v>
      </c>
      <c r="J47" s="6" t="s">
        <v>21</v>
      </c>
      <c r="K47" s="10">
        <v>32.93</v>
      </c>
      <c r="L47" s="6">
        <v>0.2</v>
      </c>
      <c r="M47" s="10">
        <v>6.5860000000000003</v>
      </c>
    </row>
    <row r="48" spans="1:13" ht="15.75" x14ac:dyDescent="0.25">
      <c r="A48" s="6" t="s">
        <v>15</v>
      </c>
      <c r="B48" s="6" t="s">
        <v>115</v>
      </c>
      <c r="C48" s="7">
        <v>18828278</v>
      </c>
      <c r="D48" s="6" t="s">
        <v>126</v>
      </c>
      <c r="E48" s="6" t="s">
        <v>127</v>
      </c>
      <c r="F48" s="8" t="s">
        <v>28</v>
      </c>
      <c r="G48" s="9">
        <v>45839</v>
      </c>
      <c r="H48" s="6" t="s">
        <v>20</v>
      </c>
      <c r="I48" s="6">
        <v>20250501</v>
      </c>
      <c r="J48" s="6" t="s">
        <v>21</v>
      </c>
      <c r="K48" s="10">
        <v>48.35</v>
      </c>
      <c r="L48" s="6">
        <v>0.2</v>
      </c>
      <c r="M48" s="10">
        <v>9.6700000000000017</v>
      </c>
    </row>
    <row r="49" spans="1:13" ht="15.75" x14ac:dyDescent="0.25">
      <c r="A49" s="6" t="s">
        <v>15</v>
      </c>
      <c r="B49" s="6" t="s">
        <v>115</v>
      </c>
      <c r="C49" s="7">
        <v>18828278</v>
      </c>
      <c r="D49" s="6" t="s">
        <v>128</v>
      </c>
      <c r="E49" s="6" t="s">
        <v>129</v>
      </c>
      <c r="F49" s="8" t="s">
        <v>28</v>
      </c>
      <c r="G49" s="9">
        <v>45839</v>
      </c>
      <c r="H49" s="6" t="s">
        <v>20</v>
      </c>
      <c r="I49" s="6">
        <v>20250501</v>
      </c>
      <c r="J49" s="6" t="s">
        <v>21</v>
      </c>
      <c r="K49" s="10">
        <v>33</v>
      </c>
      <c r="L49" s="6">
        <v>0.2</v>
      </c>
      <c r="M49" s="10">
        <v>6.6000000000000005</v>
      </c>
    </row>
    <row r="50" spans="1:13" ht="15.75" x14ac:dyDescent="0.25">
      <c r="A50" s="6" t="s">
        <v>15</v>
      </c>
      <c r="B50" s="6" t="s">
        <v>115</v>
      </c>
      <c r="C50" s="7">
        <v>18828278</v>
      </c>
      <c r="D50" s="6" t="s">
        <v>130</v>
      </c>
      <c r="E50" s="6" t="s">
        <v>131</v>
      </c>
      <c r="F50" s="8" t="s">
        <v>28</v>
      </c>
      <c r="G50" s="9">
        <v>45839</v>
      </c>
      <c r="H50" s="6" t="s">
        <v>20</v>
      </c>
      <c r="I50" s="6">
        <v>20250501</v>
      </c>
      <c r="J50" s="6" t="s">
        <v>21</v>
      </c>
      <c r="K50" s="10">
        <v>27</v>
      </c>
      <c r="L50" s="6">
        <v>0.2</v>
      </c>
      <c r="M50" s="10">
        <v>5.4</v>
      </c>
    </row>
    <row r="51" spans="1:13" ht="15.75" x14ac:dyDescent="0.25">
      <c r="A51" s="6" t="s">
        <v>15</v>
      </c>
      <c r="B51" s="6" t="s">
        <v>115</v>
      </c>
      <c r="C51" s="7">
        <v>18828278</v>
      </c>
      <c r="D51" s="6" t="s">
        <v>132</v>
      </c>
      <c r="E51" s="6" t="s">
        <v>133</v>
      </c>
      <c r="F51" s="8" t="s">
        <v>28</v>
      </c>
      <c r="G51" s="9">
        <v>45839</v>
      </c>
      <c r="H51" s="6" t="s">
        <v>20</v>
      </c>
      <c r="I51" s="6">
        <v>20250501</v>
      </c>
      <c r="J51" s="6" t="s">
        <v>21</v>
      </c>
      <c r="K51" s="10">
        <v>36</v>
      </c>
      <c r="L51" s="6">
        <v>0.2</v>
      </c>
      <c r="M51" s="10">
        <v>7.2</v>
      </c>
    </row>
    <row r="52" spans="1:13" ht="15.75" x14ac:dyDescent="0.25">
      <c r="A52" s="6" t="s">
        <v>15</v>
      </c>
      <c r="B52" s="6" t="s">
        <v>115</v>
      </c>
      <c r="C52" s="7">
        <v>18828278</v>
      </c>
      <c r="D52" s="6" t="s">
        <v>134</v>
      </c>
      <c r="E52" s="6" t="s">
        <v>135</v>
      </c>
      <c r="F52" s="8" t="s">
        <v>28</v>
      </c>
      <c r="G52" s="9">
        <v>45839</v>
      </c>
      <c r="H52" s="6" t="s">
        <v>20</v>
      </c>
      <c r="I52" s="6">
        <v>20250501</v>
      </c>
      <c r="J52" s="6" t="s">
        <v>21</v>
      </c>
      <c r="K52" s="10">
        <v>66.599999999999994</v>
      </c>
      <c r="L52" s="6">
        <v>0.2</v>
      </c>
      <c r="M52" s="10">
        <v>13.32</v>
      </c>
    </row>
    <row r="53" spans="1:13" ht="15.75" x14ac:dyDescent="0.25">
      <c r="A53" s="6" t="s">
        <v>15</v>
      </c>
      <c r="B53" s="6" t="s">
        <v>136</v>
      </c>
      <c r="C53" s="7">
        <v>8244481</v>
      </c>
      <c r="D53" s="6" t="s">
        <v>137</v>
      </c>
      <c r="E53" s="6" t="s">
        <v>138</v>
      </c>
      <c r="F53" s="8" t="s">
        <v>28</v>
      </c>
      <c r="G53" s="9">
        <v>45809</v>
      </c>
      <c r="H53" s="6" t="s">
        <v>20</v>
      </c>
      <c r="I53" s="6">
        <v>20250501</v>
      </c>
      <c r="J53" s="6" t="s">
        <v>21</v>
      </c>
      <c r="K53" s="10">
        <v>59.9</v>
      </c>
      <c r="L53" s="6">
        <v>0.2</v>
      </c>
      <c r="M53" s="10">
        <v>11.98</v>
      </c>
    </row>
    <row r="54" spans="1:13" ht="15.75" x14ac:dyDescent="0.25">
      <c r="A54" s="6" t="s">
        <v>15</v>
      </c>
      <c r="B54" s="6" t="s">
        <v>136</v>
      </c>
      <c r="C54" s="7">
        <v>8244481</v>
      </c>
      <c r="D54" s="6" t="s">
        <v>139</v>
      </c>
      <c r="E54" s="6" t="s">
        <v>140</v>
      </c>
      <c r="F54" s="8" t="s">
        <v>28</v>
      </c>
      <c r="G54" s="9">
        <v>45809</v>
      </c>
      <c r="H54" s="6" t="s">
        <v>20</v>
      </c>
      <c r="I54" s="6">
        <v>20250501</v>
      </c>
      <c r="J54" s="6" t="s">
        <v>21</v>
      </c>
      <c r="K54" s="10">
        <v>66.599999999999994</v>
      </c>
      <c r="L54" s="6">
        <v>0.2</v>
      </c>
      <c r="M54" s="10">
        <v>13.32</v>
      </c>
    </row>
    <row r="55" spans="1:13" ht="15.75" x14ac:dyDescent="0.25">
      <c r="A55" s="6" t="s">
        <v>15</v>
      </c>
      <c r="B55" s="6" t="s">
        <v>141</v>
      </c>
      <c r="C55" s="7">
        <v>16633294</v>
      </c>
      <c r="D55" s="6" t="s">
        <v>142</v>
      </c>
      <c r="E55" s="6" t="s">
        <v>143</v>
      </c>
      <c r="F55" s="8" t="s">
        <v>28</v>
      </c>
      <c r="G55" s="9">
        <v>45717</v>
      </c>
      <c r="H55" s="6" t="s">
        <v>20</v>
      </c>
      <c r="I55" s="6">
        <v>20250501</v>
      </c>
      <c r="J55" s="6" t="s">
        <v>21</v>
      </c>
      <c r="K55" s="10">
        <v>62.32</v>
      </c>
      <c r="L55" s="6">
        <v>0.2</v>
      </c>
      <c r="M55" s="10">
        <v>12.464</v>
      </c>
    </row>
    <row r="56" spans="1:13" ht="15.75" x14ac:dyDescent="0.25">
      <c r="A56" s="6" t="s">
        <v>15</v>
      </c>
      <c r="B56" s="6" t="s">
        <v>141</v>
      </c>
      <c r="C56" s="7">
        <v>16633294</v>
      </c>
      <c r="D56" s="6" t="s">
        <v>144</v>
      </c>
      <c r="E56" s="6" t="s">
        <v>145</v>
      </c>
      <c r="F56" s="8" t="s">
        <v>28</v>
      </c>
      <c r="G56" s="9">
        <v>45717</v>
      </c>
      <c r="H56" s="6" t="s">
        <v>20</v>
      </c>
      <c r="I56" s="6">
        <v>20250501</v>
      </c>
      <c r="J56" s="6" t="s">
        <v>21</v>
      </c>
      <c r="K56" s="10">
        <v>72.260000000000005</v>
      </c>
      <c r="L56" s="6">
        <v>0.2</v>
      </c>
      <c r="M56" s="10">
        <v>14.452000000000002</v>
      </c>
    </row>
    <row r="57" spans="1:13" ht="15.75" x14ac:dyDescent="0.25">
      <c r="A57" s="6" t="s">
        <v>15</v>
      </c>
      <c r="B57" s="6" t="s">
        <v>146</v>
      </c>
      <c r="C57" s="7">
        <v>8977234</v>
      </c>
      <c r="D57" s="6" t="s">
        <v>147</v>
      </c>
      <c r="E57" s="6" t="s">
        <v>148</v>
      </c>
      <c r="F57" s="8" t="s">
        <v>42</v>
      </c>
      <c r="G57" s="9">
        <v>45658</v>
      </c>
      <c r="H57" s="6">
        <v>1</v>
      </c>
      <c r="I57" s="6">
        <v>20250501</v>
      </c>
      <c r="J57" s="6" t="s">
        <v>14</v>
      </c>
      <c r="K57" s="10">
        <v>0</v>
      </c>
      <c r="L57" s="6">
        <v>27</v>
      </c>
      <c r="M57" s="10">
        <v>27</v>
      </c>
    </row>
    <row r="58" spans="1:13" ht="15.75" x14ac:dyDescent="0.25">
      <c r="A58" s="6" t="s">
        <v>15</v>
      </c>
      <c r="B58" s="6" t="s">
        <v>146</v>
      </c>
      <c r="C58" s="7">
        <v>8977234</v>
      </c>
      <c r="D58" s="6" t="s">
        <v>149</v>
      </c>
      <c r="E58" s="6" t="s">
        <v>150</v>
      </c>
      <c r="F58" s="8" t="s">
        <v>42</v>
      </c>
      <c r="G58" s="9">
        <v>45658</v>
      </c>
      <c r="H58" s="6">
        <v>1</v>
      </c>
      <c r="I58" s="6">
        <v>20250501</v>
      </c>
      <c r="J58" s="6" t="s">
        <v>14</v>
      </c>
      <c r="K58" s="10">
        <v>0</v>
      </c>
      <c r="L58" s="6">
        <v>27</v>
      </c>
      <c r="M58" s="10">
        <v>27</v>
      </c>
    </row>
    <row r="59" spans="1:13" ht="15.75" x14ac:dyDescent="0.25">
      <c r="A59" s="6" t="s">
        <v>15</v>
      </c>
      <c r="B59" s="6" t="s">
        <v>151</v>
      </c>
      <c r="C59" s="7">
        <v>19106640</v>
      </c>
      <c r="D59" s="6" t="s">
        <v>152</v>
      </c>
      <c r="E59" s="6" t="s">
        <v>153</v>
      </c>
      <c r="F59" s="8" t="s">
        <v>28</v>
      </c>
      <c r="G59" s="9">
        <v>45689</v>
      </c>
      <c r="H59" s="6" t="s">
        <v>20</v>
      </c>
      <c r="I59" s="6">
        <v>20250501</v>
      </c>
      <c r="J59" s="6" t="s">
        <v>21</v>
      </c>
      <c r="K59" s="10">
        <v>115.55</v>
      </c>
      <c r="L59" s="6">
        <v>0.2</v>
      </c>
      <c r="M59" s="10">
        <v>23.11</v>
      </c>
    </row>
    <row r="60" spans="1:13" ht="15.75" x14ac:dyDescent="0.25">
      <c r="A60" s="6" t="s">
        <v>15</v>
      </c>
      <c r="B60" s="6" t="s">
        <v>151</v>
      </c>
      <c r="C60" s="7">
        <v>19106640</v>
      </c>
      <c r="D60" s="6" t="s">
        <v>154</v>
      </c>
      <c r="E60" s="6" t="s">
        <v>155</v>
      </c>
      <c r="F60" s="8" t="s">
        <v>42</v>
      </c>
      <c r="G60" s="9">
        <v>45689</v>
      </c>
      <c r="H60" s="6" t="s">
        <v>20</v>
      </c>
      <c r="I60" s="6">
        <v>20250501</v>
      </c>
      <c r="J60" s="6" t="s">
        <v>21</v>
      </c>
      <c r="K60" s="10">
        <v>103.1</v>
      </c>
      <c r="L60" s="6">
        <v>0.2</v>
      </c>
      <c r="M60" s="10">
        <v>20.62</v>
      </c>
    </row>
    <row r="61" spans="1:13" ht="15.75" x14ac:dyDescent="0.25">
      <c r="A61" s="6" t="s">
        <v>15</v>
      </c>
      <c r="B61" s="6" t="s">
        <v>156</v>
      </c>
      <c r="C61" s="7">
        <v>16202925</v>
      </c>
      <c r="D61" s="6" t="s">
        <v>157</v>
      </c>
      <c r="E61" s="6" t="s">
        <v>158</v>
      </c>
      <c r="F61" s="8" t="s">
        <v>82</v>
      </c>
      <c r="G61" s="9">
        <v>45717</v>
      </c>
      <c r="H61" s="6" t="s">
        <v>20</v>
      </c>
      <c r="I61" s="6">
        <v>20250501</v>
      </c>
      <c r="J61" s="6" t="s">
        <v>21</v>
      </c>
      <c r="K61" s="10">
        <v>45</v>
      </c>
      <c r="L61" s="6">
        <v>0.2</v>
      </c>
      <c r="M61" s="10">
        <v>9</v>
      </c>
    </row>
    <row r="62" spans="1:13" ht="15.75" x14ac:dyDescent="0.25">
      <c r="A62" s="6" t="s">
        <v>15</v>
      </c>
      <c r="B62" s="6"/>
      <c r="C62" s="7"/>
      <c r="D62" s="6"/>
      <c r="E62" s="6"/>
      <c r="F62" s="8"/>
      <c r="G62" s="9"/>
      <c r="H62" s="6"/>
      <c r="I62" s="6"/>
      <c r="J62" s="6"/>
      <c r="K62" s="10"/>
      <c r="L62" s="6" t="s">
        <v>159</v>
      </c>
      <c r="M62" s="10">
        <v>896.24799999999993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D7D-54B8-481D-80CE-EEEDAADBCEE5}">
  <dimension ref="A1:O61"/>
  <sheetViews>
    <sheetView tabSelected="1" topLeftCell="A16" workbookViewId="0">
      <selection activeCell="E34" sqref="E34"/>
    </sheetView>
  </sheetViews>
  <sheetFormatPr defaultRowHeight="15" x14ac:dyDescent="0.25"/>
  <cols>
    <col min="1" max="1" width="34.28515625" customWidth="1"/>
    <col min="2" max="2" width="14" customWidth="1"/>
    <col min="3" max="3" width="33.42578125" customWidth="1"/>
    <col min="4" max="5" width="12.140625" customWidth="1"/>
    <col min="6" max="6" width="8.140625" customWidth="1"/>
    <col min="7" max="7" width="12.28515625" customWidth="1"/>
    <col min="8" max="8" width="8.7109375" customWidth="1"/>
    <col min="9" max="9" width="11.5703125" customWidth="1"/>
    <col min="10" max="10" width="17" customWidth="1"/>
    <col min="11" max="11" width="12.28515625" customWidth="1"/>
    <col min="12" max="12" width="9" customWidth="1"/>
    <col min="13" max="13" width="13.85546875" customWidth="1"/>
    <col min="14" max="14" width="19.28515625" bestFit="1" customWidth="1"/>
  </cols>
  <sheetData>
    <row r="1" spans="1:15" ht="31.5" x14ac:dyDescent="0.25">
      <c r="A1" s="11" t="s">
        <v>1</v>
      </c>
      <c r="B1" s="11" t="s">
        <v>2</v>
      </c>
      <c r="C1" s="11" t="s">
        <v>3</v>
      </c>
      <c r="D1" s="11" t="s">
        <v>4</v>
      </c>
      <c r="E1" s="11"/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5" t="s">
        <v>11</v>
      </c>
      <c r="M1" s="14" t="s">
        <v>12</v>
      </c>
    </row>
    <row r="2" spans="1:15" ht="15.75" x14ac:dyDescent="0.25">
      <c r="A2" s="16" t="s">
        <v>16</v>
      </c>
      <c r="B2" s="17">
        <v>593918</v>
      </c>
      <c r="C2" s="16" t="s">
        <v>17</v>
      </c>
      <c r="D2" s="16" t="s">
        <v>18</v>
      </c>
      <c r="E2" s="16" t="str">
        <f>CONCATENATE(D2,8)</f>
        <v>42T0F98</v>
      </c>
      <c r="F2" s="18" t="s">
        <v>19</v>
      </c>
      <c r="G2" s="19">
        <v>45748</v>
      </c>
      <c r="H2" s="16" t="s">
        <v>20</v>
      </c>
      <c r="I2" s="16">
        <v>20250501</v>
      </c>
      <c r="J2" s="16" t="s">
        <v>21</v>
      </c>
      <c r="K2" s="20">
        <v>66.599999999999994</v>
      </c>
      <c r="L2" s="16">
        <v>0.2</v>
      </c>
      <c r="M2" s="20">
        <v>13.32</v>
      </c>
      <c r="N2" t="s">
        <v>161</v>
      </c>
      <c r="O2" s="21"/>
    </row>
    <row r="3" spans="1:15" ht="15.75" x14ac:dyDescent="0.25">
      <c r="A3" s="16" t="s">
        <v>22</v>
      </c>
      <c r="B3" s="17">
        <v>21104854</v>
      </c>
      <c r="C3" s="16" t="s">
        <v>23</v>
      </c>
      <c r="D3" s="16" t="s">
        <v>24</v>
      </c>
      <c r="E3" s="16" t="str">
        <f t="shared" ref="E3:E14" si="0">CONCATENATE(D3,8)</f>
        <v>06P64N8</v>
      </c>
      <c r="F3" s="18" t="s">
        <v>25</v>
      </c>
      <c r="G3" s="19">
        <v>45778</v>
      </c>
      <c r="H3" s="16" t="s">
        <v>20</v>
      </c>
      <c r="I3" s="16">
        <v>20250501</v>
      </c>
      <c r="J3" s="16" t="s">
        <v>21</v>
      </c>
      <c r="K3" s="20">
        <v>52.45</v>
      </c>
      <c r="L3" s="16">
        <v>0.2</v>
      </c>
      <c r="M3" s="20">
        <v>10.490000000000002</v>
      </c>
      <c r="N3" t="s">
        <v>161</v>
      </c>
      <c r="O3" s="21"/>
    </row>
    <row r="4" spans="1:15" ht="15.75" x14ac:dyDescent="0.25">
      <c r="A4" s="16" t="s">
        <v>22</v>
      </c>
      <c r="B4" s="17">
        <v>21104854</v>
      </c>
      <c r="C4" s="16" t="s">
        <v>26</v>
      </c>
      <c r="D4" s="16" t="s">
        <v>27</v>
      </c>
      <c r="E4" s="16" t="str">
        <f t="shared" si="0"/>
        <v>14NW318</v>
      </c>
      <c r="F4" s="18" t="s">
        <v>28</v>
      </c>
      <c r="G4" s="19">
        <v>45778</v>
      </c>
      <c r="H4" s="16" t="s">
        <v>20</v>
      </c>
      <c r="I4" s="16">
        <v>20250501</v>
      </c>
      <c r="J4" s="16" t="s">
        <v>21</v>
      </c>
      <c r="K4" s="20">
        <v>120.15</v>
      </c>
      <c r="L4" s="16">
        <v>0.2</v>
      </c>
      <c r="M4" s="20">
        <v>24.03</v>
      </c>
      <c r="N4" t="s">
        <v>161</v>
      </c>
      <c r="O4" s="21"/>
    </row>
    <row r="5" spans="1:15" ht="15.75" x14ac:dyDescent="0.25">
      <c r="A5" s="16" t="s">
        <v>22</v>
      </c>
      <c r="B5" s="17">
        <v>21104854</v>
      </c>
      <c r="C5" s="16" t="s">
        <v>29</v>
      </c>
      <c r="D5" s="16" t="s">
        <v>30</v>
      </c>
      <c r="E5" s="16" t="str">
        <f t="shared" si="0"/>
        <v>22T8R68</v>
      </c>
      <c r="F5" s="18" t="s">
        <v>28</v>
      </c>
      <c r="G5" s="19">
        <v>45778</v>
      </c>
      <c r="H5" s="16" t="s">
        <v>20</v>
      </c>
      <c r="I5" s="16">
        <v>20250501</v>
      </c>
      <c r="J5" s="16" t="s">
        <v>21</v>
      </c>
      <c r="K5" s="20">
        <v>34.17</v>
      </c>
      <c r="L5" s="16">
        <v>0.2</v>
      </c>
      <c r="M5" s="20">
        <v>6.8340000000000005</v>
      </c>
      <c r="N5" t="s">
        <v>161</v>
      </c>
      <c r="O5" s="21"/>
    </row>
    <row r="6" spans="1:15" ht="15.75" x14ac:dyDescent="0.25">
      <c r="A6" s="16" t="s">
        <v>22</v>
      </c>
      <c r="B6" s="17">
        <v>21104854</v>
      </c>
      <c r="C6" s="16" t="s">
        <v>31</v>
      </c>
      <c r="D6" s="16" t="s">
        <v>32</v>
      </c>
      <c r="E6" s="16" t="str">
        <f t="shared" si="0"/>
        <v>38Q22K8</v>
      </c>
      <c r="F6" s="18" t="s">
        <v>28</v>
      </c>
      <c r="G6" s="19">
        <v>45778</v>
      </c>
      <c r="H6" s="16" t="s">
        <v>20</v>
      </c>
      <c r="I6" s="16">
        <v>20250501</v>
      </c>
      <c r="J6" s="16" t="s">
        <v>21</v>
      </c>
      <c r="K6" s="20">
        <v>41.44</v>
      </c>
      <c r="L6" s="16">
        <v>0.2</v>
      </c>
      <c r="M6" s="20">
        <v>8.2880000000000003</v>
      </c>
      <c r="N6" t="s">
        <v>161</v>
      </c>
      <c r="O6" s="21"/>
    </row>
    <row r="7" spans="1:15" ht="15.75" x14ac:dyDescent="0.25">
      <c r="A7" s="16" t="s">
        <v>22</v>
      </c>
      <c r="B7" s="17">
        <v>21104854</v>
      </c>
      <c r="C7" s="16" t="s">
        <v>33</v>
      </c>
      <c r="D7" s="16" t="s">
        <v>34</v>
      </c>
      <c r="E7" s="16" t="str">
        <f t="shared" si="0"/>
        <v>82PX558</v>
      </c>
      <c r="F7" s="18" t="s">
        <v>28</v>
      </c>
      <c r="G7" s="19">
        <v>45778</v>
      </c>
      <c r="H7" s="16" t="s">
        <v>20</v>
      </c>
      <c r="I7" s="16">
        <v>20250501</v>
      </c>
      <c r="J7" s="16" t="s">
        <v>21</v>
      </c>
      <c r="K7" s="20">
        <v>41.44</v>
      </c>
      <c r="L7" s="16">
        <v>0.2</v>
      </c>
      <c r="M7" s="20">
        <v>8.2880000000000003</v>
      </c>
      <c r="N7" t="s">
        <v>161</v>
      </c>
      <c r="O7" s="21"/>
    </row>
    <row r="8" spans="1:15" ht="15.75" x14ac:dyDescent="0.25">
      <c r="A8" s="16" t="s">
        <v>22</v>
      </c>
      <c r="B8" s="17">
        <v>21104854</v>
      </c>
      <c r="C8" s="16" t="s">
        <v>35</v>
      </c>
      <c r="D8" s="16" t="s">
        <v>36</v>
      </c>
      <c r="E8" s="16" t="str">
        <f t="shared" si="0"/>
        <v>47N6E88</v>
      </c>
      <c r="F8" s="18" t="s">
        <v>28</v>
      </c>
      <c r="G8" s="19">
        <v>45778</v>
      </c>
      <c r="H8" s="16" t="s">
        <v>20</v>
      </c>
      <c r="I8" s="16">
        <v>20250501</v>
      </c>
      <c r="J8" s="16" t="s">
        <v>21</v>
      </c>
      <c r="K8" s="20">
        <v>29</v>
      </c>
      <c r="L8" s="16">
        <v>0.2</v>
      </c>
      <c r="M8" s="20">
        <v>5.8000000000000007</v>
      </c>
      <c r="N8" t="s">
        <v>161</v>
      </c>
      <c r="O8" s="21"/>
    </row>
    <row r="9" spans="1:15" ht="15.75" x14ac:dyDescent="0.25">
      <c r="A9" s="16" t="s">
        <v>37</v>
      </c>
      <c r="B9" s="17">
        <v>17425766</v>
      </c>
      <c r="C9" s="16" t="s">
        <v>43</v>
      </c>
      <c r="D9" s="16" t="s">
        <v>44</v>
      </c>
      <c r="E9" s="16" t="str">
        <f t="shared" si="0"/>
        <v>12PY608</v>
      </c>
      <c r="F9" s="18" t="s">
        <v>45</v>
      </c>
      <c r="G9" s="19">
        <v>45778</v>
      </c>
      <c r="H9" s="16" t="s">
        <v>20</v>
      </c>
      <c r="I9" s="16">
        <v>20250501</v>
      </c>
      <c r="J9" s="16" t="s">
        <v>21</v>
      </c>
      <c r="K9" s="20">
        <v>29</v>
      </c>
      <c r="L9" s="16">
        <v>0.2</v>
      </c>
      <c r="M9" s="20">
        <v>5.8000000000000007</v>
      </c>
      <c r="N9" t="s">
        <v>161</v>
      </c>
      <c r="O9" s="21"/>
    </row>
    <row r="10" spans="1:15" ht="15.75" x14ac:dyDescent="0.25">
      <c r="A10" s="16" t="s">
        <v>37</v>
      </c>
      <c r="B10" s="17">
        <v>17425766</v>
      </c>
      <c r="C10" s="16" t="s">
        <v>46</v>
      </c>
      <c r="D10" s="16" t="s">
        <v>47</v>
      </c>
      <c r="E10" s="16" t="str">
        <f t="shared" si="0"/>
        <v>62R96P8</v>
      </c>
      <c r="F10" s="18" t="s">
        <v>48</v>
      </c>
      <c r="G10" s="19">
        <v>45778</v>
      </c>
      <c r="H10" s="16" t="s">
        <v>20</v>
      </c>
      <c r="I10" s="16">
        <v>20250501</v>
      </c>
      <c r="J10" s="16" t="s">
        <v>21</v>
      </c>
      <c r="K10" s="20">
        <v>43</v>
      </c>
      <c r="L10" s="16">
        <v>0.2</v>
      </c>
      <c r="M10" s="20">
        <v>8.6</v>
      </c>
      <c r="N10" t="s">
        <v>161</v>
      </c>
      <c r="O10" s="21"/>
    </row>
    <row r="11" spans="1:15" ht="15.75" x14ac:dyDescent="0.25">
      <c r="A11" s="16" t="s">
        <v>37</v>
      </c>
      <c r="B11" s="17">
        <v>17425766</v>
      </c>
      <c r="C11" s="16" t="s">
        <v>49</v>
      </c>
      <c r="D11" s="16" t="s">
        <v>50</v>
      </c>
      <c r="E11" s="16" t="str">
        <f t="shared" si="0"/>
        <v>70P2B98</v>
      </c>
      <c r="F11" s="18" t="s">
        <v>48</v>
      </c>
      <c r="G11" s="19">
        <v>45778</v>
      </c>
      <c r="H11" s="16" t="s">
        <v>20</v>
      </c>
      <c r="I11" s="16">
        <v>20250501</v>
      </c>
      <c r="J11" s="16" t="s">
        <v>21</v>
      </c>
      <c r="K11" s="20">
        <v>85.1</v>
      </c>
      <c r="L11" s="16">
        <v>0.2</v>
      </c>
      <c r="M11" s="20">
        <v>17.02</v>
      </c>
      <c r="N11" t="s">
        <v>161</v>
      </c>
      <c r="O11" s="21"/>
    </row>
    <row r="12" spans="1:15" ht="15.75" x14ac:dyDescent="0.25">
      <c r="A12" s="16" t="s">
        <v>37</v>
      </c>
      <c r="B12" s="17">
        <v>17425766</v>
      </c>
      <c r="C12" s="16" t="s">
        <v>51</v>
      </c>
      <c r="D12" s="16" t="s">
        <v>52</v>
      </c>
      <c r="E12" s="16" t="str">
        <f t="shared" si="0"/>
        <v>72N6G98</v>
      </c>
      <c r="F12" s="18" t="s">
        <v>48</v>
      </c>
      <c r="G12" s="19">
        <v>45778</v>
      </c>
      <c r="H12" s="16" t="s">
        <v>20</v>
      </c>
      <c r="I12" s="16">
        <v>20250501</v>
      </c>
      <c r="J12" s="16" t="s">
        <v>21</v>
      </c>
      <c r="K12" s="20">
        <v>43</v>
      </c>
      <c r="L12" s="16">
        <v>0.2</v>
      </c>
      <c r="M12" s="20">
        <v>8.6</v>
      </c>
      <c r="N12" t="s">
        <v>161</v>
      </c>
      <c r="O12" s="21"/>
    </row>
    <row r="13" spans="1:15" ht="15.75" x14ac:dyDescent="0.25">
      <c r="A13" s="16" t="s">
        <v>37</v>
      </c>
      <c r="B13" s="17">
        <v>17425766</v>
      </c>
      <c r="C13" s="16" t="s">
        <v>53</v>
      </c>
      <c r="D13" s="16" t="s">
        <v>54</v>
      </c>
      <c r="E13" s="16" t="str">
        <f t="shared" si="0"/>
        <v>80QC768</v>
      </c>
      <c r="F13" s="18" t="s">
        <v>48</v>
      </c>
      <c r="G13" s="19">
        <v>45778</v>
      </c>
      <c r="H13" s="16" t="s">
        <v>20</v>
      </c>
      <c r="I13" s="16">
        <v>20250501</v>
      </c>
      <c r="J13" s="16" t="s">
        <v>21</v>
      </c>
      <c r="K13" s="20">
        <v>43</v>
      </c>
      <c r="L13" s="16">
        <v>0.2</v>
      </c>
      <c r="M13" s="20">
        <v>8.6</v>
      </c>
      <c r="N13" t="s">
        <v>161</v>
      </c>
      <c r="O13" s="21"/>
    </row>
    <row r="14" spans="1:15" ht="15.75" x14ac:dyDescent="0.25">
      <c r="A14" s="16" t="s">
        <v>37</v>
      </c>
      <c r="B14" s="17">
        <v>17425766</v>
      </c>
      <c r="C14" s="16" t="s">
        <v>55</v>
      </c>
      <c r="D14" s="16" t="s">
        <v>56</v>
      </c>
      <c r="E14" s="16" t="str">
        <f t="shared" si="0"/>
        <v>87PH608</v>
      </c>
      <c r="F14" s="18" t="s">
        <v>48</v>
      </c>
      <c r="G14" s="19">
        <v>45778</v>
      </c>
      <c r="H14" s="16" t="s">
        <v>20</v>
      </c>
      <c r="I14" s="16">
        <v>20250501</v>
      </c>
      <c r="J14" s="16" t="s">
        <v>21</v>
      </c>
      <c r="K14" s="20">
        <v>43</v>
      </c>
      <c r="L14" s="16">
        <v>0.2</v>
      </c>
      <c r="M14" s="20">
        <v>8.6</v>
      </c>
      <c r="N14" t="s">
        <v>161</v>
      </c>
      <c r="O14" s="21"/>
    </row>
    <row r="15" spans="1:15" ht="15.75" x14ac:dyDescent="0.25">
      <c r="A15" s="16" t="s">
        <v>37</v>
      </c>
      <c r="B15" s="17">
        <v>17425766</v>
      </c>
      <c r="C15" s="16" t="s">
        <v>38</v>
      </c>
      <c r="D15" s="16" t="s">
        <v>39</v>
      </c>
      <c r="E15" s="16" t="str">
        <f>CONCATENATE(D15,2)</f>
        <v>0J4F072</v>
      </c>
      <c r="F15" s="18" t="s">
        <v>13</v>
      </c>
      <c r="G15" s="19">
        <v>45778</v>
      </c>
      <c r="H15" s="16" t="s">
        <v>164</v>
      </c>
      <c r="I15" s="16">
        <v>20250501</v>
      </c>
      <c r="J15" s="16" t="s">
        <v>14</v>
      </c>
      <c r="K15" s="20">
        <v>1</v>
      </c>
      <c r="L15" s="16">
        <v>27</v>
      </c>
      <c r="M15" s="20">
        <v>81</v>
      </c>
      <c r="N15" t="s">
        <v>163</v>
      </c>
    </row>
    <row r="16" spans="1:15" ht="15.75" x14ac:dyDescent="0.25">
      <c r="A16" s="16" t="s">
        <v>37</v>
      </c>
      <c r="B16" s="17">
        <v>17425766</v>
      </c>
      <c r="C16" s="16" t="s">
        <v>40</v>
      </c>
      <c r="D16" s="16" t="s">
        <v>41</v>
      </c>
      <c r="E16" s="16" t="str">
        <f>CONCATENATE(D16,2)</f>
        <v>41Q71G2</v>
      </c>
      <c r="F16" s="18" t="s">
        <v>42</v>
      </c>
      <c r="G16" s="19">
        <v>45778</v>
      </c>
      <c r="H16" s="16"/>
      <c r="I16" s="16">
        <v>20250501</v>
      </c>
      <c r="J16" s="16" t="s">
        <v>14</v>
      </c>
      <c r="K16" s="20">
        <v>1</v>
      </c>
      <c r="L16" s="16">
        <v>27</v>
      </c>
      <c r="M16" s="20">
        <v>27</v>
      </c>
      <c r="N16" t="s">
        <v>163</v>
      </c>
    </row>
    <row r="17" spans="1:15" ht="15.75" x14ac:dyDescent="0.25">
      <c r="A17" s="16" t="s">
        <v>57</v>
      </c>
      <c r="B17" s="17">
        <v>16865615</v>
      </c>
      <c r="C17" s="16" t="s">
        <v>65</v>
      </c>
      <c r="D17" s="16" t="s">
        <v>66</v>
      </c>
      <c r="E17" s="16" t="str">
        <f t="shared" ref="E17:E21" si="1">CONCATENATE(D17,8)</f>
        <v>16R2Q48</v>
      </c>
      <c r="F17" s="18" t="s">
        <v>28</v>
      </c>
      <c r="G17" s="19">
        <v>45778</v>
      </c>
      <c r="H17" s="16" t="s">
        <v>20</v>
      </c>
      <c r="I17" s="16">
        <v>20250501</v>
      </c>
      <c r="J17" s="16" t="s">
        <v>21</v>
      </c>
      <c r="K17" s="20">
        <v>48.96</v>
      </c>
      <c r="L17" s="16">
        <v>0.2</v>
      </c>
      <c r="M17" s="20">
        <v>9.7920000000000016</v>
      </c>
      <c r="N17" t="s">
        <v>161</v>
      </c>
      <c r="O17" s="21"/>
    </row>
    <row r="18" spans="1:15" ht="15.75" x14ac:dyDescent="0.25">
      <c r="A18" s="16" t="s">
        <v>57</v>
      </c>
      <c r="B18" s="17">
        <v>16865615</v>
      </c>
      <c r="C18" s="16" t="s">
        <v>67</v>
      </c>
      <c r="D18" s="16" t="s">
        <v>68</v>
      </c>
      <c r="E18" s="16" t="str">
        <f t="shared" si="1"/>
        <v>16RT868</v>
      </c>
      <c r="F18" s="18" t="s">
        <v>60</v>
      </c>
      <c r="G18" s="19">
        <v>45778</v>
      </c>
      <c r="H18" s="16" t="s">
        <v>20</v>
      </c>
      <c r="I18" s="16">
        <v>20250501</v>
      </c>
      <c r="J18" s="16" t="s">
        <v>21</v>
      </c>
      <c r="K18" s="20">
        <v>99.32</v>
      </c>
      <c r="L18" s="16">
        <v>0.2</v>
      </c>
      <c r="M18" s="20">
        <v>19.864000000000001</v>
      </c>
      <c r="N18" t="s">
        <v>161</v>
      </c>
      <c r="O18" s="21"/>
    </row>
    <row r="19" spans="1:15" ht="15.75" x14ac:dyDescent="0.25">
      <c r="A19" s="16" t="s">
        <v>57</v>
      </c>
      <c r="B19" s="17">
        <v>16865615</v>
      </c>
      <c r="C19" s="16" t="s">
        <v>69</v>
      </c>
      <c r="D19" s="16" t="s">
        <v>70</v>
      </c>
      <c r="E19" s="16" t="str">
        <f t="shared" si="1"/>
        <v>69T3N98</v>
      </c>
      <c r="F19" s="18" t="s">
        <v>60</v>
      </c>
      <c r="G19" s="19">
        <v>45778</v>
      </c>
      <c r="H19" s="16" t="s">
        <v>20</v>
      </c>
      <c r="I19" s="16">
        <v>20250501</v>
      </c>
      <c r="J19" s="16" t="s">
        <v>21</v>
      </c>
      <c r="K19" s="20">
        <v>56.34</v>
      </c>
      <c r="L19" s="16">
        <v>0.2</v>
      </c>
      <c r="M19" s="20">
        <v>11.268000000000001</v>
      </c>
      <c r="N19" t="s">
        <v>161</v>
      </c>
      <c r="O19" s="21"/>
    </row>
    <row r="20" spans="1:15" ht="15.75" x14ac:dyDescent="0.25">
      <c r="A20" s="16" t="s">
        <v>57</v>
      </c>
      <c r="B20" s="17">
        <v>16865615</v>
      </c>
      <c r="C20" s="16" t="s">
        <v>71</v>
      </c>
      <c r="D20" s="16" t="s">
        <v>72</v>
      </c>
      <c r="E20" s="16" t="str">
        <f t="shared" si="1"/>
        <v>91PB628</v>
      </c>
      <c r="F20" s="18" t="s">
        <v>60</v>
      </c>
      <c r="G20" s="19">
        <v>45778</v>
      </c>
      <c r="H20" s="16" t="s">
        <v>20</v>
      </c>
      <c r="I20" s="16">
        <v>20250501</v>
      </c>
      <c r="J20" s="16" t="s">
        <v>21</v>
      </c>
      <c r="K20" s="20">
        <v>64.09</v>
      </c>
      <c r="L20" s="16">
        <v>0.2</v>
      </c>
      <c r="M20" s="20">
        <v>12.818000000000001</v>
      </c>
      <c r="N20" t="s">
        <v>161</v>
      </c>
      <c r="O20" s="21"/>
    </row>
    <row r="21" spans="1:15" ht="15.75" x14ac:dyDescent="0.25">
      <c r="A21" s="16" t="s">
        <v>57</v>
      </c>
      <c r="B21" s="17">
        <v>16865615</v>
      </c>
      <c r="C21" s="16" t="s">
        <v>58</v>
      </c>
      <c r="D21" s="16" t="s">
        <v>73</v>
      </c>
      <c r="E21" s="16" t="str">
        <f t="shared" si="1"/>
        <v>06UY148</v>
      </c>
      <c r="F21" s="18" t="s">
        <v>60</v>
      </c>
      <c r="G21" s="19">
        <v>45778</v>
      </c>
      <c r="H21" s="16" t="s">
        <v>20</v>
      </c>
      <c r="I21" s="16">
        <v>20250501</v>
      </c>
      <c r="J21" s="16" t="s">
        <v>21</v>
      </c>
      <c r="K21" s="20">
        <v>20.99</v>
      </c>
      <c r="L21" s="16">
        <v>0.2</v>
      </c>
      <c r="M21" s="20">
        <v>4.1979999999999995</v>
      </c>
      <c r="N21" t="s">
        <v>161</v>
      </c>
      <c r="O21" s="21"/>
    </row>
    <row r="22" spans="1:15" ht="15.75" x14ac:dyDescent="0.25">
      <c r="A22" s="16" t="s">
        <v>57</v>
      </c>
      <c r="B22" s="17">
        <v>16865615</v>
      </c>
      <c r="C22" s="16" t="s">
        <v>58</v>
      </c>
      <c r="D22" s="16" t="s">
        <v>59</v>
      </c>
      <c r="E22" s="16" t="str">
        <f t="shared" ref="E22:E24" si="2">CONCATENATE(D22,2)</f>
        <v>06UY152</v>
      </c>
      <c r="F22" s="18" t="s">
        <v>60</v>
      </c>
      <c r="G22" s="19">
        <v>45778</v>
      </c>
      <c r="H22" s="16"/>
      <c r="I22" s="16">
        <v>20250501</v>
      </c>
      <c r="J22" s="16" t="s">
        <v>14</v>
      </c>
      <c r="K22" s="20">
        <v>1</v>
      </c>
      <c r="L22" s="16">
        <v>20</v>
      </c>
      <c r="M22" s="20">
        <v>20</v>
      </c>
      <c r="N22" t="s">
        <v>162</v>
      </c>
    </row>
    <row r="23" spans="1:15" ht="15.75" x14ac:dyDescent="0.25">
      <c r="A23" s="16" t="s">
        <v>57</v>
      </c>
      <c r="B23" s="17">
        <v>16865615</v>
      </c>
      <c r="C23" s="16" t="s">
        <v>61</v>
      </c>
      <c r="D23" s="16" t="s">
        <v>62</v>
      </c>
      <c r="E23" s="16" t="str">
        <f t="shared" si="2"/>
        <v>72P58Q2</v>
      </c>
      <c r="F23" s="18" t="s">
        <v>60</v>
      </c>
      <c r="G23" s="19">
        <v>45778</v>
      </c>
      <c r="H23" s="16"/>
      <c r="I23" s="16">
        <v>20250501</v>
      </c>
      <c r="J23" s="16" t="s">
        <v>14</v>
      </c>
      <c r="K23" s="20">
        <v>1</v>
      </c>
      <c r="L23" s="16">
        <v>20</v>
      </c>
      <c r="M23" s="20">
        <v>20</v>
      </c>
      <c r="N23" t="s">
        <v>162</v>
      </c>
    </row>
    <row r="24" spans="1:15" ht="15.75" x14ac:dyDescent="0.25">
      <c r="A24" s="16" t="s">
        <v>57</v>
      </c>
      <c r="B24" s="17">
        <v>16865615</v>
      </c>
      <c r="C24" s="16" t="s">
        <v>63</v>
      </c>
      <c r="D24" s="16" t="s">
        <v>64</v>
      </c>
      <c r="E24" s="16" t="str">
        <f t="shared" si="2"/>
        <v>88T35K2</v>
      </c>
      <c r="F24" s="18" t="s">
        <v>60</v>
      </c>
      <c r="G24" s="19">
        <v>45778</v>
      </c>
      <c r="H24" s="16"/>
      <c r="I24" s="16">
        <v>20250501</v>
      </c>
      <c r="J24" s="16" t="s">
        <v>14</v>
      </c>
      <c r="K24" s="20">
        <v>1</v>
      </c>
      <c r="L24" s="16">
        <v>20</v>
      </c>
      <c r="M24" s="20">
        <v>20</v>
      </c>
      <c r="N24" t="s">
        <v>162</v>
      </c>
    </row>
    <row r="25" spans="1:15" ht="15.75" x14ac:dyDescent="0.25">
      <c r="A25" s="16" t="s">
        <v>74</v>
      </c>
      <c r="B25" s="17">
        <v>18754354</v>
      </c>
      <c r="C25" s="16" t="s">
        <v>75</v>
      </c>
      <c r="D25" s="16" t="s">
        <v>76</v>
      </c>
      <c r="E25" s="16" t="str">
        <f t="shared" ref="E25:E39" si="3">CONCATENATE(D25,8)</f>
        <v>08P50D8</v>
      </c>
      <c r="F25" s="18" t="s">
        <v>28</v>
      </c>
      <c r="G25" s="19">
        <v>45839</v>
      </c>
      <c r="H25" s="16" t="s">
        <v>20</v>
      </c>
      <c r="I25" s="16">
        <v>20250501</v>
      </c>
      <c r="J25" s="16" t="s">
        <v>21</v>
      </c>
      <c r="K25" s="20">
        <v>157.46</v>
      </c>
      <c r="L25" s="16">
        <v>0.2</v>
      </c>
      <c r="M25" s="20">
        <v>31.492000000000004</v>
      </c>
      <c r="N25" t="s">
        <v>161</v>
      </c>
      <c r="O25" s="21"/>
    </row>
    <row r="26" spans="1:15" ht="15.75" x14ac:dyDescent="0.25">
      <c r="A26" s="16" t="s">
        <v>74</v>
      </c>
      <c r="B26" s="17">
        <v>18754354</v>
      </c>
      <c r="C26" s="16" t="s">
        <v>77</v>
      </c>
      <c r="D26" s="16" t="s">
        <v>78</v>
      </c>
      <c r="E26" s="16" t="str">
        <f t="shared" si="3"/>
        <v>95TK068</v>
      </c>
      <c r="F26" s="18" t="s">
        <v>28</v>
      </c>
      <c r="G26" s="19">
        <v>45839</v>
      </c>
      <c r="H26" s="16" t="s">
        <v>20</v>
      </c>
      <c r="I26" s="16">
        <v>20250501</v>
      </c>
      <c r="J26" s="16" t="s">
        <v>21</v>
      </c>
      <c r="K26" s="20">
        <v>120.17</v>
      </c>
      <c r="L26" s="16">
        <v>0.2</v>
      </c>
      <c r="M26" s="20">
        <v>24.034000000000002</v>
      </c>
      <c r="N26" t="s">
        <v>161</v>
      </c>
      <c r="O26" s="21"/>
    </row>
    <row r="27" spans="1:15" s="27" customFormat="1" ht="15.75" x14ac:dyDescent="0.25">
      <c r="A27" s="22" t="s">
        <v>79</v>
      </c>
      <c r="B27" s="23">
        <v>19279958</v>
      </c>
      <c r="C27" s="22" t="s">
        <v>80</v>
      </c>
      <c r="D27" s="22" t="s">
        <v>81</v>
      </c>
      <c r="E27" s="22" t="str">
        <f t="shared" si="3"/>
        <v>07QM578</v>
      </c>
      <c r="F27" s="24" t="s">
        <v>82</v>
      </c>
      <c r="G27" s="25">
        <v>45809</v>
      </c>
      <c r="H27" s="22" t="s">
        <v>20</v>
      </c>
      <c r="I27" s="22">
        <v>20250501</v>
      </c>
      <c r="J27" s="22" t="s">
        <v>21</v>
      </c>
      <c r="K27" s="26">
        <v>40.89</v>
      </c>
      <c r="L27" s="22">
        <v>0.2</v>
      </c>
      <c r="M27" s="26">
        <v>8.1780000000000008</v>
      </c>
      <c r="N27" s="27" t="s">
        <v>161</v>
      </c>
      <c r="O27" s="28"/>
    </row>
    <row r="28" spans="1:15" s="27" customFormat="1" ht="15.75" x14ac:dyDescent="0.25">
      <c r="A28" s="22" t="s">
        <v>79</v>
      </c>
      <c r="B28" s="23">
        <v>19279958</v>
      </c>
      <c r="C28" s="22" t="s">
        <v>83</v>
      </c>
      <c r="D28" s="22" t="s">
        <v>84</v>
      </c>
      <c r="E28" s="22" t="str">
        <f t="shared" si="3"/>
        <v>08R7V68</v>
      </c>
      <c r="F28" s="24" t="s">
        <v>82</v>
      </c>
      <c r="G28" s="25">
        <v>45809</v>
      </c>
      <c r="H28" s="22" t="s">
        <v>20</v>
      </c>
      <c r="I28" s="22">
        <v>20250501</v>
      </c>
      <c r="J28" s="22" t="s">
        <v>21</v>
      </c>
      <c r="K28" s="26">
        <v>64.17</v>
      </c>
      <c r="L28" s="22">
        <v>0.2</v>
      </c>
      <c r="M28" s="26">
        <v>12.834000000000001</v>
      </c>
      <c r="N28" s="27" t="s">
        <v>161</v>
      </c>
      <c r="O28" s="28"/>
    </row>
    <row r="29" spans="1:15" s="27" customFormat="1" ht="15.75" x14ac:dyDescent="0.25">
      <c r="A29" s="22" t="s">
        <v>79</v>
      </c>
      <c r="B29" s="23">
        <v>19279958</v>
      </c>
      <c r="C29" s="22" t="s">
        <v>85</v>
      </c>
      <c r="D29" s="22" t="s">
        <v>86</v>
      </c>
      <c r="E29" s="22" t="str">
        <f t="shared" si="3"/>
        <v>09R89N8</v>
      </c>
      <c r="F29" s="24" t="s">
        <v>82</v>
      </c>
      <c r="G29" s="25">
        <v>45809</v>
      </c>
      <c r="H29" s="22" t="s">
        <v>20</v>
      </c>
      <c r="I29" s="22">
        <v>20250501</v>
      </c>
      <c r="J29" s="22" t="s">
        <v>21</v>
      </c>
      <c r="K29" s="26">
        <v>56.51</v>
      </c>
      <c r="L29" s="22">
        <v>0.2</v>
      </c>
      <c r="M29" s="26">
        <v>11.302</v>
      </c>
      <c r="N29" s="27" t="s">
        <v>161</v>
      </c>
      <c r="O29" s="28"/>
    </row>
    <row r="30" spans="1:15" s="27" customFormat="1" ht="15.75" x14ac:dyDescent="0.25">
      <c r="A30" s="22" t="s">
        <v>79</v>
      </c>
      <c r="B30" s="23">
        <v>19279958</v>
      </c>
      <c r="C30" s="22" t="s">
        <v>87</v>
      </c>
      <c r="D30" s="22" t="s">
        <v>88</v>
      </c>
      <c r="E30" s="22" t="str">
        <f t="shared" si="3"/>
        <v>21Q1B08</v>
      </c>
      <c r="F30" s="24" t="s">
        <v>82</v>
      </c>
      <c r="G30" s="25">
        <v>45809</v>
      </c>
      <c r="H30" s="22" t="s">
        <v>20</v>
      </c>
      <c r="I30" s="22">
        <v>20250501</v>
      </c>
      <c r="J30" s="22" t="s">
        <v>21</v>
      </c>
      <c r="K30" s="26">
        <v>37.29</v>
      </c>
      <c r="L30" s="22">
        <v>0.2</v>
      </c>
      <c r="M30" s="26">
        <v>7.4580000000000002</v>
      </c>
      <c r="N30" s="27" t="s">
        <v>161</v>
      </c>
      <c r="O30" s="28"/>
    </row>
    <row r="31" spans="1:15" s="27" customFormat="1" ht="15.75" x14ac:dyDescent="0.25">
      <c r="A31" s="22" t="s">
        <v>79</v>
      </c>
      <c r="B31" s="23">
        <v>19279958</v>
      </c>
      <c r="C31" s="22" t="s">
        <v>89</v>
      </c>
      <c r="D31" s="22" t="s">
        <v>90</v>
      </c>
      <c r="E31" s="22" t="str">
        <f t="shared" si="3"/>
        <v>28PY208</v>
      </c>
      <c r="F31" s="24" t="s">
        <v>82</v>
      </c>
      <c r="G31" s="25">
        <v>45809</v>
      </c>
      <c r="H31" s="22" t="s">
        <v>20</v>
      </c>
      <c r="I31" s="22">
        <v>20250501</v>
      </c>
      <c r="J31" s="22" t="s">
        <v>21</v>
      </c>
      <c r="K31" s="26">
        <v>36.92</v>
      </c>
      <c r="L31" s="22">
        <v>0.2</v>
      </c>
      <c r="M31" s="26">
        <v>7.3840000000000003</v>
      </c>
      <c r="N31" s="27" t="s">
        <v>161</v>
      </c>
      <c r="O31" s="28"/>
    </row>
    <row r="32" spans="1:15" s="27" customFormat="1" ht="15.75" x14ac:dyDescent="0.25">
      <c r="A32" s="22" t="s">
        <v>79</v>
      </c>
      <c r="B32" s="23">
        <v>19279958</v>
      </c>
      <c r="C32" s="22" t="s">
        <v>91</v>
      </c>
      <c r="D32" s="22" t="s">
        <v>92</v>
      </c>
      <c r="E32" s="22" t="str">
        <f t="shared" si="3"/>
        <v>33PJ958</v>
      </c>
      <c r="F32" s="24" t="s">
        <v>82</v>
      </c>
      <c r="G32" s="25">
        <v>45809</v>
      </c>
      <c r="H32" s="22" t="s">
        <v>20</v>
      </c>
      <c r="I32" s="22">
        <v>20250501</v>
      </c>
      <c r="J32" s="22" t="s">
        <v>21</v>
      </c>
      <c r="K32" s="26">
        <v>54.87</v>
      </c>
      <c r="L32" s="22">
        <v>0.2</v>
      </c>
      <c r="M32" s="26">
        <v>10.974</v>
      </c>
      <c r="N32" s="27" t="s">
        <v>161</v>
      </c>
      <c r="O32" s="28"/>
    </row>
    <row r="33" spans="1:15" s="27" customFormat="1" ht="15.75" x14ac:dyDescent="0.25">
      <c r="A33" s="22" t="s">
        <v>79</v>
      </c>
      <c r="B33" s="23">
        <v>19279958</v>
      </c>
      <c r="C33" s="22" t="s">
        <v>93</v>
      </c>
      <c r="D33" s="22" t="s">
        <v>94</v>
      </c>
      <c r="E33" s="22" t="str">
        <f t="shared" si="3"/>
        <v>39Q9Q08</v>
      </c>
      <c r="F33" s="24" t="s">
        <v>82</v>
      </c>
      <c r="G33" s="25">
        <v>45809</v>
      </c>
      <c r="H33" s="22" t="s">
        <v>20</v>
      </c>
      <c r="I33" s="22">
        <v>20250501</v>
      </c>
      <c r="J33" s="22" t="s">
        <v>21</v>
      </c>
      <c r="K33" s="26">
        <v>72.92</v>
      </c>
      <c r="L33" s="22">
        <v>0.2</v>
      </c>
      <c r="M33" s="26">
        <v>14.584000000000001</v>
      </c>
      <c r="N33" s="27" t="s">
        <v>161</v>
      </c>
      <c r="O33" s="28"/>
    </row>
    <row r="34" spans="1:15" s="27" customFormat="1" ht="15.75" x14ac:dyDescent="0.25">
      <c r="A34" s="22" t="s">
        <v>79</v>
      </c>
      <c r="B34" s="23">
        <v>19279958</v>
      </c>
      <c r="C34" s="22" t="s">
        <v>95</v>
      </c>
      <c r="D34" s="22" t="s">
        <v>96</v>
      </c>
      <c r="E34" s="22" t="str">
        <f t="shared" si="3"/>
        <v>94N25Y8</v>
      </c>
      <c r="F34" s="24" t="s">
        <v>82</v>
      </c>
      <c r="G34" s="25">
        <v>45809</v>
      </c>
      <c r="H34" s="22" t="s">
        <v>20</v>
      </c>
      <c r="I34" s="22">
        <v>20250501</v>
      </c>
      <c r="J34" s="22" t="s">
        <v>21</v>
      </c>
      <c r="K34" s="26">
        <v>39.700000000000003</v>
      </c>
      <c r="L34" s="22">
        <v>0.2</v>
      </c>
      <c r="M34" s="26">
        <v>7.9400000000000013</v>
      </c>
      <c r="N34" s="27" t="s">
        <v>161</v>
      </c>
      <c r="O34" s="28"/>
    </row>
    <row r="35" spans="1:15" s="27" customFormat="1" ht="15.75" x14ac:dyDescent="0.25">
      <c r="A35" s="22" t="s">
        <v>79</v>
      </c>
      <c r="B35" s="23">
        <v>19279958</v>
      </c>
      <c r="C35" s="22" t="s">
        <v>97</v>
      </c>
      <c r="D35" s="22" t="s">
        <v>98</v>
      </c>
      <c r="E35" s="22" t="str">
        <f t="shared" si="3"/>
        <v>95Q10L8</v>
      </c>
      <c r="F35" s="24" t="s">
        <v>99</v>
      </c>
      <c r="G35" s="25">
        <v>45809</v>
      </c>
      <c r="H35" s="22" t="s">
        <v>20</v>
      </c>
      <c r="I35" s="22">
        <v>20250501</v>
      </c>
      <c r="J35" s="22" t="s">
        <v>21</v>
      </c>
      <c r="K35" s="26">
        <v>51.11</v>
      </c>
      <c r="L35" s="22">
        <v>0.2</v>
      </c>
      <c r="M35" s="26">
        <v>10.222000000000001</v>
      </c>
      <c r="N35" s="27" t="s">
        <v>161</v>
      </c>
      <c r="O35" s="28"/>
    </row>
    <row r="36" spans="1:15" ht="15.75" x14ac:dyDescent="0.25">
      <c r="A36" s="16" t="s">
        <v>100</v>
      </c>
      <c r="B36" s="17">
        <v>6634327</v>
      </c>
      <c r="C36" s="16" t="s">
        <v>107</v>
      </c>
      <c r="D36" s="16" t="s">
        <v>108</v>
      </c>
      <c r="E36" s="16" t="str">
        <f t="shared" si="3"/>
        <v>88RH068</v>
      </c>
      <c r="F36" s="18" t="s">
        <v>60</v>
      </c>
      <c r="G36" s="19">
        <v>45809</v>
      </c>
      <c r="H36" s="16" t="s">
        <v>20</v>
      </c>
      <c r="I36" s="16">
        <v>20250501</v>
      </c>
      <c r="J36" s="16" t="s">
        <v>21</v>
      </c>
      <c r="K36" s="20">
        <v>221.92</v>
      </c>
      <c r="L36" s="16">
        <v>0.2</v>
      </c>
      <c r="M36" s="20">
        <v>44.384</v>
      </c>
      <c r="N36" t="s">
        <v>161</v>
      </c>
      <c r="O36" s="21"/>
    </row>
    <row r="37" spans="1:15" ht="15.75" x14ac:dyDescent="0.25">
      <c r="A37" s="16" t="s">
        <v>100</v>
      </c>
      <c r="B37" s="17">
        <v>6634327</v>
      </c>
      <c r="C37" s="16" t="s">
        <v>109</v>
      </c>
      <c r="D37" s="16" t="s">
        <v>110</v>
      </c>
      <c r="E37" s="16" t="str">
        <f t="shared" si="3"/>
        <v>39T05J8</v>
      </c>
      <c r="F37" s="18" t="s">
        <v>60</v>
      </c>
      <c r="G37" s="19">
        <v>45809</v>
      </c>
      <c r="H37" s="16" t="s">
        <v>20</v>
      </c>
      <c r="I37" s="16">
        <v>20250501</v>
      </c>
      <c r="J37" s="16" t="s">
        <v>21</v>
      </c>
      <c r="K37" s="20">
        <v>49</v>
      </c>
      <c r="L37" s="16">
        <v>0.2</v>
      </c>
      <c r="M37" s="20">
        <v>9.8000000000000007</v>
      </c>
      <c r="N37" t="s">
        <v>161</v>
      </c>
      <c r="O37" s="21"/>
    </row>
    <row r="38" spans="1:15" ht="15.75" x14ac:dyDescent="0.25">
      <c r="A38" s="16" t="s">
        <v>100</v>
      </c>
      <c r="B38" s="17">
        <v>6634327</v>
      </c>
      <c r="C38" s="16" t="s">
        <v>111</v>
      </c>
      <c r="D38" s="16" t="s">
        <v>112</v>
      </c>
      <c r="E38" s="16" t="str">
        <f t="shared" si="3"/>
        <v>61N2C48</v>
      </c>
      <c r="F38" s="18" t="s">
        <v>60</v>
      </c>
      <c r="G38" s="19">
        <v>45809</v>
      </c>
      <c r="H38" s="16" t="s">
        <v>20</v>
      </c>
      <c r="I38" s="16">
        <v>20250501</v>
      </c>
      <c r="J38" s="16" t="s">
        <v>21</v>
      </c>
      <c r="K38" s="20">
        <v>49</v>
      </c>
      <c r="L38" s="16">
        <v>0.2</v>
      </c>
      <c r="M38" s="20">
        <v>9.8000000000000007</v>
      </c>
      <c r="N38" t="s">
        <v>161</v>
      </c>
      <c r="O38" s="21"/>
    </row>
    <row r="39" spans="1:15" ht="15.75" x14ac:dyDescent="0.25">
      <c r="A39" s="16" t="s">
        <v>100</v>
      </c>
      <c r="B39" s="17">
        <v>6634327</v>
      </c>
      <c r="C39" s="16" t="s">
        <v>113</v>
      </c>
      <c r="D39" s="16" t="s">
        <v>114</v>
      </c>
      <c r="E39" s="16" t="str">
        <f t="shared" si="3"/>
        <v>81P98F8</v>
      </c>
      <c r="F39" s="18" t="s">
        <v>60</v>
      </c>
      <c r="G39" s="19">
        <v>45809</v>
      </c>
      <c r="H39" s="16" t="s">
        <v>20</v>
      </c>
      <c r="I39" s="16">
        <v>20250501</v>
      </c>
      <c r="J39" s="16" t="s">
        <v>21</v>
      </c>
      <c r="K39" s="20">
        <v>53.65</v>
      </c>
      <c r="L39" s="16">
        <v>0.2</v>
      </c>
      <c r="M39" s="20">
        <v>10.73</v>
      </c>
      <c r="N39" t="s">
        <v>161</v>
      </c>
      <c r="O39" s="21"/>
    </row>
    <row r="40" spans="1:15" ht="15.75" x14ac:dyDescent="0.25">
      <c r="A40" s="16" t="s">
        <v>100</v>
      </c>
      <c r="B40" s="17">
        <v>6634327</v>
      </c>
      <c r="C40" s="16" t="s">
        <v>101</v>
      </c>
      <c r="D40" s="16" t="s">
        <v>102</v>
      </c>
      <c r="E40" s="16" t="str">
        <f t="shared" ref="E40:E42" si="4">CONCATENATE(D40,2)</f>
        <v>04N2X02</v>
      </c>
      <c r="F40" s="18" t="s">
        <v>60</v>
      </c>
      <c r="G40" s="19">
        <v>45809</v>
      </c>
      <c r="H40" s="16"/>
      <c r="I40" s="16">
        <v>20250501</v>
      </c>
      <c r="J40" s="16" t="s">
        <v>14</v>
      </c>
      <c r="K40" s="20">
        <v>1</v>
      </c>
      <c r="L40" s="16">
        <v>20</v>
      </c>
      <c r="M40" s="20">
        <v>20</v>
      </c>
      <c r="N40" t="s">
        <v>162</v>
      </c>
    </row>
    <row r="41" spans="1:15" ht="15.75" x14ac:dyDescent="0.25">
      <c r="A41" s="16" t="s">
        <v>100</v>
      </c>
      <c r="B41" s="17">
        <v>6634327</v>
      </c>
      <c r="C41" s="16" t="s">
        <v>103</v>
      </c>
      <c r="D41" s="16" t="s">
        <v>104</v>
      </c>
      <c r="E41" s="16" t="str">
        <f t="shared" si="4"/>
        <v>41Q3R22</v>
      </c>
      <c r="F41" s="18" t="s">
        <v>60</v>
      </c>
      <c r="G41" s="19">
        <v>45809</v>
      </c>
      <c r="H41" s="16" t="s">
        <v>164</v>
      </c>
      <c r="I41" s="16">
        <v>20250501</v>
      </c>
      <c r="J41" s="16" t="s">
        <v>14</v>
      </c>
      <c r="K41" s="20">
        <v>1</v>
      </c>
      <c r="L41" s="16">
        <v>20</v>
      </c>
      <c r="M41" s="20">
        <v>60</v>
      </c>
      <c r="N41" t="s">
        <v>162</v>
      </c>
    </row>
    <row r="42" spans="1:15" ht="15.75" x14ac:dyDescent="0.25">
      <c r="A42" s="16" t="s">
        <v>100</v>
      </c>
      <c r="B42" s="17">
        <v>6634327</v>
      </c>
      <c r="C42" s="16" t="s">
        <v>105</v>
      </c>
      <c r="D42" s="16" t="s">
        <v>106</v>
      </c>
      <c r="E42" s="16" t="str">
        <f t="shared" si="4"/>
        <v>41R91U2</v>
      </c>
      <c r="F42" s="18" t="s">
        <v>60</v>
      </c>
      <c r="G42" s="19">
        <v>45809</v>
      </c>
      <c r="H42" s="16"/>
      <c r="I42" s="16">
        <v>20250501</v>
      </c>
      <c r="J42" s="16" t="s">
        <v>14</v>
      </c>
      <c r="K42" s="20">
        <v>1</v>
      </c>
      <c r="L42" s="16">
        <v>20</v>
      </c>
      <c r="M42" s="20">
        <v>20</v>
      </c>
      <c r="N42" t="s">
        <v>162</v>
      </c>
    </row>
    <row r="43" spans="1:15" ht="15.75" x14ac:dyDescent="0.25">
      <c r="A43" s="16" t="s">
        <v>115</v>
      </c>
      <c r="B43" s="17">
        <v>18828278</v>
      </c>
      <c r="C43" s="16" t="s">
        <v>116</v>
      </c>
      <c r="D43" s="16" t="s">
        <v>117</v>
      </c>
      <c r="E43" s="16" t="str">
        <f>CONCATENATE(D43,7)</f>
        <v>03P25D7</v>
      </c>
      <c r="F43" s="18" t="s">
        <v>28</v>
      </c>
      <c r="G43" s="19">
        <v>45839</v>
      </c>
      <c r="H43" s="16" t="s">
        <v>20</v>
      </c>
      <c r="I43" s="16">
        <v>20250501</v>
      </c>
      <c r="J43" s="16" t="s">
        <v>21</v>
      </c>
      <c r="K43" s="20">
        <v>18</v>
      </c>
      <c r="L43" s="16">
        <v>0.1</v>
      </c>
      <c r="M43" s="20">
        <v>1.8</v>
      </c>
      <c r="N43" t="s">
        <v>160</v>
      </c>
      <c r="O43" s="21"/>
    </row>
    <row r="44" spans="1:15" ht="15.75" x14ac:dyDescent="0.25">
      <c r="A44" s="16" t="s">
        <v>115</v>
      </c>
      <c r="B44" s="17">
        <v>18828278</v>
      </c>
      <c r="C44" s="16" t="s">
        <v>118</v>
      </c>
      <c r="D44" s="16" t="s">
        <v>119</v>
      </c>
      <c r="E44" s="16" t="str">
        <f t="shared" ref="E44:E46" si="5">CONCATENATE(D44,7)</f>
        <v>04R42R7</v>
      </c>
      <c r="F44" s="18" t="s">
        <v>28</v>
      </c>
      <c r="G44" s="19">
        <v>45839</v>
      </c>
      <c r="H44" s="16" t="s">
        <v>20</v>
      </c>
      <c r="I44" s="16">
        <v>20250501</v>
      </c>
      <c r="J44" s="16" t="s">
        <v>21</v>
      </c>
      <c r="K44" s="20">
        <v>18</v>
      </c>
      <c r="L44" s="16">
        <v>0.1</v>
      </c>
      <c r="M44" s="20">
        <v>1.8</v>
      </c>
      <c r="N44" t="s">
        <v>160</v>
      </c>
      <c r="O44" s="21"/>
    </row>
    <row r="45" spans="1:15" ht="15.75" x14ac:dyDescent="0.25">
      <c r="A45" s="16" t="s">
        <v>115</v>
      </c>
      <c r="B45" s="17">
        <v>18828278</v>
      </c>
      <c r="C45" s="16" t="s">
        <v>120</v>
      </c>
      <c r="D45" s="16" t="s">
        <v>121</v>
      </c>
      <c r="E45" s="16" t="str">
        <f t="shared" si="5"/>
        <v>46R1Q07</v>
      </c>
      <c r="F45" s="18" t="s">
        <v>28</v>
      </c>
      <c r="G45" s="19">
        <v>45839</v>
      </c>
      <c r="H45" s="16" t="s">
        <v>20</v>
      </c>
      <c r="I45" s="16">
        <v>20250501</v>
      </c>
      <c r="J45" s="16" t="s">
        <v>21</v>
      </c>
      <c r="K45" s="20">
        <v>18</v>
      </c>
      <c r="L45" s="16">
        <v>0.1</v>
      </c>
      <c r="M45" s="20">
        <v>1.8</v>
      </c>
      <c r="N45" t="s">
        <v>160</v>
      </c>
      <c r="O45" s="21"/>
    </row>
    <row r="46" spans="1:15" ht="15.75" x14ac:dyDescent="0.25">
      <c r="A46" s="16" t="s">
        <v>115</v>
      </c>
      <c r="B46" s="17">
        <v>18828278</v>
      </c>
      <c r="C46" s="16" t="s">
        <v>122</v>
      </c>
      <c r="D46" s="16" t="s">
        <v>123</v>
      </c>
      <c r="E46" s="16" t="str">
        <f t="shared" si="5"/>
        <v>56Q3B87</v>
      </c>
      <c r="F46" s="18" t="s">
        <v>28</v>
      </c>
      <c r="G46" s="19">
        <v>45839</v>
      </c>
      <c r="H46" s="16" t="s">
        <v>20</v>
      </c>
      <c r="I46" s="16">
        <v>20250501</v>
      </c>
      <c r="J46" s="16" t="s">
        <v>21</v>
      </c>
      <c r="K46" s="20">
        <v>18</v>
      </c>
      <c r="L46" s="16">
        <v>0.1</v>
      </c>
      <c r="M46" s="20">
        <v>1.8</v>
      </c>
      <c r="N46" t="s">
        <v>160</v>
      </c>
      <c r="O46" s="21"/>
    </row>
    <row r="47" spans="1:15" ht="15.75" x14ac:dyDescent="0.25">
      <c r="A47" s="16" t="s">
        <v>115</v>
      </c>
      <c r="B47" s="17">
        <v>18828278</v>
      </c>
      <c r="C47" s="16" t="s">
        <v>124</v>
      </c>
      <c r="D47" s="16" t="s">
        <v>125</v>
      </c>
      <c r="E47" s="16" t="str">
        <f t="shared" ref="E47:E56" si="6">CONCATENATE(D47,8)</f>
        <v>42T1F68</v>
      </c>
      <c r="F47" s="18" t="s">
        <v>28</v>
      </c>
      <c r="G47" s="19">
        <v>45839</v>
      </c>
      <c r="H47" s="16" t="s">
        <v>20</v>
      </c>
      <c r="I47" s="16">
        <v>20250501</v>
      </c>
      <c r="J47" s="16" t="s">
        <v>21</v>
      </c>
      <c r="K47" s="20">
        <v>32.93</v>
      </c>
      <c r="L47" s="16">
        <v>0.2</v>
      </c>
      <c r="M47" s="20">
        <v>6.5860000000000003</v>
      </c>
      <c r="N47" t="s">
        <v>161</v>
      </c>
      <c r="O47" s="21"/>
    </row>
    <row r="48" spans="1:15" ht="15.75" x14ac:dyDescent="0.25">
      <c r="A48" s="16" t="s">
        <v>115</v>
      </c>
      <c r="B48" s="17">
        <v>18828278</v>
      </c>
      <c r="C48" s="16" t="s">
        <v>126</v>
      </c>
      <c r="D48" s="16" t="s">
        <v>127</v>
      </c>
      <c r="E48" s="16" t="str">
        <f t="shared" si="6"/>
        <v>58P14V8</v>
      </c>
      <c r="F48" s="18" t="s">
        <v>28</v>
      </c>
      <c r="G48" s="19">
        <v>45839</v>
      </c>
      <c r="H48" s="16" t="s">
        <v>20</v>
      </c>
      <c r="I48" s="16">
        <v>20250501</v>
      </c>
      <c r="J48" s="16" t="s">
        <v>21</v>
      </c>
      <c r="K48" s="20">
        <v>48.35</v>
      </c>
      <c r="L48" s="16">
        <v>0.2</v>
      </c>
      <c r="M48" s="20">
        <v>9.6700000000000017</v>
      </c>
      <c r="N48" t="s">
        <v>161</v>
      </c>
      <c r="O48" s="21"/>
    </row>
    <row r="49" spans="1:15" ht="15.75" x14ac:dyDescent="0.25">
      <c r="A49" s="16" t="s">
        <v>115</v>
      </c>
      <c r="B49" s="17">
        <v>18828278</v>
      </c>
      <c r="C49" s="16" t="s">
        <v>128</v>
      </c>
      <c r="D49" s="16" t="s">
        <v>129</v>
      </c>
      <c r="E49" s="16" t="str">
        <f t="shared" si="6"/>
        <v>30RQ528</v>
      </c>
      <c r="F49" s="18" t="s">
        <v>28</v>
      </c>
      <c r="G49" s="19">
        <v>45839</v>
      </c>
      <c r="H49" s="16" t="s">
        <v>20</v>
      </c>
      <c r="I49" s="16">
        <v>20250501</v>
      </c>
      <c r="J49" s="16" t="s">
        <v>21</v>
      </c>
      <c r="K49" s="20">
        <v>33</v>
      </c>
      <c r="L49" s="16">
        <v>0.2</v>
      </c>
      <c r="M49" s="20">
        <v>6.6000000000000005</v>
      </c>
      <c r="N49" t="s">
        <v>161</v>
      </c>
      <c r="O49" s="21"/>
    </row>
    <row r="50" spans="1:15" ht="15.75" x14ac:dyDescent="0.25">
      <c r="A50" s="16" t="s">
        <v>115</v>
      </c>
      <c r="B50" s="17">
        <v>18828278</v>
      </c>
      <c r="C50" s="16" t="s">
        <v>130</v>
      </c>
      <c r="D50" s="16" t="s">
        <v>131</v>
      </c>
      <c r="E50" s="16" t="str">
        <f t="shared" si="6"/>
        <v>60Q27N8</v>
      </c>
      <c r="F50" s="18" t="s">
        <v>28</v>
      </c>
      <c r="G50" s="19">
        <v>45839</v>
      </c>
      <c r="H50" s="16" t="s">
        <v>20</v>
      </c>
      <c r="I50" s="16">
        <v>20250501</v>
      </c>
      <c r="J50" s="16" t="s">
        <v>21</v>
      </c>
      <c r="K50" s="20">
        <v>27</v>
      </c>
      <c r="L50" s="16">
        <v>0.2</v>
      </c>
      <c r="M50" s="20">
        <v>5.4</v>
      </c>
      <c r="N50" t="s">
        <v>161</v>
      </c>
      <c r="O50" s="21"/>
    </row>
    <row r="51" spans="1:15" ht="15.75" x14ac:dyDescent="0.25">
      <c r="A51" s="16" t="s">
        <v>115</v>
      </c>
      <c r="B51" s="17">
        <v>18828278</v>
      </c>
      <c r="C51" s="16" t="s">
        <v>132</v>
      </c>
      <c r="D51" s="16" t="s">
        <v>133</v>
      </c>
      <c r="E51" s="16" t="str">
        <f t="shared" si="6"/>
        <v>62R17P8</v>
      </c>
      <c r="F51" s="18" t="s">
        <v>28</v>
      </c>
      <c r="G51" s="19">
        <v>45839</v>
      </c>
      <c r="H51" s="16" t="s">
        <v>20</v>
      </c>
      <c r="I51" s="16">
        <v>20250501</v>
      </c>
      <c r="J51" s="16" t="s">
        <v>21</v>
      </c>
      <c r="K51" s="20">
        <v>36</v>
      </c>
      <c r="L51" s="16">
        <v>0.2</v>
      </c>
      <c r="M51" s="20">
        <v>7.2</v>
      </c>
      <c r="N51" t="s">
        <v>161</v>
      </c>
      <c r="O51" s="21"/>
    </row>
    <row r="52" spans="1:15" ht="15.75" x14ac:dyDescent="0.25">
      <c r="A52" s="16" t="s">
        <v>115</v>
      </c>
      <c r="B52" s="17">
        <v>18828278</v>
      </c>
      <c r="C52" s="16" t="s">
        <v>134</v>
      </c>
      <c r="D52" s="16" t="s">
        <v>135</v>
      </c>
      <c r="E52" s="16" t="str">
        <f t="shared" si="6"/>
        <v>64RC608</v>
      </c>
      <c r="F52" s="18" t="s">
        <v>28</v>
      </c>
      <c r="G52" s="19">
        <v>45839</v>
      </c>
      <c r="H52" s="16" t="s">
        <v>20</v>
      </c>
      <c r="I52" s="16">
        <v>20250501</v>
      </c>
      <c r="J52" s="16" t="s">
        <v>21</v>
      </c>
      <c r="K52" s="20">
        <v>66.599999999999994</v>
      </c>
      <c r="L52" s="16">
        <v>0.2</v>
      </c>
      <c r="M52" s="20">
        <v>13.32</v>
      </c>
      <c r="N52" t="s">
        <v>161</v>
      </c>
      <c r="O52" s="21"/>
    </row>
    <row r="53" spans="1:15" ht="15.75" x14ac:dyDescent="0.25">
      <c r="A53" s="16" t="s">
        <v>136</v>
      </c>
      <c r="B53" s="17">
        <v>8244481</v>
      </c>
      <c r="C53" s="16" t="s">
        <v>137</v>
      </c>
      <c r="D53" s="16" t="s">
        <v>138</v>
      </c>
      <c r="E53" s="16" t="str">
        <f t="shared" si="6"/>
        <v>38Q40Y8</v>
      </c>
      <c r="F53" s="18" t="s">
        <v>28</v>
      </c>
      <c r="G53" s="19">
        <v>45809</v>
      </c>
      <c r="H53" s="16" t="s">
        <v>20</v>
      </c>
      <c r="I53" s="16">
        <v>20250501</v>
      </c>
      <c r="J53" s="16" t="s">
        <v>21</v>
      </c>
      <c r="K53" s="20">
        <v>59.9</v>
      </c>
      <c r="L53" s="16">
        <v>0.2</v>
      </c>
      <c r="M53" s="20">
        <v>11.98</v>
      </c>
      <c r="N53" t="s">
        <v>161</v>
      </c>
      <c r="O53" s="21"/>
    </row>
    <row r="54" spans="1:15" ht="15.75" x14ac:dyDescent="0.25">
      <c r="A54" s="16" t="s">
        <v>136</v>
      </c>
      <c r="B54" s="17">
        <v>8244481</v>
      </c>
      <c r="C54" s="16" t="s">
        <v>139</v>
      </c>
      <c r="D54" s="16" t="s">
        <v>140</v>
      </c>
      <c r="E54" s="16" t="str">
        <f t="shared" si="6"/>
        <v>18RY538</v>
      </c>
      <c r="F54" s="18" t="s">
        <v>28</v>
      </c>
      <c r="G54" s="19">
        <v>45809</v>
      </c>
      <c r="H54" s="16" t="s">
        <v>20</v>
      </c>
      <c r="I54" s="16">
        <v>20250501</v>
      </c>
      <c r="J54" s="16" t="s">
        <v>21</v>
      </c>
      <c r="K54" s="20">
        <v>66.599999999999994</v>
      </c>
      <c r="L54" s="16">
        <v>0.2</v>
      </c>
      <c r="M54" s="20">
        <v>13.32</v>
      </c>
      <c r="N54" t="s">
        <v>161</v>
      </c>
      <c r="O54" s="21"/>
    </row>
    <row r="55" spans="1:15" ht="15.75" x14ac:dyDescent="0.25">
      <c r="A55" s="16" t="s">
        <v>141</v>
      </c>
      <c r="B55" s="17">
        <v>16633294</v>
      </c>
      <c r="C55" s="16" t="s">
        <v>142</v>
      </c>
      <c r="D55" s="16" t="s">
        <v>143</v>
      </c>
      <c r="E55" s="16" t="str">
        <f t="shared" si="6"/>
        <v>31TG758</v>
      </c>
      <c r="F55" s="18" t="s">
        <v>28</v>
      </c>
      <c r="G55" s="19">
        <v>45717</v>
      </c>
      <c r="H55" s="16" t="s">
        <v>20</v>
      </c>
      <c r="I55" s="16">
        <v>20250501</v>
      </c>
      <c r="J55" s="16" t="s">
        <v>21</v>
      </c>
      <c r="K55" s="20">
        <v>62.32</v>
      </c>
      <c r="L55" s="16">
        <v>0.2</v>
      </c>
      <c r="M55" s="20">
        <v>12.464</v>
      </c>
      <c r="N55" t="s">
        <v>161</v>
      </c>
      <c r="O55" s="21"/>
    </row>
    <row r="56" spans="1:15" ht="15.75" x14ac:dyDescent="0.25">
      <c r="A56" s="16" t="s">
        <v>141</v>
      </c>
      <c r="B56" s="17">
        <v>16633294</v>
      </c>
      <c r="C56" s="16" t="s">
        <v>144</v>
      </c>
      <c r="D56" s="16" t="s">
        <v>145</v>
      </c>
      <c r="E56" s="16" t="str">
        <f t="shared" si="6"/>
        <v>31TG878</v>
      </c>
      <c r="F56" s="18" t="s">
        <v>28</v>
      </c>
      <c r="G56" s="19">
        <v>45717</v>
      </c>
      <c r="H56" s="16" t="s">
        <v>20</v>
      </c>
      <c r="I56" s="16">
        <v>20250501</v>
      </c>
      <c r="J56" s="16" t="s">
        <v>21</v>
      </c>
      <c r="K56" s="20">
        <v>72.260000000000005</v>
      </c>
      <c r="L56" s="16">
        <v>0.2</v>
      </c>
      <c r="M56" s="20">
        <v>14.452000000000002</v>
      </c>
      <c r="N56" t="s">
        <v>161</v>
      </c>
      <c r="O56" s="21"/>
    </row>
    <row r="57" spans="1:15" ht="15.75" x14ac:dyDescent="0.25">
      <c r="A57" s="16" t="s">
        <v>146</v>
      </c>
      <c r="B57" s="17">
        <v>8977234</v>
      </c>
      <c r="C57" s="16" t="s">
        <v>147</v>
      </c>
      <c r="D57" s="16" t="s">
        <v>148</v>
      </c>
      <c r="E57" s="16" t="str">
        <f t="shared" ref="E57:E58" si="7">CONCATENATE(D57,2)</f>
        <v>46DX332</v>
      </c>
      <c r="F57" s="18" t="s">
        <v>42</v>
      </c>
      <c r="G57" s="19">
        <v>45658</v>
      </c>
      <c r="H57" s="16"/>
      <c r="I57" s="16">
        <v>20250501</v>
      </c>
      <c r="J57" s="16" t="s">
        <v>14</v>
      </c>
      <c r="K57" s="20">
        <v>1</v>
      </c>
      <c r="L57" s="16">
        <v>27</v>
      </c>
      <c r="M57" s="20">
        <v>27</v>
      </c>
      <c r="N57" t="s">
        <v>163</v>
      </c>
    </row>
    <row r="58" spans="1:15" ht="15.75" x14ac:dyDescent="0.25">
      <c r="A58" s="16" t="s">
        <v>146</v>
      </c>
      <c r="B58" s="17">
        <v>8977234</v>
      </c>
      <c r="C58" s="16" t="s">
        <v>149</v>
      </c>
      <c r="D58" s="16" t="s">
        <v>150</v>
      </c>
      <c r="E58" s="16" t="str">
        <f t="shared" si="7"/>
        <v>8PJ6532</v>
      </c>
      <c r="F58" s="18" t="s">
        <v>42</v>
      </c>
      <c r="G58" s="19">
        <v>45658</v>
      </c>
      <c r="H58" s="16"/>
      <c r="I58" s="16">
        <v>20250501</v>
      </c>
      <c r="J58" s="16" t="s">
        <v>14</v>
      </c>
      <c r="K58" s="20">
        <v>1</v>
      </c>
      <c r="L58" s="16">
        <v>27</v>
      </c>
      <c r="M58" s="20">
        <v>27</v>
      </c>
      <c r="N58" t="s">
        <v>163</v>
      </c>
    </row>
    <row r="59" spans="1:15" ht="15.75" x14ac:dyDescent="0.25">
      <c r="A59" s="16" t="s">
        <v>151</v>
      </c>
      <c r="B59" s="17">
        <v>19106640</v>
      </c>
      <c r="C59" s="16" t="s">
        <v>152</v>
      </c>
      <c r="D59" s="16" t="s">
        <v>153</v>
      </c>
      <c r="E59" s="16" t="str">
        <f t="shared" ref="E59:E61" si="8">CONCATENATE(D59,8)</f>
        <v>24R79F8</v>
      </c>
      <c r="F59" s="18" t="s">
        <v>28</v>
      </c>
      <c r="G59" s="19">
        <v>45689</v>
      </c>
      <c r="H59" s="16" t="s">
        <v>20</v>
      </c>
      <c r="I59" s="16">
        <v>20250501</v>
      </c>
      <c r="J59" s="16" t="s">
        <v>21</v>
      </c>
      <c r="K59" s="20">
        <v>115.55</v>
      </c>
      <c r="L59" s="16">
        <v>0.2</v>
      </c>
      <c r="M59" s="20">
        <v>23.11</v>
      </c>
      <c r="N59" t="s">
        <v>161</v>
      </c>
      <c r="O59" s="21"/>
    </row>
    <row r="60" spans="1:15" ht="15.75" x14ac:dyDescent="0.25">
      <c r="A60" s="16" t="s">
        <v>151</v>
      </c>
      <c r="B60" s="17">
        <v>19106640</v>
      </c>
      <c r="C60" s="16" t="s">
        <v>154</v>
      </c>
      <c r="D60" s="16" t="s">
        <v>155</v>
      </c>
      <c r="E60" s="16" t="str">
        <f t="shared" si="8"/>
        <v>65R42C8</v>
      </c>
      <c r="F60" s="18" t="s">
        <v>42</v>
      </c>
      <c r="G60" s="19">
        <v>45689</v>
      </c>
      <c r="H60" s="16" t="s">
        <v>20</v>
      </c>
      <c r="I60" s="16">
        <v>20250501</v>
      </c>
      <c r="J60" s="16" t="s">
        <v>21</v>
      </c>
      <c r="K60" s="20">
        <v>103.1</v>
      </c>
      <c r="L60" s="16">
        <v>0.2</v>
      </c>
      <c r="M60" s="20">
        <v>20.62</v>
      </c>
      <c r="N60" t="s">
        <v>161</v>
      </c>
      <c r="O60" s="21"/>
    </row>
    <row r="61" spans="1:15" ht="15.75" x14ac:dyDescent="0.25">
      <c r="A61" s="16" t="s">
        <v>156</v>
      </c>
      <c r="B61" s="17">
        <v>16202925</v>
      </c>
      <c r="C61" s="16" t="s">
        <v>157</v>
      </c>
      <c r="D61" s="16" t="s">
        <v>158</v>
      </c>
      <c r="E61" s="16" t="str">
        <f t="shared" si="8"/>
        <v>80TQ848</v>
      </c>
      <c r="F61" s="18" t="s">
        <v>82</v>
      </c>
      <c r="G61" s="19">
        <v>45717</v>
      </c>
      <c r="H61" s="16" t="s">
        <v>20</v>
      </c>
      <c r="I61" s="16">
        <v>20250501</v>
      </c>
      <c r="J61" s="16" t="s">
        <v>21</v>
      </c>
      <c r="K61" s="20">
        <v>45</v>
      </c>
      <c r="L61" s="16">
        <v>0.2</v>
      </c>
      <c r="M61" s="20">
        <v>9</v>
      </c>
      <c r="N61" t="s">
        <v>161</v>
      </c>
      <c r="O61" s="21"/>
    </row>
  </sheetData>
  <sortState xmlns:xlrd2="http://schemas.microsoft.com/office/spreadsheetml/2017/richdata2" ref="A2:O62">
    <sortCondition ref="A2:A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2025-06-11T13:49:54Z</dcterms:created>
  <dcterms:modified xsi:type="dcterms:W3CDTF">2025-06-20T19:52:38Z</dcterms:modified>
</cp:coreProperties>
</file>