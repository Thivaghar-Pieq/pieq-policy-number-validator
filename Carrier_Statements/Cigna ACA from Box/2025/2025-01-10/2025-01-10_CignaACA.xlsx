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ACA from Box/2025/1-10-25/"/>
    </mc:Choice>
  </mc:AlternateContent>
  <xr:revisionPtr revIDLastSave="0" documentId="13_ncr:1_{EDC4B857-7D7D-BD40-BC3F-9FC1B7CB9FAD}" xr6:coauthVersionLast="47" xr6:coauthVersionMax="47" xr10:uidLastSave="{00000000-0000-0000-0000-000000000000}"/>
  <bookViews>
    <workbookView xWindow="0" yWindow="500" windowWidth="19200" windowHeight="19360" activeTab="2" xr2:uid="{0D6D2A5E-1433-4C02-A148-AD77921C799B}"/>
  </bookViews>
  <sheets>
    <sheet name="Main Line Benefits LLC - Cigna 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</calcChain>
</file>

<file path=xl/sharedStrings.xml><?xml version="1.0" encoding="utf-8"?>
<sst xmlns="http://schemas.openxmlformats.org/spreadsheetml/2006/main" count="1133" uniqueCount="240">
  <si>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</si>
  <si>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</si>
  <si>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</si>
  <si>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</si>
  <si>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</si>
  <si>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</si>
  <si>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</si>
  <si>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</si>
  <si>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</si>
  <si>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</si>
  <si>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</si>
  <si>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FL-N</t>
  </si>
  <si>
    <t>Medical, HOAPIN</t>
  </si>
  <si>
    <t>Main Line Benefits LLC</t>
  </si>
  <si>
    <t>BRIAN STROHMAN</t>
  </si>
  <si>
    <t>KENNEDY, STACY</t>
  </si>
  <si>
    <t>06P64N</t>
  </si>
  <si>
    <t>WI</t>
  </si>
  <si>
    <t xml:space="preserve"> </t>
  </si>
  <si>
    <t>Dental, IVDPPO</t>
  </si>
  <si>
    <t>SESSLER, WENDY</t>
  </si>
  <si>
    <t>38Q22K</t>
  </si>
  <si>
    <t>IL</t>
  </si>
  <si>
    <t>CAROL FOLEY</t>
  </si>
  <si>
    <t>WARNER, REGINALD</t>
  </si>
  <si>
    <t>80QC76</t>
  </si>
  <si>
    <t>PA</t>
  </si>
  <si>
    <t>SIGG, ALEC</t>
  </si>
  <si>
    <t>01F2T5</t>
  </si>
  <si>
    <t>NC</t>
  </si>
  <si>
    <t>Medical, HMO1</t>
  </si>
  <si>
    <t>DEPHILLIPS, DEVON</t>
  </si>
  <si>
    <t>0J4F07</t>
  </si>
  <si>
    <t>BRAZELTON, KYLEE</t>
  </si>
  <si>
    <t>41Q71G</t>
  </si>
  <si>
    <t>FL-S</t>
  </si>
  <si>
    <t>HEATHER GESKE</t>
  </si>
  <si>
    <t>BURNETT-TUBBS, LAURA</t>
  </si>
  <si>
    <t>52N5M3</t>
  </si>
  <si>
    <t>CO</t>
  </si>
  <si>
    <t>DICKEY-JONES, NADIIRA</t>
  </si>
  <si>
    <t>72P58Q</t>
  </si>
  <si>
    <t>JARED KINYUA</t>
  </si>
  <si>
    <t>OBI, FLORENCE</t>
  </si>
  <si>
    <t>07QM57</t>
  </si>
  <si>
    <t>MD</t>
  </si>
  <si>
    <t>HANEY, ATHEA</t>
  </si>
  <si>
    <t>19Q0B2</t>
  </si>
  <si>
    <t>MAYE, LEA</t>
  </si>
  <si>
    <t>21Q1B0</t>
  </si>
  <si>
    <t>GREGG, BARBARA</t>
  </si>
  <si>
    <t>28P22N</t>
  </si>
  <si>
    <t>TORO, PIER</t>
  </si>
  <si>
    <t>39Q9Q0</t>
  </si>
  <si>
    <t>JOEL LEE</t>
  </si>
  <si>
    <t>CHAFFIN, KATHRYN</t>
  </si>
  <si>
    <t>11N4X3</t>
  </si>
  <si>
    <t>ROUNSAVELL, OWEN</t>
  </si>
  <si>
    <t>15Q51K</t>
  </si>
  <si>
    <t>CORNIA, JOSSELYN</t>
  </si>
  <si>
    <t>20N0M3</t>
  </si>
  <si>
    <t>YOUKHANA, JAMES</t>
  </si>
  <si>
    <t>20Q85U</t>
  </si>
  <si>
    <t>NALUBWAMA, SARAH</t>
  </si>
  <si>
    <t>39N2C4</t>
  </si>
  <si>
    <t>ANGAMUTHU KANDASAMY, VENK</t>
  </si>
  <si>
    <t>42N39C</t>
  </si>
  <si>
    <t>LOY, HUNTER</t>
  </si>
  <si>
    <t>46Q2X5</t>
  </si>
  <si>
    <t>GADDAM, SUDHAKAR</t>
  </si>
  <si>
    <t>50QL36</t>
  </si>
  <si>
    <t>DONNELL, JANA</t>
  </si>
  <si>
    <t>62N9M2</t>
  </si>
  <si>
    <t>HOLLAND, JOSHUA</t>
  </si>
  <si>
    <t>63QL20</t>
  </si>
  <si>
    <t>LORD, REBECCA</t>
  </si>
  <si>
    <t>6HM412</t>
  </si>
  <si>
    <t>ROBERTSON, MCCLAIN</t>
  </si>
  <si>
    <t>74Q8R8</t>
  </si>
  <si>
    <t>FERGUSON, MICAH</t>
  </si>
  <si>
    <t>7W3Q89</t>
  </si>
  <si>
    <t>BRESLI, ALIZAY</t>
  </si>
  <si>
    <t>86QL76</t>
  </si>
  <si>
    <t>TUCKER, DAVE</t>
  </si>
  <si>
    <t>98PH14</t>
  </si>
  <si>
    <t>SHANKS, KEVIN</t>
  </si>
  <si>
    <t>98Q9Q8</t>
  </si>
  <si>
    <t>ADAM RICHTER</t>
  </si>
  <si>
    <t>STEPHENSON, SARAH</t>
  </si>
  <si>
    <t>0W61U5</t>
  </si>
  <si>
    <t>PETERS, HAILEY</t>
  </si>
  <si>
    <t>27C3J8</t>
  </si>
  <si>
    <t>VA</t>
  </si>
  <si>
    <t>MORRISON, RACHEL</t>
  </si>
  <si>
    <t>34C9J5</t>
  </si>
  <si>
    <t>HAHNE, GERALD</t>
  </si>
  <si>
    <t>49CL67</t>
  </si>
  <si>
    <t>ANDREW CHOI</t>
  </si>
  <si>
    <t>ROBERTS, ERIN</t>
  </si>
  <si>
    <t>70P91M</t>
  </si>
  <si>
    <t>ROTARU, LENUTA</t>
  </si>
  <si>
    <t>74N3X5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</si>
  <si>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</si>
  <si>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</si>
  <si>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</si>
  <si>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</si>
  <si>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</si>
  <si>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</si>
  <si>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</si>
  <si>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</si>
  <si>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</si>
  <si>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</si>
  <si>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</si>
  <si>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</si>
  <si>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</si>
  <si>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</si>
  <si>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DALE WALENGA</t>
  </si>
  <si>
    <t>HOWER, MIA</t>
  </si>
  <si>
    <t>0Y338V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</si>
  <si>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</si>
  <si>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</si>
  <si>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</si>
  <si>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</si>
  <si>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</si>
  <si>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</si>
  <si>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</si>
  <si>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</si>
  <si>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73AX81</t>
  </si>
  <si>
    <t>GREGORY TEIPEL</t>
  </si>
  <si>
    <t>BAKER, TROY</t>
  </si>
  <si>
    <t>1V691Y</t>
  </si>
  <si>
    <t>TX</t>
  </si>
  <si>
    <t>KULCHYCKYJ, ANDREY</t>
  </si>
  <si>
    <t>35DH74</t>
  </si>
  <si>
    <t>CONLEY, ANNA</t>
  </si>
  <si>
    <t>5Y6K12</t>
  </si>
  <si>
    <t>HUSLIN, SUZANNE</t>
  </si>
  <si>
    <t>1KD598</t>
  </si>
  <si>
    <t>WEBB, RANDALL</t>
  </si>
  <si>
    <t>5G6W80</t>
  </si>
  <si>
    <t>DEAN, JUSTIN</t>
  </si>
  <si>
    <t>7TR113</t>
  </si>
  <si>
    <t>JACOB YALE</t>
  </si>
  <si>
    <t>PHELAN, RYAN</t>
  </si>
  <si>
    <t>08P50D</t>
  </si>
  <si>
    <t>MALITZ, STEVEN</t>
  </si>
  <si>
    <t>0Y84T5</t>
  </si>
  <si>
    <t>CEFOLA, CHRISTOPHER</t>
  </si>
  <si>
    <t>63P29C</t>
  </si>
  <si>
    <t>BALLARD, KATHERINE</t>
  </si>
  <si>
    <t>69E5F9</t>
  </si>
  <si>
    <t>JASON HOFFMANN</t>
  </si>
  <si>
    <t>MAZZOLA, SALVATORE</t>
  </si>
  <si>
    <t>2XH606</t>
  </si>
  <si>
    <t>LORI TUNSTALL</t>
  </si>
  <si>
    <t>POTTER, ALISON</t>
  </si>
  <si>
    <t>13M41V</t>
  </si>
  <si>
    <t>MATLIS, CASSANDRA</t>
  </si>
  <si>
    <t>56P6N9</t>
  </si>
  <si>
    <t>MICHAEL DUNAVANT</t>
  </si>
  <si>
    <t>BLOODWORTH, BRYAN</t>
  </si>
  <si>
    <t>03P25D</t>
  </si>
  <si>
    <t>BUTLER MAGSOMBOL, ANGELA</t>
  </si>
  <si>
    <t>56Q3B8</t>
  </si>
  <si>
    <t>JENSEN, BRIAN</t>
  </si>
  <si>
    <t>58P14V</t>
  </si>
  <si>
    <t>MCBRIDE, STEVEN</t>
  </si>
  <si>
    <t>60Q27N</t>
  </si>
  <si>
    <t>MORRIS, LINDA</t>
  </si>
  <si>
    <t>64RC60</t>
  </si>
  <si>
    <t>PAMELA DEATON</t>
  </si>
  <si>
    <t>MISSAKASAVAKE, THANADOBI</t>
  </si>
  <si>
    <t>38Q40Y</t>
  </si>
  <si>
    <t>RICARDO SANTOS</t>
  </si>
  <si>
    <t>HAN, JUNG</t>
  </si>
  <si>
    <t>7K17M2</t>
  </si>
  <si>
    <t>RICHARD YALE</t>
  </si>
  <si>
    <t>LOMBARDI, JOANN</t>
  </si>
  <si>
    <t>03Q06K</t>
  </si>
  <si>
    <t>NOBILE, DANIEL</t>
  </si>
  <si>
    <t>77Q50P</t>
  </si>
  <si>
    <t>KING, PETER</t>
  </si>
  <si>
    <t>98Q49J</t>
  </si>
  <si>
    <t>RYAN CALTAGIRONE</t>
  </si>
  <si>
    <t>RODECK, KEITH</t>
  </si>
  <si>
    <t>02LM35</t>
  </si>
  <si>
    <t>MALSCH, CHARLES</t>
  </si>
  <si>
    <t>27P4G4</t>
  </si>
  <si>
    <t>SAADIA ABDUL</t>
  </si>
  <si>
    <t>ARIANO, GIUSEPPE</t>
  </si>
  <si>
    <t>49NY80</t>
  </si>
  <si>
    <t>ANGIULO, GIANNA</t>
  </si>
  <si>
    <t>68NK46</t>
  </si>
  <si>
    <t>TIMOTHY HODGMAN</t>
  </si>
  <si>
    <t>HENNESSY, PAUL</t>
  </si>
  <si>
    <t>69E35K</t>
  </si>
  <si>
    <t>WASILEWSKI, DEANNA</t>
  </si>
  <si>
    <t>94Q69A</t>
  </si>
  <si>
    <t>Total</t>
  </si>
  <si>
    <t>18828278SUB2</t>
  </si>
  <si>
    <t>RN</t>
  </si>
  <si>
    <t>Main Line Benefits</t>
  </si>
  <si>
    <t>Active</t>
  </si>
  <si>
    <t>Monthly</t>
  </si>
  <si>
    <t>AE</t>
  </si>
  <si>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</si>
  <si>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</si>
  <si>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</si>
  <si>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</si>
  <si>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</si>
  <si>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</si>
  <si>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</si>
  <si>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</si>
  <si>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</si>
  <si>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</si>
  <si>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</si>
  <si>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</si>
  <si>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ZIP Code</t>
  </si>
  <si>
    <t>Writing Agent ID</t>
  </si>
  <si>
    <t>Policy Status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</si>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</sst>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Font="1" applyBorder="1"/>
    <xf numFmtId="0" fontId="4" fillId="0" borderId="1" xfId="0" applyFont="1" applyBorder="1" applyAlignment="1">
      <alignment horizontal="right"/>
    </xf>
    <xf numFmtId="14" fontId="0" fillId="3" borderId="0" xfId="0" applyNumberFormat="1" applyFill="1"/>
    <xf numFmtId="0" fontId="0" fillId="3" borderId="0" xfId="0" applyFill="1"/>
    <xf numFmtId="0" fontId="6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F0E4-739F-49B6-A027-CE07E4DE1F27}">
  <dimension ref="A1:K82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0.1640625" customWidth="1"/>
    <col min="2" max="2" width="32" customWidth="1"/>
    <col min="3" max="3" width="30.6640625" customWidth="1"/>
    <col min="4" max="4" width="12" customWidth="1"/>
    <col min="5" max="5" width="8.6640625" customWidth="1"/>
    <col min="6" max="6" width="10.33203125" customWidth="1"/>
    <col min="7" max="7" width="12.5" customWidth="1"/>
    <col min="8" max="8" width="16.1640625" customWidth="1"/>
    <col min="9" max="9" width="12.33203125" customWidth="1"/>
    <col min="10" max="10" width="8.1640625" customWidth="1"/>
    <col min="11" max="11" width="14.5" customWidth="1"/>
  </cols>
  <sheetData>
    <row r="1" spans="1:1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6" x14ac:dyDescent="0.2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 t="s">
        <v>18</v>
      </c>
      <c r="G2" s="6">
        <v>20250101</v>
      </c>
      <c r="H2" s="6" t="s">
        <v>19</v>
      </c>
      <c r="I2" s="8">
        <v>52.45</v>
      </c>
      <c r="J2" s="6">
        <v>0.2</v>
      </c>
      <c r="K2" s="8">
        <v>10.490000000000002</v>
      </c>
    </row>
    <row r="3" spans="1:11" ht="16" x14ac:dyDescent="0.2">
      <c r="A3" s="6" t="s">
        <v>13</v>
      </c>
      <c r="B3" s="6" t="s">
        <v>14</v>
      </c>
      <c r="C3" s="6" t="s">
        <v>20</v>
      </c>
      <c r="D3" s="6" t="s">
        <v>21</v>
      </c>
      <c r="E3" s="7" t="s">
        <v>22</v>
      </c>
      <c r="F3" s="6" t="s">
        <v>18</v>
      </c>
      <c r="G3" s="6">
        <v>20250101</v>
      </c>
      <c r="H3" s="6" t="s">
        <v>19</v>
      </c>
      <c r="I3" s="8">
        <v>41.44</v>
      </c>
      <c r="J3" s="6">
        <v>0.2</v>
      </c>
      <c r="K3" s="8">
        <v>8.2880000000000003</v>
      </c>
    </row>
    <row r="4" spans="1:11" ht="16" x14ac:dyDescent="0.2">
      <c r="A4" s="6" t="s">
        <v>13</v>
      </c>
      <c r="B4" s="6" t="s">
        <v>23</v>
      </c>
      <c r="C4" s="6" t="s">
        <v>24</v>
      </c>
      <c r="D4" s="6" t="s">
        <v>25</v>
      </c>
      <c r="E4" s="7" t="s">
        <v>26</v>
      </c>
      <c r="F4" s="6" t="s">
        <v>18</v>
      </c>
      <c r="G4" s="6">
        <v>20250101</v>
      </c>
      <c r="H4" s="6" t="s">
        <v>19</v>
      </c>
      <c r="I4" s="8">
        <v>43</v>
      </c>
      <c r="J4" s="6">
        <v>0.2</v>
      </c>
      <c r="K4" s="8">
        <v>8.6</v>
      </c>
    </row>
    <row r="5" spans="1:11" ht="16" x14ac:dyDescent="0.2">
      <c r="A5" s="6" t="s">
        <v>13</v>
      </c>
      <c r="B5" s="6" t="s">
        <v>23</v>
      </c>
      <c r="C5" s="6" t="s">
        <v>27</v>
      </c>
      <c r="D5" s="6" t="s">
        <v>28</v>
      </c>
      <c r="E5" s="7" t="s">
        <v>29</v>
      </c>
      <c r="F5" s="6">
        <v>1</v>
      </c>
      <c r="G5" s="6">
        <v>20250101</v>
      </c>
      <c r="H5" s="6" t="s">
        <v>30</v>
      </c>
      <c r="I5" s="8">
        <v>40.03</v>
      </c>
      <c r="J5" s="6">
        <v>22</v>
      </c>
      <c r="K5" s="8">
        <v>22</v>
      </c>
    </row>
    <row r="6" spans="1:11" ht="16" x14ac:dyDescent="0.2">
      <c r="A6" s="6" t="s">
        <v>13</v>
      </c>
      <c r="B6" s="6" t="s">
        <v>23</v>
      </c>
      <c r="C6" s="6" t="s">
        <v>31</v>
      </c>
      <c r="D6" s="6" t="s">
        <v>32</v>
      </c>
      <c r="E6" s="7" t="s">
        <v>11</v>
      </c>
      <c r="F6" s="6">
        <v>3</v>
      </c>
      <c r="G6" s="6">
        <v>20250101</v>
      </c>
      <c r="H6" s="6" t="s">
        <v>12</v>
      </c>
      <c r="I6" s="8">
        <v>191.23</v>
      </c>
      <c r="J6" s="6">
        <v>27</v>
      </c>
      <c r="K6" s="8">
        <v>81</v>
      </c>
    </row>
    <row r="7" spans="1:11" ht="16" x14ac:dyDescent="0.2">
      <c r="A7" s="6" t="s">
        <v>13</v>
      </c>
      <c r="B7" s="6" t="s">
        <v>23</v>
      </c>
      <c r="C7" s="6" t="s">
        <v>33</v>
      </c>
      <c r="D7" s="6" t="s">
        <v>34</v>
      </c>
      <c r="E7" s="7" t="s">
        <v>35</v>
      </c>
      <c r="F7" s="6">
        <v>1</v>
      </c>
      <c r="G7" s="6">
        <v>20250101</v>
      </c>
      <c r="H7" s="6" t="s">
        <v>12</v>
      </c>
      <c r="I7" s="8">
        <v>192.18</v>
      </c>
      <c r="J7" s="6">
        <v>27</v>
      </c>
      <c r="K7" s="8">
        <v>27</v>
      </c>
    </row>
    <row r="8" spans="1:11" ht="16" x14ac:dyDescent="0.2">
      <c r="A8" s="6" t="s">
        <v>13</v>
      </c>
      <c r="B8" s="6" t="s">
        <v>36</v>
      </c>
      <c r="C8" s="6" t="s">
        <v>37</v>
      </c>
      <c r="D8" s="6" t="s">
        <v>38</v>
      </c>
      <c r="E8" s="7" t="s">
        <v>39</v>
      </c>
      <c r="F8" s="6">
        <v>1</v>
      </c>
      <c r="G8" s="6">
        <v>20241201</v>
      </c>
      <c r="H8" s="6" t="s">
        <v>12</v>
      </c>
      <c r="I8" s="8">
        <v>393.97</v>
      </c>
      <c r="J8" s="6">
        <v>20</v>
      </c>
      <c r="K8" s="8">
        <v>20</v>
      </c>
    </row>
    <row r="9" spans="1:11" ht="16" x14ac:dyDescent="0.2">
      <c r="A9" s="6" t="s">
        <v>13</v>
      </c>
      <c r="B9" s="6" t="s">
        <v>36</v>
      </c>
      <c r="C9" s="6" t="s">
        <v>40</v>
      </c>
      <c r="D9" s="6" t="s">
        <v>41</v>
      </c>
      <c r="E9" s="7" t="s">
        <v>39</v>
      </c>
      <c r="F9" s="6">
        <v>1</v>
      </c>
      <c r="G9" s="6">
        <v>20250101</v>
      </c>
      <c r="H9" s="6" t="s">
        <v>12</v>
      </c>
      <c r="I9" s="8">
        <v>55.34</v>
      </c>
      <c r="J9" s="6">
        <v>20</v>
      </c>
      <c r="K9" s="8">
        <v>20</v>
      </c>
    </row>
    <row r="10" spans="1:11" ht="16" x14ac:dyDescent="0.2">
      <c r="A10" s="6" t="s">
        <v>13</v>
      </c>
      <c r="B10" s="6" t="s">
        <v>42</v>
      </c>
      <c r="C10" s="6" t="s">
        <v>43</v>
      </c>
      <c r="D10" s="6" t="s">
        <v>44</v>
      </c>
      <c r="E10" s="7" t="s">
        <v>45</v>
      </c>
      <c r="F10" s="6" t="s">
        <v>18</v>
      </c>
      <c r="G10" s="6">
        <v>20250101</v>
      </c>
      <c r="H10" s="6" t="s">
        <v>19</v>
      </c>
      <c r="I10" s="8">
        <v>40.89</v>
      </c>
      <c r="J10" s="6">
        <v>0.2</v>
      </c>
      <c r="K10" s="8">
        <v>8.1780000000000008</v>
      </c>
    </row>
    <row r="11" spans="1:11" ht="16" x14ac:dyDescent="0.2">
      <c r="A11" s="6" t="s">
        <v>13</v>
      </c>
      <c r="B11" s="6" t="s">
        <v>42</v>
      </c>
      <c r="C11" s="6" t="s">
        <v>46</v>
      </c>
      <c r="D11" s="6" t="s">
        <v>47</v>
      </c>
      <c r="E11" s="7" t="s">
        <v>45</v>
      </c>
      <c r="F11" s="6" t="s">
        <v>18</v>
      </c>
      <c r="G11" s="6">
        <v>20250101</v>
      </c>
      <c r="H11" s="6" t="s">
        <v>19</v>
      </c>
      <c r="I11" s="8">
        <v>38.020000000000003</v>
      </c>
      <c r="J11" s="6">
        <v>0.2</v>
      </c>
      <c r="K11" s="8">
        <v>7.604000000000001</v>
      </c>
    </row>
    <row r="12" spans="1:11" ht="16" x14ac:dyDescent="0.2">
      <c r="A12" s="6" t="s">
        <v>13</v>
      </c>
      <c r="B12" s="6" t="s">
        <v>42</v>
      </c>
      <c r="C12" s="6" t="s">
        <v>48</v>
      </c>
      <c r="D12" s="6" t="s">
        <v>49</v>
      </c>
      <c r="E12" s="7" t="s">
        <v>45</v>
      </c>
      <c r="F12" s="6" t="s">
        <v>18</v>
      </c>
      <c r="G12" s="6">
        <v>20250101</v>
      </c>
      <c r="H12" s="6" t="s">
        <v>19</v>
      </c>
      <c r="I12" s="8">
        <v>37.29</v>
      </c>
      <c r="J12" s="6">
        <v>0.2</v>
      </c>
      <c r="K12" s="8">
        <v>7.4580000000000002</v>
      </c>
    </row>
    <row r="13" spans="1:11" ht="16" x14ac:dyDescent="0.2">
      <c r="A13" s="6" t="s">
        <v>13</v>
      </c>
      <c r="B13" s="6" t="s">
        <v>42</v>
      </c>
      <c r="C13" s="6" t="s">
        <v>50</v>
      </c>
      <c r="D13" s="6" t="s">
        <v>51</v>
      </c>
      <c r="E13" s="7" t="s">
        <v>45</v>
      </c>
      <c r="F13" s="6" t="s">
        <v>18</v>
      </c>
      <c r="G13" s="6">
        <v>20250101</v>
      </c>
      <c r="H13" s="6" t="s">
        <v>19</v>
      </c>
      <c r="I13" s="8">
        <v>52.71</v>
      </c>
      <c r="J13" s="6">
        <v>0.2</v>
      </c>
      <c r="K13" s="8">
        <v>10.542000000000002</v>
      </c>
    </row>
    <row r="14" spans="1:11" ht="16" x14ac:dyDescent="0.2">
      <c r="A14" s="6" t="s">
        <v>13</v>
      </c>
      <c r="B14" s="6" t="s">
        <v>42</v>
      </c>
      <c r="C14" s="6" t="s">
        <v>52</v>
      </c>
      <c r="D14" s="6" t="s">
        <v>53</v>
      </c>
      <c r="E14" s="7" t="s">
        <v>45</v>
      </c>
      <c r="F14" s="6" t="s">
        <v>18</v>
      </c>
      <c r="G14" s="6">
        <v>20250101</v>
      </c>
      <c r="H14" s="6" t="s">
        <v>19</v>
      </c>
      <c r="I14" s="8">
        <v>72.92</v>
      </c>
      <c r="J14" s="6">
        <v>0.2</v>
      </c>
      <c r="K14" s="8">
        <v>14.584000000000001</v>
      </c>
    </row>
    <row r="15" spans="1:11" ht="16" x14ac:dyDescent="0.2">
      <c r="A15" s="6" t="s">
        <v>13</v>
      </c>
      <c r="B15" s="6" t="s">
        <v>54</v>
      </c>
      <c r="C15" s="6" t="s">
        <v>55</v>
      </c>
      <c r="D15" s="6" t="s">
        <v>56</v>
      </c>
      <c r="E15" s="7" t="s">
        <v>39</v>
      </c>
      <c r="F15" s="6">
        <v>1</v>
      </c>
      <c r="G15" s="6">
        <v>20250101</v>
      </c>
      <c r="H15" s="6" t="s">
        <v>12</v>
      </c>
      <c r="I15" s="8">
        <v>225.91</v>
      </c>
      <c r="J15" s="6">
        <v>20</v>
      </c>
      <c r="K15" s="8">
        <v>20</v>
      </c>
    </row>
    <row r="16" spans="1:11" ht="16" x14ac:dyDescent="0.2">
      <c r="A16" s="6" t="s">
        <v>13</v>
      </c>
      <c r="B16" s="6" t="s">
        <v>54</v>
      </c>
      <c r="C16" s="6" t="s">
        <v>57</v>
      </c>
      <c r="D16" s="6" t="s">
        <v>58</v>
      </c>
      <c r="E16" s="7" t="s">
        <v>39</v>
      </c>
      <c r="F16" s="6">
        <v>1</v>
      </c>
      <c r="G16" s="6">
        <v>20250101</v>
      </c>
      <c r="H16" s="6" t="s">
        <v>12</v>
      </c>
      <c r="I16" s="8">
        <v>32.159999999999997</v>
      </c>
      <c r="J16" s="6">
        <v>20</v>
      </c>
      <c r="K16" s="8">
        <v>20</v>
      </c>
    </row>
    <row r="17" spans="1:11" ht="16" x14ac:dyDescent="0.2">
      <c r="A17" s="6" t="s">
        <v>13</v>
      </c>
      <c r="B17" s="6" t="s">
        <v>54</v>
      </c>
      <c r="C17" s="6" t="s">
        <v>59</v>
      </c>
      <c r="D17" s="6" t="s">
        <v>60</v>
      </c>
      <c r="E17" s="7" t="s">
        <v>39</v>
      </c>
      <c r="F17" s="6">
        <v>1</v>
      </c>
      <c r="G17" s="6">
        <v>20250101</v>
      </c>
      <c r="H17" s="6" t="s">
        <v>12</v>
      </c>
      <c r="I17" s="8">
        <v>362.1</v>
      </c>
      <c r="J17" s="6">
        <v>20</v>
      </c>
      <c r="K17" s="8">
        <v>20</v>
      </c>
    </row>
    <row r="18" spans="1:11" ht="16" x14ac:dyDescent="0.2">
      <c r="A18" s="6" t="s">
        <v>13</v>
      </c>
      <c r="B18" s="6" t="s">
        <v>54</v>
      </c>
      <c r="C18" s="6" t="s">
        <v>61</v>
      </c>
      <c r="D18" s="6" t="s">
        <v>62</v>
      </c>
      <c r="E18" s="7" t="s">
        <v>39</v>
      </c>
      <c r="F18" s="6">
        <v>1</v>
      </c>
      <c r="G18" s="6">
        <v>20250101</v>
      </c>
      <c r="H18" s="6" t="s">
        <v>12</v>
      </c>
      <c r="I18" s="8">
        <v>446.73</v>
      </c>
      <c r="J18" s="6">
        <v>20</v>
      </c>
      <c r="K18" s="8">
        <v>20</v>
      </c>
    </row>
    <row r="19" spans="1:11" ht="16" x14ac:dyDescent="0.2">
      <c r="A19" s="6" t="s">
        <v>13</v>
      </c>
      <c r="B19" s="6" t="s">
        <v>54</v>
      </c>
      <c r="C19" s="6" t="s">
        <v>63</v>
      </c>
      <c r="D19" s="6" t="s">
        <v>64</v>
      </c>
      <c r="E19" s="7" t="s">
        <v>39</v>
      </c>
      <c r="F19" s="6">
        <v>1</v>
      </c>
      <c r="G19" s="6">
        <v>20241201</v>
      </c>
      <c r="H19" s="6" t="s">
        <v>12</v>
      </c>
      <c r="I19" s="8">
        <v>391.44</v>
      </c>
      <c r="J19" s="6">
        <v>20</v>
      </c>
      <c r="K19" s="8">
        <v>20</v>
      </c>
    </row>
    <row r="20" spans="1:11" ht="16" x14ac:dyDescent="0.2">
      <c r="A20" s="6" t="s">
        <v>13</v>
      </c>
      <c r="B20" s="6" t="s">
        <v>54</v>
      </c>
      <c r="C20" s="6" t="s">
        <v>65</v>
      </c>
      <c r="D20" s="6" t="s">
        <v>66</v>
      </c>
      <c r="E20" s="7" t="s">
        <v>39</v>
      </c>
      <c r="F20" s="6">
        <v>1</v>
      </c>
      <c r="G20" s="6">
        <v>20241101</v>
      </c>
      <c r="H20" s="6" t="s">
        <v>12</v>
      </c>
      <c r="I20" s="8">
        <v>0</v>
      </c>
      <c r="J20" s="6">
        <v>20</v>
      </c>
      <c r="K20" s="8">
        <v>20</v>
      </c>
    </row>
    <row r="21" spans="1:11" ht="16" x14ac:dyDescent="0.2">
      <c r="A21" s="6" t="s">
        <v>13</v>
      </c>
      <c r="B21" s="6" t="s">
        <v>54</v>
      </c>
      <c r="C21" s="6" t="s">
        <v>65</v>
      </c>
      <c r="D21" s="6" t="s">
        <v>66</v>
      </c>
      <c r="E21" s="7" t="s">
        <v>39</v>
      </c>
      <c r="F21" s="6">
        <v>1</v>
      </c>
      <c r="G21" s="6">
        <v>20241201</v>
      </c>
      <c r="H21" s="6" t="s">
        <v>12</v>
      </c>
      <c r="I21" s="8">
        <v>948.57</v>
      </c>
      <c r="J21" s="6">
        <v>20</v>
      </c>
      <c r="K21" s="8">
        <v>20</v>
      </c>
    </row>
    <row r="22" spans="1:11" ht="16" x14ac:dyDescent="0.2">
      <c r="A22" s="6" t="s">
        <v>13</v>
      </c>
      <c r="B22" s="6" t="s">
        <v>54</v>
      </c>
      <c r="C22" s="6" t="s">
        <v>67</v>
      </c>
      <c r="D22" s="6" t="s">
        <v>68</v>
      </c>
      <c r="E22" s="7" t="s">
        <v>39</v>
      </c>
      <c r="F22" s="6">
        <v>1</v>
      </c>
      <c r="G22" s="6">
        <v>20250101</v>
      </c>
      <c r="H22" s="6" t="s">
        <v>12</v>
      </c>
      <c r="I22" s="8">
        <v>97.95</v>
      </c>
      <c r="J22" s="6">
        <v>20</v>
      </c>
      <c r="K22" s="8">
        <v>20</v>
      </c>
    </row>
    <row r="23" spans="1:11" ht="16" x14ac:dyDescent="0.2">
      <c r="A23" s="6" t="s">
        <v>13</v>
      </c>
      <c r="B23" s="6" t="s">
        <v>54</v>
      </c>
      <c r="C23" s="6" t="s">
        <v>69</v>
      </c>
      <c r="D23" s="6" t="s">
        <v>70</v>
      </c>
      <c r="E23" s="7" t="s">
        <v>39</v>
      </c>
      <c r="F23" s="6">
        <v>4</v>
      </c>
      <c r="G23" s="6">
        <v>20250101</v>
      </c>
      <c r="H23" s="6" t="s">
        <v>12</v>
      </c>
      <c r="I23" s="8">
        <v>438.09</v>
      </c>
      <c r="J23" s="6">
        <v>20</v>
      </c>
      <c r="K23" s="8">
        <v>80</v>
      </c>
    </row>
    <row r="24" spans="1:11" ht="16" x14ac:dyDescent="0.2">
      <c r="A24" s="6" t="s">
        <v>13</v>
      </c>
      <c r="B24" s="6" t="s">
        <v>54</v>
      </c>
      <c r="C24" s="6" t="s">
        <v>71</v>
      </c>
      <c r="D24" s="6" t="s">
        <v>72</v>
      </c>
      <c r="E24" s="7" t="s">
        <v>39</v>
      </c>
      <c r="F24" s="6">
        <v>1</v>
      </c>
      <c r="G24" s="6">
        <v>20250101</v>
      </c>
      <c r="H24" s="6" t="s">
        <v>12</v>
      </c>
      <c r="I24" s="8">
        <v>869.74</v>
      </c>
      <c r="J24" s="6">
        <v>20</v>
      </c>
      <c r="K24" s="8">
        <v>20</v>
      </c>
    </row>
    <row r="25" spans="1:11" ht="16" x14ac:dyDescent="0.2">
      <c r="A25" s="6" t="s">
        <v>13</v>
      </c>
      <c r="B25" s="6" t="s">
        <v>54</v>
      </c>
      <c r="C25" s="6" t="s">
        <v>73</v>
      </c>
      <c r="D25" s="6" t="s">
        <v>74</v>
      </c>
      <c r="E25" s="7" t="s">
        <v>39</v>
      </c>
      <c r="F25" s="6">
        <v>1</v>
      </c>
      <c r="G25" s="6">
        <v>20250101</v>
      </c>
      <c r="H25" s="6" t="s">
        <v>12</v>
      </c>
      <c r="I25" s="8">
        <v>49.64</v>
      </c>
      <c r="J25" s="6">
        <v>20</v>
      </c>
      <c r="K25" s="8">
        <v>20</v>
      </c>
    </row>
    <row r="26" spans="1:11" ht="16" x14ac:dyDescent="0.2">
      <c r="A26" s="6" t="s">
        <v>13</v>
      </c>
      <c r="B26" s="6" t="s">
        <v>54</v>
      </c>
      <c r="C26" s="6" t="s">
        <v>75</v>
      </c>
      <c r="D26" s="6" t="s">
        <v>76</v>
      </c>
      <c r="E26" s="7" t="s">
        <v>39</v>
      </c>
      <c r="F26" s="6">
        <v>1</v>
      </c>
      <c r="G26" s="6">
        <v>20250101</v>
      </c>
      <c r="H26" s="6" t="s">
        <v>12</v>
      </c>
      <c r="I26" s="8">
        <v>14.26</v>
      </c>
      <c r="J26" s="6">
        <v>20</v>
      </c>
      <c r="K26" s="8">
        <v>20</v>
      </c>
    </row>
    <row r="27" spans="1:11" ht="16" x14ac:dyDescent="0.2">
      <c r="A27" s="6" t="s">
        <v>13</v>
      </c>
      <c r="B27" s="6" t="s">
        <v>54</v>
      </c>
      <c r="C27" s="6" t="s">
        <v>77</v>
      </c>
      <c r="D27" s="6" t="s">
        <v>78</v>
      </c>
      <c r="E27" s="7" t="s">
        <v>39</v>
      </c>
      <c r="F27" s="6">
        <v>1</v>
      </c>
      <c r="G27" s="6">
        <v>20250101</v>
      </c>
      <c r="H27" s="6" t="s">
        <v>12</v>
      </c>
      <c r="I27" s="8">
        <v>464.54</v>
      </c>
      <c r="J27" s="6">
        <v>20</v>
      </c>
      <c r="K27" s="8">
        <v>20</v>
      </c>
    </row>
    <row r="28" spans="1:11" ht="16" x14ac:dyDescent="0.2">
      <c r="A28" s="6" t="s">
        <v>13</v>
      </c>
      <c r="B28" s="6" t="s">
        <v>54</v>
      </c>
      <c r="C28" s="6" t="s">
        <v>79</v>
      </c>
      <c r="D28" s="6" t="s">
        <v>80</v>
      </c>
      <c r="E28" s="7" t="s">
        <v>39</v>
      </c>
      <c r="F28" s="6">
        <v>3</v>
      </c>
      <c r="G28" s="6">
        <v>20250101</v>
      </c>
      <c r="H28" s="6" t="s">
        <v>12</v>
      </c>
      <c r="I28" s="8">
        <v>127.96</v>
      </c>
      <c r="J28" s="6">
        <v>20</v>
      </c>
      <c r="K28" s="8">
        <v>60</v>
      </c>
    </row>
    <row r="29" spans="1:11" ht="16" x14ac:dyDescent="0.2">
      <c r="A29" s="6" t="s">
        <v>13</v>
      </c>
      <c r="B29" s="6" t="s">
        <v>54</v>
      </c>
      <c r="C29" s="6" t="s">
        <v>81</v>
      </c>
      <c r="D29" s="6" t="s">
        <v>82</v>
      </c>
      <c r="E29" s="7" t="s">
        <v>39</v>
      </c>
      <c r="F29" s="6">
        <v>1</v>
      </c>
      <c r="G29" s="6">
        <v>20250101</v>
      </c>
      <c r="H29" s="6" t="s">
        <v>12</v>
      </c>
      <c r="I29" s="8">
        <v>387.5</v>
      </c>
      <c r="J29" s="6">
        <v>20</v>
      </c>
      <c r="K29" s="8">
        <v>20</v>
      </c>
    </row>
    <row r="30" spans="1:11" ht="16" x14ac:dyDescent="0.2">
      <c r="A30" s="6" t="s">
        <v>13</v>
      </c>
      <c r="B30" s="6" t="s">
        <v>54</v>
      </c>
      <c r="C30" s="6" t="s">
        <v>83</v>
      </c>
      <c r="D30" s="6" t="s">
        <v>84</v>
      </c>
      <c r="E30" s="7" t="s">
        <v>39</v>
      </c>
      <c r="F30" s="6">
        <v>1</v>
      </c>
      <c r="G30" s="6">
        <v>20250101</v>
      </c>
      <c r="H30" s="6" t="s">
        <v>12</v>
      </c>
      <c r="I30" s="8">
        <v>25.78</v>
      </c>
      <c r="J30" s="6">
        <v>20</v>
      </c>
      <c r="K30" s="8">
        <v>20</v>
      </c>
    </row>
    <row r="31" spans="1:11" ht="16" x14ac:dyDescent="0.2">
      <c r="A31" s="6" t="s">
        <v>13</v>
      </c>
      <c r="B31" s="6" t="s">
        <v>54</v>
      </c>
      <c r="C31" s="6" t="s">
        <v>83</v>
      </c>
      <c r="D31" s="6" t="s">
        <v>84</v>
      </c>
      <c r="E31" s="7" t="s">
        <v>39</v>
      </c>
      <c r="F31" s="6">
        <v>1</v>
      </c>
      <c r="G31" s="6">
        <v>20241201</v>
      </c>
      <c r="H31" s="6" t="s">
        <v>12</v>
      </c>
      <c r="I31" s="8">
        <v>908.41</v>
      </c>
      <c r="J31" s="6">
        <v>20</v>
      </c>
      <c r="K31" s="8">
        <v>20</v>
      </c>
    </row>
    <row r="32" spans="1:11" ht="16" x14ac:dyDescent="0.2">
      <c r="A32" s="6" t="s">
        <v>13</v>
      </c>
      <c r="B32" s="6" t="s">
        <v>54</v>
      </c>
      <c r="C32" s="6" t="s">
        <v>85</v>
      </c>
      <c r="D32" s="6" t="s">
        <v>86</v>
      </c>
      <c r="E32" s="7" t="s">
        <v>39</v>
      </c>
      <c r="F32" s="6">
        <v>1</v>
      </c>
      <c r="G32" s="6">
        <v>20241201</v>
      </c>
      <c r="H32" s="6" t="s">
        <v>12</v>
      </c>
      <c r="I32" s="8">
        <v>209.74</v>
      </c>
      <c r="J32" s="6">
        <v>20</v>
      </c>
      <c r="K32" s="8">
        <v>20</v>
      </c>
    </row>
    <row r="33" spans="1:11" ht="16" x14ac:dyDescent="0.2">
      <c r="A33" s="6" t="s">
        <v>13</v>
      </c>
      <c r="B33" s="6" t="s">
        <v>54</v>
      </c>
      <c r="C33" s="6" t="s">
        <v>85</v>
      </c>
      <c r="D33" s="6" t="s">
        <v>86</v>
      </c>
      <c r="E33" s="7" t="s">
        <v>39</v>
      </c>
      <c r="F33" s="6">
        <v>1</v>
      </c>
      <c r="G33" s="6">
        <v>20250101</v>
      </c>
      <c r="H33" s="6" t="s">
        <v>12</v>
      </c>
      <c r="I33" s="8">
        <v>176.15</v>
      </c>
      <c r="J33" s="6">
        <v>20</v>
      </c>
      <c r="K33" s="8">
        <v>20</v>
      </c>
    </row>
    <row r="34" spans="1:11" ht="16" x14ac:dyDescent="0.2">
      <c r="A34" s="6" t="s">
        <v>13</v>
      </c>
      <c r="B34" s="6" t="s">
        <v>87</v>
      </c>
      <c r="C34" s="6" t="s">
        <v>88</v>
      </c>
      <c r="D34" s="6" t="s">
        <v>89</v>
      </c>
      <c r="E34" s="7" t="s">
        <v>11</v>
      </c>
      <c r="F34" s="6">
        <v>1</v>
      </c>
      <c r="G34" s="6">
        <v>20250101</v>
      </c>
      <c r="H34" s="6" t="s">
        <v>12</v>
      </c>
      <c r="I34" s="8">
        <v>151.52000000000001</v>
      </c>
      <c r="J34" s="6">
        <v>27</v>
      </c>
      <c r="K34" s="8">
        <v>27</v>
      </c>
    </row>
    <row r="35" spans="1:11" ht="16" x14ac:dyDescent="0.2">
      <c r="A35" s="6" t="s">
        <v>13</v>
      </c>
      <c r="B35" s="6" t="s">
        <v>87</v>
      </c>
      <c r="C35" s="6" t="s">
        <v>90</v>
      </c>
      <c r="D35" s="6" t="s">
        <v>91</v>
      </c>
      <c r="E35" s="7" t="s">
        <v>92</v>
      </c>
      <c r="F35" s="6">
        <v>1</v>
      </c>
      <c r="G35" s="6">
        <v>20250101</v>
      </c>
      <c r="H35" s="6" t="s">
        <v>12</v>
      </c>
      <c r="I35" s="8">
        <v>69.2</v>
      </c>
      <c r="J35" s="6">
        <v>20</v>
      </c>
      <c r="K35" s="8">
        <v>20</v>
      </c>
    </row>
    <row r="36" spans="1:11" ht="16" x14ac:dyDescent="0.2">
      <c r="A36" s="6" t="s">
        <v>13</v>
      </c>
      <c r="B36" s="6" t="s">
        <v>87</v>
      </c>
      <c r="C36" s="6" t="s">
        <v>93</v>
      </c>
      <c r="D36" s="6" t="s">
        <v>94</v>
      </c>
      <c r="E36" s="7" t="s">
        <v>92</v>
      </c>
      <c r="F36" s="6">
        <v>1</v>
      </c>
      <c r="G36" s="6">
        <v>20250101</v>
      </c>
      <c r="H36" s="6" t="s">
        <v>12</v>
      </c>
      <c r="I36" s="8">
        <v>334.97</v>
      </c>
      <c r="J36" s="6">
        <v>20</v>
      </c>
      <c r="K36" s="8">
        <v>20</v>
      </c>
    </row>
    <row r="37" spans="1:11" ht="16" x14ac:dyDescent="0.2">
      <c r="A37" s="6" t="s">
        <v>13</v>
      </c>
      <c r="B37" s="6" t="s">
        <v>87</v>
      </c>
      <c r="C37" s="6" t="s">
        <v>95</v>
      </c>
      <c r="D37" s="6" t="s">
        <v>96</v>
      </c>
      <c r="E37" s="7" t="s">
        <v>92</v>
      </c>
      <c r="F37" s="6">
        <v>1</v>
      </c>
      <c r="G37" s="6">
        <v>20250101</v>
      </c>
      <c r="H37" s="6" t="s">
        <v>12</v>
      </c>
      <c r="I37" s="8">
        <v>698.24</v>
      </c>
      <c r="J37" s="6">
        <v>20</v>
      </c>
      <c r="K37" s="8">
        <v>20</v>
      </c>
    </row>
    <row r="38" spans="1:11" ht="16" x14ac:dyDescent="0.2">
      <c r="A38" s="6" t="s">
        <v>13</v>
      </c>
      <c r="B38" s="6" t="s">
        <v>97</v>
      </c>
      <c r="C38" s="6" t="s">
        <v>98</v>
      </c>
      <c r="D38" s="6" t="s">
        <v>99</v>
      </c>
      <c r="E38" s="7" t="s">
        <v>22</v>
      </c>
      <c r="F38" s="6">
        <v>1</v>
      </c>
      <c r="G38" s="6">
        <v>20250101</v>
      </c>
      <c r="H38" s="6" t="s">
        <v>30</v>
      </c>
      <c r="I38" s="8">
        <v>462.11</v>
      </c>
      <c r="J38" s="6">
        <v>20</v>
      </c>
      <c r="K38" s="8">
        <v>20</v>
      </c>
    </row>
    <row r="39" spans="1:11" ht="16" x14ac:dyDescent="0.2">
      <c r="A39" s="6" t="s">
        <v>13</v>
      </c>
      <c r="B39" s="6" t="s">
        <v>97</v>
      </c>
      <c r="C39" s="6" t="s">
        <v>100</v>
      </c>
      <c r="D39" s="6" t="s">
        <v>101</v>
      </c>
      <c r="E39" s="7" t="s">
        <v>22</v>
      </c>
      <c r="F39" s="6">
        <v>3</v>
      </c>
      <c r="G39" s="6">
        <v>20250101</v>
      </c>
      <c r="H39" s="6" t="s">
        <v>30</v>
      </c>
      <c r="I39" s="8">
        <v>30.84</v>
      </c>
      <c r="J39" s="6">
        <v>20</v>
      </c>
      <c r="K39" s="8">
        <v>60</v>
      </c>
    </row>
    <row r="40" spans="1:11" ht="16" x14ac:dyDescent="0.2">
      <c r="A40" s="6" t="s">
        <v>13</v>
      </c>
      <c r="B40" s="6" t="s">
        <v>97</v>
      </c>
      <c r="C40" s="6" t="s">
        <v>100</v>
      </c>
      <c r="D40" s="6" t="s">
        <v>101</v>
      </c>
      <c r="E40" s="7" t="s">
        <v>22</v>
      </c>
      <c r="F40" s="6">
        <v>3</v>
      </c>
      <c r="G40" s="6">
        <v>20241101</v>
      </c>
      <c r="H40" s="6" t="s">
        <v>30</v>
      </c>
      <c r="I40" s="8">
        <v>0</v>
      </c>
      <c r="J40" s="6">
        <v>18</v>
      </c>
      <c r="K40" s="8">
        <v>54</v>
      </c>
    </row>
    <row r="41" spans="1:11" ht="16" x14ac:dyDescent="0.2">
      <c r="A41" s="6" t="s">
        <v>13</v>
      </c>
      <c r="B41" s="6" t="s">
        <v>97</v>
      </c>
      <c r="C41" s="6" t="s">
        <v>100</v>
      </c>
      <c r="D41" s="6" t="s">
        <v>101</v>
      </c>
      <c r="E41" s="7" t="s">
        <v>22</v>
      </c>
      <c r="F41" s="6">
        <v>3</v>
      </c>
      <c r="G41" s="6">
        <v>20241201</v>
      </c>
      <c r="H41" s="6" t="s">
        <v>30</v>
      </c>
      <c r="I41" s="8">
        <v>0</v>
      </c>
      <c r="J41" s="6">
        <v>18</v>
      </c>
      <c r="K41" s="8">
        <v>54</v>
      </c>
    </row>
    <row r="42" spans="1:11" ht="16" x14ac:dyDescent="0.2">
      <c r="A42" s="6" t="s">
        <v>13</v>
      </c>
      <c r="B42" s="6" t="s">
        <v>102</v>
      </c>
      <c r="C42" s="6" t="s">
        <v>103</v>
      </c>
      <c r="D42" s="6" t="s">
        <v>104</v>
      </c>
      <c r="E42" s="7" t="s">
        <v>105</v>
      </c>
      <c r="F42" s="6">
        <v>1</v>
      </c>
      <c r="G42" s="6">
        <v>20250101</v>
      </c>
      <c r="H42" s="6" t="s">
        <v>12</v>
      </c>
      <c r="I42" s="8">
        <v>17.690000000000001</v>
      </c>
      <c r="J42" s="6">
        <v>22</v>
      </c>
      <c r="K42" s="8">
        <v>22</v>
      </c>
    </row>
    <row r="43" spans="1:11" ht="16" x14ac:dyDescent="0.2">
      <c r="A43" s="6" t="s">
        <v>13</v>
      </c>
      <c r="B43" s="6" t="s">
        <v>102</v>
      </c>
      <c r="C43" s="6" t="s">
        <v>106</v>
      </c>
      <c r="D43" s="6" t="s">
        <v>107</v>
      </c>
      <c r="E43" s="7" t="s">
        <v>105</v>
      </c>
      <c r="F43" s="6">
        <v>1</v>
      </c>
      <c r="G43" s="6">
        <v>20250101</v>
      </c>
      <c r="H43" s="6" t="s">
        <v>12</v>
      </c>
      <c r="I43" s="8">
        <v>17.690000000000001</v>
      </c>
      <c r="J43" s="6">
        <v>22</v>
      </c>
      <c r="K43" s="8">
        <v>22</v>
      </c>
    </row>
    <row r="44" spans="1:11" ht="16" x14ac:dyDescent="0.2">
      <c r="A44" s="6" t="s">
        <v>13</v>
      </c>
      <c r="B44" s="6" t="s">
        <v>102</v>
      </c>
      <c r="C44" s="6" t="s">
        <v>108</v>
      </c>
      <c r="D44" s="6" t="s">
        <v>109</v>
      </c>
      <c r="E44" s="7" t="s">
        <v>105</v>
      </c>
      <c r="F44" s="6">
        <v>1</v>
      </c>
      <c r="G44" s="6">
        <v>20250101</v>
      </c>
      <c r="H44" s="6" t="s">
        <v>12</v>
      </c>
      <c r="I44" s="8">
        <v>122.19</v>
      </c>
      <c r="J44" s="6">
        <v>22</v>
      </c>
      <c r="K44" s="8">
        <v>22</v>
      </c>
    </row>
    <row r="45" spans="1:11" ht="16" x14ac:dyDescent="0.2">
      <c r="A45" s="6" t="s">
        <v>13</v>
      </c>
      <c r="B45" s="6" t="s">
        <v>102</v>
      </c>
      <c r="C45" s="6" t="s">
        <v>110</v>
      </c>
      <c r="D45" s="6" t="s">
        <v>111</v>
      </c>
      <c r="E45" s="7" t="s">
        <v>105</v>
      </c>
      <c r="F45" s="6">
        <v>1</v>
      </c>
      <c r="G45" s="6">
        <v>20250101</v>
      </c>
      <c r="H45" s="6" t="s">
        <v>12</v>
      </c>
      <c r="I45" s="8">
        <v>31.2</v>
      </c>
      <c r="J45" s="6">
        <v>22</v>
      </c>
      <c r="K45" s="8">
        <v>22</v>
      </c>
    </row>
    <row r="46" spans="1:11" ht="16" x14ac:dyDescent="0.2">
      <c r="A46" s="6" t="s">
        <v>13</v>
      </c>
      <c r="B46" s="6" t="s">
        <v>102</v>
      </c>
      <c r="C46" s="6" t="s">
        <v>112</v>
      </c>
      <c r="D46" s="6" t="s">
        <v>113</v>
      </c>
      <c r="E46" s="7" t="s">
        <v>105</v>
      </c>
      <c r="F46" s="6">
        <v>1</v>
      </c>
      <c r="G46" s="6">
        <v>20250101</v>
      </c>
      <c r="H46" s="6" t="s">
        <v>12</v>
      </c>
      <c r="I46" s="8">
        <v>168.73</v>
      </c>
      <c r="J46" s="6">
        <v>22</v>
      </c>
      <c r="K46" s="8">
        <v>22</v>
      </c>
    </row>
    <row r="47" spans="1:11" ht="16" x14ac:dyDescent="0.2">
      <c r="A47" s="6" t="s">
        <v>13</v>
      </c>
      <c r="B47" s="6" t="s">
        <v>102</v>
      </c>
      <c r="C47" s="6" t="s">
        <v>114</v>
      </c>
      <c r="D47" s="6" t="s">
        <v>115</v>
      </c>
      <c r="E47" s="7" t="s">
        <v>105</v>
      </c>
      <c r="F47" s="6">
        <v>1</v>
      </c>
      <c r="G47" s="6">
        <v>20250101</v>
      </c>
      <c r="H47" s="6" t="s">
        <v>12</v>
      </c>
      <c r="I47" s="8">
        <v>219.6</v>
      </c>
      <c r="J47" s="6">
        <v>22</v>
      </c>
      <c r="K47" s="8">
        <v>22</v>
      </c>
    </row>
    <row r="48" spans="1:11" ht="16" x14ac:dyDescent="0.2">
      <c r="A48" s="6" t="s">
        <v>13</v>
      </c>
      <c r="B48" s="6" t="s">
        <v>116</v>
      </c>
      <c r="C48" s="6" t="s">
        <v>117</v>
      </c>
      <c r="D48" s="6" t="s">
        <v>118</v>
      </c>
      <c r="E48" s="7" t="s">
        <v>22</v>
      </c>
      <c r="F48" s="6">
        <v>1</v>
      </c>
      <c r="G48" s="6">
        <v>20250101</v>
      </c>
      <c r="H48" s="6" t="s">
        <v>30</v>
      </c>
      <c r="I48" s="8">
        <v>293.13</v>
      </c>
      <c r="J48" s="6">
        <v>20</v>
      </c>
      <c r="K48" s="8">
        <v>20</v>
      </c>
    </row>
    <row r="49" spans="1:11" ht="16" x14ac:dyDescent="0.2">
      <c r="A49" s="6" t="s">
        <v>13</v>
      </c>
      <c r="B49" s="6" t="s">
        <v>119</v>
      </c>
      <c r="C49" s="6" t="s">
        <v>120</v>
      </c>
      <c r="D49" s="6" t="s">
        <v>121</v>
      </c>
      <c r="E49" s="7" t="s">
        <v>22</v>
      </c>
      <c r="F49" s="6">
        <v>1</v>
      </c>
      <c r="G49" s="6">
        <v>20250101</v>
      </c>
      <c r="H49" s="6" t="s">
        <v>30</v>
      </c>
      <c r="I49" s="8">
        <v>148.30000000000001</v>
      </c>
      <c r="J49" s="6">
        <v>20</v>
      </c>
      <c r="K49" s="8">
        <v>20</v>
      </c>
    </row>
    <row r="50" spans="1:11" ht="16" x14ac:dyDescent="0.2">
      <c r="A50" s="6" t="s">
        <v>13</v>
      </c>
      <c r="B50" s="6" t="s">
        <v>122</v>
      </c>
      <c r="C50" s="6" t="s">
        <v>123</v>
      </c>
      <c r="D50" s="6" t="s">
        <v>124</v>
      </c>
      <c r="E50" s="7" t="s">
        <v>105</v>
      </c>
      <c r="F50" s="6">
        <v>4</v>
      </c>
      <c r="G50" s="6">
        <v>20250101</v>
      </c>
      <c r="H50" s="6" t="s">
        <v>12</v>
      </c>
      <c r="I50" s="8">
        <v>39.950000000000003</v>
      </c>
      <c r="J50" s="6">
        <v>22</v>
      </c>
      <c r="K50" s="8">
        <v>88</v>
      </c>
    </row>
    <row r="51" spans="1:11" ht="16" x14ac:dyDescent="0.2">
      <c r="A51" s="6" t="s">
        <v>13</v>
      </c>
      <c r="B51" s="6" t="s">
        <v>125</v>
      </c>
      <c r="C51" s="6" t="s">
        <v>126</v>
      </c>
      <c r="D51" s="6" t="s">
        <v>127</v>
      </c>
      <c r="E51" s="7" t="s">
        <v>22</v>
      </c>
      <c r="F51" s="6">
        <v>1</v>
      </c>
      <c r="G51" s="6">
        <v>20250101</v>
      </c>
      <c r="H51" s="6" t="s">
        <v>30</v>
      </c>
      <c r="I51" s="8">
        <v>213.88</v>
      </c>
      <c r="J51" s="6">
        <v>20</v>
      </c>
      <c r="K51" s="8">
        <v>20</v>
      </c>
    </row>
    <row r="52" spans="1:11" ht="16" x14ac:dyDescent="0.2">
      <c r="A52" s="6" t="s">
        <v>13</v>
      </c>
      <c r="B52" s="6" t="s">
        <v>128</v>
      </c>
      <c r="C52" s="6" t="s">
        <v>129</v>
      </c>
      <c r="D52" s="6" t="s">
        <v>130</v>
      </c>
      <c r="E52" s="7" t="s">
        <v>131</v>
      </c>
      <c r="F52" s="6">
        <v>1</v>
      </c>
      <c r="G52" s="6">
        <v>20250101</v>
      </c>
      <c r="H52" s="6" t="s">
        <v>30</v>
      </c>
      <c r="I52" s="8">
        <v>647.58000000000004</v>
      </c>
      <c r="J52" s="6">
        <v>25</v>
      </c>
      <c r="K52" s="8">
        <v>25</v>
      </c>
    </row>
    <row r="53" spans="1:11" ht="16" x14ac:dyDescent="0.2">
      <c r="A53" s="6" t="s">
        <v>13</v>
      </c>
      <c r="B53" s="6" t="s">
        <v>128</v>
      </c>
      <c r="C53" s="6" t="s">
        <v>129</v>
      </c>
      <c r="D53" s="6" t="s">
        <v>130</v>
      </c>
      <c r="E53" s="7" t="s">
        <v>131</v>
      </c>
      <c r="F53" s="6">
        <v>-1</v>
      </c>
      <c r="G53" s="6">
        <v>20250101</v>
      </c>
      <c r="H53" s="6" t="s">
        <v>30</v>
      </c>
      <c r="I53" s="8">
        <v>-647.58000000000004</v>
      </c>
      <c r="J53" s="6">
        <v>25</v>
      </c>
      <c r="K53" s="8">
        <v>-25</v>
      </c>
    </row>
    <row r="54" spans="1:11" ht="16" x14ac:dyDescent="0.2">
      <c r="A54" s="6" t="s">
        <v>13</v>
      </c>
      <c r="B54" s="6" t="s">
        <v>128</v>
      </c>
      <c r="C54" s="6" t="s">
        <v>132</v>
      </c>
      <c r="D54" s="6" t="s">
        <v>133</v>
      </c>
      <c r="E54" s="7" t="s">
        <v>131</v>
      </c>
      <c r="F54" s="6">
        <v>1</v>
      </c>
      <c r="G54" s="6">
        <v>20250101</v>
      </c>
      <c r="H54" s="6" t="s">
        <v>30</v>
      </c>
      <c r="I54" s="8">
        <v>348.22</v>
      </c>
      <c r="J54" s="6">
        <v>25</v>
      </c>
      <c r="K54" s="8">
        <v>25</v>
      </c>
    </row>
    <row r="55" spans="1:11" ht="16" x14ac:dyDescent="0.2">
      <c r="A55" s="6" t="s">
        <v>13</v>
      </c>
      <c r="B55" s="6" t="s">
        <v>128</v>
      </c>
      <c r="C55" s="6" t="s">
        <v>134</v>
      </c>
      <c r="D55" s="6" t="s">
        <v>135</v>
      </c>
      <c r="E55" s="7" t="s">
        <v>29</v>
      </c>
      <c r="F55" s="6">
        <v>1</v>
      </c>
      <c r="G55" s="6">
        <v>20250101</v>
      </c>
      <c r="H55" s="6" t="s">
        <v>30</v>
      </c>
      <c r="I55" s="8">
        <v>107.75</v>
      </c>
      <c r="J55" s="6">
        <v>22</v>
      </c>
      <c r="K55" s="8">
        <v>22</v>
      </c>
    </row>
    <row r="56" spans="1:11" ht="16" x14ac:dyDescent="0.2">
      <c r="A56" s="6" t="s">
        <v>13</v>
      </c>
      <c r="B56" s="6" t="s">
        <v>128</v>
      </c>
      <c r="C56" s="6" t="s">
        <v>136</v>
      </c>
      <c r="D56" s="6" t="s">
        <v>137</v>
      </c>
      <c r="E56" s="7" t="s">
        <v>11</v>
      </c>
      <c r="F56" s="6">
        <v>1</v>
      </c>
      <c r="G56" s="6">
        <v>20250101</v>
      </c>
      <c r="H56" s="6" t="s">
        <v>12</v>
      </c>
      <c r="I56" s="8">
        <v>361.06</v>
      </c>
      <c r="J56" s="6">
        <v>27</v>
      </c>
      <c r="K56" s="8">
        <v>27</v>
      </c>
    </row>
    <row r="57" spans="1:11" ht="16" x14ac:dyDescent="0.2">
      <c r="A57" s="6" t="s">
        <v>13</v>
      </c>
      <c r="B57" s="6" t="s">
        <v>128</v>
      </c>
      <c r="C57" s="6" t="s">
        <v>138</v>
      </c>
      <c r="D57" s="6" t="s">
        <v>139</v>
      </c>
      <c r="E57" s="7" t="s">
        <v>105</v>
      </c>
      <c r="F57" s="6">
        <v>1</v>
      </c>
      <c r="G57" s="6">
        <v>20250101</v>
      </c>
      <c r="H57" s="6" t="s">
        <v>12</v>
      </c>
      <c r="I57" s="8">
        <v>126.18</v>
      </c>
      <c r="J57" s="6">
        <v>22</v>
      </c>
      <c r="K57" s="8">
        <v>22</v>
      </c>
    </row>
    <row r="58" spans="1:11" ht="16" x14ac:dyDescent="0.2">
      <c r="A58" s="6" t="s">
        <v>13</v>
      </c>
      <c r="B58" s="6" t="s">
        <v>128</v>
      </c>
      <c r="C58" s="6" t="s">
        <v>140</v>
      </c>
      <c r="D58" s="6" t="s">
        <v>141</v>
      </c>
      <c r="E58" s="7" t="s">
        <v>105</v>
      </c>
      <c r="F58" s="6">
        <v>1</v>
      </c>
      <c r="G58" s="6">
        <v>20250101</v>
      </c>
      <c r="H58" s="6" t="s">
        <v>12</v>
      </c>
      <c r="I58" s="8">
        <v>11.9</v>
      </c>
      <c r="J58" s="6">
        <v>22</v>
      </c>
      <c r="K58" s="8">
        <v>22</v>
      </c>
    </row>
    <row r="59" spans="1:11" ht="16" x14ac:dyDescent="0.2">
      <c r="A59" s="6" t="s">
        <v>13</v>
      </c>
      <c r="B59" s="6" t="s">
        <v>142</v>
      </c>
      <c r="C59" s="6" t="s">
        <v>143</v>
      </c>
      <c r="D59" s="6" t="s">
        <v>144</v>
      </c>
      <c r="E59" s="7" t="s">
        <v>22</v>
      </c>
      <c r="F59" s="6" t="s">
        <v>18</v>
      </c>
      <c r="G59" s="6">
        <v>20250101</v>
      </c>
      <c r="H59" s="6" t="s">
        <v>19</v>
      </c>
      <c r="I59" s="8">
        <v>157.46</v>
      </c>
      <c r="J59" s="6">
        <v>0.2</v>
      </c>
      <c r="K59" s="8">
        <v>31.492000000000004</v>
      </c>
    </row>
    <row r="60" spans="1:11" ht="16" x14ac:dyDescent="0.2">
      <c r="A60" s="6" t="s">
        <v>13</v>
      </c>
      <c r="B60" s="6" t="s">
        <v>142</v>
      </c>
      <c r="C60" s="6" t="s">
        <v>145</v>
      </c>
      <c r="D60" s="6" t="s">
        <v>146</v>
      </c>
      <c r="E60" s="7" t="s">
        <v>22</v>
      </c>
      <c r="F60" s="6">
        <v>1</v>
      </c>
      <c r="G60" s="6">
        <v>20250101</v>
      </c>
      <c r="H60" s="6" t="s">
        <v>30</v>
      </c>
      <c r="I60" s="8">
        <v>868.53</v>
      </c>
      <c r="J60" s="6">
        <v>20</v>
      </c>
      <c r="K60" s="8">
        <v>20</v>
      </c>
    </row>
    <row r="61" spans="1:11" ht="16" x14ac:dyDescent="0.2">
      <c r="A61" s="6" t="s">
        <v>13</v>
      </c>
      <c r="B61" s="6" t="s">
        <v>142</v>
      </c>
      <c r="C61" s="6" t="s">
        <v>147</v>
      </c>
      <c r="D61" s="6" t="s">
        <v>148</v>
      </c>
      <c r="E61" s="7" t="s">
        <v>35</v>
      </c>
      <c r="F61" s="6">
        <v>2</v>
      </c>
      <c r="G61" s="6">
        <v>20250101</v>
      </c>
      <c r="H61" s="6" t="s">
        <v>12</v>
      </c>
      <c r="I61" s="8">
        <v>508.69</v>
      </c>
      <c r="J61" s="6">
        <v>27</v>
      </c>
      <c r="K61" s="8">
        <v>54</v>
      </c>
    </row>
    <row r="62" spans="1:11" ht="16" x14ac:dyDescent="0.2">
      <c r="A62" s="6" t="s">
        <v>13</v>
      </c>
      <c r="B62" s="6" t="s">
        <v>142</v>
      </c>
      <c r="C62" s="6" t="s">
        <v>149</v>
      </c>
      <c r="D62" s="6" t="s">
        <v>150</v>
      </c>
      <c r="E62" s="7" t="s">
        <v>11</v>
      </c>
      <c r="F62" s="6">
        <v>1</v>
      </c>
      <c r="G62" s="6">
        <v>20250101</v>
      </c>
      <c r="H62" s="6" t="s">
        <v>12</v>
      </c>
      <c r="I62" s="8">
        <v>324.38</v>
      </c>
      <c r="J62" s="6">
        <v>27</v>
      </c>
      <c r="K62" s="8">
        <v>27</v>
      </c>
    </row>
    <row r="63" spans="1:11" ht="16" x14ac:dyDescent="0.2">
      <c r="A63" s="6" t="s">
        <v>13</v>
      </c>
      <c r="B63" s="6" t="s">
        <v>151</v>
      </c>
      <c r="C63" s="6" t="s">
        <v>152</v>
      </c>
      <c r="D63" s="6" t="s">
        <v>153</v>
      </c>
      <c r="E63" s="7" t="s">
        <v>35</v>
      </c>
      <c r="F63" s="6">
        <v>1</v>
      </c>
      <c r="G63" s="6">
        <v>20250101</v>
      </c>
      <c r="H63" s="6" t="s">
        <v>12</v>
      </c>
      <c r="I63" s="8">
        <v>162.19999999999999</v>
      </c>
      <c r="J63" s="6">
        <v>27</v>
      </c>
      <c r="K63" s="8">
        <v>27</v>
      </c>
    </row>
    <row r="64" spans="1:11" ht="16" x14ac:dyDescent="0.2">
      <c r="A64" s="6" t="s">
        <v>13</v>
      </c>
      <c r="B64" s="6" t="s">
        <v>154</v>
      </c>
      <c r="C64" s="6" t="s">
        <v>155</v>
      </c>
      <c r="D64" s="6" t="s">
        <v>156</v>
      </c>
      <c r="E64" s="7" t="s">
        <v>11</v>
      </c>
      <c r="F64" s="6">
        <v>1</v>
      </c>
      <c r="G64" s="6">
        <v>20250101</v>
      </c>
      <c r="H64" s="6" t="s">
        <v>12</v>
      </c>
      <c r="I64" s="8">
        <v>176.4</v>
      </c>
      <c r="J64" s="6">
        <v>27</v>
      </c>
      <c r="K64" s="8">
        <v>27</v>
      </c>
    </row>
    <row r="65" spans="1:11" ht="16" x14ac:dyDescent="0.2">
      <c r="A65" s="6" t="s">
        <v>13</v>
      </c>
      <c r="B65" s="6" t="s">
        <v>154</v>
      </c>
      <c r="C65" s="6" t="s">
        <v>157</v>
      </c>
      <c r="D65" s="6" t="s">
        <v>158</v>
      </c>
      <c r="E65" s="7" t="s">
        <v>11</v>
      </c>
      <c r="F65" s="6">
        <v>1</v>
      </c>
      <c r="G65" s="6">
        <v>20250101</v>
      </c>
      <c r="H65" s="6" t="s">
        <v>12</v>
      </c>
      <c r="I65" s="8">
        <v>124.29</v>
      </c>
      <c r="J65" s="6">
        <v>27</v>
      </c>
      <c r="K65" s="8">
        <v>27</v>
      </c>
    </row>
    <row r="66" spans="1:11" ht="16" x14ac:dyDescent="0.2">
      <c r="A66" s="6" t="s">
        <v>13</v>
      </c>
      <c r="B66" s="6" t="s">
        <v>159</v>
      </c>
      <c r="C66" s="6" t="s">
        <v>160</v>
      </c>
      <c r="D66" s="6" t="s">
        <v>161</v>
      </c>
      <c r="E66" s="7" t="s">
        <v>22</v>
      </c>
      <c r="F66" s="6" t="s">
        <v>18</v>
      </c>
      <c r="G66" s="6">
        <v>20250101</v>
      </c>
      <c r="H66" s="6" t="s">
        <v>19</v>
      </c>
      <c r="I66" s="8">
        <v>18</v>
      </c>
      <c r="J66" s="6">
        <v>0.1</v>
      </c>
      <c r="K66" s="8">
        <v>1.8</v>
      </c>
    </row>
    <row r="67" spans="1:11" ht="16" x14ac:dyDescent="0.2">
      <c r="A67" s="6" t="s">
        <v>13</v>
      </c>
      <c r="B67" s="6" t="s">
        <v>159</v>
      </c>
      <c r="C67" s="6" t="s">
        <v>162</v>
      </c>
      <c r="D67" s="6" t="s">
        <v>163</v>
      </c>
      <c r="E67" s="7" t="s">
        <v>22</v>
      </c>
      <c r="F67" s="6" t="s">
        <v>18</v>
      </c>
      <c r="G67" s="6">
        <v>20250101</v>
      </c>
      <c r="H67" s="6" t="s">
        <v>19</v>
      </c>
      <c r="I67" s="8">
        <v>18</v>
      </c>
      <c r="J67" s="6">
        <v>0.1</v>
      </c>
      <c r="K67" s="8">
        <v>1.8</v>
      </c>
    </row>
    <row r="68" spans="1:11" ht="16" x14ac:dyDescent="0.2">
      <c r="A68" s="6" t="s">
        <v>13</v>
      </c>
      <c r="B68" s="6" t="s">
        <v>159</v>
      </c>
      <c r="C68" s="6" t="s">
        <v>164</v>
      </c>
      <c r="D68" s="6" t="s">
        <v>165</v>
      </c>
      <c r="E68" s="7" t="s">
        <v>22</v>
      </c>
      <c r="F68" s="6" t="s">
        <v>18</v>
      </c>
      <c r="G68" s="6">
        <v>20250101</v>
      </c>
      <c r="H68" s="6" t="s">
        <v>19</v>
      </c>
      <c r="I68" s="8">
        <v>48.35</v>
      </c>
      <c r="J68" s="6">
        <v>0.2</v>
      </c>
      <c r="K68" s="8">
        <v>9.6700000000000017</v>
      </c>
    </row>
    <row r="69" spans="1:11" ht="16" x14ac:dyDescent="0.2">
      <c r="A69" s="6" t="s">
        <v>13</v>
      </c>
      <c r="B69" s="6" t="s">
        <v>159</v>
      </c>
      <c r="C69" s="6" t="s">
        <v>166</v>
      </c>
      <c r="D69" s="6" t="s">
        <v>167</v>
      </c>
      <c r="E69" s="7" t="s">
        <v>22</v>
      </c>
      <c r="F69" s="6" t="s">
        <v>18</v>
      </c>
      <c r="G69" s="6">
        <v>20250101</v>
      </c>
      <c r="H69" s="6" t="s">
        <v>19</v>
      </c>
      <c r="I69" s="8">
        <v>27</v>
      </c>
      <c r="J69" s="6">
        <v>0.2</v>
      </c>
      <c r="K69" s="8">
        <v>5.4</v>
      </c>
    </row>
    <row r="70" spans="1:11" ht="16" x14ac:dyDescent="0.2">
      <c r="A70" s="6" t="s">
        <v>13</v>
      </c>
      <c r="B70" s="6" t="s">
        <v>159</v>
      </c>
      <c r="C70" s="6" t="s">
        <v>168</v>
      </c>
      <c r="D70" s="6" t="s">
        <v>169</v>
      </c>
      <c r="E70" s="7" t="s">
        <v>22</v>
      </c>
      <c r="F70" s="6" t="s">
        <v>18</v>
      </c>
      <c r="G70" s="6">
        <v>20250101</v>
      </c>
      <c r="H70" s="6" t="s">
        <v>19</v>
      </c>
      <c r="I70" s="8">
        <v>66.599999999999994</v>
      </c>
      <c r="J70" s="6">
        <v>0.2</v>
      </c>
      <c r="K70" s="8">
        <v>13.32</v>
      </c>
    </row>
    <row r="71" spans="1:11" ht="16" x14ac:dyDescent="0.2">
      <c r="A71" s="6" t="s">
        <v>13</v>
      </c>
      <c r="B71" s="6" t="s">
        <v>170</v>
      </c>
      <c r="C71" s="6" t="s">
        <v>171</v>
      </c>
      <c r="D71" s="6" t="s">
        <v>172</v>
      </c>
      <c r="E71" s="7" t="s">
        <v>22</v>
      </c>
      <c r="F71" s="6" t="s">
        <v>18</v>
      </c>
      <c r="G71" s="6">
        <v>20250101</v>
      </c>
      <c r="H71" s="6" t="s">
        <v>19</v>
      </c>
      <c r="I71" s="8">
        <v>59.9</v>
      </c>
      <c r="J71" s="6">
        <v>0.2</v>
      </c>
      <c r="K71" s="8">
        <v>11.98</v>
      </c>
    </row>
    <row r="72" spans="1:11" ht="16" x14ac:dyDescent="0.2">
      <c r="A72" s="6" t="s">
        <v>13</v>
      </c>
      <c r="B72" s="6" t="s">
        <v>173</v>
      </c>
      <c r="C72" s="6" t="s">
        <v>174</v>
      </c>
      <c r="D72" s="6" t="s">
        <v>175</v>
      </c>
      <c r="E72" s="7" t="s">
        <v>22</v>
      </c>
      <c r="F72" s="6">
        <v>1</v>
      </c>
      <c r="G72" s="6">
        <v>20250101</v>
      </c>
      <c r="H72" s="6" t="s">
        <v>30</v>
      </c>
      <c r="I72" s="8">
        <v>391.06</v>
      </c>
      <c r="J72" s="6">
        <v>20</v>
      </c>
      <c r="K72" s="8">
        <v>20</v>
      </c>
    </row>
    <row r="73" spans="1:11" ht="16" x14ac:dyDescent="0.2">
      <c r="A73" s="6" t="s">
        <v>13</v>
      </c>
      <c r="B73" s="6" t="s">
        <v>176</v>
      </c>
      <c r="C73" s="6" t="s">
        <v>177</v>
      </c>
      <c r="D73" s="6" t="s">
        <v>178</v>
      </c>
      <c r="E73" s="7" t="s">
        <v>11</v>
      </c>
      <c r="F73" s="6">
        <v>1</v>
      </c>
      <c r="G73" s="6">
        <v>20250101</v>
      </c>
      <c r="H73" s="6" t="s">
        <v>12</v>
      </c>
      <c r="I73" s="8">
        <v>826.63</v>
      </c>
      <c r="J73" s="6">
        <v>27</v>
      </c>
      <c r="K73" s="8">
        <v>27</v>
      </c>
    </row>
    <row r="74" spans="1:11" ht="16" x14ac:dyDescent="0.2">
      <c r="A74" s="6" t="s">
        <v>13</v>
      </c>
      <c r="B74" s="6" t="s">
        <v>176</v>
      </c>
      <c r="C74" s="6" t="s">
        <v>179</v>
      </c>
      <c r="D74" s="6" t="s">
        <v>180</v>
      </c>
      <c r="E74" s="7" t="s">
        <v>35</v>
      </c>
      <c r="F74" s="6">
        <v>5</v>
      </c>
      <c r="G74" s="6">
        <v>20250101</v>
      </c>
      <c r="H74" s="6" t="s">
        <v>12</v>
      </c>
      <c r="I74" s="8">
        <v>152.88999999999999</v>
      </c>
      <c r="J74" s="6">
        <v>27</v>
      </c>
      <c r="K74" s="8">
        <v>135</v>
      </c>
    </row>
    <row r="75" spans="1:11" ht="16" x14ac:dyDescent="0.2">
      <c r="A75" s="6" t="s">
        <v>13</v>
      </c>
      <c r="B75" s="6" t="s">
        <v>176</v>
      </c>
      <c r="C75" s="6" t="s">
        <v>181</v>
      </c>
      <c r="D75" s="6" t="s">
        <v>182</v>
      </c>
      <c r="E75" s="7" t="s">
        <v>11</v>
      </c>
      <c r="F75" s="6">
        <v>1</v>
      </c>
      <c r="G75" s="6">
        <v>20250101</v>
      </c>
      <c r="H75" s="6" t="s">
        <v>12</v>
      </c>
      <c r="I75" s="8">
        <v>1094.27</v>
      </c>
      <c r="J75" s="6">
        <v>27</v>
      </c>
      <c r="K75" s="8">
        <v>27</v>
      </c>
    </row>
    <row r="76" spans="1:11" ht="16" x14ac:dyDescent="0.2">
      <c r="A76" s="6" t="s">
        <v>13</v>
      </c>
      <c r="B76" s="6" t="s">
        <v>183</v>
      </c>
      <c r="C76" s="6" t="s">
        <v>184</v>
      </c>
      <c r="D76" s="6" t="s">
        <v>185</v>
      </c>
      <c r="E76" s="7" t="s">
        <v>11</v>
      </c>
      <c r="F76" s="6">
        <v>2</v>
      </c>
      <c r="G76" s="6">
        <v>20250101</v>
      </c>
      <c r="H76" s="6" t="s">
        <v>12</v>
      </c>
      <c r="I76" s="8">
        <v>2269.06</v>
      </c>
      <c r="J76" s="6">
        <v>27</v>
      </c>
      <c r="K76" s="8">
        <v>54</v>
      </c>
    </row>
    <row r="77" spans="1:11" ht="16" x14ac:dyDescent="0.2">
      <c r="A77" s="6" t="s">
        <v>13</v>
      </c>
      <c r="B77" s="6" t="s">
        <v>183</v>
      </c>
      <c r="C77" s="6" t="s">
        <v>186</v>
      </c>
      <c r="D77" s="6" t="s">
        <v>187</v>
      </c>
      <c r="E77" s="7" t="s">
        <v>35</v>
      </c>
      <c r="F77" s="6">
        <v>1</v>
      </c>
      <c r="G77" s="6">
        <v>20250101</v>
      </c>
      <c r="H77" s="6" t="s">
        <v>12</v>
      </c>
      <c r="I77" s="8">
        <v>11.37</v>
      </c>
      <c r="J77" s="6">
        <v>27</v>
      </c>
      <c r="K77" s="8">
        <v>27</v>
      </c>
    </row>
    <row r="78" spans="1:11" ht="16" x14ac:dyDescent="0.2">
      <c r="A78" s="6" t="s">
        <v>13</v>
      </c>
      <c r="B78" s="6" t="s">
        <v>188</v>
      </c>
      <c r="C78" s="6" t="s">
        <v>189</v>
      </c>
      <c r="D78" s="6" t="s">
        <v>190</v>
      </c>
      <c r="E78" s="7" t="s">
        <v>22</v>
      </c>
      <c r="F78" s="6">
        <v>1</v>
      </c>
      <c r="G78" s="6">
        <v>20250101</v>
      </c>
      <c r="H78" s="6" t="s">
        <v>30</v>
      </c>
      <c r="I78" s="8">
        <v>324.42</v>
      </c>
      <c r="J78" s="6">
        <v>20</v>
      </c>
      <c r="K78" s="8">
        <v>20</v>
      </c>
    </row>
    <row r="79" spans="1:11" ht="16" x14ac:dyDescent="0.2">
      <c r="A79" s="6" t="s">
        <v>13</v>
      </c>
      <c r="B79" s="6" t="s">
        <v>188</v>
      </c>
      <c r="C79" s="6" t="s">
        <v>191</v>
      </c>
      <c r="D79" s="6" t="s">
        <v>192</v>
      </c>
      <c r="E79" s="7" t="s">
        <v>22</v>
      </c>
      <c r="F79" s="6">
        <v>1</v>
      </c>
      <c r="G79" s="6">
        <v>20250101</v>
      </c>
      <c r="H79" s="6" t="s">
        <v>30</v>
      </c>
      <c r="I79" s="8">
        <v>117.37</v>
      </c>
      <c r="J79" s="6">
        <v>20</v>
      </c>
      <c r="K79" s="8">
        <v>20</v>
      </c>
    </row>
    <row r="80" spans="1:11" ht="16" x14ac:dyDescent="0.2">
      <c r="A80" s="6" t="s">
        <v>13</v>
      </c>
      <c r="B80" s="6" t="s">
        <v>193</v>
      </c>
      <c r="C80" s="6" t="s">
        <v>194</v>
      </c>
      <c r="D80" s="6" t="s">
        <v>195</v>
      </c>
      <c r="E80" s="7" t="s">
        <v>105</v>
      </c>
      <c r="F80" s="6">
        <v>3</v>
      </c>
      <c r="G80" s="6">
        <v>20250101</v>
      </c>
      <c r="H80" s="6" t="s">
        <v>12</v>
      </c>
      <c r="I80" s="8">
        <v>48.55</v>
      </c>
      <c r="J80" s="6">
        <v>22</v>
      </c>
      <c r="K80" s="8">
        <v>66</v>
      </c>
    </row>
    <row r="81" spans="1:11" ht="16" x14ac:dyDescent="0.2">
      <c r="A81" s="6" t="s">
        <v>13</v>
      </c>
      <c r="B81" s="6" t="s">
        <v>193</v>
      </c>
      <c r="C81" s="6" t="s">
        <v>196</v>
      </c>
      <c r="D81" s="6" t="s">
        <v>197</v>
      </c>
      <c r="E81" s="7" t="s">
        <v>105</v>
      </c>
      <c r="F81" s="6">
        <v>1</v>
      </c>
      <c r="G81" s="6">
        <v>20250101</v>
      </c>
      <c r="H81" s="6" t="s">
        <v>12</v>
      </c>
      <c r="I81" s="8">
        <v>271.88</v>
      </c>
      <c r="J81" s="6">
        <v>22</v>
      </c>
      <c r="K81" s="8">
        <v>22</v>
      </c>
    </row>
    <row r="82" spans="1:11" ht="16" x14ac:dyDescent="0.2">
      <c r="A82" s="6" t="s">
        <v>13</v>
      </c>
      <c r="B82" s="6"/>
      <c r="C82" s="6"/>
      <c r="D82" s="6"/>
      <c r="E82" s="7"/>
      <c r="F82" s="6"/>
      <c r="G82" s="6"/>
      <c r="H82" s="6"/>
      <c r="I82" s="8"/>
      <c r="J82" s="6" t="s">
        <v>198</v>
      </c>
      <c r="K82" s="8">
        <v>2074.2060000000001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E2C8-EC4F-C649-8158-D2583FC7540E}">
  <dimension ref="A1:N81"/>
  <sheetViews>
    <sheetView topLeftCell="D43" workbookViewId="0">
      <selection activeCell="M2" sqref="M2:M81"/>
    </sheetView>
  </sheetViews>
  <sheetFormatPr baseColWidth="10" defaultColWidth="8.83203125" defaultRowHeight="15" x14ac:dyDescent="0.2"/>
  <cols>
    <col min="1" max="1" width="30.1640625" customWidth="1"/>
    <col min="2" max="3" width="32" customWidth="1"/>
    <col min="4" max="4" width="30.6640625" customWidth="1"/>
    <col min="5" max="6" width="12" customWidth="1"/>
    <col min="7" max="7" width="8.6640625" customWidth="1"/>
    <col min="8" max="8" width="10.33203125" customWidth="1"/>
    <col min="9" max="10" width="12.5" customWidth="1"/>
    <col min="11" max="11" width="16.1640625" customWidth="1"/>
    <col min="12" max="12" width="12.33203125" customWidth="1"/>
    <col min="13" max="13" width="8.1640625" customWidth="1"/>
    <col min="14" max="14" width="14.5" customWidth="1"/>
  </cols>
  <sheetData>
    <row r="1" spans="1:14" ht="34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2" t="s">
        <v>6</v>
      </c>
      <c r="J1" s="2"/>
      <c r="K1" s="3" t="s">
        <v>7</v>
      </c>
      <c r="L1" s="4" t="s">
        <v>8</v>
      </c>
      <c r="M1" s="5" t="s">
        <v>9</v>
      </c>
      <c r="N1" s="4" t="s">
        <v>10</v>
      </c>
    </row>
    <row r="2" spans="1:14" ht="16" x14ac:dyDescent="0.2">
      <c r="A2" s="6" t="s">
        <v>13</v>
      </c>
      <c r="B2" s="6" t="s">
        <v>14</v>
      </c>
      <c r="C2" s="6">
        <v>21104854</v>
      </c>
      <c r="D2" s="6" t="s">
        <v>15</v>
      </c>
      <c r="E2" s="6" t="s">
        <v>16</v>
      </c>
      <c r="F2" s="6" t="str">
        <f>CONCATENATE(E2,7)</f>
        <v>06P64N7</v>
      </c>
      <c r="G2" s="7" t="s">
        <v>17</v>
      </c>
      <c r="H2" s="6" t="s">
        <v>18</v>
      </c>
      <c r="I2" s="6">
        <v>20250101</v>
      </c>
      <c r="J2" s="6" t="str">
        <f>TEXT(DATE(LEFT(I2,4), MID(I2,5,2), RIGHT(I2,2)), "M/d/yyyy")</f>
        <v>1/1/2025</v>
      </c>
      <c r="K2" s="6" t="s">
        <v>19</v>
      </c>
      <c r="L2" s="8">
        <v>52.45</v>
      </c>
      <c r="M2" s="6">
        <v>0.2</v>
      </c>
      <c r="N2" s="8">
        <v>10.490000000000002</v>
      </c>
    </row>
    <row r="3" spans="1:14" ht="16" x14ac:dyDescent="0.2">
      <c r="A3" s="6" t="s">
        <v>13</v>
      </c>
      <c r="B3" s="6" t="s">
        <v>14</v>
      </c>
      <c r="C3" s="6">
        <v>21104854</v>
      </c>
      <c r="D3" s="6" t="s">
        <v>20</v>
      </c>
      <c r="E3" s="6" t="s">
        <v>21</v>
      </c>
      <c r="F3" s="6" t="str">
        <f t="shared" ref="F3:F16" si="0">CONCATENATE(E3,7)</f>
        <v>38Q22K7</v>
      </c>
      <c r="G3" s="7" t="s">
        <v>22</v>
      </c>
      <c r="H3" s="6" t="s">
        <v>18</v>
      </c>
      <c r="I3" s="6">
        <v>20250101</v>
      </c>
      <c r="J3" s="6" t="str">
        <f t="shared" ref="J3:J66" si="1">TEXT(DATE(LEFT(I3,4), MID(I3,5,2), RIGHT(I3,2)), "M/d/yyyy")</f>
        <v>1/1/2025</v>
      </c>
      <c r="K3" s="6" t="s">
        <v>19</v>
      </c>
      <c r="L3" s="8">
        <v>41.44</v>
      </c>
      <c r="M3" s="6">
        <v>0.2</v>
      </c>
      <c r="N3" s="8">
        <v>8.2880000000000003</v>
      </c>
    </row>
    <row r="4" spans="1:14" ht="16" x14ac:dyDescent="0.2">
      <c r="A4" s="6" t="s">
        <v>13</v>
      </c>
      <c r="B4" s="6" t="s">
        <v>23</v>
      </c>
      <c r="C4" s="6">
        <v>17425766</v>
      </c>
      <c r="D4" s="6" t="s">
        <v>24</v>
      </c>
      <c r="E4" s="6" t="s">
        <v>25</v>
      </c>
      <c r="F4" s="6" t="str">
        <f t="shared" si="0"/>
        <v>80QC767</v>
      </c>
      <c r="G4" s="7" t="s">
        <v>26</v>
      </c>
      <c r="H4" s="6" t="s">
        <v>18</v>
      </c>
      <c r="I4" s="6">
        <v>20250101</v>
      </c>
      <c r="J4" s="6" t="str">
        <f t="shared" si="1"/>
        <v>1/1/2025</v>
      </c>
      <c r="K4" s="6" t="s">
        <v>19</v>
      </c>
      <c r="L4" s="8">
        <v>43</v>
      </c>
      <c r="M4" s="6">
        <v>0.2</v>
      </c>
      <c r="N4" s="8">
        <v>8.6</v>
      </c>
    </row>
    <row r="5" spans="1:14" ht="16" x14ac:dyDescent="0.2">
      <c r="A5" s="6" t="s">
        <v>13</v>
      </c>
      <c r="B5" s="6" t="s">
        <v>42</v>
      </c>
      <c r="C5" s="6">
        <v>19279958</v>
      </c>
      <c r="D5" s="6" t="s">
        <v>43</v>
      </c>
      <c r="E5" s="6" t="s">
        <v>44</v>
      </c>
      <c r="F5" s="6" t="str">
        <f t="shared" si="0"/>
        <v>07QM577</v>
      </c>
      <c r="G5" s="7" t="s">
        <v>45</v>
      </c>
      <c r="H5" s="6" t="s">
        <v>18</v>
      </c>
      <c r="I5" s="6">
        <v>20250101</v>
      </c>
      <c r="J5" s="6" t="str">
        <f t="shared" si="1"/>
        <v>1/1/2025</v>
      </c>
      <c r="K5" s="6" t="s">
        <v>19</v>
      </c>
      <c r="L5" s="8">
        <v>40.89</v>
      </c>
      <c r="M5" s="6">
        <v>0.2</v>
      </c>
      <c r="N5" s="8">
        <v>8.1780000000000008</v>
      </c>
    </row>
    <row r="6" spans="1:14" ht="16" x14ac:dyDescent="0.2">
      <c r="A6" s="6" t="s">
        <v>13</v>
      </c>
      <c r="B6" s="6" t="s">
        <v>42</v>
      </c>
      <c r="C6" s="6">
        <v>19279958</v>
      </c>
      <c r="D6" s="6" t="s">
        <v>46</v>
      </c>
      <c r="E6" s="6" t="s">
        <v>47</v>
      </c>
      <c r="F6" s="6" t="str">
        <f t="shared" si="0"/>
        <v>19Q0B27</v>
      </c>
      <c r="G6" s="7" t="s">
        <v>45</v>
      </c>
      <c r="H6" s="6" t="s">
        <v>18</v>
      </c>
      <c r="I6" s="6">
        <v>20250101</v>
      </c>
      <c r="J6" s="6" t="str">
        <f t="shared" si="1"/>
        <v>1/1/2025</v>
      </c>
      <c r="K6" s="6" t="s">
        <v>19</v>
      </c>
      <c r="L6" s="8">
        <v>38.020000000000003</v>
      </c>
      <c r="M6" s="6">
        <v>0.2</v>
      </c>
      <c r="N6" s="8">
        <v>7.604000000000001</v>
      </c>
    </row>
    <row r="7" spans="1:14" ht="16" x14ac:dyDescent="0.2">
      <c r="A7" s="6" t="s">
        <v>13</v>
      </c>
      <c r="B7" s="6" t="s">
        <v>42</v>
      </c>
      <c r="C7" s="6">
        <v>19279958</v>
      </c>
      <c r="D7" s="6" t="s">
        <v>48</v>
      </c>
      <c r="E7" s="6" t="s">
        <v>49</v>
      </c>
      <c r="F7" s="6" t="str">
        <f t="shared" si="0"/>
        <v>21Q1B07</v>
      </c>
      <c r="G7" s="7" t="s">
        <v>45</v>
      </c>
      <c r="H7" s="6" t="s">
        <v>18</v>
      </c>
      <c r="I7" s="6">
        <v>20250101</v>
      </c>
      <c r="J7" s="6" t="str">
        <f t="shared" si="1"/>
        <v>1/1/2025</v>
      </c>
      <c r="K7" s="6" t="s">
        <v>19</v>
      </c>
      <c r="L7" s="8">
        <v>37.29</v>
      </c>
      <c r="M7" s="6">
        <v>0.2</v>
      </c>
      <c r="N7" s="8">
        <v>7.4580000000000002</v>
      </c>
    </row>
    <row r="8" spans="1:14" ht="16" x14ac:dyDescent="0.2">
      <c r="A8" s="6" t="s">
        <v>13</v>
      </c>
      <c r="B8" s="6" t="s">
        <v>42</v>
      </c>
      <c r="C8" s="6">
        <v>19279958</v>
      </c>
      <c r="D8" s="6" t="s">
        <v>50</v>
      </c>
      <c r="E8" s="6" t="s">
        <v>51</v>
      </c>
      <c r="F8" s="6" t="str">
        <f t="shared" si="0"/>
        <v>28P22N7</v>
      </c>
      <c r="G8" s="7" t="s">
        <v>45</v>
      </c>
      <c r="H8" s="6" t="s">
        <v>18</v>
      </c>
      <c r="I8" s="6">
        <v>20250101</v>
      </c>
      <c r="J8" s="6" t="str">
        <f t="shared" si="1"/>
        <v>1/1/2025</v>
      </c>
      <c r="K8" s="6" t="s">
        <v>19</v>
      </c>
      <c r="L8" s="8">
        <v>52.71</v>
      </c>
      <c r="M8" s="6">
        <v>0.2</v>
      </c>
      <c r="N8" s="8">
        <v>10.542000000000002</v>
      </c>
    </row>
    <row r="9" spans="1:14" ht="16" x14ac:dyDescent="0.2">
      <c r="A9" s="6" t="s">
        <v>13</v>
      </c>
      <c r="B9" s="6" t="s">
        <v>42</v>
      </c>
      <c r="C9" s="6">
        <v>19279958</v>
      </c>
      <c r="D9" s="6" t="s">
        <v>52</v>
      </c>
      <c r="E9" s="6" t="s">
        <v>53</v>
      </c>
      <c r="F9" s="6" t="str">
        <f t="shared" si="0"/>
        <v>39Q9Q07</v>
      </c>
      <c r="G9" s="7" t="s">
        <v>45</v>
      </c>
      <c r="H9" s="6" t="s">
        <v>18</v>
      </c>
      <c r="I9" s="6">
        <v>20250101</v>
      </c>
      <c r="J9" s="6" t="str">
        <f t="shared" si="1"/>
        <v>1/1/2025</v>
      </c>
      <c r="K9" s="6" t="s">
        <v>19</v>
      </c>
      <c r="L9" s="8">
        <v>72.92</v>
      </c>
      <c r="M9" s="6">
        <v>0.2</v>
      </c>
      <c r="N9" s="8">
        <v>14.584000000000001</v>
      </c>
    </row>
    <row r="10" spans="1:14" ht="16" x14ac:dyDescent="0.2">
      <c r="A10" s="6" t="s">
        <v>13</v>
      </c>
      <c r="B10" s="6" t="s">
        <v>142</v>
      </c>
      <c r="C10" s="6">
        <v>18754354</v>
      </c>
      <c r="D10" s="6" t="s">
        <v>143</v>
      </c>
      <c r="E10" s="6" t="s">
        <v>144</v>
      </c>
      <c r="F10" s="6" t="str">
        <f t="shared" si="0"/>
        <v>08P50D7</v>
      </c>
      <c r="G10" s="7" t="s">
        <v>22</v>
      </c>
      <c r="H10" s="6" t="s">
        <v>18</v>
      </c>
      <c r="I10" s="6">
        <v>20250101</v>
      </c>
      <c r="J10" s="6" t="str">
        <f t="shared" si="1"/>
        <v>1/1/2025</v>
      </c>
      <c r="K10" s="6" t="s">
        <v>19</v>
      </c>
      <c r="L10" s="8">
        <v>157.46</v>
      </c>
      <c r="M10" s="6">
        <v>0.2</v>
      </c>
      <c r="N10" s="8">
        <v>31.492000000000004</v>
      </c>
    </row>
    <row r="11" spans="1:14" ht="16" x14ac:dyDescent="0.2">
      <c r="A11" s="6" t="s">
        <v>13</v>
      </c>
      <c r="B11" s="6" t="s">
        <v>159</v>
      </c>
      <c r="C11" s="9" t="s">
        <v>199</v>
      </c>
      <c r="D11" s="6" t="s">
        <v>160</v>
      </c>
      <c r="E11" s="6" t="s">
        <v>161</v>
      </c>
      <c r="F11" s="6" t="str">
        <f t="shared" si="0"/>
        <v>03P25D7</v>
      </c>
      <c r="G11" s="7" t="s">
        <v>22</v>
      </c>
      <c r="H11" s="6" t="s">
        <v>18</v>
      </c>
      <c r="I11" s="6">
        <v>20250101</v>
      </c>
      <c r="J11" s="6" t="str">
        <f t="shared" si="1"/>
        <v>1/1/2025</v>
      </c>
      <c r="K11" s="6" t="s">
        <v>19</v>
      </c>
      <c r="L11" s="8">
        <v>18</v>
      </c>
      <c r="M11" s="6">
        <v>0.1</v>
      </c>
      <c r="N11" s="8">
        <v>1.8</v>
      </c>
    </row>
    <row r="12" spans="1:14" ht="16" x14ac:dyDescent="0.2">
      <c r="A12" s="6" t="s">
        <v>13</v>
      </c>
      <c r="B12" s="6" t="s">
        <v>159</v>
      </c>
      <c r="C12" s="9" t="s">
        <v>199</v>
      </c>
      <c r="D12" s="6" t="s">
        <v>162</v>
      </c>
      <c r="E12" s="6" t="s">
        <v>163</v>
      </c>
      <c r="F12" s="6" t="str">
        <f t="shared" si="0"/>
        <v>56Q3B87</v>
      </c>
      <c r="G12" s="7" t="s">
        <v>22</v>
      </c>
      <c r="H12" s="6" t="s">
        <v>18</v>
      </c>
      <c r="I12" s="6">
        <v>20250101</v>
      </c>
      <c r="J12" s="6" t="str">
        <f t="shared" si="1"/>
        <v>1/1/2025</v>
      </c>
      <c r="K12" s="6" t="s">
        <v>19</v>
      </c>
      <c r="L12" s="8">
        <v>18</v>
      </c>
      <c r="M12" s="6">
        <v>0.1</v>
      </c>
      <c r="N12" s="8">
        <v>1.8</v>
      </c>
    </row>
    <row r="13" spans="1:14" ht="16" x14ac:dyDescent="0.2">
      <c r="A13" s="6" t="s">
        <v>13</v>
      </c>
      <c r="B13" s="6" t="s">
        <v>159</v>
      </c>
      <c r="C13" s="9" t="s">
        <v>199</v>
      </c>
      <c r="D13" s="6" t="s">
        <v>164</v>
      </c>
      <c r="E13" s="6" t="s">
        <v>165</v>
      </c>
      <c r="F13" s="6" t="str">
        <f t="shared" si="0"/>
        <v>58P14V7</v>
      </c>
      <c r="G13" s="7" t="s">
        <v>22</v>
      </c>
      <c r="H13" s="6" t="s">
        <v>18</v>
      </c>
      <c r="I13" s="6">
        <v>20250101</v>
      </c>
      <c r="J13" s="6" t="str">
        <f t="shared" si="1"/>
        <v>1/1/2025</v>
      </c>
      <c r="K13" s="6" t="s">
        <v>19</v>
      </c>
      <c r="L13" s="8">
        <v>48.35</v>
      </c>
      <c r="M13" s="6">
        <v>0.2</v>
      </c>
      <c r="N13" s="8">
        <v>9.6700000000000017</v>
      </c>
    </row>
    <row r="14" spans="1:14" ht="16" x14ac:dyDescent="0.2">
      <c r="A14" s="6" t="s">
        <v>13</v>
      </c>
      <c r="B14" s="6" t="s">
        <v>159</v>
      </c>
      <c r="C14" s="9" t="s">
        <v>199</v>
      </c>
      <c r="D14" s="6" t="s">
        <v>166</v>
      </c>
      <c r="E14" s="6" t="s">
        <v>167</v>
      </c>
      <c r="F14" s="6" t="str">
        <f t="shared" si="0"/>
        <v>60Q27N7</v>
      </c>
      <c r="G14" s="7" t="s">
        <v>22</v>
      </c>
      <c r="H14" s="6" t="s">
        <v>18</v>
      </c>
      <c r="I14" s="6">
        <v>20250101</v>
      </c>
      <c r="J14" s="6" t="str">
        <f t="shared" si="1"/>
        <v>1/1/2025</v>
      </c>
      <c r="K14" s="6" t="s">
        <v>19</v>
      </c>
      <c r="L14" s="8">
        <v>27</v>
      </c>
      <c r="M14" s="6">
        <v>0.2</v>
      </c>
      <c r="N14" s="8">
        <v>5.4</v>
      </c>
    </row>
    <row r="15" spans="1:14" ht="16" x14ac:dyDescent="0.2">
      <c r="A15" s="6" t="s">
        <v>13</v>
      </c>
      <c r="B15" s="6" t="s">
        <v>159</v>
      </c>
      <c r="C15" s="9" t="s">
        <v>199</v>
      </c>
      <c r="D15" s="6" t="s">
        <v>168</v>
      </c>
      <c r="E15" s="6" t="s">
        <v>169</v>
      </c>
      <c r="F15" s="6" t="str">
        <f t="shared" si="0"/>
        <v>64RC607</v>
      </c>
      <c r="G15" s="7" t="s">
        <v>22</v>
      </c>
      <c r="H15" s="6" t="s">
        <v>18</v>
      </c>
      <c r="I15" s="6">
        <v>20250101</v>
      </c>
      <c r="J15" s="6" t="str">
        <f t="shared" si="1"/>
        <v>1/1/2025</v>
      </c>
      <c r="K15" s="6" t="s">
        <v>19</v>
      </c>
      <c r="L15" s="8">
        <v>66.599999999999994</v>
      </c>
      <c r="M15" s="6">
        <v>0.2</v>
      </c>
      <c r="N15" s="8">
        <v>13.32</v>
      </c>
    </row>
    <row r="16" spans="1:14" ht="16" x14ac:dyDescent="0.2">
      <c r="A16" s="6" t="s">
        <v>13</v>
      </c>
      <c r="B16" s="6" t="s">
        <v>170</v>
      </c>
      <c r="C16" s="6">
        <v>8244481</v>
      </c>
      <c r="D16" s="6" t="s">
        <v>171</v>
      </c>
      <c r="E16" s="6" t="s">
        <v>172</v>
      </c>
      <c r="F16" s="6" t="str">
        <f t="shared" si="0"/>
        <v>38Q40Y7</v>
      </c>
      <c r="G16" s="7" t="s">
        <v>22</v>
      </c>
      <c r="H16" s="6" t="s">
        <v>18</v>
      </c>
      <c r="I16" s="6">
        <v>20250101</v>
      </c>
      <c r="J16" s="6" t="str">
        <f t="shared" si="1"/>
        <v>1/1/2025</v>
      </c>
      <c r="K16" s="6" t="s">
        <v>19</v>
      </c>
      <c r="L16" s="8">
        <v>59.9</v>
      </c>
      <c r="M16" s="6">
        <v>0.2</v>
      </c>
      <c r="N16" s="8">
        <v>11.98</v>
      </c>
    </row>
    <row r="17" spans="1:14" ht="16" x14ac:dyDescent="0.2">
      <c r="A17" s="6" t="s">
        <v>13</v>
      </c>
      <c r="B17" s="6" t="s">
        <v>23</v>
      </c>
      <c r="C17" s="6">
        <v>17425766</v>
      </c>
      <c r="D17" s="6" t="s">
        <v>27</v>
      </c>
      <c r="E17" s="6" t="s">
        <v>28</v>
      </c>
      <c r="F17" s="6" t="s">
        <v>28</v>
      </c>
      <c r="G17" s="7" t="s">
        <v>29</v>
      </c>
      <c r="H17" s="6">
        <v>1</v>
      </c>
      <c r="I17" s="6">
        <v>20250101</v>
      </c>
      <c r="J17" s="6" t="str">
        <f t="shared" si="1"/>
        <v>1/1/2025</v>
      </c>
      <c r="K17" s="6" t="s">
        <v>30</v>
      </c>
      <c r="L17" s="8">
        <v>40.03</v>
      </c>
      <c r="M17" s="6">
        <v>22</v>
      </c>
      <c r="N17" s="8">
        <v>22</v>
      </c>
    </row>
    <row r="18" spans="1:14" ht="16" x14ac:dyDescent="0.2">
      <c r="A18" s="6" t="s">
        <v>13</v>
      </c>
      <c r="B18" s="6" t="s">
        <v>97</v>
      </c>
      <c r="C18" s="6">
        <v>7470776</v>
      </c>
      <c r="D18" s="6" t="s">
        <v>98</v>
      </c>
      <c r="E18" s="6" t="s">
        <v>99</v>
      </c>
      <c r="F18" s="6" t="s">
        <v>99</v>
      </c>
      <c r="G18" s="7" t="s">
        <v>22</v>
      </c>
      <c r="H18" s="6">
        <v>1</v>
      </c>
      <c r="I18" s="6">
        <v>20250101</v>
      </c>
      <c r="J18" s="6" t="str">
        <f t="shared" si="1"/>
        <v>1/1/2025</v>
      </c>
      <c r="K18" s="6" t="s">
        <v>30</v>
      </c>
      <c r="L18" s="8">
        <v>462.11</v>
      </c>
      <c r="M18" s="6">
        <v>20</v>
      </c>
      <c r="N18" s="8">
        <v>20</v>
      </c>
    </row>
    <row r="19" spans="1:14" ht="16" x14ac:dyDescent="0.2">
      <c r="A19" s="6" t="s">
        <v>13</v>
      </c>
      <c r="B19" s="6" t="s">
        <v>97</v>
      </c>
      <c r="C19" s="6">
        <v>7470776</v>
      </c>
      <c r="D19" s="6" t="s">
        <v>100</v>
      </c>
      <c r="E19" s="6" t="s">
        <v>101</v>
      </c>
      <c r="F19" s="6" t="s">
        <v>101</v>
      </c>
      <c r="G19" s="7" t="s">
        <v>22</v>
      </c>
      <c r="H19" s="6">
        <v>3</v>
      </c>
      <c r="I19" s="6">
        <v>20250101</v>
      </c>
      <c r="J19" s="6" t="str">
        <f t="shared" si="1"/>
        <v>1/1/2025</v>
      </c>
      <c r="K19" s="6" t="s">
        <v>30</v>
      </c>
      <c r="L19" s="8">
        <v>30.84</v>
      </c>
      <c r="M19" s="6">
        <v>20</v>
      </c>
      <c r="N19" s="8">
        <v>60</v>
      </c>
    </row>
    <row r="20" spans="1:14" ht="16" x14ac:dyDescent="0.2">
      <c r="A20" s="6" t="s">
        <v>13</v>
      </c>
      <c r="B20" s="6" t="s">
        <v>97</v>
      </c>
      <c r="C20" s="6">
        <v>7470776</v>
      </c>
      <c r="D20" s="6" t="s">
        <v>100</v>
      </c>
      <c r="E20" s="6" t="s">
        <v>101</v>
      </c>
      <c r="F20" s="6" t="s">
        <v>101</v>
      </c>
      <c r="G20" s="7" t="s">
        <v>22</v>
      </c>
      <c r="H20" s="6">
        <v>3</v>
      </c>
      <c r="I20" s="6">
        <v>20241101</v>
      </c>
      <c r="J20" s="6" t="str">
        <f t="shared" si="1"/>
        <v>11/1/2024</v>
      </c>
      <c r="K20" s="6" t="s">
        <v>30</v>
      </c>
      <c r="L20" s="8">
        <v>0</v>
      </c>
      <c r="M20" s="6">
        <v>18</v>
      </c>
      <c r="N20" s="8">
        <v>54</v>
      </c>
    </row>
    <row r="21" spans="1:14" ht="16" x14ac:dyDescent="0.2">
      <c r="A21" s="6" t="s">
        <v>13</v>
      </c>
      <c r="B21" s="6" t="s">
        <v>97</v>
      </c>
      <c r="C21" s="6">
        <v>7470776</v>
      </c>
      <c r="D21" s="6" t="s">
        <v>100</v>
      </c>
      <c r="E21" s="6" t="s">
        <v>101</v>
      </c>
      <c r="F21" s="6" t="s">
        <v>101</v>
      </c>
      <c r="G21" s="7" t="s">
        <v>22</v>
      </c>
      <c r="H21" s="6">
        <v>3</v>
      </c>
      <c r="I21" s="6">
        <v>20241201</v>
      </c>
      <c r="J21" s="6" t="str">
        <f t="shared" si="1"/>
        <v>12/1/2024</v>
      </c>
      <c r="K21" s="6" t="s">
        <v>30</v>
      </c>
      <c r="L21" s="8">
        <v>0</v>
      </c>
      <c r="M21" s="6">
        <v>18</v>
      </c>
      <c r="N21" s="8">
        <v>54</v>
      </c>
    </row>
    <row r="22" spans="1:14" ht="16" x14ac:dyDescent="0.2">
      <c r="A22" s="6" t="s">
        <v>13</v>
      </c>
      <c r="B22" s="6" t="s">
        <v>116</v>
      </c>
      <c r="C22" s="6">
        <v>8325282</v>
      </c>
      <c r="D22" s="6" t="s">
        <v>117</v>
      </c>
      <c r="E22" s="6" t="s">
        <v>118</v>
      </c>
      <c r="F22" s="6" t="s">
        <v>118</v>
      </c>
      <c r="G22" s="7" t="s">
        <v>22</v>
      </c>
      <c r="H22" s="6">
        <v>1</v>
      </c>
      <c r="I22" s="6">
        <v>20250101</v>
      </c>
      <c r="J22" s="6" t="str">
        <f t="shared" si="1"/>
        <v>1/1/2025</v>
      </c>
      <c r="K22" s="6" t="s">
        <v>30</v>
      </c>
      <c r="L22" s="8">
        <v>293.13</v>
      </c>
      <c r="M22" s="6">
        <v>20</v>
      </c>
      <c r="N22" s="8">
        <v>20</v>
      </c>
    </row>
    <row r="23" spans="1:14" ht="16" x14ac:dyDescent="0.2">
      <c r="A23" s="6" t="s">
        <v>13</v>
      </c>
      <c r="B23" s="6" t="s">
        <v>119</v>
      </c>
      <c r="C23" s="6">
        <v>17301495</v>
      </c>
      <c r="D23" s="6" t="s">
        <v>120</v>
      </c>
      <c r="E23" s="6" t="s">
        <v>121</v>
      </c>
      <c r="F23" s="6" t="s">
        <v>121</v>
      </c>
      <c r="G23" s="7" t="s">
        <v>22</v>
      </c>
      <c r="H23" s="6">
        <v>1</v>
      </c>
      <c r="I23" s="6">
        <v>20250101</v>
      </c>
      <c r="J23" s="6" t="str">
        <f t="shared" si="1"/>
        <v>1/1/2025</v>
      </c>
      <c r="K23" s="6" t="s">
        <v>30</v>
      </c>
      <c r="L23" s="8">
        <v>148.30000000000001</v>
      </c>
      <c r="M23" s="6">
        <v>20</v>
      </c>
      <c r="N23" s="8">
        <v>20</v>
      </c>
    </row>
    <row r="24" spans="1:14" ht="16" x14ac:dyDescent="0.2">
      <c r="A24" s="6" t="s">
        <v>13</v>
      </c>
      <c r="B24" s="6" t="s">
        <v>125</v>
      </c>
      <c r="C24" s="6">
        <v>9213293</v>
      </c>
      <c r="D24" s="6" t="s">
        <v>126</v>
      </c>
      <c r="E24" s="6" t="s">
        <v>127</v>
      </c>
      <c r="F24" s="6" t="s">
        <v>127</v>
      </c>
      <c r="G24" s="7" t="s">
        <v>22</v>
      </c>
      <c r="H24" s="6">
        <v>1</v>
      </c>
      <c r="I24" s="6">
        <v>20250101</v>
      </c>
      <c r="J24" s="6" t="str">
        <f t="shared" si="1"/>
        <v>1/1/2025</v>
      </c>
      <c r="K24" s="6" t="s">
        <v>30</v>
      </c>
      <c r="L24" s="8">
        <v>213.88</v>
      </c>
      <c r="M24" s="6">
        <v>20</v>
      </c>
      <c r="N24" s="8">
        <v>20</v>
      </c>
    </row>
    <row r="25" spans="1:14" ht="16" x14ac:dyDescent="0.2">
      <c r="A25" s="6" t="s">
        <v>13</v>
      </c>
      <c r="B25" s="6" t="s">
        <v>128</v>
      </c>
      <c r="C25" s="6">
        <v>8307933</v>
      </c>
      <c r="D25" s="6" t="s">
        <v>129</v>
      </c>
      <c r="E25" s="6" t="s">
        <v>130</v>
      </c>
      <c r="F25" s="6" t="s">
        <v>130</v>
      </c>
      <c r="G25" s="7" t="s">
        <v>131</v>
      </c>
      <c r="H25" s="6">
        <v>1</v>
      </c>
      <c r="I25" s="6">
        <v>20250101</v>
      </c>
      <c r="J25" s="6" t="str">
        <f t="shared" si="1"/>
        <v>1/1/2025</v>
      </c>
      <c r="K25" s="6" t="s">
        <v>30</v>
      </c>
      <c r="L25" s="8">
        <v>647.58000000000004</v>
      </c>
      <c r="M25" s="6">
        <v>25</v>
      </c>
      <c r="N25" s="8">
        <v>25</v>
      </c>
    </row>
    <row r="26" spans="1:14" ht="16" x14ac:dyDescent="0.2">
      <c r="A26" s="6" t="s">
        <v>13</v>
      </c>
      <c r="B26" s="6" t="s">
        <v>128</v>
      </c>
      <c r="C26" s="6">
        <v>8307933</v>
      </c>
      <c r="D26" s="6" t="s">
        <v>129</v>
      </c>
      <c r="E26" s="6" t="s">
        <v>130</v>
      </c>
      <c r="F26" s="6" t="s">
        <v>130</v>
      </c>
      <c r="G26" s="7" t="s">
        <v>131</v>
      </c>
      <c r="H26" s="6">
        <v>-1</v>
      </c>
      <c r="I26" s="6">
        <v>20250101</v>
      </c>
      <c r="J26" s="6" t="str">
        <f t="shared" si="1"/>
        <v>1/1/2025</v>
      </c>
      <c r="K26" s="6" t="s">
        <v>30</v>
      </c>
      <c r="L26" s="8">
        <v>-647.58000000000004</v>
      </c>
      <c r="M26" s="6">
        <v>25</v>
      </c>
      <c r="N26" s="8">
        <v>-25</v>
      </c>
    </row>
    <row r="27" spans="1:14" ht="16" x14ac:dyDescent="0.2">
      <c r="A27" s="6" t="s">
        <v>13</v>
      </c>
      <c r="B27" s="6" t="s">
        <v>128</v>
      </c>
      <c r="C27" s="6">
        <v>8307933</v>
      </c>
      <c r="D27" s="6" t="s">
        <v>132</v>
      </c>
      <c r="E27" s="6" t="s">
        <v>133</v>
      </c>
      <c r="F27" s="6" t="s">
        <v>133</v>
      </c>
      <c r="G27" s="7" t="s">
        <v>131</v>
      </c>
      <c r="H27" s="6">
        <v>1</v>
      </c>
      <c r="I27" s="6">
        <v>20250101</v>
      </c>
      <c r="J27" s="6" t="str">
        <f t="shared" si="1"/>
        <v>1/1/2025</v>
      </c>
      <c r="K27" s="6" t="s">
        <v>30</v>
      </c>
      <c r="L27" s="8">
        <v>348.22</v>
      </c>
      <c r="M27" s="6">
        <v>25</v>
      </c>
      <c r="N27" s="8">
        <v>25</v>
      </c>
    </row>
    <row r="28" spans="1:14" ht="16" x14ac:dyDescent="0.2">
      <c r="A28" s="6" t="s">
        <v>13</v>
      </c>
      <c r="B28" s="6" t="s">
        <v>128</v>
      </c>
      <c r="C28" s="6">
        <v>8307933</v>
      </c>
      <c r="D28" s="6" t="s">
        <v>134</v>
      </c>
      <c r="E28" s="6" t="s">
        <v>135</v>
      </c>
      <c r="F28" s="6" t="s">
        <v>135</v>
      </c>
      <c r="G28" s="7" t="s">
        <v>29</v>
      </c>
      <c r="H28" s="6">
        <v>1</v>
      </c>
      <c r="I28" s="6">
        <v>20250101</v>
      </c>
      <c r="J28" s="6" t="str">
        <f t="shared" si="1"/>
        <v>1/1/2025</v>
      </c>
      <c r="K28" s="6" t="s">
        <v>30</v>
      </c>
      <c r="L28" s="8">
        <v>107.75</v>
      </c>
      <c r="M28" s="6">
        <v>22</v>
      </c>
      <c r="N28" s="8">
        <v>22</v>
      </c>
    </row>
    <row r="29" spans="1:14" ht="16" x14ac:dyDescent="0.2">
      <c r="A29" s="6" t="s">
        <v>13</v>
      </c>
      <c r="B29" s="6" t="s">
        <v>142</v>
      </c>
      <c r="C29" s="6">
        <v>18754354</v>
      </c>
      <c r="D29" s="6" t="s">
        <v>145</v>
      </c>
      <c r="E29" s="6" t="s">
        <v>146</v>
      </c>
      <c r="F29" s="6" t="s">
        <v>146</v>
      </c>
      <c r="G29" s="7" t="s">
        <v>22</v>
      </c>
      <c r="H29" s="6">
        <v>1</v>
      </c>
      <c r="I29" s="6">
        <v>20250101</v>
      </c>
      <c r="J29" s="6" t="str">
        <f t="shared" si="1"/>
        <v>1/1/2025</v>
      </c>
      <c r="K29" s="6" t="s">
        <v>30</v>
      </c>
      <c r="L29" s="8">
        <v>868.53</v>
      </c>
      <c r="M29" s="6">
        <v>20</v>
      </c>
      <c r="N29" s="8">
        <v>20</v>
      </c>
    </row>
    <row r="30" spans="1:14" ht="16" x14ac:dyDescent="0.2">
      <c r="A30" s="6" t="s">
        <v>13</v>
      </c>
      <c r="B30" s="6" t="s">
        <v>173</v>
      </c>
      <c r="C30" s="6">
        <v>19200754</v>
      </c>
      <c r="D30" s="6" t="s">
        <v>174</v>
      </c>
      <c r="E30" s="6" t="s">
        <v>175</v>
      </c>
      <c r="F30" s="6" t="s">
        <v>175</v>
      </c>
      <c r="G30" s="7" t="s">
        <v>22</v>
      </c>
      <c r="H30" s="6">
        <v>1</v>
      </c>
      <c r="I30" s="6">
        <v>20250101</v>
      </c>
      <c r="J30" s="6" t="str">
        <f t="shared" si="1"/>
        <v>1/1/2025</v>
      </c>
      <c r="K30" s="6" t="s">
        <v>30</v>
      </c>
      <c r="L30" s="8">
        <v>391.06</v>
      </c>
      <c r="M30" s="6">
        <v>20</v>
      </c>
      <c r="N30" s="8">
        <v>20</v>
      </c>
    </row>
    <row r="31" spans="1:14" ht="16" x14ac:dyDescent="0.2">
      <c r="A31" s="6" t="s">
        <v>13</v>
      </c>
      <c r="B31" s="6" t="s">
        <v>188</v>
      </c>
      <c r="C31" s="6">
        <v>19396223</v>
      </c>
      <c r="D31" s="6" t="s">
        <v>189</v>
      </c>
      <c r="E31" s="6" t="s">
        <v>190</v>
      </c>
      <c r="F31" s="6" t="s">
        <v>190</v>
      </c>
      <c r="G31" s="7" t="s">
        <v>22</v>
      </c>
      <c r="H31" s="6">
        <v>1</v>
      </c>
      <c r="I31" s="6">
        <v>20250101</v>
      </c>
      <c r="J31" s="6" t="str">
        <f t="shared" si="1"/>
        <v>1/1/2025</v>
      </c>
      <c r="K31" s="6" t="s">
        <v>30</v>
      </c>
      <c r="L31" s="8">
        <v>324.42</v>
      </c>
      <c r="M31" s="6">
        <v>20</v>
      </c>
      <c r="N31" s="8">
        <v>20</v>
      </c>
    </row>
    <row r="32" spans="1:14" ht="16" x14ac:dyDescent="0.2">
      <c r="A32" s="6" t="s">
        <v>13</v>
      </c>
      <c r="B32" s="6" t="s">
        <v>188</v>
      </c>
      <c r="C32" s="6">
        <v>19396223</v>
      </c>
      <c r="D32" s="6" t="s">
        <v>191</v>
      </c>
      <c r="E32" s="6" t="s">
        <v>192</v>
      </c>
      <c r="F32" s="6" t="s">
        <v>192</v>
      </c>
      <c r="G32" s="7" t="s">
        <v>22</v>
      </c>
      <c r="H32" s="6">
        <v>1</v>
      </c>
      <c r="I32" s="6">
        <v>20250101</v>
      </c>
      <c r="J32" s="6" t="str">
        <f t="shared" si="1"/>
        <v>1/1/2025</v>
      </c>
      <c r="K32" s="6" t="s">
        <v>30</v>
      </c>
      <c r="L32" s="8">
        <v>117.37</v>
      </c>
      <c r="M32" s="6">
        <v>20</v>
      </c>
      <c r="N32" s="8">
        <v>20</v>
      </c>
    </row>
    <row r="33" spans="1:14" ht="16" x14ac:dyDescent="0.2">
      <c r="A33" s="6" t="s">
        <v>13</v>
      </c>
      <c r="B33" s="6" t="s">
        <v>23</v>
      </c>
      <c r="C33" s="6">
        <v>17425766</v>
      </c>
      <c r="D33" s="6" t="s">
        <v>31</v>
      </c>
      <c r="E33" s="6" t="s">
        <v>32</v>
      </c>
      <c r="F33" s="6" t="s">
        <v>32</v>
      </c>
      <c r="G33" s="7" t="s">
        <v>11</v>
      </c>
      <c r="H33" s="6">
        <v>3</v>
      </c>
      <c r="I33" s="6">
        <v>20250101</v>
      </c>
      <c r="J33" s="6" t="str">
        <f t="shared" si="1"/>
        <v>1/1/2025</v>
      </c>
      <c r="K33" s="6" t="s">
        <v>12</v>
      </c>
      <c r="L33" s="8">
        <v>191.23</v>
      </c>
      <c r="M33" s="6">
        <v>27</v>
      </c>
      <c r="N33" s="8">
        <v>81</v>
      </c>
    </row>
    <row r="34" spans="1:14" ht="16" x14ac:dyDescent="0.2">
      <c r="A34" s="6" t="s">
        <v>13</v>
      </c>
      <c r="B34" s="6" t="s">
        <v>23</v>
      </c>
      <c r="C34" s="6">
        <v>17425766</v>
      </c>
      <c r="D34" s="6" t="s">
        <v>33</v>
      </c>
      <c r="E34" s="6" t="s">
        <v>34</v>
      </c>
      <c r="F34" s="6" t="s">
        <v>34</v>
      </c>
      <c r="G34" s="7" t="s">
        <v>35</v>
      </c>
      <c r="H34" s="6">
        <v>1</v>
      </c>
      <c r="I34" s="6">
        <v>20250101</v>
      </c>
      <c r="J34" s="6" t="str">
        <f t="shared" si="1"/>
        <v>1/1/2025</v>
      </c>
      <c r="K34" s="6" t="s">
        <v>12</v>
      </c>
      <c r="L34" s="8">
        <v>192.18</v>
      </c>
      <c r="M34" s="6">
        <v>27</v>
      </c>
      <c r="N34" s="8">
        <v>27</v>
      </c>
    </row>
    <row r="35" spans="1:14" ht="16" x14ac:dyDescent="0.2">
      <c r="A35" s="6" t="s">
        <v>13</v>
      </c>
      <c r="B35" s="6" t="s">
        <v>36</v>
      </c>
      <c r="C35" s="6">
        <v>16865615</v>
      </c>
      <c r="D35" s="6" t="s">
        <v>37</v>
      </c>
      <c r="E35" s="6" t="s">
        <v>38</v>
      </c>
      <c r="F35" s="6" t="s">
        <v>38</v>
      </c>
      <c r="G35" s="7" t="s">
        <v>39</v>
      </c>
      <c r="H35" s="6">
        <v>1</v>
      </c>
      <c r="I35" s="6">
        <v>20241201</v>
      </c>
      <c r="J35" s="6" t="str">
        <f t="shared" si="1"/>
        <v>12/1/2024</v>
      </c>
      <c r="K35" s="6" t="s">
        <v>12</v>
      </c>
      <c r="L35" s="8">
        <v>393.97</v>
      </c>
      <c r="M35" s="6">
        <v>20</v>
      </c>
      <c r="N35" s="8">
        <v>20</v>
      </c>
    </row>
    <row r="36" spans="1:14" ht="16" x14ac:dyDescent="0.2">
      <c r="A36" s="6" t="s">
        <v>13</v>
      </c>
      <c r="B36" s="6" t="s">
        <v>36</v>
      </c>
      <c r="C36" s="6">
        <v>16865615</v>
      </c>
      <c r="D36" s="6" t="s">
        <v>40</v>
      </c>
      <c r="E36" s="6" t="s">
        <v>41</v>
      </c>
      <c r="F36" s="6" t="s">
        <v>41</v>
      </c>
      <c r="G36" s="7" t="s">
        <v>39</v>
      </c>
      <c r="H36" s="6">
        <v>1</v>
      </c>
      <c r="I36" s="6">
        <v>20250101</v>
      </c>
      <c r="J36" s="6" t="str">
        <f t="shared" si="1"/>
        <v>1/1/2025</v>
      </c>
      <c r="K36" s="6" t="s">
        <v>12</v>
      </c>
      <c r="L36" s="8">
        <v>55.34</v>
      </c>
      <c r="M36" s="6">
        <v>20</v>
      </c>
      <c r="N36" s="8">
        <v>20</v>
      </c>
    </row>
    <row r="37" spans="1:14" ht="16" x14ac:dyDescent="0.2">
      <c r="A37" s="6" t="s">
        <v>13</v>
      </c>
      <c r="B37" s="6" t="s">
        <v>54</v>
      </c>
      <c r="C37" s="6">
        <v>6634327</v>
      </c>
      <c r="D37" s="6" t="s">
        <v>55</v>
      </c>
      <c r="E37" s="6" t="s">
        <v>56</v>
      </c>
      <c r="F37" s="6" t="s">
        <v>56</v>
      </c>
      <c r="G37" s="7" t="s">
        <v>39</v>
      </c>
      <c r="H37" s="6">
        <v>1</v>
      </c>
      <c r="I37" s="6">
        <v>20250101</v>
      </c>
      <c r="J37" s="6" t="str">
        <f t="shared" si="1"/>
        <v>1/1/2025</v>
      </c>
      <c r="K37" s="6" t="s">
        <v>12</v>
      </c>
      <c r="L37" s="8">
        <v>225.91</v>
      </c>
      <c r="M37" s="6">
        <v>20</v>
      </c>
      <c r="N37" s="8">
        <v>20</v>
      </c>
    </row>
    <row r="38" spans="1:14" ht="16" x14ac:dyDescent="0.2">
      <c r="A38" s="6" t="s">
        <v>13</v>
      </c>
      <c r="B38" s="6" t="s">
        <v>54</v>
      </c>
      <c r="C38" s="6">
        <v>6634327</v>
      </c>
      <c r="D38" s="6" t="s">
        <v>57</v>
      </c>
      <c r="E38" s="6" t="s">
        <v>58</v>
      </c>
      <c r="F38" s="6" t="s">
        <v>58</v>
      </c>
      <c r="G38" s="7" t="s">
        <v>39</v>
      </c>
      <c r="H38" s="6">
        <v>1</v>
      </c>
      <c r="I38" s="6">
        <v>20250101</v>
      </c>
      <c r="J38" s="6" t="str">
        <f t="shared" si="1"/>
        <v>1/1/2025</v>
      </c>
      <c r="K38" s="6" t="s">
        <v>12</v>
      </c>
      <c r="L38" s="8">
        <v>32.159999999999997</v>
      </c>
      <c r="M38" s="6">
        <v>20</v>
      </c>
      <c r="N38" s="8">
        <v>20</v>
      </c>
    </row>
    <row r="39" spans="1:14" ht="16" x14ac:dyDescent="0.2">
      <c r="A39" s="6" t="s">
        <v>13</v>
      </c>
      <c r="B39" s="6" t="s">
        <v>54</v>
      </c>
      <c r="C39" s="6">
        <v>6634327</v>
      </c>
      <c r="D39" s="6" t="s">
        <v>59</v>
      </c>
      <c r="E39" s="6" t="s">
        <v>60</v>
      </c>
      <c r="F39" s="6" t="s">
        <v>60</v>
      </c>
      <c r="G39" s="7" t="s">
        <v>39</v>
      </c>
      <c r="H39" s="6">
        <v>1</v>
      </c>
      <c r="I39" s="6">
        <v>20250101</v>
      </c>
      <c r="J39" s="6" t="str">
        <f t="shared" si="1"/>
        <v>1/1/2025</v>
      </c>
      <c r="K39" s="6" t="s">
        <v>12</v>
      </c>
      <c r="L39" s="8">
        <v>362.1</v>
      </c>
      <c r="M39" s="6">
        <v>20</v>
      </c>
      <c r="N39" s="8">
        <v>20</v>
      </c>
    </row>
    <row r="40" spans="1:14" ht="16" x14ac:dyDescent="0.2">
      <c r="A40" s="6" t="s">
        <v>13</v>
      </c>
      <c r="B40" s="6" t="s">
        <v>54</v>
      </c>
      <c r="C40" s="6">
        <v>6634327</v>
      </c>
      <c r="D40" s="6" t="s">
        <v>61</v>
      </c>
      <c r="E40" s="6" t="s">
        <v>62</v>
      </c>
      <c r="F40" s="6" t="s">
        <v>62</v>
      </c>
      <c r="G40" s="7" t="s">
        <v>39</v>
      </c>
      <c r="H40" s="6">
        <v>1</v>
      </c>
      <c r="I40" s="6">
        <v>20250101</v>
      </c>
      <c r="J40" s="6" t="str">
        <f t="shared" si="1"/>
        <v>1/1/2025</v>
      </c>
      <c r="K40" s="6" t="s">
        <v>12</v>
      </c>
      <c r="L40" s="8">
        <v>446.73</v>
      </c>
      <c r="M40" s="6">
        <v>20</v>
      </c>
      <c r="N40" s="8">
        <v>20</v>
      </c>
    </row>
    <row r="41" spans="1:14" ht="16" x14ac:dyDescent="0.2">
      <c r="A41" s="6" t="s">
        <v>13</v>
      </c>
      <c r="B41" s="6" t="s">
        <v>54</v>
      </c>
      <c r="C41" s="6">
        <v>6634327</v>
      </c>
      <c r="D41" s="6" t="s">
        <v>63</v>
      </c>
      <c r="E41" s="6" t="s">
        <v>64</v>
      </c>
      <c r="F41" s="6" t="s">
        <v>64</v>
      </c>
      <c r="G41" s="7" t="s">
        <v>39</v>
      </c>
      <c r="H41" s="6">
        <v>1</v>
      </c>
      <c r="I41" s="6">
        <v>20241201</v>
      </c>
      <c r="J41" s="6" t="str">
        <f t="shared" si="1"/>
        <v>12/1/2024</v>
      </c>
      <c r="K41" s="6" t="s">
        <v>12</v>
      </c>
      <c r="L41" s="8">
        <v>391.44</v>
      </c>
      <c r="M41" s="6">
        <v>20</v>
      </c>
      <c r="N41" s="8">
        <v>20</v>
      </c>
    </row>
    <row r="42" spans="1:14" ht="16" x14ac:dyDescent="0.2">
      <c r="A42" s="6" t="s">
        <v>13</v>
      </c>
      <c r="B42" s="6" t="s">
        <v>54</v>
      </c>
      <c r="C42" s="6">
        <v>6634327</v>
      </c>
      <c r="D42" s="6" t="s">
        <v>65</v>
      </c>
      <c r="E42" s="6" t="s">
        <v>66</v>
      </c>
      <c r="F42" s="6" t="s">
        <v>66</v>
      </c>
      <c r="G42" s="7" t="s">
        <v>39</v>
      </c>
      <c r="H42" s="6">
        <v>1</v>
      </c>
      <c r="I42" s="6">
        <v>20241101</v>
      </c>
      <c r="J42" s="6" t="str">
        <f t="shared" si="1"/>
        <v>11/1/2024</v>
      </c>
      <c r="K42" s="6" t="s">
        <v>12</v>
      </c>
      <c r="L42" s="8">
        <v>0</v>
      </c>
      <c r="M42" s="6">
        <v>20</v>
      </c>
      <c r="N42" s="8">
        <v>20</v>
      </c>
    </row>
    <row r="43" spans="1:14" ht="16" x14ac:dyDescent="0.2">
      <c r="A43" s="6" t="s">
        <v>13</v>
      </c>
      <c r="B43" s="6" t="s">
        <v>54</v>
      </c>
      <c r="C43" s="6">
        <v>6634327</v>
      </c>
      <c r="D43" s="6" t="s">
        <v>65</v>
      </c>
      <c r="E43" s="6" t="s">
        <v>66</v>
      </c>
      <c r="F43" s="6" t="s">
        <v>66</v>
      </c>
      <c r="G43" s="7" t="s">
        <v>39</v>
      </c>
      <c r="H43" s="6">
        <v>1</v>
      </c>
      <c r="I43" s="6">
        <v>20241201</v>
      </c>
      <c r="J43" s="6" t="str">
        <f t="shared" si="1"/>
        <v>12/1/2024</v>
      </c>
      <c r="K43" s="6" t="s">
        <v>12</v>
      </c>
      <c r="L43" s="8">
        <v>948.57</v>
      </c>
      <c r="M43" s="6">
        <v>20</v>
      </c>
      <c r="N43" s="8">
        <v>20</v>
      </c>
    </row>
    <row r="44" spans="1:14" ht="16" x14ac:dyDescent="0.2">
      <c r="A44" s="6" t="s">
        <v>13</v>
      </c>
      <c r="B44" s="6" t="s">
        <v>54</v>
      </c>
      <c r="C44" s="6">
        <v>6634327</v>
      </c>
      <c r="D44" s="6" t="s">
        <v>67</v>
      </c>
      <c r="E44" s="6" t="s">
        <v>68</v>
      </c>
      <c r="F44" s="6" t="s">
        <v>68</v>
      </c>
      <c r="G44" s="7" t="s">
        <v>39</v>
      </c>
      <c r="H44" s="6">
        <v>1</v>
      </c>
      <c r="I44" s="6">
        <v>20250101</v>
      </c>
      <c r="J44" s="6" t="str">
        <f t="shared" si="1"/>
        <v>1/1/2025</v>
      </c>
      <c r="K44" s="6" t="s">
        <v>12</v>
      </c>
      <c r="L44" s="8">
        <v>97.95</v>
      </c>
      <c r="M44" s="6">
        <v>20</v>
      </c>
      <c r="N44" s="8">
        <v>20</v>
      </c>
    </row>
    <row r="45" spans="1:14" ht="16" x14ac:dyDescent="0.2">
      <c r="A45" s="6" t="s">
        <v>13</v>
      </c>
      <c r="B45" s="6" t="s">
        <v>54</v>
      </c>
      <c r="C45" s="6">
        <v>6634327</v>
      </c>
      <c r="D45" s="6" t="s">
        <v>69</v>
      </c>
      <c r="E45" s="6" t="s">
        <v>70</v>
      </c>
      <c r="F45" s="6" t="s">
        <v>70</v>
      </c>
      <c r="G45" s="7" t="s">
        <v>39</v>
      </c>
      <c r="H45" s="6">
        <v>4</v>
      </c>
      <c r="I45" s="6">
        <v>20250101</v>
      </c>
      <c r="J45" s="6" t="str">
        <f t="shared" si="1"/>
        <v>1/1/2025</v>
      </c>
      <c r="K45" s="6" t="s">
        <v>12</v>
      </c>
      <c r="L45" s="8">
        <v>438.09</v>
      </c>
      <c r="M45" s="6">
        <v>20</v>
      </c>
      <c r="N45" s="8">
        <v>80</v>
      </c>
    </row>
    <row r="46" spans="1:14" ht="16" x14ac:dyDescent="0.2">
      <c r="A46" s="6" t="s">
        <v>13</v>
      </c>
      <c r="B46" s="6" t="s">
        <v>54</v>
      </c>
      <c r="C46" s="6">
        <v>6634327</v>
      </c>
      <c r="D46" s="6" t="s">
        <v>71</v>
      </c>
      <c r="E46" s="6" t="s">
        <v>72</v>
      </c>
      <c r="F46" s="6" t="s">
        <v>72</v>
      </c>
      <c r="G46" s="7" t="s">
        <v>39</v>
      </c>
      <c r="H46" s="6">
        <v>1</v>
      </c>
      <c r="I46" s="6">
        <v>20250101</v>
      </c>
      <c r="J46" s="6" t="str">
        <f t="shared" si="1"/>
        <v>1/1/2025</v>
      </c>
      <c r="K46" s="6" t="s">
        <v>12</v>
      </c>
      <c r="L46" s="8">
        <v>869.74</v>
      </c>
      <c r="M46" s="6">
        <v>20</v>
      </c>
      <c r="N46" s="8">
        <v>20</v>
      </c>
    </row>
    <row r="47" spans="1:14" ht="16" x14ac:dyDescent="0.2">
      <c r="A47" s="6" t="s">
        <v>13</v>
      </c>
      <c r="B47" s="6" t="s">
        <v>54</v>
      </c>
      <c r="C47" s="6">
        <v>6634327</v>
      </c>
      <c r="D47" s="6" t="s">
        <v>73</v>
      </c>
      <c r="E47" s="6" t="s">
        <v>74</v>
      </c>
      <c r="F47" s="6" t="s">
        <v>74</v>
      </c>
      <c r="G47" s="7" t="s">
        <v>39</v>
      </c>
      <c r="H47" s="6">
        <v>1</v>
      </c>
      <c r="I47" s="6">
        <v>20250101</v>
      </c>
      <c r="J47" s="6" t="str">
        <f t="shared" si="1"/>
        <v>1/1/2025</v>
      </c>
      <c r="K47" s="6" t="s">
        <v>12</v>
      </c>
      <c r="L47" s="8">
        <v>49.64</v>
      </c>
      <c r="M47" s="6">
        <v>20</v>
      </c>
      <c r="N47" s="8">
        <v>20</v>
      </c>
    </row>
    <row r="48" spans="1:14" ht="16" x14ac:dyDescent="0.2">
      <c r="A48" s="6" t="s">
        <v>13</v>
      </c>
      <c r="B48" s="6" t="s">
        <v>54</v>
      </c>
      <c r="C48" s="6">
        <v>6634327</v>
      </c>
      <c r="D48" s="6" t="s">
        <v>75</v>
      </c>
      <c r="E48" s="6" t="s">
        <v>76</v>
      </c>
      <c r="F48" s="6" t="s">
        <v>76</v>
      </c>
      <c r="G48" s="7" t="s">
        <v>39</v>
      </c>
      <c r="H48" s="6">
        <v>1</v>
      </c>
      <c r="I48" s="6">
        <v>20250101</v>
      </c>
      <c r="J48" s="6" t="str">
        <f t="shared" si="1"/>
        <v>1/1/2025</v>
      </c>
      <c r="K48" s="6" t="s">
        <v>12</v>
      </c>
      <c r="L48" s="8">
        <v>14.26</v>
      </c>
      <c r="M48" s="6">
        <v>20</v>
      </c>
      <c r="N48" s="8">
        <v>20</v>
      </c>
    </row>
    <row r="49" spans="1:14" ht="16" x14ac:dyDescent="0.2">
      <c r="A49" s="6" t="s">
        <v>13</v>
      </c>
      <c r="B49" s="6" t="s">
        <v>54</v>
      </c>
      <c r="C49" s="6">
        <v>6634327</v>
      </c>
      <c r="D49" s="6" t="s">
        <v>77</v>
      </c>
      <c r="E49" s="6" t="s">
        <v>78</v>
      </c>
      <c r="F49" s="6" t="s">
        <v>78</v>
      </c>
      <c r="G49" s="7" t="s">
        <v>39</v>
      </c>
      <c r="H49" s="6">
        <v>1</v>
      </c>
      <c r="I49" s="6">
        <v>20250101</v>
      </c>
      <c r="J49" s="6" t="str">
        <f t="shared" si="1"/>
        <v>1/1/2025</v>
      </c>
      <c r="K49" s="6" t="s">
        <v>12</v>
      </c>
      <c r="L49" s="8">
        <v>464.54</v>
      </c>
      <c r="M49" s="6">
        <v>20</v>
      </c>
      <c r="N49" s="8">
        <v>20</v>
      </c>
    </row>
    <row r="50" spans="1:14" ht="16" x14ac:dyDescent="0.2">
      <c r="A50" s="6" t="s">
        <v>13</v>
      </c>
      <c r="B50" s="6" t="s">
        <v>54</v>
      </c>
      <c r="C50" s="6">
        <v>6634327</v>
      </c>
      <c r="D50" s="6" t="s">
        <v>79</v>
      </c>
      <c r="E50" s="6" t="s">
        <v>80</v>
      </c>
      <c r="F50" s="6" t="s">
        <v>80</v>
      </c>
      <c r="G50" s="7" t="s">
        <v>39</v>
      </c>
      <c r="H50" s="6">
        <v>3</v>
      </c>
      <c r="I50" s="6">
        <v>20250101</v>
      </c>
      <c r="J50" s="6" t="str">
        <f t="shared" si="1"/>
        <v>1/1/2025</v>
      </c>
      <c r="K50" s="6" t="s">
        <v>12</v>
      </c>
      <c r="L50" s="8">
        <v>127.96</v>
      </c>
      <c r="M50" s="6">
        <v>20</v>
      </c>
      <c r="N50" s="8">
        <v>60</v>
      </c>
    </row>
    <row r="51" spans="1:14" ht="16" x14ac:dyDescent="0.2">
      <c r="A51" s="6" t="s">
        <v>13</v>
      </c>
      <c r="B51" s="6" t="s">
        <v>54</v>
      </c>
      <c r="C51" s="6">
        <v>6634327</v>
      </c>
      <c r="D51" s="6" t="s">
        <v>81</v>
      </c>
      <c r="E51" s="6" t="s">
        <v>82</v>
      </c>
      <c r="F51" s="6" t="s">
        <v>82</v>
      </c>
      <c r="G51" s="7" t="s">
        <v>39</v>
      </c>
      <c r="H51" s="6">
        <v>1</v>
      </c>
      <c r="I51" s="6">
        <v>20250101</v>
      </c>
      <c r="J51" s="6" t="str">
        <f t="shared" si="1"/>
        <v>1/1/2025</v>
      </c>
      <c r="K51" s="6" t="s">
        <v>12</v>
      </c>
      <c r="L51" s="8">
        <v>387.5</v>
      </c>
      <c r="M51" s="6">
        <v>20</v>
      </c>
      <c r="N51" s="8">
        <v>20</v>
      </c>
    </row>
    <row r="52" spans="1:14" ht="16" x14ac:dyDescent="0.2">
      <c r="A52" s="6" t="s">
        <v>13</v>
      </c>
      <c r="B52" s="6" t="s">
        <v>54</v>
      </c>
      <c r="C52" s="6">
        <v>6634327</v>
      </c>
      <c r="D52" s="6" t="s">
        <v>83</v>
      </c>
      <c r="E52" s="6" t="s">
        <v>84</v>
      </c>
      <c r="F52" s="6" t="s">
        <v>84</v>
      </c>
      <c r="G52" s="7" t="s">
        <v>39</v>
      </c>
      <c r="H52" s="6">
        <v>1</v>
      </c>
      <c r="I52" s="6">
        <v>20250101</v>
      </c>
      <c r="J52" s="6" t="str">
        <f t="shared" si="1"/>
        <v>1/1/2025</v>
      </c>
      <c r="K52" s="6" t="s">
        <v>12</v>
      </c>
      <c r="L52" s="8">
        <v>25.78</v>
      </c>
      <c r="M52" s="6">
        <v>20</v>
      </c>
      <c r="N52" s="8">
        <v>20</v>
      </c>
    </row>
    <row r="53" spans="1:14" ht="16" x14ac:dyDescent="0.2">
      <c r="A53" s="6" t="s">
        <v>13</v>
      </c>
      <c r="B53" s="6" t="s">
        <v>54</v>
      </c>
      <c r="C53" s="6">
        <v>6634327</v>
      </c>
      <c r="D53" s="6" t="s">
        <v>83</v>
      </c>
      <c r="E53" s="6" t="s">
        <v>84</v>
      </c>
      <c r="F53" s="6" t="s">
        <v>84</v>
      </c>
      <c r="G53" s="7" t="s">
        <v>39</v>
      </c>
      <c r="H53" s="6">
        <v>1</v>
      </c>
      <c r="I53" s="6">
        <v>20241201</v>
      </c>
      <c r="J53" s="6" t="str">
        <f t="shared" si="1"/>
        <v>12/1/2024</v>
      </c>
      <c r="K53" s="6" t="s">
        <v>12</v>
      </c>
      <c r="L53" s="8">
        <v>908.41</v>
      </c>
      <c r="M53" s="6">
        <v>20</v>
      </c>
      <c r="N53" s="8">
        <v>20</v>
      </c>
    </row>
    <row r="54" spans="1:14" ht="16" x14ac:dyDescent="0.2">
      <c r="A54" s="6" t="s">
        <v>13</v>
      </c>
      <c r="B54" s="6" t="s">
        <v>54</v>
      </c>
      <c r="C54" s="6">
        <v>6634327</v>
      </c>
      <c r="D54" s="6" t="s">
        <v>85</v>
      </c>
      <c r="E54" s="6" t="s">
        <v>86</v>
      </c>
      <c r="F54" s="6" t="s">
        <v>86</v>
      </c>
      <c r="G54" s="7" t="s">
        <v>39</v>
      </c>
      <c r="H54" s="6">
        <v>1</v>
      </c>
      <c r="I54" s="6">
        <v>20241201</v>
      </c>
      <c r="J54" s="6" t="str">
        <f t="shared" si="1"/>
        <v>12/1/2024</v>
      </c>
      <c r="K54" s="6" t="s">
        <v>12</v>
      </c>
      <c r="L54" s="8">
        <v>209.74</v>
      </c>
      <c r="M54" s="6">
        <v>20</v>
      </c>
      <c r="N54" s="8">
        <v>20</v>
      </c>
    </row>
    <row r="55" spans="1:14" ht="16" x14ac:dyDescent="0.2">
      <c r="A55" s="6" t="s">
        <v>13</v>
      </c>
      <c r="B55" s="6" t="s">
        <v>54</v>
      </c>
      <c r="C55" s="6">
        <v>6634327</v>
      </c>
      <c r="D55" s="6" t="s">
        <v>85</v>
      </c>
      <c r="E55" s="6" t="s">
        <v>86</v>
      </c>
      <c r="F55" s="6" t="s">
        <v>86</v>
      </c>
      <c r="G55" s="7" t="s">
        <v>39</v>
      </c>
      <c r="H55" s="6">
        <v>1</v>
      </c>
      <c r="I55" s="6">
        <v>20250101</v>
      </c>
      <c r="J55" s="6" t="str">
        <f t="shared" si="1"/>
        <v>1/1/2025</v>
      </c>
      <c r="K55" s="6" t="s">
        <v>12</v>
      </c>
      <c r="L55" s="8">
        <v>176.15</v>
      </c>
      <c r="M55" s="6">
        <v>20</v>
      </c>
      <c r="N55" s="8">
        <v>20</v>
      </c>
    </row>
    <row r="56" spans="1:14" ht="16" x14ac:dyDescent="0.2">
      <c r="A56" s="6" t="s">
        <v>13</v>
      </c>
      <c r="B56" s="6" t="s">
        <v>87</v>
      </c>
      <c r="C56" s="6">
        <v>9079571</v>
      </c>
      <c r="D56" s="6" t="s">
        <v>88</v>
      </c>
      <c r="E56" s="6" t="s">
        <v>89</v>
      </c>
      <c r="F56" s="6" t="s">
        <v>89</v>
      </c>
      <c r="G56" s="7" t="s">
        <v>11</v>
      </c>
      <c r="H56" s="6">
        <v>1</v>
      </c>
      <c r="I56" s="6">
        <v>20250101</v>
      </c>
      <c r="J56" s="6" t="str">
        <f t="shared" si="1"/>
        <v>1/1/2025</v>
      </c>
      <c r="K56" s="6" t="s">
        <v>12</v>
      </c>
      <c r="L56" s="8">
        <v>151.52000000000001</v>
      </c>
      <c r="M56" s="6">
        <v>27</v>
      </c>
      <c r="N56" s="8">
        <v>27</v>
      </c>
    </row>
    <row r="57" spans="1:14" ht="16" x14ac:dyDescent="0.2">
      <c r="A57" s="6" t="s">
        <v>13</v>
      </c>
      <c r="B57" s="6" t="s">
        <v>87</v>
      </c>
      <c r="C57" s="6">
        <v>9079571</v>
      </c>
      <c r="D57" s="6" t="s">
        <v>90</v>
      </c>
      <c r="E57" s="6" t="s">
        <v>91</v>
      </c>
      <c r="F57" s="6" t="s">
        <v>91</v>
      </c>
      <c r="G57" s="7" t="s">
        <v>92</v>
      </c>
      <c r="H57" s="6">
        <v>1</v>
      </c>
      <c r="I57" s="6">
        <v>20250101</v>
      </c>
      <c r="J57" s="6" t="str">
        <f t="shared" si="1"/>
        <v>1/1/2025</v>
      </c>
      <c r="K57" s="6" t="s">
        <v>12</v>
      </c>
      <c r="L57" s="8">
        <v>69.2</v>
      </c>
      <c r="M57" s="6">
        <v>20</v>
      </c>
      <c r="N57" s="8">
        <v>20</v>
      </c>
    </row>
    <row r="58" spans="1:14" ht="16" x14ac:dyDescent="0.2">
      <c r="A58" s="6" t="s">
        <v>13</v>
      </c>
      <c r="B58" s="6" t="s">
        <v>87</v>
      </c>
      <c r="C58" s="6">
        <v>9079571</v>
      </c>
      <c r="D58" s="6" t="s">
        <v>93</v>
      </c>
      <c r="E58" s="6" t="s">
        <v>94</v>
      </c>
      <c r="F58" s="6" t="s">
        <v>94</v>
      </c>
      <c r="G58" s="7" t="s">
        <v>92</v>
      </c>
      <c r="H58" s="6">
        <v>1</v>
      </c>
      <c r="I58" s="6">
        <v>20250101</v>
      </c>
      <c r="J58" s="6" t="str">
        <f t="shared" si="1"/>
        <v>1/1/2025</v>
      </c>
      <c r="K58" s="6" t="s">
        <v>12</v>
      </c>
      <c r="L58" s="8">
        <v>334.97</v>
      </c>
      <c r="M58" s="6">
        <v>20</v>
      </c>
      <c r="N58" s="8">
        <v>20</v>
      </c>
    </row>
    <row r="59" spans="1:14" ht="16" x14ac:dyDescent="0.2">
      <c r="A59" s="6" t="s">
        <v>13</v>
      </c>
      <c r="B59" s="6" t="s">
        <v>87</v>
      </c>
      <c r="C59" s="6">
        <v>9079571</v>
      </c>
      <c r="D59" s="6" t="s">
        <v>95</v>
      </c>
      <c r="E59" s="6" t="s">
        <v>96</v>
      </c>
      <c r="F59" s="6" t="s">
        <v>96</v>
      </c>
      <c r="G59" s="7" t="s">
        <v>92</v>
      </c>
      <c r="H59" s="6">
        <v>1</v>
      </c>
      <c r="I59" s="6">
        <v>20250101</v>
      </c>
      <c r="J59" s="6" t="str">
        <f t="shared" si="1"/>
        <v>1/1/2025</v>
      </c>
      <c r="K59" s="6" t="s">
        <v>12</v>
      </c>
      <c r="L59" s="8">
        <v>698.24</v>
      </c>
      <c r="M59" s="6">
        <v>20</v>
      </c>
      <c r="N59" s="8">
        <v>20</v>
      </c>
    </row>
    <row r="60" spans="1:14" ht="16" x14ac:dyDescent="0.2">
      <c r="A60" s="6" t="s">
        <v>13</v>
      </c>
      <c r="B60" s="6" t="s">
        <v>102</v>
      </c>
      <c r="C60" s="6">
        <v>17437820</v>
      </c>
      <c r="D60" s="6" t="s">
        <v>103</v>
      </c>
      <c r="E60" s="6" t="s">
        <v>104</v>
      </c>
      <c r="F60" s="6" t="s">
        <v>104</v>
      </c>
      <c r="G60" s="7" t="s">
        <v>105</v>
      </c>
      <c r="H60" s="6">
        <v>1</v>
      </c>
      <c r="I60" s="6">
        <v>20250101</v>
      </c>
      <c r="J60" s="6" t="str">
        <f t="shared" si="1"/>
        <v>1/1/2025</v>
      </c>
      <c r="K60" s="6" t="s">
        <v>12</v>
      </c>
      <c r="L60" s="8">
        <v>17.690000000000001</v>
      </c>
      <c r="M60" s="6">
        <v>22</v>
      </c>
      <c r="N60" s="8">
        <v>22</v>
      </c>
    </row>
    <row r="61" spans="1:14" ht="16" x14ac:dyDescent="0.2">
      <c r="A61" s="6" t="s">
        <v>13</v>
      </c>
      <c r="B61" s="6" t="s">
        <v>102</v>
      </c>
      <c r="C61" s="6">
        <v>17437820</v>
      </c>
      <c r="D61" s="6" t="s">
        <v>106</v>
      </c>
      <c r="E61" s="6" t="s">
        <v>107</v>
      </c>
      <c r="F61" s="6" t="s">
        <v>107</v>
      </c>
      <c r="G61" s="7" t="s">
        <v>105</v>
      </c>
      <c r="H61" s="6">
        <v>1</v>
      </c>
      <c r="I61" s="6">
        <v>20250101</v>
      </c>
      <c r="J61" s="6" t="str">
        <f t="shared" si="1"/>
        <v>1/1/2025</v>
      </c>
      <c r="K61" s="6" t="s">
        <v>12</v>
      </c>
      <c r="L61" s="8">
        <v>17.690000000000001</v>
      </c>
      <c r="M61" s="6">
        <v>22</v>
      </c>
      <c r="N61" s="8">
        <v>22</v>
      </c>
    </row>
    <row r="62" spans="1:14" ht="16" x14ac:dyDescent="0.2">
      <c r="A62" s="6" t="s">
        <v>13</v>
      </c>
      <c r="B62" s="6" t="s">
        <v>102</v>
      </c>
      <c r="C62" s="6">
        <v>17437820</v>
      </c>
      <c r="D62" s="6" t="s">
        <v>108</v>
      </c>
      <c r="E62" s="6" t="s">
        <v>109</v>
      </c>
      <c r="F62" s="6" t="s">
        <v>109</v>
      </c>
      <c r="G62" s="7" t="s">
        <v>105</v>
      </c>
      <c r="H62" s="6">
        <v>1</v>
      </c>
      <c r="I62" s="6">
        <v>20250101</v>
      </c>
      <c r="J62" s="6" t="str">
        <f t="shared" si="1"/>
        <v>1/1/2025</v>
      </c>
      <c r="K62" s="6" t="s">
        <v>12</v>
      </c>
      <c r="L62" s="8">
        <v>122.19</v>
      </c>
      <c r="M62" s="6">
        <v>22</v>
      </c>
      <c r="N62" s="8">
        <v>22</v>
      </c>
    </row>
    <row r="63" spans="1:14" ht="16" x14ac:dyDescent="0.2">
      <c r="A63" s="6" t="s">
        <v>13</v>
      </c>
      <c r="B63" s="6" t="s">
        <v>102</v>
      </c>
      <c r="C63" s="6">
        <v>17437820</v>
      </c>
      <c r="D63" s="6" t="s">
        <v>110</v>
      </c>
      <c r="E63" s="6" t="s">
        <v>111</v>
      </c>
      <c r="F63" s="6" t="s">
        <v>111</v>
      </c>
      <c r="G63" s="7" t="s">
        <v>105</v>
      </c>
      <c r="H63" s="6">
        <v>1</v>
      </c>
      <c r="I63" s="6">
        <v>20250101</v>
      </c>
      <c r="J63" s="6" t="str">
        <f t="shared" si="1"/>
        <v>1/1/2025</v>
      </c>
      <c r="K63" s="6" t="s">
        <v>12</v>
      </c>
      <c r="L63" s="8">
        <v>31.2</v>
      </c>
      <c r="M63" s="6">
        <v>22</v>
      </c>
      <c r="N63" s="8">
        <v>22</v>
      </c>
    </row>
    <row r="64" spans="1:14" ht="16" x14ac:dyDescent="0.2">
      <c r="A64" s="6" t="s">
        <v>13</v>
      </c>
      <c r="B64" s="6" t="s">
        <v>102</v>
      </c>
      <c r="C64" s="6">
        <v>17437820</v>
      </c>
      <c r="D64" s="6" t="s">
        <v>112</v>
      </c>
      <c r="E64" s="6" t="s">
        <v>113</v>
      </c>
      <c r="F64" s="6" t="s">
        <v>113</v>
      </c>
      <c r="G64" s="7" t="s">
        <v>105</v>
      </c>
      <c r="H64" s="6">
        <v>1</v>
      </c>
      <c r="I64" s="6">
        <v>20250101</v>
      </c>
      <c r="J64" s="6" t="str">
        <f t="shared" si="1"/>
        <v>1/1/2025</v>
      </c>
      <c r="K64" s="6" t="s">
        <v>12</v>
      </c>
      <c r="L64" s="8">
        <v>168.73</v>
      </c>
      <c r="M64" s="6">
        <v>22</v>
      </c>
      <c r="N64" s="8">
        <v>22</v>
      </c>
    </row>
    <row r="65" spans="1:14" ht="16" x14ac:dyDescent="0.2">
      <c r="A65" s="6" t="s">
        <v>13</v>
      </c>
      <c r="B65" s="6" t="s">
        <v>102</v>
      </c>
      <c r="C65" s="6">
        <v>17437820</v>
      </c>
      <c r="D65" s="6" t="s">
        <v>114</v>
      </c>
      <c r="E65" s="6" t="s">
        <v>115</v>
      </c>
      <c r="F65" s="6" t="s">
        <v>115</v>
      </c>
      <c r="G65" s="7" t="s">
        <v>105</v>
      </c>
      <c r="H65" s="6">
        <v>1</v>
      </c>
      <c r="I65" s="6">
        <v>20250101</v>
      </c>
      <c r="J65" s="6" t="str">
        <f t="shared" si="1"/>
        <v>1/1/2025</v>
      </c>
      <c r="K65" s="6" t="s">
        <v>12</v>
      </c>
      <c r="L65" s="8">
        <v>219.6</v>
      </c>
      <c r="M65" s="6">
        <v>22</v>
      </c>
      <c r="N65" s="8">
        <v>22</v>
      </c>
    </row>
    <row r="66" spans="1:14" ht="16" x14ac:dyDescent="0.2">
      <c r="A66" s="6" t="s">
        <v>13</v>
      </c>
      <c r="B66" s="6" t="s">
        <v>122</v>
      </c>
      <c r="C66" s="6">
        <v>8814784</v>
      </c>
      <c r="D66" s="6" t="s">
        <v>123</v>
      </c>
      <c r="E66" s="6" t="s">
        <v>124</v>
      </c>
      <c r="F66" s="6" t="s">
        <v>124</v>
      </c>
      <c r="G66" s="7" t="s">
        <v>105</v>
      </c>
      <c r="H66" s="6">
        <v>4</v>
      </c>
      <c r="I66" s="6">
        <v>20250101</v>
      </c>
      <c r="J66" s="6" t="str">
        <f t="shared" si="1"/>
        <v>1/1/2025</v>
      </c>
      <c r="K66" s="6" t="s">
        <v>12</v>
      </c>
      <c r="L66" s="8">
        <v>39.950000000000003</v>
      </c>
      <c r="M66" s="6">
        <v>22</v>
      </c>
      <c r="N66" s="8">
        <v>88</v>
      </c>
    </row>
    <row r="67" spans="1:14" ht="16" x14ac:dyDescent="0.2">
      <c r="A67" s="6" t="s">
        <v>13</v>
      </c>
      <c r="B67" s="6" t="s">
        <v>128</v>
      </c>
      <c r="C67" s="6">
        <v>8307933</v>
      </c>
      <c r="D67" s="6" t="s">
        <v>136</v>
      </c>
      <c r="E67" s="6" t="s">
        <v>137</v>
      </c>
      <c r="F67" s="6" t="s">
        <v>137</v>
      </c>
      <c r="G67" s="7" t="s">
        <v>11</v>
      </c>
      <c r="H67" s="6">
        <v>1</v>
      </c>
      <c r="I67" s="6">
        <v>20250101</v>
      </c>
      <c r="J67" s="6" t="str">
        <f t="shared" ref="J67:J81" si="2">TEXT(DATE(LEFT(I67,4), MID(I67,5,2), RIGHT(I67,2)), "M/d/yyyy")</f>
        <v>1/1/2025</v>
      </c>
      <c r="K67" s="6" t="s">
        <v>12</v>
      </c>
      <c r="L67" s="8">
        <v>361.06</v>
      </c>
      <c r="M67" s="6">
        <v>27</v>
      </c>
      <c r="N67" s="8">
        <v>27</v>
      </c>
    </row>
    <row r="68" spans="1:14" ht="16" x14ac:dyDescent="0.2">
      <c r="A68" s="6" t="s">
        <v>13</v>
      </c>
      <c r="B68" s="6" t="s">
        <v>128</v>
      </c>
      <c r="C68" s="6">
        <v>8307933</v>
      </c>
      <c r="D68" s="6" t="s">
        <v>138</v>
      </c>
      <c r="E68" s="6" t="s">
        <v>139</v>
      </c>
      <c r="F68" s="6" t="s">
        <v>139</v>
      </c>
      <c r="G68" s="7" t="s">
        <v>105</v>
      </c>
      <c r="H68" s="6">
        <v>1</v>
      </c>
      <c r="I68" s="6">
        <v>20250101</v>
      </c>
      <c r="J68" s="6" t="str">
        <f t="shared" si="2"/>
        <v>1/1/2025</v>
      </c>
      <c r="K68" s="6" t="s">
        <v>12</v>
      </c>
      <c r="L68" s="8">
        <v>126.18</v>
      </c>
      <c r="M68" s="6">
        <v>22</v>
      </c>
      <c r="N68" s="8">
        <v>22</v>
      </c>
    </row>
    <row r="69" spans="1:14" ht="16" x14ac:dyDescent="0.2">
      <c r="A69" s="6" t="s">
        <v>13</v>
      </c>
      <c r="B69" s="6" t="s">
        <v>128</v>
      </c>
      <c r="C69" s="6">
        <v>8307933</v>
      </c>
      <c r="D69" s="6" t="s">
        <v>140</v>
      </c>
      <c r="E69" s="6" t="s">
        <v>141</v>
      </c>
      <c r="F69" s="6" t="s">
        <v>141</v>
      </c>
      <c r="G69" s="7" t="s">
        <v>105</v>
      </c>
      <c r="H69" s="6">
        <v>1</v>
      </c>
      <c r="I69" s="6">
        <v>20250101</v>
      </c>
      <c r="J69" s="6" t="str">
        <f t="shared" si="2"/>
        <v>1/1/2025</v>
      </c>
      <c r="K69" s="6" t="s">
        <v>12</v>
      </c>
      <c r="L69" s="8">
        <v>11.9</v>
      </c>
      <c r="M69" s="6">
        <v>22</v>
      </c>
      <c r="N69" s="8">
        <v>22</v>
      </c>
    </row>
    <row r="70" spans="1:14" ht="16" x14ac:dyDescent="0.2">
      <c r="A70" s="6" t="s">
        <v>13</v>
      </c>
      <c r="B70" s="6" t="s">
        <v>142</v>
      </c>
      <c r="C70" s="6">
        <v>18754354</v>
      </c>
      <c r="D70" s="6" t="s">
        <v>147</v>
      </c>
      <c r="E70" s="6" t="s">
        <v>148</v>
      </c>
      <c r="F70" s="6" t="s">
        <v>148</v>
      </c>
      <c r="G70" s="7" t="s">
        <v>35</v>
      </c>
      <c r="H70" s="6">
        <v>2</v>
      </c>
      <c r="I70" s="6">
        <v>20250101</v>
      </c>
      <c r="J70" s="6" t="str">
        <f t="shared" si="2"/>
        <v>1/1/2025</v>
      </c>
      <c r="K70" s="6" t="s">
        <v>12</v>
      </c>
      <c r="L70" s="8">
        <v>508.69</v>
      </c>
      <c r="M70" s="6">
        <v>27</v>
      </c>
      <c r="N70" s="8">
        <v>54</v>
      </c>
    </row>
    <row r="71" spans="1:14" ht="16" x14ac:dyDescent="0.2">
      <c r="A71" s="6" t="s">
        <v>13</v>
      </c>
      <c r="B71" s="6" t="s">
        <v>142</v>
      </c>
      <c r="C71" s="6">
        <v>18754354</v>
      </c>
      <c r="D71" s="6" t="s">
        <v>149</v>
      </c>
      <c r="E71" s="6" t="s">
        <v>150</v>
      </c>
      <c r="F71" s="6" t="s">
        <v>150</v>
      </c>
      <c r="G71" s="7" t="s">
        <v>11</v>
      </c>
      <c r="H71" s="6">
        <v>1</v>
      </c>
      <c r="I71" s="6">
        <v>20250101</v>
      </c>
      <c r="J71" s="6" t="str">
        <f t="shared" si="2"/>
        <v>1/1/2025</v>
      </c>
      <c r="K71" s="6" t="s">
        <v>12</v>
      </c>
      <c r="L71" s="8">
        <v>324.38</v>
      </c>
      <c r="M71" s="6">
        <v>27</v>
      </c>
      <c r="N71" s="8">
        <v>27</v>
      </c>
    </row>
    <row r="72" spans="1:14" ht="16" x14ac:dyDescent="0.2">
      <c r="A72" s="6" t="s">
        <v>13</v>
      </c>
      <c r="B72" s="6" t="s">
        <v>151</v>
      </c>
      <c r="C72" s="6">
        <v>15278437</v>
      </c>
      <c r="D72" s="6" t="s">
        <v>152</v>
      </c>
      <c r="E72" s="6" t="s">
        <v>153</v>
      </c>
      <c r="F72" s="6" t="s">
        <v>153</v>
      </c>
      <c r="G72" s="7" t="s">
        <v>35</v>
      </c>
      <c r="H72" s="6">
        <v>1</v>
      </c>
      <c r="I72" s="6">
        <v>20250101</v>
      </c>
      <c r="J72" s="6" t="str">
        <f t="shared" si="2"/>
        <v>1/1/2025</v>
      </c>
      <c r="K72" s="6" t="s">
        <v>12</v>
      </c>
      <c r="L72" s="8">
        <v>162.19999999999999</v>
      </c>
      <c r="M72" s="6">
        <v>27</v>
      </c>
      <c r="N72" s="8">
        <v>27</v>
      </c>
    </row>
    <row r="73" spans="1:14" ht="16" x14ac:dyDescent="0.2">
      <c r="A73" s="6" t="s">
        <v>13</v>
      </c>
      <c r="B73" s="6" t="s">
        <v>154</v>
      </c>
      <c r="C73" s="6">
        <v>18134413</v>
      </c>
      <c r="D73" s="6" t="s">
        <v>155</v>
      </c>
      <c r="E73" s="6" t="s">
        <v>156</v>
      </c>
      <c r="F73" s="6" t="s">
        <v>156</v>
      </c>
      <c r="G73" s="7" t="s">
        <v>11</v>
      </c>
      <c r="H73" s="6">
        <v>1</v>
      </c>
      <c r="I73" s="6">
        <v>20250101</v>
      </c>
      <c r="J73" s="6" t="str">
        <f t="shared" si="2"/>
        <v>1/1/2025</v>
      </c>
      <c r="K73" s="6" t="s">
        <v>12</v>
      </c>
      <c r="L73" s="8">
        <v>176.4</v>
      </c>
      <c r="M73" s="6">
        <v>27</v>
      </c>
      <c r="N73" s="8">
        <v>27</v>
      </c>
    </row>
    <row r="74" spans="1:14" ht="16" x14ac:dyDescent="0.2">
      <c r="A74" s="6" t="s">
        <v>13</v>
      </c>
      <c r="B74" s="6" t="s">
        <v>154</v>
      </c>
      <c r="C74" s="6">
        <v>18134413</v>
      </c>
      <c r="D74" s="6" t="s">
        <v>157</v>
      </c>
      <c r="E74" s="6" t="s">
        <v>158</v>
      </c>
      <c r="F74" s="6" t="s">
        <v>158</v>
      </c>
      <c r="G74" s="7" t="s">
        <v>11</v>
      </c>
      <c r="H74" s="6">
        <v>1</v>
      </c>
      <c r="I74" s="6">
        <v>20250101</v>
      </c>
      <c r="J74" s="6" t="str">
        <f t="shared" si="2"/>
        <v>1/1/2025</v>
      </c>
      <c r="K74" s="6" t="s">
        <v>12</v>
      </c>
      <c r="L74" s="8">
        <v>124.29</v>
      </c>
      <c r="M74" s="6">
        <v>27</v>
      </c>
      <c r="N74" s="8">
        <v>27</v>
      </c>
    </row>
    <row r="75" spans="1:14" ht="16" x14ac:dyDescent="0.2">
      <c r="A75" s="6" t="s">
        <v>13</v>
      </c>
      <c r="B75" s="6" t="s">
        <v>176</v>
      </c>
      <c r="C75" s="6">
        <v>16633294</v>
      </c>
      <c r="D75" s="6" t="s">
        <v>177</v>
      </c>
      <c r="E75" s="6" t="s">
        <v>178</v>
      </c>
      <c r="F75" s="6" t="s">
        <v>178</v>
      </c>
      <c r="G75" s="7" t="s">
        <v>11</v>
      </c>
      <c r="H75" s="6">
        <v>1</v>
      </c>
      <c r="I75" s="6">
        <v>20250101</v>
      </c>
      <c r="J75" s="6" t="str">
        <f t="shared" si="2"/>
        <v>1/1/2025</v>
      </c>
      <c r="K75" s="6" t="s">
        <v>12</v>
      </c>
      <c r="L75" s="8">
        <v>826.63</v>
      </c>
      <c r="M75" s="6">
        <v>27</v>
      </c>
      <c r="N75" s="8">
        <v>27</v>
      </c>
    </row>
    <row r="76" spans="1:14" ht="16" x14ac:dyDescent="0.2">
      <c r="A76" s="6" t="s">
        <v>13</v>
      </c>
      <c r="B76" s="6" t="s">
        <v>176</v>
      </c>
      <c r="C76" s="6">
        <v>16633294</v>
      </c>
      <c r="D76" s="6" t="s">
        <v>179</v>
      </c>
      <c r="E76" s="6" t="s">
        <v>180</v>
      </c>
      <c r="F76" s="6" t="s">
        <v>180</v>
      </c>
      <c r="G76" s="7" t="s">
        <v>35</v>
      </c>
      <c r="H76" s="6">
        <v>5</v>
      </c>
      <c r="I76" s="6">
        <v>20250101</v>
      </c>
      <c r="J76" s="6" t="str">
        <f t="shared" si="2"/>
        <v>1/1/2025</v>
      </c>
      <c r="K76" s="6" t="s">
        <v>12</v>
      </c>
      <c r="L76" s="8">
        <v>152.88999999999999</v>
      </c>
      <c r="M76" s="6">
        <v>27</v>
      </c>
      <c r="N76" s="8">
        <v>135</v>
      </c>
    </row>
    <row r="77" spans="1:14" ht="16" x14ac:dyDescent="0.2">
      <c r="A77" s="6" t="s">
        <v>13</v>
      </c>
      <c r="B77" s="6" t="s">
        <v>176</v>
      </c>
      <c r="C77" s="6">
        <v>16633294</v>
      </c>
      <c r="D77" s="6" t="s">
        <v>181</v>
      </c>
      <c r="E77" s="6" t="s">
        <v>182</v>
      </c>
      <c r="F77" s="6" t="s">
        <v>182</v>
      </c>
      <c r="G77" s="7" t="s">
        <v>11</v>
      </c>
      <c r="H77" s="6">
        <v>1</v>
      </c>
      <c r="I77" s="6">
        <v>20250101</v>
      </c>
      <c r="J77" s="6" t="str">
        <f t="shared" si="2"/>
        <v>1/1/2025</v>
      </c>
      <c r="K77" s="6" t="s">
        <v>12</v>
      </c>
      <c r="L77" s="8">
        <v>1094.27</v>
      </c>
      <c r="M77" s="6">
        <v>27</v>
      </c>
      <c r="N77" s="8">
        <v>27</v>
      </c>
    </row>
    <row r="78" spans="1:14" ht="16" x14ac:dyDescent="0.2">
      <c r="A78" s="6" t="s">
        <v>13</v>
      </c>
      <c r="B78" s="6" t="s">
        <v>183</v>
      </c>
      <c r="C78" s="6">
        <v>8977234</v>
      </c>
      <c r="D78" s="6" t="s">
        <v>184</v>
      </c>
      <c r="E78" s="6" t="s">
        <v>185</v>
      </c>
      <c r="F78" s="6" t="s">
        <v>185</v>
      </c>
      <c r="G78" s="7" t="s">
        <v>11</v>
      </c>
      <c r="H78" s="6">
        <v>2</v>
      </c>
      <c r="I78" s="6">
        <v>20250101</v>
      </c>
      <c r="J78" s="6" t="str">
        <f t="shared" si="2"/>
        <v>1/1/2025</v>
      </c>
      <c r="K78" s="6" t="s">
        <v>12</v>
      </c>
      <c r="L78" s="8">
        <v>2269.06</v>
      </c>
      <c r="M78" s="6">
        <v>27</v>
      </c>
      <c r="N78" s="8">
        <v>54</v>
      </c>
    </row>
    <row r="79" spans="1:14" ht="16" x14ac:dyDescent="0.2">
      <c r="A79" s="6" t="s">
        <v>13</v>
      </c>
      <c r="B79" s="6" t="s">
        <v>183</v>
      </c>
      <c r="C79" s="6">
        <v>8977234</v>
      </c>
      <c r="D79" s="6" t="s">
        <v>186</v>
      </c>
      <c r="E79" s="6" t="s">
        <v>187</v>
      </c>
      <c r="F79" s="6" t="s">
        <v>187</v>
      </c>
      <c r="G79" s="7" t="s">
        <v>35</v>
      </c>
      <c r="H79" s="6">
        <v>1</v>
      </c>
      <c r="I79" s="6">
        <v>20250101</v>
      </c>
      <c r="J79" s="6" t="str">
        <f t="shared" si="2"/>
        <v>1/1/2025</v>
      </c>
      <c r="K79" s="6" t="s">
        <v>12</v>
      </c>
      <c r="L79" s="8">
        <v>11.37</v>
      </c>
      <c r="M79" s="6">
        <v>27</v>
      </c>
      <c r="N79" s="8">
        <v>27</v>
      </c>
    </row>
    <row r="80" spans="1:14" ht="16" x14ac:dyDescent="0.2">
      <c r="A80" s="6" t="s">
        <v>13</v>
      </c>
      <c r="B80" s="6" t="s">
        <v>193</v>
      </c>
      <c r="C80" s="6">
        <v>18581063</v>
      </c>
      <c r="D80" s="6" t="s">
        <v>194</v>
      </c>
      <c r="E80" s="6" t="s">
        <v>195</v>
      </c>
      <c r="F80" s="6" t="s">
        <v>195</v>
      </c>
      <c r="G80" s="7" t="s">
        <v>105</v>
      </c>
      <c r="H80" s="6">
        <v>3</v>
      </c>
      <c r="I80" s="6">
        <v>20250101</v>
      </c>
      <c r="J80" s="6" t="str">
        <f t="shared" si="2"/>
        <v>1/1/2025</v>
      </c>
      <c r="K80" s="6" t="s">
        <v>12</v>
      </c>
      <c r="L80" s="8">
        <v>48.55</v>
      </c>
      <c r="M80" s="6">
        <v>22</v>
      </c>
      <c r="N80" s="8">
        <v>66</v>
      </c>
    </row>
    <row r="81" spans="1:14" ht="16" x14ac:dyDescent="0.2">
      <c r="A81" s="6" t="s">
        <v>13</v>
      </c>
      <c r="B81" s="6" t="s">
        <v>193</v>
      </c>
      <c r="C81" s="6">
        <v>18581063</v>
      </c>
      <c r="D81" s="6" t="s">
        <v>196</v>
      </c>
      <c r="E81" s="6" t="s">
        <v>197</v>
      </c>
      <c r="F81" s="6" t="s">
        <v>197</v>
      </c>
      <c r="G81" s="7" t="s">
        <v>105</v>
      </c>
      <c r="H81" s="6">
        <v>1</v>
      </c>
      <c r="I81" s="6">
        <v>20250101</v>
      </c>
      <c r="J81" s="6" t="str">
        <f t="shared" si="2"/>
        <v>1/1/2025</v>
      </c>
      <c r="K81" s="6" t="s">
        <v>12</v>
      </c>
      <c r="L81" s="8">
        <v>271.88</v>
      </c>
      <c r="M81" s="6">
        <v>22</v>
      </c>
      <c r="N81" s="8">
        <v>22</v>
      </c>
    </row>
  </sheetData>
  <sortState xmlns:xlrd2="http://schemas.microsoft.com/office/spreadsheetml/2017/richdata2" ref="A2:N81">
    <sortCondition ref="K2:K81"/>
  </sortState>
  <phoneticPr fontId="5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C99A-66CC-1A42-ADB5-F4177F7B686E}">
  <dimension ref="A1:AL42"/>
  <sheetViews>
    <sheetView tabSelected="1" topLeftCell="D1" workbookViewId="0">
      <selection activeCell="J42" sqref="J42"/>
    </sheetView>
  </sheetViews>
  <sheetFormatPr baseColWidth="10" defaultRowHeight="15" x14ac:dyDescent="0.2"/>
  <sheetData>
    <row r="1" spans="1:38" x14ac:dyDescent="0.2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4</v>
      </c>
      <c r="N1" t="s">
        <v>217</v>
      </c>
      <c r="O1" t="s">
        <v>218</v>
      </c>
      <c r="P1" t="s">
        <v>212</v>
      </c>
      <c r="Q1" t="s">
        <v>219</v>
      </c>
      <c r="R1" t="s">
        <v>7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</row>
    <row r="2" spans="1:38" s="11" customFormat="1" x14ac:dyDescent="0.2">
      <c r="A2" s="10">
        <v>45693</v>
      </c>
      <c r="B2" s="10">
        <v>45693</v>
      </c>
      <c r="C2" s="11" t="s">
        <v>200</v>
      </c>
      <c r="D2" s="11" t="s">
        <v>201</v>
      </c>
      <c r="F2" s="11">
        <v>17425766</v>
      </c>
      <c r="G2" s="11">
        <v>17425766</v>
      </c>
      <c r="H2" s="11" t="s">
        <v>23</v>
      </c>
      <c r="I2" s="11" t="s">
        <v>28</v>
      </c>
      <c r="J2" s="11" t="s">
        <v>27</v>
      </c>
      <c r="M2" s="11" t="s">
        <v>29</v>
      </c>
      <c r="O2" s="11">
        <v>17425766</v>
      </c>
      <c r="P2" s="11" t="s">
        <v>23</v>
      </c>
      <c r="Q2" s="11" t="s">
        <v>202</v>
      </c>
      <c r="R2" s="11" t="s">
        <v>30</v>
      </c>
      <c r="S2" s="10">
        <v>45658</v>
      </c>
      <c r="T2" s="10">
        <v>45689</v>
      </c>
      <c r="U2" s="11" t="s">
        <v>203</v>
      </c>
      <c r="X2" s="11" t="s">
        <v>204</v>
      </c>
      <c r="Y2" s="11">
        <v>1</v>
      </c>
      <c r="Z2" s="11">
        <v>1</v>
      </c>
      <c r="AB2" s="11">
        <v>22</v>
      </c>
      <c r="AC2" s="11">
        <v>22</v>
      </c>
      <c r="AH2" s="11">
        <v>22</v>
      </c>
    </row>
    <row r="42" spans="10:10" ht="16" x14ac:dyDescent="0.2">
      <c r="J42" s="1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 - Cigna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2025-01-23T16:54:14Z</dcterms:created>
  <dcterms:modified xsi:type="dcterms:W3CDTF">2025-02-06T21:42:53Z</dcterms:modified>
</cp:coreProperties>
</file>