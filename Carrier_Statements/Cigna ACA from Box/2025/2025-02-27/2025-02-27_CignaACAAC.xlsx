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ACA from Box\2025\02-27-25\"/>
    </mc:Choice>
  </mc:AlternateContent>
  <xr:revisionPtr revIDLastSave="0" documentId="13_ncr:1_{B00D542F-205B-4827-B9FB-31E90C0641DC}" xr6:coauthVersionLast="47" xr6:coauthVersionMax="47" xr10:uidLastSave="{00000000-0000-0000-0000-000000000000}"/>
  <bookViews>
    <workbookView xWindow="28680" yWindow="-120" windowWidth="29040" windowHeight="16440" xr2:uid="{C083A5DE-B1BA-4B7A-85B5-54F4079C9DA4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4" i="2"/>
  <c r="E3" i="2"/>
  <c r="E2" i="2"/>
</calcChain>
</file>

<file path=xl/sharedStrings.xml><?xml version="1.0" encoding="utf-8"?>
<sst xmlns="http://schemas.openxmlformats.org/spreadsheetml/2006/main" count="200" uniqueCount="62">
  <si>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</si>
  <si>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</si>
  <si>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</si>
  <si>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</si>
  <si>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</si>
  <si>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</si>
  <si>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</si>
  <si>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</si>
  <si>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</si>
  <si>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</si>
  <si>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</si>
  <si>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>Main Line Benefits LLC</t>
  </si>
  <si>
    <t>BRIAN STROHMAN</t>
  </si>
  <si>
    <t>NAEGELE, DANA</t>
  </si>
  <si>
    <t>14TF16</t>
  </si>
  <si>
    <t>IL</t>
  </si>
  <si>
    <t xml:space="preserve"> </t>
  </si>
  <si>
    <t>Dental, IVDPPO</t>
  </si>
  <si>
    <t>HEATHER GESKE</t>
  </si>
  <si>
    <t>KIRBY, JACLYN</t>
  </si>
  <si>
    <t>74R5D7</t>
  </si>
  <si>
    <t>CO</t>
  </si>
  <si>
    <t>Medical, HOAPIN</t>
  </si>
  <si>
    <t>OLSON, MICHAEL</t>
  </si>
  <si>
    <t>80RC36</t>
  </si>
  <si>
    <t>JARED KINYUA</t>
  </si>
  <si>
    <t>LEIVA RIVERA, JENNI</t>
  </si>
  <si>
    <t>07R49N</t>
  </si>
  <si>
    <t>MD</t>
  </si>
  <si>
    <t>JOEL LEE</t>
  </si>
  <si>
    <t>LAWVER, SHAWN</t>
  </si>
  <si>
    <t>04TM48</t>
  </si>
  <si>
    <t>HANSEN-BARTHELS, JEFFREY</t>
  </si>
  <si>
    <t>22RQ68</t>
  </si>
  <si>
    <t>TEFLIAN, NATALIE</t>
  </si>
  <si>
    <t>22TF46</t>
  </si>
  <si>
    <t>GADDAM, SUDHAKAR</t>
  </si>
  <si>
    <t>50QL36</t>
  </si>
  <si>
    <t>WOODARD, SAGE</t>
  </si>
  <si>
    <t>56TP96</t>
  </si>
  <si>
    <t>NEVE, PATRICK</t>
  </si>
  <si>
    <t>58TH18</t>
  </si>
  <si>
    <t>ROBERTSON, MCCLAIN</t>
  </si>
  <si>
    <t>74Q8R8</t>
  </si>
  <si>
    <t>RYAN CALTAGIRONE</t>
  </si>
  <si>
    <t>RAWDING, LISA</t>
  </si>
  <si>
    <t>46DX33</t>
  </si>
  <si>
    <t>FL-S</t>
  </si>
  <si>
    <t>RAPPAPORT, CONSTANCE</t>
  </si>
  <si>
    <t>8PJ653</t>
  </si>
  <si>
    <t>TIMOTHY HODGMAN</t>
  </si>
  <si>
    <t>WASILEWSKI, DEANNA</t>
  </si>
  <si>
    <t>94Q69A</t>
  </si>
  <si>
    <t>TN</t>
  </si>
  <si>
    <t>Total</t>
  </si>
  <si>
    <t>Cigna 2025 AZ, CO, IL</t>
  </si>
  <si>
    <t>Cigna - FL</t>
  </si>
  <si>
    <t>Cigna 2025 TN/NC</t>
  </si>
  <si>
    <t>[PMPM=2]</t>
  </si>
  <si>
    <t>[PMPM=3]</t>
  </si>
  <si>
    <t>[PMPM=4]</t>
  </si>
  <si>
    <t>Cigna DVH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</si>
</sst>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A99A-FE99-42D7-93FE-43A9A3D01F54}">
  <dimension ref="A1:K16"/>
  <sheetViews>
    <sheetView tabSelected="1" workbookViewId="0">
      <selection activeCell="D21" sqref="D21"/>
    </sheetView>
  </sheetViews>
  <sheetFormatPr defaultRowHeight="15" x14ac:dyDescent="0.25"/>
  <cols>
    <col min="1" max="1" width="29.140625" customWidth="1"/>
    <col min="2" max="2" width="34.140625" customWidth="1"/>
    <col min="3" max="3" width="30.7109375" customWidth="1"/>
    <col min="4" max="4" width="12.7109375" customWidth="1"/>
    <col min="5" max="5" width="8.5703125" customWidth="1"/>
    <col min="6" max="6" width="10.42578125" customWidth="1"/>
    <col min="7" max="7" width="12.5703125" customWidth="1"/>
    <col min="8" max="8" width="16.140625" customWidth="1"/>
    <col min="9" max="9" width="12.28515625" customWidth="1"/>
    <col min="10" max="10" width="8" customWidth="1"/>
    <col min="11" max="11" width="13.285156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ht="15.75" x14ac:dyDescent="0.25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>
        <v>20250201</v>
      </c>
      <c r="H2" s="6" t="s">
        <v>17</v>
      </c>
      <c r="I2" s="7">
        <v>34.58</v>
      </c>
      <c r="J2" s="6">
        <v>0.2</v>
      </c>
      <c r="K2" s="7">
        <v>6.9160000000000004</v>
      </c>
    </row>
    <row r="3" spans="1:11" ht="15.75" x14ac:dyDescent="0.25">
      <c r="A3" s="6" t="s">
        <v>11</v>
      </c>
      <c r="B3" s="6" t="s">
        <v>18</v>
      </c>
      <c r="C3" s="6" t="s">
        <v>19</v>
      </c>
      <c r="D3" s="6" t="s">
        <v>20</v>
      </c>
      <c r="E3" s="6" t="s">
        <v>21</v>
      </c>
      <c r="F3" s="6">
        <v>1</v>
      </c>
      <c r="G3" s="6">
        <v>20250201</v>
      </c>
      <c r="H3" s="6" t="s">
        <v>22</v>
      </c>
      <c r="I3" s="7">
        <v>60.04</v>
      </c>
      <c r="J3" s="6">
        <v>20</v>
      </c>
      <c r="K3" s="7">
        <v>20</v>
      </c>
    </row>
    <row r="4" spans="1:11" ht="15.75" x14ac:dyDescent="0.25">
      <c r="A4" s="6" t="s">
        <v>11</v>
      </c>
      <c r="B4" s="6" t="s">
        <v>18</v>
      </c>
      <c r="C4" s="6" t="s">
        <v>23</v>
      </c>
      <c r="D4" s="6" t="s">
        <v>24</v>
      </c>
      <c r="E4" s="6" t="s">
        <v>21</v>
      </c>
      <c r="F4" s="6">
        <v>1</v>
      </c>
      <c r="G4" s="6">
        <v>20250201</v>
      </c>
      <c r="H4" s="6" t="s">
        <v>22</v>
      </c>
      <c r="I4" s="7">
        <v>13.77</v>
      </c>
      <c r="J4" s="6">
        <v>20</v>
      </c>
      <c r="K4" s="7">
        <v>20</v>
      </c>
    </row>
    <row r="5" spans="1:11" ht="15.75" x14ac:dyDescent="0.25">
      <c r="A5" s="6" t="s">
        <v>11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16</v>
      </c>
      <c r="G5" s="6">
        <v>20250201</v>
      </c>
      <c r="H5" s="6" t="s">
        <v>17</v>
      </c>
      <c r="I5" s="7">
        <v>74.58</v>
      </c>
      <c r="J5" s="6">
        <v>0.2</v>
      </c>
      <c r="K5" s="7">
        <v>14.916</v>
      </c>
    </row>
    <row r="6" spans="1:11" ht="15.75" x14ac:dyDescent="0.25">
      <c r="A6" s="6" t="s">
        <v>11</v>
      </c>
      <c r="B6" s="6" t="s">
        <v>29</v>
      </c>
      <c r="C6" s="6" t="s">
        <v>30</v>
      </c>
      <c r="D6" s="6" t="s">
        <v>31</v>
      </c>
      <c r="E6" s="6" t="s">
        <v>21</v>
      </c>
      <c r="F6" s="6">
        <v>3</v>
      </c>
      <c r="G6" s="6">
        <v>20250201</v>
      </c>
      <c r="H6" s="6" t="s">
        <v>22</v>
      </c>
      <c r="I6" s="7">
        <v>847.34</v>
      </c>
      <c r="J6" s="6">
        <v>20</v>
      </c>
      <c r="K6" s="7">
        <v>60</v>
      </c>
    </row>
    <row r="7" spans="1:11" ht="15.75" x14ac:dyDescent="0.25">
      <c r="A7" s="6" t="s">
        <v>11</v>
      </c>
      <c r="B7" s="6" t="s">
        <v>29</v>
      </c>
      <c r="C7" s="6" t="s">
        <v>32</v>
      </c>
      <c r="D7" s="6" t="s">
        <v>33</v>
      </c>
      <c r="E7" s="6" t="s">
        <v>21</v>
      </c>
      <c r="F7" s="6">
        <v>2</v>
      </c>
      <c r="G7" s="6">
        <v>20250201</v>
      </c>
      <c r="H7" s="6" t="s">
        <v>22</v>
      </c>
      <c r="I7" s="7">
        <v>86.34</v>
      </c>
      <c r="J7" s="6">
        <v>20</v>
      </c>
      <c r="K7" s="7">
        <v>40</v>
      </c>
    </row>
    <row r="8" spans="1:11" ht="15.75" x14ac:dyDescent="0.25">
      <c r="A8" s="6" t="s">
        <v>11</v>
      </c>
      <c r="B8" s="6" t="s">
        <v>29</v>
      </c>
      <c r="C8" s="6" t="s">
        <v>34</v>
      </c>
      <c r="D8" s="6" t="s">
        <v>35</v>
      </c>
      <c r="E8" s="6" t="s">
        <v>21</v>
      </c>
      <c r="F8" s="6">
        <v>2</v>
      </c>
      <c r="G8" s="6">
        <v>20250201</v>
      </c>
      <c r="H8" s="6" t="s">
        <v>22</v>
      </c>
      <c r="I8" s="7">
        <v>149.62</v>
      </c>
      <c r="J8" s="6">
        <v>20</v>
      </c>
      <c r="K8" s="7">
        <v>40</v>
      </c>
    </row>
    <row r="9" spans="1:11" ht="15.75" x14ac:dyDescent="0.25">
      <c r="A9" s="6" t="s">
        <v>11</v>
      </c>
      <c r="B9" s="6" t="s">
        <v>29</v>
      </c>
      <c r="C9" s="6" t="s">
        <v>36</v>
      </c>
      <c r="D9" s="6" t="s">
        <v>37</v>
      </c>
      <c r="E9" s="6" t="s">
        <v>21</v>
      </c>
      <c r="F9" s="6">
        <v>4</v>
      </c>
      <c r="G9" s="6">
        <v>20250201</v>
      </c>
      <c r="H9" s="6" t="s">
        <v>22</v>
      </c>
      <c r="I9" s="7">
        <v>438.09</v>
      </c>
      <c r="J9" s="6">
        <v>20</v>
      </c>
      <c r="K9" s="7">
        <v>80</v>
      </c>
    </row>
    <row r="10" spans="1:11" ht="15.75" x14ac:dyDescent="0.25">
      <c r="A10" s="6" t="s">
        <v>11</v>
      </c>
      <c r="B10" s="6" t="s">
        <v>29</v>
      </c>
      <c r="C10" s="6" t="s">
        <v>38</v>
      </c>
      <c r="D10" s="6" t="s">
        <v>39</v>
      </c>
      <c r="E10" s="6" t="s">
        <v>21</v>
      </c>
      <c r="F10" s="6">
        <v>1</v>
      </c>
      <c r="G10" s="6">
        <v>20250201</v>
      </c>
      <c r="H10" s="6" t="s">
        <v>22</v>
      </c>
      <c r="I10" s="7">
        <v>102.52</v>
      </c>
      <c r="J10" s="6">
        <v>20</v>
      </c>
      <c r="K10" s="7">
        <v>20</v>
      </c>
    </row>
    <row r="11" spans="1:11" ht="15.75" x14ac:dyDescent="0.25">
      <c r="A11" s="6" t="s">
        <v>11</v>
      </c>
      <c r="B11" s="6" t="s">
        <v>29</v>
      </c>
      <c r="C11" s="6" t="s">
        <v>40</v>
      </c>
      <c r="D11" s="6" t="s">
        <v>41</v>
      </c>
      <c r="E11" s="6" t="s">
        <v>21</v>
      </c>
      <c r="F11" s="6">
        <v>1</v>
      </c>
      <c r="G11" s="6">
        <v>20250201</v>
      </c>
      <c r="H11" s="6" t="s">
        <v>22</v>
      </c>
      <c r="I11" s="7">
        <v>225.95</v>
      </c>
      <c r="J11" s="6">
        <v>20</v>
      </c>
      <c r="K11" s="7">
        <v>20</v>
      </c>
    </row>
    <row r="12" spans="1:11" ht="15.75" x14ac:dyDescent="0.25">
      <c r="A12" s="6" t="s">
        <v>11</v>
      </c>
      <c r="B12" s="6" t="s">
        <v>29</v>
      </c>
      <c r="C12" s="6" t="s">
        <v>42</v>
      </c>
      <c r="D12" s="6" t="s">
        <v>43</v>
      </c>
      <c r="E12" s="6" t="s">
        <v>21</v>
      </c>
      <c r="F12" s="6">
        <v>1</v>
      </c>
      <c r="G12" s="6">
        <v>20250201</v>
      </c>
      <c r="H12" s="6" t="s">
        <v>22</v>
      </c>
      <c r="I12" s="7">
        <v>487.98</v>
      </c>
      <c r="J12" s="6">
        <v>20</v>
      </c>
      <c r="K12" s="7">
        <v>20</v>
      </c>
    </row>
    <row r="13" spans="1:11" ht="15.75" x14ac:dyDescent="0.25">
      <c r="A13" s="6" t="s">
        <v>11</v>
      </c>
      <c r="B13" s="6" t="s">
        <v>44</v>
      </c>
      <c r="C13" s="6" t="s">
        <v>45</v>
      </c>
      <c r="D13" s="6" t="s">
        <v>46</v>
      </c>
      <c r="E13" s="6" t="s">
        <v>47</v>
      </c>
      <c r="F13" s="6">
        <v>1</v>
      </c>
      <c r="G13" s="6">
        <v>20250201</v>
      </c>
      <c r="H13" s="6" t="s">
        <v>22</v>
      </c>
      <c r="I13" s="7">
        <v>0</v>
      </c>
      <c r="J13" s="6">
        <v>27</v>
      </c>
      <c r="K13" s="7">
        <v>27</v>
      </c>
    </row>
    <row r="14" spans="1:11" ht="15.75" x14ac:dyDescent="0.25">
      <c r="A14" s="6" t="s">
        <v>11</v>
      </c>
      <c r="B14" s="6" t="s">
        <v>44</v>
      </c>
      <c r="C14" s="6" t="s">
        <v>48</v>
      </c>
      <c r="D14" s="6" t="s">
        <v>49</v>
      </c>
      <c r="E14" s="6" t="s">
        <v>47</v>
      </c>
      <c r="F14" s="6">
        <v>1</v>
      </c>
      <c r="G14" s="6">
        <v>20250201</v>
      </c>
      <c r="H14" s="6" t="s">
        <v>22</v>
      </c>
      <c r="I14" s="7">
        <v>0</v>
      </c>
      <c r="J14" s="6">
        <v>27</v>
      </c>
      <c r="K14" s="7">
        <v>27</v>
      </c>
    </row>
    <row r="15" spans="1:11" ht="15.75" x14ac:dyDescent="0.25">
      <c r="A15" s="6" t="s">
        <v>11</v>
      </c>
      <c r="B15" s="6" t="s">
        <v>50</v>
      </c>
      <c r="C15" s="6" t="s">
        <v>51</v>
      </c>
      <c r="D15" s="6" t="s">
        <v>52</v>
      </c>
      <c r="E15" s="6" t="s">
        <v>53</v>
      </c>
      <c r="F15" s="6">
        <v>1</v>
      </c>
      <c r="G15" s="6">
        <v>20250201</v>
      </c>
      <c r="H15" s="6" t="s">
        <v>22</v>
      </c>
      <c r="I15" s="7">
        <v>271.88</v>
      </c>
      <c r="J15" s="6">
        <v>22</v>
      </c>
      <c r="K15" s="7">
        <v>22</v>
      </c>
    </row>
    <row r="16" spans="1:11" ht="15.75" x14ac:dyDescent="0.25">
      <c r="A16" s="6" t="s">
        <v>11</v>
      </c>
      <c r="B16" s="6"/>
      <c r="C16" s="6"/>
      <c r="D16" s="6"/>
      <c r="E16" s="6"/>
      <c r="F16" s="6"/>
      <c r="G16" s="6"/>
      <c r="H16" s="6"/>
      <c r="I16" s="7"/>
      <c r="J16" s="6" t="s">
        <v>54</v>
      </c>
      <c r="K16" s="7">
        <v>417.83199999999999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CA78-7B6C-4E7C-80DB-5AAEF5148815}">
  <dimension ref="A1:M15"/>
  <sheetViews>
    <sheetView workbookViewId="0">
      <selection activeCell="G2" sqref="G2:G15"/>
    </sheetView>
  </sheetViews>
  <sheetFormatPr defaultRowHeight="15" x14ac:dyDescent="0.25"/>
  <cols>
    <col min="1" max="1" width="29.140625" customWidth="1"/>
    <col min="2" max="2" width="34.140625" customWidth="1"/>
    <col min="3" max="3" width="30.7109375" customWidth="1"/>
    <col min="4" max="5" width="12.7109375" customWidth="1"/>
    <col min="6" max="6" width="8.5703125" customWidth="1"/>
    <col min="7" max="7" width="10.42578125" customWidth="1"/>
    <col min="8" max="8" width="12.5703125" customWidth="1"/>
    <col min="9" max="9" width="16.140625" customWidth="1"/>
    <col min="10" max="10" width="12.28515625" customWidth="1"/>
    <col min="11" max="11" width="8" customWidth="1"/>
    <col min="12" max="12" width="13.28515625" customWidth="1"/>
  </cols>
  <sheetData>
    <row r="1" spans="1:13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3" t="s">
        <v>7</v>
      </c>
      <c r="J1" s="4" t="s">
        <v>8</v>
      </c>
      <c r="K1" s="5" t="s">
        <v>9</v>
      </c>
      <c r="L1" s="4" t="s">
        <v>10</v>
      </c>
    </row>
    <row r="2" spans="1:13" ht="15.75" x14ac:dyDescent="0.25">
      <c r="A2" s="6">
        <v>21104854</v>
      </c>
      <c r="B2" s="6" t="s">
        <v>12</v>
      </c>
      <c r="C2" s="6" t="s">
        <v>13</v>
      </c>
      <c r="D2" s="6" t="s">
        <v>14</v>
      </c>
      <c r="E2" s="6" t="str">
        <f>CONCATENATE(D2,7)</f>
        <v>14TF167</v>
      </c>
      <c r="F2" s="6" t="s">
        <v>15</v>
      </c>
      <c r="G2" s="6" t="s">
        <v>16</v>
      </c>
      <c r="H2" s="6">
        <v>20250201</v>
      </c>
      <c r="I2" s="6" t="s">
        <v>17</v>
      </c>
      <c r="J2" s="7">
        <v>34.58</v>
      </c>
      <c r="K2" s="6">
        <v>0.2</v>
      </c>
      <c r="L2" s="7">
        <v>6.9160000000000004</v>
      </c>
      <c r="M2" t="s">
        <v>61</v>
      </c>
    </row>
    <row r="3" spans="1:13" ht="15.75" x14ac:dyDescent="0.25">
      <c r="A3" s="6">
        <v>19279958</v>
      </c>
      <c r="B3" s="6" t="s">
        <v>25</v>
      </c>
      <c r="C3" s="6" t="s">
        <v>26</v>
      </c>
      <c r="D3" s="6" t="s">
        <v>27</v>
      </c>
      <c r="E3" s="6" t="str">
        <f t="shared" ref="E3:E4" si="0">CONCATENATE(D3,7)</f>
        <v>07R49N7</v>
      </c>
      <c r="F3" s="6" t="s">
        <v>28</v>
      </c>
      <c r="G3" s="6" t="s">
        <v>16</v>
      </c>
      <c r="H3" s="6">
        <v>20250201</v>
      </c>
      <c r="I3" s="6" t="s">
        <v>17</v>
      </c>
      <c r="J3" s="7">
        <v>74.58</v>
      </c>
      <c r="K3" s="6">
        <v>0.2</v>
      </c>
      <c r="L3" s="7">
        <v>14.916</v>
      </c>
      <c r="M3" t="s">
        <v>61</v>
      </c>
    </row>
    <row r="4" spans="1:13" ht="15.75" x14ac:dyDescent="0.25">
      <c r="A4" s="6">
        <v>16865615</v>
      </c>
      <c r="B4" s="6" t="s">
        <v>18</v>
      </c>
      <c r="C4" s="6" t="s">
        <v>19</v>
      </c>
      <c r="D4" s="6" t="s">
        <v>20</v>
      </c>
      <c r="E4" s="6" t="str">
        <f>CONCATENATE(D4,2)</f>
        <v>74R5D72</v>
      </c>
      <c r="F4" s="6" t="s">
        <v>21</v>
      </c>
      <c r="G4" s="6"/>
      <c r="H4" s="6">
        <v>20250201</v>
      </c>
      <c r="I4" s="6" t="s">
        <v>22</v>
      </c>
      <c r="J4" s="7">
        <v>60.04</v>
      </c>
      <c r="K4" s="6">
        <v>20</v>
      </c>
      <c r="L4" s="7">
        <v>20</v>
      </c>
      <c r="M4" t="s">
        <v>55</v>
      </c>
    </row>
    <row r="5" spans="1:13" ht="15.75" x14ac:dyDescent="0.25">
      <c r="A5" s="6">
        <v>16865615</v>
      </c>
      <c r="B5" s="6" t="s">
        <v>18</v>
      </c>
      <c r="C5" s="6" t="s">
        <v>23</v>
      </c>
      <c r="D5" s="6" t="s">
        <v>24</v>
      </c>
      <c r="E5" s="6" t="str">
        <f t="shared" ref="E5:E15" si="1">CONCATENATE(D5,2)</f>
        <v>80RC362</v>
      </c>
      <c r="F5" s="6" t="s">
        <v>21</v>
      </c>
      <c r="G5" s="6"/>
      <c r="H5" s="6">
        <v>20250201</v>
      </c>
      <c r="I5" s="6" t="s">
        <v>22</v>
      </c>
      <c r="J5" s="7">
        <v>13.77</v>
      </c>
      <c r="K5" s="6">
        <v>20</v>
      </c>
      <c r="L5" s="7">
        <v>20</v>
      </c>
      <c r="M5" t="s">
        <v>55</v>
      </c>
    </row>
    <row r="6" spans="1:13" ht="15.75" x14ac:dyDescent="0.25">
      <c r="A6" s="6">
        <v>6634327</v>
      </c>
      <c r="B6" s="6" t="s">
        <v>29</v>
      </c>
      <c r="C6" s="6" t="s">
        <v>30</v>
      </c>
      <c r="D6" s="6" t="s">
        <v>31</v>
      </c>
      <c r="E6" s="6" t="str">
        <f t="shared" si="1"/>
        <v>04TM482</v>
      </c>
      <c r="F6" s="6" t="s">
        <v>21</v>
      </c>
      <c r="G6" s="6" t="s">
        <v>59</v>
      </c>
      <c r="H6" s="6">
        <v>20250201</v>
      </c>
      <c r="I6" s="6" t="s">
        <v>22</v>
      </c>
      <c r="J6" s="7">
        <v>847.34</v>
      </c>
      <c r="K6" s="6">
        <v>20</v>
      </c>
      <c r="L6" s="7">
        <v>60</v>
      </c>
      <c r="M6" t="s">
        <v>55</v>
      </c>
    </row>
    <row r="7" spans="1:13" ht="15.75" x14ac:dyDescent="0.25">
      <c r="A7" s="6">
        <v>6634327</v>
      </c>
      <c r="B7" s="6" t="s">
        <v>29</v>
      </c>
      <c r="C7" s="6" t="s">
        <v>32</v>
      </c>
      <c r="D7" s="6" t="s">
        <v>33</v>
      </c>
      <c r="E7" s="6" t="str">
        <f t="shared" si="1"/>
        <v>22RQ682</v>
      </c>
      <c r="F7" s="6" t="s">
        <v>21</v>
      </c>
      <c r="G7" s="6" t="s">
        <v>58</v>
      </c>
      <c r="H7" s="6">
        <v>20250201</v>
      </c>
      <c r="I7" s="6" t="s">
        <v>22</v>
      </c>
      <c r="J7" s="7">
        <v>86.34</v>
      </c>
      <c r="K7" s="6">
        <v>20</v>
      </c>
      <c r="L7" s="7">
        <v>40</v>
      </c>
      <c r="M7" t="s">
        <v>55</v>
      </c>
    </row>
    <row r="8" spans="1:13" ht="15.75" x14ac:dyDescent="0.25">
      <c r="A8" s="6">
        <v>6634327</v>
      </c>
      <c r="B8" s="6" t="s">
        <v>29</v>
      </c>
      <c r="C8" s="6" t="s">
        <v>34</v>
      </c>
      <c r="D8" s="6" t="s">
        <v>35</v>
      </c>
      <c r="E8" s="6" t="str">
        <f t="shared" si="1"/>
        <v>22TF462</v>
      </c>
      <c r="F8" s="6" t="s">
        <v>21</v>
      </c>
      <c r="G8" s="6" t="s">
        <v>58</v>
      </c>
      <c r="H8" s="6">
        <v>20250201</v>
      </c>
      <c r="I8" s="6" t="s">
        <v>22</v>
      </c>
      <c r="J8" s="7">
        <v>149.62</v>
      </c>
      <c r="K8" s="6">
        <v>20</v>
      </c>
      <c r="L8" s="7">
        <v>40</v>
      </c>
      <c r="M8" t="s">
        <v>55</v>
      </c>
    </row>
    <row r="9" spans="1:13" ht="15.75" x14ac:dyDescent="0.25">
      <c r="A9" s="6">
        <v>6634327</v>
      </c>
      <c r="B9" s="6" t="s">
        <v>29</v>
      </c>
      <c r="C9" s="6" t="s">
        <v>36</v>
      </c>
      <c r="D9" s="6" t="s">
        <v>37</v>
      </c>
      <c r="E9" s="6" t="str">
        <f t="shared" si="1"/>
        <v>50QL362</v>
      </c>
      <c r="F9" s="6" t="s">
        <v>21</v>
      </c>
      <c r="G9" s="6" t="s">
        <v>60</v>
      </c>
      <c r="H9" s="6">
        <v>20250201</v>
      </c>
      <c r="I9" s="6" t="s">
        <v>22</v>
      </c>
      <c r="J9" s="7">
        <v>438.09</v>
      </c>
      <c r="K9" s="6">
        <v>20</v>
      </c>
      <c r="L9" s="7">
        <v>80</v>
      </c>
      <c r="M9" t="s">
        <v>55</v>
      </c>
    </row>
    <row r="10" spans="1:13" ht="15.75" x14ac:dyDescent="0.25">
      <c r="A10" s="6">
        <v>6634327</v>
      </c>
      <c r="B10" s="6" t="s">
        <v>29</v>
      </c>
      <c r="C10" s="6" t="s">
        <v>38</v>
      </c>
      <c r="D10" s="6" t="s">
        <v>39</v>
      </c>
      <c r="E10" s="6" t="str">
        <f t="shared" si="1"/>
        <v>56TP962</v>
      </c>
      <c r="F10" s="6" t="s">
        <v>21</v>
      </c>
      <c r="G10" s="6"/>
      <c r="H10" s="6">
        <v>20250201</v>
      </c>
      <c r="I10" s="6" t="s">
        <v>22</v>
      </c>
      <c r="J10" s="7">
        <v>102.52</v>
      </c>
      <c r="K10" s="6">
        <v>20</v>
      </c>
      <c r="L10" s="7">
        <v>20</v>
      </c>
      <c r="M10" t="s">
        <v>55</v>
      </c>
    </row>
    <row r="11" spans="1:13" ht="15.75" x14ac:dyDescent="0.25">
      <c r="A11" s="6">
        <v>6634327</v>
      </c>
      <c r="B11" s="6" t="s">
        <v>29</v>
      </c>
      <c r="C11" s="6" t="s">
        <v>40</v>
      </c>
      <c r="D11" s="6" t="s">
        <v>41</v>
      </c>
      <c r="E11" s="6" t="str">
        <f t="shared" si="1"/>
        <v>58TH182</v>
      </c>
      <c r="F11" s="6" t="s">
        <v>21</v>
      </c>
      <c r="G11" s="6"/>
      <c r="H11" s="6">
        <v>20250201</v>
      </c>
      <c r="I11" s="6" t="s">
        <v>22</v>
      </c>
      <c r="J11" s="7">
        <v>225.95</v>
      </c>
      <c r="K11" s="6">
        <v>20</v>
      </c>
      <c r="L11" s="7">
        <v>20</v>
      </c>
      <c r="M11" t="s">
        <v>55</v>
      </c>
    </row>
    <row r="12" spans="1:13" ht="15.75" x14ac:dyDescent="0.25">
      <c r="A12" s="6">
        <v>6634327</v>
      </c>
      <c r="B12" s="6" t="s">
        <v>29</v>
      </c>
      <c r="C12" s="6" t="s">
        <v>42</v>
      </c>
      <c r="D12" s="6" t="s">
        <v>43</v>
      </c>
      <c r="E12" s="6" t="str">
        <f t="shared" si="1"/>
        <v>74Q8R82</v>
      </c>
      <c r="F12" s="6" t="s">
        <v>21</v>
      </c>
      <c r="G12" s="6"/>
      <c r="H12" s="6">
        <v>20250201</v>
      </c>
      <c r="I12" s="6" t="s">
        <v>22</v>
      </c>
      <c r="J12" s="7">
        <v>487.98</v>
      </c>
      <c r="K12" s="6">
        <v>20</v>
      </c>
      <c r="L12" s="7">
        <v>20</v>
      </c>
      <c r="M12" t="s">
        <v>55</v>
      </c>
    </row>
    <row r="13" spans="1:13" ht="15.75" x14ac:dyDescent="0.25">
      <c r="A13" s="6">
        <v>8977234</v>
      </c>
      <c r="B13" s="6" t="s">
        <v>44</v>
      </c>
      <c r="C13" s="6" t="s">
        <v>45</v>
      </c>
      <c r="D13" s="6" t="s">
        <v>46</v>
      </c>
      <c r="E13" s="6" t="str">
        <f t="shared" si="1"/>
        <v>46DX332</v>
      </c>
      <c r="F13" s="6" t="s">
        <v>47</v>
      </c>
      <c r="G13" s="6"/>
      <c r="H13" s="6">
        <v>20250201</v>
      </c>
      <c r="I13" s="6" t="s">
        <v>22</v>
      </c>
      <c r="J13" s="7">
        <v>0</v>
      </c>
      <c r="K13" s="6">
        <v>27</v>
      </c>
      <c r="L13" s="7">
        <v>27</v>
      </c>
      <c r="M13" t="s">
        <v>56</v>
      </c>
    </row>
    <row r="14" spans="1:13" ht="15.75" x14ac:dyDescent="0.25">
      <c r="A14" s="6">
        <v>8977234</v>
      </c>
      <c r="B14" s="6" t="s">
        <v>44</v>
      </c>
      <c r="C14" s="6" t="s">
        <v>48</v>
      </c>
      <c r="D14" s="6" t="s">
        <v>49</v>
      </c>
      <c r="E14" s="6" t="str">
        <f t="shared" si="1"/>
        <v>8PJ6532</v>
      </c>
      <c r="F14" s="6" t="s">
        <v>47</v>
      </c>
      <c r="G14" s="6"/>
      <c r="H14" s="6">
        <v>20250201</v>
      </c>
      <c r="I14" s="6" t="s">
        <v>22</v>
      </c>
      <c r="J14" s="7">
        <v>0</v>
      </c>
      <c r="K14" s="6">
        <v>27</v>
      </c>
      <c r="L14" s="7">
        <v>27</v>
      </c>
      <c r="M14" t="s">
        <v>56</v>
      </c>
    </row>
    <row r="15" spans="1:13" ht="15.75" x14ac:dyDescent="0.25">
      <c r="A15" s="6">
        <v>18581063</v>
      </c>
      <c r="B15" s="6" t="s">
        <v>50</v>
      </c>
      <c r="C15" s="6" t="s">
        <v>51</v>
      </c>
      <c r="D15" s="6" t="s">
        <v>52</v>
      </c>
      <c r="E15" s="6" t="str">
        <f t="shared" si="1"/>
        <v>94Q69A2</v>
      </c>
      <c r="F15" s="6" t="s">
        <v>53</v>
      </c>
      <c r="G15" s="6"/>
      <c r="H15" s="6">
        <v>20250201</v>
      </c>
      <c r="I15" s="6" t="s">
        <v>22</v>
      </c>
      <c r="J15" s="7">
        <v>271.88</v>
      </c>
      <c r="K15" s="6">
        <v>22</v>
      </c>
      <c r="L15" s="7">
        <v>22</v>
      </c>
      <c r="M15" t="s">
        <v>57</v>
      </c>
    </row>
  </sheetData>
  <sortState xmlns:xlrd2="http://schemas.microsoft.com/office/spreadsheetml/2017/richdata2" ref="A3:L15">
    <sortCondition ref="I3:I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2025-03-27T14:01:33Z</dcterms:created>
  <dcterms:modified xsi:type="dcterms:W3CDTF">2025-04-02T19:27:05Z</dcterms:modified>
</cp:coreProperties>
</file>