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4-25-25\"/>
    </mc:Choice>
  </mc:AlternateContent>
  <xr:revisionPtr revIDLastSave="0" documentId="13_ncr:1_{61F54035-23EE-4E9A-846C-A276738DDDF4}" xr6:coauthVersionLast="47" xr6:coauthVersionMax="47" xr10:uidLastSave="{00000000-0000-0000-0000-000000000000}"/>
  <bookViews>
    <workbookView xWindow="28680" yWindow="-120" windowWidth="29040" windowHeight="16440" activeTab="1" xr2:uid="{6CC44D74-AA70-4F1F-9C0D-2A156159B6E4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1" i="2"/>
  <c r="E12" i="2"/>
  <c r="E54" i="2"/>
  <c r="E53" i="2"/>
  <c r="E39" i="2"/>
  <c r="E38" i="2"/>
  <c r="E37" i="2"/>
  <c r="E36" i="2"/>
  <c r="E35" i="2"/>
  <c r="E34" i="2"/>
  <c r="E33" i="2"/>
  <c r="E17" i="2"/>
  <c r="E16" i="2"/>
  <c r="E57" i="2"/>
  <c r="E56" i="2"/>
  <c r="E55" i="2"/>
  <c r="E50" i="2"/>
  <c r="E48" i="2"/>
  <c r="E47" i="2"/>
  <c r="E46" i="2"/>
  <c r="E45" i="2"/>
  <c r="E32" i="2"/>
  <c r="E31" i="2"/>
  <c r="E11" i="2"/>
  <c r="E10" i="2"/>
  <c r="E9" i="2"/>
  <c r="E8" i="2"/>
  <c r="E7" i="2"/>
  <c r="E6" i="2"/>
  <c r="E5" i="2"/>
  <c r="E52" i="2"/>
  <c r="E51" i="2"/>
  <c r="E49" i="2"/>
  <c r="E44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5" i="2"/>
  <c r="E14" i="2"/>
  <c r="E13" i="2"/>
  <c r="E4" i="2"/>
  <c r="E3" i="2"/>
  <c r="E2" i="2"/>
  <c r="E1" i="2"/>
  <c r="E43" i="2"/>
  <c r="E42" i="2"/>
  <c r="E41" i="2"/>
  <c r="E40" i="2"/>
</calcChain>
</file>

<file path=xl/sharedStrings.xml><?xml version="1.0" encoding="utf-8"?>
<sst xmlns="http://schemas.openxmlformats.org/spreadsheetml/2006/main" count="1029" uniqueCount="158">
  <si>
    <t>Main Line Benefits LLC</t>
  </si>
  <si>
    <t>BRIAN STROHMAN</t>
  </si>
  <si>
    <t>KENNEDY, STACY</t>
  </si>
  <si>
    <t>06P64N</t>
  </si>
  <si>
    <t>WI</t>
  </si>
  <si>
    <t xml:space="preserve"> </t>
  </si>
  <si>
    <t>Dental, IVDPPO</t>
  </si>
  <si>
    <t>% of Premium</t>
  </si>
  <si>
    <t xml:space="preserve">S, </t>
  </si>
  <si>
    <t>null</t>
  </si>
  <si>
    <t>ADELMAN, MARC</t>
  </si>
  <si>
    <t>14NW31</t>
  </si>
  <si>
    <t>IL</t>
  </si>
  <si>
    <t>SESSLER, WENDY</t>
  </si>
  <si>
    <t>38Q22K</t>
  </si>
  <si>
    <t>RENDON, JOSE</t>
  </si>
  <si>
    <t>82PX55</t>
  </si>
  <si>
    <t>MELNICK, MICHAEL</t>
  </si>
  <si>
    <t>47N6E8</t>
  </si>
  <si>
    <t>CAROL FOLEY</t>
  </si>
  <si>
    <t>KELLY, ISAIAH</t>
  </si>
  <si>
    <t>12PY60</t>
  </si>
  <si>
    <t>DE</t>
  </si>
  <si>
    <t>KALOKOH, NENNEH</t>
  </si>
  <si>
    <t>62R96P</t>
  </si>
  <si>
    <t>PA</t>
  </si>
  <si>
    <t>RUPERT, CATHERINE</t>
  </si>
  <si>
    <t>70P2B9</t>
  </si>
  <si>
    <t>HEWLETT, RASHIDA</t>
  </si>
  <si>
    <t>72N6G9</t>
  </si>
  <si>
    <t>WARNER, REGINALD</t>
  </si>
  <si>
    <t>80QC76</t>
  </si>
  <si>
    <t>BALAWEJDER, QWENTON</t>
  </si>
  <si>
    <t>87PH60</t>
  </si>
  <si>
    <t>COLLEEN FINNIGAN</t>
  </si>
  <si>
    <t>PERKINS-WILLIAMS, JOSIE</t>
  </si>
  <si>
    <t>35K3N1</t>
  </si>
  <si>
    <t>TN</t>
  </si>
  <si>
    <t>Medical, HOAPIN</t>
  </si>
  <si>
    <t>PMPM</t>
  </si>
  <si>
    <t>X, CP</t>
  </si>
  <si>
    <t>HEATHER GESKE</t>
  </si>
  <si>
    <t>PIERCE, TAWNEY</t>
  </si>
  <si>
    <t>01T3B2</t>
  </si>
  <si>
    <t>CO</t>
  </si>
  <si>
    <t>DICKEY-JONES, NADIIRA</t>
  </si>
  <si>
    <t>72P58Q</t>
  </si>
  <si>
    <t>REGGI, DESIREE</t>
  </si>
  <si>
    <t>16R2Q4</t>
  </si>
  <si>
    <t>PLAYER, LENA</t>
  </si>
  <si>
    <t>16RT86</t>
  </si>
  <si>
    <t>TRUJILLO, JOHN</t>
  </si>
  <si>
    <t>91PB62</t>
  </si>
  <si>
    <t>JACOB YALE</t>
  </si>
  <si>
    <t>PHELAN, RYAN</t>
  </si>
  <si>
    <t>08P50D</t>
  </si>
  <si>
    <t>WILTGEN, LAWRENCE</t>
  </si>
  <si>
    <t>95TK06</t>
  </si>
  <si>
    <t>JARED KINYUA</t>
  </si>
  <si>
    <t>OBI, FLORENCE</t>
  </si>
  <si>
    <t>07QM57</t>
  </si>
  <si>
    <t>MD</t>
  </si>
  <si>
    <t>LEIVA RIVERA, JENNI</t>
  </si>
  <si>
    <t>07R49N</t>
  </si>
  <si>
    <t>EDMONDS, TONYA</t>
  </si>
  <si>
    <t>08R7V6</t>
  </si>
  <si>
    <t>VIDES OSORIO, CARLOS</t>
  </si>
  <si>
    <t>09R89N</t>
  </si>
  <si>
    <t>MAYE, LEA</t>
  </si>
  <si>
    <t>21Q1B0</t>
  </si>
  <si>
    <t>HAIDAU, CORNELIA</t>
  </si>
  <si>
    <t>28PY20</t>
  </si>
  <si>
    <t>WANI, ASHAQ</t>
  </si>
  <si>
    <t>33PJ95</t>
  </si>
  <si>
    <t>TORO, PIER</t>
  </si>
  <si>
    <t>39Q9Q0</t>
  </si>
  <si>
    <t>FREDERICK, JEAN</t>
  </si>
  <si>
    <t>94N25Y</t>
  </si>
  <si>
    <t>FRANCIS, CAROLINE</t>
  </si>
  <si>
    <t>95Q10L</t>
  </si>
  <si>
    <t>TX</t>
  </si>
  <si>
    <t>JOEL LEE</t>
  </si>
  <si>
    <t>HANSEN-BARTHELS, JEFFREY</t>
  </si>
  <si>
    <t>22RQ68</t>
  </si>
  <si>
    <t>TIBBETTS, AMY</t>
  </si>
  <si>
    <t>25R0J7</t>
  </si>
  <si>
    <t>BRUCKMAN, VALERIE</t>
  </si>
  <si>
    <t>41Q3R2</t>
  </si>
  <si>
    <t xml:space="preserve">, </t>
  </si>
  <si>
    <t>GODDARD, SUSAN</t>
  </si>
  <si>
    <t>41R91U</t>
  </si>
  <si>
    <t>MORRISON, ANDREW</t>
  </si>
  <si>
    <t>60T55X</t>
  </si>
  <si>
    <t>ROBERTSON, MCCLAIN</t>
  </si>
  <si>
    <t>74Q8R8</t>
  </si>
  <si>
    <t>LINK, DAVID</t>
  </si>
  <si>
    <t>79TD17</t>
  </si>
  <si>
    <t>DEUTSCH, TIFFANY</t>
  </si>
  <si>
    <t>88RH06</t>
  </si>
  <si>
    <t>CHAFFIN, KATHRYN</t>
  </si>
  <si>
    <t>61N2C4</t>
  </si>
  <si>
    <t>SNOOK, EMRIE</t>
  </si>
  <si>
    <t>81P98F</t>
  </si>
  <si>
    <t xml:space="preserve">CH, </t>
  </si>
  <si>
    <t>MICHAEL DUNAVANT</t>
  </si>
  <si>
    <t>BLOODWORTH, BRYAN</t>
  </si>
  <si>
    <t>03P25D</t>
  </si>
  <si>
    <t>WILLS, JENNIFER</t>
  </si>
  <si>
    <t>04R42R</t>
  </si>
  <si>
    <t>REIS, RAYMOND</t>
  </si>
  <si>
    <t>46R1Q0</t>
  </si>
  <si>
    <t>BUTLER MAGSOMBOL, ANGELA</t>
  </si>
  <si>
    <t>56Q3B8</t>
  </si>
  <si>
    <t>JENSEN, BRIAN</t>
  </si>
  <si>
    <t>58P14V</t>
  </si>
  <si>
    <t>HOWE, PATRICIA</t>
  </si>
  <si>
    <t>30RQ52</t>
  </si>
  <si>
    <t>MCBRIDE, STEVEN</t>
  </si>
  <si>
    <t>60Q27N</t>
  </si>
  <si>
    <t>WALLACE, PAULA</t>
  </si>
  <si>
    <t>62R17P</t>
  </si>
  <si>
    <t>MORRIS, LINDA</t>
  </si>
  <si>
    <t>64RC60</t>
  </si>
  <si>
    <t>PAMELA DEATON</t>
  </si>
  <si>
    <t>MISSAKASAVAKE, THANADOBI</t>
  </si>
  <si>
    <t>38Q40Y</t>
  </si>
  <si>
    <t>CRUMP, SCOTT</t>
  </si>
  <si>
    <t>18RY53</t>
  </si>
  <si>
    <t>RICHARD YALE</t>
  </si>
  <si>
    <t>STOTTER, JAKE</t>
  </si>
  <si>
    <t>31TG75</t>
  </si>
  <si>
    <t>STOTTER, THOMAS</t>
  </si>
  <si>
    <t>31TG87</t>
  </si>
  <si>
    <t>RYAN CALTAGIRONE</t>
  </si>
  <si>
    <t>RAWDING, LISA</t>
  </si>
  <si>
    <t>46DX33</t>
  </si>
  <si>
    <t>FL-S</t>
  </si>
  <si>
    <t>X, SP</t>
  </si>
  <si>
    <t>RAPPAPORT, CONSTANCE</t>
  </si>
  <si>
    <t>8PJ653</t>
  </si>
  <si>
    <t>SCOTT FINE</t>
  </si>
  <si>
    <t>SOREN, SCOTT</t>
  </si>
  <si>
    <t>24R79F</t>
  </si>
  <si>
    <t>GRIECO, JOSEPH</t>
  </si>
  <si>
    <t>65R42C</t>
  </si>
  <si>
    <t>THOMAS KUCAN</t>
  </si>
  <si>
    <t>ARRICH, MICHAEL</t>
  </si>
  <si>
    <t>80TQ84</t>
  </si>
  <si>
    <t>Total</t>
  </si>
  <si>
    <t>Cigna Dental</t>
  </si>
  <si>
    <t>Cigna DVH</t>
  </si>
  <si>
    <t>Cigna 2025 AZ, CO, IL</t>
  </si>
  <si>
    <t>Cigna 2025 TN/NC</t>
  </si>
  <si>
    <t>Cigna - FL</t>
  </si>
  <si>
    <t>[PMPM=2]</t>
  </si>
  <si>
    <t>[PMPM=3]</t>
  </si>
  <si>
    <t>[PMPM=4]</t>
  </si>
  <si>
    <t>18828278SUB2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</si>
</sst>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44" fontId="4" fillId="0" borderId="1" xfId="1" applyFont="1" applyBorder="1"/>
    <xf numFmtId="9" fontId="5" fillId="0" borderId="1" xfId="2" applyFont="1" applyBorder="1" applyAlignment="1">
      <alignment horizontal="center" wrapText="1"/>
    </xf>
    <xf numFmtId="44" fontId="5" fillId="0" borderId="1" xfId="1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44" fontId="5" fillId="0" borderId="0" xfId="1" applyFont="1" applyFill="1" applyBorder="1" applyAlignment="1">
      <alignment horizontal="left" wrapText="1"/>
    </xf>
    <xf numFmtId="0" fontId="5" fillId="0" borderId="0" xfId="1" applyNumberFormat="1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44" fontId="4" fillId="0" borderId="0" xfId="1" applyFont="1" applyFill="1" applyBorder="1" applyAlignment="1">
      <alignment horizontal="left"/>
    </xf>
    <xf numFmtId="9" fontId="5" fillId="0" borderId="0" xfId="2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left" vertical="center" wrapText="1"/>
    </xf>
    <xf numFmtId="44" fontId="5" fillId="3" borderId="0" xfId="1" applyFont="1" applyFill="1" applyBorder="1" applyAlignment="1">
      <alignment horizontal="left" wrapText="1"/>
    </xf>
    <xf numFmtId="0" fontId="5" fillId="3" borderId="0" xfId="1" applyNumberFormat="1" applyFont="1" applyFill="1" applyBorder="1" applyAlignment="1">
      <alignment horizontal="left" wrapText="1"/>
    </xf>
    <xf numFmtId="0" fontId="4" fillId="3" borderId="0" xfId="0" applyFont="1" applyFill="1" applyAlignment="1">
      <alignment horizontal="left"/>
    </xf>
    <xf numFmtId="44" fontId="4" fillId="3" borderId="0" xfId="1" applyFont="1" applyFill="1" applyBorder="1" applyAlignment="1">
      <alignment horizontal="left"/>
    </xf>
    <xf numFmtId="9" fontId="5" fillId="3" borderId="0" xfId="2" applyFont="1" applyFill="1" applyBorder="1" applyAlignment="1">
      <alignment horizontal="left" wrapText="1"/>
    </xf>
    <xf numFmtId="0" fontId="0" fillId="3" borderId="0" xfId="0" applyFill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4007-DCED-4BE6-ABC7-6E51E94B8C26}">
  <dimension ref="A1:U58"/>
  <sheetViews>
    <sheetView topLeftCell="A37" workbookViewId="0">
      <selection sqref="A1:XFD1048576"/>
    </sheetView>
  </sheetViews>
  <sheetFormatPr defaultRowHeight="15" x14ac:dyDescent="0.25"/>
  <cols>
    <col min="1" max="1" width="30.7109375" customWidth="1"/>
    <col min="2" max="2" width="37.28515625" customWidth="1"/>
    <col min="3" max="3" width="33.42578125" customWidth="1"/>
    <col min="4" max="4" width="13.42578125" customWidth="1"/>
    <col min="5" max="5" width="8.85546875" customWidth="1"/>
    <col min="7" max="7" width="11.7109375" customWidth="1"/>
    <col min="8" max="8" width="17" customWidth="1"/>
    <col min="9" max="9" width="12.28515625" customWidth="1"/>
    <col min="10" max="10" width="9" customWidth="1"/>
    <col min="11" max="11" width="14.85546875" customWidth="1"/>
    <col min="12" max="13" width="12.7109375" customWidth="1"/>
    <col min="14" max="14" width="10.42578125" customWidth="1"/>
    <col min="15" max="15" width="12.7109375" customWidth="1"/>
    <col min="16" max="16" width="13.85546875" customWidth="1"/>
    <col min="17" max="17" width="25" customWidth="1"/>
    <col min="18" max="18" width="17.7109375" customWidth="1"/>
    <col min="19" max="19" width="13.85546875" customWidth="1"/>
    <col min="20" max="20" width="5.85546875" customWidth="1"/>
    <col min="21" max="21" width="18.7109375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20250401</v>
      </c>
      <c r="H1" s="3" t="s">
        <v>6</v>
      </c>
      <c r="I1" s="4">
        <v>52.45</v>
      </c>
      <c r="J1" s="5">
        <v>0.2</v>
      </c>
      <c r="K1" s="4">
        <v>10.490000000000002</v>
      </c>
      <c r="L1" s="6"/>
      <c r="M1" s="7">
        <v>10.49</v>
      </c>
      <c r="N1" s="8">
        <v>0.2</v>
      </c>
      <c r="O1" s="9">
        <v>10.490000000000002</v>
      </c>
      <c r="P1" s="6" t="s">
        <v>7</v>
      </c>
      <c r="Q1" s="6" t="s">
        <v>8</v>
      </c>
      <c r="R1" s="6" t="s">
        <v>9</v>
      </c>
      <c r="S1" s="6">
        <v>20250422</v>
      </c>
      <c r="T1" s="6" t="s">
        <v>9</v>
      </c>
      <c r="U1" s="6" t="s">
        <v>9</v>
      </c>
    </row>
    <row r="2" spans="1:21" ht="15.75" x14ac:dyDescent="0.25">
      <c r="A2" s="1" t="s">
        <v>0</v>
      </c>
      <c r="B2" s="1" t="s">
        <v>1</v>
      </c>
      <c r="C2" s="1" t="s">
        <v>10</v>
      </c>
      <c r="D2" s="1" t="s">
        <v>11</v>
      </c>
      <c r="E2" s="1" t="s">
        <v>12</v>
      </c>
      <c r="F2" s="1" t="s">
        <v>5</v>
      </c>
      <c r="G2" s="2">
        <v>20250401</v>
      </c>
      <c r="H2" s="3" t="s">
        <v>6</v>
      </c>
      <c r="I2" s="4">
        <v>120.15</v>
      </c>
      <c r="J2" s="5">
        <v>0.2</v>
      </c>
      <c r="K2" s="4">
        <v>24.03</v>
      </c>
      <c r="L2" s="6"/>
      <c r="M2" s="7">
        <v>24.03</v>
      </c>
      <c r="N2" s="8">
        <v>0.2</v>
      </c>
      <c r="O2" s="9">
        <v>24.03</v>
      </c>
      <c r="P2" s="6" t="s">
        <v>7</v>
      </c>
      <c r="Q2" s="6" t="s">
        <v>8</v>
      </c>
      <c r="R2" s="6" t="s">
        <v>9</v>
      </c>
      <c r="S2" s="6">
        <v>20250422</v>
      </c>
      <c r="T2" s="6" t="s">
        <v>9</v>
      </c>
      <c r="U2" s="6" t="s">
        <v>9</v>
      </c>
    </row>
    <row r="3" spans="1:21" ht="15.75" x14ac:dyDescent="0.25">
      <c r="A3" s="1" t="s">
        <v>0</v>
      </c>
      <c r="B3" s="1" t="s">
        <v>1</v>
      </c>
      <c r="C3" s="1" t="s">
        <v>13</v>
      </c>
      <c r="D3" s="1" t="s">
        <v>14</v>
      </c>
      <c r="E3" s="1" t="s">
        <v>12</v>
      </c>
      <c r="F3" s="1" t="s">
        <v>5</v>
      </c>
      <c r="G3" s="2">
        <v>20250401</v>
      </c>
      <c r="H3" s="3" t="s">
        <v>6</v>
      </c>
      <c r="I3" s="4">
        <v>41.44</v>
      </c>
      <c r="J3" s="5">
        <v>0.2</v>
      </c>
      <c r="K3" s="4">
        <v>8.2880000000000003</v>
      </c>
      <c r="L3" s="6"/>
      <c r="M3" s="7">
        <v>8.2899999999999991</v>
      </c>
      <c r="N3" s="8">
        <v>0.2</v>
      </c>
      <c r="O3" s="9">
        <v>8.2880000000000003</v>
      </c>
      <c r="P3" s="6" t="s">
        <v>7</v>
      </c>
      <c r="Q3" s="6" t="s">
        <v>8</v>
      </c>
      <c r="R3" s="6" t="s">
        <v>9</v>
      </c>
      <c r="S3" s="6">
        <v>20250422</v>
      </c>
      <c r="T3" s="6" t="s">
        <v>9</v>
      </c>
      <c r="U3" s="6" t="s">
        <v>9</v>
      </c>
    </row>
    <row r="4" spans="1:21" ht="15.75" x14ac:dyDescent="0.25">
      <c r="A4" s="1" t="s">
        <v>0</v>
      </c>
      <c r="B4" s="1" t="s">
        <v>1</v>
      </c>
      <c r="C4" s="1" t="s">
        <v>15</v>
      </c>
      <c r="D4" s="1" t="s">
        <v>16</v>
      </c>
      <c r="E4" s="1" t="s">
        <v>12</v>
      </c>
      <c r="F4" s="1" t="s">
        <v>5</v>
      </c>
      <c r="G4" s="2">
        <v>20250401</v>
      </c>
      <c r="H4" s="3" t="s">
        <v>6</v>
      </c>
      <c r="I4" s="4">
        <v>41.44</v>
      </c>
      <c r="J4" s="5">
        <v>0.2</v>
      </c>
      <c r="K4" s="4">
        <v>8.2880000000000003</v>
      </c>
      <c r="L4" s="6"/>
      <c r="M4" s="7">
        <v>8.2899999999999991</v>
      </c>
      <c r="N4" s="8">
        <v>0.2</v>
      </c>
      <c r="O4" s="9">
        <v>8.2880000000000003</v>
      </c>
      <c r="P4" s="6" t="s">
        <v>7</v>
      </c>
      <c r="Q4" s="6" t="s">
        <v>8</v>
      </c>
      <c r="R4" s="6" t="s">
        <v>9</v>
      </c>
      <c r="S4" s="6">
        <v>20250422</v>
      </c>
      <c r="T4" s="6" t="s">
        <v>9</v>
      </c>
      <c r="U4" s="6" t="s">
        <v>9</v>
      </c>
    </row>
    <row r="5" spans="1:21" ht="15.75" x14ac:dyDescent="0.25">
      <c r="A5" s="1" t="s">
        <v>0</v>
      </c>
      <c r="B5" s="1" t="s">
        <v>1</v>
      </c>
      <c r="C5" s="1" t="s">
        <v>17</v>
      </c>
      <c r="D5" s="1" t="s">
        <v>18</v>
      </c>
      <c r="E5" s="1" t="s">
        <v>12</v>
      </c>
      <c r="F5" s="1" t="s">
        <v>5</v>
      </c>
      <c r="G5" s="2">
        <v>20250401</v>
      </c>
      <c r="H5" s="3" t="s">
        <v>6</v>
      </c>
      <c r="I5" s="4">
        <v>29</v>
      </c>
      <c r="J5" s="5">
        <v>0.2</v>
      </c>
      <c r="K5" s="4">
        <v>5.8000000000000007</v>
      </c>
      <c r="L5" s="6"/>
      <c r="M5" s="7">
        <v>6.38</v>
      </c>
      <c r="N5" s="8">
        <v>0.22</v>
      </c>
      <c r="O5" s="9">
        <v>5.8000000000000007</v>
      </c>
      <c r="P5" s="6" t="s">
        <v>7</v>
      </c>
      <c r="Q5" s="6" t="s">
        <v>8</v>
      </c>
      <c r="R5" s="6" t="s">
        <v>9</v>
      </c>
      <c r="S5" s="6">
        <v>20250422</v>
      </c>
      <c r="T5" s="6" t="s">
        <v>9</v>
      </c>
      <c r="U5" s="6" t="s">
        <v>9</v>
      </c>
    </row>
    <row r="6" spans="1:21" ht="15.75" x14ac:dyDescent="0.25">
      <c r="A6" s="1" t="s">
        <v>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5</v>
      </c>
      <c r="G6" s="2">
        <v>20250401</v>
      </c>
      <c r="H6" s="3" t="s">
        <v>6</v>
      </c>
      <c r="I6" s="4">
        <v>29</v>
      </c>
      <c r="J6" s="5">
        <v>0.2</v>
      </c>
      <c r="K6" s="4">
        <v>5.8000000000000007</v>
      </c>
      <c r="L6" s="6"/>
      <c r="M6" s="7">
        <v>6.38</v>
      </c>
      <c r="N6" s="8">
        <v>0.22</v>
      </c>
      <c r="O6" s="9">
        <v>5.8000000000000007</v>
      </c>
      <c r="P6" s="6" t="s">
        <v>7</v>
      </c>
      <c r="Q6" s="6" t="s">
        <v>8</v>
      </c>
      <c r="R6" s="6" t="s">
        <v>9</v>
      </c>
      <c r="S6" s="6">
        <v>20250422</v>
      </c>
      <c r="T6" s="6" t="s">
        <v>9</v>
      </c>
      <c r="U6" s="6" t="s">
        <v>9</v>
      </c>
    </row>
    <row r="7" spans="1:21" ht="15.75" x14ac:dyDescent="0.25">
      <c r="A7" s="1" t="s">
        <v>0</v>
      </c>
      <c r="B7" s="1" t="s">
        <v>19</v>
      </c>
      <c r="C7" s="1" t="s">
        <v>23</v>
      </c>
      <c r="D7" s="1" t="s">
        <v>24</v>
      </c>
      <c r="E7" s="1" t="s">
        <v>25</v>
      </c>
      <c r="F7" s="1" t="s">
        <v>5</v>
      </c>
      <c r="G7" s="2">
        <v>20250401</v>
      </c>
      <c r="H7" s="3" t="s">
        <v>6</v>
      </c>
      <c r="I7" s="4">
        <v>43</v>
      </c>
      <c r="J7" s="5">
        <v>0.2</v>
      </c>
      <c r="K7" s="4">
        <v>8.6</v>
      </c>
      <c r="L7" s="6"/>
      <c r="M7" s="7">
        <v>9.4600000000000009</v>
      </c>
      <c r="N7" s="8">
        <v>0.22</v>
      </c>
      <c r="O7" s="9">
        <v>8.6</v>
      </c>
      <c r="P7" s="6" t="s">
        <v>7</v>
      </c>
      <c r="Q7" s="6" t="s">
        <v>8</v>
      </c>
      <c r="R7" s="6" t="s">
        <v>9</v>
      </c>
      <c r="S7" s="6">
        <v>20250422</v>
      </c>
      <c r="T7" s="6" t="s">
        <v>9</v>
      </c>
      <c r="U7" s="6" t="s">
        <v>9</v>
      </c>
    </row>
    <row r="8" spans="1:21" ht="15.75" x14ac:dyDescent="0.25">
      <c r="A8" s="1" t="s">
        <v>0</v>
      </c>
      <c r="B8" s="1" t="s">
        <v>19</v>
      </c>
      <c r="C8" s="1" t="s">
        <v>26</v>
      </c>
      <c r="D8" s="1" t="s">
        <v>27</v>
      </c>
      <c r="E8" s="1" t="s">
        <v>25</v>
      </c>
      <c r="F8" s="1" t="s">
        <v>5</v>
      </c>
      <c r="G8" s="2">
        <v>20250401</v>
      </c>
      <c r="H8" s="3" t="s">
        <v>6</v>
      </c>
      <c r="I8" s="4">
        <v>85.1</v>
      </c>
      <c r="J8" s="5">
        <v>0.2</v>
      </c>
      <c r="K8" s="4">
        <v>17.02</v>
      </c>
      <c r="L8" s="6"/>
      <c r="M8" s="7">
        <v>18.72</v>
      </c>
      <c r="N8" s="8">
        <v>0.22</v>
      </c>
      <c r="O8" s="9">
        <v>17.02</v>
      </c>
      <c r="P8" s="6" t="s">
        <v>7</v>
      </c>
      <c r="Q8" s="6" t="s">
        <v>8</v>
      </c>
      <c r="R8" s="6" t="s">
        <v>9</v>
      </c>
      <c r="S8" s="6">
        <v>20250422</v>
      </c>
      <c r="T8" s="6" t="s">
        <v>9</v>
      </c>
      <c r="U8" s="6" t="s">
        <v>9</v>
      </c>
    </row>
    <row r="9" spans="1:21" ht="15.75" x14ac:dyDescent="0.25">
      <c r="A9" s="1" t="s">
        <v>0</v>
      </c>
      <c r="B9" s="1" t="s">
        <v>19</v>
      </c>
      <c r="C9" s="1" t="s">
        <v>28</v>
      </c>
      <c r="D9" s="1" t="s">
        <v>29</v>
      </c>
      <c r="E9" s="1" t="s">
        <v>25</v>
      </c>
      <c r="F9" s="1" t="s">
        <v>5</v>
      </c>
      <c r="G9" s="2">
        <v>20250401</v>
      </c>
      <c r="H9" s="3" t="s">
        <v>6</v>
      </c>
      <c r="I9" s="4">
        <v>43</v>
      </c>
      <c r="J9" s="5">
        <v>0.2</v>
      </c>
      <c r="K9" s="4">
        <v>8.6</v>
      </c>
      <c r="L9" s="6"/>
      <c r="M9" s="7">
        <v>9.4600000000000009</v>
      </c>
      <c r="N9" s="8">
        <v>0.22</v>
      </c>
      <c r="O9" s="9">
        <v>8.6</v>
      </c>
      <c r="P9" s="6" t="s">
        <v>7</v>
      </c>
      <c r="Q9" s="6" t="s">
        <v>8</v>
      </c>
      <c r="R9" s="6" t="s">
        <v>9</v>
      </c>
      <c r="S9" s="6">
        <v>20250422</v>
      </c>
      <c r="T9" s="6" t="s">
        <v>9</v>
      </c>
      <c r="U9" s="6" t="s">
        <v>9</v>
      </c>
    </row>
    <row r="10" spans="1:21" ht="15.75" x14ac:dyDescent="0.25">
      <c r="A10" s="1" t="s">
        <v>0</v>
      </c>
      <c r="B10" s="1" t="s">
        <v>19</v>
      </c>
      <c r="C10" s="1" t="s">
        <v>30</v>
      </c>
      <c r="D10" s="1" t="s">
        <v>31</v>
      </c>
      <c r="E10" s="1" t="s">
        <v>25</v>
      </c>
      <c r="F10" s="1" t="s">
        <v>5</v>
      </c>
      <c r="G10" s="2">
        <v>20250401</v>
      </c>
      <c r="H10" s="3" t="s">
        <v>6</v>
      </c>
      <c r="I10" s="4">
        <v>43</v>
      </c>
      <c r="J10" s="5">
        <v>0.2</v>
      </c>
      <c r="K10" s="4">
        <v>8.6</v>
      </c>
      <c r="L10" s="6"/>
      <c r="M10" s="7">
        <v>9.4600000000000009</v>
      </c>
      <c r="N10" s="8">
        <v>0.22</v>
      </c>
      <c r="O10" s="9">
        <v>8.6</v>
      </c>
      <c r="P10" s="6" t="s">
        <v>7</v>
      </c>
      <c r="Q10" s="6" t="s">
        <v>8</v>
      </c>
      <c r="R10" s="6" t="s">
        <v>9</v>
      </c>
      <c r="S10" s="6">
        <v>20250422</v>
      </c>
      <c r="T10" s="6" t="s">
        <v>9</v>
      </c>
      <c r="U10" s="6" t="s">
        <v>9</v>
      </c>
    </row>
    <row r="11" spans="1:21" ht="15.75" x14ac:dyDescent="0.25">
      <c r="A11" s="1" t="s">
        <v>0</v>
      </c>
      <c r="B11" s="1" t="s">
        <v>19</v>
      </c>
      <c r="C11" s="1" t="s">
        <v>32</v>
      </c>
      <c r="D11" s="1" t="s">
        <v>33</v>
      </c>
      <c r="E11" s="1" t="s">
        <v>25</v>
      </c>
      <c r="F11" s="1" t="s">
        <v>5</v>
      </c>
      <c r="G11" s="2">
        <v>20250401</v>
      </c>
      <c r="H11" s="3" t="s">
        <v>6</v>
      </c>
      <c r="I11" s="4">
        <v>43</v>
      </c>
      <c r="J11" s="5">
        <v>0.2</v>
      </c>
      <c r="K11" s="4">
        <v>8.6</v>
      </c>
      <c r="L11" s="6"/>
      <c r="M11" s="7">
        <v>9.4600000000000009</v>
      </c>
      <c r="N11" s="8">
        <v>0.22</v>
      </c>
      <c r="O11" s="9">
        <v>8.6</v>
      </c>
      <c r="P11" s="6" t="s">
        <v>7</v>
      </c>
      <c r="Q11" s="6" t="s">
        <v>8</v>
      </c>
      <c r="R11" s="6" t="s">
        <v>9</v>
      </c>
      <c r="S11" s="6">
        <v>20250422</v>
      </c>
      <c r="T11" s="6" t="s">
        <v>9</v>
      </c>
      <c r="U11" s="6" t="s">
        <v>9</v>
      </c>
    </row>
    <row r="12" spans="1:21" ht="31.5" x14ac:dyDescent="0.25">
      <c r="A12" s="1" t="s">
        <v>0</v>
      </c>
      <c r="B12" s="1" t="s">
        <v>34</v>
      </c>
      <c r="C12" s="1" t="s">
        <v>35</v>
      </c>
      <c r="D12" s="1" t="s">
        <v>36</v>
      </c>
      <c r="E12" s="1" t="s">
        <v>37</v>
      </c>
      <c r="F12" s="1">
        <v>1</v>
      </c>
      <c r="G12" s="2">
        <v>20250401</v>
      </c>
      <c r="H12" s="3" t="s">
        <v>38</v>
      </c>
      <c r="I12" s="4">
        <v>122.19</v>
      </c>
      <c r="J12" s="5">
        <v>22</v>
      </c>
      <c r="K12" s="4">
        <v>22</v>
      </c>
      <c r="L12" s="6"/>
      <c r="M12" s="7">
        <v>22</v>
      </c>
      <c r="N12" s="8"/>
      <c r="O12" s="9"/>
      <c r="P12" s="6" t="s">
        <v>39</v>
      </c>
      <c r="Q12" s="6" t="s">
        <v>8</v>
      </c>
      <c r="R12" s="6" t="s">
        <v>9</v>
      </c>
      <c r="S12" s="6">
        <v>20250422</v>
      </c>
      <c r="T12" s="6" t="s">
        <v>40</v>
      </c>
      <c r="U12" s="6" t="s">
        <v>9</v>
      </c>
    </row>
    <row r="13" spans="1:21" ht="31.5" x14ac:dyDescent="0.25">
      <c r="A13" s="1" t="s">
        <v>0</v>
      </c>
      <c r="B13" s="1" t="s">
        <v>41</v>
      </c>
      <c r="C13" s="1" t="s">
        <v>42</v>
      </c>
      <c r="D13" s="1" t="s">
        <v>43</v>
      </c>
      <c r="E13" s="1" t="s">
        <v>44</v>
      </c>
      <c r="F13" s="1">
        <v>2</v>
      </c>
      <c r="G13" s="2">
        <v>20250401</v>
      </c>
      <c r="H13" s="3" t="s">
        <v>38</v>
      </c>
      <c r="I13" s="4">
        <v>983.89</v>
      </c>
      <c r="J13" s="5">
        <v>20</v>
      </c>
      <c r="K13" s="4">
        <v>40</v>
      </c>
      <c r="L13" s="6"/>
      <c r="M13" s="7">
        <v>40</v>
      </c>
      <c r="N13" s="8"/>
      <c r="O13" s="9"/>
      <c r="P13" s="6" t="s">
        <v>39</v>
      </c>
      <c r="Q13" s="6" t="s">
        <v>8</v>
      </c>
      <c r="R13" s="6" t="s">
        <v>9</v>
      </c>
      <c r="S13" s="6">
        <v>20250422</v>
      </c>
      <c r="T13" s="6" t="s">
        <v>40</v>
      </c>
      <c r="U13" s="6" t="s">
        <v>9</v>
      </c>
    </row>
    <row r="14" spans="1:21" ht="31.5" x14ac:dyDescent="0.25">
      <c r="A14" s="1" t="s">
        <v>0</v>
      </c>
      <c r="B14" s="1" t="s">
        <v>41</v>
      </c>
      <c r="C14" s="1" t="s">
        <v>45</v>
      </c>
      <c r="D14" s="1" t="s">
        <v>46</v>
      </c>
      <c r="E14" s="1" t="s">
        <v>44</v>
      </c>
      <c r="F14" s="1">
        <v>1</v>
      </c>
      <c r="G14" s="2">
        <v>20250401</v>
      </c>
      <c r="H14" s="3" t="s">
        <v>38</v>
      </c>
      <c r="I14" s="4">
        <v>55.34</v>
      </c>
      <c r="J14" s="5">
        <v>20</v>
      </c>
      <c r="K14" s="4">
        <v>20</v>
      </c>
      <c r="L14" s="6"/>
      <c r="M14" s="7">
        <v>20</v>
      </c>
      <c r="N14" s="8"/>
      <c r="O14" s="9"/>
      <c r="P14" s="6" t="s">
        <v>39</v>
      </c>
      <c r="Q14" s="6" t="s">
        <v>8</v>
      </c>
      <c r="R14" s="6" t="s">
        <v>9</v>
      </c>
      <c r="S14" s="6">
        <v>20250422</v>
      </c>
      <c r="T14" s="6" t="s">
        <v>40</v>
      </c>
      <c r="U14" s="6" t="s">
        <v>9</v>
      </c>
    </row>
    <row r="15" spans="1:21" ht="15.75" x14ac:dyDescent="0.25">
      <c r="A15" s="1" t="s">
        <v>0</v>
      </c>
      <c r="B15" s="1" t="s">
        <v>41</v>
      </c>
      <c r="C15" s="1" t="s">
        <v>47</v>
      </c>
      <c r="D15" s="1" t="s">
        <v>48</v>
      </c>
      <c r="E15" s="1" t="s">
        <v>12</v>
      </c>
      <c r="F15" s="1" t="s">
        <v>5</v>
      </c>
      <c r="G15" s="2">
        <v>20250401</v>
      </c>
      <c r="H15" s="3" t="s">
        <v>6</v>
      </c>
      <c r="I15" s="4">
        <v>48.96</v>
      </c>
      <c r="J15" s="5">
        <v>0.2</v>
      </c>
      <c r="K15" s="4">
        <v>9.7920000000000016</v>
      </c>
      <c r="L15" s="6"/>
      <c r="M15" s="7">
        <v>9.7899999999999991</v>
      </c>
      <c r="N15" s="8">
        <v>0.2</v>
      </c>
      <c r="O15" s="9">
        <v>9.7920000000000016</v>
      </c>
      <c r="P15" s="6" t="s">
        <v>7</v>
      </c>
      <c r="Q15" s="6" t="s">
        <v>8</v>
      </c>
      <c r="R15" s="6" t="s">
        <v>9</v>
      </c>
      <c r="S15" s="6">
        <v>20250422</v>
      </c>
      <c r="T15" s="6" t="s">
        <v>9</v>
      </c>
      <c r="U15" s="6" t="s">
        <v>9</v>
      </c>
    </row>
    <row r="16" spans="1:21" ht="15.75" x14ac:dyDescent="0.25">
      <c r="A16" s="1" t="s">
        <v>0</v>
      </c>
      <c r="B16" s="1" t="s">
        <v>41</v>
      </c>
      <c r="C16" s="1" t="s">
        <v>49</v>
      </c>
      <c r="D16" s="1" t="s">
        <v>50</v>
      </c>
      <c r="E16" s="1" t="s">
        <v>44</v>
      </c>
      <c r="F16" s="1" t="s">
        <v>5</v>
      </c>
      <c r="G16" s="2">
        <v>20250401</v>
      </c>
      <c r="H16" s="3" t="s">
        <v>6</v>
      </c>
      <c r="I16" s="4">
        <v>99.32</v>
      </c>
      <c r="J16" s="5">
        <v>0.2</v>
      </c>
      <c r="K16" s="4">
        <v>19.864000000000001</v>
      </c>
      <c r="L16" s="6"/>
      <c r="M16" s="7">
        <v>19.86</v>
      </c>
      <c r="N16" s="8">
        <v>0.2</v>
      </c>
      <c r="O16" s="9">
        <v>19.864000000000001</v>
      </c>
      <c r="P16" s="6" t="s">
        <v>7</v>
      </c>
      <c r="Q16" s="6" t="s">
        <v>8</v>
      </c>
      <c r="R16" s="6" t="s">
        <v>9</v>
      </c>
      <c r="S16" s="6">
        <v>20250422</v>
      </c>
      <c r="T16" s="6" t="s">
        <v>9</v>
      </c>
      <c r="U16" s="6" t="s">
        <v>9</v>
      </c>
    </row>
    <row r="17" spans="1:21" ht="15.75" x14ac:dyDescent="0.25">
      <c r="A17" s="1" t="s">
        <v>0</v>
      </c>
      <c r="B17" s="1" t="s">
        <v>41</v>
      </c>
      <c r="C17" s="1" t="s">
        <v>51</v>
      </c>
      <c r="D17" s="1" t="s">
        <v>52</v>
      </c>
      <c r="E17" s="1" t="s">
        <v>44</v>
      </c>
      <c r="F17" s="1" t="s">
        <v>5</v>
      </c>
      <c r="G17" s="2">
        <v>20250401</v>
      </c>
      <c r="H17" s="3" t="s">
        <v>6</v>
      </c>
      <c r="I17" s="4">
        <v>64.09</v>
      </c>
      <c r="J17" s="5">
        <v>0.2</v>
      </c>
      <c r="K17" s="4">
        <v>12.818000000000001</v>
      </c>
      <c r="L17" s="6"/>
      <c r="M17" s="7">
        <v>12.82</v>
      </c>
      <c r="N17" s="8">
        <v>0.2</v>
      </c>
      <c r="O17" s="9">
        <v>12.818000000000001</v>
      </c>
      <c r="P17" s="6" t="s">
        <v>7</v>
      </c>
      <c r="Q17" s="6" t="s">
        <v>8</v>
      </c>
      <c r="R17" s="6" t="s">
        <v>9</v>
      </c>
      <c r="S17" s="6">
        <v>20250422</v>
      </c>
      <c r="T17" s="6" t="s">
        <v>9</v>
      </c>
      <c r="U17" s="6" t="s">
        <v>9</v>
      </c>
    </row>
    <row r="18" spans="1:21" ht="15.75" x14ac:dyDescent="0.25">
      <c r="A18" s="1" t="s">
        <v>0</v>
      </c>
      <c r="B18" s="1" t="s">
        <v>53</v>
      </c>
      <c r="C18" s="1" t="s">
        <v>54</v>
      </c>
      <c r="D18" s="1" t="s">
        <v>55</v>
      </c>
      <c r="E18" s="1" t="s">
        <v>12</v>
      </c>
      <c r="F18" s="1" t="s">
        <v>5</v>
      </c>
      <c r="G18" s="2">
        <v>20250401</v>
      </c>
      <c r="H18" s="3" t="s">
        <v>6</v>
      </c>
      <c r="I18" s="4">
        <v>157.46</v>
      </c>
      <c r="J18" s="5">
        <v>0.2</v>
      </c>
      <c r="K18" s="4">
        <v>31.492000000000004</v>
      </c>
      <c r="L18" s="6"/>
      <c r="M18" s="7">
        <v>31.49</v>
      </c>
      <c r="N18" s="8">
        <v>0.2</v>
      </c>
      <c r="O18" s="9">
        <v>31.492000000000004</v>
      </c>
      <c r="P18" s="6" t="s">
        <v>7</v>
      </c>
      <c r="Q18" s="6" t="s">
        <v>8</v>
      </c>
      <c r="R18" s="6" t="s">
        <v>9</v>
      </c>
      <c r="S18" s="6">
        <v>20250422</v>
      </c>
      <c r="T18" s="6" t="s">
        <v>9</v>
      </c>
      <c r="U18" s="6" t="s">
        <v>9</v>
      </c>
    </row>
    <row r="19" spans="1:21" ht="15.75" x14ac:dyDescent="0.25">
      <c r="A19" s="1" t="s">
        <v>0</v>
      </c>
      <c r="B19" s="1" t="s">
        <v>53</v>
      </c>
      <c r="C19" s="1" t="s">
        <v>56</v>
      </c>
      <c r="D19" s="1" t="s">
        <v>57</v>
      </c>
      <c r="E19" s="1" t="s">
        <v>12</v>
      </c>
      <c r="F19" s="1" t="s">
        <v>5</v>
      </c>
      <c r="G19" s="2">
        <v>20250401</v>
      </c>
      <c r="H19" s="3" t="s">
        <v>6</v>
      </c>
      <c r="I19" s="4">
        <v>120.17</v>
      </c>
      <c r="J19" s="5">
        <v>0.2</v>
      </c>
      <c r="K19" s="4">
        <v>24.034000000000002</v>
      </c>
      <c r="L19" s="6"/>
      <c r="M19" s="7">
        <v>24.03</v>
      </c>
      <c r="N19" s="8">
        <v>0.2</v>
      </c>
      <c r="O19" s="9">
        <v>24.034000000000002</v>
      </c>
      <c r="P19" s="6" t="s">
        <v>7</v>
      </c>
      <c r="Q19" s="6" t="s">
        <v>8</v>
      </c>
      <c r="R19" s="6" t="s">
        <v>9</v>
      </c>
      <c r="S19" s="6">
        <v>20250422</v>
      </c>
      <c r="T19" s="6" t="s">
        <v>9</v>
      </c>
      <c r="U19" s="6" t="s">
        <v>9</v>
      </c>
    </row>
    <row r="20" spans="1:21" ht="15.75" x14ac:dyDescent="0.25">
      <c r="A20" s="1" t="s">
        <v>0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5</v>
      </c>
      <c r="G20" s="2">
        <v>20250401</v>
      </c>
      <c r="H20" s="3" t="s">
        <v>6</v>
      </c>
      <c r="I20" s="4">
        <v>40.89</v>
      </c>
      <c r="J20" s="5">
        <v>0.2</v>
      </c>
      <c r="K20" s="4">
        <v>8.1780000000000008</v>
      </c>
      <c r="L20" s="6"/>
      <c r="M20" s="7">
        <v>8.18</v>
      </c>
      <c r="N20" s="8">
        <v>0.2</v>
      </c>
      <c r="O20" s="9">
        <v>8.1780000000000008</v>
      </c>
      <c r="P20" s="6" t="s">
        <v>7</v>
      </c>
      <c r="Q20" s="6" t="s">
        <v>8</v>
      </c>
      <c r="R20" s="6" t="s">
        <v>9</v>
      </c>
      <c r="S20" s="6">
        <v>20250422</v>
      </c>
      <c r="T20" s="6" t="s">
        <v>9</v>
      </c>
      <c r="U20" s="6" t="s">
        <v>9</v>
      </c>
    </row>
    <row r="21" spans="1:21" ht="15.75" x14ac:dyDescent="0.25">
      <c r="A21" s="1" t="s">
        <v>0</v>
      </c>
      <c r="B21" s="1" t="s">
        <v>58</v>
      </c>
      <c r="C21" s="1" t="s">
        <v>62</v>
      </c>
      <c r="D21" s="1" t="s">
        <v>63</v>
      </c>
      <c r="E21" s="1" t="s">
        <v>61</v>
      </c>
      <c r="F21" s="1" t="s">
        <v>5</v>
      </c>
      <c r="G21" s="2">
        <v>20250401</v>
      </c>
      <c r="H21" s="3" t="s">
        <v>6</v>
      </c>
      <c r="I21" s="4">
        <v>74.58</v>
      </c>
      <c r="J21" s="5">
        <v>0.2</v>
      </c>
      <c r="K21" s="4">
        <v>14.916</v>
      </c>
      <c r="L21" s="6"/>
      <c r="M21" s="7">
        <v>14.92</v>
      </c>
      <c r="N21" s="8">
        <v>0.2</v>
      </c>
      <c r="O21" s="9">
        <v>14.916</v>
      </c>
      <c r="P21" s="6" t="s">
        <v>7</v>
      </c>
      <c r="Q21" s="6" t="s">
        <v>8</v>
      </c>
      <c r="R21" s="6" t="s">
        <v>9</v>
      </c>
      <c r="S21" s="6">
        <v>20250422</v>
      </c>
      <c r="T21" s="6" t="s">
        <v>9</v>
      </c>
      <c r="U21" s="6" t="s">
        <v>9</v>
      </c>
    </row>
    <row r="22" spans="1:21" ht="15.75" x14ac:dyDescent="0.25">
      <c r="A22" s="1" t="s">
        <v>0</v>
      </c>
      <c r="B22" s="1" t="s">
        <v>58</v>
      </c>
      <c r="C22" s="1" t="s">
        <v>64</v>
      </c>
      <c r="D22" s="1" t="s">
        <v>65</v>
      </c>
      <c r="E22" s="1" t="s">
        <v>61</v>
      </c>
      <c r="F22" s="1" t="s">
        <v>5</v>
      </c>
      <c r="G22" s="2">
        <v>20250401</v>
      </c>
      <c r="H22" s="3" t="s">
        <v>6</v>
      </c>
      <c r="I22" s="4">
        <v>64.17</v>
      </c>
      <c r="J22" s="5">
        <v>0.2</v>
      </c>
      <c r="K22" s="4">
        <v>12.834000000000001</v>
      </c>
      <c r="L22" s="6"/>
      <c r="M22" s="7">
        <v>12.83</v>
      </c>
      <c r="N22" s="8">
        <v>0.2</v>
      </c>
      <c r="O22" s="9">
        <v>12.834000000000001</v>
      </c>
      <c r="P22" s="6" t="s">
        <v>7</v>
      </c>
      <c r="Q22" s="6" t="s">
        <v>8</v>
      </c>
      <c r="R22" s="6" t="s">
        <v>9</v>
      </c>
      <c r="S22" s="6">
        <v>20250422</v>
      </c>
      <c r="T22" s="6" t="s">
        <v>9</v>
      </c>
      <c r="U22" s="6" t="s">
        <v>9</v>
      </c>
    </row>
    <row r="23" spans="1:21" ht="15.75" x14ac:dyDescent="0.25">
      <c r="A23" s="1" t="s">
        <v>0</v>
      </c>
      <c r="B23" s="1" t="s">
        <v>58</v>
      </c>
      <c r="C23" s="1" t="s">
        <v>66</v>
      </c>
      <c r="D23" s="1" t="s">
        <v>67</v>
      </c>
      <c r="E23" s="1" t="s">
        <v>61</v>
      </c>
      <c r="F23" s="1" t="s">
        <v>5</v>
      </c>
      <c r="G23" s="2">
        <v>20250401</v>
      </c>
      <c r="H23" s="3" t="s">
        <v>6</v>
      </c>
      <c r="I23" s="4">
        <v>56.51</v>
      </c>
      <c r="J23" s="5">
        <v>0.2</v>
      </c>
      <c r="K23" s="4">
        <v>11.302</v>
      </c>
      <c r="L23" s="6"/>
      <c r="M23" s="7">
        <v>11.3</v>
      </c>
      <c r="N23" s="8">
        <v>0.2</v>
      </c>
      <c r="O23" s="9">
        <v>11.302</v>
      </c>
      <c r="P23" s="6" t="s">
        <v>7</v>
      </c>
      <c r="Q23" s="6" t="s">
        <v>8</v>
      </c>
      <c r="R23" s="6" t="s">
        <v>9</v>
      </c>
      <c r="S23" s="6">
        <v>20250422</v>
      </c>
      <c r="T23" s="6" t="s">
        <v>9</v>
      </c>
      <c r="U23" s="6" t="s">
        <v>9</v>
      </c>
    </row>
    <row r="24" spans="1:21" ht="15.75" x14ac:dyDescent="0.25">
      <c r="A24" s="1" t="s">
        <v>0</v>
      </c>
      <c r="B24" s="1" t="s">
        <v>58</v>
      </c>
      <c r="C24" s="1" t="s">
        <v>68</v>
      </c>
      <c r="D24" s="1" t="s">
        <v>69</v>
      </c>
      <c r="E24" s="1" t="s">
        <v>61</v>
      </c>
      <c r="F24" s="1" t="s">
        <v>5</v>
      </c>
      <c r="G24" s="2">
        <v>20250401</v>
      </c>
      <c r="H24" s="3" t="s">
        <v>6</v>
      </c>
      <c r="I24" s="4">
        <v>37.29</v>
      </c>
      <c r="J24" s="5">
        <v>0.2</v>
      </c>
      <c r="K24" s="4">
        <v>7.4580000000000002</v>
      </c>
      <c r="L24" s="6"/>
      <c r="M24" s="7">
        <v>7.46</v>
      </c>
      <c r="N24" s="8">
        <v>0.2</v>
      </c>
      <c r="O24" s="9">
        <v>7.4580000000000002</v>
      </c>
      <c r="P24" s="6" t="s">
        <v>7</v>
      </c>
      <c r="Q24" s="6" t="s">
        <v>8</v>
      </c>
      <c r="R24" s="6" t="s">
        <v>9</v>
      </c>
      <c r="S24" s="6">
        <v>20250422</v>
      </c>
      <c r="T24" s="6" t="s">
        <v>9</v>
      </c>
      <c r="U24" s="6" t="s">
        <v>9</v>
      </c>
    </row>
    <row r="25" spans="1:21" ht="15.75" x14ac:dyDescent="0.25">
      <c r="A25" s="1" t="s">
        <v>0</v>
      </c>
      <c r="B25" s="1" t="s">
        <v>58</v>
      </c>
      <c r="C25" s="1" t="s">
        <v>70</v>
      </c>
      <c r="D25" s="1" t="s">
        <v>71</v>
      </c>
      <c r="E25" s="1" t="s">
        <v>61</v>
      </c>
      <c r="F25" s="1" t="s">
        <v>5</v>
      </c>
      <c r="G25" s="2">
        <v>20250401</v>
      </c>
      <c r="H25" s="3" t="s">
        <v>6</v>
      </c>
      <c r="I25" s="4">
        <v>36.92</v>
      </c>
      <c r="J25" s="5">
        <v>0.2</v>
      </c>
      <c r="K25" s="4">
        <v>7.3840000000000003</v>
      </c>
      <c r="L25" s="6"/>
      <c r="M25" s="7">
        <v>7.38</v>
      </c>
      <c r="N25" s="8">
        <v>0.2</v>
      </c>
      <c r="O25" s="9">
        <v>7.3840000000000003</v>
      </c>
      <c r="P25" s="6" t="s">
        <v>7</v>
      </c>
      <c r="Q25" s="6" t="s">
        <v>8</v>
      </c>
      <c r="R25" s="6" t="s">
        <v>9</v>
      </c>
      <c r="S25" s="6">
        <v>20250422</v>
      </c>
      <c r="T25" s="6" t="s">
        <v>9</v>
      </c>
      <c r="U25" s="6" t="s">
        <v>9</v>
      </c>
    </row>
    <row r="26" spans="1:21" ht="15.75" x14ac:dyDescent="0.25">
      <c r="A26" s="1" t="s">
        <v>0</v>
      </c>
      <c r="B26" s="1" t="s">
        <v>58</v>
      </c>
      <c r="C26" s="1" t="s">
        <v>72</v>
      </c>
      <c r="D26" s="1" t="s">
        <v>73</v>
      </c>
      <c r="E26" s="1" t="s">
        <v>61</v>
      </c>
      <c r="F26" s="1" t="s">
        <v>5</v>
      </c>
      <c r="G26" s="2">
        <v>20250401</v>
      </c>
      <c r="H26" s="3" t="s">
        <v>6</v>
      </c>
      <c r="I26" s="4">
        <v>54.87</v>
      </c>
      <c r="J26" s="5">
        <v>0.2</v>
      </c>
      <c r="K26" s="4">
        <v>10.974</v>
      </c>
      <c r="L26" s="6"/>
      <c r="M26" s="7">
        <v>10.97</v>
      </c>
      <c r="N26" s="8">
        <v>0.2</v>
      </c>
      <c r="O26" s="9">
        <v>10.974</v>
      </c>
      <c r="P26" s="6" t="s">
        <v>7</v>
      </c>
      <c r="Q26" s="6" t="s">
        <v>8</v>
      </c>
      <c r="R26" s="6" t="s">
        <v>9</v>
      </c>
      <c r="S26" s="6">
        <v>20250422</v>
      </c>
      <c r="T26" s="6" t="s">
        <v>9</v>
      </c>
      <c r="U26" s="6" t="s">
        <v>9</v>
      </c>
    </row>
    <row r="27" spans="1:21" ht="15.75" x14ac:dyDescent="0.25">
      <c r="A27" s="1" t="s">
        <v>0</v>
      </c>
      <c r="B27" s="1" t="s">
        <v>58</v>
      </c>
      <c r="C27" s="1" t="s">
        <v>74</v>
      </c>
      <c r="D27" s="1" t="s">
        <v>75</v>
      </c>
      <c r="E27" s="1" t="s">
        <v>61</v>
      </c>
      <c r="F27" s="1" t="s">
        <v>5</v>
      </c>
      <c r="G27" s="2">
        <v>20250401</v>
      </c>
      <c r="H27" s="3" t="s">
        <v>6</v>
      </c>
      <c r="I27" s="4">
        <v>72.92</v>
      </c>
      <c r="J27" s="5">
        <v>0.2</v>
      </c>
      <c r="K27" s="4">
        <v>14.584000000000001</v>
      </c>
      <c r="L27" s="6"/>
      <c r="M27" s="7">
        <v>14.58</v>
      </c>
      <c r="N27" s="8">
        <v>0.2</v>
      </c>
      <c r="O27" s="9">
        <v>14.584000000000001</v>
      </c>
      <c r="P27" s="6" t="s">
        <v>7</v>
      </c>
      <c r="Q27" s="6" t="s">
        <v>8</v>
      </c>
      <c r="R27" s="6" t="s">
        <v>9</v>
      </c>
      <c r="S27" s="6">
        <v>20250422</v>
      </c>
      <c r="T27" s="6" t="s">
        <v>9</v>
      </c>
      <c r="U27" s="6" t="s">
        <v>9</v>
      </c>
    </row>
    <row r="28" spans="1:21" ht="15.75" x14ac:dyDescent="0.25">
      <c r="A28" s="1" t="s">
        <v>0</v>
      </c>
      <c r="B28" s="1" t="s">
        <v>58</v>
      </c>
      <c r="C28" s="1" t="s">
        <v>76</v>
      </c>
      <c r="D28" s="1" t="s">
        <v>77</v>
      </c>
      <c r="E28" s="1" t="s">
        <v>61</v>
      </c>
      <c r="F28" s="1" t="s">
        <v>5</v>
      </c>
      <c r="G28" s="2">
        <v>20250401</v>
      </c>
      <c r="H28" s="3" t="s">
        <v>6</v>
      </c>
      <c r="I28" s="4">
        <v>39.700000000000003</v>
      </c>
      <c r="J28" s="5">
        <v>0.2</v>
      </c>
      <c r="K28" s="4">
        <v>7.9400000000000013</v>
      </c>
      <c r="L28" s="6"/>
      <c r="M28" s="7">
        <v>7.94</v>
      </c>
      <c r="N28" s="8">
        <v>0.2</v>
      </c>
      <c r="O28" s="9">
        <v>7.9400000000000013</v>
      </c>
      <c r="P28" s="6" t="s">
        <v>7</v>
      </c>
      <c r="Q28" s="6" t="s">
        <v>8</v>
      </c>
      <c r="R28" s="6" t="s">
        <v>9</v>
      </c>
      <c r="S28" s="6">
        <v>20250422</v>
      </c>
      <c r="T28" s="6" t="s">
        <v>9</v>
      </c>
      <c r="U28" s="6" t="s">
        <v>9</v>
      </c>
    </row>
    <row r="29" spans="1:21" ht="15.75" x14ac:dyDescent="0.25">
      <c r="A29" s="1" t="s">
        <v>0</v>
      </c>
      <c r="B29" s="1" t="s">
        <v>58</v>
      </c>
      <c r="C29" s="1" t="s">
        <v>78</v>
      </c>
      <c r="D29" s="1" t="s">
        <v>79</v>
      </c>
      <c r="E29" s="1" t="s">
        <v>80</v>
      </c>
      <c r="F29" s="1" t="s">
        <v>5</v>
      </c>
      <c r="G29" s="2">
        <v>20250401</v>
      </c>
      <c r="H29" s="3" t="s">
        <v>6</v>
      </c>
      <c r="I29" s="4">
        <v>51.11</v>
      </c>
      <c r="J29" s="5">
        <v>0.2</v>
      </c>
      <c r="K29" s="4">
        <v>10.222000000000001</v>
      </c>
      <c r="L29" s="6"/>
      <c r="M29" s="7">
        <v>10.220000000000001</v>
      </c>
      <c r="N29" s="8">
        <v>0.2</v>
      </c>
      <c r="O29" s="9">
        <v>10.222000000000001</v>
      </c>
      <c r="P29" s="6" t="s">
        <v>7</v>
      </c>
      <c r="Q29" s="6" t="s">
        <v>8</v>
      </c>
      <c r="R29" s="6" t="s">
        <v>9</v>
      </c>
      <c r="S29" s="6">
        <v>20250422</v>
      </c>
      <c r="T29" s="6" t="s">
        <v>9</v>
      </c>
      <c r="U29" s="6" t="s">
        <v>9</v>
      </c>
    </row>
    <row r="30" spans="1:21" ht="31.5" x14ac:dyDescent="0.25">
      <c r="A30" s="1" t="s">
        <v>0</v>
      </c>
      <c r="B30" s="1" t="s">
        <v>81</v>
      </c>
      <c r="C30" s="1" t="s">
        <v>82</v>
      </c>
      <c r="D30" s="1" t="s">
        <v>83</v>
      </c>
      <c r="E30" s="1" t="s">
        <v>44</v>
      </c>
      <c r="F30" s="1">
        <v>2</v>
      </c>
      <c r="G30" s="2">
        <v>20250401</v>
      </c>
      <c r="H30" s="3" t="s">
        <v>38</v>
      </c>
      <c r="I30" s="4">
        <v>86.34</v>
      </c>
      <c r="J30" s="5">
        <v>20</v>
      </c>
      <c r="K30" s="4">
        <v>40</v>
      </c>
      <c r="L30" s="6"/>
      <c r="M30" s="7">
        <v>40</v>
      </c>
      <c r="N30" s="8"/>
      <c r="O30" s="9"/>
      <c r="P30" s="6" t="s">
        <v>39</v>
      </c>
      <c r="Q30" s="6" t="s">
        <v>8</v>
      </c>
      <c r="R30" s="6" t="s">
        <v>9</v>
      </c>
      <c r="S30" s="6">
        <v>20250422</v>
      </c>
      <c r="T30" s="6" t="s">
        <v>40</v>
      </c>
      <c r="U30" s="6" t="s">
        <v>9</v>
      </c>
    </row>
    <row r="31" spans="1:21" ht="31.5" x14ac:dyDescent="0.25">
      <c r="A31" s="1" t="s">
        <v>0</v>
      </c>
      <c r="B31" s="1" t="s">
        <v>81</v>
      </c>
      <c r="C31" s="1" t="s">
        <v>84</v>
      </c>
      <c r="D31" s="1" t="s">
        <v>85</v>
      </c>
      <c r="E31" s="1" t="s">
        <v>44</v>
      </c>
      <c r="F31" s="1">
        <v>1</v>
      </c>
      <c r="G31" s="2">
        <v>20250401</v>
      </c>
      <c r="H31" s="3" t="s">
        <v>38</v>
      </c>
      <c r="I31" s="4">
        <v>187.08</v>
      </c>
      <c r="J31" s="5">
        <v>20</v>
      </c>
      <c r="K31" s="4">
        <v>20</v>
      </c>
      <c r="L31" s="6"/>
      <c r="M31" s="7">
        <v>20</v>
      </c>
      <c r="N31" s="8"/>
      <c r="O31" s="9"/>
      <c r="P31" s="6" t="s">
        <v>39</v>
      </c>
      <c r="Q31" s="6" t="s">
        <v>8</v>
      </c>
      <c r="R31" s="6" t="s">
        <v>9</v>
      </c>
      <c r="S31" s="6">
        <v>20250422</v>
      </c>
      <c r="T31" s="6" t="s">
        <v>40</v>
      </c>
      <c r="U31" s="6" t="s">
        <v>9</v>
      </c>
    </row>
    <row r="32" spans="1:21" ht="31.5" x14ac:dyDescent="0.25">
      <c r="A32" s="1" t="s">
        <v>0</v>
      </c>
      <c r="B32" s="1" t="s">
        <v>81</v>
      </c>
      <c r="C32" s="1" t="s">
        <v>86</v>
      </c>
      <c r="D32" s="1" t="s">
        <v>87</v>
      </c>
      <c r="E32" s="1" t="s">
        <v>44</v>
      </c>
      <c r="F32" s="1">
        <v>3</v>
      </c>
      <c r="G32" s="2">
        <v>20250401</v>
      </c>
      <c r="H32" s="3" t="s">
        <v>38</v>
      </c>
      <c r="I32" s="4">
        <v>1604.64</v>
      </c>
      <c r="J32" s="5">
        <v>20</v>
      </c>
      <c r="K32" s="4">
        <v>60</v>
      </c>
      <c r="L32" s="6"/>
      <c r="M32" s="7">
        <v>60</v>
      </c>
      <c r="N32" s="8"/>
      <c r="O32" s="9"/>
      <c r="P32" s="6" t="s">
        <v>39</v>
      </c>
      <c r="Q32" s="6" t="s">
        <v>88</v>
      </c>
      <c r="R32" s="6" t="s">
        <v>9</v>
      </c>
      <c r="S32" s="6">
        <v>20250422</v>
      </c>
      <c r="T32" s="6" t="s">
        <v>40</v>
      </c>
      <c r="U32" s="6" t="s">
        <v>9</v>
      </c>
    </row>
    <row r="33" spans="1:21" ht="31.5" x14ac:dyDescent="0.25">
      <c r="A33" s="1" t="s">
        <v>0</v>
      </c>
      <c r="B33" s="1" t="s">
        <v>81</v>
      </c>
      <c r="C33" s="1" t="s">
        <v>89</v>
      </c>
      <c r="D33" s="1" t="s">
        <v>90</v>
      </c>
      <c r="E33" s="1" t="s">
        <v>44</v>
      </c>
      <c r="F33" s="1">
        <v>1</v>
      </c>
      <c r="G33" s="2">
        <v>20250401</v>
      </c>
      <c r="H33" s="3" t="s">
        <v>38</v>
      </c>
      <c r="I33" s="4">
        <v>219.28</v>
      </c>
      <c r="J33" s="5">
        <v>20</v>
      </c>
      <c r="K33" s="4">
        <v>20</v>
      </c>
      <c r="L33" s="6"/>
      <c r="M33" s="7">
        <v>20</v>
      </c>
      <c r="N33" s="8"/>
      <c r="O33" s="9"/>
      <c r="P33" s="6" t="s">
        <v>39</v>
      </c>
      <c r="Q33" s="6" t="s">
        <v>8</v>
      </c>
      <c r="R33" s="6" t="s">
        <v>9</v>
      </c>
      <c r="S33" s="6">
        <v>20250422</v>
      </c>
      <c r="T33" s="6" t="s">
        <v>40</v>
      </c>
      <c r="U33" s="6" t="s">
        <v>9</v>
      </c>
    </row>
    <row r="34" spans="1:21" ht="31.5" x14ac:dyDescent="0.25">
      <c r="A34" s="1" t="s">
        <v>0</v>
      </c>
      <c r="B34" s="1" t="s">
        <v>81</v>
      </c>
      <c r="C34" s="1" t="s">
        <v>91</v>
      </c>
      <c r="D34" s="1" t="s">
        <v>92</v>
      </c>
      <c r="E34" s="1" t="s">
        <v>44</v>
      </c>
      <c r="F34" s="1">
        <v>4</v>
      </c>
      <c r="G34" s="2">
        <v>20250401</v>
      </c>
      <c r="H34" s="3" t="s">
        <v>38</v>
      </c>
      <c r="I34" s="4">
        <v>43.27</v>
      </c>
      <c r="J34" s="5">
        <v>20</v>
      </c>
      <c r="K34" s="4">
        <v>80</v>
      </c>
      <c r="L34" s="6"/>
      <c r="M34" s="7">
        <v>80</v>
      </c>
      <c r="N34" s="8"/>
      <c r="O34" s="9"/>
      <c r="P34" s="6" t="s">
        <v>39</v>
      </c>
      <c r="Q34" s="6" t="s">
        <v>88</v>
      </c>
      <c r="R34" s="6" t="s">
        <v>9</v>
      </c>
      <c r="S34" s="6">
        <v>20250422</v>
      </c>
      <c r="T34" s="6" t="s">
        <v>40</v>
      </c>
      <c r="U34" s="6" t="s">
        <v>9</v>
      </c>
    </row>
    <row r="35" spans="1:21" ht="31.5" x14ac:dyDescent="0.25">
      <c r="A35" s="1" t="s">
        <v>0</v>
      </c>
      <c r="B35" s="1" t="s">
        <v>81</v>
      </c>
      <c r="C35" s="1" t="s">
        <v>93</v>
      </c>
      <c r="D35" s="1" t="s">
        <v>94</v>
      </c>
      <c r="E35" s="1" t="s">
        <v>44</v>
      </c>
      <c r="F35" s="1">
        <v>1</v>
      </c>
      <c r="G35" s="2">
        <v>20250401</v>
      </c>
      <c r="H35" s="3" t="s">
        <v>38</v>
      </c>
      <c r="I35" s="4">
        <v>487.98</v>
      </c>
      <c r="J35" s="5">
        <v>20</v>
      </c>
      <c r="K35" s="4">
        <v>20</v>
      </c>
      <c r="L35" s="6"/>
      <c r="M35" s="7">
        <v>20</v>
      </c>
      <c r="N35" s="8"/>
      <c r="O35" s="9"/>
      <c r="P35" s="6" t="s">
        <v>39</v>
      </c>
      <c r="Q35" s="6" t="s">
        <v>8</v>
      </c>
      <c r="R35" s="6" t="s">
        <v>9</v>
      </c>
      <c r="S35" s="6">
        <v>20250422</v>
      </c>
      <c r="T35" s="6" t="s">
        <v>40</v>
      </c>
      <c r="U35" s="6" t="s">
        <v>9</v>
      </c>
    </row>
    <row r="36" spans="1:21" ht="31.5" x14ac:dyDescent="0.25">
      <c r="A36" s="1" t="s">
        <v>0</v>
      </c>
      <c r="B36" s="1" t="s">
        <v>81</v>
      </c>
      <c r="C36" s="1" t="s">
        <v>95</v>
      </c>
      <c r="D36" s="1" t="s">
        <v>96</v>
      </c>
      <c r="E36" s="1" t="s">
        <v>44</v>
      </c>
      <c r="F36" s="1">
        <v>1</v>
      </c>
      <c r="G36" s="2">
        <v>20250301</v>
      </c>
      <c r="H36" s="3" t="s">
        <v>38</v>
      </c>
      <c r="I36" s="4">
        <v>399.52</v>
      </c>
      <c r="J36" s="5">
        <v>20</v>
      </c>
      <c r="K36" s="4">
        <v>20</v>
      </c>
      <c r="L36" s="6"/>
      <c r="M36" s="7">
        <v>20</v>
      </c>
      <c r="N36" s="8"/>
      <c r="O36" s="9"/>
      <c r="P36" s="6" t="s">
        <v>39</v>
      </c>
      <c r="Q36" s="6" t="s">
        <v>8</v>
      </c>
      <c r="R36" s="6" t="s">
        <v>9</v>
      </c>
      <c r="S36" s="6">
        <v>20250422</v>
      </c>
      <c r="T36" s="6" t="s">
        <v>40</v>
      </c>
      <c r="U36" s="6" t="s">
        <v>9</v>
      </c>
    </row>
    <row r="37" spans="1:21" ht="15.75" x14ac:dyDescent="0.25">
      <c r="A37" s="1" t="s">
        <v>0</v>
      </c>
      <c r="B37" s="1" t="s">
        <v>81</v>
      </c>
      <c r="C37" s="1" t="s">
        <v>97</v>
      </c>
      <c r="D37" s="1" t="s">
        <v>98</v>
      </c>
      <c r="E37" s="1" t="s">
        <v>44</v>
      </c>
      <c r="F37" s="1" t="s">
        <v>5</v>
      </c>
      <c r="G37" s="2">
        <v>20250401</v>
      </c>
      <c r="H37" s="3" t="s">
        <v>6</v>
      </c>
      <c r="I37" s="4">
        <v>221.92</v>
      </c>
      <c r="J37" s="5">
        <v>0.2</v>
      </c>
      <c r="K37" s="4">
        <v>44.384</v>
      </c>
      <c r="L37" s="6"/>
      <c r="M37" s="7">
        <v>44.38</v>
      </c>
      <c r="N37" s="8">
        <v>0.2</v>
      </c>
      <c r="O37" s="9">
        <v>44.384</v>
      </c>
      <c r="P37" s="6" t="s">
        <v>7</v>
      </c>
      <c r="Q37" s="6" t="s">
        <v>8</v>
      </c>
      <c r="R37" s="6" t="s">
        <v>9</v>
      </c>
      <c r="S37" s="6">
        <v>20250422</v>
      </c>
      <c r="T37" s="6" t="s">
        <v>9</v>
      </c>
      <c r="U37" s="6" t="s">
        <v>9</v>
      </c>
    </row>
    <row r="38" spans="1:21" ht="15.75" x14ac:dyDescent="0.25">
      <c r="A38" s="1" t="s">
        <v>0</v>
      </c>
      <c r="B38" s="1" t="s">
        <v>81</v>
      </c>
      <c r="C38" s="1" t="s">
        <v>99</v>
      </c>
      <c r="D38" s="1" t="s">
        <v>100</v>
      </c>
      <c r="E38" s="1" t="s">
        <v>44</v>
      </c>
      <c r="F38" s="1" t="s">
        <v>5</v>
      </c>
      <c r="G38" s="2">
        <v>20250401</v>
      </c>
      <c r="H38" s="3" t="s">
        <v>6</v>
      </c>
      <c r="I38" s="4">
        <v>49</v>
      </c>
      <c r="J38" s="5">
        <v>0.2</v>
      </c>
      <c r="K38" s="4">
        <v>9.8000000000000007</v>
      </c>
      <c r="L38" s="6"/>
      <c r="M38" s="7">
        <v>10.78</v>
      </c>
      <c r="N38" s="8">
        <v>0.22</v>
      </c>
      <c r="O38" s="9">
        <v>9.8000000000000007</v>
      </c>
      <c r="P38" s="6" t="s">
        <v>7</v>
      </c>
      <c r="Q38" s="6" t="s">
        <v>8</v>
      </c>
      <c r="R38" s="6" t="s">
        <v>9</v>
      </c>
      <c r="S38" s="6">
        <v>20250422</v>
      </c>
      <c r="T38" s="6" t="s">
        <v>9</v>
      </c>
      <c r="U38" s="6" t="s">
        <v>9</v>
      </c>
    </row>
    <row r="39" spans="1:21" ht="15.75" x14ac:dyDescent="0.25">
      <c r="A39" s="1" t="s">
        <v>0</v>
      </c>
      <c r="B39" s="1" t="s">
        <v>81</v>
      </c>
      <c r="C39" s="1" t="s">
        <v>101</v>
      </c>
      <c r="D39" s="1" t="s">
        <v>102</v>
      </c>
      <c r="E39" s="1" t="s">
        <v>44</v>
      </c>
      <c r="F39" s="1" t="s">
        <v>5</v>
      </c>
      <c r="G39" s="2">
        <v>20250401</v>
      </c>
      <c r="H39" s="3" t="s">
        <v>6</v>
      </c>
      <c r="I39" s="4">
        <v>53.65</v>
      </c>
      <c r="J39" s="5">
        <v>0.2</v>
      </c>
      <c r="K39" s="4">
        <v>10.73</v>
      </c>
      <c r="L39" s="6"/>
      <c r="M39" s="7">
        <v>11.8</v>
      </c>
      <c r="N39" s="8">
        <v>0.22</v>
      </c>
      <c r="O39" s="9">
        <v>10.73</v>
      </c>
      <c r="P39" s="6" t="s">
        <v>7</v>
      </c>
      <c r="Q39" s="6" t="s">
        <v>103</v>
      </c>
      <c r="R39" s="6" t="s">
        <v>9</v>
      </c>
      <c r="S39" s="6">
        <v>20250422</v>
      </c>
      <c r="T39" s="6" t="s">
        <v>9</v>
      </c>
      <c r="U39" s="6" t="s">
        <v>9</v>
      </c>
    </row>
    <row r="40" spans="1:21" ht="15.75" x14ac:dyDescent="0.25">
      <c r="A40" s="1" t="s">
        <v>0</v>
      </c>
      <c r="B40" s="1" t="s">
        <v>104</v>
      </c>
      <c r="C40" s="1" t="s">
        <v>105</v>
      </c>
      <c r="D40" s="1" t="s">
        <v>106</v>
      </c>
      <c r="E40" s="1" t="s">
        <v>12</v>
      </c>
      <c r="F40" s="1" t="s">
        <v>5</v>
      </c>
      <c r="G40" s="2">
        <v>20250401</v>
      </c>
      <c r="H40" s="3" t="s">
        <v>6</v>
      </c>
      <c r="I40" s="4">
        <v>18</v>
      </c>
      <c r="J40" s="5">
        <v>0.1</v>
      </c>
      <c r="K40" s="4">
        <v>1.8</v>
      </c>
      <c r="L40" s="6"/>
      <c r="M40" s="7">
        <v>2.16</v>
      </c>
      <c r="N40" s="8">
        <v>0.12</v>
      </c>
      <c r="O40" s="9">
        <v>1.8</v>
      </c>
      <c r="P40" s="6" t="s">
        <v>7</v>
      </c>
      <c r="Q40" s="6" t="s">
        <v>8</v>
      </c>
      <c r="R40" s="6" t="s">
        <v>9</v>
      </c>
      <c r="S40" s="6">
        <v>20250422</v>
      </c>
      <c r="T40" s="6" t="s">
        <v>9</v>
      </c>
      <c r="U40" s="6" t="s">
        <v>9</v>
      </c>
    </row>
    <row r="41" spans="1:21" ht="15.75" x14ac:dyDescent="0.25">
      <c r="A41" s="1" t="s">
        <v>0</v>
      </c>
      <c r="B41" s="1" t="s">
        <v>104</v>
      </c>
      <c r="C41" s="1" t="s">
        <v>107</v>
      </c>
      <c r="D41" s="1" t="s">
        <v>108</v>
      </c>
      <c r="E41" s="1" t="s">
        <v>12</v>
      </c>
      <c r="F41" s="1" t="s">
        <v>5</v>
      </c>
      <c r="G41" s="2">
        <v>20250401</v>
      </c>
      <c r="H41" s="3" t="s">
        <v>6</v>
      </c>
      <c r="I41" s="4">
        <v>18</v>
      </c>
      <c r="J41" s="5">
        <v>0.1</v>
      </c>
      <c r="K41" s="4">
        <v>1.8</v>
      </c>
      <c r="L41" s="6"/>
      <c r="M41" s="7">
        <v>2.16</v>
      </c>
      <c r="N41" s="8">
        <v>0.12</v>
      </c>
      <c r="O41" s="9">
        <v>1.8</v>
      </c>
      <c r="P41" s="6" t="s">
        <v>7</v>
      </c>
      <c r="Q41" s="6" t="s">
        <v>8</v>
      </c>
      <c r="R41" s="6" t="s">
        <v>9</v>
      </c>
      <c r="S41" s="6">
        <v>20250422</v>
      </c>
      <c r="T41" s="6" t="s">
        <v>9</v>
      </c>
      <c r="U41" s="6" t="s">
        <v>9</v>
      </c>
    </row>
    <row r="42" spans="1:21" ht="15.75" x14ac:dyDescent="0.25">
      <c r="A42" s="1" t="s">
        <v>0</v>
      </c>
      <c r="B42" s="1" t="s">
        <v>104</v>
      </c>
      <c r="C42" s="1" t="s">
        <v>109</v>
      </c>
      <c r="D42" s="1" t="s">
        <v>110</v>
      </c>
      <c r="E42" s="1" t="s">
        <v>12</v>
      </c>
      <c r="F42" s="1" t="s">
        <v>5</v>
      </c>
      <c r="G42" s="2">
        <v>20250401</v>
      </c>
      <c r="H42" s="3" t="s">
        <v>6</v>
      </c>
      <c r="I42" s="4">
        <v>18</v>
      </c>
      <c r="J42" s="5">
        <v>0.1</v>
      </c>
      <c r="K42" s="4">
        <v>1.8</v>
      </c>
      <c r="L42" s="6"/>
      <c r="M42" s="7">
        <v>2.16</v>
      </c>
      <c r="N42" s="8">
        <v>0.12</v>
      </c>
      <c r="O42" s="9">
        <v>1.8</v>
      </c>
      <c r="P42" s="6" t="s">
        <v>7</v>
      </c>
      <c r="Q42" s="6" t="s">
        <v>8</v>
      </c>
      <c r="R42" s="6" t="s">
        <v>9</v>
      </c>
      <c r="S42" s="6">
        <v>20250422</v>
      </c>
      <c r="T42" s="6" t="s">
        <v>9</v>
      </c>
      <c r="U42" s="6" t="s">
        <v>9</v>
      </c>
    </row>
    <row r="43" spans="1:21" ht="15.75" x14ac:dyDescent="0.25">
      <c r="A43" s="1" t="s">
        <v>0</v>
      </c>
      <c r="B43" s="1" t="s">
        <v>104</v>
      </c>
      <c r="C43" s="1" t="s">
        <v>111</v>
      </c>
      <c r="D43" s="1" t="s">
        <v>112</v>
      </c>
      <c r="E43" s="1" t="s">
        <v>12</v>
      </c>
      <c r="F43" s="1" t="s">
        <v>5</v>
      </c>
      <c r="G43" s="2">
        <v>20250401</v>
      </c>
      <c r="H43" s="3" t="s">
        <v>6</v>
      </c>
      <c r="I43" s="4">
        <v>18</v>
      </c>
      <c r="J43" s="5">
        <v>0.1</v>
      </c>
      <c r="K43" s="4">
        <v>1.8</v>
      </c>
      <c r="L43" s="6"/>
      <c r="M43" s="7">
        <v>2.16</v>
      </c>
      <c r="N43" s="8">
        <v>0.12</v>
      </c>
      <c r="O43" s="9">
        <v>1.8</v>
      </c>
      <c r="P43" s="6" t="s">
        <v>7</v>
      </c>
      <c r="Q43" s="6" t="s">
        <v>8</v>
      </c>
      <c r="R43" s="6" t="s">
        <v>9</v>
      </c>
      <c r="S43" s="6">
        <v>20250422</v>
      </c>
      <c r="T43" s="6" t="s">
        <v>9</v>
      </c>
      <c r="U43" s="6" t="s">
        <v>9</v>
      </c>
    </row>
    <row r="44" spans="1:21" ht="15.75" x14ac:dyDescent="0.25">
      <c r="A44" s="1" t="s">
        <v>0</v>
      </c>
      <c r="B44" s="1" t="s">
        <v>104</v>
      </c>
      <c r="C44" s="1" t="s">
        <v>113</v>
      </c>
      <c r="D44" s="1" t="s">
        <v>114</v>
      </c>
      <c r="E44" s="1" t="s">
        <v>12</v>
      </c>
      <c r="F44" s="1" t="s">
        <v>5</v>
      </c>
      <c r="G44" s="2">
        <v>20250401</v>
      </c>
      <c r="H44" s="3" t="s">
        <v>6</v>
      </c>
      <c r="I44" s="4">
        <v>48.35</v>
      </c>
      <c r="J44" s="5">
        <v>0.2</v>
      </c>
      <c r="K44" s="4">
        <v>9.6700000000000017</v>
      </c>
      <c r="L44" s="6"/>
      <c r="M44" s="7">
        <v>9.67</v>
      </c>
      <c r="N44" s="8">
        <v>0.2</v>
      </c>
      <c r="O44" s="9">
        <v>9.6700000000000017</v>
      </c>
      <c r="P44" s="6" t="s">
        <v>7</v>
      </c>
      <c r="Q44" s="6" t="s">
        <v>8</v>
      </c>
      <c r="R44" s="6" t="s">
        <v>9</v>
      </c>
      <c r="S44" s="6">
        <v>20250422</v>
      </c>
      <c r="T44" s="6" t="s">
        <v>9</v>
      </c>
      <c r="U44" s="6" t="s">
        <v>9</v>
      </c>
    </row>
    <row r="45" spans="1:21" ht="15.75" x14ac:dyDescent="0.25">
      <c r="A45" s="1" t="s">
        <v>0</v>
      </c>
      <c r="B45" s="1" t="s">
        <v>104</v>
      </c>
      <c r="C45" s="1" t="s">
        <v>115</v>
      </c>
      <c r="D45" s="1" t="s">
        <v>116</v>
      </c>
      <c r="E45" s="1" t="s">
        <v>12</v>
      </c>
      <c r="F45" s="1" t="s">
        <v>5</v>
      </c>
      <c r="G45" s="2">
        <v>20250401</v>
      </c>
      <c r="H45" s="3" t="s">
        <v>6</v>
      </c>
      <c r="I45" s="4">
        <v>33</v>
      </c>
      <c r="J45" s="5">
        <v>0.2</v>
      </c>
      <c r="K45" s="4">
        <v>6.6000000000000005</v>
      </c>
      <c r="L45" s="6"/>
      <c r="M45" s="7">
        <v>7.26</v>
      </c>
      <c r="N45" s="8">
        <v>0.22</v>
      </c>
      <c r="O45" s="9">
        <v>6.6000000000000005</v>
      </c>
      <c r="P45" s="6" t="s">
        <v>7</v>
      </c>
      <c r="Q45" s="6" t="s">
        <v>8</v>
      </c>
      <c r="R45" s="6" t="s">
        <v>9</v>
      </c>
      <c r="S45" s="6">
        <v>20250422</v>
      </c>
      <c r="T45" s="6" t="s">
        <v>9</v>
      </c>
      <c r="U45" s="6" t="s">
        <v>9</v>
      </c>
    </row>
    <row r="46" spans="1:21" ht="15.75" x14ac:dyDescent="0.25">
      <c r="A46" s="1" t="s">
        <v>0</v>
      </c>
      <c r="B46" s="1" t="s">
        <v>104</v>
      </c>
      <c r="C46" s="1" t="s">
        <v>117</v>
      </c>
      <c r="D46" s="1" t="s">
        <v>118</v>
      </c>
      <c r="E46" s="1" t="s">
        <v>12</v>
      </c>
      <c r="F46" s="1" t="s">
        <v>5</v>
      </c>
      <c r="G46" s="2">
        <v>20250401</v>
      </c>
      <c r="H46" s="3" t="s">
        <v>6</v>
      </c>
      <c r="I46" s="4">
        <v>27</v>
      </c>
      <c r="J46" s="5">
        <v>0.2</v>
      </c>
      <c r="K46" s="4">
        <v>5.4</v>
      </c>
      <c r="L46" s="6"/>
      <c r="M46" s="7">
        <v>5.94</v>
      </c>
      <c r="N46" s="8">
        <v>0.22</v>
      </c>
      <c r="O46" s="9">
        <v>5.4</v>
      </c>
      <c r="P46" s="6" t="s">
        <v>7</v>
      </c>
      <c r="Q46" s="6" t="s">
        <v>8</v>
      </c>
      <c r="R46" s="6" t="s">
        <v>9</v>
      </c>
      <c r="S46" s="6">
        <v>20250422</v>
      </c>
      <c r="T46" s="6" t="s">
        <v>9</v>
      </c>
      <c r="U46" s="6" t="s">
        <v>9</v>
      </c>
    </row>
    <row r="47" spans="1:21" ht="15.75" x14ac:dyDescent="0.25">
      <c r="A47" s="1" t="s">
        <v>0</v>
      </c>
      <c r="B47" s="1" t="s">
        <v>104</v>
      </c>
      <c r="C47" s="1" t="s">
        <v>119</v>
      </c>
      <c r="D47" s="1" t="s">
        <v>120</v>
      </c>
      <c r="E47" s="1" t="s">
        <v>12</v>
      </c>
      <c r="F47" s="1" t="s">
        <v>5</v>
      </c>
      <c r="G47" s="2">
        <v>20250401</v>
      </c>
      <c r="H47" s="3" t="s">
        <v>6</v>
      </c>
      <c r="I47" s="4">
        <v>36</v>
      </c>
      <c r="J47" s="5">
        <v>0.2</v>
      </c>
      <c r="K47" s="4">
        <v>7.2</v>
      </c>
      <c r="L47" s="6"/>
      <c r="M47" s="7">
        <v>7.92</v>
      </c>
      <c r="N47" s="8">
        <v>0.22</v>
      </c>
      <c r="O47" s="9">
        <v>7.2</v>
      </c>
      <c r="P47" s="6" t="s">
        <v>7</v>
      </c>
      <c r="Q47" s="6" t="s">
        <v>8</v>
      </c>
      <c r="R47" s="6" t="s">
        <v>9</v>
      </c>
      <c r="S47" s="6">
        <v>20250422</v>
      </c>
      <c r="T47" s="6" t="s">
        <v>9</v>
      </c>
      <c r="U47" s="6" t="s">
        <v>9</v>
      </c>
    </row>
    <row r="48" spans="1:21" ht="15.75" x14ac:dyDescent="0.25">
      <c r="A48" s="1" t="s">
        <v>0</v>
      </c>
      <c r="B48" s="1" t="s">
        <v>104</v>
      </c>
      <c r="C48" s="1" t="s">
        <v>121</v>
      </c>
      <c r="D48" s="1" t="s">
        <v>122</v>
      </c>
      <c r="E48" s="1" t="s">
        <v>12</v>
      </c>
      <c r="F48" s="1" t="s">
        <v>5</v>
      </c>
      <c r="G48" s="2">
        <v>20250401</v>
      </c>
      <c r="H48" s="3" t="s">
        <v>6</v>
      </c>
      <c r="I48" s="4">
        <v>66.599999999999994</v>
      </c>
      <c r="J48" s="5">
        <v>0.2</v>
      </c>
      <c r="K48" s="4">
        <v>13.32</v>
      </c>
      <c r="L48" s="6"/>
      <c r="M48" s="7">
        <v>14.65</v>
      </c>
      <c r="N48" s="8">
        <v>0.22</v>
      </c>
      <c r="O48" s="9">
        <v>13.32</v>
      </c>
      <c r="P48" s="6" t="s">
        <v>7</v>
      </c>
      <c r="Q48" s="6" t="s">
        <v>8</v>
      </c>
      <c r="R48" s="6" t="s">
        <v>9</v>
      </c>
      <c r="S48" s="6">
        <v>20250422</v>
      </c>
      <c r="T48" s="6" t="s">
        <v>9</v>
      </c>
      <c r="U48" s="6" t="s">
        <v>9</v>
      </c>
    </row>
    <row r="49" spans="1:21" ht="15.75" x14ac:dyDescent="0.25">
      <c r="A49" s="1" t="s">
        <v>0</v>
      </c>
      <c r="B49" s="1" t="s">
        <v>123</v>
      </c>
      <c r="C49" s="1" t="s">
        <v>124</v>
      </c>
      <c r="D49" s="1" t="s">
        <v>125</v>
      </c>
      <c r="E49" s="1" t="s">
        <v>12</v>
      </c>
      <c r="F49" s="1" t="s">
        <v>5</v>
      </c>
      <c r="G49" s="2">
        <v>20250401</v>
      </c>
      <c r="H49" s="3" t="s">
        <v>6</v>
      </c>
      <c r="I49" s="4">
        <v>59.9</v>
      </c>
      <c r="J49" s="5">
        <v>0.2</v>
      </c>
      <c r="K49" s="4">
        <v>11.98</v>
      </c>
      <c r="L49" s="6"/>
      <c r="M49" s="7">
        <v>11.98</v>
      </c>
      <c r="N49" s="8">
        <v>0.2</v>
      </c>
      <c r="O49" s="9">
        <v>11.98</v>
      </c>
      <c r="P49" s="6" t="s">
        <v>7</v>
      </c>
      <c r="Q49" s="6" t="s">
        <v>8</v>
      </c>
      <c r="R49" s="6" t="s">
        <v>9</v>
      </c>
      <c r="S49" s="6">
        <v>20250422</v>
      </c>
      <c r="T49" s="6" t="s">
        <v>9</v>
      </c>
      <c r="U49" s="6" t="s">
        <v>9</v>
      </c>
    </row>
    <row r="50" spans="1:21" ht="15.75" x14ac:dyDescent="0.25">
      <c r="A50" s="1" t="s">
        <v>0</v>
      </c>
      <c r="B50" s="1" t="s">
        <v>123</v>
      </c>
      <c r="C50" s="1" t="s">
        <v>126</v>
      </c>
      <c r="D50" s="1" t="s">
        <v>127</v>
      </c>
      <c r="E50" s="1" t="s">
        <v>12</v>
      </c>
      <c r="F50" s="1" t="s">
        <v>5</v>
      </c>
      <c r="G50" s="2">
        <v>20250401</v>
      </c>
      <c r="H50" s="3" t="s">
        <v>6</v>
      </c>
      <c r="I50" s="4">
        <v>66.599999999999994</v>
      </c>
      <c r="J50" s="5">
        <v>0.2</v>
      </c>
      <c r="K50" s="4">
        <v>13.32</v>
      </c>
      <c r="L50" s="6"/>
      <c r="M50" s="7">
        <v>14.65</v>
      </c>
      <c r="N50" s="8">
        <v>0.22</v>
      </c>
      <c r="O50" s="9">
        <v>13.32</v>
      </c>
      <c r="P50" s="6" t="s">
        <v>7</v>
      </c>
      <c r="Q50" s="6" t="s">
        <v>8</v>
      </c>
      <c r="R50" s="6" t="s">
        <v>9</v>
      </c>
      <c r="S50" s="6">
        <v>20250422</v>
      </c>
      <c r="T50" s="6" t="s">
        <v>9</v>
      </c>
      <c r="U50" s="6" t="s">
        <v>9</v>
      </c>
    </row>
    <row r="51" spans="1:21" ht="15.75" x14ac:dyDescent="0.25">
      <c r="A51" s="1" t="s">
        <v>0</v>
      </c>
      <c r="B51" s="1" t="s">
        <v>128</v>
      </c>
      <c r="C51" s="1" t="s">
        <v>129</v>
      </c>
      <c r="D51" s="1" t="s">
        <v>130</v>
      </c>
      <c r="E51" s="1" t="s">
        <v>12</v>
      </c>
      <c r="F51" s="1" t="s">
        <v>5</v>
      </c>
      <c r="G51" s="2">
        <v>20250401</v>
      </c>
      <c r="H51" s="3" t="s">
        <v>6</v>
      </c>
      <c r="I51" s="4">
        <v>62.32</v>
      </c>
      <c r="J51" s="5">
        <v>0.2</v>
      </c>
      <c r="K51" s="4">
        <v>12.464</v>
      </c>
      <c r="L51" s="6"/>
      <c r="M51" s="7">
        <v>12.46</v>
      </c>
      <c r="N51" s="8">
        <v>0.2</v>
      </c>
      <c r="O51" s="9">
        <v>12.464</v>
      </c>
      <c r="P51" s="6" t="s">
        <v>7</v>
      </c>
      <c r="Q51" s="6" t="s">
        <v>8</v>
      </c>
      <c r="R51" s="6" t="s">
        <v>9</v>
      </c>
      <c r="S51" s="6">
        <v>20250422</v>
      </c>
      <c r="T51" s="6" t="s">
        <v>9</v>
      </c>
      <c r="U51" s="6" t="s">
        <v>9</v>
      </c>
    </row>
    <row r="52" spans="1:21" ht="15.75" x14ac:dyDescent="0.25">
      <c r="A52" s="1" t="s">
        <v>0</v>
      </c>
      <c r="B52" s="1" t="s">
        <v>128</v>
      </c>
      <c r="C52" s="1" t="s">
        <v>131</v>
      </c>
      <c r="D52" s="1" t="s">
        <v>132</v>
      </c>
      <c r="E52" s="1" t="s">
        <v>12</v>
      </c>
      <c r="F52" s="1" t="s">
        <v>5</v>
      </c>
      <c r="G52" s="2">
        <v>20250401</v>
      </c>
      <c r="H52" s="3" t="s">
        <v>6</v>
      </c>
      <c r="I52" s="4">
        <v>72.260000000000005</v>
      </c>
      <c r="J52" s="5">
        <v>0.2</v>
      </c>
      <c r="K52" s="4">
        <v>14.452000000000002</v>
      </c>
      <c r="L52" s="6"/>
      <c r="M52" s="7">
        <v>14.45</v>
      </c>
      <c r="N52" s="8">
        <v>0.2</v>
      </c>
      <c r="O52" s="9">
        <v>14.452000000000002</v>
      </c>
      <c r="P52" s="6" t="s">
        <v>7</v>
      </c>
      <c r="Q52" s="6" t="s">
        <v>8</v>
      </c>
      <c r="R52" s="6" t="s">
        <v>9</v>
      </c>
      <c r="S52" s="6">
        <v>20250422</v>
      </c>
      <c r="T52" s="6" t="s">
        <v>9</v>
      </c>
      <c r="U52" s="6" t="s">
        <v>9</v>
      </c>
    </row>
    <row r="53" spans="1:21" ht="31.5" x14ac:dyDescent="0.25">
      <c r="A53" s="1" t="s">
        <v>0</v>
      </c>
      <c r="B53" s="1" t="s">
        <v>133</v>
      </c>
      <c r="C53" s="1" t="s">
        <v>134</v>
      </c>
      <c r="D53" s="1" t="s">
        <v>135</v>
      </c>
      <c r="E53" s="1" t="s">
        <v>136</v>
      </c>
      <c r="F53" s="1">
        <v>1</v>
      </c>
      <c r="G53" s="2">
        <v>20250401</v>
      </c>
      <c r="H53" s="3" t="s">
        <v>38</v>
      </c>
      <c r="I53" s="4">
        <v>0</v>
      </c>
      <c r="J53" s="5">
        <v>27</v>
      </c>
      <c r="K53" s="4">
        <v>27</v>
      </c>
      <c r="L53" s="6"/>
      <c r="M53" s="7">
        <v>27</v>
      </c>
      <c r="N53" s="8"/>
      <c r="O53" s="9"/>
      <c r="P53" s="6" t="s">
        <v>39</v>
      </c>
      <c r="Q53" s="6" t="s">
        <v>8</v>
      </c>
      <c r="R53" s="6" t="s">
        <v>9</v>
      </c>
      <c r="S53" s="6">
        <v>20250422</v>
      </c>
      <c r="T53" s="6" t="s">
        <v>137</v>
      </c>
      <c r="U53" s="6" t="s">
        <v>9</v>
      </c>
    </row>
    <row r="54" spans="1:21" ht="31.5" x14ac:dyDescent="0.25">
      <c r="A54" s="1" t="s">
        <v>0</v>
      </c>
      <c r="B54" s="1" t="s">
        <v>133</v>
      </c>
      <c r="C54" s="1" t="s">
        <v>138</v>
      </c>
      <c r="D54" s="1" t="s">
        <v>139</v>
      </c>
      <c r="E54" s="1" t="s">
        <v>136</v>
      </c>
      <c r="F54" s="1">
        <v>1</v>
      </c>
      <c r="G54" s="2">
        <v>20250401</v>
      </c>
      <c r="H54" s="3" t="s">
        <v>38</v>
      </c>
      <c r="I54" s="4">
        <v>0</v>
      </c>
      <c r="J54" s="5">
        <v>27</v>
      </c>
      <c r="K54" s="4">
        <v>27</v>
      </c>
      <c r="L54" s="6"/>
      <c r="M54" s="7">
        <v>27</v>
      </c>
      <c r="N54" s="8"/>
      <c r="O54" s="9"/>
      <c r="P54" s="6" t="s">
        <v>39</v>
      </c>
      <c r="Q54" s="6" t="s">
        <v>8</v>
      </c>
      <c r="R54" s="6" t="s">
        <v>9</v>
      </c>
      <c r="S54" s="6">
        <v>20250422</v>
      </c>
      <c r="T54" s="6" t="s">
        <v>137</v>
      </c>
      <c r="U54" s="6" t="s">
        <v>9</v>
      </c>
    </row>
    <row r="55" spans="1:21" ht="15.75" x14ac:dyDescent="0.25">
      <c r="A55" s="1" t="s">
        <v>0</v>
      </c>
      <c r="B55" s="1" t="s">
        <v>140</v>
      </c>
      <c r="C55" s="1" t="s">
        <v>141</v>
      </c>
      <c r="D55" s="1" t="s">
        <v>142</v>
      </c>
      <c r="E55" s="1" t="s">
        <v>12</v>
      </c>
      <c r="F55" s="1" t="s">
        <v>5</v>
      </c>
      <c r="G55" s="2">
        <v>20250401</v>
      </c>
      <c r="H55" s="3" t="s">
        <v>6</v>
      </c>
      <c r="I55" s="4">
        <v>115.55</v>
      </c>
      <c r="J55" s="5">
        <v>0.2</v>
      </c>
      <c r="K55" s="4">
        <v>23.11</v>
      </c>
      <c r="L55" s="6"/>
      <c r="M55" s="7">
        <v>25.42</v>
      </c>
      <c r="N55" s="8">
        <v>0.22</v>
      </c>
      <c r="O55" s="9">
        <v>23.11</v>
      </c>
      <c r="P55" s="6" t="s">
        <v>7</v>
      </c>
      <c r="Q55" s="6" t="s">
        <v>8</v>
      </c>
      <c r="R55" s="6" t="s">
        <v>9</v>
      </c>
      <c r="S55" s="6">
        <v>20250422</v>
      </c>
      <c r="T55" s="6" t="s">
        <v>9</v>
      </c>
      <c r="U55" s="6" t="s">
        <v>9</v>
      </c>
    </row>
    <row r="56" spans="1:21" ht="15.75" x14ac:dyDescent="0.25">
      <c r="A56" s="1" t="s">
        <v>0</v>
      </c>
      <c r="B56" s="1" t="s">
        <v>140</v>
      </c>
      <c r="C56" s="1" t="s">
        <v>143</v>
      </c>
      <c r="D56" s="1" t="s">
        <v>144</v>
      </c>
      <c r="E56" s="1" t="s">
        <v>136</v>
      </c>
      <c r="F56" s="1" t="s">
        <v>5</v>
      </c>
      <c r="G56" s="2">
        <v>20250401</v>
      </c>
      <c r="H56" s="3" t="s">
        <v>6</v>
      </c>
      <c r="I56" s="4">
        <v>103.1</v>
      </c>
      <c r="J56" s="5">
        <v>0.2</v>
      </c>
      <c r="K56" s="4">
        <v>20.62</v>
      </c>
      <c r="L56" s="6"/>
      <c r="M56" s="7">
        <v>22.68</v>
      </c>
      <c r="N56" s="8">
        <v>0.22</v>
      </c>
      <c r="O56" s="9">
        <v>20.62</v>
      </c>
      <c r="P56" s="6" t="s">
        <v>7</v>
      </c>
      <c r="Q56" s="6" t="s">
        <v>8</v>
      </c>
      <c r="R56" s="6" t="s">
        <v>9</v>
      </c>
      <c r="S56" s="6">
        <v>20250422</v>
      </c>
      <c r="T56" s="6" t="s">
        <v>9</v>
      </c>
      <c r="U56" s="6" t="s">
        <v>9</v>
      </c>
    </row>
    <row r="57" spans="1:21" ht="15.75" x14ac:dyDescent="0.25">
      <c r="A57" s="1" t="s">
        <v>0</v>
      </c>
      <c r="B57" s="1" t="s">
        <v>145</v>
      </c>
      <c r="C57" s="1" t="s">
        <v>146</v>
      </c>
      <c r="D57" s="1" t="s">
        <v>147</v>
      </c>
      <c r="E57" s="1" t="s">
        <v>61</v>
      </c>
      <c r="F57" s="1" t="s">
        <v>5</v>
      </c>
      <c r="G57" s="2">
        <v>20250401</v>
      </c>
      <c r="H57" s="3" t="s">
        <v>6</v>
      </c>
      <c r="I57" s="4">
        <v>45</v>
      </c>
      <c r="J57" s="5">
        <v>0.2</v>
      </c>
      <c r="K57" s="4">
        <v>9</v>
      </c>
      <c r="L57" s="6"/>
      <c r="M57" s="7">
        <v>9.9</v>
      </c>
      <c r="N57" s="8">
        <v>0.22</v>
      </c>
      <c r="O57" s="9">
        <v>9</v>
      </c>
      <c r="P57" s="6" t="s">
        <v>7</v>
      </c>
      <c r="Q57" s="6" t="s">
        <v>8</v>
      </c>
      <c r="R57" s="6" t="s">
        <v>9</v>
      </c>
      <c r="S57" s="6">
        <v>20250422</v>
      </c>
      <c r="T57" s="6" t="s">
        <v>9</v>
      </c>
      <c r="U57" s="6" t="s">
        <v>9</v>
      </c>
    </row>
    <row r="58" spans="1:21" ht="15.75" x14ac:dyDescent="0.25">
      <c r="A58" s="1" t="s">
        <v>0</v>
      </c>
      <c r="B58" s="1"/>
      <c r="C58" s="1"/>
      <c r="D58" s="1"/>
      <c r="E58" s="1"/>
      <c r="F58" s="1"/>
      <c r="G58" s="2"/>
      <c r="H58" s="3"/>
      <c r="I58" s="4"/>
      <c r="J58" s="5" t="s">
        <v>148</v>
      </c>
      <c r="K58" s="4">
        <v>933.15800000000002</v>
      </c>
      <c r="L58" s="6"/>
      <c r="M58" s="7"/>
      <c r="N58" s="8"/>
      <c r="O58" s="9"/>
      <c r="P58" s="6"/>
      <c r="Q58" s="6"/>
      <c r="R58" s="6"/>
      <c r="S58" s="6"/>
      <c r="T58" s="6"/>
      <c r="U5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D93C-8E3F-49DF-9E3E-73AC879897BE}">
  <dimension ref="A1:R58"/>
  <sheetViews>
    <sheetView tabSelected="1" topLeftCell="B34" workbookViewId="0">
      <selection activeCell="E45" sqref="E45"/>
    </sheetView>
  </sheetViews>
  <sheetFormatPr defaultRowHeight="15" customHeight="1" x14ac:dyDescent="0.25"/>
  <cols>
    <col min="1" max="1" width="30.7109375" style="17" customWidth="1"/>
    <col min="2" max="2" width="21.140625" style="17" customWidth="1"/>
    <col min="3" max="3" width="31.7109375" style="17" customWidth="1"/>
    <col min="4" max="5" width="13.42578125" style="17" customWidth="1"/>
    <col min="6" max="6" width="8.85546875" style="17" customWidth="1"/>
    <col min="7" max="8" width="17.28515625" style="17" customWidth="1"/>
    <col min="9" max="9" width="17" style="17" customWidth="1"/>
    <col min="10" max="10" width="12.28515625" style="17" customWidth="1"/>
    <col min="11" max="11" width="9" style="17" customWidth="1"/>
    <col min="12" max="12" width="14.85546875" style="17" customWidth="1"/>
    <col min="13" max="14" width="12.7109375" style="17" customWidth="1"/>
    <col min="15" max="15" width="10.42578125" style="17" customWidth="1"/>
    <col min="16" max="16" width="12.7109375" style="17" customWidth="1"/>
    <col min="17" max="17" width="19.28515625" style="17" bestFit="1" customWidth="1"/>
    <col min="18" max="16384" width="9.140625" style="17"/>
  </cols>
  <sheetData>
    <row r="1" spans="1:18" ht="15" customHeight="1" x14ac:dyDescent="0.25">
      <c r="A1" s="10">
        <v>21104854</v>
      </c>
      <c r="B1" s="10" t="s">
        <v>1</v>
      </c>
      <c r="C1" s="10" t="s">
        <v>2</v>
      </c>
      <c r="D1" s="10" t="s">
        <v>3</v>
      </c>
      <c r="E1" s="10" t="str">
        <f t="shared" ref="E1:E11" si="0">CONCATENATE(D1,7)</f>
        <v>06P64N7</v>
      </c>
      <c r="F1" s="10" t="s">
        <v>4</v>
      </c>
      <c r="G1" s="10">
        <v>20250401</v>
      </c>
      <c r="H1" s="10" t="str">
        <f>TEXT(DATE(LEFT(G1,4), MID(G1,5,2), RIGHT(G1,2)), "M/d/yyyy")</f>
        <v>4/1/2025</v>
      </c>
      <c r="I1" s="11" t="s">
        <v>6</v>
      </c>
      <c r="J1" s="12">
        <v>52.45</v>
      </c>
      <c r="K1" s="13">
        <v>0.2</v>
      </c>
      <c r="L1" s="12">
        <v>10.490000000000002</v>
      </c>
      <c r="M1" s="14"/>
      <c r="N1" s="15">
        <v>10.49</v>
      </c>
      <c r="O1" s="16">
        <v>0.2</v>
      </c>
      <c r="P1" s="12">
        <v>10.490000000000002</v>
      </c>
      <c r="Q1" s="17" t="s">
        <v>150</v>
      </c>
    </row>
    <row r="2" spans="1:18" ht="15" customHeight="1" x14ac:dyDescent="0.25">
      <c r="A2" s="10">
        <v>21104854</v>
      </c>
      <c r="B2" s="10" t="s">
        <v>1</v>
      </c>
      <c r="C2" s="10" t="s">
        <v>10</v>
      </c>
      <c r="D2" s="10" t="s">
        <v>11</v>
      </c>
      <c r="E2" s="10" t="str">
        <f t="shared" si="0"/>
        <v>14NW317</v>
      </c>
      <c r="F2" s="10" t="s">
        <v>12</v>
      </c>
      <c r="G2" s="10">
        <v>20250401</v>
      </c>
      <c r="H2" s="10" t="str">
        <f t="shared" ref="H2:H57" si="1">TEXT(DATE(LEFT(G2,4), MID(G2,5,2), RIGHT(G2,2)), "M/d/yyyy")</f>
        <v>4/1/2025</v>
      </c>
      <c r="I2" s="11" t="s">
        <v>6</v>
      </c>
      <c r="J2" s="12">
        <v>120.15</v>
      </c>
      <c r="K2" s="13">
        <v>0.2</v>
      </c>
      <c r="L2" s="12">
        <v>24.03</v>
      </c>
      <c r="M2" s="14"/>
      <c r="N2" s="15">
        <v>24.03</v>
      </c>
      <c r="O2" s="16">
        <v>0.2</v>
      </c>
      <c r="P2" s="12">
        <v>24.03</v>
      </c>
      <c r="Q2" s="17" t="s">
        <v>150</v>
      </c>
    </row>
    <row r="3" spans="1:18" ht="15" customHeight="1" x14ac:dyDescent="0.25">
      <c r="A3" s="10">
        <v>21104854</v>
      </c>
      <c r="B3" s="10" t="s">
        <v>1</v>
      </c>
      <c r="C3" s="10" t="s">
        <v>13</v>
      </c>
      <c r="D3" s="10" t="s">
        <v>14</v>
      </c>
      <c r="E3" s="10" t="str">
        <f t="shared" si="0"/>
        <v>38Q22K7</v>
      </c>
      <c r="F3" s="10" t="s">
        <v>12</v>
      </c>
      <c r="G3" s="10">
        <v>20250401</v>
      </c>
      <c r="H3" s="10" t="str">
        <f t="shared" si="1"/>
        <v>4/1/2025</v>
      </c>
      <c r="I3" s="11" t="s">
        <v>6</v>
      </c>
      <c r="J3" s="12">
        <v>41.44</v>
      </c>
      <c r="K3" s="13">
        <v>0.2</v>
      </c>
      <c r="L3" s="12">
        <v>8.2880000000000003</v>
      </c>
      <c r="M3" s="14"/>
      <c r="N3" s="15">
        <v>8.2899999999999991</v>
      </c>
      <c r="O3" s="16">
        <v>0.2</v>
      </c>
      <c r="P3" s="12">
        <v>8.2880000000000003</v>
      </c>
      <c r="Q3" s="17" t="s">
        <v>150</v>
      </c>
    </row>
    <row r="4" spans="1:18" ht="15" customHeight="1" x14ac:dyDescent="0.25">
      <c r="A4" s="10">
        <v>21104854</v>
      </c>
      <c r="B4" s="10" t="s">
        <v>1</v>
      </c>
      <c r="C4" s="10" t="s">
        <v>15</v>
      </c>
      <c r="D4" s="10" t="s">
        <v>16</v>
      </c>
      <c r="E4" s="10" t="str">
        <f t="shared" si="0"/>
        <v>82PX557</v>
      </c>
      <c r="F4" s="10" t="s">
        <v>12</v>
      </c>
      <c r="G4" s="10">
        <v>20250401</v>
      </c>
      <c r="H4" s="10" t="str">
        <f t="shared" si="1"/>
        <v>4/1/2025</v>
      </c>
      <c r="I4" s="11" t="s">
        <v>6</v>
      </c>
      <c r="J4" s="12">
        <v>41.44</v>
      </c>
      <c r="K4" s="13">
        <v>0.2</v>
      </c>
      <c r="L4" s="12">
        <v>8.2880000000000003</v>
      </c>
      <c r="M4" s="14"/>
      <c r="N4" s="15">
        <v>8.2899999999999991</v>
      </c>
      <c r="O4" s="16">
        <v>0.2</v>
      </c>
      <c r="P4" s="12">
        <v>8.2880000000000003</v>
      </c>
      <c r="Q4" s="17" t="s">
        <v>150</v>
      </c>
    </row>
    <row r="5" spans="1:18" ht="15" customHeight="1" x14ac:dyDescent="0.25">
      <c r="A5" s="10">
        <v>21104854</v>
      </c>
      <c r="B5" s="10" t="s">
        <v>1</v>
      </c>
      <c r="C5" s="10" t="s">
        <v>17</v>
      </c>
      <c r="D5" s="10" t="s">
        <v>18</v>
      </c>
      <c r="E5" s="10" t="str">
        <f t="shared" si="0"/>
        <v>47N6E87</v>
      </c>
      <c r="F5" s="10" t="s">
        <v>12</v>
      </c>
      <c r="G5" s="10">
        <v>20250401</v>
      </c>
      <c r="H5" s="10" t="str">
        <f t="shared" si="1"/>
        <v>4/1/2025</v>
      </c>
      <c r="I5" s="11" t="s">
        <v>6</v>
      </c>
      <c r="J5" s="12">
        <v>29</v>
      </c>
      <c r="K5" s="13">
        <v>0.2</v>
      </c>
      <c r="L5" s="12">
        <v>5.8000000000000007</v>
      </c>
      <c r="M5" s="14"/>
      <c r="N5" s="15">
        <v>6.38</v>
      </c>
      <c r="O5" s="16">
        <v>0.22</v>
      </c>
      <c r="P5" s="12">
        <v>5.8000000000000007</v>
      </c>
      <c r="Q5" s="17" t="s">
        <v>150</v>
      </c>
    </row>
    <row r="6" spans="1:18" ht="15" customHeight="1" x14ac:dyDescent="0.25">
      <c r="A6" s="10">
        <v>17425766</v>
      </c>
      <c r="B6" s="10" t="s">
        <v>19</v>
      </c>
      <c r="C6" s="10" t="s">
        <v>20</v>
      </c>
      <c r="D6" s="10" t="s">
        <v>21</v>
      </c>
      <c r="E6" s="10" t="str">
        <f t="shared" si="0"/>
        <v>12PY607</v>
      </c>
      <c r="F6" s="10" t="s">
        <v>22</v>
      </c>
      <c r="G6" s="10">
        <v>20250401</v>
      </c>
      <c r="H6" s="10" t="str">
        <f t="shared" si="1"/>
        <v>4/1/2025</v>
      </c>
      <c r="I6" s="11" t="s">
        <v>6</v>
      </c>
      <c r="J6" s="12">
        <v>29</v>
      </c>
      <c r="K6" s="13">
        <v>0.2</v>
      </c>
      <c r="L6" s="12">
        <v>5.8000000000000007</v>
      </c>
      <c r="M6" s="14"/>
      <c r="N6" s="15">
        <v>6.38</v>
      </c>
      <c r="O6" s="16">
        <v>0.22</v>
      </c>
      <c r="P6" s="12">
        <v>5.8000000000000007</v>
      </c>
      <c r="Q6" s="17" t="s">
        <v>150</v>
      </c>
    </row>
    <row r="7" spans="1:18" ht="15" customHeight="1" x14ac:dyDescent="0.25">
      <c r="A7" s="10">
        <v>17425766</v>
      </c>
      <c r="B7" s="10" t="s">
        <v>19</v>
      </c>
      <c r="C7" s="10" t="s">
        <v>23</v>
      </c>
      <c r="D7" s="10" t="s">
        <v>24</v>
      </c>
      <c r="E7" s="10" t="str">
        <f t="shared" si="0"/>
        <v>62R96P7</v>
      </c>
      <c r="F7" s="10" t="s">
        <v>25</v>
      </c>
      <c r="G7" s="10">
        <v>20250401</v>
      </c>
      <c r="H7" s="10" t="str">
        <f t="shared" si="1"/>
        <v>4/1/2025</v>
      </c>
      <c r="I7" s="11" t="s">
        <v>6</v>
      </c>
      <c r="J7" s="12">
        <v>43</v>
      </c>
      <c r="K7" s="13">
        <v>0.2</v>
      </c>
      <c r="L7" s="12">
        <v>8.6</v>
      </c>
      <c r="M7" s="14"/>
      <c r="N7" s="15">
        <v>9.4600000000000009</v>
      </c>
      <c r="O7" s="16">
        <v>0.22</v>
      </c>
      <c r="P7" s="12">
        <v>8.6</v>
      </c>
      <c r="Q7" s="17" t="s">
        <v>150</v>
      </c>
    </row>
    <row r="8" spans="1:18" ht="15" customHeight="1" x14ac:dyDescent="0.25">
      <c r="A8" s="10">
        <v>17425766</v>
      </c>
      <c r="B8" s="10" t="s">
        <v>19</v>
      </c>
      <c r="C8" s="10" t="s">
        <v>26</v>
      </c>
      <c r="D8" s="10" t="s">
        <v>27</v>
      </c>
      <c r="E8" s="10" t="str">
        <f t="shared" si="0"/>
        <v>70P2B97</v>
      </c>
      <c r="F8" s="10" t="s">
        <v>25</v>
      </c>
      <c r="G8" s="10">
        <v>20250401</v>
      </c>
      <c r="H8" s="10" t="str">
        <f t="shared" si="1"/>
        <v>4/1/2025</v>
      </c>
      <c r="I8" s="11" t="s">
        <v>6</v>
      </c>
      <c r="J8" s="12">
        <v>85.1</v>
      </c>
      <c r="K8" s="13">
        <v>0.2</v>
      </c>
      <c r="L8" s="12">
        <v>17.02</v>
      </c>
      <c r="M8" s="14"/>
      <c r="N8" s="15">
        <v>18.72</v>
      </c>
      <c r="O8" s="16">
        <v>0.22</v>
      </c>
      <c r="P8" s="12">
        <v>17.02</v>
      </c>
      <c r="Q8" s="17" t="s">
        <v>150</v>
      </c>
    </row>
    <row r="9" spans="1:18" ht="15" customHeight="1" x14ac:dyDescent="0.25">
      <c r="A9" s="10">
        <v>17425766</v>
      </c>
      <c r="B9" s="10" t="s">
        <v>19</v>
      </c>
      <c r="C9" s="10" t="s">
        <v>28</v>
      </c>
      <c r="D9" s="10" t="s">
        <v>29</v>
      </c>
      <c r="E9" s="10" t="str">
        <f t="shared" si="0"/>
        <v>72N6G97</v>
      </c>
      <c r="F9" s="10" t="s">
        <v>25</v>
      </c>
      <c r="G9" s="10">
        <v>20250401</v>
      </c>
      <c r="H9" s="10" t="str">
        <f t="shared" si="1"/>
        <v>4/1/2025</v>
      </c>
      <c r="I9" s="11" t="s">
        <v>6</v>
      </c>
      <c r="J9" s="12">
        <v>43</v>
      </c>
      <c r="K9" s="13">
        <v>0.2</v>
      </c>
      <c r="L9" s="12">
        <v>8.6</v>
      </c>
      <c r="M9" s="14"/>
      <c r="N9" s="15">
        <v>9.4600000000000009</v>
      </c>
      <c r="O9" s="16">
        <v>0.22</v>
      </c>
      <c r="P9" s="12">
        <v>8.6</v>
      </c>
      <c r="Q9" s="17" t="s">
        <v>150</v>
      </c>
    </row>
    <row r="10" spans="1:18" ht="15" customHeight="1" x14ac:dyDescent="0.25">
      <c r="A10" s="10">
        <v>17425766</v>
      </c>
      <c r="B10" s="10" t="s">
        <v>19</v>
      </c>
      <c r="C10" s="10" t="s">
        <v>30</v>
      </c>
      <c r="D10" s="10" t="s">
        <v>31</v>
      </c>
      <c r="E10" s="10" t="str">
        <f t="shared" si="0"/>
        <v>80QC767</v>
      </c>
      <c r="F10" s="10" t="s">
        <v>25</v>
      </c>
      <c r="G10" s="10">
        <v>20250401</v>
      </c>
      <c r="H10" s="10" t="str">
        <f t="shared" si="1"/>
        <v>4/1/2025</v>
      </c>
      <c r="I10" s="11" t="s">
        <v>6</v>
      </c>
      <c r="J10" s="12">
        <v>43</v>
      </c>
      <c r="K10" s="13">
        <v>0.2</v>
      </c>
      <c r="L10" s="12">
        <v>8.6</v>
      </c>
      <c r="M10" s="14"/>
      <c r="N10" s="15">
        <v>9.4600000000000009</v>
      </c>
      <c r="O10" s="16">
        <v>0.22</v>
      </c>
      <c r="P10" s="12">
        <v>8.6</v>
      </c>
      <c r="Q10" s="17" t="s">
        <v>150</v>
      </c>
    </row>
    <row r="11" spans="1:18" ht="15" customHeight="1" x14ac:dyDescent="0.25">
      <c r="A11" s="10">
        <v>17425766</v>
      </c>
      <c r="B11" s="10" t="s">
        <v>19</v>
      </c>
      <c r="C11" s="10" t="s">
        <v>32</v>
      </c>
      <c r="D11" s="10" t="s">
        <v>33</v>
      </c>
      <c r="E11" s="10" t="str">
        <f t="shared" si="0"/>
        <v>87PH607</v>
      </c>
      <c r="F11" s="10" t="s">
        <v>25</v>
      </c>
      <c r="G11" s="10">
        <v>20250401</v>
      </c>
      <c r="H11" s="10" t="str">
        <f t="shared" si="1"/>
        <v>4/1/2025</v>
      </c>
      <c r="I11" s="11" t="s">
        <v>6</v>
      </c>
      <c r="J11" s="12">
        <v>43</v>
      </c>
      <c r="K11" s="13">
        <v>0.2</v>
      </c>
      <c r="L11" s="12">
        <v>8.6</v>
      </c>
      <c r="M11" s="14"/>
      <c r="N11" s="15">
        <v>9.4600000000000009</v>
      </c>
      <c r="O11" s="16">
        <v>0.22</v>
      </c>
      <c r="P11" s="12">
        <v>8.6</v>
      </c>
      <c r="Q11" s="17" t="s">
        <v>150</v>
      </c>
    </row>
    <row r="12" spans="1:18" ht="15" customHeight="1" x14ac:dyDescent="0.25">
      <c r="A12" s="10">
        <v>17437820</v>
      </c>
      <c r="B12" s="10" t="s">
        <v>34</v>
      </c>
      <c r="C12" s="10" t="s">
        <v>35</v>
      </c>
      <c r="D12" s="10" t="s">
        <v>36</v>
      </c>
      <c r="E12" s="10" t="str">
        <f>CONCATENATE(D12,2)</f>
        <v>35K3N12</v>
      </c>
      <c r="F12" s="10" t="s">
        <v>37</v>
      </c>
      <c r="G12" s="10">
        <v>20250401</v>
      </c>
      <c r="H12" s="10" t="str">
        <f t="shared" si="1"/>
        <v>4/1/2025</v>
      </c>
      <c r="I12" s="11" t="s">
        <v>38</v>
      </c>
      <c r="J12" s="12">
        <v>122.19</v>
      </c>
      <c r="K12" s="13">
        <v>22</v>
      </c>
      <c r="L12" s="12">
        <v>22</v>
      </c>
      <c r="M12" s="14"/>
      <c r="N12" s="15">
        <v>22</v>
      </c>
      <c r="O12" s="16"/>
      <c r="P12" s="12"/>
      <c r="Q12" s="17" t="s">
        <v>152</v>
      </c>
    </row>
    <row r="13" spans="1:18" ht="15" customHeight="1" x14ac:dyDescent="0.25">
      <c r="A13" s="10">
        <v>16865615</v>
      </c>
      <c r="B13" s="10" t="s">
        <v>41</v>
      </c>
      <c r="C13" s="10" t="s">
        <v>47</v>
      </c>
      <c r="D13" s="10" t="s">
        <v>48</v>
      </c>
      <c r="E13" s="10" t="str">
        <f>CONCATENATE(D13,7)</f>
        <v>16R2Q47</v>
      </c>
      <c r="F13" s="10" t="s">
        <v>12</v>
      </c>
      <c r="G13" s="10">
        <v>20250401</v>
      </c>
      <c r="H13" s="10" t="str">
        <f t="shared" si="1"/>
        <v>4/1/2025</v>
      </c>
      <c r="I13" s="11" t="s">
        <v>6</v>
      </c>
      <c r="J13" s="12">
        <v>48.96</v>
      </c>
      <c r="K13" s="13">
        <v>0.2</v>
      </c>
      <c r="L13" s="12">
        <v>9.7920000000000016</v>
      </c>
      <c r="M13" s="14"/>
      <c r="N13" s="15">
        <v>9.7899999999999991</v>
      </c>
      <c r="O13" s="16">
        <v>0.2</v>
      </c>
      <c r="P13" s="12">
        <v>9.7920000000000016</v>
      </c>
      <c r="Q13" s="17" t="s">
        <v>150</v>
      </c>
    </row>
    <row r="14" spans="1:18" ht="15" customHeight="1" x14ac:dyDescent="0.25">
      <c r="A14" s="10">
        <v>16865615</v>
      </c>
      <c r="B14" s="10" t="s">
        <v>41</v>
      </c>
      <c r="C14" s="10" t="s">
        <v>49</v>
      </c>
      <c r="D14" s="10" t="s">
        <v>50</v>
      </c>
      <c r="E14" s="10" t="str">
        <f>CONCATENATE(D14,7)</f>
        <v>16RT867</v>
      </c>
      <c r="F14" s="10" t="s">
        <v>44</v>
      </c>
      <c r="G14" s="10">
        <v>20250401</v>
      </c>
      <c r="H14" s="10" t="str">
        <f t="shared" si="1"/>
        <v>4/1/2025</v>
      </c>
      <c r="I14" s="11" t="s">
        <v>6</v>
      </c>
      <c r="J14" s="12">
        <v>99.32</v>
      </c>
      <c r="K14" s="13">
        <v>0.2</v>
      </c>
      <c r="L14" s="12">
        <v>19.864000000000001</v>
      </c>
      <c r="M14" s="14"/>
      <c r="N14" s="15">
        <v>19.86</v>
      </c>
      <c r="O14" s="16">
        <v>0.2</v>
      </c>
      <c r="P14" s="12">
        <v>19.864000000000001</v>
      </c>
      <c r="Q14" s="17" t="s">
        <v>150</v>
      </c>
    </row>
    <row r="15" spans="1:18" ht="15" customHeight="1" x14ac:dyDescent="0.25">
      <c r="A15" s="10">
        <v>16865615</v>
      </c>
      <c r="B15" s="10" t="s">
        <v>41</v>
      </c>
      <c r="C15" s="10" t="s">
        <v>51</v>
      </c>
      <c r="D15" s="10" t="s">
        <v>52</v>
      </c>
      <c r="E15" s="10" t="str">
        <f>CONCATENATE(D15,7)</f>
        <v>91PB627</v>
      </c>
      <c r="F15" s="10" t="s">
        <v>44</v>
      </c>
      <c r="G15" s="10">
        <v>20250401</v>
      </c>
      <c r="H15" s="10" t="str">
        <f t="shared" si="1"/>
        <v>4/1/2025</v>
      </c>
      <c r="I15" s="11" t="s">
        <v>6</v>
      </c>
      <c r="J15" s="12">
        <v>64.09</v>
      </c>
      <c r="K15" s="13">
        <v>0.2</v>
      </c>
      <c r="L15" s="12">
        <v>12.818000000000001</v>
      </c>
      <c r="M15" s="14"/>
      <c r="N15" s="15">
        <v>12.82</v>
      </c>
      <c r="O15" s="16">
        <v>0.2</v>
      </c>
      <c r="P15" s="12">
        <v>12.818000000000001</v>
      </c>
      <c r="Q15" s="17" t="s">
        <v>150</v>
      </c>
    </row>
    <row r="16" spans="1:18" ht="15" customHeight="1" x14ac:dyDescent="0.25">
      <c r="A16" s="10">
        <v>16865615</v>
      </c>
      <c r="B16" s="10" t="s">
        <v>41</v>
      </c>
      <c r="C16" s="10" t="s">
        <v>42</v>
      </c>
      <c r="D16" s="10" t="s">
        <v>43</v>
      </c>
      <c r="E16" s="10" t="str">
        <f>CONCATENATE(D16,2)</f>
        <v>01T3B22</v>
      </c>
      <c r="F16" s="10" t="s">
        <v>44</v>
      </c>
      <c r="G16" s="10">
        <v>20250401</v>
      </c>
      <c r="H16" s="10" t="str">
        <f t="shared" si="1"/>
        <v>4/1/2025</v>
      </c>
      <c r="I16" s="11" t="s">
        <v>38</v>
      </c>
      <c r="J16" s="12">
        <v>983.89</v>
      </c>
      <c r="K16" s="13">
        <v>20</v>
      </c>
      <c r="L16" s="12">
        <v>40</v>
      </c>
      <c r="M16" s="14"/>
      <c r="N16" s="15">
        <v>40</v>
      </c>
      <c r="O16" s="16"/>
      <c r="P16" s="12"/>
      <c r="Q16" s="17" t="s">
        <v>151</v>
      </c>
      <c r="R16" s="17" t="s">
        <v>154</v>
      </c>
    </row>
    <row r="17" spans="1:17" ht="15" customHeight="1" x14ac:dyDescent="0.25">
      <c r="A17" s="10">
        <v>16865615</v>
      </c>
      <c r="B17" s="10" t="s">
        <v>41</v>
      </c>
      <c r="C17" s="10" t="s">
        <v>45</v>
      </c>
      <c r="D17" s="10" t="s">
        <v>46</v>
      </c>
      <c r="E17" s="10" t="str">
        <f>CONCATENATE(D17,2)</f>
        <v>72P58Q2</v>
      </c>
      <c r="F17" s="10" t="s">
        <v>44</v>
      </c>
      <c r="G17" s="10">
        <v>20250401</v>
      </c>
      <c r="H17" s="10" t="str">
        <f t="shared" si="1"/>
        <v>4/1/2025</v>
      </c>
      <c r="I17" s="11" t="s">
        <v>38</v>
      </c>
      <c r="J17" s="12">
        <v>55.34</v>
      </c>
      <c r="K17" s="13">
        <v>20</v>
      </c>
      <c r="L17" s="12">
        <v>20</v>
      </c>
      <c r="M17" s="14"/>
      <c r="N17" s="15">
        <v>20</v>
      </c>
      <c r="O17" s="16"/>
      <c r="P17" s="12"/>
      <c r="Q17" s="17" t="s">
        <v>151</v>
      </c>
    </row>
    <row r="18" spans="1:17" ht="15" customHeight="1" x14ac:dyDescent="0.25">
      <c r="A18" s="10">
        <v>18754354</v>
      </c>
      <c r="B18" s="10" t="s">
        <v>53</v>
      </c>
      <c r="C18" s="10" t="s">
        <v>54</v>
      </c>
      <c r="D18" s="10" t="s">
        <v>55</v>
      </c>
      <c r="E18" s="10" t="str">
        <f t="shared" ref="E18:E32" si="2">CONCATENATE(D18,7)</f>
        <v>08P50D7</v>
      </c>
      <c r="F18" s="10" t="s">
        <v>12</v>
      </c>
      <c r="G18" s="10">
        <v>20250401</v>
      </c>
      <c r="H18" s="10" t="str">
        <f t="shared" si="1"/>
        <v>4/1/2025</v>
      </c>
      <c r="I18" s="11" t="s">
        <v>6</v>
      </c>
      <c r="J18" s="12">
        <v>157.46</v>
      </c>
      <c r="K18" s="13">
        <v>0.2</v>
      </c>
      <c r="L18" s="12">
        <v>31.492000000000004</v>
      </c>
      <c r="M18" s="14"/>
      <c r="N18" s="15">
        <v>31.49</v>
      </c>
      <c r="O18" s="16">
        <v>0.2</v>
      </c>
      <c r="P18" s="12">
        <v>31.492000000000004</v>
      </c>
      <c r="Q18" s="17" t="s">
        <v>150</v>
      </c>
    </row>
    <row r="19" spans="1:17" ht="15" customHeight="1" x14ac:dyDescent="0.25">
      <c r="A19" s="10">
        <v>18754354</v>
      </c>
      <c r="B19" s="10" t="s">
        <v>53</v>
      </c>
      <c r="C19" s="10" t="s">
        <v>56</v>
      </c>
      <c r="D19" s="10" t="s">
        <v>57</v>
      </c>
      <c r="E19" s="10" t="str">
        <f t="shared" si="2"/>
        <v>95TK067</v>
      </c>
      <c r="F19" s="10" t="s">
        <v>12</v>
      </c>
      <c r="G19" s="10">
        <v>20250401</v>
      </c>
      <c r="H19" s="10" t="str">
        <f t="shared" si="1"/>
        <v>4/1/2025</v>
      </c>
      <c r="I19" s="11" t="s">
        <v>6</v>
      </c>
      <c r="J19" s="12">
        <v>120.17</v>
      </c>
      <c r="K19" s="13">
        <v>0.2</v>
      </c>
      <c r="L19" s="12">
        <v>24.034000000000002</v>
      </c>
      <c r="M19" s="14"/>
      <c r="N19" s="15">
        <v>24.03</v>
      </c>
      <c r="O19" s="16">
        <v>0.2</v>
      </c>
      <c r="P19" s="12">
        <v>24.034000000000002</v>
      </c>
      <c r="Q19" s="17" t="s">
        <v>150</v>
      </c>
    </row>
    <row r="20" spans="1:17" ht="15" customHeight="1" x14ac:dyDescent="0.25">
      <c r="A20" s="10">
        <v>19279958</v>
      </c>
      <c r="B20" s="10" t="s">
        <v>58</v>
      </c>
      <c r="C20" s="10" t="s">
        <v>59</v>
      </c>
      <c r="D20" s="10" t="s">
        <v>60</v>
      </c>
      <c r="E20" s="10" t="str">
        <f t="shared" si="2"/>
        <v>07QM577</v>
      </c>
      <c r="F20" s="10" t="s">
        <v>61</v>
      </c>
      <c r="G20" s="10">
        <v>20250401</v>
      </c>
      <c r="H20" s="10" t="str">
        <f t="shared" si="1"/>
        <v>4/1/2025</v>
      </c>
      <c r="I20" s="11" t="s">
        <v>6</v>
      </c>
      <c r="J20" s="12">
        <v>40.89</v>
      </c>
      <c r="K20" s="13">
        <v>0.2</v>
      </c>
      <c r="L20" s="12">
        <v>8.1780000000000008</v>
      </c>
      <c r="M20" s="14"/>
      <c r="N20" s="15">
        <v>8.18</v>
      </c>
      <c r="O20" s="16">
        <v>0.2</v>
      </c>
      <c r="P20" s="12">
        <v>8.1780000000000008</v>
      </c>
      <c r="Q20" s="17" t="s">
        <v>150</v>
      </c>
    </row>
    <row r="21" spans="1:17" ht="15" customHeight="1" x14ac:dyDescent="0.25">
      <c r="A21" s="10">
        <v>19279958</v>
      </c>
      <c r="B21" s="10" t="s">
        <v>58</v>
      </c>
      <c r="C21" s="10" t="s">
        <v>62</v>
      </c>
      <c r="D21" s="10" t="s">
        <v>63</v>
      </c>
      <c r="E21" s="10" t="str">
        <f t="shared" si="2"/>
        <v>07R49N7</v>
      </c>
      <c r="F21" s="10" t="s">
        <v>61</v>
      </c>
      <c r="G21" s="10">
        <v>20250401</v>
      </c>
      <c r="H21" s="10" t="str">
        <f t="shared" si="1"/>
        <v>4/1/2025</v>
      </c>
      <c r="I21" s="11" t="s">
        <v>6</v>
      </c>
      <c r="J21" s="12">
        <v>74.58</v>
      </c>
      <c r="K21" s="13">
        <v>0.2</v>
      </c>
      <c r="L21" s="12">
        <v>14.916</v>
      </c>
      <c r="M21" s="14"/>
      <c r="N21" s="15">
        <v>14.92</v>
      </c>
      <c r="O21" s="16">
        <v>0.2</v>
      </c>
      <c r="P21" s="12">
        <v>14.916</v>
      </c>
      <c r="Q21" s="17" t="s">
        <v>150</v>
      </c>
    </row>
    <row r="22" spans="1:17" ht="15" customHeight="1" x14ac:dyDescent="0.25">
      <c r="A22" s="10">
        <v>19279958</v>
      </c>
      <c r="B22" s="10" t="s">
        <v>58</v>
      </c>
      <c r="C22" s="10" t="s">
        <v>64</v>
      </c>
      <c r="D22" s="10" t="s">
        <v>65</v>
      </c>
      <c r="E22" s="10" t="str">
        <f t="shared" si="2"/>
        <v>08R7V67</v>
      </c>
      <c r="F22" s="10" t="s">
        <v>61</v>
      </c>
      <c r="G22" s="10">
        <v>20250401</v>
      </c>
      <c r="H22" s="10" t="str">
        <f t="shared" si="1"/>
        <v>4/1/2025</v>
      </c>
      <c r="I22" s="11" t="s">
        <v>6</v>
      </c>
      <c r="J22" s="12">
        <v>64.17</v>
      </c>
      <c r="K22" s="13">
        <v>0.2</v>
      </c>
      <c r="L22" s="12">
        <v>12.834000000000001</v>
      </c>
      <c r="M22" s="14"/>
      <c r="N22" s="15">
        <v>12.83</v>
      </c>
      <c r="O22" s="16">
        <v>0.2</v>
      </c>
      <c r="P22" s="12">
        <v>12.834000000000001</v>
      </c>
      <c r="Q22" s="17" t="s">
        <v>150</v>
      </c>
    </row>
    <row r="23" spans="1:17" ht="15" customHeight="1" x14ac:dyDescent="0.25">
      <c r="A23" s="10">
        <v>19279958</v>
      </c>
      <c r="B23" s="10" t="s">
        <v>58</v>
      </c>
      <c r="C23" s="10" t="s">
        <v>66</v>
      </c>
      <c r="D23" s="10" t="s">
        <v>67</v>
      </c>
      <c r="E23" s="10" t="str">
        <f t="shared" si="2"/>
        <v>09R89N7</v>
      </c>
      <c r="F23" s="10" t="s">
        <v>61</v>
      </c>
      <c r="G23" s="10">
        <v>20250401</v>
      </c>
      <c r="H23" s="10" t="str">
        <f t="shared" si="1"/>
        <v>4/1/2025</v>
      </c>
      <c r="I23" s="11" t="s">
        <v>6</v>
      </c>
      <c r="J23" s="12">
        <v>56.51</v>
      </c>
      <c r="K23" s="13">
        <v>0.2</v>
      </c>
      <c r="L23" s="12">
        <v>11.302</v>
      </c>
      <c r="M23" s="14"/>
      <c r="N23" s="15">
        <v>11.3</v>
      </c>
      <c r="O23" s="16">
        <v>0.2</v>
      </c>
      <c r="P23" s="12">
        <v>11.302</v>
      </c>
      <c r="Q23" s="17" t="s">
        <v>150</v>
      </c>
    </row>
    <row r="24" spans="1:17" ht="15" customHeight="1" x14ac:dyDescent="0.25">
      <c r="A24" s="10">
        <v>19279958</v>
      </c>
      <c r="B24" s="10" t="s">
        <v>58</v>
      </c>
      <c r="C24" s="10" t="s">
        <v>68</v>
      </c>
      <c r="D24" s="10" t="s">
        <v>69</v>
      </c>
      <c r="E24" s="10" t="str">
        <f t="shared" si="2"/>
        <v>21Q1B07</v>
      </c>
      <c r="F24" s="10" t="s">
        <v>61</v>
      </c>
      <c r="G24" s="10">
        <v>20250401</v>
      </c>
      <c r="H24" s="10" t="str">
        <f t="shared" si="1"/>
        <v>4/1/2025</v>
      </c>
      <c r="I24" s="11" t="s">
        <v>6</v>
      </c>
      <c r="J24" s="12">
        <v>37.29</v>
      </c>
      <c r="K24" s="13">
        <v>0.2</v>
      </c>
      <c r="L24" s="12">
        <v>7.4580000000000002</v>
      </c>
      <c r="M24" s="14"/>
      <c r="N24" s="15">
        <v>7.46</v>
      </c>
      <c r="O24" s="16">
        <v>0.2</v>
      </c>
      <c r="P24" s="12">
        <v>7.4580000000000002</v>
      </c>
      <c r="Q24" s="17" t="s">
        <v>150</v>
      </c>
    </row>
    <row r="25" spans="1:17" ht="15" customHeight="1" x14ac:dyDescent="0.25">
      <c r="A25" s="10">
        <v>19279958</v>
      </c>
      <c r="B25" s="10" t="s">
        <v>58</v>
      </c>
      <c r="C25" s="10" t="s">
        <v>70</v>
      </c>
      <c r="D25" s="10" t="s">
        <v>71</v>
      </c>
      <c r="E25" s="10" t="str">
        <f t="shared" si="2"/>
        <v>28PY207</v>
      </c>
      <c r="F25" s="10" t="s">
        <v>61</v>
      </c>
      <c r="G25" s="10">
        <v>20250401</v>
      </c>
      <c r="H25" s="10" t="str">
        <f t="shared" si="1"/>
        <v>4/1/2025</v>
      </c>
      <c r="I25" s="11" t="s">
        <v>6</v>
      </c>
      <c r="J25" s="12">
        <v>36.92</v>
      </c>
      <c r="K25" s="13">
        <v>0.2</v>
      </c>
      <c r="L25" s="12">
        <v>7.3840000000000003</v>
      </c>
      <c r="M25" s="14"/>
      <c r="N25" s="15">
        <v>7.38</v>
      </c>
      <c r="O25" s="16">
        <v>0.2</v>
      </c>
      <c r="P25" s="12">
        <v>7.3840000000000003</v>
      </c>
      <c r="Q25" s="17" t="s">
        <v>150</v>
      </c>
    </row>
    <row r="26" spans="1:17" ht="15" customHeight="1" x14ac:dyDescent="0.25">
      <c r="A26" s="10">
        <v>19279958</v>
      </c>
      <c r="B26" s="10" t="s">
        <v>58</v>
      </c>
      <c r="C26" s="10" t="s">
        <v>72</v>
      </c>
      <c r="D26" s="10" t="s">
        <v>73</v>
      </c>
      <c r="E26" s="10" t="str">
        <f t="shared" si="2"/>
        <v>33PJ957</v>
      </c>
      <c r="F26" s="10" t="s">
        <v>61</v>
      </c>
      <c r="G26" s="10">
        <v>20250401</v>
      </c>
      <c r="H26" s="10" t="str">
        <f t="shared" si="1"/>
        <v>4/1/2025</v>
      </c>
      <c r="I26" s="11" t="s">
        <v>6</v>
      </c>
      <c r="J26" s="12">
        <v>54.87</v>
      </c>
      <c r="K26" s="13">
        <v>0.2</v>
      </c>
      <c r="L26" s="12">
        <v>10.974</v>
      </c>
      <c r="M26" s="14"/>
      <c r="N26" s="15">
        <v>10.97</v>
      </c>
      <c r="O26" s="16">
        <v>0.2</v>
      </c>
      <c r="P26" s="12">
        <v>10.974</v>
      </c>
      <c r="Q26" s="17" t="s">
        <v>150</v>
      </c>
    </row>
    <row r="27" spans="1:17" ht="15" customHeight="1" x14ac:dyDescent="0.25">
      <c r="A27" s="10">
        <v>19279958</v>
      </c>
      <c r="B27" s="10" t="s">
        <v>58</v>
      </c>
      <c r="C27" s="10" t="s">
        <v>74</v>
      </c>
      <c r="D27" s="10" t="s">
        <v>75</v>
      </c>
      <c r="E27" s="10" t="str">
        <f t="shared" si="2"/>
        <v>39Q9Q07</v>
      </c>
      <c r="F27" s="10" t="s">
        <v>61</v>
      </c>
      <c r="G27" s="10">
        <v>20250401</v>
      </c>
      <c r="H27" s="10" t="str">
        <f t="shared" si="1"/>
        <v>4/1/2025</v>
      </c>
      <c r="I27" s="11" t="s">
        <v>6</v>
      </c>
      <c r="J27" s="12">
        <v>72.92</v>
      </c>
      <c r="K27" s="13">
        <v>0.2</v>
      </c>
      <c r="L27" s="12">
        <v>14.584000000000001</v>
      </c>
      <c r="M27" s="14"/>
      <c r="N27" s="15">
        <v>14.58</v>
      </c>
      <c r="O27" s="16">
        <v>0.2</v>
      </c>
      <c r="P27" s="12">
        <v>14.584000000000001</v>
      </c>
      <c r="Q27" s="17" t="s">
        <v>150</v>
      </c>
    </row>
    <row r="28" spans="1:17" ht="15" customHeight="1" x14ac:dyDescent="0.25">
      <c r="A28" s="10">
        <v>19279958</v>
      </c>
      <c r="B28" s="10" t="s">
        <v>58</v>
      </c>
      <c r="C28" s="10" t="s">
        <v>76</v>
      </c>
      <c r="D28" s="10" t="s">
        <v>77</v>
      </c>
      <c r="E28" s="10" t="str">
        <f t="shared" si="2"/>
        <v>94N25Y7</v>
      </c>
      <c r="F28" s="10" t="s">
        <v>61</v>
      </c>
      <c r="G28" s="10">
        <v>20250401</v>
      </c>
      <c r="H28" s="10" t="str">
        <f t="shared" si="1"/>
        <v>4/1/2025</v>
      </c>
      <c r="I28" s="11" t="s">
        <v>6</v>
      </c>
      <c r="J28" s="12">
        <v>39.700000000000003</v>
      </c>
      <c r="K28" s="13">
        <v>0.2</v>
      </c>
      <c r="L28" s="12">
        <v>7.9400000000000013</v>
      </c>
      <c r="M28" s="14"/>
      <c r="N28" s="15">
        <v>7.94</v>
      </c>
      <c r="O28" s="16">
        <v>0.2</v>
      </c>
      <c r="P28" s="12">
        <v>7.9400000000000013</v>
      </c>
      <c r="Q28" s="17" t="s">
        <v>150</v>
      </c>
    </row>
    <row r="29" spans="1:17" ht="15" customHeight="1" x14ac:dyDescent="0.25">
      <c r="A29" s="10">
        <v>19279958</v>
      </c>
      <c r="B29" s="10" t="s">
        <v>58</v>
      </c>
      <c r="C29" s="10" t="s">
        <v>78</v>
      </c>
      <c r="D29" s="10" t="s">
        <v>79</v>
      </c>
      <c r="E29" s="10" t="str">
        <f t="shared" si="2"/>
        <v>95Q10L7</v>
      </c>
      <c r="F29" s="10" t="s">
        <v>80</v>
      </c>
      <c r="G29" s="10">
        <v>20250401</v>
      </c>
      <c r="H29" s="10" t="str">
        <f t="shared" si="1"/>
        <v>4/1/2025</v>
      </c>
      <c r="I29" s="11" t="s">
        <v>6</v>
      </c>
      <c r="J29" s="12">
        <v>51.11</v>
      </c>
      <c r="K29" s="13">
        <v>0.2</v>
      </c>
      <c r="L29" s="12">
        <v>10.222000000000001</v>
      </c>
      <c r="M29" s="14"/>
      <c r="N29" s="15">
        <v>10.220000000000001</v>
      </c>
      <c r="O29" s="16">
        <v>0.2</v>
      </c>
      <c r="P29" s="12">
        <v>10.222000000000001</v>
      </c>
      <c r="Q29" s="17" t="s">
        <v>150</v>
      </c>
    </row>
    <row r="30" spans="1:17" ht="15" customHeight="1" x14ac:dyDescent="0.25">
      <c r="A30" s="10">
        <v>6634327</v>
      </c>
      <c r="B30" s="10" t="s">
        <v>81</v>
      </c>
      <c r="C30" s="10" t="s">
        <v>97</v>
      </c>
      <c r="D30" s="10" t="s">
        <v>98</v>
      </c>
      <c r="E30" s="10" t="str">
        <f t="shared" si="2"/>
        <v>88RH067</v>
      </c>
      <c r="F30" s="10" t="s">
        <v>44</v>
      </c>
      <c r="G30" s="10">
        <v>20250401</v>
      </c>
      <c r="H30" s="10" t="str">
        <f t="shared" si="1"/>
        <v>4/1/2025</v>
      </c>
      <c r="I30" s="11" t="s">
        <v>6</v>
      </c>
      <c r="J30" s="12">
        <v>221.92</v>
      </c>
      <c r="K30" s="13">
        <v>0.2</v>
      </c>
      <c r="L30" s="12">
        <v>44.384</v>
      </c>
      <c r="M30" s="14"/>
      <c r="N30" s="15">
        <v>44.38</v>
      </c>
      <c r="O30" s="16">
        <v>0.2</v>
      </c>
      <c r="P30" s="12">
        <v>44.384</v>
      </c>
      <c r="Q30" s="17" t="s">
        <v>150</v>
      </c>
    </row>
    <row r="31" spans="1:17" ht="15" customHeight="1" x14ac:dyDescent="0.25">
      <c r="A31" s="10">
        <v>6634327</v>
      </c>
      <c r="B31" s="10" t="s">
        <v>81</v>
      </c>
      <c r="C31" s="10" t="s">
        <v>99</v>
      </c>
      <c r="D31" s="10" t="s">
        <v>100</v>
      </c>
      <c r="E31" s="10" t="str">
        <f t="shared" si="2"/>
        <v>61N2C47</v>
      </c>
      <c r="F31" s="10" t="s">
        <v>44</v>
      </c>
      <c r="G31" s="10">
        <v>20250401</v>
      </c>
      <c r="H31" s="10" t="str">
        <f t="shared" si="1"/>
        <v>4/1/2025</v>
      </c>
      <c r="I31" s="11" t="s">
        <v>6</v>
      </c>
      <c r="J31" s="12">
        <v>49</v>
      </c>
      <c r="K31" s="13">
        <v>0.2</v>
      </c>
      <c r="L31" s="12">
        <v>9.8000000000000007</v>
      </c>
      <c r="M31" s="14"/>
      <c r="N31" s="15">
        <v>10.78</v>
      </c>
      <c r="O31" s="16">
        <v>0.22</v>
      </c>
      <c r="P31" s="12">
        <v>9.8000000000000007</v>
      </c>
      <c r="Q31" s="17" t="s">
        <v>150</v>
      </c>
    </row>
    <row r="32" spans="1:17" ht="15" customHeight="1" x14ac:dyDescent="0.25">
      <c r="A32" s="10">
        <v>6634327</v>
      </c>
      <c r="B32" s="10" t="s">
        <v>81</v>
      </c>
      <c r="C32" s="10" t="s">
        <v>101</v>
      </c>
      <c r="D32" s="10" t="s">
        <v>102</v>
      </c>
      <c r="E32" s="10" t="str">
        <f t="shared" si="2"/>
        <v>81P98F7</v>
      </c>
      <c r="F32" s="10" t="s">
        <v>44</v>
      </c>
      <c r="G32" s="10">
        <v>20250401</v>
      </c>
      <c r="H32" s="10" t="str">
        <f t="shared" si="1"/>
        <v>4/1/2025</v>
      </c>
      <c r="I32" s="11" t="s">
        <v>6</v>
      </c>
      <c r="J32" s="12">
        <v>53.65</v>
      </c>
      <c r="K32" s="13">
        <v>0.2</v>
      </c>
      <c r="L32" s="12">
        <v>10.73</v>
      </c>
      <c r="M32" s="14"/>
      <c r="N32" s="15">
        <v>11.8</v>
      </c>
      <c r="O32" s="16">
        <v>0.22</v>
      </c>
      <c r="P32" s="12">
        <v>10.73</v>
      </c>
      <c r="Q32" s="17" t="s">
        <v>150</v>
      </c>
    </row>
    <row r="33" spans="1:18" ht="15" customHeight="1" x14ac:dyDescent="0.25">
      <c r="A33" s="10">
        <v>6634327</v>
      </c>
      <c r="B33" s="10" t="s">
        <v>81</v>
      </c>
      <c r="C33" s="10" t="s">
        <v>82</v>
      </c>
      <c r="D33" s="10" t="s">
        <v>83</v>
      </c>
      <c r="E33" s="10" t="str">
        <f t="shared" ref="E33:E39" si="3">CONCATENATE(D33,2)</f>
        <v>22RQ682</v>
      </c>
      <c r="F33" s="10" t="s">
        <v>44</v>
      </c>
      <c r="G33" s="10">
        <v>20250401</v>
      </c>
      <c r="H33" s="10" t="str">
        <f t="shared" si="1"/>
        <v>4/1/2025</v>
      </c>
      <c r="I33" s="11" t="s">
        <v>38</v>
      </c>
      <c r="J33" s="12">
        <v>86.34</v>
      </c>
      <c r="K33" s="13">
        <v>20</v>
      </c>
      <c r="L33" s="12">
        <v>40</v>
      </c>
      <c r="M33" s="14"/>
      <c r="N33" s="15">
        <v>40</v>
      </c>
      <c r="O33" s="16"/>
      <c r="P33" s="12"/>
      <c r="Q33" s="17" t="s">
        <v>151</v>
      </c>
      <c r="R33" s="17" t="s">
        <v>154</v>
      </c>
    </row>
    <row r="34" spans="1:18" ht="15" customHeight="1" x14ac:dyDescent="0.25">
      <c r="A34" s="10">
        <v>6634327</v>
      </c>
      <c r="B34" s="10" t="s">
        <v>81</v>
      </c>
      <c r="C34" s="10" t="s">
        <v>84</v>
      </c>
      <c r="D34" s="10" t="s">
        <v>85</v>
      </c>
      <c r="E34" s="10" t="str">
        <f t="shared" si="3"/>
        <v>25R0J72</v>
      </c>
      <c r="F34" s="10" t="s">
        <v>44</v>
      </c>
      <c r="G34" s="10">
        <v>20250401</v>
      </c>
      <c r="H34" s="10" t="str">
        <f t="shared" si="1"/>
        <v>4/1/2025</v>
      </c>
      <c r="I34" s="11" t="s">
        <v>38</v>
      </c>
      <c r="J34" s="12">
        <v>187.08</v>
      </c>
      <c r="K34" s="13">
        <v>20</v>
      </c>
      <c r="L34" s="12">
        <v>20</v>
      </c>
      <c r="M34" s="14"/>
      <c r="N34" s="15">
        <v>20</v>
      </c>
      <c r="O34" s="16"/>
      <c r="P34" s="12"/>
      <c r="Q34" s="17" t="s">
        <v>151</v>
      </c>
    </row>
    <row r="35" spans="1:18" ht="15" customHeight="1" x14ac:dyDescent="0.25">
      <c r="A35" s="10">
        <v>6634327</v>
      </c>
      <c r="B35" s="10" t="s">
        <v>81</v>
      </c>
      <c r="C35" s="10" t="s">
        <v>86</v>
      </c>
      <c r="D35" s="10" t="s">
        <v>87</v>
      </c>
      <c r="E35" s="10" t="str">
        <f t="shared" si="3"/>
        <v>41Q3R22</v>
      </c>
      <c r="F35" s="10" t="s">
        <v>44</v>
      </c>
      <c r="G35" s="10">
        <v>20250401</v>
      </c>
      <c r="H35" s="10" t="str">
        <f t="shared" si="1"/>
        <v>4/1/2025</v>
      </c>
      <c r="I35" s="11" t="s">
        <v>38</v>
      </c>
      <c r="J35" s="12">
        <v>1604.64</v>
      </c>
      <c r="K35" s="13">
        <v>20</v>
      </c>
      <c r="L35" s="12">
        <v>60</v>
      </c>
      <c r="M35" s="14"/>
      <c r="N35" s="15">
        <v>60</v>
      </c>
      <c r="O35" s="16"/>
      <c r="P35" s="12"/>
      <c r="Q35" s="17" t="s">
        <v>151</v>
      </c>
      <c r="R35" s="17" t="s">
        <v>155</v>
      </c>
    </row>
    <row r="36" spans="1:18" ht="15" customHeight="1" x14ac:dyDescent="0.25">
      <c r="A36" s="10">
        <v>6634327</v>
      </c>
      <c r="B36" s="10" t="s">
        <v>81</v>
      </c>
      <c r="C36" s="10" t="s">
        <v>89</v>
      </c>
      <c r="D36" s="10" t="s">
        <v>90</v>
      </c>
      <c r="E36" s="10" t="str">
        <f t="shared" si="3"/>
        <v>41R91U2</v>
      </c>
      <c r="F36" s="10" t="s">
        <v>44</v>
      </c>
      <c r="G36" s="10">
        <v>20250401</v>
      </c>
      <c r="H36" s="10" t="str">
        <f t="shared" si="1"/>
        <v>4/1/2025</v>
      </c>
      <c r="I36" s="11" t="s">
        <v>38</v>
      </c>
      <c r="J36" s="12">
        <v>219.28</v>
      </c>
      <c r="K36" s="13">
        <v>20</v>
      </c>
      <c r="L36" s="12">
        <v>20</v>
      </c>
      <c r="M36" s="14"/>
      <c r="N36" s="15">
        <v>20</v>
      </c>
      <c r="O36" s="16"/>
      <c r="P36" s="12"/>
      <c r="Q36" s="17" t="s">
        <v>151</v>
      </c>
    </row>
    <row r="37" spans="1:18" ht="15" customHeight="1" x14ac:dyDescent="0.25">
      <c r="A37" s="10">
        <v>6634327</v>
      </c>
      <c r="B37" s="10" t="s">
        <v>81</v>
      </c>
      <c r="C37" s="10" t="s">
        <v>91</v>
      </c>
      <c r="D37" s="10" t="s">
        <v>92</v>
      </c>
      <c r="E37" s="10" t="str">
        <f t="shared" si="3"/>
        <v>60T55X2</v>
      </c>
      <c r="F37" s="10" t="s">
        <v>44</v>
      </c>
      <c r="G37" s="10">
        <v>20250401</v>
      </c>
      <c r="H37" s="10" t="str">
        <f t="shared" si="1"/>
        <v>4/1/2025</v>
      </c>
      <c r="I37" s="11" t="s">
        <v>38</v>
      </c>
      <c r="J37" s="12">
        <v>43.27</v>
      </c>
      <c r="K37" s="13">
        <v>20</v>
      </c>
      <c r="L37" s="12">
        <v>80</v>
      </c>
      <c r="M37" s="14"/>
      <c r="N37" s="15">
        <v>80</v>
      </c>
      <c r="O37" s="16"/>
      <c r="P37" s="12"/>
      <c r="Q37" s="17" t="s">
        <v>151</v>
      </c>
      <c r="R37" s="17" t="s">
        <v>156</v>
      </c>
    </row>
    <row r="38" spans="1:18" ht="15" customHeight="1" x14ac:dyDescent="0.25">
      <c r="A38" s="10">
        <v>6634327</v>
      </c>
      <c r="B38" s="10" t="s">
        <v>81</v>
      </c>
      <c r="C38" s="10" t="s">
        <v>93</v>
      </c>
      <c r="D38" s="10" t="s">
        <v>94</v>
      </c>
      <c r="E38" s="10" t="str">
        <f t="shared" si="3"/>
        <v>74Q8R82</v>
      </c>
      <c r="F38" s="10" t="s">
        <v>44</v>
      </c>
      <c r="G38" s="10">
        <v>20250401</v>
      </c>
      <c r="H38" s="10" t="str">
        <f t="shared" si="1"/>
        <v>4/1/2025</v>
      </c>
      <c r="I38" s="11" t="s">
        <v>38</v>
      </c>
      <c r="J38" s="12">
        <v>487.98</v>
      </c>
      <c r="K38" s="13">
        <v>20</v>
      </c>
      <c r="L38" s="12">
        <v>20</v>
      </c>
      <c r="M38" s="14"/>
      <c r="N38" s="15">
        <v>20</v>
      </c>
      <c r="O38" s="16"/>
      <c r="P38" s="12"/>
      <c r="Q38" s="17" t="s">
        <v>151</v>
      </c>
    </row>
    <row r="39" spans="1:18" ht="15" customHeight="1" x14ac:dyDescent="0.25">
      <c r="A39" s="10">
        <v>6634327</v>
      </c>
      <c r="B39" s="10" t="s">
        <v>81</v>
      </c>
      <c r="C39" s="10" t="s">
        <v>95</v>
      </c>
      <c r="D39" s="10" t="s">
        <v>96</v>
      </c>
      <c r="E39" s="10" t="str">
        <f t="shared" si="3"/>
        <v>79TD172</v>
      </c>
      <c r="F39" s="10" t="s">
        <v>44</v>
      </c>
      <c r="G39" s="10">
        <v>20250301</v>
      </c>
      <c r="H39" s="10" t="str">
        <f t="shared" si="1"/>
        <v>3/1/2025</v>
      </c>
      <c r="I39" s="11" t="s">
        <v>38</v>
      </c>
      <c r="J39" s="12">
        <v>399.52</v>
      </c>
      <c r="K39" s="13">
        <v>20</v>
      </c>
      <c r="L39" s="12">
        <v>20</v>
      </c>
      <c r="M39" s="14"/>
      <c r="N39" s="15">
        <v>20</v>
      </c>
      <c r="O39" s="16"/>
      <c r="P39" s="12"/>
      <c r="Q39" s="17" t="s">
        <v>151</v>
      </c>
    </row>
    <row r="40" spans="1:18" s="25" customFormat="1" ht="15" customHeight="1" x14ac:dyDescent="0.25">
      <c r="A40" s="18" t="s">
        <v>157</v>
      </c>
      <c r="B40" s="18" t="s">
        <v>104</v>
      </c>
      <c r="C40" s="18" t="s">
        <v>105</v>
      </c>
      <c r="D40" s="18" t="s">
        <v>106</v>
      </c>
      <c r="E40" s="18" t="str">
        <f t="shared" ref="E40:E52" si="4">CONCATENATE(D40,7)</f>
        <v>03P25D7</v>
      </c>
      <c r="F40" s="18" t="s">
        <v>12</v>
      </c>
      <c r="G40" s="18">
        <v>20250401</v>
      </c>
      <c r="H40" s="18" t="str">
        <f t="shared" si="1"/>
        <v>4/1/2025</v>
      </c>
      <c r="I40" s="19" t="s">
        <v>6</v>
      </c>
      <c r="J40" s="20">
        <v>18</v>
      </c>
      <c r="K40" s="21">
        <v>0.1</v>
      </c>
      <c r="L40" s="20">
        <v>1.8</v>
      </c>
      <c r="M40" s="22"/>
      <c r="N40" s="23">
        <v>2.16</v>
      </c>
      <c r="O40" s="24">
        <v>0.12</v>
      </c>
      <c r="P40" s="20">
        <v>1.8</v>
      </c>
      <c r="Q40" s="25" t="s">
        <v>149</v>
      </c>
    </row>
    <row r="41" spans="1:18" s="25" customFormat="1" ht="15" customHeight="1" x14ac:dyDescent="0.25">
      <c r="A41" s="18" t="s">
        <v>157</v>
      </c>
      <c r="B41" s="18" t="s">
        <v>104</v>
      </c>
      <c r="C41" s="18" t="s">
        <v>107</v>
      </c>
      <c r="D41" s="18" t="s">
        <v>108</v>
      </c>
      <c r="E41" s="18" t="str">
        <f t="shared" si="4"/>
        <v>04R42R7</v>
      </c>
      <c r="F41" s="18" t="s">
        <v>12</v>
      </c>
      <c r="G41" s="18">
        <v>20250401</v>
      </c>
      <c r="H41" s="18" t="str">
        <f t="shared" si="1"/>
        <v>4/1/2025</v>
      </c>
      <c r="I41" s="19" t="s">
        <v>6</v>
      </c>
      <c r="J41" s="20">
        <v>18</v>
      </c>
      <c r="K41" s="21">
        <v>0.1</v>
      </c>
      <c r="L41" s="20">
        <v>1.8</v>
      </c>
      <c r="M41" s="22"/>
      <c r="N41" s="23">
        <v>2.16</v>
      </c>
      <c r="O41" s="24">
        <v>0.12</v>
      </c>
      <c r="P41" s="20">
        <v>1.8</v>
      </c>
      <c r="Q41" s="25" t="s">
        <v>149</v>
      </c>
    </row>
    <row r="42" spans="1:18" s="25" customFormat="1" ht="15" customHeight="1" x14ac:dyDescent="0.25">
      <c r="A42" s="18" t="s">
        <v>157</v>
      </c>
      <c r="B42" s="18" t="s">
        <v>104</v>
      </c>
      <c r="C42" s="18" t="s">
        <v>109</v>
      </c>
      <c r="D42" s="18" t="s">
        <v>110</v>
      </c>
      <c r="E42" s="18" t="str">
        <f t="shared" si="4"/>
        <v>46R1Q07</v>
      </c>
      <c r="F42" s="18" t="s">
        <v>12</v>
      </c>
      <c r="G42" s="18">
        <v>20250401</v>
      </c>
      <c r="H42" s="18" t="str">
        <f t="shared" si="1"/>
        <v>4/1/2025</v>
      </c>
      <c r="I42" s="19" t="s">
        <v>6</v>
      </c>
      <c r="J42" s="20">
        <v>18</v>
      </c>
      <c r="K42" s="21">
        <v>0.1</v>
      </c>
      <c r="L42" s="20">
        <v>1.8</v>
      </c>
      <c r="M42" s="22"/>
      <c r="N42" s="23">
        <v>2.16</v>
      </c>
      <c r="O42" s="24">
        <v>0.12</v>
      </c>
      <c r="P42" s="20">
        <v>1.8</v>
      </c>
      <c r="Q42" s="25" t="s">
        <v>149</v>
      </c>
    </row>
    <row r="43" spans="1:18" s="25" customFormat="1" ht="15" customHeight="1" x14ac:dyDescent="0.25">
      <c r="A43" s="18" t="s">
        <v>157</v>
      </c>
      <c r="B43" s="18" t="s">
        <v>104</v>
      </c>
      <c r="C43" s="18" t="s">
        <v>111</v>
      </c>
      <c r="D43" s="18" t="s">
        <v>112</v>
      </c>
      <c r="E43" s="18" t="str">
        <f t="shared" si="4"/>
        <v>56Q3B87</v>
      </c>
      <c r="F43" s="18" t="s">
        <v>12</v>
      </c>
      <c r="G43" s="18">
        <v>20250401</v>
      </c>
      <c r="H43" s="18" t="str">
        <f t="shared" si="1"/>
        <v>4/1/2025</v>
      </c>
      <c r="I43" s="19" t="s">
        <v>6</v>
      </c>
      <c r="J43" s="20">
        <v>18</v>
      </c>
      <c r="K43" s="21">
        <v>0.1</v>
      </c>
      <c r="L43" s="20">
        <v>1.8</v>
      </c>
      <c r="M43" s="22"/>
      <c r="N43" s="23">
        <v>2.16</v>
      </c>
      <c r="O43" s="24">
        <v>0.12</v>
      </c>
      <c r="P43" s="20">
        <v>1.8</v>
      </c>
      <c r="Q43" s="25" t="s">
        <v>149</v>
      </c>
    </row>
    <row r="44" spans="1:18" s="25" customFormat="1" ht="15" customHeight="1" x14ac:dyDescent="0.25">
      <c r="A44" s="18" t="s">
        <v>157</v>
      </c>
      <c r="B44" s="18" t="s">
        <v>104</v>
      </c>
      <c r="C44" s="18" t="s">
        <v>113</v>
      </c>
      <c r="D44" s="18" t="s">
        <v>114</v>
      </c>
      <c r="E44" s="18" t="str">
        <f t="shared" si="4"/>
        <v>58P14V7</v>
      </c>
      <c r="F44" s="18" t="s">
        <v>12</v>
      </c>
      <c r="G44" s="18">
        <v>20250401</v>
      </c>
      <c r="H44" s="18" t="str">
        <f t="shared" si="1"/>
        <v>4/1/2025</v>
      </c>
      <c r="I44" s="19" t="s">
        <v>6</v>
      </c>
      <c r="J44" s="20">
        <v>48.35</v>
      </c>
      <c r="K44" s="21">
        <v>0.2</v>
      </c>
      <c r="L44" s="20">
        <v>9.6700000000000017</v>
      </c>
      <c r="M44" s="22"/>
      <c r="N44" s="23">
        <v>9.67</v>
      </c>
      <c r="O44" s="24">
        <v>0.2</v>
      </c>
      <c r="P44" s="20">
        <v>9.6700000000000017</v>
      </c>
      <c r="Q44" s="25" t="s">
        <v>150</v>
      </c>
    </row>
    <row r="45" spans="1:18" s="25" customFormat="1" ht="15" customHeight="1" x14ac:dyDescent="0.25">
      <c r="A45" s="18" t="s">
        <v>157</v>
      </c>
      <c r="B45" s="18" t="s">
        <v>104</v>
      </c>
      <c r="C45" s="18" t="s">
        <v>115</v>
      </c>
      <c r="D45" s="18" t="s">
        <v>116</v>
      </c>
      <c r="E45" s="18" t="str">
        <f t="shared" si="4"/>
        <v>30RQ527</v>
      </c>
      <c r="F45" s="18" t="s">
        <v>12</v>
      </c>
      <c r="G45" s="18">
        <v>20250401</v>
      </c>
      <c r="H45" s="18" t="str">
        <f t="shared" si="1"/>
        <v>4/1/2025</v>
      </c>
      <c r="I45" s="19" t="s">
        <v>6</v>
      </c>
      <c r="J45" s="20">
        <v>33</v>
      </c>
      <c r="K45" s="21">
        <v>0.2</v>
      </c>
      <c r="L45" s="20">
        <v>6.6000000000000005</v>
      </c>
      <c r="M45" s="22"/>
      <c r="N45" s="23">
        <v>7.26</v>
      </c>
      <c r="O45" s="24">
        <v>0.22</v>
      </c>
      <c r="P45" s="20">
        <v>6.6000000000000005</v>
      </c>
      <c r="Q45" s="25" t="s">
        <v>150</v>
      </c>
    </row>
    <row r="46" spans="1:18" s="25" customFormat="1" ht="15" customHeight="1" x14ac:dyDescent="0.25">
      <c r="A46" s="18" t="s">
        <v>157</v>
      </c>
      <c r="B46" s="18" t="s">
        <v>104</v>
      </c>
      <c r="C46" s="18" t="s">
        <v>117</v>
      </c>
      <c r="D46" s="18" t="s">
        <v>118</v>
      </c>
      <c r="E46" s="18" t="str">
        <f t="shared" si="4"/>
        <v>60Q27N7</v>
      </c>
      <c r="F46" s="18" t="s">
        <v>12</v>
      </c>
      <c r="G46" s="18">
        <v>20250401</v>
      </c>
      <c r="H46" s="18" t="str">
        <f t="shared" si="1"/>
        <v>4/1/2025</v>
      </c>
      <c r="I46" s="19" t="s">
        <v>6</v>
      </c>
      <c r="J46" s="20">
        <v>27</v>
      </c>
      <c r="K46" s="21">
        <v>0.2</v>
      </c>
      <c r="L46" s="20">
        <v>5.4</v>
      </c>
      <c r="M46" s="22"/>
      <c r="N46" s="23">
        <v>5.94</v>
      </c>
      <c r="O46" s="24">
        <v>0.22</v>
      </c>
      <c r="P46" s="20">
        <v>5.4</v>
      </c>
      <c r="Q46" s="25" t="s">
        <v>150</v>
      </c>
    </row>
    <row r="47" spans="1:18" s="25" customFormat="1" ht="15" customHeight="1" x14ac:dyDescent="0.25">
      <c r="A47" s="18" t="s">
        <v>157</v>
      </c>
      <c r="B47" s="18" t="s">
        <v>104</v>
      </c>
      <c r="C47" s="18" t="s">
        <v>119</v>
      </c>
      <c r="D47" s="18" t="s">
        <v>120</v>
      </c>
      <c r="E47" s="18" t="str">
        <f t="shared" si="4"/>
        <v>62R17P7</v>
      </c>
      <c r="F47" s="18" t="s">
        <v>12</v>
      </c>
      <c r="G47" s="18">
        <v>20250401</v>
      </c>
      <c r="H47" s="18" t="str">
        <f t="shared" si="1"/>
        <v>4/1/2025</v>
      </c>
      <c r="I47" s="19" t="s">
        <v>6</v>
      </c>
      <c r="J47" s="20">
        <v>36</v>
      </c>
      <c r="K47" s="21">
        <v>0.2</v>
      </c>
      <c r="L47" s="20">
        <v>7.2</v>
      </c>
      <c r="M47" s="22"/>
      <c r="N47" s="23">
        <v>7.92</v>
      </c>
      <c r="O47" s="24">
        <v>0.22</v>
      </c>
      <c r="P47" s="20">
        <v>7.2</v>
      </c>
      <c r="Q47" s="25" t="s">
        <v>150</v>
      </c>
    </row>
    <row r="48" spans="1:18" s="25" customFormat="1" ht="15" customHeight="1" x14ac:dyDescent="0.25">
      <c r="A48" s="18" t="s">
        <v>157</v>
      </c>
      <c r="B48" s="18" t="s">
        <v>104</v>
      </c>
      <c r="C48" s="18" t="s">
        <v>121</v>
      </c>
      <c r="D48" s="18" t="s">
        <v>122</v>
      </c>
      <c r="E48" s="18" t="str">
        <f t="shared" si="4"/>
        <v>64RC607</v>
      </c>
      <c r="F48" s="18" t="s">
        <v>12</v>
      </c>
      <c r="G48" s="18">
        <v>20250401</v>
      </c>
      <c r="H48" s="18" t="str">
        <f t="shared" si="1"/>
        <v>4/1/2025</v>
      </c>
      <c r="I48" s="19" t="s">
        <v>6</v>
      </c>
      <c r="J48" s="20">
        <v>66.599999999999994</v>
      </c>
      <c r="K48" s="21">
        <v>0.2</v>
      </c>
      <c r="L48" s="20">
        <v>13.32</v>
      </c>
      <c r="M48" s="22"/>
      <c r="N48" s="23">
        <v>14.65</v>
      </c>
      <c r="O48" s="24">
        <v>0.22</v>
      </c>
      <c r="P48" s="20">
        <v>13.32</v>
      </c>
      <c r="Q48" s="25" t="s">
        <v>150</v>
      </c>
    </row>
    <row r="49" spans="1:17" ht="15" customHeight="1" x14ac:dyDescent="0.25">
      <c r="A49" s="10">
        <v>8244481</v>
      </c>
      <c r="B49" s="10" t="s">
        <v>123</v>
      </c>
      <c r="C49" s="10" t="s">
        <v>124</v>
      </c>
      <c r="D49" s="10" t="s">
        <v>125</v>
      </c>
      <c r="E49" s="10" t="str">
        <f t="shared" si="4"/>
        <v>38Q40Y7</v>
      </c>
      <c r="F49" s="10" t="s">
        <v>12</v>
      </c>
      <c r="G49" s="10">
        <v>20250401</v>
      </c>
      <c r="H49" s="10" t="str">
        <f t="shared" si="1"/>
        <v>4/1/2025</v>
      </c>
      <c r="I49" s="11" t="s">
        <v>6</v>
      </c>
      <c r="J49" s="12">
        <v>59.9</v>
      </c>
      <c r="K49" s="13">
        <v>0.2</v>
      </c>
      <c r="L49" s="12">
        <v>11.98</v>
      </c>
      <c r="M49" s="14"/>
      <c r="N49" s="15">
        <v>11.98</v>
      </c>
      <c r="O49" s="16">
        <v>0.2</v>
      </c>
      <c r="P49" s="12">
        <v>11.98</v>
      </c>
      <c r="Q49" s="17" t="s">
        <v>150</v>
      </c>
    </row>
    <row r="50" spans="1:17" ht="15" customHeight="1" x14ac:dyDescent="0.25">
      <c r="A50" s="10">
        <v>8244481</v>
      </c>
      <c r="B50" s="10" t="s">
        <v>123</v>
      </c>
      <c r="C50" s="10" t="s">
        <v>126</v>
      </c>
      <c r="D50" s="10" t="s">
        <v>127</v>
      </c>
      <c r="E50" s="10" t="str">
        <f t="shared" si="4"/>
        <v>18RY537</v>
      </c>
      <c r="F50" s="10" t="s">
        <v>12</v>
      </c>
      <c r="G50" s="10">
        <v>20250401</v>
      </c>
      <c r="H50" s="10" t="str">
        <f t="shared" si="1"/>
        <v>4/1/2025</v>
      </c>
      <c r="I50" s="11" t="s">
        <v>6</v>
      </c>
      <c r="J50" s="12">
        <v>66.599999999999994</v>
      </c>
      <c r="K50" s="13">
        <v>0.2</v>
      </c>
      <c r="L50" s="12">
        <v>13.32</v>
      </c>
      <c r="M50" s="14"/>
      <c r="N50" s="15">
        <v>14.65</v>
      </c>
      <c r="O50" s="16">
        <v>0.22</v>
      </c>
      <c r="P50" s="12">
        <v>13.32</v>
      </c>
      <c r="Q50" s="17" t="s">
        <v>150</v>
      </c>
    </row>
    <row r="51" spans="1:17" ht="15" customHeight="1" x14ac:dyDescent="0.25">
      <c r="A51" s="10">
        <v>16633294</v>
      </c>
      <c r="B51" s="10" t="s">
        <v>128</v>
      </c>
      <c r="C51" s="10" t="s">
        <v>129</v>
      </c>
      <c r="D51" s="10" t="s">
        <v>130</v>
      </c>
      <c r="E51" s="10" t="str">
        <f t="shared" si="4"/>
        <v>31TG757</v>
      </c>
      <c r="F51" s="10" t="s">
        <v>12</v>
      </c>
      <c r="G51" s="10">
        <v>20250401</v>
      </c>
      <c r="H51" s="10" t="str">
        <f t="shared" si="1"/>
        <v>4/1/2025</v>
      </c>
      <c r="I51" s="11" t="s">
        <v>6</v>
      </c>
      <c r="J51" s="12">
        <v>62.32</v>
      </c>
      <c r="K51" s="13">
        <v>0.2</v>
      </c>
      <c r="L51" s="12">
        <v>12.464</v>
      </c>
      <c r="M51" s="14"/>
      <c r="N51" s="15">
        <v>12.46</v>
      </c>
      <c r="O51" s="16">
        <v>0.2</v>
      </c>
      <c r="P51" s="12">
        <v>12.464</v>
      </c>
      <c r="Q51" s="17" t="s">
        <v>150</v>
      </c>
    </row>
    <row r="52" spans="1:17" ht="15" customHeight="1" x14ac:dyDescent="0.25">
      <c r="A52" s="10">
        <v>16633294</v>
      </c>
      <c r="B52" s="10" t="s">
        <v>128</v>
      </c>
      <c r="C52" s="10" t="s">
        <v>131</v>
      </c>
      <c r="D52" s="10" t="s">
        <v>132</v>
      </c>
      <c r="E52" s="10" t="str">
        <f t="shared" si="4"/>
        <v>31TG877</v>
      </c>
      <c r="F52" s="10" t="s">
        <v>12</v>
      </c>
      <c r="G52" s="10">
        <v>20250401</v>
      </c>
      <c r="H52" s="10" t="str">
        <f t="shared" si="1"/>
        <v>4/1/2025</v>
      </c>
      <c r="I52" s="11" t="s">
        <v>6</v>
      </c>
      <c r="J52" s="12">
        <v>72.260000000000005</v>
      </c>
      <c r="K52" s="13">
        <v>0.2</v>
      </c>
      <c r="L52" s="12">
        <v>14.452000000000002</v>
      </c>
      <c r="M52" s="14"/>
      <c r="N52" s="15">
        <v>14.45</v>
      </c>
      <c r="O52" s="16">
        <v>0.2</v>
      </c>
      <c r="P52" s="12">
        <v>14.452000000000002</v>
      </c>
      <c r="Q52" s="17" t="s">
        <v>150</v>
      </c>
    </row>
    <row r="53" spans="1:17" ht="15" customHeight="1" x14ac:dyDescent="0.25">
      <c r="A53" s="10">
        <v>8977234</v>
      </c>
      <c r="B53" s="10" t="s">
        <v>133</v>
      </c>
      <c r="C53" s="10" t="s">
        <v>134</v>
      </c>
      <c r="D53" s="10" t="s">
        <v>135</v>
      </c>
      <c r="E53" s="10" t="str">
        <f>CONCATENATE(D53,2)</f>
        <v>46DX332</v>
      </c>
      <c r="F53" s="10" t="s">
        <v>136</v>
      </c>
      <c r="G53" s="10">
        <v>20250401</v>
      </c>
      <c r="H53" s="10" t="str">
        <f t="shared" si="1"/>
        <v>4/1/2025</v>
      </c>
      <c r="I53" s="11" t="s">
        <v>38</v>
      </c>
      <c r="J53" s="12">
        <v>0</v>
      </c>
      <c r="K53" s="13">
        <v>27</v>
      </c>
      <c r="L53" s="12">
        <v>27</v>
      </c>
      <c r="M53" s="14"/>
      <c r="N53" s="15">
        <v>27</v>
      </c>
      <c r="O53" s="16"/>
      <c r="P53" s="12"/>
      <c r="Q53" s="17" t="s">
        <v>153</v>
      </c>
    </row>
    <row r="54" spans="1:17" ht="15" customHeight="1" x14ac:dyDescent="0.25">
      <c r="A54" s="10">
        <v>8977234</v>
      </c>
      <c r="B54" s="10" t="s">
        <v>133</v>
      </c>
      <c r="C54" s="10" t="s">
        <v>138</v>
      </c>
      <c r="D54" s="10" t="s">
        <v>139</v>
      </c>
      <c r="E54" s="10" t="str">
        <f>CONCATENATE(D54,2)</f>
        <v>8PJ6532</v>
      </c>
      <c r="F54" s="10" t="s">
        <v>136</v>
      </c>
      <c r="G54" s="10">
        <v>20250401</v>
      </c>
      <c r="H54" s="10" t="str">
        <f t="shared" si="1"/>
        <v>4/1/2025</v>
      </c>
      <c r="I54" s="11" t="s">
        <v>38</v>
      </c>
      <c r="J54" s="12">
        <v>0</v>
      </c>
      <c r="K54" s="13">
        <v>27</v>
      </c>
      <c r="L54" s="12">
        <v>27</v>
      </c>
      <c r="M54" s="14"/>
      <c r="N54" s="15">
        <v>27</v>
      </c>
      <c r="O54" s="16"/>
      <c r="P54" s="12"/>
      <c r="Q54" s="17" t="s">
        <v>153</v>
      </c>
    </row>
    <row r="55" spans="1:17" ht="15" customHeight="1" x14ac:dyDescent="0.25">
      <c r="A55" s="10">
        <v>19106640</v>
      </c>
      <c r="B55" s="10" t="s">
        <v>140</v>
      </c>
      <c r="C55" s="10" t="s">
        <v>141</v>
      </c>
      <c r="D55" s="10" t="s">
        <v>142</v>
      </c>
      <c r="E55" s="10" t="str">
        <f>CONCATENATE(D55,7)</f>
        <v>24R79F7</v>
      </c>
      <c r="F55" s="10" t="s">
        <v>12</v>
      </c>
      <c r="G55" s="10">
        <v>20250401</v>
      </c>
      <c r="H55" s="10" t="str">
        <f t="shared" si="1"/>
        <v>4/1/2025</v>
      </c>
      <c r="I55" s="11" t="s">
        <v>6</v>
      </c>
      <c r="J55" s="12">
        <v>115.55</v>
      </c>
      <c r="K55" s="13">
        <v>0.2</v>
      </c>
      <c r="L55" s="12">
        <v>23.11</v>
      </c>
      <c r="M55" s="14"/>
      <c r="N55" s="15">
        <v>25.42</v>
      </c>
      <c r="O55" s="16">
        <v>0.22</v>
      </c>
      <c r="P55" s="12">
        <v>23.11</v>
      </c>
      <c r="Q55" s="17" t="s">
        <v>150</v>
      </c>
    </row>
    <row r="56" spans="1:17" ht="15" customHeight="1" x14ac:dyDescent="0.25">
      <c r="A56" s="10">
        <v>19106640</v>
      </c>
      <c r="B56" s="10" t="s">
        <v>140</v>
      </c>
      <c r="C56" s="10" t="s">
        <v>143</v>
      </c>
      <c r="D56" s="10" t="s">
        <v>144</v>
      </c>
      <c r="E56" s="10" t="str">
        <f>CONCATENATE(D56,7)</f>
        <v>65R42C7</v>
      </c>
      <c r="F56" s="10" t="s">
        <v>136</v>
      </c>
      <c r="G56" s="10">
        <v>20250401</v>
      </c>
      <c r="H56" s="10" t="str">
        <f t="shared" si="1"/>
        <v>4/1/2025</v>
      </c>
      <c r="I56" s="11" t="s">
        <v>6</v>
      </c>
      <c r="J56" s="12">
        <v>103.1</v>
      </c>
      <c r="K56" s="13">
        <v>0.2</v>
      </c>
      <c r="L56" s="12">
        <v>20.62</v>
      </c>
      <c r="M56" s="14"/>
      <c r="N56" s="15">
        <v>22.68</v>
      </c>
      <c r="O56" s="16">
        <v>0.22</v>
      </c>
      <c r="P56" s="12">
        <v>20.62</v>
      </c>
      <c r="Q56" s="17" t="s">
        <v>150</v>
      </c>
    </row>
    <row r="57" spans="1:17" ht="15" customHeight="1" x14ac:dyDescent="0.25">
      <c r="A57" s="10">
        <v>16202925</v>
      </c>
      <c r="B57" s="10" t="s">
        <v>145</v>
      </c>
      <c r="C57" s="10" t="s">
        <v>146</v>
      </c>
      <c r="D57" s="10" t="s">
        <v>147</v>
      </c>
      <c r="E57" s="10" t="str">
        <f>CONCATENATE(D57,7)</f>
        <v>80TQ847</v>
      </c>
      <c r="F57" s="10" t="s">
        <v>61</v>
      </c>
      <c r="G57" s="10">
        <v>20250401</v>
      </c>
      <c r="H57" s="10" t="str">
        <f t="shared" si="1"/>
        <v>4/1/2025</v>
      </c>
      <c r="I57" s="11" t="s">
        <v>6</v>
      </c>
      <c r="J57" s="12">
        <v>45</v>
      </c>
      <c r="K57" s="13">
        <v>0.2</v>
      </c>
      <c r="L57" s="12">
        <v>9</v>
      </c>
      <c r="M57" s="14"/>
      <c r="N57" s="15">
        <v>9.9</v>
      </c>
      <c r="O57" s="16">
        <v>0.22</v>
      </c>
      <c r="P57" s="12">
        <v>9</v>
      </c>
      <c r="Q57" s="17" t="s">
        <v>150</v>
      </c>
    </row>
    <row r="58" spans="1:17" ht="15" customHeight="1" x14ac:dyDescent="0.25">
      <c r="A58" s="10"/>
      <c r="B58" s="10"/>
      <c r="C58" s="10"/>
      <c r="D58" s="10"/>
      <c r="E58" s="10"/>
      <c r="F58" s="10"/>
      <c r="G58" s="10"/>
      <c r="H58" s="10"/>
      <c r="I58" s="11"/>
      <c r="J58" s="12"/>
      <c r="K58" s="13"/>
      <c r="L58" s="12"/>
      <c r="M58" s="14"/>
      <c r="N58" s="15"/>
      <c r="O58" s="16"/>
      <c r="P58" s="12"/>
    </row>
  </sheetData>
  <sortState xmlns:xlrd2="http://schemas.microsoft.com/office/spreadsheetml/2017/richdata2" ref="A1:W59">
    <sortCondition ref="B1:B59"/>
  </sortState>
  <pageMargins left="0.7" right="0.7" top="0.75" bottom="0.75" header="0.3" footer="0.3"/>
  <ignoredErrors>
    <ignoredError sqref="E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2025-05-08T21:29:00Z</dcterms:created>
  <dcterms:modified xsi:type="dcterms:W3CDTF">2025-05-19T20:33:57Z</dcterms:modified>
</cp:coreProperties>
</file>