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ACA from Box\2025\04-10-25\"/>
    </mc:Choice>
  </mc:AlternateContent>
  <xr:revisionPtr revIDLastSave="0" documentId="13_ncr:1_{9E79617D-EBE5-41ED-825B-83CB5BE4B870}" xr6:coauthVersionLast="47" xr6:coauthVersionMax="47" xr10:uidLastSave="{00000000-0000-0000-0000-000000000000}"/>
  <bookViews>
    <workbookView xWindow="28680" yWindow="-120" windowWidth="29040" windowHeight="16440" activeTab="1" xr2:uid="{F2597C8C-0815-4D44-9FE8-D96A277BB5FF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2" i="2"/>
  <c r="E3" i="2"/>
  <c r="E4" i="2"/>
  <c r="E6" i="2"/>
  <c r="E7" i="2"/>
  <c r="E8" i="2"/>
  <c r="E20" i="2"/>
  <c r="E22" i="2"/>
  <c r="E23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5" i="2"/>
  <c r="E101" i="2"/>
  <c r="E102" i="2"/>
  <c r="E12" i="2"/>
  <c r="E15" i="2"/>
  <c r="E16" i="2"/>
  <c r="E17" i="2"/>
  <c r="E18" i="2"/>
  <c r="E19" i="2"/>
  <c r="E21" i="2"/>
  <c r="E24" i="2"/>
  <c r="E25" i="2"/>
  <c r="E26" i="2"/>
  <c r="E104" i="2"/>
  <c r="E105" i="2"/>
  <c r="E27" i="2"/>
  <c r="E28" i="2"/>
  <c r="E5" i="2"/>
  <c r="E13" i="2"/>
  <c r="E14" i="2"/>
  <c r="E47" i="2"/>
  <c r="E48" i="2"/>
  <c r="E49" i="2"/>
  <c r="E91" i="2"/>
  <c r="E92" i="2"/>
  <c r="E96" i="2"/>
  <c r="E97" i="2"/>
  <c r="E98" i="2"/>
  <c r="E99" i="2"/>
  <c r="E100" i="2"/>
  <c r="E103" i="2"/>
  <c r="E2" i="2"/>
  <c r="E11" i="2"/>
  <c r="E29" i="2"/>
  <c r="E50" i="2"/>
  <c r="E51" i="2"/>
  <c r="E93" i="2"/>
  <c r="E94" i="2"/>
  <c r="E9" i="2"/>
  <c r="E10" i="2"/>
</calcChain>
</file>

<file path=xl/sharedStrings.xml><?xml version="1.0" encoding="utf-8"?>
<sst xmlns="http://schemas.openxmlformats.org/spreadsheetml/2006/main" count="1316" uniqueCount="243">
  <si>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</si>
  <si>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</si>
  <si>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</si>
  <si>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</si>
  <si>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</si>
  <si>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</si>
  <si>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</si>
  <si>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</si>
  <si>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</si>
  <si>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</si>
  <si>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</si>
  <si>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>FL-N</t>
  </si>
  <si>
    <t>Medical, HOAPIN</t>
  </si>
  <si>
    <t>Main Line Benefits LLC</t>
  </si>
  <si>
    <t>ADAM RICHTER</t>
  </si>
  <si>
    <t>PETERS, HAILEY</t>
  </si>
  <si>
    <t>27C3J8</t>
  </si>
  <si>
    <t>VA</t>
  </si>
  <si>
    <t>MORRISON, RACHEL</t>
  </si>
  <si>
    <t>34C9J5</t>
  </si>
  <si>
    <t>HAHNE, GERALD</t>
  </si>
  <si>
    <t>49CL67</t>
  </si>
  <si>
    <t>STEPHENSON, SARAH</t>
  </si>
  <si>
    <t>0W61U5</t>
  </si>
  <si>
    <t>ANDREA PETRUNGARO</t>
  </si>
  <si>
    <t>KAUR, MANJIT</t>
  </si>
  <si>
    <t>89T8P5</t>
  </si>
  <si>
    <t>IL</t>
  </si>
  <si>
    <t>Medical, HMO1</t>
  </si>
  <si>
    <t>ANDREW CHOI</t>
  </si>
  <si>
    <t>ROBERTS, ERIN</t>
  </si>
  <si>
    <t>70P91M</t>
  </si>
  <si>
    <t>ROTARU, LENUTA</t>
  </si>
  <si>
    <t>74N3X5</t>
  </si>
  <si>
    <t>BRIAN STROHMAN</t>
  </si>
  <si>
    <t>ROSARIO, BENANCIA</t>
  </si>
  <si>
    <t>09T0X0</t>
  </si>
  <si>
    <t xml:space="preserve"> </t>
  </si>
  <si>
    <t>Dental, IVDPPO</t>
  </si>
  <si>
    <t>BARMORE, CHINALISA</t>
  </si>
  <si>
    <t>22T8R6</t>
  </si>
  <si>
    <t>CAROL FOLEY</t>
  </si>
  <si>
    <t>SIGG, ALEC</t>
  </si>
  <si>
    <t>01F2T5</t>
  </si>
  <si>
    <t>NC</t>
  </si>
  <si>
    <t>DEPHILLIPS, DEVON</t>
  </si>
  <si>
    <t>0J4F07</t>
  </si>
  <si>
    <t>BRAZELTON, KYLEE</t>
  </si>
  <si>
    <t>41Q71G</t>
  </si>
  <si>
    <t>FL-S</t>
  </si>
  <si>
    <t>COLLEEN FINNIGAN</t>
  </si>
  <si>
    <t>GIFFORD, GOLDA</t>
  </si>
  <si>
    <t>1N92F4</t>
  </si>
  <si>
    <t>TN</t>
  </si>
  <si>
    <t>GILLEY, CHARLES</t>
  </si>
  <si>
    <t>32A6E4</t>
  </si>
  <si>
    <t>PATTERSON, GENA</t>
  </si>
  <si>
    <t>37HH17</t>
  </si>
  <si>
    <t>BOLEY, BARBARA</t>
  </si>
  <si>
    <t>5YB036</t>
  </si>
  <si>
    <t>TIGNOR, DEBBIE</t>
  </si>
  <si>
    <t>85P3D2</t>
  </si>
  <si>
    <t>ESTHER HERRERALARSEN</t>
  </si>
  <si>
    <t>BARTOLOMEO, VINCENZO</t>
  </si>
  <si>
    <t>8T66A8</t>
  </si>
  <si>
    <t>FRANK LISKOVEC</t>
  </si>
  <si>
    <t>MARINO, ROSARIO</t>
  </si>
  <si>
    <t>1V05L0</t>
  </si>
  <si>
    <t>GARY PORTUGAL</t>
  </si>
  <si>
    <t>SMITH, CARRIE</t>
  </si>
  <si>
    <t>24T3Q3</t>
  </si>
  <si>
    <t>RODRIGUEZ, RAFAEL</t>
  </si>
  <si>
    <t>75T08D</t>
  </si>
  <si>
    <t>GREGORY TEIPEL</t>
  </si>
  <si>
    <t>CONLEY, ANNA</t>
  </si>
  <si>
    <t>5Y6K12</t>
  </si>
  <si>
    <t>KULCHYCKYJ, ANDREY</t>
  </si>
  <si>
    <t>35DH74</t>
  </si>
  <si>
    <t>TX</t>
  </si>
  <si>
    <t>WEBB, RANDALL</t>
  </si>
  <si>
    <t>5G6W80</t>
  </si>
  <si>
    <t>DEAN, JUSTIN</t>
  </si>
  <si>
    <t>7TR113</t>
  </si>
  <si>
    <t>HEATHER GESKE</t>
  </si>
  <si>
    <t>BRYANT, JAMES</t>
  </si>
  <si>
    <t>01R6J9</t>
  </si>
  <si>
    <t>CO</t>
  </si>
  <si>
    <t>HARPER, SHERRI</t>
  </si>
  <si>
    <t>12RY36</t>
  </si>
  <si>
    <t>HALL, LINDA</t>
  </si>
  <si>
    <t>26R7J9</t>
  </si>
  <si>
    <t>ROMBOUGH, JOELLE</t>
  </si>
  <si>
    <t>30R16R</t>
  </si>
  <si>
    <t>MANGO, BENJAMIN</t>
  </si>
  <si>
    <t>34R26L</t>
  </si>
  <si>
    <t>RENSHAW, KEVIN</t>
  </si>
  <si>
    <t>47R5L9</t>
  </si>
  <si>
    <t>BURNETT-TUBBS, LAURA</t>
  </si>
  <si>
    <t>52N5M3</t>
  </si>
  <si>
    <t>KIRBY, JACLYN</t>
  </si>
  <si>
    <t>74R5D7</t>
  </si>
  <si>
    <t>STEPAN, CAITLIN</t>
  </si>
  <si>
    <t>83R5P1</t>
  </si>
  <si>
    <t>DARCY, JOHN</t>
  </si>
  <si>
    <t>86P73K</t>
  </si>
  <si>
    <t>PHILBIN, SARA</t>
  </si>
  <si>
    <t>88T35K</t>
  </si>
  <si>
    <t>LEFEVER, BETTE</t>
  </si>
  <si>
    <t>69T3N9</t>
  </si>
  <si>
    <t>JACOB YALE</t>
  </si>
  <si>
    <t>MALITZ, STEVEN</t>
  </si>
  <si>
    <t>0Y84T5</t>
  </si>
  <si>
    <t>CEFOLA, CHRISTOPHER</t>
  </si>
  <si>
    <t>63P29C</t>
  </si>
  <si>
    <t>BALLARD, KATHERINE</t>
  </si>
  <si>
    <t>69E5F9</t>
  </si>
  <si>
    <t>JASON HOFFMANN</t>
  </si>
  <si>
    <t>MAZZOLA, SALVATORE</t>
  </si>
  <si>
    <t>2XH606</t>
  </si>
  <si>
    <t>JOEL LEE</t>
  </si>
  <si>
    <t>SANDOVAL, JUSTIN</t>
  </si>
  <si>
    <t>02R28F</t>
  </si>
  <si>
    <t>EDMISTON, AJA</t>
  </si>
  <si>
    <t>04N2X0</t>
  </si>
  <si>
    <t>LAWVER, SHAWN</t>
  </si>
  <si>
    <t>04TM48</t>
  </si>
  <si>
    <t>CHAFFIN, KATHRYN</t>
  </si>
  <si>
    <t>11N4X3</t>
  </si>
  <si>
    <t>ROUNSAVELL, OWEN</t>
  </si>
  <si>
    <t>15Q51K</t>
  </si>
  <si>
    <t>STUCKI, JOSIAH</t>
  </si>
  <si>
    <t>18P65E</t>
  </si>
  <si>
    <t>CORNIA, JOSSELYN</t>
  </si>
  <si>
    <t>20N0M3</t>
  </si>
  <si>
    <t>YOUKHANA, JAMES</t>
  </si>
  <si>
    <t>20Q85U</t>
  </si>
  <si>
    <t>TEFLIAN, NATALIE</t>
  </si>
  <si>
    <t>22TF46</t>
  </si>
  <si>
    <t>JOHNSON, DEREK</t>
  </si>
  <si>
    <t>34PJ62</t>
  </si>
  <si>
    <t>NALUBWAMA, SARAH</t>
  </si>
  <si>
    <t>39N2C4</t>
  </si>
  <si>
    <t>BRUCKMAN, VALERIE</t>
  </si>
  <si>
    <t>41Q3R2</t>
  </si>
  <si>
    <t>ANGAMUTHU KANDASAMY, VENK</t>
  </si>
  <si>
    <t>42N39C</t>
  </si>
  <si>
    <t>SANTIAGO, CALEB</t>
  </si>
  <si>
    <t>42T7F3</t>
  </si>
  <si>
    <t>SHARMA, SAURABH</t>
  </si>
  <si>
    <t>43R2H9</t>
  </si>
  <si>
    <t>LOY, HUNTER</t>
  </si>
  <si>
    <t>46Q2X5</t>
  </si>
  <si>
    <t>GADDAM, SUDHAKAR</t>
  </si>
  <si>
    <t>50QL36</t>
  </si>
  <si>
    <t>WOODARD, SAGE</t>
  </si>
  <si>
    <t>56TP96</t>
  </si>
  <si>
    <t>KASSAEE, SEYEDEHMONIREH</t>
  </si>
  <si>
    <t>58R70C</t>
  </si>
  <si>
    <t>CHAVEZ, ALEXANDER</t>
  </si>
  <si>
    <t>58RJ26</t>
  </si>
  <si>
    <t>NEVE, PATRICK</t>
  </si>
  <si>
    <t>58TH18</t>
  </si>
  <si>
    <t>WILSON, TYLER</t>
  </si>
  <si>
    <t>61N8M1</t>
  </si>
  <si>
    <t>DONNELL, JANA</t>
  </si>
  <si>
    <t>62N9M2</t>
  </si>
  <si>
    <t>LORD, REBECCA</t>
  </si>
  <si>
    <t>6HM412</t>
  </si>
  <si>
    <t>PESYAN, KELLY</t>
  </si>
  <si>
    <t>74Q11G</t>
  </si>
  <si>
    <t>ROBERTSON, MCCLAIN</t>
  </si>
  <si>
    <t>74Q8R8</t>
  </si>
  <si>
    <t>DOUKAGA, JEAN</t>
  </si>
  <si>
    <t>78P06Q</t>
  </si>
  <si>
    <t>BK, SABITA</t>
  </si>
  <si>
    <t>79PL32</t>
  </si>
  <si>
    <t>HICKMAN, KIMBERLY</t>
  </si>
  <si>
    <t>84T61H</t>
  </si>
  <si>
    <t>BRESLI, ALIZAY</t>
  </si>
  <si>
    <t>86QL76</t>
  </si>
  <si>
    <t>TUCKER, DAVE</t>
  </si>
  <si>
    <t>98PH14</t>
  </si>
  <si>
    <t>SHANKS, KEVIN</t>
  </si>
  <si>
    <t>98Q9Q8</t>
  </si>
  <si>
    <t>02R27F</t>
  </si>
  <si>
    <t>CULTON, EVA</t>
  </si>
  <si>
    <t>39T05J</t>
  </si>
  <si>
    <t>LORI TUNSTALL</t>
  </si>
  <si>
    <t>POTTER, ALISON</t>
  </si>
  <si>
    <t>13M41V</t>
  </si>
  <si>
    <t>MATLIS, CASSANDRA</t>
  </si>
  <si>
    <t>56P6N9</t>
  </si>
  <si>
    <t>MICHAEL DUNAVANT</t>
  </si>
  <si>
    <t>MCCOLLOUGH, ELENA</t>
  </si>
  <si>
    <t>42T1F6</t>
  </si>
  <si>
    <t>RECTOR, TARA</t>
  </si>
  <si>
    <t>28TF78</t>
  </si>
  <si>
    <t>RICARDO SANTOS</t>
  </si>
  <si>
    <t>HAN, JUNG</t>
  </si>
  <si>
    <t>7K17M2</t>
  </si>
  <si>
    <t>RICHARD YALE</t>
  </si>
  <si>
    <t>LOMBARDI, JOANN</t>
  </si>
  <si>
    <t>03Q06K</t>
  </si>
  <si>
    <t>NOBILE, DANIEL</t>
  </si>
  <si>
    <t>77Q50P</t>
  </si>
  <si>
    <t>KING, PETER</t>
  </si>
  <si>
    <t>98Q49J</t>
  </si>
  <si>
    <t>RYAN CALTAGIRONE</t>
  </si>
  <si>
    <t>RODECK, KEITH</t>
  </si>
  <si>
    <t>02LM35</t>
  </si>
  <si>
    <t>MALSCH, CHARLES</t>
  </si>
  <si>
    <t>27P4G4</t>
  </si>
  <si>
    <t>SAADIA ABDUL</t>
  </si>
  <si>
    <t>ANGIULO, GIANNA</t>
  </si>
  <si>
    <t>68NK46</t>
  </si>
  <si>
    <t>POSADA GOMEZ, CELESTE</t>
  </si>
  <si>
    <t>80D61C</t>
  </si>
  <si>
    <t>SCOTT FINE</t>
  </si>
  <si>
    <t>CARICIC, RANKO</t>
  </si>
  <si>
    <t>44T3C6</t>
  </si>
  <si>
    <t>TIMOTHY HODGMAN</t>
  </si>
  <si>
    <t>HENNESSY, PAUL</t>
  </si>
  <si>
    <t>69E35K</t>
  </si>
  <si>
    <t>WASILEWSKI, DEANNA</t>
  </si>
  <si>
    <t>94Q69A</t>
  </si>
  <si>
    <t>ANDREW GOODMAN</t>
  </si>
  <si>
    <t>SANTO, ADELE SANTO</t>
  </si>
  <si>
    <t>42T0F9</t>
  </si>
  <si>
    <t>SC</t>
  </si>
  <si>
    <t>Total</t>
  </si>
  <si>
    <t>Cigna DVH</t>
  </si>
  <si>
    <t>Cigna - VA</t>
  </si>
  <si>
    <t>Cigna 2025 AZ, CO, IL</t>
  </si>
  <si>
    <t>Cigna 2025 TN/NC</t>
  </si>
  <si>
    <t>Cigna - TX</t>
  </si>
  <si>
    <t>Cigna - FL</t>
  </si>
  <si>
    <t>[PMPM=2]</t>
  </si>
  <si>
    <t>[PMPM=3]</t>
  </si>
  <si>
    <t>[PMPM=4]</t>
  </si>
  <si>
    <t>-[PMPM=4]</t>
  </si>
  <si>
    <t>[PMPM=5]</t>
  </si>
  <si>
    <t>[PMPM=6]</t>
  </si>
  <si>
    <t>18828278SUB2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</si>
</sst>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4" fontId="5" fillId="0" borderId="1" xfId="1" applyFont="1" applyBorder="1"/>
    <xf numFmtId="0" fontId="2" fillId="2" borderId="0" xfId="0" applyFont="1" applyFill="1" applyBorder="1" applyAlignment="1">
      <alignment horizontal="center" wrapText="1"/>
    </xf>
    <xf numFmtId="14" fontId="2" fillId="2" borderId="0" xfId="0" applyNumberFormat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vertical="center" wrapText="1"/>
    </xf>
    <xf numFmtId="44" fontId="2" fillId="2" borderId="0" xfId="1" applyFont="1" applyFill="1" applyBorder="1" applyAlignment="1">
      <alignment horizontal="center" wrapText="1"/>
    </xf>
    <xf numFmtId="0" fontId="2" fillId="2" borderId="0" xfId="1" applyNumberFormat="1" applyFont="1" applyFill="1" applyBorder="1" applyAlignment="1">
      <alignment horizontal="center" wrapText="1"/>
    </xf>
    <xf numFmtId="0" fontId="0" fillId="0" borderId="0" xfId="0" applyBorder="1"/>
    <xf numFmtId="0" fontId="4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44" fontId="5" fillId="0" borderId="0" xfId="1" applyFont="1" applyBorder="1"/>
    <xf numFmtId="0" fontId="4" fillId="0" borderId="0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37FE4-08CB-4C0B-A226-4045374C70CE}">
  <dimension ref="A1:K106"/>
  <sheetViews>
    <sheetView workbookViewId="0">
      <selection sqref="A1:XFD1048576"/>
    </sheetView>
  </sheetViews>
  <sheetFormatPr defaultRowHeight="15" x14ac:dyDescent="0.25"/>
  <cols>
    <col min="1" max="1" width="28.42578125" customWidth="1"/>
    <col min="2" max="2" width="37.28515625" customWidth="1"/>
    <col min="3" max="3" width="33.28515625" customWidth="1"/>
    <col min="4" max="4" width="13.42578125" customWidth="1"/>
    <col min="5" max="5" width="7.7109375" customWidth="1"/>
    <col min="6" max="6" width="9.28515625" customWidth="1"/>
    <col min="7" max="7" width="12.85546875" customWidth="1"/>
    <col min="8" max="8" width="17" customWidth="1"/>
    <col min="9" max="9" width="12.28515625" customWidth="1"/>
    <col min="10" max="10" width="8.42578125" customWidth="1"/>
    <col min="11" max="11" width="14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ht="15.75" x14ac:dyDescent="0.25">
      <c r="A2" s="6" t="s">
        <v>13</v>
      </c>
      <c r="B2" s="7" t="s">
        <v>14</v>
      </c>
      <c r="C2" s="7" t="s">
        <v>15</v>
      </c>
      <c r="D2" s="7" t="s">
        <v>16</v>
      </c>
      <c r="E2" s="8" t="s">
        <v>17</v>
      </c>
      <c r="F2" s="7">
        <v>1</v>
      </c>
      <c r="G2" s="7">
        <v>20250401</v>
      </c>
      <c r="H2" s="7" t="s">
        <v>12</v>
      </c>
      <c r="I2" s="9">
        <v>69.2</v>
      </c>
      <c r="J2" s="7">
        <v>20</v>
      </c>
      <c r="K2" s="9">
        <v>20</v>
      </c>
    </row>
    <row r="3" spans="1:11" ht="15.75" x14ac:dyDescent="0.25">
      <c r="A3" s="6" t="s">
        <v>13</v>
      </c>
      <c r="B3" s="7" t="s">
        <v>14</v>
      </c>
      <c r="C3" s="7" t="s">
        <v>18</v>
      </c>
      <c r="D3" s="7" t="s">
        <v>19</v>
      </c>
      <c r="E3" s="8" t="s">
        <v>17</v>
      </c>
      <c r="F3" s="7">
        <v>1</v>
      </c>
      <c r="G3" s="7">
        <v>20250401</v>
      </c>
      <c r="H3" s="7" t="s">
        <v>12</v>
      </c>
      <c r="I3" s="9">
        <v>334.97</v>
      </c>
      <c r="J3" s="7">
        <v>20</v>
      </c>
      <c r="K3" s="9">
        <v>20</v>
      </c>
    </row>
    <row r="4" spans="1:11" ht="15.75" x14ac:dyDescent="0.25">
      <c r="A4" s="6" t="s">
        <v>13</v>
      </c>
      <c r="B4" s="7" t="s">
        <v>14</v>
      </c>
      <c r="C4" s="7" t="s">
        <v>20</v>
      </c>
      <c r="D4" s="7" t="s">
        <v>21</v>
      </c>
      <c r="E4" s="8" t="s">
        <v>17</v>
      </c>
      <c r="F4" s="7">
        <v>1</v>
      </c>
      <c r="G4" s="7">
        <v>20250401</v>
      </c>
      <c r="H4" s="7" t="s">
        <v>12</v>
      </c>
      <c r="I4" s="9">
        <v>698.24</v>
      </c>
      <c r="J4" s="7">
        <v>20</v>
      </c>
      <c r="K4" s="9">
        <v>20</v>
      </c>
    </row>
    <row r="5" spans="1:11" ht="15.75" x14ac:dyDescent="0.25">
      <c r="A5" s="6" t="s">
        <v>13</v>
      </c>
      <c r="B5" s="7" t="s">
        <v>14</v>
      </c>
      <c r="C5" s="7" t="s">
        <v>22</v>
      </c>
      <c r="D5" s="7" t="s">
        <v>23</v>
      </c>
      <c r="E5" s="8" t="s">
        <v>11</v>
      </c>
      <c r="F5" s="7">
        <v>1</v>
      </c>
      <c r="G5" s="7">
        <v>20250401</v>
      </c>
      <c r="H5" s="7" t="s">
        <v>12</v>
      </c>
      <c r="I5" s="9">
        <v>151.52000000000001</v>
      </c>
      <c r="J5" s="7">
        <v>27</v>
      </c>
      <c r="K5" s="9">
        <v>27</v>
      </c>
    </row>
    <row r="6" spans="1:11" ht="15.75" x14ac:dyDescent="0.25">
      <c r="A6" s="6" t="s">
        <v>13</v>
      </c>
      <c r="B6" s="7" t="s">
        <v>24</v>
      </c>
      <c r="C6" s="7" t="s">
        <v>25</v>
      </c>
      <c r="D6" s="7" t="s">
        <v>26</v>
      </c>
      <c r="E6" s="8" t="s">
        <v>27</v>
      </c>
      <c r="F6" s="7">
        <v>3</v>
      </c>
      <c r="G6" s="7">
        <v>20250401</v>
      </c>
      <c r="H6" s="7" t="s">
        <v>28</v>
      </c>
      <c r="I6" s="9">
        <v>114.33</v>
      </c>
      <c r="J6" s="7">
        <v>20</v>
      </c>
      <c r="K6" s="9">
        <v>60</v>
      </c>
    </row>
    <row r="7" spans="1:11" ht="15.75" x14ac:dyDescent="0.25">
      <c r="A7" s="6" t="s">
        <v>13</v>
      </c>
      <c r="B7" s="7" t="s">
        <v>29</v>
      </c>
      <c r="C7" s="7" t="s">
        <v>30</v>
      </c>
      <c r="D7" s="7" t="s">
        <v>31</v>
      </c>
      <c r="E7" s="8" t="s">
        <v>27</v>
      </c>
      <c r="F7" s="7">
        <v>1</v>
      </c>
      <c r="G7" s="7">
        <v>20250401</v>
      </c>
      <c r="H7" s="7" t="s">
        <v>28</v>
      </c>
      <c r="I7" s="9">
        <v>462.11</v>
      </c>
      <c r="J7" s="7">
        <v>20</v>
      </c>
      <c r="K7" s="9">
        <v>20</v>
      </c>
    </row>
    <row r="8" spans="1:11" ht="15.75" x14ac:dyDescent="0.25">
      <c r="A8" s="6" t="s">
        <v>13</v>
      </c>
      <c r="B8" s="7" t="s">
        <v>29</v>
      </c>
      <c r="C8" s="7" t="s">
        <v>32</v>
      </c>
      <c r="D8" s="7" t="s">
        <v>33</v>
      </c>
      <c r="E8" s="8" t="s">
        <v>27</v>
      </c>
      <c r="F8" s="7">
        <v>3</v>
      </c>
      <c r="G8" s="7">
        <v>20250401</v>
      </c>
      <c r="H8" s="7" t="s">
        <v>28</v>
      </c>
      <c r="I8" s="9">
        <v>30.84</v>
      </c>
      <c r="J8" s="7">
        <v>20</v>
      </c>
      <c r="K8" s="9">
        <v>60</v>
      </c>
    </row>
    <row r="9" spans="1:11" ht="15.75" x14ac:dyDescent="0.25">
      <c r="A9" s="6" t="s">
        <v>13</v>
      </c>
      <c r="B9" s="7" t="s">
        <v>34</v>
      </c>
      <c r="C9" s="7" t="s">
        <v>35</v>
      </c>
      <c r="D9" s="7" t="s">
        <v>36</v>
      </c>
      <c r="E9" s="8" t="s">
        <v>27</v>
      </c>
      <c r="F9" s="7" t="s">
        <v>37</v>
      </c>
      <c r="G9" s="7">
        <v>20250401</v>
      </c>
      <c r="H9" s="7" t="s">
        <v>38</v>
      </c>
      <c r="I9" s="9">
        <v>41.44</v>
      </c>
      <c r="J9" s="7">
        <v>0.2</v>
      </c>
      <c r="K9" s="9">
        <v>8.2880000000000003</v>
      </c>
    </row>
    <row r="10" spans="1:11" ht="15.75" x14ac:dyDescent="0.25">
      <c r="A10" s="6" t="s">
        <v>13</v>
      </c>
      <c r="B10" s="7" t="s">
        <v>34</v>
      </c>
      <c r="C10" s="7" t="s">
        <v>39</v>
      </c>
      <c r="D10" s="7" t="s">
        <v>40</v>
      </c>
      <c r="E10" s="8" t="s">
        <v>27</v>
      </c>
      <c r="F10" s="7" t="s">
        <v>37</v>
      </c>
      <c r="G10" s="7">
        <v>20250401</v>
      </c>
      <c r="H10" s="7" t="s">
        <v>38</v>
      </c>
      <c r="I10" s="9">
        <v>34.17</v>
      </c>
      <c r="J10" s="7">
        <v>0.2</v>
      </c>
      <c r="K10" s="9">
        <v>6.8340000000000005</v>
      </c>
    </row>
    <row r="11" spans="1:11" ht="15.75" x14ac:dyDescent="0.25">
      <c r="A11" s="6" t="s">
        <v>13</v>
      </c>
      <c r="B11" s="7" t="s">
        <v>41</v>
      </c>
      <c r="C11" s="7" t="s">
        <v>42</v>
      </c>
      <c r="D11" s="7" t="s">
        <v>43</v>
      </c>
      <c r="E11" s="8" t="s">
        <v>44</v>
      </c>
      <c r="F11" s="7">
        <v>1</v>
      </c>
      <c r="G11" s="7">
        <v>20250401</v>
      </c>
      <c r="H11" s="7" t="s">
        <v>28</v>
      </c>
      <c r="I11" s="9">
        <v>40.03</v>
      </c>
      <c r="J11" s="7">
        <v>22</v>
      </c>
      <c r="K11" s="9">
        <v>22</v>
      </c>
    </row>
    <row r="12" spans="1:11" ht="15.75" x14ac:dyDescent="0.25">
      <c r="A12" s="6" t="s">
        <v>13</v>
      </c>
      <c r="B12" s="7" t="s">
        <v>41</v>
      </c>
      <c r="C12" s="7" t="s">
        <v>45</v>
      </c>
      <c r="D12" s="7" t="s">
        <v>46</v>
      </c>
      <c r="E12" s="8" t="s">
        <v>11</v>
      </c>
      <c r="F12" s="7">
        <v>3</v>
      </c>
      <c r="G12" s="7">
        <v>20250401</v>
      </c>
      <c r="H12" s="7" t="s">
        <v>12</v>
      </c>
      <c r="I12" s="9">
        <v>191.23</v>
      </c>
      <c r="J12" s="7">
        <v>27</v>
      </c>
      <c r="K12" s="9">
        <v>81</v>
      </c>
    </row>
    <row r="13" spans="1:11" ht="15.75" x14ac:dyDescent="0.25">
      <c r="A13" s="6" t="s">
        <v>13</v>
      </c>
      <c r="B13" s="7" t="s">
        <v>41</v>
      </c>
      <c r="C13" s="7" t="s">
        <v>47</v>
      </c>
      <c r="D13" s="7" t="s">
        <v>48</v>
      </c>
      <c r="E13" s="8" t="s">
        <v>49</v>
      </c>
      <c r="F13" s="7">
        <v>1</v>
      </c>
      <c r="G13" s="7">
        <v>20250401</v>
      </c>
      <c r="H13" s="7" t="s">
        <v>12</v>
      </c>
      <c r="I13" s="9">
        <v>192.18</v>
      </c>
      <c r="J13" s="7">
        <v>27</v>
      </c>
      <c r="K13" s="9">
        <v>27</v>
      </c>
    </row>
    <row r="14" spans="1:11" ht="15.75" x14ac:dyDescent="0.25">
      <c r="A14" s="6" t="s">
        <v>13</v>
      </c>
      <c r="B14" s="7" t="s">
        <v>50</v>
      </c>
      <c r="C14" s="7" t="s">
        <v>51</v>
      </c>
      <c r="D14" s="7" t="s">
        <v>52</v>
      </c>
      <c r="E14" s="8" t="s">
        <v>53</v>
      </c>
      <c r="F14" s="7">
        <v>1</v>
      </c>
      <c r="G14" s="7">
        <v>20250401</v>
      </c>
      <c r="H14" s="7" t="s">
        <v>12</v>
      </c>
      <c r="I14" s="9">
        <v>17.690000000000001</v>
      </c>
      <c r="J14" s="7">
        <v>22</v>
      </c>
      <c r="K14" s="9">
        <v>22</v>
      </c>
    </row>
    <row r="15" spans="1:11" ht="15.75" x14ac:dyDescent="0.25">
      <c r="A15" s="6" t="s">
        <v>13</v>
      </c>
      <c r="B15" s="7" t="s">
        <v>50</v>
      </c>
      <c r="C15" s="7" t="s">
        <v>54</v>
      </c>
      <c r="D15" s="7" t="s">
        <v>55</v>
      </c>
      <c r="E15" s="8" t="s">
        <v>53</v>
      </c>
      <c r="F15" s="7">
        <v>1</v>
      </c>
      <c r="G15" s="7">
        <v>20250401</v>
      </c>
      <c r="H15" s="7" t="s">
        <v>12</v>
      </c>
      <c r="I15" s="9">
        <v>17.690000000000001</v>
      </c>
      <c r="J15" s="7">
        <v>22</v>
      </c>
      <c r="K15" s="9">
        <v>22</v>
      </c>
    </row>
    <row r="16" spans="1:11" ht="15.75" x14ac:dyDescent="0.25">
      <c r="A16" s="6" t="s">
        <v>13</v>
      </c>
      <c r="B16" s="7" t="s">
        <v>50</v>
      </c>
      <c r="C16" s="7" t="s">
        <v>56</v>
      </c>
      <c r="D16" s="7" t="s">
        <v>57</v>
      </c>
      <c r="E16" s="8" t="s">
        <v>53</v>
      </c>
      <c r="F16" s="7">
        <v>1</v>
      </c>
      <c r="G16" s="7">
        <v>20250401</v>
      </c>
      <c r="H16" s="7" t="s">
        <v>12</v>
      </c>
      <c r="I16" s="9">
        <v>31.2</v>
      </c>
      <c r="J16" s="7">
        <v>22</v>
      </c>
      <c r="K16" s="9">
        <v>22</v>
      </c>
    </row>
    <row r="17" spans="1:11" ht="15.75" x14ac:dyDescent="0.25">
      <c r="A17" s="6" t="s">
        <v>13</v>
      </c>
      <c r="B17" s="7" t="s">
        <v>50</v>
      </c>
      <c r="C17" s="7" t="s">
        <v>58</v>
      </c>
      <c r="D17" s="7" t="s">
        <v>59</v>
      </c>
      <c r="E17" s="8" t="s">
        <v>53</v>
      </c>
      <c r="F17" s="7">
        <v>1</v>
      </c>
      <c r="G17" s="7">
        <v>20250401</v>
      </c>
      <c r="H17" s="7" t="s">
        <v>12</v>
      </c>
      <c r="I17" s="9">
        <v>168.73</v>
      </c>
      <c r="J17" s="7">
        <v>22</v>
      </c>
      <c r="K17" s="9">
        <v>22</v>
      </c>
    </row>
    <row r="18" spans="1:11" ht="15.75" x14ac:dyDescent="0.25">
      <c r="A18" s="6" t="s">
        <v>13</v>
      </c>
      <c r="B18" s="7" t="s">
        <v>50</v>
      </c>
      <c r="C18" s="7" t="s">
        <v>60</v>
      </c>
      <c r="D18" s="7" t="s">
        <v>61</v>
      </c>
      <c r="E18" s="8" t="s">
        <v>53</v>
      </c>
      <c r="F18" s="7">
        <v>1</v>
      </c>
      <c r="G18" s="7">
        <v>20250401</v>
      </c>
      <c r="H18" s="7" t="s">
        <v>12</v>
      </c>
      <c r="I18" s="9">
        <v>219.6</v>
      </c>
      <c r="J18" s="7">
        <v>22</v>
      </c>
      <c r="K18" s="9">
        <v>22</v>
      </c>
    </row>
    <row r="19" spans="1:11" ht="15.75" x14ac:dyDescent="0.25">
      <c r="A19" s="6" t="s">
        <v>13</v>
      </c>
      <c r="B19" s="7" t="s">
        <v>62</v>
      </c>
      <c r="C19" s="7" t="s">
        <v>63</v>
      </c>
      <c r="D19" s="7" t="s">
        <v>64</v>
      </c>
      <c r="E19" s="8" t="s">
        <v>27</v>
      </c>
      <c r="F19" s="7">
        <v>1</v>
      </c>
      <c r="G19" s="7">
        <v>20250401</v>
      </c>
      <c r="H19" s="7" t="s">
        <v>28</v>
      </c>
      <c r="I19" s="9">
        <v>148.30000000000001</v>
      </c>
      <c r="J19" s="7">
        <v>20</v>
      </c>
      <c r="K19" s="9">
        <v>20</v>
      </c>
    </row>
    <row r="20" spans="1:11" ht="15.75" x14ac:dyDescent="0.25">
      <c r="A20" s="6" t="s">
        <v>13</v>
      </c>
      <c r="B20" s="7" t="s">
        <v>65</v>
      </c>
      <c r="C20" s="7" t="s">
        <v>66</v>
      </c>
      <c r="D20" s="7" t="s">
        <v>67</v>
      </c>
      <c r="E20" s="8" t="s">
        <v>53</v>
      </c>
      <c r="F20" s="7">
        <v>4</v>
      </c>
      <c r="G20" s="7">
        <v>20250401</v>
      </c>
      <c r="H20" s="7" t="s">
        <v>12</v>
      </c>
      <c r="I20" s="9">
        <v>39.950000000000003</v>
      </c>
      <c r="J20" s="7">
        <v>22</v>
      </c>
      <c r="K20" s="9">
        <v>88</v>
      </c>
    </row>
    <row r="21" spans="1:11" ht="15.75" x14ac:dyDescent="0.25">
      <c r="A21" s="6" t="s">
        <v>13</v>
      </c>
      <c r="B21" s="7" t="s">
        <v>68</v>
      </c>
      <c r="C21" s="7" t="s">
        <v>69</v>
      </c>
      <c r="D21" s="7" t="s">
        <v>70</v>
      </c>
      <c r="E21" s="8" t="s">
        <v>27</v>
      </c>
      <c r="F21" s="7">
        <v>1</v>
      </c>
      <c r="G21" s="7">
        <v>20250401</v>
      </c>
      <c r="H21" s="7" t="s">
        <v>28</v>
      </c>
      <c r="I21" s="9">
        <v>215.88</v>
      </c>
      <c r="J21" s="7">
        <v>20</v>
      </c>
      <c r="K21" s="9">
        <v>20</v>
      </c>
    </row>
    <row r="22" spans="1:11" ht="15.75" x14ac:dyDescent="0.25">
      <c r="A22" s="6" t="s">
        <v>13</v>
      </c>
      <c r="B22" s="7" t="s">
        <v>68</v>
      </c>
      <c r="C22" s="7" t="s">
        <v>71</v>
      </c>
      <c r="D22" s="7" t="s">
        <v>72</v>
      </c>
      <c r="E22" s="8" t="s">
        <v>27</v>
      </c>
      <c r="F22" s="7">
        <v>1</v>
      </c>
      <c r="G22" s="7">
        <v>20250401</v>
      </c>
      <c r="H22" s="7" t="s">
        <v>28</v>
      </c>
      <c r="I22" s="9">
        <v>71.42</v>
      </c>
      <c r="J22" s="7">
        <v>20</v>
      </c>
      <c r="K22" s="9">
        <v>20</v>
      </c>
    </row>
    <row r="23" spans="1:11" ht="15.75" x14ac:dyDescent="0.25">
      <c r="A23" s="6" t="s">
        <v>13</v>
      </c>
      <c r="B23" s="7" t="s">
        <v>73</v>
      </c>
      <c r="C23" s="7" t="s">
        <v>74</v>
      </c>
      <c r="D23" s="7" t="s">
        <v>75</v>
      </c>
      <c r="E23" s="8" t="s">
        <v>44</v>
      </c>
      <c r="F23" s="7">
        <v>1</v>
      </c>
      <c r="G23" s="7">
        <v>20250401</v>
      </c>
      <c r="H23" s="7" t="s">
        <v>28</v>
      </c>
      <c r="I23" s="9">
        <v>107.75</v>
      </c>
      <c r="J23" s="7">
        <v>22</v>
      </c>
      <c r="K23" s="9">
        <v>22</v>
      </c>
    </row>
    <row r="24" spans="1:11" ht="15.75" x14ac:dyDescent="0.25">
      <c r="A24" s="6" t="s">
        <v>13</v>
      </c>
      <c r="B24" s="7" t="s">
        <v>73</v>
      </c>
      <c r="C24" s="7" t="s">
        <v>76</v>
      </c>
      <c r="D24" s="7" t="s">
        <v>77</v>
      </c>
      <c r="E24" s="8" t="s">
        <v>78</v>
      </c>
      <c r="F24" s="7">
        <v>-1</v>
      </c>
      <c r="G24" s="7">
        <v>20250401</v>
      </c>
      <c r="H24" s="7" t="s">
        <v>28</v>
      </c>
      <c r="I24" s="9">
        <v>-348.22</v>
      </c>
      <c r="J24" s="7">
        <v>25</v>
      </c>
      <c r="K24" s="9">
        <v>-25</v>
      </c>
    </row>
    <row r="25" spans="1:11" ht="15.75" x14ac:dyDescent="0.25">
      <c r="A25" s="6" t="s">
        <v>13</v>
      </c>
      <c r="B25" s="7" t="s">
        <v>73</v>
      </c>
      <c r="C25" s="7" t="s">
        <v>76</v>
      </c>
      <c r="D25" s="7" t="s">
        <v>77</v>
      </c>
      <c r="E25" s="8" t="s">
        <v>78</v>
      </c>
      <c r="F25" s="7">
        <v>1</v>
      </c>
      <c r="G25" s="7">
        <v>20250401</v>
      </c>
      <c r="H25" s="7" t="s">
        <v>28</v>
      </c>
      <c r="I25" s="9">
        <v>348.22</v>
      </c>
      <c r="J25" s="7">
        <v>25</v>
      </c>
      <c r="K25" s="9">
        <v>25</v>
      </c>
    </row>
    <row r="26" spans="1:11" ht="15.75" x14ac:dyDescent="0.25">
      <c r="A26" s="6" t="s">
        <v>13</v>
      </c>
      <c r="B26" s="7" t="s">
        <v>73</v>
      </c>
      <c r="C26" s="7" t="s">
        <v>79</v>
      </c>
      <c r="D26" s="7" t="s">
        <v>80</v>
      </c>
      <c r="E26" s="8" t="s">
        <v>53</v>
      </c>
      <c r="F26" s="7">
        <v>1</v>
      </c>
      <c r="G26" s="7">
        <v>20250401</v>
      </c>
      <c r="H26" s="7" t="s">
        <v>12</v>
      </c>
      <c r="I26" s="9">
        <v>126.18</v>
      </c>
      <c r="J26" s="7">
        <v>22</v>
      </c>
      <c r="K26" s="9">
        <v>22</v>
      </c>
    </row>
    <row r="27" spans="1:11" ht="15.75" x14ac:dyDescent="0.25">
      <c r="A27" s="6" t="s">
        <v>13</v>
      </c>
      <c r="B27" s="7" t="s">
        <v>73</v>
      </c>
      <c r="C27" s="7" t="s">
        <v>81</v>
      </c>
      <c r="D27" s="7" t="s">
        <v>82</v>
      </c>
      <c r="E27" s="8" t="s">
        <v>53</v>
      </c>
      <c r="F27" s="7">
        <v>1</v>
      </c>
      <c r="G27" s="7">
        <v>20250401</v>
      </c>
      <c r="H27" s="7" t="s">
        <v>12</v>
      </c>
      <c r="I27" s="9">
        <v>11.9</v>
      </c>
      <c r="J27" s="7">
        <v>22</v>
      </c>
      <c r="K27" s="9">
        <v>22</v>
      </c>
    </row>
    <row r="28" spans="1:11" ht="15.75" x14ac:dyDescent="0.25">
      <c r="A28" s="6" t="s">
        <v>13</v>
      </c>
      <c r="B28" s="7" t="s">
        <v>83</v>
      </c>
      <c r="C28" s="7" t="s">
        <v>84</v>
      </c>
      <c r="D28" s="7" t="s">
        <v>85</v>
      </c>
      <c r="E28" s="8" t="s">
        <v>86</v>
      </c>
      <c r="F28" s="7">
        <v>1</v>
      </c>
      <c r="G28" s="7">
        <v>20250401</v>
      </c>
      <c r="H28" s="7" t="s">
        <v>12</v>
      </c>
      <c r="I28" s="9">
        <v>51.56</v>
      </c>
      <c r="J28" s="7">
        <v>20</v>
      </c>
      <c r="K28" s="9">
        <v>20</v>
      </c>
    </row>
    <row r="29" spans="1:11" ht="15.75" x14ac:dyDescent="0.25">
      <c r="A29" s="6" t="s">
        <v>13</v>
      </c>
      <c r="B29" s="7" t="s">
        <v>83</v>
      </c>
      <c r="C29" s="7" t="s">
        <v>87</v>
      </c>
      <c r="D29" s="7" t="s">
        <v>88</v>
      </c>
      <c r="E29" s="8" t="s">
        <v>86</v>
      </c>
      <c r="F29" s="7">
        <v>1</v>
      </c>
      <c r="G29" s="7">
        <v>20250401</v>
      </c>
      <c r="H29" s="7" t="s">
        <v>12</v>
      </c>
      <c r="I29" s="9">
        <v>640.73</v>
      </c>
      <c r="J29" s="7">
        <v>20</v>
      </c>
      <c r="K29" s="9">
        <v>20</v>
      </c>
    </row>
    <row r="30" spans="1:11" ht="15.75" x14ac:dyDescent="0.25">
      <c r="A30" s="6" t="s">
        <v>13</v>
      </c>
      <c r="B30" s="7" t="s">
        <v>83</v>
      </c>
      <c r="C30" s="7" t="s">
        <v>89</v>
      </c>
      <c r="D30" s="7" t="s">
        <v>90</v>
      </c>
      <c r="E30" s="8" t="s">
        <v>86</v>
      </c>
      <c r="F30" s="7">
        <v>1</v>
      </c>
      <c r="G30" s="7">
        <v>20250401</v>
      </c>
      <c r="H30" s="7" t="s">
        <v>12</v>
      </c>
      <c r="I30" s="9">
        <v>258.48</v>
      </c>
      <c r="J30" s="7">
        <v>20</v>
      </c>
      <c r="K30" s="9">
        <v>20</v>
      </c>
    </row>
    <row r="31" spans="1:11" ht="15.75" x14ac:dyDescent="0.25">
      <c r="A31" s="6" t="s">
        <v>13</v>
      </c>
      <c r="B31" s="7" t="s">
        <v>83</v>
      </c>
      <c r="C31" s="7" t="s">
        <v>91</v>
      </c>
      <c r="D31" s="7" t="s">
        <v>92</v>
      </c>
      <c r="E31" s="8" t="s">
        <v>86</v>
      </c>
      <c r="F31" s="7">
        <v>1</v>
      </c>
      <c r="G31" s="7">
        <v>20250401</v>
      </c>
      <c r="H31" s="7" t="s">
        <v>12</v>
      </c>
      <c r="I31" s="9">
        <v>37.78</v>
      </c>
      <c r="J31" s="7">
        <v>20</v>
      </c>
      <c r="K31" s="9">
        <v>20</v>
      </c>
    </row>
    <row r="32" spans="1:11" ht="15.75" x14ac:dyDescent="0.25">
      <c r="A32" s="6" t="s">
        <v>13</v>
      </c>
      <c r="B32" s="7" t="s">
        <v>83</v>
      </c>
      <c r="C32" s="7" t="s">
        <v>93</v>
      </c>
      <c r="D32" s="7" t="s">
        <v>94</v>
      </c>
      <c r="E32" s="8" t="s">
        <v>86</v>
      </c>
      <c r="F32" s="7">
        <v>1</v>
      </c>
      <c r="G32" s="7">
        <v>20250401</v>
      </c>
      <c r="H32" s="7" t="s">
        <v>12</v>
      </c>
      <c r="I32" s="9">
        <v>260.33</v>
      </c>
      <c r="J32" s="7">
        <v>20</v>
      </c>
      <c r="K32" s="9">
        <v>20</v>
      </c>
    </row>
    <row r="33" spans="1:11" ht="15.75" x14ac:dyDescent="0.25">
      <c r="A33" s="6" t="s">
        <v>13</v>
      </c>
      <c r="B33" s="7" t="s">
        <v>83</v>
      </c>
      <c r="C33" s="7" t="s">
        <v>95</v>
      </c>
      <c r="D33" s="7" t="s">
        <v>96</v>
      </c>
      <c r="E33" s="8" t="s">
        <v>86</v>
      </c>
      <c r="F33" s="7">
        <v>2</v>
      </c>
      <c r="G33" s="7">
        <v>20250301</v>
      </c>
      <c r="H33" s="7" t="s">
        <v>12</v>
      </c>
      <c r="I33" s="9">
        <v>0</v>
      </c>
      <c r="J33" s="7">
        <v>20</v>
      </c>
      <c r="K33" s="9">
        <v>40</v>
      </c>
    </row>
    <row r="34" spans="1:11" ht="15.75" x14ac:dyDescent="0.25">
      <c r="A34" s="6" t="s">
        <v>13</v>
      </c>
      <c r="B34" s="7" t="s">
        <v>83</v>
      </c>
      <c r="C34" s="7" t="s">
        <v>95</v>
      </c>
      <c r="D34" s="7" t="s">
        <v>96</v>
      </c>
      <c r="E34" s="8" t="s">
        <v>86</v>
      </c>
      <c r="F34" s="7">
        <v>2</v>
      </c>
      <c r="G34" s="7">
        <v>20250201</v>
      </c>
      <c r="H34" s="7" t="s">
        <v>12</v>
      </c>
      <c r="I34" s="9">
        <v>0</v>
      </c>
      <c r="J34" s="7">
        <v>20</v>
      </c>
      <c r="K34" s="9">
        <v>40</v>
      </c>
    </row>
    <row r="35" spans="1:11" ht="15.75" x14ac:dyDescent="0.25">
      <c r="A35" s="6" t="s">
        <v>13</v>
      </c>
      <c r="B35" s="7" t="s">
        <v>83</v>
      </c>
      <c r="C35" s="7" t="s">
        <v>97</v>
      </c>
      <c r="D35" s="7" t="s">
        <v>98</v>
      </c>
      <c r="E35" s="8" t="s">
        <v>86</v>
      </c>
      <c r="F35" s="7">
        <v>1</v>
      </c>
      <c r="G35" s="7">
        <v>20250301</v>
      </c>
      <c r="H35" s="7" t="s">
        <v>12</v>
      </c>
      <c r="I35" s="9">
        <v>0</v>
      </c>
      <c r="J35" s="7">
        <v>20</v>
      </c>
      <c r="K35" s="9">
        <v>20</v>
      </c>
    </row>
    <row r="36" spans="1:11" ht="15.75" x14ac:dyDescent="0.25">
      <c r="A36" s="6" t="s">
        <v>13</v>
      </c>
      <c r="B36" s="7" t="s">
        <v>83</v>
      </c>
      <c r="C36" s="7" t="s">
        <v>99</v>
      </c>
      <c r="D36" s="7" t="s">
        <v>100</v>
      </c>
      <c r="E36" s="8" t="s">
        <v>86</v>
      </c>
      <c r="F36" s="7">
        <v>1</v>
      </c>
      <c r="G36" s="7">
        <v>20250301</v>
      </c>
      <c r="H36" s="7" t="s">
        <v>12</v>
      </c>
      <c r="I36" s="9">
        <v>337.3</v>
      </c>
      <c r="J36" s="7">
        <v>20</v>
      </c>
      <c r="K36" s="9">
        <v>20</v>
      </c>
    </row>
    <row r="37" spans="1:11" ht="15.75" x14ac:dyDescent="0.25">
      <c r="A37" s="6" t="s">
        <v>13</v>
      </c>
      <c r="B37" s="7" t="s">
        <v>83</v>
      </c>
      <c r="C37" s="7" t="s">
        <v>101</v>
      </c>
      <c r="D37" s="7" t="s">
        <v>102</v>
      </c>
      <c r="E37" s="8" t="s">
        <v>86</v>
      </c>
      <c r="F37" s="7">
        <v>1</v>
      </c>
      <c r="G37" s="7">
        <v>20250401</v>
      </c>
      <c r="H37" s="7" t="s">
        <v>12</v>
      </c>
      <c r="I37" s="9">
        <v>420.4</v>
      </c>
      <c r="J37" s="7">
        <v>20</v>
      </c>
      <c r="K37" s="9">
        <v>20</v>
      </c>
    </row>
    <row r="38" spans="1:11" ht="15.75" x14ac:dyDescent="0.25">
      <c r="A38" s="6" t="s">
        <v>13</v>
      </c>
      <c r="B38" s="7" t="s">
        <v>83</v>
      </c>
      <c r="C38" s="7" t="s">
        <v>103</v>
      </c>
      <c r="D38" s="7" t="s">
        <v>104</v>
      </c>
      <c r="E38" s="8" t="s">
        <v>86</v>
      </c>
      <c r="F38" s="7">
        <v>1</v>
      </c>
      <c r="G38" s="7">
        <v>20250201</v>
      </c>
      <c r="H38" s="7" t="s">
        <v>12</v>
      </c>
      <c r="I38" s="9">
        <v>473.23</v>
      </c>
      <c r="J38" s="7">
        <v>20</v>
      </c>
      <c r="K38" s="9">
        <v>20</v>
      </c>
    </row>
    <row r="39" spans="1:11" ht="15.75" x14ac:dyDescent="0.25">
      <c r="A39" s="6" t="s">
        <v>13</v>
      </c>
      <c r="B39" s="7" t="s">
        <v>83</v>
      </c>
      <c r="C39" s="7" t="s">
        <v>103</v>
      </c>
      <c r="D39" s="7" t="s">
        <v>104</v>
      </c>
      <c r="E39" s="8" t="s">
        <v>86</v>
      </c>
      <c r="F39" s="7">
        <v>1</v>
      </c>
      <c r="G39" s="7">
        <v>20250101</v>
      </c>
      <c r="H39" s="7" t="s">
        <v>12</v>
      </c>
      <c r="I39" s="9">
        <v>473.23</v>
      </c>
      <c r="J39" s="7">
        <v>20</v>
      </c>
      <c r="K39" s="9">
        <v>20</v>
      </c>
    </row>
    <row r="40" spans="1:11" ht="15.75" x14ac:dyDescent="0.25">
      <c r="A40" s="6" t="s">
        <v>13</v>
      </c>
      <c r="B40" s="7" t="s">
        <v>83</v>
      </c>
      <c r="C40" s="7" t="s">
        <v>103</v>
      </c>
      <c r="D40" s="7" t="s">
        <v>104</v>
      </c>
      <c r="E40" s="8" t="s">
        <v>86</v>
      </c>
      <c r="F40" s="7">
        <v>1</v>
      </c>
      <c r="G40" s="7">
        <v>20241201</v>
      </c>
      <c r="H40" s="7" t="s">
        <v>12</v>
      </c>
      <c r="I40" s="9">
        <v>439.85</v>
      </c>
      <c r="J40" s="7">
        <v>20</v>
      </c>
      <c r="K40" s="9">
        <v>20</v>
      </c>
    </row>
    <row r="41" spans="1:11" ht="15.75" x14ac:dyDescent="0.25">
      <c r="A41" s="6" t="s">
        <v>13</v>
      </c>
      <c r="B41" s="7" t="s">
        <v>83</v>
      </c>
      <c r="C41" s="7" t="s">
        <v>103</v>
      </c>
      <c r="D41" s="7" t="s">
        <v>104</v>
      </c>
      <c r="E41" s="8" t="s">
        <v>86</v>
      </c>
      <c r="F41" s="7">
        <v>1</v>
      </c>
      <c r="G41" s="7">
        <v>20250401</v>
      </c>
      <c r="H41" s="7" t="s">
        <v>12</v>
      </c>
      <c r="I41" s="9">
        <v>473.23</v>
      </c>
      <c r="J41" s="7">
        <v>20</v>
      </c>
      <c r="K41" s="9">
        <v>20</v>
      </c>
    </row>
    <row r="42" spans="1:11" ht="15.75" x14ac:dyDescent="0.25">
      <c r="A42" s="6" t="s">
        <v>13</v>
      </c>
      <c r="B42" s="7" t="s">
        <v>83</v>
      </c>
      <c r="C42" s="7" t="s">
        <v>103</v>
      </c>
      <c r="D42" s="7" t="s">
        <v>104</v>
      </c>
      <c r="E42" s="8" t="s">
        <v>86</v>
      </c>
      <c r="F42" s="7">
        <v>1</v>
      </c>
      <c r="G42" s="7">
        <v>20250301</v>
      </c>
      <c r="H42" s="7" t="s">
        <v>12</v>
      </c>
      <c r="I42" s="9">
        <v>473.23</v>
      </c>
      <c r="J42" s="7">
        <v>20</v>
      </c>
      <c r="K42" s="9">
        <v>20</v>
      </c>
    </row>
    <row r="43" spans="1:11" ht="15.75" x14ac:dyDescent="0.25">
      <c r="A43" s="6" t="s">
        <v>13</v>
      </c>
      <c r="B43" s="7" t="s">
        <v>83</v>
      </c>
      <c r="C43" s="7" t="s">
        <v>105</v>
      </c>
      <c r="D43" s="7" t="s">
        <v>106</v>
      </c>
      <c r="E43" s="8" t="s">
        <v>86</v>
      </c>
      <c r="F43" s="7">
        <v>1</v>
      </c>
      <c r="G43" s="7">
        <v>20250401</v>
      </c>
      <c r="H43" s="7" t="s">
        <v>12</v>
      </c>
      <c r="I43" s="9">
        <v>165.78</v>
      </c>
      <c r="J43" s="7">
        <v>20</v>
      </c>
      <c r="K43" s="9">
        <v>20</v>
      </c>
    </row>
    <row r="44" spans="1:11" ht="15.75" x14ac:dyDescent="0.25">
      <c r="A44" s="6" t="s">
        <v>13</v>
      </c>
      <c r="B44" s="7" t="s">
        <v>83</v>
      </c>
      <c r="C44" s="7" t="s">
        <v>107</v>
      </c>
      <c r="D44" s="7" t="s">
        <v>108</v>
      </c>
      <c r="E44" s="8" t="s">
        <v>86</v>
      </c>
      <c r="F44" s="7" t="s">
        <v>37</v>
      </c>
      <c r="G44" s="7">
        <v>20250401</v>
      </c>
      <c r="H44" s="7" t="s">
        <v>38</v>
      </c>
      <c r="I44" s="9">
        <v>56.34</v>
      </c>
      <c r="J44" s="7">
        <v>0.2</v>
      </c>
      <c r="K44" s="9">
        <v>11.268000000000001</v>
      </c>
    </row>
    <row r="45" spans="1:11" ht="15.75" x14ac:dyDescent="0.25">
      <c r="A45" s="6" t="s">
        <v>13</v>
      </c>
      <c r="B45" s="7" t="s">
        <v>109</v>
      </c>
      <c r="C45" s="7" t="s">
        <v>110</v>
      </c>
      <c r="D45" s="7" t="s">
        <v>111</v>
      </c>
      <c r="E45" s="8" t="s">
        <v>27</v>
      </c>
      <c r="F45" s="7">
        <v>1</v>
      </c>
      <c r="G45" s="7">
        <v>20250401</v>
      </c>
      <c r="H45" s="7" t="s">
        <v>28</v>
      </c>
      <c r="I45" s="9">
        <v>868.53</v>
      </c>
      <c r="J45" s="7">
        <v>20</v>
      </c>
      <c r="K45" s="9">
        <v>20</v>
      </c>
    </row>
    <row r="46" spans="1:11" ht="15.75" x14ac:dyDescent="0.25">
      <c r="A46" s="6" t="s">
        <v>13</v>
      </c>
      <c r="B46" s="7" t="s">
        <v>109</v>
      </c>
      <c r="C46" s="7" t="s">
        <v>112</v>
      </c>
      <c r="D46" s="7" t="s">
        <v>113</v>
      </c>
      <c r="E46" s="8" t="s">
        <v>49</v>
      </c>
      <c r="F46" s="7">
        <v>2</v>
      </c>
      <c r="G46" s="7">
        <v>20250401</v>
      </c>
      <c r="H46" s="7" t="s">
        <v>12</v>
      </c>
      <c r="I46" s="9">
        <v>508.69</v>
      </c>
      <c r="J46" s="7">
        <v>27</v>
      </c>
      <c r="K46" s="9">
        <v>54</v>
      </c>
    </row>
    <row r="47" spans="1:11" ht="15.75" x14ac:dyDescent="0.25">
      <c r="A47" s="6" t="s">
        <v>13</v>
      </c>
      <c r="B47" s="7" t="s">
        <v>109</v>
      </c>
      <c r="C47" s="7" t="s">
        <v>114</v>
      </c>
      <c r="D47" s="7" t="s">
        <v>115</v>
      </c>
      <c r="E47" s="8" t="s">
        <v>11</v>
      </c>
      <c r="F47" s="7">
        <v>1</v>
      </c>
      <c r="G47" s="7">
        <v>20250401</v>
      </c>
      <c r="H47" s="7" t="s">
        <v>12</v>
      </c>
      <c r="I47" s="9">
        <v>324.38</v>
      </c>
      <c r="J47" s="7">
        <v>27</v>
      </c>
      <c r="K47" s="9">
        <v>27</v>
      </c>
    </row>
    <row r="48" spans="1:11" ht="15.75" x14ac:dyDescent="0.25">
      <c r="A48" s="6" t="s">
        <v>13</v>
      </c>
      <c r="B48" s="7" t="s">
        <v>116</v>
      </c>
      <c r="C48" s="7" t="s">
        <v>117</v>
      </c>
      <c r="D48" s="7" t="s">
        <v>118</v>
      </c>
      <c r="E48" s="8" t="s">
        <v>49</v>
      </c>
      <c r="F48" s="7">
        <v>1</v>
      </c>
      <c r="G48" s="7">
        <v>20250401</v>
      </c>
      <c r="H48" s="7" t="s">
        <v>12</v>
      </c>
      <c r="I48" s="9">
        <v>162.19999999999999</v>
      </c>
      <c r="J48" s="7">
        <v>27</v>
      </c>
      <c r="K48" s="9">
        <v>27</v>
      </c>
    </row>
    <row r="49" spans="1:11" ht="15.75" x14ac:dyDescent="0.25">
      <c r="A49" s="6" t="s">
        <v>13</v>
      </c>
      <c r="B49" s="7" t="s">
        <v>119</v>
      </c>
      <c r="C49" s="7" t="s">
        <v>120</v>
      </c>
      <c r="D49" s="7" t="s">
        <v>121</v>
      </c>
      <c r="E49" s="8" t="s">
        <v>86</v>
      </c>
      <c r="F49" s="7">
        <v>1</v>
      </c>
      <c r="G49" s="7">
        <v>20250401</v>
      </c>
      <c r="H49" s="7" t="s">
        <v>12</v>
      </c>
      <c r="I49" s="9">
        <v>533.29999999999995</v>
      </c>
      <c r="J49" s="7">
        <v>20</v>
      </c>
      <c r="K49" s="9">
        <v>20</v>
      </c>
    </row>
    <row r="50" spans="1:11" ht="15.75" x14ac:dyDescent="0.25">
      <c r="A50" s="6" t="s">
        <v>13</v>
      </c>
      <c r="B50" s="7" t="s">
        <v>119</v>
      </c>
      <c r="C50" s="7" t="s">
        <v>122</v>
      </c>
      <c r="D50" s="7" t="s">
        <v>123</v>
      </c>
      <c r="E50" s="8" t="s">
        <v>86</v>
      </c>
      <c r="F50" s="7">
        <v>1</v>
      </c>
      <c r="G50" s="7">
        <v>20250401</v>
      </c>
      <c r="H50" s="7" t="s">
        <v>12</v>
      </c>
      <c r="I50" s="9">
        <v>28.02</v>
      </c>
      <c r="J50" s="7">
        <v>20</v>
      </c>
      <c r="K50" s="9">
        <v>20</v>
      </c>
    </row>
    <row r="51" spans="1:11" ht="15.75" x14ac:dyDescent="0.25">
      <c r="A51" s="6" t="s">
        <v>13</v>
      </c>
      <c r="B51" s="7" t="s">
        <v>119</v>
      </c>
      <c r="C51" s="7" t="s">
        <v>124</v>
      </c>
      <c r="D51" s="7" t="s">
        <v>125</v>
      </c>
      <c r="E51" s="8" t="s">
        <v>86</v>
      </c>
      <c r="F51" s="7">
        <v>3</v>
      </c>
      <c r="G51" s="7">
        <v>20250401</v>
      </c>
      <c r="H51" s="7" t="s">
        <v>12</v>
      </c>
      <c r="I51" s="9">
        <v>847.34</v>
      </c>
      <c r="J51" s="7">
        <v>20</v>
      </c>
      <c r="K51" s="9">
        <v>60</v>
      </c>
    </row>
    <row r="52" spans="1:11" ht="15.75" x14ac:dyDescent="0.25">
      <c r="A52" s="6" t="s">
        <v>13</v>
      </c>
      <c r="B52" s="7" t="s">
        <v>119</v>
      </c>
      <c r="C52" s="7" t="s">
        <v>126</v>
      </c>
      <c r="D52" s="7" t="s">
        <v>127</v>
      </c>
      <c r="E52" s="8" t="s">
        <v>86</v>
      </c>
      <c r="F52" s="7">
        <v>1</v>
      </c>
      <c r="G52" s="7">
        <v>20250401</v>
      </c>
      <c r="H52" s="7" t="s">
        <v>12</v>
      </c>
      <c r="I52" s="9">
        <v>225.91</v>
      </c>
      <c r="J52" s="7">
        <v>20</v>
      </c>
      <c r="K52" s="9">
        <v>20</v>
      </c>
    </row>
    <row r="53" spans="1:11" ht="15.75" x14ac:dyDescent="0.25">
      <c r="A53" s="6" t="s">
        <v>13</v>
      </c>
      <c r="B53" s="7" t="s">
        <v>119</v>
      </c>
      <c r="C53" s="7" t="s">
        <v>128</v>
      </c>
      <c r="D53" s="7" t="s">
        <v>129</v>
      </c>
      <c r="E53" s="8" t="s">
        <v>86</v>
      </c>
      <c r="F53" s="7">
        <v>1</v>
      </c>
      <c r="G53" s="7">
        <v>20250401</v>
      </c>
      <c r="H53" s="7" t="s">
        <v>12</v>
      </c>
      <c r="I53" s="9">
        <v>32.159999999999997</v>
      </c>
      <c r="J53" s="7">
        <v>20</v>
      </c>
      <c r="K53" s="9">
        <v>20</v>
      </c>
    </row>
    <row r="54" spans="1:11" ht="15.75" x14ac:dyDescent="0.25">
      <c r="A54" s="6" t="s">
        <v>13</v>
      </c>
      <c r="B54" s="7" t="s">
        <v>119</v>
      </c>
      <c r="C54" s="7" t="s">
        <v>130</v>
      </c>
      <c r="D54" s="7" t="s">
        <v>131</v>
      </c>
      <c r="E54" s="8" t="s">
        <v>86</v>
      </c>
      <c r="F54" s="7">
        <v>1</v>
      </c>
      <c r="G54" s="7">
        <v>20250301</v>
      </c>
      <c r="H54" s="7" t="s">
        <v>12</v>
      </c>
      <c r="I54" s="9">
        <v>387.35</v>
      </c>
      <c r="J54" s="7">
        <v>20</v>
      </c>
      <c r="K54" s="9">
        <v>20</v>
      </c>
    </row>
    <row r="55" spans="1:11" ht="15.75" x14ac:dyDescent="0.25">
      <c r="A55" s="6" t="s">
        <v>13</v>
      </c>
      <c r="B55" s="7" t="s">
        <v>119</v>
      </c>
      <c r="C55" s="7" t="s">
        <v>132</v>
      </c>
      <c r="D55" s="7" t="s">
        <v>133</v>
      </c>
      <c r="E55" s="8" t="s">
        <v>86</v>
      </c>
      <c r="F55" s="7">
        <v>1</v>
      </c>
      <c r="G55" s="7">
        <v>20250401</v>
      </c>
      <c r="H55" s="7" t="s">
        <v>12</v>
      </c>
      <c r="I55" s="9">
        <v>362.1</v>
      </c>
      <c r="J55" s="7">
        <v>20</v>
      </c>
      <c r="K55" s="9">
        <v>20</v>
      </c>
    </row>
    <row r="56" spans="1:11" ht="15.75" x14ac:dyDescent="0.25">
      <c r="A56" s="6" t="s">
        <v>13</v>
      </c>
      <c r="B56" s="7" t="s">
        <v>119</v>
      </c>
      <c r="C56" s="7" t="s">
        <v>134</v>
      </c>
      <c r="D56" s="7" t="s">
        <v>135</v>
      </c>
      <c r="E56" s="8" t="s">
        <v>86</v>
      </c>
      <c r="F56" s="7">
        <v>1</v>
      </c>
      <c r="G56" s="7">
        <v>20250401</v>
      </c>
      <c r="H56" s="7" t="s">
        <v>12</v>
      </c>
      <c r="I56" s="9">
        <v>446.73</v>
      </c>
      <c r="J56" s="7">
        <v>20</v>
      </c>
      <c r="K56" s="9">
        <v>20</v>
      </c>
    </row>
    <row r="57" spans="1:11" ht="15.75" x14ac:dyDescent="0.25">
      <c r="A57" s="6" t="s">
        <v>13</v>
      </c>
      <c r="B57" s="7" t="s">
        <v>119</v>
      </c>
      <c r="C57" s="7" t="s">
        <v>136</v>
      </c>
      <c r="D57" s="7" t="s">
        <v>137</v>
      </c>
      <c r="E57" s="8" t="s">
        <v>86</v>
      </c>
      <c r="F57" s="7">
        <v>2</v>
      </c>
      <c r="G57" s="7">
        <v>20250401</v>
      </c>
      <c r="H57" s="7" t="s">
        <v>12</v>
      </c>
      <c r="I57" s="9">
        <v>149.62</v>
      </c>
      <c r="J57" s="7">
        <v>20</v>
      </c>
      <c r="K57" s="9">
        <v>40</v>
      </c>
    </row>
    <row r="58" spans="1:11" ht="15.75" x14ac:dyDescent="0.25">
      <c r="A58" s="6" t="s">
        <v>13</v>
      </c>
      <c r="B58" s="7" t="s">
        <v>119</v>
      </c>
      <c r="C58" s="7" t="s">
        <v>138</v>
      </c>
      <c r="D58" s="7" t="s">
        <v>139</v>
      </c>
      <c r="E58" s="8" t="s">
        <v>86</v>
      </c>
      <c r="F58" s="7">
        <v>3</v>
      </c>
      <c r="G58" s="7">
        <v>20250401</v>
      </c>
      <c r="H58" s="7" t="s">
        <v>12</v>
      </c>
      <c r="I58" s="9">
        <v>468.79</v>
      </c>
      <c r="J58" s="7">
        <v>20</v>
      </c>
      <c r="K58" s="9">
        <v>60</v>
      </c>
    </row>
    <row r="59" spans="1:11" ht="15.75" x14ac:dyDescent="0.25">
      <c r="A59" s="6" t="s">
        <v>13</v>
      </c>
      <c r="B59" s="7" t="s">
        <v>119</v>
      </c>
      <c r="C59" s="7" t="s">
        <v>140</v>
      </c>
      <c r="D59" s="7" t="s">
        <v>141</v>
      </c>
      <c r="E59" s="8" t="s">
        <v>86</v>
      </c>
      <c r="F59" s="7">
        <v>1</v>
      </c>
      <c r="G59" s="7">
        <v>20250301</v>
      </c>
      <c r="H59" s="7" t="s">
        <v>12</v>
      </c>
      <c r="I59" s="9">
        <v>0</v>
      </c>
      <c r="J59" s="7">
        <v>20</v>
      </c>
      <c r="K59" s="9">
        <v>20</v>
      </c>
    </row>
    <row r="60" spans="1:11" ht="15.75" x14ac:dyDescent="0.25">
      <c r="A60" s="6" t="s">
        <v>13</v>
      </c>
      <c r="B60" s="7" t="s">
        <v>119</v>
      </c>
      <c r="C60" s="7" t="s">
        <v>142</v>
      </c>
      <c r="D60" s="7" t="s">
        <v>143</v>
      </c>
      <c r="E60" s="8" t="s">
        <v>86</v>
      </c>
      <c r="F60" s="7">
        <v>3</v>
      </c>
      <c r="G60" s="7">
        <v>20250301</v>
      </c>
      <c r="H60" s="7" t="s">
        <v>12</v>
      </c>
      <c r="I60" s="9">
        <v>1604.64</v>
      </c>
      <c r="J60" s="7">
        <v>20</v>
      </c>
      <c r="K60" s="9">
        <v>60</v>
      </c>
    </row>
    <row r="61" spans="1:11" ht="15.75" x14ac:dyDescent="0.25">
      <c r="A61" s="6" t="s">
        <v>13</v>
      </c>
      <c r="B61" s="7" t="s">
        <v>119</v>
      </c>
      <c r="C61" s="7" t="s">
        <v>142</v>
      </c>
      <c r="D61" s="7" t="s">
        <v>143</v>
      </c>
      <c r="E61" s="8" t="s">
        <v>86</v>
      </c>
      <c r="F61" s="7">
        <v>3</v>
      </c>
      <c r="G61" s="7">
        <v>20250201</v>
      </c>
      <c r="H61" s="7" t="s">
        <v>12</v>
      </c>
      <c r="I61" s="9">
        <v>1604.64</v>
      </c>
      <c r="J61" s="7">
        <v>20</v>
      </c>
      <c r="K61" s="9">
        <v>60</v>
      </c>
    </row>
    <row r="62" spans="1:11" ht="15.75" x14ac:dyDescent="0.25">
      <c r="A62" s="6" t="s">
        <v>13</v>
      </c>
      <c r="B62" s="7" t="s">
        <v>119</v>
      </c>
      <c r="C62" s="7" t="s">
        <v>142</v>
      </c>
      <c r="D62" s="7" t="s">
        <v>143</v>
      </c>
      <c r="E62" s="8" t="s">
        <v>86</v>
      </c>
      <c r="F62" s="7">
        <v>3</v>
      </c>
      <c r="G62" s="7">
        <v>20250101</v>
      </c>
      <c r="H62" s="7" t="s">
        <v>12</v>
      </c>
      <c r="I62" s="9">
        <v>1604.64</v>
      </c>
      <c r="J62" s="7">
        <v>20</v>
      </c>
      <c r="K62" s="9">
        <v>60</v>
      </c>
    </row>
    <row r="63" spans="1:11" ht="15.75" x14ac:dyDescent="0.25">
      <c r="A63" s="6" t="s">
        <v>13</v>
      </c>
      <c r="B63" s="7" t="s">
        <v>119</v>
      </c>
      <c r="C63" s="7" t="s">
        <v>142</v>
      </c>
      <c r="D63" s="7" t="s">
        <v>143</v>
      </c>
      <c r="E63" s="8" t="s">
        <v>86</v>
      </c>
      <c r="F63" s="7">
        <v>3</v>
      </c>
      <c r="G63" s="7">
        <v>20241201</v>
      </c>
      <c r="H63" s="7" t="s">
        <v>12</v>
      </c>
      <c r="I63" s="9">
        <v>1528.14</v>
      </c>
      <c r="J63" s="7">
        <v>20</v>
      </c>
      <c r="K63" s="9">
        <v>60</v>
      </c>
    </row>
    <row r="64" spans="1:11" ht="15.75" x14ac:dyDescent="0.25">
      <c r="A64" s="6" t="s">
        <v>13</v>
      </c>
      <c r="B64" s="7" t="s">
        <v>119</v>
      </c>
      <c r="C64" s="7" t="s">
        <v>144</v>
      </c>
      <c r="D64" s="7" t="s">
        <v>145</v>
      </c>
      <c r="E64" s="8" t="s">
        <v>86</v>
      </c>
      <c r="F64" s="7">
        <v>1</v>
      </c>
      <c r="G64" s="7">
        <v>20250301</v>
      </c>
      <c r="H64" s="7" t="s">
        <v>12</v>
      </c>
      <c r="I64" s="9">
        <v>0</v>
      </c>
      <c r="J64" s="7">
        <v>20</v>
      </c>
      <c r="K64" s="9">
        <v>20</v>
      </c>
    </row>
    <row r="65" spans="1:11" ht="15.75" x14ac:dyDescent="0.25">
      <c r="A65" s="6" t="s">
        <v>13</v>
      </c>
      <c r="B65" s="7" t="s">
        <v>119</v>
      </c>
      <c r="C65" s="7" t="s">
        <v>146</v>
      </c>
      <c r="D65" s="7" t="s">
        <v>147</v>
      </c>
      <c r="E65" s="8" t="s">
        <v>86</v>
      </c>
      <c r="F65" s="7">
        <v>2</v>
      </c>
      <c r="G65" s="7">
        <v>20250301</v>
      </c>
      <c r="H65" s="7" t="s">
        <v>12</v>
      </c>
      <c r="I65" s="9">
        <v>621.96</v>
      </c>
      <c r="J65" s="7">
        <v>20</v>
      </c>
      <c r="K65" s="9">
        <v>40</v>
      </c>
    </row>
    <row r="66" spans="1:11" ht="15.75" x14ac:dyDescent="0.25">
      <c r="A66" s="6" t="s">
        <v>13</v>
      </c>
      <c r="B66" s="7" t="s">
        <v>119</v>
      </c>
      <c r="C66" s="7" t="s">
        <v>148</v>
      </c>
      <c r="D66" s="7" t="s">
        <v>149</v>
      </c>
      <c r="E66" s="8" t="s">
        <v>86</v>
      </c>
      <c r="F66" s="7">
        <v>4</v>
      </c>
      <c r="G66" s="7">
        <v>20250401</v>
      </c>
      <c r="H66" s="7" t="s">
        <v>12</v>
      </c>
      <c r="I66" s="9">
        <v>513.26</v>
      </c>
      <c r="J66" s="7">
        <v>20</v>
      </c>
      <c r="K66" s="9">
        <v>80</v>
      </c>
    </row>
    <row r="67" spans="1:11" ht="15.75" x14ac:dyDescent="0.25">
      <c r="A67" s="6" t="s">
        <v>13</v>
      </c>
      <c r="B67" s="7" t="s">
        <v>119</v>
      </c>
      <c r="C67" s="7" t="s">
        <v>150</v>
      </c>
      <c r="D67" s="7" t="s">
        <v>151</v>
      </c>
      <c r="E67" s="8" t="s">
        <v>86</v>
      </c>
      <c r="F67" s="7">
        <v>1</v>
      </c>
      <c r="G67" s="7">
        <v>20250401</v>
      </c>
      <c r="H67" s="7" t="s">
        <v>12</v>
      </c>
      <c r="I67" s="9">
        <v>97.95</v>
      </c>
      <c r="J67" s="7">
        <v>20</v>
      </c>
      <c r="K67" s="9">
        <v>20</v>
      </c>
    </row>
    <row r="68" spans="1:11" ht="15.75" x14ac:dyDescent="0.25">
      <c r="A68" s="6" t="s">
        <v>13</v>
      </c>
      <c r="B68" s="7" t="s">
        <v>119</v>
      </c>
      <c r="C68" s="7" t="s">
        <v>152</v>
      </c>
      <c r="D68" s="7" t="s">
        <v>153</v>
      </c>
      <c r="E68" s="8" t="s">
        <v>86</v>
      </c>
      <c r="F68" s="7">
        <v>-4</v>
      </c>
      <c r="G68" s="7">
        <v>20250401</v>
      </c>
      <c r="H68" s="7" t="s">
        <v>12</v>
      </c>
      <c r="I68" s="9">
        <v>-438.09</v>
      </c>
      <c r="J68" s="7">
        <v>20</v>
      </c>
      <c r="K68" s="9">
        <v>-80</v>
      </c>
    </row>
    <row r="69" spans="1:11" ht="15.75" x14ac:dyDescent="0.25">
      <c r="A69" s="6" t="s">
        <v>13</v>
      </c>
      <c r="B69" s="7" t="s">
        <v>119</v>
      </c>
      <c r="C69" s="7" t="s">
        <v>152</v>
      </c>
      <c r="D69" s="7" t="s">
        <v>153</v>
      </c>
      <c r="E69" s="8" t="s">
        <v>86</v>
      </c>
      <c r="F69" s="7">
        <v>4</v>
      </c>
      <c r="G69" s="7">
        <v>20250301</v>
      </c>
      <c r="H69" s="7" t="s">
        <v>12</v>
      </c>
      <c r="I69" s="9">
        <v>880.41</v>
      </c>
      <c r="J69" s="7">
        <v>20</v>
      </c>
      <c r="K69" s="9">
        <v>80</v>
      </c>
    </row>
    <row r="70" spans="1:11" ht="15.75" x14ac:dyDescent="0.25">
      <c r="A70" s="6" t="s">
        <v>13</v>
      </c>
      <c r="B70" s="7" t="s">
        <v>119</v>
      </c>
      <c r="C70" s="7" t="s">
        <v>152</v>
      </c>
      <c r="D70" s="7" t="s">
        <v>153</v>
      </c>
      <c r="E70" s="8" t="s">
        <v>86</v>
      </c>
      <c r="F70" s="7">
        <v>4</v>
      </c>
      <c r="G70" s="7">
        <v>20250401</v>
      </c>
      <c r="H70" s="7" t="s">
        <v>12</v>
      </c>
      <c r="I70" s="9">
        <v>438.09</v>
      </c>
      <c r="J70" s="7">
        <v>20</v>
      </c>
      <c r="K70" s="9">
        <v>80</v>
      </c>
    </row>
    <row r="71" spans="1:11" ht="15.75" x14ac:dyDescent="0.25">
      <c r="A71" s="6" t="s">
        <v>13</v>
      </c>
      <c r="B71" s="7" t="s">
        <v>119</v>
      </c>
      <c r="C71" s="7" t="s">
        <v>154</v>
      </c>
      <c r="D71" s="7" t="s">
        <v>155</v>
      </c>
      <c r="E71" s="8" t="s">
        <v>86</v>
      </c>
      <c r="F71" s="7">
        <v>1</v>
      </c>
      <c r="G71" s="7">
        <v>20250401</v>
      </c>
      <c r="H71" s="7" t="s">
        <v>12</v>
      </c>
      <c r="I71" s="9">
        <v>102.52</v>
      </c>
      <c r="J71" s="7">
        <v>20</v>
      </c>
      <c r="K71" s="9">
        <v>20</v>
      </c>
    </row>
    <row r="72" spans="1:11" ht="15.75" x14ac:dyDescent="0.25">
      <c r="A72" s="6" t="s">
        <v>13</v>
      </c>
      <c r="B72" s="7" t="s">
        <v>119</v>
      </c>
      <c r="C72" s="7" t="s">
        <v>156</v>
      </c>
      <c r="D72" s="7" t="s">
        <v>157</v>
      </c>
      <c r="E72" s="8" t="s">
        <v>86</v>
      </c>
      <c r="F72" s="7">
        <v>1</v>
      </c>
      <c r="G72" s="7">
        <v>20250201</v>
      </c>
      <c r="H72" s="7" t="s">
        <v>12</v>
      </c>
      <c r="I72" s="9">
        <v>0</v>
      </c>
      <c r="J72" s="7">
        <v>20</v>
      </c>
      <c r="K72" s="9">
        <v>20</v>
      </c>
    </row>
    <row r="73" spans="1:11" ht="15.75" x14ac:dyDescent="0.25">
      <c r="A73" s="6" t="s">
        <v>13</v>
      </c>
      <c r="B73" s="7" t="s">
        <v>119</v>
      </c>
      <c r="C73" s="7" t="s">
        <v>156</v>
      </c>
      <c r="D73" s="7" t="s">
        <v>157</v>
      </c>
      <c r="E73" s="8" t="s">
        <v>86</v>
      </c>
      <c r="F73" s="7">
        <v>1</v>
      </c>
      <c r="G73" s="7">
        <v>20250301</v>
      </c>
      <c r="H73" s="7" t="s">
        <v>12</v>
      </c>
      <c r="I73" s="9">
        <v>0</v>
      </c>
      <c r="J73" s="7">
        <v>20</v>
      </c>
      <c r="K73" s="9">
        <v>20</v>
      </c>
    </row>
    <row r="74" spans="1:11" ht="15.75" x14ac:dyDescent="0.25">
      <c r="A74" s="6" t="s">
        <v>13</v>
      </c>
      <c r="B74" s="7" t="s">
        <v>119</v>
      </c>
      <c r="C74" s="7" t="s">
        <v>156</v>
      </c>
      <c r="D74" s="7" t="s">
        <v>157</v>
      </c>
      <c r="E74" s="8" t="s">
        <v>86</v>
      </c>
      <c r="F74" s="7">
        <v>1</v>
      </c>
      <c r="G74" s="7">
        <v>20250101</v>
      </c>
      <c r="H74" s="7" t="s">
        <v>12</v>
      </c>
      <c r="I74" s="9">
        <v>0</v>
      </c>
      <c r="J74" s="7">
        <v>20</v>
      </c>
      <c r="K74" s="9">
        <v>20</v>
      </c>
    </row>
    <row r="75" spans="1:11" ht="15.75" x14ac:dyDescent="0.25">
      <c r="A75" s="6" t="s">
        <v>13</v>
      </c>
      <c r="B75" s="7" t="s">
        <v>119</v>
      </c>
      <c r="C75" s="7" t="s">
        <v>158</v>
      </c>
      <c r="D75" s="7" t="s">
        <v>159</v>
      </c>
      <c r="E75" s="8" t="s">
        <v>86</v>
      </c>
      <c r="F75" s="7">
        <v>2</v>
      </c>
      <c r="G75" s="7">
        <v>20250401</v>
      </c>
      <c r="H75" s="7" t="s">
        <v>12</v>
      </c>
      <c r="I75" s="9">
        <v>62.71</v>
      </c>
      <c r="J75" s="7">
        <v>20</v>
      </c>
      <c r="K75" s="9">
        <v>40</v>
      </c>
    </row>
    <row r="76" spans="1:11" ht="15.75" x14ac:dyDescent="0.25">
      <c r="A76" s="6" t="s">
        <v>13</v>
      </c>
      <c r="B76" s="7" t="s">
        <v>119</v>
      </c>
      <c r="C76" s="7" t="s">
        <v>160</v>
      </c>
      <c r="D76" s="7" t="s">
        <v>161</v>
      </c>
      <c r="E76" s="8" t="s">
        <v>86</v>
      </c>
      <c r="F76" s="7">
        <v>1</v>
      </c>
      <c r="G76" s="7">
        <v>20250401</v>
      </c>
      <c r="H76" s="7" t="s">
        <v>12</v>
      </c>
      <c r="I76" s="9">
        <v>225.95</v>
      </c>
      <c r="J76" s="7">
        <v>20</v>
      </c>
      <c r="K76" s="9">
        <v>20</v>
      </c>
    </row>
    <row r="77" spans="1:11" ht="15.75" x14ac:dyDescent="0.25">
      <c r="A77" s="6" t="s">
        <v>13</v>
      </c>
      <c r="B77" s="7" t="s">
        <v>119</v>
      </c>
      <c r="C77" s="7" t="s">
        <v>162</v>
      </c>
      <c r="D77" s="7" t="s">
        <v>163</v>
      </c>
      <c r="E77" s="8" t="s">
        <v>86</v>
      </c>
      <c r="F77" s="7">
        <v>1</v>
      </c>
      <c r="G77" s="7">
        <v>20250301</v>
      </c>
      <c r="H77" s="7" t="s">
        <v>12</v>
      </c>
      <c r="I77" s="9">
        <v>67.98</v>
      </c>
      <c r="J77" s="7">
        <v>20</v>
      </c>
      <c r="K77" s="9">
        <v>20</v>
      </c>
    </row>
    <row r="78" spans="1:11" ht="15.75" x14ac:dyDescent="0.25">
      <c r="A78" s="6" t="s">
        <v>13</v>
      </c>
      <c r="B78" s="7" t="s">
        <v>119</v>
      </c>
      <c r="C78" s="7" t="s">
        <v>164</v>
      </c>
      <c r="D78" s="7" t="s">
        <v>165</v>
      </c>
      <c r="E78" s="8" t="s">
        <v>86</v>
      </c>
      <c r="F78" s="7">
        <v>1</v>
      </c>
      <c r="G78" s="7">
        <v>20250401</v>
      </c>
      <c r="H78" s="7" t="s">
        <v>12</v>
      </c>
      <c r="I78" s="9">
        <v>869.74</v>
      </c>
      <c r="J78" s="7">
        <v>20</v>
      </c>
      <c r="K78" s="9">
        <v>20</v>
      </c>
    </row>
    <row r="79" spans="1:11" ht="15.75" x14ac:dyDescent="0.25">
      <c r="A79" s="6" t="s">
        <v>13</v>
      </c>
      <c r="B79" s="7" t="s">
        <v>119</v>
      </c>
      <c r="C79" s="7" t="s">
        <v>166</v>
      </c>
      <c r="D79" s="7" t="s">
        <v>167</v>
      </c>
      <c r="E79" s="8" t="s">
        <v>86</v>
      </c>
      <c r="F79" s="7">
        <v>1</v>
      </c>
      <c r="G79" s="7">
        <v>20250401</v>
      </c>
      <c r="H79" s="7" t="s">
        <v>12</v>
      </c>
      <c r="I79" s="9">
        <v>14.26</v>
      </c>
      <c r="J79" s="7">
        <v>20</v>
      </c>
      <c r="K79" s="9">
        <v>20</v>
      </c>
    </row>
    <row r="80" spans="1:11" ht="15.75" x14ac:dyDescent="0.25">
      <c r="A80" s="6" t="s">
        <v>13</v>
      </c>
      <c r="B80" s="7" t="s">
        <v>119</v>
      </c>
      <c r="C80" s="7" t="s">
        <v>168</v>
      </c>
      <c r="D80" s="7" t="s">
        <v>169</v>
      </c>
      <c r="E80" s="8" t="s">
        <v>86</v>
      </c>
      <c r="F80" s="7">
        <v>3</v>
      </c>
      <c r="G80" s="7">
        <v>20250401</v>
      </c>
      <c r="H80" s="7" t="s">
        <v>12</v>
      </c>
      <c r="I80" s="9">
        <v>1053.33</v>
      </c>
      <c r="J80" s="7">
        <v>20</v>
      </c>
      <c r="K80" s="9">
        <v>60</v>
      </c>
    </row>
    <row r="81" spans="1:11" ht="15.75" x14ac:dyDescent="0.25">
      <c r="A81" s="6" t="s">
        <v>13</v>
      </c>
      <c r="B81" s="7" t="s">
        <v>119</v>
      </c>
      <c r="C81" s="7" t="s">
        <v>170</v>
      </c>
      <c r="D81" s="7" t="s">
        <v>171</v>
      </c>
      <c r="E81" s="8" t="s">
        <v>86</v>
      </c>
      <c r="F81" s="7">
        <v>1</v>
      </c>
      <c r="G81" s="7">
        <v>20250301</v>
      </c>
      <c r="H81" s="7" t="s">
        <v>12</v>
      </c>
      <c r="I81" s="9">
        <v>487.98</v>
      </c>
      <c r="J81" s="7">
        <v>20</v>
      </c>
      <c r="K81" s="9">
        <v>20</v>
      </c>
    </row>
    <row r="82" spans="1:11" ht="15.75" x14ac:dyDescent="0.25">
      <c r="A82" s="6" t="s">
        <v>13</v>
      </c>
      <c r="B82" s="7" t="s">
        <v>119</v>
      </c>
      <c r="C82" s="7" t="s">
        <v>172</v>
      </c>
      <c r="D82" s="7" t="s">
        <v>173</v>
      </c>
      <c r="E82" s="8" t="s">
        <v>86</v>
      </c>
      <c r="F82" s="7">
        <v>2</v>
      </c>
      <c r="G82" s="7">
        <v>20250301</v>
      </c>
      <c r="H82" s="7" t="s">
        <v>12</v>
      </c>
      <c r="I82" s="9">
        <v>0</v>
      </c>
      <c r="J82" s="7">
        <v>20</v>
      </c>
      <c r="K82" s="9">
        <v>40</v>
      </c>
    </row>
    <row r="83" spans="1:11" ht="15.75" x14ac:dyDescent="0.25">
      <c r="A83" s="6" t="s">
        <v>13</v>
      </c>
      <c r="B83" s="7" t="s">
        <v>119</v>
      </c>
      <c r="C83" s="7" t="s">
        <v>174</v>
      </c>
      <c r="D83" s="7" t="s">
        <v>175</v>
      </c>
      <c r="E83" s="8" t="s">
        <v>86</v>
      </c>
      <c r="F83" s="7">
        <v>1</v>
      </c>
      <c r="G83" s="7">
        <v>20250401</v>
      </c>
      <c r="H83" s="7" t="s">
        <v>12</v>
      </c>
      <c r="I83" s="9">
        <v>105.62</v>
      </c>
      <c r="J83" s="7">
        <v>20</v>
      </c>
      <c r="K83" s="9">
        <v>20</v>
      </c>
    </row>
    <row r="84" spans="1:11" ht="15.75" x14ac:dyDescent="0.25">
      <c r="A84" s="6" t="s">
        <v>13</v>
      </c>
      <c r="B84" s="7" t="s">
        <v>119</v>
      </c>
      <c r="C84" s="7" t="s">
        <v>176</v>
      </c>
      <c r="D84" s="7" t="s">
        <v>177</v>
      </c>
      <c r="E84" s="8" t="s">
        <v>86</v>
      </c>
      <c r="F84" s="7">
        <v>1</v>
      </c>
      <c r="G84" s="7">
        <v>20250401</v>
      </c>
      <c r="H84" s="7" t="s">
        <v>12</v>
      </c>
      <c r="I84" s="9">
        <v>71.39</v>
      </c>
      <c r="J84" s="7">
        <v>20</v>
      </c>
      <c r="K84" s="9">
        <v>20</v>
      </c>
    </row>
    <row r="85" spans="1:11" ht="15.75" x14ac:dyDescent="0.25">
      <c r="A85" s="6" t="s">
        <v>13</v>
      </c>
      <c r="B85" s="7" t="s">
        <v>119</v>
      </c>
      <c r="C85" s="7" t="s">
        <v>178</v>
      </c>
      <c r="D85" s="7" t="s">
        <v>179</v>
      </c>
      <c r="E85" s="8" t="s">
        <v>86</v>
      </c>
      <c r="F85" s="7">
        <v>1</v>
      </c>
      <c r="G85" s="7">
        <v>20250401</v>
      </c>
      <c r="H85" s="7" t="s">
        <v>12</v>
      </c>
      <c r="I85" s="9">
        <v>387.5</v>
      </c>
      <c r="J85" s="7">
        <v>20</v>
      </c>
      <c r="K85" s="9">
        <v>20</v>
      </c>
    </row>
    <row r="86" spans="1:11" ht="15.75" x14ac:dyDescent="0.25">
      <c r="A86" s="6" t="s">
        <v>13</v>
      </c>
      <c r="B86" s="7" t="s">
        <v>119</v>
      </c>
      <c r="C86" s="7" t="s">
        <v>180</v>
      </c>
      <c r="D86" s="7" t="s">
        <v>181</v>
      </c>
      <c r="E86" s="8" t="s">
        <v>86</v>
      </c>
      <c r="F86" s="7">
        <v>1</v>
      </c>
      <c r="G86" s="7">
        <v>20250401</v>
      </c>
      <c r="H86" s="7" t="s">
        <v>12</v>
      </c>
      <c r="I86" s="9">
        <v>25.78</v>
      </c>
      <c r="J86" s="7">
        <v>20</v>
      </c>
      <c r="K86" s="9">
        <v>20</v>
      </c>
    </row>
    <row r="87" spans="1:11" ht="15.75" x14ac:dyDescent="0.25">
      <c r="A87" s="6" t="s">
        <v>13</v>
      </c>
      <c r="B87" s="7" t="s">
        <v>119</v>
      </c>
      <c r="C87" s="7" t="s">
        <v>182</v>
      </c>
      <c r="D87" s="7" t="s">
        <v>183</v>
      </c>
      <c r="E87" s="8" t="s">
        <v>86</v>
      </c>
      <c r="F87" s="7">
        <v>1</v>
      </c>
      <c r="G87" s="7">
        <v>20250401</v>
      </c>
      <c r="H87" s="7" t="s">
        <v>12</v>
      </c>
      <c r="I87" s="9">
        <v>176.15</v>
      </c>
      <c r="J87" s="7">
        <v>20</v>
      </c>
      <c r="K87" s="9">
        <v>20</v>
      </c>
    </row>
    <row r="88" spans="1:11" ht="15.75" x14ac:dyDescent="0.25">
      <c r="A88" s="6" t="s">
        <v>13</v>
      </c>
      <c r="B88" s="7" t="s">
        <v>119</v>
      </c>
      <c r="C88" s="7" t="s">
        <v>120</v>
      </c>
      <c r="D88" s="7" t="s">
        <v>184</v>
      </c>
      <c r="E88" s="8" t="s">
        <v>86</v>
      </c>
      <c r="F88" s="7" t="s">
        <v>37</v>
      </c>
      <c r="G88" s="7">
        <v>20250401</v>
      </c>
      <c r="H88" s="7" t="s">
        <v>38</v>
      </c>
      <c r="I88" s="9">
        <v>20</v>
      </c>
      <c r="J88" s="7">
        <v>0.2</v>
      </c>
      <c r="K88" s="9">
        <v>4</v>
      </c>
    </row>
    <row r="89" spans="1:11" ht="15.75" x14ac:dyDescent="0.25">
      <c r="A89" s="6" t="s">
        <v>13</v>
      </c>
      <c r="B89" s="7" t="s">
        <v>119</v>
      </c>
      <c r="C89" s="7" t="s">
        <v>185</v>
      </c>
      <c r="D89" s="7" t="s">
        <v>186</v>
      </c>
      <c r="E89" s="8" t="s">
        <v>86</v>
      </c>
      <c r="F89" s="7" t="s">
        <v>37</v>
      </c>
      <c r="G89" s="7">
        <v>20250401</v>
      </c>
      <c r="H89" s="7" t="s">
        <v>38</v>
      </c>
      <c r="I89" s="9">
        <v>49</v>
      </c>
      <c r="J89" s="7">
        <v>0.2</v>
      </c>
      <c r="K89" s="9">
        <v>9.8000000000000007</v>
      </c>
    </row>
    <row r="90" spans="1:11" ht="15.75" x14ac:dyDescent="0.25">
      <c r="A90" s="6" t="s">
        <v>13</v>
      </c>
      <c r="B90" s="7" t="s">
        <v>187</v>
      </c>
      <c r="C90" s="7" t="s">
        <v>188</v>
      </c>
      <c r="D90" s="7" t="s">
        <v>189</v>
      </c>
      <c r="E90" s="8" t="s">
        <v>11</v>
      </c>
      <c r="F90" s="7">
        <v>1</v>
      </c>
      <c r="G90" s="7">
        <v>20250401</v>
      </c>
      <c r="H90" s="7" t="s">
        <v>12</v>
      </c>
      <c r="I90" s="9">
        <v>176.4</v>
      </c>
      <c r="J90" s="7">
        <v>27</v>
      </c>
      <c r="K90" s="9">
        <v>27</v>
      </c>
    </row>
    <row r="91" spans="1:11" ht="15.75" x14ac:dyDescent="0.25">
      <c r="A91" s="6" t="s">
        <v>13</v>
      </c>
      <c r="B91" s="7" t="s">
        <v>187</v>
      </c>
      <c r="C91" s="7" t="s">
        <v>190</v>
      </c>
      <c r="D91" s="7" t="s">
        <v>191</v>
      </c>
      <c r="E91" s="8" t="s">
        <v>11</v>
      </c>
      <c r="F91" s="7">
        <v>1</v>
      </c>
      <c r="G91" s="7">
        <v>20250401</v>
      </c>
      <c r="H91" s="7" t="s">
        <v>12</v>
      </c>
      <c r="I91" s="9">
        <v>124.29</v>
      </c>
      <c r="J91" s="7">
        <v>27</v>
      </c>
      <c r="K91" s="9">
        <v>27</v>
      </c>
    </row>
    <row r="92" spans="1:11" ht="15.75" x14ac:dyDescent="0.25">
      <c r="A92" s="6" t="s">
        <v>13</v>
      </c>
      <c r="B92" s="7" t="s">
        <v>192</v>
      </c>
      <c r="C92" s="7" t="s">
        <v>193</v>
      </c>
      <c r="D92" s="7" t="s">
        <v>194</v>
      </c>
      <c r="E92" s="8" t="s">
        <v>27</v>
      </c>
      <c r="F92" s="7" t="s">
        <v>37</v>
      </c>
      <c r="G92" s="7">
        <v>20250401</v>
      </c>
      <c r="H92" s="7" t="s">
        <v>38</v>
      </c>
      <c r="I92" s="9">
        <v>32.93</v>
      </c>
      <c r="J92" s="7">
        <v>0.2</v>
      </c>
      <c r="K92" s="9">
        <v>6.5860000000000003</v>
      </c>
    </row>
    <row r="93" spans="1:11" ht="15.75" x14ac:dyDescent="0.25">
      <c r="A93" s="6" t="s">
        <v>13</v>
      </c>
      <c r="B93" s="7" t="s">
        <v>192</v>
      </c>
      <c r="C93" s="7" t="s">
        <v>195</v>
      </c>
      <c r="D93" s="7" t="s">
        <v>196</v>
      </c>
      <c r="E93" s="8" t="s">
        <v>27</v>
      </c>
      <c r="F93" s="7" t="s">
        <v>37</v>
      </c>
      <c r="G93" s="7">
        <v>20250401</v>
      </c>
      <c r="H93" s="7" t="s">
        <v>38</v>
      </c>
      <c r="I93" s="9">
        <v>27</v>
      </c>
      <c r="J93" s="7">
        <v>0.2</v>
      </c>
      <c r="K93" s="9">
        <v>5.4</v>
      </c>
    </row>
    <row r="94" spans="1:11" ht="15.75" x14ac:dyDescent="0.25">
      <c r="A94" s="6" t="s">
        <v>13</v>
      </c>
      <c r="B94" s="7" t="s">
        <v>197</v>
      </c>
      <c r="C94" s="7" t="s">
        <v>198</v>
      </c>
      <c r="D94" s="7" t="s">
        <v>199</v>
      </c>
      <c r="E94" s="8" t="s">
        <v>27</v>
      </c>
      <c r="F94" s="7">
        <v>1</v>
      </c>
      <c r="G94" s="7">
        <v>20250401</v>
      </c>
      <c r="H94" s="7" t="s">
        <v>28</v>
      </c>
      <c r="I94" s="9">
        <v>10.06</v>
      </c>
      <c r="J94" s="7">
        <v>20</v>
      </c>
      <c r="K94" s="9">
        <v>20</v>
      </c>
    </row>
    <row r="95" spans="1:11" ht="15.75" x14ac:dyDescent="0.25">
      <c r="A95" s="6" t="s">
        <v>13</v>
      </c>
      <c r="B95" s="7" t="s">
        <v>200</v>
      </c>
      <c r="C95" s="7" t="s">
        <v>201</v>
      </c>
      <c r="D95" s="7" t="s">
        <v>202</v>
      </c>
      <c r="E95" s="8" t="s">
        <v>11</v>
      </c>
      <c r="F95" s="7">
        <v>1</v>
      </c>
      <c r="G95" s="7">
        <v>20250401</v>
      </c>
      <c r="H95" s="7" t="s">
        <v>12</v>
      </c>
      <c r="I95" s="9">
        <v>826.63</v>
      </c>
      <c r="J95" s="7">
        <v>27</v>
      </c>
      <c r="K95" s="9">
        <v>27</v>
      </c>
    </row>
    <row r="96" spans="1:11" ht="15.75" x14ac:dyDescent="0.25">
      <c r="A96" s="6" t="s">
        <v>13</v>
      </c>
      <c r="B96" s="7" t="s">
        <v>200</v>
      </c>
      <c r="C96" s="7" t="s">
        <v>203</v>
      </c>
      <c r="D96" s="7" t="s">
        <v>204</v>
      </c>
      <c r="E96" s="8" t="s">
        <v>49</v>
      </c>
      <c r="F96" s="7">
        <v>5</v>
      </c>
      <c r="G96" s="7">
        <v>20250401</v>
      </c>
      <c r="H96" s="7" t="s">
        <v>12</v>
      </c>
      <c r="I96" s="9">
        <v>33.1</v>
      </c>
      <c r="J96" s="7">
        <v>27</v>
      </c>
      <c r="K96" s="9">
        <v>135</v>
      </c>
    </row>
    <row r="97" spans="1:11" ht="15.75" x14ac:dyDescent="0.25">
      <c r="A97" s="6" t="s">
        <v>13</v>
      </c>
      <c r="B97" s="7" t="s">
        <v>200</v>
      </c>
      <c r="C97" s="7" t="s">
        <v>205</v>
      </c>
      <c r="D97" s="7" t="s">
        <v>206</v>
      </c>
      <c r="E97" s="8" t="s">
        <v>11</v>
      </c>
      <c r="F97" s="7">
        <v>1</v>
      </c>
      <c r="G97" s="7">
        <v>20250401</v>
      </c>
      <c r="H97" s="7" t="s">
        <v>12</v>
      </c>
      <c r="I97" s="9">
        <v>1094.27</v>
      </c>
      <c r="J97" s="7">
        <v>27</v>
      </c>
      <c r="K97" s="9">
        <v>27</v>
      </c>
    </row>
    <row r="98" spans="1:11" ht="15.75" x14ac:dyDescent="0.25">
      <c r="A98" s="6" t="s">
        <v>13</v>
      </c>
      <c r="B98" s="7" t="s">
        <v>207</v>
      </c>
      <c r="C98" s="7" t="s">
        <v>208</v>
      </c>
      <c r="D98" s="7" t="s">
        <v>209</v>
      </c>
      <c r="E98" s="8" t="s">
        <v>11</v>
      </c>
      <c r="F98" s="7">
        <v>2</v>
      </c>
      <c r="G98" s="7">
        <v>20250401</v>
      </c>
      <c r="H98" s="7" t="s">
        <v>12</v>
      </c>
      <c r="I98" s="9">
        <v>2269.06</v>
      </c>
      <c r="J98" s="7">
        <v>27</v>
      </c>
      <c r="K98" s="9">
        <v>54</v>
      </c>
    </row>
    <row r="99" spans="1:11" ht="15.75" x14ac:dyDescent="0.25">
      <c r="A99" s="6" t="s">
        <v>13</v>
      </c>
      <c r="B99" s="7" t="s">
        <v>207</v>
      </c>
      <c r="C99" s="7" t="s">
        <v>210</v>
      </c>
      <c r="D99" s="7" t="s">
        <v>211</v>
      </c>
      <c r="E99" s="8" t="s">
        <v>49</v>
      </c>
      <c r="F99" s="7">
        <v>1</v>
      </c>
      <c r="G99" s="7">
        <v>20250401</v>
      </c>
      <c r="H99" s="7" t="s">
        <v>12</v>
      </c>
      <c r="I99" s="9">
        <v>11.37</v>
      </c>
      <c r="J99" s="7">
        <v>27</v>
      </c>
      <c r="K99" s="9">
        <v>27</v>
      </c>
    </row>
    <row r="100" spans="1:11" ht="15.75" x14ac:dyDescent="0.25">
      <c r="A100" s="6" t="s">
        <v>13</v>
      </c>
      <c r="B100" s="7" t="s">
        <v>212</v>
      </c>
      <c r="C100" s="7" t="s">
        <v>213</v>
      </c>
      <c r="D100" s="7" t="s">
        <v>214</v>
      </c>
      <c r="E100" s="8" t="s">
        <v>27</v>
      </c>
      <c r="F100" s="7">
        <v>1</v>
      </c>
      <c r="G100" s="7">
        <v>20250401</v>
      </c>
      <c r="H100" s="7" t="s">
        <v>28</v>
      </c>
      <c r="I100" s="9">
        <v>117.37</v>
      </c>
      <c r="J100" s="7">
        <v>20</v>
      </c>
      <c r="K100" s="9">
        <v>20</v>
      </c>
    </row>
    <row r="101" spans="1:11" ht="15.75" x14ac:dyDescent="0.25">
      <c r="A101" s="6" t="s">
        <v>13</v>
      </c>
      <c r="B101" s="7" t="s">
        <v>212</v>
      </c>
      <c r="C101" s="7" t="s">
        <v>215</v>
      </c>
      <c r="D101" s="7" t="s">
        <v>216</v>
      </c>
      <c r="E101" s="8" t="s">
        <v>27</v>
      </c>
      <c r="F101" s="7">
        <v>1</v>
      </c>
      <c r="G101" s="7">
        <v>20250401</v>
      </c>
      <c r="H101" s="7" t="s">
        <v>28</v>
      </c>
      <c r="I101" s="9">
        <v>387.85</v>
      </c>
      <c r="J101" s="7">
        <v>20</v>
      </c>
      <c r="K101" s="9">
        <v>20</v>
      </c>
    </row>
    <row r="102" spans="1:11" ht="15.75" x14ac:dyDescent="0.25">
      <c r="A102" s="6" t="s">
        <v>13</v>
      </c>
      <c r="B102" s="7" t="s">
        <v>217</v>
      </c>
      <c r="C102" s="7" t="s">
        <v>218</v>
      </c>
      <c r="D102" s="7" t="s">
        <v>219</v>
      </c>
      <c r="E102" s="8" t="s">
        <v>49</v>
      </c>
      <c r="F102" s="7">
        <v>6</v>
      </c>
      <c r="G102" s="7">
        <v>20250401</v>
      </c>
      <c r="H102" s="7" t="s">
        <v>12</v>
      </c>
      <c r="I102" s="9">
        <v>19.02</v>
      </c>
      <c r="J102" s="7">
        <v>27</v>
      </c>
      <c r="K102" s="9">
        <v>162</v>
      </c>
    </row>
    <row r="103" spans="1:11" ht="15.75" x14ac:dyDescent="0.25">
      <c r="A103" s="6" t="s">
        <v>13</v>
      </c>
      <c r="B103" s="7" t="s">
        <v>220</v>
      </c>
      <c r="C103" s="7" t="s">
        <v>221</v>
      </c>
      <c r="D103" s="7" t="s">
        <v>222</v>
      </c>
      <c r="E103" s="8" t="s">
        <v>53</v>
      </c>
      <c r="F103" s="7">
        <v>3</v>
      </c>
      <c r="G103" s="7">
        <v>20250401</v>
      </c>
      <c r="H103" s="7" t="s">
        <v>12</v>
      </c>
      <c r="I103" s="9">
        <v>48.55</v>
      </c>
      <c r="J103" s="7">
        <v>22</v>
      </c>
      <c r="K103" s="9">
        <v>66</v>
      </c>
    </row>
    <row r="104" spans="1:11" ht="15.75" x14ac:dyDescent="0.25">
      <c r="A104" s="6" t="s">
        <v>13</v>
      </c>
      <c r="B104" s="7" t="s">
        <v>220</v>
      </c>
      <c r="C104" s="7" t="s">
        <v>223</v>
      </c>
      <c r="D104" s="7" t="s">
        <v>224</v>
      </c>
      <c r="E104" s="8" t="s">
        <v>53</v>
      </c>
      <c r="F104" s="7">
        <v>1</v>
      </c>
      <c r="G104" s="7">
        <v>20250401</v>
      </c>
      <c r="H104" s="7" t="s">
        <v>12</v>
      </c>
      <c r="I104" s="9">
        <v>271.88</v>
      </c>
      <c r="J104" s="7">
        <v>22</v>
      </c>
      <c r="K104" s="9">
        <v>22</v>
      </c>
    </row>
    <row r="105" spans="1:11" ht="15.75" x14ac:dyDescent="0.25">
      <c r="A105" s="6" t="s">
        <v>13</v>
      </c>
      <c r="B105" s="7" t="s">
        <v>225</v>
      </c>
      <c r="C105" s="7" t="s">
        <v>226</v>
      </c>
      <c r="D105" s="7" t="s">
        <v>227</v>
      </c>
      <c r="E105" s="8" t="s">
        <v>228</v>
      </c>
      <c r="F105" s="7" t="s">
        <v>37</v>
      </c>
      <c r="G105" s="7">
        <v>20250401</v>
      </c>
      <c r="H105" s="7" t="s">
        <v>38</v>
      </c>
      <c r="I105" s="9">
        <v>66.599999999999994</v>
      </c>
      <c r="J105" s="7">
        <v>0.2</v>
      </c>
      <c r="K105" s="9">
        <v>13.32</v>
      </c>
    </row>
    <row r="106" spans="1:11" ht="15.75" x14ac:dyDescent="0.25">
      <c r="A106" s="6" t="s">
        <v>13</v>
      </c>
      <c r="B106" s="7"/>
      <c r="C106" s="7"/>
      <c r="D106" s="7"/>
      <c r="E106" s="8"/>
      <c r="F106" s="7"/>
      <c r="G106" s="7"/>
      <c r="H106" s="7"/>
      <c r="I106" s="9"/>
      <c r="J106" s="7" t="s">
        <v>229</v>
      </c>
      <c r="K106" s="9">
        <v>3088.4960000000005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F06ED-E05D-4C6B-9EB9-F6C1A4B07E6B}">
  <dimension ref="A1:N106"/>
  <sheetViews>
    <sheetView tabSelected="1" workbookViewId="0">
      <selection activeCell="G2" sqref="G2:G105"/>
    </sheetView>
  </sheetViews>
  <sheetFormatPr defaultRowHeight="15" x14ac:dyDescent="0.25"/>
  <cols>
    <col min="1" max="1" width="28.42578125" style="15" customWidth="1"/>
    <col min="2" max="2" width="37.28515625" style="15" customWidth="1"/>
    <col min="3" max="3" width="33.28515625" style="15" customWidth="1"/>
    <col min="4" max="5" width="13.42578125" style="15" customWidth="1"/>
    <col min="6" max="6" width="7.7109375" style="15" customWidth="1"/>
    <col min="7" max="7" width="10.85546875" style="15" bestFit="1" customWidth="1"/>
    <col min="8" max="9" width="12.85546875" style="15" customWidth="1"/>
    <col min="10" max="10" width="17" style="15" customWidth="1"/>
    <col min="11" max="11" width="12.28515625" style="15" customWidth="1"/>
    <col min="12" max="12" width="8.42578125" style="15" customWidth="1"/>
    <col min="13" max="13" width="14" style="15" customWidth="1"/>
    <col min="14" max="14" width="19.28515625" style="15" bestFit="1" customWidth="1"/>
    <col min="15" max="16384" width="9.140625" style="15"/>
  </cols>
  <sheetData>
    <row r="1" spans="1:14" ht="31.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/>
      <c r="F1" s="10" t="s">
        <v>4</v>
      </c>
      <c r="G1" s="10" t="s">
        <v>5</v>
      </c>
      <c r="H1" s="11" t="s">
        <v>6</v>
      </c>
      <c r="I1" s="11"/>
      <c r="J1" s="12" t="s">
        <v>7</v>
      </c>
      <c r="K1" s="13" t="s">
        <v>8</v>
      </c>
      <c r="L1" s="14" t="s">
        <v>9</v>
      </c>
      <c r="M1" s="13" t="s">
        <v>10</v>
      </c>
    </row>
    <row r="2" spans="1:14" ht="15.75" x14ac:dyDescent="0.25">
      <c r="A2" s="16">
        <v>9079571</v>
      </c>
      <c r="B2" s="17" t="s">
        <v>14</v>
      </c>
      <c r="C2" s="17" t="s">
        <v>15</v>
      </c>
      <c r="D2" s="17" t="s">
        <v>16</v>
      </c>
      <c r="E2" s="17" t="str">
        <f>CONCATENATE(D2,2)</f>
        <v>27C3J82</v>
      </c>
      <c r="F2" s="18" t="s">
        <v>17</v>
      </c>
      <c r="G2" s="17"/>
      <c r="H2" s="17">
        <v>20250401</v>
      </c>
      <c r="I2" s="17" t="str">
        <f>TEXT(DATE(LEFT(H2,4), MID(H2,5,2), RIGHT(H2,2)), "M/d/yyyy")</f>
        <v>4/1/2025</v>
      </c>
      <c r="J2" s="17" t="s">
        <v>12</v>
      </c>
      <c r="K2" s="19">
        <v>69.2</v>
      </c>
      <c r="L2" s="17">
        <v>20</v>
      </c>
      <c r="M2" s="19">
        <v>20</v>
      </c>
      <c r="N2" s="15" t="s">
        <v>231</v>
      </c>
    </row>
    <row r="3" spans="1:14" ht="15.75" x14ac:dyDescent="0.25">
      <c r="A3" s="16">
        <v>9079571</v>
      </c>
      <c r="B3" s="17" t="s">
        <v>14</v>
      </c>
      <c r="C3" s="17" t="s">
        <v>18</v>
      </c>
      <c r="D3" s="17" t="s">
        <v>19</v>
      </c>
      <c r="E3" s="17" t="str">
        <f>CONCATENATE(D3,2)</f>
        <v>34C9J52</v>
      </c>
      <c r="F3" s="18" t="s">
        <v>17</v>
      </c>
      <c r="G3" s="17"/>
      <c r="H3" s="17">
        <v>20250401</v>
      </c>
      <c r="I3" s="17" t="str">
        <f t="shared" ref="I3:I66" si="0">TEXT(DATE(LEFT(H3,4), MID(H3,5,2), RIGHT(H3,2)), "M/d/yyyy")</f>
        <v>4/1/2025</v>
      </c>
      <c r="J3" s="17" t="s">
        <v>12</v>
      </c>
      <c r="K3" s="19">
        <v>334.97</v>
      </c>
      <c r="L3" s="17">
        <v>20</v>
      </c>
      <c r="M3" s="19">
        <v>20</v>
      </c>
      <c r="N3" s="15" t="s">
        <v>231</v>
      </c>
    </row>
    <row r="4" spans="1:14" ht="15.75" x14ac:dyDescent="0.25">
      <c r="A4" s="16">
        <v>9079571</v>
      </c>
      <c r="B4" s="17" t="s">
        <v>14</v>
      </c>
      <c r="C4" s="17" t="s">
        <v>20</v>
      </c>
      <c r="D4" s="17" t="s">
        <v>21</v>
      </c>
      <c r="E4" s="17" t="str">
        <f>CONCATENATE(D4,2)</f>
        <v>49CL672</v>
      </c>
      <c r="F4" s="18" t="s">
        <v>17</v>
      </c>
      <c r="G4" s="17"/>
      <c r="H4" s="17">
        <v>20250401</v>
      </c>
      <c r="I4" s="17" t="str">
        <f t="shared" si="0"/>
        <v>4/1/2025</v>
      </c>
      <c r="J4" s="17" t="s">
        <v>12</v>
      </c>
      <c r="K4" s="19">
        <v>698.24</v>
      </c>
      <c r="L4" s="17">
        <v>20</v>
      </c>
      <c r="M4" s="19">
        <v>20</v>
      </c>
      <c r="N4" s="15" t="s">
        <v>231</v>
      </c>
    </row>
    <row r="5" spans="1:14" ht="15.75" x14ac:dyDescent="0.25">
      <c r="A5" s="16">
        <v>9079571</v>
      </c>
      <c r="B5" s="17" t="s">
        <v>14</v>
      </c>
      <c r="C5" s="17" t="s">
        <v>22</v>
      </c>
      <c r="D5" s="17" t="s">
        <v>23</v>
      </c>
      <c r="E5" s="17" t="str">
        <f>CONCATENATE(D5,2)</f>
        <v>0W61U52</v>
      </c>
      <c r="F5" s="18" t="s">
        <v>11</v>
      </c>
      <c r="G5" s="17"/>
      <c r="H5" s="17">
        <v>20250401</v>
      </c>
      <c r="I5" s="17" t="str">
        <f t="shared" si="0"/>
        <v>4/1/2025</v>
      </c>
      <c r="J5" s="17" t="s">
        <v>12</v>
      </c>
      <c r="K5" s="19">
        <v>151.52000000000001</v>
      </c>
      <c r="L5" s="17">
        <v>27</v>
      </c>
      <c r="M5" s="19">
        <v>27</v>
      </c>
      <c r="N5" s="15" t="s">
        <v>235</v>
      </c>
    </row>
    <row r="6" spans="1:14" ht="15.75" x14ac:dyDescent="0.25">
      <c r="A6" s="16">
        <v>16912722</v>
      </c>
      <c r="B6" s="17" t="s">
        <v>24</v>
      </c>
      <c r="C6" s="17" t="s">
        <v>25</v>
      </c>
      <c r="D6" s="17" t="s">
        <v>26</v>
      </c>
      <c r="E6" s="17" t="str">
        <f>CONCATENATE(D6,2)</f>
        <v>89T8P52</v>
      </c>
      <c r="F6" s="18" t="s">
        <v>27</v>
      </c>
      <c r="G6" s="17" t="s">
        <v>237</v>
      </c>
      <c r="H6" s="17">
        <v>20250401</v>
      </c>
      <c r="I6" s="17" t="str">
        <f t="shared" si="0"/>
        <v>4/1/2025</v>
      </c>
      <c r="J6" s="17" t="s">
        <v>28</v>
      </c>
      <c r="K6" s="19">
        <v>114.33</v>
      </c>
      <c r="L6" s="17">
        <v>20</v>
      </c>
      <c r="M6" s="19">
        <v>60</v>
      </c>
      <c r="N6" s="15" t="s">
        <v>232</v>
      </c>
    </row>
    <row r="7" spans="1:14" ht="15.75" x14ac:dyDescent="0.25">
      <c r="A7" s="16">
        <v>7470776</v>
      </c>
      <c r="B7" s="17" t="s">
        <v>29</v>
      </c>
      <c r="C7" s="17" t="s">
        <v>30</v>
      </c>
      <c r="D7" s="17" t="s">
        <v>31</v>
      </c>
      <c r="E7" s="17" t="str">
        <f>CONCATENATE(D7,2)</f>
        <v>70P91M2</v>
      </c>
      <c r="F7" s="18" t="s">
        <v>27</v>
      </c>
      <c r="G7" s="17"/>
      <c r="H7" s="17">
        <v>20250401</v>
      </c>
      <c r="I7" s="17" t="str">
        <f t="shared" si="0"/>
        <v>4/1/2025</v>
      </c>
      <c r="J7" s="17" t="s">
        <v>28</v>
      </c>
      <c r="K7" s="19">
        <v>462.11</v>
      </c>
      <c r="L7" s="17">
        <v>20</v>
      </c>
      <c r="M7" s="19">
        <v>20</v>
      </c>
      <c r="N7" s="15" t="s">
        <v>232</v>
      </c>
    </row>
    <row r="8" spans="1:14" ht="15.75" x14ac:dyDescent="0.25">
      <c r="A8" s="16">
        <v>7470776</v>
      </c>
      <c r="B8" s="17" t="s">
        <v>29</v>
      </c>
      <c r="C8" s="17" t="s">
        <v>32</v>
      </c>
      <c r="D8" s="17" t="s">
        <v>33</v>
      </c>
      <c r="E8" s="17" t="str">
        <f>CONCATENATE(D8,2)</f>
        <v>74N3X52</v>
      </c>
      <c r="F8" s="18" t="s">
        <v>27</v>
      </c>
      <c r="G8" s="17" t="s">
        <v>237</v>
      </c>
      <c r="H8" s="17">
        <v>20250401</v>
      </c>
      <c r="I8" s="17" t="str">
        <f t="shared" si="0"/>
        <v>4/1/2025</v>
      </c>
      <c r="J8" s="17" t="s">
        <v>28</v>
      </c>
      <c r="K8" s="19">
        <v>30.84</v>
      </c>
      <c r="L8" s="17">
        <v>20</v>
      </c>
      <c r="M8" s="19">
        <v>60</v>
      </c>
      <c r="N8" s="15" t="s">
        <v>232</v>
      </c>
    </row>
    <row r="9" spans="1:14" ht="15.75" x14ac:dyDescent="0.25">
      <c r="A9" s="16">
        <v>593918</v>
      </c>
      <c r="B9" s="17" t="s">
        <v>225</v>
      </c>
      <c r="C9" s="17" t="s">
        <v>226</v>
      </c>
      <c r="D9" s="17" t="s">
        <v>227</v>
      </c>
      <c r="E9" s="17" t="str">
        <f>CONCATENATE(D9,7)</f>
        <v>42T0F97</v>
      </c>
      <c r="F9" s="18" t="s">
        <v>228</v>
      </c>
      <c r="G9" s="17" t="s">
        <v>37</v>
      </c>
      <c r="H9" s="17">
        <v>20250401</v>
      </c>
      <c r="I9" s="17" t="str">
        <f t="shared" si="0"/>
        <v>4/1/2025</v>
      </c>
      <c r="J9" s="17" t="s">
        <v>38</v>
      </c>
      <c r="K9" s="19">
        <v>66.599999999999994</v>
      </c>
      <c r="L9" s="17">
        <v>0.2</v>
      </c>
      <c r="M9" s="19">
        <v>13.32</v>
      </c>
      <c r="N9" s="15" t="s">
        <v>230</v>
      </c>
    </row>
    <row r="10" spans="1:14" ht="15.75" x14ac:dyDescent="0.25">
      <c r="A10" s="16">
        <v>21104854</v>
      </c>
      <c r="B10" s="17" t="s">
        <v>34</v>
      </c>
      <c r="C10" s="17" t="s">
        <v>35</v>
      </c>
      <c r="D10" s="17" t="s">
        <v>36</v>
      </c>
      <c r="E10" s="17" t="str">
        <f>CONCATENATE(D10,7)</f>
        <v>09T0X07</v>
      </c>
      <c r="F10" s="18" t="s">
        <v>27</v>
      </c>
      <c r="G10" s="17" t="s">
        <v>37</v>
      </c>
      <c r="H10" s="17">
        <v>20250401</v>
      </c>
      <c r="I10" s="17" t="str">
        <f t="shared" si="0"/>
        <v>4/1/2025</v>
      </c>
      <c r="J10" s="17" t="s">
        <v>38</v>
      </c>
      <c r="K10" s="19">
        <v>41.44</v>
      </c>
      <c r="L10" s="17">
        <v>0.2</v>
      </c>
      <c r="M10" s="19">
        <v>8.2880000000000003</v>
      </c>
      <c r="N10" s="15" t="s">
        <v>230</v>
      </c>
    </row>
    <row r="11" spans="1:14" ht="15.75" x14ac:dyDescent="0.25">
      <c r="A11" s="16">
        <v>21104854</v>
      </c>
      <c r="B11" s="17" t="s">
        <v>34</v>
      </c>
      <c r="C11" s="17" t="s">
        <v>39</v>
      </c>
      <c r="D11" s="17" t="s">
        <v>40</v>
      </c>
      <c r="E11" s="17" t="str">
        <f>CONCATENATE(D11,7)</f>
        <v>22T8R67</v>
      </c>
      <c r="F11" s="18" t="s">
        <v>27</v>
      </c>
      <c r="G11" s="17" t="s">
        <v>37</v>
      </c>
      <c r="H11" s="17">
        <v>20250401</v>
      </c>
      <c r="I11" s="17" t="str">
        <f t="shared" si="0"/>
        <v>4/1/2025</v>
      </c>
      <c r="J11" s="17" t="s">
        <v>38</v>
      </c>
      <c r="K11" s="19">
        <v>34.17</v>
      </c>
      <c r="L11" s="17">
        <v>0.2</v>
      </c>
      <c r="M11" s="19">
        <v>6.8340000000000005</v>
      </c>
      <c r="N11" s="15" t="s">
        <v>230</v>
      </c>
    </row>
    <row r="12" spans="1:14" ht="15.75" x14ac:dyDescent="0.25">
      <c r="A12" s="16">
        <v>17425766</v>
      </c>
      <c r="B12" s="17" t="s">
        <v>41</v>
      </c>
      <c r="C12" s="17" t="s">
        <v>42</v>
      </c>
      <c r="D12" s="17" t="s">
        <v>43</v>
      </c>
      <c r="E12" s="17" t="str">
        <f>CONCATENATE(D12,2)</f>
        <v>01F2T52</v>
      </c>
      <c r="F12" s="18" t="s">
        <v>44</v>
      </c>
      <c r="G12" s="17"/>
      <c r="H12" s="17">
        <v>20250401</v>
      </c>
      <c r="I12" s="17" t="str">
        <f t="shared" si="0"/>
        <v>4/1/2025</v>
      </c>
      <c r="J12" s="17" t="s">
        <v>28</v>
      </c>
      <c r="K12" s="19">
        <v>40.03</v>
      </c>
      <c r="L12" s="17">
        <v>22</v>
      </c>
      <c r="M12" s="19">
        <v>22</v>
      </c>
      <c r="N12" s="15" t="s">
        <v>233</v>
      </c>
    </row>
    <row r="13" spans="1:14" ht="15.75" x14ac:dyDescent="0.25">
      <c r="A13" s="16">
        <v>17425766</v>
      </c>
      <c r="B13" s="17" t="s">
        <v>41</v>
      </c>
      <c r="C13" s="17" t="s">
        <v>45</v>
      </c>
      <c r="D13" s="17" t="s">
        <v>46</v>
      </c>
      <c r="E13" s="17" t="str">
        <f>CONCATENATE(D13,2)</f>
        <v>0J4F072</v>
      </c>
      <c r="F13" s="18" t="s">
        <v>11</v>
      </c>
      <c r="G13" s="17" t="s">
        <v>237</v>
      </c>
      <c r="H13" s="17">
        <v>20250401</v>
      </c>
      <c r="I13" s="17" t="str">
        <f t="shared" si="0"/>
        <v>4/1/2025</v>
      </c>
      <c r="J13" s="17" t="s">
        <v>12</v>
      </c>
      <c r="K13" s="19">
        <v>191.23</v>
      </c>
      <c r="L13" s="17">
        <v>27</v>
      </c>
      <c r="M13" s="19">
        <v>81</v>
      </c>
      <c r="N13" s="15" t="s">
        <v>235</v>
      </c>
    </row>
    <row r="14" spans="1:14" ht="15.75" x14ac:dyDescent="0.25">
      <c r="A14" s="16">
        <v>17425766</v>
      </c>
      <c r="B14" s="17" t="s">
        <v>41</v>
      </c>
      <c r="C14" s="17" t="s">
        <v>47</v>
      </c>
      <c r="D14" s="17" t="s">
        <v>48</v>
      </c>
      <c r="E14" s="17" t="str">
        <f>CONCATENATE(D14,2)</f>
        <v>41Q71G2</v>
      </c>
      <c r="F14" s="18" t="s">
        <v>49</v>
      </c>
      <c r="G14" s="17"/>
      <c r="H14" s="17">
        <v>20250401</v>
      </c>
      <c r="I14" s="17" t="str">
        <f t="shared" si="0"/>
        <v>4/1/2025</v>
      </c>
      <c r="J14" s="17" t="s">
        <v>12</v>
      </c>
      <c r="K14" s="19">
        <v>192.18</v>
      </c>
      <c r="L14" s="17">
        <v>27</v>
      </c>
      <c r="M14" s="19">
        <v>27</v>
      </c>
      <c r="N14" s="15" t="s">
        <v>235</v>
      </c>
    </row>
    <row r="15" spans="1:14" ht="15.75" x14ac:dyDescent="0.25">
      <c r="A15" s="16">
        <v>17437820</v>
      </c>
      <c r="B15" s="17" t="s">
        <v>50</v>
      </c>
      <c r="C15" s="17" t="s">
        <v>51</v>
      </c>
      <c r="D15" s="17" t="s">
        <v>52</v>
      </c>
      <c r="E15" s="17" t="str">
        <f>CONCATENATE(D15,2)</f>
        <v>1N92F42</v>
      </c>
      <c r="F15" s="18" t="s">
        <v>53</v>
      </c>
      <c r="G15" s="17"/>
      <c r="H15" s="17">
        <v>20250401</v>
      </c>
      <c r="I15" s="17" t="str">
        <f t="shared" si="0"/>
        <v>4/1/2025</v>
      </c>
      <c r="J15" s="17" t="s">
        <v>12</v>
      </c>
      <c r="K15" s="19">
        <v>17.690000000000001</v>
      </c>
      <c r="L15" s="17">
        <v>22</v>
      </c>
      <c r="M15" s="19">
        <v>22</v>
      </c>
      <c r="N15" s="15" t="s">
        <v>233</v>
      </c>
    </row>
    <row r="16" spans="1:14" ht="15.75" x14ac:dyDescent="0.25">
      <c r="A16" s="16">
        <v>17437820</v>
      </c>
      <c r="B16" s="17" t="s">
        <v>50</v>
      </c>
      <c r="C16" s="17" t="s">
        <v>54</v>
      </c>
      <c r="D16" s="17" t="s">
        <v>55</v>
      </c>
      <c r="E16" s="17" t="str">
        <f>CONCATENATE(D16,2)</f>
        <v>32A6E42</v>
      </c>
      <c r="F16" s="18" t="s">
        <v>53</v>
      </c>
      <c r="G16" s="17"/>
      <c r="H16" s="17">
        <v>20250401</v>
      </c>
      <c r="I16" s="17" t="str">
        <f t="shared" si="0"/>
        <v>4/1/2025</v>
      </c>
      <c r="J16" s="17" t="s">
        <v>12</v>
      </c>
      <c r="K16" s="19">
        <v>17.690000000000001</v>
      </c>
      <c r="L16" s="17">
        <v>22</v>
      </c>
      <c r="M16" s="19">
        <v>22</v>
      </c>
      <c r="N16" s="15" t="s">
        <v>233</v>
      </c>
    </row>
    <row r="17" spans="1:14" ht="15.75" x14ac:dyDescent="0.25">
      <c r="A17" s="16">
        <v>17437820</v>
      </c>
      <c r="B17" s="17" t="s">
        <v>50</v>
      </c>
      <c r="C17" s="17" t="s">
        <v>56</v>
      </c>
      <c r="D17" s="17" t="s">
        <v>57</v>
      </c>
      <c r="E17" s="17" t="str">
        <f>CONCATENATE(D17,2)</f>
        <v>37HH172</v>
      </c>
      <c r="F17" s="18" t="s">
        <v>53</v>
      </c>
      <c r="G17" s="17"/>
      <c r="H17" s="17">
        <v>20250401</v>
      </c>
      <c r="I17" s="17" t="str">
        <f t="shared" si="0"/>
        <v>4/1/2025</v>
      </c>
      <c r="J17" s="17" t="s">
        <v>12</v>
      </c>
      <c r="K17" s="19">
        <v>31.2</v>
      </c>
      <c r="L17" s="17">
        <v>22</v>
      </c>
      <c r="M17" s="19">
        <v>22</v>
      </c>
      <c r="N17" s="15" t="s">
        <v>233</v>
      </c>
    </row>
    <row r="18" spans="1:14" ht="15.75" x14ac:dyDescent="0.25">
      <c r="A18" s="16">
        <v>17437820</v>
      </c>
      <c r="B18" s="17" t="s">
        <v>50</v>
      </c>
      <c r="C18" s="17" t="s">
        <v>58</v>
      </c>
      <c r="D18" s="17" t="s">
        <v>59</v>
      </c>
      <c r="E18" s="17" t="str">
        <f>CONCATENATE(D18,2)</f>
        <v>5YB0362</v>
      </c>
      <c r="F18" s="18" t="s">
        <v>53</v>
      </c>
      <c r="G18" s="17"/>
      <c r="H18" s="17">
        <v>20250401</v>
      </c>
      <c r="I18" s="17" t="str">
        <f t="shared" si="0"/>
        <v>4/1/2025</v>
      </c>
      <c r="J18" s="17" t="s">
        <v>12</v>
      </c>
      <c r="K18" s="19">
        <v>168.73</v>
      </c>
      <c r="L18" s="17">
        <v>22</v>
      </c>
      <c r="M18" s="19">
        <v>22</v>
      </c>
      <c r="N18" s="15" t="s">
        <v>233</v>
      </c>
    </row>
    <row r="19" spans="1:14" ht="15.75" x14ac:dyDescent="0.25">
      <c r="A19" s="16">
        <v>17437820</v>
      </c>
      <c r="B19" s="17" t="s">
        <v>50</v>
      </c>
      <c r="C19" s="17" t="s">
        <v>60</v>
      </c>
      <c r="D19" s="17" t="s">
        <v>61</v>
      </c>
      <c r="E19" s="17" t="str">
        <f>CONCATENATE(D19,2)</f>
        <v>85P3D22</v>
      </c>
      <c r="F19" s="18" t="s">
        <v>53</v>
      </c>
      <c r="G19" s="17"/>
      <c r="H19" s="17">
        <v>20250401</v>
      </c>
      <c r="I19" s="17" t="str">
        <f t="shared" si="0"/>
        <v>4/1/2025</v>
      </c>
      <c r="J19" s="17" t="s">
        <v>12</v>
      </c>
      <c r="K19" s="19">
        <v>219.6</v>
      </c>
      <c r="L19" s="17">
        <v>22</v>
      </c>
      <c r="M19" s="19">
        <v>22</v>
      </c>
      <c r="N19" s="15" t="s">
        <v>233</v>
      </c>
    </row>
    <row r="20" spans="1:14" ht="15.75" x14ac:dyDescent="0.25">
      <c r="A20" s="16">
        <v>17301495</v>
      </c>
      <c r="B20" s="17" t="s">
        <v>62</v>
      </c>
      <c r="C20" s="17" t="s">
        <v>63</v>
      </c>
      <c r="D20" s="17" t="s">
        <v>64</v>
      </c>
      <c r="E20" s="17" t="str">
        <f>CONCATENATE(D20,2)</f>
        <v>8T66A82</v>
      </c>
      <c r="F20" s="18" t="s">
        <v>27</v>
      </c>
      <c r="G20" s="17"/>
      <c r="H20" s="17">
        <v>20250401</v>
      </c>
      <c r="I20" s="17" t="str">
        <f t="shared" si="0"/>
        <v>4/1/2025</v>
      </c>
      <c r="J20" s="17" t="s">
        <v>28</v>
      </c>
      <c r="K20" s="19">
        <v>148.30000000000001</v>
      </c>
      <c r="L20" s="17">
        <v>20</v>
      </c>
      <c r="M20" s="19">
        <v>20</v>
      </c>
      <c r="N20" s="15" t="s">
        <v>232</v>
      </c>
    </row>
    <row r="21" spans="1:14" ht="15.75" x14ac:dyDescent="0.25">
      <c r="A21" s="16">
        <v>8814784</v>
      </c>
      <c r="B21" s="17" t="s">
        <v>65</v>
      </c>
      <c r="C21" s="17" t="s">
        <v>66</v>
      </c>
      <c r="D21" s="17" t="s">
        <v>67</v>
      </c>
      <c r="E21" s="17" t="str">
        <f>CONCATENATE(D21,2)</f>
        <v>1V05L02</v>
      </c>
      <c r="F21" s="18" t="s">
        <v>53</v>
      </c>
      <c r="G21" s="17" t="s">
        <v>238</v>
      </c>
      <c r="H21" s="17">
        <v>20250401</v>
      </c>
      <c r="I21" s="17" t="str">
        <f t="shared" si="0"/>
        <v>4/1/2025</v>
      </c>
      <c r="J21" s="17" t="s">
        <v>12</v>
      </c>
      <c r="K21" s="19">
        <v>39.950000000000003</v>
      </c>
      <c r="L21" s="17">
        <v>22</v>
      </c>
      <c r="M21" s="19">
        <v>88</v>
      </c>
      <c r="N21" s="15" t="s">
        <v>233</v>
      </c>
    </row>
    <row r="22" spans="1:14" ht="15.75" x14ac:dyDescent="0.25">
      <c r="A22" s="16">
        <v>9213293</v>
      </c>
      <c r="B22" s="17" t="s">
        <v>68</v>
      </c>
      <c r="C22" s="17" t="s">
        <v>69</v>
      </c>
      <c r="D22" s="17" t="s">
        <v>70</v>
      </c>
      <c r="E22" s="17" t="str">
        <f>CONCATENATE(D22,2)</f>
        <v>24T3Q32</v>
      </c>
      <c r="F22" s="18" t="s">
        <v>27</v>
      </c>
      <c r="G22" s="17"/>
      <c r="H22" s="17">
        <v>20250401</v>
      </c>
      <c r="I22" s="17" t="str">
        <f t="shared" si="0"/>
        <v>4/1/2025</v>
      </c>
      <c r="J22" s="17" t="s">
        <v>28</v>
      </c>
      <c r="K22" s="19">
        <v>215.88</v>
      </c>
      <c r="L22" s="17">
        <v>20</v>
      </c>
      <c r="M22" s="19">
        <v>20</v>
      </c>
      <c r="N22" s="15" t="s">
        <v>232</v>
      </c>
    </row>
    <row r="23" spans="1:14" ht="15.75" x14ac:dyDescent="0.25">
      <c r="A23" s="16">
        <v>9213293</v>
      </c>
      <c r="B23" s="17" t="s">
        <v>68</v>
      </c>
      <c r="C23" s="17" t="s">
        <v>71</v>
      </c>
      <c r="D23" s="17" t="s">
        <v>72</v>
      </c>
      <c r="E23" s="17" t="str">
        <f>CONCATENATE(D23,2)</f>
        <v>75T08D2</v>
      </c>
      <c r="F23" s="18" t="s">
        <v>27</v>
      </c>
      <c r="G23" s="17"/>
      <c r="H23" s="17">
        <v>20250401</v>
      </c>
      <c r="I23" s="17" t="str">
        <f t="shared" si="0"/>
        <v>4/1/2025</v>
      </c>
      <c r="J23" s="17" t="s">
        <v>28</v>
      </c>
      <c r="K23" s="19">
        <v>71.42</v>
      </c>
      <c r="L23" s="17">
        <v>20</v>
      </c>
      <c r="M23" s="19">
        <v>20</v>
      </c>
      <c r="N23" s="15" t="s">
        <v>232</v>
      </c>
    </row>
    <row r="24" spans="1:14" ht="15.75" x14ac:dyDescent="0.25">
      <c r="A24" s="16">
        <v>8307933</v>
      </c>
      <c r="B24" s="17" t="s">
        <v>73</v>
      </c>
      <c r="C24" s="17" t="s">
        <v>74</v>
      </c>
      <c r="D24" s="17" t="s">
        <v>75</v>
      </c>
      <c r="E24" s="17" t="str">
        <f>CONCATENATE(D24,2)</f>
        <v>5Y6K122</v>
      </c>
      <c r="F24" s="18" t="s">
        <v>44</v>
      </c>
      <c r="G24" s="17"/>
      <c r="H24" s="17">
        <v>20250401</v>
      </c>
      <c r="I24" s="17" t="str">
        <f t="shared" si="0"/>
        <v>4/1/2025</v>
      </c>
      <c r="J24" s="17" t="s">
        <v>28</v>
      </c>
      <c r="K24" s="19">
        <v>107.75</v>
      </c>
      <c r="L24" s="17">
        <v>22</v>
      </c>
      <c r="M24" s="19">
        <v>22</v>
      </c>
      <c r="N24" s="15" t="s">
        <v>233</v>
      </c>
    </row>
    <row r="25" spans="1:14" ht="15.75" x14ac:dyDescent="0.25">
      <c r="A25" s="16">
        <v>8307933</v>
      </c>
      <c r="B25" s="17" t="s">
        <v>73</v>
      </c>
      <c r="C25" s="17" t="s">
        <v>79</v>
      </c>
      <c r="D25" s="17" t="s">
        <v>80</v>
      </c>
      <c r="E25" s="17" t="str">
        <f>CONCATENATE(D25,2)</f>
        <v>5G6W802</v>
      </c>
      <c r="F25" s="18" t="s">
        <v>53</v>
      </c>
      <c r="G25" s="17"/>
      <c r="H25" s="17">
        <v>20250401</v>
      </c>
      <c r="I25" s="17" t="str">
        <f t="shared" si="0"/>
        <v>4/1/2025</v>
      </c>
      <c r="J25" s="17" t="s">
        <v>12</v>
      </c>
      <c r="K25" s="19">
        <v>126.18</v>
      </c>
      <c r="L25" s="17">
        <v>22</v>
      </c>
      <c r="M25" s="19">
        <v>22</v>
      </c>
      <c r="N25" s="15" t="s">
        <v>233</v>
      </c>
    </row>
    <row r="26" spans="1:14" ht="15.75" x14ac:dyDescent="0.25">
      <c r="A26" s="16">
        <v>8307933</v>
      </c>
      <c r="B26" s="17" t="s">
        <v>73</v>
      </c>
      <c r="C26" s="17" t="s">
        <v>81</v>
      </c>
      <c r="D26" s="17" t="s">
        <v>82</v>
      </c>
      <c r="E26" s="17" t="str">
        <f>CONCATENATE(D26,2)</f>
        <v>7TR1132</v>
      </c>
      <c r="F26" s="18" t="s">
        <v>53</v>
      </c>
      <c r="G26" s="17"/>
      <c r="H26" s="17">
        <v>20250401</v>
      </c>
      <c r="I26" s="17" t="str">
        <f t="shared" si="0"/>
        <v>4/1/2025</v>
      </c>
      <c r="J26" s="17" t="s">
        <v>12</v>
      </c>
      <c r="K26" s="19">
        <v>11.9</v>
      </c>
      <c r="L26" s="17">
        <v>22</v>
      </c>
      <c r="M26" s="19">
        <v>22</v>
      </c>
      <c r="N26" s="15" t="s">
        <v>233</v>
      </c>
    </row>
    <row r="27" spans="1:14" ht="15.75" x14ac:dyDescent="0.25">
      <c r="A27" s="16">
        <v>8307933</v>
      </c>
      <c r="B27" s="17" t="s">
        <v>73</v>
      </c>
      <c r="C27" s="17" t="s">
        <v>76</v>
      </c>
      <c r="D27" s="17" t="s">
        <v>77</v>
      </c>
      <c r="E27" s="17" t="str">
        <f>CONCATENATE(D27,2)</f>
        <v>35DH742</v>
      </c>
      <c r="F27" s="18" t="s">
        <v>78</v>
      </c>
      <c r="G27" s="17"/>
      <c r="H27" s="17">
        <v>20250401</v>
      </c>
      <c r="I27" s="17" t="str">
        <f t="shared" si="0"/>
        <v>4/1/2025</v>
      </c>
      <c r="J27" s="17" t="s">
        <v>28</v>
      </c>
      <c r="K27" s="19">
        <v>-348.22</v>
      </c>
      <c r="L27" s="17">
        <v>25</v>
      </c>
      <c r="M27" s="19">
        <v>-25</v>
      </c>
      <c r="N27" s="15" t="s">
        <v>234</v>
      </c>
    </row>
    <row r="28" spans="1:14" ht="15.75" x14ac:dyDescent="0.25">
      <c r="A28" s="16">
        <v>8307933</v>
      </c>
      <c r="B28" s="17" t="s">
        <v>73</v>
      </c>
      <c r="C28" s="17" t="s">
        <v>76</v>
      </c>
      <c r="D28" s="17" t="s">
        <v>77</v>
      </c>
      <c r="E28" s="17" t="str">
        <f>CONCATENATE(D28,2)</f>
        <v>35DH742</v>
      </c>
      <c r="F28" s="18" t="s">
        <v>78</v>
      </c>
      <c r="G28" s="17"/>
      <c r="H28" s="17">
        <v>20250401</v>
      </c>
      <c r="I28" s="17" t="str">
        <f t="shared" si="0"/>
        <v>4/1/2025</v>
      </c>
      <c r="J28" s="17" t="s">
        <v>28</v>
      </c>
      <c r="K28" s="19">
        <v>348.22</v>
      </c>
      <c r="L28" s="17">
        <v>25</v>
      </c>
      <c r="M28" s="19">
        <v>25</v>
      </c>
      <c r="N28" s="15" t="s">
        <v>234</v>
      </c>
    </row>
    <row r="29" spans="1:14" ht="15.75" x14ac:dyDescent="0.25">
      <c r="A29" s="16">
        <v>16865615</v>
      </c>
      <c r="B29" s="17" t="s">
        <v>83</v>
      </c>
      <c r="C29" s="17" t="s">
        <v>107</v>
      </c>
      <c r="D29" s="17" t="s">
        <v>108</v>
      </c>
      <c r="E29" s="17" t="str">
        <f>CONCATENATE(D29,7)</f>
        <v>69T3N97</v>
      </c>
      <c r="F29" s="18" t="s">
        <v>86</v>
      </c>
      <c r="G29" s="17" t="s">
        <v>37</v>
      </c>
      <c r="H29" s="17">
        <v>20250401</v>
      </c>
      <c r="I29" s="17" t="str">
        <f t="shared" si="0"/>
        <v>4/1/2025</v>
      </c>
      <c r="J29" s="17" t="s">
        <v>38</v>
      </c>
      <c r="K29" s="19">
        <v>56.34</v>
      </c>
      <c r="L29" s="17">
        <v>0.2</v>
      </c>
      <c r="M29" s="19">
        <v>11.268000000000001</v>
      </c>
      <c r="N29" s="15" t="s">
        <v>230</v>
      </c>
    </row>
    <row r="30" spans="1:14" ht="15.75" x14ac:dyDescent="0.25">
      <c r="A30" s="16">
        <v>16865615</v>
      </c>
      <c r="B30" s="17" t="s">
        <v>83</v>
      </c>
      <c r="C30" s="17" t="s">
        <v>84</v>
      </c>
      <c r="D30" s="17" t="s">
        <v>85</v>
      </c>
      <c r="E30" s="17" t="str">
        <f>CONCATENATE(D30,2)</f>
        <v>01R6J92</v>
      </c>
      <c r="F30" s="18" t="s">
        <v>86</v>
      </c>
      <c r="G30" s="17"/>
      <c r="H30" s="17">
        <v>20250401</v>
      </c>
      <c r="I30" s="17" t="str">
        <f t="shared" si="0"/>
        <v>4/1/2025</v>
      </c>
      <c r="J30" s="17" t="s">
        <v>12</v>
      </c>
      <c r="K30" s="19">
        <v>51.56</v>
      </c>
      <c r="L30" s="17">
        <v>20</v>
      </c>
      <c r="M30" s="19">
        <v>20</v>
      </c>
      <c r="N30" s="15" t="s">
        <v>232</v>
      </c>
    </row>
    <row r="31" spans="1:14" ht="15.75" x14ac:dyDescent="0.25">
      <c r="A31" s="16">
        <v>16865615</v>
      </c>
      <c r="B31" s="17" t="s">
        <v>83</v>
      </c>
      <c r="C31" s="17" t="s">
        <v>87</v>
      </c>
      <c r="D31" s="17" t="s">
        <v>88</v>
      </c>
      <c r="E31" s="17" t="str">
        <f>CONCATENATE(D31,2)</f>
        <v>12RY362</v>
      </c>
      <c r="F31" s="18" t="s">
        <v>86</v>
      </c>
      <c r="G31" s="17"/>
      <c r="H31" s="17">
        <v>20250401</v>
      </c>
      <c r="I31" s="17" t="str">
        <f t="shared" si="0"/>
        <v>4/1/2025</v>
      </c>
      <c r="J31" s="17" t="s">
        <v>12</v>
      </c>
      <c r="K31" s="19">
        <v>640.73</v>
      </c>
      <c r="L31" s="17">
        <v>20</v>
      </c>
      <c r="M31" s="19">
        <v>20</v>
      </c>
      <c r="N31" s="15" t="s">
        <v>232</v>
      </c>
    </row>
    <row r="32" spans="1:14" ht="15.75" x14ac:dyDescent="0.25">
      <c r="A32" s="16">
        <v>16865615</v>
      </c>
      <c r="B32" s="17" t="s">
        <v>83</v>
      </c>
      <c r="C32" s="17" t="s">
        <v>89</v>
      </c>
      <c r="D32" s="17" t="s">
        <v>90</v>
      </c>
      <c r="E32" s="17" t="str">
        <f>CONCATENATE(D32,2)</f>
        <v>26R7J92</v>
      </c>
      <c r="F32" s="18" t="s">
        <v>86</v>
      </c>
      <c r="G32" s="17"/>
      <c r="H32" s="17">
        <v>20250401</v>
      </c>
      <c r="I32" s="17" t="str">
        <f t="shared" si="0"/>
        <v>4/1/2025</v>
      </c>
      <c r="J32" s="17" t="s">
        <v>12</v>
      </c>
      <c r="K32" s="19">
        <v>258.48</v>
      </c>
      <c r="L32" s="17">
        <v>20</v>
      </c>
      <c r="M32" s="19">
        <v>20</v>
      </c>
      <c r="N32" s="15" t="s">
        <v>232</v>
      </c>
    </row>
    <row r="33" spans="1:14" ht="15.75" x14ac:dyDescent="0.25">
      <c r="A33" s="16">
        <v>16865615</v>
      </c>
      <c r="B33" s="17" t="s">
        <v>83</v>
      </c>
      <c r="C33" s="17" t="s">
        <v>91</v>
      </c>
      <c r="D33" s="17" t="s">
        <v>92</v>
      </c>
      <c r="E33" s="17" t="str">
        <f>CONCATENATE(D33,2)</f>
        <v>30R16R2</v>
      </c>
      <c r="F33" s="18" t="s">
        <v>86</v>
      </c>
      <c r="G33" s="17"/>
      <c r="H33" s="17">
        <v>20250401</v>
      </c>
      <c r="I33" s="17" t="str">
        <f t="shared" si="0"/>
        <v>4/1/2025</v>
      </c>
      <c r="J33" s="17" t="s">
        <v>12</v>
      </c>
      <c r="K33" s="19">
        <v>37.78</v>
      </c>
      <c r="L33" s="17">
        <v>20</v>
      </c>
      <c r="M33" s="19">
        <v>20</v>
      </c>
      <c r="N33" s="15" t="s">
        <v>232</v>
      </c>
    </row>
    <row r="34" spans="1:14" ht="15.75" x14ac:dyDescent="0.25">
      <c r="A34" s="16">
        <v>16865615</v>
      </c>
      <c r="B34" s="17" t="s">
        <v>83</v>
      </c>
      <c r="C34" s="17" t="s">
        <v>93</v>
      </c>
      <c r="D34" s="17" t="s">
        <v>94</v>
      </c>
      <c r="E34" s="17" t="str">
        <f>CONCATENATE(D34,2)</f>
        <v>34R26L2</v>
      </c>
      <c r="F34" s="18" t="s">
        <v>86</v>
      </c>
      <c r="G34" s="17"/>
      <c r="H34" s="17">
        <v>20250401</v>
      </c>
      <c r="I34" s="17" t="str">
        <f t="shared" si="0"/>
        <v>4/1/2025</v>
      </c>
      <c r="J34" s="17" t="s">
        <v>12</v>
      </c>
      <c r="K34" s="19">
        <v>260.33</v>
      </c>
      <c r="L34" s="17">
        <v>20</v>
      </c>
      <c r="M34" s="19">
        <v>20</v>
      </c>
      <c r="N34" s="15" t="s">
        <v>232</v>
      </c>
    </row>
    <row r="35" spans="1:14" ht="15.75" x14ac:dyDescent="0.25">
      <c r="A35" s="16">
        <v>16865615</v>
      </c>
      <c r="B35" s="17" t="s">
        <v>83</v>
      </c>
      <c r="C35" s="17" t="s">
        <v>95</v>
      </c>
      <c r="D35" s="17" t="s">
        <v>96</v>
      </c>
      <c r="E35" s="17" t="str">
        <f>CONCATENATE(D35,2)</f>
        <v>47R5L92</v>
      </c>
      <c r="F35" s="18" t="s">
        <v>86</v>
      </c>
      <c r="G35" s="17" t="s">
        <v>236</v>
      </c>
      <c r="H35" s="17">
        <v>20250301</v>
      </c>
      <c r="I35" s="17" t="str">
        <f t="shared" si="0"/>
        <v>3/1/2025</v>
      </c>
      <c r="J35" s="17" t="s">
        <v>12</v>
      </c>
      <c r="K35" s="19">
        <v>0</v>
      </c>
      <c r="L35" s="17">
        <v>20</v>
      </c>
      <c r="M35" s="19">
        <v>40</v>
      </c>
      <c r="N35" s="15" t="s">
        <v>232</v>
      </c>
    </row>
    <row r="36" spans="1:14" ht="15.75" x14ac:dyDescent="0.25">
      <c r="A36" s="16">
        <v>16865615</v>
      </c>
      <c r="B36" s="17" t="s">
        <v>83</v>
      </c>
      <c r="C36" s="17" t="s">
        <v>95</v>
      </c>
      <c r="D36" s="17" t="s">
        <v>96</v>
      </c>
      <c r="E36" s="17" t="str">
        <f>CONCATENATE(D36,2)</f>
        <v>47R5L92</v>
      </c>
      <c r="F36" s="18" t="s">
        <v>86</v>
      </c>
      <c r="G36" s="17" t="s">
        <v>236</v>
      </c>
      <c r="H36" s="17">
        <v>20250201</v>
      </c>
      <c r="I36" s="17" t="str">
        <f t="shared" si="0"/>
        <v>2/1/2025</v>
      </c>
      <c r="J36" s="17" t="s">
        <v>12</v>
      </c>
      <c r="K36" s="19">
        <v>0</v>
      </c>
      <c r="L36" s="17">
        <v>20</v>
      </c>
      <c r="M36" s="19">
        <v>40</v>
      </c>
      <c r="N36" s="15" t="s">
        <v>232</v>
      </c>
    </row>
    <row r="37" spans="1:14" ht="15.75" x14ac:dyDescent="0.25">
      <c r="A37" s="16">
        <v>16865615</v>
      </c>
      <c r="B37" s="17" t="s">
        <v>83</v>
      </c>
      <c r="C37" s="17" t="s">
        <v>97</v>
      </c>
      <c r="D37" s="17" t="s">
        <v>98</v>
      </c>
      <c r="E37" s="17" t="str">
        <f>CONCATENATE(D37,2)</f>
        <v>52N5M32</v>
      </c>
      <c r="F37" s="18" t="s">
        <v>86</v>
      </c>
      <c r="G37" s="17"/>
      <c r="H37" s="17">
        <v>20250301</v>
      </c>
      <c r="I37" s="17" t="str">
        <f t="shared" si="0"/>
        <v>3/1/2025</v>
      </c>
      <c r="J37" s="17" t="s">
        <v>12</v>
      </c>
      <c r="K37" s="19">
        <v>0</v>
      </c>
      <c r="L37" s="17">
        <v>20</v>
      </c>
      <c r="M37" s="19">
        <v>20</v>
      </c>
      <c r="N37" s="15" t="s">
        <v>232</v>
      </c>
    </row>
    <row r="38" spans="1:14" ht="15.75" x14ac:dyDescent="0.25">
      <c r="A38" s="16">
        <v>16865615</v>
      </c>
      <c r="B38" s="17" t="s">
        <v>83</v>
      </c>
      <c r="C38" s="17" t="s">
        <v>99</v>
      </c>
      <c r="D38" s="17" t="s">
        <v>100</v>
      </c>
      <c r="E38" s="17" t="str">
        <f>CONCATENATE(D38,2)</f>
        <v>74R5D72</v>
      </c>
      <c r="F38" s="18" t="s">
        <v>86</v>
      </c>
      <c r="G38" s="17"/>
      <c r="H38" s="17">
        <v>20250301</v>
      </c>
      <c r="I38" s="17" t="str">
        <f t="shared" si="0"/>
        <v>3/1/2025</v>
      </c>
      <c r="J38" s="17" t="s">
        <v>12</v>
      </c>
      <c r="K38" s="19">
        <v>337.3</v>
      </c>
      <c r="L38" s="17">
        <v>20</v>
      </c>
      <c r="M38" s="19">
        <v>20</v>
      </c>
      <c r="N38" s="15" t="s">
        <v>232</v>
      </c>
    </row>
    <row r="39" spans="1:14" ht="15.75" x14ac:dyDescent="0.25">
      <c r="A39" s="16">
        <v>16865615</v>
      </c>
      <c r="B39" s="17" t="s">
        <v>83</v>
      </c>
      <c r="C39" s="17" t="s">
        <v>101</v>
      </c>
      <c r="D39" s="17" t="s">
        <v>102</v>
      </c>
      <c r="E39" s="17" t="str">
        <f>CONCATENATE(D39,2)</f>
        <v>83R5P12</v>
      </c>
      <c r="F39" s="18" t="s">
        <v>86</v>
      </c>
      <c r="G39" s="17"/>
      <c r="H39" s="17">
        <v>20250401</v>
      </c>
      <c r="I39" s="17" t="str">
        <f t="shared" si="0"/>
        <v>4/1/2025</v>
      </c>
      <c r="J39" s="17" t="s">
        <v>12</v>
      </c>
      <c r="K39" s="19">
        <v>420.4</v>
      </c>
      <c r="L39" s="17">
        <v>20</v>
      </c>
      <c r="M39" s="19">
        <v>20</v>
      </c>
      <c r="N39" s="15" t="s">
        <v>232</v>
      </c>
    </row>
    <row r="40" spans="1:14" ht="15.75" x14ac:dyDescent="0.25">
      <c r="A40" s="16">
        <v>16865615</v>
      </c>
      <c r="B40" s="17" t="s">
        <v>83</v>
      </c>
      <c r="C40" s="17" t="s">
        <v>103</v>
      </c>
      <c r="D40" s="17" t="s">
        <v>104</v>
      </c>
      <c r="E40" s="17" t="str">
        <f>CONCATENATE(D40,2)</f>
        <v>86P73K2</v>
      </c>
      <c r="F40" s="18" t="s">
        <v>86</v>
      </c>
      <c r="G40" s="17"/>
      <c r="H40" s="17">
        <v>20250201</v>
      </c>
      <c r="I40" s="17" t="str">
        <f t="shared" si="0"/>
        <v>2/1/2025</v>
      </c>
      <c r="J40" s="17" t="s">
        <v>12</v>
      </c>
      <c r="K40" s="19">
        <v>473.23</v>
      </c>
      <c r="L40" s="17">
        <v>20</v>
      </c>
      <c r="M40" s="19">
        <v>20</v>
      </c>
      <c r="N40" s="15" t="s">
        <v>232</v>
      </c>
    </row>
    <row r="41" spans="1:14" ht="15.75" x14ac:dyDescent="0.25">
      <c r="A41" s="16">
        <v>16865615</v>
      </c>
      <c r="B41" s="17" t="s">
        <v>83</v>
      </c>
      <c r="C41" s="17" t="s">
        <v>103</v>
      </c>
      <c r="D41" s="17" t="s">
        <v>104</v>
      </c>
      <c r="E41" s="17" t="str">
        <f>CONCATENATE(D41,2)</f>
        <v>86P73K2</v>
      </c>
      <c r="F41" s="18" t="s">
        <v>86</v>
      </c>
      <c r="G41" s="17"/>
      <c r="H41" s="17">
        <v>20250101</v>
      </c>
      <c r="I41" s="17" t="str">
        <f t="shared" si="0"/>
        <v>1/1/2025</v>
      </c>
      <c r="J41" s="17" t="s">
        <v>12</v>
      </c>
      <c r="K41" s="19">
        <v>473.23</v>
      </c>
      <c r="L41" s="17">
        <v>20</v>
      </c>
      <c r="M41" s="19">
        <v>20</v>
      </c>
      <c r="N41" s="15" t="s">
        <v>232</v>
      </c>
    </row>
    <row r="42" spans="1:14" ht="15.75" x14ac:dyDescent="0.25">
      <c r="A42" s="16">
        <v>16865615</v>
      </c>
      <c r="B42" s="17" t="s">
        <v>83</v>
      </c>
      <c r="C42" s="17" t="s">
        <v>103</v>
      </c>
      <c r="D42" s="17" t="s">
        <v>104</v>
      </c>
      <c r="E42" s="17" t="str">
        <f>CONCATENATE(D42,2)</f>
        <v>86P73K2</v>
      </c>
      <c r="F42" s="18" t="s">
        <v>86</v>
      </c>
      <c r="G42" s="17"/>
      <c r="H42" s="17">
        <v>20241201</v>
      </c>
      <c r="I42" s="17" t="str">
        <f t="shared" si="0"/>
        <v>12/1/2024</v>
      </c>
      <c r="J42" s="17" t="s">
        <v>12</v>
      </c>
      <c r="K42" s="19">
        <v>439.85</v>
      </c>
      <c r="L42" s="17">
        <v>20</v>
      </c>
      <c r="M42" s="19">
        <v>20</v>
      </c>
      <c r="N42" s="15" t="s">
        <v>232</v>
      </c>
    </row>
    <row r="43" spans="1:14" ht="15.75" x14ac:dyDescent="0.25">
      <c r="A43" s="16">
        <v>16865615</v>
      </c>
      <c r="B43" s="17" t="s">
        <v>83</v>
      </c>
      <c r="C43" s="17" t="s">
        <v>103</v>
      </c>
      <c r="D43" s="17" t="s">
        <v>104</v>
      </c>
      <c r="E43" s="17" t="str">
        <f>CONCATENATE(D43,2)</f>
        <v>86P73K2</v>
      </c>
      <c r="F43" s="18" t="s">
        <v>86</v>
      </c>
      <c r="G43" s="17"/>
      <c r="H43" s="17">
        <v>20250401</v>
      </c>
      <c r="I43" s="17" t="str">
        <f t="shared" si="0"/>
        <v>4/1/2025</v>
      </c>
      <c r="J43" s="17" t="s">
        <v>12</v>
      </c>
      <c r="K43" s="19">
        <v>473.23</v>
      </c>
      <c r="L43" s="17">
        <v>20</v>
      </c>
      <c r="M43" s="19">
        <v>20</v>
      </c>
      <c r="N43" s="15" t="s">
        <v>232</v>
      </c>
    </row>
    <row r="44" spans="1:14" ht="15.75" x14ac:dyDescent="0.25">
      <c r="A44" s="16">
        <v>16865615</v>
      </c>
      <c r="B44" s="17" t="s">
        <v>83</v>
      </c>
      <c r="C44" s="17" t="s">
        <v>103</v>
      </c>
      <c r="D44" s="17" t="s">
        <v>104</v>
      </c>
      <c r="E44" s="17" t="str">
        <f>CONCATENATE(D44,2)</f>
        <v>86P73K2</v>
      </c>
      <c r="F44" s="18" t="s">
        <v>86</v>
      </c>
      <c r="G44" s="17"/>
      <c r="H44" s="17">
        <v>20250301</v>
      </c>
      <c r="I44" s="17" t="str">
        <f t="shared" si="0"/>
        <v>3/1/2025</v>
      </c>
      <c r="J44" s="17" t="s">
        <v>12</v>
      </c>
      <c r="K44" s="19">
        <v>473.23</v>
      </c>
      <c r="L44" s="17">
        <v>20</v>
      </c>
      <c r="M44" s="19">
        <v>20</v>
      </c>
      <c r="N44" s="15" t="s">
        <v>232</v>
      </c>
    </row>
    <row r="45" spans="1:14" ht="15.75" x14ac:dyDescent="0.25">
      <c r="A45" s="16">
        <v>16865615</v>
      </c>
      <c r="B45" s="17" t="s">
        <v>83</v>
      </c>
      <c r="C45" s="17" t="s">
        <v>105</v>
      </c>
      <c r="D45" s="17" t="s">
        <v>106</v>
      </c>
      <c r="E45" s="17" t="str">
        <f>CONCATENATE(D45,2)</f>
        <v>88T35K2</v>
      </c>
      <c r="F45" s="18" t="s">
        <v>86</v>
      </c>
      <c r="G45" s="17"/>
      <c r="H45" s="17">
        <v>20250401</v>
      </c>
      <c r="I45" s="17" t="str">
        <f t="shared" si="0"/>
        <v>4/1/2025</v>
      </c>
      <c r="J45" s="17" t="s">
        <v>12</v>
      </c>
      <c r="K45" s="19">
        <v>165.78</v>
      </c>
      <c r="L45" s="17">
        <v>20</v>
      </c>
      <c r="M45" s="19">
        <v>20</v>
      </c>
      <c r="N45" s="15" t="s">
        <v>232</v>
      </c>
    </row>
    <row r="46" spans="1:14" ht="15.75" x14ac:dyDescent="0.25">
      <c r="A46" s="16">
        <v>18754354</v>
      </c>
      <c r="B46" s="17" t="s">
        <v>109</v>
      </c>
      <c r="C46" s="17" t="s">
        <v>110</v>
      </c>
      <c r="D46" s="17" t="s">
        <v>111</v>
      </c>
      <c r="E46" s="17" t="str">
        <f>CONCATENATE(D46,2)</f>
        <v>0Y84T52</v>
      </c>
      <c r="F46" s="18" t="s">
        <v>27</v>
      </c>
      <c r="G46" s="17"/>
      <c r="H46" s="17">
        <v>20250401</v>
      </c>
      <c r="I46" s="17" t="str">
        <f t="shared" si="0"/>
        <v>4/1/2025</v>
      </c>
      <c r="J46" s="17" t="s">
        <v>28</v>
      </c>
      <c r="K46" s="19">
        <v>868.53</v>
      </c>
      <c r="L46" s="17">
        <v>20</v>
      </c>
      <c r="M46" s="19">
        <v>20</v>
      </c>
      <c r="N46" s="15" t="s">
        <v>232</v>
      </c>
    </row>
    <row r="47" spans="1:14" ht="15.75" x14ac:dyDescent="0.25">
      <c r="A47" s="16">
        <v>18754354</v>
      </c>
      <c r="B47" s="17" t="s">
        <v>109</v>
      </c>
      <c r="C47" s="17" t="s">
        <v>112</v>
      </c>
      <c r="D47" s="17" t="s">
        <v>113</v>
      </c>
      <c r="E47" s="17" t="str">
        <f>CONCATENATE(D47,2)</f>
        <v>63P29C2</v>
      </c>
      <c r="F47" s="18" t="s">
        <v>49</v>
      </c>
      <c r="G47" s="17" t="s">
        <v>236</v>
      </c>
      <c r="H47" s="17">
        <v>20250401</v>
      </c>
      <c r="I47" s="17" t="str">
        <f t="shared" si="0"/>
        <v>4/1/2025</v>
      </c>
      <c r="J47" s="17" t="s">
        <v>12</v>
      </c>
      <c r="K47" s="19">
        <v>508.69</v>
      </c>
      <c r="L47" s="17">
        <v>27</v>
      </c>
      <c r="M47" s="19">
        <v>54</v>
      </c>
      <c r="N47" s="15" t="s">
        <v>235</v>
      </c>
    </row>
    <row r="48" spans="1:14" ht="15.75" x14ac:dyDescent="0.25">
      <c r="A48" s="16">
        <v>18754354</v>
      </c>
      <c r="B48" s="17" t="s">
        <v>109</v>
      </c>
      <c r="C48" s="17" t="s">
        <v>114</v>
      </c>
      <c r="D48" s="17" t="s">
        <v>115</v>
      </c>
      <c r="E48" s="17" t="str">
        <f>CONCATENATE(D48,2)</f>
        <v>69E5F92</v>
      </c>
      <c r="F48" s="18" t="s">
        <v>11</v>
      </c>
      <c r="G48" s="17"/>
      <c r="H48" s="17">
        <v>20250401</v>
      </c>
      <c r="I48" s="17" t="str">
        <f t="shared" si="0"/>
        <v>4/1/2025</v>
      </c>
      <c r="J48" s="17" t="s">
        <v>12</v>
      </c>
      <c r="K48" s="19">
        <v>324.38</v>
      </c>
      <c r="L48" s="17">
        <v>27</v>
      </c>
      <c r="M48" s="19">
        <v>27</v>
      </c>
      <c r="N48" s="15" t="s">
        <v>235</v>
      </c>
    </row>
    <row r="49" spans="1:14" ht="15.75" x14ac:dyDescent="0.25">
      <c r="A49" s="16">
        <v>15278437</v>
      </c>
      <c r="B49" s="17" t="s">
        <v>116</v>
      </c>
      <c r="C49" s="17" t="s">
        <v>117</v>
      </c>
      <c r="D49" s="17" t="s">
        <v>118</v>
      </c>
      <c r="E49" s="17" t="str">
        <f>CONCATENATE(D49,2)</f>
        <v>2XH6062</v>
      </c>
      <c r="F49" s="18" t="s">
        <v>49</v>
      </c>
      <c r="G49" s="17"/>
      <c r="H49" s="17">
        <v>20250401</v>
      </c>
      <c r="I49" s="17" t="str">
        <f t="shared" si="0"/>
        <v>4/1/2025</v>
      </c>
      <c r="J49" s="17" t="s">
        <v>12</v>
      </c>
      <c r="K49" s="19">
        <v>162.19999999999999</v>
      </c>
      <c r="L49" s="17">
        <v>27</v>
      </c>
      <c r="M49" s="19">
        <v>27</v>
      </c>
      <c r="N49" s="15" t="s">
        <v>235</v>
      </c>
    </row>
    <row r="50" spans="1:14" ht="15.75" x14ac:dyDescent="0.25">
      <c r="A50" s="16">
        <v>6634327</v>
      </c>
      <c r="B50" s="17" t="s">
        <v>119</v>
      </c>
      <c r="C50" s="17" t="s">
        <v>120</v>
      </c>
      <c r="D50" s="17" t="s">
        <v>184</v>
      </c>
      <c r="E50" s="17" t="str">
        <f>CONCATENATE(D50,7)</f>
        <v>02R27F7</v>
      </c>
      <c r="F50" s="18" t="s">
        <v>86</v>
      </c>
      <c r="G50" s="17" t="s">
        <v>37</v>
      </c>
      <c r="H50" s="17">
        <v>20250401</v>
      </c>
      <c r="I50" s="17" t="str">
        <f t="shared" si="0"/>
        <v>4/1/2025</v>
      </c>
      <c r="J50" s="17" t="s">
        <v>38</v>
      </c>
      <c r="K50" s="19">
        <v>20</v>
      </c>
      <c r="L50" s="17">
        <v>0.2</v>
      </c>
      <c r="M50" s="19">
        <v>4</v>
      </c>
      <c r="N50" s="15" t="s">
        <v>230</v>
      </c>
    </row>
    <row r="51" spans="1:14" ht="15.75" x14ac:dyDescent="0.25">
      <c r="A51" s="16">
        <v>6634327</v>
      </c>
      <c r="B51" s="17" t="s">
        <v>119</v>
      </c>
      <c r="C51" s="17" t="s">
        <v>185</v>
      </c>
      <c r="D51" s="17" t="s">
        <v>186</v>
      </c>
      <c r="E51" s="17" t="str">
        <f>CONCATENATE(D51,7)</f>
        <v>39T05J7</v>
      </c>
      <c r="F51" s="18" t="s">
        <v>86</v>
      </c>
      <c r="G51" s="17" t="s">
        <v>37</v>
      </c>
      <c r="H51" s="17">
        <v>20250401</v>
      </c>
      <c r="I51" s="17" t="str">
        <f t="shared" si="0"/>
        <v>4/1/2025</v>
      </c>
      <c r="J51" s="17" t="s">
        <v>38</v>
      </c>
      <c r="K51" s="19">
        <v>49</v>
      </c>
      <c r="L51" s="17">
        <v>0.2</v>
      </c>
      <c r="M51" s="19">
        <v>9.8000000000000007</v>
      </c>
      <c r="N51" s="15" t="s">
        <v>230</v>
      </c>
    </row>
    <row r="52" spans="1:14" ht="15.75" x14ac:dyDescent="0.25">
      <c r="A52" s="16">
        <v>6634327</v>
      </c>
      <c r="B52" s="17" t="s">
        <v>119</v>
      </c>
      <c r="C52" s="17" t="s">
        <v>120</v>
      </c>
      <c r="D52" s="17" t="s">
        <v>121</v>
      </c>
      <c r="E52" s="17" t="str">
        <f>CONCATENATE(D52,2)</f>
        <v>02R28F2</v>
      </c>
      <c r="F52" s="18" t="s">
        <v>86</v>
      </c>
      <c r="G52" s="17"/>
      <c r="H52" s="17">
        <v>20250401</v>
      </c>
      <c r="I52" s="17" t="str">
        <f t="shared" si="0"/>
        <v>4/1/2025</v>
      </c>
      <c r="J52" s="17" t="s">
        <v>12</v>
      </c>
      <c r="K52" s="19">
        <v>533.29999999999995</v>
      </c>
      <c r="L52" s="17">
        <v>20</v>
      </c>
      <c r="M52" s="19">
        <v>20</v>
      </c>
      <c r="N52" s="15" t="s">
        <v>232</v>
      </c>
    </row>
    <row r="53" spans="1:14" ht="15.75" x14ac:dyDescent="0.25">
      <c r="A53" s="16">
        <v>6634327</v>
      </c>
      <c r="B53" s="17" t="s">
        <v>119</v>
      </c>
      <c r="C53" s="17" t="s">
        <v>122</v>
      </c>
      <c r="D53" s="17" t="s">
        <v>123</v>
      </c>
      <c r="E53" s="17" t="str">
        <f>CONCATENATE(D53,2)</f>
        <v>04N2X02</v>
      </c>
      <c r="F53" s="18" t="s">
        <v>86</v>
      </c>
      <c r="G53" s="17"/>
      <c r="H53" s="17">
        <v>20250401</v>
      </c>
      <c r="I53" s="17" t="str">
        <f t="shared" si="0"/>
        <v>4/1/2025</v>
      </c>
      <c r="J53" s="17" t="s">
        <v>12</v>
      </c>
      <c r="K53" s="19">
        <v>28.02</v>
      </c>
      <c r="L53" s="17">
        <v>20</v>
      </c>
      <c r="M53" s="19">
        <v>20</v>
      </c>
      <c r="N53" s="15" t="s">
        <v>232</v>
      </c>
    </row>
    <row r="54" spans="1:14" ht="15.75" x14ac:dyDescent="0.25">
      <c r="A54" s="16">
        <v>6634327</v>
      </c>
      <c r="B54" s="17" t="s">
        <v>119</v>
      </c>
      <c r="C54" s="17" t="s">
        <v>124</v>
      </c>
      <c r="D54" s="17" t="s">
        <v>125</v>
      </c>
      <c r="E54" s="17" t="str">
        <f>CONCATENATE(D54,2)</f>
        <v>04TM482</v>
      </c>
      <c r="F54" s="18" t="s">
        <v>86</v>
      </c>
      <c r="G54" s="17" t="s">
        <v>237</v>
      </c>
      <c r="H54" s="17">
        <v>20250401</v>
      </c>
      <c r="I54" s="17" t="str">
        <f t="shared" si="0"/>
        <v>4/1/2025</v>
      </c>
      <c r="J54" s="17" t="s">
        <v>12</v>
      </c>
      <c r="K54" s="19">
        <v>847.34</v>
      </c>
      <c r="L54" s="17">
        <v>20</v>
      </c>
      <c r="M54" s="19">
        <v>60</v>
      </c>
      <c r="N54" s="15" t="s">
        <v>232</v>
      </c>
    </row>
    <row r="55" spans="1:14" ht="15.75" x14ac:dyDescent="0.25">
      <c r="A55" s="16">
        <v>6634327</v>
      </c>
      <c r="B55" s="17" t="s">
        <v>119</v>
      </c>
      <c r="C55" s="17" t="s">
        <v>126</v>
      </c>
      <c r="D55" s="17" t="s">
        <v>127</v>
      </c>
      <c r="E55" s="17" t="str">
        <f>CONCATENATE(D55,2)</f>
        <v>11N4X32</v>
      </c>
      <c r="F55" s="18" t="s">
        <v>86</v>
      </c>
      <c r="G55" s="17"/>
      <c r="H55" s="17">
        <v>20250401</v>
      </c>
      <c r="I55" s="17" t="str">
        <f t="shared" si="0"/>
        <v>4/1/2025</v>
      </c>
      <c r="J55" s="17" t="s">
        <v>12</v>
      </c>
      <c r="K55" s="19">
        <v>225.91</v>
      </c>
      <c r="L55" s="17">
        <v>20</v>
      </c>
      <c r="M55" s="19">
        <v>20</v>
      </c>
      <c r="N55" s="15" t="s">
        <v>232</v>
      </c>
    </row>
    <row r="56" spans="1:14" ht="15.75" x14ac:dyDescent="0.25">
      <c r="A56" s="16">
        <v>6634327</v>
      </c>
      <c r="B56" s="17" t="s">
        <v>119</v>
      </c>
      <c r="C56" s="17" t="s">
        <v>128</v>
      </c>
      <c r="D56" s="17" t="s">
        <v>129</v>
      </c>
      <c r="E56" s="17" t="str">
        <f>CONCATENATE(D56,2)</f>
        <v>15Q51K2</v>
      </c>
      <c r="F56" s="18" t="s">
        <v>86</v>
      </c>
      <c r="G56" s="17"/>
      <c r="H56" s="17">
        <v>20250401</v>
      </c>
      <c r="I56" s="17" t="str">
        <f t="shared" si="0"/>
        <v>4/1/2025</v>
      </c>
      <c r="J56" s="17" t="s">
        <v>12</v>
      </c>
      <c r="K56" s="19">
        <v>32.159999999999997</v>
      </c>
      <c r="L56" s="17">
        <v>20</v>
      </c>
      <c r="M56" s="19">
        <v>20</v>
      </c>
      <c r="N56" s="15" t="s">
        <v>232</v>
      </c>
    </row>
    <row r="57" spans="1:14" ht="15.75" x14ac:dyDescent="0.25">
      <c r="A57" s="16">
        <v>6634327</v>
      </c>
      <c r="B57" s="17" t="s">
        <v>119</v>
      </c>
      <c r="C57" s="17" t="s">
        <v>130</v>
      </c>
      <c r="D57" s="17" t="s">
        <v>131</v>
      </c>
      <c r="E57" s="17" t="str">
        <f>CONCATENATE(D57,2)</f>
        <v>18P65E2</v>
      </c>
      <c r="F57" s="18" t="s">
        <v>86</v>
      </c>
      <c r="G57" s="17"/>
      <c r="H57" s="17">
        <v>20250301</v>
      </c>
      <c r="I57" s="17" t="str">
        <f t="shared" si="0"/>
        <v>3/1/2025</v>
      </c>
      <c r="J57" s="17" t="s">
        <v>12</v>
      </c>
      <c r="K57" s="19">
        <v>387.35</v>
      </c>
      <c r="L57" s="17">
        <v>20</v>
      </c>
      <c r="M57" s="19">
        <v>20</v>
      </c>
      <c r="N57" s="15" t="s">
        <v>232</v>
      </c>
    </row>
    <row r="58" spans="1:14" ht="15.75" x14ac:dyDescent="0.25">
      <c r="A58" s="16">
        <v>6634327</v>
      </c>
      <c r="B58" s="17" t="s">
        <v>119</v>
      </c>
      <c r="C58" s="17" t="s">
        <v>132</v>
      </c>
      <c r="D58" s="17" t="s">
        <v>133</v>
      </c>
      <c r="E58" s="17" t="str">
        <f>CONCATENATE(D58,2)</f>
        <v>20N0M32</v>
      </c>
      <c r="F58" s="18" t="s">
        <v>86</v>
      </c>
      <c r="G58" s="17"/>
      <c r="H58" s="17">
        <v>20250401</v>
      </c>
      <c r="I58" s="17" t="str">
        <f t="shared" si="0"/>
        <v>4/1/2025</v>
      </c>
      <c r="J58" s="17" t="s">
        <v>12</v>
      </c>
      <c r="K58" s="19">
        <v>362.1</v>
      </c>
      <c r="L58" s="17">
        <v>20</v>
      </c>
      <c r="M58" s="19">
        <v>20</v>
      </c>
      <c r="N58" s="15" t="s">
        <v>232</v>
      </c>
    </row>
    <row r="59" spans="1:14" ht="15.75" x14ac:dyDescent="0.25">
      <c r="A59" s="16">
        <v>6634327</v>
      </c>
      <c r="B59" s="17" t="s">
        <v>119</v>
      </c>
      <c r="C59" s="17" t="s">
        <v>134</v>
      </c>
      <c r="D59" s="17" t="s">
        <v>135</v>
      </c>
      <c r="E59" s="17" t="str">
        <f>CONCATENATE(D59,2)</f>
        <v>20Q85U2</v>
      </c>
      <c r="F59" s="18" t="s">
        <v>86</v>
      </c>
      <c r="G59" s="17"/>
      <c r="H59" s="17">
        <v>20250401</v>
      </c>
      <c r="I59" s="17" t="str">
        <f t="shared" si="0"/>
        <v>4/1/2025</v>
      </c>
      <c r="J59" s="17" t="s">
        <v>12</v>
      </c>
      <c r="K59" s="19">
        <v>446.73</v>
      </c>
      <c r="L59" s="17">
        <v>20</v>
      </c>
      <c r="M59" s="19">
        <v>20</v>
      </c>
      <c r="N59" s="15" t="s">
        <v>232</v>
      </c>
    </row>
    <row r="60" spans="1:14" ht="15.75" x14ac:dyDescent="0.25">
      <c r="A60" s="16">
        <v>6634327</v>
      </c>
      <c r="B60" s="17" t="s">
        <v>119</v>
      </c>
      <c r="C60" s="17" t="s">
        <v>136</v>
      </c>
      <c r="D60" s="17" t="s">
        <v>137</v>
      </c>
      <c r="E60" s="17" t="str">
        <f>CONCATENATE(D60,2)</f>
        <v>22TF462</v>
      </c>
      <c r="F60" s="18" t="s">
        <v>86</v>
      </c>
      <c r="G60" s="17" t="s">
        <v>236</v>
      </c>
      <c r="H60" s="17">
        <v>20250401</v>
      </c>
      <c r="I60" s="17" t="str">
        <f t="shared" si="0"/>
        <v>4/1/2025</v>
      </c>
      <c r="J60" s="17" t="s">
        <v>12</v>
      </c>
      <c r="K60" s="19">
        <v>149.62</v>
      </c>
      <c r="L60" s="17">
        <v>20</v>
      </c>
      <c r="M60" s="19">
        <v>40</v>
      </c>
      <c r="N60" s="15" t="s">
        <v>232</v>
      </c>
    </row>
    <row r="61" spans="1:14" ht="15.75" x14ac:dyDescent="0.25">
      <c r="A61" s="16">
        <v>6634327</v>
      </c>
      <c r="B61" s="17" t="s">
        <v>119</v>
      </c>
      <c r="C61" s="17" t="s">
        <v>138</v>
      </c>
      <c r="D61" s="17" t="s">
        <v>139</v>
      </c>
      <c r="E61" s="17" t="str">
        <f>CONCATENATE(D61,2)</f>
        <v>34PJ622</v>
      </c>
      <c r="F61" s="18" t="s">
        <v>86</v>
      </c>
      <c r="G61" s="17" t="s">
        <v>237</v>
      </c>
      <c r="H61" s="17">
        <v>20250401</v>
      </c>
      <c r="I61" s="17" t="str">
        <f t="shared" si="0"/>
        <v>4/1/2025</v>
      </c>
      <c r="J61" s="17" t="s">
        <v>12</v>
      </c>
      <c r="K61" s="19">
        <v>468.79</v>
      </c>
      <c r="L61" s="17">
        <v>20</v>
      </c>
      <c r="M61" s="19">
        <v>60</v>
      </c>
      <c r="N61" s="15" t="s">
        <v>232</v>
      </c>
    </row>
    <row r="62" spans="1:14" ht="15.75" x14ac:dyDescent="0.25">
      <c r="A62" s="16">
        <v>6634327</v>
      </c>
      <c r="B62" s="17" t="s">
        <v>119</v>
      </c>
      <c r="C62" s="17" t="s">
        <v>140</v>
      </c>
      <c r="D62" s="17" t="s">
        <v>141</v>
      </c>
      <c r="E62" s="17" t="str">
        <f>CONCATENATE(D62,2)</f>
        <v>39N2C42</v>
      </c>
      <c r="F62" s="18" t="s">
        <v>86</v>
      </c>
      <c r="G62" s="17"/>
      <c r="H62" s="17">
        <v>20250301</v>
      </c>
      <c r="I62" s="17" t="str">
        <f t="shared" si="0"/>
        <v>3/1/2025</v>
      </c>
      <c r="J62" s="17" t="s">
        <v>12</v>
      </c>
      <c r="K62" s="19">
        <v>0</v>
      </c>
      <c r="L62" s="17">
        <v>20</v>
      </c>
      <c r="M62" s="19">
        <v>20</v>
      </c>
      <c r="N62" s="15" t="s">
        <v>232</v>
      </c>
    </row>
    <row r="63" spans="1:14" ht="15.75" x14ac:dyDescent="0.25">
      <c r="A63" s="16">
        <v>6634327</v>
      </c>
      <c r="B63" s="17" t="s">
        <v>119</v>
      </c>
      <c r="C63" s="17" t="s">
        <v>142</v>
      </c>
      <c r="D63" s="17" t="s">
        <v>143</v>
      </c>
      <c r="E63" s="17" t="str">
        <f>CONCATENATE(D63,2)</f>
        <v>41Q3R22</v>
      </c>
      <c r="F63" s="18" t="s">
        <v>86</v>
      </c>
      <c r="G63" s="17" t="s">
        <v>237</v>
      </c>
      <c r="H63" s="17">
        <v>20250301</v>
      </c>
      <c r="I63" s="17" t="str">
        <f t="shared" si="0"/>
        <v>3/1/2025</v>
      </c>
      <c r="J63" s="17" t="s">
        <v>12</v>
      </c>
      <c r="K63" s="19">
        <v>1604.64</v>
      </c>
      <c r="L63" s="17">
        <v>20</v>
      </c>
      <c r="M63" s="19">
        <v>60</v>
      </c>
      <c r="N63" s="15" t="s">
        <v>232</v>
      </c>
    </row>
    <row r="64" spans="1:14" ht="15.75" x14ac:dyDescent="0.25">
      <c r="A64" s="16">
        <v>6634327</v>
      </c>
      <c r="B64" s="17" t="s">
        <v>119</v>
      </c>
      <c r="C64" s="17" t="s">
        <v>142</v>
      </c>
      <c r="D64" s="17" t="s">
        <v>143</v>
      </c>
      <c r="E64" s="17" t="str">
        <f>CONCATENATE(D64,2)</f>
        <v>41Q3R22</v>
      </c>
      <c r="F64" s="18" t="s">
        <v>86</v>
      </c>
      <c r="G64" s="17" t="s">
        <v>237</v>
      </c>
      <c r="H64" s="17">
        <v>20250201</v>
      </c>
      <c r="I64" s="17" t="str">
        <f t="shared" si="0"/>
        <v>2/1/2025</v>
      </c>
      <c r="J64" s="17" t="s">
        <v>12</v>
      </c>
      <c r="K64" s="19">
        <v>1604.64</v>
      </c>
      <c r="L64" s="17">
        <v>20</v>
      </c>
      <c r="M64" s="19">
        <v>60</v>
      </c>
      <c r="N64" s="15" t="s">
        <v>232</v>
      </c>
    </row>
    <row r="65" spans="1:14" ht="15.75" x14ac:dyDescent="0.25">
      <c r="A65" s="16">
        <v>6634327</v>
      </c>
      <c r="B65" s="17" t="s">
        <v>119</v>
      </c>
      <c r="C65" s="17" t="s">
        <v>142</v>
      </c>
      <c r="D65" s="17" t="s">
        <v>143</v>
      </c>
      <c r="E65" s="17" t="str">
        <f>CONCATENATE(D65,2)</f>
        <v>41Q3R22</v>
      </c>
      <c r="F65" s="18" t="s">
        <v>86</v>
      </c>
      <c r="G65" s="17" t="s">
        <v>237</v>
      </c>
      <c r="H65" s="17">
        <v>20250101</v>
      </c>
      <c r="I65" s="17" t="str">
        <f t="shared" si="0"/>
        <v>1/1/2025</v>
      </c>
      <c r="J65" s="17" t="s">
        <v>12</v>
      </c>
      <c r="K65" s="19">
        <v>1604.64</v>
      </c>
      <c r="L65" s="17">
        <v>20</v>
      </c>
      <c r="M65" s="19">
        <v>60</v>
      </c>
      <c r="N65" s="15" t="s">
        <v>232</v>
      </c>
    </row>
    <row r="66" spans="1:14" ht="15.75" x14ac:dyDescent="0.25">
      <c r="A66" s="16">
        <v>6634327</v>
      </c>
      <c r="B66" s="17" t="s">
        <v>119</v>
      </c>
      <c r="C66" s="17" t="s">
        <v>142</v>
      </c>
      <c r="D66" s="17" t="s">
        <v>143</v>
      </c>
      <c r="E66" s="17" t="str">
        <f>CONCATENATE(D66,2)</f>
        <v>41Q3R22</v>
      </c>
      <c r="F66" s="18" t="s">
        <v>86</v>
      </c>
      <c r="G66" s="17" t="s">
        <v>237</v>
      </c>
      <c r="H66" s="17">
        <v>20241201</v>
      </c>
      <c r="I66" s="17" t="str">
        <f t="shared" si="0"/>
        <v>12/1/2024</v>
      </c>
      <c r="J66" s="17" t="s">
        <v>12</v>
      </c>
      <c r="K66" s="19">
        <v>1528.14</v>
      </c>
      <c r="L66" s="17">
        <v>20</v>
      </c>
      <c r="M66" s="19">
        <v>60</v>
      </c>
      <c r="N66" s="15" t="s">
        <v>232</v>
      </c>
    </row>
    <row r="67" spans="1:14" ht="15.75" x14ac:dyDescent="0.25">
      <c r="A67" s="16">
        <v>6634327</v>
      </c>
      <c r="B67" s="17" t="s">
        <v>119</v>
      </c>
      <c r="C67" s="17" t="s">
        <v>144</v>
      </c>
      <c r="D67" s="17" t="s">
        <v>145</v>
      </c>
      <c r="E67" s="17" t="str">
        <f>CONCATENATE(D67,2)</f>
        <v>42N39C2</v>
      </c>
      <c r="F67" s="18" t="s">
        <v>86</v>
      </c>
      <c r="G67" s="17"/>
      <c r="H67" s="17">
        <v>20250301</v>
      </c>
      <c r="I67" s="17" t="str">
        <f t="shared" ref="I67:I105" si="1">TEXT(DATE(LEFT(H67,4), MID(H67,5,2), RIGHT(H67,2)), "M/d/yyyy")</f>
        <v>3/1/2025</v>
      </c>
      <c r="J67" s="17" t="s">
        <v>12</v>
      </c>
      <c r="K67" s="19">
        <v>0</v>
      </c>
      <c r="L67" s="17">
        <v>20</v>
      </c>
      <c r="M67" s="19">
        <v>20</v>
      </c>
      <c r="N67" s="15" t="s">
        <v>232</v>
      </c>
    </row>
    <row r="68" spans="1:14" ht="15.75" x14ac:dyDescent="0.25">
      <c r="A68" s="16">
        <v>6634327</v>
      </c>
      <c r="B68" s="17" t="s">
        <v>119</v>
      </c>
      <c r="C68" s="17" t="s">
        <v>146</v>
      </c>
      <c r="D68" s="17" t="s">
        <v>147</v>
      </c>
      <c r="E68" s="17" t="str">
        <f>CONCATENATE(D68,2)</f>
        <v>42T7F32</v>
      </c>
      <c r="F68" s="18" t="s">
        <v>86</v>
      </c>
      <c r="G68" s="17" t="s">
        <v>236</v>
      </c>
      <c r="H68" s="17">
        <v>20250301</v>
      </c>
      <c r="I68" s="17" t="str">
        <f t="shared" si="1"/>
        <v>3/1/2025</v>
      </c>
      <c r="J68" s="17" t="s">
        <v>12</v>
      </c>
      <c r="K68" s="19">
        <v>621.96</v>
      </c>
      <c r="L68" s="17">
        <v>20</v>
      </c>
      <c r="M68" s="19">
        <v>40</v>
      </c>
      <c r="N68" s="15" t="s">
        <v>232</v>
      </c>
    </row>
    <row r="69" spans="1:14" ht="15.75" x14ac:dyDescent="0.25">
      <c r="A69" s="16">
        <v>6634327</v>
      </c>
      <c r="B69" s="17" t="s">
        <v>119</v>
      </c>
      <c r="C69" s="17" t="s">
        <v>148</v>
      </c>
      <c r="D69" s="17" t="s">
        <v>149</v>
      </c>
      <c r="E69" s="17" t="str">
        <f>CONCATENATE(D69,2)</f>
        <v>43R2H92</v>
      </c>
      <c r="F69" s="18" t="s">
        <v>86</v>
      </c>
      <c r="G69" s="17" t="s">
        <v>238</v>
      </c>
      <c r="H69" s="17">
        <v>20250401</v>
      </c>
      <c r="I69" s="17" t="str">
        <f t="shared" si="1"/>
        <v>4/1/2025</v>
      </c>
      <c r="J69" s="17" t="s">
        <v>12</v>
      </c>
      <c r="K69" s="19">
        <v>513.26</v>
      </c>
      <c r="L69" s="17">
        <v>20</v>
      </c>
      <c r="M69" s="19">
        <v>80</v>
      </c>
      <c r="N69" s="15" t="s">
        <v>232</v>
      </c>
    </row>
    <row r="70" spans="1:14" ht="15.75" x14ac:dyDescent="0.25">
      <c r="A70" s="16">
        <v>6634327</v>
      </c>
      <c r="B70" s="17" t="s">
        <v>119</v>
      </c>
      <c r="C70" s="17" t="s">
        <v>150</v>
      </c>
      <c r="D70" s="17" t="s">
        <v>151</v>
      </c>
      <c r="E70" s="17" t="str">
        <f>CONCATENATE(D70,2)</f>
        <v>46Q2X52</v>
      </c>
      <c r="F70" s="18" t="s">
        <v>86</v>
      </c>
      <c r="G70" s="17"/>
      <c r="H70" s="17">
        <v>20250401</v>
      </c>
      <c r="I70" s="17" t="str">
        <f t="shared" si="1"/>
        <v>4/1/2025</v>
      </c>
      <c r="J70" s="17" t="s">
        <v>12</v>
      </c>
      <c r="K70" s="19">
        <v>97.95</v>
      </c>
      <c r="L70" s="17">
        <v>20</v>
      </c>
      <c r="M70" s="19">
        <v>20</v>
      </c>
      <c r="N70" s="15" t="s">
        <v>232</v>
      </c>
    </row>
    <row r="71" spans="1:14" ht="15.75" x14ac:dyDescent="0.25">
      <c r="A71" s="16">
        <v>6634327</v>
      </c>
      <c r="B71" s="17" t="s">
        <v>119</v>
      </c>
      <c r="C71" s="17" t="s">
        <v>152</v>
      </c>
      <c r="D71" s="17" t="s">
        <v>153</v>
      </c>
      <c r="E71" s="17" t="str">
        <f>CONCATENATE(D71,2)</f>
        <v>50QL362</v>
      </c>
      <c r="F71" s="18" t="s">
        <v>86</v>
      </c>
      <c r="G71" s="17" t="s">
        <v>239</v>
      </c>
      <c r="H71" s="17">
        <v>20250401</v>
      </c>
      <c r="I71" s="17" t="str">
        <f t="shared" si="1"/>
        <v>4/1/2025</v>
      </c>
      <c r="J71" s="17" t="s">
        <v>12</v>
      </c>
      <c r="K71" s="19">
        <v>-438.09</v>
      </c>
      <c r="L71" s="17">
        <v>20</v>
      </c>
      <c r="M71" s="19">
        <v>-80</v>
      </c>
      <c r="N71" s="15" t="s">
        <v>232</v>
      </c>
    </row>
    <row r="72" spans="1:14" ht="15.75" x14ac:dyDescent="0.25">
      <c r="A72" s="16">
        <v>6634327</v>
      </c>
      <c r="B72" s="17" t="s">
        <v>119</v>
      </c>
      <c r="C72" s="17" t="s">
        <v>152</v>
      </c>
      <c r="D72" s="17" t="s">
        <v>153</v>
      </c>
      <c r="E72" s="17" t="str">
        <f>CONCATENATE(D72,2)</f>
        <v>50QL362</v>
      </c>
      <c r="F72" s="18" t="s">
        <v>86</v>
      </c>
      <c r="G72" s="17" t="s">
        <v>238</v>
      </c>
      <c r="H72" s="17">
        <v>20250301</v>
      </c>
      <c r="I72" s="17" t="str">
        <f t="shared" si="1"/>
        <v>3/1/2025</v>
      </c>
      <c r="J72" s="17" t="s">
        <v>12</v>
      </c>
      <c r="K72" s="19">
        <v>880.41</v>
      </c>
      <c r="L72" s="17">
        <v>20</v>
      </c>
      <c r="M72" s="19">
        <v>80</v>
      </c>
      <c r="N72" s="15" t="s">
        <v>232</v>
      </c>
    </row>
    <row r="73" spans="1:14" ht="15.75" x14ac:dyDescent="0.25">
      <c r="A73" s="16">
        <v>6634327</v>
      </c>
      <c r="B73" s="17" t="s">
        <v>119</v>
      </c>
      <c r="C73" s="17" t="s">
        <v>152</v>
      </c>
      <c r="D73" s="17" t="s">
        <v>153</v>
      </c>
      <c r="E73" s="17" t="str">
        <f>CONCATENATE(D73,2)</f>
        <v>50QL362</v>
      </c>
      <c r="F73" s="18" t="s">
        <v>86</v>
      </c>
      <c r="G73" s="17" t="s">
        <v>238</v>
      </c>
      <c r="H73" s="17">
        <v>20250401</v>
      </c>
      <c r="I73" s="17" t="str">
        <f t="shared" si="1"/>
        <v>4/1/2025</v>
      </c>
      <c r="J73" s="17" t="s">
        <v>12</v>
      </c>
      <c r="K73" s="19">
        <v>438.09</v>
      </c>
      <c r="L73" s="17">
        <v>20</v>
      </c>
      <c r="M73" s="19">
        <v>80</v>
      </c>
      <c r="N73" s="15" t="s">
        <v>232</v>
      </c>
    </row>
    <row r="74" spans="1:14" ht="15.75" x14ac:dyDescent="0.25">
      <c r="A74" s="16">
        <v>6634327</v>
      </c>
      <c r="B74" s="17" t="s">
        <v>119</v>
      </c>
      <c r="C74" s="17" t="s">
        <v>154</v>
      </c>
      <c r="D74" s="17" t="s">
        <v>155</v>
      </c>
      <c r="E74" s="17" t="str">
        <f>CONCATENATE(D74,2)</f>
        <v>56TP962</v>
      </c>
      <c r="F74" s="18" t="s">
        <v>86</v>
      </c>
      <c r="G74" s="17"/>
      <c r="H74" s="17">
        <v>20250401</v>
      </c>
      <c r="I74" s="17" t="str">
        <f t="shared" si="1"/>
        <v>4/1/2025</v>
      </c>
      <c r="J74" s="17" t="s">
        <v>12</v>
      </c>
      <c r="K74" s="19">
        <v>102.52</v>
      </c>
      <c r="L74" s="17">
        <v>20</v>
      </c>
      <c r="M74" s="19">
        <v>20</v>
      </c>
      <c r="N74" s="15" t="s">
        <v>232</v>
      </c>
    </row>
    <row r="75" spans="1:14" ht="15.75" x14ac:dyDescent="0.25">
      <c r="A75" s="16">
        <v>6634327</v>
      </c>
      <c r="B75" s="17" t="s">
        <v>119</v>
      </c>
      <c r="C75" s="17" t="s">
        <v>156</v>
      </c>
      <c r="D75" s="17" t="s">
        <v>157</v>
      </c>
      <c r="E75" s="17" t="str">
        <f>CONCATENATE(D75,2)</f>
        <v>58R70C2</v>
      </c>
      <c r="F75" s="18" t="s">
        <v>86</v>
      </c>
      <c r="G75" s="17"/>
      <c r="H75" s="17">
        <v>20250201</v>
      </c>
      <c r="I75" s="17" t="str">
        <f t="shared" si="1"/>
        <v>2/1/2025</v>
      </c>
      <c r="J75" s="17" t="s">
        <v>12</v>
      </c>
      <c r="K75" s="19">
        <v>0</v>
      </c>
      <c r="L75" s="17">
        <v>20</v>
      </c>
      <c r="M75" s="19">
        <v>20</v>
      </c>
      <c r="N75" s="15" t="s">
        <v>232</v>
      </c>
    </row>
    <row r="76" spans="1:14" ht="15.75" x14ac:dyDescent="0.25">
      <c r="A76" s="16">
        <v>6634327</v>
      </c>
      <c r="B76" s="17" t="s">
        <v>119</v>
      </c>
      <c r="C76" s="17" t="s">
        <v>156</v>
      </c>
      <c r="D76" s="17" t="s">
        <v>157</v>
      </c>
      <c r="E76" s="17" t="str">
        <f>CONCATENATE(D76,2)</f>
        <v>58R70C2</v>
      </c>
      <c r="F76" s="18" t="s">
        <v>86</v>
      </c>
      <c r="G76" s="17"/>
      <c r="H76" s="17">
        <v>20250301</v>
      </c>
      <c r="I76" s="17" t="str">
        <f t="shared" si="1"/>
        <v>3/1/2025</v>
      </c>
      <c r="J76" s="17" t="s">
        <v>12</v>
      </c>
      <c r="K76" s="19">
        <v>0</v>
      </c>
      <c r="L76" s="17">
        <v>20</v>
      </c>
      <c r="M76" s="19">
        <v>20</v>
      </c>
      <c r="N76" s="15" t="s">
        <v>232</v>
      </c>
    </row>
    <row r="77" spans="1:14" ht="15.75" x14ac:dyDescent="0.25">
      <c r="A77" s="16">
        <v>6634327</v>
      </c>
      <c r="B77" s="17" t="s">
        <v>119</v>
      </c>
      <c r="C77" s="17" t="s">
        <v>156</v>
      </c>
      <c r="D77" s="17" t="s">
        <v>157</v>
      </c>
      <c r="E77" s="17" t="str">
        <f>CONCATENATE(D77,2)</f>
        <v>58R70C2</v>
      </c>
      <c r="F77" s="18" t="s">
        <v>86</v>
      </c>
      <c r="G77" s="17"/>
      <c r="H77" s="17">
        <v>20250101</v>
      </c>
      <c r="I77" s="17" t="str">
        <f t="shared" si="1"/>
        <v>1/1/2025</v>
      </c>
      <c r="J77" s="17" t="s">
        <v>12</v>
      </c>
      <c r="K77" s="19">
        <v>0</v>
      </c>
      <c r="L77" s="17">
        <v>20</v>
      </c>
      <c r="M77" s="19">
        <v>20</v>
      </c>
      <c r="N77" s="15" t="s">
        <v>232</v>
      </c>
    </row>
    <row r="78" spans="1:14" ht="15.75" x14ac:dyDescent="0.25">
      <c r="A78" s="16">
        <v>6634327</v>
      </c>
      <c r="B78" s="17" t="s">
        <v>119</v>
      </c>
      <c r="C78" s="17" t="s">
        <v>158</v>
      </c>
      <c r="D78" s="17" t="s">
        <v>159</v>
      </c>
      <c r="E78" s="17" t="str">
        <f>CONCATENATE(D78,2)</f>
        <v>58RJ262</v>
      </c>
      <c r="F78" s="18" t="s">
        <v>86</v>
      </c>
      <c r="G78" s="17" t="s">
        <v>236</v>
      </c>
      <c r="H78" s="17">
        <v>20250401</v>
      </c>
      <c r="I78" s="17" t="str">
        <f t="shared" si="1"/>
        <v>4/1/2025</v>
      </c>
      <c r="J78" s="17" t="s">
        <v>12</v>
      </c>
      <c r="K78" s="19">
        <v>62.71</v>
      </c>
      <c r="L78" s="17">
        <v>20</v>
      </c>
      <c r="M78" s="19">
        <v>40</v>
      </c>
      <c r="N78" s="15" t="s">
        <v>232</v>
      </c>
    </row>
    <row r="79" spans="1:14" ht="15.75" x14ac:dyDescent="0.25">
      <c r="A79" s="16">
        <v>6634327</v>
      </c>
      <c r="B79" s="17" t="s">
        <v>119</v>
      </c>
      <c r="C79" s="17" t="s">
        <v>160</v>
      </c>
      <c r="D79" s="17" t="s">
        <v>161</v>
      </c>
      <c r="E79" s="17" t="str">
        <f>CONCATENATE(D79,2)</f>
        <v>58TH182</v>
      </c>
      <c r="F79" s="18" t="s">
        <v>86</v>
      </c>
      <c r="G79" s="17"/>
      <c r="H79" s="17">
        <v>20250401</v>
      </c>
      <c r="I79" s="17" t="str">
        <f t="shared" si="1"/>
        <v>4/1/2025</v>
      </c>
      <c r="J79" s="17" t="s">
        <v>12</v>
      </c>
      <c r="K79" s="19">
        <v>225.95</v>
      </c>
      <c r="L79" s="17">
        <v>20</v>
      </c>
      <c r="M79" s="19">
        <v>20</v>
      </c>
      <c r="N79" s="15" t="s">
        <v>232</v>
      </c>
    </row>
    <row r="80" spans="1:14" ht="15.75" x14ac:dyDescent="0.25">
      <c r="A80" s="16">
        <v>6634327</v>
      </c>
      <c r="B80" s="17" t="s">
        <v>119</v>
      </c>
      <c r="C80" s="17" t="s">
        <v>162</v>
      </c>
      <c r="D80" s="17" t="s">
        <v>163</v>
      </c>
      <c r="E80" s="17" t="str">
        <f>CONCATENATE(D80,2)</f>
        <v>61N8M12</v>
      </c>
      <c r="F80" s="18" t="s">
        <v>86</v>
      </c>
      <c r="G80" s="17"/>
      <c r="H80" s="17">
        <v>20250301</v>
      </c>
      <c r="I80" s="17" t="str">
        <f t="shared" si="1"/>
        <v>3/1/2025</v>
      </c>
      <c r="J80" s="17" t="s">
        <v>12</v>
      </c>
      <c r="K80" s="19">
        <v>67.98</v>
      </c>
      <c r="L80" s="17">
        <v>20</v>
      </c>
      <c r="M80" s="19">
        <v>20</v>
      </c>
      <c r="N80" s="15" t="s">
        <v>232</v>
      </c>
    </row>
    <row r="81" spans="1:14" ht="15.75" x14ac:dyDescent="0.25">
      <c r="A81" s="16">
        <v>6634327</v>
      </c>
      <c r="B81" s="17" t="s">
        <v>119</v>
      </c>
      <c r="C81" s="17" t="s">
        <v>164</v>
      </c>
      <c r="D81" s="17" t="s">
        <v>165</v>
      </c>
      <c r="E81" s="17" t="str">
        <f>CONCATENATE(D81,2)</f>
        <v>62N9M22</v>
      </c>
      <c r="F81" s="18" t="s">
        <v>86</v>
      </c>
      <c r="G81" s="17"/>
      <c r="H81" s="17">
        <v>20250401</v>
      </c>
      <c r="I81" s="17" t="str">
        <f t="shared" si="1"/>
        <v>4/1/2025</v>
      </c>
      <c r="J81" s="17" t="s">
        <v>12</v>
      </c>
      <c r="K81" s="19">
        <v>869.74</v>
      </c>
      <c r="L81" s="17">
        <v>20</v>
      </c>
      <c r="M81" s="19">
        <v>20</v>
      </c>
      <c r="N81" s="15" t="s">
        <v>232</v>
      </c>
    </row>
    <row r="82" spans="1:14" ht="15.75" x14ac:dyDescent="0.25">
      <c r="A82" s="16">
        <v>6634327</v>
      </c>
      <c r="B82" s="17" t="s">
        <v>119</v>
      </c>
      <c r="C82" s="17" t="s">
        <v>166</v>
      </c>
      <c r="D82" s="17" t="s">
        <v>167</v>
      </c>
      <c r="E82" s="17" t="str">
        <f>CONCATENATE(D82,2)</f>
        <v>6HM4122</v>
      </c>
      <c r="F82" s="18" t="s">
        <v>86</v>
      </c>
      <c r="G82" s="17"/>
      <c r="H82" s="17">
        <v>20250401</v>
      </c>
      <c r="I82" s="17" t="str">
        <f t="shared" si="1"/>
        <v>4/1/2025</v>
      </c>
      <c r="J82" s="17" t="s">
        <v>12</v>
      </c>
      <c r="K82" s="19">
        <v>14.26</v>
      </c>
      <c r="L82" s="17">
        <v>20</v>
      </c>
      <c r="M82" s="19">
        <v>20</v>
      </c>
      <c r="N82" s="15" t="s">
        <v>232</v>
      </c>
    </row>
    <row r="83" spans="1:14" ht="15.75" x14ac:dyDescent="0.25">
      <c r="A83" s="16">
        <v>6634327</v>
      </c>
      <c r="B83" s="17" t="s">
        <v>119</v>
      </c>
      <c r="C83" s="17" t="s">
        <v>168</v>
      </c>
      <c r="D83" s="17" t="s">
        <v>169</v>
      </c>
      <c r="E83" s="17" t="str">
        <f>CONCATENATE(D83,2)</f>
        <v>74Q11G2</v>
      </c>
      <c r="F83" s="18" t="s">
        <v>86</v>
      </c>
      <c r="G83" s="17" t="s">
        <v>237</v>
      </c>
      <c r="H83" s="17">
        <v>20250401</v>
      </c>
      <c r="I83" s="17" t="str">
        <f t="shared" si="1"/>
        <v>4/1/2025</v>
      </c>
      <c r="J83" s="17" t="s">
        <v>12</v>
      </c>
      <c r="K83" s="19">
        <v>1053.33</v>
      </c>
      <c r="L83" s="17">
        <v>20</v>
      </c>
      <c r="M83" s="19">
        <v>60</v>
      </c>
      <c r="N83" s="15" t="s">
        <v>232</v>
      </c>
    </row>
    <row r="84" spans="1:14" ht="15.75" x14ac:dyDescent="0.25">
      <c r="A84" s="16">
        <v>6634327</v>
      </c>
      <c r="B84" s="17" t="s">
        <v>119</v>
      </c>
      <c r="C84" s="17" t="s">
        <v>170</v>
      </c>
      <c r="D84" s="17" t="s">
        <v>171</v>
      </c>
      <c r="E84" s="17" t="str">
        <f>CONCATENATE(D84,2)</f>
        <v>74Q8R82</v>
      </c>
      <c r="F84" s="18" t="s">
        <v>86</v>
      </c>
      <c r="G84" s="17"/>
      <c r="H84" s="17">
        <v>20250301</v>
      </c>
      <c r="I84" s="17" t="str">
        <f t="shared" si="1"/>
        <v>3/1/2025</v>
      </c>
      <c r="J84" s="17" t="s">
        <v>12</v>
      </c>
      <c r="K84" s="19">
        <v>487.98</v>
      </c>
      <c r="L84" s="17">
        <v>20</v>
      </c>
      <c r="M84" s="19">
        <v>20</v>
      </c>
      <c r="N84" s="15" t="s">
        <v>232</v>
      </c>
    </row>
    <row r="85" spans="1:14" ht="15.75" x14ac:dyDescent="0.25">
      <c r="A85" s="16">
        <v>6634327</v>
      </c>
      <c r="B85" s="17" t="s">
        <v>119</v>
      </c>
      <c r="C85" s="17" t="s">
        <v>172</v>
      </c>
      <c r="D85" s="17" t="s">
        <v>173</v>
      </c>
      <c r="E85" s="17" t="str">
        <f>CONCATENATE(D85,2)</f>
        <v>78P06Q2</v>
      </c>
      <c r="F85" s="18" t="s">
        <v>86</v>
      </c>
      <c r="G85" s="17" t="s">
        <v>236</v>
      </c>
      <c r="H85" s="17">
        <v>20250301</v>
      </c>
      <c r="I85" s="17" t="str">
        <f t="shared" si="1"/>
        <v>3/1/2025</v>
      </c>
      <c r="J85" s="17" t="s">
        <v>12</v>
      </c>
      <c r="K85" s="19">
        <v>0</v>
      </c>
      <c r="L85" s="17">
        <v>20</v>
      </c>
      <c r="M85" s="19">
        <v>40</v>
      </c>
      <c r="N85" s="15" t="s">
        <v>232</v>
      </c>
    </row>
    <row r="86" spans="1:14" ht="15.75" x14ac:dyDescent="0.25">
      <c r="A86" s="16">
        <v>6634327</v>
      </c>
      <c r="B86" s="17" t="s">
        <v>119</v>
      </c>
      <c r="C86" s="17" t="s">
        <v>174</v>
      </c>
      <c r="D86" s="17" t="s">
        <v>175</v>
      </c>
      <c r="E86" s="17" t="str">
        <f>CONCATENATE(D86,2)</f>
        <v>79PL322</v>
      </c>
      <c r="F86" s="18" t="s">
        <v>86</v>
      </c>
      <c r="G86" s="17"/>
      <c r="H86" s="17">
        <v>20250401</v>
      </c>
      <c r="I86" s="17" t="str">
        <f t="shared" si="1"/>
        <v>4/1/2025</v>
      </c>
      <c r="J86" s="17" t="s">
        <v>12</v>
      </c>
      <c r="K86" s="19">
        <v>105.62</v>
      </c>
      <c r="L86" s="17">
        <v>20</v>
      </c>
      <c r="M86" s="19">
        <v>20</v>
      </c>
      <c r="N86" s="15" t="s">
        <v>232</v>
      </c>
    </row>
    <row r="87" spans="1:14" ht="15.75" x14ac:dyDescent="0.25">
      <c r="A87" s="16">
        <v>6634327</v>
      </c>
      <c r="B87" s="17" t="s">
        <v>119</v>
      </c>
      <c r="C87" s="17" t="s">
        <v>176</v>
      </c>
      <c r="D87" s="17" t="s">
        <v>177</v>
      </c>
      <c r="E87" s="17" t="str">
        <f>CONCATENATE(D87,2)</f>
        <v>84T61H2</v>
      </c>
      <c r="F87" s="18" t="s">
        <v>86</v>
      </c>
      <c r="G87" s="17"/>
      <c r="H87" s="17">
        <v>20250401</v>
      </c>
      <c r="I87" s="17" t="str">
        <f t="shared" si="1"/>
        <v>4/1/2025</v>
      </c>
      <c r="J87" s="17" t="s">
        <v>12</v>
      </c>
      <c r="K87" s="19">
        <v>71.39</v>
      </c>
      <c r="L87" s="17">
        <v>20</v>
      </c>
      <c r="M87" s="19">
        <v>20</v>
      </c>
      <c r="N87" s="15" t="s">
        <v>232</v>
      </c>
    </row>
    <row r="88" spans="1:14" ht="15.75" x14ac:dyDescent="0.25">
      <c r="A88" s="16">
        <v>6634327</v>
      </c>
      <c r="B88" s="17" t="s">
        <v>119</v>
      </c>
      <c r="C88" s="17" t="s">
        <v>178</v>
      </c>
      <c r="D88" s="17" t="s">
        <v>179</v>
      </c>
      <c r="E88" s="17" t="str">
        <f>CONCATENATE(D88,2)</f>
        <v>86QL762</v>
      </c>
      <c r="F88" s="18" t="s">
        <v>86</v>
      </c>
      <c r="G88" s="17"/>
      <c r="H88" s="17">
        <v>20250401</v>
      </c>
      <c r="I88" s="17" t="str">
        <f t="shared" si="1"/>
        <v>4/1/2025</v>
      </c>
      <c r="J88" s="17" t="s">
        <v>12</v>
      </c>
      <c r="K88" s="19">
        <v>387.5</v>
      </c>
      <c r="L88" s="17">
        <v>20</v>
      </c>
      <c r="M88" s="19">
        <v>20</v>
      </c>
      <c r="N88" s="15" t="s">
        <v>232</v>
      </c>
    </row>
    <row r="89" spans="1:14" ht="15.75" x14ac:dyDescent="0.25">
      <c r="A89" s="16">
        <v>6634327</v>
      </c>
      <c r="B89" s="17" t="s">
        <v>119</v>
      </c>
      <c r="C89" s="17" t="s">
        <v>180</v>
      </c>
      <c r="D89" s="17" t="s">
        <v>181</v>
      </c>
      <c r="E89" s="17" t="str">
        <f>CONCATENATE(D89,2)</f>
        <v>98PH142</v>
      </c>
      <c r="F89" s="18" t="s">
        <v>86</v>
      </c>
      <c r="G89" s="17"/>
      <c r="H89" s="17">
        <v>20250401</v>
      </c>
      <c r="I89" s="17" t="str">
        <f t="shared" si="1"/>
        <v>4/1/2025</v>
      </c>
      <c r="J89" s="17" t="s">
        <v>12</v>
      </c>
      <c r="K89" s="19">
        <v>25.78</v>
      </c>
      <c r="L89" s="17">
        <v>20</v>
      </c>
      <c r="M89" s="19">
        <v>20</v>
      </c>
      <c r="N89" s="15" t="s">
        <v>232</v>
      </c>
    </row>
    <row r="90" spans="1:14" ht="15.75" x14ac:dyDescent="0.25">
      <c r="A90" s="16">
        <v>6634327</v>
      </c>
      <c r="B90" s="17" t="s">
        <v>119</v>
      </c>
      <c r="C90" s="17" t="s">
        <v>182</v>
      </c>
      <c r="D90" s="17" t="s">
        <v>183</v>
      </c>
      <c r="E90" s="17" t="str">
        <f>CONCATENATE(D90,2)</f>
        <v>98Q9Q82</v>
      </c>
      <c r="F90" s="18" t="s">
        <v>86</v>
      </c>
      <c r="G90" s="17"/>
      <c r="H90" s="17">
        <v>20250401</v>
      </c>
      <c r="I90" s="17" t="str">
        <f t="shared" si="1"/>
        <v>4/1/2025</v>
      </c>
      <c r="J90" s="17" t="s">
        <v>12</v>
      </c>
      <c r="K90" s="19">
        <v>176.15</v>
      </c>
      <c r="L90" s="17">
        <v>20</v>
      </c>
      <c r="M90" s="19">
        <v>20</v>
      </c>
      <c r="N90" s="15" t="s">
        <v>232</v>
      </c>
    </row>
    <row r="91" spans="1:14" ht="15.75" x14ac:dyDescent="0.25">
      <c r="A91" s="16">
        <v>18134413</v>
      </c>
      <c r="B91" s="17" t="s">
        <v>187</v>
      </c>
      <c r="C91" s="17" t="s">
        <v>188</v>
      </c>
      <c r="D91" s="17" t="s">
        <v>189</v>
      </c>
      <c r="E91" s="17" t="str">
        <f>CONCATENATE(D91,2)</f>
        <v>13M41V2</v>
      </c>
      <c r="F91" s="18" t="s">
        <v>11</v>
      </c>
      <c r="G91" s="17"/>
      <c r="H91" s="17">
        <v>20250401</v>
      </c>
      <c r="I91" s="17" t="str">
        <f t="shared" si="1"/>
        <v>4/1/2025</v>
      </c>
      <c r="J91" s="17" t="s">
        <v>12</v>
      </c>
      <c r="K91" s="19">
        <v>176.4</v>
      </c>
      <c r="L91" s="17">
        <v>27</v>
      </c>
      <c r="M91" s="19">
        <v>27</v>
      </c>
      <c r="N91" s="15" t="s">
        <v>235</v>
      </c>
    </row>
    <row r="92" spans="1:14" ht="15.75" x14ac:dyDescent="0.25">
      <c r="A92" s="16">
        <v>18134413</v>
      </c>
      <c r="B92" s="17" t="s">
        <v>187</v>
      </c>
      <c r="C92" s="17" t="s">
        <v>190</v>
      </c>
      <c r="D92" s="17" t="s">
        <v>191</v>
      </c>
      <c r="E92" s="17" t="str">
        <f>CONCATENATE(D92,2)</f>
        <v>56P6N92</v>
      </c>
      <c r="F92" s="18" t="s">
        <v>11</v>
      </c>
      <c r="G92" s="17"/>
      <c r="H92" s="17">
        <v>20250401</v>
      </c>
      <c r="I92" s="17" t="str">
        <f t="shared" si="1"/>
        <v>4/1/2025</v>
      </c>
      <c r="J92" s="17" t="s">
        <v>12</v>
      </c>
      <c r="K92" s="19">
        <v>124.29</v>
      </c>
      <c r="L92" s="17">
        <v>27</v>
      </c>
      <c r="M92" s="19">
        <v>27</v>
      </c>
      <c r="N92" s="15" t="s">
        <v>235</v>
      </c>
    </row>
    <row r="93" spans="1:14" ht="15.75" x14ac:dyDescent="0.25">
      <c r="A93" s="20" t="s">
        <v>242</v>
      </c>
      <c r="B93" s="17" t="s">
        <v>192</v>
      </c>
      <c r="C93" s="17" t="s">
        <v>193</v>
      </c>
      <c r="D93" s="17" t="s">
        <v>194</v>
      </c>
      <c r="E93" s="17" t="str">
        <f>CONCATENATE(D93,7)</f>
        <v>42T1F67</v>
      </c>
      <c r="F93" s="18" t="s">
        <v>27</v>
      </c>
      <c r="G93" s="17" t="s">
        <v>37</v>
      </c>
      <c r="H93" s="17">
        <v>20250401</v>
      </c>
      <c r="I93" s="17" t="str">
        <f t="shared" si="1"/>
        <v>4/1/2025</v>
      </c>
      <c r="J93" s="17" t="s">
        <v>38</v>
      </c>
      <c r="K93" s="19">
        <v>32.93</v>
      </c>
      <c r="L93" s="17">
        <v>0.2</v>
      </c>
      <c r="M93" s="19">
        <v>6.5860000000000003</v>
      </c>
      <c r="N93" s="15" t="s">
        <v>230</v>
      </c>
    </row>
    <row r="94" spans="1:14" ht="15.75" x14ac:dyDescent="0.25">
      <c r="A94" s="20" t="s">
        <v>242</v>
      </c>
      <c r="B94" s="17" t="s">
        <v>192</v>
      </c>
      <c r="C94" s="17" t="s">
        <v>195</v>
      </c>
      <c r="D94" s="17" t="s">
        <v>196</v>
      </c>
      <c r="E94" s="17" t="str">
        <f>CONCATENATE(D94,7)</f>
        <v>28TF787</v>
      </c>
      <c r="F94" s="18" t="s">
        <v>27</v>
      </c>
      <c r="G94" s="17" t="s">
        <v>37</v>
      </c>
      <c r="H94" s="17">
        <v>20250401</v>
      </c>
      <c r="I94" s="17" t="str">
        <f t="shared" si="1"/>
        <v>4/1/2025</v>
      </c>
      <c r="J94" s="17" t="s">
        <v>38</v>
      </c>
      <c r="K94" s="19">
        <v>27</v>
      </c>
      <c r="L94" s="17">
        <v>0.2</v>
      </c>
      <c r="M94" s="19">
        <v>5.4</v>
      </c>
      <c r="N94" s="15" t="s">
        <v>230</v>
      </c>
    </row>
    <row r="95" spans="1:14" ht="15.75" x14ac:dyDescent="0.25">
      <c r="A95" s="16">
        <v>19200754</v>
      </c>
      <c r="B95" s="17" t="s">
        <v>197</v>
      </c>
      <c r="C95" s="17" t="s">
        <v>198</v>
      </c>
      <c r="D95" s="17" t="s">
        <v>199</v>
      </c>
      <c r="E95" s="17" t="str">
        <f>CONCATENATE(D95,2)</f>
        <v>7K17M22</v>
      </c>
      <c r="F95" s="18" t="s">
        <v>27</v>
      </c>
      <c r="G95" s="17"/>
      <c r="H95" s="17">
        <v>20250401</v>
      </c>
      <c r="I95" s="17" t="str">
        <f t="shared" si="1"/>
        <v>4/1/2025</v>
      </c>
      <c r="J95" s="17" t="s">
        <v>28</v>
      </c>
      <c r="K95" s="19">
        <v>10.06</v>
      </c>
      <c r="L95" s="17">
        <v>20</v>
      </c>
      <c r="M95" s="19">
        <v>20</v>
      </c>
      <c r="N95" s="15" t="s">
        <v>232</v>
      </c>
    </row>
    <row r="96" spans="1:14" ht="15.75" x14ac:dyDescent="0.25">
      <c r="A96" s="16">
        <v>16633294</v>
      </c>
      <c r="B96" s="17" t="s">
        <v>200</v>
      </c>
      <c r="C96" s="17" t="s">
        <v>201</v>
      </c>
      <c r="D96" s="17" t="s">
        <v>202</v>
      </c>
      <c r="E96" s="17" t="str">
        <f>CONCATENATE(D96,2)</f>
        <v>03Q06K2</v>
      </c>
      <c r="F96" s="18" t="s">
        <v>11</v>
      </c>
      <c r="G96" s="17"/>
      <c r="H96" s="17">
        <v>20250401</v>
      </c>
      <c r="I96" s="17" t="str">
        <f t="shared" si="1"/>
        <v>4/1/2025</v>
      </c>
      <c r="J96" s="17" t="s">
        <v>12</v>
      </c>
      <c r="K96" s="19">
        <v>826.63</v>
      </c>
      <c r="L96" s="17">
        <v>27</v>
      </c>
      <c r="M96" s="19">
        <v>27</v>
      </c>
      <c r="N96" s="15" t="s">
        <v>235</v>
      </c>
    </row>
    <row r="97" spans="1:14" ht="15.75" x14ac:dyDescent="0.25">
      <c r="A97" s="16">
        <v>16633294</v>
      </c>
      <c r="B97" s="17" t="s">
        <v>200</v>
      </c>
      <c r="C97" s="17" t="s">
        <v>203</v>
      </c>
      <c r="D97" s="17" t="s">
        <v>204</v>
      </c>
      <c r="E97" s="17" t="str">
        <f>CONCATENATE(D97,2)</f>
        <v>77Q50P2</v>
      </c>
      <c r="F97" s="18" t="s">
        <v>49</v>
      </c>
      <c r="G97" s="17" t="s">
        <v>240</v>
      </c>
      <c r="H97" s="17">
        <v>20250401</v>
      </c>
      <c r="I97" s="17" t="str">
        <f t="shared" si="1"/>
        <v>4/1/2025</v>
      </c>
      <c r="J97" s="17" t="s">
        <v>12</v>
      </c>
      <c r="K97" s="19">
        <v>33.1</v>
      </c>
      <c r="L97" s="17">
        <v>27</v>
      </c>
      <c r="M97" s="19">
        <v>135</v>
      </c>
      <c r="N97" s="15" t="s">
        <v>235</v>
      </c>
    </row>
    <row r="98" spans="1:14" ht="15.75" x14ac:dyDescent="0.25">
      <c r="A98" s="16">
        <v>16633294</v>
      </c>
      <c r="B98" s="17" t="s">
        <v>200</v>
      </c>
      <c r="C98" s="17" t="s">
        <v>205</v>
      </c>
      <c r="D98" s="17" t="s">
        <v>206</v>
      </c>
      <c r="E98" s="17" t="str">
        <f>CONCATENATE(D98,2)</f>
        <v>98Q49J2</v>
      </c>
      <c r="F98" s="18" t="s">
        <v>11</v>
      </c>
      <c r="G98" s="17"/>
      <c r="H98" s="17">
        <v>20250401</v>
      </c>
      <c r="I98" s="17" t="str">
        <f t="shared" si="1"/>
        <v>4/1/2025</v>
      </c>
      <c r="J98" s="17" t="s">
        <v>12</v>
      </c>
      <c r="K98" s="19">
        <v>1094.27</v>
      </c>
      <c r="L98" s="17">
        <v>27</v>
      </c>
      <c r="M98" s="19">
        <v>27</v>
      </c>
      <c r="N98" s="15" t="s">
        <v>235</v>
      </c>
    </row>
    <row r="99" spans="1:14" ht="15.75" x14ac:dyDescent="0.25">
      <c r="A99" s="16">
        <v>8977234</v>
      </c>
      <c r="B99" s="17" t="s">
        <v>207</v>
      </c>
      <c r="C99" s="17" t="s">
        <v>208</v>
      </c>
      <c r="D99" s="17" t="s">
        <v>209</v>
      </c>
      <c r="E99" s="17" t="str">
        <f>CONCATENATE(D99,2)</f>
        <v>02LM352</v>
      </c>
      <c r="F99" s="18" t="s">
        <v>11</v>
      </c>
      <c r="G99" s="17" t="s">
        <v>236</v>
      </c>
      <c r="H99" s="17">
        <v>20250401</v>
      </c>
      <c r="I99" s="17" t="str">
        <f t="shared" si="1"/>
        <v>4/1/2025</v>
      </c>
      <c r="J99" s="17" t="s">
        <v>12</v>
      </c>
      <c r="K99" s="19">
        <v>2269.06</v>
      </c>
      <c r="L99" s="17">
        <v>27</v>
      </c>
      <c r="M99" s="19">
        <v>54</v>
      </c>
      <c r="N99" s="15" t="s">
        <v>235</v>
      </c>
    </row>
    <row r="100" spans="1:14" ht="15.75" x14ac:dyDescent="0.25">
      <c r="A100" s="16">
        <v>8977234</v>
      </c>
      <c r="B100" s="17" t="s">
        <v>207</v>
      </c>
      <c r="C100" s="17" t="s">
        <v>210</v>
      </c>
      <c r="D100" s="17" t="s">
        <v>211</v>
      </c>
      <c r="E100" s="17" t="str">
        <f>CONCATENATE(D100,2)</f>
        <v>27P4G42</v>
      </c>
      <c r="F100" s="18" t="s">
        <v>49</v>
      </c>
      <c r="G100" s="17"/>
      <c r="H100" s="17">
        <v>20250401</v>
      </c>
      <c r="I100" s="17" t="str">
        <f t="shared" si="1"/>
        <v>4/1/2025</v>
      </c>
      <c r="J100" s="17" t="s">
        <v>12</v>
      </c>
      <c r="K100" s="19">
        <v>11.37</v>
      </c>
      <c r="L100" s="17">
        <v>27</v>
      </c>
      <c r="M100" s="19">
        <v>27</v>
      </c>
      <c r="N100" s="15" t="s">
        <v>235</v>
      </c>
    </row>
    <row r="101" spans="1:14" ht="15.75" x14ac:dyDescent="0.25">
      <c r="A101" s="16">
        <v>19396223</v>
      </c>
      <c r="B101" s="17" t="s">
        <v>212</v>
      </c>
      <c r="C101" s="17" t="s">
        <v>213</v>
      </c>
      <c r="D101" s="17" t="s">
        <v>214</v>
      </c>
      <c r="E101" s="17" t="str">
        <f>CONCATENATE(D101,2)</f>
        <v>68NK462</v>
      </c>
      <c r="F101" s="18" t="s">
        <v>27</v>
      </c>
      <c r="G101" s="17"/>
      <c r="H101" s="17">
        <v>20250401</v>
      </c>
      <c r="I101" s="17" t="str">
        <f t="shared" si="1"/>
        <v>4/1/2025</v>
      </c>
      <c r="J101" s="17" t="s">
        <v>28</v>
      </c>
      <c r="K101" s="19">
        <v>117.37</v>
      </c>
      <c r="L101" s="17">
        <v>20</v>
      </c>
      <c r="M101" s="19">
        <v>20</v>
      </c>
      <c r="N101" s="15" t="s">
        <v>232</v>
      </c>
    </row>
    <row r="102" spans="1:14" ht="15.75" x14ac:dyDescent="0.25">
      <c r="A102" s="16">
        <v>19396223</v>
      </c>
      <c r="B102" s="17" t="s">
        <v>212</v>
      </c>
      <c r="C102" s="17" t="s">
        <v>215</v>
      </c>
      <c r="D102" s="17" t="s">
        <v>216</v>
      </c>
      <c r="E102" s="17" t="str">
        <f>CONCATENATE(D102,2)</f>
        <v>80D61C2</v>
      </c>
      <c r="F102" s="18" t="s">
        <v>27</v>
      </c>
      <c r="G102" s="17"/>
      <c r="H102" s="17">
        <v>20250401</v>
      </c>
      <c r="I102" s="17" t="str">
        <f t="shared" si="1"/>
        <v>4/1/2025</v>
      </c>
      <c r="J102" s="17" t="s">
        <v>28</v>
      </c>
      <c r="K102" s="19">
        <v>387.85</v>
      </c>
      <c r="L102" s="17">
        <v>20</v>
      </c>
      <c r="M102" s="19">
        <v>20</v>
      </c>
      <c r="N102" s="15" t="s">
        <v>232</v>
      </c>
    </row>
    <row r="103" spans="1:14" ht="15.75" x14ac:dyDescent="0.25">
      <c r="A103" s="16">
        <v>19106640</v>
      </c>
      <c r="B103" s="17" t="s">
        <v>217</v>
      </c>
      <c r="C103" s="17" t="s">
        <v>218</v>
      </c>
      <c r="D103" s="17" t="s">
        <v>219</v>
      </c>
      <c r="E103" s="17" t="str">
        <f>CONCATENATE(D103,2)</f>
        <v>44T3C62</v>
      </c>
      <c r="F103" s="18" t="s">
        <v>49</v>
      </c>
      <c r="G103" s="17" t="s">
        <v>241</v>
      </c>
      <c r="H103" s="17">
        <v>20250401</v>
      </c>
      <c r="I103" s="17" t="str">
        <f t="shared" si="1"/>
        <v>4/1/2025</v>
      </c>
      <c r="J103" s="17" t="s">
        <v>12</v>
      </c>
      <c r="K103" s="19">
        <v>19.02</v>
      </c>
      <c r="L103" s="17">
        <v>27</v>
      </c>
      <c r="M103" s="19">
        <v>162</v>
      </c>
      <c r="N103" s="15" t="s">
        <v>235</v>
      </c>
    </row>
    <row r="104" spans="1:14" ht="15.75" x14ac:dyDescent="0.25">
      <c r="A104" s="16">
        <v>18581063</v>
      </c>
      <c r="B104" s="17" t="s">
        <v>220</v>
      </c>
      <c r="C104" s="17" t="s">
        <v>221</v>
      </c>
      <c r="D104" s="17" t="s">
        <v>222</v>
      </c>
      <c r="E104" s="17" t="str">
        <f>CONCATENATE(D104,2)</f>
        <v>69E35K2</v>
      </c>
      <c r="F104" s="18" t="s">
        <v>53</v>
      </c>
      <c r="G104" s="17" t="s">
        <v>237</v>
      </c>
      <c r="H104" s="17">
        <v>20250401</v>
      </c>
      <c r="I104" s="17" t="str">
        <f t="shared" si="1"/>
        <v>4/1/2025</v>
      </c>
      <c r="J104" s="17" t="s">
        <v>12</v>
      </c>
      <c r="K104" s="19">
        <v>48.55</v>
      </c>
      <c r="L104" s="17">
        <v>22</v>
      </c>
      <c r="M104" s="19">
        <v>66</v>
      </c>
      <c r="N104" s="15" t="s">
        <v>233</v>
      </c>
    </row>
    <row r="105" spans="1:14" ht="15.75" x14ac:dyDescent="0.25">
      <c r="A105" s="16">
        <v>18581063</v>
      </c>
      <c r="B105" s="17" t="s">
        <v>220</v>
      </c>
      <c r="C105" s="17" t="s">
        <v>223</v>
      </c>
      <c r="D105" s="17" t="s">
        <v>224</v>
      </c>
      <c r="E105" s="17" t="str">
        <f>CONCATENATE(D105,2)</f>
        <v>94Q69A2</v>
      </c>
      <c r="F105" s="18" t="s">
        <v>53</v>
      </c>
      <c r="G105" s="17"/>
      <c r="H105" s="17">
        <v>20250401</v>
      </c>
      <c r="I105" s="17" t="str">
        <f t="shared" si="1"/>
        <v>4/1/2025</v>
      </c>
      <c r="J105" s="17" t="s">
        <v>12</v>
      </c>
      <c r="K105" s="19">
        <v>271.88</v>
      </c>
      <c r="L105" s="17">
        <v>22</v>
      </c>
      <c r="M105" s="19">
        <v>22</v>
      </c>
      <c r="N105" s="15" t="s">
        <v>233</v>
      </c>
    </row>
    <row r="106" spans="1:14" ht="15.75" x14ac:dyDescent="0.25">
      <c r="A106" s="16"/>
      <c r="B106" s="17"/>
      <c r="C106" s="17"/>
      <c r="D106" s="17"/>
      <c r="E106" s="17"/>
      <c r="F106" s="18"/>
      <c r="G106" s="17"/>
      <c r="H106" s="17"/>
      <c r="I106" s="17"/>
      <c r="J106" s="17"/>
      <c r="K106" s="19"/>
      <c r="L106" s="17"/>
      <c r="M106" s="19"/>
    </row>
  </sheetData>
  <sortState xmlns:xlrd2="http://schemas.microsoft.com/office/spreadsheetml/2017/richdata2" ref="A2:N106">
    <sortCondition ref="B2:B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2025-04-21T15:39:31Z</dcterms:created>
  <dcterms:modified xsi:type="dcterms:W3CDTF">2025-04-29T01:08:13Z</dcterms:modified>
</cp:coreProperties>
</file>