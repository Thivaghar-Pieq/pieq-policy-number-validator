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03-17-25\"/>
    </mc:Choice>
  </mc:AlternateContent>
  <xr:revisionPtr revIDLastSave="0" documentId="13_ncr:1_{B23618FB-3766-4770-A6DF-061EF9CDEBE0}" xr6:coauthVersionLast="47" xr6:coauthVersionMax="47" xr10:uidLastSave="{00000000-0000-0000-0000-000000000000}"/>
  <bookViews>
    <workbookView xWindow="28680" yWindow="-120" windowWidth="29040" windowHeight="16440" activeTab="1" xr2:uid="{414026FB-F4A1-42F8-BA73-3D4BB91C77F5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4" i="2" l="1"/>
  <c r="E50" i="2"/>
  <c r="E2" i="2"/>
  <c r="E3" i="2"/>
  <c r="E51" i="2"/>
  <c r="E52" i="2"/>
  <c r="E53" i="2"/>
  <c r="E54" i="2"/>
  <c r="E89" i="2"/>
  <c r="E90" i="2"/>
  <c r="E103" i="2"/>
  <c r="E58" i="2"/>
  <c r="E115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116" i="2"/>
  <c r="E117" i="2"/>
  <c r="E73" i="2"/>
  <c r="E125" i="2"/>
  <c r="E74" i="2"/>
  <c r="E75" i="2"/>
  <c r="E76" i="2"/>
  <c r="E77" i="2"/>
  <c r="E118" i="2"/>
  <c r="E128" i="2"/>
  <c r="E78" i="2"/>
  <c r="E79" i="2"/>
  <c r="E119" i="2"/>
  <c r="E80" i="2"/>
  <c r="E81" i="2"/>
  <c r="E126" i="2"/>
  <c r="E120" i="2"/>
  <c r="E82" i="2"/>
  <c r="E83" i="2"/>
  <c r="E84" i="2"/>
  <c r="E85" i="2"/>
  <c r="E86" i="2"/>
  <c r="E87" i="2"/>
  <c r="E104" i="2"/>
  <c r="E129" i="2"/>
  <c r="E106" i="2"/>
  <c r="E107" i="2"/>
  <c r="E109" i="2"/>
  <c r="E110" i="2"/>
  <c r="E111" i="2"/>
  <c r="E112" i="2"/>
  <c r="E123" i="2"/>
  <c r="E105" i="2"/>
  <c r="E122" i="2"/>
  <c r="E108" i="2"/>
  <c r="E131" i="2"/>
  <c r="E113" i="2"/>
  <c r="E132" i="2"/>
  <c r="E133" i="2"/>
  <c r="E134" i="2"/>
  <c r="E91" i="2"/>
  <c r="E92" i="2"/>
  <c r="E93" i="2"/>
  <c r="E94" i="2"/>
  <c r="E95" i="2"/>
  <c r="E96" i="2"/>
  <c r="E130" i="2"/>
  <c r="E97" i="2"/>
  <c r="E98" i="2"/>
  <c r="E127" i="2"/>
  <c r="E99" i="2"/>
  <c r="E55" i="2"/>
  <c r="E56" i="2"/>
  <c r="E57" i="2"/>
  <c r="E49" i="2"/>
  <c r="E4" i="2"/>
  <c r="E5" i="2"/>
  <c r="E6" i="2"/>
  <c r="E7" i="2"/>
  <c r="E101" i="2"/>
  <c r="E14" i="2"/>
  <c r="E21" i="2"/>
  <c r="E22" i="2"/>
  <c r="E11" i="2"/>
  <c r="E12" i="2"/>
  <c r="E23" i="2"/>
  <c r="E47" i="2"/>
  <c r="E24" i="2"/>
  <c r="E25" i="2"/>
  <c r="E26" i="2"/>
  <c r="E29" i="2"/>
  <c r="E48" i="2"/>
  <c r="E39" i="2"/>
  <c r="E114" i="2"/>
  <c r="E102" i="2"/>
  <c r="E20" i="2"/>
  <c r="E46" i="2"/>
  <c r="E40" i="2"/>
  <c r="E36" i="2"/>
  <c r="E17" i="2"/>
  <c r="E33" i="2"/>
  <c r="E16" i="2"/>
  <c r="E35" i="2"/>
  <c r="E41" i="2"/>
  <c r="E45" i="2"/>
  <c r="E19" i="2"/>
  <c r="E31" i="2"/>
  <c r="E121" i="2"/>
  <c r="E8" i="2"/>
  <c r="E18" i="2"/>
  <c r="E30" i="2"/>
  <c r="E34" i="2"/>
  <c r="E28" i="2"/>
  <c r="E9" i="2"/>
  <c r="E13" i="2"/>
  <c r="E10" i="2"/>
  <c r="E15" i="2"/>
  <c r="E42" i="2"/>
  <c r="E37" i="2"/>
  <c r="E43" i="2"/>
  <c r="E38" i="2"/>
  <c r="E44" i="2"/>
  <c r="E100" i="2"/>
  <c r="E88" i="2"/>
  <c r="E27" i="2"/>
  <c r="E32" i="2"/>
  <c r="I4" i="2"/>
  <c r="J4" i="2" s="1"/>
  <c r="I5" i="2"/>
  <c r="J5" i="2" s="1"/>
  <c r="I6" i="2"/>
  <c r="J6" i="2" s="1"/>
  <c r="I7" i="2"/>
  <c r="J7" i="2" s="1"/>
  <c r="I101" i="2"/>
  <c r="J101" i="2" s="1"/>
  <c r="I14" i="2"/>
  <c r="J14" i="2" s="1"/>
  <c r="I21" i="2"/>
  <c r="J21" i="2" s="1"/>
  <c r="I22" i="2"/>
  <c r="J22" i="2" s="1"/>
  <c r="I11" i="2"/>
  <c r="J11" i="2" s="1"/>
  <c r="I12" i="2"/>
  <c r="J12" i="2" s="1"/>
  <c r="I23" i="2"/>
  <c r="J23" i="2" s="1"/>
  <c r="I47" i="2"/>
  <c r="J47" i="2" s="1"/>
  <c r="I24" i="2"/>
  <c r="J24" i="2" s="1"/>
  <c r="I25" i="2"/>
  <c r="J25" i="2" s="1"/>
  <c r="I26" i="2"/>
  <c r="J26" i="2" s="1"/>
  <c r="I29" i="2"/>
  <c r="J29" i="2" s="1"/>
  <c r="I48" i="2"/>
  <c r="J48" i="2" s="1"/>
  <c r="I39" i="2"/>
  <c r="J39" i="2" s="1"/>
  <c r="I114" i="2"/>
  <c r="J114" i="2" s="1"/>
  <c r="I102" i="2"/>
  <c r="J102" i="2" s="1"/>
  <c r="I20" i="2"/>
  <c r="J20" i="2" s="1"/>
  <c r="I46" i="2"/>
  <c r="J46" i="2" s="1"/>
  <c r="I40" i="2"/>
  <c r="J40" i="2" s="1"/>
  <c r="I36" i="2"/>
  <c r="J36" i="2" s="1"/>
  <c r="I17" i="2"/>
  <c r="J17" i="2" s="1"/>
  <c r="I33" i="2"/>
  <c r="J33" i="2" s="1"/>
  <c r="I16" i="2"/>
  <c r="J16" i="2" s="1"/>
  <c r="I35" i="2"/>
  <c r="J35" i="2" s="1"/>
  <c r="I41" i="2"/>
  <c r="J41" i="2" s="1"/>
  <c r="I45" i="2"/>
  <c r="J45" i="2" s="1"/>
  <c r="I19" i="2"/>
  <c r="J19" i="2" s="1"/>
  <c r="I31" i="2"/>
  <c r="J31" i="2" s="1"/>
  <c r="I121" i="2"/>
  <c r="J121" i="2" s="1"/>
  <c r="I8" i="2"/>
  <c r="J8" i="2" s="1"/>
  <c r="I18" i="2"/>
  <c r="J18" i="2" s="1"/>
  <c r="I30" i="2"/>
  <c r="J30" i="2" s="1"/>
  <c r="I34" i="2"/>
  <c r="J34" i="2" s="1"/>
  <c r="I28" i="2"/>
  <c r="J28" i="2" s="1"/>
  <c r="I9" i="2"/>
  <c r="J9" i="2" s="1"/>
  <c r="I13" i="2"/>
  <c r="J13" i="2" s="1"/>
  <c r="I10" i="2"/>
  <c r="J10" i="2" s="1"/>
  <c r="I15" i="2"/>
  <c r="J15" i="2" s="1"/>
  <c r="I42" i="2"/>
  <c r="J42" i="2" s="1"/>
  <c r="I37" i="2"/>
  <c r="J37" i="2" s="1"/>
  <c r="I43" i="2"/>
  <c r="J43" i="2" s="1"/>
  <c r="I38" i="2"/>
  <c r="J38" i="2" s="1"/>
  <c r="I44" i="2"/>
  <c r="J44" i="2" s="1"/>
  <c r="I100" i="2"/>
  <c r="J100" i="2" s="1"/>
  <c r="I88" i="2"/>
  <c r="J88" i="2" s="1"/>
  <c r="I27" i="2"/>
  <c r="J27" i="2" s="1"/>
  <c r="I49" i="2"/>
  <c r="J49" i="2" s="1"/>
  <c r="I58" i="2"/>
  <c r="J58" i="2" s="1"/>
  <c r="I115" i="2"/>
  <c r="J115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116" i="2"/>
  <c r="J116" i="2" s="1"/>
  <c r="I117" i="2"/>
  <c r="J117" i="2" s="1"/>
  <c r="I73" i="2"/>
  <c r="J73" i="2" s="1"/>
  <c r="I125" i="2"/>
  <c r="J125" i="2" s="1"/>
  <c r="I74" i="2"/>
  <c r="J74" i="2" s="1"/>
  <c r="I75" i="2"/>
  <c r="J75" i="2" s="1"/>
  <c r="I76" i="2"/>
  <c r="J76" i="2" s="1"/>
  <c r="I77" i="2"/>
  <c r="J77" i="2" s="1"/>
  <c r="I118" i="2"/>
  <c r="J118" i="2" s="1"/>
  <c r="I128" i="2"/>
  <c r="J128" i="2" s="1"/>
  <c r="I78" i="2"/>
  <c r="J78" i="2" s="1"/>
  <c r="I79" i="2"/>
  <c r="J79" i="2" s="1"/>
  <c r="I119" i="2"/>
  <c r="J119" i="2" s="1"/>
  <c r="I80" i="2"/>
  <c r="J80" i="2" s="1"/>
  <c r="I81" i="2"/>
  <c r="J81" i="2" s="1"/>
  <c r="I126" i="2"/>
  <c r="J126" i="2" s="1"/>
  <c r="I120" i="2"/>
  <c r="J120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104" i="2"/>
  <c r="J104" i="2" s="1"/>
  <c r="I129" i="2"/>
  <c r="J129" i="2" s="1"/>
  <c r="I106" i="2"/>
  <c r="J106" i="2" s="1"/>
  <c r="I107" i="2"/>
  <c r="J107" i="2" s="1"/>
  <c r="I109" i="2"/>
  <c r="J109" i="2" s="1"/>
  <c r="I110" i="2"/>
  <c r="J110" i="2" s="1"/>
  <c r="I111" i="2"/>
  <c r="J111" i="2" s="1"/>
  <c r="I112" i="2"/>
  <c r="J112" i="2" s="1"/>
  <c r="I123" i="2"/>
  <c r="J123" i="2" s="1"/>
  <c r="I105" i="2"/>
  <c r="J105" i="2" s="1"/>
  <c r="I122" i="2"/>
  <c r="J122" i="2" s="1"/>
  <c r="I108" i="2"/>
  <c r="J108" i="2" s="1"/>
  <c r="I131" i="2"/>
  <c r="J131" i="2" s="1"/>
  <c r="I113" i="2"/>
  <c r="J113" i="2" s="1"/>
  <c r="I132" i="2"/>
  <c r="J132" i="2" s="1"/>
  <c r="I133" i="2"/>
  <c r="J133" i="2" s="1"/>
  <c r="I134" i="2"/>
  <c r="J134" i="2" s="1"/>
  <c r="I124" i="2"/>
  <c r="J124" i="2" s="1"/>
  <c r="I50" i="2"/>
  <c r="J50" i="2" s="1"/>
  <c r="I2" i="2"/>
  <c r="J2" i="2" s="1"/>
  <c r="I3" i="2"/>
  <c r="J3" i="2" s="1"/>
  <c r="I51" i="2"/>
  <c r="J51" i="2" s="1"/>
  <c r="I52" i="2"/>
  <c r="J52" i="2" s="1"/>
  <c r="I53" i="2"/>
  <c r="J53" i="2" s="1"/>
  <c r="I54" i="2"/>
  <c r="J54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130" i="2"/>
  <c r="J130" i="2" s="1"/>
  <c r="I97" i="2"/>
  <c r="J97" i="2" s="1"/>
  <c r="I98" i="2"/>
  <c r="J98" i="2" s="1"/>
  <c r="I127" i="2"/>
  <c r="J127" i="2" s="1"/>
  <c r="I99" i="2"/>
  <c r="J99" i="2" s="1"/>
  <c r="I103" i="2"/>
  <c r="J103" i="2" s="1"/>
  <c r="I55" i="2"/>
  <c r="J55" i="2" s="1"/>
  <c r="I56" i="2"/>
  <c r="J56" i="2" s="1"/>
  <c r="I57" i="2"/>
  <c r="J57" i="2" s="1"/>
  <c r="I32" i="2"/>
  <c r="J32" i="2" s="1"/>
</calcChain>
</file>

<file path=xl/sharedStrings.xml><?xml version="1.0" encoding="utf-8"?>
<sst xmlns="http://schemas.openxmlformats.org/spreadsheetml/2006/main" count="1750" uniqueCount="321">
  <si>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</si>
  <si>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</si>
  <si>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</si>
  <si>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</si>
  <si>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</si>
  <si>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</si>
  <si>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</si>
  <si>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</si>
  <si>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</si>
  <si>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</si>
  <si>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</si>
  <si>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TN</t>
  </si>
  <si>
    <t xml:space="preserve"> </t>
  </si>
  <si>
    <t>Dental, IVDPPO</t>
  </si>
  <si>
    <t>Main Line Benefits LLC</t>
  </si>
  <si>
    <t>ADAM RICHTER</t>
  </si>
  <si>
    <t>STEPHENSON, SARAH</t>
  </si>
  <si>
    <t>0W61U5</t>
  </si>
  <si>
    <t>FL-N</t>
  </si>
  <si>
    <t>Medical, HOAPIN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</si>
  <si>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</si>
  <si>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</si>
  <si>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</si>
  <si>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</si>
  <si>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</si>
  <si>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</si>
  <si>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</si>
  <si>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ANDREW CHOI</t>
  </si>
  <si>
    <t>ROBERTS, ERIN</t>
  </si>
  <si>
    <t>70P91M</t>
  </si>
  <si>
    <t>IL</t>
  </si>
  <si>
    <t>Medical, HMO1</t>
  </si>
  <si>
    <t>ROTARU, LENUTA</t>
  </si>
  <si>
    <t>74N3X5</t>
  </si>
  <si>
    <t>BRIAN STROHMAN</t>
  </si>
  <si>
    <t>KENNEDY, STACY</t>
  </si>
  <si>
    <t>06P64N</t>
  </si>
  <si>
    <t>WI</t>
  </si>
  <si>
    <t>ADELMAN, MARC</t>
  </si>
  <si>
    <t>14NW31</t>
  </si>
  <si>
    <t>NAEGELE, DANA</t>
  </si>
  <si>
    <t>14TF16</t>
  </si>
  <si>
    <t>SESSLER, WENDY</t>
  </si>
  <si>
    <t>38Q22K</t>
  </si>
  <si>
    <t>RENDON, JOSE</t>
  </si>
  <si>
    <t>82PX55</t>
  </si>
  <si>
    <t>MELNICK, MICHAEL</t>
  </si>
  <si>
    <t>47N6E8</t>
  </si>
  <si>
    <t>CAROL FOLEY</t>
  </si>
  <si>
    <t>KELLY, ISAIAH</t>
  </si>
  <si>
    <t>12PY60</t>
  </si>
  <si>
    <t>DE</t>
  </si>
  <si>
    <t>KALOKOH, NENNEH</t>
  </si>
  <si>
    <t>62R96P</t>
  </si>
  <si>
    <t>PA</t>
  </si>
  <si>
    <t>RUPERT, CATHERINE</t>
  </si>
  <si>
    <t>70P2B9</t>
  </si>
  <si>
    <t>HEWLETT, RASHIDA</t>
  </si>
  <si>
    <t>72N6G9</t>
  </si>
  <si>
    <t>WARNER, REGINALD</t>
  </si>
  <si>
    <t>80QC76</t>
  </si>
  <si>
    <t>BALAWEJDER, QWENTON</t>
  </si>
  <si>
    <t>87PH60</t>
  </si>
  <si>
    <t>SIGG, ALEC</t>
  </si>
  <si>
    <t>01F2T5</t>
  </si>
  <si>
    <t>NC</t>
  </si>
  <si>
    <t>DEPHILLIPS, DEVON</t>
  </si>
  <si>
    <t>0J4F07</t>
  </si>
  <si>
    <t>BRAZELTON, KYLEE</t>
  </si>
  <si>
    <t>41Q71G</t>
  </si>
  <si>
    <t>FL-S</t>
  </si>
  <si>
    <t>COLLEEN FINNIGAN</t>
  </si>
  <si>
    <t>GIFFORD, GOLDA</t>
  </si>
  <si>
    <t>1N92F4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</si>
  <si>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</si>
  <si>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</si>
  <si>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</si>
  <si>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</si>
  <si>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</si>
  <si>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</si>
  <si>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</si>
  <si>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</si>
  <si>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</si>
  <si>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</si>
  <si>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</si>
  <si>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</si>
  <si>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</si>
  <si>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</si>
  <si>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</si>
  <si>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</si>
  <si>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</si>
  <si>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</si>
  <si>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73AX81</t>
  </si>
  <si>
    <t>GREGORY TEIPEL</t>
  </si>
  <si>
    <t>KULCHYCKYJ, ANDREY</t>
  </si>
  <si>
    <t>35DH74</t>
  </si>
  <si>
    <t>TX</t>
  </si>
  <si>
    <t>CONLEY, ANNA</t>
  </si>
  <si>
    <t>5Y6K12</t>
  </si>
  <si>
    <t>HUSLIN, SUZANNE</t>
  </si>
  <si>
    <t>1KD598</t>
  </si>
  <si>
    <t>WEBB, RANDALL</t>
  </si>
  <si>
    <t>5G6W80</t>
  </si>
  <si>
    <t>DEAN, JUSTIN</t>
  </si>
  <si>
    <t>7TR113</t>
  </si>
  <si>
    <t>HEATHER GESKE</t>
  </si>
  <si>
    <t>REGGI, DESIREE</t>
  </si>
  <si>
    <t>16R2Q4</t>
  </si>
  <si>
    <t>PLAYER, LENA</t>
  </si>
  <si>
    <t>16RT86</t>
  </si>
  <si>
    <t>CO</t>
  </si>
  <si>
    <t>TRUJILLO, JOHN</t>
  </si>
  <si>
    <t>91PB62</t>
  </si>
  <si>
    <t>BRYANT, JAMES</t>
  </si>
  <si>
    <t>01R6J9</t>
  </si>
  <si>
    <t>PIERCE, TAWNEY</t>
  </si>
  <si>
    <t>01T3B2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</si>
  <si>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</si>
  <si>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</si>
  <si>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</si>
  <si>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</si>
  <si>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</si>
  <si>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</si>
  <si>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</si>
  <si>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</si>
  <si>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</si>
  <si>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</si>
  <si>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OLSON, MICHAEL</t>
  </si>
  <si>
    <t>80RC36</t>
  </si>
  <si>
    <t>STEPAN, CAITLIN</t>
  </si>
  <si>
    <t>83R5P1</t>
  </si>
  <si>
    <t>JACOB YALE</t>
  </si>
  <si>
    <t>PHELAN, RYAN</t>
  </si>
  <si>
    <t>08P50D</t>
  </si>
  <si>
    <t>WILTGEN, LAWRENCE</t>
  </si>
  <si>
    <t>95TK06</t>
  </si>
  <si>
    <t>MALITZ, STEVEN</t>
  </si>
  <si>
    <t>0Y84T5</t>
  </si>
  <si>
    <t>CEFOLA, CHRISTOPHER</t>
  </si>
  <si>
    <t>63P29C</t>
  </si>
  <si>
    <t>BALLARD, KATHERINE</t>
  </si>
  <si>
    <t>69E5F9</t>
  </si>
  <si>
    <t>JARED KINYUA</t>
  </si>
  <si>
    <t>OBI, FLORENCE</t>
  </si>
  <si>
    <t>07QM57</t>
  </si>
  <si>
    <t>MD</t>
  </si>
  <si>
    <t>LEIVA RIVERA, JENNI</t>
  </si>
  <si>
    <t>07R49N</t>
  </si>
  <si>
    <t>EDMONDS, TONYA</t>
  </si>
  <si>
    <t>08R7V6</t>
  </si>
  <si>
    <t>VIDES OSORIO, CARLOS</t>
  </si>
  <si>
    <t>09R89N</t>
  </si>
  <si>
    <t>MAYE, LEA</t>
  </si>
  <si>
    <t>21Q1B0</t>
  </si>
  <si>
    <t>GREGG, BARBARA</t>
  </si>
  <si>
    <t>28P22N</t>
  </si>
  <si>
    <t>HAIDAU, CORNELIA</t>
  </si>
  <si>
    <t>28PY20</t>
  </si>
  <si>
    <t>WANI, ASHAQ</t>
  </si>
  <si>
    <t>33PJ95</t>
  </si>
  <si>
    <t>FARLEY, MYRNA</t>
  </si>
  <si>
    <t>35TV52</t>
  </si>
  <si>
    <t>TORO, PIER</t>
  </si>
  <si>
    <t>39Q9Q0</t>
  </si>
  <si>
    <t>FREDERICK, JEAN</t>
  </si>
  <si>
    <t>94N25Y</t>
  </si>
  <si>
    <t>FRANCIS, CAROLINE</t>
  </si>
  <si>
    <t>95Q10L</t>
  </si>
  <si>
    <t>JASON HOFFMANN</t>
  </si>
  <si>
    <t>MAZZOLA, SALVATORE</t>
  </si>
  <si>
    <t>2XH606</t>
  </si>
  <si>
    <t>JOEL LEE</t>
  </si>
  <si>
    <t>DEUTSCH, TIFFANY</t>
  </si>
  <si>
    <t>88RH06</t>
  </si>
  <si>
    <t>SANDOVAL, JUSTIN</t>
  </si>
  <si>
    <t>02R27F</t>
  </si>
  <si>
    <t>STEIN, NATHANIEL</t>
  </si>
  <si>
    <t>57P1R5</t>
  </si>
  <si>
    <t>AZ</t>
  </si>
  <si>
    <t>CHAFFIN, KATHRYN</t>
  </si>
  <si>
    <t>61N2C4</t>
  </si>
  <si>
    <t>SNOOK, EMRIE</t>
  </si>
  <si>
    <t>81P98F</t>
  </si>
  <si>
    <t>02R28F</t>
  </si>
  <si>
    <t>EDMISTON, AJA</t>
  </si>
  <si>
    <t>04N2X0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</si>
  <si>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</si>
  <si>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</si>
  <si>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</si>
  <si>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</si>
  <si>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</si>
  <si>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</si>
  <si>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</si>
  <si>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</si>
  <si>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</si>
  <si>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HANSEN-BARTHELS, JEFFREY</t>
  </si>
  <si>
    <t>22RQ68</t>
  </si>
  <si>
    <t>TEFLIAN, NATALIE</t>
  </si>
  <si>
    <t>22TF46</t>
  </si>
  <si>
    <t>TIBBETTS, AMY</t>
  </si>
  <si>
    <t>25R0J7</t>
  </si>
  <si>
    <t>JOHNSON, DEREK</t>
  </si>
  <si>
    <t>34PJ62</t>
  </si>
  <si>
    <t>NALUBWAMA, SARAH</t>
  </si>
  <si>
    <t>39N2C4</t>
  </si>
  <si>
    <t>GODDARD, SUSAN</t>
  </si>
  <si>
    <t>41R91U</t>
  </si>
  <si>
    <t>ANGAMUTHU KANDASAMY, VENK</t>
  </si>
  <si>
    <t>42N39C</t>
  </si>
  <si>
    <t>SANTIAGO, CALEB</t>
  </si>
  <si>
    <t>42T7F3</t>
  </si>
  <si>
    <t>SHARMA, SAURABH</t>
  </si>
  <si>
    <t>43R2H9</t>
  </si>
  <si>
    <t>LOY, HUNTER</t>
  </si>
  <si>
    <t>46Q2X5</t>
  </si>
  <si>
    <t>WOODARD, SAGE</t>
  </si>
  <si>
    <t>56TP96</t>
  </si>
  <si>
    <t>CHAVEZ, ALEXANDER</t>
  </si>
  <si>
    <t>58RJ26</t>
  </si>
  <si>
    <t>DONNELL, JANA</t>
  </si>
  <si>
    <t>62N9M2</t>
  </si>
  <si>
    <t>LORD, REBECCA</t>
  </si>
  <si>
    <t>6HM412</t>
  </si>
  <si>
    <t>PESYAN, KELLY</t>
  </si>
  <si>
    <t>74Q11G</t>
  </si>
  <si>
    <t>DOUKAGA, JEAN</t>
  </si>
  <si>
    <t>78P06Q</t>
  </si>
  <si>
    <t>BK, SABITA</t>
  </si>
  <si>
    <t>79PL32</t>
  </si>
  <si>
    <t>BRESLI, ALIZAY</t>
  </si>
  <si>
    <t>86QL76</t>
  </si>
  <si>
    <t>VANOORT, JOHN</t>
  </si>
  <si>
    <t>87RD73</t>
  </si>
  <si>
    <t>TUCKER, DAVE</t>
  </si>
  <si>
    <t>98PH14</t>
  </si>
  <si>
    <t>SHANKS, KEVIN</t>
  </si>
  <si>
    <t>98Q9Q8</t>
  </si>
  <si>
    <t>LORI TUNSTALL</t>
  </si>
  <si>
    <t>POTTER, ALISON</t>
  </si>
  <si>
    <t>13M41V</t>
  </si>
  <si>
    <t>MATLIS, CASSANDRA</t>
  </si>
  <si>
    <t>56P6N9</t>
  </si>
  <si>
    <t>MICHAEL DUNAVANT</t>
  </si>
  <si>
    <t>BLOODWORTH, BRYAN</t>
  </si>
  <si>
    <t>03P25D</t>
  </si>
  <si>
    <t>WILLS, JENNIFER</t>
  </si>
  <si>
    <t>04R42R</t>
  </si>
  <si>
    <t>REIS, RAYMOND</t>
  </si>
  <si>
    <t>46R1Q0</t>
  </si>
  <si>
    <t>BUTLER MAGSOMBOL, ANGELA</t>
  </si>
  <si>
    <t>56Q3B8</t>
  </si>
  <si>
    <t>JENSEN, BRIAN</t>
  </si>
  <si>
    <t>58P14V</t>
  </si>
  <si>
    <t>RECTOR, TARA</t>
  </si>
  <si>
    <t>28TF78</t>
  </si>
  <si>
    <t>HOWE, PATRICIA</t>
  </si>
  <si>
    <t>30RQ52</t>
  </si>
  <si>
    <t>MCBRIDE, STEVEN</t>
  </si>
  <si>
    <t>60Q27N</t>
  </si>
  <si>
    <t>WALLACE, PAULA</t>
  </si>
  <si>
    <t>62R17P</t>
  </si>
  <si>
    <t>MORRIS, LINDA</t>
  </si>
  <si>
    <t>64RC60</t>
  </si>
  <si>
    <t>PAMELA DEATON</t>
  </si>
  <si>
    <t>MISSAKASAVAKE, THANADOBI</t>
  </si>
  <si>
    <t>38Q40Y</t>
  </si>
  <si>
    <t>CRUMP, SCOTT</t>
  </si>
  <si>
    <t>18RY53</t>
  </si>
  <si>
    <t>RICARDO SANTOS</t>
  </si>
  <si>
    <t>HAN, JUNG</t>
  </si>
  <si>
    <t>7K17M2</t>
  </si>
  <si>
    <t>RICHARD YALE</t>
  </si>
  <si>
    <t>STOTTER, JAKE</t>
  </si>
  <si>
    <t>31TG75</t>
  </si>
  <si>
    <t>STOTTER, THOMAS</t>
  </si>
  <si>
    <t>31TG87</t>
  </si>
  <si>
    <t>LOMBARDI, JOANN</t>
  </si>
  <si>
    <t>03Q06K</t>
  </si>
  <si>
    <t>NOBILE, DANIEL</t>
  </si>
  <si>
    <t>77Q50P</t>
  </si>
  <si>
    <t>KING, PETER</t>
  </si>
  <si>
    <t>98Q49J</t>
  </si>
  <si>
    <t>RYAN CALTAGIRONE</t>
  </si>
  <si>
    <t>RODECK, KEITH</t>
  </si>
  <si>
    <t>02LM35</t>
  </si>
  <si>
    <t>MALSCH, CHARLES</t>
  </si>
  <si>
    <t>27P4G4</t>
  </si>
  <si>
    <t>SAADIA ABDUL</t>
  </si>
  <si>
    <t>ANGIULO, GIANNA</t>
  </si>
  <si>
    <t>68NK46</t>
  </si>
  <si>
    <t>POSADA GOMEZ, CELESTE</t>
  </si>
  <si>
    <t>80D61C</t>
  </si>
  <si>
    <t>SCOTT FINE</t>
  </si>
  <si>
    <t>SOREN, SCOTT</t>
  </si>
  <si>
    <t>24R79F</t>
  </si>
  <si>
    <t>GRIECO, JOSEPH</t>
  </si>
  <si>
    <t>65R42C</t>
  </si>
  <si>
    <t>CARICIC, RANKO</t>
  </si>
  <si>
    <t>44T3C6</t>
  </si>
  <si>
    <t>TIMOTHY HODGMAN</t>
  </si>
  <si>
    <t>HENNESSY, PAUL</t>
  </si>
  <si>
    <t>69E35K</t>
  </si>
  <si>
    <t>WASILEWSKI, DEANNA</t>
  </si>
  <si>
    <t>94Q69A</t>
  </si>
  <si>
    <t>THOMAS KUCAN</t>
  </si>
  <si>
    <t>ARRICH, MICHAEL</t>
  </si>
  <si>
    <t>80TQ84</t>
  </si>
  <si>
    <t>Total</t>
  </si>
  <si>
    <t>Cigna Dental</t>
  </si>
  <si>
    <t>Cigna DVH</t>
  </si>
  <si>
    <t>Cigna 2025 AZ, CO, IL</t>
  </si>
  <si>
    <t>Cigna - FL</t>
  </si>
  <si>
    <t>Cigna 2025 TN/NC</t>
  </si>
  <si>
    <t>Cigna - TX</t>
  </si>
  <si>
    <t>Cigna - VA</t>
  </si>
  <si>
    <t>18828278SUB2</t>
  </si>
  <si>
    <t>[PMPM=2]</t>
  </si>
  <si>
    <t>[PMPM=3]</t>
  </si>
  <si>
    <t>[PMPM=4]</t>
  </si>
  <si>
    <t>[PMPM=5]</t>
  </si>
  <si>
    <t>[PMPM=6]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</si>
</sst>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9" fontId="4" fillId="0" borderId="1" xfId="2" applyFont="1" applyBorder="1"/>
    <xf numFmtId="44" fontId="4" fillId="0" borderId="2" xfId="1" applyFont="1" applyBorder="1"/>
    <xf numFmtId="0" fontId="2" fillId="0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44" fontId="2" fillId="0" borderId="0" xfId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4" fontId="4" fillId="0" borderId="0" xfId="1" applyFont="1" applyFill="1" applyBorder="1"/>
    <xf numFmtId="9" fontId="4" fillId="0" borderId="0" xfId="2" applyFont="1" applyFill="1" applyBorder="1"/>
    <xf numFmtId="14" fontId="4" fillId="0" borderId="0" xfId="0" applyNumberFormat="1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14" fontId="5" fillId="0" borderId="0" xfId="0" applyNumberFormat="1" applyFont="1" applyFill="1" applyBorder="1"/>
    <xf numFmtId="44" fontId="5" fillId="0" borderId="0" xfId="1" applyFont="1" applyFill="1" applyBorder="1"/>
    <xf numFmtId="9" fontId="5" fillId="0" borderId="0" xfId="2" applyFont="1" applyFill="1" applyBorder="1"/>
    <xf numFmtId="0" fontId="6" fillId="0" borderId="0" xfId="0" applyFont="1" applyFill="1" applyBorder="1"/>
    <xf numFmtId="0" fontId="4" fillId="0" borderId="0" xfId="0" applyFont="1" applyFill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0066-68D9-4D87-9BD6-E4072F9D8C73}">
  <dimension ref="A1:K135"/>
  <sheetViews>
    <sheetView workbookViewId="0">
      <selection sqref="A1:XFD1048576"/>
    </sheetView>
  </sheetViews>
  <sheetFormatPr defaultRowHeight="15" x14ac:dyDescent="0.25"/>
  <cols>
    <col min="1" max="1" width="27.7109375" customWidth="1"/>
    <col min="2" max="2" width="34.140625" customWidth="1"/>
    <col min="3" max="3" width="30.7109375" customWidth="1"/>
    <col min="4" max="4" width="12" customWidth="1"/>
    <col min="5" max="5" width="8.42578125" customWidth="1"/>
    <col min="6" max="6" width="10.140625" customWidth="1"/>
    <col min="7" max="7" width="10.7109375" customWidth="1"/>
    <col min="8" max="8" width="16.140625" customWidth="1"/>
    <col min="9" max="9" width="12.28515625" customWidth="1"/>
    <col min="10" max="10" width="8.140625" customWidth="1"/>
    <col min="11" max="11" width="14.140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5.75" x14ac:dyDescent="0.25">
      <c r="A2" s="6" t="s">
        <v>14</v>
      </c>
      <c r="B2" s="6" t="s">
        <v>15</v>
      </c>
      <c r="C2" s="6" t="s">
        <v>16</v>
      </c>
      <c r="D2" s="7" t="s">
        <v>17</v>
      </c>
      <c r="E2" s="7" t="s">
        <v>18</v>
      </c>
      <c r="F2" s="6">
        <v>1</v>
      </c>
      <c r="G2" s="6">
        <v>20250301</v>
      </c>
      <c r="H2" s="6" t="s">
        <v>19</v>
      </c>
      <c r="I2" s="8">
        <v>151.52000000000001</v>
      </c>
      <c r="J2" s="9">
        <v>27</v>
      </c>
      <c r="K2" s="10">
        <v>27</v>
      </c>
    </row>
    <row r="3" spans="1:11" ht="15.75" x14ac:dyDescent="0.25">
      <c r="A3" s="6" t="s">
        <v>14</v>
      </c>
      <c r="B3" s="6" t="s">
        <v>15</v>
      </c>
      <c r="C3" s="6" t="s">
        <v>20</v>
      </c>
      <c r="D3" s="7" t="s">
        <v>21</v>
      </c>
      <c r="E3" s="7" t="s">
        <v>22</v>
      </c>
      <c r="F3" s="6">
        <v>1</v>
      </c>
      <c r="G3" s="6">
        <v>20250301</v>
      </c>
      <c r="H3" s="6" t="s">
        <v>19</v>
      </c>
      <c r="I3" s="8">
        <v>69.2</v>
      </c>
      <c r="J3" s="9">
        <v>20</v>
      </c>
      <c r="K3" s="10">
        <v>20</v>
      </c>
    </row>
    <row r="4" spans="1:11" ht="15.75" x14ac:dyDescent="0.25">
      <c r="A4" s="6" t="s">
        <v>14</v>
      </c>
      <c r="B4" s="6" t="s">
        <v>15</v>
      </c>
      <c r="C4" s="6" t="s">
        <v>23</v>
      </c>
      <c r="D4" s="7" t="s">
        <v>24</v>
      </c>
      <c r="E4" s="7" t="s">
        <v>22</v>
      </c>
      <c r="F4" s="6">
        <v>1</v>
      </c>
      <c r="G4" s="6">
        <v>20250301</v>
      </c>
      <c r="H4" s="6" t="s">
        <v>19</v>
      </c>
      <c r="I4" s="8">
        <v>334.97</v>
      </c>
      <c r="J4" s="9">
        <v>20</v>
      </c>
      <c r="K4" s="10">
        <v>20</v>
      </c>
    </row>
    <row r="5" spans="1:11" ht="15.75" x14ac:dyDescent="0.25">
      <c r="A5" s="6" t="s">
        <v>14</v>
      </c>
      <c r="B5" s="6" t="s">
        <v>15</v>
      </c>
      <c r="C5" s="6" t="s">
        <v>25</v>
      </c>
      <c r="D5" s="7" t="s">
        <v>26</v>
      </c>
      <c r="E5" s="7" t="s">
        <v>22</v>
      </c>
      <c r="F5" s="6">
        <v>1</v>
      </c>
      <c r="G5" s="6">
        <v>20250301</v>
      </c>
      <c r="H5" s="6" t="s">
        <v>19</v>
      </c>
      <c r="I5" s="8">
        <v>698.24</v>
      </c>
      <c r="J5" s="9">
        <v>20</v>
      </c>
      <c r="K5" s="10">
        <v>20</v>
      </c>
    </row>
    <row r="6" spans="1:11" ht="15.75" x14ac:dyDescent="0.25">
      <c r="A6" s="6" t="s">
        <v>14</v>
      </c>
      <c r="B6" s="6" t="s">
        <v>27</v>
      </c>
      <c r="C6" s="6" t="s">
        <v>28</v>
      </c>
      <c r="D6" s="7" t="s">
        <v>29</v>
      </c>
      <c r="E6" s="7" t="s">
        <v>30</v>
      </c>
      <c r="F6" s="6">
        <v>1</v>
      </c>
      <c r="G6" s="6">
        <v>20250301</v>
      </c>
      <c r="H6" s="6" t="s">
        <v>31</v>
      </c>
      <c r="I6" s="8">
        <v>462.11</v>
      </c>
      <c r="J6" s="9">
        <v>20</v>
      </c>
      <c r="K6" s="10">
        <v>20</v>
      </c>
    </row>
    <row r="7" spans="1:11" ht="15.75" x14ac:dyDescent="0.25">
      <c r="A7" s="6" t="s">
        <v>14</v>
      </c>
      <c r="B7" s="6" t="s">
        <v>27</v>
      </c>
      <c r="C7" s="6" t="s">
        <v>32</v>
      </c>
      <c r="D7" s="7" t="s">
        <v>33</v>
      </c>
      <c r="E7" s="7" t="s">
        <v>30</v>
      </c>
      <c r="F7" s="6">
        <v>3</v>
      </c>
      <c r="G7" s="6">
        <v>20250301</v>
      </c>
      <c r="H7" s="6" t="s">
        <v>31</v>
      </c>
      <c r="I7" s="8">
        <v>30.84</v>
      </c>
      <c r="J7" s="9">
        <v>20</v>
      </c>
      <c r="K7" s="10">
        <v>60</v>
      </c>
    </row>
    <row r="8" spans="1:11" ht="15.75" x14ac:dyDescent="0.25">
      <c r="A8" s="6" t="s">
        <v>14</v>
      </c>
      <c r="B8" s="6" t="s">
        <v>34</v>
      </c>
      <c r="C8" s="6" t="s">
        <v>35</v>
      </c>
      <c r="D8" s="7" t="s">
        <v>36</v>
      </c>
      <c r="E8" s="7" t="s">
        <v>37</v>
      </c>
      <c r="F8" s="6" t="s">
        <v>12</v>
      </c>
      <c r="G8" s="6">
        <v>20250301</v>
      </c>
      <c r="H8" s="6" t="s">
        <v>13</v>
      </c>
      <c r="I8" s="8">
        <v>52.45</v>
      </c>
      <c r="J8" s="9">
        <v>0.2</v>
      </c>
      <c r="K8" s="10">
        <v>10.490000000000002</v>
      </c>
    </row>
    <row r="9" spans="1:11" ht="15.75" x14ac:dyDescent="0.25">
      <c r="A9" s="6" t="s">
        <v>14</v>
      </c>
      <c r="B9" s="6" t="s">
        <v>34</v>
      </c>
      <c r="C9" s="6" t="s">
        <v>38</v>
      </c>
      <c r="D9" s="7" t="s">
        <v>39</v>
      </c>
      <c r="E9" s="7" t="s">
        <v>30</v>
      </c>
      <c r="F9" s="6" t="s">
        <v>12</v>
      </c>
      <c r="G9" s="6">
        <v>20250301</v>
      </c>
      <c r="H9" s="6" t="s">
        <v>13</v>
      </c>
      <c r="I9" s="8">
        <v>120.15</v>
      </c>
      <c r="J9" s="9">
        <v>0.2</v>
      </c>
      <c r="K9" s="10">
        <v>24.03</v>
      </c>
    </row>
    <row r="10" spans="1:11" ht="15.75" x14ac:dyDescent="0.25">
      <c r="A10" s="6" t="s">
        <v>14</v>
      </c>
      <c r="B10" s="6" t="s">
        <v>34</v>
      </c>
      <c r="C10" s="6" t="s">
        <v>40</v>
      </c>
      <c r="D10" s="7" t="s">
        <v>41</v>
      </c>
      <c r="E10" s="7" t="s">
        <v>30</v>
      </c>
      <c r="F10" s="6" t="s">
        <v>12</v>
      </c>
      <c r="G10" s="6">
        <v>20250301</v>
      </c>
      <c r="H10" s="6" t="s">
        <v>13</v>
      </c>
      <c r="I10" s="8">
        <v>34.58</v>
      </c>
      <c r="J10" s="9">
        <v>0.2</v>
      </c>
      <c r="K10" s="10">
        <v>6.9160000000000004</v>
      </c>
    </row>
    <row r="11" spans="1:11" ht="15.75" x14ac:dyDescent="0.25">
      <c r="A11" s="6" t="s">
        <v>14</v>
      </c>
      <c r="B11" s="6" t="s">
        <v>34</v>
      </c>
      <c r="C11" s="6" t="s">
        <v>42</v>
      </c>
      <c r="D11" s="7" t="s">
        <v>43</v>
      </c>
      <c r="E11" s="7" t="s">
        <v>30</v>
      </c>
      <c r="F11" s="6" t="s">
        <v>12</v>
      </c>
      <c r="G11" s="6">
        <v>20250301</v>
      </c>
      <c r="H11" s="6" t="s">
        <v>13</v>
      </c>
      <c r="I11" s="8">
        <v>41.44</v>
      </c>
      <c r="J11" s="9">
        <v>0.2</v>
      </c>
      <c r="K11" s="10">
        <v>8.2880000000000003</v>
      </c>
    </row>
    <row r="12" spans="1:11" ht="15.75" x14ac:dyDescent="0.25">
      <c r="A12" s="6" t="s">
        <v>14</v>
      </c>
      <c r="B12" s="6" t="s">
        <v>34</v>
      </c>
      <c r="C12" s="6" t="s">
        <v>44</v>
      </c>
      <c r="D12" s="7" t="s">
        <v>45</v>
      </c>
      <c r="E12" s="7" t="s">
        <v>30</v>
      </c>
      <c r="F12" s="6" t="s">
        <v>12</v>
      </c>
      <c r="G12" s="6">
        <v>20250301</v>
      </c>
      <c r="H12" s="6" t="s">
        <v>13</v>
      </c>
      <c r="I12" s="8">
        <v>41.44</v>
      </c>
      <c r="J12" s="9">
        <v>0.2</v>
      </c>
      <c r="K12" s="10">
        <v>8.2880000000000003</v>
      </c>
    </row>
    <row r="13" spans="1:11" ht="15.75" x14ac:dyDescent="0.25">
      <c r="A13" s="6" t="s">
        <v>14</v>
      </c>
      <c r="B13" s="6" t="s">
        <v>34</v>
      </c>
      <c r="C13" s="6" t="s">
        <v>46</v>
      </c>
      <c r="D13" s="7" t="s">
        <v>47</v>
      </c>
      <c r="E13" s="7" t="s">
        <v>30</v>
      </c>
      <c r="F13" s="6" t="s">
        <v>12</v>
      </c>
      <c r="G13" s="6">
        <v>20250301</v>
      </c>
      <c r="H13" s="6" t="s">
        <v>13</v>
      </c>
      <c r="I13" s="8">
        <v>29</v>
      </c>
      <c r="J13" s="9">
        <v>0.2</v>
      </c>
      <c r="K13" s="10">
        <v>5.8000000000000007</v>
      </c>
    </row>
    <row r="14" spans="1:11" ht="15.75" x14ac:dyDescent="0.25">
      <c r="A14" s="6" t="s">
        <v>14</v>
      </c>
      <c r="B14" s="6" t="s">
        <v>48</v>
      </c>
      <c r="C14" s="6" t="s">
        <v>49</v>
      </c>
      <c r="D14" s="7" t="s">
        <v>50</v>
      </c>
      <c r="E14" s="7" t="s">
        <v>51</v>
      </c>
      <c r="F14" s="6" t="s">
        <v>12</v>
      </c>
      <c r="G14" s="6">
        <v>20250301</v>
      </c>
      <c r="H14" s="6" t="s">
        <v>13</v>
      </c>
      <c r="I14" s="8">
        <v>29</v>
      </c>
      <c r="J14" s="9">
        <v>0.2</v>
      </c>
      <c r="K14" s="10">
        <v>5.8000000000000007</v>
      </c>
    </row>
    <row r="15" spans="1:11" ht="15.75" x14ac:dyDescent="0.25">
      <c r="A15" s="6" t="s">
        <v>14</v>
      </c>
      <c r="B15" s="6" t="s">
        <v>48</v>
      </c>
      <c r="C15" s="6" t="s">
        <v>52</v>
      </c>
      <c r="D15" s="7" t="s">
        <v>53</v>
      </c>
      <c r="E15" s="7" t="s">
        <v>54</v>
      </c>
      <c r="F15" s="6" t="s">
        <v>12</v>
      </c>
      <c r="G15" s="6">
        <v>20250301</v>
      </c>
      <c r="H15" s="6" t="s">
        <v>13</v>
      </c>
      <c r="I15" s="8">
        <v>43</v>
      </c>
      <c r="J15" s="9">
        <v>0.2</v>
      </c>
      <c r="K15" s="10">
        <v>8.6</v>
      </c>
    </row>
    <row r="16" spans="1:11" ht="15.75" x14ac:dyDescent="0.25">
      <c r="A16" s="6" t="s">
        <v>14</v>
      </c>
      <c r="B16" s="6" t="s">
        <v>48</v>
      </c>
      <c r="C16" s="6" t="s">
        <v>55</v>
      </c>
      <c r="D16" s="7" t="s">
        <v>56</v>
      </c>
      <c r="E16" s="7" t="s">
        <v>54</v>
      </c>
      <c r="F16" s="6" t="s">
        <v>12</v>
      </c>
      <c r="G16" s="6">
        <v>20250301</v>
      </c>
      <c r="H16" s="6" t="s">
        <v>13</v>
      </c>
      <c r="I16" s="8">
        <v>85.1</v>
      </c>
      <c r="J16" s="9">
        <v>0.2</v>
      </c>
      <c r="K16" s="10">
        <v>17.02</v>
      </c>
    </row>
    <row r="17" spans="1:11" ht="15.75" x14ac:dyDescent="0.25">
      <c r="A17" s="6" t="s">
        <v>14</v>
      </c>
      <c r="B17" s="6" t="s">
        <v>48</v>
      </c>
      <c r="C17" s="6" t="s">
        <v>57</v>
      </c>
      <c r="D17" s="7" t="s">
        <v>58</v>
      </c>
      <c r="E17" s="7" t="s">
        <v>54</v>
      </c>
      <c r="F17" s="6" t="s">
        <v>12</v>
      </c>
      <c r="G17" s="6">
        <v>20250301</v>
      </c>
      <c r="H17" s="6" t="s">
        <v>13</v>
      </c>
      <c r="I17" s="8">
        <v>43</v>
      </c>
      <c r="J17" s="9">
        <v>0.2</v>
      </c>
      <c r="K17" s="10">
        <v>8.6</v>
      </c>
    </row>
    <row r="18" spans="1:11" ht="15.75" x14ac:dyDescent="0.25">
      <c r="A18" s="6" t="s">
        <v>14</v>
      </c>
      <c r="B18" s="6" t="s">
        <v>48</v>
      </c>
      <c r="C18" s="6" t="s">
        <v>59</v>
      </c>
      <c r="D18" s="7" t="s">
        <v>60</v>
      </c>
      <c r="E18" s="7" t="s">
        <v>54</v>
      </c>
      <c r="F18" s="6" t="s">
        <v>12</v>
      </c>
      <c r="G18" s="6">
        <v>20250301</v>
      </c>
      <c r="H18" s="6" t="s">
        <v>13</v>
      </c>
      <c r="I18" s="8">
        <v>43</v>
      </c>
      <c r="J18" s="9">
        <v>0.2</v>
      </c>
      <c r="K18" s="10">
        <v>8.6</v>
      </c>
    </row>
    <row r="19" spans="1:11" ht="15.75" x14ac:dyDescent="0.25">
      <c r="A19" s="6" t="s">
        <v>14</v>
      </c>
      <c r="B19" s="6" t="s">
        <v>48</v>
      </c>
      <c r="C19" s="6" t="s">
        <v>61</v>
      </c>
      <c r="D19" s="7" t="s">
        <v>62</v>
      </c>
      <c r="E19" s="7" t="s">
        <v>54</v>
      </c>
      <c r="F19" s="6" t="s">
        <v>12</v>
      </c>
      <c r="G19" s="6">
        <v>20250301</v>
      </c>
      <c r="H19" s="6" t="s">
        <v>13</v>
      </c>
      <c r="I19" s="8">
        <v>43</v>
      </c>
      <c r="J19" s="9">
        <v>0.2</v>
      </c>
      <c r="K19" s="10">
        <v>8.6</v>
      </c>
    </row>
    <row r="20" spans="1:11" ht="15.75" x14ac:dyDescent="0.25">
      <c r="A20" s="6" t="s">
        <v>14</v>
      </c>
      <c r="B20" s="6" t="s">
        <v>48</v>
      </c>
      <c r="C20" s="6" t="s">
        <v>63</v>
      </c>
      <c r="D20" s="7" t="s">
        <v>64</v>
      </c>
      <c r="E20" s="7" t="s">
        <v>65</v>
      </c>
      <c r="F20" s="6">
        <v>1</v>
      </c>
      <c r="G20" s="6">
        <v>20250301</v>
      </c>
      <c r="H20" s="6" t="s">
        <v>31</v>
      </c>
      <c r="I20" s="8">
        <v>40.03</v>
      </c>
      <c r="J20" s="9">
        <v>22</v>
      </c>
      <c r="K20" s="10">
        <v>22</v>
      </c>
    </row>
    <row r="21" spans="1:11" ht="15.75" x14ac:dyDescent="0.25">
      <c r="A21" s="6" t="s">
        <v>14</v>
      </c>
      <c r="B21" s="6" t="s">
        <v>48</v>
      </c>
      <c r="C21" s="6" t="s">
        <v>66</v>
      </c>
      <c r="D21" s="7" t="s">
        <v>67</v>
      </c>
      <c r="E21" s="7" t="s">
        <v>18</v>
      </c>
      <c r="F21" s="6">
        <v>3</v>
      </c>
      <c r="G21" s="6">
        <v>20250301</v>
      </c>
      <c r="H21" s="6" t="s">
        <v>19</v>
      </c>
      <c r="I21" s="8">
        <v>191.23</v>
      </c>
      <c r="J21" s="9">
        <v>27</v>
      </c>
      <c r="K21" s="10">
        <v>81</v>
      </c>
    </row>
    <row r="22" spans="1:11" ht="15.75" x14ac:dyDescent="0.25">
      <c r="A22" s="6" t="s">
        <v>14</v>
      </c>
      <c r="B22" s="6" t="s">
        <v>48</v>
      </c>
      <c r="C22" s="6" t="s">
        <v>68</v>
      </c>
      <c r="D22" s="7" t="s">
        <v>69</v>
      </c>
      <c r="E22" s="7" t="s">
        <v>70</v>
      </c>
      <c r="F22" s="6">
        <v>1</v>
      </c>
      <c r="G22" s="6">
        <v>20250301</v>
      </c>
      <c r="H22" s="6" t="s">
        <v>19</v>
      </c>
      <c r="I22" s="8">
        <v>192.18</v>
      </c>
      <c r="J22" s="9">
        <v>27</v>
      </c>
      <c r="K22" s="10">
        <v>27</v>
      </c>
    </row>
    <row r="23" spans="1:11" ht="15.75" x14ac:dyDescent="0.25">
      <c r="A23" s="6" t="s">
        <v>14</v>
      </c>
      <c r="B23" s="6" t="s">
        <v>71</v>
      </c>
      <c r="C23" s="6" t="s">
        <v>72</v>
      </c>
      <c r="D23" s="7" t="s">
        <v>73</v>
      </c>
      <c r="E23" s="7" t="s">
        <v>11</v>
      </c>
      <c r="F23" s="6">
        <v>1</v>
      </c>
      <c r="G23" s="6">
        <v>20250301</v>
      </c>
      <c r="H23" s="6" t="s">
        <v>19</v>
      </c>
      <c r="I23" s="8">
        <v>17.690000000000001</v>
      </c>
      <c r="J23" s="9">
        <v>22</v>
      </c>
      <c r="K23" s="10">
        <v>22</v>
      </c>
    </row>
    <row r="24" spans="1:11" ht="15.75" x14ac:dyDescent="0.25">
      <c r="A24" s="6" t="s">
        <v>14</v>
      </c>
      <c r="B24" s="6" t="s">
        <v>71</v>
      </c>
      <c r="C24" s="6" t="s">
        <v>74</v>
      </c>
      <c r="D24" s="7" t="s">
        <v>75</v>
      </c>
      <c r="E24" s="7" t="s">
        <v>11</v>
      </c>
      <c r="F24" s="6">
        <v>1</v>
      </c>
      <c r="G24" s="6">
        <v>20250301</v>
      </c>
      <c r="H24" s="6" t="s">
        <v>19</v>
      </c>
      <c r="I24" s="8">
        <v>17.690000000000001</v>
      </c>
      <c r="J24" s="9">
        <v>22</v>
      </c>
      <c r="K24" s="10">
        <v>22</v>
      </c>
    </row>
    <row r="25" spans="1:11" ht="15.75" x14ac:dyDescent="0.25">
      <c r="A25" s="6" t="s">
        <v>14</v>
      </c>
      <c r="B25" s="6" t="s">
        <v>71</v>
      </c>
      <c r="C25" s="6" t="s">
        <v>76</v>
      </c>
      <c r="D25" s="7" t="s">
        <v>77</v>
      </c>
      <c r="E25" s="7" t="s">
        <v>11</v>
      </c>
      <c r="F25" s="6">
        <v>1</v>
      </c>
      <c r="G25" s="6">
        <v>20250301</v>
      </c>
      <c r="H25" s="6" t="s">
        <v>19</v>
      </c>
      <c r="I25" s="8">
        <v>122.19</v>
      </c>
      <c r="J25" s="9">
        <v>22</v>
      </c>
      <c r="K25" s="10">
        <v>22</v>
      </c>
    </row>
    <row r="26" spans="1:11" ht="15.75" x14ac:dyDescent="0.25">
      <c r="A26" s="6" t="s">
        <v>14</v>
      </c>
      <c r="B26" s="6" t="s">
        <v>71</v>
      </c>
      <c r="C26" s="6" t="s">
        <v>78</v>
      </c>
      <c r="D26" s="7" t="s">
        <v>79</v>
      </c>
      <c r="E26" s="7" t="s">
        <v>11</v>
      </c>
      <c r="F26" s="6">
        <v>1</v>
      </c>
      <c r="G26" s="6">
        <v>20250301</v>
      </c>
      <c r="H26" s="6" t="s">
        <v>19</v>
      </c>
      <c r="I26" s="8">
        <v>31.2</v>
      </c>
      <c r="J26" s="9">
        <v>22</v>
      </c>
      <c r="K26" s="10">
        <v>22</v>
      </c>
    </row>
    <row r="27" spans="1:11" ht="15.75" x14ac:dyDescent="0.25">
      <c r="A27" s="6" t="s">
        <v>14</v>
      </c>
      <c r="B27" s="6" t="s">
        <v>71</v>
      </c>
      <c r="C27" s="6" t="s">
        <v>80</v>
      </c>
      <c r="D27" s="7" t="s">
        <v>81</v>
      </c>
      <c r="E27" s="7" t="s">
        <v>11</v>
      </c>
      <c r="F27" s="6">
        <v>1</v>
      </c>
      <c r="G27" s="6">
        <v>20250301</v>
      </c>
      <c r="H27" s="6" t="s">
        <v>19</v>
      </c>
      <c r="I27" s="8">
        <v>168.73</v>
      </c>
      <c r="J27" s="9">
        <v>22</v>
      </c>
      <c r="K27" s="10">
        <v>22</v>
      </c>
    </row>
    <row r="28" spans="1:11" ht="15.75" x14ac:dyDescent="0.25">
      <c r="A28" s="6" t="s">
        <v>14</v>
      </c>
      <c r="B28" s="6" t="s">
        <v>71</v>
      </c>
      <c r="C28" s="6" t="s">
        <v>82</v>
      </c>
      <c r="D28" s="7" t="s">
        <v>83</v>
      </c>
      <c r="E28" s="7" t="s">
        <v>11</v>
      </c>
      <c r="F28" s="6">
        <v>1</v>
      </c>
      <c r="G28" s="6">
        <v>20250301</v>
      </c>
      <c r="H28" s="6" t="s">
        <v>19</v>
      </c>
      <c r="I28" s="8">
        <v>219.6</v>
      </c>
      <c r="J28" s="9">
        <v>22</v>
      </c>
      <c r="K28" s="10">
        <v>22</v>
      </c>
    </row>
    <row r="29" spans="1:11" ht="15.75" x14ac:dyDescent="0.25">
      <c r="A29" s="6" t="s">
        <v>14</v>
      </c>
      <c r="B29" s="6" t="s">
        <v>84</v>
      </c>
      <c r="C29" s="6" t="s">
        <v>85</v>
      </c>
      <c r="D29" s="7" t="s">
        <v>86</v>
      </c>
      <c r="E29" s="7" t="s">
        <v>30</v>
      </c>
      <c r="F29" s="6">
        <v>1</v>
      </c>
      <c r="G29" s="6">
        <v>20250301</v>
      </c>
      <c r="H29" s="6" t="s">
        <v>31</v>
      </c>
      <c r="I29" s="8">
        <v>148.30000000000001</v>
      </c>
      <c r="J29" s="9">
        <v>20</v>
      </c>
      <c r="K29" s="10">
        <v>20</v>
      </c>
    </row>
    <row r="30" spans="1:11" ht="15.75" x14ac:dyDescent="0.25">
      <c r="A30" s="6" t="s">
        <v>14</v>
      </c>
      <c r="B30" s="6" t="s">
        <v>87</v>
      </c>
      <c r="C30" s="6" t="s">
        <v>88</v>
      </c>
      <c r="D30" s="7" t="s">
        <v>89</v>
      </c>
      <c r="E30" s="7" t="s">
        <v>11</v>
      </c>
      <c r="F30" s="6">
        <v>4</v>
      </c>
      <c r="G30" s="6">
        <v>20250301</v>
      </c>
      <c r="H30" s="6" t="s">
        <v>19</v>
      </c>
      <c r="I30" s="8">
        <v>39.950000000000003</v>
      </c>
      <c r="J30" s="9">
        <v>22</v>
      </c>
      <c r="K30" s="10">
        <v>88</v>
      </c>
    </row>
    <row r="31" spans="1:11" ht="15.75" x14ac:dyDescent="0.25">
      <c r="A31" s="6" t="s">
        <v>14</v>
      </c>
      <c r="B31" s="6" t="s">
        <v>90</v>
      </c>
      <c r="C31" s="6" t="s">
        <v>91</v>
      </c>
      <c r="D31" s="7" t="s">
        <v>92</v>
      </c>
      <c r="E31" s="7" t="s">
        <v>30</v>
      </c>
      <c r="F31" s="6">
        <v>-1</v>
      </c>
      <c r="G31" s="6">
        <v>20250201</v>
      </c>
      <c r="H31" s="6" t="s">
        <v>31</v>
      </c>
      <c r="I31" s="8">
        <v>-215.88</v>
      </c>
      <c r="J31" s="9">
        <v>20</v>
      </c>
      <c r="K31" s="10">
        <v>-20</v>
      </c>
    </row>
    <row r="32" spans="1:11" ht="15.75" x14ac:dyDescent="0.25">
      <c r="A32" s="6" t="s">
        <v>14</v>
      </c>
      <c r="B32" s="6" t="s">
        <v>90</v>
      </c>
      <c r="C32" s="6" t="s">
        <v>91</v>
      </c>
      <c r="D32" s="7" t="s">
        <v>92</v>
      </c>
      <c r="E32" s="7" t="s">
        <v>30</v>
      </c>
      <c r="F32" s="6">
        <v>-1</v>
      </c>
      <c r="G32" s="6">
        <v>20250101</v>
      </c>
      <c r="H32" s="6" t="s">
        <v>31</v>
      </c>
      <c r="I32" s="8">
        <v>-213.88</v>
      </c>
      <c r="J32" s="9">
        <v>20</v>
      </c>
      <c r="K32" s="10">
        <v>-20</v>
      </c>
    </row>
    <row r="33" spans="1:11" ht="15.75" x14ac:dyDescent="0.25">
      <c r="A33" s="6" t="s">
        <v>14</v>
      </c>
      <c r="B33" s="6" t="s">
        <v>93</v>
      </c>
      <c r="C33" s="6" t="s">
        <v>94</v>
      </c>
      <c r="D33" s="7" t="s">
        <v>95</v>
      </c>
      <c r="E33" s="7" t="s">
        <v>96</v>
      </c>
      <c r="F33" s="6">
        <v>1</v>
      </c>
      <c r="G33" s="6">
        <v>20250301</v>
      </c>
      <c r="H33" s="6" t="s">
        <v>31</v>
      </c>
      <c r="I33" s="8">
        <v>348.22</v>
      </c>
      <c r="J33" s="9">
        <v>25</v>
      </c>
      <c r="K33" s="10">
        <v>25</v>
      </c>
    </row>
    <row r="34" spans="1:11" ht="15.75" x14ac:dyDescent="0.25">
      <c r="A34" s="6" t="s">
        <v>14</v>
      </c>
      <c r="B34" s="6" t="s">
        <v>93</v>
      </c>
      <c r="C34" s="6" t="s">
        <v>97</v>
      </c>
      <c r="D34" s="7" t="s">
        <v>98</v>
      </c>
      <c r="E34" s="7" t="s">
        <v>65</v>
      </c>
      <c r="F34" s="6">
        <v>1</v>
      </c>
      <c r="G34" s="6">
        <v>20250301</v>
      </c>
      <c r="H34" s="6" t="s">
        <v>31</v>
      </c>
      <c r="I34" s="8">
        <v>107.75</v>
      </c>
      <c r="J34" s="9">
        <v>22</v>
      </c>
      <c r="K34" s="10">
        <v>22</v>
      </c>
    </row>
    <row r="35" spans="1:11" ht="15.75" x14ac:dyDescent="0.25">
      <c r="A35" s="6" t="s">
        <v>14</v>
      </c>
      <c r="B35" s="6" t="s">
        <v>93</v>
      </c>
      <c r="C35" s="6" t="s">
        <v>99</v>
      </c>
      <c r="D35" s="7" t="s">
        <v>100</v>
      </c>
      <c r="E35" s="7" t="s">
        <v>18</v>
      </c>
      <c r="F35" s="6">
        <v>1</v>
      </c>
      <c r="G35" s="6">
        <v>20250301</v>
      </c>
      <c r="H35" s="6" t="s">
        <v>19</v>
      </c>
      <c r="I35" s="8">
        <v>361.06</v>
      </c>
      <c r="J35" s="9">
        <v>27</v>
      </c>
      <c r="K35" s="10">
        <v>27</v>
      </c>
    </row>
    <row r="36" spans="1:11" ht="15.75" x14ac:dyDescent="0.25">
      <c r="A36" s="6" t="s">
        <v>14</v>
      </c>
      <c r="B36" s="6" t="s">
        <v>93</v>
      </c>
      <c r="C36" s="6" t="s">
        <v>101</v>
      </c>
      <c r="D36" s="7" t="s">
        <v>102</v>
      </c>
      <c r="E36" s="7" t="s">
        <v>11</v>
      </c>
      <c r="F36" s="6">
        <v>1</v>
      </c>
      <c r="G36" s="6">
        <v>20250301</v>
      </c>
      <c r="H36" s="6" t="s">
        <v>19</v>
      </c>
      <c r="I36" s="8">
        <v>126.18</v>
      </c>
      <c r="J36" s="9">
        <v>22</v>
      </c>
      <c r="K36" s="10">
        <v>22</v>
      </c>
    </row>
    <row r="37" spans="1:11" ht="15.75" x14ac:dyDescent="0.25">
      <c r="A37" s="6" t="s">
        <v>14</v>
      </c>
      <c r="B37" s="6" t="s">
        <v>93</v>
      </c>
      <c r="C37" s="6" t="s">
        <v>103</v>
      </c>
      <c r="D37" s="7" t="s">
        <v>104</v>
      </c>
      <c r="E37" s="7" t="s">
        <v>11</v>
      </c>
      <c r="F37" s="6">
        <v>1</v>
      </c>
      <c r="G37" s="6">
        <v>20250301</v>
      </c>
      <c r="H37" s="6" t="s">
        <v>19</v>
      </c>
      <c r="I37" s="8">
        <v>11.9</v>
      </c>
      <c r="J37" s="9">
        <v>22</v>
      </c>
      <c r="K37" s="10">
        <v>22</v>
      </c>
    </row>
    <row r="38" spans="1:11" ht="15.75" x14ac:dyDescent="0.25">
      <c r="A38" s="6" t="s">
        <v>14</v>
      </c>
      <c r="B38" s="6" t="s">
        <v>105</v>
      </c>
      <c r="C38" s="6" t="s">
        <v>106</v>
      </c>
      <c r="D38" s="7" t="s">
        <v>107</v>
      </c>
      <c r="E38" s="7" t="s">
        <v>30</v>
      </c>
      <c r="F38" s="6" t="s">
        <v>12</v>
      </c>
      <c r="G38" s="6">
        <v>20250301</v>
      </c>
      <c r="H38" s="6" t="s">
        <v>13</v>
      </c>
      <c r="I38" s="8">
        <v>48.96</v>
      </c>
      <c r="J38" s="9">
        <v>0.2</v>
      </c>
      <c r="K38" s="10">
        <v>9.7920000000000016</v>
      </c>
    </row>
    <row r="39" spans="1:11" ht="15.75" x14ac:dyDescent="0.25">
      <c r="A39" s="6" t="s">
        <v>14</v>
      </c>
      <c r="B39" s="6" t="s">
        <v>105</v>
      </c>
      <c r="C39" s="6" t="s">
        <v>108</v>
      </c>
      <c r="D39" s="7" t="s">
        <v>109</v>
      </c>
      <c r="E39" s="7" t="s">
        <v>110</v>
      </c>
      <c r="F39" s="6" t="s">
        <v>12</v>
      </c>
      <c r="G39" s="6">
        <v>20250301</v>
      </c>
      <c r="H39" s="6" t="s">
        <v>13</v>
      </c>
      <c r="I39" s="8">
        <v>99.32</v>
      </c>
      <c r="J39" s="9">
        <v>0.2</v>
      </c>
      <c r="K39" s="10">
        <v>19.864000000000001</v>
      </c>
    </row>
    <row r="40" spans="1:11" ht="15.75" x14ac:dyDescent="0.25">
      <c r="A40" s="6" t="s">
        <v>14</v>
      </c>
      <c r="B40" s="6" t="s">
        <v>105</v>
      </c>
      <c r="C40" s="6" t="s">
        <v>111</v>
      </c>
      <c r="D40" s="7" t="s">
        <v>112</v>
      </c>
      <c r="E40" s="7" t="s">
        <v>110</v>
      </c>
      <c r="F40" s="6" t="s">
        <v>12</v>
      </c>
      <c r="G40" s="6">
        <v>20250301</v>
      </c>
      <c r="H40" s="6" t="s">
        <v>13</v>
      </c>
      <c r="I40" s="8">
        <v>64.09</v>
      </c>
      <c r="J40" s="9">
        <v>0.2</v>
      </c>
      <c r="K40" s="10">
        <v>12.818000000000001</v>
      </c>
    </row>
    <row r="41" spans="1:11" ht="15.75" x14ac:dyDescent="0.25">
      <c r="A41" s="6" t="s">
        <v>14</v>
      </c>
      <c r="B41" s="6" t="s">
        <v>105</v>
      </c>
      <c r="C41" s="6" t="s">
        <v>113</v>
      </c>
      <c r="D41" s="7" t="s">
        <v>114</v>
      </c>
      <c r="E41" s="7" t="s">
        <v>110</v>
      </c>
      <c r="F41" s="6">
        <v>1</v>
      </c>
      <c r="G41" s="6">
        <v>20250301</v>
      </c>
      <c r="H41" s="6" t="s">
        <v>19</v>
      </c>
      <c r="I41" s="8">
        <v>51.56</v>
      </c>
      <c r="J41" s="9">
        <v>20</v>
      </c>
      <c r="K41" s="10">
        <v>20</v>
      </c>
    </row>
    <row r="42" spans="1:11" ht="15.75" x14ac:dyDescent="0.25">
      <c r="A42" s="6" t="s">
        <v>14</v>
      </c>
      <c r="B42" s="6" t="s">
        <v>105</v>
      </c>
      <c r="C42" s="6" t="s">
        <v>115</v>
      </c>
      <c r="D42" s="7" t="s">
        <v>116</v>
      </c>
      <c r="E42" s="7" t="s">
        <v>110</v>
      </c>
      <c r="F42" s="6">
        <v>2</v>
      </c>
      <c r="G42" s="6">
        <v>20250301</v>
      </c>
      <c r="H42" s="6" t="s">
        <v>19</v>
      </c>
      <c r="I42" s="8">
        <v>983.89</v>
      </c>
      <c r="J42" s="9">
        <v>20</v>
      </c>
      <c r="K42" s="10">
        <v>40</v>
      </c>
    </row>
    <row r="43" spans="1:11" ht="15.75" x14ac:dyDescent="0.25">
      <c r="A43" s="6" t="s">
        <v>14</v>
      </c>
      <c r="B43" s="6" t="s">
        <v>105</v>
      </c>
      <c r="C43" s="6" t="s">
        <v>117</v>
      </c>
      <c r="D43" s="7" t="s">
        <v>118</v>
      </c>
      <c r="E43" s="7" t="s">
        <v>110</v>
      </c>
      <c r="F43" s="6">
        <v>1</v>
      </c>
      <c r="G43" s="6">
        <v>20250301</v>
      </c>
      <c r="H43" s="6" t="s">
        <v>19</v>
      </c>
      <c r="I43" s="8">
        <v>640.73</v>
      </c>
      <c r="J43" s="9">
        <v>20</v>
      </c>
      <c r="K43" s="10">
        <v>20</v>
      </c>
    </row>
    <row r="44" spans="1:11" ht="15.75" x14ac:dyDescent="0.25">
      <c r="A44" s="6" t="s">
        <v>14</v>
      </c>
      <c r="B44" s="6" t="s">
        <v>105</v>
      </c>
      <c r="C44" s="6" t="s">
        <v>119</v>
      </c>
      <c r="D44" s="7" t="s">
        <v>120</v>
      </c>
      <c r="E44" s="7" t="s">
        <v>110</v>
      </c>
      <c r="F44" s="6">
        <v>1</v>
      </c>
      <c r="G44" s="6">
        <v>20250301</v>
      </c>
      <c r="H44" s="6" t="s">
        <v>19</v>
      </c>
      <c r="I44" s="8">
        <v>258.48</v>
      </c>
      <c r="J44" s="9">
        <v>20</v>
      </c>
      <c r="K44" s="10">
        <v>20</v>
      </c>
    </row>
    <row r="45" spans="1:11" ht="15.75" x14ac:dyDescent="0.25">
      <c r="A45" s="6" t="s">
        <v>14</v>
      </c>
      <c r="B45" s="6" t="s">
        <v>105</v>
      </c>
      <c r="C45" s="6" t="s">
        <v>121</v>
      </c>
      <c r="D45" s="7" t="s">
        <v>122</v>
      </c>
      <c r="E45" s="7" t="s">
        <v>110</v>
      </c>
      <c r="F45" s="6">
        <v>1</v>
      </c>
      <c r="G45" s="6">
        <v>20250201</v>
      </c>
      <c r="H45" s="6" t="s">
        <v>19</v>
      </c>
      <c r="I45" s="8">
        <v>424.37</v>
      </c>
      <c r="J45" s="9">
        <v>20</v>
      </c>
      <c r="K45" s="10">
        <v>20</v>
      </c>
    </row>
    <row r="46" spans="1:11" ht="15.75" x14ac:dyDescent="0.25">
      <c r="A46" s="6" t="s">
        <v>14</v>
      </c>
      <c r="B46" s="6" t="s">
        <v>105</v>
      </c>
      <c r="C46" s="6" t="s">
        <v>123</v>
      </c>
      <c r="D46" s="7" t="s">
        <v>124</v>
      </c>
      <c r="E46" s="7" t="s">
        <v>110</v>
      </c>
      <c r="F46" s="6">
        <v>1</v>
      </c>
      <c r="G46" s="6">
        <v>20250301</v>
      </c>
      <c r="H46" s="6" t="s">
        <v>19</v>
      </c>
      <c r="I46" s="8">
        <v>260.33</v>
      </c>
      <c r="J46" s="9">
        <v>20</v>
      </c>
      <c r="K46" s="10">
        <v>20</v>
      </c>
    </row>
    <row r="47" spans="1:11" ht="15.75" x14ac:dyDescent="0.25">
      <c r="A47" s="6" t="s">
        <v>14</v>
      </c>
      <c r="B47" s="6" t="s">
        <v>105</v>
      </c>
      <c r="C47" s="6" t="s">
        <v>125</v>
      </c>
      <c r="D47" s="7" t="s">
        <v>126</v>
      </c>
      <c r="E47" s="7" t="s">
        <v>110</v>
      </c>
      <c r="F47" s="6">
        <v>1</v>
      </c>
      <c r="G47" s="6">
        <v>20250201</v>
      </c>
      <c r="H47" s="6" t="s">
        <v>19</v>
      </c>
      <c r="I47" s="8">
        <v>0</v>
      </c>
      <c r="J47" s="9">
        <v>20</v>
      </c>
      <c r="K47" s="10">
        <v>20</v>
      </c>
    </row>
    <row r="48" spans="1:11" ht="15.75" x14ac:dyDescent="0.25">
      <c r="A48" s="6" t="s">
        <v>14</v>
      </c>
      <c r="B48" s="6" t="s">
        <v>105</v>
      </c>
      <c r="C48" s="6" t="s">
        <v>127</v>
      </c>
      <c r="D48" s="7" t="s">
        <v>128</v>
      </c>
      <c r="E48" s="7" t="s">
        <v>110</v>
      </c>
      <c r="F48" s="6">
        <v>1</v>
      </c>
      <c r="G48" s="6">
        <v>20250301</v>
      </c>
      <c r="H48" s="6" t="s">
        <v>19</v>
      </c>
      <c r="I48" s="8">
        <v>13.77</v>
      </c>
      <c r="J48" s="9">
        <v>20</v>
      </c>
      <c r="K48" s="10">
        <v>20</v>
      </c>
    </row>
    <row r="49" spans="1:11" ht="15.75" x14ac:dyDescent="0.25">
      <c r="A49" s="6" t="s">
        <v>14</v>
      </c>
      <c r="B49" s="6" t="s">
        <v>105</v>
      </c>
      <c r="C49" s="6" t="s">
        <v>129</v>
      </c>
      <c r="D49" s="7" t="s">
        <v>130</v>
      </c>
      <c r="E49" s="7" t="s">
        <v>110</v>
      </c>
      <c r="F49" s="6">
        <v>1</v>
      </c>
      <c r="G49" s="6">
        <v>20250301</v>
      </c>
      <c r="H49" s="6" t="s">
        <v>19</v>
      </c>
      <c r="I49" s="8">
        <v>420.4</v>
      </c>
      <c r="J49" s="9">
        <v>20</v>
      </c>
      <c r="K49" s="10">
        <v>20</v>
      </c>
    </row>
    <row r="50" spans="1:11" ht="15.75" x14ac:dyDescent="0.25">
      <c r="A50" s="6" t="s">
        <v>14</v>
      </c>
      <c r="B50" s="6" t="s">
        <v>131</v>
      </c>
      <c r="C50" s="6" t="s">
        <v>132</v>
      </c>
      <c r="D50" s="7" t="s">
        <v>133</v>
      </c>
      <c r="E50" s="7" t="s">
        <v>30</v>
      </c>
      <c r="F50" s="6" t="s">
        <v>12</v>
      </c>
      <c r="G50" s="6">
        <v>20250301</v>
      </c>
      <c r="H50" s="6" t="s">
        <v>13</v>
      </c>
      <c r="I50" s="8">
        <v>157.46</v>
      </c>
      <c r="J50" s="9">
        <v>0.2</v>
      </c>
      <c r="K50" s="10">
        <v>31.492000000000004</v>
      </c>
    </row>
    <row r="51" spans="1:11" ht="15.75" x14ac:dyDescent="0.25">
      <c r="A51" s="6" t="s">
        <v>14</v>
      </c>
      <c r="B51" s="6" t="s">
        <v>131</v>
      </c>
      <c r="C51" s="6" t="s">
        <v>134</v>
      </c>
      <c r="D51" s="7" t="s">
        <v>135</v>
      </c>
      <c r="E51" s="7" t="s">
        <v>30</v>
      </c>
      <c r="F51" s="6" t="s">
        <v>12</v>
      </c>
      <c r="G51" s="6">
        <v>20250301</v>
      </c>
      <c r="H51" s="6" t="s">
        <v>13</v>
      </c>
      <c r="I51" s="8">
        <v>120.17</v>
      </c>
      <c r="J51" s="9">
        <v>0.2</v>
      </c>
      <c r="K51" s="10">
        <v>24.034000000000002</v>
      </c>
    </row>
    <row r="52" spans="1:11" ht="15.75" x14ac:dyDescent="0.25">
      <c r="A52" s="6" t="s">
        <v>14</v>
      </c>
      <c r="B52" s="6" t="s">
        <v>131</v>
      </c>
      <c r="C52" s="6" t="s">
        <v>136</v>
      </c>
      <c r="D52" s="7" t="s">
        <v>137</v>
      </c>
      <c r="E52" s="7" t="s">
        <v>30</v>
      </c>
      <c r="F52" s="6">
        <v>1</v>
      </c>
      <c r="G52" s="6">
        <v>20250301</v>
      </c>
      <c r="H52" s="6" t="s">
        <v>31</v>
      </c>
      <c r="I52" s="8">
        <v>868.53</v>
      </c>
      <c r="J52" s="9">
        <v>20</v>
      </c>
      <c r="K52" s="10">
        <v>20</v>
      </c>
    </row>
    <row r="53" spans="1:11" ht="15.75" x14ac:dyDescent="0.25">
      <c r="A53" s="6" t="s">
        <v>14</v>
      </c>
      <c r="B53" s="6" t="s">
        <v>131</v>
      </c>
      <c r="C53" s="6" t="s">
        <v>138</v>
      </c>
      <c r="D53" s="7" t="s">
        <v>139</v>
      </c>
      <c r="E53" s="7" t="s">
        <v>70</v>
      </c>
      <c r="F53" s="6">
        <v>2</v>
      </c>
      <c r="G53" s="6">
        <v>20250301</v>
      </c>
      <c r="H53" s="6" t="s">
        <v>19</v>
      </c>
      <c r="I53" s="8">
        <v>508.69</v>
      </c>
      <c r="J53" s="9">
        <v>27</v>
      </c>
      <c r="K53" s="10">
        <v>54</v>
      </c>
    </row>
    <row r="54" spans="1:11" ht="15.75" x14ac:dyDescent="0.25">
      <c r="A54" s="6" t="s">
        <v>14</v>
      </c>
      <c r="B54" s="6" t="s">
        <v>131</v>
      </c>
      <c r="C54" s="6" t="s">
        <v>140</v>
      </c>
      <c r="D54" s="7" t="s">
        <v>141</v>
      </c>
      <c r="E54" s="7" t="s">
        <v>18</v>
      </c>
      <c r="F54" s="6">
        <v>1</v>
      </c>
      <c r="G54" s="6">
        <v>20250301</v>
      </c>
      <c r="H54" s="6" t="s">
        <v>19</v>
      </c>
      <c r="I54" s="8">
        <v>324.38</v>
      </c>
      <c r="J54" s="9">
        <v>27</v>
      </c>
      <c r="K54" s="10">
        <v>27</v>
      </c>
    </row>
    <row r="55" spans="1:11" ht="15.75" x14ac:dyDescent="0.25">
      <c r="A55" s="6" t="s">
        <v>14</v>
      </c>
      <c r="B55" s="6" t="s">
        <v>142</v>
      </c>
      <c r="C55" s="6" t="s">
        <v>143</v>
      </c>
      <c r="D55" s="7" t="s">
        <v>144</v>
      </c>
      <c r="E55" s="7" t="s">
        <v>145</v>
      </c>
      <c r="F55" s="6" t="s">
        <v>12</v>
      </c>
      <c r="G55" s="6">
        <v>20250301</v>
      </c>
      <c r="H55" s="6" t="s">
        <v>13</v>
      </c>
      <c r="I55" s="8">
        <v>40.89</v>
      </c>
      <c r="J55" s="9">
        <v>0.2</v>
      </c>
      <c r="K55" s="10">
        <v>8.1780000000000008</v>
      </c>
    </row>
    <row r="56" spans="1:11" ht="15.75" x14ac:dyDescent="0.25">
      <c r="A56" s="6" t="s">
        <v>14</v>
      </c>
      <c r="B56" s="6" t="s">
        <v>142</v>
      </c>
      <c r="C56" s="6" t="s">
        <v>146</v>
      </c>
      <c r="D56" s="7" t="s">
        <v>147</v>
      </c>
      <c r="E56" s="7" t="s">
        <v>145</v>
      </c>
      <c r="F56" s="6" t="s">
        <v>12</v>
      </c>
      <c r="G56" s="6">
        <v>20250301</v>
      </c>
      <c r="H56" s="6" t="s">
        <v>13</v>
      </c>
      <c r="I56" s="8">
        <v>74.58</v>
      </c>
      <c r="J56" s="9">
        <v>0.2</v>
      </c>
      <c r="K56" s="10">
        <v>14.916</v>
      </c>
    </row>
    <row r="57" spans="1:11" ht="15.75" x14ac:dyDescent="0.25">
      <c r="A57" s="6" t="s">
        <v>14</v>
      </c>
      <c r="B57" s="6" t="s">
        <v>142</v>
      </c>
      <c r="C57" s="6" t="s">
        <v>148</v>
      </c>
      <c r="D57" s="7" t="s">
        <v>149</v>
      </c>
      <c r="E57" s="7" t="s">
        <v>145</v>
      </c>
      <c r="F57" s="6" t="s">
        <v>12</v>
      </c>
      <c r="G57" s="6">
        <v>20250301</v>
      </c>
      <c r="H57" s="6" t="s">
        <v>13</v>
      </c>
      <c r="I57" s="8">
        <v>64.17</v>
      </c>
      <c r="J57" s="9">
        <v>0.2</v>
      </c>
      <c r="K57" s="10">
        <v>12.834000000000001</v>
      </c>
    </row>
    <row r="58" spans="1:11" ht="15.75" x14ac:dyDescent="0.25">
      <c r="A58" s="6" t="s">
        <v>14</v>
      </c>
      <c r="B58" s="6" t="s">
        <v>142</v>
      </c>
      <c r="C58" s="6" t="s">
        <v>150</v>
      </c>
      <c r="D58" s="7" t="s">
        <v>151</v>
      </c>
      <c r="E58" s="7" t="s">
        <v>145</v>
      </c>
      <c r="F58" s="6" t="s">
        <v>12</v>
      </c>
      <c r="G58" s="6">
        <v>20250301</v>
      </c>
      <c r="H58" s="6" t="s">
        <v>13</v>
      </c>
      <c r="I58" s="8">
        <v>56.51</v>
      </c>
      <c r="J58" s="9">
        <v>0.2</v>
      </c>
      <c r="K58" s="10">
        <v>11.302</v>
      </c>
    </row>
    <row r="59" spans="1:11" ht="15.75" x14ac:dyDescent="0.25">
      <c r="A59" s="6" t="s">
        <v>14</v>
      </c>
      <c r="B59" s="6" t="s">
        <v>142</v>
      </c>
      <c r="C59" s="6" t="s">
        <v>152</v>
      </c>
      <c r="D59" s="7" t="s">
        <v>153</v>
      </c>
      <c r="E59" s="7" t="s">
        <v>145</v>
      </c>
      <c r="F59" s="6" t="s">
        <v>12</v>
      </c>
      <c r="G59" s="6">
        <v>20250301</v>
      </c>
      <c r="H59" s="6" t="s">
        <v>13</v>
      </c>
      <c r="I59" s="8">
        <v>37.29</v>
      </c>
      <c r="J59" s="9">
        <v>0.2</v>
      </c>
      <c r="K59" s="10">
        <v>7.4580000000000002</v>
      </c>
    </row>
    <row r="60" spans="1:11" ht="15.75" x14ac:dyDescent="0.25">
      <c r="A60" s="6" t="s">
        <v>14</v>
      </c>
      <c r="B60" s="6" t="s">
        <v>142</v>
      </c>
      <c r="C60" s="6" t="s">
        <v>154</v>
      </c>
      <c r="D60" s="7" t="s">
        <v>155</v>
      </c>
      <c r="E60" s="7" t="s">
        <v>145</v>
      </c>
      <c r="F60" s="6" t="s">
        <v>12</v>
      </c>
      <c r="G60" s="6">
        <v>20250301</v>
      </c>
      <c r="H60" s="6" t="s">
        <v>13</v>
      </c>
      <c r="I60" s="8">
        <v>52.71</v>
      </c>
      <c r="J60" s="9">
        <v>0.2</v>
      </c>
      <c r="K60" s="10">
        <v>10.542000000000002</v>
      </c>
    </row>
    <row r="61" spans="1:11" ht="15.75" x14ac:dyDescent="0.25">
      <c r="A61" s="6" t="s">
        <v>14</v>
      </c>
      <c r="B61" s="6" t="s">
        <v>142</v>
      </c>
      <c r="C61" s="6" t="s">
        <v>156</v>
      </c>
      <c r="D61" s="7" t="s">
        <v>157</v>
      </c>
      <c r="E61" s="7" t="s">
        <v>145</v>
      </c>
      <c r="F61" s="6" t="s">
        <v>12</v>
      </c>
      <c r="G61" s="6">
        <v>20250301</v>
      </c>
      <c r="H61" s="6" t="s">
        <v>13</v>
      </c>
      <c r="I61" s="8">
        <v>36.92</v>
      </c>
      <c r="J61" s="9">
        <v>0.2</v>
      </c>
      <c r="K61" s="10">
        <v>7.3840000000000003</v>
      </c>
    </row>
    <row r="62" spans="1:11" ht="15.75" x14ac:dyDescent="0.25">
      <c r="A62" s="6" t="s">
        <v>14</v>
      </c>
      <c r="B62" s="6" t="s">
        <v>142</v>
      </c>
      <c r="C62" s="6" t="s">
        <v>158</v>
      </c>
      <c r="D62" s="7" t="s">
        <v>159</v>
      </c>
      <c r="E62" s="7" t="s">
        <v>145</v>
      </c>
      <c r="F62" s="6" t="s">
        <v>12</v>
      </c>
      <c r="G62" s="6">
        <v>20250301</v>
      </c>
      <c r="H62" s="6" t="s">
        <v>13</v>
      </c>
      <c r="I62" s="8">
        <v>54.87</v>
      </c>
      <c r="J62" s="9">
        <v>0.2</v>
      </c>
      <c r="K62" s="10">
        <v>10.974</v>
      </c>
    </row>
    <row r="63" spans="1:11" ht="15.75" x14ac:dyDescent="0.25">
      <c r="A63" s="6" t="s">
        <v>14</v>
      </c>
      <c r="B63" s="6" t="s">
        <v>142</v>
      </c>
      <c r="C63" s="6" t="s">
        <v>160</v>
      </c>
      <c r="D63" s="7" t="s">
        <v>161</v>
      </c>
      <c r="E63" s="7" t="s">
        <v>145</v>
      </c>
      <c r="F63" s="6" t="s">
        <v>12</v>
      </c>
      <c r="G63" s="6">
        <v>20250301</v>
      </c>
      <c r="H63" s="6" t="s">
        <v>13</v>
      </c>
      <c r="I63" s="8">
        <v>64.17</v>
      </c>
      <c r="J63" s="9">
        <v>0.2</v>
      </c>
      <c r="K63" s="10">
        <v>12.834000000000001</v>
      </c>
    </row>
    <row r="64" spans="1:11" ht="15.75" x14ac:dyDescent="0.25">
      <c r="A64" s="6" t="s">
        <v>14</v>
      </c>
      <c r="B64" s="6" t="s">
        <v>142</v>
      </c>
      <c r="C64" s="6" t="s">
        <v>162</v>
      </c>
      <c r="D64" s="7" t="s">
        <v>163</v>
      </c>
      <c r="E64" s="7" t="s">
        <v>145</v>
      </c>
      <c r="F64" s="6" t="s">
        <v>12</v>
      </c>
      <c r="G64" s="6">
        <v>20250301</v>
      </c>
      <c r="H64" s="6" t="s">
        <v>13</v>
      </c>
      <c r="I64" s="8">
        <v>72.92</v>
      </c>
      <c r="J64" s="9">
        <v>0.2</v>
      </c>
      <c r="K64" s="10">
        <v>14.584000000000001</v>
      </c>
    </row>
    <row r="65" spans="1:11" ht="15.75" x14ac:dyDescent="0.25">
      <c r="A65" s="6" t="s">
        <v>14</v>
      </c>
      <c r="B65" s="6" t="s">
        <v>142</v>
      </c>
      <c r="C65" s="6" t="s">
        <v>164</v>
      </c>
      <c r="D65" s="7" t="s">
        <v>165</v>
      </c>
      <c r="E65" s="7" t="s">
        <v>145</v>
      </c>
      <c r="F65" s="6" t="s">
        <v>12</v>
      </c>
      <c r="G65" s="6">
        <v>20250301</v>
      </c>
      <c r="H65" s="6" t="s">
        <v>13</v>
      </c>
      <c r="I65" s="8">
        <v>39.700000000000003</v>
      </c>
      <c r="J65" s="9">
        <v>0.2</v>
      </c>
      <c r="K65" s="10">
        <v>7.9400000000000013</v>
      </c>
    </row>
    <row r="66" spans="1:11" ht="15.75" x14ac:dyDescent="0.25">
      <c r="A66" s="6" t="s">
        <v>14</v>
      </c>
      <c r="B66" s="6" t="s">
        <v>142</v>
      </c>
      <c r="C66" s="6" t="s">
        <v>166</v>
      </c>
      <c r="D66" s="7" t="s">
        <v>167</v>
      </c>
      <c r="E66" s="7" t="s">
        <v>96</v>
      </c>
      <c r="F66" s="6" t="s">
        <v>12</v>
      </c>
      <c r="G66" s="6">
        <v>20250301</v>
      </c>
      <c r="H66" s="6" t="s">
        <v>13</v>
      </c>
      <c r="I66" s="8">
        <v>51.11</v>
      </c>
      <c r="J66" s="9">
        <v>0.2</v>
      </c>
      <c r="K66" s="10">
        <v>10.222000000000001</v>
      </c>
    </row>
    <row r="67" spans="1:11" ht="15.75" x14ac:dyDescent="0.25">
      <c r="A67" s="6" t="s">
        <v>14</v>
      </c>
      <c r="B67" s="6" t="s">
        <v>168</v>
      </c>
      <c r="C67" s="6" t="s">
        <v>169</v>
      </c>
      <c r="D67" s="7" t="s">
        <v>170</v>
      </c>
      <c r="E67" s="7" t="s">
        <v>70</v>
      </c>
      <c r="F67" s="6">
        <v>1</v>
      </c>
      <c r="G67" s="6">
        <v>20250301</v>
      </c>
      <c r="H67" s="6" t="s">
        <v>19</v>
      </c>
      <c r="I67" s="8">
        <v>162.19999999999999</v>
      </c>
      <c r="J67" s="9">
        <v>27</v>
      </c>
      <c r="K67" s="10">
        <v>27</v>
      </c>
    </row>
    <row r="68" spans="1:11" ht="15.75" x14ac:dyDescent="0.25">
      <c r="A68" s="6" t="s">
        <v>14</v>
      </c>
      <c r="B68" s="6" t="s">
        <v>171</v>
      </c>
      <c r="C68" s="6" t="s">
        <v>172</v>
      </c>
      <c r="D68" s="7" t="s">
        <v>173</v>
      </c>
      <c r="E68" s="7" t="s">
        <v>110</v>
      </c>
      <c r="F68" s="6" t="s">
        <v>12</v>
      </c>
      <c r="G68" s="6">
        <v>20250301</v>
      </c>
      <c r="H68" s="6" t="s">
        <v>13</v>
      </c>
      <c r="I68" s="8">
        <v>221.92</v>
      </c>
      <c r="J68" s="9">
        <v>0.2</v>
      </c>
      <c r="K68" s="10">
        <v>44.384</v>
      </c>
    </row>
    <row r="69" spans="1:11" ht="15.75" x14ac:dyDescent="0.25">
      <c r="A69" s="6" t="s">
        <v>14</v>
      </c>
      <c r="B69" s="6" t="s">
        <v>171</v>
      </c>
      <c r="C69" s="6" t="s">
        <v>174</v>
      </c>
      <c r="D69" s="7" t="s">
        <v>175</v>
      </c>
      <c r="E69" s="7" t="s">
        <v>110</v>
      </c>
      <c r="F69" s="6" t="s">
        <v>12</v>
      </c>
      <c r="G69" s="6">
        <v>20250301</v>
      </c>
      <c r="H69" s="6" t="s">
        <v>13</v>
      </c>
      <c r="I69" s="8">
        <v>20</v>
      </c>
      <c r="J69" s="9">
        <v>0.2</v>
      </c>
      <c r="K69" s="10">
        <v>4</v>
      </c>
    </row>
    <row r="70" spans="1:11" ht="15.75" x14ac:dyDescent="0.25">
      <c r="A70" s="6" t="s">
        <v>14</v>
      </c>
      <c r="B70" s="6" t="s">
        <v>171</v>
      </c>
      <c r="C70" s="6" t="s">
        <v>176</v>
      </c>
      <c r="D70" s="7" t="s">
        <v>177</v>
      </c>
      <c r="E70" s="7" t="s">
        <v>178</v>
      </c>
      <c r="F70" s="6" t="s">
        <v>12</v>
      </c>
      <c r="G70" s="6">
        <v>20250301</v>
      </c>
      <c r="H70" s="6" t="s">
        <v>13</v>
      </c>
      <c r="I70" s="8">
        <v>38</v>
      </c>
      <c r="J70" s="9">
        <v>0.2</v>
      </c>
      <c r="K70" s="10">
        <v>7.6000000000000005</v>
      </c>
    </row>
    <row r="71" spans="1:11" ht="15.75" x14ac:dyDescent="0.25">
      <c r="A71" s="6" t="s">
        <v>14</v>
      </c>
      <c r="B71" s="6" t="s">
        <v>171</v>
      </c>
      <c r="C71" s="6" t="s">
        <v>179</v>
      </c>
      <c r="D71" s="7" t="s">
        <v>180</v>
      </c>
      <c r="E71" s="7" t="s">
        <v>110</v>
      </c>
      <c r="F71" s="6" t="s">
        <v>12</v>
      </c>
      <c r="G71" s="6">
        <v>20250301</v>
      </c>
      <c r="H71" s="6" t="s">
        <v>13</v>
      </c>
      <c r="I71" s="8">
        <v>49</v>
      </c>
      <c r="J71" s="9">
        <v>0.2</v>
      </c>
      <c r="K71" s="10">
        <v>9.8000000000000007</v>
      </c>
    </row>
    <row r="72" spans="1:11" ht="15.75" x14ac:dyDescent="0.25">
      <c r="A72" s="6" t="s">
        <v>14</v>
      </c>
      <c r="B72" s="6" t="s">
        <v>171</v>
      </c>
      <c r="C72" s="6" t="s">
        <v>181</v>
      </c>
      <c r="D72" s="7" t="s">
        <v>182</v>
      </c>
      <c r="E72" s="7" t="s">
        <v>110</v>
      </c>
      <c r="F72" s="6" t="s">
        <v>12</v>
      </c>
      <c r="G72" s="6">
        <v>20250301</v>
      </c>
      <c r="H72" s="6" t="s">
        <v>13</v>
      </c>
      <c r="I72" s="8">
        <v>53.65</v>
      </c>
      <c r="J72" s="9">
        <v>0.2</v>
      </c>
      <c r="K72" s="10">
        <v>10.73</v>
      </c>
    </row>
    <row r="73" spans="1:11" ht="15.75" x14ac:dyDescent="0.25">
      <c r="A73" s="6" t="s">
        <v>14</v>
      </c>
      <c r="B73" s="6" t="s">
        <v>171</v>
      </c>
      <c r="C73" s="6" t="s">
        <v>174</v>
      </c>
      <c r="D73" s="7" t="s">
        <v>183</v>
      </c>
      <c r="E73" s="7" t="s">
        <v>110</v>
      </c>
      <c r="F73" s="6">
        <v>1</v>
      </c>
      <c r="G73" s="6">
        <v>20250301</v>
      </c>
      <c r="H73" s="6" t="s">
        <v>19</v>
      </c>
      <c r="I73" s="8">
        <v>533.29999999999995</v>
      </c>
      <c r="J73" s="9">
        <v>20</v>
      </c>
      <c r="K73" s="10">
        <v>20</v>
      </c>
    </row>
    <row r="74" spans="1:11" ht="15.75" x14ac:dyDescent="0.25">
      <c r="A74" s="6" t="s">
        <v>14</v>
      </c>
      <c r="B74" s="6" t="s">
        <v>171</v>
      </c>
      <c r="C74" s="6" t="s">
        <v>184</v>
      </c>
      <c r="D74" s="7" t="s">
        <v>185</v>
      </c>
      <c r="E74" s="7" t="s">
        <v>110</v>
      </c>
      <c r="F74" s="6">
        <v>1</v>
      </c>
      <c r="G74" s="6">
        <v>20250301</v>
      </c>
      <c r="H74" s="6" t="s">
        <v>19</v>
      </c>
      <c r="I74" s="8">
        <v>29.68</v>
      </c>
      <c r="J74" s="9">
        <v>20</v>
      </c>
      <c r="K74" s="10">
        <v>20</v>
      </c>
    </row>
    <row r="75" spans="1:11" ht="15.75" x14ac:dyDescent="0.25">
      <c r="A75" s="6" t="s">
        <v>14</v>
      </c>
      <c r="B75" s="6" t="s">
        <v>171</v>
      </c>
      <c r="C75" s="6" t="s">
        <v>179</v>
      </c>
      <c r="D75" s="7" t="s">
        <v>186</v>
      </c>
      <c r="E75" s="7" t="s">
        <v>110</v>
      </c>
      <c r="F75" s="6">
        <v>1</v>
      </c>
      <c r="G75" s="6">
        <v>20250301</v>
      </c>
      <c r="H75" s="6" t="s">
        <v>19</v>
      </c>
      <c r="I75" s="8">
        <v>225.91</v>
      </c>
      <c r="J75" s="9">
        <v>20</v>
      </c>
      <c r="K75" s="10">
        <v>20</v>
      </c>
    </row>
    <row r="76" spans="1:11" ht="15.75" x14ac:dyDescent="0.25">
      <c r="A76" s="6" t="s">
        <v>14</v>
      </c>
      <c r="B76" s="6" t="s">
        <v>171</v>
      </c>
      <c r="C76" s="6" t="s">
        <v>187</v>
      </c>
      <c r="D76" s="7" t="s">
        <v>188</v>
      </c>
      <c r="E76" s="7" t="s">
        <v>110</v>
      </c>
      <c r="F76" s="6">
        <v>1</v>
      </c>
      <c r="G76" s="6">
        <v>20250301</v>
      </c>
      <c r="H76" s="6" t="s">
        <v>19</v>
      </c>
      <c r="I76" s="8">
        <v>32.159999999999997</v>
      </c>
      <c r="J76" s="9">
        <v>20</v>
      </c>
      <c r="K76" s="10">
        <v>20</v>
      </c>
    </row>
    <row r="77" spans="1:11" ht="15.75" x14ac:dyDescent="0.25">
      <c r="A77" s="6" t="s">
        <v>14</v>
      </c>
      <c r="B77" s="6" t="s">
        <v>171</v>
      </c>
      <c r="C77" s="6" t="s">
        <v>189</v>
      </c>
      <c r="D77" s="7" t="s">
        <v>190</v>
      </c>
      <c r="E77" s="7" t="s">
        <v>110</v>
      </c>
      <c r="F77" s="6">
        <v>1</v>
      </c>
      <c r="G77" s="6">
        <v>20250201</v>
      </c>
      <c r="H77" s="6" t="s">
        <v>19</v>
      </c>
      <c r="I77" s="8">
        <v>387.35</v>
      </c>
      <c r="J77" s="9">
        <v>20</v>
      </c>
      <c r="K77" s="10">
        <v>20</v>
      </c>
    </row>
    <row r="78" spans="1:11" ht="15.75" x14ac:dyDescent="0.25">
      <c r="A78" s="6" t="s">
        <v>14</v>
      </c>
      <c r="B78" s="6" t="s">
        <v>171</v>
      </c>
      <c r="C78" s="6" t="s">
        <v>191</v>
      </c>
      <c r="D78" s="7" t="s">
        <v>192</v>
      </c>
      <c r="E78" s="7" t="s">
        <v>110</v>
      </c>
      <c r="F78" s="6">
        <v>1</v>
      </c>
      <c r="G78" s="6">
        <v>20250301</v>
      </c>
      <c r="H78" s="6" t="s">
        <v>19</v>
      </c>
      <c r="I78" s="8">
        <v>362.1</v>
      </c>
      <c r="J78" s="9">
        <v>20</v>
      </c>
      <c r="K78" s="10">
        <v>20</v>
      </c>
    </row>
    <row r="79" spans="1:11" ht="15.75" x14ac:dyDescent="0.25">
      <c r="A79" s="6" t="s">
        <v>14</v>
      </c>
      <c r="B79" s="6" t="s">
        <v>171</v>
      </c>
      <c r="C79" s="6" t="s">
        <v>193</v>
      </c>
      <c r="D79" s="7" t="s">
        <v>194</v>
      </c>
      <c r="E79" s="7" t="s">
        <v>110</v>
      </c>
      <c r="F79" s="6">
        <v>1</v>
      </c>
      <c r="G79" s="6">
        <v>20250301</v>
      </c>
      <c r="H79" s="6" t="s">
        <v>19</v>
      </c>
      <c r="I79" s="8">
        <v>446.73</v>
      </c>
      <c r="J79" s="9">
        <v>20</v>
      </c>
      <c r="K79" s="10">
        <v>20</v>
      </c>
    </row>
    <row r="80" spans="1:11" ht="15.75" x14ac:dyDescent="0.25">
      <c r="A80" s="6" t="s">
        <v>14</v>
      </c>
      <c r="B80" s="6" t="s">
        <v>171</v>
      </c>
      <c r="C80" s="6" t="s">
        <v>195</v>
      </c>
      <c r="D80" s="7" t="s">
        <v>196</v>
      </c>
      <c r="E80" s="7" t="s">
        <v>110</v>
      </c>
      <c r="F80" s="6">
        <v>2</v>
      </c>
      <c r="G80" s="6">
        <v>20250301</v>
      </c>
      <c r="H80" s="6" t="s">
        <v>19</v>
      </c>
      <c r="I80" s="8">
        <v>86.34</v>
      </c>
      <c r="J80" s="9">
        <v>20</v>
      </c>
      <c r="K80" s="10">
        <v>40</v>
      </c>
    </row>
    <row r="81" spans="1:11" ht="15.75" x14ac:dyDescent="0.25">
      <c r="A81" s="6" t="s">
        <v>14</v>
      </c>
      <c r="B81" s="6" t="s">
        <v>171</v>
      </c>
      <c r="C81" s="6" t="s">
        <v>197</v>
      </c>
      <c r="D81" s="7" t="s">
        <v>198</v>
      </c>
      <c r="E81" s="7" t="s">
        <v>110</v>
      </c>
      <c r="F81" s="6">
        <v>2</v>
      </c>
      <c r="G81" s="6">
        <v>20250301</v>
      </c>
      <c r="H81" s="6" t="s">
        <v>19</v>
      </c>
      <c r="I81" s="8">
        <v>149.62</v>
      </c>
      <c r="J81" s="9">
        <v>20</v>
      </c>
      <c r="K81" s="10">
        <v>40</v>
      </c>
    </row>
    <row r="82" spans="1:11" ht="15.75" x14ac:dyDescent="0.25">
      <c r="A82" s="6" t="s">
        <v>14</v>
      </c>
      <c r="B82" s="6" t="s">
        <v>171</v>
      </c>
      <c r="C82" s="6" t="s">
        <v>199</v>
      </c>
      <c r="D82" s="7" t="s">
        <v>200</v>
      </c>
      <c r="E82" s="7" t="s">
        <v>110</v>
      </c>
      <c r="F82" s="6">
        <v>1</v>
      </c>
      <c r="G82" s="6">
        <v>20250301</v>
      </c>
      <c r="H82" s="6" t="s">
        <v>19</v>
      </c>
      <c r="I82" s="8">
        <v>187.08</v>
      </c>
      <c r="J82" s="9">
        <v>20</v>
      </c>
      <c r="K82" s="10">
        <v>20</v>
      </c>
    </row>
    <row r="83" spans="1:11" ht="15.75" x14ac:dyDescent="0.25">
      <c r="A83" s="6" t="s">
        <v>14</v>
      </c>
      <c r="B83" s="6" t="s">
        <v>171</v>
      </c>
      <c r="C83" s="6" t="s">
        <v>201</v>
      </c>
      <c r="D83" s="7" t="s">
        <v>202</v>
      </c>
      <c r="E83" s="7" t="s">
        <v>110</v>
      </c>
      <c r="F83" s="6">
        <v>3</v>
      </c>
      <c r="G83" s="6">
        <v>20250301</v>
      </c>
      <c r="H83" s="6" t="s">
        <v>19</v>
      </c>
      <c r="I83" s="8">
        <v>468.79</v>
      </c>
      <c r="J83" s="9">
        <v>20</v>
      </c>
      <c r="K83" s="10">
        <v>60</v>
      </c>
    </row>
    <row r="84" spans="1:11" ht="15.75" x14ac:dyDescent="0.25">
      <c r="A84" s="6" t="s">
        <v>14</v>
      </c>
      <c r="B84" s="6" t="s">
        <v>171</v>
      </c>
      <c r="C84" s="6" t="s">
        <v>203</v>
      </c>
      <c r="D84" s="7" t="s">
        <v>204</v>
      </c>
      <c r="E84" s="7" t="s">
        <v>110</v>
      </c>
      <c r="F84" s="6">
        <v>1</v>
      </c>
      <c r="G84" s="6">
        <v>20250101</v>
      </c>
      <c r="H84" s="6" t="s">
        <v>19</v>
      </c>
      <c r="I84" s="8">
        <v>0</v>
      </c>
      <c r="J84" s="9">
        <v>20</v>
      </c>
      <c r="K84" s="10">
        <v>20</v>
      </c>
    </row>
    <row r="85" spans="1:11" ht="15.75" x14ac:dyDescent="0.25">
      <c r="A85" s="6" t="s">
        <v>14</v>
      </c>
      <c r="B85" s="6" t="s">
        <v>171</v>
      </c>
      <c r="C85" s="6" t="s">
        <v>203</v>
      </c>
      <c r="D85" s="7" t="s">
        <v>204</v>
      </c>
      <c r="E85" s="7" t="s">
        <v>110</v>
      </c>
      <c r="F85" s="6">
        <v>1</v>
      </c>
      <c r="G85" s="6">
        <v>20250201</v>
      </c>
      <c r="H85" s="6" t="s">
        <v>19</v>
      </c>
      <c r="I85" s="8">
        <v>0</v>
      </c>
      <c r="J85" s="9">
        <v>20</v>
      </c>
      <c r="K85" s="10">
        <v>20</v>
      </c>
    </row>
    <row r="86" spans="1:11" ht="15.75" x14ac:dyDescent="0.25">
      <c r="A86" s="6" t="s">
        <v>14</v>
      </c>
      <c r="B86" s="6" t="s">
        <v>171</v>
      </c>
      <c r="C86" s="6" t="s">
        <v>205</v>
      </c>
      <c r="D86" s="7" t="s">
        <v>206</v>
      </c>
      <c r="E86" s="7" t="s">
        <v>110</v>
      </c>
      <c r="F86" s="6">
        <v>1</v>
      </c>
      <c r="G86" s="6">
        <v>20250301</v>
      </c>
      <c r="H86" s="6" t="s">
        <v>19</v>
      </c>
      <c r="I86" s="8">
        <v>219.28</v>
      </c>
      <c r="J86" s="9">
        <v>20</v>
      </c>
      <c r="K86" s="10">
        <v>20</v>
      </c>
    </row>
    <row r="87" spans="1:11" ht="15.75" x14ac:dyDescent="0.25">
      <c r="A87" s="6" t="s">
        <v>14</v>
      </c>
      <c r="B87" s="6" t="s">
        <v>171</v>
      </c>
      <c r="C87" s="6" t="s">
        <v>207</v>
      </c>
      <c r="D87" s="7" t="s">
        <v>208</v>
      </c>
      <c r="E87" s="7" t="s">
        <v>110</v>
      </c>
      <c r="F87" s="6">
        <v>1</v>
      </c>
      <c r="G87" s="6">
        <v>20250201</v>
      </c>
      <c r="H87" s="6" t="s">
        <v>19</v>
      </c>
      <c r="I87" s="8">
        <v>0</v>
      </c>
      <c r="J87" s="9">
        <v>20</v>
      </c>
      <c r="K87" s="10">
        <v>20</v>
      </c>
    </row>
    <row r="88" spans="1:11" ht="15.75" x14ac:dyDescent="0.25">
      <c r="A88" s="6" t="s">
        <v>14</v>
      </c>
      <c r="B88" s="6" t="s">
        <v>171</v>
      </c>
      <c r="C88" s="6" t="s">
        <v>209</v>
      </c>
      <c r="D88" s="7" t="s">
        <v>210</v>
      </c>
      <c r="E88" s="7" t="s">
        <v>110</v>
      </c>
      <c r="F88" s="6">
        <v>2</v>
      </c>
      <c r="G88" s="6">
        <v>20250201</v>
      </c>
      <c r="H88" s="6" t="s">
        <v>19</v>
      </c>
      <c r="I88" s="8">
        <v>621.96</v>
      </c>
      <c r="J88" s="9">
        <v>20</v>
      </c>
      <c r="K88" s="10">
        <v>40</v>
      </c>
    </row>
    <row r="89" spans="1:11" ht="15.75" x14ac:dyDescent="0.25">
      <c r="A89" s="6" t="s">
        <v>14</v>
      </c>
      <c r="B89" s="6" t="s">
        <v>171</v>
      </c>
      <c r="C89" s="6" t="s">
        <v>211</v>
      </c>
      <c r="D89" s="7" t="s">
        <v>212</v>
      </c>
      <c r="E89" s="7" t="s">
        <v>110</v>
      </c>
      <c r="F89" s="6">
        <v>4</v>
      </c>
      <c r="G89" s="6">
        <v>20250301</v>
      </c>
      <c r="H89" s="6" t="s">
        <v>19</v>
      </c>
      <c r="I89" s="8">
        <v>513.26</v>
      </c>
      <c r="J89" s="9">
        <v>20</v>
      </c>
      <c r="K89" s="10">
        <v>80</v>
      </c>
    </row>
    <row r="90" spans="1:11" ht="15.75" x14ac:dyDescent="0.25">
      <c r="A90" s="6" t="s">
        <v>14</v>
      </c>
      <c r="B90" s="6" t="s">
        <v>171</v>
      </c>
      <c r="C90" s="6" t="s">
        <v>213</v>
      </c>
      <c r="D90" s="7" t="s">
        <v>214</v>
      </c>
      <c r="E90" s="7" t="s">
        <v>110</v>
      </c>
      <c r="F90" s="6">
        <v>1</v>
      </c>
      <c r="G90" s="6">
        <v>20250301</v>
      </c>
      <c r="H90" s="6" t="s">
        <v>19</v>
      </c>
      <c r="I90" s="8">
        <v>97.95</v>
      </c>
      <c r="J90" s="9">
        <v>20</v>
      </c>
      <c r="K90" s="10">
        <v>20</v>
      </c>
    </row>
    <row r="91" spans="1:11" ht="15.75" x14ac:dyDescent="0.25">
      <c r="A91" s="6" t="s">
        <v>14</v>
      </c>
      <c r="B91" s="6" t="s">
        <v>171</v>
      </c>
      <c r="C91" s="6" t="s">
        <v>215</v>
      </c>
      <c r="D91" s="7" t="s">
        <v>216</v>
      </c>
      <c r="E91" s="7" t="s">
        <v>110</v>
      </c>
      <c r="F91" s="6">
        <v>1</v>
      </c>
      <c r="G91" s="6">
        <v>20250301</v>
      </c>
      <c r="H91" s="6" t="s">
        <v>19</v>
      </c>
      <c r="I91" s="8">
        <v>102.52</v>
      </c>
      <c r="J91" s="9">
        <v>20</v>
      </c>
      <c r="K91" s="10">
        <v>20</v>
      </c>
    </row>
    <row r="92" spans="1:11" ht="15.75" x14ac:dyDescent="0.25">
      <c r="A92" s="6" t="s">
        <v>14</v>
      </c>
      <c r="B92" s="6" t="s">
        <v>171</v>
      </c>
      <c r="C92" s="6" t="s">
        <v>217</v>
      </c>
      <c r="D92" s="7" t="s">
        <v>218</v>
      </c>
      <c r="E92" s="7" t="s">
        <v>110</v>
      </c>
      <c r="F92" s="6">
        <v>2</v>
      </c>
      <c r="G92" s="6">
        <v>20250301</v>
      </c>
      <c r="H92" s="6" t="s">
        <v>19</v>
      </c>
      <c r="I92" s="8">
        <v>62.71</v>
      </c>
      <c r="J92" s="9">
        <v>20</v>
      </c>
      <c r="K92" s="10">
        <v>40</v>
      </c>
    </row>
    <row r="93" spans="1:11" ht="15.75" x14ac:dyDescent="0.25">
      <c r="A93" s="6" t="s">
        <v>14</v>
      </c>
      <c r="B93" s="6" t="s">
        <v>171</v>
      </c>
      <c r="C93" s="6" t="s">
        <v>219</v>
      </c>
      <c r="D93" s="7" t="s">
        <v>220</v>
      </c>
      <c r="E93" s="7" t="s">
        <v>110</v>
      </c>
      <c r="F93" s="6">
        <v>1</v>
      </c>
      <c r="G93" s="6">
        <v>20250301</v>
      </c>
      <c r="H93" s="6" t="s">
        <v>19</v>
      </c>
      <c r="I93" s="8">
        <v>869.74</v>
      </c>
      <c r="J93" s="9">
        <v>20</v>
      </c>
      <c r="K93" s="10">
        <v>20</v>
      </c>
    </row>
    <row r="94" spans="1:11" ht="15.75" x14ac:dyDescent="0.25">
      <c r="A94" s="6" t="s">
        <v>14</v>
      </c>
      <c r="B94" s="6" t="s">
        <v>171</v>
      </c>
      <c r="C94" s="6" t="s">
        <v>221</v>
      </c>
      <c r="D94" s="7" t="s">
        <v>222</v>
      </c>
      <c r="E94" s="7" t="s">
        <v>110</v>
      </c>
      <c r="F94" s="6">
        <v>1</v>
      </c>
      <c r="G94" s="6">
        <v>20250301</v>
      </c>
      <c r="H94" s="6" t="s">
        <v>19</v>
      </c>
      <c r="I94" s="8">
        <v>14.26</v>
      </c>
      <c r="J94" s="9">
        <v>20</v>
      </c>
      <c r="K94" s="10">
        <v>20</v>
      </c>
    </row>
    <row r="95" spans="1:11" ht="15.75" x14ac:dyDescent="0.25">
      <c r="A95" s="6" t="s">
        <v>14</v>
      </c>
      <c r="B95" s="6" t="s">
        <v>171</v>
      </c>
      <c r="C95" s="6" t="s">
        <v>223</v>
      </c>
      <c r="D95" s="7" t="s">
        <v>224</v>
      </c>
      <c r="E95" s="7" t="s">
        <v>110</v>
      </c>
      <c r="F95" s="6">
        <v>3</v>
      </c>
      <c r="G95" s="6">
        <v>20250301</v>
      </c>
      <c r="H95" s="6" t="s">
        <v>19</v>
      </c>
      <c r="I95" s="8">
        <v>1053.33</v>
      </c>
      <c r="J95" s="9">
        <v>20</v>
      </c>
      <c r="K95" s="10">
        <v>60</v>
      </c>
    </row>
    <row r="96" spans="1:11" ht="15.75" x14ac:dyDescent="0.25">
      <c r="A96" s="6" t="s">
        <v>14</v>
      </c>
      <c r="B96" s="6" t="s">
        <v>171</v>
      </c>
      <c r="C96" s="6" t="s">
        <v>225</v>
      </c>
      <c r="D96" s="7" t="s">
        <v>226</v>
      </c>
      <c r="E96" s="7" t="s">
        <v>110</v>
      </c>
      <c r="F96" s="6">
        <v>2</v>
      </c>
      <c r="G96" s="6">
        <v>20250201</v>
      </c>
      <c r="H96" s="6" t="s">
        <v>19</v>
      </c>
      <c r="I96" s="8">
        <v>0</v>
      </c>
      <c r="J96" s="9">
        <v>20</v>
      </c>
      <c r="K96" s="10">
        <v>40</v>
      </c>
    </row>
    <row r="97" spans="1:11" ht="15.75" x14ac:dyDescent="0.25">
      <c r="A97" s="6" t="s">
        <v>14</v>
      </c>
      <c r="B97" s="6" t="s">
        <v>171</v>
      </c>
      <c r="C97" s="6" t="s">
        <v>227</v>
      </c>
      <c r="D97" s="7" t="s">
        <v>228</v>
      </c>
      <c r="E97" s="7" t="s">
        <v>110</v>
      </c>
      <c r="F97" s="6">
        <v>1</v>
      </c>
      <c r="G97" s="6">
        <v>20250301</v>
      </c>
      <c r="H97" s="6" t="s">
        <v>19</v>
      </c>
      <c r="I97" s="8">
        <v>105.62</v>
      </c>
      <c r="J97" s="9">
        <v>20</v>
      </c>
      <c r="K97" s="10">
        <v>20</v>
      </c>
    </row>
    <row r="98" spans="1:11" ht="15.75" x14ac:dyDescent="0.25">
      <c r="A98" s="6" t="s">
        <v>14</v>
      </c>
      <c r="B98" s="6" t="s">
        <v>171</v>
      </c>
      <c r="C98" s="6" t="s">
        <v>229</v>
      </c>
      <c r="D98" s="7" t="s">
        <v>230</v>
      </c>
      <c r="E98" s="7" t="s">
        <v>110</v>
      </c>
      <c r="F98" s="6">
        <v>1</v>
      </c>
      <c r="G98" s="6">
        <v>20250301</v>
      </c>
      <c r="H98" s="6" t="s">
        <v>19</v>
      </c>
      <c r="I98" s="8">
        <v>387.5</v>
      </c>
      <c r="J98" s="9">
        <v>20</v>
      </c>
      <c r="K98" s="10">
        <v>20</v>
      </c>
    </row>
    <row r="99" spans="1:11" ht="15.75" x14ac:dyDescent="0.25">
      <c r="A99" s="6" t="s">
        <v>14</v>
      </c>
      <c r="B99" s="6" t="s">
        <v>171</v>
      </c>
      <c r="C99" s="6" t="s">
        <v>231</v>
      </c>
      <c r="D99" s="7" t="s">
        <v>232</v>
      </c>
      <c r="E99" s="7" t="s">
        <v>110</v>
      </c>
      <c r="F99" s="6">
        <v>1</v>
      </c>
      <c r="G99" s="6">
        <v>20250201</v>
      </c>
      <c r="H99" s="6" t="s">
        <v>19</v>
      </c>
      <c r="I99" s="8">
        <v>96.47</v>
      </c>
      <c r="J99" s="9">
        <v>20</v>
      </c>
      <c r="K99" s="10">
        <v>20</v>
      </c>
    </row>
    <row r="100" spans="1:11" ht="15.75" x14ac:dyDescent="0.25">
      <c r="A100" s="6" t="s">
        <v>14</v>
      </c>
      <c r="B100" s="6" t="s">
        <v>171</v>
      </c>
      <c r="C100" s="6" t="s">
        <v>231</v>
      </c>
      <c r="D100" s="7" t="s">
        <v>232</v>
      </c>
      <c r="E100" s="7" t="s">
        <v>110</v>
      </c>
      <c r="F100" s="6">
        <v>1</v>
      </c>
      <c r="G100" s="6">
        <v>20250301</v>
      </c>
      <c r="H100" s="6" t="s">
        <v>19</v>
      </c>
      <c r="I100" s="8">
        <v>96.47</v>
      </c>
      <c r="J100" s="9">
        <v>20</v>
      </c>
      <c r="K100" s="10">
        <v>20</v>
      </c>
    </row>
    <row r="101" spans="1:11" ht="15.75" x14ac:dyDescent="0.25">
      <c r="A101" s="6" t="s">
        <v>14</v>
      </c>
      <c r="B101" s="6" t="s">
        <v>171</v>
      </c>
      <c r="C101" s="6" t="s">
        <v>233</v>
      </c>
      <c r="D101" s="7" t="s">
        <v>234</v>
      </c>
      <c r="E101" s="7" t="s">
        <v>110</v>
      </c>
      <c r="F101" s="6">
        <v>1</v>
      </c>
      <c r="G101" s="6">
        <v>20250301</v>
      </c>
      <c r="H101" s="6" t="s">
        <v>19</v>
      </c>
      <c r="I101" s="8">
        <v>25.78</v>
      </c>
      <c r="J101" s="9">
        <v>20</v>
      </c>
      <c r="K101" s="10">
        <v>20</v>
      </c>
    </row>
    <row r="102" spans="1:11" ht="15.75" x14ac:dyDescent="0.25">
      <c r="A102" s="6" t="s">
        <v>14</v>
      </c>
      <c r="B102" s="6" t="s">
        <v>171</v>
      </c>
      <c r="C102" s="6" t="s">
        <v>235</v>
      </c>
      <c r="D102" s="7" t="s">
        <v>236</v>
      </c>
      <c r="E102" s="7" t="s">
        <v>110</v>
      </c>
      <c r="F102" s="6">
        <v>1</v>
      </c>
      <c r="G102" s="6">
        <v>20250301</v>
      </c>
      <c r="H102" s="6" t="s">
        <v>19</v>
      </c>
      <c r="I102" s="8">
        <v>176.15</v>
      </c>
      <c r="J102" s="9">
        <v>20</v>
      </c>
      <c r="K102" s="10">
        <v>20</v>
      </c>
    </row>
    <row r="103" spans="1:11" ht="15.75" x14ac:dyDescent="0.25">
      <c r="A103" s="6" t="s">
        <v>14</v>
      </c>
      <c r="B103" s="6" t="s">
        <v>237</v>
      </c>
      <c r="C103" s="6" t="s">
        <v>238</v>
      </c>
      <c r="D103" s="7" t="s">
        <v>239</v>
      </c>
      <c r="E103" s="7" t="s">
        <v>18</v>
      </c>
      <c r="F103" s="6">
        <v>1</v>
      </c>
      <c r="G103" s="6">
        <v>20250301</v>
      </c>
      <c r="H103" s="6" t="s">
        <v>19</v>
      </c>
      <c r="I103" s="8">
        <v>176.4</v>
      </c>
      <c r="J103" s="9">
        <v>27</v>
      </c>
      <c r="K103" s="10">
        <v>27</v>
      </c>
    </row>
    <row r="104" spans="1:11" ht="15.75" x14ac:dyDescent="0.25">
      <c r="A104" s="6" t="s">
        <v>14</v>
      </c>
      <c r="B104" s="6" t="s">
        <v>237</v>
      </c>
      <c r="C104" s="6" t="s">
        <v>240</v>
      </c>
      <c r="D104" s="7" t="s">
        <v>241</v>
      </c>
      <c r="E104" s="7" t="s">
        <v>18</v>
      </c>
      <c r="F104" s="6">
        <v>1</v>
      </c>
      <c r="G104" s="6">
        <v>20250201</v>
      </c>
      <c r="H104" s="6" t="s">
        <v>19</v>
      </c>
      <c r="I104" s="8">
        <v>345</v>
      </c>
      <c r="J104" s="9">
        <v>27</v>
      </c>
      <c r="K104" s="10">
        <v>27</v>
      </c>
    </row>
    <row r="105" spans="1:11" ht="15.75" x14ac:dyDescent="0.25">
      <c r="A105" s="6" t="s">
        <v>14</v>
      </c>
      <c r="B105" s="6" t="s">
        <v>242</v>
      </c>
      <c r="C105" s="6" t="s">
        <v>243</v>
      </c>
      <c r="D105" s="7" t="s">
        <v>244</v>
      </c>
      <c r="E105" s="7" t="s">
        <v>30</v>
      </c>
      <c r="F105" s="6" t="s">
        <v>12</v>
      </c>
      <c r="G105" s="6">
        <v>20250301</v>
      </c>
      <c r="H105" s="6" t="s">
        <v>13</v>
      </c>
      <c r="I105" s="8">
        <v>18</v>
      </c>
      <c r="J105" s="9">
        <v>0.1</v>
      </c>
      <c r="K105" s="10">
        <v>1.8</v>
      </c>
    </row>
    <row r="106" spans="1:11" ht="15.75" x14ac:dyDescent="0.25">
      <c r="A106" s="6" t="s">
        <v>14</v>
      </c>
      <c r="B106" s="6" t="s">
        <v>242</v>
      </c>
      <c r="C106" s="6" t="s">
        <v>245</v>
      </c>
      <c r="D106" s="7" t="s">
        <v>246</v>
      </c>
      <c r="E106" s="7" t="s">
        <v>30</v>
      </c>
      <c r="F106" s="6" t="s">
        <v>12</v>
      </c>
      <c r="G106" s="6">
        <v>20250301</v>
      </c>
      <c r="H106" s="6" t="s">
        <v>13</v>
      </c>
      <c r="I106" s="8">
        <v>18</v>
      </c>
      <c r="J106" s="9">
        <v>0.1</v>
      </c>
      <c r="K106" s="10">
        <v>1.8</v>
      </c>
    </row>
    <row r="107" spans="1:11" ht="15.75" x14ac:dyDescent="0.25">
      <c r="A107" s="6" t="s">
        <v>14</v>
      </c>
      <c r="B107" s="6" t="s">
        <v>242</v>
      </c>
      <c r="C107" s="6" t="s">
        <v>247</v>
      </c>
      <c r="D107" s="7" t="s">
        <v>248</v>
      </c>
      <c r="E107" s="7" t="s">
        <v>30</v>
      </c>
      <c r="F107" s="6" t="s">
        <v>12</v>
      </c>
      <c r="G107" s="6">
        <v>20250301</v>
      </c>
      <c r="H107" s="6" t="s">
        <v>13</v>
      </c>
      <c r="I107" s="8">
        <v>18</v>
      </c>
      <c r="J107" s="9">
        <v>0.1</v>
      </c>
      <c r="K107" s="10">
        <v>1.8</v>
      </c>
    </row>
    <row r="108" spans="1:11" ht="15.75" x14ac:dyDescent="0.25">
      <c r="A108" s="6" t="s">
        <v>14</v>
      </c>
      <c r="B108" s="6" t="s">
        <v>242</v>
      </c>
      <c r="C108" s="6" t="s">
        <v>249</v>
      </c>
      <c r="D108" s="7" t="s">
        <v>250</v>
      </c>
      <c r="E108" s="7" t="s">
        <v>30</v>
      </c>
      <c r="F108" s="6" t="s">
        <v>12</v>
      </c>
      <c r="G108" s="6">
        <v>20250301</v>
      </c>
      <c r="H108" s="6" t="s">
        <v>13</v>
      </c>
      <c r="I108" s="8">
        <v>18</v>
      </c>
      <c r="J108" s="9">
        <v>0.1</v>
      </c>
      <c r="K108" s="10">
        <v>1.8</v>
      </c>
    </row>
    <row r="109" spans="1:11" ht="15.75" x14ac:dyDescent="0.25">
      <c r="A109" s="6" t="s">
        <v>14</v>
      </c>
      <c r="B109" s="6" t="s">
        <v>242</v>
      </c>
      <c r="C109" s="6" t="s">
        <v>251</v>
      </c>
      <c r="D109" s="7" t="s">
        <v>252</v>
      </c>
      <c r="E109" s="7" t="s">
        <v>30</v>
      </c>
      <c r="F109" s="6" t="s">
        <v>12</v>
      </c>
      <c r="G109" s="6">
        <v>20250301</v>
      </c>
      <c r="H109" s="6" t="s">
        <v>13</v>
      </c>
      <c r="I109" s="8">
        <v>48.35</v>
      </c>
      <c r="J109" s="9">
        <v>0.2</v>
      </c>
      <c r="K109" s="10">
        <v>9.6700000000000017</v>
      </c>
    </row>
    <row r="110" spans="1:11" ht="15.75" x14ac:dyDescent="0.25">
      <c r="A110" s="6" t="s">
        <v>14</v>
      </c>
      <c r="B110" s="6" t="s">
        <v>242</v>
      </c>
      <c r="C110" s="6" t="s">
        <v>253</v>
      </c>
      <c r="D110" s="7" t="s">
        <v>254</v>
      </c>
      <c r="E110" s="7" t="s">
        <v>30</v>
      </c>
      <c r="F110" s="6" t="s">
        <v>12</v>
      </c>
      <c r="G110" s="6">
        <v>20250301</v>
      </c>
      <c r="H110" s="6" t="s">
        <v>13</v>
      </c>
      <c r="I110" s="8">
        <v>27</v>
      </c>
      <c r="J110" s="9">
        <v>0.2</v>
      </c>
      <c r="K110" s="10">
        <v>5.4</v>
      </c>
    </row>
    <row r="111" spans="1:11" ht="15.75" x14ac:dyDescent="0.25">
      <c r="A111" s="6" t="s">
        <v>14</v>
      </c>
      <c r="B111" s="6" t="s">
        <v>242</v>
      </c>
      <c r="C111" s="6" t="s">
        <v>255</v>
      </c>
      <c r="D111" s="7" t="s">
        <v>256</v>
      </c>
      <c r="E111" s="7" t="s">
        <v>30</v>
      </c>
      <c r="F111" s="6" t="s">
        <v>12</v>
      </c>
      <c r="G111" s="6">
        <v>20250301</v>
      </c>
      <c r="H111" s="6" t="s">
        <v>13</v>
      </c>
      <c r="I111" s="8">
        <v>33</v>
      </c>
      <c r="J111" s="9">
        <v>0.2</v>
      </c>
      <c r="K111" s="10">
        <v>6.6000000000000005</v>
      </c>
    </row>
    <row r="112" spans="1:11" ht="15.75" x14ac:dyDescent="0.25">
      <c r="A112" s="6" t="s">
        <v>14</v>
      </c>
      <c r="B112" s="6" t="s">
        <v>242</v>
      </c>
      <c r="C112" s="6" t="s">
        <v>257</v>
      </c>
      <c r="D112" s="7" t="s">
        <v>258</v>
      </c>
      <c r="E112" s="7" t="s">
        <v>30</v>
      </c>
      <c r="F112" s="6" t="s">
        <v>12</v>
      </c>
      <c r="G112" s="6">
        <v>20250301</v>
      </c>
      <c r="H112" s="6" t="s">
        <v>13</v>
      </c>
      <c r="I112" s="8">
        <v>27</v>
      </c>
      <c r="J112" s="9">
        <v>0.2</v>
      </c>
      <c r="K112" s="10">
        <v>5.4</v>
      </c>
    </row>
    <row r="113" spans="1:11" ht="15.75" x14ac:dyDescent="0.25">
      <c r="A113" s="6" t="s">
        <v>14</v>
      </c>
      <c r="B113" s="6" t="s">
        <v>242</v>
      </c>
      <c r="C113" s="6" t="s">
        <v>259</v>
      </c>
      <c r="D113" s="7" t="s">
        <v>260</v>
      </c>
      <c r="E113" s="7" t="s">
        <v>30</v>
      </c>
      <c r="F113" s="6" t="s">
        <v>12</v>
      </c>
      <c r="G113" s="6">
        <v>20250301</v>
      </c>
      <c r="H113" s="6" t="s">
        <v>13</v>
      </c>
      <c r="I113" s="8">
        <v>36</v>
      </c>
      <c r="J113" s="9">
        <v>0.2</v>
      </c>
      <c r="K113" s="10">
        <v>7.2</v>
      </c>
    </row>
    <row r="114" spans="1:11" ht="15.75" x14ac:dyDescent="0.25">
      <c r="A114" s="6" t="s">
        <v>14</v>
      </c>
      <c r="B114" s="6" t="s">
        <v>242</v>
      </c>
      <c r="C114" s="6" t="s">
        <v>261</v>
      </c>
      <c r="D114" s="7" t="s">
        <v>262</v>
      </c>
      <c r="E114" s="7" t="s">
        <v>30</v>
      </c>
      <c r="F114" s="6" t="s">
        <v>12</v>
      </c>
      <c r="G114" s="6">
        <v>20250301</v>
      </c>
      <c r="H114" s="6" t="s">
        <v>13</v>
      </c>
      <c r="I114" s="8">
        <v>66.599999999999994</v>
      </c>
      <c r="J114" s="9">
        <v>0.2</v>
      </c>
      <c r="K114" s="10">
        <v>13.32</v>
      </c>
    </row>
    <row r="115" spans="1:11" ht="15.75" x14ac:dyDescent="0.25">
      <c r="A115" s="6" t="s">
        <v>14</v>
      </c>
      <c r="B115" s="6" t="s">
        <v>263</v>
      </c>
      <c r="C115" s="6" t="s">
        <v>264</v>
      </c>
      <c r="D115" s="7" t="s">
        <v>265</v>
      </c>
      <c r="E115" s="7" t="s">
        <v>30</v>
      </c>
      <c r="F115" s="6" t="s">
        <v>12</v>
      </c>
      <c r="G115" s="6">
        <v>20250301</v>
      </c>
      <c r="H115" s="6" t="s">
        <v>13</v>
      </c>
      <c r="I115" s="8">
        <v>59.9</v>
      </c>
      <c r="J115" s="9">
        <v>0.2</v>
      </c>
      <c r="K115" s="10">
        <v>11.98</v>
      </c>
    </row>
    <row r="116" spans="1:11" ht="15.75" x14ac:dyDescent="0.25">
      <c r="A116" s="6" t="s">
        <v>14</v>
      </c>
      <c r="B116" s="6" t="s">
        <v>263</v>
      </c>
      <c r="C116" s="6" t="s">
        <v>266</v>
      </c>
      <c r="D116" s="7" t="s">
        <v>267</v>
      </c>
      <c r="E116" s="7" t="s">
        <v>30</v>
      </c>
      <c r="F116" s="6" t="s">
        <v>12</v>
      </c>
      <c r="G116" s="6">
        <v>20250301</v>
      </c>
      <c r="H116" s="6" t="s">
        <v>13</v>
      </c>
      <c r="I116" s="8">
        <v>66.599999999999994</v>
      </c>
      <c r="J116" s="9">
        <v>0.2</v>
      </c>
      <c r="K116" s="10">
        <v>13.32</v>
      </c>
    </row>
    <row r="117" spans="1:11" ht="15.75" x14ac:dyDescent="0.25">
      <c r="A117" s="6" t="s">
        <v>14</v>
      </c>
      <c r="B117" s="6" t="s">
        <v>268</v>
      </c>
      <c r="C117" s="6" t="s">
        <v>269</v>
      </c>
      <c r="D117" s="7" t="s">
        <v>270</v>
      </c>
      <c r="E117" s="7" t="s">
        <v>30</v>
      </c>
      <c r="F117" s="6">
        <v>1</v>
      </c>
      <c r="G117" s="6">
        <v>20250301</v>
      </c>
      <c r="H117" s="6" t="s">
        <v>31</v>
      </c>
      <c r="I117" s="8">
        <v>10.06</v>
      </c>
      <c r="J117" s="9">
        <v>20</v>
      </c>
      <c r="K117" s="10">
        <v>20</v>
      </c>
    </row>
    <row r="118" spans="1:11" ht="15.75" x14ac:dyDescent="0.25">
      <c r="A118" s="6" t="s">
        <v>14</v>
      </c>
      <c r="B118" s="6" t="s">
        <v>271</v>
      </c>
      <c r="C118" s="6" t="s">
        <v>272</v>
      </c>
      <c r="D118" s="7" t="s">
        <v>273</v>
      </c>
      <c r="E118" s="7" t="s">
        <v>30</v>
      </c>
      <c r="F118" s="6" t="s">
        <v>12</v>
      </c>
      <c r="G118" s="6">
        <v>20250301</v>
      </c>
      <c r="H118" s="6" t="s">
        <v>13</v>
      </c>
      <c r="I118" s="8">
        <v>62.32</v>
      </c>
      <c r="J118" s="9">
        <v>0.2</v>
      </c>
      <c r="K118" s="10">
        <v>12.464</v>
      </c>
    </row>
    <row r="119" spans="1:11" ht="15.75" x14ac:dyDescent="0.25">
      <c r="A119" s="6" t="s">
        <v>14</v>
      </c>
      <c r="B119" s="6" t="s">
        <v>271</v>
      </c>
      <c r="C119" s="6" t="s">
        <v>274</v>
      </c>
      <c r="D119" s="7" t="s">
        <v>275</v>
      </c>
      <c r="E119" s="7" t="s">
        <v>30</v>
      </c>
      <c r="F119" s="6" t="s">
        <v>12</v>
      </c>
      <c r="G119" s="6">
        <v>20250301</v>
      </c>
      <c r="H119" s="6" t="s">
        <v>13</v>
      </c>
      <c r="I119" s="8">
        <v>72.260000000000005</v>
      </c>
      <c r="J119" s="9">
        <v>0.2</v>
      </c>
      <c r="K119" s="10">
        <v>14.452000000000002</v>
      </c>
    </row>
    <row r="120" spans="1:11" ht="15.75" x14ac:dyDescent="0.25">
      <c r="A120" s="6" t="s">
        <v>14</v>
      </c>
      <c r="B120" s="6" t="s">
        <v>271</v>
      </c>
      <c r="C120" s="6" t="s">
        <v>276</v>
      </c>
      <c r="D120" s="7" t="s">
        <v>277</v>
      </c>
      <c r="E120" s="7" t="s">
        <v>18</v>
      </c>
      <c r="F120" s="6">
        <v>1</v>
      </c>
      <c r="G120" s="6">
        <v>20250301</v>
      </c>
      <c r="H120" s="6" t="s">
        <v>19</v>
      </c>
      <c r="I120" s="8">
        <v>826.63</v>
      </c>
      <c r="J120" s="9">
        <v>27</v>
      </c>
      <c r="K120" s="10">
        <v>27</v>
      </c>
    </row>
    <row r="121" spans="1:11" ht="15.75" x14ac:dyDescent="0.25">
      <c r="A121" s="6" t="s">
        <v>14</v>
      </c>
      <c r="B121" s="6" t="s">
        <v>271</v>
      </c>
      <c r="C121" s="6" t="s">
        <v>278</v>
      </c>
      <c r="D121" s="7" t="s">
        <v>279</v>
      </c>
      <c r="E121" s="7" t="s">
        <v>70</v>
      </c>
      <c r="F121" s="6">
        <v>5</v>
      </c>
      <c r="G121" s="6">
        <v>20250301</v>
      </c>
      <c r="H121" s="6" t="s">
        <v>19</v>
      </c>
      <c r="I121" s="8">
        <v>152.88999999999999</v>
      </c>
      <c r="J121" s="9">
        <v>27</v>
      </c>
      <c r="K121" s="10">
        <v>135</v>
      </c>
    </row>
    <row r="122" spans="1:11" ht="15.75" x14ac:dyDescent="0.25">
      <c r="A122" s="6" t="s">
        <v>14</v>
      </c>
      <c r="B122" s="6" t="s">
        <v>271</v>
      </c>
      <c r="C122" s="6" t="s">
        <v>280</v>
      </c>
      <c r="D122" s="7" t="s">
        <v>281</v>
      </c>
      <c r="E122" s="7" t="s">
        <v>18</v>
      </c>
      <c r="F122" s="6">
        <v>1</v>
      </c>
      <c r="G122" s="6">
        <v>20250301</v>
      </c>
      <c r="H122" s="6" t="s">
        <v>19</v>
      </c>
      <c r="I122" s="8">
        <v>1094.27</v>
      </c>
      <c r="J122" s="9">
        <v>27</v>
      </c>
      <c r="K122" s="10">
        <v>27</v>
      </c>
    </row>
    <row r="123" spans="1:11" ht="15.75" x14ac:dyDescent="0.25">
      <c r="A123" s="6" t="s">
        <v>14</v>
      </c>
      <c r="B123" s="6" t="s">
        <v>282</v>
      </c>
      <c r="C123" s="6" t="s">
        <v>283</v>
      </c>
      <c r="D123" s="7" t="s">
        <v>284</v>
      </c>
      <c r="E123" s="7" t="s">
        <v>18</v>
      </c>
      <c r="F123" s="6">
        <v>2</v>
      </c>
      <c r="G123" s="6">
        <v>20250301</v>
      </c>
      <c r="H123" s="6" t="s">
        <v>19</v>
      </c>
      <c r="I123" s="8">
        <v>2269.06</v>
      </c>
      <c r="J123" s="9">
        <v>27</v>
      </c>
      <c r="K123" s="10">
        <v>54</v>
      </c>
    </row>
    <row r="124" spans="1:11" ht="15.75" x14ac:dyDescent="0.25">
      <c r="A124" s="6" t="s">
        <v>14</v>
      </c>
      <c r="B124" s="6" t="s">
        <v>282</v>
      </c>
      <c r="C124" s="6" t="s">
        <v>285</v>
      </c>
      <c r="D124" s="7" t="s">
        <v>286</v>
      </c>
      <c r="E124" s="7" t="s">
        <v>70</v>
      </c>
      <c r="F124" s="6">
        <v>1</v>
      </c>
      <c r="G124" s="6">
        <v>20250301</v>
      </c>
      <c r="H124" s="6" t="s">
        <v>19</v>
      </c>
      <c r="I124" s="8">
        <v>11.37</v>
      </c>
      <c r="J124" s="9">
        <v>27</v>
      </c>
      <c r="K124" s="10">
        <v>27</v>
      </c>
    </row>
    <row r="125" spans="1:11" ht="15.75" x14ac:dyDescent="0.25">
      <c r="A125" s="6" t="s">
        <v>14</v>
      </c>
      <c r="B125" s="6" t="s">
        <v>287</v>
      </c>
      <c r="C125" s="6" t="s">
        <v>288</v>
      </c>
      <c r="D125" s="7" t="s">
        <v>289</v>
      </c>
      <c r="E125" s="7" t="s">
        <v>30</v>
      </c>
      <c r="F125" s="6">
        <v>1</v>
      </c>
      <c r="G125" s="6">
        <v>20250301</v>
      </c>
      <c r="H125" s="6" t="s">
        <v>31</v>
      </c>
      <c r="I125" s="8">
        <v>117.37</v>
      </c>
      <c r="J125" s="9">
        <v>20</v>
      </c>
      <c r="K125" s="10">
        <v>20</v>
      </c>
    </row>
    <row r="126" spans="1:11" ht="15.75" x14ac:dyDescent="0.25">
      <c r="A126" s="6" t="s">
        <v>14</v>
      </c>
      <c r="B126" s="6" t="s">
        <v>287</v>
      </c>
      <c r="C126" s="6" t="s">
        <v>290</v>
      </c>
      <c r="D126" s="7" t="s">
        <v>291</v>
      </c>
      <c r="E126" s="7" t="s">
        <v>30</v>
      </c>
      <c r="F126" s="6">
        <v>1</v>
      </c>
      <c r="G126" s="6">
        <v>20250301</v>
      </c>
      <c r="H126" s="6" t="s">
        <v>31</v>
      </c>
      <c r="I126" s="8">
        <v>387.85</v>
      </c>
      <c r="J126" s="9">
        <v>20</v>
      </c>
      <c r="K126" s="10">
        <v>20</v>
      </c>
    </row>
    <row r="127" spans="1:11" ht="15.75" x14ac:dyDescent="0.25">
      <c r="A127" s="6" t="s">
        <v>14</v>
      </c>
      <c r="B127" s="6" t="s">
        <v>292</v>
      </c>
      <c r="C127" s="6" t="s">
        <v>293</v>
      </c>
      <c r="D127" s="7" t="s">
        <v>294</v>
      </c>
      <c r="E127" s="7" t="s">
        <v>30</v>
      </c>
      <c r="F127" s="6" t="s">
        <v>12</v>
      </c>
      <c r="G127" s="6">
        <v>20250301</v>
      </c>
      <c r="H127" s="6" t="s">
        <v>13</v>
      </c>
      <c r="I127" s="8">
        <v>115.55</v>
      </c>
      <c r="J127" s="9">
        <v>0.2</v>
      </c>
      <c r="K127" s="10">
        <v>23.11</v>
      </c>
    </row>
    <row r="128" spans="1:11" ht="15.75" x14ac:dyDescent="0.25">
      <c r="A128" s="6" t="s">
        <v>14</v>
      </c>
      <c r="B128" s="6" t="s">
        <v>292</v>
      </c>
      <c r="C128" s="6" t="s">
        <v>295</v>
      </c>
      <c r="D128" s="7" t="s">
        <v>296</v>
      </c>
      <c r="E128" s="7" t="s">
        <v>70</v>
      </c>
      <c r="F128" s="6" t="s">
        <v>12</v>
      </c>
      <c r="G128" s="6">
        <v>20250301</v>
      </c>
      <c r="H128" s="6" t="s">
        <v>13</v>
      </c>
      <c r="I128" s="8">
        <v>103.1</v>
      </c>
      <c r="J128" s="9">
        <v>0.2</v>
      </c>
      <c r="K128" s="10">
        <v>20.62</v>
      </c>
    </row>
    <row r="129" spans="1:11" ht="15.75" x14ac:dyDescent="0.25">
      <c r="A129" s="6" t="s">
        <v>14</v>
      </c>
      <c r="B129" s="6" t="s">
        <v>292</v>
      </c>
      <c r="C129" s="6" t="s">
        <v>297</v>
      </c>
      <c r="D129" s="7" t="s">
        <v>298</v>
      </c>
      <c r="E129" s="7" t="s">
        <v>70</v>
      </c>
      <c r="F129" s="6">
        <v>6</v>
      </c>
      <c r="G129" s="6">
        <v>20250301</v>
      </c>
      <c r="H129" s="6" t="s">
        <v>19</v>
      </c>
      <c r="I129" s="8">
        <v>19.02</v>
      </c>
      <c r="J129" s="9">
        <v>27</v>
      </c>
      <c r="K129" s="10">
        <v>162</v>
      </c>
    </row>
    <row r="130" spans="1:11" ht="15.75" x14ac:dyDescent="0.25">
      <c r="A130" s="6" t="s">
        <v>14</v>
      </c>
      <c r="B130" s="6" t="s">
        <v>292</v>
      </c>
      <c r="C130" s="6" t="s">
        <v>297</v>
      </c>
      <c r="D130" s="7" t="s">
        <v>298</v>
      </c>
      <c r="E130" s="7" t="s">
        <v>70</v>
      </c>
      <c r="F130" s="6">
        <v>6</v>
      </c>
      <c r="G130" s="6">
        <v>20250101</v>
      </c>
      <c r="H130" s="6" t="s">
        <v>19</v>
      </c>
      <c r="I130" s="8">
        <v>19.02</v>
      </c>
      <c r="J130" s="9">
        <v>27</v>
      </c>
      <c r="K130" s="10">
        <v>162</v>
      </c>
    </row>
    <row r="131" spans="1:11" ht="15.75" x14ac:dyDescent="0.25">
      <c r="A131" s="6" t="s">
        <v>14</v>
      </c>
      <c r="B131" s="6" t="s">
        <v>292</v>
      </c>
      <c r="C131" s="6" t="s">
        <v>297</v>
      </c>
      <c r="D131" s="7" t="s">
        <v>298</v>
      </c>
      <c r="E131" s="7" t="s">
        <v>70</v>
      </c>
      <c r="F131" s="6">
        <v>6</v>
      </c>
      <c r="G131" s="6">
        <v>20250201</v>
      </c>
      <c r="H131" s="6" t="s">
        <v>19</v>
      </c>
      <c r="I131" s="8">
        <v>19.02</v>
      </c>
      <c r="J131" s="9">
        <v>27</v>
      </c>
      <c r="K131" s="10">
        <v>162</v>
      </c>
    </row>
    <row r="132" spans="1:11" ht="15.75" x14ac:dyDescent="0.25">
      <c r="A132" s="6" t="s">
        <v>14</v>
      </c>
      <c r="B132" s="6" t="s">
        <v>299</v>
      </c>
      <c r="C132" s="6" t="s">
        <v>300</v>
      </c>
      <c r="D132" s="7" t="s">
        <v>301</v>
      </c>
      <c r="E132" s="7" t="s">
        <v>11</v>
      </c>
      <c r="F132" s="6">
        <v>3</v>
      </c>
      <c r="G132" s="6">
        <v>20250301</v>
      </c>
      <c r="H132" s="6" t="s">
        <v>19</v>
      </c>
      <c r="I132" s="8">
        <v>48.55</v>
      </c>
      <c r="J132" s="9">
        <v>22</v>
      </c>
      <c r="K132" s="10">
        <v>66</v>
      </c>
    </row>
    <row r="133" spans="1:11" ht="15.75" x14ac:dyDescent="0.25">
      <c r="A133" s="6" t="s">
        <v>14</v>
      </c>
      <c r="B133" s="6" t="s">
        <v>299</v>
      </c>
      <c r="C133" s="6" t="s">
        <v>302</v>
      </c>
      <c r="D133" s="7" t="s">
        <v>303</v>
      </c>
      <c r="E133" s="7" t="s">
        <v>11</v>
      </c>
      <c r="F133" s="6">
        <v>1</v>
      </c>
      <c r="G133" s="6">
        <v>20250301</v>
      </c>
      <c r="H133" s="6" t="s">
        <v>19</v>
      </c>
      <c r="I133" s="8">
        <v>271.88</v>
      </c>
      <c r="J133" s="9">
        <v>22</v>
      </c>
      <c r="K133" s="10">
        <v>22</v>
      </c>
    </row>
    <row r="134" spans="1:11" ht="15.75" x14ac:dyDescent="0.25">
      <c r="A134" s="6" t="s">
        <v>14</v>
      </c>
      <c r="B134" s="6" t="s">
        <v>304</v>
      </c>
      <c r="C134" s="6" t="s">
        <v>305</v>
      </c>
      <c r="D134" s="7" t="s">
        <v>306</v>
      </c>
      <c r="E134" s="7" t="s">
        <v>145</v>
      </c>
      <c r="F134" s="6" t="s">
        <v>12</v>
      </c>
      <c r="G134" s="6">
        <v>20250301</v>
      </c>
      <c r="H134" s="6" t="s">
        <v>13</v>
      </c>
      <c r="I134" s="8">
        <v>45</v>
      </c>
      <c r="J134" s="9">
        <v>0.2</v>
      </c>
      <c r="K134" s="10">
        <v>9</v>
      </c>
    </row>
    <row r="135" spans="1:11" ht="15.75" x14ac:dyDescent="0.25">
      <c r="A135" s="6" t="s">
        <v>14</v>
      </c>
      <c r="B135" s="6"/>
      <c r="C135" s="6"/>
      <c r="D135" s="7"/>
      <c r="E135" s="7"/>
      <c r="F135" s="6"/>
      <c r="G135" s="6"/>
      <c r="H135" s="6"/>
      <c r="I135" s="8"/>
      <c r="J135" s="9" t="s">
        <v>307</v>
      </c>
      <c r="K135" s="10">
        <v>3325.4500000000012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B556-0CDE-4A6A-88C7-B3C228BA7BA8}">
  <dimension ref="A1:P135"/>
  <sheetViews>
    <sheetView tabSelected="1" workbookViewId="0">
      <selection activeCell="M7" sqref="M7"/>
    </sheetView>
  </sheetViews>
  <sheetFormatPr defaultRowHeight="15" x14ac:dyDescent="0.25"/>
  <cols>
    <col min="1" max="1" width="34.140625" style="16" customWidth="1"/>
    <col min="2" max="2" width="18.140625" style="16" customWidth="1"/>
    <col min="3" max="3" width="30.7109375" style="16" customWidth="1"/>
    <col min="4" max="5" width="12" style="16" customWidth="1"/>
    <col min="6" max="6" width="8.42578125" style="16" customWidth="1"/>
    <col min="7" max="7" width="10.140625" style="16" customWidth="1"/>
    <col min="8" max="10" width="10.7109375" style="16" customWidth="1"/>
    <col min="11" max="11" width="16.140625" style="16" customWidth="1"/>
    <col min="12" max="12" width="12.28515625" style="16" customWidth="1"/>
    <col min="13" max="13" width="8.140625" style="16" customWidth="1"/>
    <col min="14" max="14" width="14.140625" style="16" customWidth="1"/>
    <col min="15" max="15" width="12.140625" style="16" bestFit="1" customWidth="1"/>
    <col min="16" max="16384" width="9.140625" style="16"/>
  </cols>
  <sheetData>
    <row r="1" spans="1:16" ht="31.5" x14ac:dyDescent="0.25">
      <c r="A1" s="11" t="s">
        <v>1</v>
      </c>
      <c r="B1" s="11"/>
      <c r="C1" s="11" t="s">
        <v>2</v>
      </c>
      <c r="D1" s="11" t="s">
        <v>3</v>
      </c>
      <c r="E1" s="11"/>
      <c r="F1" s="11" t="s">
        <v>4</v>
      </c>
      <c r="G1" s="11" t="s">
        <v>5</v>
      </c>
      <c r="H1" s="12" t="s">
        <v>6</v>
      </c>
      <c r="I1" s="12"/>
      <c r="J1" s="12"/>
      <c r="K1" s="13" t="s">
        <v>7</v>
      </c>
      <c r="L1" s="14" t="s">
        <v>8</v>
      </c>
      <c r="M1" s="15" t="s">
        <v>9</v>
      </c>
      <c r="N1" s="14" t="s">
        <v>10</v>
      </c>
    </row>
    <row r="2" spans="1:16" ht="15.75" x14ac:dyDescent="0.25">
      <c r="A2" s="17" t="s">
        <v>90</v>
      </c>
      <c r="B2" s="17">
        <v>9213293</v>
      </c>
      <c r="C2" s="17" t="s">
        <v>91</v>
      </c>
      <c r="D2" s="18" t="s">
        <v>92</v>
      </c>
      <c r="E2" s="18" t="str">
        <f>CONCATENATE(D2,2)</f>
        <v>73AX812</v>
      </c>
      <c r="F2" s="18" t="s">
        <v>30</v>
      </c>
      <c r="G2" s="17"/>
      <c r="H2" s="17">
        <v>20250201</v>
      </c>
      <c r="I2" s="17" t="str">
        <f>TEXT(DATE(LEFT(H2,4), MID(H2,5,2), RIGHT(H2,2)), "M/d/yyyy")</f>
        <v>2/1/2025</v>
      </c>
      <c r="J2" s="21">
        <f>DATE(YEAR(I2), MONTH(I2) +1, DAY(I2))</f>
        <v>45717</v>
      </c>
      <c r="K2" s="17" t="s">
        <v>31</v>
      </c>
      <c r="L2" s="19">
        <v>-215.88</v>
      </c>
      <c r="M2" s="20">
        <v>20</v>
      </c>
      <c r="N2" s="19">
        <v>-20</v>
      </c>
      <c r="O2" s="16" t="s">
        <v>310</v>
      </c>
    </row>
    <row r="3" spans="1:16" ht="15.75" x14ac:dyDescent="0.25">
      <c r="A3" s="17" t="s">
        <v>90</v>
      </c>
      <c r="B3" s="17">
        <v>9213293</v>
      </c>
      <c r="C3" s="17" t="s">
        <v>91</v>
      </c>
      <c r="D3" s="18" t="s">
        <v>92</v>
      </c>
      <c r="E3" s="18" t="str">
        <f>CONCATENATE(D3,2)</f>
        <v>73AX812</v>
      </c>
      <c r="F3" s="18" t="s">
        <v>30</v>
      </c>
      <c r="G3" s="17"/>
      <c r="H3" s="17">
        <v>20250101</v>
      </c>
      <c r="I3" s="17" t="str">
        <f>TEXT(DATE(LEFT(H3,4), MID(H3,5,2), RIGHT(H3,2)), "M/d/yyyy")</f>
        <v>1/1/2025</v>
      </c>
      <c r="J3" s="21">
        <f>DATE(YEAR(I3), MONTH(I3) +1, DAY(I3))</f>
        <v>45689</v>
      </c>
      <c r="K3" s="17" t="s">
        <v>31</v>
      </c>
      <c r="L3" s="19">
        <v>-213.88</v>
      </c>
      <c r="M3" s="20">
        <v>20</v>
      </c>
      <c r="N3" s="19">
        <v>-20</v>
      </c>
      <c r="O3" s="16" t="s">
        <v>310</v>
      </c>
    </row>
    <row r="4" spans="1:16" ht="15.75" x14ac:dyDescent="0.25">
      <c r="A4" s="17" t="s">
        <v>242</v>
      </c>
      <c r="B4" s="28" t="s">
        <v>315</v>
      </c>
      <c r="C4" s="17" t="s">
        <v>243</v>
      </c>
      <c r="D4" s="18" t="s">
        <v>244</v>
      </c>
      <c r="E4" s="18" t="str">
        <f>CONCATENATE(D4,7)</f>
        <v>03P25D7</v>
      </c>
      <c r="F4" s="18" t="s">
        <v>30</v>
      </c>
      <c r="G4" s="17" t="s">
        <v>12</v>
      </c>
      <c r="H4" s="17">
        <v>20250301</v>
      </c>
      <c r="I4" s="17" t="str">
        <f>TEXT(DATE(LEFT(H4,4), MID(H4,5,2), RIGHT(H4,2)), "M/d/yyyy")</f>
        <v>3/1/2025</v>
      </c>
      <c r="J4" s="21">
        <f>DATE(YEAR(I4), MONTH(I4) +1, DAY(I4))</f>
        <v>45748</v>
      </c>
      <c r="K4" s="17" t="s">
        <v>13</v>
      </c>
      <c r="L4" s="19">
        <v>18</v>
      </c>
      <c r="M4" s="20">
        <v>0.1</v>
      </c>
      <c r="N4" s="19">
        <v>1.8</v>
      </c>
      <c r="O4" s="16" t="s">
        <v>308</v>
      </c>
    </row>
    <row r="5" spans="1:16" ht="15.75" x14ac:dyDescent="0.25">
      <c r="A5" s="17" t="s">
        <v>242</v>
      </c>
      <c r="B5" s="28" t="s">
        <v>315</v>
      </c>
      <c r="C5" s="17" t="s">
        <v>245</v>
      </c>
      <c r="D5" s="18" t="s">
        <v>246</v>
      </c>
      <c r="E5" s="18" t="str">
        <f>CONCATENATE(D5,7)</f>
        <v>04R42R7</v>
      </c>
      <c r="F5" s="18" t="s">
        <v>30</v>
      </c>
      <c r="G5" s="17" t="s">
        <v>12</v>
      </c>
      <c r="H5" s="17">
        <v>20250301</v>
      </c>
      <c r="I5" s="17" t="str">
        <f>TEXT(DATE(LEFT(H5,4), MID(H5,5,2), RIGHT(H5,2)), "M/d/yyyy")</f>
        <v>3/1/2025</v>
      </c>
      <c r="J5" s="21">
        <f>DATE(YEAR(I5), MONTH(I5) +1, DAY(I5))</f>
        <v>45748</v>
      </c>
      <c r="K5" s="17" t="s">
        <v>13</v>
      </c>
      <c r="L5" s="19">
        <v>18</v>
      </c>
      <c r="M5" s="20">
        <v>0.1</v>
      </c>
      <c r="N5" s="19">
        <v>1.8</v>
      </c>
      <c r="O5" s="16" t="s">
        <v>308</v>
      </c>
    </row>
    <row r="6" spans="1:16" ht="15.75" x14ac:dyDescent="0.25">
      <c r="A6" s="17" t="s">
        <v>242</v>
      </c>
      <c r="B6" s="28" t="s">
        <v>315</v>
      </c>
      <c r="C6" s="17" t="s">
        <v>247</v>
      </c>
      <c r="D6" s="18" t="s">
        <v>248</v>
      </c>
      <c r="E6" s="18" t="str">
        <f>CONCATENATE(D6,7)</f>
        <v>46R1Q07</v>
      </c>
      <c r="F6" s="18" t="s">
        <v>30</v>
      </c>
      <c r="G6" s="17" t="s">
        <v>12</v>
      </c>
      <c r="H6" s="17">
        <v>20250301</v>
      </c>
      <c r="I6" s="17" t="str">
        <f>TEXT(DATE(LEFT(H6,4), MID(H6,5,2), RIGHT(H6,2)), "M/d/yyyy")</f>
        <v>3/1/2025</v>
      </c>
      <c r="J6" s="21">
        <f>DATE(YEAR(I6), MONTH(I6) +1, DAY(I6))</f>
        <v>45748</v>
      </c>
      <c r="K6" s="17" t="s">
        <v>13</v>
      </c>
      <c r="L6" s="19">
        <v>18</v>
      </c>
      <c r="M6" s="20">
        <v>0.1</v>
      </c>
      <c r="N6" s="19">
        <v>1.8</v>
      </c>
      <c r="O6" s="16" t="s">
        <v>308</v>
      </c>
    </row>
    <row r="7" spans="1:16" ht="15.75" x14ac:dyDescent="0.25">
      <c r="A7" s="17" t="s">
        <v>242</v>
      </c>
      <c r="B7" s="28" t="s">
        <v>315</v>
      </c>
      <c r="C7" s="17" t="s">
        <v>249</v>
      </c>
      <c r="D7" s="18" t="s">
        <v>250</v>
      </c>
      <c r="E7" s="18" t="str">
        <f>CONCATENATE(D7,7)</f>
        <v>56Q3B87</v>
      </c>
      <c r="F7" s="18" t="s">
        <v>30</v>
      </c>
      <c r="G7" s="17" t="s">
        <v>12</v>
      </c>
      <c r="H7" s="17">
        <v>20250301</v>
      </c>
      <c r="I7" s="17" t="str">
        <f>TEXT(DATE(LEFT(H7,4), MID(H7,5,2), RIGHT(H7,2)), "M/d/yyyy")</f>
        <v>3/1/2025</v>
      </c>
      <c r="J7" s="21">
        <f>DATE(YEAR(I7), MONTH(I7) +1, DAY(I7))</f>
        <v>45748</v>
      </c>
      <c r="K7" s="17" t="s">
        <v>13</v>
      </c>
      <c r="L7" s="19">
        <v>18</v>
      </c>
      <c r="M7" s="20">
        <v>0.1</v>
      </c>
      <c r="N7" s="19">
        <v>1.8</v>
      </c>
      <c r="O7" s="16" t="s">
        <v>308</v>
      </c>
    </row>
    <row r="8" spans="1:16" ht="15.75" x14ac:dyDescent="0.25">
      <c r="A8" s="17" t="s">
        <v>171</v>
      </c>
      <c r="B8" s="17">
        <v>6634327</v>
      </c>
      <c r="C8" s="17" t="s">
        <v>174</v>
      </c>
      <c r="D8" s="18" t="s">
        <v>175</v>
      </c>
      <c r="E8" s="18" t="str">
        <f>CONCATENATE(D8,7)</f>
        <v>02R27F7</v>
      </c>
      <c r="F8" s="18" t="s">
        <v>110</v>
      </c>
      <c r="G8" s="17" t="s">
        <v>12</v>
      </c>
      <c r="H8" s="17">
        <v>20250301</v>
      </c>
      <c r="I8" s="17" t="str">
        <f>TEXT(DATE(LEFT(H8,4), MID(H8,5,2), RIGHT(H8,2)), "M/d/yyyy")</f>
        <v>3/1/2025</v>
      </c>
      <c r="J8" s="21">
        <f>DATE(YEAR(I8), MONTH(I8) +1, DAY(I8))</f>
        <v>45748</v>
      </c>
      <c r="K8" s="17" t="s">
        <v>13</v>
      </c>
      <c r="L8" s="19">
        <v>20</v>
      </c>
      <c r="M8" s="20">
        <v>0.2</v>
      </c>
      <c r="N8" s="19">
        <v>4</v>
      </c>
      <c r="O8" s="16" t="s">
        <v>309</v>
      </c>
    </row>
    <row r="9" spans="1:16" ht="15.75" x14ac:dyDescent="0.25">
      <c r="A9" s="17" t="s">
        <v>242</v>
      </c>
      <c r="B9" s="28" t="s">
        <v>315</v>
      </c>
      <c r="C9" s="17" t="s">
        <v>253</v>
      </c>
      <c r="D9" s="18" t="s">
        <v>254</v>
      </c>
      <c r="E9" s="18" t="str">
        <f>CONCATENATE(D9,7)</f>
        <v>28TF787</v>
      </c>
      <c r="F9" s="18" t="s">
        <v>30</v>
      </c>
      <c r="G9" s="17" t="s">
        <v>12</v>
      </c>
      <c r="H9" s="17">
        <v>20250301</v>
      </c>
      <c r="I9" s="17" t="str">
        <f>TEXT(DATE(LEFT(H9,4), MID(H9,5,2), RIGHT(H9,2)), "M/d/yyyy")</f>
        <v>3/1/2025</v>
      </c>
      <c r="J9" s="21">
        <f>DATE(YEAR(I9), MONTH(I9) +1, DAY(I9))</f>
        <v>45748</v>
      </c>
      <c r="K9" s="17" t="s">
        <v>13</v>
      </c>
      <c r="L9" s="19">
        <v>27</v>
      </c>
      <c r="M9" s="20">
        <v>0.2</v>
      </c>
      <c r="N9" s="19">
        <v>5.4</v>
      </c>
      <c r="O9" s="16" t="s">
        <v>309</v>
      </c>
    </row>
    <row r="10" spans="1:16" ht="15.75" x14ac:dyDescent="0.25">
      <c r="A10" s="17" t="s">
        <v>242</v>
      </c>
      <c r="B10" s="28" t="s">
        <v>315</v>
      </c>
      <c r="C10" s="17" t="s">
        <v>257</v>
      </c>
      <c r="D10" s="18" t="s">
        <v>258</v>
      </c>
      <c r="E10" s="18" t="str">
        <f>CONCATENATE(D10,7)</f>
        <v>60Q27N7</v>
      </c>
      <c r="F10" s="18" t="s">
        <v>30</v>
      </c>
      <c r="G10" s="17" t="s">
        <v>12</v>
      </c>
      <c r="H10" s="17">
        <v>20250301</v>
      </c>
      <c r="I10" s="17" t="str">
        <f>TEXT(DATE(LEFT(H10,4), MID(H10,5,2), RIGHT(H10,2)), "M/d/yyyy")</f>
        <v>3/1/2025</v>
      </c>
      <c r="J10" s="21">
        <f>DATE(YEAR(I10), MONTH(I10) +1, DAY(I10))</f>
        <v>45748</v>
      </c>
      <c r="K10" s="17" t="s">
        <v>13</v>
      </c>
      <c r="L10" s="19">
        <v>27</v>
      </c>
      <c r="M10" s="20">
        <v>0.2</v>
      </c>
      <c r="N10" s="19">
        <v>5.4</v>
      </c>
      <c r="O10" s="16" t="s">
        <v>309</v>
      </c>
    </row>
    <row r="11" spans="1:16" ht="15.75" x14ac:dyDescent="0.25">
      <c r="A11" s="17" t="s">
        <v>34</v>
      </c>
      <c r="B11" s="17">
        <v>21104854</v>
      </c>
      <c r="C11" s="17" t="s">
        <v>46</v>
      </c>
      <c r="D11" s="18" t="s">
        <v>47</v>
      </c>
      <c r="E11" s="18" t="str">
        <f>CONCATENATE(D11,7)</f>
        <v>47N6E87</v>
      </c>
      <c r="F11" s="18" t="s">
        <v>30</v>
      </c>
      <c r="G11" s="17" t="s">
        <v>12</v>
      </c>
      <c r="H11" s="17">
        <v>20250301</v>
      </c>
      <c r="I11" s="17" t="str">
        <f>TEXT(DATE(LEFT(H11,4), MID(H11,5,2), RIGHT(H11,2)), "M/d/yyyy")</f>
        <v>3/1/2025</v>
      </c>
      <c r="J11" s="21">
        <f>DATE(YEAR(I11), MONTH(I11) +1, DAY(I11))</f>
        <v>45748</v>
      </c>
      <c r="K11" s="17" t="s">
        <v>13</v>
      </c>
      <c r="L11" s="19">
        <v>29</v>
      </c>
      <c r="M11" s="20">
        <v>0.2</v>
      </c>
      <c r="N11" s="19">
        <v>5.8000000000000007</v>
      </c>
      <c r="O11" s="16" t="s">
        <v>309</v>
      </c>
    </row>
    <row r="12" spans="1:16" ht="15.75" x14ac:dyDescent="0.25">
      <c r="A12" s="17" t="s">
        <v>48</v>
      </c>
      <c r="B12" s="17">
        <v>17425766</v>
      </c>
      <c r="C12" s="17" t="s">
        <v>49</v>
      </c>
      <c r="D12" s="18" t="s">
        <v>50</v>
      </c>
      <c r="E12" s="18" t="str">
        <f>CONCATENATE(D12,7)</f>
        <v>12PY607</v>
      </c>
      <c r="F12" s="18" t="s">
        <v>51</v>
      </c>
      <c r="G12" s="17" t="s">
        <v>12</v>
      </c>
      <c r="H12" s="17">
        <v>20250301</v>
      </c>
      <c r="I12" s="17" t="str">
        <f>TEXT(DATE(LEFT(H12,4), MID(H12,5,2), RIGHT(H12,2)), "M/d/yyyy")</f>
        <v>3/1/2025</v>
      </c>
      <c r="J12" s="21">
        <f>DATE(YEAR(I12), MONTH(I12) +1, DAY(I12))</f>
        <v>45748</v>
      </c>
      <c r="K12" s="17" t="s">
        <v>13</v>
      </c>
      <c r="L12" s="19">
        <v>29</v>
      </c>
      <c r="M12" s="20">
        <v>0.2</v>
      </c>
      <c r="N12" s="19">
        <v>5.8000000000000007</v>
      </c>
      <c r="O12" s="16" t="s">
        <v>309</v>
      </c>
    </row>
    <row r="13" spans="1:16" ht="15.75" x14ac:dyDescent="0.25">
      <c r="A13" s="17" t="s">
        <v>242</v>
      </c>
      <c r="B13" s="28" t="s">
        <v>315</v>
      </c>
      <c r="C13" s="17" t="s">
        <v>255</v>
      </c>
      <c r="D13" s="18" t="s">
        <v>256</v>
      </c>
      <c r="E13" s="18" t="str">
        <f>CONCATENATE(D13,7)</f>
        <v>30RQ527</v>
      </c>
      <c r="F13" s="18" t="s">
        <v>30</v>
      </c>
      <c r="G13" s="17" t="s">
        <v>12</v>
      </c>
      <c r="H13" s="17">
        <v>20250301</v>
      </c>
      <c r="I13" s="17" t="str">
        <f>TEXT(DATE(LEFT(H13,4), MID(H13,5,2), RIGHT(H13,2)), "M/d/yyyy")</f>
        <v>3/1/2025</v>
      </c>
      <c r="J13" s="21">
        <f>DATE(YEAR(I13), MONTH(I13) +1, DAY(I13))</f>
        <v>45748</v>
      </c>
      <c r="K13" s="17" t="s">
        <v>13</v>
      </c>
      <c r="L13" s="19">
        <v>33</v>
      </c>
      <c r="M13" s="20">
        <v>0.2</v>
      </c>
      <c r="N13" s="19">
        <v>6.6000000000000005</v>
      </c>
      <c r="O13" s="16" t="s">
        <v>309</v>
      </c>
    </row>
    <row r="14" spans="1:16" ht="15.75" x14ac:dyDescent="0.25">
      <c r="A14" s="17" t="s">
        <v>34</v>
      </c>
      <c r="B14" s="17">
        <v>21104854</v>
      </c>
      <c r="C14" s="17" t="s">
        <v>40</v>
      </c>
      <c r="D14" s="18" t="s">
        <v>41</v>
      </c>
      <c r="E14" s="18" t="str">
        <f>CONCATENATE(D14,7)</f>
        <v>14TF167</v>
      </c>
      <c r="F14" s="18" t="s">
        <v>30</v>
      </c>
      <c r="G14" s="17" t="s">
        <v>12</v>
      </c>
      <c r="H14" s="17">
        <v>20250301</v>
      </c>
      <c r="I14" s="17" t="str">
        <f>TEXT(DATE(LEFT(H14,4), MID(H14,5,2), RIGHT(H14,2)), "M/d/yyyy")</f>
        <v>3/1/2025</v>
      </c>
      <c r="J14" s="21">
        <f>DATE(YEAR(I14), MONTH(I14) +1, DAY(I14))</f>
        <v>45748</v>
      </c>
      <c r="K14" s="17" t="s">
        <v>13</v>
      </c>
      <c r="L14" s="19">
        <v>34.58</v>
      </c>
      <c r="M14" s="20">
        <v>0.2</v>
      </c>
      <c r="N14" s="19">
        <v>6.9160000000000004</v>
      </c>
      <c r="O14" s="16" t="s">
        <v>309</v>
      </c>
    </row>
    <row r="15" spans="1:16" ht="15.75" x14ac:dyDescent="0.25">
      <c r="A15" s="17" t="s">
        <v>242</v>
      </c>
      <c r="B15" s="28" t="s">
        <v>315</v>
      </c>
      <c r="C15" s="17" t="s">
        <v>259</v>
      </c>
      <c r="D15" s="18" t="s">
        <v>260</v>
      </c>
      <c r="E15" s="18" t="str">
        <f>CONCATENATE(D15,7)</f>
        <v>62R17P7</v>
      </c>
      <c r="F15" s="18" t="s">
        <v>30</v>
      </c>
      <c r="G15" s="17" t="s">
        <v>12</v>
      </c>
      <c r="H15" s="17">
        <v>20250301</v>
      </c>
      <c r="I15" s="17" t="str">
        <f>TEXT(DATE(LEFT(H15,4), MID(H15,5,2), RIGHT(H15,2)), "M/d/yyyy")</f>
        <v>3/1/2025</v>
      </c>
      <c r="J15" s="21">
        <f>DATE(YEAR(I15), MONTH(I15) +1, DAY(I15))</f>
        <v>45748</v>
      </c>
      <c r="K15" s="17" t="s">
        <v>13</v>
      </c>
      <c r="L15" s="19">
        <v>36</v>
      </c>
      <c r="M15" s="20">
        <v>0.2</v>
      </c>
      <c r="N15" s="19">
        <v>7.2</v>
      </c>
      <c r="O15" s="16" t="s">
        <v>309</v>
      </c>
    </row>
    <row r="16" spans="1:16" ht="15.75" x14ac:dyDescent="0.25">
      <c r="A16" s="22" t="s">
        <v>142</v>
      </c>
      <c r="B16" s="22">
        <v>19279958</v>
      </c>
      <c r="C16" s="22" t="s">
        <v>156</v>
      </c>
      <c r="D16" s="23" t="s">
        <v>157</v>
      </c>
      <c r="E16" s="23" t="str">
        <f>CONCATENATE(D16,7)</f>
        <v>28PY207</v>
      </c>
      <c r="F16" s="23" t="s">
        <v>145</v>
      </c>
      <c r="G16" s="22" t="s">
        <v>12</v>
      </c>
      <c r="H16" s="22">
        <v>20250301</v>
      </c>
      <c r="I16" s="22" t="str">
        <f>TEXT(DATE(LEFT(H16,4), MID(H16,5,2), RIGHT(H16,2)), "M/d/yyyy")</f>
        <v>3/1/2025</v>
      </c>
      <c r="J16" s="24">
        <f>DATE(YEAR(I16), MONTH(I16) +1, DAY(I16))</f>
        <v>45748</v>
      </c>
      <c r="K16" s="22" t="s">
        <v>13</v>
      </c>
      <c r="L16" s="25">
        <v>36.92</v>
      </c>
      <c r="M16" s="26">
        <v>0.2</v>
      </c>
      <c r="N16" s="25">
        <v>7.3840000000000003</v>
      </c>
      <c r="O16" s="27" t="s">
        <v>309</v>
      </c>
      <c r="P16" s="27"/>
    </row>
    <row r="17" spans="1:16" ht="15.75" x14ac:dyDescent="0.25">
      <c r="A17" s="22" t="s">
        <v>142</v>
      </c>
      <c r="B17" s="22">
        <v>19279958</v>
      </c>
      <c r="C17" s="22" t="s">
        <v>152</v>
      </c>
      <c r="D17" s="23" t="s">
        <v>153</v>
      </c>
      <c r="E17" s="23" t="str">
        <f>CONCATENATE(D17,7)</f>
        <v>21Q1B07</v>
      </c>
      <c r="F17" s="23" t="s">
        <v>145</v>
      </c>
      <c r="G17" s="22" t="s">
        <v>12</v>
      </c>
      <c r="H17" s="22">
        <v>20250301</v>
      </c>
      <c r="I17" s="22" t="str">
        <f>TEXT(DATE(LEFT(H17,4), MID(H17,5,2), RIGHT(H17,2)), "M/d/yyyy")</f>
        <v>3/1/2025</v>
      </c>
      <c r="J17" s="24">
        <f>DATE(YEAR(I17), MONTH(I17) +1, DAY(I17))</f>
        <v>45748</v>
      </c>
      <c r="K17" s="22" t="s">
        <v>13</v>
      </c>
      <c r="L17" s="25">
        <v>37.29</v>
      </c>
      <c r="M17" s="26">
        <v>0.2</v>
      </c>
      <c r="N17" s="25">
        <v>7.4580000000000002</v>
      </c>
      <c r="O17" s="27" t="s">
        <v>309</v>
      </c>
      <c r="P17" s="27"/>
    </row>
    <row r="18" spans="1:16" ht="15.75" x14ac:dyDescent="0.25">
      <c r="A18" s="17" t="s">
        <v>171</v>
      </c>
      <c r="B18" s="17">
        <v>6634327</v>
      </c>
      <c r="C18" s="17" t="s">
        <v>176</v>
      </c>
      <c r="D18" s="18" t="s">
        <v>177</v>
      </c>
      <c r="E18" s="18" t="str">
        <f>CONCATENATE(D18,7)</f>
        <v>57P1R57</v>
      </c>
      <c r="F18" s="18" t="s">
        <v>178</v>
      </c>
      <c r="G18" s="17" t="s">
        <v>12</v>
      </c>
      <c r="H18" s="17">
        <v>20250301</v>
      </c>
      <c r="I18" s="17" t="str">
        <f>TEXT(DATE(LEFT(H18,4), MID(H18,5,2), RIGHT(H18,2)), "M/d/yyyy")</f>
        <v>3/1/2025</v>
      </c>
      <c r="J18" s="21">
        <f>DATE(YEAR(I18), MONTH(I18) +1, DAY(I18))</f>
        <v>45748</v>
      </c>
      <c r="K18" s="17" t="s">
        <v>13</v>
      </c>
      <c r="L18" s="19">
        <v>38</v>
      </c>
      <c r="M18" s="20">
        <v>0.2</v>
      </c>
      <c r="N18" s="19">
        <v>7.6000000000000005</v>
      </c>
      <c r="O18" s="16" t="s">
        <v>309</v>
      </c>
    </row>
    <row r="19" spans="1:16" ht="15.75" x14ac:dyDescent="0.25">
      <c r="A19" s="22" t="s">
        <v>142</v>
      </c>
      <c r="B19" s="22">
        <v>19279958</v>
      </c>
      <c r="C19" s="22" t="s">
        <v>164</v>
      </c>
      <c r="D19" s="23" t="s">
        <v>165</v>
      </c>
      <c r="E19" s="23" t="str">
        <f>CONCATENATE(D19,7)</f>
        <v>94N25Y7</v>
      </c>
      <c r="F19" s="23" t="s">
        <v>145</v>
      </c>
      <c r="G19" s="22" t="s">
        <v>12</v>
      </c>
      <c r="H19" s="22">
        <v>20250301</v>
      </c>
      <c r="I19" s="22" t="str">
        <f>TEXT(DATE(LEFT(H19,4), MID(H19,5,2), RIGHT(H19,2)), "M/d/yyyy")</f>
        <v>3/1/2025</v>
      </c>
      <c r="J19" s="24">
        <f>DATE(YEAR(I19), MONTH(I19) +1, DAY(I19))</f>
        <v>45748</v>
      </c>
      <c r="K19" s="22" t="s">
        <v>13</v>
      </c>
      <c r="L19" s="25">
        <v>39.700000000000003</v>
      </c>
      <c r="M19" s="26">
        <v>0.2</v>
      </c>
      <c r="N19" s="25">
        <v>7.9400000000000013</v>
      </c>
      <c r="O19" s="27" t="s">
        <v>309</v>
      </c>
      <c r="P19" s="27"/>
    </row>
    <row r="20" spans="1:16" ht="15.75" x14ac:dyDescent="0.25">
      <c r="A20" s="22" t="s">
        <v>142</v>
      </c>
      <c r="B20" s="22">
        <v>19279958</v>
      </c>
      <c r="C20" s="22" t="s">
        <v>143</v>
      </c>
      <c r="D20" s="23" t="s">
        <v>144</v>
      </c>
      <c r="E20" s="23" t="str">
        <f>CONCATENATE(D20,7)</f>
        <v>07QM577</v>
      </c>
      <c r="F20" s="23" t="s">
        <v>145</v>
      </c>
      <c r="G20" s="22" t="s">
        <v>12</v>
      </c>
      <c r="H20" s="22">
        <v>20250301</v>
      </c>
      <c r="I20" s="22" t="str">
        <f>TEXT(DATE(LEFT(H20,4), MID(H20,5,2), RIGHT(H20,2)), "M/d/yyyy")</f>
        <v>3/1/2025</v>
      </c>
      <c r="J20" s="24">
        <f>DATE(YEAR(I20), MONTH(I20) +1, DAY(I20))</f>
        <v>45748</v>
      </c>
      <c r="K20" s="22" t="s">
        <v>13</v>
      </c>
      <c r="L20" s="25">
        <v>40.89</v>
      </c>
      <c r="M20" s="26">
        <v>0.2</v>
      </c>
      <c r="N20" s="25">
        <v>8.1780000000000008</v>
      </c>
      <c r="O20" s="27" t="s">
        <v>309</v>
      </c>
      <c r="P20" s="27"/>
    </row>
    <row r="21" spans="1:16" ht="15.75" x14ac:dyDescent="0.25">
      <c r="A21" s="17" t="s">
        <v>34</v>
      </c>
      <c r="B21" s="17">
        <v>21104854</v>
      </c>
      <c r="C21" s="17" t="s">
        <v>42</v>
      </c>
      <c r="D21" s="18" t="s">
        <v>43</v>
      </c>
      <c r="E21" s="18" t="str">
        <f>CONCATENATE(D21,7)</f>
        <v>38Q22K7</v>
      </c>
      <c r="F21" s="18" t="s">
        <v>30</v>
      </c>
      <c r="G21" s="17" t="s">
        <v>12</v>
      </c>
      <c r="H21" s="17">
        <v>20250301</v>
      </c>
      <c r="I21" s="17" t="str">
        <f>TEXT(DATE(LEFT(H21,4), MID(H21,5,2), RIGHT(H21,2)), "M/d/yyyy")</f>
        <v>3/1/2025</v>
      </c>
      <c r="J21" s="21">
        <f>DATE(YEAR(I21), MONTH(I21) +1, DAY(I21))</f>
        <v>45748</v>
      </c>
      <c r="K21" s="17" t="s">
        <v>13</v>
      </c>
      <c r="L21" s="19">
        <v>41.44</v>
      </c>
      <c r="M21" s="20">
        <v>0.2</v>
      </c>
      <c r="N21" s="19">
        <v>8.2880000000000003</v>
      </c>
      <c r="O21" s="16" t="s">
        <v>309</v>
      </c>
    </row>
    <row r="22" spans="1:16" ht="15.75" x14ac:dyDescent="0.25">
      <c r="A22" s="17" t="s">
        <v>34</v>
      </c>
      <c r="B22" s="17">
        <v>21104854</v>
      </c>
      <c r="C22" s="17" t="s">
        <v>44</v>
      </c>
      <c r="D22" s="18" t="s">
        <v>45</v>
      </c>
      <c r="E22" s="18" t="str">
        <f>CONCATENATE(D22,7)</f>
        <v>82PX557</v>
      </c>
      <c r="F22" s="18" t="s">
        <v>30</v>
      </c>
      <c r="G22" s="17" t="s">
        <v>12</v>
      </c>
      <c r="H22" s="17">
        <v>20250301</v>
      </c>
      <c r="I22" s="17" t="str">
        <f>TEXT(DATE(LEFT(H22,4), MID(H22,5,2), RIGHT(H22,2)), "M/d/yyyy")</f>
        <v>3/1/2025</v>
      </c>
      <c r="J22" s="21">
        <f>DATE(YEAR(I22), MONTH(I22) +1, DAY(I22))</f>
        <v>45748</v>
      </c>
      <c r="K22" s="17" t="s">
        <v>13</v>
      </c>
      <c r="L22" s="19">
        <v>41.44</v>
      </c>
      <c r="M22" s="20">
        <v>0.2</v>
      </c>
      <c r="N22" s="19">
        <v>8.2880000000000003</v>
      </c>
      <c r="O22" s="16" t="s">
        <v>309</v>
      </c>
    </row>
    <row r="23" spans="1:16" ht="15.75" x14ac:dyDescent="0.25">
      <c r="A23" s="17" t="s">
        <v>48</v>
      </c>
      <c r="B23" s="17">
        <v>17425766</v>
      </c>
      <c r="C23" s="17" t="s">
        <v>52</v>
      </c>
      <c r="D23" s="18" t="s">
        <v>53</v>
      </c>
      <c r="E23" s="18" t="str">
        <f>CONCATENATE(D23,7)</f>
        <v>62R96P7</v>
      </c>
      <c r="F23" s="18" t="s">
        <v>54</v>
      </c>
      <c r="G23" s="17" t="s">
        <v>12</v>
      </c>
      <c r="H23" s="17">
        <v>20250301</v>
      </c>
      <c r="I23" s="17" t="str">
        <f>TEXT(DATE(LEFT(H23,4), MID(H23,5,2), RIGHT(H23,2)), "M/d/yyyy")</f>
        <v>3/1/2025</v>
      </c>
      <c r="J23" s="21">
        <f>DATE(YEAR(I23), MONTH(I23) +1, DAY(I23))</f>
        <v>45748</v>
      </c>
      <c r="K23" s="17" t="s">
        <v>13</v>
      </c>
      <c r="L23" s="19">
        <v>43</v>
      </c>
      <c r="M23" s="20">
        <v>0.2</v>
      </c>
      <c r="N23" s="19">
        <v>8.6</v>
      </c>
      <c r="O23" s="16" t="s">
        <v>309</v>
      </c>
    </row>
    <row r="24" spans="1:16" ht="15.75" x14ac:dyDescent="0.25">
      <c r="A24" s="17" t="s">
        <v>48</v>
      </c>
      <c r="B24" s="17">
        <v>17425766</v>
      </c>
      <c r="C24" s="17" t="s">
        <v>57</v>
      </c>
      <c r="D24" s="18" t="s">
        <v>58</v>
      </c>
      <c r="E24" s="18" t="str">
        <f>CONCATENATE(D24,7)</f>
        <v>72N6G97</v>
      </c>
      <c r="F24" s="18" t="s">
        <v>54</v>
      </c>
      <c r="G24" s="17" t="s">
        <v>12</v>
      </c>
      <c r="H24" s="17">
        <v>20250301</v>
      </c>
      <c r="I24" s="17" t="str">
        <f>TEXT(DATE(LEFT(H24,4), MID(H24,5,2), RIGHT(H24,2)), "M/d/yyyy")</f>
        <v>3/1/2025</v>
      </c>
      <c r="J24" s="21">
        <f>DATE(YEAR(I24), MONTH(I24) +1, DAY(I24))</f>
        <v>45748</v>
      </c>
      <c r="K24" s="17" t="s">
        <v>13</v>
      </c>
      <c r="L24" s="19">
        <v>43</v>
      </c>
      <c r="M24" s="20">
        <v>0.2</v>
      </c>
      <c r="N24" s="19">
        <v>8.6</v>
      </c>
      <c r="O24" s="16" t="s">
        <v>309</v>
      </c>
    </row>
    <row r="25" spans="1:16" ht="15.75" x14ac:dyDescent="0.25">
      <c r="A25" s="17" t="s">
        <v>48</v>
      </c>
      <c r="B25" s="17">
        <v>17425766</v>
      </c>
      <c r="C25" s="17" t="s">
        <v>59</v>
      </c>
      <c r="D25" s="18" t="s">
        <v>60</v>
      </c>
      <c r="E25" s="18" t="str">
        <f>CONCATENATE(D25,7)</f>
        <v>80QC767</v>
      </c>
      <c r="F25" s="18" t="s">
        <v>54</v>
      </c>
      <c r="G25" s="17" t="s">
        <v>12</v>
      </c>
      <c r="H25" s="17">
        <v>20250301</v>
      </c>
      <c r="I25" s="17" t="str">
        <f>TEXT(DATE(LEFT(H25,4), MID(H25,5,2), RIGHT(H25,2)), "M/d/yyyy")</f>
        <v>3/1/2025</v>
      </c>
      <c r="J25" s="21">
        <f>DATE(YEAR(I25), MONTH(I25) +1, DAY(I25))</f>
        <v>45748</v>
      </c>
      <c r="K25" s="17" t="s">
        <v>13</v>
      </c>
      <c r="L25" s="19">
        <v>43</v>
      </c>
      <c r="M25" s="20">
        <v>0.2</v>
      </c>
      <c r="N25" s="19">
        <v>8.6</v>
      </c>
      <c r="O25" s="16" t="s">
        <v>309</v>
      </c>
    </row>
    <row r="26" spans="1:16" ht="15.75" x14ac:dyDescent="0.25">
      <c r="A26" s="17" t="s">
        <v>48</v>
      </c>
      <c r="B26" s="17">
        <v>17425766</v>
      </c>
      <c r="C26" s="17" t="s">
        <v>61</v>
      </c>
      <c r="D26" s="18" t="s">
        <v>62</v>
      </c>
      <c r="E26" s="18" t="str">
        <f>CONCATENATE(D26,7)</f>
        <v>87PH607</v>
      </c>
      <c r="F26" s="18" t="s">
        <v>54</v>
      </c>
      <c r="G26" s="17" t="s">
        <v>12</v>
      </c>
      <c r="H26" s="17">
        <v>20250301</v>
      </c>
      <c r="I26" s="17" t="str">
        <f>TEXT(DATE(LEFT(H26,4), MID(H26,5,2), RIGHT(H26,2)), "M/d/yyyy")</f>
        <v>3/1/2025</v>
      </c>
      <c r="J26" s="21">
        <f>DATE(YEAR(I26), MONTH(I26) +1, DAY(I26))</f>
        <v>45748</v>
      </c>
      <c r="K26" s="17" t="s">
        <v>13</v>
      </c>
      <c r="L26" s="19">
        <v>43</v>
      </c>
      <c r="M26" s="20">
        <v>0.2</v>
      </c>
      <c r="N26" s="19">
        <v>8.6</v>
      </c>
      <c r="O26" s="16" t="s">
        <v>309</v>
      </c>
    </row>
    <row r="27" spans="1:16" ht="15.75" x14ac:dyDescent="0.25">
      <c r="A27" s="17" t="s">
        <v>304</v>
      </c>
      <c r="B27" s="17">
        <v>16202925</v>
      </c>
      <c r="C27" s="17" t="s">
        <v>305</v>
      </c>
      <c r="D27" s="18" t="s">
        <v>306</v>
      </c>
      <c r="E27" s="18" t="str">
        <f>CONCATENATE(D27,7)</f>
        <v>80TQ847</v>
      </c>
      <c r="F27" s="18" t="s">
        <v>145</v>
      </c>
      <c r="G27" s="17" t="s">
        <v>12</v>
      </c>
      <c r="H27" s="17">
        <v>20250301</v>
      </c>
      <c r="I27" s="17" t="str">
        <f>TEXT(DATE(LEFT(H27,4), MID(H27,5,2), RIGHT(H27,2)), "M/d/yyyy")</f>
        <v>3/1/2025</v>
      </c>
      <c r="J27" s="21">
        <f>DATE(YEAR(I27), MONTH(I27) +1, DAY(I27))</f>
        <v>45748</v>
      </c>
      <c r="K27" s="17" t="s">
        <v>13</v>
      </c>
      <c r="L27" s="19">
        <v>45</v>
      </c>
      <c r="M27" s="20">
        <v>0.2</v>
      </c>
      <c r="N27" s="19">
        <v>9</v>
      </c>
      <c r="O27" s="16" t="s">
        <v>309</v>
      </c>
    </row>
    <row r="28" spans="1:16" ht="15.75" x14ac:dyDescent="0.25">
      <c r="A28" s="17" t="s">
        <v>242</v>
      </c>
      <c r="B28" s="28" t="s">
        <v>315</v>
      </c>
      <c r="C28" s="17" t="s">
        <v>251</v>
      </c>
      <c r="D28" s="18" t="s">
        <v>252</v>
      </c>
      <c r="E28" s="18" t="str">
        <f>CONCATENATE(D28,7)</f>
        <v>58P14V7</v>
      </c>
      <c r="F28" s="18" t="s">
        <v>30</v>
      </c>
      <c r="G28" s="17" t="s">
        <v>12</v>
      </c>
      <c r="H28" s="17">
        <v>20250301</v>
      </c>
      <c r="I28" s="17" t="str">
        <f>TEXT(DATE(LEFT(H28,4), MID(H28,5,2), RIGHT(H28,2)), "M/d/yyyy")</f>
        <v>3/1/2025</v>
      </c>
      <c r="J28" s="21">
        <f>DATE(YEAR(I28), MONTH(I28) +1, DAY(I28))</f>
        <v>45748</v>
      </c>
      <c r="K28" s="17" t="s">
        <v>13</v>
      </c>
      <c r="L28" s="19">
        <v>48.35</v>
      </c>
      <c r="M28" s="20">
        <v>0.2</v>
      </c>
      <c r="N28" s="19">
        <v>9.6700000000000017</v>
      </c>
      <c r="O28" s="16" t="s">
        <v>309</v>
      </c>
    </row>
    <row r="29" spans="1:16" ht="15.75" x14ac:dyDescent="0.25">
      <c r="A29" s="17" t="s">
        <v>105</v>
      </c>
      <c r="B29" s="17">
        <v>16865615</v>
      </c>
      <c r="C29" s="17" t="s">
        <v>106</v>
      </c>
      <c r="D29" s="18" t="s">
        <v>107</v>
      </c>
      <c r="E29" s="18" t="str">
        <f>CONCATENATE(D29,7)</f>
        <v>16R2Q47</v>
      </c>
      <c r="F29" s="18" t="s">
        <v>30</v>
      </c>
      <c r="G29" s="17" t="s">
        <v>12</v>
      </c>
      <c r="H29" s="17">
        <v>20250301</v>
      </c>
      <c r="I29" s="17" t="str">
        <f>TEXT(DATE(LEFT(H29,4), MID(H29,5,2), RIGHT(H29,2)), "M/d/yyyy")</f>
        <v>3/1/2025</v>
      </c>
      <c r="J29" s="21">
        <f>DATE(YEAR(I29), MONTH(I29) +1, DAY(I29))</f>
        <v>45748</v>
      </c>
      <c r="K29" s="17" t="s">
        <v>13</v>
      </c>
      <c r="L29" s="19">
        <v>48.96</v>
      </c>
      <c r="M29" s="20">
        <v>0.2</v>
      </c>
      <c r="N29" s="19">
        <v>9.7920000000000016</v>
      </c>
      <c r="O29" s="16" t="s">
        <v>309</v>
      </c>
    </row>
    <row r="30" spans="1:16" ht="15.75" x14ac:dyDescent="0.25">
      <c r="A30" s="17" t="s">
        <v>171</v>
      </c>
      <c r="B30" s="17">
        <v>6634327</v>
      </c>
      <c r="C30" s="17" t="s">
        <v>179</v>
      </c>
      <c r="D30" s="18" t="s">
        <v>180</v>
      </c>
      <c r="E30" s="18" t="str">
        <f>CONCATENATE(D30,7)</f>
        <v>61N2C47</v>
      </c>
      <c r="F30" s="18" t="s">
        <v>110</v>
      </c>
      <c r="G30" s="17" t="s">
        <v>12</v>
      </c>
      <c r="H30" s="17">
        <v>20250301</v>
      </c>
      <c r="I30" s="17" t="str">
        <f>TEXT(DATE(LEFT(H30,4), MID(H30,5,2), RIGHT(H30,2)), "M/d/yyyy")</f>
        <v>3/1/2025</v>
      </c>
      <c r="J30" s="21">
        <f>DATE(YEAR(I30), MONTH(I30) +1, DAY(I30))</f>
        <v>45748</v>
      </c>
      <c r="K30" s="17" t="s">
        <v>13</v>
      </c>
      <c r="L30" s="19">
        <v>49</v>
      </c>
      <c r="M30" s="20">
        <v>0.2</v>
      </c>
      <c r="N30" s="19">
        <v>9.8000000000000007</v>
      </c>
      <c r="O30" s="16" t="s">
        <v>309</v>
      </c>
    </row>
    <row r="31" spans="1:16" ht="15.75" x14ac:dyDescent="0.25">
      <c r="A31" s="22" t="s">
        <v>142</v>
      </c>
      <c r="B31" s="22">
        <v>19279958</v>
      </c>
      <c r="C31" s="22" t="s">
        <v>166</v>
      </c>
      <c r="D31" s="23" t="s">
        <v>167</v>
      </c>
      <c r="E31" s="23" t="str">
        <f>CONCATENATE(D31,7)</f>
        <v>95Q10L7</v>
      </c>
      <c r="F31" s="23" t="s">
        <v>96</v>
      </c>
      <c r="G31" s="22" t="s">
        <v>12</v>
      </c>
      <c r="H31" s="22">
        <v>20250301</v>
      </c>
      <c r="I31" s="22" t="str">
        <f>TEXT(DATE(LEFT(H31,4), MID(H31,5,2), RIGHT(H31,2)), "M/d/yyyy")</f>
        <v>3/1/2025</v>
      </c>
      <c r="J31" s="24">
        <f>DATE(YEAR(I31), MONTH(I31) +1, DAY(I31))</f>
        <v>45748</v>
      </c>
      <c r="K31" s="22" t="s">
        <v>13</v>
      </c>
      <c r="L31" s="25">
        <v>51.11</v>
      </c>
      <c r="M31" s="26">
        <v>0.2</v>
      </c>
      <c r="N31" s="25">
        <v>10.222000000000001</v>
      </c>
      <c r="O31" s="27" t="s">
        <v>309</v>
      </c>
      <c r="P31" s="27"/>
    </row>
    <row r="32" spans="1:16" ht="15.75" x14ac:dyDescent="0.25">
      <c r="A32" s="17" t="s">
        <v>34</v>
      </c>
      <c r="B32" s="17">
        <v>21104854</v>
      </c>
      <c r="C32" s="17" t="s">
        <v>35</v>
      </c>
      <c r="D32" s="18" t="s">
        <v>36</v>
      </c>
      <c r="E32" s="18" t="str">
        <f>CONCATENATE(D32,7)</f>
        <v>06P64N7</v>
      </c>
      <c r="F32" s="18" t="s">
        <v>37</v>
      </c>
      <c r="G32" s="17" t="s">
        <v>12</v>
      </c>
      <c r="H32" s="17">
        <v>20250301</v>
      </c>
      <c r="I32" s="17" t="str">
        <f>TEXT(DATE(LEFT(H32,4), MID(H32,5,2), RIGHT(H32,2)), "M/d/yyyy")</f>
        <v>3/1/2025</v>
      </c>
      <c r="J32" s="21">
        <f>DATE(YEAR(I32), MONTH(I32) +1, DAY(I32))</f>
        <v>45748</v>
      </c>
      <c r="K32" s="17" t="s">
        <v>13</v>
      </c>
      <c r="L32" s="19">
        <v>52.45</v>
      </c>
      <c r="M32" s="20">
        <v>0.2</v>
      </c>
      <c r="N32" s="19">
        <v>10.490000000000002</v>
      </c>
      <c r="O32" s="16" t="s">
        <v>309</v>
      </c>
    </row>
    <row r="33" spans="1:16" ht="15.75" x14ac:dyDescent="0.25">
      <c r="A33" s="22" t="s">
        <v>142</v>
      </c>
      <c r="B33" s="22">
        <v>19279958</v>
      </c>
      <c r="C33" s="22" t="s">
        <v>154</v>
      </c>
      <c r="D33" s="23" t="s">
        <v>155</v>
      </c>
      <c r="E33" s="23" t="str">
        <f>CONCATENATE(D33,7)</f>
        <v>28P22N7</v>
      </c>
      <c r="F33" s="23" t="s">
        <v>145</v>
      </c>
      <c r="G33" s="22" t="s">
        <v>12</v>
      </c>
      <c r="H33" s="22">
        <v>20250301</v>
      </c>
      <c r="I33" s="22" t="str">
        <f>TEXT(DATE(LEFT(H33,4), MID(H33,5,2), RIGHT(H33,2)), "M/d/yyyy")</f>
        <v>3/1/2025</v>
      </c>
      <c r="J33" s="24">
        <f>DATE(YEAR(I33), MONTH(I33) +1, DAY(I33))</f>
        <v>45748</v>
      </c>
      <c r="K33" s="22" t="s">
        <v>13</v>
      </c>
      <c r="L33" s="25">
        <v>52.71</v>
      </c>
      <c r="M33" s="26">
        <v>0.2</v>
      </c>
      <c r="N33" s="25">
        <v>10.542000000000002</v>
      </c>
      <c r="O33" s="27" t="s">
        <v>309</v>
      </c>
      <c r="P33" s="27"/>
    </row>
    <row r="34" spans="1:16" ht="15.75" x14ac:dyDescent="0.25">
      <c r="A34" s="17" t="s">
        <v>171</v>
      </c>
      <c r="B34" s="17">
        <v>6634327</v>
      </c>
      <c r="C34" s="17" t="s">
        <v>181</v>
      </c>
      <c r="D34" s="18" t="s">
        <v>182</v>
      </c>
      <c r="E34" s="18" t="str">
        <f>CONCATENATE(D34,7)</f>
        <v>81P98F7</v>
      </c>
      <c r="F34" s="18" t="s">
        <v>110</v>
      </c>
      <c r="G34" s="17" t="s">
        <v>12</v>
      </c>
      <c r="H34" s="17">
        <v>20250301</v>
      </c>
      <c r="I34" s="17" t="str">
        <f>TEXT(DATE(LEFT(H34,4), MID(H34,5,2), RIGHT(H34,2)), "M/d/yyyy")</f>
        <v>3/1/2025</v>
      </c>
      <c r="J34" s="21">
        <f>DATE(YEAR(I34), MONTH(I34) +1, DAY(I34))</f>
        <v>45748</v>
      </c>
      <c r="K34" s="17" t="s">
        <v>13</v>
      </c>
      <c r="L34" s="19">
        <v>53.65</v>
      </c>
      <c r="M34" s="20">
        <v>0.2</v>
      </c>
      <c r="N34" s="19">
        <v>10.73</v>
      </c>
      <c r="O34" s="16" t="s">
        <v>309</v>
      </c>
    </row>
    <row r="35" spans="1:16" ht="15.75" x14ac:dyDescent="0.25">
      <c r="A35" s="22" t="s">
        <v>142</v>
      </c>
      <c r="B35" s="22">
        <v>19279958</v>
      </c>
      <c r="C35" s="22" t="s">
        <v>158</v>
      </c>
      <c r="D35" s="23" t="s">
        <v>159</v>
      </c>
      <c r="E35" s="23" t="str">
        <f>CONCATENATE(D35,7)</f>
        <v>33PJ957</v>
      </c>
      <c r="F35" s="23" t="s">
        <v>145</v>
      </c>
      <c r="G35" s="22" t="s">
        <v>12</v>
      </c>
      <c r="H35" s="22">
        <v>20250301</v>
      </c>
      <c r="I35" s="22" t="str">
        <f>TEXT(DATE(LEFT(H35,4), MID(H35,5,2), RIGHT(H35,2)), "M/d/yyyy")</f>
        <v>3/1/2025</v>
      </c>
      <c r="J35" s="24">
        <f>DATE(YEAR(I35), MONTH(I35) +1, DAY(I35))</f>
        <v>45748</v>
      </c>
      <c r="K35" s="22" t="s">
        <v>13</v>
      </c>
      <c r="L35" s="25">
        <v>54.87</v>
      </c>
      <c r="M35" s="26">
        <v>0.2</v>
      </c>
      <c r="N35" s="25">
        <v>10.974</v>
      </c>
      <c r="O35" s="27" t="s">
        <v>309</v>
      </c>
      <c r="P35" s="27"/>
    </row>
    <row r="36" spans="1:16" ht="15.75" x14ac:dyDescent="0.25">
      <c r="A36" s="22" t="s">
        <v>142</v>
      </c>
      <c r="B36" s="22">
        <v>19279958</v>
      </c>
      <c r="C36" s="22" t="s">
        <v>150</v>
      </c>
      <c r="D36" s="23" t="s">
        <v>151</v>
      </c>
      <c r="E36" s="23" t="str">
        <f>CONCATENATE(D36,7)</f>
        <v>09R89N7</v>
      </c>
      <c r="F36" s="23" t="s">
        <v>145</v>
      </c>
      <c r="G36" s="22" t="s">
        <v>12</v>
      </c>
      <c r="H36" s="22">
        <v>20250301</v>
      </c>
      <c r="I36" s="22" t="str">
        <f>TEXT(DATE(LEFT(H36,4), MID(H36,5,2), RIGHT(H36,2)), "M/d/yyyy")</f>
        <v>3/1/2025</v>
      </c>
      <c r="J36" s="24">
        <f>DATE(YEAR(I36), MONTH(I36) +1, DAY(I36))</f>
        <v>45748</v>
      </c>
      <c r="K36" s="22" t="s">
        <v>13</v>
      </c>
      <c r="L36" s="25">
        <v>56.51</v>
      </c>
      <c r="M36" s="26">
        <v>0.2</v>
      </c>
      <c r="N36" s="25">
        <v>11.302</v>
      </c>
      <c r="O36" s="27" t="s">
        <v>309</v>
      </c>
      <c r="P36" s="27"/>
    </row>
    <row r="37" spans="1:16" ht="15.75" x14ac:dyDescent="0.25">
      <c r="A37" s="17" t="s">
        <v>263</v>
      </c>
      <c r="B37" s="17">
        <v>8244481</v>
      </c>
      <c r="C37" s="17" t="s">
        <v>264</v>
      </c>
      <c r="D37" s="18" t="s">
        <v>265</v>
      </c>
      <c r="E37" s="18" t="str">
        <f>CONCATENATE(D37,7)</f>
        <v>38Q40Y7</v>
      </c>
      <c r="F37" s="18" t="s">
        <v>30</v>
      </c>
      <c r="G37" s="17" t="s">
        <v>12</v>
      </c>
      <c r="H37" s="17">
        <v>20250301</v>
      </c>
      <c r="I37" s="17" t="str">
        <f>TEXT(DATE(LEFT(H37,4), MID(H37,5,2), RIGHT(H37,2)), "M/d/yyyy")</f>
        <v>3/1/2025</v>
      </c>
      <c r="J37" s="21">
        <f>DATE(YEAR(I37), MONTH(I37) +1, DAY(I37))</f>
        <v>45748</v>
      </c>
      <c r="K37" s="17" t="s">
        <v>13</v>
      </c>
      <c r="L37" s="19">
        <v>59.9</v>
      </c>
      <c r="M37" s="20">
        <v>0.2</v>
      </c>
      <c r="N37" s="19">
        <v>11.98</v>
      </c>
      <c r="O37" s="16" t="s">
        <v>309</v>
      </c>
    </row>
    <row r="38" spans="1:16" ht="15.75" x14ac:dyDescent="0.25">
      <c r="A38" s="17" t="s">
        <v>271</v>
      </c>
      <c r="B38" s="17">
        <v>16633294</v>
      </c>
      <c r="C38" s="17" t="s">
        <v>272</v>
      </c>
      <c r="D38" s="18" t="s">
        <v>273</v>
      </c>
      <c r="E38" s="18" t="str">
        <f>CONCATENATE(D38,7)</f>
        <v>31TG757</v>
      </c>
      <c r="F38" s="18" t="s">
        <v>30</v>
      </c>
      <c r="G38" s="17" t="s">
        <v>12</v>
      </c>
      <c r="H38" s="17">
        <v>20250301</v>
      </c>
      <c r="I38" s="17" t="str">
        <f>TEXT(DATE(LEFT(H38,4), MID(H38,5,2), RIGHT(H38,2)), "M/d/yyyy")</f>
        <v>3/1/2025</v>
      </c>
      <c r="J38" s="21">
        <f>DATE(YEAR(I38), MONTH(I38) +1, DAY(I38))</f>
        <v>45748</v>
      </c>
      <c r="K38" s="17" t="s">
        <v>13</v>
      </c>
      <c r="L38" s="19">
        <v>62.32</v>
      </c>
      <c r="M38" s="20">
        <v>0.2</v>
      </c>
      <c r="N38" s="19">
        <v>12.464</v>
      </c>
      <c r="O38" s="16" t="s">
        <v>309</v>
      </c>
    </row>
    <row r="39" spans="1:16" ht="15.75" x14ac:dyDescent="0.25">
      <c r="A39" s="17" t="s">
        <v>105</v>
      </c>
      <c r="B39" s="17">
        <v>16865615</v>
      </c>
      <c r="C39" s="17" t="s">
        <v>111</v>
      </c>
      <c r="D39" s="18" t="s">
        <v>112</v>
      </c>
      <c r="E39" s="18" t="str">
        <f>CONCATENATE(D39,7)</f>
        <v>91PB627</v>
      </c>
      <c r="F39" s="18" t="s">
        <v>110</v>
      </c>
      <c r="G39" s="17" t="s">
        <v>12</v>
      </c>
      <c r="H39" s="17">
        <v>20250301</v>
      </c>
      <c r="I39" s="17" t="str">
        <f>TEXT(DATE(LEFT(H39,4), MID(H39,5,2), RIGHT(H39,2)), "M/d/yyyy")</f>
        <v>3/1/2025</v>
      </c>
      <c r="J39" s="21">
        <f>DATE(YEAR(I39), MONTH(I39) +1, DAY(I39))</f>
        <v>45748</v>
      </c>
      <c r="K39" s="17" t="s">
        <v>13</v>
      </c>
      <c r="L39" s="19">
        <v>64.09</v>
      </c>
      <c r="M39" s="20">
        <v>0.2</v>
      </c>
      <c r="N39" s="19">
        <v>12.818000000000001</v>
      </c>
      <c r="O39" s="16" t="s">
        <v>309</v>
      </c>
    </row>
    <row r="40" spans="1:16" ht="15.75" x14ac:dyDescent="0.25">
      <c r="A40" s="22" t="s">
        <v>142</v>
      </c>
      <c r="B40" s="22">
        <v>19279958</v>
      </c>
      <c r="C40" s="22" t="s">
        <v>148</v>
      </c>
      <c r="D40" s="23" t="s">
        <v>149</v>
      </c>
      <c r="E40" s="23" t="str">
        <f>CONCATENATE(D40,7)</f>
        <v>08R7V67</v>
      </c>
      <c r="F40" s="23" t="s">
        <v>145</v>
      </c>
      <c r="G40" s="22" t="s">
        <v>12</v>
      </c>
      <c r="H40" s="22">
        <v>20250301</v>
      </c>
      <c r="I40" s="22" t="str">
        <f>TEXT(DATE(LEFT(H40,4), MID(H40,5,2), RIGHT(H40,2)), "M/d/yyyy")</f>
        <v>3/1/2025</v>
      </c>
      <c r="J40" s="24">
        <f>DATE(YEAR(I40), MONTH(I40) +1, DAY(I40))</f>
        <v>45748</v>
      </c>
      <c r="K40" s="22" t="s">
        <v>13</v>
      </c>
      <c r="L40" s="25">
        <v>64.17</v>
      </c>
      <c r="M40" s="26">
        <v>0.2</v>
      </c>
      <c r="N40" s="25">
        <v>12.834000000000001</v>
      </c>
      <c r="O40" s="27" t="s">
        <v>309</v>
      </c>
      <c r="P40" s="27"/>
    </row>
    <row r="41" spans="1:16" ht="15.75" x14ac:dyDescent="0.25">
      <c r="A41" s="22" t="s">
        <v>142</v>
      </c>
      <c r="B41" s="22">
        <v>19279958</v>
      </c>
      <c r="C41" s="22" t="s">
        <v>160</v>
      </c>
      <c r="D41" s="23" t="s">
        <v>161</v>
      </c>
      <c r="E41" s="23" t="str">
        <f>CONCATENATE(D41,7)</f>
        <v>35TV527</v>
      </c>
      <c r="F41" s="23" t="s">
        <v>145</v>
      </c>
      <c r="G41" s="22" t="s">
        <v>12</v>
      </c>
      <c r="H41" s="22">
        <v>20250301</v>
      </c>
      <c r="I41" s="22" t="str">
        <f>TEXT(DATE(LEFT(H41,4), MID(H41,5,2), RIGHT(H41,2)), "M/d/yyyy")</f>
        <v>3/1/2025</v>
      </c>
      <c r="J41" s="24">
        <f>DATE(YEAR(I41), MONTH(I41) +1, DAY(I41))</f>
        <v>45748</v>
      </c>
      <c r="K41" s="22" t="s">
        <v>13</v>
      </c>
      <c r="L41" s="25">
        <v>64.17</v>
      </c>
      <c r="M41" s="26">
        <v>0.2</v>
      </c>
      <c r="N41" s="25">
        <v>12.834000000000001</v>
      </c>
      <c r="O41" s="27" t="s">
        <v>309</v>
      </c>
      <c r="P41" s="27"/>
    </row>
    <row r="42" spans="1:16" ht="15.75" x14ac:dyDescent="0.25">
      <c r="A42" s="17" t="s">
        <v>242</v>
      </c>
      <c r="B42" s="28" t="s">
        <v>315</v>
      </c>
      <c r="C42" s="17" t="s">
        <v>261</v>
      </c>
      <c r="D42" s="18" t="s">
        <v>262</v>
      </c>
      <c r="E42" s="18" t="str">
        <f>CONCATENATE(D42,7)</f>
        <v>64RC607</v>
      </c>
      <c r="F42" s="18" t="s">
        <v>30</v>
      </c>
      <c r="G42" s="17" t="s">
        <v>12</v>
      </c>
      <c r="H42" s="17">
        <v>20250301</v>
      </c>
      <c r="I42" s="17" t="str">
        <f>TEXT(DATE(LEFT(H42,4), MID(H42,5,2), RIGHT(H42,2)), "M/d/yyyy")</f>
        <v>3/1/2025</v>
      </c>
      <c r="J42" s="21">
        <f>DATE(YEAR(I42), MONTH(I42) +1, DAY(I42))</f>
        <v>45748</v>
      </c>
      <c r="K42" s="17" t="s">
        <v>13</v>
      </c>
      <c r="L42" s="19">
        <v>66.599999999999994</v>
      </c>
      <c r="M42" s="20">
        <v>0.2</v>
      </c>
      <c r="N42" s="19">
        <v>13.32</v>
      </c>
      <c r="O42" s="16" t="s">
        <v>309</v>
      </c>
    </row>
    <row r="43" spans="1:16" ht="15.75" x14ac:dyDescent="0.25">
      <c r="A43" s="17" t="s">
        <v>263</v>
      </c>
      <c r="B43" s="17">
        <v>8244481</v>
      </c>
      <c r="C43" s="17" t="s">
        <v>266</v>
      </c>
      <c r="D43" s="18" t="s">
        <v>267</v>
      </c>
      <c r="E43" s="18" t="str">
        <f>CONCATENATE(D43,7)</f>
        <v>18RY537</v>
      </c>
      <c r="F43" s="18" t="s">
        <v>30</v>
      </c>
      <c r="G43" s="17" t="s">
        <v>12</v>
      </c>
      <c r="H43" s="17">
        <v>20250301</v>
      </c>
      <c r="I43" s="17" t="str">
        <f>TEXT(DATE(LEFT(H43,4), MID(H43,5,2), RIGHT(H43,2)), "M/d/yyyy")</f>
        <v>3/1/2025</v>
      </c>
      <c r="J43" s="21">
        <f>DATE(YEAR(I43), MONTH(I43) +1, DAY(I43))</f>
        <v>45748</v>
      </c>
      <c r="K43" s="17" t="s">
        <v>13</v>
      </c>
      <c r="L43" s="19">
        <v>66.599999999999994</v>
      </c>
      <c r="M43" s="20">
        <v>0.2</v>
      </c>
      <c r="N43" s="19">
        <v>13.32</v>
      </c>
      <c r="O43" s="16" t="s">
        <v>309</v>
      </c>
    </row>
    <row r="44" spans="1:16" ht="15.75" x14ac:dyDescent="0.25">
      <c r="A44" s="17" t="s">
        <v>271</v>
      </c>
      <c r="B44" s="17">
        <v>16633294</v>
      </c>
      <c r="C44" s="17" t="s">
        <v>274</v>
      </c>
      <c r="D44" s="18" t="s">
        <v>275</v>
      </c>
      <c r="E44" s="18" t="str">
        <f>CONCATENATE(D44,7)</f>
        <v>31TG877</v>
      </c>
      <c r="F44" s="18" t="s">
        <v>30</v>
      </c>
      <c r="G44" s="17" t="s">
        <v>12</v>
      </c>
      <c r="H44" s="17">
        <v>20250301</v>
      </c>
      <c r="I44" s="17" t="str">
        <f>TEXT(DATE(LEFT(H44,4), MID(H44,5,2), RIGHT(H44,2)), "M/d/yyyy")</f>
        <v>3/1/2025</v>
      </c>
      <c r="J44" s="21">
        <f>DATE(YEAR(I44), MONTH(I44) +1, DAY(I44))</f>
        <v>45748</v>
      </c>
      <c r="K44" s="17" t="s">
        <v>13</v>
      </c>
      <c r="L44" s="19">
        <v>72.260000000000005</v>
      </c>
      <c r="M44" s="20">
        <v>0.2</v>
      </c>
      <c r="N44" s="19">
        <v>14.452000000000002</v>
      </c>
      <c r="O44" s="16" t="s">
        <v>309</v>
      </c>
    </row>
    <row r="45" spans="1:16" ht="15.75" x14ac:dyDescent="0.25">
      <c r="A45" s="22" t="s">
        <v>142</v>
      </c>
      <c r="B45" s="22">
        <v>19279958</v>
      </c>
      <c r="C45" s="22" t="s">
        <v>162</v>
      </c>
      <c r="D45" s="23" t="s">
        <v>163</v>
      </c>
      <c r="E45" s="23" t="str">
        <f>CONCATENATE(D45,7)</f>
        <v>39Q9Q07</v>
      </c>
      <c r="F45" s="23" t="s">
        <v>145</v>
      </c>
      <c r="G45" s="22" t="s">
        <v>12</v>
      </c>
      <c r="H45" s="22">
        <v>20250301</v>
      </c>
      <c r="I45" s="22" t="str">
        <f>TEXT(DATE(LEFT(H45,4), MID(H45,5,2), RIGHT(H45,2)), "M/d/yyyy")</f>
        <v>3/1/2025</v>
      </c>
      <c r="J45" s="24">
        <f>DATE(YEAR(I45), MONTH(I45) +1, DAY(I45))</f>
        <v>45748</v>
      </c>
      <c r="K45" s="22" t="s">
        <v>13</v>
      </c>
      <c r="L45" s="25">
        <v>72.92</v>
      </c>
      <c r="M45" s="26">
        <v>0.2</v>
      </c>
      <c r="N45" s="25">
        <v>14.584000000000001</v>
      </c>
      <c r="O45" s="27" t="s">
        <v>309</v>
      </c>
      <c r="P45" s="27"/>
    </row>
    <row r="46" spans="1:16" ht="15.75" x14ac:dyDescent="0.25">
      <c r="A46" s="22" t="s">
        <v>142</v>
      </c>
      <c r="B46" s="22">
        <v>19279958</v>
      </c>
      <c r="C46" s="22" t="s">
        <v>146</v>
      </c>
      <c r="D46" s="23" t="s">
        <v>147</v>
      </c>
      <c r="E46" s="23" t="str">
        <f>CONCATENATE(D46,7)</f>
        <v>07R49N7</v>
      </c>
      <c r="F46" s="23" t="s">
        <v>145</v>
      </c>
      <c r="G46" s="22" t="s">
        <v>12</v>
      </c>
      <c r="H46" s="22">
        <v>20250301</v>
      </c>
      <c r="I46" s="22" t="str">
        <f>TEXT(DATE(LEFT(H46,4), MID(H46,5,2), RIGHT(H46,2)), "M/d/yyyy")</f>
        <v>3/1/2025</v>
      </c>
      <c r="J46" s="24">
        <f>DATE(YEAR(I46), MONTH(I46) +1, DAY(I46))</f>
        <v>45748</v>
      </c>
      <c r="K46" s="22" t="s">
        <v>13</v>
      </c>
      <c r="L46" s="25">
        <v>74.58</v>
      </c>
      <c r="M46" s="26">
        <v>0.2</v>
      </c>
      <c r="N46" s="25">
        <v>14.916</v>
      </c>
      <c r="O46" s="27" t="s">
        <v>309</v>
      </c>
      <c r="P46" s="27"/>
    </row>
    <row r="47" spans="1:16" ht="15.75" x14ac:dyDescent="0.25">
      <c r="A47" s="17" t="s">
        <v>48</v>
      </c>
      <c r="B47" s="17">
        <v>17425766</v>
      </c>
      <c r="C47" s="17" t="s">
        <v>55</v>
      </c>
      <c r="D47" s="18" t="s">
        <v>56</v>
      </c>
      <c r="E47" s="18" t="str">
        <f>CONCATENATE(D47,7)</f>
        <v>70P2B97</v>
      </c>
      <c r="F47" s="18" t="s">
        <v>54</v>
      </c>
      <c r="G47" s="17" t="s">
        <v>12</v>
      </c>
      <c r="H47" s="17">
        <v>20250301</v>
      </c>
      <c r="I47" s="17" t="str">
        <f>TEXT(DATE(LEFT(H47,4), MID(H47,5,2), RIGHT(H47,2)), "M/d/yyyy")</f>
        <v>3/1/2025</v>
      </c>
      <c r="J47" s="21">
        <f>DATE(YEAR(I47), MONTH(I47) +1, DAY(I47))</f>
        <v>45748</v>
      </c>
      <c r="K47" s="17" t="s">
        <v>13</v>
      </c>
      <c r="L47" s="19">
        <v>85.1</v>
      </c>
      <c r="M47" s="20">
        <v>0.2</v>
      </c>
      <c r="N47" s="19">
        <v>17.02</v>
      </c>
      <c r="O47" s="16" t="s">
        <v>309</v>
      </c>
    </row>
    <row r="48" spans="1:16" ht="15.75" x14ac:dyDescent="0.25">
      <c r="A48" s="17" t="s">
        <v>105</v>
      </c>
      <c r="B48" s="17">
        <v>16865615</v>
      </c>
      <c r="C48" s="17" t="s">
        <v>108</v>
      </c>
      <c r="D48" s="18" t="s">
        <v>109</v>
      </c>
      <c r="E48" s="18" t="str">
        <f>CONCATENATE(D48,7)</f>
        <v>16RT867</v>
      </c>
      <c r="F48" s="18" t="s">
        <v>110</v>
      </c>
      <c r="G48" s="17" t="s">
        <v>12</v>
      </c>
      <c r="H48" s="17">
        <v>20250301</v>
      </c>
      <c r="I48" s="17" t="str">
        <f>TEXT(DATE(LEFT(H48,4), MID(H48,5,2), RIGHT(H48,2)), "M/d/yyyy")</f>
        <v>3/1/2025</v>
      </c>
      <c r="J48" s="21">
        <f>DATE(YEAR(I48), MONTH(I48) +1, DAY(I48))</f>
        <v>45748</v>
      </c>
      <c r="K48" s="17" t="s">
        <v>13</v>
      </c>
      <c r="L48" s="19">
        <v>99.32</v>
      </c>
      <c r="M48" s="20">
        <v>0.2</v>
      </c>
      <c r="N48" s="19">
        <v>19.864000000000001</v>
      </c>
      <c r="O48" s="16" t="s">
        <v>309</v>
      </c>
    </row>
    <row r="49" spans="1:16" ht="15.75" x14ac:dyDescent="0.25">
      <c r="A49" s="17" t="s">
        <v>27</v>
      </c>
      <c r="B49" s="17">
        <v>7470776</v>
      </c>
      <c r="C49" s="17" t="s">
        <v>28</v>
      </c>
      <c r="D49" s="18" t="s">
        <v>29</v>
      </c>
      <c r="E49" s="18" t="str">
        <f>CONCATENATE(D49,2)</f>
        <v>70P91M2</v>
      </c>
      <c r="F49" s="18" t="s">
        <v>30</v>
      </c>
      <c r="G49" s="17"/>
      <c r="H49" s="17">
        <v>20250301</v>
      </c>
      <c r="I49" s="17" t="str">
        <f>TEXT(DATE(LEFT(H49,4), MID(H49,5,2), RIGHT(H49,2)), "M/d/yyyy")</f>
        <v>3/1/2025</v>
      </c>
      <c r="J49" s="21">
        <f>DATE(YEAR(I49), MONTH(I49) +1, DAY(I49))</f>
        <v>45748</v>
      </c>
      <c r="K49" s="17" t="s">
        <v>31</v>
      </c>
      <c r="L49" s="19">
        <v>462.11</v>
      </c>
      <c r="M49" s="20">
        <v>20</v>
      </c>
      <c r="N49" s="19">
        <v>20</v>
      </c>
      <c r="O49" s="16" t="s">
        <v>310</v>
      </c>
    </row>
    <row r="50" spans="1:16" ht="15.75" x14ac:dyDescent="0.25">
      <c r="A50" s="17" t="s">
        <v>84</v>
      </c>
      <c r="B50" s="17">
        <v>17301495</v>
      </c>
      <c r="C50" s="17" t="s">
        <v>85</v>
      </c>
      <c r="D50" s="18" t="s">
        <v>86</v>
      </c>
      <c r="E50" s="18" t="str">
        <f>CONCATENATE(D50,2)</f>
        <v>8T66A82</v>
      </c>
      <c r="F50" s="18" t="s">
        <v>30</v>
      </c>
      <c r="G50" s="17"/>
      <c r="H50" s="17">
        <v>20250301</v>
      </c>
      <c r="I50" s="17" t="str">
        <f>TEXT(DATE(LEFT(H50,4), MID(H50,5,2), RIGHT(H50,2)), "M/d/yyyy")</f>
        <v>3/1/2025</v>
      </c>
      <c r="J50" s="21">
        <f>DATE(YEAR(I50), MONTH(I50) +1, DAY(I50))</f>
        <v>45748</v>
      </c>
      <c r="K50" s="17" t="s">
        <v>31</v>
      </c>
      <c r="L50" s="19">
        <v>148.30000000000001</v>
      </c>
      <c r="M50" s="20">
        <v>20</v>
      </c>
      <c r="N50" s="19">
        <v>20</v>
      </c>
      <c r="O50" s="16" t="s">
        <v>310</v>
      </c>
    </row>
    <row r="51" spans="1:16" ht="15.75" x14ac:dyDescent="0.25">
      <c r="A51" s="17" t="s">
        <v>131</v>
      </c>
      <c r="B51" s="17">
        <v>18754354</v>
      </c>
      <c r="C51" s="17" t="s">
        <v>136</v>
      </c>
      <c r="D51" s="18" t="s">
        <v>137</v>
      </c>
      <c r="E51" s="18" t="str">
        <f>CONCATENATE(D51,2)</f>
        <v>0Y84T52</v>
      </c>
      <c r="F51" s="18" t="s">
        <v>30</v>
      </c>
      <c r="G51" s="17"/>
      <c r="H51" s="17">
        <v>20250301</v>
      </c>
      <c r="I51" s="17" t="str">
        <f>TEXT(DATE(LEFT(H51,4), MID(H51,5,2), RIGHT(H51,2)), "M/d/yyyy")</f>
        <v>3/1/2025</v>
      </c>
      <c r="J51" s="21">
        <f>DATE(YEAR(I51), MONTH(I51) +1, DAY(I51))</f>
        <v>45748</v>
      </c>
      <c r="K51" s="17" t="s">
        <v>31</v>
      </c>
      <c r="L51" s="19">
        <v>868.53</v>
      </c>
      <c r="M51" s="20">
        <v>20</v>
      </c>
      <c r="N51" s="19">
        <v>20</v>
      </c>
      <c r="O51" s="16" t="s">
        <v>310</v>
      </c>
    </row>
    <row r="52" spans="1:16" ht="15.75" x14ac:dyDescent="0.25">
      <c r="A52" s="17" t="s">
        <v>268</v>
      </c>
      <c r="B52" s="17">
        <v>19200754</v>
      </c>
      <c r="C52" s="17" t="s">
        <v>269</v>
      </c>
      <c r="D52" s="18" t="s">
        <v>270</v>
      </c>
      <c r="E52" s="18" t="str">
        <f>CONCATENATE(D52,2)</f>
        <v>7K17M22</v>
      </c>
      <c r="F52" s="18" t="s">
        <v>30</v>
      </c>
      <c r="G52" s="17"/>
      <c r="H52" s="17">
        <v>20250301</v>
      </c>
      <c r="I52" s="17" t="str">
        <f>TEXT(DATE(LEFT(H52,4), MID(H52,5,2), RIGHT(H52,2)), "M/d/yyyy")</f>
        <v>3/1/2025</v>
      </c>
      <c r="J52" s="21">
        <f>DATE(YEAR(I52), MONTH(I52) +1, DAY(I52))</f>
        <v>45748</v>
      </c>
      <c r="K52" s="17" t="s">
        <v>31</v>
      </c>
      <c r="L52" s="19">
        <v>10.06</v>
      </c>
      <c r="M52" s="20">
        <v>20</v>
      </c>
      <c r="N52" s="19">
        <v>20</v>
      </c>
      <c r="O52" s="16" t="s">
        <v>310</v>
      </c>
    </row>
    <row r="53" spans="1:16" ht="15.75" x14ac:dyDescent="0.25">
      <c r="A53" s="17" t="s">
        <v>287</v>
      </c>
      <c r="B53" s="17">
        <v>19396223</v>
      </c>
      <c r="C53" s="17" t="s">
        <v>288</v>
      </c>
      <c r="D53" s="18" t="s">
        <v>289</v>
      </c>
      <c r="E53" s="18" t="str">
        <f>CONCATENATE(D53,2)</f>
        <v>68NK462</v>
      </c>
      <c r="F53" s="18" t="s">
        <v>30</v>
      </c>
      <c r="G53" s="17"/>
      <c r="H53" s="17">
        <v>20250301</v>
      </c>
      <c r="I53" s="17" t="str">
        <f>TEXT(DATE(LEFT(H53,4), MID(H53,5,2), RIGHT(H53,2)), "M/d/yyyy")</f>
        <v>3/1/2025</v>
      </c>
      <c r="J53" s="21">
        <f>DATE(YEAR(I53), MONTH(I53) +1, DAY(I53))</f>
        <v>45748</v>
      </c>
      <c r="K53" s="17" t="s">
        <v>31</v>
      </c>
      <c r="L53" s="19">
        <v>117.37</v>
      </c>
      <c r="M53" s="20">
        <v>20</v>
      </c>
      <c r="N53" s="19">
        <v>20</v>
      </c>
      <c r="O53" s="16" t="s">
        <v>310</v>
      </c>
    </row>
    <row r="54" spans="1:16" ht="15.75" x14ac:dyDescent="0.25">
      <c r="A54" s="17" t="s">
        <v>287</v>
      </c>
      <c r="B54" s="17">
        <v>19396223</v>
      </c>
      <c r="C54" s="17" t="s">
        <v>290</v>
      </c>
      <c r="D54" s="18" t="s">
        <v>291</v>
      </c>
      <c r="E54" s="18" t="str">
        <f>CONCATENATE(D54,2)</f>
        <v>80D61C2</v>
      </c>
      <c r="F54" s="18" t="s">
        <v>30</v>
      </c>
      <c r="G54" s="17"/>
      <c r="H54" s="17">
        <v>20250301</v>
      </c>
      <c r="I54" s="17" t="str">
        <f>TEXT(DATE(LEFT(H54,4), MID(H54,5,2), RIGHT(H54,2)), "M/d/yyyy")</f>
        <v>3/1/2025</v>
      </c>
      <c r="J54" s="21">
        <f>DATE(YEAR(I54), MONTH(I54) +1, DAY(I54))</f>
        <v>45748</v>
      </c>
      <c r="K54" s="17" t="s">
        <v>31</v>
      </c>
      <c r="L54" s="19">
        <v>387.85</v>
      </c>
      <c r="M54" s="20">
        <v>20</v>
      </c>
      <c r="N54" s="19">
        <v>20</v>
      </c>
      <c r="O54" s="16" t="s">
        <v>310</v>
      </c>
    </row>
    <row r="55" spans="1:16" s="27" customFormat="1" ht="15.75" x14ac:dyDescent="0.25">
      <c r="A55" s="17" t="s">
        <v>15</v>
      </c>
      <c r="B55" s="17">
        <v>9079571</v>
      </c>
      <c r="C55" s="17" t="s">
        <v>20</v>
      </c>
      <c r="D55" s="18" t="s">
        <v>21</v>
      </c>
      <c r="E55" s="18" t="str">
        <f>CONCATENATE(D55,2)</f>
        <v>27C3J82</v>
      </c>
      <c r="F55" s="18" t="s">
        <v>22</v>
      </c>
      <c r="G55" s="17"/>
      <c r="H55" s="17">
        <v>20250301</v>
      </c>
      <c r="I55" s="17" t="str">
        <f>TEXT(DATE(LEFT(H55,4), MID(H55,5,2), RIGHT(H55,2)), "M/d/yyyy")</f>
        <v>3/1/2025</v>
      </c>
      <c r="J55" s="21">
        <f>DATE(YEAR(I55), MONTH(I55) +1, DAY(I55))</f>
        <v>45748</v>
      </c>
      <c r="K55" s="17" t="s">
        <v>19</v>
      </c>
      <c r="L55" s="19">
        <v>69.2</v>
      </c>
      <c r="M55" s="20">
        <v>20</v>
      </c>
      <c r="N55" s="19">
        <v>20</v>
      </c>
      <c r="O55" s="16" t="s">
        <v>314</v>
      </c>
      <c r="P55" s="16"/>
    </row>
    <row r="56" spans="1:16" s="27" customFormat="1" ht="15.75" x14ac:dyDescent="0.25">
      <c r="A56" s="17" t="s">
        <v>15</v>
      </c>
      <c r="B56" s="17">
        <v>9079571</v>
      </c>
      <c r="C56" s="17" t="s">
        <v>23</v>
      </c>
      <c r="D56" s="18" t="s">
        <v>24</v>
      </c>
      <c r="E56" s="18" t="str">
        <f>CONCATENATE(D56,2)</f>
        <v>34C9J52</v>
      </c>
      <c r="F56" s="18" t="s">
        <v>22</v>
      </c>
      <c r="G56" s="17"/>
      <c r="H56" s="17">
        <v>20250301</v>
      </c>
      <c r="I56" s="17" t="str">
        <f>TEXT(DATE(LEFT(H56,4), MID(H56,5,2), RIGHT(H56,2)), "M/d/yyyy")</f>
        <v>3/1/2025</v>
      </c>
      <c r="J56" s="21">
        <f>DATE(YEAR(I56), MONTH(I56) +1, DAY(I56))</f>
        <v>45748</v>
      </c>
      <c r="K56" s="17" t="s">
        <v>19</v>
      </c>
      <c r="L56" s="19">
        <v>334.97</v>
      </c>
      <c r="M56" s="20">
        <v>20</v>
      </c>
      <c r="N56" s="19">
        <v>20</v>
      </c>
      <c r="O56" s="16" t="s">
        <v>314</v>
      </c>
      <c r="P56" s="16"/>
    </row>
    <row r="57" spans="1:16" s="27" customFormat="1" ht="15.75" x14ac:dyDescent="0.25">
      <c r="A57" s="17" t="s">
        <v>15</v>
      </c>
      <c r="B57" s="17">
        <v>9079571</v>
      </c>
      <c r="C57" s="17" t="s">
        <v>25</v>
      </c>
      <c r="D57" s="18" t="s">
        <v>26</v>
      </c>
      <c r="E57" s="18" t="str">
        <f>CONCATENATE(D57,2)</f>
        <v>49CL672</v>
      </c>
      <c r="F57" s="18" t="s">
        <v>22</v>
      </c>
      <c r="G57" s="17"/>
      <c r="H57" s="17">
        <v>20250301</v>
      </c>
      <c r="I57" s="17" t="str">
        <f>TEXT(DATE(LEFT(H57,4), MID(H57,5,2), RIGHT(H57,2)), "M/d/yyyy")</f>
        <v>3/1/2025</v>
      </c>
      <c r="J57" s="21">
        <f>DATE(YEAR(I57), MONTH(I57) +1, DAY(I57))</f>
        <v>45748</v>
      </c>
      <c r="K57" s="17" t="s">
        <v>19</v>
      </c>
      <c r="L57" s="19">
        <v>698.24</v>
      </c>
      <c r="M57" s="20">
        <v>20</v>
      </c>
      <c r="N57" s="19">
        <v>20</v>
      </c>
      <c r="O57" s="16" t="s">
        <v>314</v>
      </c>
      <c r="P57" s="16"/>
    </row>
    <row r="58" spans="1:16" s="27" customFormat="1" ht="15.75" x14ac:dyDescent="0.25">
      <c r="A58" s="17" t="s">
        <v>105</v>
      </c>
      <c r="B58" s="17">
        <v>16865615</v>
      </c>
      <c r="C58" s="17" t="s">
        <v>113</v>
      </c>
      <c r="D58" s="18" t="s">
        <v>114</v>
      </c>
      <c r="E58" s="18" t="str">
        <f>CONCATENATE(D58,2)</f>
        <v>01R6J92</v>
      </c>
      <c r="F58" s="18" t="s">
        <v>110</v>
      </c>
      <c r="G58" s="17"/>
      <c r="H58" s="17">
        <v>20250301</v>
      </c>
      <c r="I58" s="17" t="str">
        <f>TEXT(DATE(LEFT(H58,4), MID(H58,5,2), RIGHT(H58,2)), "M/d/yyyy")</f>
        <v>3/1/2025</v>
      </c>
      <c r="J58" s="21">
        <f>DATE(YEAR(I58), MONTH(I58) +1, DAY(I58))</f>
        <v>45748</v>
      </c>
      <c r="K58" s="17" t="s">
        <v>19</v>
      </c>
      <c r="L58" s="19">
        <v>51.56</v>
      </c>
      <c r="M58" s="20">
        <v>20</v>
      </c>
      <c r="N58" s="19">
        <v>20</v>
      </c>
      <c r="O58" s="16" t="s">
        <v>310</v>
      </c>
      <c r="P58" s="16"/>
    </row>
    <row r="59" spans="1:16" s="27" customFormat="1" ht="15.75" x14ac:dyDescent="0.25">
      <c r="A59" s="17" t="s">
        <v>105</v>
      </c>
      <c r="B59" s="17">
        <v>16865615</v>
      </c>
      <c r="C59" s="17" t="s">
        <v>117</v>
      </c>
      <c r="D59" s="18" t="s">
        <v>118</v>
      </c>
      <c r="E59" s="18" t="str">
        <f>CONCATENATE(D59,2)</f>
        <v>12RY362</v>
      </c>
      <c r="F59" s="18" t="s">
        <v>110</v>
      </c>
      <c r="G59" s="17"/>
      <c r="H59" s="17">
        <v>20250301</v>
      </c>
      <c r="I59" s="17" t="str">
        <f>TEXT(DATE(LEFT(H59,4), MID(H59,5,2), RIGHT(H59,2)), "M/d/yyyy")</f>
        <v>3/1/2025</v>
      </c>
      <c r="J59" s="21">
        <f>DATE(YEAR(I59), MONTH(I59) +1, DAY(I59))</f>
        <v>45748</v>
      </c>
      <c r="K59" s="17" t="s">
        <v>19</v>
      </c>
      <c r="L59" s="19">
        <v>640.73</v>
      </c>
      <c r="M59" s="20">
        <v>20</v>
      </c>
      <c r="N59" s="19">
        <v>20</v>
      </c>
      <c r="O59" s="16" t="s">
        <v>310</v>
      </c>
      <c r="P59" s="16"/>
    </row>
    <row r="60" spans="1:16" s="27" customFormat="1" ht="15.75" x14ac:dyDescent="0.25">
      <c r="A60" s="17" t="s">
        <v>105</v>
      </c>
      <c r="B60" s="17">
        <v>16865615</v>
      </c>
      <c r="C60" s="17" t="s">
        <v>119</v>
      </c>
      <c r="D60" s="18" t="s">
        <v>120</v>
      </c>
      <c r="E60" s="18" t="str">
        <f>CONCATENATE(D60,2)</f>
        <v>26R7J92</v>
      </c>
      <c r="F60" s="18" t="s">
        <v>110</v>
      </c>
      <c r="G60" s="17"/>
      <c r="H60" s="17">
        <v>20250301</v>
      </c>
      <c r="I60" s="17" t="str">
        <f>TEXT(DATE(LEFT(H60,4), MID(H60,5,2), RIGHT(H60,2)), "M/d/yyyy")</f>
        <v>3/1/2025</v>
      </c>
      <c r="J60" s="21">
        <f>DATE(YEAR(I60), MONTH(I60) +1, DAY(I60))</f>
        <v>45748</v>
      </c>
      <c r="K60" s="17" t="s">
        <v>19</v>
      </c>
      <c r="L60" s="19">
        <v>258.48</v>
      </c>
      <c r="M60" s="20">
        <v>20</v>
      </c>
      <c r="N60" s="19">
        <v>20</v>
      </c>
      <c r="O60" s="16" t="s">
        <v>310</v>
      </c>
      <c r="P60" s="16"/>
    </row>
    <row r="61" spans="1:16" s="27" customFormat="1" ht="15.75" x14ac:dyDescent="0.25">
      <c r="A61" s="17" t="s">
        <v>105</v>
      </c>
      <c r="B61" s="17">
        <v>16865615</v>
      </c>
      <c r="C61" s="17" t="s">
        <v>121</v>
      </c>
      <c r="D61" s="18" t="s">
        <v>122</v>
      </c>
      <c r="E61" s="18" t="str">
        <f>CONCATENATE(D61,2)</f>
        <v>30R16R2</v>
      </c>
      <c r="F61" s="18" t="s">
        <v>110</v>
      </c>
      <c r="G61" s="17"/>
      <c r="H61" s="17">
        <v>20250201</v>
      </c>
      <c r="I61" s="17" t="str">
        <f>TEXT(DATE(LEFT(H61,4), MID(H61,5,2), RIGHT(H61,2)), "M/d/yyyy")</f>
        <v>2/1/2025</v>
      </c>
      <c r="J61" s="21">
        <f>DATE(YEAR(I61), MONTH(I61) +1, DAY(I61))</f>
        <v>45717</v>
      </c>
      <c r="K61" s="17" t="s">
        <v>19</v>
      </c>
      <c r="L61" s="19">
        <v>424.37</v>
      </c>
      <c r="M61" s="20">
        <v>20</v>
      </c>
      <c r="N61" s="19">
        <v>20</v>
      </c>
      <c r="O61" s="16" t="s">
        <v>310</v>
      </c>
      <c r="P61" s="16"/>
    </row>
    <row r="62" spans="1:16" s="27" customFormat="1" ht="15.75" x14ac:dyDescent="0.25">
      <c r="A62" s="17" t="s">
        <v>105</v>
      </c>
      <c r="B62" s="17">
        <v>16865615</v>
      </c>
      <c r="C62" s="17" t="s">
        <v>123</v>
      </c>
      <c r="D62" s="18" t="s">
        <v>124</v>
      </c>
      <c r="E62" s="18" t="str">
        <f>CONCATENATE(D62,2)</f>
        <v>34R26L2</v>
      </c>
      <c r="F62" s="18" t="s">
        <v>110</v>
      </c>
      <c r="G62" s="17"/>
      <c r="H62" s="17">
        <v>20250301</v>
      </c>
      <c r="I62" s="17" t="str">
        <f>TEXT(DATE(LEFT(H62,4), MID(H62,5,2), RIGHT(H62,2)), "M/d/yyyy")</f>
        <v>3/1/2025</v>
      </c>
      <c r="J62" s="21">
        <f>DATE(YEAR(I62), MONTH(I62) +1, DAY(I62))</f>
        <v>45748</v>
      </c>
      <c r="K62" s="17" t="s">
        <v>19</v>
      </c>
      <c r="L62" s="19">
        <v>260.33</v>
      </c>
      <c r="M62" s="20">
        <v>20</v>
      </c>
      <c r="N62" s="19">
        <v>20</v>
      </c>
      <c r="O62" s="16" t="s">
        <v>310</v>
      </c>
      <c r="P62" s="16"/>
    </row>
    <row r="63" spans="1:16" s="27" customFormat="1" ht="15.75" x14ac:dyDescent="0.25">
      <c r="A63" s="17" t="s">
        <v>105</v>
      </c>
      <c r="B63" s="17">
        <v>16865615</v>
      </c>
      <c r="C63" s="17" t="s">
        <v>125</v>
      </c>
      <c r="D63" s="18" t="s">
        <v>126</v>
      </c>
      <c r="E63" s="18" t="str">
        <f>CONCATENATE(D63,2)</f>
        <v>52N5M32</v>
      </c>
      <c r="F63" s="18" t="s">
        <v>110</v>
      </c>
      <c r="G63" s="17"/>
      <c r="H63" s="17">
        <v>20250201</v>
      </c>
      <c r="I63" s="17" t="str">
        <f>TEXT(DATE(LEFT(H63,4), MID(H63,5,2), RIGHT(H63,2)), "M/d/yyyy")</f>
        <v>2/1/2025</v>
      </c>
      <c r="J63" s="21">
        <f>DATE(YEAR(I63), MONTH(I63) +1, DAY(I63))</f>
        <v>45717</v>
      </c>
      <c r="K63" s="17" t="s">
        <v>19</v>
      </c>
      <c r="L63" s="19">
        <v>0</v>
      </c>
      <c r="M63" s="20">
        <v>20</v>
      </c>
      <c r="N63" s="19">
        <v>20</v>
      </c>
      <c r="O63" s="16" t="s">
        <v>310</v>
      </c>
      <c r="P63" s="16"/>
    </row>
    <row r="64" spans="1:16" s="27" customFormat="1" ht="15.75" x14ac:dyDescent="0.25">
      <c r="A64" s="17" t="s">
        <v>105</v>
      </c>
      <c r="B64" s="17">
        <v>16865615</v>
      </c>
      <c r="C64" s="17" t="s">
        <v>127</v>
      </c>
      <c r="D64" s="18" t="s">
        <v>128</v>
      </c>
      <c r="E64" s="18" t="str">
        <f>CONCATENATE(D64,2)</f>
        <v>80RC362</v>
      </c>
      <c r="F64" s="18" t="s">
        <v>110</v>
      </c>
      <c r="G64" s="17"/>
      <c r="H64" s="17">
        <v>20250301</v>
      </c>
      <c r="I64" s="17" t="str">
        <f>TEXT(DATE(LEFT(H64,4), MID(H64,5,2), RIGHT(H64,2)), "M/d/yyyy")</f>
        <v>3/1/2025</v>
      </c>
      <c r="J64" s="21">
        <f>DATE(YEAR(I64), MONTH(I64) +1, DAY(I64))</f>
        <v>45748</v>
      </c>
      <c r="K64" s="17" t="s">
        <v>19</v>
      </c>
      <c r="L64" s="19">
        <v>13.77</v>
      </c>
      <c r="M64" s="20">
        <v>20</v>
      </c>
      <c r="N64" s="19">
        <v>20</v>
      </c>
      <c r="O64" s="16" t="s">
        <v>310</v>
      </c>
      <c r="P64" s="16"/>
    </row>
    <row r="65" spans="1:16" s="27" customFormat="1" ht="15.75" x14ac:dyDescent="0.25">
      <c r="A65" s="17" t="s">
        <v>105</v>
      </c>
      <c r="B65" s="17">
        <v>16865615</v>
      </c>
      <c r="C65" s="17" t="s">
        <v>129</v>
      </c>
      <c r="D65" s="18" t="s">
        <v>130</v>
      </c>
      <c r="E65" s="18" t="str">
        <f>CONCATENATE(D65,2)</f>
        <v>83R5P12</v>
      </c>
      <c r="F65" s="18" t="s">
        <v>110</v>
      </c>
      <c r="G65" s="17"/>
      <c r="H65" s="17">
        <v>20250301</v>
      </c>
      <c r="I65" s="17" t="str">
        <f>TEXT(DATE(LEFT(H65,4), MID(H65,5,2), RIGHT(H65,2)), "M/d/yyyy")</f>
        <v>3/1/2025</v>
      </c>
      <c r="J65" s="21">
        <f>DATE(YEAR(I65), MONTH(I65) +1, DAY(I65))</f>
        <v>45748</v>
      </c>
      <c r="K65" s="17" t="s">
        <v>19</v>
      </c>
      <c r="L65" s="19">
        <v>420.4</v>
      </c>
      <c r="M65" s="20">
        <v>20</v>
      </c>
      <c r="N65" s="19">
        <v>20</v>
      </c>
      <c r="O65" s="16" t="s">
        <v>310</v>
      </c>
      <c r="P65" s="16"/>
    </row>
    <row r="66" spans="1:16" s="27" customFormat="1" ht="15.75" x14ac:dyDescent="0.25">
      <c r="A66" s="17" t="s">
        <v>171</v>
      </c>
      <c r="B66" s="17">
        <v>6634327</v>
      </c>
      <c r="C66" s="17" t="s">
        <v>174</v>
      </c>
      <c r="D66" s="18" t="s">
        <v>183</v>
      </c>
      <c r="E66" s="18" t="str">
        <f>CONCATENATE(D66,2)</f>
        <v>02R28F2</v>
      </c>
      <c r="F66" s="18" t="s">
        <v>110</v>
      </c>
      <c r="G66" s="17"/>
      <c r="H66" s="17">
        <v>20250301</v>
      </c>
      <c r="I66" s="17" t="str">
        <f>TEXT(DATE(LEFT(H66,4), MID(H66,5,2), RIGHT(H66,2)), "M/d/yyyy")</f>
        <v>3/1/2025</v>
      </c>
      <c r="J66" s="21">
        <f>DATE(YEAR(I66), MONTH(I66) +1, DAY(I66))</f>
        <v>45748</v>
      </c>
      <c r="K66" s="17" t="s">
        <v>19</v>
      </c>
      <c r="L66" s="19">
        <v>533.29999999999995</v>
      </c>
      <c r="M66" s="20">
        <v>20</v>
      </c>
      <c r="N66" s="19">
        <v>20</v>
      </c>
      <c r="O66" s="16" t="s">
        <v>310</v>
      </c>
      <c r="P66" s="16"/>
    </row>
    <row r="67" spans="1:16" ht="15.75" x14ac:dyDescent="0.25">
      <c r="A67" s="17" t="s">
        <v>171</v>
      </c>
      <c r="B67" s="17">
        <v>6634327</v>
      </c>
      <c r="C67" s="17" t="s">
        <v>184</v>
      </c>
      <c r="D67" s="18" t="s">
        <v>185</v>
      </c>
      <c r="E67" s="18" t="str">
        <f>CONCATENATE(D67,2)</f>
        <v>04N2X02</v>
      </c>
      <c r="F67" s="18" t="s">
        <v>110</v>
      </c>
      <c r="G67" s="17"/>
      <c r="H67" s="17">
        <v>20250301</v>
      </c>
      <c r="I67" s="17" t="str">
        <f>TEXT(DATE(LEFT(H67,4), MID(H67,5,2), RIGHT(H67,2)), "M/d/yyyy")</f>
        <v>3/1/2025</v>
      </c>
      <c r="J67" s="21">
        <f>DATE(YEAR(I67), MONTH(I67) +1, DAY(I67))</f>
        <v>45748</v>
      </c>
      <c r="K67" s="17" t="s">
        <v>19</v>
      </c>
      <c r="L67" s="19">
        <v>29.68</v>
      </c>
      <c r="M67" s="20">
        <v>20</v>
      </c>
      <c r="N67" s="19">
        <v>20</v>
      </c>
      <c r="O67" s="16" t="s">
        <v>310</v>
      </c>
    </row>
    <row r="68" spans="1:16" ht="15.75" x14ac:dyDescent="0.25">
      <c r="A68" s="17" t="s">
        <v>171</v>
      </c>
      <c r="B68" s="17">
        <v>6634327</v>
      </c>
      <c r="C68" s="17" t="s">
        <v>179</v>
      </c>
      <c r="D68" s="18" t="s">
        <v>186</v>
      </c>
      <c r="E68" s="18" t="str">
        <f>CONCATENATE(D68,2)</f>
        <v>11N4X32</v>
      </c>
      <c r="F68" s="18" t="s">
        <v>110</v>
      </c>
      <c r="G68" s="17"/>
      <c r="H68" s="17">
        <v>20250301</v>
      </c>
      <c r="I68" s="17" t="str">
        <f>TEXT(DATE(LEFT(H68,4), MID(H68,5,2), RIGHT(H68,2)), "M/d/yyyy")</f>
        <v>3/1/2025</v>
      </c>
      <c r="J68" s="21">
        <f>DATE(YEAR(I68), MONTH(I68) +1, DAY(I68))</f>
        <v>45748</v>
      </c>
      <c r="K68" s="17" t="s">
        <v>19</v>
      </c>
      <c r="L68" s="19">
        <v>225.91</v>
      </c>
      <c r="M68" s="20">
        <v>20</v>
      </c>
      <c r="N68" s="19">
        <v>20</v>
      </c>
      <c r="O68" s="16" t="s">
        <v>310</v>
      </c>
    </row>
    <row r="69" spans="1:16" ht="15.75" x14ac:dyDescent="0.25">
      <c r="A69" s="17" t="s">
        <v>171</v>
      </c>
      <c r="B69" s="17">
        <v>6634327</v>
      </c>
      <c r="C69" s="17" t="s">
        <v>187</v>
      </c>
      <c r="D69" s="18" t="s">
        <v>188</v>
      </c>
      <c r="E69" s="18" t="str">
        <f>CONCATENATE(D69,2)</f>
        <v>15Q51K2</v>
      </c>
      <c r="F69" s="18" t="s">
        <v>110</v>
      </c>
      <c r="G69" s="17"/>
      <c r="H69" s="17">
        <v>20250301</v>
      </c>
      <c r="I69" s="17" t="str">
        <f>TEXT(DATE(LEFT(H69,4), MID(H69,5,2), RIGHT(H69,2)), "M/d/yyyy")</f>
        <v>3/1/2025</v>
      </c>
      <c r="J69" s="21">
        <f>DATE(YEAR(I69), MONTH(I69) +1, DAY(I69))</f>
        <v>45748</v>
      </c>
      <c r="K69" s="17" t="s">
        <v>19</v>
      </c>
      <c r="L69" s="19">
        <v>32.159999999999997</v>
      </c>
      <c r="M69" s="20">
        <v>20</v>
      </c>
      <c r="N69" s="19">
        <v>20</v>
      </c>
      <c r="O69" s="16" t="s">
        <v>310</v>
      </c>
    </row>
    <row r="70" spans="1:16" ht="15.75" x14ac:dyDescent="0.25">
      <c r="A70" s="17" t="s">
        <v>171</v>
      </c>
      <c r="B70" s="17">
        <v>6634327</v>
      </c>
      <c r="C70" s="17" t="s">
        <v>189</v>
      </c>
      <c r="D70" s="18" t="s">
        <v>190</v>
      </c>
      <c r="E70" s="18" t="str">
        <f>CONCATENATE(D70,2)</f>
        <v>18P65E2</v>
      </c>
      <c r="F70" s="18" t="s">
        <v>110</v>
      </c>
      <c r="G70" s="17"/>
      <c r="H70" s="17">
        <v>20250201</v>
      </c>
      <c r="I70" s="17" t="str">
        <f>TEXT(DATE(LEFT(H70,4), MID(H70,5,2), RIGHT(H70,2)), "M/d/yyyy")</f>
        <v>2/1/2025</v>
      </c>
      <c r="J70" s="21">
        <f>DATE(YEAR(I70), MONTH(I70) +1, DAY(I70))</f>
        <v>45717</v>
      </c>
      <c r="K70" s="17" t="s">
        <v>19</v>
      </c>
      <c r="L70" s="19">
        <v>387.35</v>
      </c>
      <c r="M70" s="20">
        <v>20</v>
      </c>
      <c r="N70" s="19">
        <v>20</v>
      </c>
      <c r="O70" s="16" t="s">
        <v>310</v>
      </c>
    </row>
    <row r="71" spans="1:16" ht="15.75" x14ac:dyDescent="0.25">
      <c r="A71" s="17" t="s">
        <v>171</v>
      </c>
      <c r="B71" s="17">
        <v>6634327</v>
      </c>
      <c r="C71" s="17" t="s">
        <v>191</v>
      </c>
      <c r="D71" s="18" t="s">
        <v>192</v>
      </c>
      <c r="E71" s="18" t="str">
        <f>CONCATENATE(D71,2)</f>
        <v>20N0M32</v>
      </c>
      <c r="F71" s="18" t="s">
        <v>110</v>
      </c>
      <c r="G71" s="17"/>
      <c r="H71" s="17">
        <v>20250301</v>
      </c>
      <c r="I71" s="17" t="str">
        <f>TEXT(DATE(LEFT(H71,4), MID(H71,5,2), RIGHT(H71,2)), "M/d/yyyy")</f>
        <v>3/1/2025</v>
      </c>
      <c r="J71" s="21">
        <f>DATE(YEAR(I71), MONTH(I71) +1, DAY(I71))</f>
        <v>45748</v>
      </c>
      <c r="K71" s="17" t="s">
        <v>19</v>
      </c>
      <c r="L71" s="19">
        <v>362.1</v>
      </c>
      <c r="M71" s="20">
        <v>20</v>
      </c>
      <c r="N71" s="19">
        <v>20</v>
      </c>
      <c r="O71" s="16" t="s">
        <v>310</v>
      </c>
    </row>
    <row r="72" spans="1:16" ht="15.75" x14ac:dyDescent="0.25">
      <c r="A72" s="17" t="s">
        <v>171</v>
      </c>
      <c r="B72" s="17">
        <v>6634327</v>
      </c>
      <c r="C72" s="17" t="s">
        <v>193</v>
      </c>
      <c r="D72" s="18" t="s">
        <v>194</v>
      </c>
      <c r="E72" s="18" t="str">
        <f>CONCATENATE(D72,2)</f>
        <v>20Q85U2</v>
      </c>
      <c r="F72" s="18" t="s">
        <v>110</v>
      </c>
      <c r="G72" s="17"/>
      <c r="H72" s="17">
        <v>20250301</v>
      </c>
      <c r="I72" s="17" t="str">
        <f>TEXT(DATE(LEFT(H72,4), MID(H72,5,2), RIGHT(H72,2)), "M/d/yyyy")</f>
        <v>3/1/2025</v>
      </c>
      <c r="J72" s="21">
        <f>DATE(YEAR(I72), MONTH(I72) +1, DAY(I72))</f>
        <v>45748</v>
      </c>
      <c r="K72" s="17" t="s">
        <v>19</v>
      </c>
      <c r="L72" s="19">
        <v>446.73</v>
      </c>
      <c r="M72" s="20">
        <v>20</v>
      </c>
      <c r="N72" s="19">
        <v>20</v>
      </c>
      <c r="O72" s="16" t="s">
        <v>310</v>
      </c>
    </row>
    <row r="73" spans="1:16" ht="15.75" x14ac:dyDescent="0.25">
      <c r="A73" s="17" t="s">
        <v>171</v>
      </c>
      <c r="B73" s="17">
        <v>6634327</v>
      </c>
      <c r="C73" s="17" t="s">
        <v>199</v>
      </c>
      <c r="D73" s="18" t="s">
        <v>200</v>
      </c>
      <c r="E73" s="18" t="str">
        <f>CONCATENATE(D73,2)</f>
        <v>25R0J72</v>
      </c>
      <c r="F73" s="18" t="s">
        <v>110</v>
      </c>
      <c r="G73" s="17"/>
      <c r="H73" s="17">
        <v>20250301</v>
      </c>
      <c r="I73" s="17" t="str">
        <f>TEXT(DATE(LEFT(H73,4), MID(H73,5,2), RIGHT(H73,2)), "M/d/yyyy")</f>
        <v>3/1/2025</v>
      </c>
      <c r="J73" s="21">
        <f>DATE(YEAR(I73), MONTH(I73) +1, DAY(I73))</f>
        <v>45748</v>
      </c>
      <c r="K73" s="17" t="s">
        <v>19</v>
      </c>
      <c r="L73" s="19">
        <v>187.08</v>
      </c>
      <c r="M73" s="20">
        <v>20</v>
      </c>
      <c r="N73" s="19">
        <v>20</v>
      </c>
      <c r="O73" s="16" t="s">
        <v>310</v>
      </c>
    </row>
    <row r="74" spans="1:16" ht="15.75" x14ac:dyDescent="0.25">
      <c r="A74" s="17" t="s">
        <v>171</v>
      </c>
      <c r="B74" s="17">
        <v>6634327</v>
      </c>
      <c r="C74" s="17" t="s">
        <v>203</v>
      </c>
      <c r="D74" s="18" t="s">
        <v>204</v>
      </c>
      <c r="E74" s="18" t="str">
        <f>CONCATENATE(D74,2)</f>
        <v>39N2C42</v>
      </c>
      <c r="F74" s="18" t="s">
        <v>110</v>
      </c>
      <c r="G74" s="17"/>
      <c r="H74" s="17">
        <v>20250101</v>
      </c>
      <c r="I74" s="17" t="str">
        <f>TEXT(DATE(LEFT(H74,4), MID(H74,5,2), RIGHT(H74,2)), "M/d/yyyy")</f>
        <v>1/1/2025</v>
      </c>
      <c r="J74" s="21">
        <f>DATE(YEAR(I74), MONTH(I74) +1, DAY(I74))</f>
        <v>45689</v>
      </c>
      <c r="K74" s="17" t="s">
        <v>19</v>
      </c>
      <c r="L74" s="19">
        <v>0</v>
      </c>
      <c r="M74" s="20">
        <v>20</v>
      </c>
      <c r="N74" s="19">
        <v>20</v>
      </c>
      <c r="O74" s="16" t="s">
        <v>310</v>
      </c>
    </row>
    <row r="75" spans="1:16" ht="15.75" x14ac:dyDescent="0.25">
      <c r="A75" s="17" t="s">
        <v>171</v>
      </c>
      <c r="B75" s="17">
        <v>6634327</v>
      </c>
      <c r="C75" s="17" t="s">
        <v>203</v>
      </c>
      <c r="D75" s="18" t="s">
        <v>204</v>
      </c>
      <c r="E75" s="18" t="str">
        <f>CONCATENATE(D75,2)</f>
        <v>39N2C42</v>
      </c>
      <c r="F75" s="18" t="s">
        <v>110</v>
      </c>
      <c r="G75" s="17"/>
      <c r="H75" s="17">
        <v>20250201</v>
      </c>
      <c r="I75" s="17" t="str">
        <f>TEXT(DATE(LEFT(H75,4), MID(H75,5,2), RIGHT(H75,2)), "M/d/yyyy")</f>
        <v>2/1/2025</v>
      </c>
      <c r="J75" s="21">
        <f>DATE(YEAR(I75), MONTH(I75) +1, DAY(I75))</f>
        <v>45717</v>
      </c>
      <c r="K75" s="17" t="s">
        <v>19</v>
      </c>
      <c r="L75" s="19">
        <v>0</v>
      </c>
      <c r="M75" s="20">
        <v>20</v>
      </c>
      <c r="N75" s="19">
        <v>20</v>
      </c>
      <c r="O75" s="16" t="s">
        <v>310</v>
      </c>
    </row>
    <row r="76" spans="1:16" ht="15.75" x14ac:dyDescent="0.25">
      <c r="A76" s="17" t="s">
        <v>171</v>
      </c>
      <c r="B76" s="17">
        <v>6634327</v>
      </c>
      <c r="C76" s="17" t="s">
        <v>205</v>
      </c>
      <c r="D76" s="18" t="s">
        <v>206</v>
      </c>
      <c r="E76" s="18" t="str">
        <f>CONCATENATE(D76,2)</f>
        <v>41R91U2</v>
      </c>
      <c r="F76" s="18" t="s">
        <v>110</v>
      </c>
      <c r="G76" s="17"/>
      <c r="H76" s="17">
        <v>20250301</v>
      </c>
      <c r="I76" s="17" t="str">
        <f>TEXT(DATE(LEFT(H76,4), MID(H76,5,2), RIGHT(H76,2)), "M/d/yyyy")</f>
        <v>3/1/2025</v>
      </c>
      <c r="J76" s="21">
        <f>DATE(YEAR(I76), MONTH(I76) +1, DAY(I76))</f>
        <v>45748</v>
      </c>
      <c r="K76" s="17" t="s">
        <v>19</v>
      </c>
      <c r="L76" s="19">
        <v>219.28</v>
      </c>
      <c r="M76" s="20">
        <v>20</v>
      </c>
      <c r="N76" s="19">
        <v>20</v>
      </c>
      <c r="O76" s="16" t="s">
        <v>310</v>
      </c>
    </row>
    <row r="77" spans="1:16" ht="15.75" x14ac:dyDescent="0.25">
      <c r="A77" s="17" t="s">
        <v>171</v>
      </c>
      <c r="B77" s="17">
        <v>6634327</v>
      </c>
      <c r="C77" s="17" t="s">
        <v>207</v>
      </c>
      <c r="D77" s="18" t="s">
        <v>208</v>
      </c>
      <c r="E77" s="18" t="str">
        <f>CONCATENATE(D77,2)</f>
        <v>42N39C2</v>
      </c>
      <c r="F77" s="18" t="s">
        <v>110</v>
      </c>
      <c r="G77" s="17"/>
      <c r="H77" s="17">
        <v>20250201</v>
      </c>
      <c r="I77" s="17" t="str">
        <f>TEXT(DATE(LEFT(H77,4), MID(H77,5,2), RIGHT(H77,2)), "M/d/yyyy")</f>
        <v>2/1/2025</v>
      </c>
      <c r="J77" s="21">
        <f>DATE(YEAR(I77), MONTH(I77) +1, DAY(I77))</f>
        <v>45717</v>
      </c>
      <c r="K77" s="17" t="s">
        <v>19</v>
      </c>
      <c r="L77" s="19">
        <v>0</v>
      </c>
      <c r="M77" s="20">
        <v>20</v>
      </c>
      <c r="N77" s="19">
        <v>20</v>
      </c>
      <c r="O77" s="16" t="s">
        <v>310</v>
      </c>
    </row>
    <row r="78" spans="1:16" ht="15.75" x14ac:dyDescent="0.25">
      <c r="A78" s="17" t="s">
        <v>171</v>
      </c>
      <c r="B78" s="17">
        <v>6634327</v>
      </c>
      <c r="C78" s="17" t="s">
        <v>213</v>
      </c>
      <c r="D78" s="18" t="s">
        <v>214</v>
      </c>
      <c r="E78" s="18" t="str">
        <f>CONCATENATE(D78,2)</f>
        <v>46Q2X52</v>
      </c>
      <c r="F78" s="18" t="s">
        <v>110</v>
      </c>
      <c r="G78" s="17"/>
      <c r="H78" s="17">
        <v>20250301</v>
      </c>
      <c r="I78" s="17" t="str">
        <f>TEXT(DATE(LEFT(H78,4), MID(H78,5,2), RIGHT(H78,2)), "M/d/yyyy")</f>
        <v>3/1/2025</v>
      </c>
      <c r="J78" s="21">
        <f>DATE(YEAR(I78), MONTH(I78) +1, DAY(I78))</f>
        <v>45748</v>
      </c>
      <c r="K78" s="17" t="s">
        <v>19</v>
      </c>
      <c r="L78" s="19">
        <v>97.95</v>
      </c>
      <c r="M78" s="20">
        <v>20</v>
      </c>
      <c r="N78" s="19">
        <v>20</v>
      </c>
      <c r="O78" s="16" t="s">
        <v>310</v>
      </c>
    </row>
    <row r="79" spans="1:16" ht="15.75" x14ac:dyDescent="0.25">
      <c r="A79" s="17" t="s">
        <v>171</v>
      </c>
      <c r="B79" s="17">
        <v>6634327</v>
      </c>
      <c r="C79" s="17" t="s">
        <v>215</v>
      </c>
      <c r="D79" s="18" t="s">
        <v>216</v>
      </c>
      <c r="E79" s="18" t="str">
        <f>CONCATENATE(D79,2)</f>
        <v>56TP962</v>
      </c>
      <c r="F79" s="18" t="s">
        <v>110</v>
      </c>
      <c r="G79" s="17"/>
      <c r="H79" s="17">
        <v>20250301</v>
      </c>
      <c r="I79" s="17" t="str">
        <f>TEXT(DATE(LEFT(H79,4), MID(H79,5,2), RIGHT(H79,2)), "M/d/yyyy")</f>
        <v>3/1/2025</v>
      </c>
      <c r="J79" s="21">
        <f>DATE(YEAR(I79), MONTH(I79) +1, DAY(I79))</f>
        <v>45748</v>
      </c>
      <c r="K79" s="17" t="s">
        <v>19</v>
      </c>
      <c r="L79" s="19">
        <v>102.52</v>
      </c>
      <c r="M79" s="20">
        <v>20</v>
      </c>
      <c r="N79" s="19">
        <v>20</v>
      </c>
      <c r="O79" s="16" t="s">
        <v>310</v>
      </c>
    </row>
    <row r="80" spans="1:16" ht="15.75" x14ac:dyDescent="0.25">
      <c r="A80" s="17" t="s">
        <v>171</v>
      </c>
      <c r="B80" s="17">
        <v>6634327</v>
      </c>
      <c r="C80" s="17" t="s">
        <v>219</v>
      </c>
      <c r="D80" s="18" t="s">
        <v>220</v>
      </c>
      <c r="E80" s="18" t="str">
        <f>CONCATENATE(D80,2)</f>
        <v>62N9M22</v>
      </c>
      <c r="F80" s="18" t="s">
        <v>110</v>
      </c>
      <c r="G80" s="17"/>
      <c r="H80" s="17">
        <v>20250301</v>
      </c>
      <c r="I80" s="17" t="str">
        <f>TEXT(DATE(LEFT(H80,4), MID(H80,5,2), RIGHT(H80,2)), "M/d/yyyy")</f>
        <v>3/1/2025</v>
      </c>
      <c r="J80" s="21">
        <f>DATE(YEAR(I80), MONTH(I80) +1, DAY(I80))</f>
        <v>45748</v>
      </c>
      <c r="K80" s="17" t="s">
        <v>19</v>
      </c>
      <c r="L80" s="19">
        <v>869.74</v>
      </c>
      <c r="M80" s="20">
        <v>20</v>
      </c>
      <c r="N80" s="19">
        <v>20</v>
      </c>
      <c r="O80" s="16" t="s">
        <v>310</v>
      </c>
    </row>
    <row r="81" spans="1:15" ht="15.75" x14ac:dyDescent="0.25">
      <c r="A81" s="17" t="s">
        <v>171</v>
      </c>
      <c r="B81" s="17">
        <v>6634327</v>
      </c>
      <c r="C81" s="17" t="s">
        <v>221</v>
      </c>
      <c r="D81" s="18" t="s">
        <v>222</v>
      </c>
      <c r="E81" s="18" t="str">
        <f>CONCATENATE(D81,2)</f>
        <v>6HM4122</v>
      </c>
      <c r="F81" s="18" t="s">
        <v>110</v>
      </c>
      <c r="G81" s="17"/>
      <c r="H81" s="17">
        <v>20250301</v>
      </c>
      <c r="I81" s="17" t="str">
        <f>TEXT(DATE(LEFT(H81,4), MID(H81,5,2), RIGHT(H81,2)), "M/d/yyyy")</f>
        <v>3/1/2025</v>
      </c>
      <c r="J81" s="21">
        <f>DATE(YEAR(I81), MONTH(I81) +1, DAY(I81))</f>
        <v>45748</v>
      </c>
      <c r="K81" s="17" t="s">
        <v>19</v>
      </c>
      <c r="L81" s="19">
        <v>14.26</v>
      </c>
      <c r="M81" s="20">
        <v>20</v>
      </c>
      <c r="N81" s="19">
        <v>20</v>
      </c>
      <c r="O81" s="16" t="s">
        <v>310</v>
      </c>
    </row>
    <row r="82" spans="1:15" ht="15.75" x14ac:dyDescent="0.25">
      <c r="A82" s="17" t="s">
        <v>171</v>
      </c>
      <c r="B82" s="17">
        <v>6634327</v>
      </c>
      <c r="C82" s="17" t="s">
        <v>227</v>
      </c>
      <c r="D82" s="18" t="s">
        <v>228</v>
      </c>
      <c r="E82" s="18" t="str">
        <f>CONCATENATE(D82,2)</f>
        <v>79PL322</v>
      </c>
      <c r="F82" s="18" t="s">
        <v>110</v>
      </c>
      <c r="G82" s="17"/>
      <c r="H82" s="17">
        <v>20250301</v>
      </c>
      <c r="I82" s="17" t="str">
        <f>TEXT(DATE(LEFT(H82,4), MID(H82,5,2), RIGHT(H82,2)), "M/d/yyyy")</f>
        <v>3/1/2025</v>
      </c>
      <c r="J82" s="21">
        <f>DATE(YEAR(I82), MONTH(I82) +1, DAY(I82))</f>
        <v>45748</v>
      </c>
      <c r="K82" s="17" t="s">
        <v>19</v>
      </c>
      <c r="L82" s="19">
        <v>105.62</v>
      </c>
      <c r="M82" s="20">
        <v>20</v>
      </c>
      <c r="N82" s="19">
        <v>20</v>
      </c>
      <c r="O82" s="16" t="s">
        <v>310</v>
      </c>
    </row>
    <row r="83" spans="1:15" ht="15.75" x14ac:dyDescent="0.25">
      <c r="A83" s="17" t="s">
        <v>171</v>
      </c>
      <c r="B83" s="17">
        <v>6634327</v>
      </c>
      <c r="C83" s="17" t="s">
        <v>229</v>
      </c>
      <c r="D83" s="18" t="s">
        <v>230</v>
      </c>
      <c r="E83" s="18" t="str">
        <f>CONCATENATE(D83,2)</f>
        <v>86QL762</v>
      </c>
      <c r="F83" s="18" t="s">
        <v>110</v>
      </c>
      <c r="G83" s="17"/>
      <c r="H83" s="17">
        <v>20250301</v>
      </c>
      <c r="I83" s="17" t="str">
        <f>TEXT(DATE(LEFT(H83,4), MID(H83,5,2), RIGHT(H83,2)), "M/d/yyyy")</f>
        <v>3/1/2025</v>
      </c>
      <c r="J83" s="21">
        <f>DATE(YEAR(I83), MONTH(I83) +1, DAY(I83))</f>
        <v>45748</v>
      </c>
      <c r="K83" s="17" t="s">
        <v>19</v>
      </c>
      <c r="L83" s="19">
        <v>387.5</v>
      </c>
      <c r="M83" s="20">
        <v>20</v>
      </c>
      <c r="N83" s="19">
        <v>20</v>
      </c>
      <c r="O83" s="16" t="s">
        <v>310</v>
      </c>
    </row>
    <row r="84" spans="1:15" ht="15.75" x14ac:dyDescent="0.25">
      <c r="A84" s="17" t="s">
        <v>171</v>
      </c>
      <c r="B84" s="17">
        <v>6634327</v>
      </c>
      <c r="C84" s="17" t="s">
        <v>231</v>
      </c>
      <c r="D84" s="18" t="s">
        <v>232</v>
      </c>
      <c r="E84" s="18" t="str">
        <f>CONCATENATE(D84,2)</f>
        <v>87RD732</v>
      </c>
      <c r="F84" s="18" t="s">
        <v>110</v>
      </c>
      <c r="G84" s="17"/>
      <c r="H84" s="17">
        <v>20250201</v>
      </c>
      <c r="I84" s="17" t="str">
        <f>TEXT(DATE(LEFT(H84,4), MID(H84,5,2), RIGHT(H84,2)), "M/d/yyyy")</f>
        <v>2/1/2025</v>
      </c>
      <c r="J84" s="21">
        <f>DATE(YEAR(I84), MONTH(I84) +1, DAY(I84))</f>
        <v>45717</v>
      </c>
      <c r="K84" s="17" t="s">
        <v>19</v>
      </c>
      <c r="L84" s="19">
        <v>96.47</v>
      </c>
      <c r="M84" s="20">
        <v>20</v>
      </c>
      <c r="N84" s="19">
        <v>20</v>
      </c>
      <c r="O84" s="16" t="s">
        <v>310</v>
      </c>
    </row>
    <row r="85" spans="1:15" ht="15.75" x14ac:dyDescent="0.25">
      <c r="A85" s="17" t="s">
        <v>171</v>
      </c>
      <c r="B85" s="17">
        <v>6634327</v>
      </c>
      <c r="C85" s="17" t="s">
        <v>231</v>
      </c>
      <c r="D85" s="18" t="s">
        <v>232</v>
      </c>
      <c r="E85" s="18" t="str">
        <f>CONCATENATE(D85,2)</f>
        <v>87RD732</v>
      </c>
      <c r="F85" s="18" t="s">
        <v>110</v>
      </c>
      <c r="G85" s="17"/>
      <c r="H85" s="17">
        <v>20250301</v>
      </c>
      <c r="I85" s="17" t="str">
        <f>TEXT(DATE(LEFT(H85,4), MID(H85,5,2), RIGHT(H85,2)), "M/d/yyyy")</f>
        <v>3/1/2025</v>
      </c>
      <c r="J85" s="21">
        <f>DATE(YEAR(I85), MONTH(I85) +1, DAY(I85))</f>
        <v>45748</v>
      </c>
      <c r="K85" s="17" t="s">
        <v>19</v>
      </c>
      <c r="L85" s="19">
        <v>96.47</v>
      </c>
      <c r="M85" s="20">
        <v>20</v>
      </c>
      <c r="N85" s="19">
        <v>20</v>
      </c>
      <c r="O85" s="16" t="s">
        <v>310</v>
      </c>
    </row>
    <row r="86" spans="1:15" ht="15.75" x14ac:dyDescent="0.25">
      <c r="A86" s="17" t="s">
        <v>171</v>
      </c>
      <c r="B86" s="17">
        <v>6634327</v>
      </c>
      <c r="C86" s="17" t="s">
        <v>233</v>
      </c>
      <c r="D86" s="18" t="s">
        <v>234</v>
      </c>
      <c r="E86" s="18" t="str">
        <f>CONCATENATE(D86,2)</f>
        <v>98PH142</v>
      </c>
      <c r="F86" s="18" t="s">
        <v>110</v>
      </c>
      <c r="G86" s="17"/>
      <c r="H86" s="17">
        <v>20250301</v>
      </c>
      <c r="I86" s="17" t="str">
        <f>TEXT(DATE(LEFT(H86,4), MID(H86,5,2), RIGHT(H86,2)), "M/d/yyyy")</f>
        <v>3/1/2025</v>
      </c>
      <c r="J86" s="21">
        <f>DATE(YEAR(I86), MONTH(I86) +1, DAY(I86))</f>
        <v>45748</v>
      </c>
      <c r="K86" s="17" t="s">
        <v>19</v>
      </c>
      <c r="L86" s="19">
        <v>25.78</v>
      </c>
      <c r="M86" s="20">
        <v>20</v>
      </c>
      <c r="N86" s="19">
        <v>20</v>
      </c>
      <c r="O86" s="16" t="s">
        <v>310</v>
      </c>
    </row>
    <row r="87" spans="1:15" ht="15.75" x14ac:dyDescent="0.25">
      <c r="A87" s="17" t="s">
        <v>171</v>
      </c>
      <c r="B87" s="17">
        <v>6634327</v>
      </c>
      <c r="C87" s="17" t="s">
        <v>235</v>
      </c>
      <c r="D87" s="18" t="s">
        <v>236</v>
      </c>
      <c r="E87" s="18" t="str">
        <f>CONCATENATE(D87,2)</f>
        <v>98Q9Q82</v>
      </c>
      <c r="F87" s="18" t="s">
        <v>110</v>
      </c>
      <c r="G87" s="17"/>
      <c r="H87" s="17">
        <v>20250301</v>
      </c>
      <c r="I87" s="17" t="str">
        <f>TEXT(DATE(LEFT(H87,4), MID(H87,5,2), RIGHT(H87,2)), "M/d/yyyy")</f>
        <v>3/1/2025</v>
      </c>
      <c r="J87" s="21">
        <f>DATE(YEAR(I87), MONTH(I87) +1, DAY(I87))</f>
        <v>45748</v>
      </c>
      <c r="K87" s="17" t="s">
        <v>19</v>
      </c>
      <c r="L87" s="19">
        <v>176.15</v>
      </c>
      <c r="M87" s="20">
        <v>20</v>
      </c>
      <c r="N87" s="19">
        <v>20</v>
      </c>
      <c r="O87" s="16" t="s">
        <v>310</v>
      </c>
    </row>
    <row r="88" spans="1:15" ht="15.75" x14ac:dyDescent="0.25">
      <c r="A88" s="17" t="s">
        <v>292</v>
      </c>
      <c r="B88" s="17">
        <v>19106640</v>
      </c>
      <c r="C88" s="17" t="s">
        <v>295</v>
      </c>
      <c r="D88" s="18" t="s">
        <v>296</v>
      </c>
      <c r="E88" s="18" t="str">
        <f>CONCATENATE(D88,7)</f>
        <v>65R42C7</v>
      </c>
      <c r="F88" s="18" t="s">
        <v>70</v>
      </c>
      <c r="G88" s="17" t="s">
        <v>12</v>
      </c>
      <c r="H88" s="17">
        <v>20250301</v>
      </c>
      <c r="I88" s="17" t="str">
        <f>TEXT(DATE(LEFT(H88,4), MID(H88,5,2), RIGHT(H88,2)), "M/d/yyyy")</f>
        <v>3/1/2025</v>
      </c>
      <c r="J88" s="21">
        <f>DATE(YEAR(I88), MONTH(I88) +1, DAY(I88))</f>
        <v>45748</v>
      </c>
      <c r="K88" s="17" t="s">
        <v>13</v>
      </c>
      <c r="L88" s="19">
        <v>103.1</v>
      </c>
      <c r="M88" s="20">
        <v>0.2</v>
      </c>
      <c r="N88" s="19">
        <v>20.62</v>
      </c>
      <c r="O88" s="16" t="s">
        <v>309</v>
      </c>
    </row>
    <row r="89" spans="1:15" ht="15.75" x14ac:dyDescent="0.25">
      <c r="A89" s="17" t="s">
        <v>48</v>
      </c>
      <c r="B89" s="17">
        <v>17425766</v>
      </c>
      <c r="C89" s="17" t="s">
        <v>63</v>
      </c>
      <c r="D89" s="18" t="s">
        <v>64</v>
      </c>
      <c r="E89" s="18" t="str">
        <f>CONCATENATE(D89,2)</f>
        <v>01F2T52</v>
      </c>
      <c r="F89" s="18" t="s">
        <v>65</v>
      </c>
      <c r="G89" s="17"/>
      <c r="H89" s="17">
        <v>20250301</v>
      </c>
      <c r="I89" s="17" t="str">
        <f>TEXT(DATE(LEFT(H89,4), MID(H89,5,2), RIGHT(H89,2)), "M/d/yyyy")</f>
        <v>3/1/2025</v>
      </c>
      <c r="J89" s="21">
        <f>DATE(YEAR(I89), MONTH(I89) +1, DAY(I89))</f>
        <v>45748</v>
      </c>
      <c r="K89" s="17" t="s">
        <v>31</v>
      </c>
      <c r="L89" s="19">
        <v>40.03</v>
      </c>
      <c r="M89" s="20">
        <v>22</v>
      </c>
      <c r="N89" s="19">
        <v>22</v>
      </c>
      <c r="O89" s="16" t="s">
        <v>312</v>
      </c>
    </row>
    <row r="90" spans="1:15" ht="15.75" x14ac:dyDescent="0.25">
      <c r="A90" s="17" t="s">
        <v>93</v>
      </c>
      <c r="B90" s="17">
        <v>8307933</v>
      </c>
      <c r="C90" s="17" t="s">
        <v>97</v>
      </c>
      <c r="D90" s="18" t="s">
        <v>98</v>
      </c>
      <c r="E90" s="18" t="str">
        <f>CONCATENATE(D90,2)</f>
        <v>5Y6K122</v>
      </c>
      <c r="F90" s="18" t="s">
        <v>65</v>
      </c>
      <c r="G90" s="17"/>
      <c r="H90" s="17">
        <v>20250301</v>
      </c>
      <c r="I90" s="17" t="str">
        <f>TEXT(DATE(LEFT(H90,4), MID(H90,5,2), RIGHT(H90,2)), "M/d/yyyy")</f>
        <v>3/1/2025</v>
      </c>
      <c r="J90" s="21">
        <f>DATE(YEAR(I90), MONTH(I90) +1, DAY(I90))</f>
        <v>45748</v>
      </c>
      <c r="K90" s="17" t="s">
        <v>31</v>
      </c>
      <c r="L90" s="19">
        <v>107.75</v>
      </c>
      <c r="M90" s="20">
        <v>22</v>
      </c>
      <c r="N90" s="19">
        <v>22</v>
      </c>
      <c r="O90" s="16" t="s">
        <v>312</v>
      </c>
    </row>
    <row r="91" spans="1:15" ht="15.75" x14ac:dyDescent="0.25">
      <c r="A91" s="17" t="s">
        <v>71</v>
      </c>
      <c r="B91" s="17">
        <v>17437820</v>
      </c>
      <c r="C91" s="17" t="s">
        <v>72</v>
      </c>
      <c r="D91" s="18" t="s">
        <v>73</v>
      </c>
      <c r="E91" s="18" t="str">
        <f>CONCATENATE(D91,2)</f>
        <v>1N92F42</v>
      </c>
      <c r="F91" s="18" t="s">
        <v>11</v>
      </c>
      <c r="G91" s="17"/>
      <c r="H91" s="17">
        <v>20250301</v>
      </c>
      <c r="I91" s="17" t="str">
        <f>TEXT(DATE(LEFT(H91,4), MID(H91,5,2), RIGHT(H91,2)), "M/d/yyyy")</f>
        <v>3/1/2025</v>
      </c>
      <c r="J91" s="21">
        <f>DATE(YEAR(I91), MONTH(I91) +1, DAY(I91))</f>
        <v>45748</v>
      </c>
      <c r="K91" s="17" t="s">
        <v>19</v>
      </c>
      <c r="L91" s="19">
        <v>17.690000000000001</v>
      </c>
      <c r="M91" s="20">
        <v>22</v>
      </c>
      <c r="N91" s="19">
        <v>22</v>
      </c>
      <c r="O91" s="16" t="s">
        <v>312</v>
      </c>
    </row>
    <row r="92" spans="1:15" ht="15.75" x14ac:dyDescent="0.25">
      <c r="A92" s="17" t="s">
        <v>71</v>
      </c>
      <c r="B92" s="17">
        <v>17437820</v>
      </c>
      <c r="C92" s="17" t="s">
        <v>74</v>
      </c>
      <c r="D92" s="18" t="s">
        <v>75</v>
      </c>
      <c r="E92" s="18" t="str">
        <f>CONCATENATE(D92,2)</f>
        <v>32A6E42</v>
      </c>
      <c r="F92" s="18" t="s">
        <v>11</v>
      </c>
      <c r="G92" s="17"/>
      <c r="H92" s="17">
        <v>20250301</v>
      </c>
      <c r="I92" s="17" t="str">
        <f>TEXT(DATE(LEFT(H92,4), MID(H92,5,2), RIGHT(H92,2)), "M/d/yyyy")</f>
        <v>3/1/2025</v>
      </c>
      <c r="J92" s="21">
        <f>DATE(YEAR(I92), MONTH(I92) +1, DAY(I92))</f>
        <v>45748</v>
      </c>
      <c r="K92" s="17" t="s">
        <v>19</v>
      </c>
      <c r="L92" s="19">
        <v>17.690000000000001</v>
      </c>
      <c r="M92" s="20">
        <v>22</v>
      </c>
      <c r="N92" s="19">
        <v>22</v>
      </c>
      <c r="O92" s="16" t="s">
        <v>312</v>
      </c>
    </row>
    <row r="93" spans="1:15" ht="15.75" x14ac:dyDescent="0.25">
      <c r="A93" s="17" t="s">
        <v>71</v>
      </c>
      <c r="B93" s="17">
        <v>17437820</v>
      </c>
      <c r="C93" s="17" t="s">
        <v>76</v>
      </c>
      <c r="D93" s="18" t="s">
        <v>77</v>
      </c>
      <c r="E93" s="18" t="str">
        <f>CONCATENATE(D93,2)</f>
        <v>35K3N12</v>
      </c>
      <c r="F93" s="18" t="s">
        <v>11</v>
      </c>
      <c r="G93" s="17"/>
      <c r="H93" s="17">
        <v>20250301</v>
      </c>
      <c r="I93" s="17" t="str">
        <f>TEXT(DATE(LEFT(H93,4), MID(H93,5,2), RIGHT(H93,2)), "M/d/yyyy")</f>
        <v>3/1/2025</v>
      </c>
      <c r="J93" s="21">
        <f>DATE(YEAR(I93), MONTH(I93) +1, DAY(I93))</f>
        <v>45748</v>
      </c>
      <c r="K93" s="17" t="s">
        <v>19</v>
      </c>
      <c r="L93" s="19">
        <v>122.19</v>
      </c>
      <c r="M93" s="20">
        <v>22</v>
      </c>
      <c r="N93" s="19">
        <v>22</v>
      </c>
      <c r="O93" s="16" t="s">
        <v>312</v>
      </c>
    </row>
    <row r="94" spans="1:15" ht="15.75" x14ac:dyDescent="0.25">
      <c r="A94" s="17" t="s">
        <v>71</v>
      </c>
      <c r="B94" s="17">
        <v>17437820</v>
      </c>
      <c r="C94" s="17" t="s">
        <v>78</v>
      </c>
      <c r="D94" s="18" t="s">
        <v>79</v>
      </c>
      <c r="E94" s="18" t="str">
        <f>CONCATENATE(D94,2)</f>
        <v>37HH172</v>
      </c>
      <c r="F94" s="18" t="s">
        <v>11</v>
      </c>
      <c r="G94" s="17"/>
      <c r="H94" s="17">
        <v>20250301</v>
      </c>
      <c r="I94" s="17" t="str">
        <f>TEXT(DATE(LEFT(H94,4), MID(H94,5,2), RIGHT(H94,2)), "M/d/yyyy")</f>
        <v>3/1/2025</v>
      </c>
      <c r="J94" s="21">
        <f>DATE(YEAR(I94), MONTH(I94) +1, DAY(I94))</f>
        <v>45748</v>
      </c>
      <c r="K94" s="17" t="s">
        <v>19</v>
      </c>
      <c r="L94" s="19">
        <v>31.2</v>
      </c>
      <c r="M94" s="20">
        <v>22</v>
      </c>
      <c r="N94" s="19">
        <v>22</v>
      </c>
      <c r="O94" s="16" t="s">
        <v>312</v>
      </c>
    </row>
    <row r="95" spans="1:15" ht="15.75" x14ac:dyDescent="0.25">
      <c r="A95" s="17" t="s">
        <v>71</v>
      </c>
      <c r="B95" s="17">
        <v>17437820</v>
      </c>
      <c r="C95" s="17" t="s">
        <v>80</v>
      </c>
      <c r="D95" s="18" t="s">
        <v>81</v>
      </c>
      <c r="E95" s="18" t="str">
        <f>CONCATENATE(D95,2)</f>
        <v>5YB0362</v>
      </c>
      <c r="F95" s="18" t="s">
        <v>11</v>
      </c>
      <c r="G95" s="17"/>
      <c r="H95" s="17">
        <v>20250301</v>
      </c>
      <c r="I95" s="17" t="str">
        <f>TEXT(DATE(LEFT(H95,4), MID(H95,5,2), RIGHT(H95,2)), "M/d/yyyy")</f>
        <v>3/1/2025</v>
      </c>
      <c r="J95" s="21">
        <f>DATE(YEAR(I95), MONTH(I95) +1, DAY(I95))</f>
        <v>45748</v>
      </c>
      <c r="K95" s="17" t="s">
        <v>19</v>
      </c>
      <c r="L95" s="19">
        <v>168.73</v>
      </c>
      <c r="M95" s="20">
        <v>22</v>
      </c>
      <c r="N95" s="19">
        <v>22</v>
      </c>
      <c r="O95" s="16" t="s">
        <v>312</v>
      </c>
    </row>
    <row r="96" spans="1:15" ht="15.75" x14ac:dyDescent="0.25">
      <c r="A96" s="17" t="s">
        <v>71</v>
      </c>
      <c r="B96" s="17">
        <v>17437820</v>
      </c>
      <c r="C96" s="17" t="s">
        <v>82</v>
      </c>
      <c r="D96" s="18" t="s">
        <v>83</v>
      </c>
      <c r="E96" s="18" t="str">
        <f>CONCATENATE(D96,2)</f>
        <v>85P3D22</v>
      </c>
      <c r="F96" s="18" t="s">
        <v>11</v>
      </c>
      <c r="G96" s="17"/>
      <c r="H96" s="17">
        <v>20250301</v>
      </c>
      <c r="I96" s="17" t="str">
        <f>TEXT(DATE(LEFT(H96,4), MID(H96,5,2), RIGHT(H96,2)), "M/d/yyyy")</f>
        <v>3/1/2025</v>
      </c>
      <c r="J96" s="21">
        <f>DATE(YEAR(I96), MONTH(I96) +1, DAY(I96))</f>
        <v>45748</v>
      </c>
      <c r="K96" s="17" t="s">
        <v>19</v>
      </c>
      <c r="L96" s="19">
        <v>219.6</v>
      </c>
      <c r="M96" s="20">
        <v>22</v>
      </c>
      <c r="N96" s="19">
        <v>22</v>
      </c>
      <c r="O96" s="16" t="s">
        <v>312</v>
      </c>
    </row>
    <row r="97" spans="1:15" ht="15.75" x14ac:dyDescent="0.25">
      <c r="A97" s="17" t="s">
        <v>93</v>
      </c>
      <c r="B97" s="17">
        <v>8307933</v>
      </c>
      <c r="C97" s="17" t="s">
        <v>101</v>
      </c>
      <c r="D97" s="18" t="s">
        <v>102</v>
      </c>
      <c r="E97" s="18" t="str">
        <f>CONCATENATE(D97,2)</f>
        <v>5G6W802</v>
      </c>
      <c r="F97" s="18" t="s">
        <v>11</v>
      </c>
      <c r="G97" s="17"/>
      <c r="H97" s="17">
        <v>20250301</v>
      </c>
      <c r="I97" s="17" t="str">
        <f>TEXT(DATE(LEFT(H97,4), MID(H97,5,2), RIGHT(H97,2)), "M/d/yyyy")</f>
        <v>3/1/2025</v>
      </c>
      <c r="J97" s="21">
        <f>DATE(YEAR(I97), MONTH(I97) +1, DAY(I97))</f>
        <v>45748</v>
      </c>
      <c r="K97" s="17" t="s">
        <v>19</v>
      </c>
      <c r="L97" s="19">
        <v>126.18</v>
      </c>
      <c r="M97" s="20">
        <v>22</v>
      </c>
      <c r="N97" s="19">
        <v>22</v>
      </c>
      <c r="O97" s="16" t="s">
        <v>312</v>
      </c>
    </row>
    <row r="98" spans="1:15" ht="15.75" x14ac:dyDescent="0.25">
      <c r="A98" s="17" t="s">
        <v>93</v>
      </c>
      <c r="B98" s="17">
        <v>8307933</v>
      </c>
      <c r="C98" s="17" t="s">
        <v>103</v>
      </c>
      <c r="D98" s="18" t="s">
        <v>104</v>
      </c>
      <c r="E98" s="18" t="str">
        <f>CONCATENATE(D98,2)</f>
        <v>7TR1132</v>
      </c>
      <c r="F98" s="18" t="s">
        <v>11</v>
      </c>
      <c r="G98" s="17"/>
      <c r="H98" s="17">
        <v>20250301</v>
      </c>
      <c r="I98" s="17" t="str">
        <f>TEXT(DATE(LEFT(H98,4), MID(H98,5,2), RIGHT(H98,2)), "M/d/yyyy")</f>
        <v>3/1/2025</v>
      </c>
      <c r="J98" s="21">
        <f>DATE(YEAR(I98), MONTH(I98) +1, DAY(I98))</f>
        <v>45748</v>
      </c>
      <c r="K98" s="17" t="s">
        <v>19</v>
      </c>
      <c r="L98" s="19">
        <v>11.9</v>
      </c>
      <c r="M98" s="20">
        <v>22</v>
      </c>
      <c r="N98" s="19">
        <v>22</v>
      </c>
      <c r="O98" s="16" t="s">
        <v>312</v>
      </c>
    </row>
    <row r="99" spans="1:15" ht="15.75" x14ac:dyDescent="0.25">
      <c r="A99" s="17" t="s">
        <v>299</v>
      </c>
      <c r="B99" s="17">
        <v>18581063</v>
      </c>
      <c r="C99" s="17" t="s">
        <v>302</v>
      </c>
      <c r="D99" s="18" t="s">
        <v>303</v>
      </c>
      <c r="E99" s="18" t="str">
        <f>CONCATENATE(D99,2)</f>
        <v>94Q69A2</v>
      </c>
      <c r="F99" s="18" t="s">
        <v>11</v>
      </c>
      <c r="G99" s="17"/>
      <c r="H99" s="17">
        <v>20250301</v>
      </c>
      <c r="I99" s="17" t="str">
        <f>TEXT(DATE(LEFT(H99,4), MID(H99,5,2), RIGHT(H99,2)), "M/d/yyyy")</f>
        <v>3/1/2025</v>
      </c>
      <c r="J99" s="21">
        <f>DATE(YEAR(I99), MONTH(I99) +1, DAY(I99))</f>
        <v>45748</v>
      </c>
      <c r="K99" s="17" t="s">
        <v>19</v>
      </c>
      <c r="L99" s="19">
        <v>271.88</v>
      </c>
      <c r="M99" s="20">
        <v>22</v>
      </c>
      <c r="N99" s="19">
        <v>22</v>
      </c>
      <c r="O99" s="16" t="s">
        <v>312</v>
      </c>
    </row>
    <row r="100" spans="1:15" ht="15.75" x14ac:dyDescent="0.25">
      <c r="A100" s="17" t="s">
        <v>292</v>
      </c>
      <c r="B100" s="17">
        <v>19106640</v>
      </c>
      <c r="C100" s="17" t="s">
        <v>293</v>
      </c>
      <c r="D100" s="18" t="s">
        <v>294</v>
      </c>
      <c r="E100" s="18" t="str">
        <f>CONCATENATE(D100,7)</f>
        <v>24R79F7</v>
      </c>
      <c r="F100" s="18" t="s">
        <v>30</v>
      </c>
      <c r="G100" s="17" t="s">
        <v>12</v>
      </c>
      <c r="H100" s="17">
        <v>20250301</v>
      </c>
      <c r="I100" s="17" t="str">
        <f>TEXT(DATE(LEFT(H100,4), MID(H100,5,2), RIGHT(H100,2)), "M/d/yyyy")</f>
        <v>3/1/2025</v>
      </c>
      <c r="J100" s="21">
        <f>DATE(YEAR(I100), MONTH(I100) +1, DAY(I100))</f>
        <v>45748</v>
      </c>
      <c r="K100" s="17" t="s">
        <v>13</v>
      </c>
      <c r="L100" s="19">
        <v>115.55</v>
      </c>
      <c r="M100" s="20">
        <v>0.2</v>
      </c>
      <c r="N100" s="19">
        <v>23.11</v>
      </c>
      <c r="O100" s="16" t="s">
        <v>309</v>
      </c>
    </row>
    <row r="101" spans="1:15" ht="15.75" x14ac:dyDescent="0.25">
      <c r="A101" s="17" t="s">
        <v>34</v>
      </c>
      <c r="B101" s="17">
        <v>21104854</v>
      </c>
      <c r="C101" s="17" t="s">
        <v>38</v>
      </c>
      <c r="D101" s="18" t="s">
        <v>39</v>
      </c>
      <c r="E101" s="18" t="str">
        <f>CONCATENATE(D101,7)</f>
        <v>14NW317</v>
      </c>
      <c r="F101" s="18" t="s">
        <v>30</v>
      </c>
      <c r="G101" s="17" t="s">
        <v>12</v>
      </c>
      <c r="H101" s="17">
        <v>20250301</v>
      </c>
      <c r="I101" s="17" t="str">
        <f>TEXT(DATE(LEFT(H101,4), MID(H101,5,2), RIGHT(H101,2)), "M/d/yyyy")</f>
        <v>3/1/2025</v>
      </c>
      <c r="J101" s="21">
        <f>DATE(YEAR(I101), MONTH(I101) +1, DAY(I101))</f>
        <v>45748</v>
      </c>
      <c r="K101" s="17" t="s">
        <v>13</v>
      </c>
      <c r="L101" s="19">
        <v>120.15</v>
      </c>
      <c r="M101" s="20">
        <v>0.2</v>
      </c>
      <c r="N101" s="19">
        <v>24.03</v>
      </c>
      <c r="O101" s="16" t="s">
        <v>309</v>
      </c>
    </row>
    <row r="102" spans="1:15" ht="15.75" x14ac:dyDescent="0.25">
      <c r="A102" s="17" t="s">
        <v>131</v>
      </c>
      <c r="B102" s="17">
        <v>18754354</v>
      </c>
      <c r="C102" s="17" t="s">
        <v>134</v>
      </c>
      <c r="D102" s="18" t="s">
        <v>135</v>
      </c>
      <c r="E102" s="18" t="str">
        <f>CONCATENATE(D102,7)</f>
        <v>95TK067</v>
      </c>
      <c r="F102" s="18" t="s">
        <v>30</v>
      </c>
      <c r="G102" s="17" t="s">
        <v>12</v>
      </c>
      <c r="H102" s="17">
        <v>20250301</v>
      </c>
      <c r="I102" s="17" t="str">
        <f>TEXT(DATE(LEFT(H102,4), MID(H102,5,2), RIGHT(H102,2)), "M/d/yyyy")</f>
        <v>3/1/2025</v>
      </c>
      <c r="J102" s="21">
        <f>DATE(YEAR(I102), MONTH(I102) +1, DAY(I102))</f>
        <v>45748</v>
      </c>
      <c r="K102" s="17" t="s">
        <v>13</v>
      </c>
      <c r="L102" s="19">
        <v>120.17</v>
      </c>
      <c r="M102" s="20">
        <v>0.2</v>
      </c>
      <c r="N102" s="19">
        <v>24.034000000000002</v>
      </c>
      <c r="O102" s="16" t="s">
        <v>309</v>
      </c>
    </row>
    <row r="103" spans="1:15" ht="15.75" x14ac:dyDescent="0.25">
      <c r="A103" s="17" t="s">
        <v>93</v>
      </c>
      <c r="B103" s="17">
        <v>8307933</v>
      </c>
      <c r="C103" s="17" t="s">
        <v>94</v>
      </c>
      <c r="D103" s="18" t="s">
        <v>95</v>
      </c>
      <c r="E103" s="18" t="str">
        <f>CONCATENATE(D103,2)</f>
        <v>35DH742</v>
      </c>
      <c r="F103" s="18" t="s">
        <v>96</v>
      </c>
      <c r="G103" s="17"/>
      <c r="H103" s="17">
        <v>20250301</v>
      </c>
      <c r="I103" s="17" t="str">
        <f>TEXT(DATE(LEFT(H103,4), MID(H103,5,2), RIGHT(H103,2)), "M/d/yyyy")</f>
        <v>3/1/2025</v>
      </c>
      <c r="J103" s="21">
        <f>DATE(YEAR(I103), MONTH(I103) +1, DAY(I103))</f>
        <v>45748</v>
      </c>
      <c r="K103" s="17" t="s">
        <v>31</v>
      </c>
      <c r="L103" s="19">
        <v>348.22</v>
      </c>
      <c r="M103" s="20">
        <v>25</v>
      </c>
      <c r="N103" s="19">
        <v>25</v>
      </c>
      <c r="O103" s="16" t="s">
        <v>313</v>
      </c>
    </row>
    <row r="104" spans="1:15" ht="15.75" x14ac:dyDescent="0.25">
      <c r="A104" s="17" t="s">
        <v>15</v>
      </c>
      <c r="B104" s="17">
        <v>9079571</v>
      </c>
      <c r="C104" s="17" t="s">
        <v>16</v>
      </c>
      <c r="D104" s="18" t="s">
        <v>17</v>
      </c>
      <c r="E104" s="18" t="str">
        <f>CONCATENATE(D104,2)</f>
        <v>0W61U52</v>
      </c>
      <c r="F104" s="18" t="s">
        <v>18</v>
      </c>
      <c r="G104" s="17"/>
      <c r="H104" s="17">
        <v>20250301</v>
      </c>
      <c r="I104" s="17" t="str">
        <f>TEXT(DATE(LEFT(H104,4), MID(H104,5,2), RIGHT(H104,2)), "M/d/yyyy")</f>
        <v>3/1/2025</v>
      </c>
      <c r="J104" s="21">
        <f>DATE(YEAR(I104), MONTH(I104) +1, DAY(I104))</f>
        <v>45748</v>
      </c>
      <c r="K104" s="17" t="s">
        <v>19</v>
      </c>
      <c r="L104" s="19">
        <v>151.52000000000001</v>
      </c>
      <c r="M104" s="20">
        <v>27</v>
      </c>
      <c r="N104" s="19">
        <v>27</v>
      </c>
      <c r="O104" s="16" t="s">
        <v>311</v>
      </c>
    </row>
    <row r="105" spans="1:15" ht="15.75" x14ac:dyDescent="0.25">
      <c r="A105" s="17" t="s">
        <v>48</v>
      </c>
      <c r="B105" s="17">
        <v>17425766</v>
      </c>
      <c r="C105" s="17" t="s">
        <v>68</v>
      </c>
      <c r="D105" s="18" t="s">
        <v>69</v>
      </c>
      <c r="E105" s="18" t="str">
        <f>CONCATENATE(D105,2)</f>
        <v>41Q71G2</v>
      </c>
      <c r="F105" s="18" t="s">
        <v>70</v>
      </c>
      <c r="G105" s="17"/>
      <c r="H105" s="17">
        <v>20250301</v>
      </c>
      <c r="I105" s="17" t="str">
        <f>TEXT(DATE(LEFT(H105,4), MID(H105,5,2), RIGHT(H105,2)), "M/d/yyyy")</f>
        <v>3/1/2025</v>
      </c>
      <c r="J105" s="21">
        <f>DATE(YEAR(I105), MONTH(I105) +1, DAY(I105))</f>
        <v>45748</v>
      </c>
      <c r="K105" s="17" t="s">
        <v>19</v>
      </c>
      <c r="L105" s="19">
        <v>192.18</v>
      </c>
      <c r="M105" s="20">
        <v>27</v>
      </c>
      <c r="N105" s="19">
        <v>27</v>
      </c>
      <c r="O105" s="16" t="s">
        <v>311</v>
      </c>
    </row>
    <row r="106" spans="1:15" ht="15.75" x14ac:dyDescent="0.25">
      <c r="A106" s="17" t="s">
        <v>93</v>
      </c>
      <c r="B106" s="17">
        <v>8307933</v>
      </c>
      <c r="C106" s="17" t="s">
        <v>99</v>
      </c>
      <c r="D106" s="18" t="s">
        <v>100</v>
      </c>
      <c r="E106" s="18" t="str">
        <f>CONCATENATE(D106,2)</f>
        <v>1KD5982</v>
      </c>
      <c r="F106" s="18" t="s">
        <v>18</v>
      </c>
      <c r="G106" s="17"/>
      <c r="H106" s="17">
        <v>20250301</v>
      </c>
      <c r="I106" s="17" t="str">
        <f>TEXT(DATE(LEFT(H106,4), MID(H106,5,2), RIGHT(H106,2)), "M/d/yyyy")</f>
        <v>3/1/2025</v>
      </c>
      <c r="J106" s="21">
        <f>DATE(YEAR(I106), MONTH(I106) +1, DAY(I106))</f>
        <v>45748</v>
      </c>
      <c r="K106" s="17" t="s">
        <v>19</v>
      </c>
      <c r="L106" s="19">
        <v>361.06</v>
      </c>
      <c r="M106" s="20">
        <v>27</v>
      </c>
      <c r="N106" s="19">
        <v>27</v>
      </c>
      <c r="O106" s="16" t="s">
        <v>311</v>
      </c>
    </row>
    <row r="107" spans="1:15" ht="15.75" x14ac:dyDescent="0.25">
      <c r="A107" s="17" t="s">
        <v>131</v>
      </c>
      <c r="B107" s="17">
        <v>18754354</v>
      </c>
      <c r="C107" s="17" t="s">
        <v>140</v>
      </c>
      <c r="D107" s="18" t="s">
        <v>141</v>
      </c>
      <c r="E107" s="18" t="str">
        <f>CONCATENATE(D107,2)</f>
        <v>69E5F92</v>
      </c>
      <c r="F107" s="18" t="s">
        <v>18</v>
      </c>
      <c r="G107" s="17"/>
      <c r="H107" s="17">
        <v>20250301</v>
      </c>
      <c r="I107" s="17" t="str">
        <f>TEXT(DATE(LEFT(H107,4), MID(H107,5,2), RIGHT(H107,2)), "M/d/yyyy")</f>
        <v>3/1/2025</v>
      </c>
      <c r="J107" s="21">
        <f>DATE(YEAR(I107), MONTH(I107) +1, DAY(I107))</f>
        <v>45748</v>
      </c>
      <c r="K107" s="17" t="s">
        <v>19</v>
      </c>
      <c r="L107" s="19">
        <v>324.38</v>
      </c>
      <c r="M107" s="20">
        <v>27</v>
      </c>
      <c r="N107" s="19">
        <v>27</v>
      </c>
      <c r="O107" s="16" t="s">
        <v>311</v>
      </c>
    </row>
    <row r="108" spans="1:15" ht="15.75" x14ac:dyDescent="0.25">
      <c r="A108" s="17" t="s">
        <v>168</v>
      </c>
      <c r="B108" s="17">
        <v>15278437</v>
      </c>
      <c r="C108" s="17" t="s">
        <v>169</v>
      </c>
      <c r="D108" s="18" t="s">
        <v>170</v>
      </c>
      <c r="E108" s="18" t="str">
        <f>CONCATENATE(D108,2)</f>
        <v>2XH6062</v>
      </c>
      <c r="F108" s="18" t="s">
        <v>70</v>
      </c>
      <c r="G108" s="17"/>
      <c r="H108" s="17">
        <v>20250301</v>
      </c>
      <c r="I108" s="17" t="str">
        <f>TEXT(DATE(LEFT(H108,4), MID(H108,5,2), RIGHT(H108,2)), "M/d/yyyy")</f>
        <v>3/1/2025</v>
      </c>
      <c r="J108" s="21">
        <f>DATE(YEAR(I108), MONTH(I108) +1, DAY(I108))</f>
        <v>45748</v>
      </c>
      <c r="K108" s="17" t="s">
        <v>19</v>
      </c>
      <c r="L108" s="19">
        <v>162.19999999999999</v>
      </c>
      <c r="M108" s="20">
        <v>27</v>
      </c>
      <c r="N108" s="19">
        <v>27</v>
      </c>
      <c r="O108" s="16" t="s">
        <v>311</v>
      </c>
    </row>
    <row r="109" spans="1:15" ht="15.75" x14ac:dyDescent="0.25">
      <c r="A109" s="17" t="s">
        <v>237</v>
      </c>
      <c r="B109" s="17">
        <v>18134413</v>
      </c>
      <c r="C109" s="17" t="s">
        <v>238</v>
      </c>
      <c r="D109" s="18" t="s">
        <v>239</v>
      </c>
      <c r="E109" s="18" t="str">
        <f>CONCATENATE(D109,2)</f>
        <v>13M41V2</v>
      </c>
      <c r="F109" s="18" t="s">
        <v>18</v>
      </c>
      <c r="G109" s="17"/>
      <c r="H109" s="17">
        <v>20250301</v>
      </c>
      <c r="I109" s="17" t="str">
        <f>TEXT(DATE(LEFT(H109,4), MID(H109,5,2), RIGHT(H109,2)), "M/d/yyyy")</f>
        <v>3/1/2025</v>
      </c>
      <c r="J109" s="21">
        <f>DATE(YEAR(I109), MONTH(I109) +1, DAY(I109))</f>
        <v>45748</v>
      </c>
      <c r="K109" s="17" t="s">
        <v>19</v>
      </c>
      <c r="L109" s="19">
        <v>176.4</v>
      </c>
      <c r="M109" s="20">
        <v>27</v>
      </c>
      <c r="N109" s="19">
        <v>27</v>
      </c>
      <c r="O109" s="16" t="s">
        <v>311</v>
      </c>
    </row>
    <row r="110" spans="1:15" ht="15.75" x14ac:dyDescent="0.25">
      <c r="A110" s="17" t="s">
        <v>237</v>
      </c>
      <c r="B110" s="17">
        <v>18134413</v>
      </c>
      <c r="C110" s="17" t="s">
        <v>240</v>
      </c>
      <c r="D110" s="18" t="s">
        <v>241</v>
      </c>
      <c r="E110" s="18" t="str">
        <f>CONCATENATE(D110,2)</f>
        <v>56P6N92</v>
      </c>
      <c r="F110" s="18" t="s">
        <v>18</v>
      </c>
      <c r="G110" s="17"/>
      <c r="H110" s="17">
        <v>20250201</v>
      </c>
      <c r="I110" s="17" t="str">
        <f>TEXT(DATE(LEFT(H110,4), MID(H110,5,2), RIGHT(H110,2)), "M/d/yyyy")</f>
        <v>2/1/2025</v>
      </c>
      <c r="J110" s="21">
        <f>DATE(YEAR(I110), MONTH(I110) +1, DAY(I110))</f>
        <v>45717</v>
      </c>
      <c r="K110" s="17" t="s">
        <v>19</v>
      </c>
      <c r="L110" s="19">
        <v>345</v>
      </c>
      <c r="M110" s="20">
        <v>27</v>
      </c>
      <c r="N110" s="19">
        <v>27</v>
      </c>
      <c r="O110" s="16" t="s">
        <v>311</v>
      </c>
    </row>
    <row r="111" spans="1:15" ht="15.75" x14ac:dyDescent="0.25">
      <c r="A111" s="17" t="s">
        <v>271</v>
      </c>
      <c r="B111" s="17">
        <v>16633294</v>
      </c>
      <c r="C111" s="17" t="s">
        <v>276</v>
      </c>
      <c r="D111" s="18" t="s">
        <v>277</v>
      </c>
      <c r="E111" s="18" t="str">
        <f>CONCATENATE(D111,2)</f>
        <v>03Q06K2</v>
      </c>
      <c r="F111" s="18" t="s">
        <v>18</v>
      </c>
      <c r="G111" s="17"/>
      <c r="H111" s="17">
        <v>20250301</v>
      </c>
      <c r="I111" s="17" t="str">
        <f>TEXT(DATE(LEFT(H111,4), MID(H111,5,2), RIGHT(H111,2)), "M/d/yyyy")</f>
        <v>3/1/2025</v>
      </c>
      <c r="J111" s="21">
        <f>DATE(YEAR(I111), MONTH(I111) +1, DAY(I111))</f>
        <v>45748</v>
      </c>
      <c r="K111" s="17" t="s">
        <v>19</v>
      </c>
      <c r="L111" s="19">
        <v>826.63</v>
      </c>
      <c r="M111" s="20">
        <v>27</v>
      </c>
      <c r="N111" s="19">
        <v>27</v>
      </c>
      <c r="O111" s="16" t="s">
        <v>311</v>
      </c>
    </row>
    <row r="112" spans="1:15" ht="15.75" x14ac:dyDescent="0.25">
      <c r="A112" s="17" t="s">
        <v>271</v>
      </c>
      <c r="B112" s="17">
        <v>16633294</v>
      </c>
      <c r="C112" s="17" t="s">
        <v>280</v>
      </c>
      <c r="D112" s="18" t="s">
        <v>281</v>
      </c>
      <c r="E112" s="18" t="str">
        <f>CONCATENATE(D112,2)</f>
        <v>98Q49J2</v>
      </c>
      <c r="F112" s="18" t="s">
        <v>18</v>
      </c>
      <c r="G112" s="17"/>
      <c r="H112" s="17">
        <v>20250301</v>
      </c>
      <c r="I112" s="17" t="str">
        <f>TEXT(DATE(LEFT(H112,4), MID(H112,5,2), RIGHT(H112,2)), "M/d/yyyy")</f>
        <v>3/1/2025</v>
      </c>
      <c r="J112" s="21">
        <f>DATE(YEAR(I112), MONTH(I112) +1, DAY(I112))</f>
        <v>45748</v>
      </c>
      <c r="K112" s="17" t="s">
        <v>19</v>
      </c>
      <c r="L112" s="19">
        <v>1094.27</v>
      </c>
      <c r="M112" s="20">
        <v>27</v>
      </c>
      <c r="N112" s="19">
        <v>27</v>
      </c>
      <c r="O112" s="16" t="s">
        <v>311</v>
      </c>
    </row>
    <row r="113" spans="1:15" ht="15.75" x14ac:dyDescent="0.25">
      <c r="A113" s="17" t="s">
        <v>282</v>
      </c>
      <c r="B113" s="17">
        <v>8977234</v>
      </c>
      <c r="C113" s="17" t="s">
        <v>285</v>
      </c>
      <c r="D113" s="18" t="s">
        <v>286</v>
      </c>
      <c r="E113" s="18" t="str">
        <f>CONCATENATE(D113,2)</f>
        <v>27P4G42</v>
      </c>
      <c r="F113" s="18" t="s">
        <v>70</v>
      </c>
      <c r="G113" s="17"/>
      <c r="H113" s="17">
        <v>20250301</v>
      </c>
      <c r="I113" s="17" t="str">
        <f>TEXT(DATE(LEFT(H113,4), MID(H113,5,2), RIGHT(H113,2)), "M/d/yyyy")</f>
        <v>3/1/2025</v>
      </c>
      <c r="J113" s="21">
        <f>DATE(YEAR(I113), MONTH(I113) +1, DAY(I113))</f>
        <v>45748</v>
      </c>
      <c r="K113" s="17" t="s">
        <v>19</v>
      </c>
      <c r="L113" s="19">
        <v>11.37</v>
      </c>
      <c r="M113" s="20">
        <v>27</v>
      </c>
      <c r="N113" s="19">
        <v>27</v>
      </c>
      <c r="O113" s="16" t="s">
        <v>311</v>
      </c>
    </row>
    <row r="114" spans="1:15" ht="15.75" x14ac:dyDescent="0.25">
      <c r="A114" s="17" t="s">
        <v>131</v>
      </c>
      <c r="B114" s="17">
        <v>18754354</v>
      </c>
      <c r="C114" s="17" t="s">
        <v>132</v>
      </c>
      <c r="D114" s="18" t="s">
        <v>133</v>
      </c>
      <c r="E114" s="18" t="str">
        <f>CONCATENATE(D114,7)</f>
        <v>08P50D7</v>
      </c>
      <c r="F114" s="18" t="s">
        <v>30</v>
      </c>
      <c r="G114" s="17" t="s">
        <v>12</v>
      </c>
      <c r="H114" s="17">
        <v>20250301</v>
      </c>
      <c r="I114" s="17" t="str">
        <f>TEXT(DATE(LEFT(H114,4), MID(H114,5,2), RIGHT(H114,2)), "M/d/yyyy")</f>
        <v>3/1/2025</v>
      </c>
      <c r="J114" s="21">
        <f>DATE(YEAR(I114), MONTH(I114) +1, DAY(I114))</f>
        <v>45748</v>
      </c>
      <c r="K114" s="17" t="s">
        <v>13</v>
      </c>
      <c r="L114" s="19">
        <v>157.46</v>
      </c>
      <c r="M114" s="20">
        <v>0.2</v>
      </c>
      <c r="N114" s="19">
        <v>31.492000000000004</v>
      </c>
      <c r="O114" s="16" t="s">
        <v>309</v>
      </c>
    </row>
    <row r="115" spans="1:15" ht="15.75" x14ac:dyDescent="0.25">
      <c r="A115" s="17" t="s">
        <v>105</v>
      </c>
      <c r="B115" s="17">
        <v>16865615</v>
      </c>
      <c r="C115" s="17" t="s">
        <v>115</v>
      </c>
      <c r="D115" s="18" t="s">
        <v>116</v>
      </c>
      <c r="E115" s="18" t="str">
        <f>CONCATENATE(D115,2)</f>
        <v>01T3B22</v>
      </c>
      <c r="F115" s="18" t="s">
        <v>110</v>
      </c>
      <c r="G115" s="17" t="s">
        <v>316</v>
      </c>
      <c r="H115" s="17">
        <v>20250301</v>
      </c>
      <c r="I115" s="17" t="str">
        <f>TEXT(DATE(LEFT(H115,4), MID(H115,5,2), RIGHT(H115,2)), "M/d/yyyy")</f>
        <v>3/1/2025</v>
      </c>
      <c r="J115" s="21">
        <f>DATE(YEAR(I115), MONTH(I115) +1, DAY(I115))</f>
        <v>45748</v>
      </c>
      <c r="K115" s="17" t="s">
        <v>19</v>
      </c>
      <c r="L115" s="19">
        <v>983.89</v>
      </c>
      <c r="M115" s="20">
        <v>20</v>
      </c>
      <c r="N115" s="19">
        <v>40</v>
      </c>
      <c r="O115" s="16" t="s">
        <v>310</v>
      </c>
    </row>
    <row r="116" spans="1:15" ht="15.75" x14ac:dyDescent="0.25">
      <c r="A116" s="17" t="s">
        <v>171</v>
      </c>
      <c r="B116" s="17">
        <v>6634327</v>
      </c>
      <c r="C116" s="17" t="s">
        <v>195</v>
      </c>
      <c r="D116" s="18" t="s">
        <v>196</v>
      </c>
      <c r="E116" s="18" t="str">
        <f>CONCATENATE(D116,2)</f>
        <v>22RQ682</v>
      </c>
      <c r="F116" s="18" t="s">
        <v>110</v>
      </c>
      <c r="G116" s="17" t="s">
        <v>316</v>
      </c>
      <c r="H116" s="17">
        <v>20250301</v>
      </c>
      <c r="I116" s="17" t="str">
        <f>TEXT(DATE(LEFT(H116,4), MID(H116,5,2), RIGHT(H116,2)), "M/d/yyyy")</f>
        <v>3/1/2025</v>
      </c>
      <c r="J116" s="21">
        <f>DATE(YEAR(I116), MONTH(I116) +1, DAY(I116))</f>
        <v>45748</v>
      </c>
      <c r="K116" s="17" t="s">
        <v>19</v>
      </c>
      <c r="L116" s="19">
        <v>86.34</v>
      </c>
      <c r="M116" s="20">
        <v>20</v>
      </c>
      <c r="N116" s="19">
        <v>40</v>
      </c>
      <c r="O116" s="16" t="s">
        <v>310</v>
      </c>
    </row>
    <row r="117" spans="1:15" ht="15.75" x14ac:dyDescent="0.25">
      <c r="A117" s="17" t="s">
        <v>171</v>
      </c>
      <c r="B117" s="17">
        <v>6634327</v>
      </c>
      <c r="C117" s="17" t="s">
        <v>197</v>
      </c>
      <c r="D117" s="18" t="s">
        <v>198</v>
      </c>
      <c r="E117" s="18" t="str">
        <f>CONCATENATE(D117,2)</f>
        <v>22TF462</v>
      </c>
      <c r="F117" s="18" t="s">
        <v>110</v>
      </c>
      <c r="G117" s="17" t="s">
        <v>316</v>
      </c>
      <c r="H117" s="17">
        <v>20250301</v>
      </c>
      <c r="I117" s="17" t="str">
        <f>TEXT(DATE(LEFT(H117,4), MID(H117,5,2), RIGHT(H117,2)), "M/d/yyyy")</f>
        <v>3/1/2025</v>
      </c>
      <c r="J117" s="21">
        <f>DATE(YEAR(I117), MONTH(I117) +1, DAY(I117))</f>
        <v>45748</v>
      </c>
      <c r="K117" s="17" t="s">
        <v>19</v>
      </c>
      <c r="L117" s="19">
        <v>149.62</v>
      </c>
      <c r="M117" s="20">
        <v>20</v>
      </c>
      <c r="N117" s="19">
        <v>40</v>
      </c>
      <c r="O117" s="16" t="s">
        <v>310</v>
      </c>
    </row>
    <row r="118" spans="1:15" ht="15.75" x14ac:dyDescent="0.25">
      <c r="A118" s="17" t="s">
        <v>171</v>
      </c>
      <c r="B118" s="17">
        <v>6634327</v>
      </c>
      <c r="C118" s="17" t="s">
        <v>209</v>
      </c>
      <c r="D118" s="18" t="s">
        <v>210</v>
      </c>
      <c r="E118" s="18" t="str">
        <f>CONCATENATE(D118,2)</f>
        <v>42T7F32</v>
      </c>
      <c r="F118" s="18" t="s">
        <v>110</v>
      </c>
      <c r="G118" s="17" t="s">
        <v>316</v>
      </c>
      <c r="H118" s="17">
        <v>20250201</v>
      </c>
      <c r="I118" s="17" t="str">
        <f>TEXT(DATE(LEFT(H118,4), MID(H118,5,2), RIGHT(H118,2)), "M/d/yyyy")</f>
        <v>2/1/2025</v>
      </c>
      <c r="J118" s="21">
        <f>DATE(YEAR(I118), MONTH(I118) +1, DAY(I118))</f>
        <v>45717</v>
      </c>
      <c r="K118" s="17" t="s">
        <v>19</v>
      </c>
      <c r="L118" s="19">
        <v>621.96</v>
      </c>
      <c r="M118" s="20">
        <v>20</v>
      </c>
      <c r="N118" s="19">
        <v>40</v>
      </c>
      <c r="O118" s="16" t="s">
        <v>310</v>
      </c>
    </row>
    <row r="119" spans="1:15" ht="15.75" x14ac:dyDescent="0.25">
      <c r="A119" s="17" t="s">
        <v>171</v>
      </c>
      <c r="B119" s="17">
        <v>6634327</v>
      </c>
      <c r="C119" s="17" t="s">
        <v>217</v>
      </c>
      <c r="D119" s="18" t="s">
        <v>218</v>
      </c>
      <c r="E119" s="18" t="str">
        <f>CONCATENATE(D119,2)</f>
        <v>58RJ262</v>
      </c>
      <c r="F119" s="18" t="s">
        <v>110</v>
      </c>
      <c r="G119" s="17" t="s">
        <v>316</v>
      </c>
      <c r="H119" s="17">
        <v>20250301</v>
      </c>
      <c r="I119" s="17" t="str">
        <f>TEXT(DATE(LEFT(H119,4), MID(H119,5,2), RIGHT(H119,2)), "M/d/yyyy")</f>
        <v>3/1/2025</v>
      </c>
      <c r="J119" s="21">
        <f>DATE(YEAR(I119), MONTH(I119) +1, DAY(I119))</f>
        <v>45748</v>
      </c>
      <c r="K119" s="17" t="s">
        <v>19</v>
      </c>
      <c r="L119" s="19">
        <v>62.71</v>
      </c>
      <c r="M119" s="20">
        <v>20</v>
      </c>
      <c r="N119" s="19">
        <v>40</v>
      </c>
      <c r="O119" s="16" t="s">
        <v>310</v>
      </c>
    </row>
    <row r="120" spans="1:15" ht="15.75" x14ac:dyDescent="0.25">
      <c r="A120" s="17" t="s">
        <v>171</v>
      </c>
      <c r="B120" s="17">
        <v>6634327</v>
      </c>
      <c r="C120" s="17" t="s">
        <v>225</v>
      </c>
      <c r="D120" s="18" t="s">
        <v>226</v>
      </c>
      <c r="E120" s="18" t="str">
        <f>CONCATENATE(D120,2)</f>
        <v>78P06Q2</v>
      </c>
      <c r="F120" s="18" t="s">
        <v>110</v>
      </c>
      <c r="G120" s="17" t="s">
        <v>316</v>
      </c>
      <c r="H120" s="17">
        <v>20250201</v>
      </c>
      <c r="I120" s="17" t="str">
        <f>TEXT(DATE(LEFT(H120,4), MID(H120,5,2), RIGHT(H120,2)), "M/d/yyyy")</f>
        <v>2/1/2025</v>
      </c>
      <c r="J120" s="21">
        <f>DATE(YEAR(I120), MONTH(I120) +1, DAY(I120))</f>
        <v>45717</v>
      </c>
      <c r="K120" s="17" t="s">
        <v>19</v>
      </c>
      <c r="L120" s="19">
        <v>0</v>
      </c>
      <c r="M120" s="20">
        <v>20</v>
      </c>
      <c r="N120" s="19">
        <v>40</v>
      </c>
      <c r="O120" s="16" t="s">
        <v>310</v>
      </c>
    </row>
    <row r="121" spans="1:15" ht="15.75" x14ac:dyDescent="0.25">
      <c r="A121" s="17" t="s">
        <v>171</v>
      </c>
      <c r="B121" s="17">
        <v>6634327</v>
      </c>
      <c r="C121" s="17" t="s">
        <v>172</v>
      </c>
      <c r="D121" s="18" t="s">
        <v>173</v>
      </c>
      <c r="E121" s="18" t="str">
        <f>CONCATENATE(D121,7)</f>
        <v>88RH067</v>
      </c>
      <c r="F121" s="18" t="s">
        <v>110</v>
      </c>
      <c r="G121" s="17" t="s">
        <v>12</v>
      </c>
      <c r="H121" s="17">
        <v>20250301</v>
      </c>
      <c r="I121" s="17" t="str">
        <f>TEXT(DATE(LEFT(H121,4), MID(H121,5,2), RIGHT(H121,2)), "M/d/yyyy")</f>
        <v>3/1/2025</v>
      </c>
      <c r="J121" s="21">
        <f>DATE(YEAR(I121), MONTH(I121) +1, DAY(I121))</f>
        <v>45748</v>
      </c>
      <c r="K121" s="17" t="s">
        <v>13</v>
      </c>
      <c r="L121" s="19">
        <v>221.92</v>
      </c>
      <c r="M121" s="20">
        <v>0.2</v>
      </c>
      <c r="N121" s="19">
        <v>44.384</v>
      </c>
      <c r="O121" s="16" t="s">
        <v>309</v>
      </c>
    </row>
    <row r="122" spans="1:15" ht="15.75" x14ac:dyDescent="0.25">
      <c r="A122" s="17" t="s">
        <v>131</v>
      </c>
      <c r="B122" s="17">
        <v>18754354</v>
      </c>
      <c r="C122" s="17" t="s">
        <v>138</v>
      </c>
      <c r="D122" s="18" t="s">
        <v>139</v>
      </c>
      <c r="E122" s="18" t="str">
        <f>CONCATENATE(D122,2)</f>
        <v>63P29C2</v>
      </c>
      <c r="F122" s="18" t="s">
        <v>70</v>
      </c>
      <c r="G122" s="17" t="s">
        <v>316</v>
      </c>
      <c r="H122" s="17">
        <v>20250301</v>
      </c>
      <c r="I122" s="17" t="str">
        <f>TEXT(DATE(LEFT(H122,4), MID(H122,5,2), RIGHT(H122,2)), "M/d/yyyy")</f>
        <v>3/1/2025</v>
      </c>
      <c r="J122" s="21">
        <f>DATE(YEAR(I122), MONTH(I122) +1, DAY(I122))</f>
        <v>45748</v>
      </c>
      <c r="K122" s="17" t="s">
        <v>19</v>
      </c>
      <c r="L122" s="19">
        <v>508.69</v>
      </c>
      <c r="M122" s="20">
        <v>27</v>
      </c>
      <c r="N122" s="19">
        <v>54</v>
      </c>
      <c r="O122" s="16" t="s">
        <v>311</v>
      </c>
    </row>
    <row r="123" spans="1:15" ht="15.75" x14ac:dyDescent="0.25">
      <c r="A123" s="17" t="s">
        <v>282</v>
      </c>
      <c r="B123" s="17">
        <v>8977234</v>
      </c>
      <c r="C123" s="17" t="s">
        <v>283</v>
      </c>
      <c r="D123" s="18" t="s">
        <v>284</v>
      </c>
      <c r="E123" s="18" t="str">
        <f>CONCATENATE(D123,2)</f>
        <v>02LM352</v>
      </c>
      <c r="F123" s="18" t="s">
        <v>18</v>
      </c>
      <c r="G123" s="17" t="s">
        <v>316</v>
      </c>
      <c r="H123" s="17">
        <v>20250301</v>
      </c>
      <c r="I123" s="17" t="str">
        <f>TEXT(DATE(LEFT(H123,4), MID(H123,5,2), RIGHT(H123,2)), "M/d/yyyy")</f>
        <v>3/1/2025</v>
      </c>
      <c r="J123" s="21">
        <f>DATE(YEAR(I123), MONTH(I123) +1, DAY(I123))</f>
        <v>45748</v>
      </c>
      <c r="K123" s="17" t="s">
        <v>19</v>
      </c>
      <c r="L123" s="19">
        <v>2269.06</v>
      </c>
      <c r="M123" s="20">
        <v>27</v>
      </c>
      <c r="N123" s="19">
        <v>54</v>
      </c>
      <c r="O123" s="16" t="s">
        <v>311</v>
      </c>
    </row>
    <row r="124" spans="1:15" ht="15.75" x14ac:dyDescent="0.25">
      <c r="A124" s="17" t="s">
        <v>27</v>
      </c>
      <c r="B124" s="17">
        <v>7470776</v>
      </c>
      <c r="C124" s="17" t="s">
        <v>32</v>
      </c>
      <c r="D124" s="18" t="s">
        <v>33</v>
      </c>
      <c r="E124" s="18" t="str">
        <f>CONCATENATE(D124,2)</f>
        <v>74N3X52</v>
      </c>
      <c r="F124" s="18" t="s">
        <v>30</v>
      </c>
      <c r="G124" s="17" t="s">
        <v>317</v>
      </c>
      <c r="H124" s="17">
        <v>20250301</v>
      </c>
      <c r="I124" s="17" t="str">
        <f>TEXT(DATE(LEFT(H124,4), MID(H124,5,2), RIGHT(H124,2)), "M/d/yyyy")</f>
        <v>3/1/2025</v>
      </c>
      <c r="J124" s="21">
        <f>DATE(YEAR(I124), MONTH(I124) +1, DAY(I124))</f>
        <v>45748</v>
      </c>
      <c r="K124" s="17" t="s">
        <v>31</v>
      </c>
      <c r="L124" s="19">
        <v>30.84</v>
      </c>
      <c r="M124" s="20">
        <v>20</v>
      </c>
      <c r="N124" s="19">
        <v>60</v>
      </c>
      <c r="O124" s="16" t="s">
        <v>310</v>
      </c>
    </row>
    <row r="125" spans="1:15" ht="15.75" x14ac:dyDescent="0.25">
      <c r="A125" s="17" t="s">
        <v>171</v>
      </c>
      <c r="B125" s="17">
        <v>6634327</v>
      </c>
      <c r="C125" s="17" t="s">
        <v>201</v>
      </c>
      <c r="D125" s="18" t="s">
        <v>202</v>
      </c>
      <c r="E125" s="18" t="str">
        <f>CONCATENATE(D125,2)</f>
        <v>34PJ622</v>
      </c>
      <c r="F125" s="18" t="s">
        <v>110</v>
      </c>
      <c r="G125" s="17" t="s">
        <v>317</v>
      </c>
      <c r="H125" s="17">
        <v>20250301</v>
      </c>
      <c r="I125" s="17" t="str">
        <f>TEXT(DATE(LEFT(H125,4), MID(H125,5,2), RIGHT(H125,2)), "M/d/yyyy")</f>
        <v>3/1/2025</v>
      </c>
      <c r="J125" s="21">
        <f>DATE(YEAR(I125), MONTH(I125) +1, DAY(I125))</f>
        <v>45748</v>
      </c>
      <c r="K125" s="17" t="s">
        <v>19</v>
      </c>
      <c r="L125" s="19">
        <v>468.79</v>
      </c>
      <c r="M125" s="20">
        <v>20</v>
      </c>
      <c r="N125" s="19">
        <v>60</v>
      </c>
      <c r="O125" s="16" t="s">
        <v>310</v>
      </c>
    </row>
    <row r="126" spans="1:15" ht="15.75" x14ac:dyDescent="0.25">
      <c r="A126" s="17" t="s">
        <v>171</v>
      </c>
      <c r="B126" s="17">
        <v>6634327</v>
      </c>
      <c r="C126" s="17" t="s">
        <v>223</v>
      </c>
      <c r="D126" s="18" t="s">
        <v>224</v>
      </c>
      <c r="E126" s="18" t="str">
        <f>CONCATENATE(D126,2)</f>
        <v>74Q11G2</v>
      </c>
      <c r="F126" s="18" t="s">
        <v>110</v>
      </c>
      <c r="G126" s="17" t="s">
        <v>317</v>
      </c>
      <c r="H126" s="17">
        <v>20250301</v>
      </c>
      <c r="I126" s="17" t="str">
        <f>TEXT(DATE(LEFT(H126,4), MID(H126,5,2), RIGHT(H126,2)), "M/d/yyyy")</f>
        <v>3/1/2025</v>
      </c>
      <c r="J126" s="21">
        <f>DATE(YEAR(I126), MONTH(I126) +1, DAY(I126))</f>
        <v>45748</v>
      </c>
      <c r="K126" s="17" t="s">
        <v>19</v>
      </c>
      <c r="L126" s="19">
        <v>1053.33</v>
      </c>
      <c r="M126" s="20">
        <v>20</v>
      </c>
      <c r="N126" s="19">
        <v>60</v>
      </c>
      <c r="O126" s="16" t="s">
        <v>310</v>
      </c>
    </row>
    <row r="127" spans="1:15" ht="15.75" x14ac:dyDescent="0.25">
      <c r="A127" s="17" t="s">
        <v>299</v>
      </c>
      <c r="B127" s="17">
        <v>18581063</v>
      </c>
      <c r="C127" s="17" t="s">
        <v>300</v>
      </c>
      <c r="D127" s="18" t="s">
        <v>301</v>
      </c>
      <c r="E127" s="18" t="str">
        <f>CONCATENATE(D127,2)</f>
        <v>69E35K2</v>
      </c>
      <c r="F127" s="18" t="s">
        <v>11</v>
      </c>
      <c r="G127" s="17" t="s">
        <v>317</v>
      </c>
      <c r="H127" s="17">
        <v>20250301</v>
      </c>
      <c r="I127" s="17" t="str">
        <f>TEXT(DATE(LEFT(H127,4), MID(H127,5,2), RIGHT(H127,2)), "M/d/yyyy")</f>
        <v>3/1/2025</v>
      </c>
      <c r="J127" s="21">
        <f>DATE(YEAR(I127), MONTH(I127) +1, DAY(I127))</f>
        <v>45748</v>
      </c>
      <c r="K127" s="17" t="s">
        <v>19</v>
      </c>
      <c r="L127" s="19">
        <v>48.55</v>
      </c>
      <c r="M127" s="20">
        <v>22</v>
      </c>
      <c r="N127" s="19">
        <v>66</v>
      </c>
      <c r="O127" s="16" t="s">
        <v>312</v>
      </c>
    </row>
    <row r="128" spans="1:15" ht="15.75" x14ac:dyDescent="0.25">
      <c r="A128" s="17" t="s">
        <v>171</v>
      </c>
      <c r="B128" s="17">
        <v>6634327</v>
      </c>
      <c r="C128" s="17" t="s">
        <v>211</v>
      </c>
      <c r="D128" s="18" t="s">
        <v>212</v>
      </c>
      <c r="E128" s="18" t="str">
        <f>CONCATENATE(D128,2)</f>
        <v>43R2H92</v>
      </c>
      <c r="F128" s="18" t="s">
        <v>110</v>
      </c>
      <c r="G128" s="17" t="s">
        <v>318</v>
      </c>
      <c r="H128" s="17">
        <v>20250301</v>
      </c>
      <c r="I128" s="17" t="str">
        <f>TEXT(DATE(LEFT(H128,4), MID(H128,5,2), RIGHT(H128,2)), "M/d/yyyy")</f>
        <v>3/1/2025</v>
      </c>
      <c r="J128" s="21">
        <f>DATE(YEAR(I128), MONTH(I128) +1, DAY(I128))</f>
        <v>45748</v>
      </c>
      <c r="K128" s="17" t="s">
        <v>19</v>
      </c>
      <c r="L128" s="19">
        <v>513.26</v>
      </c>
      <c r="M128" s="20">
        <v>20</v>
      </c>
      <c r="N128" s="19">
        <v>80</v>
      </c>
      <c r="O128" s="16" t="s">
        <v>310</v>
      </c>
    </row>
    <row r="129" spans="1:15" ht="15.75" x14ac:dyDescent="0.25">
      <c r="A129" s="17" t="s">
        <v>48</v>
      </c>
      <c r="B129" s="17">
        <v>17425766</v>
      </c>
      <c r="C129" s="17" t="s">
        <v>66</v>
      </c>
      <c r="D129" s="18" t="s">
        <v>67</v>
      </c>
      <c r="E129" s="18" t="str">
        <f>CONCATENATE(D129,2)</f>
        <v>0J4F072</v>
      </c>
      <c r="F129" s="18" t="s">
        <v>18</v>
      </c>
      <c r="G129" s="17" t="s">
        <v>317</v>
      </c>
      <c r="H129" s="17">
        <v>20250301</v>
      </c>
      <c r="I129" s="17" t="str">
        <f>TEXT(DATE(LEFT(H129,4), MID(H129,5,2), RIGHT(H129,2)), "M/d/yyyy")</f>
        <v>3/1/2025</v>
      </c>
      <c r="J129" s="21">
        <f>DATE(YEAR(I129), MONTH(I129) +1, DAY(I129))</f>
        <v>45748</v>
      </c>
      <c r="K129" s="17" t="s">
        <v>19</v>
      </c>
      <c r="L129" s="19">
        <v>191.23</v>
      </c>
      <c r="M129" s="20">
        <v>27</v>
      </c>
      <c r="N129" s="19">
        <v>81</v>
      </c>
      <c r="O129" s="16" t="s">
        <v>311</v>
      </c>
    </row>
    <row r="130" spans="1:15" ht="15.75" x14ac:dyDescent="0.25">
      <c r="A130" s="17" t="s">
        <v>87</v>
      </c>
      <c r="B130" s="17">
        <v>8814784</v>
      </c>
      <c r="C130" s="17" t="s">
        <v>88</v>
      </c>
      <c r="D130" s="18" t="s">
        <v>89</v>
      </c>
      <c r="E130" s="18" t="str">
        <f>CONCATENATE(D130,2)</f>
        <v>1V05L02</v>
      </c>
      <c r="F130" s="18" t="s">
        <v>11</v>
      </c>
      <c r="G130" s="17" t="s">
        <v>318</v>
      </c>
      <c r="H130" s="17">
        <v>20250301</v>
      </c>
      <c r="I130" s="17" t="str">
        <f>TEXT(DATE(LEFT(H130,4), MID(H130,5,2), RIGHT(H130,2)), "M/d/yyyy")</f>
        <v>3/1/2025</v>
      </c>
      <c r="J130" s="21">
        <f>DATE(YEAR(I130), MONTH(I130) +1, DAY(I130))</f>
        <v>45748</v>
      </c>
      <c r="K130" s="17" t="s">
        <v>19</v>
      </c>
      <c r="L130" s="19">
        <v>39.950000000000003</v>
      </c>
      <c r="M130" s="20">
        <v>22</v>
      </c>
      <c r="N130" s="19">
        <v>88</v>
      </c>
      <c r="O130" s="16" t="s">
        <v>312</v>
      </c>
    </row>
    <row r="131" spans="1:15" ht="15.75" x14ac:dyDescent="0.25">
      <c r="A131" s="17" t="s">
        <v>271</v>
      </c>
      <c r="B131" s="17">
        <v>16633294</v>
      </c>
      <c r="C131" s="17" t="s">
        <v>278</v>
      </c>
      <c r="D131" s="18" t="s">
        <v>279</v>
      </c>
      <c r="E131" s="18" t="str">
        <f>CONCATENATE(D131,2)</f>
        <v>77Q50P2</v>
      </c>
      <c r="F131" s="18" t="s">
        <v>70</v>
      </c>
      <c r="G131" s="17" t="s">
        <v>319</v>
      </c>
      <c r="H131" s="17">
        <v>20250301</v>
      </c>
      <c r="I131" s="17" t="str">
        <f>TEXT(DATE(LEFT(H131,4), MID(H131,5,2), RIGHT(H131,2)), "M/d/yyyy")</f>
        <v>3/1/2025</v>
      </c>
      <c r="J131" s="21">
        <f>DATE(YEAR(I131), MONTH(I131) +1, DAY(I131))</f>
        <v>45748</v>
      </c>
      <c r="K131" s="17" t="s">
        <v>19</v>
      </c>
      <c r="L131" s="19">
        <v>152.88999999999999</v>
      </c>
      <c r="M131" s="20">
        <v>27</v>
      </c>
      <c r="N131" s="19">
        <v>135</v>
      </c>
      <c r="O131" s="16" t="s">
        <v>311</v>
      </c>
    </row>
    <row r="132" spans="1:15" ht="15.75" x14ac:dyDescent="0.25">
      <c r="A132" s="17" t="s">
        <v>292</v>
      </c>
      <c r="B132" s="17">
        <v>19106640</v>
      </c>
      <c r="C132" s="17" t="s">
        <v>297</v>
      </c>
      <c r="D132" s="18" t="s">
        <v>298</v>
      </c>
      <c r="E132" s="18" t="str">
        <f>CONCATENATE(D132,2)</f>
        <v>44T3C62</v>
      </c>
      <c r="F132" s="18" t="s">
        <v>70</v>
      </c>
      <c r="G132" s="17" t="s">
        <v>320</v>
      </c>
      <c r="H132" s="17">
        <v>20250301</v>
      </c>
      <c r="I132" s="17" t="str">
        <f>TEXT(DATE(LEFT(H132,4), MID(H132,5,2), RIGHT(H132,2)), "M/d/yyyy")</f>
        <v>3/1/2025</v>
      </c>
      <c r="J132" s="21">
        <f>DATE(YEAR(I132), MONTH(I132) +1, DAY(I132))</f>
        <v>45748</v>
      </c>
      <c r="K132" s="17" t="s">
        <v>19</v>
      </c>
      <c r="L132" s="19">
        <v>19.02</v>
      </c>
      <c r="M132" s="20">
        <v>27</v>
      </c>
      <c r="N132" s="19">
        <v>162</v>
      </c>
      <c r="O132" s="16" t="s">
        <v>311</v>
      </c>
    </row>
    <row r="133" spans="1:15" ht="15.75" x14ac:dyDescent="0.25">
      <c r="A133" s="17" t="s">
        <v>292</v>
      </c>
      <c r="B133" s="17">
        <v>19106640</v>
      </c>
      <c r="C133" s="17" t="s">
        <v>297</v>
      </c>
      <c r="D133" s="18" t="s">
        <v>298</v>
      </c>
      <c r="E133" s="18" t="str">
        <f>CONCATENATE(D133,2)</f>
        <v>44T3C62</v>
      </c>
      <c r="F133" s="18" t="s">
        <v>70</v>
      </c>
      <c r="G133" s="17" t="s">
        <v>320</v>
      </c>
      <c r="H133" s="17">
        <v>20250101</v>
      </c>
      <c r="I133" s="17" t="str">
        <f>TEXT(DATE(LEFT(H133,4), MID(H133,5,2), RIGHT(H133,2)), "M/d/yyyy")</f>
        <v>1/1/2025</v>
      </c>
      <c r="J133" s="21">
        <f>DATE(YEAR(I133), MONTH(I133) +1, DAY(I133))</f>
        <v>45689</v>
      </c>
      <c r="K133" s="17" t="s">
        <v>19</v>
      </c>
      <c r="L133" s="19">
        <v>19.02</v>
      </c>
      <c r="M133" s="20">
        <v>27</v>
      </c>
      <c r="N133" s="19">
        <v>162</v>
      </c>
      <c r="O133" s="16" t="s">
        <v>311</v>
      </c>
    </row>
    <row r="134" spans="1:15" ht="15.75" x14ac:dyDescent="0.25">
      <c r="A134" s="17" t="s">
        <v>292</v>
      </c>
      <c r="B134" s="17">
        <v>19106640</v>
      </c>
      <c r="C134" s="17" t="s">
        <v>297</v>
      </c>
      <c r="D134" s="18" t="s">
        <v>298</v>
      </c>
      <c r="E134" s="18" t="str">
        <f>CONCATENATE(D134,2)</f>
        <v>44T3C62</v>
      </c>
      <c r="F134" s="18" t="s">
        <v>70</v>
      </c>
      <c r="G134" s="17" t="s">
        <v>320</v>
      </c>
      <c r="H134" s="17">
        <v>20250201</v>
      </c>
      <c r="I134" s="17" t="str">
        <f>TEXT(DATE(LEFT(H134,4), MID(H134,5,2), RIGHT(H134,2)), "M/d/yyyy")</f>
        <v>2/1/2025</v>
      </c>
      <c r="J134" s="21">
        <f>DATE(YEAR(I134), MONTH(I134) +1, DAY(I134))</f>
        <v>45717</v>
      </c>
      <c r="K134" s="17" t="s">
        <v>19</v>
      </c>
      <c r="L134" s="19">
        <v>19.02</v>
      </c>
      <c r="M134" s="20">
        <v>27</v>
      </c>
      <c r="N134" s="19">
        <v>162</v>
      </c>
      <c r="O134" s="16" t="s">
        <v>311</v>
      </c>
    </row>
    <row r="135" spans="1:15" ht="15.75" x14ac:dyDescent="0.25">
      <c r="A135" s="17"/>
      <c r="B135" s="17"/>
      <c r="C135" s="17"/>
      <c r="D135" s="18"/>
      <c r="E135" s="18"/>
      <c r="F135" s="18"/>
      <c r="G135" s="17"/>
      <c r="H135" s="17"/>
      <c r="I135" s="17"/>
      <c r="J135" s="17"/>
      <c r="K135" s="17"/>
      <c r="L135" s="19"/>
      <c r="M135" s="20"/>
      <c r="N135" s="19"/>
    </row>
  </sheetData>
  <sortState xmlns:xlrd2="http://schemas.microsoft.com/office/spreadsheetml/2017/richdata2" ref="A2:P139">
    <sortCondition ref="N2:N139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Cabel, Denisse Raeka</cp:lastModifiedBy>
  <dcterms:created xsi:type="dcterms:W3CDTF">2025-03-20T13:58:56Z</dcterms:created>
  <dcterms:modified xsi:type="dcterms:W3CDTF">2025-03-27T18:21:06Z</dcterms:modified>
</cp:coreProperties>
</file>