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ACA from Box/Cigna ACA 12-27-24 from Box/"/>
    </mc:Choice>
  </mc:AlternateContent>
  <xr:revisionPtr revIDLastSave="0" documentId="13_ncr:1_{F5F7E92B-CBA2-7943-B3CB-593E530BF4A7}" xr6:coauthVersionLast="47" xr6:coauthVersionMax="47" xr10:uidLastSave="{00000000-0000-0000-0000-000000000000}"/>
  <bookViews>
    <workbookView xWindow="0" yWindow="500" windowWidth="19200" windowHeight="19360" activeTab="1" xr2:uid="{3D02598A-647E-4CF9-95A1-BDDCC77D45D3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J3" i="2"/>
  <c r="J4" i="2"/>
  <c r="J5" i="2"/>
  <c r="J9" i="2"/>
  <c r="J10" i="2"/>
  <c r="J11" i="2"/>
  <c r="J6" i="2"/>
  <c r="J7" i="2"/>
  <c r="J8" i="2"/>
  <c r="J2" i="2"/>
</calcChain>
</file>

<file path=xl/sharedStrings.xml><?xml version="1.0" encoding="utf-8"?>
<sst xmlns="http://schemas.openxmlformats.org/spreadsheetml/2006/main" count="160" uniqueCount="47">
  <si>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</si>
  <si>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</si>
  <si>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</si>
  <si>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</si>
  <si>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</si>
  <si>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</si>
  <si>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</si>
  <si>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</si>
  <si>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</si>
  <si>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</si>
  <si>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</si>
  <si>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 xml:space="preserve"> </t>
  </si>
  <si>
    <t>Dental, IVDPPO</t>
  </si>
  <si>
    <t>Main Line Benefits LLC</t>
  </si>
  <si>
    <t>BRIAN STROHMAN</t>
  </si>
  <si>
    <t>ADELMAN, MARC</t>
  </si>
  <si>
    <t>14NW31</t>
  </si>
  <si>
    <t>IL</t>
  </si>
  <si>
    <t>MELNICK, MICHAEL</t>
  </si>
  <si>
    <t>47N6E8</t>
  </si>
  <si>
    <t>CAROL FOLEY</t>
  </si>
  <si>
    <t>HEWLETT, RASHIDA</t>
  </si>
  <si>
    <t>72N6G9</t>
  </si>
  <si>
    <t>PA</t>
  </si>
  <si>
    <t>BALAWEJDER, QWENTON</t>
  </si>
  <si>
    <t>87PH60</t>
  </si>
  <si>
    <t>CHAD YALE</t>
  </si>
  <si>
    <t>MALLORCA-ORTOLF, LOLITA</t>
  </si>
  <si>
    <t>4W617G</t>
  </si>
  <si>
    <t>IN</t>
  </si>
  <si>
    <t>Medical, HOAPIN</t>
  </si>
  <si>
    <t>JOEL LEE</t>
  </si>
  <si>
    <t>JOHNSON, DEREK</t>
  </si>
  <si>
    <t>34PJ62</t>
  </si>
  <si>
    <t>CO</t>
  </si>
  <si>
    <t>ROBERTSON, MCCLAIN</t>
  </si>
  <si>
    <t>74Q8R8</t>
  </si>
  <si>
    <t>STEIN, NATHANIEL</t>
  </si>
  <si>
    <t>57P1R5</t>
  </si>
  <si>
    <t>AZ</t>
  </si>
  <si>
    <t>CHAFFIN, KATHRYN</t>
  </si>
  <si>
    <t>61N2C4</t>
  </si>
  <si>
    <t>SAADIA ABDUL</t>
  </si>
  <si>
    <t>ARIANO, GIUSEPPE</t>
  </si>
  <si>
    <t>49NY80</t>
  </si>
  <si>
    <t>Medical, HMO1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</si>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</sst>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1" applyFont="1" applyBorder="1"/>
    <xf numFmtId="9" fontId="4" fillId="0" borderId="1" xfId="2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6851-C218-42C6-97E5-E4BF3D6D6E9D}">
  <dimension ref="A1:K12"/>
  <sheetViews>
    <sheetView topLeftCell="B1" workbookViewId="0">
      <selection activeCell="B1" sqref="A1:XFD1048576"/>
    </sheetView>
  </sheetViews>
  <sheetFormatPr baseColWidth="10" defaultColWidth="8.83203125" defaultRowHeight="15" x14ac:dyDescent="0.2"/>
  <cols>
    <col min="1" max="1" width="40.83203125" customWidth="1"/>
    <col min="2" max="2" width="32" customWidth="1"/>
    <col min="3" max="3" width="29.5" customWidth="1"/>
    <col min="4" max="4" width="12.6640625" customWidth="1"/>
    <col min="5" max="5" width="8.5" customWidth="1"/>
    <col min="7" max="7" width="12.5" customWidth="1"/>
    <col min="8" max="8" width="16.1640625" customWidth="1"/>
    <col min="9" max="9" width="12.33203125" customWidth="1"/>
    <col min="10" max="10" width="8.5" customWidth="1"/>
    <col min="11" max="11" width="14" customWidth="1"/>
  </cols>
  <sheetData>
    <row r="1" spans="1:11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ht="16" x14ac:dyDescent="0.2">
      <c r="A2" s="6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6" t="s">
        <v>11</v>
      </c>
      <c r="G2" s="6">
        <v>20241201</v>
      </c>
      <c r="H2" s="6" t="s">
        <v>12</v>
      </c>
      <c r="I2" s="8">
        <v>120.15</v>
      </c>
      <c r="J2" s="9">
        <v>0.2</v>
      </c>
      <c r="K2" s="8">
        <v>24.03</v>
      </c>
    </row>
    <row r="3" spans="1:11" ht="16" x14ac:dyDescent="0.2">
      <c r="A3" s="6" t="s">
        <v>13</v>
      </c>
      <c r="B3" s="6" t="s">
        <v>14</v>
      </c>
      <c r="C3" s="6" t="s">
        <v>18</v>
      </c>
      <c r="D3" s="6" t="s">
        <v>19</v>
      </c>
      <c r="E3" s="7" t="s">
        <v>17</v>
      </c>
      <c r="F3" s="6" t="s">
        <v>11</v>
      </c>
      <c r="G3" s="6">
        <v>20241201</v>
      </c>
      <c r="H3" s="6" t="s">
        <v>12</v>
      </c>
      <c r="I3" s="8">
        <v>29</v>
      </c>
      <c r="J3" s="9">
        <v>0.2</v>
      </c>
      <c r="K3" s="8">
        <v>5.8000000000000007</v>
      </c>
    </row>
    <row r="4" spans="1:11" ht="16" x14ac:dyDescent="0.2">
      <c r="A4" s="6" t="s">
        <v>13</v>
      </c>
      <c r="B4" s="6" t="s">
        <v>20</v>
      </c>
      <c r="C4" s="6" t="s">
        <v>21</v>
      </c>
      <c r="D4" s="6" t="s">
        <v>22</v>
      </c>
      <c r="E4" s="7" t="s">
        <v>23</v>
      </c>
      <c r="F4" s="6" t="s">
        <v>11</v>
      </c>
      <c r="G4" s="6">
        <v>20241201</v>
      </c>
      <c r="H4" s="6" t="s">
        <v>12</v>
      </c>
      <c r="I4" s="8">
        <v>43</v>
      </c>
      <c r="J4" s="9">
        <v>0.2</v>
      </c>
      <c r="K4" s="8">
        <v>8.6</v>
      </c>
    </row>
    <row r="5" spans="1:11" ht="16" x14ac:dyDescent="0.2">
      <c r="A5" s="6" t="s">
        <v>13</v>
      </c>
      <c r="B5" s="6" t="s">
        <v>20</v>
      </c>
      <c r="C5" s="6" t="s">
        <v>24</v>
      </c>
      <c r="D5" s="6" t="s">
        <v>25</v>
      </c>
      <c r="E5" s="7" t="s">
        <v>23</v>
      </c>
      <c r="F5" s="6" t="s">
        <v>11</v>
      </c>
      <c r="G5" s="6">
        <v>20241201</v>
      </c>
      <c r="H5" s="6" t="s">
        <v>12</v>
      </c>
      <c r="I5" s="8">
        <v>43</v>
      </c>
      <c r="J5" s="9">
        <v>0.2</v>
      </c>
      <c r="K5" s="8">
        <v>8.6</v>
      </c>
    </row>
    <row r="6" spans="1:11" ht="16" x14ac:dyDescent="0.2">
      <c r="A6" s="6" t="s">
        <v>13</v>
      </c>
      <c r="B6" s="6" t="s">
        <v>26</v>
      </c>
      <c r="C6" s="6" t="s">
        <v>27</v>
      </c>
      <c r="D6" s="6" t="s">
        <v>28</v>
      </c>
      <c r="E6" s="7" t="s">
        <v>29</v>
      </c>
      <c r="F6" s="6">
        <v>2</v>
      </c>
      <c r="G6" s="6">
        <v>20241201</v>
      </c>
      <c r="H6" s="6" t="s">
        <v>30</v>
      </c>
      <c r="I6" s="8">
        <v>168.88</v>
      </c>
      <c r="J6" s="9">
        <v>24</v>
      </c>
      <c r="K6" s="8">
        <v>48</v>
      </c>
    </row>
    <row r="7" spans="1:11" ht="16" x14ac:dyDescent="0.2">
      <c r="A7" s="6" t="s">
        <v>13</v>
      </c>
      <c r="B7" s="6" t="s">
        <v>31</v>
      </c>
      <c r="C7" s="6" t="s">
        <v>32</v>
      </c>
      <c r="D7" s="6" t="s">
        <v>33</v>
      </c>
      <c r="E7" s="7" t="s">
        <v>34</v>
      </c>
      <c r="F7" s="6">
        <v>3</v>
      </c>
      <c r="G7" s="6">
        <v>20241201</v>
      </c>
      <c r="H7" s="6" t="s">
        <v>30</v>
      </c>
      <c r="I7" s="8">
        <v>695.48</v>
      </c>
      <c r="J7" s="9">
        <v>20</v>
      </c>
      <c r="K7" s="8">
        <v>60</v>
      </c>
    </row>
    <row r="8" spans="1:11" ht="16" x14ac:dyDescent="0.2">
      <c r="A8" s="6" t="s">
        <v>13</v>
      </c>
      <c r="B8" s="6" t="s">
        <v>31</v>
      </c>
      <c r="C8" s="6" t="s">
        <v>35</v>
      </c>
      <c r="D8" s="6" t="s">
        <v>36</v>
      </c>
      <c r="E8" s="7" t="s">
        <v>34</v>
      </c>
      <c r="F8" s="6">
        <v>1</v>
      </c>
      <c r="G8" s="6">
        <v>20241201</v>
      </c>
      <c r="H8" s="6" t="s">
        <v>30</v>
      </c>
      <c r="I8" s="8">
        <v>464.54</v>
      </c>
      <c r="J8" s="9">
        <v>20</v>
      </c>
      <c r="K8" s="8">
        <v>20</v>
      </c>
    </row>
    <row r="9" spans="1:11" ht="16" x14ac:dyDescent="0.2">
      <c r="A9" s="6" t="s">
        <v>13</v>
      </c>
      <c r="B9" s="6" t="s">
        <v>31</v>
      </c>
      <c r="C9" s="6" t="s">
        <v>37</v>
      </c>
      <c r="D9" s="6" t="s">
        <v>38</v>
      </c>
      <c r="E9" s="7" t="s">
        <v>39</v>
      </c>
      <c r="F9" s="6" t="s">
        <v>11</v>
      </c>
      <c r="G9" s="6">
        <v>20241201</v>
      </c>
      <c r="H9" s="6" t="s">
        <v>12</v>
      </c>
      <c r="I9" s="8">
        <v>38</v>
      </c>
      <c r="J9" s="9">
        <v>0.2</v>
      </c>
      <c r="K9" s="8">
        <v>7.6000000000000005</v>
      </c>
    </row>
    <row r="10" spans="1:11" ht="16" x14ac:dyDescent="0.2">
      <c r="A10" s="6" t="s">
        <v>13</v>
      </c>
      <c r="B10" s="6" t="s">
        <v>31</v>
      </c>
      <c r="C10" s="6" t="s">
        <v>40</v>
      </c>
      <c r="D10" s="6" t="s">
        <v>41</v>
      </c>
      <c r="E10" s="7" t="s">
        <v>34</v>
      </c>
      <c r="F10" s="6" t="s">
        <v>11</v>
      </c>
      <c r="G10" s="6">
        <v>20241201</v>
      </c>
      <c r="H10" s="6" t="s">
        <v>12</v>
      </c>
      <c r="I10" s="8">
        <v>49</v>
      </c>
      <c r="J10" s="9">
        <v>0.2</v>
      </c>
      <c r="K10" s="8">
        <v>9.8000000000000007</v>
      </c>
    </row>
    <row r="11" spans="1:11" ht="16" x14ac:dyDescent="0.2">
      <c r="A11" s="6" t="s">
        <v>13</v>
      </c>
      <c r="B11" s="6" t="s">
        <v>42</v>
      </c>
      <c r="C11" s="6" t="s">
        <v>43</v>
      </c>
      <c r="D11" s="6" t="s">
        <v>44</v>
      </c>
      <c r="E11" s="7" t="s">
        <v>17</v>
      </c>
      <c r="F11" s="6">
        <v>1</v>
      </c>
      <c r="G11" s="6">
        <v>20241201</v>
      </c>
      <c r="H11" s="6" t="s">
        <v>45</v>
      </c>
      <c r="I11" s="8">
        <v>267.92</v>
      </c>
      <c r="J11" s="9">
        <v>18</v>
      </c>
      <c r="K11" s="8">
        <v>18</v>
      </c>
    </row>
    <row r="12" spans="1:11" ht="16" x14ac:dyDescent="0.2">
      <c r="A12" s="6" t="s">
        <v>13</v>
      </c>
      <c r="B12" s="6"/>
      <c r="C12" s="6"/>
      <c r="D12" s="6"/>
      <c r="E12" s="7"/>
      <c r="F12" s="6"/>
      <c r="G12" s="6"/>
      <c r="H12" s="6"/>
      <c r="I12" s="8"/>
      <c r="J12" s="9" t="s">
        <v>46</v>
      </c>
      <c r="K12" s="8">
        <v>210.43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A075-EF04-E642-B31C-7F0F92D70EB6}">
  <dimension ref="A1:N12"/>
  <sheetViews>
    <sheetView tabSelected="1" topLeftCell="D1" workbookViewId="0">
      <selection activeCell="D9" sqref="D9"/>
    </sheetView>
  </sheetViews>
  <sheetFormatPr baseColWidth="10" defaultColWidth="8.83203125" defaultRowHeight="15" x14ac:dyDescent="0.2"/>
  <cols>
    <col min="1" max="1" width="40.83203125" customWidth="1"/>
    <col min="2" max="3" width="32" customWidth="1"/>
    <col min="4" max="4" width="29.5" customWidth="1"/>
    <col min="5" max="6" width="12.6640625" customWidth="1"/>
    <col min="7" max="7" width="8.5" customWidth="1"/>
    <col min="9" max="10" width="12.5" customWidth="1"/>
    <col min="11" max="11" width="16.1640625" customWidth="1"/>
    <col min="12" max="12" width="12.33203125" customWidth="1"/>
    <col min="13" max="13" width="8.5" customWidth="1"/>
    <col min="14" max="14" width="14" customWidth="1"/>
  </cols>
  <sheetData>
    <row r="1" spans="1:14" ht="34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 t="s">
        <v>5</v>
      </c>
      <c r="I1" s="2" t="s">
        <v>6</v>
      </c>
      <c r="J1" s="2"/>
      <c r="K1" s="3" t="s">
        <v>7</v>
      </c>
      <c r="L1" s="4" t="s">
        <v>8</v>
      </c>
      <c r="M1" s="5" t="s">
        <v>9</v>
      </c>
      <c r="N1" s="4" t="s">
        <v>10</v>
      </c>
    </row>
    <row r="2" spans="1:14" ht="16" x14ac:dyDescent="0.2">
      <c r="A2" s="6" t="s">
        <v>13</v>
      </c>
      <c r="B2" s="6" t="s">
        <v>14</v>
      </c>
      <c r="C2" s="6">
        <v>21104854</v>
      </c>
      <c r="D2" s="6" t="s">
        <v>15</v>
      </c>
      <c r="E2" s="6" t="s">
        <v>16</v>
      </c>
      <c r="F2" s="6" t="str">
        <f>CONCATENATE(E2,7)</f>
        <v>14NW317</v>
      </c>
      <c r="G2" s="7" t="s">
        <v>17</v>
      </c>
      <c r="H2" s="6" t="s">
        <v>11</v>
      </c>
      <c r="I2" s="6">
        <v>20241201</v>
      </c>
      <c r="J2" s="6" t="str">
        <f>TEXT(DATE(LEFT(I2,4), MID(I2,5,2), RIGHT(I2,2)), "M/d/yyyy")</f>
        <v>12/1/2024</v>
      </c>
      <c r="K2" s="6" t="s">
        <v>12</v>
      </c>
      <c r="L2" s="8">
        <v>120.15</v>
      </c>
      <c r="M2" s="9">
        <v>0.2</v>
      </c>
      <c r="N2" s="8">
        <v>24.03</v>
      </c>
    </row>
    <row r="3" spans="1:14" ht="16" x14ac:dyDescent="0.2">
      <c r="A3" s="6" t="s">
        <v>13</v>
      </c>
      <c r="B3" s="6" t="s">
        <v>14</v>
      </c>
      <c r="C3" s="6">
        <v>21104854</v>
      </c>
      <c r="D3" s="6" t="s">
        <v>18</v>
      </c>
      <c r="E3" s="6" t="s">
        <v>19</v>
      </c>
      <c r="F3" s="6" t="str">
        <f t="shared" ref="F3:F7" si="0">CONCATENATE(E3,7)</f>
        <v>47N6E87</v>
      </c>
      <c r="G3" s="7" t="s">
        <v>17</v>
      </c>
      <c r="H3" s="6" t="s">
        <v>11</v>
      </c>
      <c r="I3" s="6">
        <v>20241201</v>
      </c>
      <c r="J3" s="6" t="str">
        <f>TEXT(DATE(LEFT(I3,4), MID(I3,5,2), RIGHT(I3,2)), "M/d/yyyy")</f>
        <v>12/1/2024</v>
      </c>
      <c r="K3" s="6" t="s">
        <v>12</v>
      </c>
      <c r="L3" s="8">
        <v>29</v>
      </c>
      <c r="M3" s="9">
        <v>0.2</v>
      </c>
      <c r="N3" s="8">
        <v>5.8000000000000007</v>
      </c>
    </row>
    <row r="4" spans="1:14" ht="16" x14ac:dyDescent="0.2">
      <c r="A4" s="6" t="s">
        <v>13</v>
      </c>
      <c r="B4" s="6" t="s">
        <v>20</v>
      </c>
      <c r="C4" s="6">
        <v>17425766</v>
      </c>
      <c r="D4" s="6" t="s">
        <v>21</v>
      </c>
      <c r="E4" s="6" t="s">
        <v>22</v>
      </c>
      <c r="F4" s="6" t="str">
        <f t="shared" si="0"/>
        <v>72N6G97</v>
      </c>
      <c r="G4" s="7" t="s">
        <v>23</v>
      </c>
      <c r="H4" s="6" t="s">
        <v>11</v>
      </c>
      <c r="I4" s="6">
        <v>20241201</v>
      </c>
      <c r="J4" s="6" t="str">
        <f>TEXT(DATE(LEFT(I4,4), MID(I4,5,2), RIGHT(I4,2)), "M/d/yyyy")</f>
        <v>12/1/2024</v>
      </c>
      <c r="K4" s="6" t="s">
        <v>12</v>
      </c>
      <c r="L4" s="8">
        <v>43</v>
      </c>
      <c r="M4" s="9">
        <v>0.2</v>
      </c>
      <c r="N4" s="8">
        <v>8.6</v>
      </c>
    </row>
    <row r="5" spans="1:14" ht="16" x14ac:dyDescent="0.2">
      <c r="A5" s="6" t="s">
        <v>13</v>
      </c>
      <c r="B5" s="6" t="s">
        <v>20</v>
      </c>
      <c r="C5" s="6">
        <v>17425766</v>
      </c>
      <c r="D5" s="6" t="s">
        <v>24</v>
      </c>
      <c r="E5" s="6" t="s">
        <v>25</v>
      </c>
      <c r="F5" s="6" t="str">
        <f t="shared" si="0"/>
        <v>87PH607</v>
      </c>
      <c r="G5" s="7" t="s">
        <v>23</v>
      </c>
      <c r="H5" s="6" t="s">
        <v>11</v>
      </c>
      <c r="I5" s="6">
        <v>20241201</v>
      </c>
      <c r="J5" s="6" t="str">
        <f>TEXT(DATE(LEFT(I5,4), MID(I5,5,2), RIGHT(I5,2)), "M/d/yyyy")</f>
        <v>12/1/2024</v>
      </c>
      <c r="K5" s="6" t="s">
        <v>12</v>
      </c>
      <c r="L5" s="8">
        <v>43</v>
      </c>
      <c r="M5" s="9">
        <v>0.2</v>
      </c>
      <c r="N5" s="8">
        <v>8.6</v>
      </c>
    </row>
    <row r="6" spans="1:14" ht="16" x14ac:dyDescent="0.2">
      <c r="A6" s="6" t="s">
        <v>13</v>
      </c>
      <c r="B6" s="6" t="s">
        <v>31</v>
      </c>
      <c r="C6" s="6">
        <v>6634327</v>
      </c>
      <c r="D6" s="6" t="s">
        <v>37</v>
      </c>
      <c r="E6" s="6" t="s">
        <v>38</v>
      </c>
      <c r="F6" s="6" t="str">
        <f t="shared" si="0"/>
        <v>57P1R57</v>
      </c>
      <c r="G6" s="7" t="s">
        <v>39</v>
      </c>
      <c r="H6" s="6" t="s">
        <v>11</v>
      </c>
      <c r="I6" s="6">
        <v>20241201</v>
      </c>
      <c r="J6" s="6" t="str">
        <f>TEXT(DATE(LEFT(I6,4), MID(I6,5,2), RIGHT(I6,2)), "M/d/yyyy")</f>
        <v>12/1/2024</v>
      </c>
      <c r="K6" s="6" t="s">
        <v>12</v>
      </c>
      <c r="L6" s="8">
        <v>38</v>
      </c>
      <c r="M6" s="9">
        <v>0.2</v>
      </c>
      <c r="N6" s="8">
        <v>7.6000000000000005</v>
      </c>
    </row>
    <row r="7" spans="1:14" ht="16" x14ac:dyDescent="0.2">
      <c r="A7" s="6" t="s">
        <v>13</v>
      </c>
      <c r="B7" s="6" t="s">
        <v>31</v>
      </c>
      <c r="C7" s="6">
        <v>6634327</v>
      </c>
      <c r="D7" s="6" t="s">
        <v>40</v>
      </c>
      <c r="E7" s="6" t="s">
        <v>41</v>
      </c>
      <c r="F7" s="6" t="str">
        <f t="shared" si="0"/>
        <v>61N2C47</v>
      </c>
      <c r="G7" s="7" t="s">
        <v>34</v>
      </c>
      <c r="H7" s="6" t="s">
        <v>11</v>
      </c>
      <c r="I7" s="6">
        <v>20241201</v>
      </c>
      <c r="J7" s="6" t="str">
        <f>TEXT(DATE(LEFT(I7,4), MID(I7,5,2), RIGHT(I7,2)), "M/d/yyyy")</f>
        <v>12/1/2024</v>
      </c>
      <c r="K7" s="6" t="s">
        <v>12</v>
      </c>
      <c r="L7" s="8">
        <v>49</v>
      </c>
      <c r="M7" s="9">
        <v>0.2</v>
      </c>
      <c r="N7" s="8">
        <v>9.8000000000000007</v>
      </c>
    </row>
    <row r="8" spans="1:14" ht="16" x14ac:dyDescent="0.2">
      <c r="A8" s="6" t="s">
        <v>13</v>
      </c>
      <c r="B8" s="6" t="s">
        <v>42</v>
      </c>
      <c r="C8" s="6">
        <v>19396223</v>
      </c>
      <c r="D8" s="6" t="s">
        <v>43</v>
      </c>
      <c r="E8" s="6" t="s">
        <v>44</v>
      </c>
      <c r="F8" s="6" t="s">
        <v>44</v>
      </c>
      <c r="G8" s="7" t="s">
        <v>17</v>
      </c>
      <c r="H8" s="6">
        <v>1</v>
      </c>
      <c r="I8" s="6">
        <v>20241201</v>
      </c>
      <c r="J8" s="6" t="str">
        <f>TEXT(DATE(LEFT(I8,4), MID(I8,5,2), RIGHT(I8,2)), "M/d/yyyy")</f>
        <v>12/1/2024</v>
      </c>
      <c r="K8" s="6" t="s">
        <v>45</v>
      </c>
      <c r="L8" s="8">
        <v>267.92</v>
      </c>
      <c r="M8" s="9">
        <v>18</v>
      </c>
      <c r="N8" s="8">
        <v>18</v>
      </c>
    </row>
    <row r="9" spans="1:14" ht="16" x14ac:dyDescent="0.2">
      <c r="A9" s="6" t="s">
        <v>13</v>
      </c>
      <c r="B9" s="6" t="s">
        <v>26</v>
      </c>
      <c r="C9" s="6">
        <v>20003537</v>
      </c>
      <c r="D9" s="6" t="s">
        <v>27</v>
      </c>
      <c r="E9" s="6" t="s">
        <v>28</v>
      </c>
      <c r="F9" s="6" t="s">
        <v>28</v>
      </c>
      <c r="G9" s="7" t="s">
        <v>29</v>
      </c>
      <c r="H9" s="6">
        <v>2</v>
      </c>
      <c r="I9" s="6">
        <v>20241201</v>
      </c>
      <c r="J9" s="6" t="str">
        <f>TEXT(DATE(LEFT(I9,4), MID(I9,5,2), RIGHT(I9,2)), "M/d/yyyy")</f>
        <v>12/1/2024</v>
      </c>
      <c r="K9" s="6" t="s">
        <v>30</v>
      </c>
      <c r="L9" s="8">
        <v>168.88</v>
      </c>
      <c r="M9" s="9">
        <v>24</v>
      </c>
      <c r="N9" s="8">
        <v>48</v>
      </c>
    </row>
    <row r="10" spans="1:14" ht="16" x14ac:dyDescent="0.2">
      <c r="A10" s="6" t="s">
        <v>13</v>
      </c>
      <c r="B10" s="6" t="s">
        <v>31</v>
      </c>
      <c r="C10" s="6">
        <v>6634327</v>
      </c>
      <c r="D10" s="6" t="s">
        <v>32</v>
      </c>
      <c r="E10" s="6" t="s">
        <v>33</v>
      </c>
      <c r="F10" s="6" t="s">
        <v>33</v>
      </c>
      <c r="G10" s="7" t="s">
        <v>34</v>
      </c>
      <c r="H10" s="6">
        <v>3</v>
      </c>
      <c r="I10" s="6">
        <v>20241201</v>
      </c>
      <c r="J10" s="6" t="str">
        <f>TEXT(DATE(LEFT(I10,4), MID(I10,5,2), RIGHT(I10,2)), "M/d/yyyy")</f>
        <v>12/1/2024</v>
      </c>
      <c r="K10" s="6" t="s">
        <v>30</v>
      </c>
      <c r="L10" s="8">
        <v>695.48</v>
      </c>
      <c r="M10" s="9">
        <v>20</v>
      </c>
      <c r="N10" s="8">
        <v>60</v>
      </c>
    </row>
    <row r="11" spans="1:14" ht="16" x14ac:dyDescent="0.2">
      <c r="A11" s="6" t="s">
        <v>13</v>
      </c>
      <c r="B11" s="6" t="s">
        <v>31</v>
      </c>
      <c r="C11" s="6">
        <v>6634327</v>
      </c>
      <c r="D11" s="6" t="s">
        <v>35</v>
      </c>
      <c r="E11" s="6" t="s">
        <v>36</v>
      </c>
      <c r="F11" s="6" t="s">
        <v>36</v>
      </c>
      <c r="G11" s="7" t="s">
        <v>34</v>
      </c>
      <c r="H11" s="6">
        <v>1</v>
      </c>
      <c r="I11" s="6">
        <v>20241201</v>
      </c>
      <c r="J11" s="6" t="str">
        <f>TEXT(DATE(LEFT(I11,4), MID(I11,5,2), RIGHT(I11,2)), "M/d/yyyy")</f>
        <v>12/1/2024</v>
      </c>
      <c r="K11" s="6" t="s">
        <v>30</v>
      </c>
      <c r="L11" s="8">
        <v>464.54</v>
      </c>
      <c r="M11" s="9">
        <v>20</v>
      </c>
      <c r="N11" s="8">
        <v>20</v>
      </c>
    </row>
    <row r="12" spans="1:14" ht="16" x14ac:dyDescent="0.2">
      <c r="A12" s="6"/>
      <c r="B12" s="6"/>
      <c r="C12" s="6"/>
      <c r="D12" s="6"/>
      <c r="E12" s="6"/>
      <c r="F12" s="6"/>
      <c r="G12" s="7"/>
      <c r="H12" s="6"/>
      <c r="I12" s="6"/>
      <c r="J12" s="6"/>
      <c r="K12" s="6"/>
      <c r="L12" s="8"/>
      <c r="M12" s="9"/>
      <c r="N12" s="8"/>
    </row>
  </sheetData>
  <sortState xmlns:xlrd2="http://schemas.microsoft.com/office/spreadsheetml/2017/richdata2" ref="A2:N11">
    <sortCondition ref="K2:K1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2025-01-13T14:42:57Z</dcterms:created>
  <dcterms:modified xsi:type="dcterms:W3CDTF">2025-01-22T15:37:57Z</dcterms:modified>
</cp:coreProperties>
</file>