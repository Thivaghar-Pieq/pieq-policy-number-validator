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Cigna ACA from Box/Cigna ACA from Box 12-12-24/"/>
    </mc:Choice>
  </mc:AlternateContent>
  <xr:revisionPtr revIDLastSave="0" documentId="13_ncr:1_{AF2248BB-4DA1-8D4E-8CD5-A20EAF593CD1}" xr6:coauthVersionLast="47" xr6:coauthVersionMax="47" xr10:uidLastSave="{00000000-0000-0000-0000-000000000000}"/>
  <bookViews>
    <workbookView xWindow="0" yWindow="500" windowWidth="19200" windowHeight="19360" activeTab="1" xr2:uid="{541D9A70-D028-457D-B9B1-9340EE2CA591}"/>
  </bookViews>
  <sheets>
    <sheet name="Main Line Benefits LLC - Cigna 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2" l="1"/>
  <c r="K9" i="2" s="1"/>
  <c r="J10" i="2"/>
  <c r="K10" i="2" s="1"/>
  <c r="J11" i="2"/>
  <c r="K11" i="2" s="1"/>
  <c r="J12" i="2"/>
  <c r="K12" i="2" s="1"/>
  <c r="J2" i="2"/>
  <c r="K2" i="2" s="1"/>
  <c r="J4" i="2"/>
  <c r="K4" i="2" s="1"/>
  <c r="J5" i="2"/>
  <c r="K5" i="2" s="1"/>
  <c r="J6" i="2"/>
  <c r="K6" i="2" s="1"/>
  <c r="J22" i="2"/>
  <c r="K22" i="2" s="1"/>
  <c r="J23" i="2"/>
  <c r="K23" i="2" s="1"/>
  <c r="J24" i="2"/>
  <c r="K24" i="2" s="1"/>
  <c r="J25" i="2"/>
  <c r="K25" i="2" s="1"/>
  <c r="J13" i="2"/>
  <c r="K13" i="2" s="1"/>
  <c r="J14" i="2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7" i="2"/>
  <c r="K7" i="2" s="1"/>
  <c r="J8" i="2"/>
  <c r="K8" i="2" s="1"/>
  <c r="J3" i="2"/>
  <c r="K3" i="2" s="1"/>
  <c r="F9" i="2"/>
  <c r="F10" i="2"/>
  <c r="F11" i="2"/>
  <c r="F12" i="2"/>
  <c r="F2" i="2"/>
  <c r="F4" i="2"/>
  <c r="F5" i="2"/>
  <c r="F6" i="2"/>
  <c r="F3" i="2"/>
</calcChain>
</file>

<file path=xl/sharedStrings.xml><?xml version="1.0" encoding="utf-8"?>
<sst xmlns="http://schemas.openxmlformats.org/spreadsheetml/2006/main" count="345" uniqueCount="68">
  <si>
    <t>Payee</t>
  </si>
  <si>
    <t>Writing Agent</t>
  </si>
  <si>
    <t>Customer Name</t>
  </si>
  <si>
    <t>Subscriber ID</t>
  </si>
  <si>
    <t>State</t>
  </si>
  <si>
    <t>Member Count</t>
  </si>
  <si>
    <t>Policy Period</t>
  </si>
  <si>
    <t>Product</t>
  </si>
  <si>
    <t>Premium</t>
  </si>
  <si>
    <t>Rate</t>
  </si>
  <si>
    <t>Commission</t>
  </si>
  <si>
    <t>Medical, HOAPIN</t>
  </si>
  <si>
    <t>Main Line Benefits LLC</t>
  </si>
  <si>
    <t>BRIAN STROHMAN</t>
  </si>
  <si>
    <t>RENDON, JOSE</t>
  </si>
  <si>
    <t>82PX55</t>
  </si>
  <si>
    <t>IL</t>
  </si>
  <si>
    <t xml:space="preserve"> </t>
  </si>
  <si>
    <t>Dental, IVDPPO</t>
  </si>
  <si>
    <t>JARED KINYUA</t>
  </si>
  <si>
    <t>HAIDAU, CORNELIA</t>
  </si>
  <si>
    <t>28PY20</t>
  </si>
  <si>
    <t>MD</t>
  </si>
  <si>
    <t>WANI, ASHAQ</t>
  </si>
  <si>
    <t>33PJ95</t>
  </si>
  <si>
    <t>FREDERICK, JEAN</t>
  </si>
  <si>
    <t>94N25Y</t>
  </si>
  <si>
    <t>JOEL LEE</t>
  </si>
  <si>
    <t>EDMISTON, AJA</t>
  </si>
  <si>
    <t>04N2X0</t>
  </si>
  <si>
    <t>CO</t>
  </si>
  <si>
    <t>CHAFFIN, KATHRYN</t>
  </si>
  <si>
    <t>11N4X3</t>
  </si>
  <si>
    <t>CORNIA, JOSSELYN</t>
  </si>
  <si>
    <t>20N0M3</t>
  </si>
  <si>
    <t>NALUBWAMA, SARAH</t>
  </si>
  <si>
    <t>39N2C4</t>
  </si>
  <si>
    <t>WILSON, TYLER</t>
  </si>
  <si>
    <t>61N8M1</t>
  </si>
  <si>
    <t>DONNELL, JANA</t>
  </si>
  <si>
    <t>62N9M2</t>
  </si>
  <si>
    <t>BK, SABITA</t>
  </si>
  <si>
    <t>79PL32</t>
  </si>
  <si>
    <t>SNOOK, EMRIE</t>
  </si>
  <si>
    <t>81P98F</t>
  </si>
  <si>
    <t>ANDREA PETRUNGARO</t>
  </si>
  <si>
    <t>BALZA, CYNTHIA</t>
  </si>
  <si>
    <t>84P0N9</t>
  </si>
  <si>
    <t>CAROL FOLEY</t>
  </si>
  <si>
    <t>KELLY, ISAIAH</t>
  </si>
  <si>
    <t>12PY60</t>
  </si>
  <si>
    <t>DE</t>
  </si>
  <si>
    <t>RUPERT, CATHERINE</t>
  </si>
  <si>
    <t>70P2B9</t>
  </si>
  <si>
    <t>PA</t>
  </si>
  <si>
    <t>HEATHER GESKE</t>
  </si>
  <si>
    <t>HOSEY-PORTELLI, KIMBERLY</t>
  </si>
  <si>
    <t>52N1M7</t>
  </si>
  <si>
    <t>BURNETT-TUBBS, LAURA</t>
  </si>
  <si>
    <t>52N5M3</t>
  </si>
  <si>
    <t>TRUJILLO, JOHN</t>
  </si>
  <si>
    <t>91PB62</t>
  </si>
  <si>
    <t>STACEY PORTUGAL</t>
  </si>
  <si>
    <t>WILLIAMS, ANGELA</t>
  </si>
  <si>
    <t>0Y75U5</t>
  </si>
  <si>
    <t>TX</t>
  </si>
  <si>
    <t>Medical, HMO1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</si>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</sst>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71" formatCode="m/d/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164" fontId="2" fillId="2" borderId="1" xfId="1" applyFont="1" applyFill="1" applyBorder="1" applyAlignment="1">
      <alignment horizontal="center" wrapText="1"/>
    </xf>
    <xf numFmtId="0" fontId="2" fillId="2" borderId="1" xfId="1" applyNumberFormat="1" applyFont="1" applyFill="1" applyBorder="1" applyAlignment="1">
      <alignment horizont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1" applyFont="1" applyBorder="1"/>
    <xf numFmtId="164" fontId="4" fillId="0" borderId="2" xfId="1" applyFont="1" applyBorder="1"/>
    <xf numFmtId="0" fontId="2" fillId="2" borderId="0" xfId="0" applyFont="1" applyFill="1" applyBorder="1" applyAlignment="1">
      <alignment horizontal="center" wrapText="1"/>
    </xf>
    <xf numFmtId="14" fontId="2" fillId="2" borderId="0" xfId="0" applyNumberFormat="1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 vertical="center" wrapText="1"/>
    </xf>
    <xf numFmtId="164" fontId="2" fillId="2" borderId="0" xfId="1" applyFont="1" applyFill="1" applyBorder="1" applyAlignment="1">
      <alignment horizontal="center" wrapText="1"/>
    </xf>
    <xf numFmtId="0" fontId="2" fillId="2" borderId="0" xfId="1" applyNumberFormat="1" applyFont="1" applyFill="1" applyBorder="1" applyAlignment="1">
      <alignment horizontal="center" wrapText="1"/>
    </xf>
    <xf numFmtId="0" fontId="0" fillId="0" borderId="0" xfId="0" applyBorder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64" fontId="4" fillId="0" borderId="0" xfId="1" applyFont="1" applyBorder="1"/>
    <xf numFmtId="171" fontId="4" fillId="0" borderId="0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C9109-D583-4CA2-8F6C-8A9C6390BD40}">
  <dimension ref="A1:K26"/>
  <sheetViews>
    <sheetView workbookViewId="0">
      <selection sqref="A1:XFD1048576"/>
    </sheetView>
  </sheetViews>
  <sheetFormatPr baseColWidth="10" defaultColWidth="8.83203125" defaultRowHeight="15" x14ac:dyDescent="0.2"/>
  <cols>
    <col min="1" max="1" width="26.83203125" customWidth="1"/>
    <col min="2" max="2" width="34.1640625" customWidth="1"/>
    <col min="3" max="3" width="30.6640625" customWidth="1"/>
    <col min="4" max="4" width="12.6640625" customWidth="1"/>
    <col min="6" max="6" width="9.5" customWidth="1"/>
    <col min="7" max="7" width="10.5" customWidth="1"/>
    <col min="8" max="8" width="17" customWidth="1"/>
    <col min="9" max="9" width="12.33203125" customWidth="1"/>
    <col min="10" max="10" width="7.5" customWidth="1"/>
    <col min="11" max="11" width="14.5" customWidth="1"/>
  </cols>
  <sheetData>
    <row r="1" spans="1:11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4" t="s">
        <v>10</v>
      </c>
    </row>
    <row r="2" spans="1:11" ht="16" x14ac:dyDescent="0.2">
      <c r="A2" s="6" t="s">
        <v>12</v>
      </c>
      <c r="B2" s="6" t="s">
        <v>13</v>
      </c>
      <c r="C2" s="6" t="s">
        <v>14</v>
      </c>
      <c r="D2" s="6" t="s">
        <v>15</v>
      </c>
      <c r="E2" s="7" t="s">
        <v>16</v>
      </c>
      <c r="F2" s="6" t="s">
        <v>17</v>
      </c>
      <c r="G2" s="6">
        <v>20241201</v>
      </c>
      <c r="H2" s="6" t="s">
        <v>18</v>
      </c>
      <c r="I2" s="8">
        <v>41.44</v>
      </c>
      <c r="J2" s="6">
        <v>0.2</v>
      </c>
      <c r="K2" s="9">
        <v>8.2880000000000003</v>
      </c>
    </row>
    <row r="3" spans="1:11" ht="16" x14ac:dyDescent="0.2">
      <c r="A3" s="6" t="s">
        <v>12</v>
      </c>
      <c r="B3" s="6" t="s">
        <v>19</v>
      </c>
      <c r="C3" s="6" t="s">
        <v>20</v>
      </c>
      <c r="D3" s="6" t="s">
        <v>21</v>
      </c>
      <c r="E3" s="7" t="s">
        <v>22</v>
      </c>
      <c r="F3" s="6" t="s">
        <v>17</v>
      </c>
      <c r="G3" s="6">
        <v>20241201</v>
      </c>
      <c r="H3" s="6" t="s">
        <v>18</v>
      </c>
      <c r="I3" s="8">
        <v>36.92</v>
      </c>
      <c r="J3" s="6">
        <v>0.2</v>
      </c>
      <c r="K3" s="9">
        <v>7.3840000000000003</v>
      </c>
    </row>
    <row r="4" spans="1:11" ht="16" x14ac:dyDescent="0.2">
      <c r="A4" s="6" t="s">
        <v>12</v>
      </c>
      <c r="B4" s="6" t="s">
        <v>19</v>
      </c>
      <c r="C4" s="6" t="s">
        <v>23</v>
      </c>
      <c r="D4" s="6" t="s">
        <v>24</v>
      </c>
      <c r="E4" s="7" t="s">
        <v>22</v>
      </c>
      <c r="F4" s="6" t="s">
        <v>17</v>
      </c>
      <c r="G4" s="6">
        <v>20241201</v>
      </c>
      <c r="H4" s="6" t="s">
        <v>18</v>
      </c>
      <c r="I4" s="8">
        <v>54.87</v>
      </c>
      <c r="J4" s="6">
        <v>0.2</v>
      </c>
      <c r="K4" s="9">
        <v>10.974</v>
      </c>
    </row>
    <row r="5" spans="1:11" ht="16" x14ac:dyDescent="0.2">
      <c r="A5" s="6" t="s">
        <v>12</v>
      </c>
      <c r="B5" s="6" t="s">
        <v>19</v>
      </c>
      <c r="C5" s="6" t="s">
        <v>25</v>
      </c>
      <c r="D5" s="6" t="s">
        <v>26</v>
      </c>
      <c r="E5" s="7" t="s">
        <v>22</v>
      </c>
      <c r="F5" s="6" t="s">
        <v>17</v>
      </c>
      <c r="G5" s="6">
        <v>20241201</v>
      </c>
      <c r="H5" s="6" t="s">
        <v>18</v>
      </c>
      <c r="I5" s="8">
        <v>39.700000000000003</v>
      </c>
      <c r="J5" s="6">
        <v>0.2</v>
      </c>
      <c r="K5" s="9">
        <v>7.9400000000000013</v>
      </c>
    </row>
    <row r="6" spans="1:11" ht="16" x14ac:dyDescent="0.2">
      <c r="A6" s="6" t="s">
        <v>12</v>
      </c>
      <c r="B6" s="6" t="s">
        <v>27</v>
      </c>
      <c r="C6" s="6" t="s">
        <v>28</v>
      </c>
      <c r="D6" s="6" t="s">
        <v>29</v>
      </c>
      <c r="E6" s="7" t="s">
        <v>30</v>
      </c>
      <c r="F6" s="6">
        <v>1</v>
      </c>
      <c r="G6" s="6">
        <v>20241201</v>
      </c>
      <c r="H6" s="6" t="s">
        <v>11</v>
      </c>
      <c r="I6" s="8">
        <v>61.28</v>
      </c>
      <c r="J6" s="6">
        <v>20</v>
      </c>
      <c r="K6" s="9">
        <v>20</v>
      </c>
    </row>
    <row r="7" spans="1:11" ht="16" x14ac:dyDescent="0.2">
      <c r="A7" s="6" t="s">
        <v>12</v>
      </c>
      <c r="B7" s="6" t="s">
        <v>27</v>
      </c>
      <c r="C7" s="6" t="s">
        <v>31</v>
      </c>
      <c r="D7" s="6" t="s">
        <v>32</v>
      </c>
      <c r="E7" s="7" t="s">
        <v>30</v>
      </c>
      <c r="F7" s="6">
        <v>1</v>
      </c>
      <c r="G7" s="6">
        <v>20241201</v>
      </c>
      <c r="H7" s="6" t="s">
        <v>11</v>
      </c>
      <c r="I7" s="8">
        <v>249.5</v>
      </c>
      <c r="J7" s="6">
        <v>20</v>
      </c>
      <c r="K7" s="9">
        <v>20</v>
      </c>
    </row>
    <row r="8" spans="1:11" ht="16" x14ac:dyDescent="0.2">
      <c r="A8" s="6" t="s">
        <v>12</v>
      </c>
      <c r="B8" s="6" t="s">
        <v>27</v>
      </c>
      <c r="C8" s="6" t="s">
        <v>33</v>
      </c>
      <c r="D8" s="6" t="s">
        <v>34</v>
      </c>
      <c r="E8" s="7" t="s">
        <v>30</v>
      </c>
      <c r="F8" s="6">
        <v>1</v>
      </c>
      <c r="G8" s="6">
        <v>20241201</v>
      </c>
      <c r="H8" s="6" t="s">
        <v>11</v>
      </c>
      <c r="I8" s="8">
        <v>344.84</v>
      </c>
      <c r="J8" s="6">
        <v>20</v>
      </c>
      <c r="K8" s="9">
        <v>20</v>
      </c>
    </row>
    <row r="9" spans="1:11" ht="16" x14ac:dyDescent="0.2">
      <c r="A9" s="6" t="s">
        <v>12</v>
      </c>
      <c r="B9" s="6" t="s">
        <v>27</v>
      </c>
      <c r="C9" s="6" t="s">
        <v>35</v>
      </c>
      <c r="D9" s="6" t="s">
        <v>36</v>
      </c>
      <c r="E9" s="7" t="s">
        <v>30</v>
      </c>
      <c r="F9" s="6">
        <v>1</v>
      </c>
      <c r="G9" s="6">
        <v>20241101</v>
      </c>
      <c r="H9" s="6" t="s">
        <v>11</v>
      </c>
      <c r="I9" s="8">
        <v>391.44</v>
      </c>
      <c r="J9" s="6">
        <v>20</v>
      </c>
      <c r="K9" s="9">
        <v>20</v>
      </c>
    </row>
    <row r="10" spans="1:11" ht="16" x14ac:dyDescent="0.2">
      <c r="A10" s="6" t="s">
        <v>12</v>
      </c>
      <c r="B10" s="6" t="s">
        <v>27</v>
      </c>
      <c r="C10" s="6" t="s">
        <v>35</v>
      </c>
      <c r="D10" s="6" t="s">
        <v>36</v>
      </c>
      <c r="E10" s="7" t="s">
        <v>30</v>
      </c>
      <c r="F10" s="6">
        <v>1</v>
      </c>
      <c r="G10" s="6">
        <v>20241001</v>
      </c>
      <c r="H10" s="6" t="s">
        <v>11</v>
      </c>
      <c r="I10" s="8">
        <v>391.44</v>
      </c>
      <c r="J10" s="6">
        <v>20</v>
      </c>
      <c r="K10" s="9">
        <v>20</v>
      </c>
    </row>
    <row r="11" spans="1:11" ht="16" x14ac:dyDescent="0.2">
      <c r="A11" s="6" t="s">
        <v>12</v>
      </c>
      <c r="B11" s="6" t="s">
        <v>27</v>
      </c>
      <c r="C11" s="6" t="s">
        <v>37</v>
      </c>
      <c r="D11" s="6" t="s">
        <v>38</v>
      </c>
      <c r="E11" s="7" t="s">
        <v>30</v>
      </c>
      <c r="F11" s="6">
        <v>1</v>
      </c>
      <c r="G11" s="6">
        <v>20241201</v>
      </c>
      <c r="H11" s="6" t="s">
        <v>11</v>
      </c>
      <c r="I11" s="8">
        <v>283.32</v>
      </c>
      <c r="J11" s="6">
        <v>20</v>
      </c>
      <c r="K11" s="9">
        <v>20</v>
      </c>
    </row>
    <row r="12" spans="1:11" ht="16" x14ac:dyDescent="0.2">
      <c r="A12" s="6" t="s">
        <v>12</v>
      </c>
      <c r="B12" s="6" t="s">
        <v>27</v>
      </c>
      <c r="C12" s="6" t="s">
        <v>37</v>
      </c>
      <c r="D12" s="6" t="s">
        <v>38</v>
      </c>
      <c r="E12" s="7" t="s">
        <v>30</v>
      </c>
      <c r="F12" s="6">
        <v>1</v>
      </c>
      <c r="G12" s="6">
        <v>20241101</v>
      </c>
      <c r="H12" s="6" t="s">
        <v>11</v>
      </c>
      <c r="I12" s="8">
        <v>283.32</v>
      </c>
      <c r="J12" s="6">
        <v>20</v>
      </c>
      <c r="K12" s="9">
        <v>20</v>
      </c>
    </row>
    <row r="13" spans="1:11" ht="16" x14ac:dyDescent="0.2">
      <c r="A13" s="6" t="s">
        <v>12</v>
      </c>
      <c r="B13" s="6" t="s">
        <v>27</v>
      </c>
      <c r="C13" s="6" t="s">
        <v>39</v>
      </c>
      <c r="D13" s="6" t="s">
        <v>40</v>
      </c>
      <c r="E13" s="7" t="s">
        <v>30</v>
      </c>
      <c r="F13" s="6">
        <v>1</v>
      </c>
      <c r="G13" s="6">
        <v>20241201</v>
      </c>
      <c r="H13" s="6" t="s">
        <v>11</v>
      </c>
      <c r="I13" s="8">
        <v>808.79</v>
      </c>
      <c r="J13" s="6">
        <v>20</v>
      </c>
      <c r="K13" s="9">
        <v>20</v>
      </c>
    </row>
    <row r="14" spans="1:11" ht="16" x14ac:dyDescent="0.2">
      <c r="A14" s="6" t="s">
        <v>12</v>
      </c>
      <c r="B14" s="6" t="s">
        <v>27</v>
      </c>
      <c r="C14" s="6" t="s">
        <v>41</v>
      </c>
      <c r="D14" s="6" t="s">
        <v>42</v>
      </c>
      <c r="E14" s="7" t="s">
        <v>30</v>
      </c>
      <c r="F14" s="6">
        <v>1</v>
      </c>
      <c r="G14" s="6">
        <v>20241201</v>
      </c>
      <c r="H14" s="6" t="s">
        <v>11</v>
      </c>
      <c r="I14" s="8">
        <v>106.15</v>
      </c>
      <c r="J14" s="6">
        <v>20</v>
      </c>
      <c r="K14" s="9">
        <v>20</v>
      </c>
    </row>
    <row r="15" spans="1:11" ht="16" x14ac:dyDescent="0.2">
      <c r="A15" s="6" t="s">
        <v>12</v>
      </c>
      <c r="B15" s="6" t="s">
        <v>27</v>
      </c>
      <c r="C15" s="6" t="s">
        <v>43</v>
      </c>
      <c r="D15" s="6" t="s">
        <v>44</v>
      </c>
      <c r="E15" s="7" t="s">
        <v>30</v>
      </c>
      <c r="F15" s="6" t="s">
        <v>17</v>
      </c>
      <c r="G15" s="6">
        <v>20241201</v>
      </c>
      <c r="H15" s="6" t="s">
        <v>18</v>
      </c>
      <c r="I15" s="8">
        <v>53.65</v>
      </c>
      <c r="J15" s="6">
        <v>0.2</v>
      </c>
      <c r="K15" s="9">
        <v>10.73</v>
      </c>
    </row>
    <row r="16" spans="1:11" ht="16" x14ac:dyDescent="0.2">
      <c r="A16" s="6" t="s">
        <v>12</v>
      </c>
      <c r="B16" s="6" t="s">
        <v>45</v>
      </c>
      <c r="C16" s="6" t="s">
        <v>46</v>
      </c>
      <c r="D16" s="6" t="s">
        <v>47</v>
      </c>
      <c r="E16" s="7" t="s">
        <v>16</v>
      </c>
      <c r="F16" s="6" t="s">
        <v>17</v>
      </c>
      <c r="G16" s="6">
        <v>20241201</v>
      </c>
      <c r="H16" s="6" t="s">
        <v>18</v>
      </c>
      <c r="I16" s="8">
        <v>47</v>
      </c>
      <c r="J16" s="6">
        <v>0.2</v>
      </c>
      <c r="K16" s="9">
        <v>9.4</v>
      </c>
    </row>
    <row r="17" spans="1:11" ht="16" x14ac:dyDescent="0.2">
      <c r="A17" s="6" t="s">
        <v>12</v>
      </c>
      <c r="B17" s="6" t="s">
        <v>48</v>
      </c>
      <c r="C17" s="6" t="s">
        <v>49</v>
      </c>
      <c r="D17" s="6" t="s">
        <v>50</v>
      </c>
      <c r="E17" s="7" t="s">
        <v>51</v>
      </c>
      <c r="F17" s="6" t="s">
        <v>17</v>
      </c>
      <c r="G17" s="6">
        <v>20241201</v>
      </c>
      <c r="H17" s="6" t="s">
        <v>18</v>
      </c>
      <c r="I17" s="8">
        <v>29</v>
      </c>
      <c r="J17" s="6">
        <v>0.2</v>
      </c>
      <c r="K17" s="9">
        <v>5.8000000000000007</v>
      </c>
    </row>
    <row r="18" spans="1:11" ht="16" x14ac:dyDescent="0.2">
      <c r="A18" s="6" t="s">
        <v>12</v>
      </c>
      <c r="B18" s="6" t="s">
        <v>48</v>
      </c>
      <c r="C18" s="6" t="s">
        <v>52</v>
      </c>
      <c r="D18" s="6" t="s">
        <v>53</v>
      </c>
      <c r="E18" s="7" t="s">
        <v>54</v>
      </c>
      <c r="F18" s="6" t="s">
        <v>17</v>
      </c>
      <c r="G18" s="6">
        <v>20241201</v>
      </c>
      <c r="H18" s="6" t="s">
        <v>18</v>
      </c>
      <c r="I18" s="8">
        <v>85.1</v>
      </c>
      <c r="J18" s="6">
        <v>0.2</v>
      </c>
      <c r="K18" s="9">
        <v>17.02</v>
      </c>
    </row>
    <row r="19" spans="1:11" ht="16" x14ac:dyDescent="0.2">
      <c r="A19" s="6" t="s">
        <v>12</v>
      </c>
      <c r="B19" s="6" t="s">
        <v>55</v>
      </c>
      <c r="C19" s="6" t="s">
        <v>56</v>
      </c>
      <c r="D19" s="6" t="s">
        <v>57</v>
      </c>
      <c r="E19" s="7" t="s">
        <v>30</v>
      </c>
      <c r="F19" s="6">
        <v>2</v>
      </c>
      <c r="G19" s="6">
        <v>20241201</v>
      </c>
      <c r="H19" s="6" t="s">
        <v>11</v>
      </c>
      <c r="I19" s="8">
        <v>11.48</v>
      </c>
      <c r="J19" s="6">
        <v>20</v>
      </c>
      <c r="K19" s="9">
        <v>40</v>
      </c>
    </row>
    <row r="20" spans="1:11" ht="16" x14ac:dyDescent="0.2">
      <c r="A20" s="6" t="s">
        <v>12</v>
      </c>
      <c r="B20" s="6" t="s">
        <v>55</v>
      </c>
      <c r="C20" s="6" t="s">
        <v>58</v>
      </c>
      <c r="D20" s="6" t="s">
        <v>59</v>
      </c>
      <c r="E20" s="7" t="s">
        <v>30</v>
      </c>
      <c r="F20" s="6">
        <v>1</v>
      </c>
      <c r="G20" s="6">
        <v>20241101</v>
      </c>
      <c r="H20" s="6" t="s">
        <v>11</v>
      </c>
      <c r="I20" s="8">
        <v>393.97</v>
      </c>
      <c r="J20" s="6">
        <v>20</v>
      </c>
      <c r="K20" s="9">
        <v>20</v>
      </c>
    </row>
    <row r="21" spans="1:11" ht="16" x14ac:dyDescent="0.2">
      <c r="A21" s="6" t="s">
        <v>12</v>
      </c>
      <c r="B21" s="6" t="s">
        <v>55</v>
      </c>
      <c r="C21" s="6" t="s">
        <v>60</v>
      </c>
      <c r="D21" s="6" t="s">
        <v>61</v>
      </c>
      <c r="E21" s="7" t="s">
        <v>30</v>
      </c>
      <c r="F21" s="6" t="s">
        <v>17</v>
      </c>
      <c r="G21" s="6">
        <v>20241201</v>
      </c>
      <c r="H21" s="6" t="s">
        <v>18</v>
      </c>
      <c r="I21" s="8">
        <v>64.09</v>
      </c>
      <c r="J21" s="6">
        <v>0.2</v>
      </c>
      <c r="K21" s="9">
        <v>12.818000000000001</v>
      </c>
    </row>
    <row r="22" spans="1:11" ht="16" x14ac:dyDescent="0.2">
      <c r="A22" s="6" t="s">
        <v>12</v>
      </c>
      <c r="B22" s="6" t="s">
        <v>62</v>
      </c>
      <c r="C22" s="6" t="s">
        <v>63</v>
      </c>
      <c r="D22" s="6" t="s">
        <v>64</v>
      </c>
      <c r="E22" s="7" t="s">
        <v>65</v>
      </c>
      <c r="F22" s="6">
        <v>1</v>
      </c>
      <c r="G22" s="6">
        <v>20230701</v>
      </c>
      <c r="H22" s="6" t="s">
        <v>66</v>
      </c>
      <c r="I22" s="8">
        <v>530.25</v>
      </c>
      <c r="J22" s="6">
        <v>25</v>
      </c>
      <c r="K22" s="9">
        <v>25</v>
      </c>
    </row>
    <row r="23" spans="1:11" ht="16" x14ac:dyDescent="0.2">
      <c r="A23" s="6" t="s">
        <v>12</v>
      </c>
      <c r="B23" s="6" t="s">
        <v>62</v>
      </c>
      <c r="C23" s="6" t="s">
        <v>63</v>
      </c>
      <c r="D23" s="6" t="s">
        <v>64</v>
      </c>
      <c r="E23" s="7" t="s">
        <v>65</v>
      </c>
      <c r="F23" s="6">
        <v>1</v>
      </c>
      <c r="G23" s="6">
        <v>20230901</v>
      </c>
      <c r="H23" s="6" t="s">
        <v>66</v>
      </c>
      <c r="I23" s="8">
        <v>530.25</v>
      </c>
      <c r="J23" s="6">
        <v>25</v>
      </c>
      <c r="K23" s="9">
        <v>25</v>
      </c>
    </row>
    <row r="24" spans="1:11" ht="16" x14ac:dyDescent="0.2">
      <c r="A24" s="6" t="s">
        <v>12</v>
      </c>
      <c r="B24" s="6" t="s">
        <v>62</v>
      </c>
      <c r="C24" s="6" t="s">
        <v>63</v>
      </c>
      <c r="D24" s="6" t="s">
        <v>64</v>
      </c>
      <c r="E24" s="7" t="s">
        <v>65</v>
      </c>
      <c r="F24" s="6">
        <v>1</v>
      </c>
      <c r="G24" s="6">
        <v>20230801</v>
      </c>
      <c r="H24" s="6" t="s">
        <v>66</v>
      </c>
      <c r="I24" s="8">
        <v>530.25</v>
      </c>
      <c r="J24" s="6">
        <v>25</v>
      </c>
      <c r="K24" s="9">
        <v>25</v>
      </c>
    </row>
    <row r="25" spans="1:11" ht="16" x14ac:dyDescent="0.2">
      <c r="A25" s="6" t="s">
        <v>12</v>
      </c>
      <c r="B25" s="6" t="s">
        <v>62</v>
      </c>
      <c r="C25" s="6" t="s">
        <v>63</v>
      </c>
      <c r="D25" s="6" t="s">
        <v>64</v>
      </c>
      <c r="E25" s="7" t="s">
        <v>65</v>
      </c>
      <c r="F25" s="6">
        <v>1</v>
      </c>
      <c r="G25" s="6">
        <v>20231001</v>
      </c>
      <c r="H25" s="6" t="s">
        <v>66</v>
      </c>
      <c r="I25" s="8">
        <v>530.25</v>
      </c>
      <c r="J25" s="6">
        <v>25</v>
      </c>
      <c r="K25" s="9">
        <v>25</v>
      </c>
    </row>
    <row r="26" spans="1:11" ht="16" x14ac:dyDescent="0.2">
      <c r="A26" s="6" t="s">
        <v>12</v>
      </c>
      <c r="B26" s="6"/>
      <c r="C26" s="6"/>
      <c r="D26" s="6"/>
      <c r="E26" s="7"/>
      <c r="F26" s="6"/>
      <c r="G26" s="6"/>
      <c r="H26" s="6"/>
      <c r="I26" s="8"/>
      <c r="J26" s="6" t="s">
        <v>67</v>
      </c>
      <c r="K26" s="9">
        <v>430.35399999999998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D7D80-7EA7-164D-97BC-F904E5B00D11}">
  <dimension ref="A1:O26"/>
  <sheetViews>
    <sheetView tabSelected="1" topLeftCell="E1" workbookViewId="0">
      <selection activeCell="G2" sqref="G2:G25"/>
    </sheetView>
  </sheetViews>
  <sheetFormatPr baseColWidth="10" defaultColWidth="8.83203125" defaultRowHeight="15" x14ac:dyDescent="0.2"/>
  <cols>
    <col min="1" max="1" width="26.83203125" style="15" customWidth="1"/>
    <col min="2" max="3" width="34.1640625" style="15" customWidth="1"/>
    <col min="4" max="4" width="30.6640625" style="15" customWidth="1"/>
    <col min="5" max="6" width="12.6640625" style="15" customWidth="1"/>
    <col min="7" max="7" width="8.83203125" style="15"/>
    <col min="8" max="8" width="9.5" style="15" customWidth="1"/>
    <col min="9" max="11" width="10.5" style="15" customWidth="1"/>
    <col min="12" max="12" width="17" style="15" customWidth="1"/>
    <col min="13" max="13" width="12.33203125" style="15" customWidth="1"/>
    <col min="14" max="14" width="7.5" style="15" customWidth="1"/>
    <col min="15" max="15" width="14.5" style="15" customWidth="1"/>
    <col min="16" max="16384" width="8.83203125" style="15"/>
  </cols>
  <sheetData>
    <row r="1" spans="1:15" ht="34" x14ac:dyDescent="0.2">
      <c r="A1" s="10" t="s">
        <v>0</v>
      </c>
      <c r="B1" s="10" t="s">
        <v>1</v>
      </c>
      <c r="C1" s="10"/>
      <c r="D1" s="10" t="s">
        <v>2</v>
      </c>
      <c r="E1" s="10" t="s">
        <v>3</v>
      </c>
      <c r="F1" s="10"/>
      <c r="G1" s="10" t="s">
        <v>4</v>
      </c>
      <c r="H1" s="10" t="s">
        <v>5</v>
      </c>
      <c r="I1" s="11" t="s">
        <v>6</v>
      </c>
      <c r="J1" s="11"/>
      <c r="K1" s="11"/>
      <c r="L1" s="12" t="s">
        <v>7</v>
      </c>
      <c r="M1" s="13" t="s">
        <v>8</v>
      </c>
      <c r="N1" s="14" t="s">
        <v>9</v>
      </c>
      <c r="O1" s="13" t="s">
        <v>10</v>
      </c>
    </row>
    <row r="2" spans="1:15" ht="16" x14ac:dyDescent="0.2">
      <c r="A2" s="16" t="s">
        <v>12</v>
      </c>
      <c r="B2" s="16" t="s">
        <v>45</v>
      </c>
      <c r="C2" s="16">
        <v>16912722</v>
      </c>
      <c r="D2" s="16" t="s">
        <v>46</v>
      </c>
      <c r="E2" s="16" t="s">
        <v>47</v>
      </c>
      <c r="F2" s="16" t="str">
        <f>CONCATENATE(E2,7)</f>
        <v>84P0N97</v>
      </c>
      <c r="G2" s="17" t="s">
        <v>16</v>
      </c>
      <c r="H2" s="16" t="s">
        <v>17</v>
      </c>
      <c r="I2" s="16">
        <v>20241201</v>
      </c>
      <c r="J2" s="16" t="str">
        <f>TEXT(DATE(LEFT(I2,4), MID(I2,5,2), RIGHT(I2,2)), "M/d/yyyy")</f>
        <v>12/1/2024</v>
      </c>
      <c r="K2" s="19">
        <f>DATE(YEAR(J2), MONTH(J2) +1, DAY(J2))</f>
        <v>45658</v>
      </c>
      <c r="L2" s="16" t="s">
        <v>18</v>
      </c>
      <c r="M2" s="18">
        <v>47</v>
      </c>
      <c r="N2" s="16">
        <v>0.2</v>
      </c>
      <c r="O2" s="18">
        <v>9.4</v>
      </c>
    </row>
    <row r="3" spans="1:15" ht="16" x14ac:dyDescent="0.2">
      <c r="A3" s="16" t="s">
        <v>12</v>
      </c>
      <c r="B3" s="16" t="s">
        <v>13</v>
      </c>
      <c r="C3" s="16">
        <v>21104854</v>
      </c>
      <c r="D3" s="16" t="s">
        <v>14</v>
      </c>
      <c r="E3" s="16" t="s">
        <v>15</v>
      </c>
      <c r="F3" s="16" t="str">
        <f>CONCATENATE(E3,7)</f>
        <v>82PX557</v>
      </c>
      <c r="G3" s="17" t="s">
        <v>16</v>
      </c>
      <c r="H3" s="16" t="s">
        <v>17</v>
      </c>
      <c r="I3" s="16">
        <v>20241201</v>
      </c>
      <c r="J3" s="16" t="str">
        <f>TEXT(DATE(LEFT(I3,4), MID(I3,5,2), RIGHT(I3,2)), "M/d/yyyy")</f>
        <v>12/1/2024</v>
      </c>
      <c r="K3" s="19">
        <f>DATE(YEAR(J3), MONTH(J3) +1, DAY(J3))</f>
        <v>45658</v>
      </c>
      <c r="L3" s="16" t="s">
        <v>18</v>
      </c>
      <c r="M3" s="18">
        <v>41.44</v>
      </c>
      <c r="N3" s="16">
        <v>0.2</v>
      </c>
      <c r="O3" s="18">
        <v>8.2880000000000003</v>
      </c>
    </row>
    <row r="4" spans="1:15" ht="16" x14ac:dyDescent="0.2">
      <c r="A4" s="16" t="s">
        <v>12</v>
      </c>
      <c r="B4" s="16" t="s">
        <v>48</v>
      </c>
      <c r="C4" s="16">
        <v>17425766</v>
      </c>
      <c r="D4" s="16" t="s">
        <v>49</v>
      </c>
      <c r="E4" s="16" t="s">
        <v>50</v>
      </c>
      <c r="F4" s="16" t="str">
        <f>CONCATENATE(E4,7)</f>
        <v>12PY607</v>
      </c>
      <c r="G4" s="17" t="s">
        <v>51</v>
      </c>
      <c r="H4" s="16" t="s">
        <v>17</v>
      </c>
      <c r="I4" s="16">
        <v>20241201</v>
      </c>
      <c r="J4" s="16" t="str">
        <f>TEXT(DATE(LEFT(I4,4), MID(I4,5,2), RIGHT(I4,2)), "M/d/yyyy")</f>
        <v>12/1/2024</v>
      </c>
      <c r="K4" s="19">
        <f>DATE(YEAR(J4), MONTH(J4) +1, DAY(J4))</f>
        <v>45658</v>
      </c>
      <c r="L4" s="16" t="s">
        <v>18</v>
      </c>
      <c r="M4" s="18">
        <v>29</v>
      </c>
      <c r="N4" s="16">
        <v>0.2</v>
      </c>
      <c r="O4" s="18">
        <v>5.8000000000000007</v>
      </c>
    </row>
    <row r="5" spans="1:15" ht="16" x14ac:dyDescent="0.2">
      <c r="A5" s="16" t="s">
        <v>12</v>
      </c>
      <c r="B5" s="16" t="s">
        <v>48</v>
      </c>
      <c r="C5" s="16">
        <v>17425766</v>
      </c>
      <c r="D5" s="16" t="s">
        <v>52</v>
      </c>
      <c r="E5" s="16" t="s">
        <v>53</v>
      </c>
      <c r="F5" s="16" t="str">
        <f>CONCATENATE(E5,7)</f>
        <v>70P2B97</v>
      </c>
      <c r="G5" s="17" t="s">
        <v>54</v>
      </c>
      <c r="H5" s="16" t="s">
        <v>17</v>
      </c>
      <c r="I5" s="16">
        <v>20241201</v>
      </c>
      <c r="J5" s="16" t="str">
        <f>TEXT(DATE(LEFT(I5,4), MID(I5,5,2), RIGHT(I5,2)), "M/d/yyyy")</f>
        <v>12/1/2024</v>
      </c>
      <c r="K5" s="19">
        <f>DATE(YEAR(J5), MONTH(J5) +1, DAY(J5))</f>
        <v>45658</v>
      </c>
      <c r="L5" s="16" t="s">
        <v>18</v>
      </c>
      <c r="M5" s="18">
        <v>85.1</v>
      </c>
      <c r="N5" s="16">
        <v>0.2</v>
      </c>
      <c r="O5" s="18">
        <v>17.02</v>
      </c>
    </row>
    <row r="6" spans="1:15" ht="16" x14ac:dyDescent="0.2">
      <c r="A6" s="16" t="s">
        <v>12</v>
      </c>
      <c r="B6" s="16" t="s">
        <v>55</v>
      </c>
      <c r="C6" s="16">
        <v>16865615</v>
      </c>
      <c r="D6" s="16" t="s">
        <v>60</v>
      </c>
      <c r="E6" s="16" t="s">
        <v>61</v>
      </c>
      <c r="F6" s="16" t="str">
        <f>CONCATENATE(E6,7)</f>
        <v>91PB627</v>
      </c>
      <c r="G6" s="17" t="s">
        <v>30</v>
      </c>
      <c r="H6" s="16" t="s">
        <v>17</v>
      </c>
      <c r="I6" s="16">
        <v>20241201</v>
      </c>
      <c r="J6" s="16" t="str">
        <f>TEXT(DATE(LEFT(I6,4), MID(I6,5,2), RIGHT(I6,2)), "M/d/yyyy")</f>
        <v>12/1/2024</v>
      </c>
      <c r="K6" s="19">
        <f>DATE(YEAR(J6), MONTH(J6) +1, DAY(J6))</f>
        <v>45658</v>
      </c>
      <c r="L6" s="16" t="s">
        <v>18</v>
      </c>
      <c r="M6" s="18">
        <v>64.09</v>
      </c>
      <c r="N6" s="16">
        <v>0.2</v>
      </c>
      <c r="O6" s="18">
        <v>12.818000000000001</v>
      </c>
    </row>
    <row r="7" spans="1:15" ht="16" x14ac:dyDescent="0.2">
      <c r="A7" s="16" t="s">
        <v>12</v>
      </c>
      <c r="B7" s="16" t="s">
        <v>55</v>
      </c>
      <c r="C7" s="16">
        <v>16865615</v>
      </c>
      <c r="D7" s="16" t="s">
        <v>56</v>
      </c>
      <c r="E7" s="16" t="s">
        <v>57</v>
      </c>
      <c r="F7" s="16" t="s">
        <v>57</v>
      </c>
      <c r="G7" s="17" t="s">
        <v>30</v>
      </c>
      <c r="H7" s="16">
        <v>2</v>
      </c>
      <c r="I7" s="16">
        <v>20241201</v>
      </c>
      <c r="J7" s="16" t="str">
        <f>TEXT(DATE(LEFT(I7,4), MID(I7,5,2), RIGHT(I7,2)), "M/d/yyyy")</f>
        <v>12/1/2024</v>
      </c>
      <c r="K7" s="19">
        <f>DATE(YEAR(J7), MONTH(J7) +1, DAY(J7))</f>
        <v>45658</v>
      </c>
      <c r="L7" s="16" t="s">
        <v>11</v>
      </c>
      <c r="M7" s="18">
        <v>11.48</v>
      </c>
      <c r="N7" s="16">
        <v>20</v>
      </c>
      <c r="O7" s="18">
        <v>40</v>
      </c>
    </row>
    <row r="8" spans="1:15" ht="16" x14ac:dyDescent="0.2">
      <c r="A8" s="16" t="s">
        <v>12</v>
      </c>
      <c r="B8" s="16" t="s">
        <v>55</v>
      </c>
      <c r="C8" s="16">
        <v>16865615</v>
      </c>
      <c r="D8" s="16" t="s">
        <v>58</v>
      </c>
      <c r="E8" s="16" t="s">
        <v>59</v>
      </c>
      <c r="F8" s="16" t="s">
        <v>59</v>
      </c>
      <c r="G8" s="17" t="s">
        <v>30</v>
      </c>
      <c r="H8" s="16">
        <v>1</v>
      </c>
      <c r="I8" s="16">
        <v>20241101</v>
      </c>
      <c r="J8" s="16" t="str">
        <f>TEXT(DATE(LEFT(I8,4), MID(I8,5,2), RIGHT(I8,2)), "M/d/yyyy")</f>
        <v>11/1/2024</v>
      </c>
      <c r="K8" s="19">
        <f>DATE(YEAR(J8), MONTH(J8) +1, DAY(J8))</f>
        <v>45627</v>
      </c>
      <c r="L8" s="16" t="s">
        <v>11</v>
      </c>
      <c r="M8" s="18">
        <v>393.97</v>
      </c>
      <c r="N8" s="16">
        <v>20</v>
      </c>
      <c r="O8" s="18">
        <v>20</v>
      </c>
    </row>
    <row r="9" spans="1:15" ht="16" x14ac:dyDescent="0.2">
      <c r="A9" s="16" t="s">
        <v>12</v>
      </c>
      <c r="B9" s="16" t="s">
        <v>19</v>
      </c>
      <c r="C9" s="16">
        <v>19279958</v>
      </c>
      <c r="D9" s="16" t="s">
        <v>20</v>
      </c>
      <c r="E9" s="16" t="s">
        <v>21</v>
      </c>
      <c r="F9" s="16" t="str">
        <f>CONCATENATE(E9,7)</f>
        <v>28PY207</v>
      </c>
      <c r="G9" s="17" t="s">
        <v>22</v>
      </c>
      <c r="H9" s="16" t="s">
        <v>17</v>
      </c>
      <c r="I9" s="16">
        <v>20241201</v>
      </c>
      <c r="J9" s="16" t="str">
        <f>TEXT(DATE(LEFT(I9,4), MID(I9,5,2), RIGHT(I9,2)), "M/d/yyyy")</f>
        <v>12/1/2024</v>
      </c>
      <c r="K9" s="19">
        <f>DATE(YEAR(J9), MONTH(J9) +1, DAY(J9))</f>
        <v>45658</v>
      </c>
      <c r="L9" s="16" t="s">
        <v>18</v>
      </c>
      <c r="M9" s="18">
        <v>36.92</v>
      </c>
      <c r="N9" s="16">
        <v>0.2</v>
      </c>
      <c r="O9" s="18">
        <v>7.3840000000000003</v>
      </c>
    </row>
    <row r="10" spans="1:15" ht="16" x14ac:dyDescent="0.2">
      <c r="A10" s="16" t="s">
        <v>12</v>
      </c>
      <c r="B10" s="16" t="s">
        <v>19</v>
      </c>
      <c r="C10" s="16">
        <v>19279958</v>
      </c>
      <c r="D10" s="16" t="s">
        <v>23</v>
      </c>
      <c r="E10" s="16" t="s">
        <v>24</v>
      </c>
      <c r="F10" s="16" t="str">
        <f>CONCATENATE(E10,7)</f>
        <v>33PJ957</v>
      </c>
      <c r="G10" s="17" t="s">
        <v>22</v>
      </c>
      <c r="H10" s="16" t="s">
        <v>17</v>
      </c>
      <c r="I10" s="16">
        <v>20241201</v>
      </c>
      <c r="J10" s="16" t="str">
        <f>TEXT(DATE(LEFT(I10,4), MID(I10,5,2), RIGHT(I10,2)), "M/d/yyyy")</f>
        <v>12/1/2024</v>
      </c>
      <c r="K10" s="19">
        <f>DATE(YEAR(J10), MONTH(J10) +1, DAY(J10))</f>
        <v>45658</v>
      </c>
      <c r="L10" s="16" t="s">
        <v>18</v>
      </c>
      <c r="M10" s="18">
        <v>54.87</v>
      </c>
      <c r="N10" s="16">
        <v>0.2</v>
      </c>
      <c r="O10" s="18">
        <v>10.974</v>
      </c>
    </row>
    <row r="11" spans="1:15" ht="16" x14ac:dyDescent="0.2">
      <c r="A11" s="16" t="s">
        <v>12</v>
      </c>
      <c r="B11" s="16" t="s">
        <v>19</v>
      </c>
      <c r="C11" s="16">
        <v>19279958</v>
      </c>
      <c r="D11" s="16" t="s">
        <v>25</v>
      </c>
      <c r="E11" s="16" t="s">
        <v>26</v>
      </c>
      <c r="F11" s="16" t="str">
        <f>CONCATENATE(E11,7)</f>
        <v>94N25Y7</v>
      </c>
      <c r="G11" s="17" t="s">
        <v>22</v>
      </c>
      <c r="H11" s="16" t="s">
        <v>17</v>
      </c>
      <c r="I11" s="16">
        <v>20241201</v>
      </c>
      <c r="J11" s="16" t="str">
        <f>TEXT(DATE(LEFT(I11,4), MID(I11,5,2), RIGHT(I11,2)), "M/d/yyyy")</f>
        <v>12/1/2024</v>
      </c>
      <c r="K11" s="19">
        <f>DATE(YEAR(J11), MONTH(J11) +1, DAY(J11))</f>
        <v>45658</v>
      </c>
      <c r="L11" s="16" t="s">
        <v>18</v>
      </c>
      <c r="M11" s="18">
        <v>39.700000000000003</v>
      </c>
      <c r="N11" s="16">
        <v>0.2</v>
      </c>
      <c r="O11" s="18">
        <v>7.9400000000000013</v>
      </c>
    </row>
    <row r="12" spans="1:15" ht="16" x14ac:dyDescent="0.2">
      <c r="A12" s="16" t="s">
        <v>12</v>
      </c>
      <c r="B12" s="16" t="s">
        <v>27</v>
      </c>
      <c r="C12" s="16">
        <v>6634327</v>
      </c>
      <c r="D12" s="16" t="s">
        <v>43</v>
      </c>
      <c r="E12" s="16" t="s">
        <v>44</v>
      </c>
      <c r="F12" s="16" t="str">
        <f>CONCATENATE(E12,7)</f>
        <v>81P98F7</v>
      </c>
      <c r="G12" s="17" t="s">
        <v>30</v>
      </c>
      <c r="H12" s="16" t="s">
        <v>17</v>
      </c>
      <c r="I12" s="16">
        <v>20241201</v>
      </c>
      <c r="J12" s="16" t="str">
        <f>TEXT(DATE(LEFT(I12,4), MID(I12,5,2), RIGHT(I12,2)), "M/d/yyyy")</f>
        <v>12/1/2024</v>
      </c>
      <c r="K12" s="19">
        <f>DATE(YEAR(J12), MONTH(J12) +1, DAY(J12))</f>
        <v>45658</v>
      </c>
      <c r="L12" s="16" t="s">
        <v>18</v>
      </c>
      <c r="M12" s="18">
        <v>53.65</v>
      </c>
      <c r="N12" s="16">
        <v>0.2</v>
      </c>
      <c r="O12" s="18">
        <v>10.73</v>
      </c>
    </row>
    <row r="13" spans="1:15" ht="16" x14ac:dyDescent="0.2">
      <c r="A13" s="16" t="s">
        <v>12</v>
      </c>
      <c r="B13" s="16" t="s">
        <v>27</v>
      </c>
      <c r="C13" s="16">
        <v>6634327</v>
      </c>
      <c r="D13" s="16" t="s">
        <v>28</v>
      </c>
      <c r="E13" s="16" t="s">
        <v>29</v>
      </c>
      <c r="F13" s="16" t="s">
        <v>29</v>
      </c>
      <c r="G13" s="17" t="s">
        <v>30</v>
      </c>
      <c r="H13" s="16">
        <v>1</v>
      </c>
      <c r="I13" s="16">
        <v>20241201</v>
      </c>
      <c r="J13" s="16" t="str">
        <f>TEXT(DATE(LEFT(I13,4), MID(I13,5,2), RIGHT(I13,2)), "M/d/yyyy")</f>
        <v>12/1/2024</v>
      </c>
      <c r="K13" s="19">
        <f>DATE(YEAR(J13), MONTH(J13) +1, DAY(J13))</f>
        <v>45658</v>
      </c>
      <c r="L13" s="16" t="s">
        <v>11</v>
      </c>
      <c r="M13" s="18">
        <v>61.28</v>
      </c>
      <c r="N13" s="16">
        <v>20</v>
      </c>
      <c r="O13" s="18">
        <v>20</v>
      </c>
    </row>
    <row r="14" spans="1:15" ht="16" x14ac:dyDescent="0.2">
      <c r="A14" s="16" t="s">
        <v>12</v>
      </c>
      <c r="B14" s="16" t="s">
        <v>27</v>
      </c>
      <c r="C14" s="16">
        <v>6634327</v>
      </c>
      <c r="D14" s="16" t="s">
        <v>31</v>
      </c>
      <c r="E14" s="16" t="s">
        <v>32</v>
      </c>
      <c r="F14" s="16" t="s">
        <v>32</v>
      </c>
      <c r="G14" s="17" t="s">
        <v>30</v>
      </c>
      <c r="H14" s="16">
        <v>1</v>
      </c>
      <c r="I14" s="16">
        <v>20241201</v>
      </c>
      <c r="J14" s="16" t="str">
        <f>TEXT(DATE(LEFT(I14,4), MID(I14,5,2), RIGHT(I14,2)), "M/d/yyyy")</f>
        <v>12/1/2024</v>
      </c>
      <c r="K14" s="19">
        <f>DATE(YEAR(J14), MONTH(J14) +1, DAY(J14))</f>
        <v>45658</v>
      </c>
      <c r="L14" s="16" t="s">
        <v>11</v>
      </c>
      <c r="M14" s="18">
        <v>249.5</v>
      </c>
      <c r="N14" s="16">
        <v>20</v>
      </c>
      <c r="O14" s="18">
        <v>20</v>
      </c>
    </row>
    <row r="15" spans="1:15" ht="16" x14ac:dyDescent="0.2">
      <c r="A15" s="16" t="s">
        <v>12</v>
      </c>
      <c r="B15" s="16" t="s">
        <v>27</v>
      </c>
      <c r="C15" s="16">
        <v>6634327</v>
      </c>
      <c r="D15" s="16" t="s">
        <v>33</v>
      </c>
      <c r="E15" s="16" t="s">
        <v>34</v>
      </c>
      <c r="F15" s="16" t="s">
        <v>34</v>
      </c>
      <c r="G15" s="17" t="s">
        <v>30</v>
      </c>
      <c r="H15" s="16">
        <v>1</v>
      </c>
      <c r="I15" s="16">
        <v>20241201</v>
      </c>
      <c r="J15" s="16" t="str">
        <f>TEXT(DATE(LEFT(I15,4), MID(I15,5,2), RIGHT(I15,2)), "M/d/yyyy")</f>
        <v>12/1/2024</v>
      </c>
      <c r="K15" s="19">
        <f>DATE(YEAR(J15), MONTH(J15) +1, DAY(J15))</f>
        <v>45658</v>
      </c>
      <c r="L15" s="16" t="s">
        <v>11</v>
      </c>
      <c r="M15" s="18">
        <v>344.84</v>
      </c>
      <c r="N15" s="16">
        <v>20</v>
      </c>
      <c r="O15" s="18">
        <v>20</v>
      </c>
    </row>
    <row r="16" spans="1:15" ht="16" x14ac:dyDescent="0.2">
      <c r="A16" s="16" t="s">
        <v>12</v>
      </c>
      <c r="B16" s="16" t="s">
        <v>27</v>
      </c>
      <c r="C16" s="16">
        <v>6634327</v>
      </c>
      <c r="D16" s="16" t="s">
        <v>35</v>
      </c>
      <c r="E16" s="16" t="s">
        <v>36</v>
      </c>
      <c r="F16" s="16" t="s">
        <v>36</v>
      </c>
      <c r="G16" s="17" t="s">
        <v>30</v>
      </c>
      <c r="H16" s="16">
        <v>1</v>
      </c>
      <c r="I16" s="16">
        <v>20241101</v>
      </c>
      <c r="J16" s="16" t="str">
        <f>TEXT(DATE(LEFT(I16,4), MID(I16,5,2), RIGHT(I16,2)), "M/d/yyyy")</f>
        <v>11/1/2024</v>
      </c>
      <c r="K16" s="19">
        <f>DATE(YEAR(J16), MONTH(J16) +1, DAY(J16))</f>
        <v>45627</v>
      </c>
      <c r="L16" s="16" t="s">
        <v>11</v>
      </c>
      <c r="M16" s="18">
        <v>391.44</v>
      </c>
      <c r="N16" s="16">
        <v>20</v>
      </c>
      <c r="O16" s="18">
        <v>20</v>
      </c>
    </row>
    <row r="17" spans="1:15" ht="16" x14ac:dyDescent="0.2">
      <c r="A17" s="16" t="s">
        <v>12</v>
      </c>
      <c r="B17" s="16" t="s">
        <v>27</v>
      </c>
      <c r="C17" s="16">
        <v>6634327</v>
      </c>
      <c r="D17" s="16" t="s">
        <v>35</v>
      </c>
      <c r="E17" s="16" t="s">
        <v>36</v>
      </c>
      <c r="F17" s="16" t="s">
        <v>36</v>
      </c>
      <c r="G17" s="17" t="s">
        <v>30</v>
      </c>
      <c r="H17" s="16">
        <v>1</v>
      </c>
      <c r="I17" s="16">
        <v>20241001</v>
      </c>
      <c r="J17" s="16" t="str">
        <f>TEXT(DATE(LEFT(I17,4), MID(I17,5,2), RIGHT(I17,2)), "M/d/yyyy")</f>
        <v>10/1/2024</v>
      </c>
      <c r="K17" s="19">
        <f>DATE(YEAR(J17), MONTH(J17) +1, DAY(J17))</f>
        <v>45597</v>
      </c>
      <c r="L17" s="16" t="s">
        <v>11</v>
      </c>
      <c r="M17" s="18">
        <v>391.44</v>
      </c>
      <c r="N17" s="16">
        <v>20</v>
      </c>
      <c r="O17" s="18">
        <v>20</v>
      </c>
    </row>
    <row r="18" spans="1:15" ht="16" x14ac:dyDescent="0.2">
      <c r="A18" s="16" t="s">
        <v>12</v>
      </c>
      <c r="B18" s="16" t="s">
        <v>27</v>
      </c>
      <c r="C18" s="16">
        <v>6634327</v>
      </c>
      <c r="D18" s="16" t="s">
        <v>37</v>
      </c>
      <c r="E18" s="16" t="s">
        <v>38</v>
      </c>
      <c r="F18" s="16" t="s">
        <v>38</v>
      </c>
      <c r="G18" s="17" t="s">
        <v>30</v>
      </c>
      <c r="H18" s="16">
        <v>1</v>
      </c>
      <c r="I18" s="16">
        <v>20241201</v>
      </c>
      <c r="J18" s="16" t="str">
        <f>TEXT(DATE(LEFT(I18,4), MID(I18,5,2), RIGHT(I18,2)), "M/d/yyyy")</f>
        <v>12/1/2024</v>
      </c>
      <c r="K18" s="19">
        <f>DATE(YEAR(J18), MONTH(J18) +1, DAY(J18))</f>
        <v>45658</v>
      </c>
      <c r="L18" s="16" t="s">
        <v>11</v>
      </c>
      <c r="M18" s="18">
        <v>283.32</v>
      </c>
      <c r="N18" s="16">
        <v>20</v>
      </c>
      <c r="O18" s="18">
        <v>20</v>
      </c>
    </row>
    <row r="19" spans="1:15" ht="16" x14ac:dyDescent="0.2">
      <c r="A19" s="16" t="s">
        <v>12</v>
      </c>
      <c r="B19" s="16" t="s">
        <v>27</v>
      </c>
      <c r="C19" s="16">
        <v>6634327</v>
      </c>
      <c r="D19" s="16" t="s">
        <v>37</v>
      </c>
      <c r="E19" s="16" t="s">
        <v>38</v>
      </c>
      <c r="F19" s="16" t="s">
        <v>38</v>
      </c>
      <c r="G19" s="17" t="s">
        <v>30</v>
      </c>
      <c r="H19" s="16">
        <v>1</v>
      </c>
      <c r="I19" s="16">
        <v>20241101</v>
      </c>
      <c r="J19" s="16" t="str">
        <f>TEXT(DATE(LEFT(I19,4), MID(I19,5,2), RIGHT(I19,2)), "M/d/yyyy")</f>
        <v>11/1/2024</v>
      </c>
      <c r="K19" s="19">
        <f>DATE(YEAR(J19), MONTH(J19) +1, DAY(J19))</f>
        <v>45627</v>
      </c>
      <c r="L19" s="16" t="s">
        <v>11</v>
      </c>
      <c r="M19" s="18">
        <v>283.32</v>
      </c>
      <c r="N19" s="16">
        <v>20</v>
      </c>
      <c r="O19" s="18">
        <v>20</v>
      </c>
    </row>
    <row r="20" spans="1:15" ht="16" x14ac:dyDescent="0.2">
      <c r="A20" s="16" t="s">
        <v>12</v>
      </c>
      <c r="B20" s="16" t="s">
        <v>27</v>
      </c>
      <c r="C20" s="16">
        <v>6634327</v>
      </c>
      <c r="D20" s="16" t="s">
        <v>39</v>
      </c>
      <c r="E20" s="16" t="s">
        <v>40</v>
      </c>
      <c r="F20" s="16" t="s">
        <v>40</v>
      </c>
      <c r="G20" s="17" t="s">
        <v>30</v>
      </c>
      <c r="H20" s="16">
        <v>1</v>
      </c>
      <c r="I20" s="16">
        <v>20241201</v>
      </c>
      <c r="J20" s="16" t="str">
        <f>TEXT(DATE(LEFT(I20,4), MID(I20,5,2), RIGHT(I20,2)), "M/d/yyyy")</f>
        <v>12/1/2024</v>
      </c>
      <c r="K20" s="19">
        <f>DATE(YEAR(J20), MONTH(J20) +1, DAY(J20))</f>
        <v>45658</v>
      </c>
      <c r="L20" s="16" t="s">
        <v>11</v>
      </c>
      <c r="M20" s="18">
        <v>808.79</v>
      </c>
      <c r="N20" s="16">
        <v>20</v>
      </c>
      <c r="O20" s="18">
        <v>20</v>
      </c>
    </row>
    <row r="21" spans="1:15" ht="16" x14ac:dyDescent="0.2">
      <c r="A21" s="16" t="s">
        <v>12</v>
      </c>
      <c r="B21" s="16" t="s">
        <v>27</v>
      </c>
      <c r="C21" s="16">
        <v>6634327</v>
      </c>
      <c r="D21" s="16" t="s">
        <v>41</v>
      </c>
      <c r="E21" s="16" t="s">
        <v>42</v>
      </c>
      <c r="F21" s="16" t="s">
        <v>42</v>
      </c>
      <c r="G21" s="17" t="s">
        <v>30</v>
      </c>
      <c r="H21" s="16">
        <v>1</v>
      </c>
      <c r="I21" s="16">
        <v>20241201</v>
      </c>
      <c r="J21" s="16" t="str">
        <f>TEXT(DATE(LEFT(I21,4), MID(I21,5,2), RIGHT(I21,2)), "M/d/yyyy")</f>
        <v>12/1/2024</v>
      </c>
      <c r="K21" s="19">
        <f>DATE(YEAR(J21), MONTH(J21) +1, DAY(J21))</f>
        <v>45658</v>
      </c>
      <c r="L21" s="16" t="s">
        <v>11</v>
      </c>
      <c r="M21" s="18">
        <v>106.15</v>
      </c>
      <c r="N21" s="16">
        <v>20</v>
      </c>
      <c r="O21" s="18">
        <v>20</v>
      </c>
    </row>
    <row r="22" spans="1:15" ht="16" x14ac:dyDescent="0.2">
      <c r="A22" s="16" t="s">
        <v>12</v>
      </c>
      <c r="B22" s="16" t="s">
        <v>62</v>
      </c>
      <c r="C22" s="16">
        <v>19645587</v>
      </c>
      <c r="D22" s="16" t="s">
        <v>63</v>
      </c>
      <c r="E22" s="16" t="s">
        <v>64</v>
      </c>
      <c r="F22" s="16" t="s">
        <v>64</v>
      </c>
      <c r="G22" s="17" t="s">
        <v>65</v>
      </c>
      <c r="H22" s="16">
        <v>1</v>
      </c>
      <c r="I22" s="16">
        <v>20230701</v>
      </c>
      <c r="J22" s="16" t="str">
        <f>TEXT(DATE(LEFT(I22,4), MID(I22,5,2), RIGHT(I22,2)), "M/d/yyyy")</f>
        <v>7/1/2023</v>
      </c>
      <c r="K22" s="19">
        <f>DATE(YEAR(J22), MONTH(J22) +1, DAY(J22))</f>
        <v>45139</v>
      </c>
      <c r="L22" s="16" t="s">
        <v>66</v>
      </c>
      <c r="M22" s="18">
        <v>530.25</v>
      </c>
      <c r="N22" s="16">
        <v>25</v>
      </c>
      <c r="O22" s="18">
        <v>25</v>
      </c>
    </row>
    <row r="23" spans="1:15" ht="16" x14ac:dyDescent="0.2">
      <c r="A23" s="16" t="s">
        <v>12</v>
      </c>
      <c r="B23" s="16" t="s">
        <v>62</v>
      </c>
      <c r="C23" s="16">
        <v>19645587</v>
      </c>
      <c r="D23" s="16" t="s">
        <v>63</v>
      </c>
      <c r="E23" s="16" t="s">
        <v>64</v>
      </c>
      <c r="F23" s="16" t="s">
        <v>64</v>
      </c>
      <c r="G23" s="17" t="s">
        <v>65</v>
      </c>
      <c r="H23" s="16">
        <v>1</v>
      </c>
      <c r="I23" s="16">
        <v>20230901</v>
      </c>
      <c r="J23" s="16" t="str">
        <f>TEXT(DATE(LEFT(I23,4), MID(I23,5,2), RIGHT(I23,2)), "M/d/yyyy")</f>
        <v>9/1/2023</v>
      </c>
      <c r="K23" s="19">
        <f>DATE(YEAR(J23), MONTH(J23) +1, DAY(J23))</f>
        <v>45200</v>
      </c>
      <c r="L23" s="16" t="s">
        <v>66</v>
      </c>
      <c r="M23" s="18">
        <v>530.25</v>
      </c>
      <c r="N23" s="16">
        <v>25</v>
      </c>
      <c r="O23" s="18">
        <v>25</v>
      </c>
    </row>
    <row r="24" spans="1:15" ht="16" x14ac:dyDescent="0.2">
      <c r="A24" s="16" t="s">
        <v>12</v>
      </c>
      <c r="B24" s="16" t="s">
        <v>62</v>
      </c>
      <c r="C24" s="16">
        <v>19645587</v>
      </c>
      <c r="D24" s="16" t="s">
        <v>63</v>
      </c>
      <c r="E24" s="16" t="s">
        <v>64</v>
      </c>
      <c r="F24" s="16" t="s">
        <v>64</v>
      </c>
      <c r="G24" s="17" t="s">
        <v>65</v>
      </c>
      <c r="H24" s="16">
        <v>1</v>
      </c>
      <c r="I24" s="16">
        <v>20230801</v>
      </c>
      <c r="J24" s="16" t="str">
        <f>TEXT(DATE(LEFT(I24,4), MID(I24,5,2), RIGHT(I24,2)), "M/d/yyyy")</f>
        <v>8/1/2023</v>
      </c>
      <c r="K24" s="19">
        <f>DATE(YEAR(J24), MONTH(J24) +1, DAY(J24))</f>
        <v>45170</v>
      </c>
      <c r="L24" s="16" t="s">
        <v>66</v>
      </c>
      <c r="M24" s="18">
        <v>530.25</v>
      </c>
      <c r="N24" s="16">
        <v>25</v>
      </c>
      <c r="O24" s="18">
        <v>25</v>
      </c>
    </row>
    <row r="25" spans="1:15" ht="16" x14ac:dyDescent="0.2">
      <c r="A25" s="16" t="s">
        <v>12</v>
      </c>
      <c r="B25" s="16" t="s">
        <v>62</v>
      </c>
      <c r="C25" s="16">
        <v>19645587</v>
      </c>
      <c r="D25" s="16" t="s">
        <v>63</v>
      </c>
      <c r="E25" s="16" t="s">
        <v>64</v>
      </c>
      <c r="F25" s="16" t="s">
        <v>64</v>
      </c>
      <c r="G25" s="17" t="s">
        <v>65</v>
      </c>
      <c r="H25" s="16">
        <v>1</v>
      </c>
      <c r="I25" s="16">
        <v>20231001</v>
      </c>
      <c r="J25" s="16" t="str">
        <f>TEXT(DATE(LEFT(I25,4), MID(I25,5,2), RIGHT(I25,2)), "M/d/yyyy")</f>
        <v>10/1/2023</v>
      </c>
      <c r="K25" s="19">
        <f>DATE(YEAR(J25), MONTH(J25) +1, DAY(J25))</f>
        <v>45231</v>
      </c>
      <c r="L25" s="16" t="s">
        <v>66</v>
      </c>
      <c r="M25" s="18">
        <v>530.25</v>
      </c>
      <c r="N25" s="16">
        <v>25</v>
      </c>
      <c r="O25" s="18">
        <v>25</v>
      </c>
    </row>
    <row r="26" spans="1:15" ht="16" x14ac:dyDescent="0.2">
      <c r="A26" s="16"/>
      <c r="B26" s="16"/>
      <c r="C26" s="16"/>
      <c r="D26" s="16"/>
      <c r="E26" s="16"/>
      <c r="F26" s="16"/>
      <c r="G26" s="17"/>
      <c r="H26" s="16"/>
      <c r="I26" s="16"/>
      <c r="J26" s="16"/>
      <c r="K26" s="16"/>
      <c r="L26" s="16"/>
      <c r="M26" s="18"/>
      <c r="N26" s="16"/>
      <c r="O26" s="18"/>
    </row>
  </sheetData>
  <sortState xmlns:xlrd2="http://schemas.microsoft.com/office/spreadsheetml/2017/richdata2" ref="A2:O25">
    <sortCondition ref="B2:B25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Cigna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Services</dc:creator>
  <cp:lastModifiedBy>Loula Irene Cabel</cp:lastModifiedBy>
  <dcterms:created xsi:type="dcterms:W3CDTF">2025-01-03T18:36:17Z</dcterms:created>
  <dcterms:modified xsi:type="dcterms:W3CDTF">2025-01-08T21:17:53Z</dcterms:modified>
</cp:coreProperties>
</file>