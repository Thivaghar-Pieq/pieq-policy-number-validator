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tatement_AA5418109_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ArZyrD6iMk8XYelDx5lkchXsouZpwn0Wehc5FZCk148="/>
    </ext>
  </extLst>
</workbook>
</file>

<file path=xl/sharedStrings.xml><?xml version="1.0" encoding="utf-8"?>
<sst xmlns="http://schemas.openxmlformats.org/spreadsheetml/2006/main" count="212" uniqueCount="89">
  <si>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</si>
  <si>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</si>
  <si>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</si>
  <si>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</si>
  <si>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</si>
  <si>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</si>
  <si>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</si>
  <si>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</si>
  <si>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</si>
  <si>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</si>
  <si>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</si>
  <si>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</si>
  <si>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</si>
  <si>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</si>
  <si>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</si>
  <si>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</si>
  <si>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</si>
  <si>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</si>
  <si>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</si>
  <si>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</si>
  <si>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</si>
  <si>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</si>
  <si>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</si>
  <si>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</si>
  <si>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</si>
  <si>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</si>
  <si>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</si>
  <si>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</si>
  <si>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</si>
  <si>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</si>
  <si>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</si>
  <si>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</si>
  <si>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</si>
  <si>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</si>
  <si>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</si>
  <si>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</si>
  <si>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</si>
  <si>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</si>
  <si>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</si>
  <si>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</si>
  <si>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</si>
  <si>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</si>
  <si>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</si>
  <si>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</si>
  <si>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</si>
  <si>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</si>
  <si>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</si>
  <si>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</si>
  <si>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</si>
  <si>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</si>
  <si>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</si>
  <si>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</si>
  <si>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</si>
  <si>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</si>
  <si>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</si>
  <si>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</si>
  <si>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</si>
  <si>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</si>
  <si>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</si>
  <si>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</si>
  <si>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</si>
  <si>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Monthly</t>
  </si>
  <si>
    <t>R</t>
  </si>
  <si>
    <t>N</t>
  </si>
  <si>
    <t>COMM</t>
  </si>
  <si>
    <t>Kucan</t>
  </si>
  <si>
    <t>Thomas</t>
  </si>
  <si>
    <t>XXX-XX-4686</t>
  </si>
  <si>
    <t>MD</t>
  </si>
  <si>
    <t>TOUSSANT</t>
  </si>
  <si>
    <t>MCKENZIE</t>
  </si>
  <si>
    <t>1719 Wadsworth Way</t>
  </si>
  <si>
    <t>Baltimore</t>
  </si>
  <si>
    <t>Hosp Guard GI</t>
  </si>
  <si>
    <t>Ancillary Base</t>
  </si>
  <si>
    <t>4102946300 EXT.</t>
  </si>
  <si>
    <t>Dental Premier</t>
  </si>
  <si>
    <t>Dental Base Coverage</t>
  </si>
  <si>
    <t>MATTHEW</t>
  </si>
  <si>
    <t>BOLIEK</t>
  </si>
  <si>
    <t>1405 Billman Ln</t>
  </si>
  <si>
    <t>Silver Spring</t>
  </si>
  <si>
    <t>2024209585 EXT.</t>
  </si>
  <si>
    <t>DentalWise Max 1000</t>
  </si>
  <si>
    <t>DentalWise Base</t>
  </si>
  <si>
    <t>Uhone Vision</t>
  </si>
  <si>
    <t>Uhone Guard Plan</t>
  </si>
  <si>
    <t>Uhone Dental Premier</t>
  </si>
  <si>
    <t>Uhone DentalWise 1000, 2000 (all states except CO, FL, NM, NV, RI, SD, WA) 18-64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</si>
</sst>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1.57"/>
    <col customWidth="1" min="3" max="3" width="21.86"/>
    <col customWidth="1" min="4" max="4" width="31.71"/>
    <col customWidth="1" min="5" max="5" width="23.57"/>
    <col customWidth="1" min="6" max="6" width="20.43"/>
    <col customWidth="1" min="7" max="7" width="18.86"/>
    <col customWidth="1" min="8" max="8" width="19.29"/>
    <col customWidth="1" min="9" max="9" width="12.86"/>
    <col customWidth="1" min="10" max="10" width="26.0"/>
    <col customWidth="1" min="11" max="11" width="14.14"/>
    <col customWidth="1" min="12" max="12" width="19.43"/>
    <col customWidth="1" min="13" max="13" width="16.0"/>
    <col customWidth="1" min="14" max="14" width="15.57"/>
    <col customWidth="1" min="15" max="15" width="10.57"/>
    <col customWidth="1" min="16" max="16" width="15.29"/>
    <col customWidth="1" min="17" max="17" width="19.86"/>
    <col customWidth="1" min="18" max="18" width="16.43"/>
    <col customWidth="1" min="19" max="19" width="22.57"/>
    <col customWidth="1" min="20" max="20" width="25.0"/>
    <col customWidth="1" min="21" max="21" width="22.14"/>
    <col customWidth="1" min="22" max="22" width="18.0"/>
    <col customWidth="1" min="23" max="25" width="21.57"/>
    <col customWidth="1" min="26" max="26" width="16.14"/>
    <col customWidth="1" min="27" max="27" width="17.43"/>
    <col customWidth="1" min="28" max="28" width="15.43"/>
    <col customWidth="1" min="29" max="29" width="26.57"/>
    <col customWidth="1" min="30" max="30" width="21.86"/>
    <col customWidth="1" min="31" max="31" width="23.0"/>
    <col customWidth="1" min="32" max="32" width="31.71"/>
    <col customWidth="1" min="33" max="33" width="11.86"/>
    <col customWidth="1" min="34" max="34" width="13.71"/>
    <col customWidth="1" min="35" max="35" width="23.86"/>
    <col customWidth="1" min="36" max="36" width="28.29"/>
    <col customWidth="1" min="37" max="37" width="24.0"/>
    <col customWidth="1" min="38" max="38" width="16.14"/>
    <col customWidth="1" min="39" max="39" width="23.71"/>
    <col customWidth="1" min="40" max="40" width="21.71"/>
    <col customWidth="1" min="41" max="41" width="31.86"/>
    <col customWidth="1" min="42" max="42" width="16.71"/>
    <col customWidth="1" min="43" max="43" width="31.43"/>
    <col customWidth="1" min="44" max="44" width="14.57"/>
    <col customWidth="1" min="45" max="45" width="25.0"/>
    <col customWidth="1" min="46" max="46" width="29.86"/>
    <col customWidth="1" min="47" max="47" width="27.29"/>
    <col customWidth="1" min="48" max="48" width="1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 t="s">
        <v>48</v>
      </c>
      <c r="B2" s="1">
        <v>2.0260626E7</v>
      </c>
      <c r="C2" s="1" t="s">
        <v>49</v>
      </c>
      <c r="D2" s="1">
        <v>0.0</v>
      </c>
      <c r="E2" s="1">
        <v>2.0411454E7</v>
      </c>
      <c r="F2" s="1" t="s">
        <v>50</v>
      </c>
      <c r="G2" s="1" t="s">
        <v>51</v>
      </c>
      <c r="H2" s="1" t="s">
        <v>52</v>
      </c>
      <c r="I2" s="1" t="s">
        <v>53</v>
      </c>
      <c r="J2" s="1">
        <v>1.7425766E7</v>
      </c>
      <c r="K2" s="1">
        <v>4.42238637E8</v>
      </c>
      <c r="L2" s="1">
        <v>2.0231031E7</v>
      </c>
      <c r="M2" s="1">
        <v>2.023103E7</v>
      </c>
      <c r="O2" s="1">
        <v>3.0</v>
      </c>
      <c r="P2" s="1">
        <v>35.0</v>
      </c>
      <c r="Q2" s="1" t="s">
        <v>54</v>
      </c>
      <c r="R2" s="1" t="s">
        <v>54</v>
      </c>
      <c r="S2" s="1" t="s">
        <v>55</v>
      </c>
      <c r="U2" s="1" t="s">
        <v>56</v>
      </c>
      <c r="W2" s="1" t="s">
        <v>57</v>
      </c>
      <c r="Z2" s="1" t="s">
        <v>58</v>
      </c>
      <c r="AA2" s="1" t="s">
        <v>54</v>
      </c>
      <c r="AB2" s="1">
        <v>19465.0</v>
      </c>
      <c r="AE2" s="1" t="s">
        <v>59</v>
      </c>
      <c r="AF2" s="1" t="s">
        <v>60</v>
      </c>
      <c r="AG2" s="1" t="s">
        <v>61</v>
      </c>
      <c r="AH2" s="1" t="s">
        <v>62</v>
      </c>
      <c r="AI2" s="1">
        <v>2.0260601E7</v>
      </c>
      <c r="AJ2" s="1" t="s">
        <v>63</v>
      </c>
      <c r="AK2" s="1" t="s">
        <v>63</v>
      </c>
      <c r="AL2" s="1">
        <v>1.0</v>
      </c>
      <c r="AM2" s="1">
        <v>2.0260612E7</v>
      </c>
      <c r="AN2" s="1">
        <v>11.4</v>
      </c>
      <c r="AO2" s="1">
        <v>11.4</v>
      </c>
      <c r="AP2" s="1" t="s">
        <v>63</v>
      </c>
      <c r="AS2" s="1">
        <v>100.0</v>
      </c>
      <c r="AT2" s="1">
        <v>0.91</v>
      </c>
      <c r="AU2" s="1">
        <v>8.0</v>
      </c>
      <c r="AV2" s="1" t="s">
        <v>64</v>
      </c>
    </row>
    <row r="3">
      <c r="A3" s="1" t="s">
        <v>48</v>
      </c>
      <c r="B3" s="1">
        <v>2.0260626E7</v>
      </c>
      <c r="C3" s="1" t="s">
        <v>49</v>
      </c>
      <c r="D3" s="1">
        <v>0.0</v>
      </c>
      <c r="E3" s="1">
        <v>2.0411454E7</v>
      </c>
      <c r="F3" s="1" t="s">
        <v>50</v>
      </c>
      <c r="G3" s="1" t="s">
        <v>65</v>
      </c>
      <c r="H3" s="1" t="s">
        <v>66</v>
      </c>
      <c r="I3" s="1" t="s">
        <v>67</v>
      </c>
      <c r="J3" s="1">
        <v>1.6202925E7</v>
      </c>
      <c r="K3" s="1">
        <v>4.42424445E8</v>
      </c>
      <c r="L3" s="1">
        <v>2.024011E7</v>
      </c>
      <c r="M3" s="1">
        <v>2.0240109E7</v>
      </c>
      <c r="O3" s="1">
        <v>3.0</v>
      </c>
      <c r="P3" s="1">
        <v>51.0</v>
      </c>
      <c r="Q3" s="1" t="s">
        <v>68</v>
      </c>
      <c r="R3" s="1" t="s">
        <v>68</v>
      </c>
      <c r="S3" s="1" t="s">
        <v>69</v>
      </c>
      <c r="U3" s="1" t="s">
        <v>70</v>
      </c>
      <c r="W3" s="1" t="s">
        <v>71</v>
      </c>
      <c r="Z3" s="1" t="s">
        <v>72</v>
      </c>
      <c r="AA3" s="1" t="s">
        <v>68</v>
      </c>
      <c r="AB3" s="1">
        <v>21239.0</v>
      </c>
      <c r="AE3" s="1" t="s">
        <v>73</v>
      </c>
      <c r="AF3" s="1" t="s">
        <v>74</v>
      </c>
      <c r="AG3" s="1" t="s">
        <v>61</v>
      </c>
      <c r="AH3" s="1" t="s">
        <v>62</v>
      </c>
      <c r="AI3" s="1">
        <v>2.0260601E7</v>
      </c>
      <c r="AJ3" s="1" t="s">
        <v>63</v>
      </c>
      <c r="AK3" s="1" t="s">
        <v>63</v>
      </c>
      <c r="AL3" s="1">
        <v>1.0</v>
      </c>
      <c r="AM3" s="1">
        <v>2.0260612E7</v>
      </c>
      <c r="AN3" s="1">
        <v>63.2</v>
      </c>
      <c r="AO3" s="1">
        <v>63.2</v>
      </c>
      <c r="AP3" s="1" t="s">
        <v>63</v>
      </c>
      <c r="AS3" s="1">
        <v>100.0</v>
      </c>
      <c r="AT3" s="1">
        <v>4.42</v>
      </c>
      <c r="AU3" s="1">
        <v>7.0</v>
      </c>
      <c r="AV3" s="1" t="s">
        <v>64</v>
      </c>
    </row>
    <row r="4">
      <c r="A4" s="1" t="s">
        <v>48</v>
      </c>
      <c r="B4" s="1">
        <v>2.0260626E7</v>
      </c>
      <c r="C4" s="1" t="s">
        <v>49</v>
      </c>
      <c r="D4" s="1">
        <v>0.0</v>
      </c>
      <c r="E4" s="1">
        <v>2.0411454E7</v>
      </c>
      <c r="F4" s="1" t="s">
        <v>50</v>
      </c>
      <c r="G4" s="1" t="s">
        <v>65</v>
      </c>
      <c r="H4" s="1" t="s">
        <v>66</v>
      </c>
      <c r="I4" s="1" t="s">
        <v>67</v>
      </c>
      <c r="J4" s="1">
        <v>1.6202925E7</v>
      </c>
      <c r="K4" s="1">
        <v>4.42424444E8</v>
      </c>
      <c r="L4" s="1">
        <v>2.024011E7</v>
      </c>
      <c r="M4" s="1">
        <v>2.0240109E7</v>
      </c>
      <c r="O4" s="1">
        <v>3.0</v>
      </c>
      <c r="P4" s="1">
        <v>51.0</v>
      </c>
      <c r="Q4" s="1" t="s">
        <v>68</v>
      </c>
      <c r="R4" s="1" t="s">
        <v>68</v>
      </c>
      <c r="S4" s="1" t="s">
        <v>69</v>
      </c>
      <c r="U4" s="1" t="s">
        <v>70</v>
      </c>
      <c r="W4" s="1" t="s">
        <v>71</v>
      </c>
      <c r="Z4" s="1" t="s">
        <v>72</v>
      </c>
      <c r="AA4" s="1" t="s">
        <v>68</v>
      </c>
      <c r="AB4" s="1">
        <v>21239.0</v>
      </c>
      <c r="AC4" s="1" t="s">
        <v>75</v>
      </c>
      <c r="AE4" s="1" t="s">
        <v>76</v>
      </c>
      <c r="AF4" s="1" t="s">
        <v>77</v>
      </c>
      <c r="AG4" s="1" t="s">
        <v>61</v>
      </c>
      <c r="AH4" s="1" t="s">
        <v>62</v>
      </c>
      <c r="AI4" s="1">
        <v>2.0260601E7</v>
      </c>
      <c r="AJ4" s="1" t="s">
        <v>63</v>
      </c>
      <c r="AK4" s="1" t="s">
        <v>63</v>
      </c>
      <c r="AL4" s="1">
        <v>1.0</v>
      </c>
      <c r="AM4" s="1">
        <v>2.0260612E7</v>
      </c>
      <c r="AN4" s="1">
        <v>58.87</v>
      </c>
      <c r="AO4" s="1">
        <v>58.87</v>
      </c>
      <c r="AP4" s="1" t="s">
        <v>63</v>
      </c>
      <c r="AS4" s="1">
        <v>100.0</v>
      </c>
      <c r="AT4" s="1">
        <v>2.35</v>
      </c>
      <c r="AU4" s="1">
        <v>4.0</v>
      </c>
      <c r="AV4" s="1" t="s">
        <v>64</v>
      </c>
    </row>
    <row r="5">
      <c r="A5" s="1" t="s">
        <v>48</v>
      </c>
      <c r="B5" s="1">
        <v>2.0260626E7</v>
      </c>
      <c r="C5" s="1" t="s">
        <v>49</v>
      </c>
      <c r="D5" s="1">
        <v>0.0</v>
      </c>
      <c r="E5" s="1">
        <v>2.0411454E7</v>
      </c>
      <c r="F5" s="1" t="s">
        <v>50</v>
      </c>
      <c r="G5" s="1" t="s">
        <v>65</v>
      </c>
      <c r="H5" s="1" t="s">
        <v>66</v>
      </c>
      <c r="I5" s="1" t="s">
        <v>67</v>
      </c>
      <c r="J5" s="1">
        <v>1.6202925E7</v>
      </c>
      <c r="K5" s="1">
        <v>4.42606244E8</v>
      </c>
      <c r="L5" s="1">
        <v>2.0240414E7</v>
      </c>
      <c r="M5" s="1">
        <v>2.0240413E7</v>
      </c>
      <c r="O5" s="1">
        <v>3.0</v>
      </c>
      <c r="P5" s="1">
        <v>49.0</v>
      </c>
      <c r="Q5" s="1" t="s">
        <v>68</v>
      </c>
      <c r="R5" s="1" t="s">
        <v>68</v>
      </c>
      <c r="S5" s="1" t="s">
        <v>78</v>
      </c>
      <c r="U5" s="1" t="s">
        <v>79</v>
      </c>
      <c r="W5" s="1" t="s">
        <v>80</v>
      </c>
      <c r="Z5" s="1" t="s">
        <v>81</v>
      </c>
      <c r="AA5" s="1" t="s">
        <v>68</v>
      </c>
      <c r="AB5" s="1">
        <v>20902.0</v>
      </c>
      <c r="AC5" s="1" t="s">
        <v>82</v>
      </c>
      <c r="AE5" s="1" t="s">
        <v>83</v>
      </c>
      <c r="AF5" s="1" t="s">
        <v>84</v>
      </c>
      <c r="AG5" s="1" t="s">
        <v>61</v>
      </c>
      <c r="AH5" s="1" t="s">
        <v>62</v>
      </c>
      <c r="AI5" s="1">
        <v>2.0260601E7</v>
      </c>
      <c r="AJ5" s="1" t="s">
        <v>63</v>
      </c>
      <c r="AK5" s="1" t="s">
        <v>63</v>
      </c>
      <c r="AL5" s="1">
        <v>1.0</v>
      </c>
      <c r="AM5" s="1">
        <v>2.0260612E7</v>
      </c>
      <c r="AN5" s="1">
        <v>44.02</v>
      </c>
      <c r="AO5" s="1">
        <v>44.02</v>
      </c>
      <c r="AP5" s="1" t="s">
        <v>63</v>
      </c>
      <c r="AS5" s="1">
        <v>100.0</v>
      </c>
      <c r="AT5" s="1">
        <v>3.08</v>
      </c>
      <c r="AU5" s="1">
        <v>7.0</v>
      </c>
      <c r="AV5" s="1" t="s">
        <v>64</v>
      </c>
    </row>
    <row r="6">
      <c r="A6" s="1" t="s">
        <v>48</v>
      </c>
      <c r="B6" s="1">
        <v>2.0260626E7</v>
      </c>
      <c r="C6" s="1" t="s">
        <v>49</v>
      </c>
      <c r="D6" s="1">
        <v>0.0</v>
      </c>
      <c r="E6" s="1">
        <v>2.0411454E7</v>
      </c>
      <c r="F6" s="1" t="s">
        <v>50</v>
      </c>
      <c r="G6" s="1" t="s">
        <v>65</v>
      </c>
      <c r="H6" s="1" t="s">
        <v>66</v>
      </c>
      <c r="I6" s="1" t="s">
        <v>67</v>
      </c>
      <c r="J6" s="1">
        <v>1.6202925E7</v>
      </c>
      <c r="K6" s="1">
        <v>4.42606244E8</v>
      </c>
      <c r="L6" s="1">
        <v>2.0240414E7</v>
      </c>
      <c r="M6" s="1">
        <v>2.0240413E7</v>
      </c>
      <c r="O6" s="1">
        <v>3.0</v>
      </c>
      <c r="P6" s="1">
        <v>49.0</v>
      </c>
      <c r="Q6" s="1" t="s">
        <v>68</v>
      </c>
      <c r="R6" s="1" t="s">
        <v>68</v>
      </c>
      <c r="S6" s="1" t="s">
        <v>78</v>
      </c>
      <c r="U6" s="1" t="s">
        <v>79</v>
      </c>
      <c r="W6" s="1" t="s">
        <v>80</v>
      </c>
      <c r="Z6" s="1" t="s">
        <v>81</v>
      </c>
      <c r="AA6" s="1" t="s">
        <v>68</v>
      </c>
      <c r="AB6" s="1">
        <v>20902.0</v>
      </c>
      <c r="AC6" s="1" t="s">
        <v>82</v>
      </c>
      <c r="AE6" s="1" t="s">
        <v>83</v>
      </c>
      <c r="AF6" s="1" t="s">
        <v>84</v>
      </c>
      <c r="AG6" s="1" t="s">
        <v>61</v>
      </c>
      <c r="AH6" s="1" t="s">
        <v>62</v>
      </c>
      <c r="AI6" s="1">
        <v>2.0260501E7</v>
      </c>
      <c r="AJ6" s="1" t="s">
        <v>63</v>
      </c>
      <c r="AK6" s="1" t="s">
        <v>63</v>
      </c>
      <c r="AL6" s="1">
        <v>1.0</v>
      </c>
      <c r="AM6" s="1">
        <v>2.0260612E7</v>
      </c>
      <c r="AN6" s="1">
        <v>44.02</v>
      </c>
      <c r="AO6" s="1">
        <v>44.02</v>
      </c>
      <c r="AP6" s="1" t="s">
        <v>63</v>
      </c>
      <c r="AS6" s="1">
        <v>100.0</v>
      </c>
      <c r="AT6" s="1">
        <v>3.08</v>
      </c>
      <c r="AU6" s="1">
        <v>7.0</v>
      </c>
      <c r="AV6" s="1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3" width="19.29"/>
    <col customWidth="1" min="4" max="4" width="14.14"/>
    <col customWidth="1" min="5" max="6" width="19.43"/>
    <col customWidth="1" min="7" max="7" width="16.0"/>
    <col customWidth="1" min="8" max="8" width="22.57"/>
    <col customWidth="1" min="9" max="9" width="25.0"/>
    <col customWidth="1" min="10" max="10" width="22.14"/>
    <col customWidth="1" min="11" max="11" width="17.43"/>
    <col customWidth="1" min="12" max="12" width="23.0"/>
    <col customWidth="1" min="13" max="14" width="31.71"/>
    <col customWidth="1" min="15" max="15" width="27.29"/>
    <col customWidth="1" min="16" max="16" width="23.86"/>
    <col customWidth="1" min="17" max="17" width="21.71"/>
    <col customWidth="1" min="18" max="18" width="31.86"/>
    <col customWidth="1" min="19" max="19" width="29.86"/>
  </cols>
  <sheetData>
    <row r="1">
      <c r="A1" s="1" t="s">
        <v>6</v>
      </c>
      <c r="B1" s="1" t="s">
        <v>7</v>
      </c>
      <c r="D1" s="1" t="s">
        <v>10</v>
      </c>
      <c r="E1" s="1" t="s">
        <v>11</v>
      </c>
      <c r="G1" s="1" t="s">
        <v>12</v>
      </c>
      <c r="H1" s="1" t="s">
        <v>18</v>
      </c>
      <c r="I1" s="1" t="s">
        <v>19</v>
      </c>
      <c r="J1" s="1" t="s">
        <v>20</v>
      </c>
      <c r="K1" s="1" t="s">
        <v>26</v>
      </c>
      <c r="L1" s="1" t="s">
        <v>30</v>
      </c>
      <c r="M1" s="1" t="s">
        <v>31</v>
      </c>
      <c r="O1" s="1" t="s">
        <v>46</v>
      </c>
      <c r="P1" s="1" t="s">
        <v>34</v>
      </c>
      <c r="Q1" s="1" t="s">
        <v>39</v>
      </c>
      <c r="R1" s="1" t="s">
        <v>40</v>
      </c>
      <c r="S1" s="1" t="s">
        <v>45</v>
      </c>
    </row>
    <row r="2">
      <c r="A2" s="1" t="s">
        <v>51</v>
      </c>
      <c r="B2" s="1" t="s">
        <v>52</v>
      </c>
      <c r="C2" s="1" t="str">
        <f t="shared" ref="C2:C6" si="1">CONCATENATE(B2," ",A2)</f>
        <v>Carol Foley</v>
      </c>
      <c r="D2" s="1">
        <v>4.42238637E8</v>
      </c>
      <c r="E2" s="1">
        <v>2.0231031E7</v>
      </c>
      <c r="F2" s="1" t="str">
        <f t="shared" ref="F2:F6" si="2">TEXT(DATE(LEFT(E2,4), MID(E2,5,2), RIGHT(E2,2)), "M/d/yyyy")</f>
        <v>10/31/2023</v>
      </c>
      <c r="G2" s="1">
        <v>2.023103E7</v>
      </c>
      <c r="H2" s="1" t="s">
        <v>55</v>
      </c>
      <c r="I2" s="1" t="str">
        <f t="shared" ref="I2:I6" si="3">concatenate(H2," ",J2)</f>
        <v>ANDREW FLEMING</v>
      </c>
      <c r="J2" s="1" t="s">
        <v>56</v>
      </c>
      <c r="K2" s="1" t="s">
        <v>54</v>
      </c>
      <c r="L2" s="1" t="s">
        <v>59</v>
      </c>
      <c r="M2" s="1" t="s">
        <v>60</v>
      </c>
      <c r="N2" s="2" t="s">
        <v>85</v>
      </c>
      <c r="O2" s="1">
        <v>8.0</v>
      </c>
      <c r="P2" s="3">
        <v>46174.0</v>
      </c>
      <c r="Q2" s="1">
        <v>11.4</v>
      </c>
      <c r="R2" s="1">
        <v>11.4</v>
      </c>
      <c r="S2" s="1">
        <v>0.91</v>
      </c>
    </row>
    <row r="3">
      <c r="A3" s="1" t="s">
        <v>65</v>
      </c>
      <c r="B3" s="1" t="s">
        <v>66</v>
      </c>
      <c r="C3" s="1" t="str">
        <f t="shared" si="1"/>
        <v>Thomas Kucan</v>
      </c>
      <c r="D3" s="1">
        <v>4.42424445E8</v>
      </c>
      <c r="E3" s="1">
        <v>2.024011E7</v>
      </c>
      <c r="F3" s="1" t="str">
        <f t="shared" si="2"/>
        <v>1/10/2024</v>
      </c>
      <c r="G3" s="1">
        <v>2.0240109E7</v>
      </c>
      <c r="H3" s="1" t="s">
        <v>69</v>
      </c>
      <c r="I3" s="1" t="str">
        <f t="shared" si="3"/>
        <v>TOUSSANT MCKENZIE</v>
      </c>
      <c r="J3" s="1" t="s">
        <v>70</v>
      </c>
      <c r="K3" s="1" t="s">
        <v>68</v>
      </c>
      <c r="L3" s="1" t="s">
        <v>73</v>
      </c>
      <c r="M3" s="1" t="s">
        <v>74</v>
      </c>
      <c r="N3" s="2" t="s">
        <v>86</v>
      </c>
      <c r="O3" s="1">
        <v>7.0</v>
      </c>
      <c r="P3" s="3">
        <v>46174.0</v>
      </c>
      <c r="Q3" s="1">
        <v>63.2</v>
      </c>
      <c r="R3" s="1">
        <v>63.2</v>
      </c>
      <c r="S3" s="1">
        <v>4.42</v>
      </c>
    </row>
    <row r="4">
      <c r="A4" s="1" t="s">
        <v>65</v>
      </c>
      <c r="B4" s="1" t="s">
        <v>66</v>
      </c>
      <c r="C4" s="1" t="str">
        <f t="shared" si="1"/>
        <v>Thomas Kucan</v>
      </c>
      <c r="D4" s="1">
        <v>4.42424444E8</v>
      </c>
      <c r="E4" s="1">
        <v>2.024011E7</v>
      </c>
      <c r="F4" s="1" t="str">
        <f t="shared" si="2"/>
        <v>1/10/2024</v>
      </c>
      <c r="G4" s="1">
        <v>2.0240109E7</v>
      </c>
      <c r="H4" s="1" t="s">
        <v>69</v>
      </c>
      <c r="I4" s="1" t="str">
        <f t="shared" si="3"/>
        <v>TOUSSANT MCKENZIE</v>
      </c>
      <c r="J4" s="1" t="s">
        <v>70</v>
      </c>
      <c r="K4" s="1" t="s">
        <v>68</v>
      </c>
      <c r="L4" s="1" t="s">
        <v>76</v>
      </c>
      <c r="M4" s="1" t="s">
        <v>77</v>
      </c>
      <c r="N4" s="2" t="s">
        <v>87</v>
      </c>
      <c r="O4" s="1">
        <v>4.0</v>
      </c>
      <c r="P4" s="3">
        <v>46174.0</v>
      </c>
      <c r="Q4" s="1">
        <v>58.87</v>
      </c>
      <c r="R4" s="1">
        <v>58.87</v>
      </c>
      <c r="S4" s="1">
        <v>2.35</v>
      </c>
    </row>
    <row r="5">
      <c r="A5" s="1" t="s">
        <v>65</v>
      </c>
      <c r="B5" s="1" t="s">
        <v>66</v>
      </c>
      <c r="C5" s="1" t="str">
        <f t="shared" si="1"/>
        <v>Thomas Kucan</v>
      </c>
      <c r="D5" s="1">
        <v>4.42606244E8</v>
      </c>
      <c r="E5" s="1">
        <v>2.0240414E7</v>
      </c>
      <c r="F5" s="1" t="str">
        <f t="shared" si="2"/>
        <v>4/14/2024</v>
      </c>
      <c r="G5" s="1">
        <v>2.0240413E7</v>
      </c>
      <c r="H5" s="1" t="s">
        <v>78</v>
      </c>
      <c r="I5" s="1" t="str">
        <f t="shared" si="3"/>
        <v>MATTHEW BOLIEK</v>
      </c>
      <c r="J5" s="1" t="s">
        <v>79</v>
      </c>
      <c r="K5" s="1" t="s">
        <v>68</v>
      </c>
      <c r="L5" s="1" t="s">
        <v>83</v>
      </c>
      <c r="M5" s="1" t="s">
        <v>84</v>
      </c>
      <c r="N5" s="2" t="s">
        <v>88</v>
      </c>
      <c r="O5" s="1">
        <v>7.0</v>
      </c>
      <c r="P5" s="3">
        <v>46174.0</v>
      </c>
      <c r="Q5" s="1">
        <v>44.02</v>
      </c>
      <c r="R5" s="1">
        <v>44.02</v>
      </c>
      <c r="S5" s="1">
        <v>3.08</v>
      </c>
    </row>
    <row r="6">
      <c r="A6" s="1" t="s">
        <v>65</v>
      </c>
      <c r="B6" s="1" t="s">
        <v>66</v>
      </c>
      <c r="C6" s="1" t="str">
        <f t="shared" si="1"/>
        <v>Thomas Kucan</v>
      </c>
      <c r="D6" s="1">
        <v>4.42606244E8</v>
      </c>
      <c r="E6" s="1">
        <v>2.0240414E7</v>
      </c>
      <c r="F6" s="1" t="str">
        <f t="shared" si="2"/>
        <v>4/14/2024</v>
      </c>
      <c r="G6" s="1">
        <v>2.0240413E7</v>
      </c>
      <c r="H6" s="1" t="s">
        <v>78</v>
      </c>
      <c r="I6" s="1" t="str">
        <f t="shared" si="3"/>
        <v>MATTHEW BOLIEK</v>
      </c>
      <c r="J6" s="1" t="s">
        <v>79</v>
      </c>
      <c r="K6" s="1" t="s">
        <v>68</v>
      </c>
      <c r="L6" s="1" t="s">
        <v>83</v>
      </c>
      <c r="M6" s="1" t="s">
        <v>84</v>
      </c>
      <c r="N6" s="2" t="s">
        <v>88</v>
      </c>
      <c r="O6" s="1">
        <v>7.0</v>
      </c>
      <c r="P6" s="3">
        <v>46143.0</v>
      </c>
      <c r="Q6" s="1">
        <v>44.02</v>
      </c>
      <c r="R6" s="1">
        <v>44.02</v>
      </c>
      <c r="S6" s="1">
        <v>3.08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2026-06-26T11:42:05Z</dcterms:created>
  <dc:creator>JB Infotech</dc:creator>
</cp:coreProperties>
</file>