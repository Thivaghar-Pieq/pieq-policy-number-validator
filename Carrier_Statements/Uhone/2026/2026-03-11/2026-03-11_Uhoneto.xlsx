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tatement_AA5418109_2" sheetId="1" r:id="rId4"/>
    <sheet state="visible" name="Sheet1" sheetId="2" r:id="rId5"/>
  </sheets>
  <definedNames>
    <definedName hidden="1" localSheetId="1" name="_xlnm._FilterDatabase">Sheet1!$A$1:$Q$1000</definedName>
  </definedNames>
  <calcPr/>
  <extLst>
    <ext uri="GoogleSheetsCustomDataVersion2">
      <go:sheetsCustomData xmlns:go="http://customooxmlschemas.google.com/" r:id="rId6" roundtripDataChecksum="Mc32WUuiV5TCXKX0ED45Tc8JBiiJoj3Aw43+jGh0XGw="/>
    </ext>
  </extLst>
</workbook>
</file>

<file path=xl/sharedStrings.xml><?xml version="1.0" encoding="utf-8"?>
<sst xmlns="http://schemas.openxmlformats.org/spreadsheetml/2006/main" count="946" uniqueCount="220">
  <si>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</si>
  <si>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</si>
  <si>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</si>
  <si>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</si>
  <si>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</si>
  <si>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</si>
  <si>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</si>
  <si>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</si>
  <si>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</si>
  <si>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</si>
  <si>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</si>
  <si>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</si>
  <si>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</si>
  <si>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</si>
  <si>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</si>
  <si>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</si>
  <si>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</si>
  <si>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</si>
  <si>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</si>
  <si>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</si>
  <si>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</si>
  <si>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</si>
  <si>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</si>
  <si>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</si>
  <si>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</si>
  <si>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</si>
  <si>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</si>
  <si>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</si>
  <si>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</si>
  <si>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</si>
  <si>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</si>
  <si>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</si>
  <si>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</si>
  <si>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</si>
  <si>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</si>
  <si>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</si>
  <si>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</si>
  <si>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</si>
  <si>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</si>
  <si>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</si>
  <si>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</si>
  <si>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</si>
  <si>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</si>
  <si>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</si>
  <si>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</si>
  <si>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</si>
  <si>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</si>
  <si>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</si>
  <si>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</si>
  <si>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</si>
  <si>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</si>
  <si>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Foley</t>
  </si>
  <si>
    <t>Carol</t>
  </si>
  <si>
    <t>XXX-XX-1245</t>
  </si>
  <si>
    <t>PA</t>
  </si>
  <si>
    <t>MARIA</t>
  </si>
  <si>
    <t>QUIC CAXAJ</t>
  </si>
  <si>
    <t>216 Washington Ave</t>
  </si>
  <si>
    <t>Sellersville</t>
  </si>
  <si>
    <t>Critical Life SafeGrd 10</t>
  </si>
  <si>
    <t>Ancillary Base</t>
  </si>
  <si>
    <t>Monthly</t>
  </si>
  <si>
    <t>R</t>
  </si>
  <si>
    <t>N</t>
  </si>
  <si>
    <t>COMM</t>
  </si>
  <si>
    <t>ANNA</t>
  </si>
  <si>
    <t>CABOT</t>
  </si>
  <si>
    <t>1849 N Valley Rd</t>
  </si>
  <si>
    <t>Malvern</t>
  </si>
  <si>
    <t>Vision</t>
  </si>
  <si>
    <t>Vision Stand Alone Base Coverage</t>
  </si>
  <si>
    <t>STUART</t>
  </si>
  <si>
    <t>STURROCK</t>
  </si>
  <si>
    <t>112 W 6th Ave</t>
  </si>
  <si>
    <t>Conshohocken</t>
  </si>
  <si>
    <t>MONIQUE</t>
  </si>
  <si>
    <t>SEYLER</t>
  </si>
  <si>
    <t>100 N Roberts Rd Apt A</t>
  </si>
  <si>
    <t>Bryn Mawr</t>
  </si>
  <si>
    <t>VisionWise Premier</t>
  </si>
  <si>
    <t>VisionWise Base</t>
  </si>
  <si>
    <t>Hoffmann</t>
  </si>
  <si>
    <t>Jason</t>
  </si>
  <si>
    <t>XXX-XX-4575</t>
  </si>
  <si>
    <t>KARA</t>
  </si>
  <si>
    <t>COWEN</t>
  </si>
  <si>
    <t>995 Ridgewood Ln</t>
  </si>
  <si>
    <t>West Chester</t>
  </si>
  <si>
    <t>MICHAEL</t>
  </si>
  <si>
    <t>DIGREGORIO</t>
  </si>
  <si>
    <t>30 Nutt Rd Apt D4</t>
  </si>
  <si>
    <t>Phoenixville</t>
  </si>
  <si>
    <t>Accident ExpenseGuard</t>
  </si>
  <si>
    <t>APG Base Coverage</t>
  </si>
  <si>
    <t>OH</t>
  </si>
  <si>
    <t>DOUGLAS</t>
  </si>
  <si>
    <t>GEISSINGER</t>
  </si>
  <si>
    <t>2151 Mount Pleasant St Nw</t>
  </si>
  <si>
    <t>North Canton</t>
  </si>
  <si>
    <t>3303239338 EXT.</t>
  </si>
  <si>
    <t>Dental Primary</t>
  </si>
  <si>
    <t>Dental Base Coverage</t>
  </si>
  <si>
    <t>Caltagirone</t>
  </si>
  <si>
    <t>Katelenn</t>
  </si>
  <si>
    <t>XXX-XX-0852</t>
  </si>
  <si>
    <t>SC</t>
  </si>
  <si>
    <t>TIMOTHY</t>
  </si>
  <si>
    <t>WASSELL</t>
  </si>
  <si>
    <t>150 Ireland Dr</t>
  </si>
  <si>
    <t>North</t>
  </si>
  <si>
    <t>New Benefits Base</t>
  </si>
  <si>
    <t>New Benefits Base Coverage</t>
  </si>
  <si>
    <t>White</t>
  </si>
  <si>
    <t>Laneece</t>
  </si>
  <si>
    <t>XXX-XX-2248</t>
  </si>
  <si>
    <t>NC</t>
  </si>
  <si>
    <t>MD</t>
  </si>
  <si>
    <t>S AMANDA</t>
  </si>
  <si>
    <t>DAVIS</t>
  </si>
  <si>
    <t>1216 Cranebridge Plc</t>
  </si>
  <si>
    <t>Chapel Hill</t>
  </si>
  <si>
    <t>3015237598 EXT.</t>
  </si>
  <si>
    <t>Casta</t>
  </si>
  <si>
    <t>Laurie</t>
  </si>
  <si>
    <t>XXX-XX-3207</t>
  </si>
  <si>
    <t>CASSANDRA</t>
  </si>
  <si>
    <t>KRAHAM</t>
  </si>
  <si>
    <t>1100 Ednor Rd</t>
  </si>
  <si>
    <t>Silver Spring</t>
  </si>
  <si>
    <t>DEBRA</t>
  </si>
  <si>
    <t>BECK</t>
  </si>
  <si>
    <t>2557 Baldwin Mill Rd</t>
  </si>
  <si>
    <t>Baldwin</t>
  </si>
  <si>
    <t>ANGELA</t>
  </si>
  <si>
    <t>3554 Woodring Ave</t>
  </si>
  <si>
    <t>Baltimore</t>
  </si>
  <si>
    <t>Hosp Guard GI</t>
  </si>
  <si>
    <t>4436874718 EXT.</t>
  </si>
  <si>
    <t>Dental Premier</t>
  </si>
  <si>
    <t>SHARON</t>
  </si>
  <si>
    <t>JOSEPH</t>
  </si>
  <si>
    <t>9919 Grant St</t>
  </si>
  <si>
    <t>Lanham</t>
  </si>
  <si>
    <t>JOY</t>
  </si>
  <si>
    <t>FOURNILLIER</t>
  </si>
  <si>
    <t>3017148465 EXT.</t>
  </si>
  <si>
    <t>Richter</t>
  </si>
  <si>
    <t>Peter</t>
  </si>
  <si>
    <t>XXX-XX-8611</t>
  </si>
  <si>
    <t>DONNA</t>
  </si>
  <si>
    <t>MILBOURNE</t>
  </si>
  <si>
    <t>203 Walden Dr</t>
  </si>
  <si>
    <t>Fruitland</t>
  </si>
  <si>
    <t>21826-1331</t>
  </si>
  <si>
    <t>4104406558 EXT.</t>
  </si>
  <si>
    <t>THERESA</t>
  </si>
  <si>
    <t>COLE</t>
  </si>
  <si>
    <t>859 Franklin St</t>
  </si>
  <si>
    <t>Coatesville</t>
  </si>
  <si>
    <t>19320-5814</t>
  </si>
  <si>
    <t>4849478481 EXT.</t>
  </si>
  <si>
    <t>STEPHEN</t>
  </si>
  <si>
    <t>BIEGANSKI</t>
  </si>
  <si>
    <t>600 King Rd</t>
  </si>
  <si>
    <t>KEVIN</t>
  </si>
  <si>
    <t>MILLER</t>
  </si>
  <si>
    <t>819 W 34th St</t>
  </si>
  <si>
    <t>MARYURI</t>
  </si>
  <si>
    <t>MEMBRENO NAVAS</t>
  </si>
  <si>
    <t>7527 Cypress Ave</t>
  </si>
  <si>
    <t>Kucan</t>
  </si>
  <si>
    <t>Thomas</t>
  </si>
  <si>
    <t>XXX-XX-4686</t>
  </si>
  <si>
    <t>CHARLES</t>
  </si>
  <si>
    <t>MACDONALD</t>
  </si>
  <si>
    <t>2159 Scotts Crossing Ct Apt 102</t>
  </si>
  <si>
    <t>Annapolis</t>
  </si>
  <si>
    <t>JUANITA</t>
  </si>
  <si>
    <t>PINCHBACK</t>
  </si>
  <si>
    <t>1374 Harford Square Dr</t>
  </si>
  <si>
    <t>Edgewood</t>
  </si>
  <si>
    <t>4102625709 EXT.</t>
  </si>
  <si>
    <t>AUDREY</t>
  </si>
  <si>
    <t>ROZIER</t>
  </si>
  <si>
    <t>933 Oakmoor Dr</t>
  </si>
  <si>
    <t>Halethorpe</t>
  </si>
  <si>
    <t>4437645521 EXT.</t>
  </si>
  <si>
    <t>DentalWise Max 2000</t>
  </si>
  <si>
    <t>DentalWise Base</t>
  </si>
  <si>
    <t>MATTHEW</t>
  </si>
  <si>
    <t>BOLIEK</t>
  </si>
  <si>
    <t>1405 Billman Ln</t>
  </si>
  <si>
    <t>2024209585 EXT.</t>
  </si>
  <si>
    <t>DentalWise Max 1000</t>
  </si>
  <si>
    <t>PAUL</t>
  </si>
  <si>
    <t>KOESTER</t>
  </si>
  <si>
    <t>201 Louise Ave</t>
  </si>
  <si>
    <t>Salisbury</t>
  </si>
  <si>
    <t>21804-4531</t>
  </si>
  <si>
    <t>4432071148 EXT.</t>
  </si>
  <si>
    <t>DentalWise Max 3000</t>
  </si>
  <si>
    <t>ANDREW</t>
  </si>
  <si>
    <t>FLEMING</t>
  </si>
  <si>
    <t>1087 Ebelhare Rd</t>
  </si>
  <si>
    <t>Pottstown</t>
  </si>
  <si>
    <t>TOUSSANT</t>
  </si>
  <si>
    <t>MCKENZIE</t>
  </si>
  <si>
    <t>1719 Wadsworth Way</t>
  </si>
  <si>
    <t>4102946300 EXT.</t>
  </si>
  <si>
    <t>product</t>
  </si>
  <si>
    <t>uhone Critical Life SafeGrd 20</t>
  </si>
  <si>
    <t>Uhone Vision</t>
  </si>
  <si>
    <t>Uhone DentalWise 1000, 2000 (all states except CO, FL, NM, NV, RI, SD, WA) 18-64</t>
  </si>
  <si>
    <t>Uhone Accident ExpenseGuard</t>
  </si>
  <si>
    <t>Uhone Dental Primary</t>
  </si>
  <si>
    <t>Uhone New Benefits Base</t>
  </si>
  <si>
    <t>Uhone Vision - DE, FL, IN, KY, MD, OH, NJ, SC, TN, VT</t>
  </si>
  <si>
    <t>Uhone Guard Plan</t>
  </si>
  <si>
    <t>UHONE dental premier*</t>
  </si>
  <si>
    <t>Uhone Dental Premier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</si>
</sst>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color rgb="FF212529"/>
      <name val="&quot;Segoe UI Webfon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11.57"/>
    <col customWidth="1" min="3" max="3" width="21.86"/>
    <col customWidth="1" min="4" max="4" width="31.71"/>
    <col customWidth="1" min="5" max="5" width="23.57"/>
    <col customWidth="1" min="6" max="6" width="20.43"/>
    <col customWidth="1" min="7" max="7" width="18.86"/>
    <col customWidth="1" min="8" max="8" width="19.29"/>
    <col customWidth="1" min="9" max="9" width="12.86"/>
    <col customWidth="1" min="10" max="10" width="26.0"/>
    <col customWidth="1" min="11" max="11" width="14.14"/>
    <col customWidth="1" min="12" max="12" width="19.43"/>
    <col customWidth="1" min="13" max="13" width="16.0"/>
    <col customWidth="1" min="14" max="14" width="15.57"/>
    <col customWidth="1" min="15" max="15" width="10.57"/>
    <col customWidth="1" min="16" max="16" width="15.29"/>
    <col customWidth="1" min="17" max="17" width="19.86"/>
    <col customWidth="1" min="18" max="18" width="16.43"/>
    <col customWidth="1" min="19" max="19" width="22.57"/>
    <col customWidth="1" min="20" max="20" width="25.0"/>
    <col customWidth="1" min="21" max="21" width="22.14"/>
    <col customWidth="1" min="22" max="22" width="18.0"/>
    <col customWidth="1" min="23" max="23" width="28.43"/>
    <col customWidth="1" min="24" max="25" width="21.57"/>
    <col customWidth="1" min="26" max="26" width="16.14"/>
    <col customWidth="1" min="27" max="27" width="17.43"/>
    <col customWidth="1" min="28" max="28" width="15.43"/>
    <col customWidth="1" min="29" max="29" width="26.57"/>
    <col customWidth="1" min="30" max="30" width="21.86"/>
    <col customWidth="1" min="31" max="31" width="23.0"/>
    <col customWidth="1" min="32" max="32" width="31.71"/>
    <col customWidth="1" min="33" max="33" width="11.86"/>
    <col customWidth="1" min="34" max="34" width="13.71"/>
    <col customWidth="1" min="35" max="35" width="23.86"/>
    <col customWidth="1" min="36" max="36" width="28.29"/>
    <col customWidth="1" min="37" max="37" width="24.0"/>
    <col customWidth="1" min="38" max="38" width="16.14"/>
    <col customWidth="1" min="39" max="39" width="23.71"/>
    <col customWidth="1" min="40" max="40" width="21.71"/>
    <col customWidth="1" min="41" max="41" width="31.86"/>
    <col customWidth="1" min="42" max="42" width="16.71"/>
    <col customWidth="1" min="43" max="43" width="31.43"/>
    <col customWidth="1" min="44" max="44" width="14.57"/>
    <col customWidth="1" min="45" max="45" width="25.0"/>
    <col customWidth="1" min="46" max="46" width="29.86"/>
    <col customWidth="1" min="47" max="47" width="27.29"/>
    <col customWidth="1" min="48" max="48" width="12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 t="s">
        <v>48</v>
      </c>
      <c r="B2" s="1">
        <v>2.0260325E7</v>
      </c>
      <c r="C2" s="1" t="s">
        <v>49</v>
      </c>
      <c r="D2" s="1">
        <v>0.0</v>
      </c>
      <c r="E2" s="1">
        <v>2.0411454E7</v>
      </c>
      <c r="F2" s="1" t="s">
        <v>50</v>
      </c>
      <c r="G2" s="1" t="s">
        <v>51</v>
      </c>
      <c r="H2" s="1" t="s">
        <v>52</v>
      </c>
      <c r="I2" s="1" t="s">
        <v>53</v>
      </c>
      <c r="J2" s="1">
        <v>1.7425766E7</v>
      </c>
      <c r="K2" s="1">
        <v>4.41952843E8</v>
      </c>
      <c r="L2" s="1">
        <v>2.0230503E7</v>
      </c>
      <c r="M2" s="1">
        <v>2.0230502E7</v>
      </c>
      <c r="O2" s="1">
        <v>3.0</v>
      </c>
      <c r="P2" s="1">
        <v>55.0</v>
      </c>
      <c r="Q2" s="1" t="s">
        <v>54</v>
      </c>
      <c r="R2" s="1" t="s">
        <v>54</v>
      </c>
      <c r="S2" s="1" t="s">
        <v>55</v>
      </c>
      <c r="U2" s="1" t="s">
        <v>56</v>
      </c>
      <c r="W2" s="1" t="s">
        <v>57</v>
      </c>
      <c r="Z2" s="1" t="s">
        <v>58</v>
      </c>
      <c r="AA2" s="1" t="s">
        <v>54</v>
      </c>
      <c r="AB2" s="1">
        <v>18960.0</v>
      </c>
      <c r="AE2" s="1" t="s">
        <v>59</v>
      </c>
      <c r="AF2" s="1" t="s">
        <v>60</v>
      </c>
      <c r="AG2" s="1" t="s">
        <v>61</v>
      </c>
      <c r="AH2" s="1" t="s">
        <v>62</v>
      </c>
      <c r="AI2" s="1">
        <v>2.0260301E7</v>
      </c>
      <c r="AJ2" s="1" t="s">
        <v>63</v>
      </c>
      <c r="AK2" s="1" t="s">
        <v>63</v>
      </c>
      <c r="AL2" s="1">
        <v>1.0</v>
      </c>
      <c r="AM2" s="1">
        <v>2.0260305E7</v>
      </c>
      <c r="AN2" s="1">
        <v>62.58</v>
      </c>
      <c r="AO2" s="1">
        <v>62.58</v>
      </c>
      <c r="AP2" s="1" t="s">
        <v>63</v>
      </c>
      <c r="AS2" s="1">
        <v>100.0</v>
      </c>
      <c r="AT2" s="1">
        <v>3.13</v>
      </c>
      <c r="AU2" s="1">
        <v>5.0</v>
      </c>
      <c r="AV2" s="1" t="s">
        <v>64</v>
      </c>
    </row>
    <row r="3">
      <c r="A3" s="1" t="s">
        <v>48</v>
      </c>
      <c r="B3" s="1">
        <v>2.0260325E7</v>
      </c>
      <c r="C3" s="1" t="s">
        <v>49</v>
      </c>
      <c r="D3" s="1">
        <v>0.0</v>
      </c>
      <c r="E3" s="1">
        <v>2.0411454E7</v>
      </c>
      <c r="F3" s="1" t="s">
        <v>50</v>
      </c>
      <c r="G3" s="1" t="s">
        <v>51</v>
      </c>
      <c r="H3" s="1" t="s">
        <v>52</v>
      </c>
      <c r="I3" s="1" t="s">
        <v>53</v>
      </c>
      <c r="J3" s="1">
        <v>1.7425766E7</v>
      </c>
      <c r="K3" s="1">
        <v>4.42293037E8</v>
      </c>
      <c r="L3" s="1">
        <v>2.0231121E7</v>
      </c>
      <c r="M3" s="1">
        <v>2.023112E7</v>
      </c>
      <c r="O3" s="1">
        <v>3.0</v>
      </c>
      <c r="P3" s="1">
        <v>58.0</v>
      </c>
      <c r="Q3" s="1" t="s">
        <v>54</v>
      </c>
      <c r="R3" s="1" t="s">
        <v>54</v>
      </c>
      <c r="S3" s="1" t="s">
        <v>65</v>
      </c>
      <c r="U3" s="1" t="s">
        <v>66</v>
      </c>
      <c r="W3" s="1" t="s">
        <v>67</v>
      </c>
      <c r="Z3" s="1" t="s">
        <v>68</v>
      </c>
      <c r="AA3" s="1" t="s">
        <v>54</v>
      </c>
      <c r="AB3" s="1">
        <v>19355.0</v>
      </c>
      <c r="AE3" s="1" t="s">
        <v>69</v>
      </c>
      <c r="AF3" s="1" t="s">
        <v>70</v>
      </c>
      <c r="AG3" s="1" t="s">
        <v>61</v>
      </c>
      <c r="AH3" s="1" t="s">
        <v>62</v>
      </c>
      <c r="AI3" s="1">
        <v>2.0260301E7</v>
      </c>
      <c r="AJ3" s="1" t="s">
        <v>63</v>
      </c>
      <c r="AK3" s="1" t="s">
        <v>63</v>
      </c>
      <c r="AL3" s="1">
        <v>1.0</v>
      </c>
      <c r="AM3" s="1">
        <v>2.0260311E7</v>
      </c>
      <c r="AN3" s="1">
        <v>11.4</v>
      </c>
      <c r="AO3" s="1">
        <v>11.4</v>
      </c>
      <c r="AP3" s="1" t="s">
        <v>63</v>
      </c>
      <c r="AS3" s="1">
        <v>100.0</v>
      </c>
      <c r="AT3" s="1">
        <v>0.91</v>
      </c>
      <c r="AU3" s="1">
        <v>8.0</v>
      </c>
      <c r="AV3" s="1" t="s">
        <v>64</v>
      </c>
    </row>
    <row r="4">
      <c r="A4" s="1" t="s">
        <v>48</v>
      </c>
      <c r="B4" s="1">
        <v>2.0260325E7</v>
      </c>
      <c r="C4" s="1" t="s">
        <v>49</v>
      </c>
      <c r="D4" s="1">
        <v>0.0</v>
      </c>
      <c r="E4" s="1">
        <v>2.0411454E7</v>
      </c>
      <c r="F4" s="1" t="s">
        <v>50</v>
      </c>
      <c r="G4" s="1" t="s">
        <v>51</v>
      </c>
      <c r="H4" s="1" t="s">
        <v>52</v>
      </c>
      <c r="I4" s="1" t="s">
        <v>53</v>
      </c>
      <c r="J4" s="1">
        <v>1.7425766E7</v>
      </c>
      <c r="K4" s="1">
        <v>4.42363899E8</v>
      </c>
      <c r="L4" s="1">
        <v>2.0231214E7</v>
      </c>
      <c r="M4" s="1">
        <v>2.0231213E7</v>
      </c>
      <c r="O4" s="1">
        <v>3.0</v>
      </c>
      <c r="P4" s="1">
        <v>57.0</v>
      </c>
      <c r="Q4" s="1" t="s">
        <v>54</v>
      </c>
      <c r="R4" s="1" t="s">
        <v>54</v>
      </c>
      <c r="S4" s="1" t="s">
        <v>71</v>
      </c>
      <c r="U4" s="1" t="s">
        <v>72</v>
      </c>
      <c r="W4" s="1" t="s">
        <v>73</v>
      </c>
      <c r="Z4" s="1" t="s">
        <v>74</v>
      </c>
      <c r="AA4" s="1" t="s">
        <v>54</v>
      </c>
      <c r="AB4" s="1">
        <v>19428.0</v>
      </c>
      <c r="AE4" s="1" t="s">
        <v>69</v>
      </c>
      <c r="AF4" s="1" t="s">
        <v>70</v>
      </c>
      <c r="AG4" s="1" t="s">
        <v>61</v>
      </c>
      <c r="AH4" s="1" t="s">
        <v>62</v>
      </c>
      <c r="AI4" s="1">
        <v>2.0260301E7</v>
      </c>
      <c r="AJ4" s="1" t="s">
        <v>63</v>
      </c>
      <c r="AK4" s="1" t="s">
        <v>63</v>
      </c>
      <c r="AL4" s="1">
        <v>1.0</v>
      </c>
      <c r="AM4" s="1">
        <v>2.0260307E7</v>
      </c>
      <c r="AN4" s="1">
        <v>11.4</v>
      </c>
      <c r="AO4" s="1">
        <v>11.4</v>
      </c>
      <c r="AP4" s="1" t="s">
        <v>63</v>
      </c>
      <c r="AS4" s="1">
        <v>100.0</v>
      </c>
      <c r="AT4" s="1">
        <v>0.91</v>
      </c>
      <c r="AU4" s="1">
        <v>8.0</v>
      </c>
      <c r="AV4" s="1" t="s">
        <v>64</v>
      </c>
    </row>
    <row r="5">
      <c r="A5" s="1" t="s">
        <v>48</v>
      </c>
      <c r="B5" s="1">
        <v>2.0260325E7</v>
      </c>
      <c r="C5" s="1" t="s">
        <v>49</v>
      </c>
      <c r="D5" s="1">
        <v>0.0</v>
      </c>
      <c r="E5" s="1">
        <v>2.0411454E7</v>
      </c>
      <c r="F5" s="1" t="s">
        <v>50</v>
      </c>
      <c r="G5" s="1" t="s">
        <v>51</v>
      </c>
      <c r="H5" s="1" t="s">
        <v>52</v>
      </c>
      <c r="I5" s="1" t="s">
        <v>53</v>
      </c>
      <c r="J5" s="1">
        <v>1.7425766E7</v>
      </c>
      <c r="K5" s="1">
        <v>4.42477122E8</v>
      </c>
      <c r="L5" s="1">
        <v>2.0240206E7</v>
      </c>
      <c r="M5" s="1">
        <v>2.0240205E7</v>
      </c>
      <c r="O5" s="1">
        <v>3.0</v>
      </c>
      <c r="P5" s="1">
        <v>67.0</v>
      </c>
      <c r="Q5" s="1" t="s">
        <v>54</v>
      </c>
      <c r="R5" s="1" t="s">
        <v>54</v>
      </c>
      <c r="S5" s="1" t="s">
        <v>75</v>
      </c>
      <c r="U5" s="1" t="s">
        <v>76</v>
      </c>
      <c r="W5" s="1" t="s">
        <v>77</v>
      </c>
      <c r="Z5" s="1" t="s">
        <v>78</v>
      </c>
      <c r="AA5" s="1" t="s">
        <v>54</v>
      </c>
      <c r="AB5" s="1">
        <v>19010.0</v>
      </c>
      <c r="AE5" s="1" t="s">
        <v>79</v>
      </c>
      <c r="AF5" s="1" t="s">
        <v>80</v>
      </c>
      <c r="AG5" s="1" t="s">
        <v>61</v>
      </c>
      <c r="AH5" s="1" t="s">
        <v>62</v>
      </c>
      <c r="AI5" s="1">
        <v>2.0260301E7</v>
      </c>
      <c r="AJ5" s="1" t="s">
        <v>63</v>
      </c>
      <c r="AK5" s="1" t="s">
        <v>63</v>
      </c>
      <c r="AL5" s="1">
        <v>1.0</v>
      </c>
      <c r="AM5" s="1">
        <v>2.026031E7</v>
      </c>
      <c r="AN5" s="1">
        <v>13.28</v>
      </c>
      <c r="AO5" s="1">
        <v>13.28</v>
      </c>
      <c r="AP5" s="1" t="s">
        <v>63</v>
      </c>
      <c r="AS5" s="1">
        <v>100.0</v>
      </c>
      <c r="AT5" s="1">
        <v>0.93</v>
      </c>
      <c r="AU5" s="1">
        <v>7.0</v>
      </c>
      <c r="AV5" s="1" t="s">
        <v>64</v>
      </c>
    </row>
    <row r="6">
      <c r="A6" s="1" t="s">
        <v>48</v>
      </c>
      <c r="B6" s="1">
        <v>2.0260325E7</v>
      </c>
      <c r="C6" s="1" t="s">
        <v>49</v>
      </c>
      <c r="D6" s="1">
        <v>0.0</v>
      </c>
      <c r="E6" s="1">
        <v>2.0411454E7</v>
      </c>
      <c r="F6" s="1" t="s">
        <v>50</v>
      </c>
      <c r="G6" s="1" t="s">
        <v>81</v>
      </c>
      <c r="H6" s="1" t="s">
        <v>82</v>
      </c>
      <c r="I6" s="1" t="s">
        <v>83</v>
      </c>
      <c r="J6" s="1">
        <v>1.5278437E7</v>
      </c>
      <c r="K6" s="1">
        <v>4.41696456E8</v>
      </c>
      <c r="L6" s="1">
        <v>2.0221213E7</v>
      </c>
      <c r="M6" s="1">
        <v>2.0221212E7</v>
      </c>
      <c r="O6" s="1">
        <v>4.0</v>
      </c>
      <c r="P6" s="1">
        <v>36.0</v>
      </c>
      <c r="Q6" s="1" t="s">
        <v>54</v>
      </c>
      <c r="R6" s="1" t="s">
        <v>54</v>
      </c>
      <c r="S6" s="1" t="s">
        <v>84</v>
      </c>
      <c r="U6" s="1" t="s">
        <v>85</v>
      </c>
      <c r="W6" s="1" t="s">
        <v>86</v>
      </c>
      <c r="Z6" s="1" t="s">
        <v>87</v>
      </c>
      <c r="AA6" s="1" t="s">
        <v>54</v>
      </c>
      <c r="AB6" s="1">
        <v>19382.0</v>
      </c>
      <c r="AE6" s="1" t="s">
        <v>69</v>
      </c>
      <c r="AF6" s="1" t="s">
        <v>70</v>
      </c>
      <c r="AG6" s="1" t="s">
        <v>61</v>
      </c>
      <c r="AH6" s="1" t="s">
        <v>62</v>
      </c>
      <c r="AI6" s="1">
        <v>2.0260301E7</v>
      </c>
      <c r="AJ6" s="1" t="s">
        <v>63</v>
      </c>
      <c r="AK6" s="1" t="s">
        <v>63</v>
      </c>
      <c r="AL6" s="1">
        <v>0.0</v>
      </c>
      <c r="AM6" s="1">
        <v>2.0260306E7</v>
      </c>
      <c r="AN6" s="1">
        <v>11.4</v>
      </c>
      <c r="AO6" s="1">
        <v>11.4</v>
      </c>
      <c r="AP6" s="1" t="s">
        <v>63</v>
      </c>
      <c r="AS6" s="1">
        <v>100.0</v>
      </c>
      <c r="AT6" s="1">
        <v>0.91</v>
      </c>
      <c r="AU6" s="1">
        <v>8.0</v>
      </c>
      <c r="AV6" s="1" t="s">
        <v>64</v>
      </c>
    </row>
    <row r="7">
      <c r="A7" s="1" t="s">
        <v>48</v>
      </c>
      <c r="B7" s="1">
        <v>2.0260325E7</v>
      </c>
      <c r="C7" s="1" t="s">
        <v>49</v>
      </c>
      <c r="D7" s="1">
        <v>0.0</v>
      </c>
      <c r="E7" s="1">
        <v>2.0411454E7</v>
      </c>
      <c r="F7" s="1" t="s">
        <v>50</v>
      </c>
      <c r="G7" s="1" t="s">
        <v>81</v>
      </c>
      <c r="H7" s="1" t="s">
        <v>82</v>
      </c>
      <c r="I7" s="1" t="s">
        <v>83</v>
      </c>
      <c r="J7" s="1">
        <v>1.5278437E7</v>
      </c>
      <c r="K7" s="1">
        <v>4.41699275E8</v>
      </c>
      <c r="L7" s="1">
        <v>2.0221214E7</v>
      </c>
      <c r="M7" s="1">
        <v>2.0221213E7</v>
      </c>
      <c r="O7" s="1">
        <v>4.0</v>
      </c>
      <c r="P7" s="1">
        <v>28.0</v>
      </c>
      <c r="Q7" s="1" t="s">
        <v>54</v>
      </c>
      <c r="R7" s="1" t="s">
        <v>54</v>
      </c>
      <c r="S7" s="1" t="s">
        <v>88</v>
      </c>
      <c r="U7" s="1" t="s">
        <v>89</v>
      </c>
      <c r="W7" s="1" t="s">
        <v>90</v>
      </c>
      <c r="Z7" s="1" t="s">
        <v>91</v>
      </c>
      <c r="AA7" s="1" t="s">
        <v>54</v>
      </c>
      <c r="AB7" s="1">
        <v>19460.0</v>
      </c>
      <c r="AE7" s="1" t="s">
        <v>92</v>
      </c>
      <c r="AF7" s="1" t="s">
        <v>93</v>
      </c>
      <c r="AG7" s="1" t="s">
        <v>61</v>
      </c>
      <c r="AH7" s="1" t="s">
        <v>62</v>
      </c>
      <c r="AI7" s="1">
        <v>2.0260301E7</v>
      </c>
      <c r="AJ7" s="1" t="s">
        <v>63</v>
      </c>
      <c r="AK7" s="1" t="s">
        <v>63</v>
      </c>
      <c r="AL7" s="1">
        <v>0.0</v>
      </c>
      <c r="AM7" s="1">
        <v>2.0260307E7</v>
      </c>
      <c r="AN7" s="1">
        <v>34.94</v>
      </c>
      <c r="AO7" s="1">
        <v>34.94</v>
      </c>
      <c r="AP7" s="1" t="s">
        <v>63</v>
      </c>
      <c r="AS7" s="1">
        <v>100.0</v>
      </c>
      <c r="AT7" s="1">
        <v>2.8</v>
      </c>
      <c r="AU7" s="1">
        <v>8.0</v>
      </c>
      <c r="AV7" s="1" t="s">
        <v>64</v>
      </c>
    </row>
    <row r="8">
      <c r="A8" s="1" t="s">
        <v>48</v>
      </c>
      <c r="B8" s="1">
        <v>2.0260325E7</v>
      </c>
      <c r="C8" s="1" t="s">
        <v>49</v>
      </c>
      <c r="D8" s="1">
        <v>0.0</v>
      </c>
      <c r="E8" s="1">
        <v>2.0411454E7</v>
      </c>
      <c r="F8" s="1" t="s">
        <v>50</v>
      </c>
      <c r="G8" s="1" t="s">
        <v>81</v>
      </c>
      <c r="H8" s="1" t="s">
        <v>82</v>
      </c>
      <c r="I8" s="1" t="s">
        <v>83</v>
      </c>
      <c r="J8" s="1">
        <v>1.5278437E7</v>
      </c>
      <c r="K8" s="1">
        <v>4.42249622E8</v>
      </c>
      <c r="L8" s="1">
        <v>2.0231103E7</v>
      </c>
      <c r="M8" s="1">
        <v>2.0231102E7</v>
      </c>
      <c r="O8" s="1">
        <v>3.0</v>
      </c>
      <c r="P8" s="1">
        <v>60.0</v>
      </c>
      <c r="Q8" s="1" t="s">
        <v>94</v>
      </c>
      <c r="R8" s="1" t="s">
        <v>94</v>
      </c>
      <c r="S8" s="1" t="s">
        <v>95</v>
      </c>
      <c r="U8" s="1" t="s">
        <v>96</v>
      </c>
      <c r="W8" s="1" t="s">
        <v>97</v>
      </c>
      <c r="Z8" s="1" t="s">
        <v>98</v>
      </c>
      <c r="AA8" s="1" t="s">
        <v>94</v>
      </c>
      <c r="AB8" s="1">
        <v>44720.0</v>
      </c>
      <c r="AC8" s="1" t="s">
        <v>99</v>
      </c>
      <c r="AE8" s="1" t="s">
        <v>100</v>
      </c>
      <c r="AF8" s="1" t="s">
        <v>101</v>
      </c>
      <c r="AG8" s="1" t="s">
        <v>61</v>
      </c>
      <c r="AH8" s="1" t="s">
        <v>62</v>
      </c>
      <c r="AI8" s="1">
        <v>2.0260301E7</v>
      </c>
      <c r="AJ8" s="1" t="s">
        <v>63</v>
      </c>
      <c r="AK8" s="1" t="s">
        <v>63</v>
      </c>
      <c r="AL8" s="1">
        <v>1.0</v>
      </c>
      <c r="AM8" s="1">
        <v>2.0260305E7</v>
      </c>
      <c r="AN8" s="1">
        <v>21.81</v>
      </c>
      <c r="AO8" s="1">
        <v>21.81</v>
      </c>
      <c r="AP8" s="1" t="s">
        <v>63</v>
      </c>
      <c r="AS8" s="1">
        <v>100.0</v>
      </c>
      <c r="AT8" s="1">
        <v>0.87</v>
      </c>
      <c r="AU8" s="1">
        <v>4.0</v>
      </c>
      <c r="AV8" s="1" t="s">
        <v>64</v>
      </c>
    </row>
    <row r="9">
      <c r="A9" s="1" t="s">
        <v>48</v>
      </c>
      <c r="B9" s="1">
        <v>2.0260325E7</v>
      </c>
      <c r="C9" s="1" t="s">
        <v>49</v>
      </c>
      <c r="D9" s="1">
        <v>0.0</v>
      </c>
      <c r="E9" s="1">
        <v>2.0411454E7</v>
      </c>
      <c r="F9" s="1" t="s">
        <v>50</v>
      </c>
      <c r="G9" s="1" t="s">
        <v>102</v>
      </c>
      <c r="H9" s="1" t="s">
        <v>103</v>
      </c>
      <c r="I9" s="1" t="s">
        <v>104</v>
      </c>
      <c r="J9" s="1">
        <v>2.0436896E7</v>
      </c>
      <c r="K9" s="1">
        <v>4.41769366E8</v>
      </c>
      <c r="L9" s="1">
        <v>2.0230124E7</v>
      </c>
      <c r="M9" s="1">
        <v>2.0230113E7</v>
      </c>
      <c r="O9" s="1">
        <v>4.0</v>
      </c>
      <c r="P9" s="1">
        <v>53.0</v>
      </c>
      <c r="Q9" s="1" t="s">
        <v>105</v>
      </c>
      <c r="R9" s="1" t="s">
        <v>105</v>
      </c>
      <c r="S9" s="1" t="s">
        <v>106</v>
      </c>
      <c r="U9" s="1" t="s">
        <v>107</v>
      </c>
      <c r="W9" s="1" t="s">
        <v>108</v>
      </c>
      <c r="Z9" s="1" t="s">
        <v>109</v>
      </c>
      <c r="AA9" s="1" t="s">
        <v>105</v>
      </c>
      <c r="AB9" s="1">
        <v>29112.0</v>
      </c>
      <c r="AE9" s="1" t="s">
        <v>110</v>
      </c>
      <c r="AF9" s="1" t="s">
        <v>111</v>
      </c>
      <c r="AG9" s="1" t="s">
        <v>61</v>
      </c>
      <c r="AH9" s="1" t="s">
        <v>62</v>
      </c>
      <c r="AI9" s="1">
        <v>2.0260301E7</v>
      </c>
      <c r="AJ9" s="1" t="s">
        <v>63</v>
      </c>
      <c r="AK9" s="1" t="s">
        <v>63</v>
      </c>
      <c r="AL9" s="1">
        <v>1.0</v>
      </c>
      <c r="AM9" s="1">
        <v>2.0260311E7</v>
      </c>
      <c r="AN9" s="1">
        <v>25.0</v>
      </c>
      <c r="AO9" s="1">
        <v>25.0</v>
      </c>
      <c r="AP9" s="1" t="s">
        <v>63</v>
      </c>
      <c r="AS9" s="1">
        <v>100.0</v>
      </c>
      <c r="AT9" s="1">
        <v>5.0</v>
      </c>
      <c r="AU9" s="1">
        <v>20.0</v>
      </c>
      <c r="AV9" s="1" t="s">
        <v>64</v>
      </c>
    </row>
    <row r="10">
      <c r="A10" s="1" t="s">
        <v>48</v>
      </c>
      <c r="B10" s="1">
        <v>2.0260325E7</v>
      </c>
      <c r="C10" s="1" t="s">
        <v>49</v>
      </c>
      <c r="D10" s="1">
        <v>0.0</v>
      </c>
      <c r="E10" s="1">
        <v>2.0411454E7</v>
      </c>
      <c r="F10" s="1" t="s">
        <v>50</v>
      </c>
      <c r="G10" s="1" t="s">
        <v>112</v>
      </c>
      <c r="H10" s="1" t="s">
        <v>113</v>
      </c>
      <c r="I10" s="1" t="s">
        <v>114</v>
      </c>
      <c r="J10" s="1">
        <v>1.349637E7</v>
      </c>
      <c r="K10" s="1">
        <v>4.42370248E8</v>
      </c>
      <c r="L10" s="1">
        <v>2.0231215E7</v>
      </c>
      <c r="M10" s="1">
        <v>2.0231214E7</v>
      </c>
      <c r="O10" s="1">
        <v>3.0</v>
      </c>
      <c r="P10" s="1">
        <v>62.0</v>
      </c>
      <c r="Q10" s="1" t="s">
        <v>115</v>
      </c>
      <c r="R10" s="1" t="s">
        <v>116</v>
      </c>
      <c r="S10" s="1" t="s">
        <v>117</v>
      </c>
      <c r="U10" s="1" t="s">
        <v>118</v>
      </c>
      <c r="W10" s="1" t="s">
        <v>119</v>
      </c>
      <c r="Z10" s="1" t="s">
        <v>120</v>
      </c>
      <c r="AA10" s="1" t="s">
        <v>115</v>
      </c>
      <c r="AB10" s="1">
        <v>27517.0</v>
      </c>
      <c r="AC10" s="1" t="s">
        <v>121</v>
      </c>
      <c r="AE10" s="1" t="s">
        <v>69</v>
      </c>
      <c r="AF10" s="1" t="s">
        <v>70</v>
      </c>
      <c r="AG10" s="1" t="s">
        <v>61</v>
      </c>
      <c r="AH10" s="1" t="s">
        <v>62</v>
      </c>
      <c r="AI10" s="1">
        <v>2.0260301E7</v>
      </c>
      <c r="AJ10" s="1" t="s">
        <v>63</v>
      </c>
      <c r="AK10" s="1" t="s">
        <v>63</v>
      </c>
      <c r="AL10" s="1">
        <v>1.0</v>
      </c>
      <c r="AM10" s="1">
        <v>2.0260307E7</v>
      </c>
      <c r="AN10" s="1">
        <v>10.4</v>
      </c>
      <c r="AO10" s="1">
        <v>10.4</v>
      </c>
      <c r="AP10" s="1" t="s">
        <v>63</v>
      </c>
      <c r="AS10" s="1">
        <v>100.0</v>
      </c>
      <c r="AT10" s="1">
        <v>0.42</v>
      </c>
      <c r="AU10" s="1">
        <v>4.0</v>
      </c>
      <c r="AV10" s="1" t="s">
        <v>64</v>
      </c>
    </row>
    <row r="11">
      <c r="A11" s="1" t="s">
        <v>48</v>
      </c>
      <c r="B11" s="1">
        <v>2.0260325E7</v>
      </c>
      <c r="C11" s="1" t="s">
        <v>49</v>
      </c>
      <c r="D11" s="1">
        <v>0.0</v>
      </c>
      <c r="E11" s="1">
        <v>2.0411454E7</v>
      </c>
      <c r="F11" s="1" t="s">
        <v>50</v>
      </c>
      <c r="G11" s="1" t="s">
        <v>122</v>
      </c>
      <c r="H11" s="1" t="s">
        <v>123</v>
      </c>
      <c r="I11" s="1" t="s">
        <v>124</v>
      </c>
      <c r="J11" s="1">
        <v>2.0697692E7</v>
      </c>
      <c r="K11" s="1">
        <v>4.42099791E8</v>
      </c>
      <c r="L11" s="1">
        <v>2.0230803E7</v>
      </c>
      <c r="M11" s="1">
        <v>2.0230802E7</v>
      </c>
      <c r="O11" s="1">
        <v>3.0</v>
      </c>
      <c r="P11" s="1">
        <v>55.0</v>
      </c>
      <c r="Q11" s="1" t="s">
        <v>116</v>
      </c>
      <c r="R11" s="1" t="s">
        <v>116</v>
      </c>
      <c r="S11" s="1" t="s">
        <v>125</v>
      </c>
      <c r="U11" s="1" t="s">
        <v>126</v>
      </c>
      <c r="W11" s="1" t="s">
        <v>127</v>
      </c>
      <c r="Z11" s="1" t="s">
        <v>128</v>
      </c>
      <c r="AA11" s="1" t="s">
        <v>116</v>
      </c>
      <c r="AB11" s="1">
        <v>20905.0</v>
      </c>
      <c r="AE11" s="1" t="s">
        <v>69</v>
      </c>
      <c r="AF11" s="1" t="s">
        <v>70</v>
      </c>
      <c r="AG11" s="1" t="s">
        <v>61</v>
      </c>
      <c r="AH11" s="1" t="s">
        <v>62</v>
      </c>
      <c r="AI11" s="1">
        <v>2.0260301E7</v>
      </c>
      <c r="AJ11" s="1" t="s">
        <v>63</v>
      </c>
      <c r="AK11" s="1" t="s">
        <v>63</v>
      </c>
      <c r="AL11" s="1">
        <v>1.0</v>
      </c>
      <c r="AM11" s="1">
        <v>2.0260305E7</v>
      </c>
      <c r="AN11" s="1">
        <v>10.4</v>
      </c>
      <c r="AO11" s="1">
        <v>10.4</v>
      </c>
      <c r="AP11" s="1" t="s">
        <v>63</v>
      </c>
      <c r="AS11" s="1">
        <v>100.0</v>
      </c>
      <c r="AT11" s="1">
        <v>0.42</v>
      </c>
      <c r="AU11" s="1">
        <v>4.0</v>
      </c>
      <c r="AV11" s="1" t="s">
        <v>64</v>
      </c>
    </row>
    <row r="12">
      <c r="A12" s="1" t="s">
        <v>48</v>
      </c>
      <c r="B12" s="1">
        <v>2.0260325E7</v>
      </c>
      <c r="C12" s="1" t="s">
        <v>49</v>
      </c>
      <c r="D12" s="1">
        <v>0.0</v>
      </c>
      <c r="E12" s="1">
        <v>2.0411454E7</v>
      </c>
      <c r="F12" s="1" t="s">
        <v>50</v>
      </c>
      <c r="G12" s="1" t="s">
        <v>122</v>
      </c>
      <c r="H12" s="1" t="s">
        <v>123</v>
      </c>
      <c r="I12" s="1" t="s">
        <v>124</v>
      </c>
      <c r="J12" s="1">
        <v>2.0697692E7</v>
      </c>
      <c r="K12" s="1">
        <v>4.42249792E8</v>
      </c>
      <c r="L12" s="1">
        <v>2.0231103E7</v>
      </c>
      <c r="M12" s="1">
        <v>2.0231102E7</v>
      </c>
      <c r="O12" s="1">
        <v>3.0</v>
      </c>
      <c r="P12" s="1">
        <v>62.0</v>
      </c>
      <c r="Q12" s="1" t="s">
        <v>116</v>
      </c>
      <c r="R12" s="1" t="s">
        <v>116</v>
      </c>
      <c r="S12" s="1" t="s">
        <v>129</v>
      </c>
      <c r="U12" s="1" t="s">
        <v>130</v>
      </c>
      <c r="W12" s="1" t="s">
        <v>131</v>
      </c>
      <c r="Z12" s="1" t="s">
        <v>132</v>
      </c>
      <c r="AA12" s="1" t="s">
        <v>116</v>
      </c>
      <c r="AB12" s="1">
        <v>21013.0</v>
      </c>
      <c r="AE12" s="1" t="s">
        <v>69</v>
      </c>
      <c r="AF12" s="1" t="s">
        <v>70</v>
      </c>
      <c r="AG12" s="1" t="s">
        <v>61</v>
      </c>
      <c r="AH12" s="1" t="s">
        <v>62</v>
      </c>
      <c r="AI12" s="1">
        <v>2.0260301E7</v>
      </c>
      <c r="AJ12" s="1" t="s">
        <v>63</v>
      </c>
      <c r="AK12" s="1" t="s">
        <v>63</v>
      </c>
      <c r="AL12" s="1">
        <v>2.0</v>
      </c>
      <c r="AM12" s="1">
        <v>2.0260305E7</v>
      </c>
      <c r="AN12" s="1">
        <v>10.4</v>
      </c>
      <c r="AO12" s="1">
        <v>10.4</v>
      </c>
      <c r="AP12" s="1" t="s">
        <v>63</v>
      </c>
      <c r="AS12" s="1">
        <v>100.0</v>
      </c>
      <c r="AT12" s="1">
        <v>0.42</v>
      </c>
      <c r="AU12" s="1">
        <v>4.0</v>
      </c>
      <c r="AV12" s="1" t="s">
        <v>64</v>
      </c>
    </row>
    <row r="13">
      <c r="A13" s="1" t="s">
        <v>48</v>
      </c>
      <c r="B13" s="1">
        <v>2.0260325E7</v>
      </c>
      <c r="C13" s="1" t="s">
        <v>49</v>
      </c>
      <c r="D13" s="1">
        <v>0.0</v>
      </c>
      <c r="E13" s="1">
        <v>2.0411454E7</v>
      </c>
      <c r="F13" s="1" t="s">
        <v>50</v>
      </c>
      <c r="G13" s="1" t="s">
        <v>122</v>
      </c>
      <c r="H13" s="1" t="s">
        <v>123</v>
      </c>
      <c r="I13" s="1" t="s">
        <v>124</v>
      </c>
      <c r="J13" s="1">
        <v>2.0697692E7</v>
      </c>
      <c r="K13" s="1">
        <v>4.42352338E8</v>
      </c>
      <c r="L13" s="1">
        <v>2.0231211E7</v>
      </c>
      <c r="M13" s="1">
        <v>2.023121E7</v>
      </c>
      <c r="O13" s="1">
        <v>3.0</v>
      </c>
      <c r="P13" s="1">
        <v>52.0</v>
      </c>
      <c r="Q13" s="1" t="s">
        <v>116</v>
      </c>
      <c r="R13" s="1" t="s">
        <v>116</v>
      </c>
      <c r="S13" s="1" t="s">
        <v>133</v>
      </c>
      <c r="U13" s="1" t="s">
        <v>118</v>
      </c>
      <c r="W13" s="1" t="s">
        <v>134</v>
      </c>
      <c r="Z13" s="1" t="s">
        <v>135</v>
      </c>
      <c r="AA13" s="1" t="s">
        <v>116</v>
      </c>
      <c r="AB13" s="1">
        <v>21234.0</v>
      </c>
      <c r="AE13" s="1" t="s">
        <v>69</v>
      </c>
      <c r="AF13" s="1" t="s">
        <v>70</v>
      </c>
      <c r="AG13" s="1" t="s">
        <v>61</v>
      </c>
      <c r="AH13" s="1" t="s">
        <v>62</v>
      </c>
      <c r="AI13" s="1">
        <v>2.0260301E7</v>
      </c>
      <c r="AJ13" s="1" t="s">
        <v>63</v>
      </c>
      <c r="AK13" s="1" t="s">
        <v>63</v>
      </c>
      <c r="AL13" s="1">
        <v>1.0</v>
      </c>
      <c r="AM13" s="1">
        <v>2.0260306E7</v>
      </c>
      <c r="AN13" s="1">
        <v>10.4</v>
      </c>
      <c r="AO13" s="1">
        <v>10.4</v>
      </c>
      <c r="AP13" s="1" t="s">
        <v>63</v>
      </c>
      <c r="AS13" s="1">
        <v>100.0</v>
      </c>
      <c r="AT13" s="1">
        <v>0.42</v>
      </c>
      <c r="AU13" s="1">
        <v>4.0</v>
      </c>
      <c r="AV13" s="1" t="s">
        <v>64</v>
      </c>
    </row>
    <row r="14">
      <c r="A14" s="1" t="s">
        <v>48</v>
      </c>
      <c r="B14" s="1">
        <v>2.0260325E7</v>
      </c>
      <c r="C14" s="1" t="s">
        <v>49</v>
      </c>
      <c r="D14" s="1">
        <v>0.0</v>
      </c>
      <c r="E14" s="1">
        <v>2.0411454E7</v>
      </c>
      <c r="F14" s="1" t="s">
        <v>50</v>
      </c>
      <c r="G14" s="1" t="s">
        <v>122</v>
      </c>
      <c r="H14" s="1" t="s">
        <v>123</v>
      </c>
      <c r="I14" s="1" t="s">
        <v>124</v>
      </c>
      <c r="J14" s="1">
        <v>2.0697692E7</v>
      </c>
      <c r="K14" s="1">
        <v>4.42352316E8</v>
      </c>
      <c r="L14" s="1">
        <v>2.0231211E7</v>
      </c>
      <c r="M14" s="1">
        <v>2.023121E7</v>
      </c>
      <c r="O14" s="1">
        <v>3.0</v>
      </c>
      <c r="P14" s="1">
        <v>52.0</v>
      </c>
      <c r="Q14" s="1" t="s">
        <v>116</v>
      </c>
      <c r="R14" s="1" t="s">
        <v>116</v>
      </c>
      <c r="S14" s="1" t="s">
        <v>133</v>
      </c>
      <c r="U14" s="1" t="s">
        <v>118</v>
      </c>
      <c r="W14" s="1" t="s">
        <v>134</v>
      </c>
      <c r="Z14" s="1" t="s">
        <v>135</v>
      </c>
      <c r="AA14" s="1" t="s">
        <v>116</v>
      </c>
      <c r="AB14" s="1">
        <v>21234.0</v>
      </c>
      <c r="AE14" s="1" t="s">
        <v>136</v>
      </c>
      <c r="AF14" s="1" t="s">
        <v>60</v>
      </c>
      <c r="AG14" s="1" t="s">
        <v>61</v>
      </c>
      <c r="AH14" s="1" t="s">
        <v>62</v>
      </c>
      <c r="AI14" s="1">
        <v>2.0260301E7</v>
      </c>
      <c r="AJ14" s="1" t="s">
        <v>63</v>
      </c>
      <c r="AK14" s="1" t="s">
        <v>63</v>
      </c>
      <c r="AL14" s="1">
        <v>1.0</v>
      </c>
      <c r="AM14" s="1">
        <v>2.0260306E7</v>
      </c>
      <c r="AN14" s="1">
        <v>35.05</v>
      </c>
      <c r="AO14" s="1">
        <v>35.05</v>
      </c>
      <c r="AP14" s="1" t="s">
        <v>63</v>
      </c>
      <c r="AS14" s="1">
        <v>100.0</v>
      </c>
      <c r="AT14" s="1">
        <v>2.45</v>
      </c>
      <c r="AU14" s="1">
        <v>7.0</v>
      </c>
      <c r="AV14" s="1" t="s">
        <v>64</v>
      </c>
    </row>
    <row r="15">
      <c r="A15" s="1" t="s">
        <v>48</v>
      </c>
      <c r="B15" s="1">
        <v>2.0260325E7</v>
      </c>
      <c r="C15" s="1" t="s">
        <v>49</v>
      </c>
      <c r="D15" s="1">
        <v>0.0</v>
      </c>
      <c r="E15" s="1">
        <v>2.0411454E7</v>
      </c>
      <c r="F15" s="1" t="s">
        <v>50</v>
      </c>
      <c r="G15" s="1" t="s">
        <v>122</v>
      </c>
      <c r="H15" s="1" t="s">
        <v>123</v>
      </c>
      <c r="I15" s="1" t="s">
        <v>124</v>
      </c>
      <c r="J15" s="1">
        <v>2.0697692E7</v>
      </c>
      <c r="K15" s="1">
        <v>4.42352294E8</v>
      </c>
      <c r="L15" s="1">
        <v>2.0231211E7</v>
      </c>
      <c r="M15" s="1">
        <v>2.023121E7</v>
      </c>
      <c r="O15" s="1">
        <v>3.0</v>
      </c>
      <c r="P15" s="1">
        <v>52.0</v>
      </c>
      <c r="Q15" s="1" t="s">
        <v>116</v>
      </c>
      <c r="R15" s="1" t="s">
        <v>116</v>
      </c>
      <c r="S15" s="1" t="s">
        <v>133</v>
      </c>
      <c r="U15" s="1" t="s">
        <v>118</v>
      </c>
      <c r="W15" s="1" t="s">
        <v>134</v>
      </c>
      <c r="Z15" s="1" t="s">
        <v>135</v>
      </c>
      <c r="AA15" s="1" t="s">
        <v>116</v>
      </c>
      <c r="AB15" s="1">
        <v>21234.0</v>
      </c>
      <c r="AC15" s="1" t="s">
        <v>137</v>
      </c>
      <c r="AE15" s="1" t="s">
        <v>138</v>
      </c>
      <c r="AF15" s="1" t="s">
        <v>101</v>
      </c>
      <c r="AG15" s="1" t="s">
        <v>61</v>
      </c>
      <c r="AH15" s="1" t="s">
        <v>62</v>
      </c>
      <c r="AI15" s="1">
        <v>2.0260301E7</v>
      </c>
      <c r="AJ15" s="1" t="s">
        <v>63</v>
      </c>
      <c r="AK15" s="1" t="s">
        <v>63</v>
      </c>
      <c r="AL15" s="1">
        <v>1.0</v>
      </c>
      <c r="AM15" s="1">
        <v>2.0260306E7</v>
      </c>
      <c r="AN15" s="1">
        <v>44.01</v>
      </c>
      <c r="AO15" s="1">
        <v>44.01</v>
      </c>
      <c r="AP15" s="1" t="s">
        <v>63</v>
      </c>
      <c r="AS15" s="1">
        <v>100.0</v>
      </c>
      <c r="AT15" s="1">
        <v>6.6</v>
      </c>
      <c r="AU15" s="1">
        <v>15.0</v>
      </c>
      <c r="AV15" s="1" t="s">
        <v>64</v>
      </c>
    </row>
    <row r="16">
      <c r="A16" s="1" t="s">
        <v>48</v>
      </c>
      <c r="B16" s="1">
        <v>2.0260325E7</v>
      </c>
      <c r="C16" s="1" t="s">
        <v>49</v>
      </c>
      <c r="D16" s="1">
        <v>0.0</v>
      </c>
      <c r="E16" s="1">
        <v>2.0411454E7</v>
      </c>
      <c r="F16" s="1" t="s">
        <v>50</v>
      </c>
      <c r="G16" s="1" t="s">
        <v>122</v>
      </c>
      <c r="H16" s="1" t="s">
        <v>123</v>
      </c>
      <c r="I16" s="1" t="s">
        <v>124</v>
      </c>
      <c r="J16" s="1">
        <v>2.0697692E7</v>
      </c>
      <c r="K16" s="1">
        <v>4.42361305E8</v>
      </c>
      <c r="L16" s="1">
        <v>2.0231213E7</v>
      </c>
      <c r="M16" s="1">
        <v>2.0231212E7</v>
      </c>
      <c r="O16" s="1">
        <v>3.0</v>
      </c>
      <c r="P16" s="1">
        <v>54.0</v>
      </c>
      <c r="Q16" s="1" t="s">
        <v>116</v>
      </c>
      <c r="R16" s="1" t="s">
        <v>116</v>
      </c>
      <c r="S16" s="1" t="s">
        <v>139</v>
      </c>
      <c r="U16" s="1" t="s">
        <v>140</v>
      </c>
      <c r="W16" s="1" t="s">
        <v>141</v>
      </c>
      <c r="Z16" s="1" t="s">
        <v>142</v>
      </c>
      <c r="AA16" s="1" t="s">
        <v>116</v>
      </c>
      <c r="AB16" s="1">
        <v>20706.0</v>
      </c>
      <c r="AE16" s="1" t="s">
        <v>69</v>
      </c>
      <c r="AF16" s="1" t="s">
        <v>70</v>
      </c>
      <c r="AG16" s="1" t="s">
        <v>61</v>
      </c>
      <c r="AH16" s="1" t="s">
        <v>62</v>
      </c>
      <c r="AI16" s="1">
        <v>2.0260301E7</v>
      </c>
      <c r="AJ16" s="1" t="s">
        <v>63</v>
      </c>
      <c r="AK16" s="1" t="s">
        <v>63</v>
      </c>
      <c r="AL16" s="1">
        <v>2.0</v>
      </c>
      <c r="AM16" s="1">
        <v>2.0260306E7</v>
      </c>
      <c r="AN16" s="1">
        <v>17.0</v>
      </c>
      <c r="AO16" s="1">
        <v>17.0</v>
      </c>
      <c r="AP16" s="1" t="s">
        <v>63</v>
      </c>
      <c r="AS16" s="1">
        <v>100.0</v>
      </c>
      <c r="AT16" s="1">
        <v>0.68</v>
      </c>
      <c r="AU16" s="1">
        <v>4.0</v>
      </c>
      <c r="AV16" s="1" t="s">
        <v>64</v>
      </c>
    </row>
    <row r="17">
      <c r="A17" s="1" t="s">
        <v>48</v>
      </c>
      <c r="B17" s="1">
        <v>2.0260325E7</v>
      </c>
      <c r="C17" s="1" t="s">
        <v>49</v>
      </c>
      <c r="D17" s="1">
        <v>0.0</v>
      </c>
      <c r="E17" s="1">
        <v>2.0411454E7</v>
      </c>
      <c r="F17" s="1" t="s">
        <v>50</v>
      </c>
      <c r="G17" s="1" t="s">
        <v>122</v>
      </c>
      <c r="H17" s="1" t="s">
        <v>123</v>
      </c>
      <c r="I17" s="1" t="s">
        <v>124</v>
      </c>
      <c r="J17" s="1">
        <v>2.0697692E7</v>
      </c>
      <c r="K17" s="1">
        <v>4.42332365E8</v>
      </c>
      <c r="L17" s="1">
        <v>2.0231215E7</v>
      </c>
      <c r="M17" s="1">
        <v>2.0231205E7</v>
      </c>
      <c r="O17" s="1">
        <v>3.0</v>
      </c>
      <c r="P17" s="1">
        <v>59.0</v>
      </c>
      <c r="Q17" s="1" t="s">
        <v>116</v>
      </c>
      <c r="R17" s="1" t="s">
        <v>116</v>
      </c>
      <c r="S17" s="1" t="s">
        <v>143</v>
      </c>
      <c r="U17" s="1" t="s">
        <v>144</v>
      </c>
      <c r="W17" s="1" t="s">
        <v>141</v>
      </c>
      <c r="Z17" s="1" t="s">
        <v>142</v>
      </c>
      <c r="AA17" s="1" t="s">
        <v>116</v>
      </c>
      <c r="AB17" s="1">
        <v>20706.0</v>
      </c>
      <c r="AC17" s="1" t="s">
        <v>145</v>
      </c>
      <c r="AE17" s="1" t="s">
        <v>138</v>
      </c>
      <c r="AF17" s="1" t="s">
        <v>101</v>
      </c>
      <c r="AG17" s="1" t="s">
        <v>61</v>
      </c>
      <c r="AH17" s="1" t="s">
        <v>62</v>
      </c>
      <c r="AI17" s="1">
        <v>2.0260301E7</v>
      </c>
      <c r="AJ17" s="1" t="s">
        <v>63</v>
      </c>
      <c r="AK17" s="1" t="s">
        <v>63</v>
      </c>
      <c r="AL17" s="1">
        <v>2.0</v>
      </c>
      <c r="AM17" s="1">
        <v>2.0260307E7</v>
      </c>
      <c r="AN17" s="1">
        <v>103.36</v>
      </c>
      <c r="AO17" s="1">
        <v>103.36</v>
      </c>
      <c r="AP17" s="1" t="s">
        <v>63</v>
      </c>
      <c r="AS17" s="1">
        <v>100.0</v>
      </c>
      <c r="AT17" s="1">
        <v>15.5</v>
      </c>
      <c r="AU17" s="1">
        <v>15.0</v>
      </c>
      <c r="AV17" s="1" t="s">
        <v>64</v>
      </c>
    </row>
    <row r="18">
      <c r="A18" s="1" t="s">
        <v>48</v>
      </c>
      <c r="B18" s="1">
        <v>2.0260325E7</v>
      </c>
      <c r="C18" s="1" t="s">
        <v>49</v>
      </c>
      <c r="D18" s="1">
        <v>0.0</v>
      </c>
      <c r="E18" s="1">
        <v>2.0411454E7</v>
      </c>
      <c r="F18" s="1" t="s">
        <v>50</v>
      </c>
      <c r="G18" s="1" t="s">
        <v>146</v>
      </c>
      <c r="H18" s="1" t="s">
        <v>147</v>
      </c>
      <c r="I18" s="1" t="s">
        <v>148</v>
      </c>
      <c r="J18" s="1">
        <v>1.6509456E7</v>
      </c>
      <c r="K18" s="1">
        <v>4.42271715E8</v>
      </c>
      <c r="L18" s="1">
        <v>2.0231111E7</v>
      </c>
      <c r="M18" s="1">
        <v>2.023111E7</v>
      </c>
      <c r="O18" s="1">
        <v>3.0</v>
      </c>
      <c r="P18" s="1">
        <v>64.0</v>
      </c>
      <c r="Q18" s="1" t="s">
        <v>116</v>
      </c>
      <c r="R18" s="1" t="s">
        <v>116</v>
      </c>
      <c r="S18" s="1" t="s">
        <v>149</v>
      </c>
      <c r="U18" s="1" t="s">
        <v>150</v>
      </c>
      <c r="W18" s="1" t="s">
        <v>151</v>
      </c>
      <c r="Z18" s="1" t="s">
        <v>152</v>
      </c>
      <c r="AA18" s="1" t="s">
        <v>116</v>
      </c>
      <c r="AB18" s="1" t="s">
        <v>153</v>
      </c>
      <c r="AC18" s="1" t="s">
        <v>154</v>
      </c>
      <c r="AE18" s="1" t="s">
        <v>69</v>
      </c>
      <c r="AF18" s="1" t="s">
        <v>70</v>
      </c>
      <c r="AG18" s="1" t="s">
        <v>61</v>
      </c>
      <c r="AH18" s="1" t="s">
        <v>62</v>
      </c>
      <c r="AI18" s="1">
        <v>2.0260301E7</v>
      </c>
      <c r="AJ18" s="1" t="s">
        <v>63</v>
      </c>
      <c r="AK18" s="1" t="s">
        <v>63</v>
      </c>
      <c r="AL18" s="1">
        <v>2.0</v>
      </c>
      <c r="AM18" s="1">
        <v>2.0260306E7</v>
      </c>
      <c r="AN18" s="1">
        <v>17.0</v>
      </c>
      <c r="AO18" s="1">
        <v>17.0</v>
      </c>
      <c r="AP18" s="1" t="s">
        <v>63</v>
      </c>
      <c r="AS18" s="1">
        <v>100.0</v>
      </c>
      <c r="AT18" s="1">
        <v>0.68</v>
      </c>
      <c r="AU18" s="1">
        <v>4.0</v>
      </c>
      <c r="AV18" s="1" t="s">
        <v>64</v>
      </c>
    </row>
    <row r="19">
      <c r="A19" s="1" t="s">
        <v>48</v>
      </c>
      <c r="B19" s="1">
        <v>2.0260325E7</v>
      </c>
      <c r="C19" s="1" t="s">
        <v>49</v>
      </c>
      <c r="D19" s="1">
        <v>0.0</v>
      </c>
      <c r="E19" s="1">
        <v>2.0411454E7</v>
      </c>
      <c r="F19" s="1" t="s">
        <v>50</v>
      </c>
      <c r="G19" s="1" t="s">
        <v>146</v>
      </c>
      <c r="H19" s="1" t="s">
        <v>147</v>
      </c>
      <c r="I19" s="1" t="s">
        <v>148</v>
      </c>
      <c r="J19" s="1">
        <v>1.6509456E7</v>
      </c>
      <c r="K19" s="1">
        <v>4.42289311E8</v>
      </c>
      <c r="L19" s="1">
        <v>2.0231118E7</v>
      </c>
      <c r="M19" s="1">
        <v>2.0231117E7</v>
      </c>
      <c r="O19" s="1">
        <v>3.0</v>
      </c>
      <c r="P19" s="1">
        <v>57.0</v>
      </c>
      <c r="Q19" s="1" t="s">
        <v>54</v>
      </c>
      <c r="R19" s="1" t="s">
        <v>54</v>
      </c>
      <c r="S19" s="1" t="s">
        <v>155</v>
      </c>
      <c r="U19" s="1" t="s">
        <v>156</v>
      </c>
      <c r="W19" s="1" t="s">
        <v>157</v>
      </c>
      <c r="Z19" s="1" t="s">
        <v>158</v>
      </c>
      <c r="AA19" s="1" t="s">
        <v>54</v>
      </c>
      <c r="AB19" s="1" t="s">
        <v>159</v>
      </c>
      <c r="AC19" s="1" t="s">
        <v>160</v>
      </c>
      <c r="AE19" s="1" t="s">
        <v>69</v>
      </c>
      <c r="AF19" s="1" t="s">
        <v>70</v>
      </c>
      <c r="AG19" s="1" t="s">
        <v>61</v>
      </c>
      <c r="AH19" s="1" t="s">
        <v>62</v>
      </c>
      <c r="AI19" s="1">
        <v>2.0260301E7</v>
      </c>
      <c r="AJ19" s="1" t="s">
        <v>63</v>
      </c>
      <c r="AK19" s="1" t="s">
        <v>63</v>
      </c>
      <c r="AL19" s="1">
        <v>1.0</v>
      </c>
      <c r="AM19" s="1">
        <v>2.026031E7</v>
      </c>
      <c r="AN19" s="1">
        <v>15.7</v>
      </c>
      <c r="AO19" s="1">
        <v>15.7</v>
      </c>
      <c r="AP19" s="1" t="s">
        <v>63</v>
      </c>
      <c r="AS19" s="1">
        <v>100.0</v>
      </c>
      <c r="AT19" s="1">
        <v>1.26</v>
      </c>
      <c r="AU19" s="1">
        <v>8.0</v>
      </c>
      <c r="AV19" s="1" t="s">
        <v>64</v>
      </c>
    </row>
    <row r="20">
      <c r="A20" s="1" t="s">
        <v>48</v>
      </c>
      <c r="B20" s="1">
        <v>2.0260325E7</v>
      </c>
      <c r="C20" s="1" t="s">
        <v>49</v>
      </c>
      <c r="D20" s="1">
        <v>0.0</v>
      </c>
      <c r="E20" s="1">
        <v>2.0411454E7</v>
      </c>
      <c r="F20" s="1" t="s">
        <v>50</v>
      </c>
      <c r="G20" s="1" t="s">
        <v>146</v>
      </c>
      <c r="H20" s="1" t="s">
        <v>147</v>
      </c>
      <c r="I20" s="1" t="s">
        <v>148</v>
      </c>
      <c r="J20" s="1">
        <v>1.6509456E7</v>
      </c>
      <c r="K20" s="1">
        <v>4.42495285E8</v>
      </c>
      <c r="L20" s="1">
        <v>2.0240216E7</v>
      </c>
      <c r="M20" s="1">
        <v>2.0240215E7</v>
      </c>
      <c r="O20" s="1">
        <v>3.0</v>
      </c>
      <c r="P20" s="1">
        <v>29.0</v>
      </c>
      <c r="Q20" s="1" t="s">
        <v>54</v>
      </c>
      <c r="R20" s="1" t="s">
        <v>54</v>
      </c>
      <c r="S20" s="1" t="s">
        <v>161</v>
      </c>
      <c r="U20" s="1" t="s">
        <v>162</v>
      </c>
      <c r="W20" s="1" t="s">
        <v>163</v>
      </c>
      <c r="Z20" s="1" t="s">
        <v>87</v>
      </c>
      <c r="AA20" s="1" t="s">
        <v>54</v>
      </c>
      <c r="AB20" s="1">
        <v>19380.0</v>
      </c>
      <c r="AE20" s="1" t="s">
        <v>92</v>
      </c>
      <c r="AF20" s="1" t="s">
        <v>93</v>
      </c>
      <c r="AG20" s="1" t="s">
        <v>61</v>
      </c>
      <c r="AH20" s="1" t="s">
        <v>62</v>
      </c>
      <c r="AI20" s="1">
        <v>2.0260301E7</v>
      </c>
      <c r="AJ20" s="1" t="s">
        <v>63</v>
      </c>
      <c r="AK20" s="1" t="s">
        <v>63</v>
      </c>
      <c r="AL20" s="1">
        <v>1.0</v>
      </c>
      <c r="AM20" s="1">
        <v>2.026031E7</v>
      </c>
      <c r="AN20" s="1">
        <v>34.94</v>
      </c>
      <c r="AO20" s="1">
        <v>34.94</v>
      </c>
      <c r="AP20" s="1" t="s">
        <v>63</v>
      </c>
      <c r="AS20" s="1">
        <v>100.0</v>
      </c>
      <c r="AT20" s="1">
        <v>2.8</v>
      </c>
      <c r="AU20" s="1">
        <v>8.0</v>
      </c>
      <c r="AV20" s="1" t="s">
        <v>64</v>
      </c>
    </row>
    <row r="21" ht="15.75" customHeight="1">
      <c r="A21" s="1" t="s">
        <v>48</v>
      </c>
      <c r="B21" s="1">
        <v>2.0260325E7</v>
      </c>
      <c r="C21" s="1" t="s">
        <v>49</v>
      </c>
      <c r="D21" s="1">
        <v>0.0</v>
      </c>
      <c r="E21" s="1">
        <v>2.0411454E7</v>
      </c>
      <c r="F21" s="1" t="s">
        <v>50</v>
      </c>
      <c r="G21" s="1" t="s">
        <v>146</v>
      </c>
      <c r="H21" s="1" t="s">
        <v>147</v>
      </c>
      <c r="I21" s="1" t="s">
        <v>148</v>
      </c>
      <c r="J21" s="1">
        <v>1.6509456E7</v>
      </c>
      <c r="K21" s="1">
        <v>4.42505686E8</v>
      </c>
      <c r="L21" s="1">
        <v>2.0240222E7</v>
      </c>
      <c r="M21" s="1">
        <v>2.0240221E7</v>
      </c>
      <c r="O21" s="1">
        <v>3.0</v>
      </c>
      <c r="P21" s="1">
        <v>55.0</v>
      </c>
      <c r="Q21" s="1" t="s">
        <v>116</v>
      </c>
      <c r="R21" s="1" t="s">
        <v>116</v>
      </c>
      <c r="S21" s="1" t="s">
        <v>164</v>
      </c>
      <c r="U21" s="1" t="s">
        <v>165</v>
      </c>
      <c r="W21" s="1" t="s">
        <v>166</v>
      </c>
      <c r="Z21" s="1" t="s">
        <v>135</v>
      </c>
      <c r="AA21" s="1" t="s">
        <v>116</v>
      </c>
      <c r="AB21" s="1">
        <v>21211.0</v>
      </c>
      <c r="AE21" s="1" t="s">
        <v>79</v>
      </c>
      <c r="AF21" s="1" t="s">
        <v>80</v>
      </c>
      <c r="AG21" s="1" t="s">
        <v>61</v>
      </c>
      <c r="AH21" s="1" t="s">
        <v>62</v>
      </c>
      <c r="AI21" s="1">
        <v>2.0260301E7</v>
      </c>
      <c r="AJ21" s="1" t="s">
        <v>63</v>
      </c>
      <c r="AK21" s="1" t="s">
        <v>63</v>
      </c>
      <c r="AL21" s="1">
        <v>1.0</v>
      </c>
      <c r="AM21" s="1">
        <v>2.0260311E7</v>
      </c>
      <c r="AN21" s="1">
        <v>13.28</v>
      </c>
      <c r="AO21" s="1">
        <v>13.28</v>
      </c>
      <c r="AP21" s="1" t="s">
        <v>63</v>
      </c>
      <c r="AS21" s="1">
        <v>100.0</v>
      </c>
      <c r="AT21" s="1">
        <v>0.93</v>
      </c>
      <c r="AU21" s="1">
        <v>7.0</v>
      </c>
      <c r="AV21" s="1" t="s">
        <v>64</v>
      </c>
    </row>
    <row r="22" ht="15.75" customHeight="1">
      <c r="A22" s="1" t="s">
        <v>48</v>
      </c>
      <c r="B22" s="1">
        <v>2.0260325E7</v>
      </c>
      <c r="C22" s="1" t="s">
        <v>49</v>
      </c>
      <c r="D22" s="1">
        <v>0.0</v>
      </c>
      <c r="E22" s="1">
        <v>2.0411454E7</v>
      </c>
      <c r="F22" s="1" t="s">
        <v>50</v>
      </c>
      <c r="G22" s="1" t="s">
        <v>146</v>
      </c>
      <c r="H22" s="1" t="s">
        <v>147</v>
      </c>
      <c r="I22" s="1" t="s">
        <v>148</v>
      </c>
      <c r="J22" s="1">
        <v>1.6509456E7</v>
      </c>
      <c r="K22" s="1">
        <v>4.42508319E8</v>
      </c>
      <c r="L22" s="1">
        <v>2.0240223E7</v>
      </c>
      <c r="M22" s="1">
        <v>2.0240222E7</v>
      </c>
      <c r="O22" s="1">
        <v>3.0</v>
      </c>
      <c r="P22" s="1">
        <v>22.0</v>
      </c>
      <c r="Q22" s="1" t="s">
        <v>116</v>
      </c>
      <c r="R22" s="1" t="s">
        <v>116</v>
      </c>
      <c r="S22" s="1" t="s">
        <v>167</v>
      </c>
      <c r="U22" s="1" t="s">
        <v>168</v>
      </c>
      <c r="W22" s="1" t="s">
        <v>169</v>
      </c>
      <c r="Z22" s="1" t="s">
        <v>135</v>
      </c>
      <c r="AA22" s="1" t="s">
        <v>116</v>
      </c>
      <c r="AB22" s="1">
        <v>21224.0</v>
      </c>
      <c r="AE22" s="1" t="s">
        <v>79</v>
      </c>
      <c r="AF22" s="1" t="s">
        <v>80</v>
      </c>
      <c r="AG22" s="1" t="s">
        <v>61</v>
      </c>
      <c r="AH22" s="1" t="s">
        <v>62</v>
      </c>
      <c r="AI22" s="1">
        <v>2.0260301E7</v>
      </c>
      <c r="AJ22" s="1" t="s">
        <v>63</v>
      </c>
      <c r="AK22" s="1" t="s">
        <v>63</v>
      </c>
      <c r="AL22" s="1">
        <v>1.0</v>
      </c>
      <c r="AM22" s="1">
        <v>2.0260311E7</v>
      </c>
      <c r="AN22" s="1">
        <v>13.28</v>
      </c>
      <c r="AO22" s="1">
        <v>13.28</v>
      </c>
      <c r="AP22" s="1" t="s">
        <v>63</v>
      </c>
      <c r="AS22" s="1">
        <v>100.0</v>
      </c>
      <c r="AT22" s="1">
        <v>0.93</v>
      </c>
      <c r="AU22" s="1">
        <v>7.0</v>
      </c>
      <c r="AV22" s="1" t="s">
        <v>64</v>
      </c>
    </row>
    <row r="23" ht="15.75" customHeight="1">
      <c r="A23" s="1" t="s">
        <v>48</v>
      </c>
      <c r="B23" s="1">
        <v>2.0260325E7</v>
      </c>
      <c r="C23" s="1" t="s">
        <v>49</v>
      </c>
      <c r="D23" s="1">
        <v>0.0</v>
      </c>
      <c r="E23" s="1">
        <v>2.0411454E7</v>
      </c>
      <c r="F23" s="1" t="s">
        <v>50</v>
      </c>
      <c r="G23" s="1" t="s">
        <v>170</v>
      </c>
      <c r="H23" s="1" t="s">
        <v>171</v>
      </c>
      <c r="I23" s="1" t="s">
        <v>172</v>
      </c>
      <c r="J23" s="1">
        <v>1.6202925E7</v>
      </c>
      <c r="K23" s="1">
        <v>4.42368806E8</v>
      </c>
      <c r="L23" s="1">
        <v>2.0231215E7</v>
      </c>
      <c r="M23" s="1">
        <v>2.0231214E7</v>
      </c>
      <c r="O23" s="1">
        <v>3.0</v>
      </c>
      <c r="P23" s="1">
        <v>72.0</v>
      </c>
      <c r="Q23" s="1" t="s">
        <v>116</v>
      </c>
      <c r="R23" s="1" t="s">
        <v>116</v>
      </c>
      <c r="S23" s="1" t="s">
        <v>173</v>
      </c>
      <c r="U23" s="1" t="s">
        <v>174</v>
      </c>
      <c r="W23" s="1" t="s">
        <v>175</v>
      </c>
      <c r="Z23" s="1" t="s">
        <v>176</v>
      </c>
      <c r="AA23" s="1" t="s">
        <v>116</v>
      </c>
      <c r="AB23" s="1">
        <v>21401.0</v>
      </c>
      <c r="AE23" s="1" t="s">
        <v>69</v>
      </c>
      <c r="AF23" s="1" t="s">
        <v>70</v>
      </c>
      <c r="AG23" s="1" t="s">
        <v>61</v>
      </c>
      <c r="AH23" s="1" t="s">
        <v>62</v>
      </c>
      <c r="AI23" s="1">
        <v>2.0260301E7</v>
      </c>
      <c r="AJ23" s="1" t="s">
        <v>63</v>
      </c>
      <c r="AK23" s="1" t="s">
        <v>63</v>
      </c>
      <c r="AL23" s="1">
        <v>2.0</v>
      </c>
      <c r="AM23" s="1">
        <v>2.0260307E7</v>
      </c>
      <c r="AN23" s="1">
        <v>17.0</v>
      </c>
      <c r="AO23" s="1">
        <v>17.0</v>
      </c>
      <c r="AP23" s="1" t="s">
        <v>63</v>
      </c>
      <c r="AS23" s="1">
        <v>100.0</v>
      </c>
      <c r="AT23" s="1">
        <v>0.68</v>
      </c>
      <c r="AU23" s="1">
        <v>4.0</v>
      </c>
      <c r="AV23" s="1" t="s">
        <v>64</v>
      </c>
    </row>
    <row r="24" ht="15.75" customHeight="1">
      <c r="A24" s="1" t="s">
        <v>48</v>
      </c>
      <c r="B24" s="1">
        <v>2.0260325E7</v>
      </c>
      <c r="C24" s="1" t="s">
        <v>49</v>
      </c>
      <c r="D24" s="1">
        <v>0.0</v>
      </c>
      <c r="E24" s="1">
        <v>2.0411454E7</v>
      </c>
      <c r="F24" s="1" t="s">
        <v>50</v>
      </c>
      <c r="G24" s="1" t="s">
        <v>170</v>
      </c>
      <c r="H24" s="1" t="s">
        <v>171</v>
      </c>
      <c r="I24" s="1" t="s">
        <v>172</v>
      </c>
      <c r="J24" s="1">
        <v>1.6202925E7</v>
      </c>
      <c r="K24" s="1">
        <v>4.42430491E8</v>
      </c>
      <c r="L24" s="1">
        <v>2.0240113E7</v>
      </c>
      <c r="M24" s="1">
        <v>2.0240112E7</v>
      </c>
      <c r="O24" s="1">
        <v>3.0</v>
      </c>
      <c r="P24" s="1">
        <v>48.0</v>
      </c>
      <c r="Q24" s="1" t="s">
        <v>116</v>
      </c>
      <c r="R24" s="1" t="s">
        <v>116</v>
      </c>
      <c r="S24" s="1" t="s">
        <v>177</v>
      </c>
      <c r="U24" s="1" t="s">
        <v>178</v>
      </c>
      <c r="W24" s="1" t="s">
        <v>179</v>
      </c>
      <c r="Z24" s="1" t="s">
        <v>180</v>
      </c>
      <c r="AA24" s="1" t="s">
        <v>116</v>
      </c>
      <c r="AB24" s="1">
        <v>21040.0</v>
      </c>
      <c r="AC24" s="1" t="s">
        <v>181</v>
      </c>
      <c r="AE24" s="1" t="s">
        <v>100</v>
      </c>
      <c r="AF24" s="1" t="s">
        <v>101</v>
      </c>
      <c r="AG24" s="1" t="s">
        <v>61</v>
      </c>
      <c r="AH24" s="1" t="s">
        <v>62</v>
      </c>
      <c r="AI24" s="1">
        <v>2.0260301E7</v>
      </c>
      <c r="AJ24" s="1" t="s">
        <v>63</v>
      </c>
      <c r="AK24" s="1" t="s">
        <v>63</v>
      </c>
      <c r="AL24" s="1">
        <v>1.0</v>
      </c>
      <c r="AM24" s="1">
        <v>2.0260306E7</v>
      </c>
      <c r="AN24" s="1">
        <v>37.39</v>
      </c>
      <c r="AO24" s="1">
        <v>37.39</v>
      </c>
      <c r="AP24" s="1" t="s">
        <v>63</v>
      </c>
      <c r="AS24" s="1">
        <v>100.0</v>
      </c>
      <c r="AT24" s="1">
        <v>1.5</v>
      </c>
      <c r="AU24" s="1">
        <v>4.0</v>
      </c>
      <c r="AV24" s="1" t="s">
        <v>64</v>
      </c>
    </row>
    <row r="25" ht="15.75" customHeight="1">
      <c r="A25" s="1" t="s">
        <v>48</v>
      </c>
      <c r="B25" s="1">
        <v>2.0260325E7</v>
      </c>
      <c r="C25" s="1" t="s">
        <v>49</v>
      </c>
      <c r="D25" s="1">
        <v>0.0</v>
      </c>
      <c r="E25" s="1">
        <v>2.0411454E7</v>
      </c>
      <c r="F25" s="1" t="s">
        <v>50</v>
      </c>
      <c r="G25" s="1" t="s">
        <v>170</v>
      </c>
      <c r="H25" s="1" t="s">
        <v>171</v>
      </c>
      <c r="I25" s="1" t="s">
        <v>172</v>
      </c>
      <c r="J25" s="1">
        <v>1.6202925E7</v>
      </c>
      <c r="K25" s="1">
        <v>4.4258695E8</v>
      </c>
      <c r="L25" s="1">
        <v>2.0240404E7</v>
      </c>
      <c r="M25" s="1">
        <v>2.0240403E7</v>
      </c>
      <c r="O25" s="1">
        <v>2.0</v>
      </c>
      <c r="P25" s="1">
        <v>28.0</v>
      </c>
      <c r="Q25" s="1" t="s">
        <v>116</v>
      </c>
      <c r="R25" s="1" t="s">
        <v>116</v>
      </c>
      <c r="S25" s="1" t="s">
        <v>182</v>
      </c>
      <c r="U25" s="1" t="s">
        <v>183</v>
      </c>
      <c r="W25" s="1" t="s">
        <v>184</v>
      </c>
      <c r="Z25" s="1" t="s">
        <v>185</v>
      </c>
      <c r="AA25" s="1" t="s">
        <v>116</v>
      </c>
      <c r="AB25" s="1">
        <v>21227.0</v>
      </c>
      <c r="AC25" s="1" t="s">
        <v>186</v>
      </c>
      <c r="AE25" s="1" t="s">
        <v>187</v>
      </c>
      <c r="AF25" s="1" t="s">
        <v>188</v>
      </c>
      <c r="AG25" s="1" t="s">
        <v>61</v>
      </c>
      <c r="AH25" s="1" t="s">
        <v>62</v>
      </c>
      <c r="AI25" s="1">
        <v>2.0260301E7</v>
      </c>
      <c r="AJ25" s="1" t="s">
        <v>63</v>
      </c>
      <c r="AK25" s="1" t="s">
        <v>63</v>
      </c>
      <c r="AL25" s="1">
        <v>1.0</v>
      </c>
      <c r="AM25" s="1">
        <v>2.0260306E7</v>
      </c>
      <c r="AN25" s="1">
        <v>51.09</v>
      </c>
      <c r="AO25" s="1">
        <v>51.09</v>
      </c>
      <c r="AP25" s="1" t="s">
        <v>63</v>
      </c>
      <c r="AS25" s="1">
        <v>100.0</v>
      </c>
      <c r="AT25" s="1">
        <v>3.58</v>
      </c>
      <c r="AU25" s="1">
        <v>7.0</v>
      </c>
      <c r="AV25" s="1" t="s">
        <v>64</v>
      </c>
    </row>
    <row r="26" ht="15.75" customHeight="1">
      <c r="A26" s="1" t="s">
        <v>48</v>
      </c>
      <c r="B26" s="1">
        <v>2.0260325E7</v>
      </c>
      <c r="C26" s="1" t="s">
        <v>49</v>
      </c>
      <c r="D26" s="1">
        <v>0.0</v>
      </c>
      <c r="E26" s="1">
        <v>2.0411454E7</v>
      </c>
      <c r="F26" s="1" t="s">
        <v>50</v>
      </c>
      <c r="G26" s="1" t="s">
        <v>170</v>
      </c>
      <c r="H26" s="1" t="s">
        <v>171</v>
      </c>
      <c r="I26" s="1" t="s">
        <v>172</v>
      </c>
      <c r="J26" s="1">
        <v>1.6202925E7</v>
      </c>
      <c r="K26" s="1">
        <v>4.42606244E8</v>
      </c>
      <c r="L26" s="1">
        <v>2.0240414E7</v>
      </c>
      <c r="M26" s="1">
        <v>2.0240413E7</v>
      </c>
      <c r="O26" s="1">
        <v>2.0</v>
      </c>
      <c r="P26" s="1">
        <v>49.0</v>
      </c>
      <c r="Q26" s="1" t="s">
        <v>116</v>
      </c>
      <c r="R26" s="1" t="s">
        <v>116</v>
      </c>
      <c r="S26" s="1" t="s">
        <v>189</v>
      </c>
      <c r="U26" s="1" t="s">
        <v>190</v>
      </c>
      <c r="W26" s="1" t="s">
        <v>191</v>
      </c>
      <c r="Z26" s="1" t="s">
        <v>128</v>
      </c>
      <c r="AA26" s="1" t="s">
        <v>116</v>
      </c>
      <c r="AB26" s="1">
        <v>20902.0</v>
      </c>
      <c r="AC26" s="1" t="s">
        <v>192</v>
      </c>
      <c r="AE26" s="1" t="s">
        <v>193</v>
      </c>
      <c r="AF26" s="1" t="s">
        <v>188</v>
      </c>
      <c r="AG26" s="1" t="s">
        <v>61</v>
      </c>
      <c r="AH26" s="1" t="s">
        <v>62</v>
      </c>
      <c r="AI26" s="1">
        <v>2.0260301E7</v>
      </c>
      <c r="AJ26" s="1" t="s">
        <v>63</v>
      </c>
      <c r="AK26" s="1" t="s">
        <v>63</v>
      </c>
      <c r="AL26" s="1">
        <v>1.0</v>
      </c>
      <c r="AM26" s="1">
        <v>2.0260307E7</v>
      </c>
      <c r="AN26" s="1">
        <v>42.59</v>
      </c>
      <c r="AO26" s="1">
        <v>42.59</v>
      </c>
      <c r="AP26" s="1" t="s">
        <v>63</v>
      </c>
      <c r="AS26" s="1">
        <v>100.0</v>
      </c>
      <c r="AT26" s="1">
        <v>2.98</v>
      </c>
      <c r="AU26" s="1">
        <v>7.0</v>
      </c>
      <c r="AV26" s="1" t="s">
        <v>64</v>
      </c>
    </row>
    <row r="27" ht="15.75" customHeight="1">
      <c r="A27" s="1" t="s">
        <v>48</v>
      </c>
      <c r="B27" s="1">
        <v>2.0260325E7</v>
      </c>
      <c r="C27" s="1" t="s">
        <v>49</v>
      </c>
      <c r="D27" s="1">
        <v>0.0</v>
      </c>
      <c r="E27" s="1">
        <v>2.0411454E7</v>
      </c>
      <c r="F27" s="1" t="s">
        <v>50</v>
      </c>
      <c r="G27" s="1" t="s">
        <v>170</v>
      </c>
      <c r="H27" s="1" t="s">
        <v>171</v>
      </c>
      <c r="I27" s="1" t="s">
        <v>172</v>
      </c>
      <c r="J27" s="1">
        <v>1.6202925E7</v>
      </c>
      <c r="K27" s="1">
        <v>4.4264632E8</v>
      </c>
      <c r="L27" s="1">
        <v>2.0240505E7</v>
      </c>
      <c r="M27" s="1">
        <v>2.0240503E7</v>
      </c>
      <c r="O27" s="1">
        <v>2.0</v>
      </c>
      <c r="P27" s="1">
        <v>57.0</v>
      </c>
      <c r="Q27" s="1" t="s">
        <v>116</v>
      </c>
      <c r="R27" s="1" t="s">
        <v>116</v>
      </c>
      <c r="S27" s="1" t="s">
        <v>194</v>
      </c>
      <c r="U27" s="1" t="s">
        <v>195</v>
      </c>
      <c r="W27" s="1" t="s">
        <v>196</v>
      </c>
      <c r="Z27" s="1" t="s">
        <v>197</v>
      </c>
      <c r="AA27" s="1" t="s">
        <v>116</v>
      </c>
      <c r="AB27" s="1" t="s">
        <v>198</v>
      </c>
      <c r="AC27" s="1" t="s">
        <v>199</v>
      </c>
      <c r="AE27" s="1" t="s">
        <v>200</v>
      </c>
      <c r="AF27" s="1" t="s">
        <v>188</v>
      </c>
      <c r="AG27" s="1" t="s">
        <v>61</v>
      </c>
      <c r="AH27" s="1" t="s">
        <v>62</v>
      </c>
      <c r="AI27" s="1">
        <v>2.0260301E7</v>
      </c>
      <c r="AJ27" s="1" t="s">
        <v>63</v>
      </c>
      <c r="AK27" s="1" t="s">
        <v>63</v>
      </c>
      <c r="AL27" s="1">
        <v>1.0</v>
      </c>
      <c r="AM27" s="1">
        <v>2.0260307E7</v>
      </c>
      <c r="AN27" s="1">
        <v>55.3</v>
      </c>
      <c r="AO27" s="1">
        <v>55.3</v>
      </c>
      <c r="AP27" s="1" t="s">
        <v>63</v>
      </c>
      <c r="AS27" s="1">
        <v>100.0</v>
      </c>
      <c r="AT27" s="1">
        <v>3.87</v>
      </c>
      <c r="AU27" s="1">
        <v>7.0</v>
      </c>
      <c r="AV27" s="1" t="s">
        <v>64</v>
      </c>
    </row>
    <row r="28" ht="15.75" customHeight="1">
      <c r="A28" s="1" t="s">
        <v>48</v>
      </c>
      <c r="B28" s="1">
        <v>2.0260325E7</v>
      </c>
      <c r="C28" s="1" t="s">
        <v>49</v>
      </c>
      <c r="D28" s="1">
        <v>0.0</v>
      </c>
      <c r="E28" s="1">
        <v>2.0411454E7</v>
      </c>
      <c r="F28" s="1" t="s">
        <v>50</v>
      </c>
      <c r="G28" s="1" t="s">
        <v>51</v>
      </c>
      <c r="H28" s="1" t="s">
        <v>52</v>
      </c>
      <c r="I28" s="1" t="s">
        <v>53</v>
      </c>
      <c r="J28" s="1">
        <v>1.7425766E7</v>
      </c>
      <c r="K28" s="1">
        <v>4.42238637E8</v>
      </c>
      <c r="L28" s="1">
        <v>2.0231031E7</v>
      </c>
      <c r="M28" s="1">
        <v>2.023103E7</v>
      </c>
      <c r="O28" s="1">
        <v>3.0</v>
      </c>
      <c r="P28" s="1">
        <v>35.0</v>
      </c>
      <c r="Q28" s="1" t="s">
        <v>54</v>
      </c>
      <c r="R28" s="1" t="s">
        <v>54</v>
      </c>
      <c r="S28" s="1" t="s">
        <v>201</v>
      </c>
      <c r="U28" s="1" t="s">
        <v>202</v>
      </c>
      <c r="W28" s="1" t="s">
        <v>203</v>
      </c>
      <c r="Z28" s="1" t="s">
        <v>204</v>
      </c>
      <c r="AA28" s="1" t="s">
        <v>54</v>
      </c>
      <c r="AB28" s="1">
        <v>19465.0</v>
      </c>
      <c r="AE28" s="1" t="s">
        <v>69</v>
      </c>
      <c r="AF28" s="1" t="s">
        <v>70</v>
      </c>
      <c r="AG28" s="1" t="s">
        <v>61</v>
      </c>
      <c r="AH28" s="1" t="s">
        <v>62</v>
      </c>
      <c r="AI28" s="1">
        <v>2.0260301E7</v>
      </c>
      <c r="AJ28" s="1" t="s">
        <v>63</v>
      </c>
      <c r="AK28" s="1" t="s">
        <v>63</v>
      </c>
      <c r="AL28" s="1">
        <v>1.0</v>
      </c>
      <c r="AM28" s="1">
        <v>2.0260312E7</v>
      </c>
      <c r="AN28" s="1">
        <v>11.4</v>
      </c>
      <c r="AO28" s="1">
        <v>11.4</v>
      </c>
      <c r="AP28" s="1" t="s">
        <v>63</v>
      </c>
      <c r="AS28" s="1">
        <v>100.0</v>
      </c>
      <c r="AT28" s="1">
        <v>0.91</v>
      </c>
      <c r="AU28" s="1">
        <v>8.0</v>
      </c>
      <c r="AV28" s="1" t="s">
        <v>64</v>
      </c>
    </row>
    <row r="29" ht="15.75" customHeight="1">
      <c r="A29" s="1" t="s">
        <v>48</v>
      </c>
      <c r="B29" s="1">
        <v>2.0260325E7</v>
      </c>
      <c r="C29" s="1" t="s">
        <v>49</v>
      </c>
      <c r="E29" s="1">
        <v>2.0411454E7</v>
      </c>
      <c r="F29" s="1" t="s">
        <v>50</v>
      </c>
      <c r="G29" s="1" t="s">
        <v>146</v>
      </c>
      <c r="H29" s="1" t="s">
        <v>147</v>
      </c>
      <c r="I29" s="1" t="s">
        <v>148</v>
      </c>
      <c r="J29" s="1">
        <v>1.6509456E7</v>
      </c>
      <c r="K29" s="1">
        <v>4.42505686E8</v>
      </c>
      <c r="L29" s="1">
        <v>2.0240222E7</v>
      </c>
      <c r="M29" s="1">
        <v>2.0240221E7</v>
      </c>
      <c r="O29" s="1">
        <v>3.0</v>
      </c>
      <c r="P29" s="1">
        <v>55.0</v>
      </c>
      <c r="Q29" s="1" t="s">
        <v>116</v>
      </c>
      <c r="R29" s="1" t="s">
        <v>116</v>
      </c>
      <c r="S29" s="1" t="s">
        <v>164</v>
      </c>
      <c r="U29" s="1" t="s">
        <v>165</v>
      </c>
      <c r="W29" s="1" t="s">
        <v>166</v>
      </c>
      <c r="Z29" s="1" t="s">
        <v>135</v>
      </c>
      <c r="AA29" s="1" t="s">
        <v>116</v>
      </c>
      <c r="AB29" s="1">
        <v>21211.0</v>
      </c>
      <c r="AE29" s="1" t="s">
        <v>79</v>
      </c>
      <c r="AF29" s="1" t="s">
        <v>80</v>
      </c>
      <c r="AG29" s="1" t="s">
        <v>61</v>
      </c>
      <c r="AH29" s="1" t="s">
        <v>62</v>
      </c>
      <c r="AI29" s="1">
        <v>2.0260301E7</v>
      </c>
      <c r="AJ29" s="1" t="s">
        <v>63</v>
      </c>
      <c r="AK29" s="1" t="s">
        <v>63</v>
      </c>
      <c r="AL29" s="1">
        <v>1.0</v>
      </c>
      <c r="AM29" s="1">
        <v>2.0260313E7</v>
      </c>
      <c r="AN29" s="1">
        <v>-13.28</v>
      </c>
      <c r="AO29" s="1">
        <v>-13.28</v>
      </c>
      <c r="AP29" s="1" t="s">
        <v>63</v>
      </c>
      <c r="AS29" s="1">
        <v>100.0</v>
      </c>
      <c r="AT29" s="1">
        <v>-0.93</v>
      </c>
      <c r="AU29" s="1">
        <v>7.0</v>
      </c>
      <c r="AV29" s="1" t="s">
        <v>64</v>
      </c>
    </row>
    <row r="30" ht="15.75" customHeight="1">
      <c r="A30" s="1" t="s">
        <v>48</v>
      </c>
      <c r="B30" s="1">
        <v>2.0260325E7</v>
      </c>
      <c r="C30" s="1" t="s">
        <v>49</v>
      </c>
      <c r="D30" s="1">
        <v>0.0</v>
      </c>
      <c r="E30" s="1">
        <v>2.0411454E7</v>
      </c>
      <c r="F30" s="1" t="s">
        <v>50</v>
      </c>
      <c r="G30" s="1" t="s">
        <v>170</v>
      </c>
      <c r="H30" s="1" t="s">
        <v>171</v>
      </c>
      <c r="I30" s="1" t="s">
        <v>172</v>
      </c>
      <c r="J30" s="1">
        <v>1.6202925E7</v>
      </c>
      <c r="K30" s="1">
        <v>4.42424445E8</v>
      </c>
      <c r="L30" s="1">
        <v>2.024011E7</v>
      </c>
      <c r="M30" s="1">
        <v>2.0240109E7</v>
      </c>
      <c r="O30" s="1">
        <v>3.0</v>
      </c>
      <c r="P30" s="1">
        <v>51.0</v>
      </c>
      <c r="Q30" s="1" t="s">
        <v>116</v>
      </c>
      <c r="R30" s="1" t="s">
        <v>116</v>
      </c>
      <c r="S30" s="1" t="s">
        <v>205</v>
      </c>
      <c r="U30" s="1" t="s">
        <v>206</v>
      </c>
      <c r="W30" s="1" t="s">
        <v>207</v>
      </c>
      <c r="Z30" s="1" t="s">
        <v>135</v>
      </c>
      <c r="AA30" s="1" t="s">
        <v>116</v>
      </c>
      <c r="AB30" s="1">
        <v>21239.0</v>
      </c>
      <c r="AE30" s="1" t="s">
        <v>136</v>
      </c>
      <c r="AF30" s="1" t="s">
        <v>60</v>
      </c>
      <c r="AG30" s="1" t="s">
        <v>61</v>
      </c>
      <c r="AH30" s="1" t="s">
        <v>62</v>
      </c>
      <c r="AI30" s="1">
        <v>2.0260301E7</v>
      </c>
      <c r="AJ30" s="1" t="s">
        <v>63</v>
      </c>
      <c r="AK30" s="1" t="s">
        <v>63</v>
      </c>
      <c r="AL30" s="1">
        <v>1.0</v>
      </c>
      <c r="AM30" s="1">
        <v>2.0260312E7</v>
      </c>
      <c r="AN30" s="1">
        <v>63.2</v>
      </c>
      <c r="AO30" s="1">
        <v>63.2</v>
      </c>
      <c r="AP30" s="1" t="s">
        <v>63</v>
      </c>
      <c r="AS30" s="1">
        <v>100.0</v>
      </c>
      <c r="AT30" s="1">
        <v>4.42</v>
      </c>
      <c r="AU30" s="1">
        <v>7.0</v>
      </c>
      <c r="AV30" s="1" t="s">
        <v>64</v>
      </c>
    </row>
    <row r="31" ht="15.75" customHeight="1">
      <c r="A31" s="1" t="s">
        <v>48</v>
      </c>
      <c r="B31" s="1">
        <v>2.0260325E7</v>
      </c>
      <c r="C31" s="1" t="s">
        <v>49</v>
      </c>
      <c r="D31" s="1">
        <v>0.0</v>
      </c>
      <c r="E31" s="1">
        <v>2.0411454E7</v>
      </c>
      <c r="F31" s="1" t="s">
        <v>50</v>
      </c>
      <c r="G31" s="1" t="s">
        <v>170</v>
      </c>
      <c r="H31" s="1" t="s">
        <v>171</v>
      </c>
      <c r="I31" s="1" t="s">
        <v>172</v>
      </c>
      <c r="J31" s="1">
        <v>1.6202925E7</v>
      </c>
      <c r="K31" s="1">
        <v>4.42424444E8</v>
      </c>
      <c r="L31" s="1">
        <v>2.024011E7</v>
      </c>
      <c r="M31" s="1">
        <v>2.0240109E7</v>
      </c>
      <c r="O31" s="1">
        <v>3.0</v>
      </c>
      <c r="P31" s="1">
        <v>51.0</v>
      </c>
      <c r="Q31" s="1" t="s">
        <v>116</v>
      </c>
      <c r="R31" s="1" t="s">
        <v>116</v>
      </c>
      <c r="S31" s="1" t="s">
        <v>205</v>
      </c>
      <c r="U31" s="1" t="s">
        <v>206</v>
      </c>
      <c r="W31" s="1" t="s">
        <v>207</v>
      </c>
      <c r="Z31" s="1" t="s">
        <v>135</v>
      </c>
      <c r="AA31" s="1" t="s">
        <v>116</v>
      </c>
      <c r="AB31" s="1">
        <v>21239.0</v>
      </c>
      <c r="AC31" s="1" t="s">
        <v>208</v>
      </c>
      <c r="AE31" s="1" t="s">
        <v>138</v>
      </c>
      <c r="AF31" s="1" t="s">
        <v>101</v>
      </c>
      <c r="AG31" s="1" t="s">
        <v>61</v>
      </c>
      <c r="AH31" s="1" t="s">
        <v>62</v>
      </c>
      <c r="AI31" s="1">
        <v>2.0260301E7</v>
      </c>
      <c r="AJ31" s="1" t="s">
        <v>63</v>
      </c>
      <c r="AK31" s="1" t="s">
        <v>63</v>
      </c>
      <c r="AL31" s="1">
        <v>1.0</v>
      </c>
      <c r="AM31" s="1">
        <v>2.0260312E7</v>
      </c>
      <c r="AN31" s="1">
        <v>58.87</v>
      </c>
      <c r="AO31" s="1">
        <v>58.87</v>
      </c>
      <c r="AP31" s="1" t="s">
        <v>63</v>
      </c>
      <c r="AS31" s="1">
        <v>100.0</v>
      </c>
      <c r="AT31" s="1">
        <v>2.35</v>
      </c>
      <c r="AU31" s="1">
        <v>4.0</v>
      </c>
      <c r="AV31" s="1" t="s">
        <v>64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29"/>
    <col customWidth="1" min="2" max="3" width="18.57"/>
    <col customWidth="1" min="4" max="4" width="13.57"/>
    <col customWidth="1" min="5" max="6" width="18.14"/>
    <col customWidth="1" min="7" max="7" width="21.29"/>
    <col customWidth="1" min="8" max="9" width="21.0"/>
    <col customWidth="1" min="10" max="10" width="16.43"/>
    <col customWidth="1" min="11" max="11" width="22.0"/>
    <col customWidth="1" min="12" max="12" width="29.86"/>
    <col customWidth="1" min="13" max="13" width="25.71"/>
    <col customWidth="1" min="14" max="14" width="45.29"/>
    <col customWidth="1" min="15" max="15" width="22.71"/>
    <col customWidth="1" min="16" max="16" width="20.71"/>
    <col customWidth="1" min="17" max="17" width="28.14"/>
  </cols>
  <sheetData>
    <row r="1">
      <c r="A1" s="1" t="s">
        <v>6</v>
      </c>
      <c r="B1" s="1" t="s">
        <v>7</v>
      </c>
      <c r="D1" s="1" t="s">
        <v>10</v>
      </c>
      <c r="E1" s="1" t="s">
        <v>11</v>
      </c>
      <c r="G1" s="1" t="s">
        <v>18</v>
      </c>
      <c r="H1" s="1" t="s">
        <v>20</v>
      </c>
      <c r="J1" s="1" t="s">
        <v>26</v>
      </c>
      <c r="K1" s="1" t="s">
        <v>30</v>
      </c>
      <c r="L1" s="1" t="s">
        <v>31</v>
      </c>
      <c r="M1" s="1" t="s">
        <v>46</v>
      </c>
      <c r="N1" s="2" t="s">
        <v>209</v>
      </c>
      <c r="O1" s="1" t="s">
        <v>34</v>
      </c>
      <c r="P1" s="1" t="s">
        <v>39</v>
      </c>
      <c r="Q1" s="1" t="s">
        <v>45</v>
      </c>
    </row>
    <row r="2">
      <c r="A2" s="1" t="s">
        <v>51</v>
      </c>
      <c r="B2" s="1" t="s">
        <v>52</v>
      </c>
      <c r="C2" s="1" t="str">
        <f t="shared" ref="C2:C31" si="1">concatenate(B2," ",A2)</f>
        <v>Carol Foley</v>
      </c>
      <c r="D2" s="1">
        <v>4.41952843E8</v>
      </c>
      <c r="E2" s="1">
        <v>2.0230503E7</v>
      </c>
      <c r="F2" s="1" t="str">
        <f t="shared" ref="F2:F31" si="2">TEXT(DATE(LEFT(E2,4), MID(E2,5,2), RIGHT(E2,2)), "M/d/yyyy") </f>
        <v>5/3/2023</v>
      </c>
      <c r="G2" s="1" t="s">
        <v>55</v>
      </c>
      <c r="H2" s="1" t="s">
        <v>56</v>
      </c>
      <c r="I2" s="1" t="str">
        <f t="shared" ref="I2:I31" si="3">CONCATENATE(G2," ",H2)</f>
        <v>MARIA QUIC CAXAJ</v>
      </c>
      <c r="J2" s="1" t="s">
        <v>54</v>
      </c>
      <c r="K2" s="1" t="s">
        <v>59</v>
      </c>
      <c r="L2" s="1" t="s">
        <v>60</v>
      </c>
      <c r="M2" s="1">
        <v>5.0</v>
      </c>
      <c r="N2" s="2" t="s">
        <v>210</v>
      </c>
      <c r="O2" s="1">
        <v>2.0260301E7</v>
      </c>
      <c r="P2" s="1">
        <v>62.58</v>
      </c>
      <c r="Q2" s="1">
        <v>3.13</v>
      </c>
    </row>
    <row r="3">
      <c r="A3" s="1" t="s">
        <v>51</v>
      </c>
      <c r="B3" s="1" t="s">
        <v>52</v>
      </c>
      <c r="C3" s="1" t="str">
        <f t="shared" si="1"/>
        <v>Carol Foley</v>
      </c>
      <c r="D3" s="1">
        <v>4.42293037E8</v>
      </c>
      <c r="E3" s="1">
        <v>2.0231121E7</v>
      </c>
      <c r="F3" s="1" t="str">
        <f t="shared" si="2"/>
        <v>11/21/2023</v>
      </c>
      <c r="G3" s="1" t="s">
        <v>65</v>
      </c>
      <c r="H3" s="1" t="s">
        <v>66</v>
      </c>
      <c r="I3" s="1" t="str">
        <f t="shared" si="3"/>
        <v>ANNA CABOT</v>
      </c>
      <c r="J3" s="1" t="s">
        <v>54</v>
      </c>
      <c r="K3" s="1" t="s">
        <v>69</v>
      </c>
      <c r="L3" s="1" t="s">
        <v>70</v>
      </c>
      <c r="M3" s="1">
        <v>8.0</v>
      </c>
      <c r="N3" s="2" t="s">
        <v>211</v>
      </c>
      <c r="O3" s="1">
        <v>2.0260301E7</v>
      </c>
      <c r="P3" s="1">
        <v>11.4</v>
      </c>
      <c r="Q3" s="1">
        <v>0.91</v>
      </c>
    </row>
    <row r="4">
      <c r="A4" s="1" t="s">
        <v>51</v>
      </c>
      <c r="B4" s="1" t="s">
        <v>52</v>
      </c>
      <c r="C4" s="1" t="str">
        <f t="shared" si="1"/>
        <v>Carol Foley</v>
      </c>
      <c r="D4" s="1">
        <v>4.42363899E8</v>
      </c>
      <c r="E4" s="1">
        <v>2.0231214E7</v>
      </c>
      <c r="F4" s="1" t="str">
        <f t="shared" si="2"/>
        <v>12/14/2023</v>
      </c>
      <c r="G4" s="1" t="s">
        <v>71</v>
      </c>
      <c r="H4" s="1" t="s">
        <v>72</v>
      </c>
      <c r="I4" s="1" t="str">
        <f t="shared" si="3"/>
        <v>STUART STURROCK</v>
      </c>
      <c r="J4" s="1" t="s">
        <v>54</v>
      </c>
      <c r="K4" s="1" t="s">
        <v>69</v>
      </c>
      <c r="L4" s="1" t="s">
        <v>70</v>
      </c>
      <c r="M4" s="1">
        <v>8.0</v>
      </c>
      <c r="N4" s="2" t="s">
        <v>211</v>
      </c>
      <c r="O4" s="1">
        <v>2.0260301E7</v>
      </c>
      <c r="P4" s="1">
        <v>11.4</v>
      </c>
      <c r="Q4" s="1">
        <v>0.91</v>
      </c>
    </row>
    <row r="5">
      <c r="A5" s="1" t="s">
        <v>51</v>
      </c>
      <c r="B5" s="1" t="s">
        <v>52</v>
      </c>
      <c r="C5" s="1" t="str">
        <f t="shared" si="1"/>
        <v>Carol Foley</v>
      </c>
      <c r="D5" s="1">
        <v>4.42477122E8</v>
      </c>
      <c r="E5" s="1">
        <v>2.0240206E7</v>
      </c>
      <c r="F5" s="1" t="str">
        <f t="shared" si="2"/>
        <v>2/6/2024</v>
      </c>
      <c r="G5" s="1" t="s">
        <v>75</v>
      </c>
      <c r="H5" s="1" t="s">
        <v>76</v>
      </c>
      <c r="I5" s="1" t="str">
        <f t="shared" si="3"/>
        <v>MONIQUE SEYLER</v>
      </c>
      <c r="J5" s="1" t="s">
        <v>54</v>
      </c>
      <c r="K5" s="1" t="s">
        <v>79</v>
      </c>
      <c r="L5" s="1" t="s">
        <v>80</v>
      </c>
      <c r="M5" s="1">
        <v>7.0</v>
      </c>
      <c r="N5" s="2" t="s">
        <v>212</v>
      </c>
      <c r="O5" s="1">
        <v>2.0260301E7</v>
      </c>
      <c r="P5" s="1">
        <v>13.28</v>
      </c>
      <c r="Q5" s="1">
        <v>0.93</v>
      </c>
    </row>
    <row r="6">
      <c r="A6" s="1" t="s">
        <v>81</v>
      </c>
      <c r="B6" s="1" t="s">
        <v>82</v>
      </c>
      <c r="C6" s="1" t="str">
        <f t="shared" si="1"/>
        <v>Jason Hoffmann</v>
      </c>
      <c r="D6" s="1">
        <v>4.41696456E8</v>
      </c>
      <c r="E6" s="1">
        <v>2.0221213E7</v>
      </c>
      <c r="F6" s="1" t="str">
        <f t="shared" si="2"/>
        <v>12/13/2022</v>
      </c>
      <c r="G6" s="1" t="s">
        <v>84</v>
      </c>
      <c r="H6" s="1" t="s">
        <v>85</v>
      </c>
      <c r="I6" s="1" t="str">
        <f t="shared" si="3"/>
        <v>KARA COWEN</v>
      </c>
      <c r="J6" s="1" t="s">
        <v>54</v>
      </c>
      <c r="K6" s="1" t="s">
        <v>69</v>
      </c>
      <c r="L6" s="1" t="s">
        <v>70</v>
      </c>
      <c r="M6" s="1">
        <v>8.0</v>
      </c>
      <c r="N6" s="2" t="s">
        <v>211</v>
      </c>
      <c r="O6" s="1">
        <v>2.0260301E7</v>
      </c>
      <c r="P6" s="1">
        <v>11.4</v>
      </c>
      <c r="Q6" s="1">
        <v>0.91</v>
      </c>
    </row>
    <row r="7">
      <c r="A7" s="1" t="s">
        <v>81</v>
      </c>
      <c r="B7" s="1" t="s">
        <v>82</v>
      </c>
      <c r="C7" s="1" t="str">
        <f t="shared" si="1"/>
        <v>Jason Hoffmann</v>
      </c>
      <c r="D7" s="1">
        <v>4.41699275E8</v>
      </c>
      <c r="E7" s="1">
        <v>2.0221214E7</v>
      </c>
      <c r="F7" s="1" t="str">
        <f t="shared" si="2"/>
        <v>12/14/2022</v>
      </c>
      <c r="G7" s="1" t="s">
        <v>88</v>
      </c>
      <c r="H7" s="1" t="s">
        <v>89</v>
      </c>
      <c r="I7" s="1" t="str">
        <f t="shared" si="3"/>
        <v>MICHAEL DIGREGORIO</v>
      </c>
      <c r="J7" s="1" t="s">
        <v>54</v>
      </c>
      <c r="K7" s="1" t="s">
        <v>92</v>
      </c>
      <c r="L7" s="1" t="s">
        <v>93</v>
      </c>
      <c r="M7" s="1">
        <v>8.0</v>
      </c>
      <c r="N7" s="2" t="s">
        <v>213</v>
      </c>
      <c r="O7" s="1">
        <v>2.0260301E7</v>
      </c>
      <c r="P7" s="1">
        <v>34.94</v>
      </c>
      <c r="Q7" s="1">
        <v>2.8</v>
      </c>
    </row>
    <row r="8">
      <c r="A8" s="1" t="s">
        <v>81</v>
      </c>
      <c r="B8" s="1" t="s">
        <v>82</v>
      </c>
      <c r="C8" s="1" t="str">
        <f t="shared" si="1"/>
        <v>Jason Hoffmann</v>
      </c>
      <c r="D8" s="1">
        <v>4.42249622E8</v>
      </c>
      <c r="E8" s="1">
        <v>2.0231103E7</v>
      </c>
      <c r="F8" s="1" t="str">
        <f t="shared" si="2"/>
        <v>11/3/2023</v>
      </c>
      <c r="G8" s="1" t="s">
        <v>95</v>
      </c>
      <c r="H8" s="1" t="s">
        <v>96</v>
      </c>
      <c r="I8" s="1" t="str">
        <f t="shared" si="3"/>
        <v>DOUGLAS GEISSINGER</v>
      </c>
      <c r="J8" s="1" t="s">
        <v>94</v>
      </c>
      <c r="K8" s="1" t="s">
        <v>100</v>
      </c>
      <c r="L8" s="1" t="s">
        <v>101</v>
      </c>
      <c r="M8" s="1">
        <v>4.0</v>
      </c>
      <c r="N8" s="2" t="s">
        <v>214</v>
      </c>
      <c r="O8" s="1">
        <v>2.0260301E7</v>
      </c>
      <c r="P8" s="1">
        <v>21.81</v>
      </c>
      <c r="Q8" s="1">
        <v>0.87</v>
      </c>
    </row>
    <row r="9">
      <c r="A9" s="1" t="s">
        <v>102</v>
      </c>
      <c r="B9" s="1" t="s">
        <v>103</v>
      </c>
      <c r="C9" s="1" t="str">
        <f t="shared" si="1"/>
        <v>Katelenn Caltagirone</v>
      </c>
      <c r="D9" s="1">
        <v>4.41769366E8</v>
      </c>
      <c r="E9" s="1">
        <v>2.0230124E7</v>
      </c>
      <c r="F9" s="1" t="str">
        <f t="shared" si="2"/>
        <v>1/24/2023</v>
      </c>
      <c r="G9" s="1" t="s">
        <v>106</v>
      </c>
      <c r="H9" s="1" t="s">
        <v>107</v>
      </c>
      <c r="I9" s="1" t="str">
        <f t="shared" si="3"/>
        <v>TIMOTHY WASSELL</v>
      </c>
      <c r="J9" s="1" t="s">
        <v>105</v>
      </c>
      <c r="K9" s="1" t="s">
        <v>110</v>
      </c>
      <c r="L9" s="1" t="s">
        <v>111</v>
      </c>
      <c r="M9" s="1">
        <v>20.0</v>
      </c>
      <c r="N9" s="2" t="s">
        <v>215</v>
      </c>
      <c r="O9" s="1">
        <v>2.0260301E7</v>
      </c>
      <c r="P9" s="1">
        <v>25.0</v>
      </c>
      <c r="Q9" s="1">
        <v>5.0</v>
      </c>
    </row>
    <row r="10">
      <c r="A10" s="1" t="s">
        <v>112</v>
      </c>
      <c r="B10" s="1" t="s">
        <v>113</v>
      </c>
      <c r="C10" s="1" t="str">
        <f t="shared" si="1"/>
        <v>Laneece White</v>
      </c>
      <c r="D10" s="1">
        <v>4.42370248E8</v>
      </c>
      <c r="E10" s="1">
        <v>2.0231215E7</v>
      </c>
      <c r="F10" s="1" t="str">
        <f t="shared" si="2"/>
        <v>12/15/2023</v>
      </c>
      <c r="G10" s="1" t="s">
        <v>117</v>
      </c>
      <c r="H10" s="1" t="s">
        <v>118</v>
      </c>
      <c r="I10" s="1" t="str">
        <f t="shared" si="3"/>
        <v>S AMANDA DAVIS</v>
      </c>
      <c r="J10" s="1" t="s">
        <v>115</v>
      </c>
      <c r="K10" s="1" t="s">
        <v>69</v>
      </c>
      <c r="L10" s="1" t="s">
        <v>70</v>
      </c>
      <c r="M10" s="1">
        <v>4.0</v>
      </c>
      <c r="N10" s="2" t="s">
        <v>216</v>
      </c>
      <c r="O10" s="1">
        <v>2.0260301E7</v>
      </c>
      <c r="P10" s="1">
        <v>10.4</v>
      </c>
      <c r="Q10" s="1">
        <v>0.42</v>
      </c>
    </row>
    <row r="11">
      <c r="A11" s="1" t="s">
        <v>122</v>
      </c>
      <c r="B11" s="1" t="s">
        <v>123</v>
      </c>
      <c r="C11" s="1" t="str">
        <f t="shared" si="1"/>
        <v>Laurie Casta</v>
      </c>
      <c r="D11" s="1">
        <v>4.42099791E8</v>
      </c>
      <c r="E11" s="1">
        <v>2.0230803E7</v>
      </c>
      <c r="F11" s="1" t="str">
        <f t="shared" si="2"/>
        <v>8/3/2023</v>
      </c>
      <c r="G11" s="1" t="s">
        <v>125</v>
      </c>
      <c r="H11" s="1" t="s">
        <v>126</v>
      </c>
      <c r="I11" s="1" t="str">
        <f t="shared" si="3"/>
        <v>CASSANDRA KRAHAM</v>
      </c>
      <c r="J11" s="1" t="s">
        <v>116</v>
      </c>
      <c r="K11" s="1" t="s">
        <v>69</v>
      </c>
      <c r="L11" s="1" t="s">
        <v>70</v>
      </c>
      <c r="M11" s="1">
        <v>4.0</v>
      </c>
      <c r="N11" s="2" t="s">
        <v>216</v>
      </c>
      <c r="O11" s="1">
        <v>2.0260301E7</v>
      </c>
      <c r="P11" s="1">
        <v>10.4</v>
      </c>
      <c r="Q11" s="1">
        <v>0.42</v>
      </c>
    </row>
    <row r="12">
      <c r="A12" s="1" t="s">
        <v>122</v>
      </c>
      <c r="B12" s="1" t="s">
        <v>123</v>
      </c>
      <c r="C12" s="1" t="str">
        <f t="shared" si="1"/>
        <v>Laurie Casta</v>
      </c>
      <c r="D12" s="1">
        <v>4.42249792E8</v>
      </c>
      <c r="E12" s="1">
        <v>2.0231103E7</v>
      </c>
      <c r="F12" s="1" t="str">
        <f t="shared" si="2"/>
        <v>11/3/2023</v>
      </c>
      <c r="G12" s="1" t="s">
        <v>129</v>
      </c>
      <c r="H12" s="1" t="s">
        <v>130</v>
      </c>
      <c r="I12" s="1" t="str">
        <f t="shared" si="3"/>
        <v>DEBRA BECK</v>
      </c>
      <c r="J12" s="1" t="s">
        <v>116</v>
      </c>
      <c r="K12" s="1" t="s">
        <v>69</v>
      </c>
      <c r="L12" s="1" t="s">
        <v>70</v>
      </c>
      <c r="M12" s="1">
        <v>4.0</v>
      </c>
      <c r="N12" s="2" t="s">
        <v>216</v>
      </c>
      <c r="O12" s="1">
        <v>2.0260301E7</v>
      </c>
      <c r="P12" s="1">
        <v>10.4</v>
      </c>
      <c r="Q12" s="1">
        <v>0.42</v>
      </c>
    </row>
    <row r="13">
      <c r="A13" s="1" t="s">
        <v>122</v>
      </c>
      <c r="B13" s="1" t="s">
        <v>123</v>
      </c>
      <c r="C13" s="1" t="str">
        <f t="shared" si="1"/>
        <v>Laurie Casta</v>
      </c>
      <c r="D13" s="1">
        <v>4.42352338E8</v>
      </c>
      <c r="E13" s="1">
        <v>2.0231211E7</v>
      </c>
      <c r="F13" s="1" t="str">
        <f t="shared" si="2"/>
        <v>12/11/2023</v>
      </c>
      <c r="G13" s="1" t="s">
        <v>133</v>
      </c>
      <c r="H13" s="1" t="s">
        <v>118</v>
      </c>
      <c r="I13" s="1" t="str">
        <f t="shared" si="3"/>
        <v>ANGELA DAVIS</v>
      </c>
      <c r="J13" s="1" t="s">
        <v>116</v>
      </c>
      <c r="K13" s="1" t="s">
        <v>69</v>
      </c>
      <c r="L13" s="1" t="s">
        <v>70</v>
      </c>
      <c r="M13" s="1">
        <v>4.0</v>
      </c>
      <c r="N13" s="2" t="s">
        <v>216</v>
      </c>
      <c r="O13" s="1">
        <v>2.0260301E7</v>
      </c>
      <c r="P13" s="1">
        <v>10.4</v>
      </c>
      <c r="Q13" s="1">
        <v>0.42</v>
      </c>
    </row>
    <row r="14">
      <c r="A14" s="1" t="s">
        <v>122</v>
      </c>
      <c r="B14" s="1" t="s">
        <v>123</v>
      </c>
      <c r="C14" s="1" t="str">
        <f t="shared" si="1"/>
        <v>Laurie Casta</v>
      </c>
      <c r="D14" s="1">
        <v>4.42352316E8</v>
      </c>
      <c r="E14" s="1">
        <v>2.0231211E7</v>
      </c>
      <c r="F14" s="1" t="str">
        <f t="shared" si="2"/>
        <v>12/11/2023</v>
      </c>
      <c r="G14" s="1" t="s">
        <v>133</v>
      </c>
      <c r="H14" s="1" t="s">
        <v>118</v>
      </c>
      <c r="I14" s="1" t="str">
        <f t="shared" si="3"/>
        <v>ANGELA DAVIS</v>
      </c>
      <c r="J14" s="1" t="s">
        <v>116</v>
      </c>
      <c r="K14" s="1" t="s">
        <v>136</v>
      </c>
      <c r="L14" s="1" t="s">
        <v>60</v>
      </c>
      <c r="M14" s="1">
        <v>7.0</v>
      </c>
      <c r="N14" s="2" t="s">
        <v>217</v>
      </c>
      <c r="O14" s="1">
        <v>2.0260301E7</v>
      </c>
      <c r="P14" s="1">
        <v>35.05</v>
      </c>
      <c r="Q14" s="1">
        <v>2.45</v>
      </c>
    </row>
    <row r="15">
      <c r="A15" s="1" t="s">
        <v>122</v>
      </c>
      <c r="B15" s="1" t="s">
        <v>123</v>
      </c>
      <c r="C15" s="1" t="str">
        <f t="shared" si="1"/>
        <v>Laurie Casta</v>
      </c>
      <c r="D15" s="1">
        <v>4.42352294E8</v>
      </c>
      <c r="E15" s="1">
        <v>2.0231211E7</v>
      </c>
      <c r="F15" s="1" t="str">
        <f t="shared" si="2"/>
        <v>12/11/2023</v>
      </c>
      <c r="G15" s="1" t="s">
        <v>133</v>
      </c>
      <c r="H15" s="1" t="s">
        <v>118</v>
      </c>
      <c r="I15" s="1" t="str">
        <f t="shared" si="3"/>
        <v>ANGELA DAVIS</v>
      </c>
      <c r="J15" s="1" t="s">
        <v>116</v>
      </c>
      <c r="K15" s="1" t="s">
        <v>138</v>
      </c>
      <c r="L15" s="1" t="s">
        <v>101</v>
      </c>
      <c r="M15" s="1">
        <v>15.0</v>
      </c>
      <c r="N15" s="2" t="s">
        <v>218</v>
      </c>
      <c r="O15" s="1">
        <v>2.0260301E7</v>
      </c>
      <c r="P15" s="1">
        <v>44.01</v>
      </c>
      <c r="Q15" s="1">
        <v>6.6</v>
      </c>
    </row>
    <row r="16">
      <c r="A16" s="1" t="s">
        <v>122</v>
      </c>
      <c r="B16" s="1" t="s">
        <v>123</v>
      </c>
      <c r="C16" s="1" t="str">
        <f t="shared" si="1"/>
        <v>Laurie Casta</v>
      </c>
      <c r="D16" s="1">
        <v>4.42361305E8</v>
      </c>
      <c r="E16" s="1">
        <v>2.0231213E7</v>
      </c>
      <c r="F16" s="1" t="str">
        <f t="shared" si="2"/>
        <v>12/13/2023</v>
      </c>
      <c r="G16" s="1" t="s">
        <v>139</v>
      </c>
      <c r="H16" s="1" t="s">
        <v>140</v>
      </c>
      <c r="I16" s="1" t="str">
        <f t="shared" si="3"/>
        <v>SHARON JOSEPH</v>
      </c>
      <c r="J16" s="1" t="s">
        <v>116</v>
      </c>
      <c r="K16" s="1" t="s">
        <v>69</v>
      </c>
      <c r="L16" s="1" t="s">
        <v>70</v>
      </c>
      <c r="M16" s="1">
        <v>4.0</v>
      </c>
      <c r="N16" s="2" t="s">
        <v>216</v>
      </c>
      <c r="O16" s="1">
        <v>2.0260301E7</v>
      </c>
      <c r="P16" s="1">
        <v>17.0</v>
      </c>
      <c r="Q16" s="1">
        <v>0.68</v>
      </c>
    </row>
    <row r="17">
      <c r="A17" s="1" t="s">
        <v>122</v>
      </c>
      <c r="B17" s="1" t="s">
        <v>123</v>
      </c>
      <c r="C17" s="1" t="str">
        <f t="shared" si="1"/>
        <v>Laurie Casta</v>
      </c>
      <c r="D17" s="1">
        <v>4.42332365E8</v>
      </c>
      <c r="E17" s="1">
        <v>2.0231215E7</v>
      </c>
      <c r="F17" s="1" t="str">
        <f t="shared" si="2"/>
        <v>12/15/2023</v>
      </c>
      <c r="G17" s="1" t="s">
        <v>143</v>
      </c>
      <c r="H17" s="1" t="s">
        <v>144</v>
      </c>
      <c r="I17" s="1" t="str">
        <f t="shared" si="3"/>
        <v>JOY FOURNILLIER</v>
      </c>
      <c r="J17" s="1" t="s">
        <v>116</v>
      </c>
      <c r="K17" s="1" t="s">
        <v>138</v>
      </c>
      <c r="L17" s="1" t="s">
        <v>101</v>
      </c>
      <c r="M17" s="1">
        <v>15.0</v>
      </c>
      <c r="N17" s="2" t="s">
        <v>218</v>
      </c>
      <c r="O17" s="1">
        <v>2.0260301E7</v>
      </c>
      <c r="P17" s="1">
        <v>103.36</v>
      </c>
      <c r="Q17" s="1">
        <v>15.5</v>
      </c>
    </row>
    <row r="18">
      <c r="A18" s="1" t="s">
        <v>146</v>
      </c>
      <c r="B18" s="1" t="s">
        <v>147</v>
      </c>
      <c r="C18" s="1" t="str">
        <f t="shared" si="1"/>
        <v>Peter Richter</v>
      </c>
      <c r="D18" s="1">
        <v>4.42271715E8</v>
      </c>
      <c r="E18" s="1">
        <v>2.0231111E7</v>
      </c>
      <c r="F18" s="1" t="str">
        <f t="shared" si="2"/>
        <v>11/11/2023</v>
      </c>
      <c r="G18" s="1" t="s">
        <v>149</v>
      </c>
      <c r="H18" s="1" t="s">
        <v>150</v>
      </c>
      <c r="I18" s="1" t="str">
        <f t="shared" si="3"/>
        <v>DONNA MILBOURNE</v>
      </c>
      <c r="J18" s="1" t="s">
        <v>116</v>
      </c>
      <c r="K18" s="1" t="s">
        <v>69</v>
      </c>
      <c r="L18" s="1" t="s">
        <v>70</v>
      </c>
      <c r="M18" s="1">
        <v>4.0</v>
      </c>
      <c r="N18" s="2" t="s">
        <v>216</v>
      </c>
      <c r="O18" s="1">
        <v>2.0260301E7</v>
      </c>
      <c r="P18" s="1">
        <v>17.0</v>
      </c>
      <c r="Q18" s="1">
        <v>0.68</v>
      </c>
    </row>
    <row r="19">
      <c r="A19" s="1" t="s">
        <v>146</v>
      </c>
      <c r="B19" s="1" t="s">
        <v>147</v>
      </c>
      <c r="C19" s="1" t="str">
        <f t="shared" si="1"/>
        <v>Peter Richter</v>
      </c>
      <c r="D19" s="1">
        <v>4.42289311E8</v>
      </c>
      <c r="E19" s="1">
        <v>2.0231118E7</v>
      </c>
      <c r="F19" s="1" t="str">
        <f t="shared" si="2"/>
        <v>11/18/2023</v>
      </c>
      <c r="G19" s="1" t="s">
        <v>155</v>
      </c>
      <c r="H19" s="1" t="s">
        <v>156</v>
      </c>
      <c r="I19" s="1" t="str">
        <f t="shared" si="3"/>
        <v>THERESA COLE</v>
      </c>
      <c r="J19" s="1" t="s">
        <v>54</v>
      </c>
      <c r="K19" s="1" t="s">
        <v>69</v>
      </c>
      <c r="L19" s="1" t="s">
        <v>70</v>
      </c>
      <c r="M19" s="1">
        <v>8.0</v>
      </c>
      <c r="N19" s="2" t="s">
        <v>211</v>
      </c>
      <c r="O19" s="1">
        <v>2.0260301E7</v>
      </c>
      <c r="P19" s="1">
        <v>15.7</v>
      </c>
      <c r="Q19" s="1">
        <v>1.26</v>
      </c>
    </row>
    <row r="20">
      <c r="A20" s="1" t="s">
        <v>146</v>
      </c>
      <c r="B20" s="1" t="s">
        <v>147</v>
      </c>
      <c r="C20" s="1" t="str">
        <f t="shared" si="1"/>
        <v>Peter Richter</v>
      </c>
      <c r="D20" s="1">
        <v>4.42495285E8</v>
      </c>
      <c r="E20" s="1">
        <v>2.0240216E7</v>
      </c>
      <c r="F20" s="1" t="str">
        <f t="shared" si="2"/>
        <v>2/16/2024</v>
      </c>
      <c r="G20" s="1" t="s">
        <v>161</v>
      </c>
      <c r="H20" s="1" t="s">
        <v>162</v>
      </c>
      <c r="I20" s="1" t="str">
        <f t="shared" si="3"/>
        <v>STEPHEN BIEGANSKI</v>
      </c>
      <c r="J20" s="1" t="s">
        <v>54</v>
      </c>
      <c r="K20" s="1" t="s">
        <v>92</v>
      </c>
      <c r="L20" s="1" t="s">
        <v>93</v>
      </c>
      <c r="M20" s="1">
        <v>8.0</v>
      </c>
      <c r="N20" s="2" t="s">
        <v>213</v>
      </c>
      <c r="O20" s="1">
        <v>2.0260301E7</v>
      </c>
      <c r="P20" s="1">
        <v>34.94</v>
      </c>
      <c r="Q20" s="1">
        <v>2.8</v>
      </c>
    </row>
    <row r="21">
      <c r="A21" s="1" t="s">
        <v>146</v>
      </c>
      <c r="B21" s="1" t="s">
        <v>147</v>
      </c>
      <c r="C21" s="1" t="str">
        <f t="shared" si="1"/>
        <v>Peter Richter</v>
      </c>
      <c r="D21" s="1">
        <v>4.42505686E8</v>
      </c>
      <c r="E21" s="1">
        <v>2.0240222E7</v>
      </c>
      <c r="F21" s="1" t="str">
        <f t="shared" si="2"/>
        <v>2/22/2024</v>
      </c>
      <c r="G21" s="1" t="s">
        <v>164</v>
      </c>
      <c r="H21" s="1" t="s">
        <v>165</v>
      </c>
      <c r="I21" s="1" t="str">
        <f t="shared" si="3"/>
        <v>KEVIN MILLER</v>
      </c>
      <c r="J21" s="1" t="s">
        <v>116</v>
      </c>
      <c r="K21" s="1" t="s">
        <v>79</v>
      </c>
      <c r="L21" s="1" t="s">
        <v>80</v>
      </c>
      <c r="M21" s="1">
        <v>7.0</v>
      </c>
      <c r="N21" s="2" t="s">
        <v>212</v>
      </c>
      <c r="O21" s="1">
        <v>2.0260301E7</v>
      </c>
      <c r="P21" s="1">
        <v>13.28</v>
      </c>
      <c r="Q21" s="1">
        <v>0.93</v>
      </c>
    </row>
    <row r="22">
      <c r="A22" s="1" t="s">
        <v>146</v>
      </c>
      <c r="B22" s="1" t="s">
        <v>147</v>
      </c>
      <c r="C22" s="1" t="str">
        <f t="shared" si="1"/>
        <v>Peter Richter</v>
      </c>
      <c r="D22" s="1">
        <v>4.42508319E8</v>
      </c>
      <c r="E22" s="1">
        <v>2.0240223E7</v>
      </c>
      <c r="F22" s="1" t="str">
        <f t="shared" si="2"/>
        <v>2/23/2024</v>
      </c>
      <c r="G22" s="1" t="s">
        <v>167</v>
      </c>
      <c r="H22" s="1" t="s">
        <v>168</v>
      </c>
      <c r="I22" s="1" t="str">
        <f t="shared" si="3"/>
        <v>MARYURI MEMBRENO NAVAS</v>
      </c>
      <c r="J22" s="1" t="s">
        <v>116</v>
      </c>
      <c r="K22" s="1" t="s">
        <v>79</v>
      </c>
      <c r="L22" s="1" t="s">
        <v>80</v>
      </c>
      <c r="M22" s="1">
        <v>7.0</v>
      </c>
      <c r="N22" s="2" t="s">
        <v>212</v>
      </c>
      <c r="O22" s="1">
        <v>2.0260301E7</v>
      </c>
      <c r="P22" s="1">
        <v>13.28</v>
      </c>
      <c r="Q22" s="1">
        <v>0.93</v>
      </c>
    </row>
    <row r="23">
      <c r="A23" s="1" t="s">
        <v>170</v>
      </c>
      <c r="B23" s="1" t="s">
        <v>171</v>
      </c>
      <c r="C23" s="1" t="str">
        <f t="shared" si="1"/>
        <v>Thomas Kucan</v>
      </c>
      <c r="D23" s="1">
        <v>4.42368806E8</v>
      </c>
      <c r="E23" s="1">
        <v>2.0231215E7</v>
      </c>
      <c r="F23" s="1" t="str">
        <f t="shared" si="2"/>
        <v>12/15/2023</v>
      </c>
      <c r="G23" s="1" t="s">
        <v>173</v>
      </c>
      <c r="H23" s="1" t="s">
        <v>174</v>
      </c>
      <c r="I23" s="1" t="str">
        <f t="shared" si="3"/>
        <v>CHARLES MACDONALD</v>
      </c>
      <c r="J23" s="1" t="s">
        <v>116</v>
      </c>
      <c r="K23" s="1" t="s">
        <v>69</v>
      </c>
      <c r="L23" s="1" t="s">
        <v>70</v>
      </c>
      <c r="M23" s="1">
        <v>4.0</v>
      </c>
      <c r="N23" s="2" t="s">
        <v>216</v>
      </c>
      <c r="O23" s="1">
        <v>2.0260301E7</v>
      </c>
      <c r="P23" s="1">
        <v>17.0</v>
      </c>
      <c r="Q23" s="1">
        <v>0.68</v>
      </c>
    </row>
    <row r="24">
      <c r="A24" s="1" t="s">
        <v>170</v>
      </c>
      <c r="B24" s="1" t="s">
        <v>171</v>
      </c>
      <c r="C24" s="1" t="str">
        <f t="shared" si="1"/>
        <v>Thomas Kucan</v>
      </c>
      <c r="D24" s="1">
        <v>4.42430491E8</v>
      </c>
      <c r="E24" s="1">
        <v>2.0240113E7</v>
      </c>
      <c r="F24" s="1" t="str">
        <f t="shared" si="2"/>
        <v>1/13/2024</v>
      </c>
      <c r="G24" s="1" t="s">
        <v>177</v>
      </c>
      <c r="H24" s="1" t="s">
        <v>178</v>
      </c>
      <c r="I24" s="1" t="str">
        <f t="shared" si="3"/>
        <v>JUANITA PINCHBACK</v>
      </c>
      <c r="J24" s="1" t="s">
        <v>116</v>
      </c>
      <c r="K24" s="1" t="s">
        <v>100</v>
      </c>
      <c r="L24" s="1" t="s">
        <v>101</v>
      </c>
      <c r="M24" s="1">
        <v>4.0</v>
      </c>
      <c r="N24" s="3" t="s">
        <v>214</v>
      </c>
      <c r="O24" s="1">
        <v>2.0260301E7</v>
      </c>
      <c r="P24" s="1">
        <v>37.39</v>
      </c>
      <c r="Q24" s="1">
        <v>1.5</v>
      </c>
    </row>
    <row r="25">
      <c r="A25" s="1" t="s">
        <v>170</v>
      </c>
      <c r="B25" s="1" t="s">
        <v>171</v>
      </c>
      <c r="C25" s="1" t="str">
        <f t="shared" si="1"/>
        <v>Thomas Kucan</v>
      </c>
      <c r="D25" s="1">
        <v>4.4258695E8</v>
      </c>
      <c r="E25" s="1">
        <v>2.0240404E7</v>
      </c>
      <c r="F25" s="1" t="str">
        <f t="shared" si="2"/>
        <v>4/4/2024</v>
      </c>
      <c r="G25" s="1" t="s">
        <v>182</v>
      </c>
      <c r="H25" s="1" t="s">
        <v>183</v>
      </c>
      <c r="I25" s="1" t="str">
        <f t="shared" si="3"/>
        <v>AUDREY ROZIER</v>
      </c>
      <c r="J25" s="1" t="s">
        <v>116</v>
      </c>
      <c r="K25" s="1" t="s">
        <v>187</v>
      </c>
      <c r="L25" s="1" t="s">
        <v>188</v>
      </c>
      <c r="M25" s="1">
        <v>7.0</v>
      </c>
      <c r="N25" s="2" t="s">
        <v>212</v>
      </c>
      <c r="O25" s="1">
        <v>2.0260301E7</v>
      </c>
      <c r="P25" s="1">
        <v>51.09</v>
      </c>
      <c r="Q25" s="1">
        <v>3.58</v>
      </c>
    </row>
    <row r="26">
      <c r="A26" s="1" t="s">
        <v>170</v>
      </c>
      <c r="B26" s="1" t="s">
        <v>171</v>
      </c>
      <c r="C26" s="1" t="str">
        <f t="shared" si="1"/>
        <v>Thomas Kucan</v>
      </c>
      <c r="D26" s="1">
        <v>4.42606244E8</v>
      </c>
      <c r="E26" s="1">
        <v>2.0240414E7</v>
      </c>
      <c r="F26" s="1" t="str">
        <f t="shared" si="2"/>
        <v>4/14/2024</v>
      </c>
      <c r="G26" s="1" t="s">
        <v>189</v>
      </c>
      <c r="H26" s="1" t="s">
        <v>190</v>
      </c>
      <c r="I26" s="1" t="str">
        <f t="shared" si="3"/>
        <v>MATTHEW BOLIEK</v>
      </c>
      <c r="J26" s="1" t="s">
        <v>116</v>
      </c>
      <c r="K26" s="1" t="s">
        <v>193</v>
      </c>
      <c r="L26" s="1" t="s">
        <v>188</v>
      </c>
      <c r="M26" s="1">
        <v>7.0</v>
      </c>
      <c r="N26" s="2" t="s">
        <v>212</v>
      </c>
      <c r="O26" s="1">
        <v>2.0260301E7</v>
      </c>
      <c r="P26" s="1">
        <v>42.59</v>
      </c>
      <c r="Q26" s="1">
        <v>2.98</v>
      </c>
    </row>
    <row r="27">
      <c r="A27" s="1" t="s">
        <v>170</v>
      </c>
      <c r="B27" s="1" t="s">
        <v>171</v>
      </c>
      <c r="C27" s="1" t="str">
        <f t="shared" si="1"/>
        <v>Thomas Kucan</v>
      </c>
      <c r="D27" s="1">
        <v>4.4264632E8</v>
      </c>
      <c r="E27" s="1">
        <v>2.0240505E7</v>
      </c>
      <c r="F27" s="1" t="str">
        <f t="shared" si="2"/>
        <v>5/5/2024</v>
      </c>
      <c r="G27" s="1" t="s">
        <v>194</v>
      </c>
      <c r="H27" s="1" t="s">
        <v>195</v>
      </c>
      <c r="I27" s="1" t="str">
        <f t="shared" si="3"/>
        <v>PAUL KOESTER</v>
      </c>
      <c r="J27" s="1" t="s">
        <v>116</v>
      </c>
      <c r="K27" s="1" t="s">
        <v>200</v>
      </c>
      <c r="L27" s="1" t="s">
        <v>188</v>
      </c>
      <c r="M27" s="1">
        <v>7.0</v>
      </c>
      <c r="N27" s="2" t="s">
        <v>212</v>
      </c>
      <c r="O27" s="1">
        <v>2.0260301E7</v>
      </c>
      <c r="P27" s="1">
        <v>55.3</v>
      </c>
      <c r="Q27" s="1">
        <v>3.87</v>
      </c>
    </row>
    <row r="28">
      <c r="A28" s="1" t="s">
        <v>51</v>
      </c>
      <c r="B28" s="1" t="s">
        <v>52</v>
      </c>
      <c r="C28" s="1" t="str">
        <f t="shared" si="1"/>
        <v>Carol Foley</v>
      </c>
      <c r="D28" s="1">
        <v>4.42238637E8</v>
      </c>
      <c r="E28" s="1">
        <v>2.0231031E7</v>
      </c>
      <c r="F28" s="1" t="str">
        <f t="shared" si="2"/>
        <v>10/31/2023</v>
      </c>
      <c r="G28" s="1" t="s">
        <v>201</v>
      </c>
      <c r="H28" s="1" t="s">
        <v>202</v>
      </c>
      <c r="I28" s="1" t="str">
        <f t="shared" si="3"/>
        <v>ANDREW FLEMING</v>
      </c>
      <c r="J28" s="1" t="s">
        <v>54</v>
      </c>
      <c r="K28" s="1" t="s">
        <v>69</v>
      </c>
      <c r="L28" s="1" t="s">
        <v>70</v>
      </c>
      <c r="M28" s="1">
        <v>8.0</v>
      </c>
      <c r="N28" s="2" t="s">
        <v>211</v>
      </c>
      <c r="O28" s="1">
        <v>2.0260301E7</v>
      </c>
      <c r="P28" s="1">
        <v>11.4</v>
      </c>
      <c r="Q28" s="1">
        <v>0.91</v>
      </c>
    </row>
    <row r="29">
      <c r="A29" s="1" t="s">
        <v>146</v>
      </c>
      <c r="B29" s="1" t="s">
        <v>147</v>
      </c>
      <c r="C29" s="1" t="str">
        <f t="shared" si="1"/>
        <v>Peter Richter</v>
      </c>
      <c r="D29" s="1">
        <v>4.42505686E8</v>
      </c>
      <c r="E29" s="1">
        <v>2.0240222E7</v>
      </c>
      <c r="F29" s="1" t="str">
        <f t="shared" si="2"/>
        <v>2/22/2024</v>
      </c>
      <c r="G29" s="1" t="s">
        <v>164</v>
      </c>
      <c r="H29" s="1" t="s">
        <v>165</v>
      </c>
      <c r="I29" s="1" t="str">
        <f t="shared" si="3"/>
        <v>KEVIN MILLER</v>
      </c>
      <c r="J29" s="1" t="s">
        <v>116</v>
      </c>
      <c r="K29" s="1" t="s">
        <v>79</v>
      </c>
      <c r="L29" s="1" t="s">
        <v>80</v>
      </c>
      <c r="M29" s="1">
        <v>7.0</v>
      </c>
      <c r="N29" s="2" t="s">
        <v>212</v>
      </c>
      <c r="O29" s="1">
        <v>2.0260301E7</v>
      </c>
      <c r="P29" s="1">
        <v>-13.28</v>
      </c>
      <c r="Q29" s="1">
        <v>-0.93</v>
      </c>
    </row>
    <row r="30">
      <c r="A30" s="1" t="s">
        <v>170</v>
      </c>
      <c r="B30" s="1" t="s">
        <v>171</v>
      </c>
      <c r="C30" s="1" t="str">
        <f t="shared" si="1"/>
        <v>Thomas Kucan</v>
      </c>
      <c r="D30" s="1">
        <v>4.42424445E8</v>
      </c>
      <c r="E30" s="1">
        <v>2.024011E7</v>
      </c>
      <c r="F30" s="1" t="str">
        <f t="shared" si="2"/>
        <v>1/10/2024</v>
      </c>
      <c r="G30" s="1" t="s">
        <v>205</v>
      </c>
      <c r="H30" s="1" t="s">
        <v>206</v>
      </c>
      <c r="I30" s="1" t="str">
        <f t="shared" si="3"/>
        <v>TOUSSANT MCKENZIE</v>
      </c>
      <c r="J30" s="1" t="s">
        <v>116</v>
      </c>
      <c r="K30" s="1" t="s">
        <v>136</v>
      </c>
      <c r="L30" s="1" t="s">
        <v>60</v>
      </c>
      <c r="M30" s="1">
        <v>7.0</v>
      </c>
      <c r="N30" s="2" t="s">
        <v>217</v>
      </c>
      <c r="O30" s="1">
        <v>2.0260301E7</v>
      </c>
      <c r="P30" s="1">
        <v>63.2</v>
      </c>
      <c r="Q30" s="1">
        <v>4.42</v>
      </c>
    </row>
    <row r="31">
      <c r="A31" s="1" t="s">
        <v>170</v>
      </c>
      <c r="B31" s="1" t="s">
        <v>171</v>
      </c>
      <c r="C31" s="1" t="str">
        <f t="shared" si="1"/>
        <v>Thomas Kucan</v>
      </c>
      <c r="D31" s="1">
        <v>4.42424444E8</v>
      </c>
      <c r="E31" s="1">
        <v>2.024011E7</v>
      </c>
      <c r="F31" s="1" t="str">
        <f t="shared" si="2"/>
        <v>1/10/2024</v>
      </c>
      <c r="G31" s="1" t="s">
        <v>205</v>
      </c>
      <c r="H31" s="1" t="s">
        <v>206</v>
      </c>
      <c r="I31" s="1" t="str">
        <f t="shared" si="3"/>
        <v>TOUSSANT MCKENZIE</v>
      </c>
      <c r="J31" s="1" t="s">
        <v>116</v>
      </c>
      <c r="K31" s="1" t="s">
        <v>138</v>
      </c>
      <c r="L31" s="1" t="s">
        <v>101</v>
      </c>
      <c r="M31" s="1">
        <v>4.0</v>
      </c>
      <c r="N31" s="2" t="s">
        <v>219</v>
      </c>
      <c r="O31" s="1">
        <v>2.0260301E7</v>
      </c>
      <c r="P31" s="1">
        <v>58.87</v>
      </c>
      <c r="Q31" s="1">
        <v>2.35</v>
      </c>
    </row>
  </sheetData>
  <autoFilter ref="$A$1:$Q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2026-03-25T12:16:44Z</dcterms:created>
  <dc:creator>ADMIN</dc:creator>
</cp:coreProperties>
</file>