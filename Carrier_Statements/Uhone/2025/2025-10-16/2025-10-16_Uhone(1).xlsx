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10-09-25 to 10-16-2025\"/>
    </mc:Choice>
  </mc:AlternateContent>
  <xr:revisionPtr revIDLastSave="0" documentId="13_ncr:1_{B54AA817-B33C-426A-AE41-DB41FB2D1D7A}" xr6:coauthVersionLast="47" xr6:coauthVersionMax="47" xr10:uidLastSave="{00000000-0000-0000-0000-000000000000}"/>
  <bookViews>
    <workbookView xWindow="28680" yWindow="-120" windowWidth="29040" windowHeight="16440" activeTab="1" xr2:uid="{E049B853-1D40-426B-82A3-78EF23623B06}"/>
  </bookViews>
  <sheets>
    <sheet name="Uhone 10-16-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2" i="2"/>
  <c r="C22" i="2"/>
  <c r="C37" i="2"/>
  <c r="C46" i="2"/>
  <c r="C47" i="2"/>
  <c r="C10" i="2"/>
  <c r="C2" i="2"/>
  <c r="C38" i="2"/>
  <c r="C48" i="2"/>
  <c r="C12" i="2"/>
  <c r="C39" i="2"/>
  <c r="C49" i="2"/>
  <c r="C27" i="2"/>
  <c r="C28" i="2"/>
  <c r="C18" i="2"/>
  <c r="C23" i="2"/>
  <c r="C50" i="2"/>
  <c r="C51" i="2"/>
  <c r="C52" i="2"/>
  <c r="C53" i="2"/>
  <c r="C54" i="2"/>
  <c r="C55" i="2"/>
  <c r="C56" i="2"/>
  <c r="C57" i="2"/>
  <c r="C29" i="2"/>
  <c r="C58" i="2"/>
  <c r="C25" i="2"/>
  <c r="C3" i="2"/>
  <c r="C4" i="2"/>
  <c r="C5" i="2"/>
  <c r="C6" i="2"/>
  <c r="C19" i="2"/>
  <c r="C26" i="2"/>
  <c r="C30" i="2"/>
  <c r="C31" i="2"/>
  <c r="C32" i="2"/>
  <c r="C33" i="2"/>
  <c r="C34" i="2"/>
  <c r="C35" i="2"/>
  <c r="C36" i="2"/>
  <c r="C40" i="2"/>
  <c r="C41" i="2"/>
  <c r="C59" i="2"/>
  <c r="C60" i="2"/>
  <c r="C61" i="2"/>
  <c r="C62" i="2"/>
  <c r="C13" i="2"/>
  <c r="C14" i="2"/>
  <c r="C7" i="2"/>
  <c r="C8" i="2"/>
  <c r="C9" i="2"/>
  <c r="C11" i="2"/>
  <c r="C15" i="2"/>
  <c r="C16" i="2"/>
  <c r="C20" i="2"/>
  <c r="C24" i="2"/>
  <c r="C42" i="2"/>
  <c r="C43" i="2"/>
  <c r="C44" i="2"/>
  <c r="C21" i="2"/>
  <c r="C45" i="2"/>
  <c r="C17" i="2"/>
  <c r="Q13" i="2"/>
  <c r="Q14" i="2"/>
  <c r="Q25" i="2"/>
  <c r="Q43" i="2"/>
  <c r="Q44" i="2"/>
  <c r="Q57" i="2"/>
  <c r="Q48" i="2"/>
  <c r="Q7" i="2"/>
  <c r="Q3" i="2"/>
  <c r="Q4" i="2"/>
  <c r="Q5" i="2"/>
  <c r="Q6" i="2"/>
  <c r="Q8" i="2"/>
  <c r="Q9" i="2"/>
  <c r="Q10" i="2"/>
  <c r="Q11" i="2"/>
  <c r="Q12" i="2"/>
  <c r="Q15" i="2"/>
  <c r="Q16" i="2"/>
  <c r="Q17" i="2"/>
  <c r="Q18" i="2"/>
  <c r="Q19" i="2"/>
  <c r="Q20" i="2"/>
  <c r="Q21" i="2"/>
  <c r="Q24" i="2"/>
  <c r="Q22" i="2"/>
  <c r="Q23" i="2"/>
  <c r="Q26" i="2"/>
  <c r="Q30" i="2"/>
  <c r="Q31" i="2"/>
  <c r="Q32" i="2"/>
  <c r="Q33" i="2"/>
  <c r="Q34" i="2"/>
  <c r="Q29" i="2"/>
  <c r="Q27" i="2"/>
  <c r="Q35" i="2"/>
  <c r="Q28" i="2"/>
  <c r="Q36" i="2"/>
  <c r="Q39" i="2"/>
  <c r="Q38" i="2"/>
  <c r="Q40" i="2"/>
  <c r="Q41" i="2"/>
  <c r="Q42" i="2"/>
  <c r="Q37" i="2"/>
  <c r="Q45" i="2"/>
  <c r="Q59" i="2"/>
  <c r="Q46" i="2"/>
  <c r="Q50" i="2"/>
  <c r="Q60" i="2"/>
  <c r="Q58" i="2"/>
  <c r="Q49" i="2"/>
  <c r="Q61" i="2"/>
  <c r="Q51" i="2"/>
  <c r="Q47" i="2"/>
  <c r="Q62" i="2"/>
  <c r="Q54" i="2"/>
  <c r="Q52" i="2"/>
  <c r="Q53" i="2"/>
  <c r="Q55" i="2"/>
  <c r="Q56" i="2"/>
  <c r="Q2" i="2"/>
  <c r="G13" i="2"/>
  <c r="H13" i="2" s="1"/>
  <c r="G14" i="2"/>
  <c r="G25" i="2"/>
  <c r="G43" i="2"/>
  <c r="H43" i="2" s="1"/>
  <c r="G44" i="2"/>
  <c r="H44" i="2" s="1"/>
  <c r="G57" i="2"/>
  <c r="G48" i="2"/>
  <c r="G7" i="2"/>
  <c r="H7" i="2" s="1"/>
  <c r="G3" i="2"/>
  <c r="H3" i="2" s="1"/>
  <c r="G4" i="2"/>
  <c r="G5" i="2"/>
  <c r="G6" i="2"/>
  <c r="H6" i="2" s="1"/>
  <c r="G8" i="2"/>
  <c r="H8" i="2" s="1"/>
  <c r="G9" i="2"/>
  <c r="G10" i="2"/>
  <c r="G11" i="2"/>
  <c r="H11" i="2" s="1"/>
  <c r="G12" i="2"/>
  <c r="H12" i="2" s="1"/>
  <c r="G15" i="2"/>
  <c r="G16" i="2"/>
  <c r="G17" i="2"/>
  <c r="H17" i="2" s="1"/>
  <c r="G18" i="2"/>
  <c r="H18" i="2" s="1"/>
  <c r="G19" i="2"/>
  <c r="G20" i="2"/>
  <c r="G21" i="2"/>
  <c r="H21" i="2" s="1"/>
  <c r="G24" i="2"/>
  <c r="H24" i="2" s="1"/>
  <c r="G22" i="2"/>
  <c r="G23" i="2"/>
  <c r="G26" i="2"/>
  <c r="H26" i="2" s="1"/>
  <c r="G30" i="2"/>
  <c r="H30" i="2" s="1"/>
  <c r="G31" i="2"/>
  <c r="G32" i="2"/>
  <c r="G33" i="2"/>
  <c r="H33" i="2" s="1"/>
  <c r="G34" i="2"/>
  <c r="H34" i="2" s="1"/>
  <c r="G29" i="2"/>
  <c r="G27" i="2"/>
  <c r="G35" i="2"/>
  <c r="H35" i="2" s="1"/>
  <c r="G28" i="2"/>
  <c r="H28" i="2" s="1"/>
  <c r="G36" i="2"/>
  <c r="G39" i="2"/>
  <c r="G38" i="2"/>
  <c r="H38" i="2" s="1"/>
  <c r="G40" i="2"/>
  <c r="H40" i="2" s="1"/>
  <c r="G41" i="2"/>
  <c r="G42" i="2"/>
  <c r="G37" i="2"/>
  <c r="H37" i="2" s="1"/>
  <c r="G45" i="2"/>
  <c r="H45" i="2" s="1"/>
  <c r="G59" i="2"/>
  <c r="G46" i="2"/>
  <c r="G50" i="2"/>
  <c r="H50" i="2" s="1"/>
  <c r="G60" i="2"/>
  <c r="H60" i="2" s="1"/>
  <c r="G58" i="2"/>
  <c r="G49" i="2"/>
  <c r="G61" i="2"/>
  <c r="H61" i="2" s="1"/>
  <c r="G51" i="2"/>
  <c r="H51" i="2" s="1"/>
  <c r="G47" i="2"/>
  <c r="G62" i="2"/>
  <c r="G54" i="2"/>
  <c r="H54" i="2" s="1"/>
  <c r="G52" i="2"/>
  <c r="H52" i="2" s="1"/>
  <c r="G53" i="2"/>
  <c r="G55" i="2"/>
  <c r="G56" i="2"/>
  <c r="H56" i="2" s="1"/>
  <c r="G2" i="2"/>
  <c r="H2" i="2" s="1"/>
  <c r="H55" i="2" l="1"/>
  <c r="H62" i="2"/>
  <c r="H49" i="2"/>
  <c r="H46" i="2"/>
  <c r="H42" i="2"/>
  <c r="H39" i="2"/>
  <c r="H27" i="2"/>
  <c r="H32" i="2"/>
  <c r="H23" i="2"/>
  <c r="H5" i="2"/>
  <c r="H48" i="2"/>
  <c r="H25" i="2"/>
  <c r="H20" i="2"/>
  <c r="H16" i="2"/>
  <c r="H10" i="2"/>
  <c r="H53" i="2"/>
  <c r="H47" i="2"/>
  <c r="H58" i="2"/>
  <c r="H59" i="2"/>
  <c r="H41" i="2"/>
  <c r="H36" i="2"/>
  <c r="H29" i="2"/>
  <c r="H31" i="2"/>
  <c r="H22" i="2"/>
  <c r="H19" i="2"/>
  <c r="H15" i="2"/>
  <c r="H9" i="2"/>
  <c r="H4" i="2"/>
  <c r="H57" i="2"/>
  <c r="H14" i="2"/>
</calcChain>
</file>

<file path=xl/sharedStrings.xml><?xml version="1.0" encoding="utf-8"?>
<sst xmlns="http://schemas.openxmlformats.org/spreadsheetml/2006/main" count="797" uniqueCount="219">
  <si>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</si>
  <si>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</si>
  <si>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</si>
  <si>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</si>
  <si>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</si>
  <si>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</si>
  <si>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</si>
  <si>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</si>
  <si>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</si>
  <si>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</si>
  <si>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</si>
  <si>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</si>
  <si>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</si>
  <si>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</si>
  <si>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</si>
  <si>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</si>
  <si>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</si>
  <si>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</si>
  <si>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</si>
  <si>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</si>
  <si>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</si>
  <si>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</si>
  <si>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</si>
  <si>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</si>
  <si>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</si>
  <si>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</si>
  <si>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</si>
  <si>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</si>
  <si>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</si>
  <si>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</si>
  <si>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</si>
  <si>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</si>
  <si>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</si>
  <si>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</si>
  <si>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</si>
  <si>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</si>
  <si>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</si>
  <si>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</si>
  <si>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</si>
  <si>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</si>
  <si>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</si>
  <si>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</si>
  <si>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</si>
  <si>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</si>
  <si>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</si>
  <si>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</si>
  <si>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</si>
  <si>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</si>
  <si>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</si>
  <si>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</si>
  <si>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</si>
  <si>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</si>
  <si>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</si>
  <si>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</si>
  <si>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MD</t>
  </si>
  <si>
    <t>DENNIS</t>
  </si>
  <si>
    <t>BLOMME</t>
  </si>
  <si>
    <t>14825 Sapling Way</t>
  </si>
  <si>
    <t>Glenelg</t>
  </si>
  <si>
    <t>3012751037 EXT.</t>
  </si>
  <si>
    <t>Dental Gen</t>
  </si>
  <si>
    <t>Dental Base Coverage</t>
  </si>
  <si>
    <t>Monthly</t>
  </si>
  <si>
    <t>R</t>
  </si>
  <si>
    <t>N</t>
  </si>
  <si>
    <t>COMM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</si>
  <si>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</si>
  <si>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</si>
  <si>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</si>
  <si>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</si>
  <si>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</si>
  <si>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</si>
  <si>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</si>
  <si>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</si>
  <si>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</si>
  <si>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</si>
  <si>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</si>
  <si>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</si>
  <si>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</si>
  <si>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</si>
  <si>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</si>
  <si>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</si>
  <si>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</si>
  <si>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</si>
  <si>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</si>
  <si>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</si>
  <si>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Peter</t>
  </si>
  <si>
    <t>XXX-XX-8611</t>
  </si>
  <si>
    <t>KEVIN</t>
  </si>
  <si>
    <t>MILLER</t>
  </si>
  <si>
    <t>819 W 34th St</t>
  </si>
  <si>
    <t>Baltimore</t>
  </si>
  <si>
    <t>VisionWise Premier</t>
  </si>
  <si>
    <t>VisionWise Base</t>
  </si>
  <si>
    <t>MARYURI</t>
  </si>
  <si>
    <t>MEMBRENO NAVAS</t>
  </si>
  <si>
    <t>7527 Cypress Ave</t>
  </si>
  <si>
    <t>Kucan</t>
  </si>
  <si>
    <t>Thomas</t>
  </si>
  <si>
    <t>XXX-XX-4686</t>
  </si>
  <si>
    <t>TOUSSANT</t>
  </si>
  <si>
    <t>MCKENZIE</t>
  </si>
  <si>
    <t>1719 Wadsworth Way</t>
  </si>
  <si>
    <t>Hosp Guard GI</t>
  </si>
  <si>
    <t>Ancillary Base</t>
  </si>
  <si>
    <t>4102946300 EXT.</t>
  </si>
  <si>
    <t>Dental Premier</t>
  </si>
  <si>
    <t>DC</t>
  </si>
  <si>
    <t>GAY</t>
  </si>
  <si>
    <t>BROWNE</t>
  </si>
  <si>
    <t>ZEV</t>
  </si>
  <si>
    <t>SHEPPARD</t>
  </si>
  <si>
    <t>KITCHEN</t>
  </si>
  <si>
    <t>NEAL</t>
  </si>
  <si>
    <t>KIRSCH</t>
  </si>
  <si>
    <t>KAREN</t>
  </si>
  <si>
    <t>FRITZ</t>
  </si>
  <si>
    <t>VINCENT</t>
  </si>
  <si>
    <t>IDEO</t>
  </si>
  <si>
    <t>JEREMY</t>
  </si>
  <si>
    <t>WORKMAN</t>
  </si>
  <si>
    <t>MARIA</t>
  </si>
  <si>
    <t>QUIC CAXAJ</t>
  </si>
  <si>
    <t>Critical Life SafeGrd 10</t>
  </si>
  <si>
    <t>HOWARD</t>
  </si>
  <si>
    <t>MAISENHELDER</t>
  </si>
  <si>
    <t>FL</t>
  </si>
  <si>
    <t>KELLIE</t>
  </si>
  <si>
    <t>CURRY</t>
  </si>
  <si>
    <t>ANNA</t>
  </si>
  <si>
    <t>CABOT</t>
  </si>
  <si>
    <t>SCOTT</t>
  </si>
  <si>
    <t>SHEAR</t>
  </si>
  <si>
    <t>Accident ExpenseGuard</t>
  </si>
  <si>
    <t>APG Base Coverage</t>
  </si>
  <si>
    <t>Dental Primary</t>
  </si>
  <si>
    <t>STUART</t>
  </si>
  <si>
    <t>STURROCK</t>
  </si>
  <si>
    <t>MONIQUE</t>
  </si>
  <si>
    <t>SEYLER</t>
  </si>
  <si>
    <t>Hoffmann</t>
  </si>
  <si>
    <t>Jason</t>
  </si>
  <si>
    <t>KARA</t>
  </si>
  <si>
    <t>COWEN</t>
  </si>
  <si>
    <t>MICHAEL</t>
  </si>
  <si>
    <t>DIGREGORIO</t>
  </si>
  <si>
    <t>OH</t>
  </si>
  <si>
    <t>DOUGLAS</t>
  </si>
  <si>
    <t>GEISSINGER</t>
  </si>
  <si>
    <t>White</t>
  </si>
  <si>
    <t>Laneece</t>
  </si>
  <si>
    <t>S AMANDA</t>
  </si>
  <si>
    <t>DAVIS</t>
  </si>
  <si>
    <t>Casta</t>
  </si>
  <si>
    <t>Laurie</t>
  </si>
  <si>
    <t>JOHN</t>
  </si>
  <si>
    <t>SONGER</t>
  </si>
  <si>
    <t>CASSANDRA</t>
  </si>
  <si>
    <t>KRAHAM</t>
  </si>
  <si>
    <t>ARRICH</t>
  </si>
  <si>
    <t>DEBRA</t>
  </si>
  <si>
    <t>BECK</t>
  </si>
  <si>
    <t>ANGELA</t>
  </si>
  <si>
    <t>SHARON</t>
  </si>
  <si>
    <t>JOSEPH</t>
  </si>
  <si>
    <t>JOY</t>
  </si>
  <si>
    <t>FOURNILLIER</t>
  </si>
  <si>
    <t>ANN</t>
  </si>
  <si>
    <t>DELLARCO</t>
  </si>
  <si>
    <t>MARC</t>
  </si>
  <si>
    <t>FOX</t>
  </si>
  <si>
    <t>LINDA</t>
  </si>
  <si>
    <t>DEANTONIO</t>
  </si>
  <si>
    <t>MARTHA</t>
  </si>
  <si>
    <t>ACEROS MENDEZ</t>
  </si>
  <si>
    <t>DONNA</t>
  </si>
  <si>
    <t>MILBOURNE</t>
  </si>
  <si>
    <t>THERESA</t>
  </si>
  <si>
    <t>COLE</t>
  </si>
  <si>
    <t>STEPHEN</t>
  </si>
  <si>
    <t>BIEGANSKI</t>
  </si>
  <si>
    <t>AMY</t>
  </si>
  <si>
    <t>RYZENGA</t>
  </si>
  <si>
    <t>CHARLES</t>
  </si>
  <si>
    <t>MACDONALD</t>
  </si>
  <si>
    <t>ASHLEY</t>
  </si>
  <si>
    <t>SOUBIE</t>
  </si>
  <si>
    <t>JOEL</t>
  </si>
  <si>
    <t>JOHNSON</t>
  </si>
  <si>
    <t>JUANITA</t>
  </si>
  <si>
    <t>PINCHBACK</t>
  </si>
  <si>
    <t>ALYCEA</t>
  </si>
  <si>
    <t>RIVERA</t>
  </si>
  <si>
    <t>AUDREY</t>
  </si>
  <si>
    <t>ROZIER</t>
  </si>
  <si>
    <t>DentalWise Max 2000</t>
  </si>
  <si>
    <t>DentalWise Base</t>
  </si>
  <si>
    <t>MATTHEW</t>
  </si>
  <si>
    <t>BOLIEK</t>
  </si>
  <si>
    <t>DentalWise Max 1000</t>
  </si>
  <si>
    <t>FREDERICK</t>
  </si>
  <si>
    <t>HUTCHINSON</t>
  </si>
  <si>
    <t>PAUL</t>
  </si>
  <si>
    <t>KOESTER</t>
  </si>
  <si>
    <t>DentalWise Max 3000</t>
  </si>
  <si>
    <t>ALEXIS</t>
  </si>
  <si>
    <t>DUKE</t>
  </si>
  <si>
    <t>Uhone Accident ExpenseGuard</t>
  </si>
  <si>
    <t>uhone Critical Life SafeGrd 20</t>
  </si>
  <si>
    <t>Uhone Dental Gen</t>
  </si>
  <si>
    <t>Uhone Dental Premier</t>
  </si>
  <si>
    <t>UHONE dental premier*</t>
  </si>
  <si>
    <t>Uhone Dental Primary</t>
  </si>
  <si>
    <t>Uhone DentalWise 1000, 2000 (all states except CO, FL, NM, NV, RI, SD, WA) 18-64</t>
  </si>
  <si>
    <t>Uhone Guard Plan</t>
  </si>
  <si>
    <t>Uhone New Benefits Base</t>
  </si>
  <si>
    <t>Uhone Vision - DE, FL, IN, KY, MD, OH, NJ, SC, TN, VT</t>
  </si>
  <si>
    <t>Uhone Vision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</si>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</sst>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9DE9-D965-4175-98AE-7307ED4A59A6}">
  <dimension ref="A1:AV9"/>
  <sheetViews>
    <sheetView topLeftCell="T1" workbookViewId="0">
      <selection activeCell="AT1" sqref="AT1:AT104857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20251020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441983893</v>
      </c>
      <c r="L2">
        <v>20230523</v>
      </c>
      <c r="M2">
        <v>20230522</v>
      </c>
      <c r="O2">
        <v>3</v>
      </c>
      <c r="P2">
        <v>66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21737</v>
      </c>
      <c r="AC2" t="s">
        <v>59</v>
      </c>
      <c r="AE2" t="s">
        <v>60</v>
      </c>
      <c r="AF2" t="s">
        <v>61</v>
      </c>
      <c r="AG2" t="s">
        <v>62</v>
      </c>
      <c r="AH2" t="s">
        <v>63</v>
      </c>
      <c r="AI2">
        <v>20251001</v>
      </c>
      <c r="AJ2" t="s">
        <v>64</v>
      </c>
      <c r="AK2" t="s">
        <v>64</v>
      </c>
      <c r="AL2">
        <v>2</v>
      </c>
      <c r="AM2">
        <v>20251010</v>
      </c>
      <c r="AN2">
        <v>147.07</v>
      </c>
      <c r="AO2">
        <v>147.07</v>
      </c>
      <c r="AP2" t="s">
        <v>64</v>
      </c>
      <c r="AS2">
        <v>100</v>
      </c>
      <c r="AT2">
        <v>7.35</v>
      </c>
      <c r="AU2">
        <v>5</v>
      </c>
      <c r="AV2" t="s">
        <v>65</v>
      </c>
    </row>
    <row r="3" spans="1:48" x14ac:dyDescent="0.25">
      <c r="A3" t="s">
        <v>48</v>
      </c>
      <c r="B3">
        <v>20251020</v>
      </c>
      <c r="C3" t="s">
        <v>49</v>
      </c>
      <c r="D3">
        <v>0</v>
      </c>
      <c r="E3">
        <v>20411454</v>
      </c>
      <c r="F3" t="s">
        <v>50</v>
      </c>
      <c r="G3" t="s">
        <v>66</v>
      </c>
      <c r="H3" t="s">
        <v>67</v>
      </c>
      <c r="I3" t="s">
        <v>68</v>
      </c>
      <c r="J3">
        <v>17425766</v>
      </c>
      <c r="K3">
        <v>442238637</v>
      </c>
      <c r="L3">
        <v>20231031</v>
      </c>
      <c r="M3">
        <v>20231030</v>
      </c>
      <c r="O3">
        <v>2</v>
      </c>
      <c r="P3">
        <v>35</v>
      </c>
      <c r="Q3" t="s">
        <v>69</v>
      </c>
      <c r="R3" t="s">
        <v>69</v>
      </c>
      <c r="S3" t="s">
        <v>70</v>
      </c>
      <c r="U3" t="s">
        <v>71</v>
      </c>
      <c r="W3" t="s">
        <v>72</v>
      </c>
      <c r="Z3" t="s">
        <v>73</v>
      </c>
      <c r="AA3" t="s">
        <v>69</v>
      </c>
      <c r="AB3">
        <v>19465</v>
      </c>
      <c r="AE3" t="s">
        <v>74</v>
      </c>
      <c r="AF3" t="s">
        <v>75</v>
      </c>
      <c r="AG3" t="s">
        <v>62</v>
      </c>
      <c r="AH3" t="s">
        <v>63</v>
      </c>
      <c r="AI3">
        <v>20251001</v>
      </c>
      <c r="AJ3" t="s">
        <v>64</v>
      </c>
      <c r="AK3" t="s">
        <v>64</v>
      </c>
      <c r="AL3">
        <v>1</v>
      </c>
      <c r="AM3">
        <v>20251014</v>
      </c>
      <c r="AN3">
        <v>11.03</v>
      </c>
      <c r="AO3">
        <v>11.03</v>
      </c>
      <c r="AP3" t="s">
        <v>64</v>
      </c>
      <c r="AS3">
        <v>100</v>
      </c>
      <c r="AT3">
        <v>0.88</v>
      </c>
      <c r="AU3">
        <v>8</v>
      </c>
      <c r="AV3" t="s">
        <v>65</v>
      </c>
    </row>
    <row r="4" spans="1:48" x14ac:dyDescent="0.25">
      <c r="A4" t="s">
        <v>48</v>
      </c>
      <c r="B4">
        <v>20251020</v>
      </c>
      <c r="C4" t="s">
        <v>49</v>
      </c>
      <c r="D4">
        <v>0</v>
      </c>
      <c r="E4">
        <v>20411454</v>
      </c>
      <c r="F4" t="s">
        <v>50</v>
      </c>
      <c r="G4" t="s">
        <v>66</v>
      </c>
      <c r="H4" t="s">
        <v>67</v>
      </c>
      <c r="I4" t="s">
        <v>68</v>
      </c>
      <c r="J4">
        <v>17425766</v>
      </c>
      <c r="K4">
        <v>442238637</v>
      </c>
      <c r="L4">
        <v>20231031</v>
      </c>
      <c r="M4">
        <v>20231030</v>
      </c>
      <c r="O4">
        <v>3</v>
      </c>
      <c r="P4">
        <v>35</v>
      </c>
      <c r="Q4" t="s">
        <v>69</v>
      </c>
      <c r="R4" t="s">
        <v>69</v>
      </c>
      <c r="S4" t="s">
        <v>70</v>
      </c>
      <c r="U4" t="s">
        <v>71</v>
      </c>
      <c r="W4" t="s">
        <v>72</v>
      </c>
      <c r="Z4" t="s">
        <v>73</v>
      </c>
      <c r="AA4" t="s">
        <v>69</v>
      </c>
      <c r="AB4">
        <v>19465</v>
      </c>
      <c r="AE4" t="s">
        <v>74</v>
      </c>
      <c r="AF4" t="s">
        <v>75</v>
      </c>
      <c r="AG4" t="s">
        <v>62</v>
      </c>
      <c r="AH4" t="s">
        <v>63</v>
      </c>
      <c r="AI4">
        <v>20251101</v>
      </c>
      <c r="AJ4" t="s">
        <v>64</v>
      </c>
      <c r="AK4" t="s">
        <v>64</v>
      </c>
      <c r="AL4">
        <v>1</v>
      </c>
      <c r="AM4">
        <v>20251014</v>
      </c>
      <c r="AN4">
        <v>0.37</v>
      </c>
      <c r="AO4">
        <v>0.37</v>
      </c>
      <c r="AP4" t="s">
        <v>64</v>
      </c>
      <c r="AS4">
        <v>100</v>
      </c>
      <c r="AT4">
        <v>0.03</v>
      </c>
      <c r="AU4">
        <v>8</v>
      </c>
      <c r="AV4" t="s">
        <v>65</v>
      </c>
    </row>
    <row r="5" spans="1:48" x14ac:dyDescent="0.25">
      <c r="A5" t="s">
        <v>48</v>
      </c>
      <c r="B5">
        <v>20251020</v>
      </c>
      <c r="C5" t="s">
        <v>49</v>
      </c>
      <c r="D5">
        <v>0</v>
      </c>
      <c r="E5">
        <v>20411454</v>
      </c>
      <c r="F5" t="s">
        <v>50</v>
      </c>
      <c r="G5" t="s">
        <v>76</v>
      </c>
      <c r="H5" t="s">
        <v>77</v>
      </c>
      <c r="I5" t="s">
        <v>78</v>
      </c>
      <c r="J5">
        <v>20436896</v>
      </c>
      <c r="K5">
        <v>441769366</v>
      </c>
      <c r="L5">
        <v>20230124</v>
      </c>
      <c r="M5">
        <v>20230113</v>
      </c>
      <c r="O5">
        <v>3</v>
      </c>
      <c r="P5">
        <v>53</v>
      </c>
      <c r="Q5" t="s">
        <v>79</v>
      </c>
      <c r="R5" t="s">
        <v>79</v>
      </c>
      <c r="S5" t="s">
        <v>80</v>
      </c>
      <c r="U5" t="s">
        <v>81</v>
      </c>
      <c r="W5" t="s">
        <v>82</v>
      </c>
      <c r="Z5" t="s">
        <v>83</v>
      </c>
      <c r="AA5" t="s">
        <v>79</v>
      </c>
      <c r="AB5">
        <v>29112</v>
      </c>
      <c r="AE5" t="s">
        <v>84</v>
      </c>
      <c r="AF5" t="s">
        <v>85</v>
      </c>
      <c r="AG5" t="s">
        <v>62</v>
      </c>
      <c r="AH5" t="s">
        <v>63</v>
      </c>
      <c r="AI5">
        <v>20251001</v>
      </c>
      <c r="AJ5" t="s">
        <v>64</v>
      </c>
      <c r="AK5" t="s">
        <v>64</v>
      </c>
      <c r="AL5">
        <v>1</v>
      </c>
      <c r="AM5">
        <v>20251010</v>
      </c>
      <c r="AN5">
        <v>25</v>
      </c>
      <c r="AO5">
        <v>25</v>
      </c>
      <c r="AP5" t="s">
        <v>64</v>
      </c>
      <c r="AS5">
        <v>100</v>
      </c>
      <c r="AT5">
        <v>5</v>
      </c>
      <c r="AU5">
        <v>20</v>
      </c>
      <c r="AV5" t="s">
        <v>65</v>
      </c>
    </row>
    <row r="6" spans="1:48" x14ac:dyDescent="0.25">
      <c r="A6" t="s">
        <v>48</v>
      </c>
      <c r="B6">
        <v>20251020</v>
      </c>
      <c r="C6" t="s">
        <v>49</v>
      </c>
      <c r="D6">
        <v>0</v>
      </c>
      <c r="E6">
        <v>20411454</v>
      </c>
      <c r="F6" t="s">
        <v>50</v>
      </c>
      <c r="G6" t="s">
        <v>51</v>
      </c>
      <c r="H6" t="s">
        <v>86</v>
      </c>
      <c r="I6" t="s">
        <v>87</v>
      </c>
      <c r="J6">
        <v>16509456</v>
      </c>
      <c r="K6">
        <v>442505686</v>
      </c>
      <c r="L6">
        <v>20240222</v>
      </c>
      <c r="M6">
        <v>20240221</v>
      </c>
      <c r="O6">
        <v>2</v>
      </c>
      <c r="P6">
        <v>55</v>
      </c>
      <c r="Q6" t="s">
        <v>54</v>
      </c>
      <c r="R6" t="s">
        <v>54</v>
      </c>
      <c r="S6" t="s">
        <v>88</v>
      </c>
      <c r="U6" t="s">
        <v>89</v>
      </c>
      <c r="W6" t="s">
        <v>90</v>
      </c>
      <c r="Z6" t="s">
        <v>91</v>
      </c>
      <c r="AA6" t="s">
        <v>54</v>
      </c>
      <c r="AB6">
        <v>21211</v>
      </c>
      <c r="AE6" t="s">
        <v>92</v>
      </c>
      <c r="AF6" t="s">
        <v>93</v>
      </c>
      <c r="AG6" t="s">
        <v>62</v>
      </c>
      <c r="AH6" t="s">
        <v>63</v>
      </c>
      <c r="AI6">
        <v>20251001</v>
      </c>
      <c r="AJ6" t="s">
        <v>64</v>
      </c>
      <c r="AK6" t="s">
        <v>64</v>
      </c>
      <c r="AL6">
        <v>1</v>
      </c>
      <c r="AM6">
        <v>20251010</v>
      </c>
      <c r="AN6">
        <v>13.28</v>
      </c>
      <c r="AO6">
        <v>13.28</v>
      </c>
      <c r="AP6" t="s">
        <v>64</v>
      </c>
      <c r="AS6">
        <v>100</v>
      </c>
      <c r="AT6">
        <v>0.93</v>
      </c>
      <c r="AU6">
        <v>7</v>
      </c>
      <c r="AV6" t="s">
        <v>65</v>
      </c>
    </row>
    <row r="7" spans="1:48" x14ac:dyDescent="0.25">
      <c r="A7" t="s">
        <v>48</v>
      </c>
      <c r="B7">
        <v>20251020</v>
      </c>
      <c r="C7" t="s">
        <v>49</v>
      </c>
      <c r="D7">
        <v>0</v>
      </c>
      <c r="E7">
        <v>20411454</v>
      </c>
      <c r="F7" t="s">
        <v>50</v>
      </c>
      <c r="G7" t="s">
        <v>51</v>
      </c>
      <c r="H7" t="s">
        <v>86</v>
      </c>
      <c r="I7" t="s">
        <v>87</v>
      </c>
      <c r="J7">
        <v>16509456</v>
      </c>
      <c r="K7">
        <v>442508319</v>
      </c>
      <c r="L7">
        <v>20240223</v>
      </c>
      <c r="M7">
        <v>20240222</v>
      </c>
      <c r="O7">
        <v>2</v>
      </c>
      <c r="P7">
        <v>22</v>
      </c>
      <c r="Q7" t="s">
        <v>54</v>
      </c>
      <c r="R7" t="s">
        <v>54</v>
      </c>
      <c r="S7" t="s">
        <v>94</v>
      </c>
      <c r="U7" t="s">
        <v>95</v>
      </c>
      <c r="W7" t="s">
        <v>96</v>
      </c>
      <c r="Z7" t="s">
        <v>91</v>
      </c>
      <c r="AA7" t="s">
        <v>54</v>
      </c>
      <c r="AB7">
        <v>21224</v>
      </c>
      <c r="AE7" t="s">
        <v>92</v>
      </c>
      <c r="AF7" t="s">
        <v>93</v>
      </c>
      <c r="AG7" t="s">
        <v>62</v>
      </c>
      <c r="AH7" t="s">
        <v>63</v>
      </c>
      <c r="AI7">
        <v>20251001</v>
      </c>
      <c r="AJ7" t="s">
        <v>64</v>
      </c>
      <c r="AK7" t="s">
        <v>64</v>
      </c>
      <c r="AL7">
        <v>1</v>
      </c>
      <c r="AM7">
        <v>20251010</v>
      </c>
      <c r="AN7">
        <v>13.28</v>
      </c>
      <c r="AO7">
        <v>13.28</v>
      </c>
      <c r="AP7" t="s">
        <v>64</v>
      </c>
      <c r="AS7">
        <v>100</v>
      </c>
      <c r="AT7">
        <v>0.93</v>
      </c>
      <c r="AU7">
        <v>7</v>
      </c>
      <c r="AV7" t="s">
        <v>65</v>
      </c>
    </row>
    <row r="8" spans="1:48" x14ac:dyDescent="0.25">
      <c r="A8" t="s">
        <v>48</v>
      </c>
      <c r="B8">
        <v>20251020</v>
      </c>
      <c r="C8" t="s">
        <v>49</v>
      </c>
      <c r="D8">
        <v>0</v>
      </c>
      <c r="E8">
        <v>20411454</v>
      </c>
      <c r="F8" t="s">
        <v>50</v>
      </c>
      <c r="G8" t="s">
        <v>97</v>
      </c>
      <c r="H8" t="s">
        <v>98</v>
      </c>
      <c r="I8" t="s">
        <v>99</v>
      </c>
      <c r="J8">
        <v>16202925</v>
      </c>
      <c r="K8">
        <v>442424445</v>
      </c>
      <c r="L8">
        <v>20240110</v>
      </c>
      <c r="M8">
        <v>20240109</v>
      </c>
      <c r="O8">
        <v>2</v>
      </c>
      <c r="P8">
        <v>51</v>
      </c>
      <c r="Q8" t="s">
        <v>54</v>
      </c>
      <c r="R8" t="s">
        <v>54</v>
      </c>
      <c r="S8" t="s">
        <v>100</v>
      </c>
      <c r="U8" t="s">
        <v>101</v>
      </c>
      <c r="W8" t="s">
        <v>102</v>
      </c>
      <c r="Z8" t="s">
        <v>91</v>
      </c>
      <c r="AA8" t="s">
        <v>54</v>
      </c>
      <c r="AB8">
        <v>21239</v>
      </c>
      <c r="AE8" t="s">
        <v>103</v>
      </c>
      <c r="AF8" t="s">
        <v>104</v>
      </c>
      <c r="AG8" t="s">
        <v>62</v>
      </c>
      <c r="AH8" t="s">
        <v>63</v>
      </c>
      <c r="AI8">
        <v>20251001</v>
      </c>
      <c r="AJ8" t="s">
        <v>64</v>
      </c>
      <c r="AK8" t="s">
        <v>64</v>
      </c>
      <c r="AL8">
        <v>1</v>
      </c>
      <c r="AM8">
        <v>20251014</v>
      </c>
      <c r="AN8">
        <v>63.2</v>
      </c>
      <c r="AO8">
        <v>63.2</v>
      </c>
      <c r="AP8" t="s">
        <v>64</v>
      </c>
      <c r="AS8">
        <v>100</v>
      </c>
      <c r="AT8">
        <v>4.42</v>
      </c>
      <c r="AU8">
        <v>7</v>
      </c>
      <c r="AV8" t="s">
        <v>65</v>
      </c>
    </row>
    <row r="9" spans="1:48" x14ac:dyDescent="0.25">
      <c r="A9" t="s">
        <v>48</v>
      </c>
      <c r="B9">
        <v>20251020</v>
      </c>
      <c r="C9" t="s">
        <v>49</v>
      </c>
      <c r="D9">
        <v>0</v>
      </c>
      <c r="E9">
        <v>20411454</v>
      </c>
      <c r="F9" t="s">
        <v>50</v>
      </c>
      <c r="G9" t="s">
        <v>97</v>
      </c>
      <c r="H9" t="s">
        <v>98</v>
      </c>
      <c r="I9" t="s">
        <v>99</v>
      </c>
      <c r="J9">
        <v>16202925</v>
      </c>
      <c r="K9">
        <v>442424444</v>
      </c>
      <c r="L9">
        <v>20240110</v>
      </c>
      <c r="M9">
        <v>20240109</v>
      </c>
      <c r="O9">
        <v>2</v>
      </c>
      <c r="P9">
        <v>51</v>
      </c>
      <c r="Q9" t="s">
        <v>54</v>
      </c>
      <c r="R9" t="s">
        <v>54</v>
      </c>
      <c r="S9" t="s">
        <v>100</v>
      </c>
      <c r="U9" t="s">
        <v>101</v>
      </c>
      <c r="W9" t="s">
        <v>102</v>
      </c>
      <c r="Z9" t="s">
        <v>91</v>
      </c>
      <c r="AA9" t="s">
        <v>54</v>
      </c>
      <c r="AB9">
        <v>21239</v>
      </c>
      <c r="AC9" t="s">
        <v>105</v>
      </c>
      <c r="AE9" t="s">
        <v>106</v>
      </c>
      <c r="AF9" t="s">
        <v>61</v>
      </c>
      <c r="AG9" t="s">
        <v>62</v>
      </c>
      <c r="AH9" t="s">
        <v>63</v>
      </c>
      <c r="AI9">
        <v>20251001</v>
      </c>
      <c r="AJ9" t="s">
        <v>64</v>
      </c>
      <c r="AK9" t="s">
        <v>64</v>
      </c>
      <c r="AL9">
        <v>1</v>
      </c>
      <c r="AM9">
        <v>20251014</v>
      </c>
      <c r="AN9">
        <v>58.4</v>
      </c>
      <c r="AO9">
        <v>58.4</v>
      </c>
      <c r="AP9" t="s">
        <v>64</v>
      </c>
      <c r="AS9">
        <v>100</v>
      </c>
      <c r="AT9">
        <v>2.34</v>
      </c>
      <c r="AU9">
        <v>4</v>
      </c>
      <c r="AV9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F5AA-670D-4AF2-9758-74439FCF29CC}">
  <dimension ref="A1:U62"/>
  <sheetViews>
    <sheetView tabSelected="1" topLeftCell="A23" workbookViewId="0">
      <selection activeCell="S2" sqref="S2:S62"/>
    </sheetView>
  </sheetViews>
  <sheetFormatPr defaultRowHeight="15" x14ac:dyDescent="0.25"/>
  <cols>
    <col min="3" max="3" width="15.5703125" customWidth="1"/>
    <col min="5" max="5" width="14.140625" bestFit="1" customWidth="1"/>
    <col min="6" max="7" width="13.140625" customWidth="1"/>
    <col min="12" max="12" width="19.85546875" customWidth="1"/>
    <col min="13" max="13" width="23" bestFit="1" customWidth="1"/>
    <col min="16" max="17" width="11.140625" customWidth="1"/>
  </cols>
  <sheetData>
    <row r="1" spans="1:21" x14ac:dyDescent="0.25">
      <c r="A1" t="s">
        <v>6</v>
      </c>
      <c r="B1" t="s">
        <v>7</v>
      </c>
      <c r="D1" t="s">
        <v>9</v>
      </c>
      <c r="E1" t="s">
        <v>10</v>
      </c>
      <c r="F1" t="s">
        <v>11</v>
      </c>
      <c r="H1" t="s">
        <v>14</v>
      </c>
      <c r="I1" t="s">
        <v>17</v>
      </c>
      <c r="J1" t="s">
        <v>18</v>
      </c>
      <c r="K1" t="s">
        <v>20</v>
      </c>
      <c r="M1" t="s">
        <v>30</v>
      </c>
      <c r="N1" t="s">
        <v>31</v>
      </c>
      <c r="O1" t="s">
        <v>32</v>
      </c>
      <c r="P1" t="s">
        <v>34</v>
      </c>
      <c r="R1" t="s">
        <v>39</v>
      </c>
      <c r="S1" t="s">
        <v>45</v>
      </c>
      <c r="T1" t="s">
        <v>46</v>
      </c>
    </row>
    <row r="2" spans="1:21" x14ac:dyDescent="0.25">
      <c r="A2" t="s">
        <v>51</v>
      </c>
      <c r="B2" t="s">
        <v>52</v>
      </c>
      <c r="C2" t="str">
        <f>CONCATENATE(B2,  " ",A2)</f>
        <v>Adam Richter</v>
      </c>
      <c r="D2">
        <v>9079571</v>
      </c>
      <c r="E2">
        <v>441983893</v>
      </c>
      <c r="F2">
        <v>20230523</v>
      </c>
      <c r="G2" t="str">
        <f>TEXT(DATE(LEFT(F2,4), MID(F2,5,2), RIGHT(F2,2)), "M/d/yyyy")</f>
        <v>5/23/2023</v>
      </c>
      <c r="H2">
        <f>DATEDIF(G2,Q2,"M")</f>
        <v>28</v>
      </c>
      <c r="I2" t="s">
        <v>54</v>
      </c>
      <c r="J2" t="s">
        <v>55</v>
      </c>
      <c r="K2" t="s">
        <v>56</v>
      </c>
      <c r="L2" t="str">
        <f>CONCATENATE(J2, " ",K2)</f>
        <v>DENNIS BLOMME</v>
      </c>
      <c r="M2" t="s">
        <v>60</v>
      </c>
      <c r="N2" t="s">
        <v>61</v>
      </c>
      <c r="O2" t="s">
        <v>62</v>
      </c>
      <c r="P2">
        <v>20251001</v>
      </c>
      <c r="Q2" t="str">
        <f>TEXT(DATE(LEFT(P2,4), MID(P2,5,2), RIGHT(P2,2)), "M/d/yyyy")</f>
        <v>10/1/2025</v>
      </c>
      <c r="R2">
        <v>147.07</v>
      </c>
      <c r="S2">
        <v>7.35</v>
      </c>
      <c r="T2">
        <v>5</v>
      </c>
      <c r="U2" t="s">
        <v>209</v>
      </c>
    </row>
    <row r="3" spans="1:21" x14ac:dyDescent="0.25">
      <c r="A3" t="s">
        <v>51</v>
      </c>
      <c r="B3" t="s">
        <v>52</v>
      </c>
      <c r="C3" t="str">
        <f>CONCATENATE(B3,  " ",A3)</f>
        <v>Adam Richter</v>
      </c>
      <c r="D3">
        <v>9079571</v>
      </c>
      <c r="E3">
        <v>441848447</v>
      </c>
      <c r="F3">
        <v>20230301</v>
      </c>
      <c r="G3" t="str">
        <f>TEXT(DATE(LEFT(F3,4), MID(F3,5,2), RIGHT(F3,2)), "M/d/yyyy")</f>
        <v>3/1/2023</v>
      </c>
      <c r="H3">
        <f>DATEDIF(G3,Q3,"M")</f>
        <v>31</v>
      </c>
      <c r="I3" t="s">
        <v>54</v>
      </c>
      <c r="J3" t="s">
        <v>110</v>
      </c>
      <c r="K3" t="s">
        <v>111</v>
      </c>
      <c r="L3" t="str">
        <f t="shared" ref="L3:L62" si="0">CONCATENATE(J3, " ",K3)</f>
        <v>ZEV SHEPPARD</v>
      </c>
      <c r="M3" t="s">
        <v>74</v>
      </c>
      <c r="N3" t="s">
        <v>75</v>
      </c>
      <c r="O3" t="s">
        <v>62</v>
      </c>
      <c r="P3">
        <v>20251001</v>
      </c>
      <c r="Q3" t="str">
        <f>TEXT(DATE(LEFT(P3,4), MID(P3,5,2), RIGHT(P3,2)), "M/d/yyyy")</f>
        <v>10/1/2025</v>
      </c>
      <c r="R3">
        <v>10.4</v>
      </c>
      <c r="S3">
        <v>0.42</v>
      </c>
      <c r="T3">
        <v>4</v>
      </c>
      <c r="U3" t="s">
        <v>216</v>
      </c>
    </row>
    <row r="4" spans="1:21" x14ac:dyDescent="0.25">
      <c r="A4" t="s">
        <v>51</v>
      </c>
      <c r="B4" t="s">
        <v>52</v>
      </c>
      <c r="C4" t="str">
        <f>CONCATENATE(B4,  " ",A4)</f>
        <v>Adam Richter</v>
      </c>
      <c r="D4">
        <v>9079571</v>
      </c>
      <c r="E4">
        <v>441861055</v>
      </c>
      <c r="F4">
        <v>20230401</v>
      </c>
      <c r="G4" t="str">
        <f>TEXT(DATE(LEFT(F4,4), MID(F4,5,2), RIGHT(F4,2)), "M/d/yyyy")</f>
        <v>4/1/2023</v>
      </c>
      <c r="H4">
        <f>DATEDIF(G4,Q4,"M")</f>
        <v>30</v>
      </c>
      <c r="I4" t="s">
        <v>54</v>
      </c>
      <c r="J4" t="s">
        <v>88</v>
      </c>
      <c r="K4" t="s">
        <v>112</v>
      </c>
      <c r="L4" t="str">
        <f t="shared" si="0"/>
        <v>KEVIN KITCHEN</v>
      </c>
      <c r="M4" t="s">
        <v>74</v>
      </c>
      <c r="N4" t="s">
        <v>75</v>
      </c>
      <c r="O4" t="s">
        <v>62</v>
      </c>
      <c r="P4">
        <v>20251001</v>
      </c>
      <c r="Q4" t="str">
        <f>TEXT(DATE(LEFT(P4,4), MID(P4,5,2), RIGHT(P4,2)), "M/d/yyyy")</f>
        <v>10/1/2025</v>
      </c>
      <c r="R4">
        <v>10.4</v>
      </c>
      <c r="S4">
        <v>0.42</v>
      </c>
      <c r="T4">
        <v>4</v>
      </c>
      <c r="U4" t="s">
        <v>216</v>
      </c>
    </row>
    <row r="5" spans="1:21" x14ac:dyDescent="0.25">
      <c r="A5" t="s">
        <v>51</v>
      </c>
      <c r="B5" t="s">
        <v>52</v>
      </c>
      <c r="C5" t="str">
        <f>CONCATENATE(B5,  " ",A5)</f>
        <v>Adam Richter</v>
      </c>
      <c r="D5">
        <v>9079571</v>
      </c>
      <c r="E5">
        <v>441874278</v>
      </c>
      <c r="F5">
        <v>20230401</v>
      </c>
      <c r="G5" t="str">
        <f>TEXT(DATE(LEFT(F5,4), MID(F5,5,2), RIGHT(F5,2)), "M/d/yyyy")</f>
        <v>4/1/2023</v>
      </c>
      <c r="H5">
        <f>DATEDIF(G5,Q5,"M")</f>
        <v>30</v>
      </c>
      <c r="I5" t="s">
        <v>54</v>
      </c>
      <c r="J5" t="s">
        <v>113</v>
      </c>
      <c r="K5" t="s">
        <v>114</v>
      </c>
      <c r="L5" t="str">
        <f t="shared" si="0"/>
        <v>NEAL KIRSCH</v>
      </c>
      <c r="M5" t="s">
        <v>74</v>
      </c>
      <c r="N5" t="s">
        <v>75</v>
      </c>
      <c r="O5" t="s">
        <v>62</v>
      </c>
      <c r="P5">
        <v>20251001</v>
      </c>
      <c r="Q5" t="str">
        <f>TEXT(DATE(LEFT(P5,4), MID(P5,5,2), RIGHT(P5,2)), "M/d/yyyy")</f>
        <v>10/1/2025</v>
      </c>
      <c r="R5">
        <v>17</v>
      </c>
      <c r="S5">
        <v>0.68</v>
      </c>
      <c r="T5">
        <v>4</v>
      </c>
      <c r="U5" t="s">
        <v>216</v>
      </c>
    </row>
    <row r="6" spans="1:21" x14ac:dyDescent="0.25">
      <c r="A6" t="s">
        <v>51</v>
      </c>
      <c r="B6" t="s">
        <v>52</v>
      </c>
      <c r="C6" t="str">
        <f>CONCATENATE(B6,  " ",A6)</f>
        <v>Adam Richter</v>
      </c>
      <c r="D6">
        <v>9079571</v>
      </c>
      <c r="E6">
        <v>441951697</v>
      </c>
      <c r="F6">
        <v>20230502</v>
      </c>
      <c r="G6" t="str">
        <f>TEXT(DATE(LEFT(F6,4), MID(F6,5,2), RIGHT(F6,2)), "M/d/yyyy")</f>
        <v>5/2/2023</v>
      </c>
      <c r="H6">
        <f>DATEDIF(G6,Q6,"M")</f>
        <v>28</v>
      </c>
      <c r="I6" t="s">
        <v>54</v>
      </c>
      <c r="J6" t="s">
        <v>115</v>
      </c>
      <c r="K6" t="s">
        <v>116</v>
      </c>
      <c r="L6" t="str">
        <f t="shared" si="0"/>
        <v>KAREN FRITZ</v>
      </c>
      <c r="M6" t="s">
        <v>74</v>
      </c>
      <c r="N6" t="s">
        <v>75</v>
      </c>
      <c r="O6" t="s">
        <v>62</v>
      </c>
      <c r="P6">
        <v>20251001</v>
      </c>
      <c r="Q6" t="str">
        <f>TEXT(DATE(LEFT(P6,4), MID(P6,5,2), RIGHT(P6,2)), "M/d/yyyy")</f>
        <v>10/1/2025</v>
      </c>
      <c r="R6">
        <v>10.4</v>
      </c>
      <c r="S6">
        <v>0.42</v>
      </c>
      <c r="T6">
        <v>4</v>
      </c>
      <c r="U6" t="s">
        <v>216</v>
      </c>
    </row>
    <row r="7" spans="1:21" x14ac:dyDescent="0.25">
      <c r="A7" t="s">
        <v>51</v>
      </c>
      <c r="B7" t="s">
        <v>52</v>
      </c>
      <c r="C7" t="str">
        <f>CONCATENATE(B7,  " ",A7)</f>
        <v>Adam Richter</v>
      </c>
      <c r="D7">
        <v>9079571</v>
      </c>
      <c r="E7">
        <v>441842580</v>
      </c>
      <c r="F7">
        <v>20230301</v>
      </c>
      <c r="G7" t="str">
        <f>TEXT(DATE(LEFT(F7,4), MID(F7,5,2), RIGHT(F7,2)), "M/d/yyyy")</f>
        <v>3/1/2023</v>
      </c>
      <c r="H7">
        <f>DATEDIF(G7,Q7,"M")</f>
        <v>31</v>
      </c>
      <c r="I7" t="s">
        <v>107</v>
      </c>
      <c r="J7" t="s">
        <v>108</v>
      </c>
      <c r="K7" t="s">
        <v>109</v>
      </c>
      <c r="L7" t="str">
        <f t="shared" si="0"/>
        <v>GAY BROWNE</v>
      </c>
      <c r="M7" t="s">
        <v>74</v>
      </c>
      <c r="N7" t="s">
        <v>75</v>
      </c>
      <c r="O7" t="s">
        <v>62</v>
      </c>
      <c r="P7">
        <v>20251001</v>
      </c>
      <c r="Q7" t="str">
        <f>TEXT(DATE(LEFT(P7,4), MID(P7,5,2), RIGHT(P7,2)), "M/d/yyyy")</f>
        <v>10/1/2025</v>
      </c>
      <c r="R7">
        <v>11.4</v>
      </c>
      <c r="S7">
        <v>0.91</v>
      </c>
      <c r="T7">
        <v>8</v>
      </c>
      <c r="U7" t="s">
        <v>217</v>
      </c>
    </row>
    <row r="8" spans="1:21" x14ac:dyDescent="0.25">
      <c r="A8" t="s">
        <v>66</v>
      </c>
      <c r="B8" t="s">
        <v>67</v>
      </c>
      <c r="C8" t="str">
        <f>CONCATENATE(B8,  " ",A8)</f>
        <v>Carol Foley</v>
      </c>
      <c r="D8" t="s">
        <v>218</v>
      </c>
      <c r="E8">
        <v>441726411</v>
      </c>
      <c r="F8">
        <v>20230101</v>
      </c>
      <c r="G8" t="str">
        <f>TEXT(DATE(LEFT(F8,4), MID(F8,5,2), RIGHT(F8,2)), "M/d/yyyy")</f>
        <v>1/1/2023</v>
      </c>
      <c r="H8">
        <f>DATEDIF(G8,Q8,"M")</f>
        <v>33</v>
      </c>
      <c r="I8" t="s">
        <v>69</v>
      </c>
      <c r="J8" t="s">
        <v>117</v>
      </c>
      <c r="K8" t="s">
        <v>118</v>
      </c>
      <c r="L8" t="str">
        <f t="shared" si="0"/>
        <v>VINCENT IDEO</v>
      </c>
      <c r="M8" t="s">
        <v>74</v>
      </c>
      <c r="N8" t="s">
        <v>75</v>
      </c>
      <c r="O8" t="s">
        <v>62</v>
      </c>
      <c r="P8">
        <v>20251001</v>
      </c>
      <c r="Q8" t="str">
        <f>TEXT(DATE(LEFT(P8,4), MID(P8,5,2), RIGHT(P8,2)), "M/d/yyyy")</f>
        <v>10/1/2025</v>
      </c>
      <c r="R8">
        <v>11.4</v>
      </c>
      <c r="S8">
        <v>0.91</v>
      </c>
      <c r="T8">
        <v>8</v>
      </c>
      <c r="U8" t="s">
        <v>217</v>
      </c>
    </row>
    <row r="9" spans="1:21" x14ac:dyDescent="0.25">
      <c r="A9" t="s">
        <v>66</v>
      </c>
      <c r="B9" t="s">
        <v>67</v>
      </c>
      <c r="C9" t="str">
        <f>CONCATENATE(B9,  " ",A9)</f>
        <v>Carol Foley</v>
      </c>
      <c r="D9" t="s">
        <v>218</v>
      </c>
      <c r="E9">
        <v>441853073</v>
      </c>
      <c r="F9">
        <v>20230302</v>
      </c>
      <c r="G9" t="str">
        <f>TEXT(DATE(LEFT(F9,4), MID(F9,5,2), RIGHT(F9,2)), "M/d/yyyy")</f>
        <v>3/2/2023</v>
      </c>
      <c r="H9">
        <f>DATEDIF(G9,Q9,"M")</f>
        <v>30</v>
      </c>
      <c r="I9" t="s">
        <v>69</v>
      </c>
      <c r="J9" t="s">
        <v>119</v>
      </c>
      <c r="K9" t="s">
        <v>120</v>
      </c>
      <c r="L9" t="str">
        <f t="shared" si="0"/>
        <v>JEREMY WORKMAN</v>
      </c>
      <c r="M9" t="s">
        <v>74</v>
      </c>
      <c r="N9" t="s">
        <v>75</v>
      </c>
      <c r="O9" t="s">
        <v>62</v>
      </c>
      <c r="P9">
        <v>20251001</v>
      </c>
      <c r="Q9" t="str">
        <f>TEXT(DATE(LEFT(P9,4), MID(P9,5,2), RIGHT(P9,2)), "M/d/yyyy")</f>
        <v>10/1/2025</v>
      </c>
      <c r="R9">
        <v>11.4</v>
      </c>
      <c r="S9">
        <v>0.91</v>
      </c>
      <c r="T9">
        <v>8</v>
      </c>
      <c r="U9" t="s">
        <v>217</v>
      </c>
    </row>
    <row r="10" spans="1:21" x14ac:dyDescent="0.25">
      <c r="A10" t="s">
        <v>66</v>
      </c>
      <c r="B10" t="s">
        <v>67</v>
      </c>
      <c r="C10" t="str">
        <f>CONCATENATE(B10,  " ",A10)</f>
        <v>Carol Foley</v>
      </c>
      <c r="D10" t="s">
        <v>218</v>
      </c>
      <c r="E10">
        <v>441952843</v>
      </c>
      <c r="F10">
        <v>20230503</v>
      </c>
      <c r="G10" t="str">
        <f>TEXT(DATE(LEFT(F10,4), MID(F10,5,2), RIGHT(F10,2)), "M/d/yyyy")</f>
        <v>5/3/2023</v>
      </c>
      <c r="H10">
        <f>DATEDIF(G10,Q10,"M")</f>
        <v>28</v>
      </c>
      <c r="I10" t="s">
        <v>69</v>
      </c>
      <c r="J10" t="s">
        <v>121</v>
      </c>
      <c r="K10" t="s">
        <v>122</v>
      </c>
      <c r="L10" t="str">
        <f t="shared" si="0"/>
        <v>MARIA QUIC CAXAJ</v>
      </c>
      <c r="M10" t="s">
        <v>123</v>
      </c>
      <c r="N10" t="s">
        <v>104</v>
      </c>
      <c r="O10" t="s">
        <v>62</v>
      </c>
      <c r="P10">
        <v>20251001</v>
      </c>
      <c r="Q10" t="str">
        <f>TEXT(DATE(LEFT(P10,4), MID(P10,5,2), RIGHT(P10,2)), "M/d/yyyy")</f>
        <v>10/1/2025</v>
      </c>
      <c r="R10">
        <v>62.58</v>
      </c>
      <c r="S10">
        <v>3.13</v>
      </c>
      <c r="T10">
        <v>5</v>
      </c>
      <c r="U10" t="s">
        <v>208</v>
      </c>
    </row>
    <row r="11" spans="1:21" x14ac:dyDescent="0.25">
      <c r="A11" t="s">
        <v>66</v>
      </c>
      <c r="B11" t="s">
        <v>67</v>
      </c>
      <c r="C11" t="str">
        <f>CONCATENATE(B11,  " ",A11)</f>
        <v>Carol Foley</v>
      </c>
      <c r="D11" t="s">
        <v>218</v>
      </c>
      <c r="E11">
        <v>441913483</v>
      </c>
      <c r="F11">
        <v>20230601</v>
      </c>
      <c r="G11" t="str">
        <f>TEXT(DATE(LEFT(F11,4), MID(F11,5,2), RIGHT(F11,2)), "M/d/yyyy")</f>
        <v>6/1/2023</v>
      </c>
      <c r="H11">
        <f>DATEDIF(G11,Q11,"M")</f>
        <v>28</v>
      </c>
      <c r="I11" t="s">
        <v>69</v>
      </c>
      <c r="J11" t="s">
        <v>124</v>
      </c>
      <c r="K11" t="s">
        <v>125</v>
      </c>
      <c r="L11" t="str">
        <f t="shared" si="0"/>
        <v>HOWARD MAISENHELDER</v>
      </c>
      <c r="M11" t="s">
        <v>74</v>
      </c>
      <c r="N11" t="s">
        <v>75</v>
      </c>
      <c r="O11" t="s">
        <v>62</v>
      </c>
      <c r="P11">
        <v>20251001</v>
      </c>
      <c r="Q11" t="str">
        <f>TEXT(DATE(LEFT(P11,4), MID(P11,5,2), RIGHT(P11,2)), "M/d/yyyy")</f>
        <v>10/1/2025</v>
      </c>
      <c r="R11">
        <v>11.4</v>
      </c>
      <c r="S11">
        <v>0.91</v>
      </c>
      <c r="T11">
        <v>8</v>
      </c>
      <c r="U11" t="s">
        <v>217</v>
      </c>
    </row>
    <row r="12" spans="1:21" x14ac:dyDescent="0.25">
      <c r="A12" t="s">
        <v>66</v>
      </c>
      <c r="B12" t="s">
        <v>67</v>
      </c>
      <c r="C12" t="str">
        <f>CONCATENATE(B12,  " ",A12)</f>
        <v>Carol Foley</v>
      </c>
      <c r="D12" t="s">
        <v>218</v>
      </c>
      <c r="E12">
        <v>442047054</v>
      </c>
      <c r="F12">
        <v>20230701</v>
      </c>
      <c r="G12" t="str">
        <f>TEXT(DATE(LEFT(F12,4), MID(F12,5,2), RIGHT(F12,2)), "M/d/yyyy")</f>
        <v>7/1/2023</v>
      </c>
      <c r="H12">
        <f>DATEDIF(G12,Q12,"M")</f>
        <v>27</v>
      </c>
      <c r="I12" t="s">
        <v>126</v>
      </c>
      <c r="J12" t="s">
        <v>127</v>
      </c>
      <c r="K12" t="s">
        <v>128</v>
      </c>
      <c r="L12" t="str">
        <f t="shared" si="0"/>
        <v>KELLIE CURRY</v>
      </c>
      <c r="M12" t="s">
        <v>106</v>
      </c>
      <c r="N12" t="s">
        <v>61</v>
      </c>
      <c r="O12" t="s">
        <v>62</v>
      </c>
      <c r="P12">
        <v>20251001</v>
      </c>
      <c r="Q12" t="str">
        <f>TEXT(DATE(LEFT(P12,4), MID(P12,5,2), RIGHT(P12,2)), "M/d/yyyy")</f>
        <v>10/1/2025</v>
      </c>
      <c r="R12">
        <v>37.340000000000003</v>
      </c>
      <c r="S12">
        <v>1.49</v>
      </c>
      <c r="T12">
        <v>4</v>
      </c>
      <c r="U12" t="s">
        <v>210</v>
      </c>
    </row>
    <row r="13" spans="1:21" x14ac:dyDescent="0.25">
      <c r="A13" t="s">
        <v>66</v>
      </c>
      <c r="B13" t="s">
        <v>67</v>
      </c>
      <c r="C13" t="str">
        <f>CONCATENATE(B13,  " ",A13)</f>
        <v>Carol Foley</v>
      </c>
      <c r="D13" t="s">
        <v>218</v>
      </c>
      <c r="E13">
        <v>442238637</v>
      </c>
      <c r="F13">
        <v>20231031</v>
      </c>
      <c r="G13" t="str">
        <f>TEXT(DATE(LEFT(F13,4), MID(F13,5,2), RIGHT(F13,2)), "M/d/yyyy")</f>
        <v>10/31/2023</v>
      </c>
      <c r="H13">
        <f>DATEDIF(G13,Q13,"M")</f>
        <v>23</v>
      </c>
      <c r="I13" t="s">
        <v>69</v>
      </c>
      <c r="J13" t="s">
        <v>70</v>
      </c>
      <c r="K13" t="s">
        <v>71</v>
      </c>
      <c r="L13" t="str">
        <f t="shared" si="0"/>
        <v>ANDREW FLEMING</v>
      </c>
      <c r="M13" t="s">
        <v>74</v>
      </c>
      <c r="N13" t="s">
        <v>75</v>
      </c>
      <c r="O13" t="s">
        <v>62</v>
      </c>
      <c r="P13">
        <v>20251001</v>
      </c>
      <c r="Q13" t="str">
        <f>TEXT(DATE(LEFT(P13,4), MID(P13,5,2), RIGHT(P13,2)), "M/d/yyyy")</f>
        <v>10/1/2025</v>
      </c>
      <c r="R13">
        <v>11.03</v>
      </c>
      <c r="S13">
        <v>0.88</v>
      </c>
      <c r="T13">
        <v>8</v>
      </c>
      <c r="U13" t="s">
        <v>217</v>
      </c>
    </row>
    <row r="14" spans="1:21" x14ac:dyDescent="0.25">
      <c r="A14" t="s">
        <v>66</v>
      </c>
      <c r="B14" t="s">
        <v>67</v>
      </c>
      <c r="C14" t="str">
        <f>CONCATENATE(B14,  " ",A14)</f>
        <v>Carol Foley</v>
      </c>
      <c r="D14" t="s">
        <v>218</v>
      </c>
      <c r="E14">
        <v>442238637</v>
      </c>
      <c r="F14">
        <v>20231031</v>
      </c>
      <c r="G14" t="str">
        <f>TEXT(DATE(LEFT(F14,4), MID(F14,5,2), RIGHT(F14,2)), "M/d/yyyy")</f>
        <v>10/31/2023</v>
      </c>
      <c r="H14">
        <f>DATEDIF(G14,Q14,"M")</f>
        <v>24</v>
      </c>
      <c r="I14" t="s">
        <v>69</v>
      </c>
      <c r="J14" t="s">
        <v>70</v>
      </c>
      <c r="K14" t="s">
        <v>71</v>
      </c>
      <c r="L14" t="str">
        <f t="shared" si="0"/>
        <v>ANDREW FLEMING</v>
      </c>
      <c r="M14" t="s">
        <v>74</v>
      </c>
      <c r="N14" t="s">
        <v>75</v>
      </c>
      <c r="O14" t="s">
        <v>62</v>
      </c>
      <c r="P14">
        <v>20251101</v>
      </c>
      <c r="Q14" t="str">
        <f>TEXT(DATE(LEFT(P14,4), MID(P14,5,2), RIGHT(P14,2)), "M/d/yyyy")</f>
        <v>11/1/2025</v>
      </c>
      <c r="R14">
        <v>0.37</v>
      </c>
      <c r="S14">
        <v>0.03</v>
      </c>
      <c r="T14">
        <v>8</v>
      </c>
      <c r="U14" t="s">
        <v>217</v>
      </c>
    </row>
    <row r="15" spans="1:21" x14ac:dyDescent="0.25">
      <c r="A15" t="s">
        <v>66</v>
      </c>
      <c r="B15" t="s">
        <v>67</v>
      </c>
      <c r="C15" t="str">
        <f>CONCATENATE(B15,  " ",A15)</f>
        <v>Carol Foley</v>
      </c>
      <c r="D15" t="s">
        <v>218</v>
      </c>
      <c r="E15">
        <v>442238637</v>
      </c>
      <c r="F15">
        <v>20231031</v>
      </c>
      <c r="G15" t="str">
        <f>TEXT(DATE(LEFT(F15,4), MID(F15,5,2), RIGHT(F15,2)), "M/d/yyyy")</f>
        <v>10/31/2023</v>
      </c>
      <c r="H15">
        <f>DATEDIF(G15,Q15,"M")</f>
        <v>22</v>
      </c>
      <c r="I15" t="s">
        <v>69</v>
      </c>
      <c r="J15" t="s">
        <v>70</v>
      </c>
      <c r="K15" t="s">
        <v>71</v>
      </c>
      <c r="L15" t="str">
        <f t="shared" si="0"/>
        <v>ANDREW FLEMING</v>
      </c>
      <c r="M15" t="s">
        <v>74</v>
      </c>
      <c r="N15" t="s">
        <v>75</v>
      </c>
      <c r="O15" t="s">
        <v>62</v>
      </c>
      <c r="P15">
        <v>20250901</v>
      </c>
      <c r="Q15" t="str">
        <f>TEXT(DATE(LEFT(P15,4), MID(P15,5,2), RIGHT(P15,2)), "M/d/yyyy")</f>
        <v>9/1/2025</v>
      </c>
      <c r="R15">
        <v>11.4</v>
      </c>
      <c r="S15">
        <v>0.91</v>
      </c>
      <c r="T15">
        <v>8</v>
      </c>
      <c r="U15" t="s">
        <v>217</v>
      </c>
    </row>
    <row r="16" spans="1:21" x14ac:dyDescent="0.25">
      <c r="A16" t="s">
        <v>66</v>
      </c>
      <c r="B16" t="s">
        <v>67</v>
      </c>
      <c r="C16" t="str">
        <f>CONCATENATE(B16,  " ",A16)</f>
        <v>Carol Foley</v>
      </c>
      <c r="D16" t="s">
        <v>218</v>
      </c>
      <c r="E16">
        <v>442293037</v>
      </c>
      <c r="F16">
        <v>20231121</v>
      </c>
      <c r="G16" t="str">
        <f>TEXT(DATE(LEFT(F16,4), MID(F16,5,2), RIGHT(F16,2)), "M/d/yyyy")</f>
        <v>11/21/2023</v>
      </c>
      <c r="H16">
        <f>DATEDIF(G16,Q16,"M")</f>
        <v>22</v>
      </c>
      <c r="I16" t="s">
        <v>69</v>
      </c>
      <c r="J16" t="s">
        <v>129</v>
      </c>
      <c r="K16" t="s">
        <v>130</v>
      </c>
      <c r="L16" t="str">
        <f t="shared" si="0"/>
        <v>ANNA CABOT</v>
      </c>
      <c r="M16" t="s">
        <v>74</v>
      </c>
      <c r="N16" t="s">
        <v>75</v>
      </c>
      <c r="O16" t="s">
        <v>62</v>
      </c>
      <c r="P16">
        <v>20251001</v>
      </c>
      <c r="Q16" t="str">
        <f>TEXT(DATE(LEFT(P16,4), MID(P16,5,2), RIGHT(P16,2)), "M/d/yyyy")</f>
        <v>10/1/2025</v>
      </c>
      <c r="R16">
        <v>11.4</v>
      </c>
      <c r="S16">
        <v>0.91</v>
      </c>
      <c r="T16">
        <v>8</v>
      </c>
      <c r="U16" t="s">
        <v>217</v>
      </c>
    </row>
    <row r="17" spans="1:21" x14ac:dyDescent="0.25">
      <c r="A17" t="s">
        <v>66</v>
      </c>
      <c r="B17" t="s">
        <v>67</v>
      </c>
      <c r="C17" t="str">
        <f>CONCATENATE(B17,  " ",A17)</f>
        <v>Carol Foley</v>
      </c>
      <c r="D17" t="s">
        <v>218</v>
      </c>
      <c r="E17">
        <v>442268083</v>
      </c>
      <c r="F17">
        <v>20231201</v>
      </c>
      <c r="G17" t="str">
        <f>TEXT(DATE(LEFT(F17,4), MID(F17,5,2), RIGHT(F17,2)), "M/d/yyyy")</f>
        <v>12/1/2023</v>
      </c>
      <c r="H17">
        <f>DATEDIF(G17,Q17,"M")</f>
        <v>22</v>
      </c>
      <c r="I17" t="s">
        <v>126</v>
      </c>
      <c r="J17" t="s">
        <v>131</v>
      </c>
      <c r="K17" t="s">
        <v>132</v>
      </c>
      <c r="L17" t="str">
        <f t="shared" si="0"/>
        <v>SCOTT SHEAR</v>
      </c>
      <c r="M17" t="s">
        <v>133</v>
      </c>
      <c r="N17" t="s">
        <v>134</v>
      </c>
      <c r="O17" t="s">
        <v>62</v>
      </c>
      <c r="P17">
        <v>20251001</v>
      </c>
      <c r="Q17" t="str">
        <f>TEXT(DATE(LEFT(P17,4), MID(P17,5,2), RIGHT(P17,2)), "M/d/yyyy")</f>
        <v>10/1/2025</v>
      </c>
      <c r="R17">
        <v>52.1</v>
      </c>
      <c r="S17">
        <v>4.17</v>
      </c>
      <c r="T17">
        <v>8</v>
      </c>
      <c r="U17" t="s">
        <v>207</v>
      </c>
    </row>
    <row r="18" spans="1:21" x14ac:dyDescent="0.25">
      <c r="A18" t="s">
        <v>66</v>
      </c>
      <c r="B18" t="s">
        <v>67</v>
      </c>
      <c r="C18" t="str">
        <f>CONCATENATE(B18,  " ",A18)</f>
        <v>Carol Foley</v>
      </c>
      <c r="D18" t="s">
        <v>218</v>
      </c>
      <c r="E18">
        <v>442268078</v>
      </c>
      <c r="F18">
        <v>20231201</v>
      </c>
      <c r="G18" t="str">
        <f>TEXT(DATE(LEFT(F18,4), MID(F18,5,2), RIGHT(F18,2)), "M/d/yyyy")</f>
        <v>12/1/2023</v>
      </c>
      <c r="H18">
        <f>DATEDIF(G18,Q18,"M")</f>
        <v>22</v>
      </c>
      <c r="I18" t="s">
        <v>126</v>
      </c>
      <c r="J18" t="s">
        <v>131</v>
      </c>
      <c r="K18" t="s">
        <v>132</v>
      </c>
      <c r="L18" t="str">
        <f t="shared" si="0"/>
        <v>SCOTT SHEAR</v>
      </c>
      <c r="M18" t="s">
        <v>135</v>
      </c>
      <c r="N18" t="s">
        <v>61</v>
      </c>
      <c r="O18" t="s">
        <v>62</v>
      </c>
      <c r="P18">
        <v>20251001</v>
      </c>
      <c r="Q18" t="str">
        <f>TEXT(DATE(LEFT(P18,4), MID(P18,5,2), RIGHT(P18,2)), "M/d/yyyy")</f>
        <v>10/1/2025</v>
      </c>
      <c r="R18">
        <v>110.44</v>
      </c>
      <c r="S18">
        <v>4.42</v>
      </c>
      <c r="T18">
        <v>4</v>
      </c>
      <c r="U18" t="s">
        <v>212</v>
      </c>
    </row>
    <row r="19" spans="1:21" x14ac:dyDescent="0.25">
      <c r="A19" t="s">
        <v>66</v>
      </c>
      <c r="B19" t="s">
        <v>67</v>
      </c>
      <c r="C19" t="str">
        <f>CONCATENATE(B19,  " ",A19)</f>
        <v>Carol Foley</v>
      </c>
      <c r="D19" t="s">
        <v>218</v>
      </c>
      <c r="E19">
        <v>442268077</v>
      </c>
      <c r="F19">
        <v>20231201</v>
      </c>
      <c r="G19" t="str">
        <f>TEXT(DATE(LEFT(F19,4), MID(F19,5,2), RIGHT(F19,2)), "M/d/yyyy")</f>
        <v>12/1/2023</v>
      </c>
      <c r="H19">
        <f>DATEDIF(G19,Q19,"M")</f>
        <v>22</v>
      </c>
      <c r="I19" t="s">
        <v>126</v>
      </c>
      <c r="J19" t="s">
        <v>131</v>
      </c>
      <c r="K19" t="s">
        <v>132</v>
      </c>
      <c r="L19" t="str">
        <f t="shared" si="0"/>
        <v>SCOTT SHEAR</v>
      </c>
      <c r="M19" t="s">
        <v>74</v>
      </c>
      <c r="N19" t="s">
        <v>75</v>
      </c>
      <c r="O19" t="s">
        <v>62</v>
      </c>
      <c r="P19">
        <v>20251001</v>
      </c>
      <c r="Q19" t="str">
        <f>TEXT(DATE(LEFT(P19,4), MID(P19,5,2), RIGHT(P19,2)), "M/d/yyyy")</f>
        <v>10/1/2025</v>
      </c>
      <c r="R19">
        <v>36.799999999999997</v>
      </c>
      <c r="S19">
        <v>1.47</v>
      </c>
      <c r="T19">
        <v>4</v>
      </c>
      <c r="U19" t="s">
        <v>216</v>
      </c>
    </row>
    <row r="20" spans="1:21" x14ac:dyDescent="0.25">
      <c r="A20" t="s">
        <v>66</v>
      </c>
      <c r="B20" t="s">
        <v>67</v>
      </c>
      <c r="C20" t="str">
        <f>CONCATENATE(B20,  " ",A20)</f>
        <v>Carol Foley</v>
      </c>
      <c r="D20" t="s">
        <v>218</v>
      </c>
      <c r="E20">
        <v>442363899</v>
      </c>
      <c r="F20">
        <v>20231214</v>
      </c>
      <c r="G20" t="str">
        <f>TEXT(DATE(LEFT(F20,4), MID(F20,5,2), RIGHT(F20,2)), "M/d/yyyy")</f>
        <v>12/14/2023</v>
      </c>
      <c r="H20">
        <f>DATEDIF(G20,Q20,"M")</f>
        <v>21</v>
      </c>
      <c r="I20" t="s">
        <v>69</v>
      </c>
      <c r="J20" t="s">
        <v>136</v>
      </c>
      <c r="K20" t="s">
        <v>137</v>
      </c>
      <c r="L20" t="str">
        <f t="shared" si="0"/>
        <v>STUART STURROCK</v>
      </c>
      <c r="M20" t="s">
        <v>74</v>
      </c>
      <c r="N20" t="s">
        <v>75</v>
      </c>
      <c r="O20" t="s">
        <v>62</v>
      </c>
      <c r="P20">
        <v>20251001</v>
      </c>
      <c r="Q20" t="str">
        <f>TEXT(DATE(LEFT(P20,4), MID(P20,5,2), RIGHT(P20,2)), "M/d/yyyy")</f>
        <v>10/1/2025</v>
      </c>
      <c r="R20">
        <v>11.4</v>
      </c>
      <c r="S20">
        <v>0.91</v>
      </c>
      <c r="T20">
        <v>8</v>
      </c>
      <c r="U20" t="s">
        <v>217</v>
      </c>
    </row>
    <row r="21" spans="1:21" x14ac:dyDescent="0.25">
      <c r="A21" t="s">
        <v>66</v>
      </c>
      <c r="B21" t="s">
        <v>67</v>
      </c>
      <c r="C21" t="str">
        <f>CONCATENATE(B21,  " ",A21)</f>
        <v>Carol Foley</v>
      </c>
      <c r="D21" t="s">
        <v>218</v>
      </c>
      <c r="E21">
        <v>442477122</v>
      </c>
      <c r="F21">
        <v>20240206</v>
      </c>
      <c r="G21" t="str">
        <f>TEXT(DATE(LEFT(F21,4), MID(F21,5,2), RIGHT(F21,2)), "M/d/yyyy")</f>
        <v>2/6/2024</v>
      </c>
      <c r="H21">
        <f>DATEDIF(G21,Q21,"M")</f>
        <v>19</v>
      </c>
      <c r="I21" t="s">
        <v>69</v>
      </c>
      <c r="J21" t="s">
        <v>138</v>
      </c>
      <c r="K21" t="s">
        <v>139</v>
      </c>
      <c r="L21" t="str">
        <f t="shared" si="0"/>
        <v>MONIQUE SEYLER</v>
      </c>
      <c r="M21" t="s">
        <v>92</v>
      </c>
      <c r="N21" t="s">
        <v>93</v>
      </c>
      <c r="O21" t="s">
        <v>62</v>
      </c>
      <c r="P21">
        <v>20251001</v>
      </c>
      <c r="Q21" t="str">
        <f>TEXT(DATE(LEFT(P21,4), MID(P21,5,2), RIGHT(P21,2)), "M/d/yyyy")</f>
        <v>10/1/2025</v>
      </c>
      <c r="R21">
        <v>13.28</v>
      </c>
      <c r="S21">
        <v>0.93</v>
      </c>
      <c r="T21">
        <v>7</v>
      </c>
      <c r="U21" t="s">
        <v>213</v>
      </c>
    </row>
    <row r="22" spans="1:21" x14ac:dyDescent="0.25">
      <c r="A22" t="s">
        <v>140</v>
      </c>
      <c r="B22" t="s">
        <v>141</v>
      </c>
      <c r="C22" t="str">
        <f>CONCATENATE(B22,  " ",A22)</f>
        <v>Jason Hoffmann</v>
      </c>
      <c r="D22">
        <v>15278437</v>
      </c>
      <c r="E22">
        <v>441699275</v>
      </c>
      <c r="F22">
        <v>20221214</v>
      </c>
      <c r="G22" t="str">
        <f>TEXT(DATE(LEFT(F22,4), MID(F22,5,2), RIGHT(F22,2)), "M/d/yyyy")</f>
        <v>12/14/2022</v>
      </c>
      <c r="H22">
        <f>DATEDIF(G22,Q22,"M")</f>
        <v>33</v>
      </c>
      <c r="I22" t="s">
        <v>69</v>
      </c>
      <c r="J22" t="s">
        <v>144</v>
      </c>
      <c r="K22" t="s">
        <v>145</v>
      </c>
      <c r="L22" t="str">
        <f t="shared" si="0"/>
        <v>MICHAEL DIGREGORIO</v>
      </c>
      <c r="M22" t="s">
        <v>133</v>
      </c>
      <c r="N22" t="s">
        <v>134</v>
      </c>
      <c r="O22" t="s">
        <v>62</v>
      </c>
      <c r="P22">
        <v>20251001</v>
      </c>
      <c r="Q22" t="str">
        <f>TEXT(DATE(LEFT(P22,4), MID(P22,5,2), RIGHT(P22,2)), "M/d/yyyy")</f>
        <v>10/1/2025</v>
      </c>
      <c r="R22">
        <v>34.94</v>
      </c>
      <c r="S22">
        <v>2.8</v>
      </c>
      <c r="T22">
        <v>8</v>
      </c>
      <c r="U22" t="s">
        <v>207</v>
      </c>
    </row>
    <row r="23" spans="1:21" x14ac:dyDescent="0.25">
      <c r="A23" t="s">
        <v>140</v>
      </c>
      <c r="B23" t="s">
        <v>141</v>
      </c>
      <c r="C23" t="str">
        <f>CONCATENATE(B23,  " ",A23)</f>
        <v>Jason Hoffmann</v>
      </c>
      <c r="D23">
        <v>15278437</v>
      </c>
      <c r="E23">
        <v>442249622</v>
      </c>
      <c r="F23">
        <v>20231103</v>
      </c>
      <c r="G23" t="str">
        <f>TEXT(DATE(LEFT(F23,4), MID(F23,5,2), RIGHT(F23,2)), "M/d/yyyy")</f>
        <v>11/3/2023</v>
      </c>
      <c r="H23">
        <f>DATEDIF(G23,Q23,"M")</f>
        <v>22</v>
      </c>
      <c r="I23" t="s">
        <v>146</v>
      </c>
      <c r="J23" t="s">
        <v>147</v>
      </c>
      <c r="K23" t="s">
        <v>148</v>
      </c>
      <c r="L23" t="str">
        <f t="shared" si="0"/>
        <v>DOUGLAS GEISSINGER</v>
      </c>
      <c r="M23" t="s">
        <v>135</v>
      </c>
      <c r="N23" t="s">
        <v>61</v>
      </c>
      <c r="O23" t="s">
        <v>62</v>
      </c>
      <c r="P23">
        <v>20251001</v>
      </c>
      <c r="Q23" t="str">
        <f>TEXT(DATE(LEFT(P23,4), MID(P23,5,2), RIGHT(P23,2)), "M/d/yyyy")</f>
        <v>10/1/2025</v>
      </c>
      <c r="R23">
        <v>21.81</v>
      </c>
      <c r="S23">
        <v>0.87</v>
      </c>
      <c r="T23">
        <v>4</v>
      </c>
      <c r="U23" t="s">
        <v>212</v>
      </c>
    </row>
    <row r="24" spans="1:21" x14ac:dyDescent="0.25">
      <c r="A24" t="s">
        <v>140</v>
      </c>
      <c r="B24" t="s">
        <v>141</v>
      </c>
      <c r="C24" t="str">
        <f>CONCATENATE(B24,  " ",A24)</f>
        <v>Jason Hoffmann</v>
      </c>
      <c r="D24">
        <v>15278437</v>
      </c>
      <c r="E24">
        <v>441696456</v>
      </c>
      <c r="F24">
        <v>20221213</v>
      </c>
      <c r="G24" t="str">
        <f>TEXT(DATE(LEFT(F24,4), MID(F24,5,2), RIGHT(F24,2)), "M/d/yyyy")</f>
        <v>12/13/2022</v>
      </c>
      <c r="H24">
        <f>DATEDIF(G24,Q24,"M")</f>
        <v>33</v>
      </c>
      <c r="I24" t="s">
        <v>69</v>
      </c>
      <c r="J24" t="s">
        <v>142</v>
      </c>
      <c r="K24" t="s">
        <v>143</v>
      </c>
      <c r="L24" t="str">
        <f t="shared" si="0"/>
        <v>KARA COWEN</v>
      </c>
      <c r="M24" t="s">
        <v>74</v>
      </c>
      <c r="N24" t="s">
        <v>75</v>
      </c>
      <c r="O24" t="s">
        <v>62</v>
      </c>
      <c r="P24">
        <v>20251001</v>
      </c>
      <c r="Q24" t="str">
        <f>TEXT(DATE(LEFT(P24,4), MID(P24,5,2), RIGHT(P24,2)), "M/d/yyyy")</f>
        <v>10/1/2025</v>
      </c>
      <c r="R24">
        <v>11.4</v>
      </c>
      <c r="S24">
        <v>0.91</v>
      </c>
      <c r="T24">
        <v>8</v>
      </c>
      <c r="U24" t="s">
        <v>217</v>
      </c>
    </row>
    <row r="25" spans="1:21" x14ac:dyDescent="0.25">
      <c r="A25" t="s">
        <v>76</v>
      </c>
      <c r="B25" t="s">
        <v>77</v>
      </c>
      <c r="C25" t="str">
        <f>CONCATENATE(B25,  " ",A25)</f>
        <v>Katelenn Caltagirone</v>
      </c>
      <c r="D25">
        <v>20436896</v>
      </c>
      <c r="E25">
        <v>441769366</v>
      </c>
      <c r="F25">
        <v>20230124</v>
      </c>
      <c r="G25" t="str">
        <f>TEXT(DATE(LEFT(F25,4), MID(F25,5,2), RIGHT(F25,2)), "M/d/yyyy")</f>
        <v>1/24/2023</v>
      </c>
      <c r="H25">
        <f>DATEDIF(G25,Q25,"M")</f>
        <v>32</v>
      </c>
      <c r="I25" t="s">
        <v>79</v>
      </c>
      <c r="J25" t="s">
        <v>80</v>
      </c>
      <c r="K25" t="s">
        <v>81</v>
      </c>
      <c r="L25" t="str">
        <f t="shared" si="0"/>
        <v>TIMOTHY WASSELL</v>
      </c>
      <c r="M25" t="s">
        <v>84</v>
      </c>
      <c r="N25" t="s">
        <v>85</v>
      </c>
      <c r="O25" t="s">
        <v>62</v>
      </c>
      <c r="P25">
        <v>20251001</v>
      </c>
      <c r="Q25" t="str">
        <f>TEXT(DATE(LEFT(P25,4), MID(P25,5,2), RIGHT(P25,2)), "M/d/yyyy")</f>
        <v>10/1/2025</v>
      </c>
      <c r="R25">
        <v>25</v>
      </c>
      <c r="S25">
        <v>5</v>
      </c>
      <c r="T25">
        <v>20</v>
      </c>
      <c r="U25" t="s">
        <v>215</v>
      </c>
    </row>
    <row r="26" spans="1:21" x14ac:dyDescent="0.25">
      <c r="A26" t="s">
        <v>149</v>
      </c>
      <c r="B26" t="s">
        <v>150</v>
      </c>
      <c r="C26" t="str">
        <f>CONCATENATE(B26,  " ",A26)</f>
        <v>Laneece White</v>
      </c>
      <c r="D26">
        <v>13496370</v>
      </c>
      <c r="E26">
        <v>442370248</v>
      </c>
      <c r="F26">
        <v>20231215</v>
      </c>
      <c r="G26" t="str">
        <f>TEXT(DATE(LEFT(F26,4), MID(F26,5,2), RIGHT(F26,2)), "M/d/yyyy")</f>
        <v>12/15/2023</v>
      </c>
      <c r="H26">
        <f>DATEDIF(G26,Q26,"M")</f>
        <v>21</v>
      </c>
      <c r="I26" t="s">
        <v>54</v>
      </c>
      <c r="J26" t="s">
        <v>151</v>
      </c>
      <c r="K26" t="s">
        <v>152</v>
      </c>
      <c r="L26" t="str">
        <f t="shared" si="0"/>
        <v>S AMANDA DAVIS</v>
      </c>
      <c r="M26" t="s">
        <v>74</v>
      </c>
      <c r="N26" t="s">
        <v>75</v>
      </c>
      <c r="O26" t="s">
        <v>62</v>
      </c>
      <c r="P26">
        <v>20251001</v>
      </c>
      <c r="Q26" t="str">
        <f>TEXT(DATE(LEFT(P26,4), MID(P26,5,2), RIGHT(P26,2)), "M/d/yyyy")</f>
        <v>10/1/2025</v>
      </c>
      <c r="R26">
        <v>10.4</v>
      </c>
      <c r="S26">
        <v>0.42</v>
      </c>
      <c r="T26">
        <v>4</v>
      </c>
      <c r="U26" t="s">
        <v>216</v>
      </c>
    </row>
    <row r="27" spans="1:21" x14ac:dyDescent="0.25">
      <c r="A27" t="s">
        <v>153</v>
      </c>
      <c r="B27" t="s">
        <v>154</v>
      </c>
      <c r="C27" t="str">
        <f>CONCATENATE(B27,  " ",A27)</f>
        <v>Laurie Casta</v>
      </c>
      <c r="D27">
        <v>20697692</v>
      </c>
      <c r="E27">
        <v>442352294</v>
      </c>
      <c r="F27">
        <v>20231211</v>
      </c>
      <c r="G27" t="str">
        <f>TEXT(DATE(LEFT(F27,4), MID(F27,5,2), RIGHT(F27,2)), "M/d/yyyy")</f>
        <v>12/11/2023</v>
      </c>
      <c r="H27">
        <f>DATEDIF(G27,Q27,"M")</f>
        <v>21</v>
      </c>
      <c r="I27" t="s">
        <v>54</v>
      </c>
      <c r="J27" t="s">
        <v>162</v>
      </c>
      <c r="K27" t="s">
        <v>152</v>
      </c>
      <c r="L27" t="str">
        <f t="shared" si="0"/>
        <v>ANGELA DAVIS</v>
      </c>
      <c r="M27" t="s">
        <v>106</v>
      </c>
      <c r="N27" t="s">
        <v>61</v>
      </c>
      <c r="O27" t="s">
        <v>62</v>
      </c>
      <c r="P27">
        <v>20251001</v>
      </c>
      <c r="Q27" t="str">
        <f>TEXT(DATE(LEFT(P27,4), MID(P27,5,2), RIGHT(P27,2)), "M/d/yyyy")</f>
        <v>10/1/2025</v>
      </c>
      <c r="R27">
        <v>43.6</v>
      </c>
      <c r="S27">
        <v>6.54</v>
      </c>
      <c r="T27">
        <v>15</v>
      </c>
      <c r="U27" t="s">
        <v>211</v>
      </c>
    </row>
    <row r="28" spans="1:21" x14ac:dyDescent="0.25">
      <c r="A28" t="s">
        <v>153</v>
      </c>
      <c r="B28" t="s">
        <v>154</v>
      </c>
      <c r="C28" t="str">
        <f>CONCATENATE(B28,  " ",A28)</f>
        <v>Laurie Casta</v>
      </c>
      <c r="D28">
        <v>20697692</v>
      </c>
      <c r="E28">
        <v>442332365</v>
      </c>
      <c r="F28">
        <v>20231215</v>
      </c>
      <c r="G28" t="str">
        <f>TEXT(DATE(LEFT(F28,4), MID(F28,5,2), RIGHT(F28,2)), "M/d/yyyy")</f>
        <v>12/15/2023</v>
      </c>
      <c r="H28">
        <f>DATEDIF(G28,Q28,"M")</f>
        <v>21</v>
      </c>
      <c r="I28" t="s">
        <v>54</v>
      </c>
      <c r="J28" t="s">
        <v>165</v>
      </c>
      <c r="K28" t="s">
        <v>166</v>
      </c>
      <c r="L28" t="str">
        <f t="shared" si="0"/>
        <v>JOY FOURNILLIER</v>
      </c>
      <c r="M28" t="s">
        <v>106</v>
      </c>
      <c r="N28" t="s">
        <v>61</v>
      </c>
      <c r="O28" t="s">
        <v>62</v>
      </c>
      <c r="P28">
        <v>20251001</v>
      </c>
      <c r="Q28" t="str">
        <f>TEXT(DATE(LEFT(P28,4), MID(P28,5,2), RIGHT(P28,2)), "M/d/yyyy")</f>
        <v>10/1/2025</v>
      </c>
      <c r="R28">
        <v>102.55</v>
      </c>
      <c r="S28">
        <v>15.38</v>
      </c>
      <c r="T28">
        <v>15</v>
      </c>
      <c r="U28" t="s">
        <v>211</v>
      </c>
    </row>
    <row r="29" spans="1:21" x14ac:dyDescent="0.25">
      <c r="A29" t="s">
        <v>153</v>
      </c>
      <c r="B29" t="s">
        <v>154</v>
      </c>
      <c r="C29" t="str">
        <f>CONCATENATE(B29,  " ",A29)</f>
        <v>Laurie Casta</v>
      </c>
      <c r="D29">
        <v>20697692</v>
      </c>
      <c r="E29">
        <v>442352316</v>
      </c>
      <c r="F29">
        <v>20231211</v>
      </c>
      <c r="G29" t="str">
        <f>TEXT(DATE(LEFT(F29,4), MID(F29,5,2), RIGHT(F29,2)), "M/d/yyyy")</f>
        <v>12/11/2023</v>
      </c>
      <c r="H29">
        <f>DATEDIF(G29,Q29,"M")</f>
        <v>21</v>
      </c>
      <c r="I29" t="s">
        <v>54</v>
      </c>
      <c r="J29" t="s">
        <v>162</v>
      </c>
      <c r="K29" t="s">
        <v>152</v>
      </c>
      <c r="L29" t="str">
        <f t="shared" si="0"/>
        <v>ANGELA DAVIS</v>
      </c>
      <c r="M29" t="s">
        <v>103</v>
      </c>
      <c r="N29" t="s">
        <v>104</v>
      </c>
      <c r="O29" t="s">
        <v>62</v>
      </c>
      <c r="P29">
        <v>20251001</v>
      </c>
      <c r="Q29" t="str">
        <f>TEXT(DATE(LEFT(P29,4), MID(P29,5,2), RIGHT(P29,2)), "M/d/yyyy")</f>
        <v>10/1/2025</v>
      </c>
      <c r="R29">
        <v>35.049999999999997</v>
      </c>
      <c r="S29">
        <v>2.4500000000000002</v>
      </c>
      <c r="T29">
        <v>7</v>
      </c>
      <c r="U29" t="s">
        <v>214</v>
      </c>
    </row>
    <row r="30" spans="1:21" x14ac:dyDescent="0.25">
      <c r="A30" t="s">
        <v>153</v>
      </c>
      <c r="B30" t="s">
        <v>154</v>
      </c>
      <c r="C30" t="str">
        <f>CONCATENATE(B30,  " ",A30)</f>
        <v>Laurie Casta</v>
      </c>
      <c r="D30">
        <v>20697692</v>
      </c>
      <c r="E30">
        <v>442037493</v>
      </c>
      <c r="F30">
        <v>20230701</v>
      </c>
      <c r="G30" t="str">
        <f>TEXT(DATE(LEFT(F30,4), MID(F30,5,2), RIGHT(F30,2)), "M/d/yyyy")</f>
        <v>7/1/2023</v>
      </c>
      <c r="H30">
        <f>DATEDIF(G30,Q30,"M")</f>
        <v>27</v>
      </c>
      <c r="I30" t="s">
        <v>54</v>
      </c>
      <c r="J30" t="s">
        <v>155</v>
      </c>
      <c r="K30" t="s">
        <v>156</v>
      </c>
      <c r="L30" t="str">
        <f t="shared" si="0"/>
        <v>JOHN SONGER</v>
      </c>
      <c r="M30" t="s">
        <v>74</v>
      </c>
      <c r="N30" t="s">
        <v>75</v>
      </c>
      <c r="O30" t="s">
        <v>62</v>
      </c>
      <c r="P30">
        <v>20251001</v>
      </c>
      <c r="Q30" t="str">
        <f>TEXT(DATE(LEFT(P30,4), MID(P30,5,2), RIGHT(P30,2)), "M/d/yyyy")</f>
        <v>10/1/2025</v>
      </c>
      <c r="R30">
        <v>17</v>
      </c>
      <c r="S30">
        <v>0.68</v>
      </c>
      <c r="T30">
        <v>4</v>
      </c>
      <c r="U30" t="s">
        <v>216</v>
      </c>
    </row>
    <row r="31" spans="1:21" x14ac:dyDescent="0.25">
      <c r="A31" t="s">
        <v>153</v>
      </c>
      <c r="B31" t="s">
        <v>154</v>
      </c>
      <c r="C31" t="str">
        <f>CONCATENATE(B31,  " ",A31)</f>
        <v>Laurie Casta</v>
      </c>
      <c r="D31">
        <v>20697692</v>
      </c>
      <c r="E31">
        <v>442099791</v>
      </c>
      <c r="F31">
        <v>20230803</v>
      </c>
      <c r="G31" t="str">
        <f>TEXT(DATE(LEFT(F31,4), MID(F31,5,2), RIGHT(F31,2)), "M/d/yyyy")</f>
        <v>8/3/2023</v>
      </c>
      <c r="H31">
        <f>DATEDIF(G31,Q31,"M")</f>
        <v>25</v>
      </c>
      <c r="I31" t="s">
        <v>54</v>
      </c>
      <c r="J31" t="s">
        <v>157</v>
      </c>
      <c r="K31" t="s">
        <v>158</v>
      </c>
      <c r="L31" t="str">
        <f t="shared" si="0"/>
        <v>CASSANDRA KRAHAM</v>
      </c>
      <c r="M31" t="s">
        <v>74</v>
      </c>
      <c r="N31" t="s">
        <v>75</v>
      </c>
      <c r="O31" t="s">
        <v>62</v>
      </c>
      <c r="P31">
        <v>20251001</v>
      </c>
      <c r="Q31" t="str">
        <f>TEXT(DATE(LEFT(P31,4), MID(P31,5,2), RIGHT(P31,2)), "M/d/yyyy")</f>
        <v>10/1/2025</v>
      </c>
      <c r="R31">
        <v>10.4</v>
      </c>
      <c r="S31">
        <v>0.42</v>
      </c>
      <c r="T31">
        <v>4</v>
      </c>
      <c r="U31" t="s">
        <v>216</v>
      </c>
    </row>
    <row r="32" spans="1:21" x14ac:dyDescent="0.25">
      <c r="A32" t="s">
        <v>153</v>
      </c>
      <c r="B32" t="s">
        <v>154</v>
      </c>
      <c r="C32" t="str">
        <f>CONCATENATE(B32,  " ",A32)</f>
        <v>Laurie Casta</v>
      </c>
      <c r="D32">
        <v>20697692</v>
      </c>
      <c r="E32">
        <v>442236865</v>
      </c>
      <c r="F32">
        <v>20231101</v>
      </c>
      <c r="G32" t="str">
        <f>TEXT(DATE(LEFT(F32,4), MID(F32,5,2), RIGHT(F32,2)), "M/d/yyyy")</f>
        <v>11/1/2023</v>
      </c>
      <c r="H32">
        <f>DATEDIF(G32,Q32,"M")</f>
        <v>23</v>
      </c>
      <c r="I32" t="s">
        <v>54</v>
      </c>
      <c r="J32" t="s">
        <v>144</v>
      </c>
      <c r="K32" t="s">
        <v>159</v>
      </c>
      <c r="L32" t="str">
        <f t="shared" si="0"/>
        <v>MICHAEL ARRICH</v>
      </c>
      <c r="M32" t="s">
        <v>74</v>
      </c>
      <c r="N32" t="s">
        <v>75</v>
      </c>
      <c r="O32" t="s">
        <v>62</v>
      </c>
      <c r="P32">
        <v>20251001</v>
      </c>
      <c r="Q32" t="str">
        <f>TEXT(DATE(LEFT(P32,4), MID(P32,5,2), RIGHT(P32,2)), "M/d/yyyy")</f>
        <v>10/1/2025</v>
      </c>
      <c r="R32">
        <v>17</v>
      </c>
      <c r="S32">
        <v>0.68</v>
      </c>
      <c r="T32">
        <v>4</v>
      </c>
      <c r="U32" t="s">
        <v>216</v>
      </c>
    </row>
    <row r="33" spans="1:21" x14ac:dyDescent="0.25">
      <c r="A33" t="s">
        <v>153</v>
      </c>
      <c r="B33" t="s">
        <v>154</v>
      </c>
      <c r="C33" t="str">
        <f>CONCATENATE(B33,  " ",A33)</f>
        <v>Laurie Casta</v>
      </c>
      <c r="D33">
        <v>20697692</v>
      </c>
      <c r="E33">
        <v>442249792</v>
      </c>
      <c r="F33">
        <v>20231103</v>
      </c>
      <c r="G33" t="str">
        <f>TEXT(DATE(LEFT(F33,4), MID(F33,5,2), RIGHT(F33,2)), "M/d/yyyy")</f>
        <v>11/3/2023</v>
      </c>
      <c r="H33">
        <f>DATEDIF(G33,Q33,"M")</f>
        <v>22</v>
      </c>
      <c r="I33" t="s">
        <v>54</v>
      </c>
      <c r="J33" t="s">
        <v>160</v>
      </c>
      <c r="K33" t="s">
        <v>161</v>
      </c>
      <c r="L33" t="str">
        <f t="shared" si="0"/>
        <v>DEBRA BECK</v>
      </c>
      <c r="M33" t="s">
        <v>74</v>
      </c>
      <c r="N33" t="s">
        <v>75</v>
      </c>
      <c r="O33" t="s">
        <v>62</v>
      </c>
      <c r="P33">
        <v>20251001</v>
      </c>
      <c r="Q33" t="str">
        <f>TEXT(DATE(LEFT(P33,4), MID(P33,5,2), RIGHT(P33,2)), "M/d/yyyy")</f>
        <v>10/1/2025</v>
      </c>
      <c r="R33">
        <v>10.4</v>
      </c>
      <c r="S33">
        <v>0.42</v>
      </c>
      <c r="T33">
        <v>4</v>
      </c>
      <c r="U33" t="s">
        <v>216</v>
      </c>
    </row>
    <row r="34" spans="1:21" x14ac:dyDescent="0.25">
      <c r="A34" t="s">
        <v>153</v>
      </c>
      <c r="B34" t="s">
        <v>154</v>
      </c>
      <c r="C34" t="str">
        <f>CONCATENATE(B34,  " ",A34)</f>
        <v>Laurie Casta</v>
      </c>
      <c r="D34">
        <v>20697692</v>
      </c>
      <c r="E34">
        <v>442352338</v>
      </c>
      <c r="F34">
        <v>20231211</v>
      </c>
      <c r="G34" t="str">
        <f>TEXT(DATE(LEFT(F34,4), MID(F34,5,2), RIGHT(F34,2)), "M/d/yyyy")</f>
        <v>12/11/2023</v>
      </c>
      <c r="H34">
        <f>DATEDIF(G34,Q34,"M")</f>
        <v>21</v>
      </c>
      <c r="I34" t="s">
        <v>54</v>
      </c>
      <c r="J34" t="s">
        <v>162</v>
      </c>
      <c r="K34" t="s">
        <v>152</v>
      </c>
      <c r="L34" t="str">
        <f t="shared" si="0"/>
        <v>ANGELA DAVIS</v>
      </c>
      <c r="M34" t="s">
        <v>74</v>
      </c>
      <c r="N34" t="s">
        <v>75</v>
      </c>
      <c r="O34" t="s">
        <v>62</v>
      </c>
      <c r="P34">
        <v>20251001</v>
      </c>
      <c r="Q34" t="str">
        <f>TEXT(DATE(LEFT(P34,4), MID(P34,5,2), RIGHT(P34,2)), "M/d/yyyy")</f>
        <v>10/1/2025</v>
      </c>
      <c r="R34">
        <v>10.4</v>
      </c>
      <c r="S34">
        <v>0.42</v>
      </c>
      <c r="T34">
        <v>4</v>
      </c>
      <c r="U34" t="s">
        <v>216</v>
      </c>
    </row>
    <row r="35" spans="1:21" x14ac:dyDescent="0.25">
      <c r="A35" t="s">
        <v>153</v>
      </c>
      <c r="B35" t="s">
        <v>154</v>
      </c>
      <c r="C35" t="str">
        <f>CONCATENATE(B35,  " ",A35)</f>
        <v>Laurie Casta</v>
      </c>
      <c r="D35">
        <v>20697692</v>
      </c>
      <c r="E35">
        <v>442361305</v>
      </c>
      <c r="F35">
        <v>20231213</v>
      </c>
      <c r="G35" t="str">
        <f>TEXT(DATE(LEFT(F35,4), MID(F35,5,2), RIGHT(F35,2)), "M/d/yyyy")</f>
        <v>12/13/2023</v>
      </c>
      <c r="H35">
        <f>DATEDIF(G35,Q35,"M")</f>
        <v>21</v>
      </c>
      <c r="I35" t="s">
        <v>54</v>
      </c>
      <c r="J35" t="s">
        <v>163</v>
      </c>
      <c r="K35" t="s">
        <v>164</v>
      </c>
      <c r="L35" t="str">
        <f t="shared" si="0"/>
        <v>SHARON JOSEPH</v>
      </c>
      <c r="M35" t="s">
        <v>74</v>
      </c>
      <c r="N35" t="s">
        <v>75</v>
      </c>
      <c r="O35" t="s">
        <v>62</v>
      </c>
      <c r="P35">
        <v>20251001</v>
      </c>
      <c r="Q35" t="str">
        <f>TEXT(DATE(LEFT(P35,4), MID(P35,5,2), RIGHT(P35,2)), "M/d/yyyy")</f>
        <v>10/1/2025</v>
      </c>
      <c r="R35">
        <v>17</v>
      </c>
      <c r="S35">
        <v>0.68</v>
      </c>
      <c r="T35">
        <v>4</v>
      </c>
      <c r="U35" t="s">
        <v>216</v>
      </c>
    </row>
    <row r="36" spans="1:21" x14ac:dyDescent="0.25">
      <c r="A36" t="s">
        <v>153</v>
      </c>
      <c r="B36" t="s">
        <v>154</v>
      </c>
      <c r="C36" t="str">
        <f>CONCATENATE(B36,  " ",A36)</f>
        <v>Laurie Casta</v>
      </c>
      <c r="D36">
        <v>20697692</v>
      </c>
      <c r="E36">
        <v>442288978</v>
      </c>
      <c r="F36">
        <v>20240101</v>
      </c>
      <c r="G36" t="str">
        <f>TEXT(DATE(LEFT(F36,4), MID(F36,5,2), RIGHT(F36,2)), "M/d/yyyy")</f>
        <v>1/1/2024</v>
      </c>
      <c r="H36">
        <f>DATEDIF(G36,Q36,"M")</f>
        <v>21</v>
      </c>
      <c r="I36" t="s">
        <v>54</v>
      </c>
      <c r="J36" t="s">
        <v>167</v>
      </c>
      <c r="K36" t="s">
        <v>168</v>
      </c>
      <c r="L36" t="str">
        <f t="shared" si="0"/>
        <v>ANN DELLARCO</v>
      </c>
      <c r="M36" t="s">
        <v>74</v>
      </c>
      <c r="N36" t="s">
        <v>75</v>
      </c>
      <c r="O36" t="s">
        <v>62</v>
      </c>
      <c r="P36">
        <v>20251001</v>
      </c>
      <c r="Q36" t="str">
        <f>TEXT(DATE(LEFT(P36,4), MID(P36,5,2), RIGHT(P36,2)), "M/d/yyyy")</f>
        <v>10/1/2025</v>
      </c>
      <c r="R36">
        <v>10.4</v>
      </c>
      <c r="S36">
        <v>0.42</v>
      </c>
      <c r="T36">
        <v>4</v>
      </c>
      <c r="U36" t="s">
        <v>216</v>
      </c>
    </row>
    <row r="37" spans="1:21" x14ac:dyDescent="0.25">
      <c r="A37" t="s">
        <v>51</v>
      </c>
      <c r="B37" t="s">
        <v>86</v>
      </c>
      <c r="C37" t="str">
        <f>CONCATENATE(B37,  " ",A37)</f>
        <v>Peter Richter</v>
      </c>
      <c r="D37">
        <v>16509456</v>
      </c>
      <c r="E37">
        <v>442495285</v>
      </c>
      <c r="F37">
        <v>20240216</v>
      </c>
      <c r="G37" t="str">
        <f>TEXT(DATE(LEFT(F37,4), MID(F37,5,2), RIGHT(F37,2)), "M/d/yyyy")</f>
        <v>2/16/2024</v>
      </c>
      <c r="H37">
        <f>DATEDIF(G37,Q37,"M")</f>
        <v>19</v>
      </c>
      <c r="I37" t="s">
        <v>69</v>
      </c>
      <c r="J37" t="s">
        <v>179</v>
      </c>
      <c r="K37" t="s">
        <v>180</v>
      </c>
      <c r="L37" t="str">
        <f t="shared" si="0"/>
        <v>STEPHEN BIEGANSKI</v>
      </c>
      <c r="M37" t="s">
        <v>133</v>
      </c>
      <c r="N37" t="s">
        <v>134</v>
      </c>
      <c r="O37" t="s">
        <v>62</v>
      </c>
      <c r="P37">
        <v>20251001</v>
      </c>
      <c r="Q37" t="str">
        <f>TEXT(DATE(LEFT(P37,4), MID(P37,5,2), RIGHT(P37,2)), "M/d/yyyy")</f>
        <v>10/1/2025</v>
      </c>
      <c r="R37">
        <v>34.94</v>
      </c>
      <c r="S37">
        <v>2.8</v>
      </c>
      <c r="T37">
        <v>8</v>
      </c>
      <c r="U37" t="s">
        <v>207</v>
      </c>
    </row>
    <row r="38" spans="1:21" x14ac:dyDescent="0.25">
      <c r="A38" t="s">
        <v>51</v>
      </c>
      <c r="B38" t="s">
        <v>86</v>
      </c>
      <c r="C38" t="str">
        <f>CONCATENATE(B38,  " ",A38)</f>
        <v>Peter Richter</v>
      </c>
      <c r="D38">
        <v>16509456</v>
      </c>
      <c r="E38">
        <v>441991771</v>
      </c>
      <c r="F38">
        <v>20230601</v>
      </c>
      <c r="G38" t="str">
        <f>TEXT(DATE(LEFT(F38,4), MID(F38,5,2), RIGHT(F38,2)), "M/d/yyyy")</f>
        <v>6/1/2023</v>
      </c>
      <c r="H38">
        <f>DATEDIF(G38,Q38,"M")</f>
        <v>28</v>
      </c>
      <c r="I38" t="s">
        <v>69</v>
      </c>
      <c r="J38" t="s">
        <v>171</v>
      </c>
      <c r="K38" t="s">
        <v>172</v>
      </c>
      <c r="L38" t="str">
        <f t="shared" si="0"/>
        <v>LINDA DEANTONIO</v>
      </c>
      <c r="M38" t="s">
        <v>60</v>
      </c>
      <c r="N38" t="s">
        <v>61</v>
      </c>
      <c r="O38" t="s">
        <v>62</v>
      </c>
      <c r="P38">
        <v>20251001</v>
      </c>
      <c r="Q38" t="str">
        <f>TEXT(DATE(LEFT(P38,4), MID(P38,5,2), RIGHT(P38,2)), "M/d/yyyy")</f>
        <v>10/1/2025</v>
      </c>
      <c r="R38">
        <v>72.19</v>
      </c>
      <c r="S38">
        <v>3.61</v>
      </c>
      <c r="T38">
        <v>5</v>
      </c>
      <c r="U38" t="s">
        <v>209</v>
      </c>
    </row>
    <row r="39" spans="1:21" x14ac:dyDescent="0.25">
      <c r="A39" t="s">
        <v>51</v>
      </c>
      <c r="B39" t="s">
        <v>86</v>
      </c>
      <c r="C39" t="str">
        <f>CONCATENATE(B39,  " ",A39)</f>
        <v>Peter Richter</v>
      </c>
      <c r="D39">
        <v>16509456</v>
      </c>
      <c r="E39">
        <v>441862448</v>
      </c>
      <c r="F39">
        <v>20230401</v>
      </c>
      <c r="G39" t="str">
        <f>TEXT(DATE(LEFT(F39,4), MID(F39,5,2), RIGHT(F39,2)), "M/d/yyyy")</f>
        <v>4/1/2023</v>
      </c>
      <c r="H39">
        <f>DATEDIF(G39,Q39,"M")</f>
        <v>30</v>
      </c>
      <c r="I39" t="s">
        <v>69</v>
      </c>
      <c r="J39" t="s">
        <v>169</v>
      </c>
      <c r="K39" t="s">
        <v>170</v>
      </c>
      <c r="L39" t="str">
        <f t="shared" si="0"/>
        <v>MARC FOX</v>
      </c>
      <c r="M39" t="s">
        <v>106</v>
      </c>
      <c r="N39" t="s">
        <v>61</v>
      </c>
      <c r="O39" t="s">
        <v>62</v>
      </c>
      <c r="P39">
        <v>20251001</v>
      </c>
      <c r="Q39" t="str">
        <f>TEXT(DATE(LEFT(P39,4), MID(P39,5,2), RIGHT(P39,2)), "M/d/yyyy")</f>
        <v>10/1/2025</v>
      </c>
      <c r="R39">
        <v>45.49</v>
      </c>
      <c r="S39">
        <v>1.82</v>
      </c>
      <c r="T39">
        <v>4</v>
      </c>
      <c r="U39" t="s">
        <v>210</v>
      </c>
    </row>
    <row r="40" spans="1:21" x14ac:dyDescent="0.25">
      <c r="A40" t="s">
        <v>51</v>
      </c>
      <c r="B40" t="s">
        <v>86</v>
      </c>
      <c r="C40" t="str">
        <f>CONCATENATE(B40,  " ",A40)</f>
        <v>Peter Richter</v>
      </c>
      <c r="D40">
        <v>16509456</v>
      </c>
      <c r="E40">
        <v>442096371</v>
      </c>
      <c r="F40">
        <v>20230801</v>
      </c>
      <c r="G40" t="str">
        <f>TEXT(DATE(LEFT(F40,4), MID(F40,5,2), RIGHT(F40,2)), "M/d/yyyy")</f>
        <v>8/1/2023</v>
      </c>
      <c r="H40">
        <f>DATEDIF(G40,Q40,"M")</f>
        <v>26</v>
      </c>
      <c r="I40" t="s">
        <v>54</v>
      </c>
      <c r="J40" t="s">
        <v>173</v>
      </c>
      <c r="K40" t="s">
        <v>174</v>
      </c>
      <c r="L40" t="str">
        <f t="shared" si="0"/>
        <v>MARTHA ACEROS MENDEZ</v>
      </c>
      <c r="M40" t="s">
        <v>74</v>
      </c>
      <c r="N40" t="s">
        <v>75</v>
      </c>
      <c r="O40" t="s">
        <v>62</v>
      </c>
      <c r="P40">
        <v>20251001</v>
      </c>
      <c r="Q40" t="str">
        <f>TEXT(DATE(LEFT(P40,4), MID(P40,5,2), RIGHT(P40,2)), "M/d/yyyy")</f>
        <v>10/1/2025</v>
      </c>
      <c r="R40">
        <v>10.4</v>
      </c>
      <c r="S40">
        <v>0.42</v>
      </c>
      <c r="T40">
        <v>4</v>
      </c>
      <c r="U40" t="s">
        <v>216</v>
      </c>
    </row>
    <row r="41" spans="1:21" x14ac:dyDescent="0.25">
      <c r="A41" t="s">
        <v>51</v>
      </c>
      <c r="B41" t="s">
        <v>86</v>
      </c>
      <c r="C41" t="str">
        <f>CONCATENATE(B41,  " ",A41)</f>
        <v>Peter Richter</v>
      </c>
      <c r="D41">
        <v>16509456</v>
      </c>
      <c r="E41">
        <v>442271715</v>
      </c>
      <c r="F41">
        <v>20231111</v>
      </c>
      <c r="G41" t="str">
        <f>TEXT(DATE(LEFT(F41,4), MID(F41,5,2), RIGHT(F41,2)), "M/d/yyyy")</f>
        <v>11/11/2023</v>
      </c>
      <c r="H41">
        <f>DATEDIF(G41,Q41,"M")</f>
        <v>22</v>
      </c>
      <c r="I41" t="s">
        <v>54</v>
      </c>
      <c r="J41" t="s">
        <v>175</v>
      </c>
      <c r="K41" t="s">
        <v>176</v>
      </c>
      <c r="L41" t="str">
        <f t="shared" si="0"/>
        <v>DONNA MILBOURNE</v>
      </c>
      <c r="M41" t="s">
        <v>74</v>
      </c>
      <c r="N41" t="s">
        <v>75</v>
      </c>
      <c r="O41" t="s">
        <v>62</v>
      </c>
      <c r="P41">
        <v>20251001</v>
      </c>
      <c r="Q41" t="str">
        <f>TEXT(DATE(LEFT(P41,4), MID(P41,5,2), RIGHT(P41,2)), "M/d/yyyy")</f>
        <v>10/1/2025</v>
      </c>
      <c r="R41">
        <v>17</v>
      </c>
      <c r="S41">
        <v>0.68</v>
      </c>
      <c r="T41">
        <v>4</v>
      </c>
      <c r="U41" t="s">
        <v>216</v>
      </c>
    </row>
    <row r="42" spans="1:21" x14ac:dyDescent="0.25">
      <c r="A42" t="s">
        <v>51</v>
      </c>
      <c r="B42" t="s">
        <v>86</v>
      </c>
      <c r="C42" t="str">
        <f>CONCATENATE(B42,  " ",A42)</f>
        <v>Peter Richter</v>
      </c>
      <c r="D42">
        <v>16509456</v>
      </c>
      <c r="E42">
        <v>442289311</v>
      </c>
      <c r="F42">
        <v>20231118</v>
      </c>
      <c r="G42" t="str">
        <f>TEXT(DATE(LEFT(F42,4), MID(F42,5,2), RIGHT(F42,2)), "M/d/yyyy")</f>
        <v>11/18/2023</v>
      </c>
      <c r="H42">
        <f>DATEDIF(G42,Q42,"M")</f>
        <v>22</v>
      </c>
      <c r="I42" t="s">
        <v>69</v>
      </c>
      <c r="J42" t="s">
        <v>177</v>
      </c>
      <c r="K42" t="s">
        <v>178</v>
      </c>
      <c r="L42" t="str">
        <f t="shared" si="0"/>
        <v>THERESA COLE</v>
      </c>
      <c r="M42" t="s">
        <v>74</v>
      </c>
      <c r="N42" t="s">
        <v>75</v>
      </c>
      <c r="O42" t="s">
        <v>62</v>
      </c>
      <c r="P42">
        <v>20251001</v>
      </c>
      <c r="Q42" t="str">
        <f>TEXT(DATE(LEFT(P42,4), MID(P42,5,2), RIGHT(P42,2)), "M/d/yyyy")</f>
        <v>10/1/2025</v>
      </c>
      <c r="R42">
        <v>15.7</v>
      </c>
      <c r="S42">
        <v>1.26</v>
      </c>
      <c r="T42">
        <v>8</v>
      </c>
      <c r="U42" t="s">
        <v>217</v>
      </c>
    </row>
    <row r="43" spans="1:21" x14ac:dyDescent="0.25">
      <c r="A43" t="s">
        <v>51</v>
      </c>
      <c r="B43" t="s">
        <v>86</v>
      </c>
      <c r="C43" t="str">
        <f>CONCATENATE(B43,  " ",A43)</f>
        <v>Peter Richter</v>
      </c>
      <c r="D43">
        <v>16509456</v>
      </c>
      <c r="E43">
        <v>442505686</v>
      </c>
      <c r="F43">
        <v>20240222</v>
      </c>
      <c r="G43" t="str">
        <f>TEXT(DATE(LEFT(F43,4), MID(F43,5,2), RIGHT(F43,2)), "M/d/yyyy")</f>
        <v>2/22/2024</v>
      </c>
      <c r="H43">
        <f>DATEDIF(G43,Q43,"M")</f>
        <v>19</v>
      </c>
      <c r="I43" t="s">
        <v>54</v>
      </c>
      <c r="J43" t="s">
        <v>88</v>
      </c>
      <c r="K43" t="s">
        <v>89</v>
      </c>
      <c r="L43" t="str">
        <f t="shared" si="0"/>
        <v>KEVIN MILLER</v>
      </c>
      <c r="M43" t="s">
        <v>92</v>
      </c>
      <c r="N43" t="s">
        <v>93</v>
      </c>
      <c r="O43" t="s">
        <v>62</v>
      </c>
      <c r="P43">
        <v>20251001</v>
      </c>
      <c r="Q43" t="str">
        <f>TEXT(DATE(LEFT(P43,4), MID(P43,5,2), RIGHT(P43,2)), "M/d/yyyy")</f>
        <v>10/1/2025</v>
      </c>
      <c r="R43">
        <v>13.28</v>
      </c>
      <c r="S43">
        <v>0.93</v>
      </c>
      <c r="T43">
        <v>7</v>
      </c>
      <c r="U43" t="s">
        <v>213</v>
      </c>
    </row>
    <row r="44" spans="1:21" x14ac:dyDescent="0.25">
      <c r="A44" t="s">
        <v>51</v>
      </c>
      <c r="B44" t="s">
        <v>86</v>
      </c>
      <c r="C44" t="str">
        <f>CONCATENATE(B44,  " ",A44)</f>
        <v>Peter Richter</v>
      </c>
      <c r="D44">
        <v>16509456</v>
      </c>
      <c r="E44">
        <v>442508319</v>
      </c>
      <c r="F44">
        <v>20240223</v>
      </c>
      <c r="G44" t="str">
        <f>TEXT(DATE(LEFT(F44,4), MID(F44,5,2), RIGHT(F44,2)), "M/d/yyyy")</f>
        <v>2/23/2024</v>
      </c>
      <c r="H44">
        <f>DATEDIF(G44,Q44,"M")</f>
        <v>19</v>
      </c>
      <c r="I44" t="s">
        <v>54</v>
      </c>
      <c r="J44" t="s">
        <v>94</v>
      </c>
      <c r="K44" t="s">
        <v>95</v>
      </c>
      <c r="L44" t="str">
        <f t="shared" si="0"/>
        <v>MARYURI MEMBRENO NAVAS</v>
      </c>
      <c r="M44" t="s">
        <v>92</v>
      </c>
      <c r="N44" t="s">
        <v>93</v>
      </c>
      <c r="O44" t="s">
        <v>62</v>
      </c>
      <c r="P44">
        <v>20251001</v>
      </c>
      <c r="Q44" t="str">
        <f>TEXT(DATE(LEFT(P44,4), MID(P44,5,2), RIGHT(P44,2)), "M/d/yyyy")</f>
        <v>10/1/2025</v>
      </c>
      <c r="R44">
        <v>13.28</v>
      </c>
      <c r="S44">
        <v>0.93</v>
      </c>
      <c r="T44">
        <v>7</v>
      </c>
      <c r="U44" t="s">
        <v>213</v>
      </c>
    </row>
    <row r="45" spans="1:21" x14ac:dyDescent="0.25">
      <c r="A45" t="s">
        <v>51</v>
      </c>
      <c r="B45" t="s">
        <v>86</v>
      </c>
      <c r="C45" t="str">
        <f>CONCATENATE(B45,  " ",A45)</f>
        <v>Peter Richter</v>
      </c>
      <c r="D45">
        <v>16509456</v>
      </c>
      <c r="E45">
        <v>442580059</v>
      </c>
      <c r="F45">
        <v>20240401</v>
      </c>
      <c r="G45" t="str">
        <f>TEXT(DATE(LEFT(F45,4), MID(F45,5,2), RIGHT(F45,2)), "M/d/yyyy")</f>
        <v>4/1/2024</v>
      </c>
      <c r="H45">
        <f>DATEDIF(G45,Q45,"M")</f>
        <v>18</v>
      </c>
      <c r="I45" t="s">
        <v>54</v>
      </c>
      <c r="J45" t="s">
        <v>181</v>
      </c>
      <c r="K45" t="s">
        <v>182</v>
      </c>
      <c r="L45" t="str">
        <f t="shared" si="0"/>
        <v>AMY RYZENGA</v>
      </c>
      <c r="M45" t="s">
        <v>92</v>
      </c>
      <c r="N45" t="s">
        <v>93</v>
      </c>
      <c r="O45" t="s">
        <v>62</v>
      </c>
      <c r="P45">
        <v>20251001</v>
      </c>
      <c r="Q45" t="str">
        <f>TEXT(DATE(LEFT(P45,4), MID(P45,5,2), RIGHT(P45,2)), "M/d/yyyy")</f>
        <v>10/1/2025</v>
      </c>
      <c r="R45">
        <v>13.28</v>
      </c>
      <c r="S45">
        <v>0.93</v>
      </c>
      <c r="T45">
        <v>7</v>
      </c>
      <c r="U45" t="s">
        <v>213</v>
      </c>
    </row>
    <row r="46" spans="1:21" x14ac:dyDescent="0.25">
      <c r="A46" t="s">
        <v>97</v>
      </c>
      <c r="B46" t="s">
        <v>98</v>
      </c>
      <c r="C46" t="str">
        <f>CONCATENATE(B46,  " ",A46)</f>
        <v>Thomas Kucan</v>
      </c>
      <c r="D46">
        <v>16202925</v>
      </c>
      <c r="E46">
        <v>442385061</v>
      </c>
      <c r="F46">
        <v>20240101</v>
      </c>
      <c r="G46" t="str">
        <f>TEXT(DATE(LEFT(F46,4), MID(F46,5,2), RIGHT(F46,2)), "M/d/yyyy")</f>
        <v>1/1/2024</v>
      </c>
      <c r="H46">
        <f>DATEDIF(G46,Q46,"M")</f>
        <v>21</v>
      </c>
      <c r="I46" t="s">
        <v>54</v>
      </c>
      <c r="J46" t="s">
        <v>185</v>
      </c>
      <c r="K46" t="s">
        <v>186</v>
      </c>
      <c r="L46" t="str">
        <f t="shared" si="0"/>
        <v>ASHLEY SOUBIE</v>
      </c>
      <c r="M46" t="s">
        <v>133</v>
      </c>
      <c r="N46" t="s">
        <v>134</v>
      </c>
      <c r="O46" t="s">
        <v>62</v>
      </c>
      <c r="P46">
        <v>20251001</v>
      </c>
      <c r="Q46" t="str">
        <f>TEXT(DATE(LEFT(P46,4), MID(P46,5,2), RIGHT(P46,2)), "M/d/yyyy")</f>
        <v>10/1/2025</v>
      </c>
      <c r="R46">
        <v>26.04</v>
      </c>
      <c r="S46">
        <v>2.08</v>
      </c>
      <c r="T46">
        <v>8</v>
      </c>
      <c r="U46" t="s">
        <v>207</v>
      </c>
    </row>
    <row r="47" spans="1:21" x14ac:dyDescent="0.25">
      <c r="A47" t="s">
        <v>97</v>
      </c>
      <c r="B47" t="s">
        <v>98</v>
      </c>
      <c r="C47" t="str">
        <f>CONCATENATE(B47,  " ",A47)</f>
        <v>Thomas Kucan</v>
      </c>
      <c r="D47">
        <v>16202925</v>
      </c>
      <c r="E47">
        <v>442433511</v>
      </c>
      <c r="F47">
        <v>20240116</v>
      </c>
      <c r="G47" t="str">
        <f>TEXT(DATE(LEFT(F47,4), MID(F47,5,2), RIGHT(F47,2)), "M/d/yyyy")</f>
        <v>1/16/2024</v>
      </c>
      <c r="H47">
        <f>DATEDIF(G47,Q47,"M")</f>
        <v>20</v>
      </c>
      <c r="I47" t="s">
        <v>54</v>
      </c>
      <c r="J47" t="s">
        <v>191</v>
      </c>
      <c r="K47" t="s">
        <v>192</v>
      </c>
      <c r="L47" t="str">
        <f t="shared" si="0"/>
        <v>ALYCEA RIVERA</v>
      </c>
      <c r="M47" t="s">
        <v>133</v>
      </c>
      <c r="N47" t="s">
        <v>134</v>
      </c>
      <c r="O47" t="s">
        <v>62</v>
      </c>
      <c r="P47">
        <v>20251001</v>
      </c>
      <c r="Q47" t="str">
        <f>TEXT(DATE(LEFT(P47,4), MID(P47,5,2), RIGHT(P47,2)), "M/d/yyyy")</f>
        <v>10/1/2025</v>
      </c>
      <c r="R47">
        <v>26.04</v>
      </c>
      <c r="S47">
        <v>2.08</v>
      </c>
      <c r="T47">
        <v>8</v>
      </c>
      <c r="U47" t="s">
        <v>207</v>
      </c>
    </row>
    <row r="48" spans="1:21" x14ac:dyDescent="0.25">
      <c r="A48" t="s">
        <v>97</v>
      </c>
      <c r="B48" t="s">
        <v>98</v>
      </c>
      <c r="C48" t="str">
        <f>CONCATENATE(B48,  " ",A48)</f>
        <v>Thomas Kucan</v>
      </c>
      <c r="D48">
        <v>16202925</v>
      </c>
      <c r="E48">
        <v>442424444</v>
      </c>
      <c r="F48">
        <v>20240110</v>
      </c>
      <c r="G48" t="str">
        <f>TEXT(DATE(LEFT(F48,4), MID(F48,5,2), RIGHT(F48,2)), "M/d/yyyy")</f>
        <v>1/10/2024</v>
      </c>
      <c r="H48">
        <f>DATEDIF(G48,Q48,"M")</f>
        <v>20</v>
      </c>
      <c r="I48" t="s">
        <v>54</v>
      </c>
      <c r="J48" t="s">
        <v>100</v>
      </c>
      <c r="K48" t="s">
        <v>101</v>
      </c>
      <c r="L48" t="str">
        <f t="shared" si="0"/>
        <v>TOUSSANT MCKENZIE</v>
      </c>
      <c r="M48" t="s">
        <v>106</v>
      </c>
      <c r="N48" t="s">
        <v>61</v>
      </c>
      <c r="O48" t="s">
        <v>62</v>
      </c>
      <c r="P48">
        <v>20251001</v>
      </c>
      <c r="Q48" t="str">
        <f>TEXT(DATE(LEFT(P48,4), MID(P48,5,2), RIGHT(P48,2)), "M/d/yyyy")</f>
        <v>10/1/2025</v>
      </c>
      <c r="R48">
        <v>58.4</v>
      </c>
      <c r="S48">
        <v>2.34</v>
      </c>
      <c r="T48">
        <v>4</v>
      </c>
      <c r="U48" t="s">
        <v>210</v>
      </c>
    </row>
    <row r="49" spans="1:21" x14ac:dyDescent="0.25">
      <c r="A49" t="s">
        <v>97</v>
      </c>
      <c r="B49" t="s">
        <v>98</v>
      </c>
      <c r="C49" t="str">
        <f>CONCATENATE(B49,  " ",A49)</f>
        <v>Thomas Kucan</v>
      </c>
      <c r="D49">
        <v>16202925</v>
      </c>
      <c r="E49">
        <v>442424444</v>
      </c>
      <c r="F49">
        <v>20240110</v>
      </c>
      <c r="G49" t="str">
        <f>TEXT(DATE(LEFT(F49,4), MID(F49,5,2), RIGHT(F49,2)), "M/d/yyyy")</f>
        <v>1/10/2024</v>
      </c>
      <c r="H49">
        <f>DATEDIF(G49,Q49,"M")</f>
        <v>19</v>
      </c>
      <c r="I49" t="s">
        <v>54</v>
      </c>
      <c r="J49" t="s">
        <v>100</v>
      </c>
      <c r="K49" t="s">
        <v>101</v>
      </c>
      <c r="L49" t="str">
        <f t="shared" si="0"/>
        <v>TOUSSANT MCKENZIE</v>
      </c>
      <c r="M49" t="s">
        <v>106</v>
      </c>
      <c r="N49" t="s">
        <v>61</v>
      </c>
      <c r="O49" t="s">
        <v>62</v>
      </c>
      <c r="P49">
        <v>20250901</v>
      </c>
      <c r="Q49" t="str">
        <f>TEXT(DATE(LEFT(P49,4), MID(P49,5,2), RIGHT(P49,2)), "M/d/yyyy")</f>
        <v>9/1/2025</v>
      </c>
      <c r="R49">
        <v>58.4</v>
      </c>
      <c r="S49">
        <v>2.34</v>
      </c>
      <c r="T49">
        <v>4</v>
      </c>
      <c r="U49" t="s">
        <v>210</v>
      </c>
    </row>
    <row r="50" spans="1:21" x14ac:dyDescent="0.25">
      <c r="A50" t="s">
        <v>97</v>
      </c>
      <c r="B50" t="s">
        <v>98</v>
      </c>
      <c r="C50" t="str">
        <f>CONCATENATE(B50,  " ",A50)</f>
        <v>Thomas Kucan</v>
      </c>
      <c r="D50">
        <v>16202925</v>
      </c>
      <c r="E50">
        <v>442385060</v>
      </c>
      <c r="F50">
        <v>20240101</v>
      </c>
      <c r="G50" t="str">
        <f>TEXT(DATE(LEFT(F50,4), MID(F50,5,2), RIGHT(F50,2)), "M/d/yyyy")</f>
        <v>1/1/2024</v>
      </c>
      <c r="H50">
        <f>DATEDIF(G50,Q50,"M")</f>
        <v>21</v>
      </c>
      <c r="I50" t="s">
        <v>54</v>
      </c>
      <c r="J50" t="s">
        <v>185</v>
      </c>
      <c r="K50" t="s">
        <v>186</v>
      </c>
      <c r="L50" t="str">
        <f t="shared" si="0"/>
        <v>ASHLEY SOUBIE</v>
      </c>
      <c r="M50" t="s">
        <v>135</v>
      </c>
      <c r="N50" t="s">
        <v>61</v>
      </c>
      <c r="O50" t="s">
        <v>62</v>
      </c>
      <c r="P50">
        <v>20251001</v>
      </c>
      <c r="Q50" t="str">
        <f>TEXT(DATE(LEFT(P50,4), MID(P50,5,2), RIGHT(P50,2)), "M/d/yyyy")</f>
        <v>10/1/2025</v>
      </c>
      <c r="R50">
        <v>36.130000000000003</v>
      </c>
      <c r="S50">
        <v>1.45</v>
      </c>
      <c r="T50">
        <v>4</v>
      </c>
      <c r="U50" t="s">
        <v>212</v>
      </c>
    </row>
    <row r="51" spans="1:21" x14ac:dyDescent="0.25">
      <c r="A51" t="s">
        <v>97</v>
      </c>
      <c r="B51" t="s">
        <v>98</v>
      </c>
      <c r="C51" t="str">
        <f>CONCATENATE(B51,  " ",A51)</f>
        <v>Thomas Kucan</v>
      </c>
      <c r="D51">
        <v>16202925</v>
      </c>
      <c r="E51">
        <v>442430491</v>
      </c>
      <c r="F51">
        <v>20240113</v>
      </c>
      <c r="G51" t="str">
        <f>TEXT(DATE(LEFT(F51,4), MID(F51,5,2), RIGHT(F51,2)), "M/d/yyyy")</f>
        <v>1/13/2024</v>
      </c>
      <c r="H51">
        <f>DATEDIF(G51,Q51,"M")</f>
        <v>20</v>
      </c>
      <c r="I51" t="s">
        <v>54</v>
      </c>
      <c r="J51" t="s">
        <v>189</v>
      </c>
      <c r="K51" t="s">
        <v>190</v>
      </c>
      <c r="L51" t="str">
        <f t="shared" si="0"/>
        <v>JUANITA PINCHBACK</v>
      </c>
      <c r="M51" t="s">
        <v>135</v>
      </c>
      <c r="N51" t="s">
        <v>61</v>
      </c>
      <c r="O51" t="s">
        <v>62</v>
      </c>
      <c r="P51">
        <v>20251001</v>
      </c>
      <c r="Q51" t="str">
        <f>TEXT(DATE(LEFT(P51,4), MID(P51,5,2), RIGHT(P51,2)), "M/d/yyyy")</f>
        <v>10/1/2025</v>
      </c>
      <c r="R51">
        <v>37.01</v>
      </c>
      <c r="S51">
        <v>1.48</v>
      </c>
      <c r="T51">
        <v>4</v>
      </c>
      <c r="U51" t="s">
        <v>212</v>
      </c>
    </row>
    <row r="52" spans="1:21" x14ac:dyDescent="0.25">
      <c r="A52" t="s">
        <v>97</v>
      </c>
      <c r="B52" t="s">
        <v>98</v>
      </c>
      <c r="C52" t="str">
        <f>CONCATENATE(B52,  " ",A52)</f>
        <v>Thomas Kucan</v>
      </c>
      <c r="D52">
        <v>16202925</v>
      </c>
      <c r="E52">
        <v>442606244</v>
      </c>
      <c r="F52">
        <v>20240414</v>
      </c>
      <c r="G52" t="str">
        <f>TEXT(DATE(LEFT(F52,4), MID(F52,5,2), RIGHT(F52,2)), "M/d/yyyy")</f>
        <v>4/14/2024</v>
      </c>
      <c r="H52">
        <f>DATEDIF(G52,Q52,"M")</f>
        <v>17</v>
      </c>
      <c r="I52" t="s">
        <v>54</v>
      </c>
      <c r="J52" t="s">
        <v>197</v>
      </c>
      <c r="K52" t="s">
        <v>198</v>
      </c>
      <c r="L52" t="str">
        <f t="shared" si="0"/>
        <v>MATTHEW BOLIEK</v>
      </c>
      <c r="M52" t="s">
        <v>199</v>
      </c>
      <c r="N52" t="s">
        <v>196</v>
      </c>
      <c r="O52" t="s">
        <v>62</v>
      </c>
      <c r="P52">
        <v>20251001</v>
      </c>
      <c r="Q52" t="str">
        <f>TEXT(DATE(LEFT(P52,4), MID(P52,5,2), RIGHT(P52,2)), "M/d/yyyy")</f>
        <v>10/1/2025</v>
      </c>
      <c r="R52">
        <v>42.59</v>
      </c>
      <c r="S52">
        <v>2.98</v>
      </c>
      <c r="T52">
        <v>7</v>
      </c>
      <c r="U52" t="s">
        <v>213</v>
      </c>
    </row>
    <row r="53" spans="1:21" x14ac:dyDescent="0.25">
      <c r="A53" t="s">
        <v>97</v>
      </c>
      <c r="B53" t="s">
        <v>98</v>
      </c>
      <c r="C53" t="str">
        <f>CONCATENATE(B53,  " ",A53)</f>
        <v>Thomas Kucan</v>
      </c>
      <c r="D53">
        <v>16202925</v>
      </c>
      <c r="E53">
        <v>442602708</v>
      </c>
      <c r="F53">
        <v>20240501</v>
      </c>
      <c r="G53" t="str">
        <f>TEXT(DATE(LEFT(F53,4), MID(F53,5,2), RIGHT(F53,2)), "M/d/yyyy")</f>
        <v>5/1/2024</v>
      </c>
      <c r="H53">
        <f>DATEDIF(G53,Q53,"M")</f>
        <v>17</v>
      </c>
      <c r="I53" t="s">
        <v>54</v>
      </c>
      <c r="J53" t="s">
        <v>200</v>
      </c>
      <c r="K53" t="s">
        <v>201</v>
      </c>
      <c r="L53" t="str">
        <f t="shared" si="0"/>
        <v>FREDERICK HUTCHINSON</v>
      </c>
      <c r="M53" t="s">
        <v>199</v>
      </c>
      <c r="N53" t="s">
        <v>196</v>
      </c>
      <c r="O53" t="s">
        <v>62</v>
      </c>
      <c r="P53">
        <v>20251001</v>
      </c>
      <c r="Q53" t="str">
        <f>TEXT(DATE(LEFT(P53,4), MID(P53,5,2), RIGHT(P53,2)), "M/d/yyyy")</f>
        <v>10/1/2025</v>
      </c>
      <c r="R53">
        <v>42.59</v>
      </c>
      <c r="S53">
        <v>2.98</v>
      </c>
      <c r="T53">
        <v>7</v>
      </c>
      <c r="U53" t="s">
        <v>213</v>
      </c>
    </row>
    <row r="54" spans="1:21" x14ac:dyDescent="0.25">
      <c r="A54" t="s">
        <v>97</v>
      </c>
      <c r="B54" t="s">
        <v>98</v>
      </c>
      <c r="C54" t="str">
        <f>CONCATENATE(B54,  " ",A54)</f>
        <v>Thomas Kucan</v>
      </c>
      <c r="D54">
        <v>16202925</v>
      </c>
      <c r="E54">
        <v>442586950</v>
      </c>
      <c r="F54">
        <v>20240404</v>
      </c>
      <c r="G54" t="str">
        <f>TEXT(DATE(LEFT(F54,4), MID(F54,5,2), RIGHT(F54,2)), "M/d/yyyy")</f>
        <v>4/4/2024</v>
      </c>
      <c r="H54">
        <f>DATEDIF(G54,Q54,"M")</f>
        <v>17</v>
      </c>
      <c r="I54" t="s">
        <v>54</v>
      </c>
      <c r="J54" t="s">
        <v>193</v>
      </c>
      <c r="K54" t="s">
        <v>194</v>
      </c>
      <c r="L54" t="str">
        <f t="shared" si="0"/>
        <v>AUDREY ROZIER</v>
      </c>
      <c r="M54" t="s">
        <v>195</v>
      </c>
      <c r="N54" t="s">
        <v>196</v>
      </c>
      <c r="O54" t="s">
        <v>62</v>
      </c>
      <c r="P54">
        <v>20251001</v>
      </c>
      <c r="Q54" t="str">
        <f>TEXT(DATE(LEFT(P54,4), MID(P54,5,2), RIGHT(P54,2)), "M/d/yyyy")</f>
        <v>10/1/2025</v>
      </c>
      <c r="R54">
        <v>51.09</v>
      </c>
      <c r="S54">
        <v>3.58</v>
      </c>
      <c r="T54">
        <v>7</v>
      </c>
      <c r="U54" t="s">
        <v>213</v>
      </c>
    </row>
    <row r="55" spans="1:21" x14ac:dyDescent="0.25">
      <c r="A55" t="s">
        <v>97</v>
      </c>
      <c r="B55" t="s">
        <v>98</v>
      </c>
      <c r="C55" t="str">
        <f>CONCATENATE(B55,  " ",A55)</f>
        <v>Thomas Kucan</v>
      </c>
      <c r="D55">
        <v>16202925</v>
      </c>
      <c r="E55">
        <v>442646320</v>
      </c>
      <c r="F55">
        <v>20240505</v>
      </c>
      <c r="G55" t="str">
        <f>TEXT(DATE(LEFT(F55,4), MID(F55,5,2), RIGHT(F55,2)), "M/d/yyyy")</f>
        <v>5/5/2024</v>
      </c>
      <c r="H55">
        <f>DATEDIF(G55,Q55,"M")</f>
        <v>16</v>
      </c>
      <c r="I55" t="s">
        <v>54</v>
      </c>
      <c r="J55" t="s">
        <v>202</v>
      </c>
      <c r="K55" t="s">
        <v>203</v>
      </c>
      <c r="L55" t="str">
        <f t="shared" si="0"/>
        <v>PAUL KOESTER</v>
      </c>
      <c r="M55" t="s">
        <v>204</v>
      </c>
      <c r="N55" t="s">
        <v>196</v>
      </c>
      <c r="O55" t="s">
        <v>62</v>
      </c>
      <c r="P55">
        <v>20251001</v>
      </c>
      <c r="Q55" t="str">
        <f>TEXT(DATE(LEFT(P55,4), MID(P55,5,2), RIGHT(P55,2)), "M/d/yyyy")</f>
        <v>10/1/2025</v>
      </c>
      <c r="R55">
        <v>55.3</v>
      </c>
      <c r="S55">
        <v>3.87</v>
      </c>
      <c r="T55">
        <v>7</v>
      </c>
      <c r="U55" t="s">
        <v>213</v>
      </c>
    </row>
    <row r="56" spans="1:21" x14ac:dyDescent="0.25">
      <c r="A56" t="s">
        <v>97</v>
      </c>
      <c r="B56" t="s">
        <v>98</v>
      </c>
      <c r="C56" t="str">
        <f>CONCATENATE(B56,  " ",A56)</f>
        <v>Thomas Kucan</v>
      </c>
      <c r="D56">
        <v>16202925</v>
      </c>
      <c r="E56">
        <v>442649730</v>
      </c>
      <c r="F56">
        <v>20240601</v>
      </c>
      <c r="G56" t="str">
        <f>TEXT(DATE(LEFT(F56,4), MID(F56,5,2), RIGHT(F56,2)), "M/d/yyyy")</f>
        <v>6/1/2024</v>
      </c>
      <c r="H56">
        <f>DATEDIF(G56,Q56,"M")</f>
        <v>16</v>
      </c>
      <c r="I56" t="s">
        <v>54</v>
      </c>
      <c r="J56" t="s">
        <v>205</v>
      </c>
      <c r="K56" t="s">
        <v>206</v>
      </c>
      <c r="L56" t="str">
        <f t="shared" si="0"/>
        <v>ALEXIS DUKE</v>
      </c>
      <c r="M56" t="s">
        <v>204</v>
      </c>
      <c r="N56" t="s">
        <v>196</v>
      </c>
      <c r="O56" t="s">
        <v>62</v>
      </c>
      <c r="P56">
        <v>20251001</v>
      </c>
      <c r="Q56" t="str">
        <f>TEXT(DATE(LEFT(P56,4), MID(P56,5,2), RIGHT(P56,2)), "M/d/yyyy")</f>
        <v>10/1/2025</v>
      </c>
      <c r="R56">
        <v>111.57</v>
      </c>
      <c r="S56">
        <v>7.81</v>
      </c>
      <c r="T56">
        <v>7</v>
      </c>
      <c r="U56" t="s">
        <v>213</v>
      </c>
    </row>
    <row r="57" spans="1:21" x14ac:dyDescent="0.25">
      <c r="A57" t="s">
        <v>97</v>
      </c>
      <c r="B57" t="s">
        <v>98</v>
      </c>
      <c r="C57" t="str">
        <f>CONCATENATE(B57,  " ",A57)</f>
        <v>Thomas Kucan</v>
      </c>
      <c r="D57">
        <v>16202925</v>
      </c>
      <c r="E57">
        <v>442424445</v>
      </c>
      <c r="F57">
        <v>20240110</v>
      </c>
      <c r="G57" t="str">
        <f>TEXT(DATE(LEFT(F57,4), MID(F57,5,2), RIGHT(F57,2)), "M/d/yyyy")</f>
        <v>1/10/2024</v>
      </c>
      <c r="H57">
        <f>DATEDIF(G57,Q57,"M")</f>
        <v>20</v>
      </c>
      <c r="I57" t="s">
        <v>54</v>
      </c>
      <c r="J57" t="s">
        <v>100</v>
      </c>
      <c r="K57" t="s">
        <v>101</v>
      </c>
      <c r="L57" t="str">
        <f t="shared" si="0"/>
        <v>TOUSSANT MCKENZIE</v>
      </c>
      <c r="M57" t="s">
        <v>103</v>
      </c>
      <c r="N57" t="s">
        <v>104</v>
      </c>
      <c r="O57" t="s">
        <v>62</v>
      </c>
      <c r="P57">
        <v>20251001</v>
      </c>
      <c r="Q57" t="str">
        <f>TEXT(DATE(LEFT(P57,4), MID(P57,5,2), RIGHT(P57,2)), "M/d/yyyy")</f>
        <v>10/1/2025</v>
      </c>
      <c r="R57">
        <v>63.2</v>
      </c>
      <c r="S57">
        <v>4.42</v>
      </c>
      <c r="T57">
        <v>7</v>
      </c>
      <c r="U57" t="s">
        <v>214</v>
      </c>
    </row>
    <row r="58" spans="1:21" x14ac:dyDescent="0.25">
      <c r="A58" t="s">
        <v>97</v>
      </c>
      <c r="B58" t="s">
        <v>98</v>
      </c>
      <c r="C58" t="str">
        <f>CONCATENATE(B58,  " ",A58)</f>
        <v>Thomas Kucan</v>
      </c>
      <c r="D58">
        <v>16202925</v>
      </c>
      <c r="E58">
        <v>442424445</v>
      </c>
      <c r="F58">
        <v>20240110</v>
      </c>
      <c r="G58" t="str">
        <f>TEXT(DATE(LEFT(F58,4), MID(F58,5,2), RIGHT(F58,2)), "M/d/yyyy")</f>
        <v>1/10/2024</v>
      </c>
      <c r="H58">
        <f>DATEDIF(G58,Q58,"M")</f>
        <v>19</v>
      </c>
      <c r="I58" t="s">
        <v>54</v>
      </c>
      <c r="J58" t="s">
        <v>100</v>
      </c>
      <c r="K58" t="s">
        <v>101</v>
      </c>
      <c r="L58" t="str">
        <f t="shared" si="0"/>
        <v>TOUSSANT MCKENZIE</v>
      </c>
      <c r="M58" t="s">
        <v>103</v>
      </c>
      <c r="N58" t="s">
        <v>104</v>
      </c>
      <c r="O58" t="s">
        <v>62</v>
      </c>
      <c r="P58">
        <v>20250901</v>
      </c>
      <c r="Q58" t="str">
        <f>TEXT(DATE(LEFT(P58,4), MID(P58,5,2), RIGHT(P58,2)), "M/d/yyyy")</f>
        <v>9/1/2025</v>
      </c>
      <c r="R58">
        <v>63.2</v>
      </c>
      <c r="S58">
        <v>4.42</v>
      </c>
      <c r="T58">
        <v>7</v>
      </c>
      <c r="U58" t="s">
        <v>214</v>
      </c>
    </row>
    <row r="59" spans="1:21" x14ac:dyDescent="0.25">
      <c r="A59" t="s">
        <v>97</v>
      </c>
      <c r="B59" t="s">
        <v>98</v>
      </c>
      <c r="C59" t="str">
        <f>CONCATENATE(B59,  " ",A59)</f>
        <v>Thomas Kucan</v>
      </c>
      <c r="D59">
        <v>16202925</v>
      </c>
      <c r="E59">
        <v>442368806</v>
      </c>
      <c r="F59">
        <v>20231215</v>
      </c>
      <c r="G59" t="str">
        <f>TEXT(DATE(LEFT(F59,4), MID(F59,5,2), RIGHT(F59,2)), "M/d/yyyy")</f>
        <v>12/15/2023</v>
      </c>
      <c r="H59">
        <f>DATEDIF(G59,Q59,"M")</f>
        <v>21</v>
      </c>
      <c r="I59" t="s">
        <v>54</v>
      </c>
      <c r="J59" t="s">
        <v>183</v>
      </c>
      <c r="K59" t="s">
        <v>184</v>
      </c>
      <c r="L59" t="str">
        <f t="shared" si="0"/>
        <v>CHARLES MACDONALD</v>
      </c>
      <c r="M59" t="s">
        <v>74</v>
      </c>
      <c r="N59" t="s">
        <v>75</v>
      </c>
      <c r="O59" t="s">
        <v>62</v>
      </c>
      <c r="P59">
        <v>20251001</v>
      </c>
      <c r="Q59" t="str">
        <f>TEXT(DATE(LEFT(P59,4), MID(P59,5,2), RIGHT(P59,2)), "M/d/yyyy")</f>
        <v>10/1/2025</v>
      </c>
      <c r="R59">
        <v>17</v>
      </c>
      <c r="S59">
        <v>0.68</v>
      </c>
      <c r="T59">
        <v>4</v>
      </c>
      <c r="U59" t="s">
        <v>216</v>
      </c>
    </row>
    <row r="60" spans="1:21" x14ac:dyDescent="0.25">
      <c r="A60" t="s">
        <v>97</v>
      </c>
      <c r="B60" t="s">
        <v>98</v>
      </c>
      <c r="C60" t="str">
        <f>CONCATENATE(B60,  " ",A60)</f>
        <v>Thomas Kucan</v>
      </c>
      <c r="D60">
        <v>16202925</v>
      </c>
      <c r="E60">
        <v>442385059</v>
      </c>
      <c r="F60">
        <v>20240101</v>
      </c>
      <c r="G60" t="str">
        <f>TEXT(DATE(LEFT(F60,4), MID(F60,5,2), RIGHT(F60,2)), "M/d/yyyy")</f>
        <v>1/1/2024</v>
      </c>
      <c r="H60">
        <f>DATEDIF(G60,Q60,"M")</f>
        <v>21</v>
      </c>
      <c r="I60" t="s">
        <v>54</v>
      </c>
      <c r="J60" t="s">
        <v>185</v>
      </c>
      <c r="K60" t="s">
        <v>186</v>
      </c>
      <c r="L60" t="str">
        <f t="shared" si="0"/>
        <v>ASHLEY SOUBIE</v>
      </c>
      <c r="M60" t="s">
        <v>74</v>
      </c>
      <c r="N60" t="s">
        <v>75</v>
      </c>
      <c r="O60" t="s">
        <v>62</v>
      </c>
      <c r="P60">
        <v>20251001</v>
      </c>
      <c r="Q60" t="str">
        <f>TEXT(DATE(LEFT(P60,4), MID(P60,5,2), RIGHT(P60,2)), "M/d/yyyy")</f>
        <v>10/1/2025</v>
      </c>
      <c r="R60">
        <v>10.4</v>
      </c>
      <c r="S60">
        <v>0.42</v>
      </c>
      <c r="T60">
        <v>4</v>
      </c>
      <c r="U60" t="s">
        <v>216</v>
      </c>
    </row>
    <row r="61" spans="1:21" x14ac:dyDescent="0.25">
      <c r="A61" t="s">
        <v>97</v>
      </c>
      <c r="B61" t="s">
        <v>98</v>
      </c>
      <c r="C61" t="str">
        <f>CONCATENATE(B61,  " ",A61)</f>
        <v>Thomas Kucan</v>
      </c>
      <c r="D61">
        <v>16202925</v>
      </c>
      <c r="E61">
        <v>442428775</v>
      </c>
      <c r="F61">
        <v>20240112</v>
      </c>
      <c r="G61" t="str">
        <f>TEXT(DATE(LEFT(F61,4), MID(F61,5,2), RIGHT(F61,2)), "M/d/yyyy")</f>
        <v>1/12/2024</v>
      </c>
      <c r="H61">
        <f>DATEDIF(G61,Q61,"M")</f>
        <v>20</v>
      </c>
      <c r="I61" t="s">
        <v>54</v>
      </c>
      <c r="J61" t="s">
        <v>187</v>
      </c>
      <c r="K61" t="s">
        <v>188</v>
      </c>
      <c r="L61" t="str">
        <f t="shared" si="0"/>
        <v>JOEL JOHNSON</v>
      </c>
      <c r="M61" t="s">
        <v>74</v>
      </c>
      <c r="N61" t="s">
        <v>75</v>
      </c>
      <c r="O61" t="s">
        <v>62</v>
      </c>
      <c r="P61">
        <v>20251001</v>
      </c>
      <c r="Q61" t="str">
        <f>TEXT(DATE(LEFT(P61,4), MID(P61,5,2), RIGHT(P61,2)), "M/d/yyyy")</f>
        <v>10/1/2025</v>
      </c>
      <c r="R61">
        <v>10.4</v>
      </c>
      <c r="S61">
        <v>0.42</v>
      </c>
      <c r="T61">
        <v>4</v>
      </c>
      <c r="U61" t="s">
        <v>216</v>
      </c>
    </row>
    <row r="62" spans="1:21" x14ac:dyDescent="0.25">
      <c r="A62" t="s">
        <v>97</v>
      </c>
      <c r="B62" t="s">
        <v>98</v>
      </c>
      <c r="C62" t="str">
        <f>CONCATENATE(B62,  " ",A62)</f>
        <v>Thomas Kucan</v>
      </c>
      <c r="D62">
        <v>16202925</v>
      </c>
      <c r="E62">
        <v>442433510</v>
      </c>
      <c r="F62">
        <v>20240116</v>
      </c>
      <c r="G62" t="str">
        <f>TEXT(DATE(LEFT(F62,4), MID(F62,5,2), RIGHT(F62,2)), "M/d/yyyy")</f>
        <v>1/16/2024</v>
      </c>
      <c r="H62">
        <f>DATEDIF(G62,Q62,"M")</f>
        <v>20</v>
      </c>
      <c r="I62" t="s">
        <v>54</v>
      </c>
      <c r="J62" t="s">
        <v>191</v>
      </c>
      <c r="K62" t="s">
        <v>192</v>
      </c>
      <c r="L62" t="str">
        <f t="shared" si="0"/>
        <v>ALYCEA RIVERA</v>
      </c>
      <c r="M62" t="s">
        <v>74</v>
      </c>
      <c r="N62" t="s">
        <v>75</v>
      </c>
      <c r="O62" t="s">
        <v>62</v>
      </c>
      <c r="P62">
        <v>20251001</v>
      </c>
      <c r="Q62" t="str">
        <f>TEXT(DATE(LEFT(P62,4), MID(P62,5,2), RIGHT(P62,2)), "M/d/yyyy")</f>
        <v>10/1/2025</v>
      </c>
      <c r="R62">
        <v>10.4</v>
      </c>
      <c r="S62">
        <v>0.42</v>
      </c>
      <c r="T62">
        <v>4</v>
      </c>
      <c r="U62" t="s">
        <v>216</v>
      </c>
    </row>
  </sheetData>
  <sortState xmlns:xlrd2="http://schemas.microsoft.com/office/spreadsheetml/2017/richdata2" ref="A8:AZ21">
    <sortCondition ref="G8:G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Uhone 10-16-25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2025-10-20T14:47:29Z</dcterms:created>
  <dcterms:modified xsi:type="dcterms:W3CDTF">2025-10-28T18:20:48Z</dcterms:modified>
</cp:coreProperties>
</file>