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7-10-25\"/>
    </mc:Choice>
  </mc:AlternateContent>
  <xr:revisionPtr revIDLastSave="0" documentId="13_ncr:9_{69022B1E-71D2-403F-835E-68E6E6687495}" xr6:coauthVersionLast="47" xr6:coauthVersionMax="47" xr10:uidLastSave="{00000000-0000-0000-0000-000000000000}"/>
  <bookViews>
    <workbookView xWindow="28680" yWindow="-120" windowWidth="29040" windowHeight="16440" activeTab="1" xr2:uid="{7C1C35DF-C6CB-4F0F-843D-52F60E59E272}"/>
  </bookViews>
  <sheets>
    <sheet name="CommissionStatement_AA5418109_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2" i="2"/>
  <c r="C33" i="2"/>
  <c r="C34" i="2"/>
  <c r="C35" i="2"/>
  <c r="C36" i="2"/>
  <c r="C37" i="2"/>
  <c r="C3" i="2"/>
  <c r="C17" i="2"/>
  <c r="C38" i="2"/>
  <c r="C18" i="2"/>
  <c r="C39" i="2"/>
  <c r="C47" i="2"/>
  <c r="C48" i="2"/>
  <c r="C2" i="2"/>
  <c r="C49" i="2"/>
  <c r="C9" i="2"/>
  <c r="C50" i="2"/>
  <c r="C4" i="2"/>
  <c r="C10" i="2"/>
  <c r="C31" i="2"/>
  <c r="C51" i="2"/>
  <c r="C54" i="2"/>
  <c r="C52" i="2"/>
  <c r="C5" i="2"/>
  <c r="C11" i="2"/>
  <c r="C42" i="2"/>
  <c r="C7" i="2"/>
  <c r="C13" i="2"/>
  <c r="C43" i="2"/>
  <c r="C44" i="2"/>
  <c r="C14" i="2"/>
  <c r="C8" i="2"/>
  <c r="C45" i="2"/>
  <c r="C20" i="2"/>
  <c r="C21" i="2"/>
  <c r="C22" i="2"/>
  <c r="C23" i="2"/>
  <c r="C24" i="2"/>
  <c r="C19" i="2"/>
  <c r="C46" i="2"/>
  <c r="C26" i="2"/>
  <c r="C27" i="2"/>
  <c r="C28" i="2"/>
  <c r="C29" i="2"/>
  <c r="C30" i="2"/>
  <c r="C15" i="2"/>
  <c r="C12" i="2"/>
  <c r="C16" i="2"/>
  <c r="C40" i="2"/>
  <c r="C41" i="2"/>
  <c r="C53" i="2"/>
  <c r="C6" i="2"/>
  <c r="C55" i="2"/>
  <c r="C56" i="2"/>
  <c r="C57" i="2"/>
  <c r="C32" i="2"/>
  <c r="C25" i="2"/>
  <c r="P26" i="2"/>
  <c r="P27" i="2"/>
  <c r="P28" i="2"/>
  <c r="P29" i="2"/>
  <c r="P30" i="2"/>
  <c r="P15" i="2"/>
  <c r="P47" i="2"/>
  <c r="P48" i="2"/>
  <c r="P2" i="2"/>
  <c r="P49" i="2"/>
  <c r="P9" i="2"/>
  <c r="P50" i="2"/>
  <c r="P4" i="2"/>
  <c r="P10" i="2"/>
  <c r="P31" i="2"/>
  <c r="P51" i="2"/>
  <c r="P54" i="2"/>
  <c r="P19" i="2"/>
  <c r="P52" i="2"/>
  <c r="P5" i="2"/>
  <c r="P11" i="2"/>
  <c r="P25" i="2"/>
  <c r="P32" i="2"/>
  <c r="P33" i="2"/>
  <c r="P34" i="2"/>
  <c r="P35" i="2"/>
  <c r="P36" i="2"/>
  <c r="P37" i="2"/>
  <c r="P3" i="2"/>
  <c r="P17" i="2"/>
  <c r="P38" i="2"/>
  <c r="P18" i="2"/>
  <c r="P39" i="2"/>
  <c r="P12" i="2"/>
  <c r="P16" i="2"/>
  <c r="P40" i="2"/>
  <c r="P41" i="2"/>
  <c r="P53" i="2"/>
  <c r="P6" i="2"/>
  <c r="P55" i="2"/>
  <c r="P56" i="2"/>
  <c r="P57" i="2"/>
  <c r="P42" i="2"/>
  <c r="P7" i="2"/>
  <c r="P13" i="2"/>
  <c r="P43" i="2"/>
  <c r="P44" i="2"/>
  <c r="P14" i="2"/>
  <c r="P8" i="2"/>
  <c r="P45" i="2"/>
  <c r="P20" i="2"/>
  <c r="P21" i="2"/>
  <c r="P22" i="2"/>
  <c r="P23" i="2"/>
  <c r="P24" i="2"/>
  <c r="P46" i="2"/>
  <c r="G26" i="2"/>
  <c r="G27" i="2"/>
  <c r="G28" i="2"/>
  <c r="G29" i="2"/>
  <c r="G30" i="2"/>
  <c r="G15" i="2"/>
  <c r="G47" i="2"/>
  <c r="G48" i="2"/>
  <c r="G2" i="2"/>
  <c r="G49" i="2"/>
  <c r="G9" i="2"/>
  <c r="G50" i="2"/>
  <c r="G4" i="2"/>
  <c r="G10" i="2"/>
  <c r="G31" i="2"/>
  <c r="G51" i="2"/>
  <c r="G54" i="2"/>
  <c r="G19" i="2"/>
  <c r="G52" i="2"/>
  <c r="G5" i="2"/>
  <c r="G11" i="2"/>
  <c r="G25" i="2"/>
  <c r="G32" i="2"/>
  <c r="G33" i="2"/>
  <c r="G34" i="2"/>
  <c r="G35" i="2"/>
  <c r="G36" i="2"/>
  <c r="G37" i="2"/>
  <c r="G3" i="2"/>
  <c r="G17" i="2"/>
  <c r="G38" i="2"/>
  <c r="G18" i="2"/>
  <c r="G39" i="2"/>
  <c r="G12" i="2"/>
  <c r="G16" i="2"/>
  <c r="G40" i="2"/>
  <c r="G41" i="2"/>
  <c r="G53" i="2"/>
  <c r="G6" i="2"/>
  <c r="G55" i="2"/>
  <c r="G56" i="2"/>
  <c r="G57" i="2"/>
  <c r="G42" i="2"/>
  <c r="G7" i="2"/>
  <c r="G13" i="2"/>
  <c r="G43" i="2"/>
  <c r="G44" i="2"/>
  <c r="G14" i="2"/>
  <c r="G8" i="2"/>
  <c r="G45" i="2"/>
  <c r="G20" i="2"/>
  <c r="G21" i="2"/>
  <c r="G22" i="2"/>
  <c r="G23" i="2"/>
  <c r="G24" i="2"/>
  <c r="G46" i="2"/>
</calcChain>
</file>

<file path=xl/sharedStrings.xml><?xml version="1.0" encoding="utf-8"?>
<sst xmlns="http://schemas.openxmlformats.org/spreadsheetml/2006/main" count="1723" uniqueCount="324">
  <si>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</si>
  <si>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</si>
  <si>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</si>
  <si>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</si>
  <si>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</si>
  <si>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</si>
  <si>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</si>
  <si>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</si>
  <si>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</si>
  <si>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</si>
  <si>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</si>
  <si>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</si>
  <si>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</si>
  <si>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</si>
  <si>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</si>
  <si>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</si>
  <si>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</si>
  <si>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</si>
  <si>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</si>
  <si>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</si>
  <si>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</si>
  <si>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</si>
  <si>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</si>
  <si>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</si>
  <si>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</si>
  <si>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</si>
  <si>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</si>
  <si>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</si>
  <si>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</si>
  <si>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</si>
  <si>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</si>
  <si>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</si>
  <si>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</si>
  <si>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</si>
  <si>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</si>
  <si>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</si>
  <si>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</si>
  <si>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</si>
  <si>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</si>
  <si>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</si>
  <si>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</si>
  <si>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</si>
  <si>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</si>
  <si>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</si>
  <si>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</si>
  <si>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</si>
  <si>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</si>
  <si>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</si>
  <si>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</si>
  <si>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</si>
  <si>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</si>
  <si>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</si>
  <si>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</si>
  <si>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</si>
  <si>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</si>
  <si>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</si>
  <si>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</si>
  <si>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</si>
  <si>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</si>
  <si>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</si>
  <si>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</si>
  <si>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</si>
  <si>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</si>
  <si>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</si>
  <si>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</si>
  <si>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</si>
  <si>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</si>
  <si>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</si>
  <si>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3240 West Springs Dr</t>
  </si>
  <si>
    <t>Ellicott City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</si>
  <si>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</si>
  <si>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</si>
  <si>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</si>
  <si>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</si>
  <si>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</si>
  <si>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</si>
  <si>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</si>
  <si>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</si>
  <si>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</si>
  <si>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</si>
  <si>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</si>
  <si>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</si>
  <si>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</si>
  <si>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</si>
  <si>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</si>
  <si>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</si>
  <si>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</si>
  <si>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</si>
  <si>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</si>
  <si>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</si>
  <si>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</si>
  <si>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</si>
  <si>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</si>
  <si>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</si>
  <si>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</si>
  <si>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</si>
  <si>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</si>
  <si>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</si>
  <si>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</si>
  <si>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</si>
  <si>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</si>
  <si>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</si>
  <si>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</si>
  <si>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</si>
  <si>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</si>
  <si>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</si>
  <si>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</si>
  <si>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</si>
  <si>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</si>
  <si>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</si>
  <si>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</si>
  <si>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</si>
  <si>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</si>
  <si>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</si>
  <si>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</si>
  <si>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</si>
  <si>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</si>
  <si>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</si>
  <si>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</si>
  <si>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</si>
  <si>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3212237493 EXT.</t>
  </si>
  <si>
    <t>Dental Premier</t>
  </si>
  <si>
    <t>ANNA</t>
  </si>
  <si>
    <t>CABOT</t>
  </si>
  <si>
    <t>1849 N Valley Rd</t>
  </si>
  <si>
    <t>Malvern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</si>
  <si>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</si>
  <si>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</si>
  <si>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</si>
  <si>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</si>
  <si>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</si>
  <si>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</si>
  <si>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</si>
  <si>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</si>
  <si>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</si>
  <si>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</si>
  <si>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</si>
  <si>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</si>
  <si>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</si>
  <si>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</si>
  <si>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</si>
  <si>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</si>
  <si>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</si>
  <si>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</si>
  <si>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Lemon</t>
  </si>
  <si>
    <t>Cathy</t>
  </si>
  <si>
    <t>XXX-XX-9298</t>
  </si>
  <si>
    <t>HELENE</t>
  </si>
  <si>
    <t>MOUDIO</t>
  </si>
  <si>
    <t>3904 Noyes Cir Apt 103</t>
  </si>
  <si>
    <t>Randallstown</t>
  </si>
  <si>
    <t>2023202556 EXT.</t>
  </si>
  <si>
    <t>DentalWise Max 3000</t>
  </si>
  <si>
    <t>DentalWise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</si>
  <si>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</si>
  <si>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</si>
  <si>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</si>
  <si>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</si>
  <si>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</si>
  <si>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</si>
  <si>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</si>
  <si>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</si>
  <si>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</si>
  <si>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</si>
  <si>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</si>
  <si>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</si>
  <si>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</si>
  <si>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</si>
  <si>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</si>
  <si>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</si>
  <si>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</si>
  <si>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</si>
  <si>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</si>
  <si>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</si>
  <si>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</si>
  <si>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</si>
  <si>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</si>
  <si>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</si>
  <si>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</si>
  <si>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</si>
  <si>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</si>
  <si>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</si>
  <si>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</si>
  <si>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</si>
  <si>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</si>
  <si>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</si>
  <si>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</si>
  <si>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</si>
  <si>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</si>
  <si>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</si>
  <si>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</si>
  <si>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</si>
  <si>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JOHN</t>
  </si>
  <si>
    <t>SONGER</t>
  </si>
  <si>
    <t>8051 Woodholme Cir</t>
  </si>
  <si>
    <t>Pasadena</t>
  </si>
  <si>
    <t>CASSANDRA</t>
  </si>
  <si>
    <t>KRAHAM</t>
  </si>
  <si>
    <t>1100 Ednor Rd</t>
  </si>
  <si>
    <t>Silver Spring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</si>
  <si>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</si>
  <si>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</si>
  <si>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</si>
  <si>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</si>
  <si>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</si>
  <si>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</si>
  <si>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</si>
  <si>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</si>
  <si>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</si>
  <si>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</si>
  <si>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</si>
  <si>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</si>
  <si>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</si>
  <si>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</si>
  <si>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</si>
  <si>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</si>
  <si>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</si>
  <si>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</si>
  <si>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</si>
  <si>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</si>
  <si>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</si>
  <si>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</si>
  <si>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</si>
  <si>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</si>
  <si>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</si>
  <si>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</si>
  <si>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</si>
  <si>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</si>
  <si>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</si>
  <si>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</si>
  <si>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</si>
  <si>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</si>
  <si>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</si>
  <si>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</si>
  <si>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</si>
  <si>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</si>
  <si>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</si>
  <si>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</si>
  <si>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</si>
  <si>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</si>
  <si>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</si>
  <si>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</si>
  <si>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</si>
  <si>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</si>
  <si>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</si>
  <si>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</si>
  <si>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</si>
  <si>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</si>
  <si>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394 Larose Dr</t>
  </si>
  <si>
    <t>Coatesville</t>
  </si>
  <si>
    <t>STEPHEN</t>
  </si>
  <si>
    <t>BIEGANSKI</t>
  </si>
  <si>
    <t>600 King Rd</t>
  </si>
  <si>
    <t>MILLER</t>
  </si>
  <si>
    <t>819 W 34th St</t>
  </si>
  <si>
    <t>MARYURI</t>
  </si>
  <si>
    <t>MEMBRENO NAVAS</t>
  </si>
  <si>
    <t>7527 Cypress Ave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</si>
  <si>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</si>
  <si>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</si>
  <si>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</si>
  <si>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</si>
  <si>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</si>
  <si>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</si>
  <si>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</si>
  <si>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</si>
  <si>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</si>
  <si>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</si>
  <si>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</si>
  <si>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ASHLEY</t>
  </si>
  <si>
    <t>SOUBIE</t>
  </si>
  <si>
    <t>2205 Byrnes Ct Apt A</t>
  </si>
  <si>
    <t>4104590992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</si>
  <si>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</si>
  <si>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</si>
  <si>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</si>
  <si>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</si>
  <si>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</si>
  <si>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</si>
  <si>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</si>
  <si>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</si>
  <si>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</si>
  <si>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ALYCEA</t>
  </si>
  <si>
    <t>RIVERA</t>
  </si>
  <si>
    <t>154 Elizabeth Ave</t>
  </si>
  <si>
    <t>Halethorpe</t>
  </si>
  <si>
    <t>4439420325 EXT.</t>
  </si>
  <si>
    <t>AUDREY</t>
  </si>
  <si>
    <t>ROZIER</t>
  </si>
  <si>
    <t>933 Oakmoor Dr</t>
  </si>
  <si>
    <t>4437645521 EXT.</t>
  </si>
  <si>
    <t>DentalWise Max 2000</t>
  </si>
  <si>
    <t>MATTHEW</t>
  </si>
  <si>
    <t>BOLIEK</t>
  </si>
  <si>
    <t>1405 Billman Ln</t>
  </si>
  <si>
    <t>2024209585 EXT.</t>
  </si>
  <si>
    <t>DentalWise Max 1000</t>
  </si>
  <si>
    <t>FREDERICK</t>
  </si>
  <si>
    <t>HUTCHINSON</t>
  </si>
  <si>
    <t>4285 Creeds Mill Pl</t>
  </si>
  <si>
    <t>Marbury</t>
  </si>
  <si>
    <t>3018484218 EXT.</t>
  </si>
  <si>
    <t>PAUL</t>
  </si>
  <si>
    <t>KOESTER</t>
  </si>
  <si>
    <t>113 Hall Dr</t>
  </si>
  <si>
    <t>Salisbury</t>
  </si>
  <si>
    <t>4432071148 EXT.</t>
  </si>
  <si>
    <t>ALEXIS</t>
  </si>
  <si>
    <t>DUKE</t>
  </si>
  <si>
    <t>727 Little New York Road</t>
  </si>
  <si>
    <t>Rising Sun</t>
  </si>
  <si>
    <t>4438340069 EXT.</t>
  </si>
  <si>
    <t>17425766old</t>
  </si>
  <si>
    <t>uhone Critical Life SafeGrd 20</t>
  </si>
  <si>
    <t>Uhone Guard Plan</t>
  </si>
  <si>
    <t>Uhone Accident ExpenseGuard</t>
  </si>
  <si>
    <t>Uhone Dental Premier</t>
  </si>
  <si>
    <t>UHONE dental premier*</t>
  </si>
  <si>
    <t>Uhone Dental Gen</t>
  </si>
  <si>
    <t>Uhone Dental Primary</t>
  </si>
  <si>
    <t>Uhone DentalWise 1000, 2000 (all states except CO, FL, NM, NV, RI, SD, WA) 18-64</t>
  </si>
  <si>
    <t>Uhone New Benefits Base</t>
  </si>
  <si>
    <t>Uhone Vision - DE, FL, IN, KY, MD, OH, NJ, SC, TN, VT</t>
  </si>
  <si>
    <t>Uhone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</si>
</sst>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3CAE-E5C0-4B41-9DB8-FD1F70603BF8}">
  <dimension ref="A1:AV57"/>
  <sheetViews>
    <sheetView workbookViewId="0">
      <selection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20250714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20250701</v>
      </c>
      <c r="AJ2" t="s">
        <v>63</v>
      </c>
      <c r="AK2" t="s">
        <v>63</v>
      </c>
      <c r="AL2">
        <v>1</v>
      </c>
      <c r="AM2">
        <v>20250704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20250714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>
        <v>21043</v>
      </c>
      <c r="AE3" t="s">
        <v>59</v>
      </c>
      <c r="AF3" t="s">
        <v>60</v>
      </c>
      <c r="AG3" t="s">
        <v>61</v>
      </c>
      <c r="AH3" t="s">
        <v>62</v>
      </c>
      <c r="AI3">
        <v>20250701</v>
      </c>
      <c r="AJ3" t="s">
        <v>63</v>
      </c>
      <c r="AK3" t="s">
        <v>63</v>
      </c>
      <c r="AL3">
        <v>1</v>
      </c>
      <c r="AM3">
        <v>20250704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20250714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70</v>
      </c>
      <c r="U4" t="s">
        <v>71</v>
      </c>
      <c r="W4" t="s">
        <v>72</v>
      </c>
      <c r="Z4" t="s">
        <v>73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20250701</v>
      </c>
      <c r="AJ4" t="s">
        <v>63</v>
      </c>
      <c r="AK4" t="s">
        <v>63</v>
      </c>
      <c r="AL4">
        <v>1</v>
      </c>
      <c r="AM4">
        <v>20250704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20250714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74</v>
      </c>
      <c r="U5" t="s">
        <v>75</v>
      </c>
      <c r="W5" t="s">
        <v>76</v>
      </c>
      <c r="Z5" t="s">
        <v>77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20250701</v>
      </c>
      <c r="AJ5" t="s">
        <v>63</v>
      </c>
      <c r="AK5" t="s">
        <v>63</v>
      </c>
      <c r="AL5">
        <v>2</v>
      </c>
      <c r="AM5">
        <v>20250704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20250714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3</v>
      </c>
      <c r="P6">
        <v>59</v>
      </c>
      <c r="Q6" t="s">
        <v>65</v>
      </c>
      <c r="R6" t="s">
        <v>65</v>
      </c>
      <c r="S6" t="s">
        <v>78</v>
      </c>
      <c r="U6" t="s">
        <v>79</v>
      </c>
      <c r="W6" t="s">
        <v>80</v>
      </c>
      <c r="Z6" t="s">
        <v>81</v>
      </c>
      <c r="AA6" t="s">
        <v>65</v>
      </c>
      <c r="AB6">
        <v>21219</v>
      </c>
      <c r="AE6" t="s">
        <v>59</v>
      </c>
      <c r="AF6" t="s">
        <v>60</v>
      </c>
      <c r="AG6" t="s">
        <v>61</v>
      </c>
      <c r="AH6" t="s">
        <v>62</v>
      </c>
      <c r="AI6">
        <v>20250701</v>
      </c>
      <c r="AJ6" t="s">
        <v>63</v>
      </c>
      <c r="AK6" t="s">
        <v>63</v>
      </c>
      <c r="AL6">
        <v>1</v>
      </c>
      <c r="AM6">
        <v>20250704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20250714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3</v>
      </c>
      <c r="P7">
        <v>66</v>
      </c>
      <c r="Q7" t="s">
        <v>65</v>
      </c>
      <c r="R7" t="s">
        <v>65</v>
      </c>
      <c r="S7" t="s">
        <v>82</v>
      </c>
      <c r="U7" t="s">
        <v>83</v>
      </c>
      <c r="W7" t="s">
        <v>84</v>
      </c>
      <c r="Z7" t="s">
        <v>85</v>
      </c>
      <c r="AA7" t="s">
        <v>65</v>
      </c>
      <c r="AB7">
        <v>21811</v>
      </c>
      <c r="AE7" t="s">
        <v>59</v>
      </c>
      <c r="AF7" t="s">
        <v>60</v>
      </c>
      <c r="AG7" t="s">
        <v>61</v>
      </c>
      <c r="AH7" t="s">
        <v>62</v>
      </c>
      <c r="AI7">
        <v>20250701</v>
      </c>
      <c r="AJ7" t="s">
        <v>63</v>
      </c>
      <c r="AK7" t="s">
        <v>63</v>
      </c>
      <c r="AL7">
        <v>1</v>
      </c>
      <c r="AM7">
        <v>20250704</v>
      </c>
      <c r="AN7">
        <v>10.4</v>
      </c>
      <c r="AO7">
        <v>10.4</v>
      </c>
      <c r="AP7" t="s">
        <v>63</v>
      </c>
      <c r="AS7">
        <v>100</v>
      </c>
      <c r="AT7">
        <v>0.42</v>
      </c>
      <c r="AU7">
        <v>4</v>
      </c>
      <c r="AV7" t="s">
        <v>64</v>
      </c>
    </row>
    <row r="8" spans="1:48" x14ac:dyDescent="0.25">
      <c r="A8" t="s">
        <v>48</v>
      </c>
      <c r="B8">
        <v>20250714</v>
      </c>
      <c r="C8" t="s">
        <v>49</v>
      </c>
      <c r="D8">
        <v>0</v>
      </c>
      <c r="E8">
        <v>20411454</v>
      </c>
      <c r="F8" t="s">
        <v>50</v>
      </c>
      <c r="G8" t="s">
        <v>51</v>
      </c>
      <c r="H8" t="s">
        <v>52</v>
      </c>
      <c r="I8" t="s">
        <v>53</v>
      </c>
      <c r="J8">
        <v>9079571</v>
      </c>
      <c r="K8">
        <v>441983893</v>
      </c>
      <c r="L8">
        <v>20230523</v>
      </c>
      <c r="M8">
        <v>20230522</v>
      </c>
      <c r="O8">
        <v>3</v>
      </c>
      <c r="P8">
        <v>66</v>
      </c>
      <c r="Q8" t="s">
        <v>65</v>
      </c>
      <c r="R8" t="s">
        <v>65</v>
      </c>
      <c r="S8" t="s">
        <v>86</v>
      </c>
      <c r="U8" t="s">
        <v>87</v>
      </c>
      <c r="W8" t="s">
        <v>88</v>
      </c>
      <c r="Z8" t="s">
        <v>89</v>
      </c>
      <c r="AA8" t="s">
        <v>65</v>
      </c>
      <c r="AB8">
        <v>21737</v>
      </c>
      <c r="AC8" t="s">
        <v>90</v>
      </c>
      <c r="AE8" t="s">
        <v>91</v>
      </c>
      <c r="AF8" t="s">
        <v>92</v>
      </c>
      <c r="AG8" t="s">
        <v>61</v>
      </c>
      <c r="AH8" t="s">
        <v>62</v>
      </c>
      <c r="AI8">
        <v>20250701</v>
      </c>
      <c r="AJ8" t="s">
        <v>63</v>
      </c>
      <c r="AK8" t="s">
        <v>63</v>
      </c>
      <c r="AL8">
        <v>2</v>
      </c>
      <c r="AM8">
        <v>20250710</v>
      </c>
      <c r="AN8">
        <v>147.07</v>
      </c>
      <c r="AO8">
        <v>147.07</v>
      </c>
      <c r="AP8" t="s">
        <v>63</v>
      </c>
      <c r="AS8">
        <v>100</v>
      </c>
      <c r="AT8">
        <v>7.35</v>
      </c>
      <c r="AU8">
        <v>5</v>
      </c>
      <c r="AV8" t="s">
        <v>64</v>
      </c>
    </row>
    <row r="9" spans="1:48" x14ac:dyDescent="0.25">
      <c r="A9" t="s">
        <v>48</v>
      </c>
      <c r="B9">
        <v>20250714</v>
      </c>
      <c r="C9" t="s">
        <v>49</v>
      </c>
      <c r="D9">
        <v>0</v>
      </c>
      <c r="E9">
        <v>20411454</v>
      </c>
      <c r="F9" t="s">
        <v>50</v>
      </c>
      <c r="G9" t="s">
        <v>93</v>
      </c>
      <c r="H9" t="s">
        <v>94</v>
      </c>
      <c r="I9" t="s">
        <v>95</v>
      </c>
      <c r="J9">
        <v>17425766</v>
      </c>
      <c r="K9">
        <v>441726411</v>
      </c>
      <c r="L9">
        <v>20230101</v>
      </c>
      <c r="M9">
        <v>20221221</v>
      </c>
      <c r="O9">
        <v>3</v>
      </c>
      <c r="P9">
        <v>64</v>
      </c>
      <c r="Q9" t="s">
        <v>96</v>
      </c>
      <c r="R9" t="s">
        <v>96</v>
      </c>
      <c r="S9" t="s">
        <v>97</v>
      </c>
      <c r="U9" t="s">
        <v>98</v>
      </c>
      <c r="W9" t="s">
        <v>99</v>
      </c>
      <c r="Z9" t="s">
        <v>100</v>
      </c>
      <c r="AA9" t="s">
        <v>96</v>
      </c>
      <c r="AB9">
        <v>19148</v>
      </c>
      <c r="AE9" t="s">
        <v>59</v>
      </c>
      <c r="AF9" t="s">
        <v>60</v>
      </c>
      <c r="AG9" t="s">
        <v>61</v>
      </c>
      <c r="AH9" t="s">
        <v>62</v>
      </c>
      <c r="AI9">
        <v>20250701</v>
      </c>
      <c r="AJ9" t="s">
        <v>63</v>
      </c>
      <c r="AK9" t="s">
        <v>63</v>
      </c>
      <c r="AL9">
        <v>0</v>
      </c>
      <c r="AM9">
        <v>20250704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20250714</v>
      </c>
      <c r="C10" t="s">
        <v>49</v>
      </c>
      <c r="D10">
        <v>0</v>
      </c>
      <c r="E10">
        <v>20411454</v>
      </c>
      <c r="F10" t="s">
        <v>50</v>
      </c>
      <c r="G10" t="s">
        <v>93</v>
      </c>
      <c r="H10" t="s">
        <v>94</v>
      </c>
      <c r="I10" t="s">
        <v>95</v>
      </c>
      <c r="J10">
        <v>17425766</v>
      </c>
      <c r="K10">
        <v>441853073</v>
      </c>
      <c r="L10">
        <v>20230302</v>
      </c>
      <c r="M10">
        <v>20230301</v>
      </c>
      <c r="O10">
        <v>3</v>
      </c>
      <c r="P10">
        <v>49</v>
      </c>
      <c r="Q10" t="s">
        <v>96</v>
      </c>
      <c r="R10" t="s">
        <v>96</v>
      </c>
      <c r="S10" t="s">
        <v>101</v>
      </c>
      <c r="U10" t="s">
        <v>102</v>
      </c>
      <c r="W10" t="s">
        <v>103</v>
      </c>
      <c r="Z10" t="s">
        <v>104</v>
      </c>
      <c r="AA10" t="s">
        <v>96</v>
      </c>
      <c r="AB10">
        <v>19460</v>
      </c>
      <c r="AE10" t="s">
        <v>59</v>
      </c>
      <c r="AF10" t="s">
        <v>60</v>
      </c>
      <c r="AG10" t="s">
        <v>61</v>
      </c>
      <c r="AH10" t="s">
        <v>62</v>
      </c>
      <c r="AI10">
        <v>20250701</v>
      </c>
      <c r="AJ10" t="s">
        <v>63</v>
      </c>
      <c r="AK10" t="s">
        <v>63</v>
      </c>
      <c r="AL10">
        <v>1</v>
      </c>
      <c r="AM10">
        <v>20250704</v>
      </c>
      <c r="AN10">
        <v>11.4</v>
      </c>
      <c r="AO10">
        <v>11.4</v>
      </c>
      <c r="AP10" t="s">
        <v>63</v>
      </c>
      <c r="AS10">
        <v>100</v>
      </c>
      <c r="AT10">
        <v>0.91</v>
      </c>
      <c r="AU10">
        <v>8</v>
      </c>
      <c r="AV10" t="s">
        <v>64</v>
      </c>
    </row>
    <row r="11" spans="1:48" x14ac:dyDescent="0.25">
      <c r="A11" t="s">
        <v>48</v>
      </c>
      <c r="B11">
        <v>20250714</v>
      </c>
      <c r="C11" t="s">
        <v>49</v>
      </c>
      <c r="D11">
        <v>0</v>
      </c>
      <c r="E11">
        <v>20411454</v>
      </c>
      <c r="F11" t="s">
        <v>50</v>
      </c>
      <c r="G11" t="s">
        <v>93</v>
      </c>
      <c r="H11" t="s">
        <v>94</v>
      </c>
      <c r="I11" t="s">
        <v>95</v>
      </c>
      <c r="J11">
        <v>17425766</v>
      </c>
      <c r="K11">
        <v>441952843</v>
      </c>
      <c r="L11">
        <v>20230503</v>
      </c>
      <c r="M11">
        <v>20230502</v>
      </c>
      <c r="O11">
        <v>3</v>
      </c>
      <c r="P11">
        <v>55</v>
      </c>
      <c r="Q11" t="s">
        <v>96</v>
      </c>
      <c r="R11" t="s">
        <v>96</v>
      </c>
      <c r="S11" t="s">
        <v>105</v>
      </c>
      <c r="U11" t="s">
        <v>106</v>
      </c>
      <c r="W11" t="s">
        <v>107</v>
      </c>
      <c r="Z11" t="s">
        <v>108</v>
      </c>
      <c r="AA11" t="s">
        <v>96</v>
      </c>
      <c r="AB11">
        <v>18960</v>
      </c>
      <c r="AE11" t="s">
        <v>109</v>
      </c>
      <c r="AF11" t="s">
        <v>110</v>
      </c>
      <c r="AG11" t="s">
        <v>61</v>
      </c>
      <c r="AH11" t="s">
        <v>62</v>
      </c>
      <c r="AI11">
        <v>20250701</v>
      </c>
      <c r="AJ11" t="s">
        <v>63</v>
      </c>
      <c r="AK11" t="s">
        <v>63</v>
      </c>
      <c r="AL11">
        <v>1</v>
      </c>
      <c r="AM11">
        <v>20250708</v>
      </c>
      <c r="AN11">
        <v>62.58</v>
      </c>
      <c r="AO11">
        <v>62.58</v>
      </c>
      <c r="AP11" t="s">
        <v>63</v>
      </c>
      <c r="AS11">
        <v>100</v>
      </c>
      <c r="AT11">
        <v>3.13</v>
      </c>
      <c r="AU11">
        <v>5</v>
      </c>
      <c r="AV11" t="s">
        <v>64</v>
      </c>
    </row>
    <row r="12" spans="1:48" x14ac:dyDescent="0.25">
      <c r="A12" t="s">
        <v>48</v>
      </c>
      <c r="B12">
        <v>20250714</v>
      </c>
      <c r="C12" t="s">
        <v>49</v>
      </c>
      <c r="D12">
        <v>0</v>
      </c>
      <c r="E12">
        <v>20411454</v>
      </c>
      <c r="F12" t="s">
        <v>50</v>
      </c>
      <c r="G12" t="s">
        <v>93</v>
      </c>
      <c r="H12" t="s">
        <v>94</v>
      </c>
      <c r="I12" t="s">
        <v>95</v>
      </c>
      <c r="J12">
        <v>17425766</v>
      </c>
      <c r="K12">
        <v>441913483</v>
      </c>
      <c r="L12">
        <v>20230601</v>
      </c>
      <c r="M12">
        <v>20230407</v>
      </c>
      <c r="O12">
        <v>3</v>
      </c>
      <c r="P12">
        <v>70</v>
      </c>
      <c r="Q12" t="s">
        <v>96</v>
      </c>
      <c r="R12" t="s">
        <v>96</v>
      </c>
      <c r="S12" t="s">
        <v>111</v>
      </c>
      <c r="U12" t="s">
        <v>112</v>
      </c>
      <c r="W12" t="s">
        <v>113</v>
      </c>
      <c r="Z12" t="s">
        <v>114</v>
      </c>
      <c r="AA12" t="s">
        <v>96</v>
      </c>
      <c r="AB12">
        <v>19001</v>
      </c>
      <c r="AE12" t="s">
        <v>59</v>
      </c>
      <c r="AF12" t="s">
        <v>60</v>
      </c>
      <c r="AG12" t="s">
        <v>61</v>
      </c>
      <c r="AH12" t="s">
        <v>62</v>
      </c>
      <c r="AI12">
        <v>20250701</v>
      </c>
      <c r="AJ12" t="s">
        <v>63</v>
      </c>
      <c r="AK12" t="s">
        <v>63</v>
      </c>
      <c r="AL12">
        <v>1</v>
      </c>
      <c r="AM12">
        <v>20250704</v>
      </c>
      <c r="AN12">
        <v>11.4</v>
      </c>
      <c r="AO12">
        <v>11.4</v>
      </c>
      <c r="AP12" t="s">
        <v>63</v>
      </c>
      <c r="AS12">
        <v>100</v>
      </c>
      <c r="AT12">
        <v>0.91</v>
      </c>
      <c r="AU12">
        <v>8</v>
      </c>
      <c r="AV12" t="s">
        <v>64</v>
      </c>
    </row>
    <row r="13" spans="1:48" x14ac:dyDescent="0.25">
      <c r="A13" t="s">
        <v>48</v>
      </c>
      <c r="B13">
        <v>20250714</v>
      </c>
      <c r="C13" t="s">
        <v>49</v>
      </c>
      <c r="D13">
        <v>0</v>
      </c>
      <c r="E13">
        <v>20411454</v>
      </c>
      <c r="F13" t="s">
        <v>50</v>
      </c>
      <c r="G13" t="s">
        <v>93</v>
      </c>
      <c r="H13" t="s">
        <v>94</v>
      </c>
      <c r="I13" t="s">
        <v>95</v>
      </c>
      <c r="J13">
        <v>17425766</v>
      </c>
      <c r="K13">
        <v>442047054</v>
      </c>
      <c r="L13">
        <v>20230701</v>
      </c>
      <c r="M13">
        <v>20230629</v>
      </c>
      <c r="O13">
        <v>3</v>
      </c>
      <c r="P13">
        <v>61</v>
      </c>
      <c r="Q13" t="s">
        <v>115</v>
      </c>
      <c r="R13" t="s">
        <v>115</v>
      </c>
      <c r="S13" t="s">
        <v>116</v>
      </c>
      <c r="U13" t="s">
        <v>117</v>
      </c>
      <c r="W13" t="s">
        <v>118</v>
      </c>
      <c r="Z13" t="s">
        <v>119</v>
      </c>
      <c r="AA13" t="s">
        <v>115</v>
      </c>
      <c r="AB13">
        <v>32796</v>
      </c>
      <c r="AC13" t="s">
        <v>120</v>
      </c>
      <c r="AE13" t="s">
        <v>121</v>
      </c>
      <c r="AF13" t="s">
        <v>92</v>
      </c>
      <c r="AG13" t="s">
        <v>61</v>
      </c>
      <c r="AH13" t="s">
        <v>62</v>
      </c>
      <c r="AI13">
        <v>20250701</v>
      </c>
      <c r="AJ13" t="s">
        <v>63</v>
      </c>
      <c r="AK13" t="s">
        <v>63</v>
      </c>
      <c r="AL13">
        <v>1</v>
      </c>
      <c r="AM13">
        <v>20250704</v>
      </c>
      <c r="AN13">
        <v>37.340000000000003</v>
      </c>
      <c r="AO13">
        <v>37.340000000000003</v>
      </c>
      <c r="AP13" t="s">
        <v>63</v>
      </c>
      <c r="AS13">
        <v>100</v>
      </c>
      <c r="AT13">
        <v>1.49</v>
      </c>
      <c r="AU13">
        <v>4</v>
      </c>
      <c r="AV13" t="s">
        <v>64</v>
      </c>
    </row>
    <row r="14" spans="1:48" x14ac:dyDescent="0.25">
      <c r="A14" t="s">
        <v>48</v>
      </c>
      <c r="B14">
        <v>20250714</v>
      </c>
      <c r="C14" t="s">
        <v>49</v>
      </c>
      <c r="D14">
        <v>0</v>
      </c>
      <c r="E14">
        <v>20411454</v>
      </c>
      <c r="F14" t="s">
        <v>50</v>
      </c>
      <c r="G14" t="s">
        <v>93</v>
      </c>
      <c r="H14" t="s">
        <v>94</v>
      </c>
      <c r="I14" t="s">
        <v>95</v>
      </c>
      <c r="J14">
        <v>17425766</v>
      </c>
      <c r="K14">
        <v>442293037</v>
      </c>
      <c r="L14">
        <v>20231121</v>
      </c>
      <c r="M14">
        <v>20231120</v>
      </c>
      <c r="O14">
        <v>2</v>
      </c>
      <c r="P14">
        <v>58</v>
      </c>
      <c r="Q14" t="s">
        <v>96</v>
      </c>
      <c r="R14" t="s">
        <v>96</v>
      </c>
      <c r="S14" t="s">
        <v>122</v>
      </c>
      <c r="U14" t="s">
        <v>123</v>
      </c>
      <c r="W14" t="s">
        <v>124</v>
      </c>
      <c r="Z14" t="s">
        <v>125</v>
      </c>
      <c r="AA14" t="s">
        <v>96</v>
      </c>
      <c r="AB14">
        <v>19355</v>
      </c>
      <c r="AE14" t="s">
        <v>59</v>
      </c>
      <c r="AF14" t="s">
        <v>60</v>
      </c>
      <c r="AG14" t="s">
        <v>61</v>
      </c>
      <c r="AH14" t="s">
        <v>62</v>
      </c>
      <c r="AI14">
        <v>20250701</v>
      </c>
      <c r="AJ14" t="s">
        <v>63</v>
      </c>
      <c r="AK14" t="s">
        <v>63</v>
      </c>
      <c r="AL14">
        <v>1</v>
      </c>
      <c r="AM14">
        <v>20250709</v>
      </c>
      <c r="AN14">
        <v>11.4</v>
      </c>
      <c r="AO14">
        <v>11.4</v>
      </c>
      <c r="AP14" t="s">
        <v>63</v>
      </c>
      <c r="AS14">
        <v>100</v>
      </c>
      <c r="AT14">
        <v>0.91</v>
      </c>
      <c r="AU14">
        <v>8</v>
      </c>
      <c r="AV14" t="s">
        <v>64</v>
      </c>
    </row>
    <row r="15" spans="1:48" x14ac:dyDescent="0.25">
      <c r="A15" t="s">
        <v>48</v>
      </c>
      <c r="B15">
        <v>20250714</v>
      </c>
      <c r="C15" t="s">
        <v>49</v>
      </c>
      <c r="D15">
        <v>0</v>
      </c>
      <c r="E15">
        <v>20411454</v>
      </c>
      <c r="F15" t="s">
        <v>50</v>
      </c>
      <c r="G15" t="s">
        <v>93</v>
      </c>
      <c r="H15" t="s">
        <v>94</v>
      </c>
      <c r="I15" t="s">
        <v>95</v>
      </c>
      <c r="J15">
        <v>17425766</v>
      </c>
      <c r="K15">
        <v>442268083</v>
      </c>
      <c r="L15">
        <v>20231201</v>
      </c>
      <c r="M15">
        <v>20231109</v>
      </c>
      <c r="O15">
        <v>2</v>
      </c>
      <c r="P15">
        <v>48</v>
      </c>
      <c r="Q15" t="s">
        <v>115</v>
      </c>
      <c r="R15" t="s">
        <v>115</v>
      </c>
      <c r="S15" t="s">
        <v>126</v>
      </c>
      <c r="U15" t="s">
        <v>127</v>
      </c>
      <c r="W15" t="s">
        <v>128</v>
      </c>
      <c r="Z15" t="s">
        <v>129</v>
      </c>
      <c r="AA15" t="s">
        <v>115</v>
      </c>
      <c r="AB15">
        <v>33076</v>
      </c>
      <c r="AC15" t="s">
        <v>130</v>
      </c>
      <c r="AE15" t="s">
        <v>131</v>
      </c>
      <c r="AF15" t="s">
        <v>132</v>
      </c>
      <c r="AG15" t="s">
        <v>61</v>
      </c>
      <c r="AH15" t="s">
        <v>62</v>
      </c>
      <c r="AI15">
        <v>20250701</v>
      </c>
      <c r="AJ15" t="s">
        <v>63</v>
      </c>
      <c r="AK15" t="s">
        <v>63</v>
      </c>
      <c r="AL15">
        <v>5</v>
      </c>
      <c r="AM15">
        <v>20250704</v>
      </c>
      <c r="AN15">
        <v>52.1</v>
      </c>
      <c r="AO15">
        <v>52.1</v>
      </c>
      <c r="AP15" t="s">
        <v>63</v>
      </c>
      <c r="AS15">
        <v>100</v>
      </c>
      <c r="AT15">
        <v>4.17</v>
      </c>
      <c r="AU15">
        <v>8</v>
      </c>
      <c r="AV15" t="s">
        <v>64</v>
      </c>
    </row>
    <row r="16" spans="1:48" x14ac:dyDescent="0.25">
      <c r="A16" t="s">
        <v>48</v>
      </c>
      <c r="B16">
        <v>20250714</v>
      </c>
      <c r="C16" t="s">
        <v>49</v>
      </c>
      <c r="D16">
        <v>0</v>
      </c>
      <c r="E16">
        <v>20411454</v>
      </c>
      <c r="F16" t="s">
        <v>50</v>
      </c>
      <c r="G16" t="s">
        <v>93</v>
      </c>
      <c r="H16" t="s">
        <v>94</v>
      </c>
      <c r="I16" t="s">
        <v>95</v>
      </c>
      <c r="J16">
        <v>17425766</v>
      </c>
      <c r="K16">
        <v>442268078</v>
      </c>
      <c r="L16">
        <v>20231201</v>
      </c>
      <c r="M16">
        <v>20231109</v>
      </c>
      <c r="O16">
        <v>2</v>
      </c>
      <c r="P16">
        <v>48</v>
      </c>
      <c r="Q16" t="s">
        <v>115</v>
      </c>
      <c r="R16" t="s">
        <v>115</v>
      </c>
      <c r="S16" t="s">
        <v>126</v>
      </c>
      <c r="U16" t="s">
        <v>127</v>
      </c>
      <c r="W16" t="s">
        <v>128</v>
      </c>
      <c r="Z16" t="s">
        <v>129</v>
      </c>
      <c r="AA16" t="s">
        <v>115</v>
      </c>
      <c r="AB16">
        <v>33076</v>
      </c>
      <c r="AC16" t="s">
        <v>130</v>
      </c>
      <c r="AE16" t="s">
        <v>133</v>
      </c>
      <c r="AF16" t="s">
        <v>92</v>
      </c>
      <c r="AG16" t="s">
        <v>61</v>
      </c>
      <c r="AH16" t="s">
        <v>62</v>
      </c>
      <c r="AI16">
        <v>20250701</v>
      </c>
      <c r="AJ16" t="s">
        <v>63</v>
      </c>
      <c r="AK16" t="s">
        <v>63</v>
      </c>
      <c r="AL16">
        <v>5</v>
      </c>
      <c r="AM16">
        <v>20250704</v>
      </c>
      <c r="AN16">
        <v>110.44</v>
      </c>
      <c r="AO16">
        <v>110.44</v>
      </c>
      <c r="AP16" t="s">
        <v>63</v>
      </c>
      <c r="AS16">
        <v>100</v>
      </c>
      <c r="AT16">
        <v>4.42</v>
      </c>
      <c r="AU16">
        <v>4</v>
      </c>
      <c r="AV16" t="s">
        <v>64</v>
      </c>
    </row>
    <row r="17" spans="1:48" x14ac:dyDescent="0.25">
      <c r="A17" t="s">
        <v>48</v>
      </c>
      <c r="B17">
        <v>20250714</v>
      </c>
      <c r="C17" t="s">
        <v>49</v>
      </c>
      <c r="D17">
        <v>0</v>
      </c>
      <c r="E17">
        <v>20411454</v>
      </c>
      <c r="F17" t="s">
        <v>50</v>
      </c>
      <c r="G17" t="s">
        <v>93</v>
      </c>
      <c r="H17" t="s">
        <v>94</v>
      </c>
      <c r="I17" t="s">
        <v>95</v>
      </c>
      <c r="J17">
        <v>17425766</v>
      </c>
      <c r="K17">
        <v>442268077</v>
      </c>
      <c r="L17">
        <v>20231201</v>
      </c>
      <c r="M17">
        <v>20231109</v>
      </c>
      <c r="O17">
        <v>2</v>
      </c>
      <c r="P17">
        <v>48</v>
      </c>
      <c r="Q17" t="s">
        <v>115</v>
      </c>
      <c r="R17" t="s">
        <v>115</v>
      </c>
      <c r="S17" t="s">
        <v>126</v>
      </c>
      <c r="U17" t="s">
        <v>127</v>
      </c>
      <c r="W17" t="s">
        <v>128</v>
      </c>
      <c r="Z17" t="s">
        <v>129</v>
      </c>
      <c r="AA17" t="s">
        <v>115</v>
      </c>
      <c r="AB17">
        <v>33076</v>
      </c>
      <c r="AE17" t="s">
        <v>59</v>
      </c>
      <c r="AF17" t="s">
        <v>60</v>
      </c>
      <c r="AG17" t="s">
        <v>61</v>
      </c>
      <c r="AH17" t="s">
        <v>62</v>
      </c>
      <c r="AI17">
        <v>20250701</v>
      </c>
      <c r="AJ17" t="s">
        <v>63</v>
      </c>
      <c r="AK17" t="s">
        <v>63</v>
      </c>
      <c r="AL17">
        <v>5</v>
      </c>
      <c r="AM17">
        <v>20250704</v>
      </c>
      <c r="AN17">
        <v>36.799999999999997</v>
      </c>
      <c r="AO17">
        <v>36.799999999999997</v>
      </c>
      <c r="AP17" t="s">
        <v>63</v>
      </c>
      <c r="AS17">
        <v>100</v>
      </c>
      <c r="AT17">
        <v>1.47</v>
      </c>
      <c r="AU17">
        <v>4</v>
      </c>
      <c r="AV17" t="s">
        <v>64</v>
      </c>
    </row>
    <row r="18" spans="1:48" x14ac:dyDescent="0.25">
      <c r="A18" t="s">
        <v>48</v>
      </c>
      <c r="B18">
        <v>20250714</v>
      </c>
      <c r="C18" t="s">
        <v>49</v>
      </c>
      <c r="D18">
        <v>0</v>
      </c>
      <c r="E18">
        <v>20411454</v>
      </c>
      <c r="F18" t="s">
        <v>50</v>
      </c>
      <c r="G18" t="s">
        <v>93</v>
      </c>
      <c r="H18" t="s">
        <v>94</v>
      </c>
      <c r="I18" t="s">
        <v>95</v>
      </c>
      <c r="J18">
        <v>17425766</v>
      </c>
      <c r="K18">
        <v>442363899</v>
      </c>
      <c r="L18">
        <v>20231214</v>
      </c>
      <c r="M18">
        <v>20231213</v>
      </c>
      <c r="O18">
        <v>2</v>
      </c>
      <c r="P18">
        <v>57</v>
      </c>
      <c r="Q18" t="s">
        <v>96</v>
      </c>
      <c r="R18" t="s">
        <v>96</v>
      </c>
      <c r="S18" t="s">
        <v>134</v>
      </c>
      <c r="U18" t="s">
        <v>135</v>
      </c>
      <c r="W18" t="s">
        <v>136</v>
      </c>
      <c r="Z18" t="s">
        <v>137</v>
      </c>
      <c r="AA18" t="s">
        <v>96</v>
      </c>
      <c r="AB18">
        <v>19428</v>
      </c>
      <c r="AE18" t="s">
        <v>59</v>
      </c>
      <c r="AF18" t="s">
        <v>60</v>
      </c>
      <c r="AG18" t="s">
        <v>61</v>
      </c>
      <c r="AH18" t="s">
        <v>62</v>
      </c>
      <c r="AI18">
        <v>20250701</v>
      </c>
      <c r="AJ18" t="s">
        <v>63</v>
      </c>
      <c r="AK18" t="s">
        <v>63</v>
      </c>
      <c r="AL18">
        <v>1</v>
      </c>
      <c r="AM18">
        <v>20250709</v>
      </c>
      <c r="AN18">
        <v>11.4</v>
      </c>
      <c r="AO18">
        <v>11.4</v>
      </c>
      <c r="AP18" t="s">
        <v>63</v>
      </c>
      <c r="AS18">
        <v>100</v>
      </c>
      <c r="AT18">
        <v>0.91</v>
      </c>
      <c r="AU18">
        <v>8</v>
      </c>
      <c r="AV18" t="s">
        <v>64</v>
      </c>
    </row>
    <row r="19" spans="1:48" x14ac:dyDescent="0.25">
      <c r="A19" t="s">
        <v>48</v>
      </c>
      <c r="B19">
        <v>20250714</v>
      </c>
      <c r="C19" t="s">
        <v>49</v>
      </c>
      <c r="D19">
        <v>0</v>
      </c>
      <c r="E19">
        <v>20411454</v>
      </c>
      <c r="F19" t="s">
        <v>50</v>
      </c>
      <c r="G19" t="s">
        <v>93</v>
      </c>
      <c r="H19" t="s">
        <v>94</v>
      </c>
      <c r="I19" t="s">
        <v>95</v>
      </c>
      <c r="J19">
        <v>17425766</v>
      </c>
      <c r="K19">
        <v>442477122</v>
      </c>
      <c r="L19">
        <v>20240206</v>
      </c>
      <c r="M19">
        <v>20240205</v>
      </c>
      <c r="O19">
        <v>2</v>
      </c>
      <c r="P19">
        <v>67</v>
      </c>
      <c r="Q19" t="s">
        <v>96</v>
      </c>
      <c r="R19" t="s">
        <v>96</v>
      </c>
      <c r="S19" t="s">
        <v>138</v>
      </c>
      <c r="U19" t="s">
        <v>139</v>
      </c>
      <c r="W19" t="s">
        <v>140</v>
      </c>
      <c r="Z19" t="s">
        <v>141</v>
      </c>
      <c r="AA19" t="s">
        <v>96</v>
      </c>
      <c r="AB19">
        <v>19010</v>
      </c>
      <c r="AE19" t="s">
        <v>142</v>
      </c>
      <c r="AF19" t="s">
        <v>143</v>
      </c>
      <c r="AG19" t="s">
        <v>61</v>
      </c>
      <c r="AH19" t="s">
        <v>62</v>
      </c>
      <c r="AI19">
        <v>20250701</v>
      </c>
      <c r="AJ19" t="s">
        <v>63</v>
      </c>
      <c r="AK19" t="s">
        <v>63</v>
      </c>
      <c r="AL19">
        <v>1</v>
      </c>
      <c r="AM19">
        <v>20250709</v>
      </c>
      <c r="AN19">
        <v>13.28</v>
      </c>
      <c r="AO19">
        <v>13.28</v>
      </c>
      <c r="AP19" t="s">
        <v>63</v>
      </c>
      <c r="AS19">
        <v>100</v>
      </c>
      <c r="AT19">
        <v>0.93</v>
      </c>
      <c r="AU19">
        <v>7</v>
      </c>
      <c r="AV19" t="s">
        <v>64</v>
      </c>
    </row>
    <row r="20" spans="1:48" x14ac:dyDescent="0.25">
      <c r="A20" t="s">
        <v>48</v>
      </c>
      <c r="B20">
        <v>20250714</v>
      </c>
      <c r="C20" t="s">
        <v>49</v>
      </c>
      <c r="D20">
        <v>0</v>
      </c>
      <c r="E20">
        <v>20411454</v>
      </c>
      <c r="F20" t="s">
        <v>50</v>
      </c>
      <c r="G20" t="s">
        <v>144</v>
      </c>
      <c r="H20" t="s">
        <v>145</v>
      </c>
      <c r="I20" t="s">
        <v>146</v>
      </c>
      <c r="J20">
        <v>17195620</v>
      </c>
      <c r="K20">
        <v>442624391</v>
      </c>
      <c r="L20">
        <v>20240424</v>
      </c>
      <c r="M20">
        <v>20240423</v>
      </c>
      <c r="O20">
        <v>2</v>
      </c>
      <c r="P20">
        <v>40</v>
      </c>
      <c r="Q20" t="s">
        <v>65</v>
      </c>
      <c r="R20" t="s">
        <v>65</v>
      </c>
      <c r="S20" t="s">
        <v>147</v>
      </c>
      <c r="U20" t="s">
        <v>148</v>
      </c>
      <c r="W20" t="s">
        <v>149</v>
      </c>
      <c r="Z20" t="s">
        <v>150</v>
      </c>
      <c r="AA20" t="s">
        <v>65</v>
      </c>
      <c r="AB20">
        <v>21133</v>
      </c>
      <c r="AC20" t="s">
        <v>151</v>
      </c>
      <c r="AE20" t="s">
        <v>152</v>
      </c>
      <c r="AF20" t="s">
        <v>153</v>
      </c>
      <c r="AG20" t="s">
        <v>61</v>
      </c>
      <c r="AH20" t="s">
        <v>62</v>
      </c>
      <c r="AI20">
        <v>20250701</v>
      </c>
      <c r="AJ20" t="s">
        <v>63</v>
      </c>
      <c r="AK20" t="s">
        <v>63</v>
      </c>
      <c r="AL20">
        <v>1</v>
      </c>
      <c r="AM20">
        <v>20250710</v>
      </c>
      <c r="AN20">
        <v>55.3</v>
      </c>
      <c r="AO20">
        <v>55.3</v>
      </c>
      <c r="AP20" t="s">
        <v>63</v>
      </c>
      <c r="AS20">
        <v>100</v>
      </c>
      <c r="AT20">
        <v>3.87</v>
      </c>
      <c r="AU20">
        <v>7</v>
      </c>
      <c r="AV20" t="s">
        <v>64</v>
      </c>
    </row>
    <row r="21" spans="1:48" x14ac:dyDescent="0.25">
      <c r="A21" t="s">
        <v>48</v>
      </c>
      <c r="B21">
        <v>20250714</v>
      </c>
      <c r="C21" t="s">
        <v>49</v>
      </c>
      <c r="D21">
        <v>0</v>
      </c>
      <c r="E21">
        <v>20411454</v>
      </c>
      <c r="F21" t="s">
        <v>50</v>
      </c>
      <c r="G21" t="s">
        <v>154</v>
      </c>
      <c r="H21" t="s">
        <v>155</v>
      </c>
      <c r="I21" t="s">
        <v>156</v>
      </c>
      <c r="J21">
        <v>15278437</v>
      </c>
      <c r="K21">
        <v>441696456</v>
      </c>
      <c r="L21">
        <v>20221213</v>
      </c>
      <c r="M21">
        <v>20221212</v>
      </c>
      <c r="O21">
        <v>3</v>
      </c>
      <c r="P21">
        <v>36</v>
      </c>
      <c r="Q21" t="s">
        <v>96</v>
      </c>
      <c r="R21" t="s">
        <v>96</v>
      </c>
      <c r="S21" t="s">
        <v>157</v>
      </c>
      <c r="U21" t="s">
        <v>158</v>
      </c>
      <c r="W21" t="s">
        <v>159</v>
      </c>
      <c r="Z21" t="s">
        <v>160</v>
      </c>
      <c r="AA21" t="s">
        <v>96</v>
      </c>
      <c r="AB21">
        <v>19382</v>
      </c>
      <c r="AE21" t="s">
        <v>59</v>
      </c>
      <c r="AF21" t="s">
        <v>60</v>
      </c>
      <c r="AG21" t="s">
        <v>61</v>
      </c>
      <c r="AH21" t="s">
        <v>62</v>
      </c>
      <c r="AI21">
        <v>20250701</v>
      </c>
      <c r="AJ21" t="s">
        <v>63</v>
      </c>
      <c r="AK21" t="s">
        <v>63</v>
      </c>
      <c r="AL21">
        <v>0</v>
      </c>
      <c r="AM21">
        <v>20250709</v>
      </c>
      <c r="AN21">
        <v>11.4</v>
      </c>
      <c r="AO21">
        <v>11.4</v>
      </c>
      <c r="AP21" t="s">
        <v>63</v>
      </c>
      <c r="AS21">
        <v>100</v>
      </c>
      <c r="AT21">
        <v>0.91</v>
      </c>
      <c r="AU21">
        <v>8</v>
      </c>
      <c r="AV21" t="s">
        <v>64</v>
      </c>
    </row>
    <row r="22" spans="1:48" x14ac:dyDescent="0.25">
      <c r="A22" t="s">
        <v>48</v>
      </c>
      <c r="B22">
        <v>20250714</v>
      </c>
      <c r="C22" t="s">
        <v>49</v>
      </c>
      <c r="D22">
        <v>0</v>
      </c>
      <c r="E22">
        <v>20411454</v>
      </c>
      <c r="F22" t="s">
        <v>50</v>
      </c>
      <c r="G22" t="s">
        <v>154</v>
      </c>
      <c r="H22" t="s">
        <v>155</v>
      </c>
      <c r="I22" t="s">
        <v>156</v>
      </c>
      <c r="J22">
        <v>15278437</v>
      </c>
      <c r="K22">
        <v>441699275</v>
      </c>
      <c r="L22">
        <v>20221214</v>
      </c>
      <c r="M22">
        <v>20221213</v>
      </c>
      <c r="O22">
        <v>3</v>
      </c>
      <c r="P22">
        <v>28</v>
      </c>
      <c r="Q22" t="s">
        <v>96</v>
      </c>
      <c r="R22" t="s">
        <v>96</v>
      </c>
      <c r="S22" t="s">
        <v>161</v>
      </c>
      <c r="U22" t="s">
        <v>162</v>
      </c>
      <c r="W22" t="s">
        <v>163</v>
      </c>
      <c r="Z22" t="s">
        <v>104</v>
      </c>
      <c r="AA22" t="s">
        <v>96</v>
      </c>
      <c r="AB22">
        <v>19460</v>
      </c>
      <c r="AE22" t="s">
        <v>131</v>
      </c>
      <c r="AF22" t="s">
        <v>132</v>
      </c>
      <c r="AG22" t="s">
        <v>61</v>
      </c>
      <c r="AH22" t="s">
        <v>62</v>
      </c>
      <c r="AI22">
        <v>20250701</v>
      </c>
      <c r="AJ22" t="s">
        <v>63</v>
      </c>
      <c r="AK22" t="s">
        <v>63</v>
      </c>
      <c r="AL22">
        <v>0</v>
      </c>
      <c r="AM22">
        <v>20250709</v>
      </c>
      <c r="AN22">
        <v>34.94</v>
      </c>
      <c r="AO22">
        <v>34.94</v>
      </c>
      <c r="AP22" t="s">
        <v>63</v>
      </c>
      <c r="AS22">
        <v>100</v>
      </c>
      <c r="AT22">
        <v>2.8</v>
      </c>
      <c r="AU22">
        <v>8</v>
      </c>
      <c r="AV22" t="s">
        <v>64</v>
      </c>
    </row>
    <row r="23" spans="1:48" x14ac:dyDescent="0.25">
      <c r="A23" t="s">
        <v>48</v>
      </c>
      <c r="B23">
        <v>20250714</v>
      </c>
      <c r="C23" t="s">
        <v>49</v>
      </c>
      <c r="D23">
        <v>0</v>
      </c>
      <c r="E23">
        <v>20411454</v>
      </c>
      <c r="F23" t="s">
        <v>50</v>
      </c>
      <c r="G23" t="s">
        <v>154</v>
      </c>
      <c r="H23" t="s">
        <v>155</v>
      </c>
      <c r="I23" t="s">
        <v>156</v>
      </c>
      <c r="J23">
        <v>15278437</v>
      </c>
      <c r="K23">
        <v>442249622</v>
      </c>
      <c r="L23">
        <v>20231103</v>
      </c>
      <c r="M23">
        <v>20231102</v>
      </c>
      <c r="O23">
        <v>2</v>
      </c>
      <c r="P23">
        <v>60</v>
      </c>
      <c r="Q23" t="s">
        <v>164</v>
      </c>
      <c r="R23" t="s">
        <v>164</v>
      </c>
      <c r="S23" t="s">
        <v>165</v>
      </c>
      <c r="U23" t="s">
        <v>166</v>
      </c>
      <c r="W23" t="s">
        <v>167</v>
      </c>
      <c r="Z23" t="s">
        <v>168</v>
      </c>
      <c r="AA23" t="s">
        <v>164</v>
      </c>
      <c r="AB23">
        <v>44720</v>
      </c>
      <c r="AC23" t="s">
        <v>169</v>
      </c>
      <c r="AE23" t="s">
        <v>133</v>
      </c>
      <c r="AF23" t="s">
        <v>92</v>
      </c>
      <c r="AG23" t="s">
        <v>61</v>
      </c>
      <c r="AH23" t="s">
        <v>62</v>
      </c>
      <c r="AI23">
        <v>20250701</v>
      </c>
      <c r="AJ23" t="s">
        <v>63</v>
      </c>
      <c r="AK23" t="s">
        <v>63</v>
      </c>
      <c r="AL23">
        <v>1</v>
      </c>
      <c r="AM23">
        <v>20250708</v>
      </c>
      <c r="AN23">
        <v>21.81</v>
      </c>
      <c r="AO23">
        <v>21.81</v>
      </c>
      <c r="AP23" t="s">
        <v>63</v>
      </c>
      <c r="AS23">
        <v>100</v>
      </c>
      <c r="AT23">
        <v>0.87</v>
      </c>
      <c r="AU23">
        <v>4</v>
      </c>
      <c r="AV23" t="s">
        <v>64</v>
      </c>
    </row>
    <row r="24" spans="1:48" x14ac:dyDescent="0.25">
      <c r="A24" t="s">
        <v>48</v>
      </c>
      <c r="B24">
        <v>20250714</v>
      </c>
      <c r="C24" t="s">
        <v>49</v>
      </c>
      <c r="D24">
        <v>0</v>
      </c>
      <c r="E24">
        <v>20411454</v>
      </c>
      <c r="F24" t="s">
        <v>50</v>
      </c>
      <c r="G24" t="s">
        <v>170</v>
      </c>
      <c r="H24" t="s">
        <v>171</v>
      </c>
      <c r="I24" t="s">
        <v>172</v>
      </c>
      <c r="J24">
        <v>20436896</v>
      </c>
      <c r="K24">
        <v>441769366</v>
      </c>
      <c r="L24">
        <v>20230124</v>
      </c>
      <c r="M24">
        <v>20230113</v>
      </c>
      <c r="O24">
        <v>3</v>
      </c>
      <c r="P24">
        <v>53</v>
      </c>
      <c r="Q24" t="s">
        <v>173</v>
      </c>
      <c r="R24" t="s">
        <v>173</v>
      </c>
      <c r="S24" t="s">
        <v>174</v>
      </c>
      <c r="U24" t="s">
        <v>175</v>
      </c>
      <c r="W24" t="s">
        <v>176</v>
      </c>
      <c r="Z24" t="s">
        <v>177</v>
      </c>
      <c r="AA24" t="s">
        <v>173</v>
      </c>
      <c r="AB24">
        <v>29112</v>
      </c>
      <c r="AE24" t="s">
        <v>178</v>
      </c>
      <c r="AF24" t="s">
        <v>179</v>
      </c>
      <c r="AG24" t="s">
        <v>61</v>
      </c>
      <c r="AH24" t="s">
        <v>62</v>
      </c>
      <c r="AI24">
        <v>20250701</v>
      </c>
      <c r="AJ24" t="s">
        <v>63</v>
      </c>
      <c r="AK24" t="s">
        <v>63</v>
      </c>
      <c r="AL24">
        <v>1</v>
      </c>
      <c r="AM24">
        <v>20250710</v>
      </c>
      <c r="AN24">
        <v>25</v>
      </c>
      <c r="AO24">
        <v>25</v>
      </c>
      <c r="AP24" t="s">
        <v>63</v>
      </c>
      <c r="AS24">
        <v>100</v>
      </c>
      <c r="AT24">
        <v>5</v>
      </c>
      <c r="AU24">
        <v>20</v>
      </c>
      <c r="AV24" t="s">
        <v>64</v>
      </c>
    </row>
    <row r="25" spans="1:48" x14ac:dyDescent="0.25">
      <c r="A25" t="s">
        <v>48</v>
      </c>
      <c r="B25">
        <v>20250714</v>
      </c>
      <c r="C25" t="s">
        <v>49</v>
      </c>
      <c r="D25">
        <v>0</v>
      </c>
      <c r="E25">
        <v>20411454</v>
      </c>
      <c r="F25" t="s">
        <v>50</v>
      </c>
      <c r="G25" t="s">
        <v>180</v>
      </c>
      <c r="H25" t="s">
        <v>181</v>
      </c>
      <c r="I25" t="s">
        <v>182</v>
      </c>
      <c r="J25">
        <v>13496370</v>
      </c>
      <c r="K25">
        <v>442370248</v>
      </c>
      <c r="L25">
        <v>20231215</v>
      </c>
      <c r="M25">
        <v>20231214</v>
      </c>
      <c r="O25">
        <v>2</v>
      </c>
      <c r="P25">
        <v>62</v>
      </c>
      <c r="Q25" t="s">
        <v>183</v>
      </c>
      <c r="R25" t="s">
        <v>65</v>
      </c>
      <c r="S25" t="s">
        <v>184</v>
      </c>
      <c r="U25" t="s">
        <v>185</v>
      </c>
      <c r="W25" t="s">
        <v>186</v>
      </c>
      <c r="Z25" t="s">
        <v>187</v>
      </c>
      <c r="AA25" t="s">
        <v>183</v>
      </c>
      <c r="AB25">
        <v>27517</v>
      </c>
      <c r="AC25" t="s">
        <v>188</v>
      </c>
      <c r="AE25" t="s">
        <v>59</v>
      </c>
      <c r="AF25" t="s">
        <v>60</v>
      </c>
      <c r="AG25" t="s">
        <v>61</v>
      </c>
      <c r="AH25" t="s">
        <v>62</v>
      </c>
      <c r="AI25">
        <v>20250701</v>
      </c>
      <c r="AJ25" t="s">
        <v>63</v>
      </c>
      <c r="AK25" t="s">
        <v>63</v>
      </c>
      <c r="AL25">
        <v>1</v>
      </c>
      <c r="AM25">
        <v>20250709</v>
      </c>
      <c r="AN25">
        <v>10.4</v>
      </c>
      <c r="AO25">
        <v>10.4</v>
      </c>
      <c r="AP25" t="s">
        <v>63</v>
      </c>
      <c r="AS25">
        <v>100</v>
      </c>
      <c r="AT25">
        <v>0.42</v>
      </c>
      <c r="AU25">
        <v>4</v>
      </c>
      <c r="AV25" t="s">
        <v>64</v>
      </c>
    </row>
    <row r="26" spans="1:48" x14ac:dyDescent="0.25">
      <c r="A26" t="s">
        <v>48</v>
      </c>
      <c r="B26">
        <v>20250714</v>
      </c>
      <c r="C26" t="s">
        <v>49</v>
      </c>
      <c r="D26">
        <v>0</v>
      </c>
      <c r="E26">
        <v>20411454</v>
      </c>
      <c r="F26" t="s">
        <v>50</v>
      </c>
      <c r="G26" t="s">
        <v>189</v>
      </c>
      <c r="H26" t="s">
        <v>190</v>
      </c>
      <c r="I26" t="s">
        <v>191</v>
      </c>
      <c r="J26">
        <v>20697692</v>
      </c>
      <c r="K26">
        <v>442037493</v>
      </c>
      <c r="L26">
        <v>20230701</v>
      </c>
      <c r="M26">
        <v>20230624</v>
      </c>
      <c r="O26">
        <v>3</v>
      </c>
      <c r="P26">
        <v>70</v>
      </c>
      <c r="Q26" t="s">
        <v>65</v>
      </c>
      <c r="R26" t="s">
        <v>65</v>
      </c>
      <c r="S26" t="s">
        <v>192</v>
      </c>
      <c r="U26" t="s">
        <v>193</v>
      </c>
      <c r="W26" t="s">
        <v>194</v>
      </c>
      <c r="Z26" t="s">
        <v>195</v>
      </c>
      <c r="AA26" t="s">
        <v>65</v>
      </c>
      <c r="AB26">
        <v>21122</v>
      </c>
      <c r="AE26" t="s">
        <v>59</v>
      </c>
      <c r="AF26" t="s">
        <v>60</v>
      </c>
      <c r="AG26" t="s">
        <v>61</v>
      </c>
      <c r="AH26" t="s">
        <v>62</v>
      </c>
      <c r="AI26">
        <v>20250701</v>
      </c>
      <c r="AJ26" t="s">
        <v>63</v>
      </c>
      <c r="AK26" t="s">
        <v>63</v>
      </c>
      <c r="AL26">
        <v>2</v>
      </c>
      <c r="AM26">
        <v>20250704</v>
      </c>
      <c r="AN26">
        <v>17</v>
      </c>
      <c r="AO26">
        <v>17</v>
      </c>
      <c r="AP26" t="s">
        <v>63</v>
      </c>
      <c r="AS26">
        <v>100</v>
      </c>
      <c r="AT26">
        <v>0.68</v>
      </c>
      <c r="AU26">
        <v>4</v>
      </c>
      <c r="AV26" t="s">
        <v>64</v>
      </c>
    </row>
    <row r="27" spans="1:48" x14ac:dyDescent="0.25">
      <c r="A27" t="s">
        <v>48</v>
      </c>
      <c r="B27">
        <v>20250714</v>
      </c>
      <c r="C27" t="s">
        <v>49</v>
      </c>
      <c r="D27">
        <v>0</v>
      </c>
      <c r="E27">
        <v>20411454</v>
      </c>
      <c r="F27" t="s">
        <v>50</v>
      </c>
      <c r="G27" t="s">
        <v>189</v>
      </c>
      <c r="H27" t="s">
        <v>190</v>
      </c>
      <c r="I27" t="s">
        <v>191</v>
      </c>
      <c r="J27">
        <v>20697692</v>
      </c>
      <c r="K27">
        <v>442099791</v>
      </c>
      <c r="L27">
        <v>20230803</v>
      </c>
      <c r="M27">
        <v>20230802</v>
      </c>
      <c r="O27">
        <v>2</v>
      </c>
      <c r="P27">
        <v>55</v>
      </c>
      <c r="Q27" t="s">
        <v>65</v>
      </c>
      <c r="R27" t="s">
        <v>65</v>
      </c>
      <c r="S27" t="s">
        <v>196</v>
      </c>
      <c r="U27" t="s">
        <v>197</v>
      </c>
      <c r="W27" t="s">
        <v>198</v>
      </c>
      <c r="Z27" t="s">
        <v>199</v>
      </c>
      <c r="AA27" t="s">
        <v>65</v>
      </c>
      <c r="AB27">
        <v>20905</v>
      </c>
      <c r="AE27" t="s">
        <v>59</v>
      </c>
      <c r="AF27" t="s">
        <v>60</v>
      </c>
      <c r="AG27" t="s">
        <v>61</v>
      </c>
      <c r="AH27" t="s">
        <v>62</v>
      </c>
      <c r="AI27">
        <v>20250701</v>
      </c>
      <c r="AJ27" t="s">
        <v>63</v>
      </c>
      <c r="AK27" t="s">
        <v>63</v>
      </c>
      <c r="AL27">
        <v>1</v>
      </c>
      <c r="AM27">
        <v>20250708</v>
      </c>
      <c r="AN27">
        <v>10.4</v>
      </c>
      <c r="AO27">
        <v>10.4</v>
      </c>
      <c r="AP27" t="s">
        <v>63</v>
      </c>
      <c r="AS27">
        <v>100</v>
      </c>
      <c r="AT27">
        <v>0.42</v>
      </c>
      <c r="AU27">
        <v>4</v>
      </c>
      <c r="AV27" t="s">
        <v>64</v>
      </c>
    </row>
    <row r="28" spans="1:48" x14ac:dyDescent="0.25">
      <c r="A28" t="s">
        <v>48</v>
      </c>
      <c r="B28">
        <v>20250714</v>
      </c>
      <c r="C28" t="s">
        <v>49</v>
      </c>
      <c r="D28">
        <v>0</v>
      </c>
      <c r="E28">
        <v>20411454</v>
      </c>
      <c r="F28" t="s">
        <v>50</v>
      </c>
      <c r="G28" t="s">
        <v>189</v>
      </c>
      <c r="H28" t="s">
        <v>190</v>
      </c>
      <c r="I28" t="s">
        <v>191</v>
      </c>
      <c r="J28">
        <v>20697692</v>
      </c>
      <c r="K28">
        <v>442236865</v>
      </c>
      <c r="L28">
        <v>20231101</v>
      </c>
      <c r="M28">
        <v>20231027</v>
      </c>
      <c r="O28">
        <v>2</v>
      </c>
      <c r="P28">
        <v>52</v>
      </c>
      <c r="Q28" t="s">
        <v>65</v>
      </c>
      <c r="R28" t="s">
        <v>65</v>
      </c>
      <c r="S28" t="s">
        <v>161</v>
      </c>
      <c r="U28" t="s">
        <v>200</v>
      </c>
      <c r="W28" t="s">
        <v>201</v>
      </c>
      <c r="Z28" t="s">
        <v>202</v>
      </c>
      <c r="AA28" t="s">
        <v>65</v>
      </c>
      <c r="AB28">
        <v>21704</v>
      </c>
      <c r="AE28" t="s">
        <v>59</v>
      </c>
      <c r="AF28" t="s">
        <v>60</v>
      </c>
      <c r="AG28" t="s">
        <v>61</v>
      </c>
      <c r="AH28" t="s">
        <v>62</v>
      </c>
      <c r="AI28">
        <v>20250701</v>
      </c>
      <c r="AJ28" t="s">
        <v>63</v>
      </c>
      <c r="AK28" t="s">
        <v>63</v>
      </c>
      <c r="AL28">
        <v>2</v>
      </c>
      <c r="AM28">
        <v>20250704</v>
      </c>
      <c r="AN28">
        <v>17</v>
      </c>
      <c r="AO28">
        <v>17</v>
      </c>
      <c r="AP28" t="s">
        <v>63</v>
      </c>
      <c r="AS28">
        <v>100</v>
      </c>
      <c r="AT28">
        <v>0.68</v>
      </c>
      <c r="AU28">
        <v>4</v>
      </c>
      <c r="AV28" t="s">
        <v>64</v>
      </c>
    </row>
    <row r="29" spans="1:48" x14ac:dyDescent="0.25">
      <c r="A29" t="s">
        <v>48</v>
      </c>
      <c r="B29">
        <v>20250714</v>
      </c>
      <c r="C29" t="s">
        <v>49</v>
      </c>
      <c r="D29">
        <v>0</v>
      </c>
      <c r="E29">
        <v>20411454</v>
      </c>
      <c r="F29" t="s">
        <v>50</v>
      </c>
      <c r="G29" t="s">
        <v>189</v>
      </c>
      <c r="H29" t="s">
        <v>190</v>
      </c>
      <c r="I29" t="s">
        <v>191</v>
      </c>
      <c r="J29">
        <v>20697692</v>
      </c>
      <c r="K29">
        <v>442249792</v>
      </c>
      <c r="L29">
        <v>20231103</v>
      </c>
      <c r="M29">
        <v>20231102</v>
      </c>
      <c r="O29">
        <v>2</v>
      </c>
      <c r="P29">
        <v>62</v>
      </c>
      <c r="Q29" t="s">
        <v>65</v>
      </c>
      <c r="R29" t="s">
        <v>65</v>
      </c>
      <c r="S29" t="s">
        <v>203</v>
      </c>
      <c r="U29" t="s">
        <v>204</v>
      </c>
      <c r="W29" t="s">
        <v>205</v>
      </c>
      <c r="Z29" t="s">
        <v>206</v>
      </c>
      <c r="AA29" t="s">
        <v>65</v>
      </c>
      <c r="AB29">
        <v>21013</v>
      </c>
      <c r="AE29" t="s">
        <v>59</v>
      </c>
      <c r="AF29" t="s">
        <v>60</v>
      </c>
      <c r="AG29" t="s">
        <v>61</v>
      </c>
      <c r="AH29" t="s">
        <v>62</v>
      </c>
      <c r="AI29">
        <v>20250701</v>
      </c>
      <c r="AJ29" t="s">
        <v>63</v>
      </c>
      <c r="AK29" t="s">
        <v>63</v>
      </c>
      <c r="AL29">
        <v>1</v>
      </c>
      <c r="AM29">
        <v>20250708</v>
      </c>
      <c r="AN29">
        <v>10.4</v>
      </c>
      <c r="AO29">
        <v>10.4</v>
      </c>
      <c r="AP29" t="s">
        <v>63</v>
      </c>
      <c r="AS29">
        <v>100</v>
      </c>
      <c r="AT29">
        <v>0.42</v>
      </c>
      <c r="AU29">
        <v>4</v>
      </c>
      <c r="AV29" t="s">
        <v>64</v>
      </c>
    </row>
    <row r="30" spans="1:48" x14ac:dyDescent="0.25">
      <c r="A30" t="s">
        <v>48</v>
      </c>
      <c r="B30">
        <v>20250714</v>
      </c>
      <c r="C30" t="s">
        <v>49</v>
      </c>
      <c r="D30">
        <v>0</v>
      </c>
      <c r="E30">
        <v>20411454</v>
      </c>
      <c r="F30" t="s">
        <v>50</v>
      </c>
      <c r="G30" t="s">
        <v>189</v>
      </c>
      <c r="H30" t="s">
        <v>190</v>
      </c>
      <c r="I30" t="s">
        <v>191</v>
      </c>
      <c r="J30">
        <v>20697692</v>
      </c>
      <c r="K30">
        <v>442352338</v>
      </c>
      <c r="L30">
        <v>20231211</v>
      </c>
      <c r="M30">
        <v>20231210</v>
      </c>
      <c r="O30">
        <v>2</v>
      </c>
      <c r="P30">
        <v>52</v>
      </c>
      <c r="Q30" t="s">
        <v>65</v>
      </c>
      <c r="R30" t="s">
        <v>65</v>
      </c>
      <c r="S30" t="s">
        <v>207</v>
      </c>
      <c r="U30" t="s">
        <v>185</v>
      </c>
      <c r="W30" t="s">
        <v>208</v>
      </c>
      <c r="Z30" t="s">
        <v>73</v>
      </c>
      <c r="AA30" t="s">
        <v>65</v>
      </c>
      <c r="AB30">
        <v>21234</v>
      </c>
      <c r="AE30" t="s">
        <v>59</v>
      </c>
      <c r="AF30" t="s">
        <v>60</v>
      </c>
      <c r="AG30" t="s">
        <v>61</v>
      </c>
      <c r="AH30" t="s">
        <v>62</v>
      </c>
      <c r="AI30">
        <v>20250701</v>
      </c>
      <c r="AJ30" t="s">
        <v>63</v>
      </c>
      <c r="AK30" t="s">
        <v>63</v>
      </c>
      <c r="AL30">
        <v>1</v>
      </c>
      <c r="AM30">
        <v>20250709</v>
      </c>
      <c r="AN30">
        <v>10.4</v>
      </c>
      <c r="AO30">
        <v>10.4</v>
      </c>
      <c r="AP30" t="s">
        <v>63</v>
      </c>
      <c r="AS30">
        <v>100</v>
      </c>
      <c r="AT30">
        <v>0.42</v>
      </c>
      <c r="AU30">
        <v>4</v>
      </c>
      <c r="AV30" t="s">
        <v>64</v>
      </c>
    </row>
    <row r="31" spans="1:48" x14ac:dyDescent="0.25">
      <c r="A31" t="s">
        <v>48</v>
      </c>
      <c r="B31">
        <v>20250714</v>
      </c>
      <c r="C31" t="s">
        <v>49</v>
      </c>
      <c r="D31">
        <v>0</v>
      </c>
      <c r="E31">
        <v>20411454</v>
      </c>
      <c r="F31" t="s">
        <v>50</v>
      </c>
      <c r="G31" t="s">
        <v>189</v>
      </c>
      <c r="H31" t="s">
        <v>190</v>
      </c>
      <c r="I31" t="s">
        <v>191</v>
      </c>
      <c r="J31">
        <v>20697692</v>
      </c>
      <c r="K31">
        <v>442352316</v>
      </c>
      <c r="L31">
        <v>20231211</v>
      </c>
      <c r="M31">
        <v>20231210</v>
      </c>
      <c r="O31">
        <v>2</v>
      </c>
      <c r="P31">
        <v>52</v>
      </c>
      <c r="Q31" t="s">
        <v>65</v>
      </c>
      <c r="R31" t="s">
        <v>65</v>
      </c>
      <c r="S31" t="s">
        <v>207</v>
      </c>
      <c r="U31" t="s">
        <v>185</v>
      </c>
      <c r="W31" t="s">
        <v>208</v>
      </c>
      <c r="Z31" t="s">
        <v>73</v>
      </c>
      <c r="AA31" t="s">
        <v>65</v>
      </c>
      <c r="AB31">
        <v>21234</v>
      </c>
      <c r="AE31" t="s">
        <v>209</v>
      </c>
      <c r="AF31" t="s">
        <v>110</v>
      </c>
      <c r="AG31" t="s">
        <v>61</v>
      </c>
      <c r="AH31" t="s">
        <v>62</v>
      </c>
      <c r="AI31">
        <v>20250701</v>
      </c>
      <c r="AJ31" t="s">
        <v>63</v>
      </c>
      <c r="AK31" t="s">
        <v>63</v>
      </c>
      <c r="AL31">
        <v>1</v>
      </c>
      <c r="AM31">
        <v>20250709</v>
      </c>
      <c r="AN31">
        <v>35.049999999999997</v>
      </c>
      <c r="AO31">
        <v>35.049999999999997</v>
      </c>
      <c r="AP31" t="s">
        <v>63</v>
      </c>
      <c r="AS31">
        <v>100</v>
      </c>
      <c r="AT31">
        <v>2.4500000000000002</v>
      </c>
      <c r="AU31">
        <v>7</v>
      </c>
      <c r="AV31" t="s">
        <v>64</v>
      </c>
    </row>
    <row r="32" spans="1:48" x14ac:dyDescent="0.25">
      <c r="A32" t="s">
        <v>48</v>
      </c>
      <c r="B32">
        <v>20250714</v>
      </c>
      <c r="C32" t="s">
        <v>49</v>
      </c>
      <c r="D32">
        <v>0</v>
      </c>
      <c r="E32">
        <v>20411454</v>
      </c>
      <c r="F32" t="s">
        <v>50</v>
      </c>
      <c r="G32" t="s">
        <v>189</v>
      </c>
      <c r="H32" t="s">
        <v>190</v>
      </c>
      <c r="I32" t="s">
        <v>191</v>
      </c>
      <c r="J32">
        <v>20697692</v>
      </c>
      <c r="K32">
        <v>442352294</v>
      </c>
      <c r="L32">
        <v>20231211</v>
      </c>
      <c r="M32">
        <v>20231210</v>
      </c>
      <c r="O32">
        <v>2</v>
      </c>
      <c r="P32">
        <v>52</v>
      </c>
      <c r="Q32" t="s">
        <v>65</v>
      </c>
      <c r="R32" t="s">
        <v>65</v>
      </c>
      <c r="S32" t="s">
        <v>207</v>
      </c>
      <c r="U32" t="s">
        <v>185</v>
      </c>
      <c r="W32" t="s">
        <v>208</v>
      </c>
      <c r="Z32" t="s">
        <v>73</v>
      </c>
      <c r="AA32" t="s">
        <v>65</v>
      </c>
      <c r="AB32">
        <v>21234</v>
      </c>
      <c r="AC32" t="s">
        <v>210</v>
      </c>
      <c r="AE32" t="s">
        <v>121</v>
      </c>
      <c r="AF32" t="s">
        <v>92</v>
      </c>
      <c r="AG32" t="s">
        <v>61</v>
      </c>
      <c r="AH32" t="s">
        <v>62</v>
      </c>
      <c r="AI32">
        <v>20250701</v>
      </c>
      <c r="AJ32" t="s">
        <v>63</v>
      </c>
      <c r="AK32" t="s">
        <v>63</v>
      </c>
      <c r="AL32">
        <v>1</v>
      </c>
      <c r="AM32">
        <v>20250709</v>
      </c>
      <c r="AN32">
        <v>43.6</v>
      </c>
      <c r="AO32">
        <v>43.6</v>
      </c>
      <c r="AP32" t="s">
        <v>63</v>
      </c>
      <c r="AS32">
        <v>100</v>
      </c>
      <c r="AT32">
        <v>6.54</v>
      </c>
      <c r="AU32">
        <v>15</v>
      </c>
      <c r="AV32" t="s">
        <v>64</v>
      </c>
    </row>
    <row r="33" spans="1:48" x14ac:dyDescent="0.25">
      <c r="A33" t="s">
        <v>48</v>
      </c>
      <c r="B33">
        <v>20250714</v>
      </c>
      <c r="C33" t="s">
        <v>49</v>
      </c>
      <c r="D33">
        <v>0</v>
      </c>
      <c r="E33">
        <v>20411454</v>
      </c>
      <c r="F33" t="s">
        <v>50</v>
      </c>
      <c r="G33" t="s">
        <v>189</v>
      </c>
      <c r="H33" t="s">
        <v>190</v>
      </c>
      <c r="I33" t="s">
        <v>191</v>
      </c>
      <c r="J33">
        <v>20697692</v>
      </c>
      <c r="K33">
        <v>442361305</v>
      </c>
      <c r="L33">
        <v>20231213</v>
      </c>
      <c r="M33">
        <v>20231212</v>
      </c>
      <c r="O33">
        <v>2</v>
      </c>
      <c r="P33">
        <v>54</v>
      </c>
      <c r="Q33" t="s">
        <v>65</v>
      </c>
      <c r="R33" t="s">
        <v>65</v>
      </c>
      <c r="S33" t="s">
        <v>211</v>
      </c>
      <c r="U33" t="s">
        <v>212</v>
      </c>
      <c r="W33" t="s">
        <v>213</v>
      </c>
      <c r="Z33" t="s">
        <v>214</v>
      </c>
      <c r="AA33" t="s">
        <v>65</v>
      </c>
      <c r="AB33">
        <v>20706</v>
      </c>
      <c r="AE33" t="s">
        <v>59</v>
      </c>
      <c r="AF33" t="s">
        <v>60</v>
      </c>
      <c r="AG33" t="s">
        <v>61</v>
      </c>
      <c r="AH33" t="s">
        <v>62</v>
      </c>
      <c r="AI33">
        <v>20250701</v>
      </c>
      <c r="AJ33" t="s">
        <v>63</v>
      </c>
      <c r="AK33" t="s">
        <v>63</v>
      </c>
      <c r="AL33">
        <v>2</v>
      </c>
      <c r="AM33">
        <v>20250709</v>
      </c>
      <c r="AN33">
        <v>17</v>
      </c>
      <c r="AO33">
        <v>17</v>
      </c>
      <c r="AP33" t="s">
        <v>63</v>
      </c>
      <c r="AS33">
        <v>100</v>
      </c>
      <c r="AT33">
        <v>0.68</v>
      </c>
      <c r="AU33">
        <v>4</v>
      </c>
      <c r="AV33" t="s">
        <v>64</v>
      </c>
    </row>
    <row r="34" spans="1:48" x14ac:dyDescent="0.25">
      <c r="A34" t="s">
        <v>48</v>
      </c>
      <c r="B34">
        <v>20250714</v>
      </c>
      <c r="C34" t="s">
        <v>49</v>
      </c>
      <c r="D34">
        <v>0</v>
      </c>
      <c r="E34">
        <v>20411454</v>
      </c>
      <c r="F34" t="s">
        <v>50</v>
      </c>
      <c r="G34" t="s">
        <v>189</v>
      </c>
      <c r="H34" t="s">
        <v>190</v>
      </c>
      <c r="I34" t="s">
        <v>191</v>
      </c>
      <c r="J34">
        <v>20697692</v>
      </c>
      <c r="K34">
        <v>442332365</v>
      </c>
      <c r="L34">
        <v>20231215</v>
      </c>
      <c r="M34">
        <v>20231205</v>
      </c>
      <c r="O34">
        <v>2</v>
      </c>
      <c r="P34">
        <v>59</v>
      </c>
      <c r="Q34" t="s">
        <v>65</v>
      </c>
      <c r="R34" t="s">
        <v>65</v>
      </c>
      <c r="S34" t="s">
        <v>215</v>
      </c>
      <c r="U34" t="s">
        <v>216</v>
      </c>
      <c r="W34" t="s">
        <v>213</v>
      </c>
      <c r="Z34" t="s">
        <v>214</v>
      </c>
      <c r="AA34" t="s">
        <v>65</v>
      </c>
      <c r="AB34">
        <v>20706</v>
      </c>
      <c r="AC34" t="s">
        <v>217</v>
      </c>
      <c r="AE34" t="s">
        <v>121</v>
      </c>
      <c r="AF34" t="s">
        <v>92</v>
      </c>
      <c r="AG34" t="s">
        <v>61</v>
      </c>
      <c r="AH34" t="s">
        <v>62</v>
      </c>
      <c r="AI34">
        <v>20250701</v>
      </c>
      <c r="AJ34" t="s">
        <v>63</v>
      </c>
      <c r="AK34" t="s">
        <v>63</v>
      </c>
      <c r="AL34">
        <v>2</v>
      </c>
      <c r="AM34">
        <v>20250709</v>
      </c>
      <c r="AN34">
        <v>102.55</v>
      </c>
      <c r="AO34">
        <v>102.55</v>
      </c>
      <c r="AP34" t="s">
        <v>63</v>
      </c>
      <c r="AS34">
        <v>100</v>
      </c>
      <c r="AT34">
        <v>15.38</v>
      </c>
      <c r="AU34">
        <v>15</v>
      </c>
      <c r="AV34" t="s">
        <v>64</v>
      </c>
    </row>
    <row r="35" spans="1:48" x14ac:dyDescent="0.25">
      <c r="A35" t="s">
        <v>48</v>
      </c>
      <c r="B35">
        <v>20250714</v>
      </c>
      <c r="C35" t="s">
        <v>49</v>
      </c>
      <c r="D35">
        <v>0</v>
      </c>
      <c r="E35">
        <v>20411454</v>
      </c>
      <c r="F35" t="s">
        <v>50</v>
      </c>
      <c r="G35" t="s">
        <v>189</v>
      </c>
      <c r="H35" t="s">
        <v>190</v>
      </c>
      <c r="I35" t="s">
        <v>191</v>
      </c>
      <c r="J35">
        <v>20697692</v>
      </c>
      <c r="K35">
        <v>442288978</v>
      </c>
      <c r="L35">
        <v>20240101</v>
      </c>
      <c r="M35">
        <v>20231117</v>
      </c>
      <c r="O35">
        <v>2</v>
      </c>
      <c r="P35">
        <v>63</v>
      </c>
      <c r="Q35" t="s">
        <v>65</v>
      </c>
      <c r="R35" t="s">
        <v>65</v>
      </c>
      <c r="S35" t="s">
        <v>218</v>
      </c>
      <c r="U35" t="s">
        <v>219</v>
      </c>
      <c r="W35" t="s">
        <v>220</v>
      </c>
      <c r="Z35" t="s">
        <v>221</v>
      </c>
      <c r="AA35" t="s">
        <v>65</v>
      </c>
      <c r="AB35">
        <v>21014</v>
      </c>
      <c r="AE35" t="s">
        <v>59</v>
      </c>
      <c r="AF35" t="s">
        <v>60</v>
      </c>
      <c r="AG35" t="s">
        <v>61</v>
      </c>
      <c r="AH35" t="s">
        <v>62</v>
      </c>
      <c r="AI35">
        <v>20250701</v>
      </c>
      <c r="AJ35" t="s">
        <v>63</v>
      </c>
      <c r="AK35" t="s">
        <v>63</v>
      </c>
      <c r="AL35">
        <v>1</v>
      </c>
      <c r="AM35">
        <v>20250704</v>
      </c>
      <c r="AN35">
        <v>10.4</v>
      </c>
      <c r="AO35">
        <v>10.4</v>
      </c>
      <c r="AP35" t="s">
        <v>63</v>
      </c>
      <c r="AS35">
        <v>100</v>
      </c>
      <c r="AT35">
        <v>0.42</v>
      </c>
      <c r="AU35">
        <v>4</v>
      </c>
      <c r="AV35" t="s">
        <v>64</v>
      </c>
    </row>
    <row r="36" spans="1:48" x14ac:dyDescent="0.25">
      <c r="A36" t="s">
        <v>48</v>
      </c>
      <c r="B36">
        <v>20250714</v>
      </c>
      <c r="C36" t="s">
        <v>49</v>
      </c>
      <c r="D36">
        <v>0</v>
      </c>
      <c r="E36">
        <v>20411454</v>
      </c>
      <c r="F36" t="s">
        <v>50</v>
      </c>
      <c r="G36" t="s">
        <v>51</v>
      </c>
      <c r="H36" t="s">
        <v>222</v>
      </c>
      <c r="I36" t="s">
        <v>223</v>
      </c>
      <c r="J36">
        <v>16509456</v>
      </c>
      <c r="K36">
        <v>441862448</v>
      </c>
      <c r="L36">
        <v>20230401</v>
      </c>
      <c r="M36">
        <v>20230307</v>
      </c>
      <c r="O36">
        <v>3</v>
      </c>
      <c r="P36">
        <v>61</v>
      </c>
      <c r="Q36" t="s">
        <v>96</v>
      </c>
      <c r="R36" t="s">
        <v>96</v>
      </c>
      <c r="S36" t="s">
        <v>224</v>
      </c>
      <c r="U36" t="s">
        <v>225</v>
      </c>
      <c r="W36" t="s">
        <v>226</v>
      </c>
      <c r="Z36" t="s">
        <v>227</v>
      </c>
      <c r="AA36" t="s">
        <v>96</v>
      </c>
      <c r="AB36">
        <v>19372</v>
      </c>
      <c r="AC36" t="s">
        <v>228</v>
      </c>
      <c r="AE36" t="s">
        <v>121</v>
      </c>
      <c r="AF36" t="s">
        <v>92</v>
      </c>
      <c r="AG36" t="s">
        <v>61</v>
      </c>
      <c r="AH36" t="s">
        <v>62</v>
      </c>
      <c r="AI36">
        <v>20250701</v>
      </c>
      <c r="AJ36" t="s">
        <v>63</v>
      </c>
      <c r="AK36" t="s">
        <v>63</v>
      </c>
      <c r="AL36">
        <v>1</v>
      </c>
      <c r="AM36">
        <v>20250704</v>
      </c>
      <c r="AN36">
        <v>45.49</v>
      </c>
      <c r="AO36">
        <v>45.49</v>
      </c>
      <c r="AP36" t="s">
        <v>63</v>
      </c>
      <c r="AS36">
        <v>100</v>
      </c>
      <c r="AT36">
        <v>1.82</v>
      </c>
      <c r="AU36">
        <v>4</v>
      </c>
      <c r="AV36" t="s">
        <v>64</v>
      </c>
    </row>
    <row r="37" spans="1:48" x14ac:dyDescent="0.25">
      <c r="A37" t="s">
        <v>48</v>
      </c>
      <c r="B37">
        <v>20250714</v>
      </c>
      <c r="C37" t="s">
        <v>49</v>
      </c>
      <c r="D37">
        <v>0</v>
      </c>
      <c r="E37">
        <v>20411454</v>
      </c>
      <c r="F37" t="s">
        <v>50</v>
      </c>
      <c r="G37" t="s">
        <v>51</v>
      </c>
      <c r="H37" t="s">
        <v>222</v>
      </c>
      <c r="I37" t="s">
        <v>223</v>
      </c>
      <c r="J37">
        <v>16509456</v>
      </c>
      <c r="K37">
        <v>441991771</v>
      </c>
      <c r="L37">
        <v>20230601</v>
      </c>
      <c r="M37">
        <v>20230526</v>
      </c>
      <c r="O37">
        <v>3</v>
      </c>
      <c r="P37">
        <v>64</v>
      </c>
      <c r="Q37" t="s">
        <v>96</v>
      </c>
      <c r="R37" t="s">
        <v>96</v>
      </c>
      <c r="S37" t="s">
        <v>229</v>
      </c>
      <c r="U37" t="s">
        <v>230</v>
      </c>
      <c r="W37" t="s">
        <v>231</v>
      </c>
      <c r="X37" t="s">
        <v>232</v>
      </c>
      <c r="Z37" t="s">
        <v>233</v>
      </c>
      <c r="AA37" t="s">
        <v>96</v>
      </c>
      <c r="AB37" t="s">
        <v>234</v>
      </c>
      <c r="AC37" t="s">
        <v>235</v>
      </c>
      <c r="AE37" t="s">
        <v>91</v>
      </c>
      <c r="AF37" t="s">
        <v>92</v>
      </c>
      <c r="AG37" t="s">
        <v>61</v>
      </c>
      <c r="AH37" t="s">
        <v>62</v>
      </c>
      <c r="AI37">
        <v>20250701</v>
      </c>
      <c r="AJ37" t="s">
        <v>63</v>
      </c>
      <c r="AK37" t="s">
        <v>63</v>
      </c>
      <c r="AL37">
        <v>1</v>
      </c>
      <c r="AM37">
        <v>20250704</v>
      </c>
      <c r="AN37">
        <v>72.19</v>
      </c>
      <c r="AO37">
        <v>72.19</v>
      </c>
      <c r="AP37" t="s">
        <v>63</v>
      </c>
      <c r="AS37">
        <v>100</v>
      </c>
      <c r="AT37">
        <v>3.61</v>
      </c>
      <c r="AU37">
        <v>5</v>
      </c>
      <c r="AV37" t="s">
        <v>64</v>
      </c>
    </row>
    <row r="38" spans="1:48" x14ac:dyDescent="0.25">
      <c r="A38" t="s">
        <v>48</v>
      </c>
      <c r="B38">
        <v>20250714</v>
      </c>
      <c r="C38" t="s">
        <v>49</v>
      </c>
      <c r="D38">
        <v>0</v>
      </c>
      <c r="E38">
        <v>20411454</v>
      </c>
      <c r="F38" t="s">
        <v>50</v>
      </c>
      <c r="G38" t="s">
        <v>51</v>
      </c>
      <c r="H38" t="s">
        <v>222</v>
      </c>
      <c r="I38" t="s">
        <v>223</v>
      </c>
      <c r="J38">
        <v>16509456</v>
      </c>
      <c r="K38">
        <v>442096371</v>
      </c>
      <c r="L38">
        <v>20230801</v>
      </c>
      <c r="M38">
        <v>20230731</v>
      </c>
      <c r="O38">
        <v>2</v>
      </c>
      <c r="P38">
        <v>43</v>
      </c>
      <c r="Q38" t="s">
        <v>65</v>
      </c>
      <c r="R38" t="s">
        <v>65</v>
      </c>
      <c r="S38" t="s">
        <v>236</v>
      </c>
      <c r="U38" t="s">
        <v>237</v>
      </c>
      <c r="W38" t="s">
        <v>238</v>
      </c>
      <c r="Z38" t="s">
        <v>239</v>
      </c>
      <c r="AA38" t="s">
        <v>65</v>
      </c>
      <c r="AB38">
        <v>20874</v>
      </c>
      <c r="AE38" t="s">
        <v>59</v>
      </c>
      <c r="AF38" t="s">
        <v>60</v>
      </c>
      <c r="AG38" t="s">
        <v>61</v>
      </c>
      <c r="AH38" t="s">
        <v>62</v>
      </c>
      <c r="AI38">
        <v>20250701</v>
      </c>
      <c r="AJ38" t="s">
        <v>63</v>
      </c>
      <c r="AK38" t="s">
        <v>63</v>
      </c>
      <c r="AL38">
        <v>1</v>
      </c>
      <c r="AM38">
        <v>20250704</v>
      </c>
      <c r="AN38">
        <v>10.4</v>
      </c>
      <c r="AO38">
        <v>10.4</v>
      </c>
      <c r="AP38" t="s">
        <v>63</v>
      </c>
      <c r="AS38">
        <v>100</v>
      </c>
      <c r="AT38">
        <v>0.42</v>
      </c>
      <c r="AU38">
        <v>4</v>
      </c>
      <c r="AV38" t="s">
        <v>64</v>
      </c>
    </row>
    <row r="39" spans="1:48" x14ac:dyDescent="0.25">
      <c r="A39" t="s">
        <v>48</v>
      </c>
      <c r="B39">
        <v>20250714</v>
      </c>
      <c r="C39" t="s">
        <v>49</v>
      </c>
      <c r="D39">
        <v>0</v>
      </c>
      <c r="E39">
        <v>20411454</v>
      </c>
      <c r="F39" t="s">
        <v>50</v>
      </c>
      <c r="G39" t="s">
        <v>51</v>
      </c>
      <c r="H39" t="s">
        <v>222</v>
      </c>
      <c r="I39" t="s">
        <v>223</v>
      </c>
      <c r="J39">
        <v>16509456</v>
      </c>
      <c r="K39">
        <v>442271715</v>
      </c>
      <c r="L39">
        <v>20231111</v>
      </c>
      <c r="M39">
        <v>20231110</v>
      </c>
      <c r="O39">
        <v>2</v>
      </c>
      <c r="P39">
        <v>64</v>
      </c>
      <c r="Q39" t="s">
        <v>65</v>
      </c>
      <c r="R39" t="s">
        <v>65</v>
      </c>
      <c r="S39" t="s">
        <v>240</v>
      </c>
      <c r="U39" t="s">
        <v>241</v>
      </c>
      <c r="W39" t="s">
        <v>242</v>
      </c>
      <c r="Z39" t="s">
        <v>243</v>
      </c>
      <c r="AA39" t="s">
        <v>65</v>
      </c>
      <c r="AB39" t="s">
        <v>244</v>
      </c>
      <c r="AC39" t="s">
        <v>245</v>
      </c>
      <c r="AE39" t="s">
        <v>59</v>
      </c>
      <c r="AF39" t="s">
        <v>60</v>
      </c>
      <c r="AG39" t="s">
        <v>61</v>
      </c>
      <c r="AH39" t="s">
        <v>62</v>
      </c>
      <c r="AI39">
        <v>20250701</v>
      </c>
      <c r="AJ39" t="s">
        <v>63</v>
      </c>
      <c r="AK39" t="s">
        <v>63</v>
      </c>
      <c r="AL39">
        <v>2</v>
      </c>
      <c r="AM39">
        <v>20250709</v>
      </c>
      <c r="AN39">
        <v>17</v>
      </c>
      <c r="AO39">
        <v>17</v>
      </c>
      <c r="AP39" t="s">
        <v>63</v>
      </c>
      <c r="AS39">
        <v>100</v>
      </c>
      <c r="AT39">
        <v>0.68</v>
      </c>
      <c r="AU39">
        <v>4</v>
      </c>
      <c r="AV39" t="s">
        <v>64</v>
      </c>
    </row>
    <row r="40" spans="1:48" x14ac:dyDescent="0.25">
      <c r="A40" t="s">
        <v>48</v>
      </c>
      <c r="B40">
        <v>20250714</v>
      </c>
      <c r="C40" t="s">
        <v>49</v>
      </c>
      <c r="D40">
        <v>0</v>
      </c>
      <c r="E40">
        <v>20411454</v>
      </c>
      <c r="F40" t="s">
        <v>50</v>
      </c>
      <c r="G40" t="s">
        <v>51</v>
      </c>
      <c r="H40" t="s">
        <v>222</v>
      </c>
      <c r="I40" t="s">
        <v>223</v>
      </c>
      <c r="J40">
        <v>16509456</v>
      </c>
      <c r="K40">
        <v>442289311</v>
      </c>
      <c r="L40">
        <v>20231118</v>
      </c>
      <c r="M40">
        <v>20231117</v>
      </c>
      <c r="O40">
        <v>2</v>
      </c>
      <c r="P40">
        <v>57</v>
      </c>
      <c r="Q40" t="s">
        <v>96</v>
      </c>
      <c r="R40" t="s">
        <v>96</v>
      </c>
      <c r="S40" t="s">
        <v>246</v>
      </c>
      <c r="U40" t="s">
        <v>247</v>
      </c>
      <c r="W40" t="s">
        <v>248</v>
      </c>
      <c r="Z40" t="s">
        <v>249</v>
      </c>
      <c r="AA40" t="s">
        <v>96</v>
      </c>
      <c r="AB40">
        <v>19320</v>
      </c>
      <c r="AE40" t="s">
        <v>59</v>
      </c>
      <c r="AF40" t="s">
        <v>60</v>
      </c>
      <c r="AG40" t="s">
        <v>61</v>
      </c>
      <c r="AH40" t="s">
        <v>62</v>
      </c>
      <c r="AI40">
        <v>20250701</v>
      </c>
      <c r="AJ40" t="s">
        <v>63</v>
      </c>
      <c r="AK40" t="s">
        <v>63</v>
      </c>
      <c r="AL40">
        <v>1</v>
      </c>
      <c r="AM40">
        <v>20250709</v>
      </c>
      <c r="AN40">
        <v>15.7</v>
      </c>
      <c r="AO40">
        <v>15.7</v>
      </c>
      <c r="AP40" t="s">
        <v>63</v>
      </c>
      <c r="AS40">
        <v>100</v>
      </c>
      <c r="AT40">
        <v>1.26</v>
      </c>
      <c r="AU40">
        <v>8</v>
      </c>
      <c r="AV40" t="s">
        <v>64</v>
      </c>
    </row>
    <row r="41" spans="1:48" x14ac:dyDescent="0.25">
      <c r="A41" t="s">
        <v>48</v>
      </c>
      <c r="B41">
        <v>20250714</v>
      </c>
      <c r="C41" t="s">
        <v>49</v>
      </c>
      <c r="D41">
        <v>0</v>
      </c>
      <c r="E41">
        <v>20411454</v>
      </c>
      <c r="F41" t="s">
        <v>50</v>
      </c>
      <c r="G41" t="s">
        <v>51</v>
      </c>
      <c r="H41" t="s">
        <v>222</v>
      </c>
      <c r="I41" t="s">
        <v>223</v>
      </c>
      <c r="J41">
        <v>16509456</v>
      </c>
      <c r="K41">
        <v>442495285</v>
      </c>
      <c r="L41">
        <v>20240216</v>
      </c>
      <c r="M41">
        <v>20240215</v>
      </c>
      <c r="O41">
        <v>2</v>
      </c>
      <c r="P41">
        <v>29</v>
      </c>
      <c r="Q41" t="s">
        <v>96</v>
      </c>
      <c r="R41" t="s">
        <v>96</v>
      </c>
      <c r="S41" t="s">
        <v>250</v>
      </c>
      <c r="U41" t="s">
        <v>251</v>
      </c>
      <c r="W41" t="s">
        <v>252</v>
      </c>
      <c r="Z41" t="s">
        <v>160</v>
      </c>
      <c r="AA41" t="s">
        <v>96</v>
      </c>
      <c r="AB41">
        <v>19380</v>
      </c>
      <c r="AE41" t="s">
        <v>131</v>
      </c>
      <c r="AF41" t="s">
        <v>132</v>
      </c>
      <c r="AG41" t="s">
        <v>61</v>
      </c>
      <c r="AH41" t="s">
        <v>62</v>
      </c>
      <c r="AI41">
        <v>20250701</v>
      </c>
      <c r="AJ41" t="s">
        <v>63</v>
      </c>
      <c r="AK41" t="s">
        <v>63</v>
      </c>
      <c r="AL41">
        <v>1</v>
      </c>
      <c r="AM41">
        <v>20250709</v>
      </c>
      <c r="AN41">
        <v>34.94</v>
      </c>
      <c r="AO41">
        <v>34.94</v>
      </c>
      <c r="AP41" t="s">
        <v>63</v>
      </c>
      <c r="AS41">
        <v>100</v>
      </c>
      <c r="AT41">
        <v>2.8</v>
      </c>
      <c r="AU41">
        <v>8</v>
      </c>
      <c r="AV41" t="s">
        <v>64</v>
      </c>
    </row>
    <row r="42" spans="1:48" x14ac:dyDescent="0.25">
      <c r="A42" t="s">
        <v>48</v>
      </c>
      <c r="B42">
        <v>20250714</v>
      </c>
      <c r="C42" t="s">
        <v>49</v>
      </c>
      <c r="D42">
        <v>0</v>
      </c>
      <c r="E42">
        <v>20411454</v>
      </c>
      <c r="F42" t="s">
        <v>50</v>
      </c>
      <c r="G42" t="s">
        <v>51</v>
      </c>
      <c r="H42" t="s">
        <v>222</v>
      </c>
      <c r="I42" t="s">
        <v>223</v>
      </c>
      <c r="J42">
        <v>16509456</v>
      </c>
      <c r="K42">
        <v>442505686</v>
      </c>
      <c r="L42">
        <v>20240222</v>
      </c>
      <c r="M42">
        <v>20240221</v>
      </c>
      <c r="O42">
        <v>2</v>
      </c>
      <c r="P42">
        <v>55</v>
      </c>
      <c r="Q42" t="s">
        <v>65</v>
      </c>
      <c r="R42" t="s">
        <v>65</v>
      </c>
      <c r="S42" t="s">
        <v>70</v>
      </c>
      <c r="U42" t="s">
        <v>253</v>
      </c>
      <c r="W42" t="s">
        <v>254</v>
      </c>
      <c r="Z42" t="s">
        <v>73</v>
      </c>
      <c r="AA42" t="s">
        <v>65</v>
      </c>
      <c r="AB42">
        <v>21211</v>
      </c>
      <c r="AE42" t="s">
        <v>142</v>
      </c>
      <c r="AF42" t="s">
        <v>143</v>
      </c>
      <c r="AG42" t="s">
        <v>61</v>
      </c>
      <c r="AH42" t="s">
        <v>62</v>
      </c>
      <c r="AI42">
        <v>20250701</v>
      </c>
      <c r="AJ42" t="s">
        <v>63</v>
      </c>
      <c r="AK42" t="s">
        <v>63</v>
      </c>
      <c r="AL42">
        <v>1</v>
      </c>
      <c r="AM42">
        <v>20250710</v>
      </c>
      <c r="AN42">
        <v>13.28</v>
      </c>
      <c r="AO42">
        <v>13.28</v>
      </c>
      <c r="AP42" t="s">
        <v>63</v>
      </c>
      <c r="AS42">
        <v>100</v>
      </c>
      <c r="AT42">
        <v>0.93</v>
      </c>
      <c r="AU42">
        <v>7</v>
      </c>
      <c r="AV42" t="s">
        <v>64</v>
      </c>
    </row>
    <row r="43" spans="1:48" x14ac:dyDescent="0.25">
      <c r="A43" t="s">
        <v>48</v>
      </c>
      <c r="B43">
        <v>20250714</v>
      </c>
      <c r="C43" t="s">
        <v>49</v>
      </c>
      <c r="D43">
        <v>0</v>
      </c>
      <c r="E43">
        <v>20411454</v>
      </c>
      <c r="F43" t="s">
        <v>50</v>
      </c>
      <c r="G43" t="s">
        <v>51</v>
      </c>
      <c r="H43" t="s">
        <v>222</v>
      </c>
      <c r="I43" t="s">
        <v>223</v>
      </c>
      <c r="J43">
        <v>16509456</v>
      </c>
      <c r="K43">
        <v>442508319</v>
      </c>
      <c r="L43">
        <v>20240223</v>
      </c>
      <c r="M43">
        <v>20240222</v>
      </c>
      <c r="O43">
        <v>2</v>
      </c>
      <c r="P43">
        <v>22</v>
      </c>
      <c r="Q43" t="s">
        <v>65</v>
      </c>
      <c r="R43" t="s">
        <v>65</v>
      </c>
      <c r="S43" t="s">
        <v>255</v>
      </c>
      <c r="U43" t="s">
        <v>256</v>
      </c>
      <c r="W43" t="s">
        <v>257</v>
      </c>
      <c r="Z43" t="s">
        <v>73</v>
      </c>
      <c r="AA43" t="s">
        <v>65</v>
      </c>
      <c r="AB43">
        <v>21224</v>
      </c>
      <c r="AE43" t="s">
        <v>142</v>
      </c>
      <c r="AF43" t="s">
        <v>143</v>
      </c>
      <c r="AG43" t="s">
        <v>61</v>
      </c>
      <c r="AH43" t="s">
        <v>62</v>
      </c>
      <c r="AI43">
        <v>20250701</v>
      </c>
      <c r="AJ43" t="s">
        <v>63</v>
      </c>
      <c r="AK43" t="s">
        <v>63</v>
      </c>
      <c r="AL43">
        <v>1</v>
      </c>
      <c r="AM43">
        <v>20250710</v>
      </c>
      <c r="AN43">
        <v>13.28</v>
      </c>
      <c r="AO43">
        <v>13.28</v>
      </c>
      <c r="AP43" t="s">
        <v>63</v>
      </c>
      <c r="AS43">
        <v>100</v>
      </c>
      <c r="AT43">
        <v>0.93</v>
      </c>
      <c r="AU43">
        <v>7</v>
      </c>
      <c r="AV43" t="s">
        <v>64</v>
      </c>
    </row>
    <row r="44" spans="1:48" x14ac:dyDescent="0.25">
      <c r="A44" t="s">
        <v>48</v>
      </c>
      <c r="B44">
        <v>20250714</v>
      </c>
      <c r="C44" t="s">
        <v>49</v>
      </c>
      <c r="D44">
        <v>0</v>
      </c>
      <c r="E44">
        <v>20411454</v>
      </c>
      <c r="F44" t="s">
        <v>50</v>
      </c>
      <c r="G44" t="s">
        <v>51</v>
      </c>
      <c r="H44" t="s">
        <v>222</v>
      </c>
      <c r="I44" t="s">
        <v>223</v>
      </c>
      <c r="J44">
        <v>16509456</v>
      </c>
      <c r="K44">
        <v>442580059</v>
      </c>
      <c r="L44">
        <v>20240401</v>
      </c>
      <c r="M44">
        <v>20240330</v>
      </c>
      <c r="O44">
        <v>2</v>
      </c>
      <c r="P44">
        <v>57</v>
      </c>
      <c r="Q44" t="s">
        <v>65</v>
      </c>
      <c r="R44" t="s">
        <v>65</v>
      </c>
      <c r="S44" t="s">
        <v>258</v>
      </c>
      <c r="U44" t="s">
        <v>259</v>
      </c>
      <c r="W44" t="s">
        <v>260</v>
      </c>
      <c r="Z44" t="s">
        <v>261</v>
      </c>
      <c r="AA44" t="s">
        <v>65</v>
      </c>
      <c r="AB44">
        <v>21108</v>
      </c>
      <c r="AE44" t="s">
        <v>142</v>
      </c>
      <c r="AF44" t="s">
        <v>143</v>
      </c>
      <c r="AG44" t="s">
        <v>61</v>
      </c>
      <c r="AH44" t="s">
        <v>62</v>
      </c>
      <c r="AI44">
        <v>20250701</v>
      </c>
      <c r="AJ44" t="s">
        <v>63</v>
      </c>
      <c r="AK44" t="s">
        <v>63</v>
      </c>
      <c r="AL44">
        <v>1</v>
      </c>
      <c r="AM44">
        <v>20250704</v>
      </c>
      <c r="AN44">
        <v>13.28</v>
      </c>
      <c r="AO44">
        <v>13.28</v>
      </c>
      <c r="AP44" t="s">
        <v>63</v>
      </c>
      <c r="AS44">
        <v>100</v>
      </c>
      <c r="AT44">
        <v>0.93</v>
      </c>
      <c r="AU44">
        <v>7</v>
      </c>
      <c r="AV44" t="s">
        <v>64</v>
      </c>
    </row>
    <row r="45" spans="1:48" x14ac:dyDescent="0.25">
      <c r="A45" t="s">
        <v>48</v>
      </c>
      <c r="B45">
        <v>20250714</v>
      </c>
      <c r="C45" t="s">
        <v>49</v>
      </c>
      <c r="D45">
        <v>0</v>
      </c>
      <c r="E45">
        <v>20411454</v>
      </c>
      <c r="F45" t="s">
        <v>50</v>
      </c>
      <c r="G45" t="s">
        <v>262</v>
      </c>
      <c r="H45" t="s">
        <v>263</v>
      </c>
      <c r="I45" t="s">
        <v>264</v>
      </c>
      <c r="J45">
        <v>16202925</v>
      </c>
      <c r="K45">
        <v>442368806</v>
      </c>
      <c r="L45">
        <v>20231215</v>
      </c>
      <c r="M45">
        <v>20231214</v>
      </c>
      <c r="O45">
        <v>2</v>
      </c>
      <c r="P45">
        <v>72</v>
      </c>
      <c r="Q45" t="s">
        <v>65</v>
      </c>
      <c r="R45" t="s">
        <v>65</v>
      </c>
      <c r="S45" t="s">
        <v>265</v>
      </c>
      <c r="U45" t="s">
        <v>266</v>
      </c>
      <c r="W45" t="s">
        <v>267</v>
      </c>
      <c r="Z45" t="s">
        <v>268</v>
      </c>
      <c r="AA45" t="s">
        <v>65</v>
      </c>
      <c r="AB45">
        <v>21401</v>
      </c>
      <c r="AE45" t="s">
        <v>59</v>
      </c>
      <c r="AF45" t="s">
        <v>60</v>
      </c>
      <c r="AG45" t="s">
        <v>61</v>
      </c>
      <c r="AH45" t="s">
        <v>62</v>
      </c>
      <c r="AI45">
        <v>20250701</v>
      </c>
      <c r="AJ45" t="s">
        <v>63</v>
      </c>
      <c r="AK45" t="s">
        <v>63</v>
      </c>
      <c r="AL45">
        <v>2</v>
      </c>
      <c r="AM45">
        <v>20250709</v>
      </c>
      <c r="AN45">
        <v>17</v>
      </c>
      <c r="AO45">
        <v>17</v>
      </c>
      <c r="AP45" t="s">
        <v>63</v>
      </c>
      <c r="AS45">
        <v>100</v>
      </c>
      <c r="AT45">
        <v>0.68</v>
      </c>
      <c r="AU45">
        <v>4</v>
      </c>
      <c r="AV45" t="s">
        <v>64</v>
      </c>
    </row>
    <row r="46" spans="1:48" x14ac:dyDescent="0.25">
      <c r="A46" t="s">
        <v>48</v>
      </c>
      <c r="B46">
        <v>20250714</v>
      </c>
      <c r="C46" t="s">
        <v>49</v>
      </c>
      <c r="D46">
        <v>0</v>
      </c>
      <c r="E46">
        <v>20411454</v>
      </c>
      <c r="F46" t="s">
        <v>50</v>
      </c>
      <c r="G46" t="s">
        <v>262</v>
      </c>
      <c r="H46" t="s">
        <v>263</v>
      </c>
      <c r="I46" t="s">
        <v>264</v>
      </c>
      <c r="J46">
        <v>16202925</v>
      </c>
      <c r="K46">
        <v>442385061</v>
      </c>
      <c r="L46">
        <v>20240101</v>
      </c>
      <c r="M46">
        <v>20231219</v>
      </c>
      <c r="O46">
        <v>2</v>
      </c>
      <c r="P46">
        <v>34</v>
      </c>
      <c r="Q46" t="s">
        <v>65</v>
      </c>
      <c r="R46" t="s">
        <v>65</v>
      </c>
      <c r="S46" t="s">
        <v>269</v>
      </c>
      <c r="U46" t="s">
        <v>270</v>
      </c>
      <c r="W46" t="s">
        <v>271</v>
      </c>
      <c r="Z46" t="s">
        <v>221</v>
      </c>
      <c r="AA46" t="s">
        <v>65</v>
      </c>
      <c r="AB46">
        <v>21015</v>
      </c>
      <c r="AE46" t="s">
        <v>131</v>
      </c>
      <c r="AF46" t="s">
        <v>132</v>
      </c>
      <c r="AG46" t="s">
        <v>61</v>
      </c>
      <c r="AH46" t="s">
        <v>62</v>
      </c>
      <c r="AI46">
        <v>20250701</v>
      </c>
      <c r="AJ46" t="s">
        <v>63</v>
      </c>
      <c r="AK46" t="s">
        <v>63</v>
      </c>
      <c r="AL46">
        <v>1</v>
      </c>
      <c r="AM46">
        <v>20250704</v>
      </c>
      <c r="AN46">
        <v>26.04</v>
      </c>
      <c r="AO46">
        <v>26.04</v>
      </c>
      <c r="AP46" t="s">
        <v>63</v>
      </c>
      <c r="AS46">
        <v>100</v>
      </c>
      <c r="AT46">
        <v>2.08</v>
      </c>
      <c r="AU46">
        <v>8</v>
      </c>
      <c r="AV46" t="s">
        <v>64</v>
      </c>
    </row>
    <row r="47" spans="1:48" x14ac:dyDescent="0.25">
      <c r="A47" t="s">
        <v>48</v>
      </c>
      <c r="B47">
        <v>20250714</v>
      </c>
      <c r="C47" t="s">
        <v>49</v>
      </c>
      <c r="D47">
        <v>0</v>
      </c>
      <c r="E47">
        <v>20411454</v>
      </c>
      <c r="F47" t="s">
        <v>50</v>
      </c>
      <c r="G47" t="s">
        <v>262</v>
      </c>
      <c r="H47" t="s">
        <v>263</v>
      </c>
      <c r="I47" t="s">
        <v>264</v>
      </c>
      <c r="J47">
        <v>16202925</v>
      </c>
      <c r="K47">
        <v>442385060</v>
      </c>
      <c r="L47">
        <v>20240101</v>
      </c>
      <c r="M47">
        <v>20231219</v>
      </c>
      <c r="O47">
        <v>2</v>
      </c>
      <c r="P47">
        <v>34</v>
      </c>
      <c r="Q47" t="s">
        <v>65</v>
      </c>
      <c r="R47" t="s">
        <v>65</v>
      </c>
      <c r="S47" t="s">
        <v>269</v>
      </c>
      <c r="U47" t="s">
        <v>270</v>
      </c>
      <c r="W47" t="s">
        <v>271</v>
      </c>
      <c r="Z47" t="s">
        <v>221</v>
      </c>
      <c r="AA47" t="s">
        <v>65</v>
      </c>
      <c r="AB47">
        <v>21015</v>
      </c>
      <c r="AC47" t="s">
        <v>272</v>
      </c>
      <c r="AE47" t="s">
        <v>133</v>
      </c>
      <c r="AF47" t="s">
        <v>92</v>
      </c>
      <c r="AG47" t="s">
        <v>61</v>
      </c>
      <c r="AH47" t="s">
        <v>62</v>
      </c>
      <c r="AI47">
        <v>20250701</v>
      </c>
      <c r="AJ47" t="s">
        <v>63</v>
      </c>
      <c r="AK47" t="s">
        <v>63</v>
      </c>
      <c r="AL47">
        <v>1</v>
      </c>
      <c r="AM47">
        <v>20250704</v>
      </c>
      <c r="AN47">
        <v>36.130000000000003</v>
      </c>
      <c r="AO47">
        <v>36.130000000000003</v>
      </c>
      <c r="AP47" t="s">
        <v>63</v>
      </c>
      <c r="AS47">
        <v>100</v>
      </c>
      <c r="AT47">
        <v>1.45</v>
      </c>
      <c r="AU47">
        <v>4</v>
      </c>
      <c r="AV47" t="s">
        <v>64</v>
      </c>
    </row>
    <row r="48" spans="1:48" x14ac:dyDescent="0.25">
      <c r="A48" t="s">
        <v>48</v>
      </c>
      <c r="B48">
        <v>20250714</v>
      </c>
      <c r="C48" t="s">
        <v>49</v>
      </c>
      <c r="D48">
        <v>0</v>
      </c>
      <c r="E48">
        <v>20411454</v>
      </c>
      <c r="F48" t="s">
        <v>50</v>
      </c>
      <c r="G48" t="s">
        <v>262</v>
      </c>
      <c r="H48" t="s">
        <v>263</v>
      </c>
      <c r="I48" t="s">
        <v>264</v>
      </c>
      <c r="J48">
        <v>16202925</v>
      </c>
      <c r="K48">
        <v>442385059</v>
      </c>
      <c r="L48">
        <v>20240101</v>
      </c>
      <c r="M48">
        <v>20231219</v>
      </c>
      <c r="O48">
        <v>2</v>
      </c>
      <c r="P48">
        <v>34</v>
      </c>
      <c r="Q48" t="s">
        <v>65</v>
      </c>
      <c r="R48" t="s">
        <v>65</v>
      </c>
      <c r="S48" t="s">
        <v>269</v>
      </c>
      <c r="U48" t="s">
        <v>270</v>
      </c>
      <c r="W48" t="s">
        <v>271</v>
      </c>
      <c r="Z48" t="s">
        <v>221</v>
      </c>
      <c r="AA48" t="s">
        <v>65</v>
      </c>
      <c r="AB48">
        <v>21015</v>
      </c>
      <c r="AE48" t="s">
        <v>59</v>
      </c>
      <c r="AF48" t="s">
        <v>60</v>
      </c>
      <c r="AG48" t="s">
        <v>61</v>
      </c>
      <c r="AH48" t="s">
        <v>62</v>
      </c>
      <c r="AI48">
        <v>20250701</v>
      </c>
      <c r="AJ48" t="s">
        <v>63</v>
      </c>
      <c r="AK48" t="s">
        <v>63</v>
      </c>
      <c r="AL48">
        <v>1</v>
      </c>
      <c r="AM48">
        <v>20250704</v>
      </c>
      <c r="AN48">
        <v>10.4</v>
      </c>
      <c r="AO48">
        <v>10.4</v>
      </c>
      <c r="AP48" t="s">
        <v>63</v>
      </c>
      <c r="AS48">
        <v>100</v>
      </c>
      <c r="AT48">
        <v>0.42</v>
      </c>
      <c r="AU48">
        <v>4</v>
      </c>
      <c r="AV48" t="s">
        <v>64</v>
      </c>
    </row>
    <row r="49" spans="1:48" x14ac:dyDescent="0.25">
      <c r="A49" t="s">
        <v>48</v>
      </c>
      <c r="B49">
        <v>20250714</v>
      </c>
      <c r="C49" t="s">
        <v>49</v>
      </c>
      <c r="D49">
        <v>0</v>
      </c>
      <c r="E49">
        <v>20411454</v>
      </c>
      <c r="F49" t="s">
        <v>50</v>
      </c>
      <c r="G49" t="s">
        <v>262</v>
      </c>
      <c r="H49" t="s">
        <v>263</v>
      </c>
      <c r="I49" t="s">
        <v>264</v>
      </c>
      <c r="J49">
        <v>16202925</v>
      </c>
      <c r="K49">
        <v>442428775</v>
      </c>
      <c r="L49">
        <v>20240112</v>
      </c>
      <c r="M49">
        <v>20240111</v>
      </c>
      <c r="O49">
        <v>2</v>
      </c>
      <c r="P49">
        <v>32</v>
      </c>
      <c r="Q49" t="s">
        <v>65</v>
      </c>
      <c r="R49" t="s">
        <v>65</v>
      </c>
      <c r="S49" t="s">
        <v>273</v>
      </c>
      <c r="U49" t="s">
        <v>274</v>
      </c>
      <c r="W49" t="s">
        <v>275</v>
      </c>
      <c r="Z49" t="s">
        <v>276</v>
      </c>
      <c r="AA49" t="s">
        <v>65</v>
      </c>
      <c r="AB49">
        <v>20850</v>
      </c>
      <c r="AE49" t="s">
        <v>59</v>
      </c>
      <c r="AF49" t="s">
        <v>60</v>
      </c>
      <c r="AG49" t="s">
        <v>61</v>
      </c>
      <c r="AH49" t="s">
        <v>62</v>
      </c>
      <c r="AI49">
        <v>20250701</v>
      </c>
      <c r="AJ49" t="s">
        <v>63</v>
      </c>
      <c r="AK49" t="s">
        <v>63</v>
      </c>
      <c r="AL49">
        <v>1</v>
      </c>
      <c r="AM49">
        <v>20250709</v>
      </c>
      <c r="AN49">
        <v>10.4</v>
      </c>
      <c r="AO49">
        <v>10.4</v>
      </c>
      <c r="AP49" t="s">
        <v>63</v>
      </c>
      <c r="AS49">
        <v>100</v>
      </c>
      <c r="AT49">
        <v>0.42</v>
      </c>
      <c r="AU49">
        <v>4</v>
      </c>
      <c r="AV49" t="s">
        <v>64</v>
      </c>
    </row>
    <row r="50" spans="1:48" x14ac:dyDescent="0.25">
      <c r="A50" t="s">
        <v>48</v>
      </c>
      <c r="B50">
        <v>20250714</v>
      </c>
      <c r="C50" t="s">
        <v>49</v>
      </c>
      <c r="D50">
        <v>0</v>
      </c>
      <c r="E50">
        <v>20411454</v>
      </c>
      <c r="F50" t="s">
        <v>50</v>
      </c>
      <c r="G50" t="s">
        <v>262</v>
      </c>
      <c r="H50" t="s">
        <v>263</v>
      </c>
      <c r="I50" t="s">
        <v>264</v>
      </c>
      <c r="J50">
        <v>16202925</v>
      </c>
      <c r="K50">
        <v>442430491</v>
      </c>
      <c r="L50">
        <v>20240113</v>
      </c>
      <c r="M50">
        <v>20240112</v>
      </c>
      <c r="O50">
        <v>2</v>
      </c>
      <c r="P50">
        <v>48</v>
      </c>
      <c r="Q50" t="s">
        <v>65</v>
      </c>
      <c r="R50" t="s">
        <v>65</v>
      </c>
      <c r="S50" t="s">
        <v>277</v>
      </c>
      <c r="U50" t="s">
        <v>278</v>
      </c>
      <c r="W50" t="s">
        <v>279</v>
      </c>
      <c r="Z50" t="s">
        <v>280</v>
      </c>
      <c r="AA50" t="s">
        <v>65</v>
      </c>
      <c r="AB50">
        <v>21040</v>
      </c>
      <c r="AC50" t="s">
        <v>281</v>
      </c>
      <c r="AE50" t="s">
        <v>133</v>
      </c>
      <c r="AF50" t="s">
        <v>92</v>
      </c>
      <c r="AG50" t="s">
        <v>61</v>
      </c>
      <c r="AH50" t="s">
        <v>62</v>
      </c>
      <c r="AI50">
        <v>20250701</v>
      </c>
      <c r="AJ50" t="s">
        <v>63</v>
      </c>
      <c r="AK50" t="s">
        <v>63</v>
      </c>
      <c r="AL50">
        <v>1</v>
      </c>
      <c r="AM50">
        <v>20250709</v>
      </c>
      <c r="AN50">
        <v>37.01</v>
      </c>
      <c r="AO50">
        <v>37.01</v>
      </c>
      <c r="AP50" t="s">
        <v>63</v>
      </c>
      <c r="AS50">
        <v>100</v>
      </c>
      <c r="AT50">
        <v>1.48</v>
      </c>
      <c r="AU50">
        <v>4</v>
      </c>
      <c r="AV50" t="s">
        <v>64</v>
      </c>
    </row>
    <row r="51" spans="1:48" x14ac:dyDescent="0.25">
      <c r="A51" t="s">
        <v>48</v>
      </c>
      <c r="B51">
        <v>20250714</v>
      </c>
      <c r="C51" t="s">
        <v>49</v>
      </c>
      <c r="D51">
        <v>0</v>
      </c>
      <c r="E51">
        <v>20411454</v>
      </c>
      <c r="F51" t="s">
        <v>50</v>
      </c>
      <c r="G51" t="s">
        <v>262</v>
      </c>
      <c r="H51" t="s">
        <v>263</v>
      </c>
      <c r="I51" t="s">
        <v>264</v>
      </c>
      <c r="J51">
        <v>16202925</v>
      </c>
      <c r="K51">
        <v>442433511</v>
      </c>
      <c r="L51">
        <v>20240116</v>
      </c>
      <c r="M51">
        <v>20240113</v>
      </c>
      <c r="O51">
        <v>2</v>
      </c>
      <c r="P51">
        <v>26</v>
      </c>
      <c r="Q51" t="s">
        <v>65</v>
      </c>
      <c r="R51" t="s">
        <v>65</v>
      </c>
      <c r="S51" t="s">
        <v>282</v>
      </c>
      <c r="U51" t="s">
        <v>283</v>
      </c>
      <c r="W51" t="s">
        <v>284</v>
      </c>
      <c r="Z51" t="s">
        <v>285</v>
      </c>
      <c r="AA51" t="s">
        <v>65</v>
      </c>
      <c r="AB51">
        <v>21227</v>
      </c>
      <c r="AC51" t="s">
        <v>286</v>
      </c>
      <c r="AE51" t="s">
        <v>131</v>
      </c>
      <c r="AF51" t="s">
        <v>132</v>
      </c>
      <c r="AG51" t="s">
        <v>61</v>
      </c>
      <c r="AH51" t="s">
        <v>62</v>
      </c>
      <c r="AI51">
        <v>20250701</v>
      </c>
      <c r="AJ51" t="s">
        <v>63</v>
      </c>
      <c r="AK51" t="s">
        <v>63</v>
      </c>
      <c r="AL51">
        <v>1</v>
      </c>
      <c r="AM51">
        <v>20250709</v>
      </c>
      <c r="AN51">
        <v>26.04</v>
      </c>
      <c r="AO51">
        <v>26.04</v>
      </c>
      <c r="AP51" t="s">
        <v>63</v>
      </c>
      <c r="AS51">
        <v>100</v>
      </c>
      <c r="AT51">
        <v>2.08</v>
      </c>
      <c r="AU51">
        <v>8</v>
      </c>
      <c r="AV51" t="s">
        <v>64</v>
      </c>
    </row>
    <row r="52" spans="1:48" x14ac:dyDescent="0.25">
      <c r="A52" t="s">
        <v>48</v>
      </c>
      <c r="B52">
        <v>20250714</v>
      </c>
      <c r="C52" t="s">
        <v>49</v>
      </c>
      <c r="D52">
        <v>0</v>
      </c>
      <c r="E52">
        <v>20411454</v>
      </c>
      <c r="F52" t="s">
        <v>50</v>
      </c>
      <c r="G52" t="s">
        <v>262</v>
      </c>
      <c r="H52" t="s">
        <v>263</v>
      </c>
      <c r="I52" t="s">
        <v>264</v>
      </c>
      <c r="J52">
        <v>16202925</v>
      </c>
      <c r="K52">
        <v>442433510</v>
      </c>
      <c r="L52">
        <v>20240116</v>
      </c>
      <c r="M52">
        <v>20240113</v>
      </c>
      <c r="O52">
        <v>2</v>
      </c>
      <c r="P52">
        <v>26</v>
      </c>
      <c r="Q52" t="s">
        <v>65</v>
      </c>
      <c r="R52" t="s">
        <v>65</v>
      </c>
      <c r="S52" t="s">
        <v>282</v>
      </c>
      <c r="U52" t="s">
        <v>283</v>
      </c>
      <c r="W52" t="s">
        <v>284</v>
      </c>
      <c r="Z52" t="s">
        <v>285</v>
      </c>
      <c r="AA52" t="s">
        <v>65</v>
      </c>
      <c r="AB52">
        <v>21227</v>
      </c>
      <c r="AC52" t="s">
        <v>286</v>
      </c>
      <c r="AE52" t="s">
        <v>59</v>
      </c>
      <c r="AF52" t="s">
        <v>60</v>
      </c>
      <c r="AG52" t="s">
        <v>61</v>
      </c>
      <c r="AH52" t="s">
        <v>62</v>
      </c>
      <c r="AI52">
        <v>20250701</v>
      </c>
      <c r="AJ52" t="s">
        <v>63</v>
      </c>
      <c r="AK52" t="s">
        <v>63</v>
      </c>
      <c r="AL52">
        <v>1</v>
      </c>
      <c r="AM52">
        <v>20250709</v>
      </c>
      <c r="AN52">
        <v>10.4</v>
      </c>
      <c r="AO52">
        <v>10.4</v>
      </c>
      <c r="AP52" t="s">
        <v>63</v>
      </c>
      <c r="AS52">
        <v>100</v>
      </c>
      <c r="AT52">
        <v>0.42</v>
      </c>
      <c r="AU52">
        <v>4</v>
      </c>
      <c r="AV52" t="s">
        <v>64</v>
      </c>
    </row>
    <row r="53" spans="1:48" x14ac:dyDescent="0.25">
      <c r="A53" t="s">
        <v>48</v>
      </c>
      <c r="B53">
        <v>20250714</v>
      </c>
      <c r="C53" t="s">
        <v>49</v>
      </c>
      <c r="D53">
        <v>0</v>
      </c>
      <c r="E53">
        <v>20411454</v>
      </c>
      <c r="F53" t="s">
        <v>50</v>
      </c>
      <c r="G53" t="s">
        <v>262</v>
      </c>
      <c r="H53" t="s">
        <v>263</v>
      </c>
      <c r="I53" t="s">
        <v>264</v>
      </c>
      <c r="J53">
        <v>16202925</v>
      </c>
      <c r="K53">
        <v>442586950</v>
      </c>
      <c r="L53">
        <v>20240404</v>
      </c>
      <c r="M53">
        <v>20240403</v>
      </c>
      <c r="O53">
        <v>2</v>
      </c>
      <c r="P53">
        <v>28</v>
      </c>
      <c r="Q53" t="s">
        <v>65</v>
      </c>
      <c r="R53" t="s">
        <v>65</v>
      </c>
      <c r="S53" t="s">
        <v>287</v>
      </c>
      <c r="U53" t="s">
        <v>288</v>
      </c>
      <c r="W53" t="s">
        <v>289</v>
      </c>
      <c r="Z53" t="s">
        <v>285</v>
      </c>
      <c r="AA53" t="s">
        <v>65</v>
      </c>
      <c r="AB53">
        <v>21227</v>
      </c>
      <c r="AC53" t="s">
        <v>290</v>
      </c>
      <c r="AE53" t="s">
        <v>291</v>
      </c>
      <c r="AF53" t="s">
        <v>153</v>
      </c>
      <c r="AG53" t="s">
        <v>61</v>
      </c>
      <c r="AH53" t="s">
        <v>62</v>
      </c>
      <c r="AI53">
        <v>20250701</v>
      </c>
      <c r="AJ53" t="s">
        <v>63</v>
      </c>
      <c r="AK53" t="s">
        <v>63</v>
      </c>
      <c r="AL53">
        <v>1</v>
      </c>
      <c r="AM53">
        <v>20250709</v>
      </c>
      <c r="AN53">
        <v>51.09</v>
      </c>
      <c r="AO53">
        <v>51.09</v>
      </c>
      <c r="AP53" t="s">
        <v>63</v>
      </c>
      <c r="AS53">
        <v>100</v>
      </c>
      <c r="AT53">
        <v>3.58</v>
      </c>
      <c r="AU53">
        <v>7</v>
      </c>
      <c r="AV53" t="s">
        <v>64</v>
      </c>
    </row>
    <row r="54" spans="1:48" x14ac:dyDescent="0.25">
      <c r="A54" t="s">
        <v>48</v>
      </c>
      <c r="B54">
        <v>20250714</v>
      </c>
      <c r="C54" t="s">
        <v>49</v>
      </c>
      <c r="D54">
        <v>0</v>
      </c>
      <c r="E54">
        <v>20411454</v>
      </c>
      <c r="F54" t="s">
        <v>50</v>
      </c>
      <c r="G54" t="s">
        <v>262</v>
      </c>
      <c r="H54" t="s">
        <v>263</v>
      </c>
      <c r="I54" t="s">
        <v>264</v>
      </c>
      <c r="J54">
        <v>16202925</v>
      </c>
      <c r="K54">
        <v>442606244</v>
      </c>
      <c r="L54">
        <v>20240414</v>
      </c>
      <c r="M54">
        <v>20240413</v>
      </c>
      <c r="O54">
        <v>2</v>
      </c>
      <c r="P54">
        <v>49</v>
      </c>
      <c r="Q54" t="s">
        <v>65</v>
      </c>
      <c r="R54" t="s">
        <v>65</v>
      </c>
      <c r="S54" t="s">
        <v>292</v>
      </c>
      <c r="U54" t="s">
        <v>293</v>
      </c>
      <c r="W54" t="s">
        <v>294</v>
      </c>
      <c r="Z54" t="s">
        <v>199</v>
      </c>
      <c r="AA54" t="s">
        <v>65</v>
      </c>
      <c r="AB54">
        <v>20902</v>
      </c>
      <c r="AC54" t="s">
        <v>295</v>
      </c>
      <c r="AE54" t="s">
        <v>296</v>
      </c>
      <c r="AF54" t="s">
        <v>153</v>
      </c>
      <c r="AG54" t="s">
        <v>61</v>
      </c>
      <c r="AH54" t="s">
        <v>62</v>
      </c>
      <c r="AI54">
        <v>20250701</v>
      </c>
      <c r="AJ54" t="s">
        <v>63</v>
      </c>
      <c r="AK54" t="s">
        <v>63</v>
      </c>
      <c r="AL54">
        <v>1</v>
      </c>
      <c r="AM54">
        <v>20250709</v>
      </c>
      <c r="AN54">
        <v>42.59</v>
      </c>
      <c r="AO54">
        <v>42.59</v>
      </c>
      <c r="AP54" t="s">
        <v>63</v>
      </c>
      <c r="AS54">
        <v>100</v>
      </c>
      <c r="AT54">
        <v>2.98</v>
      </c>
      <c r="AU54">
        <v>7</v>
      </c>
      <c r="AV54" t="s">
        <v>64</v>
      </c>
    </row>
    <row r="55" spans="1:48" x14ac:dyDescent="0.25">
      <c r="A55" t="s">
        <v>48</v>
      </c>
      <c r="B55">
        <v>20250714</v>
      </c>
      <c r="C55" t="s">
        <v>49</v>
      </c>
      <c r="D55">
        <v>0</v>
      </c>
      <c r="E55">
        <v>20411454</v>
      </c>
      <c r="F55" t="s">
        <v>50</v>
      </c>
      <c r="G55" t="s">
        <v>262</v>
      </c>
      <c r="H55" t="s">
        <v>263</v>
      </c>
      <c r="I55" t="s">
        <v>264</v>
      </c>
      <c r="J55">
        <v>16202925</v>
      </c>
      <c r="K55">
        <v>442602708</v>
      </c>
      <c r="L55">
        <v>20240501</v>
      </c>
      <c r="M55">
        <v>20240411</v>
      </c>
      <c r="O55">
        <v>2</v>
      </c>
      <c r="P55">
        <v>55</v>
      </c>
      <c r="Q55" t="s">
        <v>65</v>
      </c>
      <c r="R55" t="s">
        <v>65</v>
      </c>
      <c r="S55" t="s">
        <v>297</v>
      </c>
      <c r="U55" t="s">
        <v>298</v>
      </c>
      <c r="W55" t="s">
        <v>299</v>
      </c>
      <c r="Z55" t="s">
        <v>300</v>
      </c>
      <c r="AA55" t="s">
        <v>65</v>
      </c>
      <c r="AB55">
        <v>20658</v>
      </c>
      <c r="AC55" t="s">
        <v>301</v>
      </c>
      <c r="AE55" t="s">
        <v>296</v>
      </c>
      <c r="AF55" t="s">
        <v>153</v>
      </c>
      <c r="AG55" t="s">
        <v>61</v>
      </c>
      <c r="AH55" t="s">
        <v>62</v>
      </c>
      <c r="AI55">
        <v>20250701</v>
      </c>
      <c r="AJ55" t="s">
        <v>63</v>
      </c>
      <c r="AK55" t="s">
        <v>63</v>
      </c>
      <c r="AL55">
        <v>1</v>
      </c>
      <c r="AM55">
        <v>20250704</v>
      </c>
      <c r="AN55">
        <v>42.59</v>
      </c>
      <c r="AO55">
        <v>42.59</v>
      </c>
      <c r="AP55" t="s">
        <v>63</v>
      </c>
      <c r="AS55">
        <v>100</v>
      </c>
      <c r="AT55">
        <v>2.98</v>
      </c>
      <c r="AU55">
        <v>7</v>
      </c>
      <c r="AV55" t="s">
        <v>64</v>
      </c>
    </row>
    <row r="56" spans="1:48" x14ac:dyDescent="0.25">
      <c r="A56" t="s">
        <v>48</v>
      </c>
      <c r="B56">
        <v>20250714</v>
      </c>
      <c r="C56" t="s">
        <v>49</v>
      </c>
      <c r="D56">
        <v>0</v>
      </c>
      <c r="E56">
        <v>20411454</v>
      </c>
      <c r="F56" t="s">
        <v>50</v>
      </c>
      <c r="G56" t="s">
        <v>262</v>
      </c>
      <c r="H56" t="s">
        <v>263</v>
      </c>
      <c r="I56" t="s">
        <v>264</v>
      </c>
      <c r="J56">
        <v>16202925</v>
      </c>
      <c r="K56">
        <v>442646320</v>
      </c>
      <c r="L56">
        <v>20240505</v>
      </c>
      <c r="M56">
        <v>20240503</v>
      </c>
      <c r="O56">
        <v>2</v>
      </c>
      <c r="P56">
        <v>57</v>
      </c>
      <c r="Q56" t="s">
        <v>65</v>
      </c>
      <c r="R56" t="s">
        <v>65</v>
      </c>
      <c r="S56" t="s">
        <v>302</v>
      </c>
      <c r="U56" t="s">
        <v>303</v>
      </c>
      <c r="W56" t="s">
        <v>304</v>
      </c>
      <c r="Z56" t="s">
        <v>305</v>
      </c>
      <c r="AA56" t="s">
        <v>65</v>
      </c>
      <c r="AB56">
        <v>21804</v>
      </c>
      <c r="AC56" t="s">
        <v>306</v>
      </c>
      <c r="AE56" t="s">
        <v>152</v>
      </c>
      <c r="AF56" t="s">
        <v>153</v>
      </c>
      <c r="AG56" t="s">
        <v>61</v>
      </c>
      <c r="AH56" t="s">
        <v>62</v>
      </c>
      <c r="AI56">
        <v>20250701</v>
      </c>
      <c r="AJ56" t="s">
        <v>63</v>
      </c>
      <c r="AK56" t="s">
        <v>63</v>
      </c>
      <c r="AL56">
        <v>1</v>
      </c>
      <c r="AM56">
        <v>20250709</v>
      </c>
      <c r="AN56">
        <v>55.3</v>
      </c>
      <c r="AO56">
        <v>55.3</v>
      </c>
      <c r="AP56" t="s">
        <v>63</v>
      </c>
      <c r="AS56">
        <v>100</v>
      </c>
      <c r="AT56">
        <v>3.87</v>
      </c>
      <c r="AU56">
        <v>7</v>
      </c>
      <c r="AV56" t="s">
        <v>64</v>
      </c>
    </row>
    <row r="57" spans="1:48" x14ac:dyDescent="0.25">
      <c r="A57" t="s">
        <v>48</v>
      </c>
      <c r="B57">
        <v>20250714</v>
      </c>
      <c r="C57" t="s">
        <v>49</v>
      </c>
      <c r="D57">
        <v>0</v>
      </c>
      <c r="E57">
        <v>20411454</v>
      </c>
      <c r="F57" t="s">
        <v>50</v>
      </c>
      <c r="G57" t="s">
        <v>262</v>
      </c>
      <c r="H57" t="s">
        <v>263</v>
      </c>
      <c r="I57" t="s">
        <v>264</v>
      </c>
      <c r="J57">
        <v>16202925</v>
      </c>
      <c r="K57">
        <v>442649730</v>
      </c>
      <c r="L57">
        <v>20240601</v>
      </c>
      <c r="M57">
        <v>20240506</v>
      </c>
      <c r="O57">
        <v>2</v>
      </c>
      <c r="P57">
        <v>31</v>
      </c>
      <c r="Q57" t="s">
        <v>65</v>
      </c>
      <c r="R57" t="s">
        <v>65</v>
      </c>
      <c r="S57" t="s">
        <v>307</v>
      </c>
      <c r="U57" t="s">
        <v>308</v>
      </c>
      <c r="W57" t="s">
        <v>309</v>
      </c>
      <c r="Z57" t="s">
        <v>310</v>
      </c>
      <c r="AA57" t="s">
        <v>65</v>
      </c>
      <c r="AB57">
        <v>21911</v>
      </c>
      <c r="AC57" t="s">
        <v>311</v>
      </c>
      <c r="AE57" t="s">
        <v>152</v>
      </c>
      <c r="AF57" t="s">
        <v>153</v>
      </c>
      <c r="AG57" t="s">
        <v>61</v>
      </c>
      <c r="AH57" t="s">
        <v>62</v>
      </c>
      <c r="AI57">
        <v>20250701</v>
      </c>
      <c r="AJ57" t="s">
        <v>63</v>
      </c>
      <c r="AK57" t="s">
        <v>63</v>
      </c>
      <c r="AL57">
        <v>2</v>
      </c>
      <c r="AM57">
        <v>20250704</v>
      </c>
      <c r="AN57">
        <v>111.57</v>
      </c>
      <c r="AO57">
        <v>111.57</v>
      </c>
      <c r="AP57" t="s">
        <v>63</v>
      </c>
      <c r="AS57">
        <v>100</v>
      </c>
      <c r="AT57">
        <v>7.81</v>
      </c>
      <c r="AU57">
        <v>7</v>
      </c>
      <c r="AV5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EA99-BD26-44CB-8167-8A385008D45D}">
  <dimension ref="A1:V57"/>
  <sheetViews>
    <sheetView tabSelected="1" topLeftCell="C1" workbookViewId="0">
      <selection activeCell="M16" sqref="M15:M16"/>
    </sheetView>
  </sheetViews>
  <sheetFormatPr defaultRowHeight="15" x14ac:dyDescent="0.25"/>
  <cols>
    <col min="1" max="2" width="9.140625" style="1"/>
    <col min="3" max="3" width="19.85546875" style="1" bestFit="1" customWidth="1"/>
    <col min="4" max="4" width="11.7109375" style="1" customWidth="1"/>
    <col min="5" max="5" width="13" style="1" customWidth="1"/>
    <col min="6" max="7" width="10.7109375" style="1" customWidth="1"/>
    <col min="8" max="8" width="12" style="1" customWidth="1"/>
    <col min="9" max="11" width="9.140625" style="1"/>
    <col min="12" max="12" width="17.42578125" style="1" customWidth="1"/>
    <col min="13" max="13" width="23" style="1" bestFit="1" customWidth="1"/>
    <col min="14" max="14" width="31.7109375" style="1" bestFit="1" customWidth="1"/>
    <col min="15" max="16384" width="9.140625" style="1"/>
  </cols>
  <sheetData>
    <row r="1" spans="1:22" x14ac:dyDescent="0.25">
      <c r="A1" s="1" t="s">
        <v>6</v>
      </c>
      <c r="B1" s="1" t="s">
        <v>7</v>
      </c>
      <c r="D1" s="1" t="s">
        <v>9</v>
      </c>
      <c r="E1" s="1" t="s">
        <v>10</v>
      </c>
      <c r="F1" s="1" t="s">
        <v>11</v>
      </c>
      <c r="H1" s="1" t="s">
        <v>12</v>
      </c>
      <c r="I1" s="1" t="s">
        <v>16</v>
      </c>
      <c r="J1" s="1" t="s">
        <v>18</v>
      </c>
      <c r="K1" s="1" t="s">
        <v>20</v>
      </c>
      <c r="M1" s="1" t="s">
        <v>30</v>
      </c>
      <c r="N1" s="1" t="s">
        <v>31</v>
      </c>
      <c r="O1" s="1" t="s">
        <v>34</v>
      </c>
      <c r="Q1" s="1" t="s">
        <v>39</v>
      </c>
      <c r="R1" s="1" t="s">
        <v>40</v>
      </c>
      <c r="S1" s="1" t="s">
        <v>45</v>
      </c>
      <c r="T1" s="1" t="s">
        <v>46</v>
      </c>
    </row>
    <row r="2" spans="1:22" x14ac:dyDescent="0.25">
      <c r="A2" s="1" t="s">
        <v>93</v>
      </c>
      <c r="B2" s="1" t="s">
        <v>94</v>
      </c>
      <c r="C2" s="1" t="str">
        <f>CONCATENATE(B2, " ",A2)</f>
        <v>Carol Foley</v>
      </c>
      <c r="D2" s="1" t="s">
        <v>312</v>
      </c>
      <c r="E2" s="1">
        <v>441952843</v>
      </c>
      <c r="F2" s="1">
        <v>20230503</v>
      </c>
      <c r="G2" s="2" t="str">
        <f>TEXT(DATE(LEFT(F2,4), MID(F2,5,2), RIGHT(F2,2)), "M/d/yyyy")</f>
        <v>5/3/2023</v>
      </c>
      <c r="H2" s="1">
        <v>20230502</v>
      </c>
      <c r="I2" s="1" t="s">
        <v>96</v>
      </c>
      <c r="J2" s="1" t="s">
        <v>105</v>
      </c>
      <c r="K2" s="1" t="s">
        <v>106</v>
      </c>
      <c r="L2" s="1" t="str">
        <f>CONCATENATE(J2, " ",K2)</f>
        <v>MARIA QUIC CAXAJ</v>
      </c>
      <c r="M2" s="1" t="s">
        <v>109</v>
      </c>
      <c r="N2" s="1" t="s">
        <v>110</v>
      </c>
      <c r="O2" s="1">
        <v>20250701</v>
      </c>
      <c r="P2" s="2" t="str">
        <f>TEXT(DATE(LEFT(O2,4), MID(O2,5,2), RIGHT(O2,2)), "M/d/yyyy")</f>
        <v>7/1/2025</v>
      </c>
      <c r="Q2" s="1">
        <v>62.58</v>
      </c>
      <c r="R2" s="1">
        <v>62.58</v>
      </c>
      <c r="S2" s="1">
        <v>3.13</v>
      </c>
      <c r="T2" s="1">
        <v>5</v>
      </c>
      <c r="U2" s="3">
        <f>R2*T2%</f>
        <v>3.129</v>
      </c>
      <c r="V2" s="1" t="s">
        <v>313</v>
      </c>
    </row>
    <row r="3" spans="1:22" x14ac:dyDescent="0.25">
      <c r="A3" s="1" t="s">
        <v>189</v>
      </c>
      <c r="B3" s="1" t="s">
        <v>190</v>
      </c>
      <c r="C3" s="1" t="str">
        <f>CONCATENATE(B3, " ",A3)</f>
        <v>Laurie Casta</v>
      </c>
      <c r="D3" s="1">
        <v>20697692</v>
      </c>
      <c r="E3" s="1">
        <v>442352316</v>
      </c>
      <c r="F3" s="1">
        <v>20231211</v>
      </c>
      <c r="G3" s="2" t="str">
        <f>TEXT(DATE(LEFT(F3,4), MID(F3,5,2), RIGHT(F3,2)), "M/d/yyyy")</f>
        <v>12/11/2023</v>
      </c>
      <c r="H3" s="1">
        <v>20231210</v>
      </c>
      <c r="I3" s="1" t="s">
        <v>65</v>
      </c>
      <c r="J3" s="1" t="s">
        <v>207</v>
      </c>
      <c r="K3" s="1" t="s">
        <v>185</v>
      </c>
      <c r="L3" s="1" t="str">
        <f t="shared" ref="L3:L57" si="0">CONCATENATE(J3, " ",K3)</f>
        <v>ANGELA DAVIS</v>
      </c>
      <c r="M3" s="1" t="s">
        <v>209</v>
      </c>
      <c r="N3" s="1" t="s">
        <v>110</v>
      </c>
      <c r="O3" s="1">
        <v>20250701</v>
      </c>
      <c r="P3" s="2" t="str">
        <f>TEXT(DATE(LEFT(O3,4), MID(O3,5,2), RIGHT(O3,2)), "M/d/yyyy")</f>
        <v>7/1/2025</v>
      </c>
      <c r="Q3" s="1">
        <v>35.049999999999997</v>
      </c>
      <c r="R3" s="1">
        <v>35.049999999999997</v>
      </c>
      <c r="S3" s="1">
        <v>2.4500000000000002</v>
      </c>
      <c r="T3" s="1">
        <v>7</v>
      </c>
      <c r="U3" s="3">
        <f t="shared" ref="U3:U57" si="1">R3*T3%</f>
        <v>2.4535</v>
      </c>
      <c r="V3" s="1" t="s">
        <v>314</v>
      </c>
    </row>
    <row r="4" spans="1:22" x14ac:dyDescent="0.25">
      <c r="A4" s="1" t="s">
        <v>93</v>
      </c>
      <c r="B4" s="1" t="s">
        <v>94</v>
      </c>
      <c r="C4" s="1" t="str">
        <f>CONCATENATE(B4, " ",A4)</f>
        <v>Carol Foley</v>
      </c>
      <c r="D4" s="1" t="s">
        <v>312</v>
      </c>
      <c r="E4" s="1">
        <v>442268083</v>
      </c>
      <c r="F4" s="1">
        <v>20231201</v>
      </c>
      <c r="G4" s="2" t="str">
        <f>TEXT(DATE(LEFT(F4,4), MID(F4,5,2), RIGHT(F4,2)), "M/d/yyyy")</f>
        <v>12/1/2023</v>
      </c>
      <c r="H4" s="1">
        <v>20231109</v>
      </c>
      <c r="I4" s="1" t="s">
        <v>115</v>
      </c>
      <c r="J4" s="1" t="s">
        <v>126</v>
      </c>
      <c r="K4" s="1" t="s">
        <v>127</v>
      </c>
      <c r="L4" s="1" t="str">
        <f t="shared" si="0"/>
        <v>SCOTT SHEAR</v>
      </c>
      <c r="M4" s="1" t="s">
        <v>131</v>
      </c>
      <c r="N4" s="1" t="s">
        <v>132</v>
      </c>
      <c r="O4" s="1">
        <v>20250701</v>
      </c>
      <c r="P4" s="2" t="str">
        <f>TEXT(DATE(LEFT(O4,4), MID(O4,5,2), RIGHT(O4,2)), "M/d/yyyy")</f>
        <v>7/1/2025</v>
      </c>
      <c r="Q4" s="1">
        <v>52.1</v>
      </c>
      <c r="R4" s="1">
        <v>52.1</v>
      </c>
      <c r="S4" s="1">
        <v>4.17</v>
      </c>
      <c r="T4" s="1">
        <v>8</v>
      </c>
      <c r="U4" s="3">
        <f t="shared" si="1"/>
        <v>4.1680000000000001</v>
      </c>
      <c r="V4" s="1" t="s">
        <v>315</v>
      </c>
    </row>
    <row r="5" spans="1:22" x14ac:dyDescent="0.25">
      <c r="A5" s="1" t="s">
        <v>154</v>
      </c>
      <c r="B5" s="1" t="s">
        <v>155</v>
      </c>
      <c r="C5" s="1" t="str">
        <f>CONCATENATE(B5, " ",A5)</f>
        <v>Jason Hoffmann</v>
      </c>
      <c r="D5" s="1">
        <v>15278437</v>
      </c>
      <c r="E5" s="1">
        <v>441699275</v>
      </c>
      <c r="F5" s="1">
        <v>20221214</v>
      </c>
      <c r="G5" s="2" t="str">
        <f>TEXT(DATE(LEFT(F5,4), MID(F5,5,2), RIGHT(F5,2)), "M/d/yyyy")</f>
        <v>12/14/2022</v>
      </c>
      <c r="H5" s="1">
        <v>20221213</v>
      </c>
      <c r="I5" s="1" t="s">
        <v>96</v>
      </c>
      <c r="J5" s="1" t="s">
        <v>161</v>
      </c>
      <c r="K5" s="1" t="s">
        <v>162</v>
      </c>
      <c r="L5" s="1" t="str">
        <f t="shared" si="0"/>
        <v>MICHAEL DIGREGORIO</v>
      </c>
      <c r="M5" s="1" t="s">
        <v>131</v>
      </c>
      <c r="N5" s="1" t="s">
        <v>132</v>
      </c>
      <c r="O5" s="1">
        <v>20250701</v>
      </c>
      <c r="P5" s="2" t="str">
        <f>TEXT(DATE(LEFT(O5,4), MID(O5,5,2), RIGHT(O5,2)), "M/d/yyyy")</f>
        <v>7/1/2025</v>
      </c>
      <c r="Q5" s="1">
        <v>34.94</v>
      </c>
      <c r="R5" s="1">
        <v>34.94</v>
      </c>
      <c r="S5" s="1">
        <v>2.8</v>
      </c>
      <c r="T5" s="1">
        <v>8</v>
      </c>
      <c r="U5" s="3">
        <f t="shared" si="1"/>
        <v>2.7951999999999999</v>
      </c>
      <c r="V5" s="1" t="s">
        <v>315</v>
      </c>
    </row>
    <row r="6" spans="1:22" x14ac:dyDescent="0.25">
      <c r="A6" s="1" t="s">
        <v>51</v>
      </c>
      <c r="B6" s="1" t="s">
        <v>222</v>
      </c>
      <c r="C6" s="1" t="str">
        <f>CONCATENATE(B6, " ",A6)</f>
        <v>Peter Richter</v>
      </c>
      <c r="D6" s="1">
        <v>16509456</v>
      </c>
      <c r="E6" s="1">
        <v>442495285</v>
      </c>
      <c r="F6" s="1">
        <v>20240216</v>
      </c>
      <c r="G6" s="2" t="str">
        <f>TEXT(DATE(LEFT(F6,4), MID(F6,5,2), RIGHT(F6,2)), "M/d/yyyy")</f>
        <v>2/16/2024</v>
      </c>
      <c r="H6" s="1">
        <v>20240215</v>
      </c>
      <c r="I6" s="1" t="s">
        <v>96</v>
      </c>
      <c r="J6" s="1" t="s">
        <v>250</v>
      </c>
      <c r="K6" s="1" t="s">
        <v>251</v>
      </c>
      <c r="L6" s="1" t="str">
        <f t="shared" si="0"/>
        <v>STEPHEN BIEGANSKI</v>
      </c>
      <c r="M6" s="1" t="s">
        <v>131</v>
      </c>
      <c r="N6" s="1" t="s">
        <v>132</v>
      </c>
      <c r="O6" s="1">
        <v>20250701</v>
      </c>
      <c r="P6" s="2" t="str">
        <f>TEXT(DATE(LEFT(O6,4), MID(O6,5,2), RIGHT(O6,2)), "M/d/yyyy")</f>
        <v>7/1/2025</v>
      </c>
      <c r="Q6" s="1">
        <v>34.94</v>
      </c>
      <c r="R6" s="1">
        <v>34.94</v>
      </c>
      <c r="S6" s="1">
        <v>2.8</v>
      </c>
      <c r="T6" s="1">
        <v>8</v>
      </c>
      <c r="U6" s="3">
        <f t="shared" si="1"/>
        <v>2.7951999999999999</v>
      </c>
      <c r="V6" s="1" t="s">
        <v>315</v>
      </c>
    </row>
    <row r="7" spans="1:22" x14ac:dyDescent="0.25">
      <c r="A7" s="1" t="s">
        <v>262</v>
      </c>
      <c r="B7" s="1" t="s">
        <v>263</v>
      </c>
      <c r="C7" s="1" t="str">
        <f>CONCATENATE(B7, " ",A7)</f>
        <v>Thomas Kucan</v>
      </c>
      <c r="D7" s="1">
        <v>16202925</v>
      </c>
      <c r="E7" s="1">
        <v>442385061</v>
      </c>
      <c r="F7" s="1">
        <v>20240101</v>
      </c>
      <c r="G7" s="2" t="str">
        <f>TEXT(DATE(LEFT(F7,4), MID(F7,5,2), RIGHT(F7,2)), "M/d/yyyy")</f>
        <v>1/1/2024</v>
      </c>
      <c r="H7" s="1">
        <v>20231219</v>
      </c>
      <c r="I7" s="1" t="s">
        <v>65</v>
      </c>
      <c r="J7" s="1" t="s">
        <v>269</v>
      </c>
      <c r="K7" s="1" t="s">
        <v>270</v>
      </c>
      <c r="L7" s="1" t="str">
        <f t="shared" si="0"/>
        <v>ASHLEY SOUBIE</v>
      </c>
      <c r="M7" s="1" t="s">
        <v>131</v>
      </c>
      <c r="N7" s="1" t="s">
        <v>132</v>
      </c>
      <c r="O7" s="1">
        <v>20250701</v>
      </c>
      <c r="P7" s="2" t="str">
        <f>TEXT(DATE(LEFT(O7,4), MID(O7,5,2), RIGHT(O7,2)), "M/d/yyyy")</f>
        <v>7/1/2025</v>
      </c>
      <c r="Q7" s="1">
        <v>26.04</v>
      </c>
      <c r="R7" s="1">
        <v>26.04</v>
      </c>
      <c r="S7" s="1">
        <v>2.08</v>
      </c>
      <c r="T7" s="1">
        <v>8</v>
      </c>
      <c r="U7" s="3">
        <f t="shared" si="1"/>
        <v>2.0832000000000002</v>
      </c>
      <c r="V7" s="1" t="s">
        <v>315</v>
      </c>
    </row>
    <row r="8" spans="1:22" x14ac:dyDescent="0.25">
      <c r="A8" s="1" t="s">
        <v>262</v>
      </c>
      <c r="B8" s="1" t="s">
        <v>263</v>
      </c>
      <c r="C8" s="1" t="str">
        <f>CONCATENATE(B8, " ",A8)</f>
        <v>Thomas Kucan</v>
      </c>
      <c r="D8" s="1">
        <v>16202925</v>
      </c>
      <c r="E8" s="1">
        <v>442433511</v>
      </c>
      <c r="F8" s="1">
        <v>20240116</v>
      </c>
      <c r="G8" s="2" t="str">
        <f>TEXT(DATE(LEFT(F8,4), MID(F8,5,2), RIGHT(F8,2)), "M/d/yyyy")</f>
        <v>1/16/2024</v>
      </c>
      <c r="H8" s="1">
        <v>20240113</v>
      </c>
      <c r="I8" s="1" t="s">
        <v>65</v>
      </c>
      <c r="J8" s="1" t="s">
        <v>282</v>
      </c>
      <c r="K8" s="1" t="s">
        <v>283</v>
      </c>
      <c r="L8" s="1" t="str">
        <f t="shared" si="0"/>
        <v>ALYCEA RIVERA</v>
      </c>
      <c r="M8" s="1" t="s">
        <v>131</v>
      </c>
      <c r="N8" s="1" t="s">
        <v>132</v>
      </c>
      <c r="O8" s="1">
        <v>20250701</v>
      </c>
      <c r="P8" s="2" t="str">
        <f>TEXT(DATE(LEFT(O8,4), MID(O8,5,2), RIGHT(O8,2)), "M/d/yyyy")</f>
        <v>7/1/2025</v>
      </c>
      <c r="Q8" s="1">
        <v>26.04</v>
      </c>
      <c r="R8" s="1">
        <v>26.04</v>
      </c>
      <c r="S8" s="1">
        <v>2.08</v>
      </c>
      <c r="T8" s="1">
        <v>8</v>
      </c>
      <c r="U8" s="3">
        <f t="shared" si="1"/>
        <v>2.0832000000000002</v>
      </c>
      <c r="V8" s="1" t="s">
        <v>315</v>
      </c>
    </row>
    <row r="9" spans="1:22" x14ac:dyDescent="0.25">
      <c r="A9" s="1" t="s">
        <v>93</v>
      </c>
      <c r="B9" s="1" t="s">
        <v>94</v>
      </c>
      <c r="C9" s="1" t="str">
        <f>CONCATENATE(B9, " ",A9)</f>
        <v>Carol Foley</v>
      </c>
      <c r="D9" s="1" t="s">
        <v>312</v>
      </c>
      <c r="E9" s="1">
        <v>442047054</v>
      </c>
      <c r="F9" s="1">
        <v>20230701</v>
      </c>
      <c r="G9" s="2" t="str">
        <f>TEXT(DATE(LEFT(F9,4), MID(F9,5,2), RIGHT(F9,2)), "M/d/yyyy")</f>
        <v>7/1/2023</v>
      </c>
      <c r="H9" s="1">
        <v>20230629</v>
      </c>
      <c r="I9" s="1" t="s">
        <v>115</v>
      </c>
      <c r="J9" s="1" t="s">
        <v>116</v>
      </c>
      <c r="K9" s="1" t="s">
        <v>117</v>
      </c>
      <c r="L9" s="1" t="str">
        <f t="shared" si="0"/>
        <v>KELLIE CURRY</v>
      </c>
      <c r="M9" s="1" t="s">
        <v>121</v>
      </c>
      <c r="N9" s="1" t="s">
        <v>92</v>
      </c>
      <c r="O9" s="1">
        <v>20250701</v>
      </c>
      <c r="P9" s="2" t="str">
        <f>TEXT(DATE(LEFT(O9,4), MID(O9,5,2), RIGHT(O9,2)), "M/d/yyyy")</f>
        <v>7/1/2025</v>
      </c>
      <c r="Q9" s="1">
        <v>37.340000000000003</v>
      </c>
      <c r="R9" s="1">
        <v>37.340000000000003</v>
      </c>
      <c r="S9" s="1">
        <v>1.49</v>
      </c>
      <c r="T9" s="1">
        <v>4</v>
      </c>
      <c r="U9" s="3">
        <f t="shared" si="1"/>
        <v>1.4936000000000003</v>
      </c>
      <c r="V9" s="1" t="s">
        <v>316</v>
      </c>
    </row>
    <row r="10" spans="1:22" x14ac:dyDescent="0.25">
      <c r="A10" s="1" t="s">
        <v>93</v>
      </c>
      <c r="B10" s="1" t="s">
        <v>94</v>
      </c>
      <c r="C10" s="1" t="str">
        <f>CONCATENATE(B10, " ",A10)</f>
        <v>Carol Foley</v>
      </c>
      <c r="D10" s="1" t="s">
        <v>312</v>
      </c>
      <c r="E10" s="1">
        <v>442268078</v>
      </c>
      <c r="F10" s="1">
        <v>20231201</v>
      </c>
      <c r="G10" s="2" t="str">
        <f>TEXT(DATE(LEFT(F10,4), MID(F10,5,2), RIGHT(F10,2)), "M/d/yyyy")</f>
        <v>12/1/2023</v>
      </c>
      <c r="H10" s="1">
        <v>20231109</v>
      </c>
      <c r="I10" s="1" t="s">
        <v>115</v>
      </c>
      <c r="J10" s="1" t="s">
        <v>126</v>
      </c>
      <c r="K10" s="1" t="s">
        <v>127</v>
      </c>
      <c r="L10" s="1" t="str">
        <f t="shared" si="0"/>
        <v>SCOTT SHEAR</v>
      </c>
      <c r="M10" s="1" t="s">
        <v>133</v>
      </c>
      <c r="N10" s="1" t="s">
        <v>92</v>
      </c>
      <c r="O10" s="1">
        <v>20250701</v>
      </c>
      <c r="P10" s="2" t="str">
        <f>TEXT(DATE(LEFT(O10,4), MID(O10,5,2), RIGHT(O10,2)), "M/d/yyyy")</f>
        <v>7/1/2025</v>
      </c>
      <c r="Q10" s="1">
        <v>110.44</v>
      </c>
      <c r="R10" s="1">
        <v>110.44</v>
      </c>
      <c r="S10" s="1">
        <v>4.42</v>
      </c>
      <c r="T10" s="1">
        <v>4</v>
      </c>
      <c r="U10" s="3">
        <f t="shared" si="1"/>
        <v>4.4176000000000002</v>
      </c>
      <c r="V10" s="1" t="s">
        <v>319</v>
      </c>
    </row>
    <row r="11" spans="1:22" x14ac:dyDescent="0.25">
      <c r="A11" s="1" t="s">
        <v>154</v>
      </c>
      <c r="B11" s="1" t="s">
        <v>155</v>
      </c>
      <c r="C11" s="1" t="str">
        <f>CONCATENATE(B11, " ",A11)</f>
        <v>Jason Hoffmann</v>
      </c>
      <c r="D11" s="1">
        <v>15278437</v>
      </c>
      <c r="E11" s="1">
        <v>442249622</v>
      </c>
      <c r="F11" s="1">
        <v>20231103</v>
      </c>
      <c r="G11" s="2" t="str">
        <f>TEXT(DATE(LEFT(F11,4), MID(F11,5,2), RIGHT(F11,2)), "M/d/yyyy")</f>
        <v>11/3/2023</v>
      </c>
      <c r="H11" s="1">
        <v>20231102</v>
      </c>
      <c r="I11" s="1" t="s">
        <v>164</v>
      </c>
      <c r="J11" s="1" t="s">
        <v>165</v>
      </c>
      <c r="K11" s="1" t="s">
        <v>166</v>
      </c>
      <c r="L11" s="1" t="str">
        <f t="shared" si="0"/>
        <v>DOUGLAS GEISSINGER</v>
      </c>
      <c r="M11" s="1" t="s">
        <v>133</v>
      </c>
      <c r="N11" s="1" t="s">
        <v>92</v>
      </c>
      <c r="O11" s="1">
        <v>20250701</v>
      </c>
      <c r="P11" s="2" t="str">
        <f>TEXT(DATE(LEFT(O11,4), MID(O11,5,2), RIGHT(O11,2)), "M/d/yyyy")</f>
        <v>7/1/2025</v>
      </c>
      <c r="Q11" s="1">
        <v>21.81</v>
      </c>
      <c r="R11" s="1">
        <v>21.81</v>
      </c>
      <c r="S11" s="1">
        <v>0.87</v>
      </c>
      <c r="T11" s="1">
        <v>4</v>
      </c>
      <c r="U11" s="3">
        <f t="shared" si="1"/>
        <v>0.87239999999999995</v>
      </c>
      <c r="V11" s="1" t="s">
        <v>319</v>
      </c>
    </row>
    <row r="12" spans="1:22" x14ac:dyDescent="0.25">
      <c r="A12" s="1" t="s">
        <v>51</v>
      </c>
      <c r="B12" s="1" t="s">
        <v>222</v>
      </c>
      <c r="C12" s="1" t="str">
        <f>CONCATENATE(B12, " ",A12)</f>
        <v>Peter Richter</v>
      </c>
      <c r="D12" s="1">
        <v>16509456</v>
      </c>
      <c r="E12" s="1">
        <v>441862448</v>
      </c>
      <c r="F12" s="1">
        <v>20230401</v>
      </c>
      <c r="G12" s="2" t="str">
        <f>TEXT(DATE(LEFT(F12,4), MID(F12,5,2), RIGHT(F12,2)), "M/d/yyyy")</f>
        <v>4/1/2023</v>
      </c>
      <c r="H12" s="1">
        <v>20230307</v>
      </c>
      <c r="I12" s="1" t="s">
        <v>96</v>
      </c>
      <c r="J12" s="1" t="s">
        <v>224</v>
      </c>
      <c r="K12" s="1" t="s">
        <v>225</v>
      </c>
      <c r="L12" s="1" t="str">
        <f t="shared" si="0"/>
        <v>MARC FOX</v>
      </c>
      <c r="M12" s="1" t="s">
        <v>121</v>
      </c>
      <c r="N12" s="1" t="s">
        <v>92</v>
      </c>
      <c r="O12" s="1">
        <v>20250701</v>
      </c>
      <c r="P12" s="2" t="str">
        <f>TEXT(DATE(LEFT(O12,4), MID(O12,5,2), RIGHT(O12,2)), "M/d/yyyy")</f>
        <v>7/1/2025</v>
      </c>
      <c r="Q12" s="1">
        <v>45.49</v>
      </c>
      <c r="R12" s="1">
        <v>45.49</v>
      </c>
      <c r="S12" s="1">
        <v>1.82</v>
      </c>
      <c r="T12" s="1">
        <v>4</v>
      </c>
      <c r="U12" s="3">
        <f t="shared" si="1"/>
        <v>1.8196000000000001</v>
      </c>
      <c r="V12" s="1" t="s">
        <v>316</v>
      </c>
    </row>
    <row r="13" spans="1:22" x14ac:dyDescent="0.25">
      <c r="A13" s="1" t="s">
        <v>262</v>
      </c>
      <c r="B13" s="1" t="s">
        <v>263</v>
      </c>
      <c r="C13" s="1" t="str">
        <f>CONCATENATE(B13, " ",A13)</f>
        <v>Thomas Kucan</v>
      </c>
      <c r="D13" s="1">
        <v>16202925</v>
      </c>
      <c r="E13" s="1">
        <v>442385060</v>
      </c>
      <c r="F13" s="1">
        <v>20240101</v>
      </c>
      <c r="G13" s="2" t="str">
        <f>TEXT(DATE(LEFT(F13,4), MID(F13,5,2), RIGHT(F13,2)), "M/d/yyyy")</f>
        <v>1/1/2024</v>
      </c>
      <c r="H13" s="1">
        <v>20231219</v>
      </c>
      <c r="I13" s="1" t="s">
        <v>65</v>
      </c>
      <c r="J13" s="1" t="s">
        <v>269</v>
      </c>
      <c r="K13" s="1" t="s">
        <v>270</v>
      </c>
      <c r="L13" s="1" t="str">
        <f t="shared" si="0"/>
        <v>ASHLEY SOUBIE</v>
      </c>
      <c r="M13" s="1" t="s">
        <v>133</v>
      </c>
      <c r="N13" s="1" t="s">
        <v>92</v>
      </c>
      <c r="O13" s="1">
        <v>20250701</v>
      </c>
      <c r="P13" s="2" t="str">
        <f>TEXT(DATE(LEFT(O13,4), MID(O13,5,2), RIGHT(O13,2)), "M/d/yyyy")</f>
        <v>7/1/2025</v>
      </c>
      <c r="Q13" s="1">
        <v>36.130000000000003</v>
      </c>
      <c r="R13" s="1">
        <v>36.130000000000003</v>
      </c>
      <c r="S13" s="1">
        <v>1.45</v>
      </c>
      <c r="T13" s="1">
        <v>4</v>
      </c>
      <c r="U13" s="3">
        <f t="shared" si="1"/>
        <v>1.4452</v>
      </c>
      <c r="V13" s="1" t="s">
        <v>319</v>
      </c>
    </row>
    <row r="14" spans="1:22" x14ac:dyDescent="0.25">
      <c r="A14" s="1" t="s">
        <v>262</v>
      </c>
      <c r="B14" s="1" t="s">
        <v>263</v>
      </c>
      <c r="C14" s="1" t="str">
        <f>CONCATENATE(B14, " ",A14)</f>
        <v>Thomas Kucan</v>
      </c>
      <c r="D14" s="1">
        <v>16202925</v>
      </c>
      <c r="E14" s="1">
        <v>442430491</v>
      </c>
      <c r="F14" s="1">
        <v>20240113</v>
      </c>
      <c r="G14" s="2" t="str">
        <f>TEXT(DATE(LEFT(F14,4), MID(F14,5,2), RIGHT(F14,2)), "M/d/yyyy")</f>
        <v>1/13/2024</v>
      </c>
      <c r="H14" s="1">
        <v>20240112</v>
      </c>
      <c r="I14" s="1" t="s">
        <v>65</v>
      </c>
      <c r="J14" s="1" t="s">
        <v>277</v>
      </c>
      <c r="K14" s="1" t="s">
        <v>278</v>
      </c>
      <c r="L14" s="1" t="str">
        <f t="shared" si="0"/>
        <v>JUANITA PINCHBACK</v>
      </c>
      <c r="M14" s="1" t="s">
        <v>133</v>
      </c>
      <c r="N14" s="1" t="s">
        <v>92</v>
      </c>
      <c r="O14" s="1">
        <v>20250701</v>
      </c>
      <c r="P14" s="2" t="str">
        <f>TEXT(DATE(LEFT(O14,4), MID(O14,5,2), RIGHT(O14,2)), "M/d/yyyy")</f>
        <v>7/1/2025</v>
      </c>
      <c r="Q14" s="1">
        <v>37.01</v>
      </c>
      <c r="R14" s="1">
        <v>37.01</v>
      </c>
      <c r="S14" s="1">
        <v>1.48</v>
      </c>
      <c r="T14" s="1">
        <v>4</v>
      </c>
      <c r="U14" s="3">
        <f t="shared" si="1"/>
        <v>1.4803999999999999</v>
      </c>
      <c r="V14" s="1" t="s">
        <v>319</v>
      </c>
    </row>
    <row r="15" spans="1:22" x14ac:dyDescent="0.25">
      <c r="A15" s="1" t="s">
        <v>51</v>
      </c>
      <c r="B15" s="1" t="s">
        <v>52</v>
      </c>
      <c r="C15" s="1" t="str">
        <f>CONCATENATE(B15, " ",A15)</f>
        <v>Adam Richter</v>
      </c>
      <c r="D15" s="1">
        <v>9079571</v>
      </c>
      <c r="E15" s="1">
        <v>441983893</v>
      </c>
      <c r="F15" s="1">
        <v>20230523</v>
      </c>
      <c r="G15" s="2" t="str">
        <f>TEXT(DATE(LEFT(F15,4), MID(F15,5,2), RIGHT(F15,2)), "M/d/yyyy")</f>
        <v>5/23/2023</v>
      </c>
      <c r="H15" s="1">
        <v>20230522</v>
      </c>
      <c r="I15" s="1" t="s">
        <v>65</v>
      </c>
      <c r="J15" s="1" t="s">
        <v>86</v>
      </c>
      <c r="K15" s="1" t="s">
        <v>87</v>
      </c>
      <c r="L15" s="1" t="str">
        <f t="shared" si="0"/>
        <v>DENNIS BLOMME</v>
      </c>
      <c r="M15" s="1" t="s">
        <v>91</v>
      </c>
      <c r="N15" s="1" t="s">
        <v>92</v>
      </c>
      <c r="O15" s="1">
        <v>20250701</v>
      </c>
      <c r="P15" s="2" t="str">
        <f>TEXT(DATE(LEFT(O15,4), MID(O15,5,2), RIGHT(O15,2)), "M/d/yyyy")</f>
        <v>7/1/2025</v>
      </c>
      <c r="Q15" s="1">
        <v>147.07</v>
      </c>
      <c r="R15" s="1">
        <v>147.07</v>
      </c>
      <c r="S15" s="1">
        <v>7.35</v>
      </c>
      <c r="T15" s="1">
        <v>5</v>
      </c>
      <c r="U15" s="3">
        <f t="shared" si="1"/>
        <v>7.3535000000000004</v>
      </c>
      <c r="V15" s="1" t="s">
        <v>318</v>
      </c>
    </row>
    <row r="16" spans="1:22" x14ac:dyDescent="0.25">
      <c r="A16" s="1" t="s">
        <v>51</v>
      </c>
      <c r="B16" s="1" t="s">
        <v>222</v>
      </c>
      <c r="C16" s="1" t="str">
        <f>CONCATENATE(B16, " ",A16)</f>
        <v>Peter Richter</v>
      </c>
      <c r="D16" s="1">
        <v>16509456</v>
      </c>
      <c r="E16" s="1">
        <v>441991771</v>
      </c>
      <c r="F16" s="1">
        <v>20230601</v>
      </c>
      <c r="G16" s="2" t="str">
        <f>TEXT(DATE(LEFT(F16,4), MID(F16,5,2), RIGHT(F16,2)), "M/d/yyyy")</f>
        <v>6/1/2023</v>
      </c>
      <c r="H16" s="1">
        <v>20230526</v>
      </c>
      <c r="I16" s="1" t="s">
        <v>96</v>
      </c>
      <c r="J16" s="1" t="s">
        <v>229</v>
      </c>
      <c r="K16" s="1" t="s">
        <v>230</v>
      </c>
      <c r="L16" s="1" t="str">
        <f t="shared" si="0"/>
        <v>LINDA DEANTONIO</v>
      </c>
      <c r="M16" s="1" t="s">
        <v>91</v>
      </c>
      <c r="N16" s="1" t="s">
        <v>92</v>
      </c>
      <c r="O16" s="1">
        <v>20250701</v>
      </c>
      <c r="P16" s="2" t="str">
        <f>TEXT(DATE(LEFT(O16,4), MID(O16,5,2), RIGHT(O16,2)), "M/d/yyyy")</f>
        <v>7/1/2025</v>
      </c>
      <c r="Q16" s="1">
        <v>72.19</v>
      </c>
      <c r="R16" s="1">
        <v>72.19</v>
      </c>
      <c r="S16" s="1">
        <v>3.61</v>
      </c>
      <c r="T16" s="1">
        <v>5</v>
      </c>
      <c r="U16" s="3">
        <f t="shared" si="1"/>
        <v>3.6095000000000002</v>
      </c>
      <c r="V16" s="1" t="s">
        <v>318</v>
      </c>
    </row>
    <row r="17" spans="1:22" x14ac:dyDescent="0.25">
      <c r="A17" s="1" t="s">
        <v>189</v>
      </c>
      <c r="B17" s="1" t="s">
        <v>190</v>
      </c>
      <c r="C17" s="1" t="str">
        <f>CONCATENATE(B17, " ",A17)</f>
        <v>Laurie Casta</v>
      </c>
      <c r="D17" s="1">
        <v>20697692</v>
      </c>
      <c r="E17" s="1">
        <v>442352294</v>
      </c>
      <c r="F17" s="1">
        <v>20231211</v>
      </c>
      <c r="G17" s="2" t="str">
        <f>TEXT(DATE(LEFT(F17,4), MID(F17,5,2), RIGHT(F17,2)), "M/d/yyyy")</f>
        <v>12/11/2023</v>
      </c>
      <c r="H17" s="1">
        <v>20231210</v>
      </c>
      <c r="I17" s="1" t="s">
        <v>65</v>
      </c>
      <c r="J17" s="1" t="s">
        <v>207</v>
      </c>
      <c r="K17" s="1" t="s">
        <v>185</v>
      </c>
      <c r="L17" s="1" t="str">
        <f t="shared" si="0"/>
        <v>ANGELA DAVIS</v>
      </c>
      <c r="M17" s="1" t="s">
        <v>121</v>
      </c>
      <c r="N17" s="1" t="s">
        <v>92</v>
      </c>
      <c r="O17" s="1">
        <v>20250701</v>
      </c>
      <c r="P17" s="2" t="str">
        <f>TEXT(DATE(LEFT(O17,4), MID(O17,5,2), RIGHT(O17,2)), "M/d/yyyy")</f>
        <v>7/1/2025</v>
      </c>
      <c r="Q17" s="1">
        <v>43.6</v>
      </c>
      <c r="R17" s="1">
        <v>43.6</v>
      </c>
      <c r="S17" s="1">
        <v>6.54</v>
      </c>
      <c r="T17" s="1">
        <v>15</v>
      </c>
      <c r="U17" s="3">
        <f t="shared" si="1"/>
        <v>6.54</v>
      </c>
      <c r="V17" s="1" t="s">
        <v>317</v>
      </c>
    </row>
    <row r="18" spans="1:22" x14ac:dyDescent="0.25">
      <c r="A18" s="1" t="s">
        <v>189</v>
      </c>
      <c r="B18" s="1" t="s">
        <v>190</v>
      </c>
      <c r="C18" s="1" t="str">
        <f>CONCATENATE(B18, " ",A18)</f>
        <v>Laurie Casta</v>
      </c>
      <c r="D18" s="1">
        <v>20697692</v>
      </c>
      <c r="E18" s="1">
        <v>442332365</v>
      </c>
      <c r="F18" s="1">
        <v>20231215</v>
      </c>
      <c r="G18" s="2" t="str">
        <f>TEXT(DATE(LEFT(F18,4), MID(F18,5,2), RIGHT(F18,2)), "M/d/yyyy")</f>
        <v>12/15/2023</v>
      </c>
      <c r="H18" s="1">
        <v>20231205</v>
      </c>
      <c r="I18" s="1" t="s">
        <v>65</v>
      </c>
      <c r="J18" s="1" t="s">
        <v>215</v>
      </c>
      <c r="K18" s="1" t="s">
        <v>216</v>
      </c>
      <c r="L18" s="1" t="str">
        <f t="shared" si="0"/>
        <v>JOY FOURNILLIER</v>
      </c>
      <c r="M18" s="1" t="s">
        <v>121</v>
      </c>
      <c r="N18" s="1" t="s">
        <v>92</v>
      </c>
      <c r="O18" s="1">
        <v>20250701</v>
      </c>
      <c r="P18" s="2" t="str">
        <f>TEXT(DATE(LEFT(O18,4), MID(O18,5,2), RIGHT(O18,2)), "M/d/yyyy")</f>
        <v>7/1/2025</v>
      </c>
      <c r="Q18" s="1">
        <v>102.55</v>
      </c>
      <c r="R18" s="1">
        <v>102.55</v>
      </c>
      <c r="S18" s="1">
        <v>15.38</v>
      </c>
      <c r="T18" s="1">
        <v>15</v>
      </c>
      <c r="U18" s="3">
        <f t="shared" si="1"/>
        <v>15.382499999999999</v>
      </c>
      <c r="V18" s="1" t="s">
        <v>317</v>
      </c>
    </row>
    <row r="19" spans="1:22" x14ac:dyDescent="0.25">
      <c r="A19" s="1" t="s">
        <v>144</v>
      </c>
      <c r="B19" s="1" t="s">
        <v>145</v>
      </c>
      <c r="C19" s="1" t="str">
        <f>CONCATENATE(B19, " ",A19)</f>
        <v>Cathy Lemon</v>
      </c>
      <c r="D19" s="1">
        <v>17195620</v>
      </c>
      <c r="E19" s="1">
        <v>442624391</v>
      </c>
      <c r="F19" s="1">
        <v>20240424</v>
      </c>
      <c r="G19" s="2" t="str">
        <f>TEXT(DATE(LEFT(F19,4), MID(F19,5,2), RIGHT(F19,2)), "M/d/yyyy")</f>
        <v>4/24/2024</v>
      </c>
      <c r="H19" s="1">
        <v>20240423</v>
      </c>
      <c r="I19" s="1" t="s">
        <v>65</v>
      </c>
      <c r="J19" s="1" t="s">
        <v>147</v>
      </c>
      <c r="K19" s="1" t="s">
        <v>148</v>
      </c>
      <c r="L19" s="1" t="str">
        <f t="shared" si="0"/>
        <v>HELENE MOUDIO</v>
      </c>
      <c r="M19" s="1" t="s">
        <v>152</v>
      </c>
      <c r="N19" s="1" t="s">
        <v>153</v>
      </c>
      <c r="O19" s="1">
        <v>20250701</v>
      </c>
      <c r="P19" s="2" t="str">
        <f>TEXT(DATE(LEFT(O19,4), MID(O19,5,2), RIGHT(O19,2)), "M/d/yyyy")</f>
        <v>7/1/2025</v>
      </c>
      <c r="Q19" s="1">
        <v>55.3</v>
      </c>
      <c r="R19" s="1">
        <v>55.3</v>
      </c>
      <c r="S19" s="1">
        <v>3.87</v>
      </c>
      <c r="T19" s="1">
        <v>7</v>
      </c>
      <c r="U19" s="3">
        <f t="shared" si="1"/>
        <v>3.871</v>
      </c>
      <c r="V19" s="1" t="s">
        <v>320</v>
      </c>
    </row>
    <row r="20" spans="1:22" x14ac:dyDescent="0.25">
      <c r="A20" s="1" t="s">
        <v>262</v>
      </c>
      <c r="B20" s="1" t="s">
        <v>263</v>
      </c>
      <c r="C20" s="1" t="str">
        <f>CONCATENATE(B20, " ",A20)</f>
        <v>Thomas Kucan</v>
      </c>
      <c r="D20" s="1">
        <v>16202925</v>
      </c>
      <c r="E20" s="1">
        <v>442586950</v>
      </c>
      <c r="F20" s="1">
        <v>20240404</v>
      </c>
      <c r="G20" s="2" t="str">
        <f>TEXT(DATE(LEFT(F20,4), MID(F20,5,2), RIGHT(F20,2)), "M/d/yyyy")</f>
        <v>4/4/2024</v>
      </c>
      <c r="H20" s="1">
        <v>20240403</v>
      </c>
      <c r="I20" s="1" t="s">
        <v>65</v>
      </c>
      <c r="J20" s="1" t="s">
        <v>287</v>
      </c>
      <c r="K20" s="1" t="s">
        <v>288</v>
      </c>
      <c r="L20" s="1" t="str">
        <f t="shared" si="0"/>
        <v>AUDREY ROZIER</v>
      </c>
      <c r="M20" s="1" t="s">
        <v>291</v>
      </c>
      <c r="N20" s="1" t="s">
        <v>153</v>
      </c>
      <c r="O20" s="1">
        <v>20250701</v>
      </c>
      <c r="P20" s="2" t="str">
        <f>TEXT(DATE(LEFT(O20,4), MID(O20,5,2), RIGHT(O20,2)), "M/d/yyyy")</f>
        <v>7/1/2025</v>
      </c>
      <c r="Q20" s="1">
        <v>51.09</v>
      </c>
      <c r="R20" s="1">
        <v>51.09</v>
      </c>
      <c r="S20" s="1">
        <v>3.58</v>
      </c>
      <c r="T20" s="1">
        <v>7</v>
      </c>
      <c r="U20" s="3">
        <f t="shared" si="1"/>
        <v>3.5763000000000007</v>
      </c>
      <c r="V20" s="1" t="s">
        <v>320</v>
      </c>
    </row>
    <row r="21" spans="1:22" x14ac:dyDescent="0.25">
      <c r="A21" s="1" t="s">
        <v>262</v>
      </c>
      <c r="B21" s="1" t="s">
        <v>263</v>
      </c>
      <c r="C21" s="1" t="str">
        <f>CONCATENATE(B21, " ",A21)</f>
        <v>Thomas Kucan</v>
      </c>
      <c r="D21" s="1">
        <v>16202925</v>
      </c>
      <c r="E21" s="1">
        <v>442606244</v>
      </c>
      <c r="F21" s="1">
        <v>20240414</v>
      </c>
      <c r="G21" s="2" t="str">
        <f>TEXT(DATE(LEFT(F21,4), MID(F21,5,2), RIGHT(F21,2)), "M/d/yyyy")</f>
        <v>4/14/2024</v>
      </c>
      <c r="H21" s="1">
        <v>20240413</v>
      </c>
      <c r="I21" s="1" t="s">
        <v>65</v>
      </c>
      <c r="J21" s="1" t="s">
        <v>292</v>
      </c>
      <c r="K21" s="1" t="s">
        <v>293</v>
      </c>
      <c r="L21" s="1" t="str">
        <f t="shared" si="0"/>
        <v>MATTHEW BOLIEK</v>
      </c>
      <c r="M21" s="1" t="s">
        <v>296</v>
      </c>
      <c r="N21" s="1" t="s">
        <v>153</v>
      </c>
      <c r="O21" s="1">
        <v>20250701</v>
      </c>
      <c r="P21" s="2" t="str">
        <f>TEXT(DATE(LEFT(O21,4), MID(O21,5,2), RIGHT(O21,2)), "M/d/yyyy")</f>
        <v>7/1/2025</v>
      </c>
      <c r="Q21" s="1">
        <v>42.59</v>
      </c>
      <c r="R21" s="1">
        <v>42.59</v>
      </c>
      <c r="S21" s="1">
        <v>2.98</v>
      </c>
      <c r="T21" s="1">
        <v>7</v>
      </c>
      <c r="U21" s="3">
        <f t="shared" si="1"/>
        <v>2.9813000000000005</v>
      </c>
      <c r="V21" s="1" t="s">
        <v>320</v>
      </c>
    </row>
    <row r="22" spans="1:22" x14ac:dyDescent="0.25">
      <c r="A22" s="1" t="s">
        <v>262</v>
      </c>
      <c r="B22" s="1" t="s">
        <v>263</v>
      </c>
      <c r="C22" s="1" t="str">
        <f>CONCATENATE(B22, " ",A22)</f>
        <v>Thomas Kucan</v>
      </c>
      <c r="D22" s="1">
        <v>16202925</v>
      </c>
      <c r="E22" s="1">
        <v>442602708</v>
      </c>
      <c r="F22" s="1">
        <v>20240501</v>
      </c>
      <c r="G22" s="2" t="str">
        <f>TEXT(DATE(LEFT(F22,4), MID(F22,5,2), RIGHT(F22,2)), "M/d/yyyy")</f>
        <v>5/1/2024</v>
      </c>
      <c r="H22" s="1">
        <v>20240411</v>
      </c>
      <c r="I22" s="1" t="s">
        <v>65</v>
      </c>
      <c r="J22" s="1" t="s">
        <v>297</v>
      </c>
      <c r="K22" s="1" t="s">
        <v>298</v>
      </c>
      <c r="L22" s="1" t="str">
        <f t="shared" si="0"/>
        <v>FREDERICK HUTCHINSON</v>
      </c>
      <c r="M22" s="1" t="s">
        <v>296</v>
      </c>
      <c r="N22" s="1" t="s">
        <v>153</v>
      </c>
      <c r="O22" s="1">
        <v>20250701</v>
      </c>
      <c r="P22" s="2" t="str">
        <f>TEXT(DATE(LEFT(O22,4), MID(O22,5,2), RIGHT(O22,2)), "M/d/yyyy")</f>
        <v>7/1/2025</v>
      </c>
      <c r="Q22" s="1">
        <v>42.59</v>
      </c>
      <c r="R22" s="1">
        <v>42.59</v>
      </c>
      <c r="S22" s="1">
        <v>2.98</v>
      </c>
      <c r="T22" s="1">
        <v>7</v>
      </c>
      <c r="U22" s="3">
        <f t="shared" si="1"/>
        <v>2.9813000000000005</v>
      </c>
      <c r="V22" s="1" t="s">
        <v>320</v>
      </c>
    </row>
    <row r="23" spans="1:22" x14ac:dyDescent="0.25">
      <c r="A23" s="1" t="s">
        <v>262</v>
      </c>
      <c r="B23" s="1" t="s">
        <v>263</v>
      </c>
      <c r="C23" s="1" t="str">
        <f>CONCATENATE(B23, " ",A23)</f>
        <v>Thomas Kucan</v>
      </c>
      <c r="D23" s="1">
        <v>16202925</v>
      </c>
      <c r="E23" s="1">
        <v>442646320</v>
      </c>
      <c r="F23" s="1">
        <v>20240505</v>
      </c>
      <c r="G23" s="2" t="str">
        <f>TEXT(DATE(LEFT(F23,4), MID(F23,5,2), RIGHT(F23,2)), "M/d/yyyy")</f>
        <v>5/5/2024</v>
      </c>
      <c r="H23" s="1">
        <v>20240503</v>
      </c>
      <c r="I23" s="1" t="s">
        <v>65</v>
      </c>
      <c r="J23" s="1" t="s">
        <v>302</v>
      </c>
      <c r="K23" s="1" t="s">
        <v>303</v>
      </c>
      <c r="L23" s="1" t="str">
        <f t="shared" si="0"/>
        <v>PAUL KOESTER</v>
      </c>
      <c r="M23" s="1" t="s">
        <v>152</v>
      </c>
      <c r="N23" s="1" t="s">
        <v>153</v>
      </c>
      <c r="O23" s="1">
        <v>20250701</v>
      </c>
      <c r="P23" s="2" t="str">
        <f>TEXT(DATE(LEFT(O23,4), MID(O23,5,2), RIGHT(O23,2)), "M/d/yyyy")</f>
        <v>7/1/2025</v>
      </c>
      <c r="Q23" s="1">
        <v>55.3</v>
      </c>
      <c r="R23" s="1">
        <v>55.3</v>
      </c>
      <c r="S23" s="1">
        <v>3.87</v>
      </c>
      <c r="T23" s="1">
        <v>7</v>
      </c>
      <c r="U23" s="3">
        <f t="shared" si="1"/>
        <v>3.871</v>
      </c>
      <c r="V23" s="1" t="s">
        <v>320</v>
      </c>
    </row>
    <row r="24" spans="1:22" x14ac:dyDescent="0.25">
      <c r="A24" s="1" t="s">
        <v>262</v>
      </c>
      <c r="B24" s="1" t="s">
        <v>263</v>
      </c>
      <c r="C24" s="1" t="str">
        <f>CONCATENATE(B24, " ",A24)</f>
        <v>Thomas Kucan</v>
      </c>
      <c r="D24" s="1">
        <v>16202925</v>
      </c>
      <c r="E24" s="1">
        <v>442649730</v>
      </c>
      <c r="F24" s="1">
        <v>20240601</v>
      </c>
      <c r="G24" s="2" t="str">
        <f>TEXT(DATE(LEFT(F24,4), MID(F24,5,2), RIGHT(F24,2)), "M/d/yyyy")</f>
        <v>6/1/2024</v>
      </c>
      <c r="H24" s="1">
        <v>20240506</v>
      </c>
      <c r="I24" s="1" t="s">
        <v>65</v>
      </c>
      <c r="J24" s="1" t="s">
        <v>307</v>
      </c>
      <c r="K24" s="1" t="s">
        <v>308</v>
      </c>
      <c r="L24" s="1" t="str">
        <f t="shared" si="0"/>
        <v>ALEXIS DUKE</v>
      </c>
      <c r="M24" s="1" t="s">
        <v>152</v>
      </c>
      <c r="N24" s="1" t="s">
        <v>153</v>
      </c>
      <c r="O24" s="1">
        <v>20250701</v>
      </c>
      <c r="P24" s="2" t="str">
        <f>TEXT(DATE(LEFT(O24,4), MID(O24,5,2), RIGHT(O24,2)), "M/d/yyyy")</f>
        <v>7/1/2025</v>
      </c>
      <c r="Q24" s="1">
        <v>111.57</v>
      </c>
      <c r="R24" s="1">
        <v>111.57</v>
      </c>
      <c r="S24" s="1">
        <v>7.81</v>
      </c>
      <c r="T24" s="1">
        <v>7</v>
      </c>
      <c r="U24" s="3">
        <f t="shared" si="1"/>
        <v>7.8098999999999998</v>
      </c>
      <c r="V24" s="1" t="s">
        <v>320</v>
      </c>
    </row>
    <row r="25" spans="1:22" x14ac:dyDescent="0.25">
      <c r="A25" s="1" t="s">
        <v>170</v>
      </c>
      <c r="B25" s="1" t="s">
        <v>171</v>
      </c>
      <c r="C25" s="1" t="str">
        <f>CONCATENATE(B25, " ",A25)</f>
        <v>Katelenn Caltagirone</v>
      </c>
      <c r="D25" s="1">
        <v>20436896</v>
      </c>
      <c r="E25" s="1">
        <v>441769366</v>
      </c>
      <c r="F25" s="1">
        <v>20230124</v>
      </c>
      <c r="G25" s="2" t="str">
        <f>TEXT(DATE(LEFT(F25,4), MID(F25,5,2), RIGHT(F25,2)), "M/d/yyyy")</f>
        <v>1/24/2023</v>
      </c>
      <c r="H25" s="1">
        <v>20230113</v>
      </c>
      <c r="I25" s="1" t="s">
        <v>173</v>
      </c>
      <c r="J25" s="1" t="s">
        <v>174</v>
      </c>
      <c r="K25" s="1" t="s">
        <v>175</v>
      </c>
      <c r="L25" s="1" t="str">
        <f t="shared" si="0"/>
        <v>TIMOTHY WASSELL</v>
      </c>
      <c r="M25" s="1" t="s">
        <v>178</v>
      </c>
      <c r="N25" s="1" t="s">
        <v>179</v>
      </c>
      <c r="O25" s="1">
        <v>20250701</v>
      </c>
      <c r="P25" s="2" t="str">
        <f>TEXT(DATE(LEFT(O25,4), MID(O25,5,2), RIGHT(O25,2)), "M/d/yyyy")</f>
        <v>7/1/2025</v>
      </c>
      <c r="Q25" s="1">
        <v>25</v>
      </c>
      <c r="R25" s="1">
        <v>25</v>
      </c>
      <c r="S25" s="1">
        <v>5</v>
      </c>
      <c r="T25" s="1">
        <v>20</v>
      </c>
      <c r="U25" s="3">
        <f t="shared" si="1"/>
        <v>5</v>
      </c>
      <c r="V25" s="1" t="s">
        <v>321</v>
      </c>
    </row>
    <row r="26" spans="1:22" x14ac:dyDescent="0.25">
      <c r="A26" s="1" t="s">
        <v>51</v>
      </c>
      <c r="B26" s="1" t="s">
        <v>52</v>
      </c>
      <c r="C26" s="1" t="str">
        <f>CONCATENATE(B26, " ",A26)</f>
        <v>Adam Richter</v>
      </c>
      <c r="D26" s="1">
        <v>9079571</v>
      </c>
      <c r="E26" s="1">
        <v>441848447</v>
      </c>
      <c r="F26" s="1">
        <v>20230301</v>
      </c>
      <c r="G26" s="2" t="str">
        <f>TEXT(DATE(LEFT(F26,4), MID(F26,5,2), RIGHT(F26,2)), "M/d/yyyy")</f>
        <v>3/1/2023</v>
      </c>
      <c r="H26" s="1">
        <v>20230227</v>
      </c>
      <c r="I26" s="1" t="s">
        <v>65</v>
      </c>
      <c r="J26" s="1" t="s">
        <v>66</v>
      </c>
      <c r="K26" s="1" t="s">
        <v>67</v>
      </c>
      <c r="L26" s="1" t="str">
        <f t="shared" si="0"/>
        <v>ZEV SHEPPARD</v>
      </c>
      <c r="M26" s="1" t="s">
        <v>59</v>
      </c>
      <c r="N26" s="1" t="s">
        <v>60</v>
      </c>
      <c r="O26" s="1">
        <v>20250701</v>
      </c>
      <c r="P26" s="2" t="str">
        <f>TEXT(DATE(LEFT(O26,4), MID(O26,5,2), RIGHT(O26,2)), "M/d/yyyy")</f>
        <v>7/1/2025</v>
      </c>
      <c r="Q26" s="1">
        <v>10.4</v>
      </c>
      <c r="R26" s="1">
        <v>10.4</v>
      </c>
      <c r="S26" s="1">
        <v>0.42</v>
      </c>
      <c r="T26" s="1">
        <v>4</v>
      </c>
      <c r="U26" s="3">
        <f t="shared" si="1"/>
        <v>0.41600000000000004</v>
      </c>
      <c r="V26" s="1" t="s">
        <v>322</v>
      </c>
    </row>
    <row r="27" spans="1:22" x14ac:dyDescent="0.25">
      <c r="A27" s="1" t="s">
        <v>51</v>
      </c>
      <c r="B27" s="1" t="s">
        <v>52</v>
      </c>
      <c r="C27" s="1" t="str">
        <f>CONCATENATE(B27, " ",A27)</f>
        <v>Adam Richter</v>
      </c>
      <c r="D27" s="1">
        <v>9079571</v>
      </c>
      <c r="E27" s="1">
        <v>441861055</v>
      </c>
      <c r="F27" s="1">
        <v>20230401</v>
      </c>
      <c r="G27" s="2" t="str">
        <f>TEXT(DATE(LEFT(F27,4), MID(F27,5,2), RIGHT(F27,2)), "M/d/yyyy")</f>
        <v>4/1/2023</v>
      </c>
      <c r="H27" s="1">
        <v>20230307</v>
      </c>
      <c r="I27" s="1" t="s">
        <v>65</v>
      </c>
      <c r="J27" s="1" t="s">
        <v>70</v>
      </c>
      <c r="K27" s="1" t="s">
        <v>71</v>
      </c>
      <c r="L27" s="1" t="str">
        <f t="shared" si="0"/>
        <v>KEVIN KITCHEN</v>
      </c>
      <c r="M27" s="1" t="s">
        <v>59</v>
      </c>
      <c r="N27" s="1" t="s">
        <v>60</v>
      </c>
      <c r="O27" s="1">
        <v>20250701</v>
      </c>
      <c r="P27" s="2" t="str">
        <f>TEXT(DATE(LEFT(O27,4), MID(O27,5,2), RIGHT(O27,2)), "M/d/yyyy")</f>
        <v>7/1/2025</v>
      </c>
      <c r="Q27" s="1">
        <v>10.4</v>
      </c>
      <c r="R27" s="1">
        <v>10.4</v>
      </c>
      <c r="S27" s="1">
        <v>0.42</v>
      </c>
      <c r="T27" s="1">
        <v>4</v>
      </c>
      <c r="U27" s="3">
        <f t="shared" si="1"/>
        <v>0.41600000000000004</v>
      </c>
      <c r="V27" s="1" t="s">
        <v>322</v>
      </c>
    </row>
    <row r="28" spans="1:22" x14ac:dyDescent="0.25">
      <c r="A28" s="1" t="s">
        <v>51</v>
      </c>
      <c r="B28" s="1" t="s">
        <v>52</v>
      </c>
      <c r="C28" s="1" t="str">
        <f>CONCATENATE(B28, " ",A28)</f>
        <v>Adam Richter</v>
      </c>
      <c r="D28" s="1">
        <v>9079571</v>
      </c>
      <c r="E28" s="1">
        <v>441874278</v>
      </c>
      <c r="F28" s="1">
        <v>20230401</v>
      </c>
      <c r="G28" s="2" t="str">
        <f>TEXT(DATE(LEFT(F28,4), MID(F28,5,2), RIGHT(F28,2)), "M/d/yyyy")</f>
        <v>4/1/2023</v>
      </c>
      <c r="H28" s="1">
        <v>20230314</v>
      </c>
      <c r="I28" s="1" t="s">
        <v>65</v>
      </c>
      <c r="J28" s="1" t="s">
        <v>74</v>
      </c>
      <c r="K28" s="1" t="s">
        <v>75</v>
      </c>
      <c r="L28" s="1" t="str">
        <f t="shared" si="0"/>
        <v>NEAL KIRSCH</v>
      </c>
      <c r="M28" s="1" t="s">
        <v>59</v>
      </c>
      <c r="N28" s="1" t="s">
        <v>60</v>
      </c>
      <c r="O28" s="1">
        <v>20250701</v>
      </c>
      <c r="P28" s="2" t="str">
        <f>TEXT(DATE(LEFT(O28,4), MID(O28,5,2), RIGHT(O28,2)), "M/d/yyyy")</f>
        <v>7/1/2025</v>
      </c>
      <c r="Q28" s="1">
        <v>17</v>
      </c>
      <c r="R28" s="1">
        <v>17</v>
      </c>
      <c r="S28" s="1">
        <v>0.68</v>
      </c>
      <c r="T28" s="1">
        <v>4</v>
      </c>
      <c r="U28" s="3">
        <f t="shared" si="1"/>
        <v>0.68</v>
      </c>
      <c r="V28" s="1" t="s">
        <v>322</v>
      </c>
    </row>
    <row r="29" spans="1:22" x14ac:dyDescent="0.25">
      <c r="A29" s="1" t="s">
        <v>51</v>
      </c>
      <c r="B29" s="1" t="s">
        <v>52</v>
      </c>
      <c r="C29" s="1" t="str">
        <f>CONCATENATE(B29, " ",A29)</f>
        <v>Adam Richter</v>
      </c>
      <c r="D29" s="1">
        <v>9079571</v>
      </c>
      <c r="E29" s="1">
        <v>441934655</v>
      </c>
      <c r="F29" s="1">
        <v>20230501</v>
      </c>
      <c r="G29" s="2" t="str">
        <f>TEXT(DATE(LEFT(F29,4), MID(F29,5,2), RIGHT(F29,2)), "M/d/yyyy")</f>
        <v>5/1/2023</v>
      </c>
      <c r="H29" s="1">
        <v>20230421</v>
      </c>
      <c r="I29" s="1" t="s">
        <v>65</v>
      </c>
      <c r="J29" s="1" t="s">
        <v>78</v>
      </c>
      <c r="K29" s="1" t="s">
        <v>79</v>
      </c>
      <c r="L29" s="1" t="str">
        <f t="shared" si="0"/>
        <v>MOBOLAJI FOWOSE</v>
      </c>
      <c r="M29" s="1" t="s">
        <v>59</v>
      </c>
      <c r="N29" s="1" t="s">
        <v>60</v>
      </c>
      <c r="O29" s="1">
        <v>20250701</v>
      </c>
      <c r="P29" s="2" t="str">
        <f>TEXT(DATE(LEFT(O29,4), MID(O29,5,2), RIGHT(O29,2)), "M/d/yyyy")</f>
        <v>7/1/2025</v>
      </c>
      <c r="Q29" s="1">
        <v>10.4</v>
      </c>
      <c r="R29" s="1">
        <v>10.4</v>
      </c>
      <c r="S29" s="1">
        <v>0.42</v>
      </c>
      <c r="T29" s="1">
        <v>4</v>
      </c>
      <c r="U29" s="3">
        <f t="shared" si="1"/>
        <v>0.41600000000000004</v>
      </c>
      <c r="V29" s="1" t="s">
        <v>322</v>
      </c>
    </row>
    <row r="30" spans="1:22" x14ac:dyDescent="0.25">
      <c r="A30" s="1" t="s">
        <v>51</v>
      </c>
      <c r="B30" s="1" t="s">
        <v>52</v>
      </c>
      <c r="C30" s="1" t="str">
        <f>CONCATENATE(B30, " ",A30)</f>
        <v>Adam Richter</v>
      </c>
      <c r="D30" s="1">
        <v>9079571</v>
      </c>
      <c r="E30" s="1">
        <v>441951697</v>
      </c>
      <c r="F30" s="1">
        <v>20230502</v>
      </c>
      <c r="G30" s="2" t="str">
        <f>TEXT(DATE(LEFT(F30,4), MID(F30,5,2), RIGHT(F30,2)), "M/d/yyyy")</f>
        <v>5/2/2023</v>
      </c>
      <c r="H30" s="1">
        <v>20230501</v>
      </c>
      <c r="I30" s="1" t="s">
        <v>65</v>
      </c>
      <c r="J30" s="1" t="s">
        <v>82</v>
      </c>
      <c r="K30" s="1" t="s">
        <v>83</v>
      </c>
      <c r="L30" s="1" t="str">
        <f t="shared" si="0"/>
        <v>KAREN FRITZ</v>
      </c>
      <c r="M30" s="1" t="s">
        <v>59</v>
      </c>
      <c r="N30" s="1" t="s">
        <v>60</v>
      </c>
      <c r="O30" s="1">
        <v>20250701</v>
      </c>
      <c r="P30" s="2" t="str">
        <f>TEXT(DATE(LEFT(O30,4), MID(O30,5,2), RIGHT(O30,2)), "M/d/yyyy")</f>
        <v>7/1/2025</v>
      </c>
      <c r="Q30" s="1">
        <v>10.4</v>
      </c>
      <c r="R30" s="1">
        <v>10.4</v>
      </c>
      <c r="S30" s="1">
        <v>0.42</v>
      </c>
      <c r="T30" s="1">
        <v>4</v>
      </c>
      <c r="U30" s="3">
        <f t="shared" si="1"/>
        <v>0.41600000000000004</v>
      </c>
      <c r="V30" s="1" t="s">
        <v>322</v>
      </c>
    </row>
    <row r="31" spans="1:22" x14ac:dyDescent="0.25">
      <c r="A31" s="1" t="s">
        <v>93</v>
      </c>
      <c r="B31" s="1" t="s">
        <v>94</v>
      </c>
      <c r="C31" s="1" t="str">
        <f>CONCATENATE(B31, " ",A31)</f>
        <v>Carol Foley</v>
      </c>
      <c r="D31" s="1" t="s">
        <v>312</v>
      </c>
      <c r="E31" s="1">
        <v>442268077</v>
      </c>
      <c r="F31" s="1">
        <v>20231201</v>
      </c>
      <c r="G31" s="2" t="str">
        <f>TEXT(DATE(LEFT(F31,4), MID(F31,5,2), RIGHT(F31,2)), "M/d/yyyy")</f>
        <v>12/1/2023</v>
      </c>
      <c r="H31" s="1">
        <v>20231109</v>
      </c>
      <c r="I31" s="1" t="s">
        <v>115</v>
      </c>
      <c r="J31" s="1" t="s">
        <v>126</v>
      </c>
      <c r="K31" s="1" t="s">
        <v>127</v>
      </c>
      <c r="L31" s="1" t="str">
        <f t="shared" si="0"/>
        <v>SCOTT SHEAR</v>
      </c>
      <c r="M31" s="1" t="s">
        <v>59</v>
      </c>
      <c r="N31" s="1" t="s">
        <v>60</v>
      </c>
      <c r="O31" s="1">
        <v>20250701</v>
      </c>
      <c r="P31" s="2" t="str">
        <f>TEXT(DATE(LEFT(O31,4), MID(O31,5,2), RIGHT(O31,2)), "M/d/yyyy")</f>
        <v>7/1/2025</v>
      </c>
      <c r="Q31" s="1">
        <v>36.799999999999997</v>
      </c>
      <c r="R31" s="1">
        <v>36.799999999999997</v>
      </c>
      <c r="S31" s="1">
        <v>1.47</v>
      </c>
      <c r="T31" s="1">
        <v>4</v>
      </c>
      <c r="U31" s="3">
        <f t="shared" si="1"/>
        <v>1.472</v>
      </c>
      <c r="V31" s="1" t="s">
        <v>322</v>
      </c>
    </row>
    <row r="32" spans="1:22" x14ac:dyDescent="0.25">
      <c r="A32" s="1" t="s">
        <v>180</v>
      </c>
      <c r="B32" s="1" t="s">
        <v>181</v>
      </c>
      <c r="C32" s="1" t="str">
        <f>CONCATENATE(B32, " ",A32)</f>
        <v>Laneece White</v>
      </c>
      <c r="D32" s="1">
        <v>13496370</v>
      </c>
      <c r="E32" s="1">
        <v>442370248</v>
      </c>
      <c r="F32" s="1">
        <v>20231215</v>
      </c>
      <c r="G32" s="2" t="str">
        <f>TEXT(DATE(LEFT(F32,4), MID(F32,5,2), RIGHT(F32,2)), "M/d/yyyy")</f>
        <v>12/15/2023</v>
      </c>
      <c r="H32" s="1">
        <v>20231214</v>
      </c>
      <c r="I32" s="1" t="s">
        <v>183</v>
      </c>
      <c r="J32" s="1" t="s">
        <v>184</v>
      </c>
      <c r="K32" s="1" t="s">
        <v>185</v>
      </c>
      <c r="L32" s="1" t="str">
        <f t="shared" si="0"/>
        <v>S AMANDA DAVIS</v>
      </c>
      <c r="M32" s="1" t="s">
        <v>59</v>
      </c>
      <c r="N32" s="1" t="s">
        <v>60</v>
      </c>
      <c r="O32" s="1">
        <v>20250701</v>
      </c>
      <c r="P32" s="2" t="str">
        <f>TEXT(DATE(LEFT(O32,4), MID(O32,5,2), RIGHT(O32,2)), "M/d/yyyy")</f>
        <v>7/1/2025</v>
      </c>
      <c r="Q32" s="1">
        <v>10.4</v>
      </c>
      <c r="R32" s="1">
        <v>10.4</v>
      </c>
      <c r="S32" s="1">
        <v>0.42</v>
      </c>
      <c r="T32" s="1">
        <v>4</v>
      </c>
      <c r="U32" s="3">
        <f t="shared" si="1"/>
        <v>0.41600000000000004</v>
      </c>
      <c r="V32" s="1" t="s">
        <v>322</v>
      </c>
    </row>
    <row r="33" spans="1:22" x14ac:dyDescent="0.25">
      <c r="A33" s="1" t="s">
        <v>189</v>
      </c>
      <c r="B33" s="1" t="s">
        <v>190</v>
      </c>
      <c r="C33" s="1" t="str">
        <f>CONCATENATE(B33, " ",A33)</f>
        <v>Laurie Casta</v>
      </c>
      <c r="D33" s="1">
        <v>20697692</v>
      </c>
      <c r="E33" s="1">
        <v>442037493</v>
      </c>
      <c r="F33" s="1">
        <v>20230701</v>
      </c>
      <c r="G33" s="2" t="str">
        <f>TEXT(DATE(LEFT(F33,4), MID(F33,5,2), RIGHT(F33,2)), "M/d/yyyy")</f>
        <v>7/1/2023</v>
      </c>
      <c r="H33" s="1">
        <v>20230624</v>
      </c>
      <c r="I33" s="1" t="s">
        <v>65</v>
      </c>
      <c r="J33" s="1" t="s">
        <v>192</v>
      </c>
      <c r="K33" s="1" t="s">
        <v>193</v>
      </c>
      <c r="L33" s="1" t="str">
        <f t="shared" si="0"/>
        <v>JOHN SONGER</v>
      </c>
      <c r="M33" s="1" t="s">
        <v>59</v>
      </c>
      <c r="N33" s="1" t="s">
        <v>60</v>
      </c>
      <c r="O33" s="1">
        <v>20250701</v>
      </c>
      <c r="P33" s="2" t="str">
        <f>TEXT(DATE(LEFT(O33,4), MID(O33,5,2), RIGHT(O33,2)), "M/d/yyyy")</f>
        <v>7/1/2025</v>
      </c>
      <c r="Q33" s="1">
        <v>17</v>
      </c>
      <c r="R33" s="1">
        <v>17</v>
      </c>
      <c r="S33" s="1">
        <v>0.68</v>
      </c>
      <c r="T33" s="1">
        <v>4</v>
      </c>
      <c r="U33" s="3">
        <f t="shared" si="1"/>
        <v>0.68</v>
      </c>
      <c r="V33" s="1" t="s">
        <v>322</v>
      </c>
    </row>
    <row r="34" spans="1:22" x14ac:dyDescent="0.25">
      <c r="A34" s="1" t="s">
        <v>189</v>
      </c>
      <c r="B34" s="1" t="s">
        <v>190</v>
      </c>
      <c r="C34" s="1" t="str">
        <f>CONCATENATE(B34, " ",A34)</f>
        <v>Laurie Casta</v>
      </c>
      <c r="D34" s="1">
        <v>20697692</v>
      </c>
      <c r="E34" s="1">
        <v>442099791</v>
      </c>
      <c r="F34" s="1">
        <v>20230803</v>
      </c>
      <c r="G34" s="2" t="str">
        <f>TEXT(DATE(LEFT(F34,4), MID(F34,5,2), RIGHT(F34,2)), "M/d/yyyy")</f>
        <v>8/3/2023</v>
      </c>
      <c r="H34" s="1">
        <v>20230802</v>
      </c>
      <c r="I34" s="1" t="s">
        <v>65</v>
      </c>
      <c r="J34" s="1" t="s">
        <v>196</v>
      </c>
      <c r="K34" s="1" t="s">
        <v>197</v>
      </c>
      <c r="L34" s="1" t="str">
        <f t="shared" si="0"/>
        <v>CASSANDRA KRAHAM</v>
      </c>
      <c r="M34" s="1" t="s">
        <v>59</v>
      </c>
      <c r="N34" s="1" t="s">
        <v>60</v>
      </c>
      <c r="O34" s="1">
        <v>20250701</v>
      </c>
      <c r="P34" s="2" t="str">
        <f>TEXT(DATE(LEFT(O34,4), MID(O34,5,2), RIGHT(O34,2)), "M/d/yyyy")</f>
        <v>7/1/2025</v>
      </c>
      <c r="Q34" s="1">
        <v>10.4</v>
      </c>
      <c r="R34" s="1">
        <v>10.4</v>
      </c>
      <c r="S34" s="1">
        <v>0.42</v>
      </c>
      <c r="T34" s="1">
        <v>4</v>
      </c>
      <c r="U34" s="3">
        <f t="shared" si="1"/>
        <v>0.41600000000000004</v>
      </c>
      <c r="V34" s="1" t="s">
        <v>322</v>
      </c>
    </row>
    <row r="35" spans="1:22" x14ac:dyDescent="0.25">
      <c r="A35" s="1" t="s">
        <v>189</v>
      </c>
      <c r="B35" s="1" t="s">
        <v>190</v>
      </c>
      <c r="C35" s="1" t="str">
        <f>CONCATENATE(B35, " ",A35)</f>
        <v>Laurie Casta</v>
      </c>
      <c r="D35" s="1">
        <v>20697692</v>
      </c>
      <c r="E35" s="1">
        <v>442236865</v>
      </c>
      <c r="F35" s="1">
        <v>20231101</v>
      </c>
      <c r="G35" s="2" t="str">
        <f>TEXT(DATE(LEFT(F35,4), MID(F35,5,2), RIGHT(F35,2)), "M/d/yyyy")</f>
        <v>11/1/2023</v>
      </c>
      <c r="H35" s="1">
        <v>20231027</v>
      </c>
      <c r="I35" s="1" t="s">
        <v>65</v>
      </c>
      <c r="J35" s="1" t="s">
        <v>161</v>
      </c>
      <c r="K35" s="1" t="s">
        <v>200</v>
      </c>
      <c r="L35" s="1" t="str">
        <f t="shared" si="0"/>
        <v>MICHAEL ARRICH</v>
      </c>
      <c r="M35" s="1" t="s">
        <v>59</v>
      </c>
      <c r="N35" s="1" t="s">
        <v>60</v>
      </c>
      <c r="O35" s="1">
        <v>20250701</v>
      </c>
      <c r="P35" s="2" t="str">
        <f>TEXT(DATE(LEFT(O35,4), MID(O35,5,2), RIGHT(O35,2)), "M/d/yyyy")</f>
        <v>7/1/2025</v>
      </c>
      <c r="Q35" s="1">
        <v>17</v>
      </c>
      <c r="R35" s="1">
        <v>17</v>
      </c>
      <c r="S35" s="1">
        <v>0.68</v>
      </c>
      <c r="T35" s="1">
        <v>4</v>
      </c>
      <c r="U35" s="3">
        <f t="shared" si="1"/>
        <v>0.68</v>
      </c>
      <c r="V35" s="1" t="s">
        <v>322</v>
      </c>
    </row>
    <row r="36" spans="1:22" x14ac:dyDescent="0.25">
      <c r="A36" s="1" t="s">
        <v>189</v>
      </c>
      <c r="B36" s="1" t="s">
        <v>190</v>
      </c>
      <c r="C36" s="1" t="str">
        <f>CONCATENATE(B36, " ",A36)</f>
        <v>Laurie Casta</v>
      </c>
      <c r="D36" s="1">
        <v>20697692</v>
      </c>
      <c r="E36" s="1">
        <v>442249792</v>
      </c>
      <c r="F36" s="1">
        <v>20231103</v>
      </c>
      <c r="G36" s="2" t="str">
        <f>TEXT(DATE(LEFT(F36,4), MID(F36,5,2), RIGHT(F36,2)), "M/d/yyyy")</f>
        <v>11/3/2023</v>
      </c>
      <c r="H36" s="1">
        <v>20231102</v>
      </c>
      <c r="I36" s="1" t="s">
        <v>65</v>
      </c>
      <c r="J36" s="1" t="s">
        <v>203</v>
      </c>
      <c r="K36" s="1" t="s">
        <v>204</v>
      </c>
      <c r="L36" s="1" t="str">
        <f t="shared" si="0"/>
        <v>DEBRA BECK</v>
      </c>
      <c r="M36" s="1" t="s">
        <v>59</v>
      </c>
      <c r="N36" s="1" t="s">
        <v>60</v>
      </c>
      <c r="O36" s="1">
        <v>20250701</v>
      </c>
      <c r="P36" s="2" t="str">
        <f>TEXT(DATE(LEFT(O36,4), MID(O36,5,2), RIGHT(O36,2)), "M/d/yyyy")</f>
        <v>7/1/2025</v>
      </c>
      <c r="Q36" s="1">
        <v>10.4</v>
      </c>
      <c r="R36" s="1">
        <v>10.4</v>
      </c>
      <c r="S36" s="1">
        <v>0.42</v>
      </c>
      <c r="T36" s="1">
        <v>4</v>
      </c>
      <c r="U36" s="3">
        <f t="shared" si="1"/>
        <v>0.41600000000000004</v>
      </c>
      <c r="V36" s="1" t="s">
        <v>322</v>
      </c>
    </row>
    <row r="37" spans="1:22" x14ac:dyDescent="0.25">
      <c r="A37" s="1" t="s">
        <v>189</v>
      </c>
      <c r="B37" s="1" t="s">
        <v>190</v>
      </c>
      <c r="C37" s="1" t="str">
        <f>CONCATENATE(B37, " ",A37)</f>
        <v>Laurie Casta</v>
      </c>
      <c r="D37" s="1">
        <v>20697692</v>
      </c>
      <c r="E37" s="1">
        <v>442352338</v>
      </c>
      <c r="F37" s="1">
        <v>20231211</v>
      </c>
      <c r="G37" s="2" t="str">
        <f>TEXT(DATE(LEFT(F37,4), MID(F37,5,2), RIGHT(F37,2)), "M/d/yyyy")</f>
        <v>12/11/2023</v>
      </c>
      <c r="H37" s="1">
        <v>20231210</v>
      </c>
      <c r="I37" s="1" t="s">
        <v>65</v>
      </c>
      <c r="J37" s="1" t="s">
        <v>207</v>
      </c>
      <c r="K37" s="1" t="s">
        <v>185</v>
      </c>
      <c r="L37" s="1" t="str">
        <f t="shared" si="0"/>
        <v>ANGELA DAVIS</v>
      </c>
      <c r="M37" s="1" t="s">
        <v>59</v>
      </c>
      <c r="N37" s="1" t="s">
        <v>60</v>
      </c>
      <c r="O37" s="1">
        <v>20250701</v>
      </c>
      <c r="P37" s="2" t="str">
        <f>TEXT(DATE(LEFT(O37,4), MID(O37,5,2), RIGHT(O37,2)), "M/d/yyyy")</f>
        <v>7/1/2025</v>
      </c>
      <c r="Q37" s="1">
        <v>10.4</v>
      </c>
      <c r="R37" s="1">
        <v>10.4</v>
      </c>
      <c r="S37" s="1">
        <v>0.42</v>
      </c>
      <c r="T37" s="1">
        <v>4</v>
      </c>
      <c r="U37" s="3">
        <f t="shared" si="1"/>
        <v>0.41600000000000004</v>
      </c>
      <c r="V37" s="1" t="s">
        <v>322</v>
      </c>
    </row>
    <row r="38" spans="1:22" x14ac:dyDescent="0.25">
      <c r="A38" s="1" t="s">
        <v>189</v>
      </c>
      <c r="B38" s="1" t="s">
        <v>190</v>
      </c>
      <c r="C38" s="1" t="str">
        <f>CONCATENATE(B38, " ",A38)</f>
        <v>Laurie Casta</v>
      </c>
      <c r="D38" s="1">
        <v>20697692</v>
      </c>
      <c r="E38" s="1">
        <v>442361305</v>
      </c>
      <c r="F38" s="1">
        <v>20231213</v>
      </c>
      <c r="G38" s="2" t="str">
        <f>TEXT(DATE(LEFT(F38,4), MID(F38,5,2), RIGHT(F38,2)), "M/d/yyyy")</f>
        <v>12/13/2023</v>
      </c>
      <c r="H38" s="1">
        <v>20231212</v>
      </c>
      <c r="I38" s="1" t="s">
        <v>65</v>
      </c>
      <c r="J38" s="1" t="s">
        <v>211</v>
      </c>
      <c r="K38" s="1" t="s">
        <v>212</v>
      </c>
      <c r="L38" s="1" t="str">
        <f t="shared" si="0"/>
        <v>SHARON JOSEPH</v>
      </c>
      <c r="M38" s="1" t="s">
        <v>59</v>
      </c>
      <c r="N38" s="1" t="s">
        <v>60</v>
      </c>
      <c r="O38" s="1">
        <v>20250701</v>
      </c>
      <c r="P38" s="2" t="str">
        <f>TEXT(DATE(LEFT(O38,4), MID(O38,5,2), RIGHT(O38,2)), "M/d/yyyy")</f>
        <v>7/1/2025</v>
      </c>
      <c r="Q38" s="1">
        <v>17</v>
      </c>
      <c r="R38" s="1">
        <v>17</v>
      </c>
      <c r="S38" s="1">
        <v>0.68</v>
      </c>
      <c r="T38" s="1">
        <v>4</v>
      </c>
      <c r="U38" s="3">
        <f t="shared" si="1"/>
        <v>0.68</v>
      </c>
      <c r="V38" s="1" t="s">
        <v>322</v>
      </c>
    </row>
    <row r="39" spans="1:22" x14ac:dyDescent="0.25">
      <c r="A39" s="1" t="s">
        <v>189</v>
      </c>
      <c r="B39" s="1" t="s">
        <v>190</v>
      </c>
      <c r="C39" s="1" t="str">
        <f>CONCATENATE(B39, " ",A39)</f>
        <v>Laurie Casta</v>
      </c>
      <c r="D39" s="1">
        <v>20697692</v>
      </c>
      <c r="E39" s="1">
        <v>442288978</v>
      </c>
      <c r="F39" s="1">
        <v>20240101</v>
      </c>
      <c r="G39" s="2" t="str">
        <f>TEXT(DATE(LEFT(F39,4), MID(F39,5,2), RIGHT(F39,2)), "M/d/yyyy")</f>
        <v>1/1/2024</v>
      </c>
      <c r="H39" s="1">
        <v>20231117</v>
      </c>
      <c r="I39" s="1" t="s">
        <v>65</v>
      </c>
      <c r="J39" s="1" t="s">
        <v>218</v>
      </c>
      <c r="K39" s="1" t="s">
        <v>219</v>
      </c>
      <c r="L39" s="1" t="str">
        <f t="shared" si="0"/>
        <v>ANN DELLARCO</v>
      </c>
      <c r="M39" s="1" t="s">
        <v>59</v>
      </c>
      <c r="N39" s="1" t="s">
        <v>60</v>
      </c>
      <c r="O39" s="1">
        <v>20250701</v>
      </c>
      <c r="P39" s="2" t="str">
        <f>TEXT(DATE(LEFT(O39,4), MID(O39,5,2), RIGHT(O39,2)), "M/d/yyyy")</f>
        <v>7/1/2025</v>
      </c>
      <c r="Q39" s="1">
        <v>10.4</v>
      </c>
      <c r="R39" s="1">
        <v>10.4</v>
      </c>
      <c r="S39" s="1">
        <v>0.42</v>
      </c>
      <c r="T39" s="1">
        <v>4</v>
      </c>
      <c r="U39" s="3">
        <f t="shared" si="1"/>
        <v>0.41600000000000004</v>
      </c>
      <c r="V39" s="1" t="s">
        <v>322</v>
      </c>
    </row>
    <row r="40" spans="1:22" x14ac:dyDescent="0.25">
      <c r="A40" s="1" t="s">
        <v>51</v>
      </c>
      <c r="B40" s="1" t="s">
        <v>222</v>
      </c>
      <c r="C40" s="1" t="str">
        <f>CONCATENATE(B40, " ",A40)</f>
        <v>Peter Richter</v>
      </c>
      <c r="D40" s="1">
        <v>16509456</v>
      </c>
      <c r="E40" s="1">
        <v>442096371</v>
      </c>
      <c r="F40" s="1">
        <v>20230801</v>
      </c>
      <c r="G40" s="2" t="str">
        <f>TEXT(DATE(LEFT(F40,4), MID(F40,5,2), RIGHT(F40,2)), "M/d/yyyy")</f>
        <v>8/1/2023</v>
      </c>
      <c r="H40" s="1">
        <v>20230731</v>
      </c>
      <c r="I40" s="1" t="s">
        <v>65</v>
      </c>
      <c r="J40" s="1" t="s">
        <v>236</v>
      </c>
      <c r="K40" s="1" t="s">
        <v>237</v>
      </c>
      <c r="L40" s="1" t="str">
        <f t="shared" si="0"/>
        <v>MARTHA ACEROS MENDEZ</v>
      </c>
      <c r="M40" s="1" t="s">
        <v>59</v>
      </c>
      <c r="N40" s="1" t="s">
        <v>60</v>
      </c>
      <c r="O40" s="1">
        <v>20250701</v>
      </c>
      <c r="P40" s="2" t="str">
        <f>TEXT(DATE(LEFT(O40,4), MID(O40,5,2), RIGHT(O40,2)), "M/d/yyyy")</f>
        <v>7/1/2025</v>
      </c>
      <c r="Q40" s="1">
        <v>10.4</v>
      </c>
      <c r="R40" s="1">
        <v>10.4</v>
      </c>
      <c r="S40" s="1">
        <v>0.42</v>
      </c>
      <c r="T40" s="1">
        <v>4</v>
      </c>
      <c r="U40" s="3">
        <f t="shared" si="1"/>
        <v>0.41600000000000004</v>
      </c>
      <c r="V40" s="1" t="s">
        <v>322</v>
      </c>
    </row>
    <row r="41" spans="1:22" x14ac:dyDescent="0.25">
      <c r="A41" s="1" t="s">
        <v>51</v>
      </c>
      <c r="B41" s="1" t="s">
        <v>222</v>
      </c>
      <c r="C41" s="1" t="str">
        <f>CONCATENATE(B41, " ",A41)</f>
        <v>Peter Richter</v>
      </c>
      <c r="D41" s="1">
        <v>16509456</v>
      </c>
      <c r="E41" s="1">
        <v>442271715</v>
      </c>
      <c r="F41" s="1">
        <v>20231111</v>
      </c>
      <c r="G41" s="2" t="str">
        <f>TEXT(DATE(LEFT(F41,4), MID(F41,5,2), RIGHT(F41,2)), "M/d/yyyy")</f>
        <v>11/11/2023</v>
      </c>
      <c r="H41" s="1">
        <v>20231110</v>
      </c>
      <c r="I41" s="1" t="s">
        <v>65</v>
      </c>
      <c r="J41" s="1" t="s">
        <v>240</v>
      </c>
      <c r="K41" s="1" t="s">
        <v>241</v>
      </c>
      <c r="L41" s="1" t="str">
        <f t="shared" si="0"/>
        <v>DONNA MILBOURNE</v>
      </c>
      <c r="M41" s="1" t="s">
        <v>59</v>
      </c>
      <c r="N41" s="1" t="s">
        <v>60</v>
      </c>
      <c r="O41" s="1">
        <v>20250701</v>
      </c>
      <c r="P41" s="2" t="str">
        <f>TEXT(DATE(LEFT(O41,4), MID(O41,5,2), RIGHT(O41,2)), "M/d/yyyy")</f>
        <v>7/1/2025</v>
      </c>
      <c r="Q41" s="1">
        <v>17</v>
      </c>
      <c r="R41" s="1">
        <v>17</v>
      </c>
      <c r="S41" s="1">
        <v>0.68</v>
      </c>
      <c r="T41" s="1">
        <v>4</v>
      </c>
      <c r="U41" s="3">
        <f t="shared" si="1"/>
        <v>0.68</v>
      </c>
      <c r="V41" s="1" t="s">
        <v>322</v>
      </c>
    </row>
    <row r="42" spans="1:22" x14ac:dyDescent="0.25">
      <c r="A42" s="1" t="s">
        <v>262</v>
      </c>
      <c r="B42" s="1" t="s">
        <v>263</v>
      </c>
      <c r="C42" s="1" t="str">
        <f>CONCATENATE(B42, " ",A42)</f>
        <v>Thomas Kucan</v>
      </c>
      <c r="D42" s="1">
        <v>16202925</v>
      </c>
      <c r="E42" s="1">
        <v>442368806</v>
      </c>
      <c r="F42" s="1">
        <v>20231215</v>
      </c>
      <c r="G42" s="2" t="str">
        <f>TEXT(DATE(LEFT(F42,4), MID(F42,5,2), RIGHT(F42,2)), "M/d/yyyy")</f>
        <v>12/15/2023</v>
      </c>
      <c r="H42" s="1">
        <v>20231214</v>
      </c>
      <c r="I42" s="1" t="s">
        <v>65</v>
      </c>
      <c r="J42" s="1" t="s">
        <v>265</v>
      </c>
      <c r="K42" s="1" t="s">
        <v>266</v>
      </c>
      <c r="L42" s="1" t="str">
        <f t="shared" si="0"/>
        <v>CHARLES MACDONALD</v>
      </c>
      <c r="M42" s="1" t="s">
        <v>59</v>
      </c>
      <c r="N42" s="1" t="s">
        <v>60</v>
      </c>
      <c r="O42" s="1">
        <v>20250701</v>
      </c>
      <c r="P42" s="2" t="str">
        <f>TEXT(DATE(LEFT(O42,4), MID(O42,5,2), RIGHT(O42,2)), "M/d/yyyy")</f>
        <v>7/1/2025</v>
      </c>
      <c r="Q42" s="1">
        <v>17</v>
      </c>
      <c r="R42" s="1">
        <v>17</v>
      </c>
      <c r="S42" s="1">
        <v>0.68</v>
      </c>
      <c r="T42" s="1">
        <v>4</v>
      </c>
      <c r="U42" s="3">
        <f t="shared" si="1"/>
        <v>0.68</v>
      </c>
      <c r="V42" s="1" t="s">
        <v>322</v>
      </c>
    </row>
    <row r="43" spans="1:22" x14ac:dyDescent="0.25">
      <c r="A43" s="1" t="s">
        <v>262</v>
      </c>
      <c r="B43" s="1" t="s">
        <v>263</v>
      </c>
      <c r="C43" s="1" t="str">
        <f>CONCATENATE(B43, " ",A43)</f>
        <v>Thomas Kucan</v>
      </c>
      <c r="D43" s="1">
        <v>16202925</v>
      </c>
      <c r="E43" s="1">
        <v>442385059</v>
      </c>
      <c r="F43" s="1">
        <v>20240101</v>
      </c>
      <c r="G43" s="2" t="str">
        <f>TEXT(DATE(LEFT(F43,4), MID(F43,5,2), RIGHT(F43,2)), "M/d/yyyy")</f>
        <v>1/1/2024</v>
      </c>
      <c r="H43" s="1">
        <v>20231219</v>
      </c>
      <c r="I43" s="1" t="s">
        <v>65</v>
      </c>
      <c r="J43" s="1" t="s">
        <v>269</v>
      </c>
      <c r="K43" s="1" t="s">
        <v>270</v>
      </c>
      <c r="L43" s="1" t="str">
        <f t="shared" si="0"/>
        <v>ASHLEY SOUBIE</v>
      </c>
      <c r="M43" s="1" t="s">
        <v>59</v>
      </c>
      <c r="N43" s="1" t="s">
        <v>60</v>
      </c>
      <c r="O43" s="1">
        <v>20250701</v>
      </c>
      <c r="P43" s="2" t="str">
        <f>TEXT(DATE(LEFT(O43,4), MID(O43,5,2), RIGHT(O43,2)), "M/d/yyyy")</f>
        <v>7/1/2025</v>
      </c>
      <c r="Q43" s="1">
        <v>10.4</v>
      </c>
      <c r="R43" s="1">
        <v>10.4</v>
      </c>
      <c r="S43" s="1">
        <v>0.42</v>
      </c>
      <c r="T43" s="1">
        <v>4</v>
      </c>
      <c r="U43" s="3">
        <f t="shared" si="1"/>
        <v>0.41600000000000004</v>
      </c>
      <c r="V43" s="1" t="s">
        <v>322</v>
      </c>
    </row>
    <row r="44" spans="1:22" x14ac:dyDescent="0.25">
      <c r="A44" s="1" t="s">
        <v>262</v>
      </c>
      <c r="B44" s="1" t="s">
        <v>263</v>
      </c>
      <c r="C44" s="1" t="str">
        <f>CONCATENATE(B44, " ",A44)</f>
        <v>Thomas Kucan</v>
      </c>
      <c r="D44" s="1">
        <v>16202925</v>
      </c>
      <c r="E44" s="1">
        <v>442428775</v>
      </c>
      <c r="F44" s="1">
        <v>20240112</v>
      </c>
      <c r="G44" s="2" t="str">
        <f>TEXT(DATE(LEFT(F44,4), MID(F44,5,2), RIGHT(F44,2)), "M/d/yyyy")</f>
        <v>1/12/2024</v>
      </c>
      <c r="H44" s="1">
        <v>20240111</v>
      </c>
      <c r="I44" s="1" t="s">
        <v>65</v>
      </c>
      <c r="J44" s="1" t="s">
        <v>273</v>
      </c>
      <c r="K44" s="1" t="s">
        <v>274</v>
      </c>
      <c r="L44" s="1" t="str">
        <f t="shared" si="0"/>
        <v>JOEL JOHNSON</v>
      </c>
      <c r="M44" s="1" t="s">
        <v>59</v>
      </c>
      <c r="N44" s="1" t="s">
        <v>60</v>
      </c>
      <c r="O44" s="1">
        <v>20250701</v>
      </c>
      <c r="P44" s="2" t="str">
        <f>TEXT(DATE(LEFT(O44,4), MID(O44,5,2), RIGHT(O44,2)), "M/d/yyyy")</f>
        <v>7/1/2025</v>
      </c>
      <c r="Q44" s="1">
        <v>10.4</v>
      </c>
      <c r="R44" s="1">
        <v>10.4</v>
      </c>
      <c r="S44" s="1">
        <v>0.42</v>
      </c>
      <c r="T44" s="1">
        <v>4</v>
      </c>
      <c r="U44" s="3">
        <f t="shared" si="1"/>
        <v>0.41600000000000004</v>
      </c>
      <c r="V44" s="1" t="s">
        <v>322</v>
      </c>
    </row>
    <row r="45" spans="1:22" x14ac:dyDescent="0.25">
      <c r="A45" s="1" t="s">
        <v>262</v>
      </c>
      <c r="B45" s="1" t="s">
        <v>263</v>
      </c>
      <c r="C45" s="1" t="str">
        <f>CONCATENATE(B45, " ",A45)</f>
        <v>Thomas Kucan</v>
      </c>
      <c r="D45" s="1">
        <v>16202925</v>
      </c>
      <c r="E45" s="1">
        <v>442433510</v>
      </c>
      <c r="F45" s="1">
        <v>20240116</v>
      </c>
      <c r="G45" s="2" t="str">
        <f>TEXT(DATE(LEFT(F45,4), MID(F45,5,2), RIGHT(F45,2)), "M/d/yyyy")</f>
        <v>1/16/2024</v>
      </c>
      <c r="H45" s="1">
        <v>20240113</v>
      </c>
      <c r="I45" s="1" t="s">
        <v>65</v>
      </c>
      <c r="J45" s="1" t="s">
        <v>282</v>
      </c>
      <c r="K45" s="1" t="s">
        <v>283</v>
      </c>
      <c r="L45" s="1" t="str">
        <f t="shared" si="0"/>
        <v>ALYCEA RIVERA</v>
      </c>
      <c r="M45" s="1" t="s">
        <v>59</v>
      </c>
      <c r="N45" s="1" t="s">
        <v>60</v>
      </c>
      <c r="O45" s="1">
        <v>20250701</v>
      </c>
      <c r="P45" s="2" t="str">
        <f>TEXT(DATE(LEFT(O45,4), MID(O45,5,2), RIGHT(O45,2)), "M/d/yyyy")</f>
        <v>7/1/2025</v>
      </c>
      <c r="Q45" s="1">
        <v>10.4</v>
      </c>
      <c r="R45" s="1">
        <v>10.4</v>
      </c>
      <c r="S45" s="1">
        <v>0.42</v>
      </c>
      <c r="T45" s="1">
        <v>4</v>
      </c>
      <c r="U45" s="3">
        <f t="shared" si="1"/>
        <v>0.41600000000000004</v>
      </c>
      <c r="V45" s="1" t="s">
        <v>322</v>
      </c>
    </row>
    <row r="46" spans="1:22" x14ac:dyDescent="0.25">
      <c r="A46" s="1" t="s">
        <v>51</v>
      </c>
      <c r="B46" s="1" t="s">
        <v>52</v>
      </c>
      <c r="C46" s="1" t="str">
        <f>CONCATENATE(B46, " ",A46)</f>
        <v>Adam Richter</v>
      </c>
      <c r="D46" s="1">
        <v>9079571</v>
      </c>
      <c r="E46" s="1">
        <v>441842580</v>
      </c>
      <c r="F46" s="1">
        <v>20230301</v>
      </c>
      <c r="G46" s="2" t="str">
        <f>TEXT(DATE(LEFT(F46,4), MID(F46,5,2), RIGHT(F46,2)), "M/d/yyyy")</f>
        <v>3/1/2023</v>
      </c>
      <c r="H46" s="1">
        <v>20230223</v>
      </c>
      <c r="I46" s="1" t="s">
        <v>54</v>
      </c>
      <c r="J46" s="1" t="s">
        <v>55</v>
      </c>
      <c r="K46" s="1" t="s">
        <v>56</v>
      </c>
      <c r="L46" s="1" t="str">
        <f t="shared" si="0"/>
        <v>GAY BROWNE</v>
      </c>
      <c r="M46" s="1" t="s">
        <v>59</v>
      </c>
      <c r="N46" s="1" t="s">
        <v>60</v>
      </c>
      <c r="O46" s="1">
        <v>20250701</v>
      </c>
      <c r="P46" s="2" t="str">
        <f>TEXT(DATE(LEFT(O46,4), MID(O46,5,2), RIGHT(O46,2)), "M/d/yyyy")</f>
        <v>7/1/2025</v>
      </c>
      <c r="Q46" s="1">
        <v>11.4</v>
      </c>
      <c r="R46" s="1">
        <v>11.4</v>
      </c>
      <c r="S46" s="1">
        <v>0.91</v>
      </c>
      <c r="T46" s="1">
        <v>8</v>
      </c>
      <c r="U46" s="3">
        <f t="shared" si="1"/>
        <v>0.91200000000000003</v>
      </c>
      <c r="V46" s="1" t="s">
        <v>323</v>
      </c>
    </row>
    <row r="47" spans="1:22" x14ac:dyDescent="0.25">
      <c r="A47" s="1" t="s">
        <v>93</v>
      </c>
      <c r="B47" s="1" t="s">
        <v>94</v>
      </c>
      <c r="C47" s="1" t="str">
        <f>CONCATENATE(B47, " ",A47)</f>
        <v>Carol Foley</v>
      </c>
      <c r="D47" s="1" t="s">
        <v>312</v>
      </c>
      <c r="E47" s="1">
        <v>441726411</v>
      </c>
      <c r="F47" s="1">
        <v>20230101</v>
      </c>
      <c r="G47" s="2" t="str">
        <f>TEXT(DATE(LEFT(F47,4), MID(F47,5,2), RIGHT(F47,2)), "M/d/yyyy")</f>
        <v>1/1/2023</v>
      </c>
      <c r="H47" s="1">
        <v>20221221</v>
      </c>
      <c r="I47" s="1" t="s">
        <v>96</v>
      </c>
      <c r="J47" s="1" t="s">
        <v>97</v>
      </c>
      <c r="K47" s="1" t="s">
        <v>98</v>
      </c>
      <c r="L47" s="1" t="str">
        <f t="shared" si="0"/>
        <v>VINCENT IDEO</v>
      </c>
      <c r="M47" s="1" t="s">
        <v>59</v>
      </c>
      <c r="N47" s="1" t="s">
        <v>60</v>
      </c>
      <c r="O47" s="1">
        <v>20250701</v>
      </c>
      <c r="P47" s="2" t="str">
        <f>TEXT(DATE(LEFT(O47,4), MID(O47,5,2), RIGHT(O47,2)), "M/d/yyyy")</f>
        <v>7/1/2025</v>
      </c>
      <c r="Q47" s="1">
        <v>11.4</v>
      </c>
      <c r="R47" s="1">
        <v>11.4</v>
      </c>
      <c r="S47" s="1">
        <v>0.91</v>
      </c>
      <c r="T47" s="1">
        <v>8</v>
      </c>
      <c r="U47" s="3">
        <f t="shared" si="1"/>
        <v>0.91200000000000003</v>
      </c>
      <c r="V47" s="1" t="s">
        <v>323</v>
      </c>
    </row>
    <row r="48" spans="1:22" x14ac:dyDescent="0.25">
      <c r="A48" s="1" t="s">
        <v>93</v>
      </c>
      <c r="B48" s="1" t="s">
        <v>94</v>
      </c>
      <c r="C48" s="1" t="str">
        <f>CONCATENATE(B48, " ",A48)</f>
        <v>Carol Foley</v>
      </c>
      <c r="D48" s="1" t="s">
        <v>312</v>
      </c>
      <c r="E48" s="1">
        <v>441853073</v>
      </c>
      <c r="F48" s="1">
        <v>20230302</v>
      </c>
      <c r="G48" s="2" t="str">
        <f>TEXT(DATE(LEFT(F48,4), MID(F48,5,2), RIGHT(F48,2)), "M/d/yyyy")</f>
        <v>3/2/2023</v>
      </c>
      <c r="H48" s="1">
        <v>20230301</v>
      </c>
      <c r="I48" s="1" t="s">
        <v>96</v>
      </c>
      <c r="J48" s="1" t="s">
        <v>101</v>
      </c>
      <c r="K48" s="1" t="s">
        <v>102</v>
      </c>
      <c r="L48" s="1" t="str">
        <f t="shared" si="0"/>
        <v>JEREMY WORKMAN</v>
      </c>
      <c r="M48" s="1" t="s">
        <v>59</v>
      </c>
      <c r="N48" s="1" t="s">
        <v>60</v>
      </c>
      <c r="O48" s="1">
        <v>20250701</v>
      </c>
      <c r="P48" s="2" t="str">
        <f>TEXT(DATE(LEFT(O48,4), MID(O48,5,2), RIGHT(O48,2)), "M/d/yyyy")</f>
        <v>7/1/2025</v>
      </c>
      <c r="Q48" s="1">
        <v>11.4</v>
      </c>
      <c r="R48" s="1">
        <v>11.4</v>
      </c>
      <c r="S48" s="1">
        <v>0.91</v>
      </c>
      <c r="T48" s="1">
        <v>8</v>
      </c>
      <c r="U48" s="3">
        <f t="shared" si="1"/>
        <v>0.91200000000000003</v>
      </c>
      <c r="V48" s="1" t="s">
        <v>323</v>
      </c>
    </row>
    <row r="49" spans="1:22" x14ac:dyDescent="0.25">
      <c r="A49" s="1" t="s">
        <v>93</v>
      </c>
      <c r="B49" s="1" t="s">
        <v>94</v>
      </c>
      <c r="C49" s="1" t="str">
        <f>CONCATENATE(B49, " ",A49)</f>
        <v>Carol Foley</v>
      </c>
      <c r="D49" s="1" t="s">
        <v>312</v>
      </c>
      <c r="E49" s="1">
        <v>441913483</v>
      </c>
      <c r="F49" s="1">
        <v>20230601</v>
      </c>
      <c r="G49" s="2" t="str">
        <f>TEXT(DATE(LEFT(F49,4), MID(F49,5,2), RIGHT(F49,2)), "M/d/yyyy")</f>
        <v>6/1/2023</v>
      </c>
      <c r="H49" s="1">
        <v>20230407</v>
      </c>
      <c r="I49" s="1" t="s">
        <v>96</v>
      </c>
      <c r="J49" s="1" t="s">
        <v>111</v>
      </c>
      <c r="K49" s="1" t="s">
        <v>112</v>
      </c>
      <c r="L49" s="1" t="str">
        <f t="shared" si="0"/>
        <v>HOWARD MAISENHELDER</v>
      </c>
      <c r="M49" s="1" t="s">
        <v>59</v>
      </c>
      <c r="N49" s="1" t="s">
        <v>60</v>
      </c>
      <c r="O49" s="1">
        <v>20250701</v>
      </c>
      <c r="P49" s="2" t="str">
        <f>TEXT(DATE(LEFT(O49,4), MID(O49,5,2), RIGHT(O49,2)), "M/d/yyyy")</f>
        <v>7/1/2025</v>
      </c>
      <c r="Q49" s="1">
        <v>11.4</v>
      </c>
      <c r="R49" s="1">
        <v>11.4</v>
      </c>
      <c r="S49" s="1">
        <v>0.91</v>
      </c>
      <c r="T49" s="1">
        <v>8</v>
      </c>
      <c r="U49" s="3">
        <f t="shared" si="1"/>
        <v>0.91200000000000003</v>
      </c>
      <c r="V49" s="1" t="s">
        <v>323</v>
      </c>
    </row>
    <row r="50" spans="1:22" x14ac:dyDescent="0.25">
      <c r="A50" s="1" t="s">
        <v>93</v>
      </c>
      <c r="B50" s="1" t="s">
        <v>94</v>
      </c>
      <c r="C50" s="1" t="str">
        <f>CONCATENATE(B50, " ",A50)</f>
        <v>Carol Foley</v>
      </c>
      <c r="D50" s="1" t="s">
        <v>312</v>
      </c>
      <c r="E50" s="1">
        <v>442293037</v>
      </c>
      <c r="F50" s="1">
        <v>20231121</v>
      </c>
      <c r="G50" s="2" t="str">
        <f>TEXT(DATE(LEFT(F50,4), MID(F50,5,2), RIGHT(F50,2)), "M/d/yyyy")</f>
        <v>11/21/2023</v>
      </c>
      <c r="H50" s="1">
        <v>20231120</v>
      </c>
      <c r="I50" s="1" t="s">
        <v>96</v>
      </c>
      <c r="J50" s="1" t="s">
        <v>122</v>
      </c>
      <c r="K50" s="1" t="s">
        <v>123</v>
      </c>
      <c r="L50" s="1" t="str">
        <f t="shared" si="0"/>
        <v>ANNA CABOT</v>
      </c>
      <c r="M50" s="1" t="s">
        <v>59</v>
      </c>
      <c r="N50" s="1" t="s">
        <v>60</v>
      </c>
      <c r="O50" s="1">
        <v>20250701</v>
      </c>
      <c r="P50" s="2" t="str">
        <f>TEXT(DATE(LEFT(O50,4), MID(O50,5,2), RIGHT(O50,2)), "M/d/yyyy")</f>
        <v>7/1/2025</v>
      </c>
      <c r="Q50" s="1">
        <v>11.4</v>
      </c>
      <c r="R50" s="1">
        <v>11.4</v>
      </c>
      <c r="S50" s="1">
        <v>0.91</v>
      </c>
      <c r="T50" s="1">
        <v>8</v>
      </c>
      <c r="U50" s="3">
        <f t="shared" si="1"/>
        <v>0.91200000000000003</v>
      </c>
      <c r="V50" s="1" t="s">
        <v>323</v>
      </c>
    </row>
    <row r="51" spans="1:22" x14ac:dyDescent="0.25">
      <c r="A51" s="1" t="s">
        <v>93</v>
      </c>
      <c r="B51" s="1" t="s">
        <v>94</v>
      </c>
      <c r="C51" s="1" t="str">
        <f>CONCATENATE(B51, " ",A51)</f>
        <v>Carol Foley</v>
      </c>
      <c r="D51" s="1" t="s">
        <v>312</v>
      </c>
      <c r="E51" s="1">
        <v>442363899</v>
      </c>
      <c r="F51" s="1">
        <v>20231214</v>
      </c>
      <c r="G51" s="2" t="str">
        <f>TEXT(DATE(LEFT(F51,4), MID(F51,5,2), RIGHT(F51,2)), "M/d/yyyy")</f>
        <v>12/14/2023</v>
      </c>
      <c r="H51" s="1">
        <v>20231213</v>
      </c>
      <c r="I51" s="1" t="s">
        <v>96</v>
      </c>
      <c r="J51" s="1" t="s">
        <v>134</v>
      </c>
      <c r="K51" s="1" t="s">
        <v>135</v>
      </c>
      <c r="L51" s="1" t="str">
        <f t="shared" si="0"/>
        <v>STUART STURROCK</v>
      </c>
      <c r="M51" s="1" t="s">
        <v>59</v>
      </c>
      <c r="N51" s="1" t="s">
        <v>60</v>
      </c>
      <c r="O51" s="1">
        <v>20250701</v>
      </c>
      <c r="P51" s="2" t="str">
        <f>TEXT(DATE(LEFT(O51,4), MID(O51,5,2), RIGHT(O51,2)), "M/d/yyyy")</f>
        <v>7/1/2025</v>
      </c>
      <c r="Q51" s="1">
        <v>11.4</v>
      </c>
      <c r="R51" s="1">
        <v>11.4</v>
      </c>
      <c r="S51" s="1">
        <v>0.91</v>
      </c>
      <c r="T51" s="1">
        <v>8</v>
      </c>
      <c r="U51" s="3">
        <f t="shared" si="1"/>
        <v>0.91200000000000003</v>
      </c>
      <c r="V51" s="1" t="s">
        <v>323</v>
      </c>
    </row>
    <row r="52" spans="1:22" x14ac:dyDescent="0.25">
      <c r="A52" s="1" t="s">
        <v>154</v>
      </c>
      <c r="B52" s="1" t="s">
        <v>155</v>
      </c>
      <c r="C52" s="1" t="str">
        <f>CONCATENATE(B52, " ",A52)</f>
        <v>Jason Hoffmann</v>
      </c>
      <c r="D52" s="1">
        <v>15278437</v>
      </c>
      <c r="E52" s="1">
        <v>441696456</v>
      </c>
      <c r="F52" s="1">
        <v>20221213</v>
      </c>
      <c r="G52" s="2" t="str">
        <f>TEXT(DATE(LEFT(F52,4), MID(F52,5,2), RIGHT(F52,2)), "M/d/yyyy")</f>
        <v>12/13/2022</v>
      </c>
      <c r="H52" s="1">
        <v>20221212</v>
      </c>
      <c r="I52" s="1" t="s">
        <v>96</v>
      </c>
      <c r="J52" s="1" t="s">
        <v>157</v>
      </c>
      <c r="K52" s="1" t="s">
        <v>158</v>
      </c>
      <c r="L52" s="1" t="str">
        <f t="shared" si="0"/>
        <v>KARA COWEN</v>
      </c>
      <c r="M52" s="1" t="s">
        <v>59</v>
      </c>
      <c r="N52" s="1" t="s">
        <v>60</v>
      </c>
      <c r="O52" s="1">
        <v>20250701</v>
      </c>
      <c r="P52" s="2" t="str">
        <f>TEXT(DATE(LEFT(O52,4), MID(O52,5,2), RIGHT(O52,2)), "M/d/yyyy")</f>
        <v>7/1/2025</v>
      </c>
      <c r="Q52" s="1">
        <v>11.4</v>
      </c>
      <c r="R52" s="1">
        <v>11.4</v>
      </c>
      <c r="S52" s="1">
        <v>0.91</v>
      </c>
      <c r="T52" s="1">
        <v>8</v>
      </c>
      <c r="U52" s="3">
        <f t="shared" si="1"/>
        <v>0.91200000000000003</v>
      </c>
      <c r="V52" s="1" t="s">
        <v>323</v>
      </c>
    </row>
    <row r="53" spans="1:22" x14ac:dyDescent="0.25">
      <c r="A53" s="1" t="s">
        <v>51</v>
      </c>
      <c r="B53" s="1" t="s">
        <v>222</v>
      </c>
      <c r="C53" s="1" t="str">
        <f>CONCATENATE(B53, " ",A53)</f>
        <v>Peter Richter</v>
      </c>
      <c r="D53" s="1">
        <v>16509456</v>
      </c>
      <c r="E53" s="1">
        <v>442289311</v>
      </c>
      <c r="F53" s="1">
        <v>20231118</v>
      </c>
      <c r="G53" s="2" t="str">
        <f>TEXT(DATE(LEFT(F53,4), MID(F53,5,2), RIGHT(F53,2)), "M/d/yyyy")</f>
        <v>11/18/2023</v>
      </c>
      <c r="H53" s="1">
        <v>20231117</v>
      </c>
      <c r="I53" s="1" t="s">
        <v>96</v>
      </c>
      <c r="J53" s="1" t="s">
        <v>246</v>
      </c>
      <c r="K53" s="1" t="s">
        <v>247</v>
      </c>
      <c r="L53" s="1" t="str">
        <f t="shared" si="0"/>
        <v>THERESA COLE</v>
      </c>
      <c r="M53" s="1" t="s">
        <v>59</v>
      </c>
      <c r="N53" s="1" t="s">
        <v>60</v>
      </c>
      <c r="O53" s="1">
        <v>20250701</v>
      </c>
      <c r="P53" s="2" t="str">
        <f>TEXT(DATE(LEFT(O53,4), MID(O53,5,2), RIGHT(O53,2)), "M/d/yyyy")</f>
        <v>7/1/2025</v>
      </c>
      <c r="Q53" s="1">
        <v>15.7</v>
      </c>
      <c r="R53" s="1">
        <v>15.7</v>
      </c>
      <c r="S53" s="1">
        <v>1.26</v>
      </c>
      <c r="T53" s="1">
        <v>8</v>
      </c>
      <c r="U53" s="3">
        <f t="shared" si="1"/>
        <v>1.256</v>
      </c>
      <c r="V53" s="1" t="s">
        <v>323</v>
      </c>
    </row>
    <row r="54" spans="1:22" x14ac:dyDescent="0.25">
      <c r="A54" s="1" t="s">
        <v>93</v>
      </c>
      <c r="B54" s="1" t="s">
        <v>94</v>
      </c>
      <c r="C54" s="1" t="str">
        <f>CONCATENATE(B54, " ",A54)</f>
        <v>Carol Foley</v>
      </c>
      <c r="D54" s="1" t="s">
        <v>312</v>
      </c>
      <c r="E54" s="1">
        <v>442477122</v>
      </c>
      <c r="F54" s="1">
        <v>20240206</v>
      </c>
      <c r="G54" s="2" t="str">
        <f>TEXT(DATE(LEFT(F54,4), MID(F54,5,2), RIGHT(F54,2)), "M/d/yyyy")</f>
        <v>2/6/2024</v>
      </c>
      <c r="H54" s="1">
        <v>20240205</v>
      </c>
      <c r="I54" s="1" t="s">
        <v>96</v>
      </c>
      <c r="J54" s="1" t="s">
        <v>138</v>
      </c>
      <c r="K54" s="1" t="s">
        <v>139</v>
      </c>
      <c r="L54" s="1" t="str">
        <f t="shared" si="0"/>
        <v>MONIQUE SEYLER</v>
      </c>
      <c r="M54" s="1" t="s">
        <v>142</v>
      </c>
      <c r="N54" s="1" t="s">
        <v>143</v>
      </c>
      <c r="O54" s="1">
        <v>20250701</v>
      </c>
      <c r="P54" s="2" t="str">
        <f>TEXT(DATE(LEFT(O54,4), MID(O54,5,2), RIGHT(O54,2)), "M/d/yyyy")</f>
        <v>7/1/2025</v>
      </c>
      <c r="Q54" s="1">
        <v>13.28</v>
      </c>
      <c r="R54" s="1">
        <v>13.28</v>
      </c>
      <c r="S54" s="1">
        <v>0.93</v>
      </c>
      <c r="T54" s="1">
        <v>7</v>
      </c>
      <c r="U54" s="3">
        <f t="shared" si="1"/>
        <v>0.92960000000000009</v>
      </c>
      <c r="V54" s="1" t="s">
        <v>320</v>
      </c>
    </row>
    <row r="55" spans="1:22" x14ac:dyDescent="0.25">
      <c r="A55" s="1" t="s">
        <v>51</v>
      </c>
      <c r="B55" s="1" t="s">
        <v>222</v>
      </c>
      <c r="C55" s="1" t="str">
        <f>CONCATENATE(B55, " ",A55)</f>
        <v>Peter Richter</v>
      </c>
      <c r="D55" s="1">
        <v>16509456</v>
      </c>
      <c r="E55" s="1">
        <v>442505686</v>
      </c>
      <c r="F55" s="1">
        <v>20240222</v>
      </c>
      <c r="G55" s="2" t="str">
        <f>TEXT(DATE(LEFT(F55,4), MID(F55,5,2), RIGHT(F55,2)), "M/d/yyyy")</f>
        <v>2/22/2024</v>
      </c>
      <c r="H55" s="1">
        <v>20240221</v>
      </c>
      <c r="I55" s="1" t="s">
        <v>65</v>
      </c>
      <c r="J55" s="1" t="s">
        <v>70</v>
      </c>
      <c r="K55" s="1" t="s">
        <v>253</v>
      </c>
      <c r="L55" s="1" t="str">
        <f t="shared" si="0"/>
        <v>KEVIN MILLER</v>
      </c>
      <c r="M55" s="1" t="s">
        <v>142</v>
      </c>
      <c r="N55" s="1" t="s">
        <v>143</v>
      </c>
      <c r="O55" s="1">
        <v>20250701</v>
      </c>
      <c r="P55" s="2" t="str">
        <f>TEXT(DATE(LEFT(O55,4), MID(O55,5,2), RIGHT(O55,2)), "M/d/yyyy")</f>
        <v>7/1/2025</v>
      </c>
      <c r="Q55" s="1">
        <v>13.28</v>
      </c>
      <c r="R55" s="1">
        <v>13.28</v>
      </c>
      <c r="S55" s="1">
        <v>0.93</v>
      </c>
      <c r="T55" s="1">
        <v>7</v>
      </c>
      <c r="U55" s="3">
        <f t="shared" si="1"/>
        <v>0.92960000000000009</v>
      </c>
      <c r="V55" s="1" t="s">
        <v>320</v>
      </c>
    </row>
    <row r="56" spans="1:22" x14ac:dyDescent="0.25">
      <c r="A56" s="1" t="s">
        <v>51</v>
      </c>
      <c r="B56" s="1" t="s">
        <v>222</v>
      </c>
      <c r="C56" s="1" t="str">
        <f>CONCATENATE(B56, " ",A56)</f>
        <v>Peter Richter</v>
      </c>
      <c r="D56" s="1">
        <v>16509456</v>
      </c>
      <c r="E56" s="1">
        <v>442508319</v>
      </c>
      <c r="F56" s="1">
        <v>20240223</v>
      </c>
      <c r="G56" s="2" t="str">
        <f>TEXT(DATE(LEFT(F56,4), MID(F56,5,2), RIGHT(F56,2)), "M/d/yyyy")</f>
        <v>2/23/2024</v>
      </c>
      <c r="H56" s="1">
        <v>20240222</v>
      </c>
      <c r="I56" s="1" t="s">
        <v>65</v>
      </c>
      <c r="J56" s="1" t="s">
        <v>255</v>
      </c>
      <c r="K56" s="1" t="s">
        <v>256</v>
      </c>
      <c r="L56" s="1" t="str">
        <f t="shared" si="0"/>
        <v>MARYURI MEMBRENO NAVAS</v>
      </c>
      <c r="M56" s="1" t="s">
        <v>142</v>
      </c>
      <c r="N56" s="1" t="s">
        <v>143</v>
      </c>
      <c r="O56" s="1">
        <v>20250701</v>
      </c>
      <c r="P56" s="2" t="str">
        <f>TEXT(DATE(LEFT(O56,4), MID(O56,5,2), RIGHT(O56,2)), "M/d/yyyy")</f>
        <v>7/1/2025</v>
      </c>
      <c r="Q56" s="1">
        <v>13.28</v>
      </c>
      <c r="R56" s="1">
        <v>13.28</v>
      </c>
      <c r="S56" s="1">
        <v>0.93</v>
      </c>
      <c r="T56" s="1">
        <v>7</v>
      </c>
      <c r="U56" s="3">
        <f t="shared" si="1"/>
        <v>0.92960000000000009</v>
      </c>
      <c r="V56" s="1" t="s">
        <v>320</v>
      </c>
    </row>
    <row r="57" spans="1:22" x14ac:dyDescent="0.25">
      <c r="A57" s="1" t="s">
        <v>51</v>
      </c>
      <c r="B57" s="1" t="s">
        <v>222</v>
      </c>
      <c r="C57" s="1" t="str">
        <f>CONCATENATE(B57, " ",A57)</f>
        <v>Peter Richter</v>
      </c>
      <c r="D57" s="1">
        <v>16509456</v>
      </c>
      <c r="E57" s="1">
        <v>442580059</v>
      </c>
      <c r="F57" s="1">
        <v>20240401</v>
      </c>
      <c r="G57" s="2" t="str">
        <f>TEXT(DATE(LEFT(F57,4), MID(F57,5,2), RIGHT(F57,2)), "M/d/yyyy")</f>
        <v>4/1/2024</v>
      </c>
      <c r="H57" s="1">
        <v>20240330</v>
      </c>
      <c r="I57" s="1" t="s">
        <v>65</v>
      </c>
      <c r="J57" s="1" t="s">
        <v>258</v>
      </c>
      <c r="K57" s="1" t="s">
        <v>259</v>
      </c>
      <c r="L57" s="1" t="str">
        <f t="shared" si="0"/>
        <v>AMY RYZENGA</v>
      </c>
      <c r="M57" s="1" t="s">
        <v>142</v>
      </c>
      <c r="N57" s="1" t="s">
        <v>143</v>
      </c>
      <c r="O57" s="1">
        <v>20250701</v>
      </c>
      <c r="P57" s="2" t="str">
        <f>TEXT(DATE(LEFT(O57,4), MID(O57,5,2), RIGHT(O57,2)), "M/d/yyyy")</f>
        <v>7/1/2025</v>
      </c>
      <c r="Q57" s="1">
        <v>13.28</v>
      </c>
      <c r="R57" s="1">
        <v>13.28</v>
      </c>
      <c r="S57" s="1">
        <v>0.93</v>
      </c>
      <c r="T57" s="1">
        <v>7</v>
      </c>
      <c r="U57" s="3">
        <f t="shared" si="1"/>
        <v>0.92960000000000009</v>
      </c>
      <c r="V57" s="1" t="s">
        <v>320</v>
      </c>
    </row>
  </sheetData>
  <sortState xmlns:xlrd2="http://schemas.microsoft.com/office/spreadsheetml/2017/richdata2" ref="A2:BA57">
    <sortCondition ref="N2:N57"/>
    <sortCondition ref="T2:T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2025-07-14T13:22:49Z</dcterms:created>
  <dcterms:modified xsi:type="dcterms:W3CDTF">2025-07-14T20:57:14Z</dcterms:modified>
</cp:coreProperties>
</file>