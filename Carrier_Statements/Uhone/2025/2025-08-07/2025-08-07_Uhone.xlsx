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8-07-25\"/>
    </mc:Choice>
  </mc:AlternateContent>
  <xr:revisionPtr revIDLastSave="0" documentId="13_ncr:1_{2C26AB3E-CC74-4700-AE8B-9A4C26D1DEFA}" xr6:coauthVersionLast="47" xr6:coauthVersionMax="47" xr10:uidLastSave="{00000000-0000-0000-0000-000000000000}"/>
  <bookViews>
    <workbookView xWindow="28680" yWindow="-120" windowWidth="29040" windowHeight="16440" activeTab="1" xr2:uid="{C1331914-5075-4162-B54C-9ED1BC0E1BBA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17" i="2" l="1"/>
  <c r="G18" i="2"/>
  <c r="G19" i="2"/>
  <c r="G20" i="2"/>
  <c r="G21" i="2"/>
  <c r="G36" i="2"/>
  <c r="G37" i="2"/>
  <c r="G4" i="2"/>
  <c r="G38" i="2"/>
  <c r="G6" i="2"/>
  <c r="G2" i="2"/>
  <c r="G9" i="2"/>
  <c r="G22" i="2"/>
  <c r="G39" i="2"/>
  <c r="G10" i="2"/>
  <c r="G23" i="2"/>
  <c r="G24" i="2"/>
  <c r="G25" i="2"/>
  <c r="G26" i="2"/>
  <c r="G27" i="2"/>
  <c r="G28" i="2"/>
  <c r="G16" i="2"/>
  <c r="G8" i="2"/>
  <c r="G29" i="2"/>
  <c r="G30" i="2"/>
  <c r="G7" i="2"/>
  <c r="G5" i="2"/>
  <c r="G31" i="2"/>
  <c r="G32" i="2"/>
  <c r="G40" i="2"/>
  <c r="G3" i="2"/>
  <c r="G11" i="2"/>
  <c r="G33" i="2"/>
  <c r="G34" i="2"/>
  <c r="G12" i="2"/>
  <c r="G14" i="2"/>
  <c r="G13" i="2"/>
  <c r="G15" i="2"/>
  <c r="G35" i="2"/>
  <c r="K17" i="2"/>
  <c r="K18" i="2"/>
  <c r="K19" i="2"/>
  <c r="K20" i="2"/>
  <c r="K21" i="2"/>
  <c r="K36" i="2"/>
  <c r="K37" i="2"/>
  <c r="K4" i="2"/>
  <c r="K38" i="2"/>
  <c r="K6" i="2"/>
  <c r="K2" i="2"/>
  <c r="K9" i="2"/>
  <c r="K22" i="2"/>
  <c r="K39" i="2"/>
  <c r="K10" i="2"/>
  <c r="K23" i="2"/>
  <c r="K24" i="2"/>
  <c r="K25" i="2"/>
  <c r="K26" i="2"/>
  <c r="K27" i="2"/>
  <c r="K28" i="2"/>
  <c r="K16" i="2"/>
  <c r="K8" i="2"/>
  <c r="K29" i="2"/>
  <c r="K30" i="2"/>
  <c r="K7" i="2"/>
  <c r="K5" i="2"/>
  <c r="K31" i="2"/>
  <c r="K32" i="2"/>
  <c r="K40" i="2"/>
  <c r="K3" i="2"/>
  <c r="K11" i="2"/>
  <c r="K33" i="2"/>
  <c r="K34" i="2"/>
  <c r="K12" i="2"/>
  <c r="K14" i="2"/>
  <c r="K13" i="2"/>
  <c r="K15" i="2"/>
  <c r="K35" i="2"/>
  <c r="C17" i="2"/>
  <c r="C18" i="2"/>
  <c r="C19" i="2"/>
  <c r="C20" i="2"/>
  <c r="C21" i="2"/>
  <c r="C36" i="2"/>
  <c r="C37" i="2"/>
  <c r="C4" i="2"/>
  <c r="C38" i="2"/>
  <c r="C6" i="2"/>
  <c r="C2" i="2"/>
  <c r="C9" i="2"/>
  <c r="C22" i="2"/>
  <c r="C39" i="2"/>
  <c r="C10" i="2"/>
  <c r="C23" i="2"/>
  <c r="C24" i="2"/>
  <c r="C25" i="2"/>
  <c r="C26" i="2"/>
  <c r="C27" i="2"/>
  <c r="C28" i="2"/>
  <c r="C16" i="2"/>
  <c r="C8" i="2"/>
  <c r="C29" i="2"/>
  <c r="C30" i="2"/>
  <c r="C7" i="2"/>
  <c r="C5" i="2"/>
  <c r="C31" i="2"/>
  <c r="C32" i="2"/>
  <c r="C40" i="2"/>
  <c r="C3" i="2"/>
  <c r="C11" i="2"/>
  <c r="C33" i="2"/>
  <c r="C34" i="2"/>
  <c r="C12" i="2"/>
  <c r="C14" i="2"/>
  <c r="C13" i="2"/>
  <c r="C15" i="2"/>
  <c r="C35" i="2"/>
</calcChain>
</file>

<file path=xl/sharedStrings.xml><?xml version="1.0" encoding="utf-8"?>
<sst xmlns="http://schemas.openxmlformats.org/spreadsheetml/2006/main" count="1263" uniqueCount="251">
  <si>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</si>
  <si>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</si>
  <si>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</si>
  <si>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</si>
  <si>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</si>
  <si>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</si>
  <si>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</si>
  <si>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</si>
  <si>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</si>
  <si>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</si>
  <si>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</si>
  <si>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</si>
  <si>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</si>
  <si>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</si>
  <si>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</si>
  <si>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</si>
  <si>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</si>
  <si>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</si>
  <si>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</si>
  <si>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</si>
  <si>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</si>
  <si>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</si>
  <si>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</si>
  <si>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</si>
  <si>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</si>
  <si>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</si>
  <si>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</si>
  <si>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</si>
  <si>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</si>
  <si>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</si>
  <si>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</si>
  <si>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</si>
  <si>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</si>
  <si>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</si>
  <si>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</si>
  <si>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</si>
  <si>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</si>
  <si>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</si>
  <si>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</si>
  <si>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</si>
  <si>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</si>
  <si>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</si>
  <si>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</si>
  <si>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</si>
  <si>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</si>
  <si>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</si>
  <si>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</si>
  <si>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</si>
  <si>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</si>
  <si>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</si>
  <si>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</si>
  <si>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</si>
  <si>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</si>
  <si>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</si>
  <si>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</si>
  <si>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</si>
  <si>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</si>
  <si>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</si>
  <si>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</si>
  <si>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</si>
  <si>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</si>
  <si>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</si>
  <si>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</si>
  <si>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</si>
  <si>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</si>
  <si>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</si>
  <si>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</si>
  <si>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</si>
  <si>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89 Ashley Ct</t>
  </si>
  <si>
    <t>Myersville</t>
  </si>
  <si>
    <t>21773-8417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</si>
  <si>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</si>
  <si>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</si>
  <si>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</si>
  <si>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</si>
  <si>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</si>
  <si>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</si>
  <si>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</si>
  <si>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</si>
  <si>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</si>
  <si>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MOBOLAJI</t>
  </si>
  <si>
    <t>FOWOSE</t>
  </si>
  <si>
    <t>2109 Oak Rd</t>
  </si>
  <si>
    <t>Sparrows Pt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</si>
  <si>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</si>
  <si>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</si>
  <si>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</si>
  <si>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</si>
  <si>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</si>
  <si>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</si>
  <si>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</si>
  <si>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</si>
  <si>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</si>
  <si>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</si>
  <si>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</si>
  <si>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</si>
  <si>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</si>
  <si>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</si>
  <si>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</si>
  <si>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</si>
  <si>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</si>
  <si>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</si>
  <si>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</si>
  <si>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</si>
  <si>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</si>
  <si>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</si>
  <si>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</si>
  <si>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</si>
  <si>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</si>
  <si>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</si>
  <si>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</si>
  <si>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</si>
  <si>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</si>
  <si>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4450 Sherwood Forest Dr</t>
  </si>
  <si>
    <t>Titusville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</si>
  <si>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</si>
  <si>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</si>
  <si>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</si>
  <si>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</si>
  <si>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</si>
  <si>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</si>
  <si>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</si>
  <si>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</si>
  <si>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</si>
  <si>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</si>
  <si>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</si>
  <si>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Hoffmann</t>
  </si>
  <si>
    <t>Jason</t>
  </si>
  <si>
    <t>XXX-XX-4575</t>
  </si>
  <si>
    <t>KARA</t>
  </si>
  <si>
    <t>COWEN</t>
  </si>
  <si>
    <t>995 Ridgewood Ln</t>
  </si>
  <si>
    <t>West Chester</t>
  </si>
  <si>
    <t>OH</t>
  </si>
  <si>
    <t>DOUGLAS</t>
  </si>
  <si>
    <t>GEISSINGER</t>
  </si>
  <si>
    <t>2151 Mount Pleasant St Nw</t>
  </si>
  <si>
    <t>North Canton</t>
  </si>
  <si>
    <t>3303239338 EXT.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</si>
  <si>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</si>
  <si>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</si>
  <si>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</si>
  <si>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</si>
  <si>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</si>
  <si>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</si>
  <si>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</si>
  <si>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</si>
  <si>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</si>
  <si>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CASSANDRA</t>
  </si>
  <si>
    <t>KRAHAM</t>
  </si>
  <si>
    <t>1100 Ednor Rd</t>
  </si>
  <si>
    <t>Silver Spring</t>
  </si>
  <si>
    <t>MICHAEL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</si>
  <si>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</si>
  <si>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</si>
  <si>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</si>
  <si>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</si>
  <si>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</si>
  <si>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</si>
  <si>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</si>
  <si>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ANGELA</t>
  </si>
  <si>
    <t>DAVIS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</si>
  <si>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</si>
  <si>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</si>
  <si>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</si>
  <si>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</si>
  <si>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</si>
  <si>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</si>
  <si>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</si>
  <si>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</si>
  <si>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</si>
  <si>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</si>
  <si>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</si>
  <si>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</si>
  <si>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</si>
  <si>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</si>
  <si>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</si>
  <si>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</si>
  <si>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</si>
  <si>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</si>
  <si>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</si>
  <si>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</si>
  <si>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</si>
  <si>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</si>
  <si>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</si>
  <si>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</si>
  <si>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</si>
  <si>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</si>
  <si>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</si>
  <si>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</si>
  <si>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</si>
  <si>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</si>
  <si>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</si>
  <si>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</si>
  <si>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</si>
  <si>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</si>
  <si>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</si>
  <si>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</si>
  <si>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AMY</t>
  </si>
  <si>
    <t>RYZENGA</t>
  </si>
  <si>
    <t>4 Fordham Ct</t>
  </si>
  <si>
    <t>Millersville</t>
  </si>
  <si>
    <t>VisionWise Premier</t>
  </si>
  <si>
    <t>VisionWise Base</t>
  </si>
  <si>
    <t>Kucan</t>
  </si>
  <si>
    <t>Thomas</t>
  </si>
  <si>
    <t>XXX-XX-4686</t>
  </si>
  <si>
    <t>ASHLEY</t>
  </si>
  <si>
    <t>SOUBIE</t>
  </si>
  <si>
    <t>2205 Byrnes Ct Apt A</t>
  </si>
  <si>
    <t>4104590992 EXT.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</si>
  <si>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</si>
  <si>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</si>
  <si>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</si>
  <si>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</si>
  <si>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</si>
  <si>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</si>
  <si>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</si>
  <si>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</si>
  <si>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</si>
  <si>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AUDREY</t>
  </si>
  <si>
    <t>ROZIER</t>
  </si>
  <si>
    <t>933 Oakmoor Dr</t>
  </si>
  <si>
    <t>Halethorpe</t>
  </si>
  <si>
    <t>4437645521 EXT.</t>
  </si>
  <si>
    <t>DentalWise Max 2000</t>
  </si>
  <si>
    <t>DentalWise Base</t>
  </si>
  <si>
    <t>FREDERICK</t>
  </si>
  <si>
    <t>HUTCHINSON</t>
  </si>
  <si>
    <t>30400 Sothorons Desire Way</t>
  </si>
  <si>
    <t>Charlotte Hall</t>
  </si>
  <si>
    <t>20622-3130</t>
  </si>
  <si>
    <t>3018484218 EXT.</t>
  </si>
  <si>
    <t>DentalWise Max 1000</t>
  </si>
  <si>
    <t>ALEXIS</t>
  </si>
  <si>
    <t>DUKE</t>
  </si>
  <si>
    <t>727 Little New York Road</t>
  </si>
  <si>
    <t>Rising Sun</t>
  </si>
  <si>
    <t>4438340069 EXT.</t>
  </si>
  <si>
    <t>DentalWise Max 3000</t>
  </si>
  <si>
    <t>17425766old</t>
  </si>
  <si>
    <t>Uhone Accident ExpenseGuard</t>
  </si>
  <si>
    <t>uhone Critical Life SafeGrd 20</t>
  </si>
  <si>
    <t>Uhone Dental Gen</t>
  </si>
  <si>
    <t>Uhone Dental Premier</t>
  </si>
  <si>
    <t>UHONE dental premier*</t>
  </si>
  <si>
    <t>Uhone Dental Primary</t>
  </si>
  <si>
    <t>Uhone DentalWise 1000, 2000 (all states except CO, FL, NM, NV, RI, SD, WA) 18-64</t>
  </si>
  <si>
    <t>Uhone Guard Plan</t>
  </si>
  <si>
    <t>Uhone Vision - DE, FL, IN, KY, MD, OH, NJ, SC, TN, VT</t>
  </si>
  <si>
    <t>Uhone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</si>
</sst>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5056-6475-4795-95C4-3408424872A7}">
  <dimension ref="A1:AV40"/>
  <sheetViews>
    <sheetView topLeftCell="T1" workbookViewId="0">
      <selection activeCell="T1" sqref="A1:XFD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20250814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3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60</v>
      </c>
      <c r="AG2" t="s">
        <v>61</v>
      </c>
      <c r="AH2" t="s">
        <v>62</v>
      </c>
      <c r="AI2">
        <v>20250801</v>
      </c>
      <c r="AJ2" t="s">
        <v>63</v>
      </c>
      <c r="AK2" t="s">
        <v>63</v>
      </c>
      <c r="AL2">
        <v>1</v>
      </c>
      <c r="AM2">
        <v>20250806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20250814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3</v>
      </c>
      <c r="P3">
        <v>25</v>
      </c>
      <c r="Q3" t="s">
        <v>65</v>
      </c>
      <c r="R3" t="s">
        <v>65</v>
      </c>
      <c r="S3" t="s">
        <v>66</v>
      </c>
      <c r="U3" t="s">
        <v>67</v>
      </c>
      <c r="W3" t="s">
        <v>68</v>
      </c>
      <c r="Z3" t="s">
        <v>69</v>
      </c>
      <c r="AA3" t="s">
        <v>65</v>
      </c>
      <c r="AB3" t="s">
        <v>70</v>
      </c>
      <c r="AC3" t="s">
        <v>71</v>
      </c>
      <c r="AE3" t="s">
        <v>59</v>
      </c>
      <c r="AF3" t="s">
        <v>60</v>
      </c>
      <c r="AG3" t="s">
        <v>61</v>
      </c>
      <c r="AH3" t="s">
        <v>62</v>
      </c>
      <c r="AI3">
        <v>20250801</v>
      </c>
      <c r="AJ3" t="s">
        <v>63</v>
      </c>
      <c r="AK3" t="s">
        <v>63</v>
      </c>
      <c r="AL3">
        <v>1</v>
      </c>
      <c r="AM3">
        <v>20250806</v>
      </c>
      <c r="AN3">
        <v>10.4</v>
      </c>
      <c r="AO3">
        <v>10.4</v>
      </c>
      <c r="AP3" t="s">
        <v>63</v>
      </c>
      <c r="AS3">
        <v>100</v>
      </c>
      <c r="AT3">
        <v>0.42</v>
      </c>
      <c r="AU3">
        <v>4</v>
      </c>
      <c r="AV3" t="s">
        <v>64</v>
      </c>
    </row>
    <row r="4" spans="1:48" x14ac:dyDescent="0.25">
      <c r="A4" t="s">
        <v>48</v>
      </c>
      <c r="B4">
        <v>20250814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3</v>
      </c>
      <c r="P4">
        <v>60</v>
      </c>
      <c r="Q4" t="s">
        <v>65</v>
      </c>
      <c r="R4" t="s">
        <v>65</v>
      </c>
      <c r="S4" t="s">
        <v>72</v>
      </c>
      <c r="U4" t="s">
        <v>73</v>
      </c>
      <c r="W4" t="s">
        <v>74</v>
      </c>
      <c r="Z4" t="s">
        <v>75</v>
      </c>
      <c r="AA4" t="s">
        <v>65</v>
      </c>
      <c r="AB4">
        <v>21205</v>
      </c>
      <c r="AE4" t="s">
        <v>59</v>
      </c>
      <c r="AF4" t="s">
        <v>60</v>
      </c>
      <c r="AG4" t="s">
        <v>61</v>
      </c>
      <c r="AH4" t="s">
        <v>62</v>
      </c>
      <c r="AI4">
        <v>20250801</v>
      </c>
      <c r="AJ4" t="s">
        <v>63</v>
      </c>
      <c r="AK4" t="s">
        <v>63</v>
      </c>
      <c r="AL4">
        <v>1</v>
      </c>
      <c r="AM4">
        <v>20250806</v>
      </c>
      <c r="AN4">
        <v>10.4</v>
      </c>
      <c r="AO4">
        <v>10.4</v>
      </c>
      <c r="AP4" t="s">
        <v>63</v>
      </c>
      <c r="AS4">
        <v>100</v>
      </c>
      <c r="AT4">
        <v>0.42</v>
      </c>
      <c r="AU4">
        <v>4</v>
      </c>
      <c r="AV4" t="s">
        <v>64</v>
      </c>
    </row>
    <row r="5" spans="1:48" x14ac:dyDescent="0.25">
      <c r="A5" t="s">
        <v>48</v>
      </c>
      <c r="B5">
        <v>20250814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3</v>
      </c>
      <c r="P5">
        <v>58</v>
      </c>
      <c r="Q5" t="s">
        <v>65</v>
      </c>
      <c r="R5" t="s">
        <v>65</v>
      </c>
      <c r="S5" t="s">
        <v>76</v>
      </c>
      <c r="U5" t="s">
        <v>77</v>
      </c>
      <c r="W5" t="s">
        <v>78</v>
      </c>
      <c r="Z5" t="s">
        <v>79</v>
      </c>
      <c r="AA5" t="s">
        <v>65</v>
      </c>
      <c r="AB5">
        <v>21612</v>
      </c>
      <c r="AE5" t="s">
        <v>59</v>
      </c>
      <c r="AF5" t="s">
        <v>60</v>
      </c>
      <c r="AG5" t="s">
        <v>61</v>
      </c>
      <c r="AH5" t="s">
        <v>62</v>
      </c>
      <c r="AI5">
        <v>20250801</v>
      </c>
      <c r="AJ5" t="s">
        <v>63</v>
      </c>
      <c r="AK5" t="s">
        <v>63</v>
      </c>
      <c r="AL5">
        <v>2</v>
      </c>
      <c r="AM5">
        <v>20250806</v>
      </c>
      <c r="AN5">
        <v>17</v>
      </c>
      <c r="AO5">
        <v>17</v>
      </c>
      <c r="AP5" t="s">
        <v>63</v>
      </c>
      <c r="AS5">
        <v>100</v>
      </c>
      <c r="AT5">
        <v>0.68</v>
      </c>
      <c r="AU5">
        <v>4</v>
      </c>
      <c r="AV5" t="s">
        <v>64</v>
      </c>
    </row>
    <row r="6" spans="1:48" x14ac:dyDescent="0.25">
      <c r="A6" t="s">
        <v>48</v>
      </c>
      <c r="B6">
        <v>20250814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441934655</v>
      </c>
      <c r="L6">
        <v>20230501</v>
      </c>
      <c r="M6">
        <v>20230421</v>
      </c>
      <c r="O6">
        <v>3</v>
      </c>
      <c r="P6">
        <v>59</v>
      </c>
      <c r="Q6" t="s">
        <v>65</v>
      </c>
      <c r="R6" t="s">
        <v>65</v>
      </c>
      <c r="S6" t="s">
        <v>80</v>
      </c>
      <c r="U6" t="s">
        <v>81</v>
      </c>
      <c r="W6" t="s">
        <v>82</v>
      </c>
      <c r="Z6" t="s">
        <v>83</v>
      </c>
      <c r="AA6" t="s">
        <v>65</v>
      </c>
      <c r="AB6">
        <v>21219</v>
      </c>
      <c r="AE6" t="s">
        <v>59</v>
      </c>
      <c r="AF6" t="s">
        <v>60</v>
      </c>
      <c r="AG6" t="s">
        <v>61</v>
      </c>
      <c r="AH6" t="s">
        <v>62</v>
      </c>
      <c r="AI6">
        <v>20250801</v>
      </c>
      <c r="AJ6" t="s">
        <v>63</v>
      </c>
      <c r="AK6" t="s">
        <v>63</v>
      </c>
      <c r="AL6">
        <v>1</v>
      </c>
      <c r="AM6">
        <v>20250806</v>
      </c>
      <c r="AN6">
        <v>10.4</v>
      </c>
      <c r="AO6">
        <v>10.4</v>
      </c>
      <c r="AP6" t="s">
        <v>63</v>
      </c>
      <c r="AS6">
        <v>100</v>
      </c>
      <c r="AT6">
        <v>0.42</v>
      </c>
      <c r="AU6">
        <v>4</v>
      </c>
      <c r="AV6" t="s">
        <v>64</v>
      </c>
    </row>
    <row r="7" spans="1:48" x14ac:dyDescent="0.25">
      <c r="A7" t="s">
        <v>48</v>
      </c>
      <c r="B7">
        <v>20250814</v>
      </c>
      <c r="C7" t="s">
        <v>49</v>
      </c>
      <c r="D7">
        <v>0</v>
      </c>
      <c r="E7">
        <v>20411454</v>
      </c>
      <c r="F7" t="s">
        <v>50</v>
      </c>
      <c r="G7" t="s">
        <v>51</v>
      </c>
      <c r="H7" t="s">
        <v>52</v>
      </c>
      <c r="I7" t="s">
        <v>53</v>
      </c>
      <c r="J7">
        <v>9079571</v>
      </c>
      <c r="K7">
        <v>441951697</v>
      </c>
      <c r="L7">
        <v>20230502</v>
      </c>
      <c r="M7">
        <v>20230501</v>
      </c>
      <c r="O7">
        <v>3</v>
      </c>
      <c r="P7">
        <v>66</v>
      </c>
      <c r="Q7" t="s">
        <v>65</v>
      </c>
      <c r="R7" t="s">
        <v>65</v>
      </c>
      <c r="S7" t="s">
        <v>84</v>
      </c>
      <c r="U7" t="s">
        <v>85</v>
      </c>
      <c r="W7" t="s">
        <v>86</v>
      </c>
      <c r="Z7" t="s">
        <v>87</v>
      </c>
      <c r="AA7" t="s">
        <v>65</v>
      </c>
      <c r="AB7">
        <v>21811</v>
      </c>
      <c r="AE7" t="s">
        <v>59</v>
      </c>
      <c r="AF7" t="s">
        <v>60</v>
      </c>
      <c r="AG7" t="s">
        <v>61</v>
      </c>
      <c r="AH7" t="s">
        <v>62</v>
      </c>
      <c r="AI7">
        <v>20250801</v>
      </c>
      <c r="AJ7" t="s">
        <v>63</v>
      </c>
      <c r="AK7" t="s">
        <v>63</v>
      </c>
      <c r="AL7">
        <v>1</v>
      </c>
      <c r="AM7">
        <v>20250806</v>
      </c>
      <c r="AN7">
        <v>10.4</v>
      </c>
      <c r="AO7">
        <v>10.4</v>
      </c>
      <c r="AP7" t="s">
        <v>63</v>
      </c>
      <c r="AS7">
        <v>100</v>
      </c>
      <c r="AT7">
        <v>0.42</v>
      </c>
      <c r="AU7">
        <v>4</v>
      </c>
      <c r="AV7" t="s">
        <v>64</v>
      </c>
    </row>
    <row r="8" spans="1:48" x14ac:dyDescent="0.25">
      <c r="A8" t="s">
        <v>48</v>
      </c>
      <c r="B8">
        <v>20250814</v>
      </c>
      <c r="C8" t="s">
        <v>49</v>
      </c>
      <c r="D8">
        <v>0</v>
      </c>
      <c r="E8">
        <v>20411454</v>
      </c>
      <c r="F8" t="s">
        <v>50</v>
      </c>
      <c r="G8" t="s">
        <v>88</v>
      </c>
      <c r="H8" t="s">
        <v>89</v>
      </c>
      <c r="I8" t="s">
        <v>90</v>
      </c>
      <c r="J8">
        <v>17425766</v>
      </c>
      <c r="K8">
        <v>441726411</v>
      </c>
      <c r="L8">
        <v>20230101</v>
      </c>
      <c r="M8">
        <v>20221221</v>
      </c>
      <c r="O8">
        <v>3</v>
      </c>
      <c r="P8">
        <v>64</v>
      </c>
      <c r="Q8" t="s">
        <v>91</v>
      </c>
      <c r="R8" t="s">
        <v>91</v>
      </c>
      <c r="S8" t="s">
        <v>92</v>
      </c>
      <c r="U8" t="s">
        <v>93</v>
      </c>
      <c r="W8" t="s">
        <v>94</v>
      </c>
      <c r="Z8" t="s">
        <v>95</v>
      </c>
      <c r="AA8" t="s">
        <v>91</v>
      </c>
      <c r="AB8">
        <v>19148</v>
      </c>
      <c r="AE8" t="s">
        <v>59</v>
      </c>
      <c r="AF8" t="s">
        <v>60</v>
      </c>
      <c r="AG8" t="s">
        <v>61</v>
      </c>
      <c r="AH8" t="s">
        <v>62</v>
      </c>
      <c r="AI8">
        <v>20250801</v>
      </c>
      <c r="AJ8" t="s">
        <v>63</v>
      </c>
      <c r="AK8" t="s">
        <v>63</v>
      </c>
      <c r="AL8">
        <v>0</v>
      </c>
      <c r="AM8">
        <v>20250806</v>
      </c>
      <c r="AN8">
        <v>11.4</v>
      </c>
      <c r="AO8">
        <v>11.4</v>
      </c>
      <c r="AP8" t="s">
        <v>63</v>
      </c>
      <c r="AS8">
        <v>100</v>
      </c>
      <c r="AT8">
        <v>0.91</v>
      </c>
      <c r="AU8">
        <v>8</v>
      </c>
      <c r="AV8" t="s">
        <v>64</v>
      </c>
    </row>
    <row r="9" spans="1:48" x14ac:dyDescent="0.25">
      <c r="A9" t="s">
        <v>48</v>
      </c>
      <c r="B9">
        <v>20250814</v>
      </c>
      <c r="C9" t="s">
        <v>49</v>
      </c>
      <c r="D9">
        <v>0</v>
      </c>
      <c r="E9">
        <v>20411454</v>
      </c>
      <c r="F9" t="s">
        <v>50</v>
      </c>
      <c r="G9" t="s">
        <v>88</v>
      </c>
      <c r="H9" t="s">
        <v>89</v>
      </c>
      <c r="I9" t="s">
        <v>90</v>
      </c>
      <c r="J9">
        <v>17425766</v>
      </c>
      <c r="K9">
        <v>441853073</v>
      </c>
      <c r="L9">
        <v>20230302</v>
      </c>
      <c r="M9">
        <v>20230301</v>
      </c>
      <c r="O9">
        <v>3</v>
      </c>
      <c r="P9">
        <v>49</v>
      </c>
      <c r="Q9" t="s">
        <v>91</v>
      </c>
      <c r="R9" t="s">
        <v>91</v>
      </c>
      <c r="S9" t="s">
        <v>96</v>
      </c>
      <c r="U9" t="s">
        <v>97</v>
      </c>
      <c r="W9" t="s">
        <v>98</v>
      </c>
      <c r="Z9" t="s">
        <v>99</v>
      </c>
      <c r="AA9" t="s">
        <v>91</v>
      </c>
      <c r="AB9">
        <v>19460</v>
      </c>
      <c r="AE9" t="s">
        <v>59</v>
      </c>
      <c r="AF9" t="s">
        <v>60</v>
      </c>
      <c r="AG9" t="s">
        <v>61</v>
      </c>
      <c r="AH9" t="s">
        <v>62</v>
      </c>
      <c r="AI9">
        <v>20250801</v>
      </c>
      <c r="AJ9" t="s">
        <v>63</v>
      </c>
      <c r="AK9" t="s">
        <v>63</v>
      </c>
      <c r="AL9">
        <v>1</v>
      </c>
      <c r="AM9">
        <v>20250806</v>
      </c>
      <c r="AN9">
        <v>11.4</v>
      </c>
      <c r="AO9">
        <v>11.4</v>
      </c>
      <c r="AP9" t="s">
        <v>63</v>
      </c>
      <c r="AS9">
        <v>100</v>
      </c>
      <c r="AT9">
        <v>0.91</v>
      </c>
      <c r="AU9">
        <v>8</v>
      </c>
      <c r="AV9" t="s">
        <v>64</v>
      </c>
    </row>
    <row r="10" spans="1:48" x14ac:dyDescent="0.25">
      <c r="A10" t="s">
        <v>48</v>
      </c>
      <c r="B10">
        <v>20250814</v>
      </c>
      <c r="C10" t="s">
        <v>49</v>
      </c>
      <c r="D10">
        <v>0</v>
      </c>
      <c r="E10">
        <v>20411454</v>
      </c>
      <c r="F10" t="s">
        <v>50</v>
      </c>
      <c r="G10" t="s">
        <v>88</v>
      </c>
      <c r="H10" t="s">
        <v>89</v>
      </c>
      <c r="I10" t="s">
        <v>90</v>
      </c>
      <c r="J10">
        <v>17425766</v>
      </c>
      <c r="K10">
        <v>441952843</v>
      </c>
      <c r="L10">
        <v>20230503</v>
      </c>
      <c r="M10">
        <v>20230502</v>
      </c>
      <c r="O10">
        <v>3</v>
      </c>
      <c r="P10">
        <v>55</v>
      </c>
      <c r="Q10" t="s">
        <v>91</v>
      </c>
      <c r="R10" t="s">
        <v>91</v>
      </c>
      <c r="S10" t="s">
        <v>100</v>
      </c>
      <c r="U10" t="s">
        <v>101</v>
      </c>
      <c r="W10" t="s">
        <v>102</v>
      </c>
      <c r="Z10" t="s">
        <v>103</v>
      </c>
      <c r="AA10" t="s">
        <v>91</v>
      </c>
      <c r="AB10">
        <v>18960</v>
      </c>
      <c r="AE10" t="s">
        <v>104</v>
      </c>
      <c r="AF10" t="s">
        <v>105</v>
      </c>
      <c r="AG10" t="s">
        <v>61</v>
      </c>
      <c r="AH10" t="s">
        <v>62</v>
      </c>
      <c r="AI10">
        <v>20250801</v>
      </c>
      <c r="AJ10" t="s">
        <v>63</v>
      </c>
      <c r="AK10" t="s">
        <v>63</v>
      </c>
      <c r="AL10">
        <v>1</v>
      </c>
      <c r="AM10">
        <v>20250806</v>
      </c>
      <c r="AN10">
        <v>62.58</v>
      </c>
      <c r="AO10">
        <v>62.58</v>
      </c>
      <c r="AP10" t="s">
        <v>63</v>
      </c>
      <c r="AS10">
        <v>100</v>
      </c>
      <c r="AT10">
        <v>3.13</v>
      </c>
      <c r="AU10">
        <v>5</v>
      </c>
      <c r="AV10" t="s">
        <v>64</v>
      </c>
    </row>
    <row r="11" spans="1:48" x14ac:dyDescent="0.25">
      <c r="A11" t="s">
        <v>48</v>
      </c>
      <c r="B11">
        <v>20250814</v>
      </c>
      <c r="C11" t="s">
        <v>49</v>
      </c>
      <c r="D11">
        <v>0</v>
      </c>
      <c r="E11">
        <v>20411454</v>
      </c>
      <c r="F11" t="s">
        <v>50</v>
      </c>
      <c r="G11" t="s">
        <v>88</v>
      </c>
      <c r="H11" t="s">
        <v>89</v>
      </c>
      <c r="I11" t="s">
        <v>90</v>
      </c>
      <c r="J11">
        <v>17425766</v>
      </c>
      <c r="K11">
        <v>441913483</v>
      </c>
      <c r="L11">
        <v>20230601</v>
      </c>
      <c r="M11">
        <v>20230407</v>
      </c>
      <c r="O11">
        <v>3</v>
      </c>
      <c r="P11">
        <v>70</v>
      </c>
      <c r="Q11" t="s">
        <v>91</v>
      </c>
      <c r="R11" t="s">
        <v>91</v>
      </c>
      <c r="S11" t="s">
        <v>106</v>
      </c>
      <c r="U11" t="s">
        <v>107</v>
      </c>
      <c r="W11" t="s">
        <v>108</v>
      </c>
      <c r="Z11" t="s">
        <v>109</v>
      </c>
      <c r="AA11" t="s">
        <v>91</v>
      </c>
      <c r="AB11">
        <v>19001</v>
      </c>
      <c r="AE11" t="s">
        <v>59</v>
      </c>
      <c r="AF11" t="s">
        <v>60</v>
      </c>
      <c r="AG11" t="s">
        <v>61</v>
      </c>
      <c r="AH11" t="s">
        <v>62</v>
      </c>
      <c r="AI11">
        <v>20250801</v>
      </c>
      <c r="AJ11" t="s">
        <v>63</v>
      </c>
      <c r="AK11" t="s">
        <v>63</v>
      </c>
      <c r="AL11">
        <v>1</v>
      </c>
      <c r="AM11">
        <v>20250806</v>
      </c>
      <c r="AN11">
        <v>11.4</v>
      </c>
      <c r="AO11">
        <v>11.4</v>
      </c>
      <c r="AP11" t="s">
        <v>63</v>
      </c>
      <c r="AS11">
        <v>100</v>
      </c>
      <c r="AT11">
        <v>0.91</v>
      </c>
      <c r="AU11">
        <v>8</v>
      </c>
      <c r="AV11" t="s">
        <v>64</v>
      </c>
    </row>
    <row r="12" spans="1:48" x14ac:dyDescent="0.25">
      <c r="A12" t="s">
        <v>48</v>
      </c>
      <c r="B12">
        <v>20250814</v>
      </c>
      <c r="C12" t="s">
        <v>49</v>
      </c>
      <c r="D12">
        <v>0</v>
      </c>
      <c r="E12">
        <v>20411454</v>
      </c>
      <c r="F12" t="s">
        <v>50</v>
      </c>
      <c r="G12" t="s">
        <v>88</v>
      </c>
      <c r="H12" t="s">
        <v>89</v>
      </c>
      <c r="I12" t="s">
        <v>90</v>
      </c>
      <c r="J12">
        <v>17425766</v>
      </c>
      <c r="K12">
        <v>442047054</v>
      </c>
      <c r="L12">
        <v>20230701</v>
      </c>
      <c r="M12">
        <v>20230629</v>
      </c>
      <c r="O12">
        <v>3</v>
      </c>
      <c r="P12">
        <v>61</v>
      </c>
      <c r="Q12" t="s">
        <v>110</v>
      </c>
      <c r="R12" t="s">
        <v>110</v>
      </c>
      <c r="S12" t="s">
        <v>111</v>
      </c>
      <c r="U12" t="s">
        <v>112</v>
      </c>
      <c r="W12" t="s">
        <v>113</v>
      </c>
      <c r="Z12" t="s">
        <v>114</v>
      </c>
      <c r="AA12" t="s">
        <v>110</v>
      </c>
      <c r="AB12">
        <v>32796</v>
      </c>
      <c r="AC12" t="s">
        <v>115</v>
      </c>
      <c r="AE12" t="s">
        <v>116</v>
      </c>
      <c r="AF12" t="s">
        <v>117</v>
      </c>
      <c r="AG12" t="s">
        <v>61</v>
      </c>
      <c r="AH12" t="s">
        <v>62</v>
      </c>
      <c r="AI12">
        <v>20250801</v>
      </c>
      <c r="AJ12" t="s">
        <v>63</v>
      </c>
      <c r="AK12" t="s">
        <v>63</v>
      </c>
      <c r="AL12">
        <v>1</v>
      </c>
      <c r="AM12">
        <v>20250806</v>
      </c>
      <c r="AN12">
        <v>37.340000000000003</v>
      </c>
      <c r="AO12">
        <v>37.340000000000003</v>
      </c>
      <c r="AP12" t="s">
        <v>63</v>
      </c>
      <c r="AS12">
        <v>100</v>
      </c>
      <c r="AT12">
        <v>1.49</v>
      </c>
      <c r="AU12">
        <v>4</v>
      </c>
      <c r="AV12" t="s">
        <v>64</v>
      </c>
    </row>
    <row r="13" spans="1:48" x14ac:dyDescent="0.25">
      <c r="A13" t="s">
        <v>48</v>
      </c>
      <c r="B13">
        <v>20250814</v>
      </c>
      <c r="C13" t="s">
        <v>49</v>
      </c>
      <c r="D13">
        <v>0</v>
      </c>
      <c r="E13">
        <v>20411454</v>
      </c>
      <c r="F13" t="s">
        <v>50</v>
      </c>
      <c r="G13" t="s">
        <v>88</v>
      </c>
      <c r="H13" t="s">
        <v>89</v>
      </c>
      <c r="I13" t="s">
        <v>90</v>
      </c>
      <c r="J13">
        <v>17425766</v>
      </c>
      <c r="K13">
        <v>442268083</v>
      </c>
      <c r="L13">
        <v>20231201</v>
      </c>
      <c r="M13">
        <v>20231109</v>
      </c>
      <c r="O13">
        <v>2</v>
      </c>
      <c r="P13">
        <v>48</v>
      </c>
      <c r="Q13" t="s">
        <v>110</v>
      </c>
      <c r="R13" t="s">
        <v>110</v>
      </c>
      <c r="S13" t="s">
        <v>118</v>
      </c>
      <c r="U13" t="s">
        <v>119</v>
      </c>
      <c r="W13" t="s">
        <v>120</v>
      </c>
      <c r="Z13" t="s">
        <v>121</v>
      </c>
      <c r="AA13" t="s">
        <v>110</v>
      </c>
      <c r="AB13">
        <v>33076</v>
      </c>
      <c r="AC13" t="s">
        <v>122</v>
      </c>
      <c r="AE13" t="s">
        <v>123</v>
      </c>
      <c r="AF13" t="s">
        <v>124</v>
      </c>
      <c r="AG13" t="s">
        <v>61</v>
      </c>
      <c r="AH13" t="s">
        <v>62</v>
      </c>
      <c r="AI13">
        <v>20250801</v>
      </c>
      <c r="AJ13" t="s">
        <v>63</v>
      </c>
      <c r="AK13" t="s">
        <v>63</v>
      </c>
      <c r="AL13">
        <v>5</v>
      </c>
      <c r="AM13">
        <v>20250806</v>
      </c>
      <c r="AN13">
        <v>52.1</v>
      </c>
      <c r="AO13">
        <v>52.1</v>
      </c>
      <c r="AP13" t="s">
        <v>63</v>
      </c>
      <c r="AS13">
        <v>100</v>
      </c>
      <c r="AT13">
        <v>4.17</v>
      </c>
      <c r="AU13">
        <v>8</v>
      </c>
      <c r="AV13" t="s">
        <v>64</v>
      </c>
    </row>
    <row r="14" spans="1:48" x14ac:dyDescent="0.25">
      <c r="A14" t="s">
        <v>48</v>
      </c>
      <c r="B14">
        <v>20250814</v>
      </c>
      <c r="C14" t="s">
        <v>49</v>
      </c>
      <c r="D14">
        <v>0</v>
      </c>
      <c r="E14">
        <v>20411454</v>
      </c>
      <c r="F14" t="s">
        <v>50</v>
      </c>
      <c r="G14" t="s">
        <v>88</v>
      </c>
      <c r="H14" t="s">
        <v>89</v>
      </c>
      <c r="I14" t="s">
        <v>90</v>
      </c>
      <c r="J14">
        <v>17425766</v>
      </c>
      <c r="K14">
        <v>442268078</v>
      </c>
      <c r="L14">
        <v>20231201</v>
      </c>
      <c r="M14">
        <v>20231109</v>
      </c>
      <c r="O14">
        <v>2</v>
      </c>
      <c r="P14">
        <v>48</v>
      </c>
      <c r="Q14" t="s">
        <v>110</v>
      </c>
      <c r="R14" t="s">
        <v>110</v>
      </c>
      <c r="S14" t="s">
        <v>118</v>
      </c>
      <c r="U14" t="s">
        <v>119</v>
      </c>
      <c r="W14" t="s">
        <v>120</v>
      </c>
      <c r="Z14" t="s">
        <v>121</v>
      </c>
      <c r="AA14" t="s">
        <v>110</v>
      </c>
      <c r="AB14">
        <v>33076</v>
      </c>
      <c r="AC14" t="s">
        <v>122</v>
      </c>
      <c r="AE14" t="s">
        <v>125</v>
      </c>
      <c r="AF14" t="s">
        <v>117</v>
      </c>
      <c r="AG14" t="s">
        <v>61</v>
      </c>
      <c r="AH14" t="s">
        <v>62</v>
      </c>
      <c r="AI14">
        <v>20250801</v>
      </c>
      <c r="AJ14" t="s">
        <v>63</v>
      </c>
      <c r="AK14" t="s">
        <v>63</v>
      </c>
      <c r="AL14">
        <v>5</v>
      </c>
      <c r="AM14">
        <v>20250806</v>
      </c>
      <c r="AN14">
        <v>110.44</v>
      </c>
      <c r="AO14">
        <v>110.44</v>
      </c>
      <c r="AP14" t="s">
        <v>63</v>
      </c>
      <c r="AS14">
        <v>100</v>
      </c>
      <c r="AT14">
        <v>4.42</v>
      </c>
      <c r="AU14">
        <v>4</v>
      </c>
      <c r="AV14" t="s">
        <v>64</v>
      </c>
    </row>
    <row r="15" spans="1:48" x14ac:dyDescent="0.25">
      <c r="A15" t="s">
        <v>48</v>
      </c>
      <c r="B15">
        <v>20250814</v>
      </c>
      <c r="C15" t="s">
        <v>49</v>
      </c>
      <c r="D15">
        <v>0</v>
      </c>
      <c r="E15">
        <v>20411454</v>
      </c>
      <c r="F15" t="s">
        <v>50</v>
      </c>
      <c r="G15" t="s">
        <v>88</v>
      </c>
      <c r="H15" t="s">
        <v>89</v>
      </c>
      <c r="I15" t="s">
        <v>90</v>
      </c>
      <c r="J15">
        <v>17425766</v>
      </c>
      <c r="K15">
        <v>442268077</v>
      </c>
      <c r="L15">
        <v>20231201</v>
      </c>
      <c r="M15">
        <v>20231109</v>
      </c>
      <c r="O15">
        <v>2</v>
      </c>
      <c r="P15">
        <v>48</v>
      </c>
      <c r="Q15" t="s">
        <v>110</v>
      </c>
      <c r="R15" t="s">
        <v>110</v>
      </c>
      <c r="S15" t="s">
        <v>118</v>
      </c>
      <c r="U15" t="s">
        <v>119</v>
      </c>
      <c r="W15" t="s">
        <v>120</v>
      </c>
      <c r="Z15" t="s">
        <v>121</v>
      </c>
      <c r="AA15" t="s">
        <v>110</v>
      </c>
      <c r="AB15">
        <v>33076</v>
      </c>
      <c r="AE15" t="s">
        <v>59</v>
      </c>
      <c r="AF15" t="s">
        <v>60</v>
      </c>
      <c r="AG15" t="s">
        <v>61</v>
      </c>
      <c r="AH15" t="s">
        <v>62</v>
      </c>
      <c r="AI15">
        <v>20250801</v>
      </c>
      <c r="AJ15" t="s">
        <v>63</v>
      </c>
      <c r="AK15" t="s">
        <v>63</v>
      </c>
      <c r="AL15">
        <v>5</v>
      </c>
      <c r="AM15">
        <v>20250806</v>
      </c>
      <c r="AN15">
        <v>36.799999999999997</v>
      </c>
      <c r="AO15">
        <v>36.799999999999997</v>
      </c>
      <c r="AP15" t="s">
        <v>63</v>
      </c>
      <c r="AS15">
        <v>100</v>
      </c>
      <c r="AT15">
        <v>1.47</v>
      </c>
      <c r="AU15">
        <v>4</v>
      </c>
      <c r="AV15" t="s">
        <v>64</v>
      </c>
    </row>
    <row r="16" spans="1:48" x14ac:dyDescent="0.25">
      <c r="A16" t="s">
        <v>48</v>
      </c>
      <c r="B16">
        <v>20250814</v>
      </c>
      <c r="C16" t="s">
        <v>49</v>
      </c>
      <c r="D16">
        <v>0</v>
      </c>
      <c r="E16">
        <v>20411454</v>
      </c>
      <c r="F16" t="s">
        <v>50</v>
      </c>
      <c r="G16" t="s">
        <v>126</v>
      </c>
      <c r="H16" t="s">
        <v>127</v>
      </c>
      <c r="I16" t="s">
        <v>128</v>
      </c>
      <c r="J16">
        <v>15278437</v>
      </c>
      <c r="K16">
        <v>441696456</v>
      </c>
      <c r="L16">
        <v>20221213</v>
      </c>
      <c r="M16">
        <v>20221212</v>
      </c>
      <c r="O16">
        <v>3</v>
      </c>
      <c r="P16">
        <v>36</v>
      </c>
      <c r="Q16" t="s">
        <v>91</v>
      </c>
      <c r="R16" t="s">
        <v>91</v>
      </c>
      <c r="S16" t="s">
        <v>129</v>
      </c>
      <c r="U16" t="s">
        <v>130</v>
      </c>
      <c r="W16" t="s">
        <v>131</v>
      </c>
      <c r="Z16" t="s">
        <v>132</v>
      </c>
      <c r="AA16" t="s">
        <v>91</v>
      </c>
      <c r="AB16">
        <v>19382</v>
      </c>
      <c r="AE16" t="s">
        <v>59</v>
      </c>
      <c r="AF16" t="s">
        <v>60</v>
      </c>
      <c r="AG16" t="s">
        <v>61</v>
      </c>
      <c r="AH16" t="s">
        <v>62</v>
      </c>
      <c r="AI16">
        <v>20250801</v>
      </c>
      <c r="AJ16" t="s">
        <v>63</v>
      </c>
      <c r="AK16" t="s">
        <v>63</v>
      </c>
      <c r="AL16">
        <v>0</v>
      </c>
      <c r="AM16">
        <v>20250806</v>
      </c>
      <c r="AN16">
        <v>11.4</v>
      </c>
      <c r="AO16">
        <v>11.4</v>
      </c>
      <c r="AP16" t="s">
        <v>63</v>
      </c>
      <c r="AS16">
        <v>100</v>
      </c>
      <c r="AT16">
        <v>0.91</v>
      </c>
      <c r="AU16">
        <v>8</v>
      </c>
      <c r="AV16" t="s">
        <v>64</v>
      </c>
    </row>
    <row r="17" spans="1:48" x14ac:dyDescent="0.25">
      <c r="A17" t="s">
        <v>48</v>
      </c>
      <c r="B17">
        <v>20250814</v>
      </c>
      <c r="C17" t="s">
        <v>49</v>
      </c>
      <c r="D17">
        <v>0</v>
      </c>
      <c r="E17">
        <v>20411454</v>
      </c>
      <c r="F17" t="s">
        <v>50</v>
      </c>
      <c r="G17" t="s">
        <v>126</v>
      </c>
      <c r="H17" t="s">
        <v>127</v>
      </c>
      <c r="I17" t="s">
        <v>128</v>
      </c>
      <c r="J17">
        <v>15278437</v>
      </c>
      <c r="K17">
        <v>442249622</v>
      </c>
      <c r="L17">
        <v>20231103</v>
      </c>
      <c r="M17">
        <v>20231102</v>
      </c>
      <c r="O17">
        <v>2</v>
      </c>
      <c r="P17">
        <v>60</v>
      </c>
      <c r="Q17" t="s">
        <v>133</v>
      </c>
      <c r="R17" t="s">
        <v>133</v>
      </c>
      <c r="S17" t="s">
        <v>134</v>
      </c>
      <c r="U17" t="s">
        <v>135</v>
      </c>
      <c r="W17" t="s">
        <v>136</v>
      </c>
      <c r="Z17" t="s">
        <v>137</v>
      </c>
      <c r="AA17" t="s">
        <v>133</v>
      </c>
      <c r="AB17">
        <v>44720</v>
      </c>
      <c r="AC17" t="s">
        <v>138</v>
      </c>
      <c r="AE17" t="s">
        <v>125</v>
      </c>
      <c r="AF17" t="s">
        <v>117</v>
      </c>
      <c r="AG17" t="s">
        <v>61</v>
      </c>
      <c r="AH17" t="s">
        <v>62</v>
      </c>
      <c r="AI17">
        <v>20250801</v>
      </c>
      <c r="AJ17" t="s">
        <v>63</v>
      </c>
      <c r="AK17" t="s">
        <v>63</v>
      </c>
      <c r="AL17">
        <v>1</v>
      </c>
      <c r="AM17">
        <v>20250806</v>
      </c>
      <c r="AN17">
        <v>21.81</v>
      </c>
      <c r="AO17">
        <v>21.81</v>
      </c>
      <c r="AP17" t="s">
        <v>63</v>
      </c>
      <c r="AS17">
        <v>100</v>
      </c>
      <c r="AT17">
        <v>0.87</v>
      </c>
      <c r="AU17">
        <v>4</v>
      </c>
      <c r="AV17" t="s">
        <v>64</v>
      </c>
    </row>
    <row r="18" spans="1:48" x14ac:dyDescent="0.25">
      <c r="A18" t="s">
        <v>48</v>
      </c>
      <c r="B18">
        <v>20250814</v>
      </c>
      <c r="C18" t="s">
        <v>49</v>
      </c>
      <c r="D18">
        <v>0</v>
      </c>
      <c r="E18">
        <v>20411454</v>
      </c>
      <c r="F18" t="s">
        <v>50</v>
      </c>
      <c r="G18" t="s">
        <v>139</v>
      </c>
      <c r="H18" t="s">
        <v>140</v>
      </c>
      <c r="I18" t="s">
        <v>141</v>
      </c>
      <c r="J18">
        <v>20697692</v>
      </c>
      <c r="K18">
        <v>442037493</v>
      </c>
      <c r="L18">
        <v>20230701</v>
      </c>
      <c r="M18">
        <v>20230624</v>
      </c>
      <c r="O18">
        <v>3</v>
      </c>
      <c r="P18">
        <v>70</v>
      </c>
      <c r="Q18" t="s">
        <v>110</v>
      </c>
      <c r="R18" t="s">
        <v>65</v>
      </c>
      <c r="S18" t="s">
        <v>142</v>
      </c>
      <c r="U18" t="s">
        <v>143</v>
      </c>
      <c r="W18" t="s">
        <v>144</v>
      </c>
      <c r="Z18" t="s">
        <v>145</v>
      </c>
      <c r="AA18" t="s">
        <v>110</v>
      </c>
      <c r="AB18" t="s">
        <v>146</v>
      </c>
      <c r="AC18" t="s">
        <v>147</v>
      </c>
      <c r="AE18" t="s">
        <v>59</v>
      </c>
      <c r="AF18" t="s">
        <v>60</v>
      </c>
      <c r="AG18" t="s">
        <v>61</v>
      </c>
      <c r="AH18" t="s">
        <v>62</v>
      </c>
      <c r="AI18">
        <v>20250801</v>
      </c>
      <c r="AJ18" t="s">
        <v>63</v>
      </c>
      <c r="AK18" t="s">
        <v>63</v>
      </c>
      <c r="AL18">
        <v>2</v>
      </c>
      <c r="AM18">
        <v>20250806</v>
      </c>
      <c r="AN18">
        <v>17</v>
      </c>
      <c r="AO18">
        <v>17</v>
      </c>
      <c r="AP18" t="s">
        <v>63</v>
      </c>
      <c r="AS18">
        <v>100</v>
      </c>
      <c r="AT18">
        <v>0.68</v>
      </c>
      <c r="AU18">
        <v>4</v>
      </c>
      <c r="AV18" t="s">
        <v>64</v>
      </c>
    </row>
    <row r="19" spans="1:48" x14ac:dyDescent="0.25">
      <c r="A19" t="s">
        <v>48</v>
      </c>
      <c r="B19">
        <v>20250814</v>
      </c>
      <c r="C19" t="s">
        <v>49</v>
      </c>
      <c r="D19">
        <v>0</v>
      </c>
      <c r="E19">
        <v>20411454</v>
      </c>
      <c r="F19" t="s">
        <v>50</v>
      </c>
      <c r="G19" t="s">
        <v>139</v>
      </c>
      <c r="H19" t="s">
        <v>140</v>
      </c>
      <c r="I19" t="s">
        <v>141</v>
      </c>
      <c r="J19">
        <v>20697692</v>
      </c>
      <c r="K19">
        <v>442099791</v>
      </c>
      <c r="L19">
        <v>20230803</v>
      </c>
      <c r="M19">
        <v>20230802</v>
      </c>
      <c r="O19">
        <v>3</v>
      </c>
      <c r="P19">
        <v>55</v>
      </c>
      <c r="Q19" t="s">
        <v>65</v>
      </c>
      <c r="R19" t="s">
        <v>65</v>
      </c>
      <c r="S19" t="s">
        <v>148</v>
      </c>
      <c r="U19" t="s">
        <v>149</v>
      </c>
      <c r="W19" t="s">
        <v>150</v>
      </c>
      <c r="Z19" t="s">
        <v>151</v>
      </c>
      <c r="AA19" t="s">
        <v>65</v>
      </c>
      <c r="AB19">
        <v>20905</v>
      </c>
      <c r="AE19" t="s">
        <v>59</v>
      </c>
      <c r="AF19" t="s">
        <v>60</v>
      </c>
      <c r="AG19" t="s">
        <v>61</v>
      </c>
      <c r="AH19" t="s">
        <v>62</v>
      </c>
      <c r="AI19">
        <v>20250804</v>
      </c>
      <c r="AJ19" t="s">
        <v>63</v>
      </c>
      <c r="AK19" t="s">
        <v>63</v>
      </c>
      <c r="AL19">
        <v>1</v>
      </c>
      <c r="AM19">
        <v>20250806</v>
      </c>
      <c r="AN19">
        <v>9.73</v>
      </c>
      <c r="AO19">
        <v>9.73</v>
      </c>
      <c r="AP19" t="s">
        <v>63</v>
      </c>
      <c r="AS19">
        <v>100</v>
      </c>
      <c r="AT19">
        <v>0.39</v>
      </c>
      <c r="AU19">
        <v>4</v>
      </c>
      <c r="AV19" t="s">
        <v>64</v>
      </c>
    </row>
    <row r="20" spans="1:48" x14ac:dyDescent="0.25">
      <c r="A20" t="s">
        <v>48</v>
      </c>
      <c r="B20">
        <v>20250814</v>
      </c>
      <c r="C20" t="s">
        <v>49</v>
      </c>
      <c r="D20">
        <v>0</v>
      </c>
      <c r="E20">
        <v>20411454</v>
      </c>
      <c r="F20" t="s">
        <v>50</v>
      </c>
      <c r="G20" t="s">
        <v>139</v>
      </c>
      <c r="H20" t="s">
        <v>140</v>
      </c>
      <c r="I20" t="s">
        <v>141</v>
      </c>
      <c r="J20">
        <v>20697692</v>
      </c>
      <c r="K20">
        <v>442099791</v>
      </c>
      <c r="L20">
        <v>20230803</v>
      </c>
      <c r="M20">
        <v>20230802</v>
      </c>
      <c r="O20">
        <v>2</v>
      </c>
      <c r="P20">
        <v>55</v>
      </c>
      <c r="Q20" t="s">
        <v>65</v>
      </c>
      <c r="R20" t="s">
        <v>65</v>
      </c>
      <c r="S20" t="s">
        <v>148</v>
      </c>
      <c r="U20" t="s">
        <v>149</v>
      </c>
      <c r="W20" t="s">
        <v>150</v>
      </c>
      <c r="Z20" t="s">
        <v>151</v>
      </c>
      <c r="AA20" t="s">
        <v>65</v>
      </c>
      <c r="AB20">
        <v>20905</v>
      </c>
      <c r="AE20" t="s">
        <v>59</v>
      </c>
      <c r="AF20" t="s">
        <v>60</v>
      </c>
      <c r="AG20" t="s">
        <v>61</v>
      </c>
      <c r="AH20" t="s">
        <v>62</v>
      </c>
      <c r="AI20">
        <v>20250801</v>
      </c>
      <c r="AJ20" t="s">
        <v>63</v>
      </c>
      <c r="AK20" t="s">
        <v>63</v>
      </c>
      <c r="AL20">
        <v>1</v>
      </c>
      <c r="AM20">
        <v>20250806</v>
      </c>
      <c r="AN20">
        <v>0.67</v>
      </c>
      <c r="AO20">
        <v>0.67</v>
      </c>
      <c r="AP20" t="s">
        <v>63</v>
      </c>
      <c r="AS20">
        <v>100</v>
      </c>
      <c r="AT20">
        <v>0.03</v>
      </c>
      <c r="AU20">
        <v>4</v>
      </c>
      <c r="AV20" t="s">
        <v>64</v>
      </c>
    </row>
    <row r="21" spans="1:48" x14ac:dyDescent="0.25">
      <c r="A21" t="s">
        <v>48</v>
      </c>
      <c r="B21">
        <v>20250814</v>
      </c>
      <c r="C21" t="s">
        <v>49</v>
      </c>
      <c r="D21">
        <v>0</v>
      </c>
      <c r="E21">
        <v>20411454</v>
      </c>
      <c r="F21" t="s">
        <v>50</v>
      </c>
      <c r="G21" t="s">
        <v>139</v>
      </c>
      <c r="H21" t="s">
        <v>140</v>
      </c>
      <c r="I21" t="s">
        <v>141</v>
      </c>
      <c r="J21">
        <v>20697692</v>
      </c>
      <c r="K21">
        <v>442236865</v>
      </c>
      <c r="L21">
        <v>20231101</v>
      </c>
      <c r="M21">
        <v>20231027</v>
      </c>
      <c r="O21">
        <v>2</v>
      </c>
      <c r="P21">
        <v>52</v>
      </c>
      <c r="Q21" t="s">
        <v>65</v>
      </c>
      <c r="R21" t="s">
        <v>65</v>
      </c>
      <c r="S21" t="s">
        <v>152</v>
      </c>
      <c r="U21" t="s">
        <v>153</v>
      </c>
      <c r="W21" t="s">
        <v>154</v>
      </c>
      <c r="Z21" t="s">
        <v>155</v>
      </c>
      <c r="AA21" t="s">
        <v>65</v>
      </c>
      <c r="AB21">
        <v>21704</v>
      </c>
      <c r="AE21" t="s">
        <v>59</v>
      </c>
      <c r="AF21" t="s">
        <v>60</v>
      </c>
      <c r="AG21" t="s">
        <v>61</v>
      </c>
      <c r="AH21" t="s">
        <v>62</v>
      </c>
      <c r="AI21">
        <v>20250801</v>
      </c>
      <c r="AJ21" t="s">
        <v>63</v>
      </c>
      <c r="AK21" t="s">
        <v>63</v>
      </c>
      <c r="AL21">
        <v>2</v>
      </c>
      <c r="AM21">
        <v>20250806</v>
      </c>
      <c r="AN21">
        <v>17</v>
      </c>
      <c r="AO21">
        <v>17</v>
      </c>
      <c r="AP21" t="s">
        <v>63</v>
      </c>
      <c r="AS21">
        <v>100</v>
      </c>
      <c r="AT21">
        <v>0.68</v>
      </c>
      <c r="AU21">
        <v>4</v>
      </c>
      <c r="AV21" t="s">
        <v>64</v>
      </c>
    </row>
    <row r="22" spans="1:48" x14ac:dyDescent="0.25">
      <c r="A22" t="s">
        <v>48</v>
      </c>
      <c r="B22">
        <v>20250814</v>
      </c>
      <c r="C22" t="s">
        <v>49</v>
      </c>
      <c r="D22">
        <v>0</v>
      </c>
      <c r="E22">
        <v>20411454</v>
      </c>
      <c r="F22" t="s">
        <v>50</v>
      </c>
      <c r="G22" t="s">
        <v>139</v>
      </c>
      <c r="H22" t="s">
        <v>140</v>
      </c>
      <c r="I22" t="s">
        <v>141</v>
      </c>
      <c r="J22">
        <v>20697692</v>
      </c>
      <c r="K22">
        <v>442249792</v>
      </c>
      <c r="L22">
        <v>20231103</v>
      </c>
      <c r="M22">
        <v>20231102</v>
      </c>
      <c r="O22">
        <v>2</v>
      </c>
      <c r="P22">
        <v>62</v>
      </c>
      <c r="Q22" t="s">
        <v>65</v>
      </c>
      <c r="R22" t="s">
        <v>65</v>
      </c>
      <c r="S22" t="s">
        <v>156</v>
      </c>
      <c r="U22" t="s">
        <v>157</v>
      </c>
      <c r="W22" t="s">
        <v>158</v>
      </c>
      <c r="Z22" t="s">
        <v>159</v>
      </c>
      <c r="AA22" t="s">
        <v>65</v>
      </c>
      <c r="AB22">
        <v>21013</v>
      </c>
      <c r="AE22" t="s">
        <v>59</v>
      </c>
      <c r="AF22" t="s">
        <v>60</v>
      </c>
      <c r="AG22" t="s">
        <v>61</v>
      </c>
      <c r="AH22" t="s">
        <v>62</v>
      </c>
      <c r="AI22">
        <v>20250801</v>
      </c>
      <c r="AJ22" t="s">
        <v>63</v>
      </c>
      <c r="AK22" t="s">
        <v>63</v>
      </c>
      <c r="AL22">
        <v>1</v>
      </c>
      <c r="AM22">
        <v>20250806</v>
      </c>
      <c r="AN22">
        <v>10.4</v>
      </c>
      <c r="AO22">
        <v>10.4</v>
      </c>
      <c r="AP22" t="s">
        <v>63</v>
      </c>
      <c r="AS22">
        <v>100</v>
      </c>
      <c r="AT22">
        <v>0.42</v>
      </c>
      <c r="AU22">
        <v>4</v>
      </c>
      <c r="AV22" t="s">
        <v>64</v>
      </c>
    </row>
    <row r="23" spans="1:48" x14ac:dyDescent="0.25">
      <c r="A23" t="s">
        <v>48</v>
      </c>
      <c r="B23">
        <v>20250814</v>
      </c>
      <c r="C23" t="s">
        <v>49</v>
      </c>
      <c r="D23">
        <v>0</v>
      </c>
      <c r="E23">
        <v>20411454</v>
      </c>
      <c r="F23" t="s">
        <v>50</v>
      </c>
      <c r="G23" t="s">
        <v>139</v>
      </c>
      <c r="H23" t="s">
        <v>140</v>
      </c>
      <c r="I23" t="s">
        <v>141</v>
      </c>
      <c r="J23">
        <v>20697692</v>
      </c>
      <c r="K23">
        <v>442352338</v>
      </c>
      <c r="L23">
        <v>20231211</v>
      </c>
      <c r="M23">
        <v>20231210</v>
      </c>
      <c r="O23">
        <v>2</v>
      </c>
      <c r="P23">
        <v>52</v>
      </c>
      <c r="Q23" t="s">
        <v>65</v>
      </c>
      <c r="R23" t="s">
        <v>65</v>
      </c>
      <c r="S23" t="s">
        <v>160</v>
      </c>
      <c r="U23" t="s">
        <v>161</v>
      </c>
      <c r="W23" t="s">
        <v>162</v>
      </c>
      <c r="Z23" t="s">
        <v>75</v>
      </c>
      <c r="AA23" t="s">
        <v>65</v>
      </c>
      <c r="AB23">
        <v>21234</v>
      </c>
      <c r="AE23" t="s">
        <v>59</v>
      </c>
      <c r="AF23" t="s">
        <v>60</v>
      </c>
      <c r="AG23" t="s">
        <v>61</v>
      </c>
      <c r="AH23" t="s">
        <v>62</v>
      </c>
      <c r="AI23">
        <v>20250801</v>
      </c>
      <c r="AJ23" t="s">
        <v>63</v>
      </c>
      <c r="AK23" t="s">
        <v>63</v>
      </c>
      <c r="AL23">
        <v>1</v>
      </c>
      <c r="AM23">
        <v>20250806</v>
      </c>
      <c r="AN23">
        <v>10.4</v>
      </c>
      <c r="AO23">
        <v>10.4</v>
      </c>
      <c r="AP23" t="s">
        <v>63</v>
      </c>
      <c r="AS23">
        <v>100</v>
      </c>
      <c r="AT23">
        <v>0.42</v>
      </c>
      <c r="AU23">
        <v>4</v>
      </c>
      <c r="AV23" t="s">
        <v>64</v>
      </c>
    </row>
    <row r="24" spans="1:48" x14ac:dyDescent="0.25">
      <c r="A24" t="s">
        <v>48</v>
      </c>
      <c r="B24">
        <v>20250814</v>
      </c>
      <c r="C24" t="s">
        <v>49</v>
      </c>
      <c r="D24">
        <v>0</v>
      </c>
      <c r="E24">
        <v>20411454</v>
      </c>
      <c r="F24" t="s">
        <v>50</v>
      </c>
      <c r="G24" t="s">
        <v>139</v>
      </c>
      <c r="H24" t="s">
        <v>140</v>
      </c>
      <c r="I24" t="s">
        <v>141</v>
      </c>
      <c r="J24">
        <v>20697692</v>
      </c>
      <c r="K24">
        <v>442352316</v>
      </c>
      <c r="L24">
        <v>20231211</v>
      </c>
      <c r="M24">
        <v>20231210</v>
      </c>
      <c r="O24">
        <v>2</v>
      </c>
      <c r="P24">
        <v>52</v>
      </c>
      <c r="Q24" t="s">
        <v>65</v>
      </c>
      <c r="R24" t="s">
        <v>65</v>
      </c>
      <c r="S24" t="s">
        <v>160</v>
      </c>
      <c r="U24" t="s">
        <v>161</v>
      </c>
      <c r="W24" t="s">
        <v>162</v>
      </c>
      <c r="Z24" t="s">
        <v>75</v>
      </c>
      <c r="AA24" t="s">
        <v>65</v>
      </c>
      <c r="AB24">
        <v>21234</v>
      </c>
      <c r="AE24" t="s">
        <v>163</v>
      </c>
      <c r="AF24" t="s">
        <v>105</v>
      </c>
      <c r="AG24" t="s">
        <v>61</v>
      </c>
      <c r="AH24" t="s">
        <v>62</v>
      </c>
      <c r="AI24">
        <v>20250801</v>
      </c>
      <c r="AJ24" t="s">
        <v>63</v>
      </c>
      <c r="AK24" t="s">
        <v>63</v>
      </c>
      <c r="AL24">
        <v>1</v>
      </c>
      <c r="AM24">
        <v>20250806</v>
      </c>
      <c r="AN24">
        <v>35.049999999999997</v>
      </c>
      <c r="AO24">
        <v>35.049999999999997</v>
      </c>
      <c r="AP24" t="s">
        <v>63</v>
      </c>
      <c r="AS24">
        <v>100</v>
      </c>
      <c r="AT24">
        <v>2.4500000000000002</v>
      </c>
      <c r="AU24">
        <v>7</v>
      </c>
      <c r="AV24" t="s">
        <v>64</v>
      </c>
    </row>
    <row r="25" spans="1:48" x14ac:dyDescent="0.25">
      <c r="A25" t="s">
        <v>48</v>
      </c>
      <c r="B25">
        <v>20250814</v>
      </c>
      <c r="C25" t="s">
        <v>49</v>
      </c>
      <c r="D25">
        <v>0</v>
      </c>
      <c r="E25">
        <v>20411454</v>
      </c>
      <c r="F25" t="s">
        <v>50</v>
      </c>
      <c r="G25" t="s">
        <v>139</v>
      </c>
      <c r="H25" t="s">
        <v>140</v>
      </c>
      <c r="I25" t="s">
        <v>141</v>
      </c>
      <c r="J25">
        <v>20697692</v>
      </c>
      <c r="K25">
        <v>442352294</v>
      </c>
      <c r="L25">
        <v>20231211</v>
      </c>
      <c r="M25">
        <v>20231210</v>
      </c>
      <c r="O25">
        <v>2</v>
      </c>
      <c r="P25">
        <v>52</v>
      </c>
      <c r="Q25" t="s">
        <v>65</v>
      </c>
      <c r="R25" t="s">
        <v>65</v>
      </c>
      <c r="S25" t="s">
        <v>160</v>
      </c>
      <c r="U25" t="s">
        <v>161</v>
      </c>
      <c r="W25" t="s">
        <v>162</v>
      </c>
      <c r="Z25" t="s">
        <v>75</v>
      </c>
      <c r="AA25" t="s">
        <v>65</v>
      </c>
      <c r="AB25">
        <v>21234</v>
      </c>
      <c r="AC25" t="s">
        <v>164</v>
      </c>
      <c r="AE25" t="s">
        <v>116</v>
      </c>
      <c r="AF25" t="s">
        <v>117</v>
      </c>
      <c r="AG25" t="s">
        <v>61</v>
      </c>
      <c r="AH25" t="s">
        <v>62</v>
      </c>
      <c r="AI25">
        <v>20250801</v>
      </c>
      <c r="AJ25" t="s">
        <v>63</v>
      </c>
      <c r="AK25" t="s">
        <v>63</v>
      </c>
      <c r="AL25">
        <v>1</v>
      </c>
      <c r="AM25">
        <v>20250806</v>
      </c>
      <c r="AN25">
        <v>43.6</v>
      </c>
      <c r="AO25">
        <v>43.6</v>
      </c>
      <c r="AP25" t="s">
        <v>63</v>
      </c>
      <c r="AS25">
        <v>100</v>
      </c>
      <c r="AT25">
        <v>6.54</v>
      </c>
      <c r="AU25">
        <v>15</v>
      </c>
      <c r="AV25" t="s">
        <v>64</v>
      </c>
    </row>
    <row r="26" spans="1:48" x14ac:dyDescent="0.25">
      <c r="A26" t="s">
        <v>48</v>
      </c>
      <c r="B26">
        <v>20250814</v>
      </c>
      <c r="C26" t="s">
        <v>49</v>
      </c>
      <c r="D26">
        <v>0</v>
      </c>
      <c r="E26">
        <v>20411454</v>
      </c>
      <c r="F26" t="s">
        <v>50</v>
      </c>
      <c r="G26" t="s">
        <v>139</v>
      </c>
      <c r="H26" t="s">
        <v>140</v>
      </c>
      <c r="I26" t="s">
        <v>141</v>
      </c>
      <c r="J26">
        <v>20697692</v>
      </c>
      <c r="K26">
        <v>442361305</v>
      </c>
      <c r="L26">
        <v>20231213</v>
      </c>
      <c r="M26">
        <v>20231212</v>
      </c>
      <c r="O26">
        <v>2</v>
      </c>
      <c r="P26">
        <v>54</v>
      </c>
      <c r="Q26" t="s">
        <v>65</v>
      </c>
      <c r="R26" t="s">
        <v>65</v>
      </c>
      <c r="S26" t="s">
        <v>165</v>
      </c>
      <c r="U26" t="s">
        <v>166</v>
      </c>
      <c r="W26" t="s">
        <v>167</v>
      </c>
      <c r="Z26" t="s">
        <v>168</v>
      </c>
      <c r="AA26" t="s">
        <v>65</v>
      </c>
      <c r="AB26">
        <v>20706</v>
      </c>
      <c r="AE26" t="s">
        <v>59</v>
      </c>
      <c r="AF26" t="s">
        <v>60</v>
      </c>
      <c r="AG26" t="s">
        <v>61</v>
      </c>
      <c r="AH26" t="s">
        <v>62</v>
      </c>
      <c r="AI26">
        <v>20250801</v>
      </c>
      <c r="AJ26" t="s">
        <v>63</v>
      </c>
      <c r="AK26" t="s">
        <v>63</v>
      </c>
      <c r="AL26">
        <v>2</v>
      </c>
      <c r="AM26">
        <v>20250806</v>
      </c>
      <c r="AN26">
        <v>17</v>
      </c>
      <c r="AO26">
        <v>17</v>
      </c>
      <c r="AP26" t="s">
        <v>63</v>
      </c>
      <c r="AS26">
        <v>100</v>
      </c>
      <c r="AT26">
        <v>0.68</v>
      </c>
      <c r="AU26">
        <v>4</v>
      </c>
      <c r="AV26" t="s">
        <v>64</v>
      </c>
    </row>
    <row r="27" spans="1:48" x14ac:dyDescent="0.25">
      <c r="A27" t="s">
        <v>48</v>
      </c>
      <c r="B27">
        <v>20250814</v>
      </c>
      <c r="C27" t="s">
        <v>49</v>
      </c>
      <c r="D27">
        <v>0</v>
      </c>
      <c r="E27">
        <v>20411454</v>
      </c>
      <c r="F27" t="s">
        <v>50</v>
      </c>
      <c r="G27" t="s">
        <v>139</v>
      </c>
      <c r="H27" t="s">
        <v>140</v>
      </c>
      <c r="I27" t="s">
        <v>141</v>
      </c>
      <c r="J27">
        <v>20697692</v>
      </c>
      <c r="K27">
        <v>442288978</v>
      </c>
      <c r="L27">
        <v>20240101</v>
      </c>
      <c r="M27">
        <v>20231117</v>
      </c>
      <c r="O27">
        <v>2</v>
      </c>
      <c r="P27">
        <v>63</v>
      </c>
      <c r="Q27" t="s">
        <v>65</v>
      </c>
      <c r="R27" t="s">
        <v>65</v>
      </c>
      <c r="S27" t="s">
        <v>169</v>
      </c>
      <c r="U27" t="s">
        <v>170</v>
      </c>
      <c r="W27" t="s">
        <v>171</v>
      </c>
      <c r="Z27" t="s">
        <v>172</v>
      </c>
      <c r="AA27" t="s">
        <v>65</v>
      </c>
      <c r="AB27">
        <v>21014</v>
      </c>
      <c r="AE27" t="s">
        <v>59</v>
      </c>
      <c r="AF27" t="s">
        <v>60</v>
      </c>
      <c r="AG27" t="s">
        <v>61</v>
      </c>
      <c r="AH27" t="s">
        <v>62</v>
      </c>
      <c r="AI27">
        <v>20250801</v>
      </c>
      <c r="AJ27" t="s">
        <v>63</v>
      </c>
      <c r="AK27" t="s">
        <v>63</v>
      </c>
      <c r="AL27">
        <v>1</v>
      </c>
      <c r="AM27">
        <v>20250806</v>
      </c>
      <c r="AN27">
        <v>10.4</v>
      </c>
      <c r="AO27">
        <v>10.4</v>
      </c>
      <c r="AP27" t="s">
        <v>63</v>
      </c>
      <c r="AS27">
        <v>100</v>
      </c>
      <c r="AT27">
        <v>0.42</v>
      </c>
      <c r="AU27">
        <v>4</v>
      </c>
      <c r="AV27" t="s">
        <v>64</v>
      </c>
    </row>
    <row r="28" spans="1:48" x14ac:dyDescent="0.25">
      <c r="A28" t="s">
        <v>48</v>
      </c>
      <c r="B28">
        <v>20250814</v>
      </c>
      <c r="C28" t="s">
        <v>49</v>
      </c>
      <c r="D28">
        <v>0</v>
      </c>
      <c r="E28">
        <v>20411454</v>
      </c>
      <c r="F28" t="s">
        <v>50</v>
      </c>
      <c r="G28" t="s">
        <v>51</v>
      </c>
      <c r="H28" t="s">
        <v>173</v>
      </c>
      <c r="I28" t="s">
        <v>174</v>
      </c>
      <c r="J28">
        <v>16509456</v>
      </c>
      <c r="K28">
        <v>441862448</v>
      </c>
      <c r="L28">
        <v>20230401</v>
      </c>
      <c r="M28">
        <v>20230307</v>
      </c>
      <c r="O28">
        <v>3</v>
      </c>
      <c r="P28">
        <v>61</v>
      </c>
      <c r="Q28" t="s">
        <v>91</v>
      </c>
      <c r="R28" t="s">
        <v>91</v>
      </c>
      <c r="S28" t="s">
        <v>175</v>
      </c>
      <c r="U28" t="s">
        <v>176</v>
      </c>
      <c r="W28" t="s">
        <v>177</v>
      </c>
      <c r="Z28" t="s">
        <v>178</v>
      </c>
      <c r="AA28" t="s">
        <v>91</v>
      </c>
      <c r="AB28">
        <v>19372</v>
      </c>
      <c r="AC28" t="s">
        <v>179</v>
      </c>
      <c r="AE28" t="s">
        <v>116</v>
      </c>
      <c r="AF28" t="s">
        <v>117</v>
      </c>
      <c r="AG28" t="s">
        <v>61</v>
      </c>
      <c r="AH28" t="s">
        <v>62</v>
      </c>
      <c r="AI28">
        <v>20250801</v>
      </c>
      <c r="AJ28" t="s">
        <v>63</v>
      </c>
      <c r="AK28" t="s">
        <v>63</v>
      </c>
      <c r="AL28">
        <v>1</v>
      </c>
      <c r="AM28">
        <v>20250806</v>
      </c>
      <c r="AN28">
        <v>45.49</v>
      </c>
      <c r="AO28">
        <v>45.49</v>
      </c>
      <c r="AP28" t="s">
        <v>63</v>
      </c>
      <c r="AS28">
        <v>100</v>
      </c>
      <c r="AT28">
        <v>1.82</v>
      </c>
      <c r="AU28">
        <v>4</v>
      </c>
      <c r="AV28" t="s">
        <v>64</v>
      </c>
    </row>
    <row r="29" spans="1:48" x14ac:dyDescent="0.25">
      <c r="A29" t="s">
        <v>48</v>
      </c>
      <c r="B29">
        <v>20250814</v>
      </c>
      <c r="C29" t="s">
        <v>49</v>
      </c>
      <c r="D29">
        <v>0</v>
      </c>
      <c r="E29">
        <v>20411454</v>
      </c>
      <c r="F29" t="s">
        <v>50</v>
      </c>
      <c r="G29" t="s">
        <v>51</v>
      </c>
      <c r="H29" t="s">
        <v>173</v>
      </c>
      <c r="I29" t="s">
        <v>174</v>
      </c>
      <c r="J29">
        <v>16509456</v>
      </c>
      <c r="K29">
        <v>441991771</v>
      </c>
      <c r="L29">
        <v>20230601</v>
      </c>
      <c r="M29">
        <v>20230526</v>
      </c>
      <c r="O29">
        <v>3</v>
      </c>
      <c r="P29">
        <v>64</v>
      </c>
      <c r="Q29" t="s">
        <v>91</v>
      </c>
      <c r="R29" t="s">
        <v>91</v>
      </c>
      <c r="S29" t="s">
        <v>180</v>
      </c>
      <c r="U29" t="s">
        <v>181</v>
      </c>
      <c r="W29" t="s">
        <v>182</v>
      </c>
      <c r="X29" t="s">
        <v>183</v>
      </c>
      <c r="Z29" t="s">
        <v>184</v>
      </c>
      <c r="AA29" t="s">
        <v>91</v>
      </c>
      <c r="AB29" t="s">
        <v>185</v>
      </c>
      <c r="AC29" t="s">
        <v>186</v>
      </c>
      <c r="AE29" t="s">
        <v>187</v>
      </c>
      <c r="AF29" t="s">
        <v>117</v>
      </c>
      <c r="AG29" t="s">
        <v>61</v>
      </c>
      <c r="AH29" t="s">
        <v>62</v>
      </c>
      <c r="AI29">
        <v>20250801</v>
      </c>
      <c r="AJ29" t="s">
        <v>63</v>
      </c>
      <c r="AK29" t="s">
        <v>63</v>
      </c>
      <c r="AL29">
        <v>1</v>
      </c>
      <c r="AM29">
        <v>20250806</v>
      </c>
      <c r="AN29">
        <v>72.19</v>
      </c>
      <c r="AO29">
        <v>72.19</v>
      </c>
      <c r="AP29" t="s">
        <v>63</v>
      </c>
      <c r="AS29">
        <v>100</v>
      </c>
      <c r="AT29">
        <v>3.61</v>
      </c>
      <c r="AU29">
        <v>5</v>
      </c>
      <c r="AV29" t="s">
        <v>64</v>
      </c>
    </row>
    <row r="30" spans="1:48" x14ac:dyDescent="0.25">
      <c r="A30" t="s">
        <v>48</v>
      </c>
      <c r="B30">
        <v>20250814</v>
      </c>
      <c r="C30" t="s">
        <v>49</v>
      </c>
      <c r="D30">
        <v>0</v>
      </c>
      <c r="E30">
        <v>20411454</v>
      </c>
      <c r="F30" t="s">
        <v>50</v>
      </c>
      <c r="G30" t="s">
        <v>51</v>
      </c>
      <c r="H30" t="s">
        <v>173</v>
      </c>
      <c r="I30" t="s">
        <v>174</v>
      </c>
      <c r="J30">
        <v>16509456</v>
      </c>
      <c r="K30">
        <v>442096371</v>
      </c>
      <c r="L30">
        <v>20230801</v>
      </c>
      <c r="M30">
        <v>20230731</v>
      </c>
      <c r="O30">
        <v>3</v>
      </c>
      <c r="P30">
        <v>43</v>
      </c>
      <c r="Q30" t="s">
        <v>65</v>
      </c>
      <c r="R30" t="s">
        <v>65</v>
      </c>
      <c r="S30" t="s">
        <v>188</v>
      </c>
      <c r="U30" t="s">
        <v>189</v>
      </c>
      <c r="W30" t="s">
        <v>190</v>
      </c>
      <c r="Z30" t="s">
        <v>191</v>
      </c>
      <c r="AA30" t="s">
        <v>65</v>
      </c>
      <c r="AB30">
        <v>20874</v>
      </c>
      <c r="AE30" t="s">
        <v>59</v>
      </c>
      <c r="AF30" t="s">
        <v>60</v>
      </c>
      <c r="AG30" t="s">
        <v>61</v>
      </c>
      <c r="AH30" t="s">
        <v>62</v>
      </c>
      <c r="AI30">
        <v>20250801</v>
      </c>
      <c r="AJ30" t="s">
        <v>63</v>
      </c>
      <c r="AK30" t="s">
        <v>63</v>
      </c>
      <c r="AL30">
        <v>1</v>
      </c>
      <c r="AM30">
        <v>20250806</v>
      </c>
      <c r="AN30">
        <v>10.4</v>
      </c>
      <c r="AO30">
        <v>10.4</v>
      </c>
      <c r="AP30" t="s">
        <v>63</v>
      </c>
      <c r="AS30">
        <v>100</v>
      </c>
      <c r="AT30">
        <v>0.42</v>
      </c>
      <c r="AU30">
        <v>4</v>
      </c>
      <c r="AV30" t="s">
        <v>64</v>
      </c>
    </row>
    <row r="31" spans="1:48" x14ac:dyDescent="0.25">
      <c r="A31" t="s">
        <v>48</v>
      </c>
      <c r="B31">
        <v>20250814</v>
      </c>
      <c r="C31" t="s">
        <v>49</v>
      </c>
      <c r="D31">
        <v>0</v>
      </c>
      <c r="E31">
        <v>20411454</v>
      </c>
      <c r="F31" t="s">
        <v>50</v>
      </c>
      <c r="G31" t="s">
        <v>51</v>
      </c>
      <c r="H31" t="s">
        <v>173</v>
      </c>
      <c r="I31" t="s">
        <v>174</v>
      </c>
      <c r="J31">
        <v>16509456</v>
      </c>
      <c r="K31">
        <v>442271715</v>
      </c>
      <c r="L31">
        <v>20231111</v>
      </c>
      <c r="M31">
        <v>20231110</v>
      </c>
      <c r="O31">
        <v>2</v>
      </c>
      <c r="P31">
        <v>64</v>
      </c>
      <c r="Q31" t="s">
        <v>65</v>
      </c>
      <c r="R31" t="s">
        <v>65</v>
      </c>
      <c r="S31" t="s">
        <v>192</v>
      </c>
      <c r="U31" t="s">
        <v>193</v>
      </c>
      <c r="W31" t="s">
        <v>194</v>
      </c>
      <c r="Z31" t="s">
        <v>195</v>
      </c>
      <c r="AA31" t="s">
        <v>65</v>
      </c>
      <c r="AB31" t="s">
        <v>196</v>
      </c>
      <c r="AC31" t="s">
        <v>197</v>
      </c>
      <c r="AE31" t="s">
        <v>59</v>
      </c>
      <c r="AF31" t="s">
        <v>60</v>
      </c>
      <c r="AG31" t="s">
        <v>61</v>
      </c>
      <c r="AH31" t="s">
        <v>62</v>
      </c>
      <c r="AI31">
        <v>20250801</v>
      </c>
      <c r="AJ31" t="s">
        <v>63</v>
      </c>
      <c r="AK31" t="s">
        <v>63</v>
      </c>
      <c r="AL31">
        <v>2</v>
      </c>
      <c r="AM31">
        <v>20250806</v>
      </c>
      <c r="AN31">
        <v>17</v>
      </c>
      <c r="AO31">
        <v>17</v>
      </c>
      <c r="AP31" t="s">
        <v>63</v>
      </c>
      <c r="AS31">
        <v>100</v>
      </c>
      <c r="AT31">
        <v>0.68</v>
      </c>
      <c r="AU31">
        <v>4</v>
      </c>
      <c r="AV31" t="s">
        <v>64</v>
      </c>
    </row>
    <row r="32" spans="1:48" x14ac:dyDescent="0.25">
      <c r="A32" t="s">
        <v>48</v>
      </c>
      <c r="B32">
        <v>20250814</v>
      </c>
      <c r="C32" t="s">
        <v>49</v>
      </c>
      <c r="D32">
        <v>0</v>
      </c>
      <c r="E32">
        <v>20411454</v>
      </c>
      <c r="F32" t="s">
        <v>50</v>
      </c>
      <c r="G32" t="s">
        <v>51</v>
      </c>
      <c r="H32" t="s">
        <v>173</v>
      </c>
      <c r="I32" t="s">
        <v>174</v>
      </c>
      <c r="J32">
        <v>16509456</v>
      </c>
      <c r="K32">
        <v>442580059</v>
      </c>
      <c r="L32">
        <v>20240401</v>
      </c>
      <c r="M32">
        <v>20240330</v>
      </c>
      <c r="O32">
        <v>2</v>
      </c>
      <c r="P32">
        <v>57</v>
      </c>
      <c r="Q32" t="s">
        <v>65</v>
      </c>
      <c r="R32" t="s">
        <v>65</v>
      </c>
      <c r="S32" t="s">
        <v>198</v>
      </c>
      <c r="U32" t="s">
        <v>199</v>
      </c>
      <c r="W32" t="s">
        <v>200</v>
      </c>
      <c r="Z32" t="s">
        <v>201</v>
      </c>
      <c r="AA32" t="s">
        <v>65</v>
      </c>
      <c r="AB32">
        <v>21108</v>
      </c>
      <c r="AE32" t="s">
        <v>202</v>
      </c>
      <c r="AF32" t="s">
        <v>203</v>
      </c>
      <c r="AG32" t="s">
        <v>61</v>
      </c>
      <c r="AH32" t="s">
        <v>62</v>
      </c>
      <c r="AI32">
        <v>20250801</v>
      </c>
      <c r="AJ32" t="s">
        <v>63</v>
      </c>
      <c r="AK32" t="s">
        <v>63</v>
      </c>
      <c r="AL32">
        <v>1</v>
      </c>
      <c r="AM32">
        <v>20250806</v>
      </c>
      <c r="AN32">
        <v>13.28</v>
      </c>
      <c r="AO32">
        <v>13.28</v>
      </c>
      <c r="AP32" t="s">
        <v>63</v>
      </c>
      <c r="AS32">
        <v>100</v>
      </c>
      <c r="AT32">
        <v>0.93</v>
      </c>
      <c r="AU32">
        <v>7</v>
      </c>
      <c r="AV32" t="s">
        <v>64</v>
      </c>
    </row>
    <row r="33" spans="1:48" x14ac:dyDescent="0.25">
      <c r="A33" t="s">
        <v>48</v>
      </c>
      <c r="B33">
        <v>20250814</v>
      </c>
      <c r="C33" t="s">
        <v>49</v>
      </c>
      <c r="D33">
        <v>0</v>
      </c>
      <c r="E33">
        <v>20411454</v>
      </c>
      <c r="F33" t="s">
        <v>50</v>
      </c>
      <c r="G33" t="s">
        <v>204</v>
      </c>
      <c r="H33" t="s">
        <v>205</v>
      </c>
      <c r="I33" t="s">
        <v>206</v>
      </c>
      <c r="J33">
        <v>16202925</v>
      </c>
      <c r="K33">
        <v>442385061</v>
      </c>
      <c r="L33">
        <v>20240101</v>
      </c>
      <c r="M33">
        <v>20231219</v>
      </c>
      <c r="O33">
        <v>2</v>
      </c>
      <c r="P33">
        <v>34</v>
      </c>
      <c r="Q33" t="s">
        <v>65</v>
      </c>
      <c r="R33" t="s">
        <v>65</v>
      </c>
      <c r="S33" t="s">
        <v>207</v>
      </c>
      <c r="U33" t="s">
        <v>208</v>
      </c>
      <c r="W33" t="s">
        <v>209</v>
      </c>
      <c r="Z33" t="s">
        <v>172</v>
      </c>
      <c r="AA33" t="s">
        <v>65</v>
      </c>
      <c r="AB33">
        <v>21015</v>
      </c>
      <c r="AE33" t="s">
        <v>123</v>
      </c>
      <c r="AF33" t="s">
        <v>124</v>
      </c>
      <c r="AG33" t="s">
        <v>61</v>
      </c>
      <c r="AH33" t="s">
        <v>62</v>
      </c>
      <c r="AI33">
        <v>20250801</v>
      </c>
      <c r="AJ33" t="s">
        <v>63</v>
      </c>
      <c r="AK33" t="s">
        <v>63</v>
      </c>
      <c r="AL33">
        <v>1</v>
      </c>
      <c r="AM33">
        <v>20250806</v>
      </c>
      <c r="AN33">
        <v>26.04</v>
      </c>
      <c r="AO33">
        <v>26.04</v>
      </c>
      <c r="AP33" t="s">
        <v>63</v>
      </c>
      <c r="AS33">
        <v>100</v>
      </c>
      <c r="AT33">
        <v>2.08</v>
      </c>
      <c r="AU33">
        <v>8</v>
      </c>
      <c r="AV33" t="s">
        <v>64</v>
      </c>
    </row>
    <row r="34" spans="1:48" x14ac:dyDescent="0.25">
      <c r="A34" t="s">
        <v>48</v>
      </c>
      <c r="B34">
        <v>20250814</v>
      </c>
      <c r="C34" t="s">
        <v>49</v>
      </c>
      <c r="D34">
        <v>0</v>
      </c>
      <c r="E34">
        <v>20411454</v>
      </c>
      <c r="F34" t="s">
        <v>50</v>
      </c>
      <c r="G34" t="s">
        <v>204</v>
      </c>
      <c r="H34" t="s">
        <v>205</v>
      </c>
      <c r="I34" t="s">
        <v>206</v>
      </c>
      <c r="J34">
        <v>16202925</v>
      </c>
      <c r="K34">
        <v>442385060</v>
      </c>
      <c r="L34">
        <v>20240101</v>
      </c>
      <c r="M34">
        <v>20231219</v>
      </c>
      <c r="O34">
        <v>2</v>
      </c>
      <c r="P34">
        <v>34</v>
      </c>
      <c r="Q34" t="s">
        <v>65</v>
      </c>
      <c r="R34" t="s">
        <v>65</v>
      </c>
      <c r="S34" t="s">
        <v>207</v>
      </c>
      <c r="U34" t="s">
        <v>208</v>
      </c>
      <c r="W34" t="s">
        <v>209</v>
      </c>
      <c r="Z34" t="s">
        <v>172</v>
      </c>
      <c r="AA34" t="s">
        <v>65</v>
      </c>
      <c r="AB34">
        <v>21015</v>
      </c>
      <c r="AC34" t="s">
        <v>210</v>
      </c>
      <c r="AE34" t="s">
        <v>125</v>
      </c>
      <c r="AF34" t="s">
        <v>117</v>
      </c>
      <c r="AG34" t="s">
        <v>61</v>
      </c>
      <c r="AH34" t="s">
        <v>62</v>
      </c>
      <c r="AI34">
        <v>20250801</v>
      </c>
      <c r="AJ34" t="s">
        <v>63</v>
      </c>
      <c r="AK34" t="s">
        <v>63</v>
      </c>
      <c r="AL34">
        <v>1</v>
      </c>
      <c r="AM34">
        <v>20250806</v>
      </c>
      <c r="AN34">
        <v>36.130000000000003</v>
      </c>
      <c r="AO34">
        <v>36.130000000000003</v>
      </c>
      <c r="AP34" t="s">
        <v>63</v>
      </c>
      <c r="AS34">
        <v>100</v>
      </c>
      <c r="AT34">
        <v>1.45</v>
      </c>
      <c r="AU34">
        <v>4</v>
      </c>
      <c r="AV34" t="s">
        <v>64</v>
      </c>
    </row>
    <row r="35" spans="1:48" x14ac:dyDescent="0.25">
      <c r="A35" t="s">
        <v>48</v>
      </c>
      <c r="B35">
        <v>20250814</v>
      </c>
      <c r="C35" t="s">
        <v>49</v>
      </c>
      <c r="D35">
        <v>0</v>
      </c>
      <c r="E35">
        <v>20411454</v>
      </c>
      <c r="F35" t="s">
        <v>50</v>
      </c>
      <c r="G35" t="s">
        <v>204</v>
      </c>
      <c r="H35" t="s">
        <v>205</v>
      </c>
      <c r="I35" t="s">
        <v>206</v>
      </c>
      <c r="J35">
        <v>16202925</v>
      </c>
      <c r="K35">
        <v>442385059</v>
      </c>
      <c r="L35">
        <v>20240101</v>
      </c>
      <c r="M35">
        <v>20231219</v>
      </c>
      <c r="O35">
        <v>2</v>
      </c>
      <c r="P35">
        <v>34</v>
      </c>
      <c r="Q35" t="s">
        <v>65</v>
      </c>
      <c r="R35" t="s">
        <v>65</v>
      </c>
      <c r="S35" t="s">
        <v>207</v>
      </c>
      <c r="U35" t="s">
        <v>208</v>
      </c>
      <c r="W35" t="s">
        <v>209</v>
      </c>
      <c r="Z35" t="s">
        <v>172</v>
      </c>
      <c r="AA35" t="s">
        <v>65</v>
      </c>
      <c r="AB35">
        <v>21015</v>
      </c>
      <c r="AE35" t="s">
        <v>59</v>
      </c>
      <c r="AF35" t="s">
        <v>60</v>
      </c>
      <c r="AG35" t="s">
        <v>61</v>
      </c>
      <c r="AH35" t="s">
        <v>62</v>
      </c>
      <c r="AI35">
        <v>20250801</v>
      </c>
      <c r="AJ35" t="s">
        <v>63</v>
      </c>
      <c r="AK35" t="s">
        <v>63</v>
      </c>
      <c r="AL35">
        <v>1</v>
      </c>
      <c r="AM35">
        <v>20250806</v>
      </c>
      <c r="AN35">
        <v>10.4</v>
      </c>
      <c r="AO35">
        <v>10.4</v>
      </c>
      <c r="AP35" t="s">
        <v>63</v>
      </c>
      <c r="AS35">
        <v>100</v>
      </c>
      <c r="AT35">
        <v>0.42</v>
      </c>
      <c r="AU35">
        <v>4</v>
      </c>
      <c r="AV35" t="s">
        <v>64</v>
      </c>
    </row>
    <row r="36" spans="1:48" x14ac:dyDescent="0.25">
      <c r="A36" t="s">
        <v>48</v>
      </c>
      <c r="B36">
        <v>20250814</v>
      </c>
      <c r="C36" t="s">
        <v>49</v>
      </c>
      <c r="D36">
        <v>0</v>
      </c>
      <c r="E36">
        <v>20411454</v>
      </c>
      <c r="F36" t="s">
        <v>50</v>
      </c>
      <c r="G36" t="s">
        <v>204</v>
      </c>
      <c r="H36" t="s">
        <v>205</v>
      </c>
      <c r="I36" t="s">
        <v>206</v>
      </c>
      <c r="J36">
        <v>16202925</v>
      </c>
      <c r="K36">
        <v>442428775</v>
      </c>
      <c r="L36">
        <v>20240112</v>
      </c>
      <c r="M36">
        <v>20240111</v>
      </c>
      <c r="O36">
        <v>2</v>
      </c>
      <c r="P36">
        <v>32</v>
      </c>
      <c r="Q36" t="s">
        <v>65</v>
      </c>
      <c r="R36" t="s">
        <v>65</v>
      </c>
      <c r="S36" t="s">
        <v>211</v>
      </c>
      <c r="U36" t="s">
        <v>212</v>
      </c>
      <c r="W36" t="s">
        <v>213</v>
      </c>
      <c r="Z36" t="s">
        <v>214</v>
      </c>
      <c r="AA36" t="s">
        <v>65</v>
      </c>
      <c r="AB36">
        <v>20850</v>
      </c>
      <c r="AE36" t="s">
        <v>59</v>
      </c>
      <c r="AF36" t="s">
        <v>60</v>
      </c>
      <c r="AG36" t="s">
        <v>61</v>
      </c>
      <c r="AH36" t="s">
        <v>62</v>
      </c>
      <c r="AI36">
        <v>20250801</v>
      </c>
      <c r="AJ36" t="s">
        <v>63</v>
      </c>
      <c r="AK36" t="s">
        <v>63</v>
      </c>
      <c r="AL36">
        <v>1</v>
      </c>
      <c r="AM36">
        <v>20250806</v>
      </c>
      <c r="AN36">
        <v>10.4</v>
      </c>
      <c r="AO36">
        <v>10.4</v>
      </c>
      <c r="AP36" t="s">
        <v>63</v>
      </c>
      <c r="AS36">
        <v>100</v>
      </c>
      <c r="AT36">
        <v>0.42</v>
      </c>
      <c r="AU36">
        <v>4</v>
      </c>
      <c r="AV36" t="s">
        <v>64</v>
      </c>
    </row>
    <row r="37" spans="1:48" x14ac:dyDescent="0.25">
      <c r="A37" t="s">
        <v>48</v>
      </c>
      <c r="B37">
        <v>20250814</v>
      </c>
      <c r="C37" t="s">
        <v>49</v>
      </c>
      <c r="D37">
        <v>0</v>
      </c>
      <c r="E37">
        <v>20411454</v>
      </c>
      <c r="F37" t="s">
        <v>50</v>
      </c>
      <c r="G37" t="s">
        <v>204</v>
      </c>
      <c r="H37" t="s">
        <v>205</v>
      </c>
      <c r="I37" t="s">
        <v>206</v>
      </c>
      <c r="J37">
        <v>16202925</v>
      </c>
      <c r="K37">
        <v>442430491</v>
      </c>
      <c r="L37">
        <v>20240113</v>
      </c>
      <c r="M37">
        <v>20240112</v>
      </c>
      <c r="O37">
        <v>2</v>
      </c>
      <c r="P37">
        <v>48</v>
      </c>
      <c r="Q37" t="s">
        <v>65</v>
      </c>
      <c r="R37" t="s">
        <v>65</v>
      </c>
      <c r="S37" t="s">
        <v>215</v>
      </c>
      <c r="U37" t="s">
        <v>216</v>
      </c>
      <c r="W37" t="s">
        <v>217</v>
      </c>
      <c r="Z37" t="s">
        <v>218</v>
      </c>
      <c r="AA37" t="s">
        <v>65</v>
      </c>
      <c r="AB37">
        <v>21040</v>
      </c>
      <c r="AC37" t="s">
        <v>219</v>
      </c>
      <c r="AE37" t="s">
        <v>125</v>
      </c>
      <c r="AF37" t="s">
        <v>117</v>
      </c>
      <c r="AG37" t="s">
        <v>61</v>
      </c>
      <c r="AH37" t="s">
        <v>62</v>
      </c>
      <c r="AI37">
        <v>20250801</v>
      </c>
      <c r="AJ37" t="s">
        <v>63</v>
      </c>
      <c r="AK37" t="s">
        <v>63</v>
      </c>
      <c r="AL37">
        <v>1</v>
      </c>
      <c r="AM37">
        <v>20250806</v>
      </c>
      <c r="AN37">
        <v>37.01</v>
      </c>
      <c r="AO37">
        <v>37.01</v>
      </c>
      <c r="AP37" t="s">
        <v>63</v>
      </c>
      <c r="AS37">
        <v>100</v>
      </c>
      <c r="AT37">
        <v>1.48</v>
      </c>
      <c r="AU37">
        <v>4</v>
      </c>
      <c r="AV37" t="s">
        <v>64</v>
      </c>
    </row>
    <row r="38" spans="1:48" x14ac:dyDescent="0.25">
      <c r="A38" t="s">
        <v>48</v>
      </c>
      <c r="B38">
        <v>20250814</v>
      </c>
      <c r="C38" t="s">
        <v>49</v>
      </c>
      <c r="D38">
        <v>0</v>
      </c>
      <c r="E38">
        <v>20411454</v>
      </c>
      <c r="F38" t="s">
        <v>50</v>
      </c>
      <c r="G38" t="s">
        <v>204</v>
      </c>
      <c r="H38" t="s">
        <v>205</v>
      </c>
      <c r="I38" t="s">
        <v>206</v>
      </c>
      <c r="J38">
        <v>16202925</v>
      </c>
      <c r="K38">
        <v>442586950</v>
      </c>
      <c r="L38">
        <v>20240404</v>
      </c>
      <c r="M38">
        <v>20240403</v>
      </c>
      <c r="O38">
        <v>2</v>
      </c>
      <c r="P38">
        <v>28</v>
      </c>
      <c r="Q38" t="s">
        <v>65</v>
      </c>
      <c r="R38" t="s">
        <v>65</v>
      </c>
      <c r="S38" t="s">
        <v>220</v>
      </c>
      <c r="U38" t="s">
        <v>221</v>
      </c>
      <c r="W38" t="s">
        <v>222</v>
      </c>
      <c r="Z38" t="s">
        <v>223</v>
      </c>
      <c r="AA38" t="s">
        <v>65</v>
      </c>
      <c r="AB38">
        <v>21227</v>
      </c>
      <c r="AC38" t="s">
        <v>224</v>
      </c>
      <c r="AE38" t="s">
        <v>225</v>
      </c>
      <c r="AF38" t="s">
        <v>226</v>
      </c>
      <c r="AG38" t="s">
        <v>61</v>
      </c>
      <c r="AH38" t="s">
        <v>62</v>
      </c>
      <c r="AI38">
        <v>20250801</v>
      </c>
      <c r="AJ38" t="s">
        <v>63</v>
      </c>
      <c r="AK38" t="s">
        <v>63</v>
      </c>
      <c r="AL38">
        <v>1</v>
      </c>
      <c r="AM38">
        <v>20250806</v>
      </c>
      <c r="AN38">
        <v>51.09</v>
      </c>
      <c r="AO38">
        <v>51.09</v>
      </c>
      <c r="AP38" t="s">
        <v>63</v>
      </c>
      <c r="AS38">
        <v>100</v>
      </c>
      <c r="AT38">
        <v>3.58</v>
      </c>
      <c r="AU38">
        <v>7</v>
      </c>
      <c r="AV38" t="s">
        <v>64</v>
      </c>
    </row>
    <row r="39" spans="1:48" x14ac:dyDescent="0.25">
      <c r="A39" t="s">
        <v>48</v>
      </c>
      <c r="B39">
        <v>20250814</v>
      </c>
      <c r="C39" t="s">
        <v>49</v>
      </c>
      <c r="D39">
        <v>0</v>
      </c>
      <c r="E39">
        <v>20411454</v>
      </c>
      <c r="F39" t="s">
        <v>50</v>
      </c>
      <c r="G39" t="s">
        <v>204</v>
      </c>
      <c r="H39" t="s">
        <v>205</v>
      </c>
      <c r="I39" t="s">
        <v>206</v>
      </c>
      <c r="J39">
        <v>16202925</v>
      </c>
      <c r="K39">
        <v>442602708</v>
      </c>
      <c r="L39">
        <v>20240501</v>
      </c>
      <c r="M39">
        <v>20240411</v>
      </c>
      <c r="O39">
        <v>2</v>
      </c>
      <c r="P39">
        <v>55</v>
      </c>
      <c r="Q39" t="s">
        <v>65</v>
      </c>
      <c r="R39" t="s">
        <v>65</v>
      </c>
      <c r="S39" t="s">
        <v>227</v>
      </c>
      <c r="U39" t="s">
        <v>228</v>
      </c>
      <c r="W39" t="s">
        <v>229</v>
      </c>
      <c r="Z39" t="s">
        <v>230</v>
      </c>
      <c r="AA39" t="s">
        <v>65</v>
      </c>
      <c r="AB39" t="s">
        <v>231</v>
      </c>
      <c r="AC39" t="s">
        <v>232</v>
      </c>
      <c r="AE39" t="s">
        <v>233</v>
      </c>
      <c r="AF39" t="s">
        <v>226</v>
      </c>
      <c r="AG39" t="s">
        <v>61</v>
      </c>
      <c r="AH39" t="s">
        <v>62</v>
      </c>
      <c r="AI39">
        <v>20250801</v>
      </c>
      <c r="AJ39" t="s">
        <v>63</v>
      </c>
      <c r="AK39" t="s">
        <v>63</v>
      </c>
      <c r="AL39">
        <v>1</v>
      </c>
      <c r="AM39">
        <v>20250806</v>
      </c>
      <c r="AN39">
        <v>42.59</v>
      </c>
      <c r="AO39">
        <v>42.59</v>
      </c>
      <c r="AP39" t="s">
        <v>63</v>
      </c>
      <c r="AS39">
        <v>100</v>
      </c>
      <c r="AT39">
        <v>2.98</v>
      </c>
      <c r="AU39">
        <v>7</v>
      </c>
      <c r="AV39" t="s">
        <v>64</v>
      </c>
    </row>
    <row r="40" spans="1:48" x14ac:dyDescent="0.25">
      <c r="A40" t="s">
        <v>48</v>
      </c>
      <c r="B40">
        <v>20250814</v>
      </c>
      <c r="C40" t="s">
        <v>49</v>
      </c>
      <c r="D40">
        <v>0</v>
      </c>
      <c r="E40">
        <v>20411454</v>
      </c>
      <c r="F40" t="s">
        <v>50</v>
      </c>
      <c r="G40" t="s">
        <v>204</v>
      </c>
      <c r="H40" t="s">
        <v>205</v>
      </c>
      <c r="I40" t="s">
        <v>206</v>
      </c>
      <c r="J40">
        <v>16202925</v>
      </c>
      <c r="K40">
        <v>442649730</v>
      </c>
      <c r="L40">
        <v>20240601</v>
      </c>
      <c r="M40">
        <v>20240506</v>
      </c>
      <c r="O40">
        <v>2</v>
      </c>
      <c r="P40">
        <v>31</v>
      </c>
      <c r="Q40" t="s">
        <v>65</v>
      </c>
      <c r="R40" t="s">
        <v>65</v>
      </c>
      <c r="S40" t="s">
        <v>234</v>
      </c>
      <c r="U40" t="s">
        <v>235</v>
      </c>
      <c r="W40" t="s">
        <v>236</v>
      </c>
      <c r="Z40" t="s">
        <v>237</v>
      </c>
      <c r="AA40" t="s">
        <v>65</v>
      </c>
      <c r="AB40">
        <v>21911</v>
      </c>
      <c r="AC40" t="s">
        <v>238</v>
      </c>
      <c r="AE40" t="s">
        <v>239</v>
      </c>
      <c r="AF40" t="s">
        <v>226</v>
      </c>
      <c r="AG40" t="s">
        <v>61</v>
      </c>
      <c r="AH40" t="s">
        <v>62</v>
      </c>
      <c r="AI40">
        <v>20250801</v>
      </c>
      <c r="AJ40" t="s">
        <v>63</v>
      </c>
      <c r="AK40" t="s">
        <v>63</v>
      </c>
      <c r="AL40">
        <v>2</v>
      </c>
      <c r="AM40">
        <v>20250806</v>
      </c>
      <c r="AN40">
        <v>111.57</v>
      </c>
      <c r="AO40">
        <v>111.57</v>
      </c>
      <c r="AP40" t="s">
        <v>63</v>
      </c>
      <c r="AS40">
        <v>100</v>
      </c>
      <c r="AT40">
        <v>7.81</v>
      </c>
      <c r="AU40">
        <v>7</v>
      </c>
      <c r="AV4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3F49-5A8F-46E4-96F3-62F2658D4EF9}">
  <dimension ref="A1:T40"/>
  <sheetViews>
    <sheetView tabSelected="1" workbookViewId="0">
      <selection activeCell="Q2" sqref="Q2:Q40"/>
    </sheetView>
  </sheetViews>
  <sheetFormatPr defaultRowHeight="15" x14ac:dyDescent="0.25"/>
  <cols>
    <col min="3" max="3" width="12.85546875" bestFit="1" customWidth="1"/>
    <col min="4" max="4" width="13.7109375" style="1" customWidth="1"/>
    <col min="5" max="5" width="14.140625" bestFit="1" customWidth="1"/>
    <col min="6" max="6" width="19.42578125" bestFit="1" customWidth="1"/>
    <col min="7" max="7" width="11.140625" customWidth="1"/>
    <col min="9" max="9" width="9.140625" customWidth="1"/>
    <col min="11" max="11" width="24.42578125" bestFit="1" customWidth="1"/>
    <col min="12" max="12" width="23" bestFit="1" customWidth="1"/>
    <col min="15" max="16" width="13" customWidth="1"/>
  </cols>
  <sheetData>
    <row r="1" spans="1:20" x14ac:dyDescent="0.25">
      <c r="A1" t="s">
        <v>6</v>
      </c>
      <c r="B1" t="s">
        <v>7</v>
      </c>
      <c r="D1" s="1" t="s">
        <v>9</v>
      </c>
      <c r="E1" t="s">
        <v>10</v>
      </c>
      <c r="F1" t="s">
        <v>11</v>
      </c>
      <c r="H1" t="s">
        <v>17</v>
      </c>
      <c r="I1" t="s">
        <v>18</v>
      </c>
      <c r="J1" t="s">
        <v>20</v>
      </c>
      <c r="L1" t="s">
        <v>30</v>
      </c>
      <c r="M1" t="s">
        <v>31</v>
      </c>
      <c r="N1" t="s">
        <v>34</v>
      </c>
      <c r="O1" t="s">
        <v>39</v>
      </c>
      <c r="P1" t="s">
        <v>40</v>
      </c>
      <c r="Q1" t="s">
        <v>45</v>
      </c>
      <c r="R1" t="s">
        <v>46</v>
      </c>
      <c r="S1" t="s">
        <v>47</v>
      </c>
    </row>
    <row r="2" spans="1:20" x14ac:dyDescent="0.25">
      <c r="A2" t="s">
        <v>88</v>
      </c>
      <c r="B2" t="s">
        <v>89</v>
      </c>
      <c r="C2" t="str">
        <f>CONCATENATE(B2, " ",A2)</f>
        <v>Carol Foley</v>
      </c>
      <c r="D2" s="1" t="s">
        <v>240</v>
      </c>
      <c r="E2">
        <v>442268083</v>
      </c>
      <c r="F2">
        <v>20231201</v>
      </c>
      <c r="G2" t="str">
        <f>TEXT(DATE(LEFT(F2,4), MID(F2,5,2), RIGHT(F2,2)), "M/d/yyyy")</f>
        <v>12/1/2023</v>
      </c>
      <c r="H2" t="s">
        <v>110</v>
      </c>
      <c r="I2" t="s">
        <v>118</v>
      </c>
      <c r="J2" t="s">
        <v>119</v>
      </c>
      <c r="K2" t="str">
        <f>CONCATENATE(I2, " ",J2)</f>
        <v>SCOTT SHEAR</v>
      </c>
      <c r="L2" t="s">
        <v>123</v>
      </c>
      <c r="M2" t="s">
        <v>124</v>
      </c>
      <c r="N2">
        <v>20250801</v>
      </c>
      <c r="O2">
        <v>52.1</v>
      </c>
      <c r="P2">
        <v>52.1</v>
      </c>
      <c r="Q2">
        <v>4.17</v>
      </c>
      <c r="R2">
        <v>8</v>
      </c>
      <c r="S2" t="s">
        <v>64</v>
      </c>
      <c r="T2" t="s">
        <v>241</v>
      </c>
    </row>
    <row r="3" spans="1:20" x14ac:dyDescent="0.25">
      <c r="A3" t="s">
        <v>204</v>
      </c>
      <c r="B3" t="s">
        <v>205</v>
      </c>
      <c r="C3" t="str">
        <f>CONCATENATE(B3, " ",A3)</f>
        <v>Thomas Kucan</v>
      </c>
      <c r="D3" s="1">
        <v>16202925</v>
      </c>
      <c r="E3">
        <v>442385061</v>
      </c>
      <c r="F3">
        <v>20240101</v>
      </c>
      <c r="G3" t="str">
        <f>TEXT(DATE(LEFT(F3,4), MID(F3,5,2), RIGHT(F3,2)), "M/d/yyyy")</f>
        <v>1/1/2024</v>
      </c>
      <c r="H3" t="s">
        <v>65</v>
      </c>
      <c r="I3" t="s">
        <v>207</v>
      </c>
      <c r="J3" t="s">
        <v>208</v>
      </c>
      <c r="K3" t="str">
        <f>CONCATENATE(I3, " ",J3)</f>
        <v>ASHLEY SOUBIE</v>
      </c>
      <c r="L3" t="s">
        <v>123</v>
      </c>
      <c r="M3" t="s">
        <v>124</v>
      </c>
      <c r="N3">
        <v>20250801</v>
      </c>
      <c r="O3">
        <v>26.04</v>
      </c>
      <c r="P3">
        <v>26.04</v>
      </c>
      <c r="Q3">
        <v>2.08</v>
      </c>
      <c r="R3">
        <v>8</v>
      </c>
      <c r="S3" t="s">
        <v>64</v>
      </c>
      <c r="T3" t="s">
        <v>241</v>
      </c>
    </row>
    <row r="4" spans="1:20" x14ac:dyDescent="0.25">
      <c r="A4" t="s">
        <v>88</v>
      </c>
      <c r="B4" t="s">
        <v>89</v>
      </c>
      <c r="C4" t="str">
        <f>CONCATENATE(B4, " ",A4)</f>
        <v>Carol Foley</v>
      </c>
      <c r="D4" s="1" t="s">
        <v>240</v>
      </c>
      <c r="E4">
        <v>441952843</v>
      </c>
      <c r="F4">
        <v>20230503</v>
      </c>
      <c r="G4" t="str">
        <f>TEXT(DATE(LEFT(F4,4), MID(F4,5,2), RIGHT(F4,2)), "M/d/yyyy")</f>
        <v>5/3/2023</v>
      </c>
      <c r="H4" t="s">
        <v>91</v>
      </c>
      <c r="I4" t="s">
        <v>100</v>
      </c>
      <c r="J4" t="s">
        <v>101</v>
      </c>
      <c r="K4" t="str">
        <f>CONCATENATE(I4, " ",J4)</f>
        <v>MARIA QUIC CAXAJ</v>
      </c>
      <c r="L4" t="s">
        <v>104</v>
      </c>
      <c r="M4" t="s">
        <v>105</v>
      </c>
      <c r="N4">
        <v>20250801</v>
      </c>
      <c r="O4">
        <v>62.58</v>
      </c>
      <c r="P4">
        <v>62.58</v>
      </c>
      <c r="Q4">
        <v>3.13</v>
      </c>
      <c r="R4">
        <v>5</v>
      </c>
      <c r="S4" t="s">
        <v>64</v>
      </c>
      <c r="T4" t="s">
        <v>242</v>
      </c>
    </row>
    <row r="5" spans="1:20" x14ac:dyDescent="0.25">
      <c r="A5" t="s">
        <v>51</v>
      </c>
      <c r="B5" t="s">
        <v>173</v>
      </c>
      <c r="C5" t="str">
        <f>CONCATENATE(B5, " ",A5)</f>
        <v>Peter Richter</v>
      </c>
      <c r="D5" s="1">
        <v>16509456</v>
      </c>
      <c r="E5">
        <v>441991771</v>
      </c>
      <c r="F5">
        <v>20230601</v>
      </c>
      <c r="G5" t="str">
        <f>TEXT(DATE(LEFT(F5,4), MID(F5,5,2), RIGHT(F5,2)), "M/d/yyyy")</f>
        <v>6/1/2023</v>
      </c>
      <c r="H5" t="s">
        <v>91</v>
      </c>
      <c r="I5" t="s">
        <v>180</v>
      </c>
      <c r="J5" t="s">
        <v>181</v>
      </c>
      <c r="K5" t="str">
        <f>CONCATENATE(I5, " ",J5)</f>
        <v>LINDA DEANTONIO</v>
      </c>
      <c r="L5" t="s">
        <v>187</v>
      </c>
      <c r="M5" t="s">
        <v>117</v>
      </c>
      <c r="N5">
        <v>20250801</v>
      </c>
      <c r="O5">
        <v>72.19</v>
      </c>
      <c r="P5">
        <v>72.19</v>
      </c>
      <c r="Q5">
        <v>3.61</v>
      </c>
      <c r="R5">
        <v>5</v>
      </c>
      <c r="S5" t="s">
        <v>64</v>
      </c>
      <c r="T5" t="s">
        <v>243</v>
      </c>
    </row>
    <row r="6" spans="1:20" x14ac:dyDescent="0.25">
      <c r="A6" t="s">
        <v>88</v>
      </c>
      <c r="B6" t="s">
        <v>89</v>
      </c>
      <c r="C6" t="str">
        <f>CONCATENATE(B6, " ",A6)</f>
        <v>Carol Foley</v>
      </c>
      <c r="D6" s="1" t="s">
        <v>240</v>
      </c>
      <c r="E6">
        <v>442047054</v>
      </c>
      <c r="F6">
        <v>20230701</v>
      </c>
      <c r="G6" t="str">
        <f>TEXT(DATE(LEFT(F6,4), MID(F6,5,2), RIGHT(F6,2)), "M/d/yyyy")</f>
        <v>7/1/2023</v>
      </c>
      <c r="H6" t="s">
        <v>110</v>
      </c>
      <c r="I6" t="s">
        <v>111</v>
      </c>
      <c r="J6" t="s">
        <v>112</v>
      </c>
      <c r="K6" t="str">
        <f>CONCATENATE(I6, " ",J6)</f>
        <v>KELLIE CURRY</v>
      </c>
      <c r="L6" t="s">
        <v>116</v>
      </c>
      <c r="M6" t="s">
        <v>117</v>
      </c>
      <c r="N6">
        <v>20250801</v>
      </c>
      <c r="O6">
        <v>37.340000000000003</v>
      </c>
      <c r="P6">
        <v>37.340000000000003</v>
      </c>
      <c r="Q6">
        <v>1.49</v>
      </c>
      <c r="R6">
        <v>4</v>
      </c>
      <c r="S6" t="s">
        <v>64</v>
      </c>
      <c r="T6" t="s">
        <v>244</v>
      </c>
    </row>
    <row r="7" spans="1:20" x14ac:dyDescent="0.25">
      <c r="A7" t="s">
        <v>51</v>
      </c>
      <c r="B7" t="s">
        <v>173</v>
      </c>
      <c r="C7" t="str">
        <f>CONCATENATE(B7, " ",A7)</f>
        <v>Peter Richter</v>
      </c>
      <c r="D7" s="1">
        <v>16509456</v>
      </c>
      <c r="E7">
        <v>441862448</v>
      </c>
      <c r="F7">
        <v>20230401</v>
      </c>
      <c r="G7" t="str">
        <f>TEXT(DATE(LEFT(F7,4), MID(F7,5,2), RIGHT(F7,2)), "M/d/yyyy")</f>
        <v>4/1/2023</v>
      </c>
      <c r="H7" t="s">
        <v>91</v>
      </c>
      <c r="I7" t="s">
        <v>175</v>
      </c>
      <c r="J7" t="s">
        <v>176</v>
      </c>
      <c r="K7" t="str">
        <f>CONCATENATE(I7, " ",J7)</f>
        <v>MARC FOX</v>
      </c>
      <c r="L7" t="s">
        <v>116</v>
      </c>
      <c r="M7" t="s">
        <v>117</v>
      </c>
      <c r="N7">
        <v>20250801</v>
      </c>
      <c r="O7">
        <v>45.49</v>
      </c>
      <c r="P7">
        <v>45.49</v>
      </c>
      <c r="Q7">
        <v>1.82</v>
      </c>
      <c r="R7">
        <v>4</v>
      </c>
      <c r="S7" t="s">
        <v>64</v>
      </c>
      <c r="T7" t="s">
        <v>244</v>
      </c>
    </row>
    <row r="8" spans="1:20" x14ac:dyDescent="0.25">
      <c r="A8" t="s">
        <v>139</v>
      </c>
      <c r="B8" t="s">
        <v>140</v>
      </c>
      <c r="C8" t="str">
        <f>CONCATENATE(B8, " ",A8)</f>
        <v>Laurie Casta</v>
      </c>
      <c r="D8" s="1">
        <v>20697692</v>
      </c>
      <c r="E8">
        <v>442352294</v>
      </c>
      <c r="F8">
        <v>20231211</v>
      </c>
      <c r="G8" t="str">
        <f>TEXT(DATE(LEFT(F8,4), MID(F8,5,2), RIGHT(F8,2)), "M/d/yyyy")</f>
        <v>12/11/2023</v>
      </c>
      <c r="H8" t="s">
        <v>65</v>
      </c>
      <c r="I8" t="s">
        <v>160</v>
      </c>
      <c r="J8" t="s">
        <v>161</v>
      </c>
      <c r="K8" t="str">
        <f>CONCATENATE(I8, " ",J8)</f>
        <v>ANGELA DAVIS</v>
      </c>
      <c r="L8" t="s">
        <v>116</v>
      </c>
      <c r="M8" t="s">
        <v>117</v>
      </c>
      <c r="N8">
        <v>20250801</v>
      </c>
      <c r="O8">
        <v>43.6</v>
      </c>
      <c r="P8">
        <v>43.6</v>
      </c>
      <c r="Q8">
        <v>6.54</v>
      </c>
      <c r="R8">
        <v>15</v>
      </c>
      <c r="S8" t="s">
        <v>64</v>
      </c>
      <c r="T8" t="s">
        <v>245</v>
      </c>
    </row>
    <row r="9" spans="1:20" x14ac:dyDescent="0.25">
      <c r="A9" t="s">
        <v>88</v>
      </c>
      <c r="B9" t="s">
        <v>89</v>
      </c>
      <c r="C9" t="str">
        <f>CONCATENATE(B9, " ",A9)</f>
        <v>Carol Foley</v>
      </c>
      <c r="D9" s="1" t="s">
        <v>240</v>
      </c>
      <c r="E9">
        <v>442268078</v>
      </c>
      <c r="F9">
        <v>20231201</v>
      </c>
      <c r="G9" t="str">
        <f>TEXT(DATE(LEFT(F9,4), MID(F9,5,2), RIGHT(F9,2)), "M/d/yyyy")</f>
        <v>12/1/2023</v>
      </c>
      <c r="H9" t="s">
        <v>110</v>
      </c>
      <c r="I9" t="s">
        <v>118</v>
      </c>
      <c r="J9" t="s">
        <v>119</v>
      </c>
      <c r="K9" t="str">
        <f>CONCATENATE(I9, " ",J9)</f>
        <v>SCOTT SHEAR</v>
      </c>
      <c r="L9" t="s">
        <v>125</v>
      </c>
      <c r="M9" t="s">
        <v>117</v>
      </c>
      <c r="N9">
        <v>20250801</v>
      </c>
      <c r="O9">
        <v>110.44</v>
      </c>
      <c r="P9">
        <v>110.44</v>
      </c>
      <c r="Q9">
        <v>4.42</v>
      </c>
      <c r="R9">
        <v>4</v>
      </c>
      <c r="S9" t="s">
        <v>64</v>
      </c>
      <c r="T9" t="s">
        <v>246</v>
      </c>
    </row>
    <row r="10" spans="1:20" x14ac:dyDescent="0.25">
      <c r="A10" t="s">
        <v>126</v>
      </c>
      <c r="B10" t="s">
        <v>127</v>
      </c>
      <c r="C10" t="str">
        <f>CONCATENATE(B10, " ",A10)</f>
        <v>Jason Hoffmann</v>
      </c>
      <c r="D10" s="1">
        <v>15278437</v>
      </c>
      <c r="E10">
        <v>442249622</v>
      </c>
      <c r="F10">
        <v>20231103</v>
      </c>
      <c r="G10" t="str">
        <f>TEXT(DATE(LEFT(F10,4), MID(F10,5,2), RIGHT(F10,2)), "M/d/yyyy")</f>
        <v>11/3/2023</v>
      </c>
      <c r="H10" t="s">
        <v>133</v>
      </c>
      <c r="I10" t="s">
        <v>134</v>
      </c>
      <c r="J10" t="s">
        <v>135</v>
      </c>
      <c r="K10" t="str">
        <f>CONCATENATE(I10, " ",J10)</f>
        <v>DOUGLAS GEISSINGER</v>
      </c>
      <c r="L10" t="s">
        <v>125</v>
      </c>
      <c r="M10" t="s">
        <v>117</v>
      </c>
      <c r="N10">
        <v>20250801</v>
      </c>
      <c r="O10">
        <v>21.81</v>
      </c>
      <c r="P10">
        <v>21.81</v>
      </c>
      <c r="Q10">
        <v>0.87</v>
      </c>
      <c r="R10">
        <v>4</v>
      </c>
      <c r="S10" t="s">
        <v>64</v>
      </c>
      <c r="T10" t="s">
        <v>246</v>
      </c>
    </row>
    <row r="11" spans="1:20" x14ac:dyDescent="0.25">
      <c r="A11" t="s">
        <v>204</v>
      </c>
      <c r="B11" t="s">
        <v>205</v>
      </c>
      <c r="C11" t="str">
        <f>CONCATENATE(B11, " ",A11)</f>
        <v>Thomas Kucan</v>
      </c>
      <c r="D11" s="1">
        <v>16202925</v>
      </c>
      <c r="E11">
        <v>442385060</v>
      </c>
      <c r="F11">
        <v>20240101</v>
      </c>
      <c r="G11" t="str">
        <f>TEXT(DATE(LEFT(F11,4), MID(F11,5,2), RIGHT(F11,2)), "M/d/yyyy")</f>
        <v>1/1/2024</v>
      </c>
      <c r="H11" t="s">
        <v>65</v>
      </c>
      <c r="I11" t="s">
        <v>207</v>
      </c>
      <c r="J11" t="s">
        <v>208</v>
      </c>
      <c r="K11" t="str">
        <f>CONCATENATE(I11, " ",J11)</f>
        <v>ASHLEY SOUBIE</v>
      </c>
      <c r="L11" t="s">
        <v>125</v>
      </c>
      <c r="M11" t="s">
        <v>117</v>
      </c>
      <c r="N11">
        <v>20250801</v>
      </c>
      <c r="O11">
        <v>36.130000000000003</v>
      </c>
      <c r="P11">
        <v>36.130000000000003</v>
      </c>
      <c r="Q11">
        <v>1.45</v>
      </c>
      <c r="R11">
        <v>4</v>
      </c>
      <c r="S11" t="s">
        <v>64</v>
      </c>
      <c r="T11" t="s">
        <v>246</v>
      </c>
    </row>
    <row r="12" spans="1:20" x14ac:dyDescent="0.25">
      <c r="A12" t="s">
        <v>204</v>
      </c>
      <c r="B12" t="s">
        <v>205</v>
      </c>
      <c r="C12" t="str">
        <f>CONCATENATE(B12, " ",A12)</f>
        <v>Thomas Kucan</v>
      </c>
      <c r="D12" s="1">
        <v>16202925</v>
      </c>
      <c r="E12">
        <v>442430491</v>
      </c>
      <c r="F12">
        <v>20240113</v>
      </c>
      <c r="G12" t="str">
        <f>TEXT(DATE(LEFT(F12,4), MID(F12,5,2), RIGHT(F12,2)), "M/d/yyyy")</f>
        <v>1/13/2024</v>
      </c>
      <c r="H12" t="s">
        <v>65</v>
      </c>
      <c r="I12" t="s">
        <v>215</v>
      </c>
      <c r="J12" t="s">
        <v>216</v>
      </c>
      <c r="K12" t="str">
        <f>CONCATENATE(I12, " ",J12)</f>
        <v>JUANITA PINCHBACK</v>
      </c>
      <c r="L12" t="s">
        <v>125</v>
      </c>
      <c r="M12" t="s">
        <v>117</v>
      </c>
      <c r="N12">
        <v>20250801</v>
      </c>
      <c r="O12">
        <v>37.01</v>
      </c>
      <c r="P12">
        <v>37.01</v>
      </c>
      <c r="Q12">
        <v>1.48</v>
      </c>
      <c r="R12">
        <v>4</v>
      </c>
      <c r="S12" t="s">
        <v>64</v>
      </c>
      <c r="T12" t="s">
        <v>246</v>
      </c>
    </row>
    <row r="13" spans="1:20" x14ac:dyDescent="0.25">
      <c r="A13" t="s">
        <v>204</v>
      </c>
      <c r="B13" t="s">
        <v>205</v>
      </c>
      <c r="C13" t="str">
        <f>CONCATENATE(B13, " ",A13)</f>
        <v>Thomas Kucan</v>
      </c>
      <c r="D13" s="1">
        <v>16202925</v>
      </c>
      <c r="E13">
        <v>442602708</v>
      </c>
      <c r="F13">
        <v>20240501</v>
      </c>
      <c r="G13" t="str">
        <f>TEXT(DATE(LEFT(F13,4), MID(F13,5,2), RIGHT(F13,2)), "M/d/yyyy")</f>
        <v>5/1/2024</v>
      </c>
      <c r="H13" t="s">
        <v>65</v>
      </c>
      <c r="I13" t="s">
        <v>227</v>
      </c>
      <c r="J13" t="s">
        <v>228</v>
      </c>
      <c r="K13" t="str">
        <f>CONCATENATE(I13, " ",J13)</f>
        <v>FREDERICK HUTCHINSON</v>
      </c>
      <c r="L13" t="s">
        <v>233</v>
      </c>
      <c r="M13" t="s">
        <v>226</v>
      </c>
      <c r="N13">
        <v>20250801</v>
      </c>
      <c r="O13">
        <v>42.59</v>
      </c>
      <c r="P13">
        <v>42.59</v>
      </c>
      <c r="Q13">
        <v>2.98</v>
      </c>
      <c r="R13">
        <v>7</v>
      </c>
      <c r="S13" t="s">
        <v>64</v>
      </c>
      <c r="T13" t="s">
        <v>247</v>
      </c>
    </row>
    <row r="14" spans="1:20" x14ac:dyDescent="0.25">
      <c r="A14" t="s">
        <v>204</v>
      </c>
      <c r="B14" t="s">
        <v>205</v>
      </c>
      <c r="C14" t="str">
        <f>CONCATENATE(B14, " ",A14)</f>
        <v>Thomas Kucan</v>
      </c>
      <c r="D14" s="1">
        <v>16202925</v>
      </c>
      <c r="E14">
        <v>442586950</v>
      </c>
      <c r="F14">
        <v>20240404</v>
      </c>
      <c r="G14" t="str">
        <f>TEXT(DATE(LEFT(F14,4), MID(F14,5,2), RIGHT(F14,2)), "M/d/yyyy")</f>
        <v>4/4/2024</v>
      </c>
      <c r="H14" t="s">
        <v>65</v>
      </c>
      <c r="I14" t="s">
        <v>220</v>
      </c>
      <c r="J14" t="s">
        <v>221</v>
      </c>
      <c r="K14" t="str">
        <f>CONCATENATE(I14, " ",J14)</f>
        <v>AUDREY ROZIER</v>
      </c>
      <c r="L14" t="s">
        <v>225</v>
      </c>
      <c r="M14" t="s">
        <v>226</v>
      </c>
      <c r="N14">
        <v>20250801</v>
      </c>
      <c r="O14">
        <v>51.09</v>
      </c>
      <c r="P14">
        <v>51.09</v>
      </c>
      <c r="Q14">
        <v>3.58</v>
      </c>
      <c r="R14">
        <v>7</v>
      </c>
      <c r="S14" t="s">
        <v>64</v>
      </c>
      <c r="T14" t="s">
        <v>247</v>
      </c>
    </row>
    <row r="15" spans="1:20" x14ac:dyDescent="0.25">
      <c r="A15" t="s">
        <v>204</v>
      </c>
      <c r="B15" t="s">
        <v>205</v>
      </c>
      <c r="C15" t="str">
        <f>CONCATENATE(B15, " ",A15)</f>
        <v>Thomas Kucan</v>
      </c>
      <c r="D15" s="1">
        <v>16202925</v>
      </c>
      <c r="E15">
        <v>442649730</v>
      </c>
      <c r="F15">
        <v>20240601</v>
      </c>
      <c r="G15" t="str">
        <f>TEXT(DATE(LEFT(F15,4), MID(F15,5,2), RIGHT(F15,2)), "M/d/yyyy")</f>
        <v>6/1/2024</v>
      </c>
      <c r="H15" t="s">
        <v>65</v>
      </c>
      <c r="I15" t="s">
        <v>234</v>
      </c>
      <c r="J15" t="s">
        <v>235</v>
      </c>
      <c r="K15" t="str">
        <f>CONCATENATE(I15, " ",J15)</f>
        <v>ALEXIS DUKE</v>
      </c>
      <c r="L15" t="s">
        <v>239</v>
      </c>
      <c r="M15" t="s">
        <v>226</v>
      </c>
      <c r="N15">
        <v>20250801</v>
      </c>
      <c r="O15">
        <v>111.57</v>
      </c>
      <c r="P15">
        <v>111.57</v>
      </c>
      <c r="Q15">
        <v>7.81</v>
      </c>
      <c r="R15">
        <v>7</v>
      </c>
      <c r="S15" t="s">
        <v>64</v>
      </c>
      <c r="T15" t="s">
        <v>247</v>
      </c>
    </row>
    <row r="16" spans="1:20" x14ac:dyDescent="0.25">
      <c r="A16" t="s">
        <v>139</v>
      </c>
      <c r="B16" t="s">
        <v>140</v>
      </c>
      <c r="C16" t="str">
        <f>CONCATENATE(B16, " ",A16)</f>
        <v>Laurie Casta</v>
      </c>
      <c r="D16" s="1">
        <v>20697692</v>
      </c>
      <c r="E16">
        <v>442352316</v>
      </c>
      <c r="F16">
        <v>20231211</v>
      </c>
      <c r="G16" t="str">
        <f>TEXT(DATE(LEFT(F16,4), MID(F16,5,2), RIGHT(F16,2)), "M/d/yyyy")</f>
        <v>12/11/2023</v>
      </c>
      <c r="H16" t="s">
        <v>65</v>
      </c>
      <c r="I16" t="s">
        <v>160</v>
      </c>
      <c r="J16" t="s">
        <v>161</v>
      </c>
      <c r="K16" t="str">
        <f>CONCATENATE(I16, " ",J16)</f>
        <v>ANGELA DAVIS</v>
      </c>
      <c r="L16" t="s">
        <v>163</v>
      </c>
      <c r="M16" t="s">
        <v>105</v>
      </c>
      <c r="N16">
        <v>20250801</v>
      </c>
      <c r="O16">
        <v>35.049999999999997</v>
      </c>
      <c r="P16">
        <v>35.049999999999997</v>
      </c>
      <c r="Q16">
        <v>2.4500000000000002</v>
      </c>
      <c r="R16">
        <v>7</v>
      </c>
      <c r="S16" t="s">
        <v>64</v>
      </c>
      <c r="T16" t="s">
        <v>248</v>
      </c>
    </row>
    <row r="17" spans="1:20" x14ac:dyDescent="0.25">
      <c r="A17" t="s">
        <v>51</v>
      </c>
      <c r="B17" t="s">
        <v>52</v>
      </c>
      <c r="C17" t="str">
        <f>CONCATENATE(B17, " ",A17)</f>
        <v>Adam Richter</v>
      </c>
      <c r="D17" s="1">
        <v>9079571</v>
      </c>
      <c r="E17">
        <v>441848447</v>
      </c>
      <c r="F17">
        <v>20230301</v>
      </c>
      <c r="G17" t="str">
        <f>TEXT(DATE(LEFT(F17,4), MID(F17,5,2), RIGHT(F17,2)), "M/d/yyyy")</f>
        <v>3/1/2023</v>
      </c>
      <c r="H17" t="s">
        <v>65</v>
      </c>
      <c r="I17" t="s">
        <v>66</v>
      </c>
      <c r="J17" t="s">
        <v>67</v>
      </c>
      <c r="K17" t="str">
        <f>CONCATENATE(I17, " ",J17)</f>
        <v>ZEV SHEPPARD</v>
      </c>
      <c r="L17" t="s">
        <v>59</v>
      </c>
      <c r="M17" t="s">
        <v>60</v>
      </c>
      <c r="N17">
        <v>20250801</v>
      </c>
      <c r="O17">
        <v>10.4</v>
      </c>
      <c r="P17">
        <v>10.4</v>
      </c>
      <c r="Q17">
        <v>0.42</v>
      </c>
      <c r="R17">
        <v>4</v>
      </c>
      <c r="S17" t="s">
        <v>64</v>
      </c>
      <c r="T17" t="s">
        <v>249</v>
      </c>
    </row>
    <row r="18" spans="1:20" x14ac:dyDescent="0.25">
      <c r="A18" t="s">
        <v>51</v>
      </c>
      <c r="B18" t="s">
        <v>52</v>
      </c>
      <c r="C18" t="str">
        <f>CONCATENATE(B18, " ",A18)</f>
        <v>Adam Richter</v>
      </c>
      <c r="D18" s="1">
        <v>9079571</v>
      </c>
      <c r="E18">
        <v>441861055</v>
      </c>
      <c r="F18">
        <v>20230401</v>
      </c>
      <c r="G18" t="str">
        <f>TEXT(DATE(LEFT(F18,4), MID(F18,5,2), RIGHT(F18,2)), "M/d/yyyy")</f>
        <v>4/1/2023</v>
      </c>
      <c r="H18" t="s">
        <v>65</v>
      </c>
      <c r="I18" t="s">
        <v>72</v>
      </c>
      <c r="J18" t="s">
        <v>73</v>
      </c>
      <c r="K18" t="str">
        <f>CONCATENATE(I18, " ",J18)</f>
        <v>KEVIN KITCHEN</v>
      </c>
      <c r="L18" t="s">
        <v>59</v>
      </c>
      <c r="M18" t="s">
        <v>60</v>
      </c>
      <c r="N18">
        <v>20250801</v>
      </c>
      <c r="O18">
        <v>10.4</v>
      </c>
      <c r="P18">
        <v>10.4</v>
      </c>
      <c r="Q18">
        <v>0.42</v>
      </c>
      <c r="R18">
        <v>4</v>
      </c>
      <c r="S18" t="s">
        <v>64</v>
      </c>
      <c r="T18" t="s">
        <v>249</v>
      </c>
    </row>
    <row r="19" spans="1:20" x14ac:dyDescent="0.25">
      <c r="A19" t="s">
        <v>51</v>
      </c>
      <c r="B19" t="s">
        <v>52</v>
      </c>
      <c r="C19" t="str">
        <f>CONCATENATE(B19, " ",A19)</f>
        <v>Adam Richter</v>
      </c>
      <c r="D19" s="1">
        <v>9079571</v>
      </c>
      <c r="E19">
        <v>441874278</v>
      </c>
      <c r="F19">
        <v>20230401</v>
      </c>
      <c r="G19" t="str">
        <f>TEXT(DATE(LEFT(F19,4), MID(F19,5,2), RIGHT(F19,2)), "M/d/yyyy")</f>
        <v>4/1/2023</v>
      </c>
      <c r="H19" t="s">
        <v>65</v>
      </c>
      <c r="I19" t="s">
        <v>76</v>
      </c>
      <c r="J19" t="s">
        <v>77</v>
      </c>
      <c r="K19" t="str">
        <f>CONCATENATE(I19, " ",J19)</f>
        <v>NEAL KIRSCH</v>
      </c>
      <c r="L19" t="s">
        <v>59</v>
      </c>
      <c r="M19" t="s">
        <v>60</v>
      </c>
      <c r="N19">
        <v>20250801</v>
      </c>
      <c r="O19">
        <v>17</v>
      </c>
      <c r="P19">
        <v>17</v>
      </c>
      <c r="Q19">
        <v>0.68</v>
      </c>
      <c r="R19">
        <v>4</v>
      </c>
      <c r="S19" t="s">
        <v>64</v>
      </c>
      <c r="T19" t="s">
        <v>249</v>
      </c>
    </row>
    <row r="20" spans="1:20" x14ac:dyDescent="0.25">
      <c r="A20" t="s">
        <v>51</v>
      </c>
      <c r="B20" t="s">
        <v>52</v>
      </c>
      <c r="C20" t="str">
        <f>CONCATENATE(B20, " ",A20)</f>
        <v>Adam Richter</v>
      </c>
      <c r="D20" s="1">
        <v>9079571</v>
      </c>
      <c r="E20">
        <v>441934655</v>
      </c>
      <c r="F20">
        <v>20230501</v>
      </c>
      <c r="G20" t="str">
        <f>TEXT(DATE(LEFT(F20,4), MID(F20,5,2), RIGHT(F20,2)), "M/d/yyyy")</f>
        <v>5/1/2023</v>
      </c>
      <c r="H20" t="s">
        <v>65</v>
      </c>
      <c r="I20" t="s">
        <v>80</v>
      </c>
      <c r="J20" t="s">
        <v>81</v>
      </c>
      <c r="K20" t="str">
        <f>CONCATENATE(I20, " ",J20)</f>
        <v>MOBOLAJI FOWOSE</v>
      </c>
      <c r="L20" t="s">
        <v>59</v>
      </c>
      <c r="M20" t="s">
        <v>60</v>
      </c>
      <c r="N20">
        <v>20250801</v>
      </c>
      <c r="O20">
        <v>10.4</v>
      </c>
      <c r="P20">
        <v>10.4</v>
      </c>
      <c r="Q20">
        <v>0.42</v>
      </c>
      <c r="R20">
        <v>4</v>
      </c>
      <c r="S20" t="s">
        <v>64</v>
      </c>
      <c r="T20" t="s">
        <v>249</v>
      </c>
    </row>
    <row r="21" spans="1:20" x14ac:dyDescent="0.25">
      <c r="A21" t="s">
        <v>51</v>
      </c>
      <c r="B21" t="s">
        <v>52</v>
      </c>
      <c r="C21" t="str">
        <f>CONCATENATE(B21, " ",A21)</f>
        <v>Adam Richter</v>
      </c>
      <c r="D21" s="1">
        <v>9079571</v>
      </c>
      <c r="E21">
        <v>441951697</v>
      </c>
      <c r="F21">
        <v>20230502</v>
      </c>
      <c r="G21" t="str">
        <f>TEXT(DATE(LEFT(F21,4), MID(F21,5,2), RIGHT(F21,2)), "M/d/yyyy")</f>
        <v>5/2/2023</v>
      </c>
      <c r="H21" t="s">
        <v>65</v>
      </c>
      <c r="I21" t="s">
        <v>84</v>
      </c>
      <c r="J21" t="s">
        <v>85</v>
      </c>
      <c r="K21" t="str">
        <f>CONCATENATE(I21, " ",J21)</f>
        <v>KAREN FRITZ</v>
      </c>
      <c r="L21" t="s">
        <v>59</v>
      </c>
      <c r="M21" t="s">
        <v>60</v>
      </c>
      <c r="N21">
        <v>20250801</v>
      </c>
      <c r="O21">
        <v>10.4</v>
      </c>
      <c r="P21">
        <v>10.4</v>
      </c>
      <c r="Q21">
        <v>0.42</v>
      </c>
      <c r="R21">
        <v>4</v>
      </c>
      <c r="S21" t="s">
        <v>64</v>
      </c>
      <c r="T21" t="s">
        <v>249</v>
      </c>
    </row>
    <row r="22" spans="1:20" x14ac:dyDescent="0.25">
      <c r="A22" t="s">
        <v>88</v>
      </c>
      <c r="B22" t="s">
        <v>89</v>
      </c>
      <c r="C22" t="str">
        <f>CONCATENATE(B22, " ",A22)</f>
        <v>Carol Foley</v>
      </c>
      <c r="D22" s="1" t="s">
        <v>240</v>
      </c>
      <c r="E22">
        <v>442268077</v>
      </c>
      <c r="F22">
        <v>20231201</v>
      </c>
      <c r="G22" t="str">
        <f>TEXT(DATE(LEFT(F22,4), MID(F22,5,2), RIGHT(F22,2)), "M/d/yyyy")</f>
        <v>12/1/2023</v>
      </c>
      <c r="H22" t="s">
        <v>110</v>
      </c>
      <c r="I22" t="s">
        <v>118</v>
      </c>
      <c r="J22" t="s">
        <v>119</v>
      </c>
      <c r="K22" t="str">
        <f>CONCATENATE(I22, " ",J22)</f>
        <v>SCOTT SHEAR</v>
      </c>
      <c r="L22" t="s">
        <v>59</v>
      </c>
      <c r="M22" t="s">
        <v>60</v>
      </c>
      <c r="N22">
        <v>20250801</v>
      </c>
      <c r="O22">
        <v>36.799999999999997</v>
      </c>
      <c r="P22">
        <v>36.799999999999997</v>
      </c>
      <c r="Q22">
        <v>1.47</v>
      </c>
      <c r="R22">
        <v>4</v>
      </c>
      <c r="S22" t="s">
        <v>64</v>
      </c>
      <c r="T22" t="s">
        <v>249</v>
      </c>
    </row>
    <row r="23" spans="1:20" x14ac:dyDescent="0.25">
      <c r="A23" t="s">
        <v>139</v>
      </c>
      <c r="B23" t="s">
        <v>140</v>
      </c>
      <c r="C23" t="str">
        <f>CONCATENATE(B23, " ",A23)</f>
        <v>Laurie Casta</v>
      </c>
      <c r="D23" s="1">
        <v>20697692</v>
      </c>
      <c r="E23">
        <v>442037493</v>
      </c>
      <c r="F23">
        <v>20230701</v>
      </c>
      <c r="G23" t="str">
        <f>TEXT(DATE(LEFT(F23,4), MID(F23,5,2), RIGHT(F23,2)), "M/d/yyyy")</f>
        <v>7/1/2023</v>
      </c>
      <c r="H23" t="s">
        <v>65</v>
      </c>
      <c r="I23" t="s">
        <v>142</v>
      </c>
      <c r="J23" t="s">
        <v>143</v>
      </c>
      <c r="K23" t="str">
        <f>CONCATENATE(I23, " ",J23)</f>
        <v>JOHN SONGER</v>
      </c>
      <c r="L23" t="s">
        <v>59</v>
      </c>
      <c r="M23" t="s">
        <v>60</v>
      </c>
      <c r="N23">
        <v>20250801</v>
      </c>
      <c r="O23">
        <v>17</v>
      </c>
      <c r="P23">
        <v>17</v>
      </c>
      <c r="Q23">
        <v>0.68</v>
      </c>
      <c r="R23">
        <v>4</v>
      </c>
      <c r="S23" t="s">
        <v>64</v>
      </c>
      <c r="T23" t="s">
        <v>249</v>
      </c>
    </row>
    <row r="24" spans="1:20" x14ac:dyDescent="0.25">
      <c r="A24" t="s">
        <v>139</v>
      </c>
      <c r="B24" t="s">
        <v>140</v>
      </c>
      <c r="C24" t="str">
        <f>CONCATENATE(B24, " ",A24)</f>
        <v>Laurie Casta</v>
      </c>
      <c r="D24" s="1">
        <v>20697692</v>
      </c>
      <c r="E24">
        <v>442099791</v>
      </c>
      <c r="F24">
        <v>20230803</v>
      </c>
      <c r="G24" t="str">
        <f>TEXT(DATE(LEFT(F24,4), MID(F24,5,2), RIGHT(F24,2)), "M/d/yyyy")</f>
        <v>8/3/2023</v>
      </c>
      <c r="H24" t="s">
        <v>65</v>
      </c>
      <c r="I24" t="s">
        <v>148</v>
      </c>
      <c r="J24" t="s">
        <v>149</v>
      </c>
      <c r="K24" t="str">
        <f>CONCATENATE(I24, " ",J24)</f>
        <v>CASSANDRA KRAHAM</v>
      </c>
      <c r="L24" t="s">
        <v>59</v>
      </c>
      <c r="M24" t="s">
        <v>60</v>
      </c>
      <c r="N24">
        <v>20250804</v>
      </c>
      <c r="O24">
        <v>9.73</v>
      </c>
      <c r="P24">
        <v>9.73</v>
      </c>
      <c r="Q24">
        <v>0.39</v>
      </c>
      <c r="R24">
        <v>4</v>
      </c>
      <c r="S24" t="s">
        <v>64</v>
      </c>
      <c r="T24" t="s">
        <v>249</v>
      </c>
    </row>
    <row r="25" spans="1:20" x14ac:dyDescent="0.25">
      <c r="A25" t="s">
        <v>139</v>
      </c>
      <c r="B25" t="s">
        <v>140</v>
      </c>
      <c r="C25" t="str">
        <f>CONCATENATE(B25, " ",A25)</f>
        <v>Laurie Casta</v>
      </c>
      <c r="D25" s="1">
        <v>20697692</v>
      </c>
      <c r="E25">
        <v>442099791</v>
      </c>
      <c r="F25">
        <v>20230803</v>
      </c>
      <c r="G25" t="str">
        <f>TEXT(DATE(LEFT(F25,4), MID(F25,5,2), RIGHT(F25,2)), "M/d/yyyy")</f>
        <v>8/3/2023</v>
      </c>
      <c r="H25" t="s">
        <v>65</v>
      </c>
      <c r="I25" t="s">
        <v>148</v>
      </c>
      <c r="J25" t="s">
        <v>149</v>
      </c>
      <c r="K25" t="str">
        <f>CONCATENATE(I25, " ",J25)</f>
        <v>CASSANDRA KRAHAM</v>
      </c>
      <c r="L25" t="s">
        <v>59</v>
      </c>
      <c r="M25" t="s">
        <v>60</v>
      </c>
      <c r="N25">
        <v>20250801</v>
      </c>
      <c r="O25">
        <v>0.67</v>
      </c>
      <c r="P25">
        <v>0.67</v>
      </c>
      <c r="Q25">
        <v>0.03</v>
      </c>
      <c r="R25">
        <v>4</v>
      </c>
      <c r="S25" t="s">
        <v>64</v>
      </c>
      <c r="T25" t="s">
        <v>249</v>
      </c>
    </row>
    <row r="26" spans="1:20" x14ac:dyDescent="0.25">
      <c r="A26" t="s">
        <v>139</v>
      </c>
      <c r="B26" t="s">
        <v>140</v>
      </c>
      <c r="C26" t="str">
        <f>CONCATENATE(B26, " ",A26)</f>
        <v>Laurie Casta</v>
      </c>
      <c r="D26" s="1">
        <v>20697692</v>
      </c>
      <c r="E26">
        <v>442236865</v>
      </c>
      <c r="F26">
        <v>20231101</v>
      </c>
      <c r="G26" t="str">
        <f>TEXT(DATE(LEFT(F26,4), MID(F26,5,2), RIGHT(F26,2)), "M/d/yyyy")</f>
        <v>11/1/2023</v>
      </c>
      <c r="H26" t="s">
        <v>65</v>
      </c>
      <c r="I26" t="s">
        <v>152</v>
      </c>
      <c r="J26" t="s">
        <v>153</v>
      </c>
      <c r="K26" t="str">
        <f>CONCATENATE(I26, " ",J26)</f>
        <v>MICHAEL ARRICH</v>
      </c>
      <c r="L26" t="s">
        <v>59</v>
      </c>
      <c r="M26" t="s">
        <v>60</v>
      </c>
      <c r="N26">
        <v>20250801</v>
      </c>
      <c r="O26">
        <v>17</v>
      </c>
      <c r="P26">
        <v>17</v>
      </c>
      <c r="Q26">
        <v>0.68</v>
      </c>
      <c r="R26">
        <v>4</v>
      </c>
      <c r="S26" t="s">
        <v>64</v>
      </c>
      <c r="T26" t="s">
        <v>249</v>
      </c>
    </row>
    <row r="27" spans="1:20" x14ac:dyDescent="0.25">
      <c r="A27" t="s">
        <v>139</v>
      </c>
      <c r="B27" t="s">
        <v>140</v>
      </c>
      <c r="C27" t="str">
        <f>CONCATENATE(B27, " ",A27)</f>
        <v>Laurie Casta</v>
      </c>
      <c r="D27" s="1">
        <v>20697692</v>
      </c>
      <c r="E27">
        <v>442249792</v>
      </c>
      <c r="F27">
        <v>20231103</v>
      </c>
      <c r="G27" t="str">
        <f>TEXT(DATE(LEFT(F27,4), MID(F27,5,2), RIGHT(F27,2)), "M/d/yyyy")</f>
        <v>11/3/2023</v>
      </c>
      <c r="H27" t="s">
        <v>65</v>
      </c>
      <c r="I27" t="s">
        <v>156</v>
      </c>
      <c r="J27" t="s">
        <v>157</v>
      </c>
      <c r="K27" t="str">
        <f>CONCATENATE(I27, " ",J27)</f>
        <v>DEBRA BECK</v>
      </c>
      <c r="L27" t="s">
        <v>59</v>
      </c>
      <c r="M27" t="s">
        <v>60</v>
      </c>
      <c r="N27">
        <v>20250801</v>
      </c>
      <c r="O27">
        <v>10.4</v>
      </c>
      <c r="P27">
        <v>10.4</v>
      </c>
      <c r="Q27">
        <v>0.42</v>
      </c>
      <c r="R27">
        <v>4</v>
      </c>
      <c r="S27" t="s">
        <v>64</v>
      </c>
      <c r="T27" t="s">
        <v>249</v>
      </c>
    </row>
    <row r="28" spans="1:20" x14ac:dyDescent="0.25">
      <c r="A28" t="s">
        <v>139</v>
      </c>
      <c r="B28" t="s">
        <v>140</v>
      </c>
      <c r="C28" t="str">
        <f>CONCATENATE(B28, " ",A28)</f>
        <v>Laurie Casta</v>
      </c>
      <c r="D28" s="1">
        <v>20697692</v>
      </c>
      <c r="E28">
        <v>442352338</v>
      </c>
      <c r="F28">
        <v>20231211</v>
      </c>
      <c r="G28" t="str">
        <f>TEXT(DATE(LEFT(F28,4), MID(F28,5,2), RIGHT(F28,2)), "M/d/yyyy")</f>
        <v>12/11/2023</v>
      </c>
      <c r="H28" t="s">
        <v>65</v>
      </c>
      <c r="I28" t="s">
        <v>160</v>
      </c>
      <c r="J28" t="s">
        <v>161</v>
      </c>
      <c r="K28" t="str">
        <f>CONCATENATE(I28, " ",J28)</f>
        <v>ANGELA DAVIS</v>
      </c>
      <c r="L28" t="s">
        <v>59</v>
      </c>
      <c r="M28" t="s">
        <v>60</v>
      </c>
      <c r="N28">
        <v>20250801</v>
      </c>
      <c r="O28">
        <v>10.4</v>
      </c>
      <c r="P28">
        <v>10.4</v>
      </c>
      <c r="Q28">
        <v>0.42</v>
      </c>
      <c r="R28">
        <v>4</v>
      </c>
      <c r="S28" t="s">
        <v>64</v>
      </c>
      <c r="T28" t="s">
        <v>249</v>
      </c>
    </row>
    <row r="29" spans="1:20" x14ac:dyDescent="0.25">
      <c r="A29" t="s">
        <v>139</v>
      </c>
      <c r="B29" t="s">
        <v>140</v>
      </c>
      <c r="C29" t="str">
        <f>CONCATENATE(B29, " ",A29)</f>
        <v>Laurie Casta</v>
      </c>
      <c r="D29" s="1">
        <v>20697692</v>
      </c>
      <c r="E29">
        <v>442361305</v>
      </c>
      <c r="F29">
        <v>20231213</v>
      </c>
      <c r="G29" t="str">
        <f>TEXT(DATE(LEFT(F29,4), MID(F29,5,2), RIGHT(F29,2)), "M/d/yyyy")</f>
        <v>12/13/2023</v>
      </c>
      <c r="H29" t="s">
        <v>65</v>
      </c>
      <c r="I29" t="s">
        <v>165</v>
      </c>
      <c r="J29" t="s">
        <v>166</v>
      </c>
      <c r="K29" t="str">
        <f>CONCATENATE(I29, " ",J29)</f>
        <v>SHARON JOSEPH</v>
      </c>
      <c r="L29" t="s">
        <v>59</v>
      </c>
      <c r="M29" t="s">
        <v>60</v>
      </c>
      <c r="N29">
        <v>20250801</v>
      </c>
      <c r="O29">
        <v>17</v>
      </c>
      <c r="P29">
        <v>17</v>
      </c>
      <c r="Q29">
        <v>0.68</v>
      </c>
      <c r="R29">
        <v>4</v>
      </c>
      <c r="S29" t="s">
        <v>64</v>
      </c>
      <c r="T29" t="s">
        <v>249</v>
      </c>
    </row>
    <row r="30" spans="1:20" x14ac:dyDescent="0.25">
      <c r="A30" t="s">
        <v>139</v>
      </c>
      <c r="B30" t="s">
        <v>140</v>
      </c>
      <c r="C30" t="str">
        <f>CONCATENATE(B30, " ",A30)</f>
        <v>Laurie Casta</v>
      </c>
      <c r="D30" s="1">
        <v>20697692</v>
      </c>
      <c r="E30">
        <v>442288978</v>
      </c>
      <c r="F30">
        <v>20240101</v>
      </c>
      <c r="G30" t="str">
        <f>TEXT(DATE(LEFT(F30,4), MID(F30,5,2), RIGHT(F30,2)), "M/d/yyyy")</f>
        <v>1/1/2024</v>
      </c>
      <c r="H30" t="s">
        <v>65</v>
      </c>
      <c r="I30" t="s">
        <v>169</v>
      </c>
      <c r="J30" t="s">
        <v>170</v>
      </c>
      <c r="K30" t="str">
        <f>CONCATENATE(I30, " ",J30)</f>
        <v>ANN DELLARCO</v>
      </c>
      <c r="L30" t="s">
        <v>59</v>
      </c>
      <c r="M30" t="s">
        <v>60</v>
      </c>
      <c r="N30">
        <v>20250801</v>
      </c>
      <c r="O30">
        <v>10.4</v>
      </c>
      <c r="P30">
        <v>10.4</v>
      </c>
      <c r="Q30">
        <v>0.42</v>
      </c>
      <c r="R30">
        <v>4</v>
      </c>
      <c r="S30" t="s">
        <v>64</v>
      </c>
      <c r="T30" t="s">
        <v>249</v>
      </c>
    </row>
    <row r="31" spans="1:20" x14ac:dyDescent="0.25">
      <c r="A31" t="s">
        <v>51</v>
      </c>
      <c r="B31" t="s">
        <v>173</v>
      </c>
      <c r="C31" t="str">
        <f>CONCATENATE(B31, " ",A31)</f>
        <v>Peter Richter</v>
      </c>
      <c r="D31" s="1">
        <v>16509456</v>
      </c>
      <c r="E31">
        <v>442096371</v>
      </c>
      <c r="F31">
        <v>20230801</v>
      </c>
      <c r="G31" t="str">
        <f>TEXT(DATE(LEFT(F31,4), MID(F31,5,2), RIGHT(F31,2)), "M/d/yyyy")</f>
        <v>8/1/2023</v>
      </c>
      <c r="H31" t="s">
        <v>65</v>
      </c>
      <c r="I31" t="s">
        <v>188</v>
      </c>
      <c r="J31" t="s">
        <v>189</v>
      </c>
      <c r="K31" t="str">
        <f>CONCATENATE(I31, " ",J31)</f>
        <v>MARTHA ACEROS MENDEZ</v>
      </c>
      <c r="L31" t="s">
        <v>59</v>
      </c>
      <c r="M31" t="s">
        <v>60</v>
      </c>
      <c r="N31">
        <v>20250801</v>
      </c>
      <c r="O31">
        <v>10.4</v>
      </c>
      <c r="P31">
        <v>10.4</v>
      </c>
      <c r="Q31">
        <v>0.42</v>
      </c>
      <c r="R31">
        <v>4</v>
      </c>
      <c r="S31" t="s">
        <v>64</v>
      </c>
      <c r="T31" t="s">
        <v>249</v>
      </c>
    </row>
    <row r="32" spans="1:20" x14ac:dyDescent="0.25">
      <c r="A32" t="s">
        <v>51</v>
      </c>
      <c r="B32" t="s">
        <v>173</v>
      </c>
      <c r="C32" t="str">
        <f>CONCATENATE(B32, " ",A32)</f>
        <v>Peter Richter</v>
      </c>
      <c r="D32" s="1">
        <v>16509456</v>
      </c>
      <c r="E32">
        <v>442271715</v>
      </c>
      <c r="F32">
        <v>20231111</v>
      </c>
      <c r="G32" t="str">
        <f>TEXT(DATE(LEFT(F32,4), MID(F32,5,2), RIGHT(F32,2)), "M/d/yyyy")</f>
        <v>11/11/2023</v>
      </c>
      <c r="H32" t="s">
        <v>65</v>
      </c>
      <c r="I32" t="s">
        <v>192</v>
      </c>
      <c r="J32" t="s">
        <v>193</v>
      </c>
      <c r="K32" t="str">
        <f>CONCATENATE(I32, " ",J32)</f>
        <v>DONNA MILBOURNE</v>
      </c>
      <c r="L32" t="s">
        <v>59</v>
      </c>
      <c r="M32" t="s">
        <v>60</v>
      </c>
      <c r="N32">
        <v>20250801</v>
      </c>
      <c r="O32">
        <v>17</v>
      </c>
      <c r="P32">
        <v>17</v>
      </c>
      <c r="Q32">
        <v>0.68</v>
      </c>
      <c r="R32">
        <v>4</v>
      </c>
      <c r="S32" t="s">
        <v>64</v>
      </c>
      <c r="T32" t="s">
        <v>249</v>
      </c>
    </row>
    <row r="33" spans="1:20" x14ac:dyDescent="0.25">
      <c r="A33" t="s">
        <v>204</v>
      </c>
      <c r="B33" t="s">
        <v>205</v>
      </c>
      <c r="C33" t="str">
        <f>CONCATENATE(B33, " ",A33)</f>
        <v>Thomas Kucan</v>
      </c>
      <c r="D33" s="1">
        <v>16202925</v>
      </c>
      <c r="E33">
        <v>442385059</v>
      </c>
      <c r="F33">
        <v>20240101</v>
      </c>
      <c r="G33" t="str">
        <f>TEXT(DATE(LEFT(F33,4), MID(F33,5,2), RIGHT(F33,2)), "M/d/yyyy")</f>
        <v>1/1/2024</v>
      </c>
      <c r="H33" t="s">
        <v>65</v>
      </c>
      <c r="I33" t="s">
        <v>207</v>
      </c>
      <c r="J33" t="s">
        <v>208</v>
      </c>
      <c r="K33" t="str">
        <f>CONCATENATE(I33, " ",J33)</f>
        <v>ASHLEY SOUBIE</v>
      </c>
      <c r="L33" t="s">
        <v>59</v>
      </c>
      <c r="M33" t="s">
        <v>60</v>
      </c>
      <c r="N33">
        <v>20250801</v>
      </c>
      <c r="O33">
        <v>10.4</v>
      </c>
      <c r="P33">
        <v>10.4</v>
      </c>
      <c r="Q33">
        <v>0.42</v>
      </c>
      <c r="R33">
        <v>4</v>
      </c>
      <c r="S33" t="s">
        <v>64</v>
      </c>
      <c r="T33" t="s">
        <v>249</v>
      </c>
    </row>
    <row r="34" spans="1:20" x14ac:dyDescent="0.25">
      <c r="A34" t="s">
        <v>204</v>
      </c>
      <c r="B34" t="s">
        <v>205</v>
      </c>
      <c r="C34" t="str">
        <f>CONCATENATE(B34, " ",A34)</f>
        <v>Thomas Kucan</v>
      </c>
      <c r="D34" s="1">
        <v>16202925</v>
      </c>
      <c r="E34">
        <v>442428775</v>
      </c>
      <c r="F34">
        <v>20240112</v>
      </c>
      <c r="G34" t="str">
        <f>TEXT(DATE(LEFT(F34,4), MID(F34,5,2), RIGHT(F34,2)), "M/d/yyyy")</f>
        <v>1/12/2024</v>
      </c>
      <c r="H34" t="s">
        <v>65</v>
      </c>
      <c r="I34" t="s">
        <v>211</v>
      </c>
      <c r="J34" t="s">
        <v>212</v>
      </c>
      <c r="K34" t="str">
        <f>CONCATENATE(I34, " ",J34)</f>
        <v>JOEL JOHNSON</v>
      </c>
      <c r="L34" t="s">
        <v>59</v>
      </c>
      <c r="M34" t="s">
        <v>60</v>
      </c>
      <c r="N34">
        <v>20250801</v>
      </c>
      <c r="O34">
        <v>10.4</v>
      </c>
      <c r="P34">
        <v>10.4</v>
      </c>
      <c r="Q34">
        <v>0.42</v>
      </c>
      <c r="R34">
        <v>4</v>
      </c>
      <c r="S34" t="s">
        <v>64</v>
      </c>
      <c r="T34" t="s">
        <v>249</v>
      </c>
    </row>
    <row r="35" spans="1:20" x14ac:dyDescent="0.25">
      <c r="A35" t="s">
        <v>51</v>
      </c>
      <c r="B35" t="s">
        <v>52</v>
      </c>
      <c r="C35" t="str">
        <f>CONCATENATE(B35, " ",A35)</f>
        <v>Adam Richter</v>
      </c>
      <c r="D35" s="1">
        <v>9079571</v>
      </c>
      <c r="E35">
        <v>441842580</v>
      </c>
      <c r="F35">
        <v>20230301</v>
      </c>
      <c r="G35" t="str">
        <f>TEXT(DATE(LEFT(F35,4), MID(F35,5,2), RIGHT(F35,2)), "M/d/yyyy")</f>
        <v>3/1/2023</v>
      </c>
      <c r="H35" t="s">
        <v>54</v>
      </c>
      <c r="I35" t="s">
        <v>55</v>
      </c>
      <c r="J35" t="s">
        <v>56</v>
      </c>
      <c r="K35" t="str">
        <f>CONCATENATE(I35, " ",J35)</f>
        <v>GAY BROWNE</v>
      </c>
      <c r="L35" t="s">
        <v>59</v>
      </c>
      <c r="M35" t="s">
        <v>60</v>
      </c>
      <c r="N35">
        <v>20250801</v>
      </c>
      <c r="O35">
        <v>11.4</v>
      </c>
      <c r="P35">
        <v>11.4</v>
      </c>
      <c r="Q35">
        <v>0.91</v>
      </c>
      <c r="R35">
        <v>8</v>
      </c>
      <c r="S35" t="s">
        <v>64</v>
      </c>
      <c r="T35" t="s">
        <v>250</v>
      </c>
    </row>
    <row r="36" spans="1:20" x14ac:dyDescent="0.25">
      <c r="A36" t="s">
        <v>88</v>
      </c>
      <c r="B36" t="s">
        <v>89</v>
      </c>
      <c r="C36" t="str">
        <f>CONCATENATE(B36, " ",A36)</f>
        <v>Carol Foley</v>
      </c>
      <c r="D36" s="1" t="s">
        <v>240</v>
      </c>
      <c r="E36">
        <v>441726411</v>
      </c>
      <c r="F36">
        <v>20230101</v>
      </c>
      <c r="G36" t="str">
        <f>TEXT(DATE(LEFT(F36,4), MID(F36,5,2), RIGHT(F36,2)), "M/d/yyyy")</f>
        <v>1/1/2023</v>
      </c>
      <c r="H36" t="s">
        <v>91</v>
      </c>
      <c r="I36" t="s">
        <v>92</v>
      </c>
      <c r="J36" t="s">
        <v>93</v>
      </c>
      <c r="K36" t="str">
        <f>CONCATENATE(I36, " ",J36)</f>
        <v>VINCENT IDEO</v>
      </c>
      <c r="L36" t="s">
        <v>59</v>
      </c>
      <c r="M36" t="s">
        <v>60</v>
      </c>
      <c r="N36">
        <v>20250801</v>
      </c>
      <c r="O36">
        <v>11.4</v>
      </c>
      <c r="P36">
        <v>11.4</v>
      </c>
      <c r="Q36">
        <v>0.91</v>
      </c>
      <c r="R36">
        <v>8</v>
      </c>
      <c r="S36" t="s">
        <v>64</v>
      </c>
      <c r="T36" t="s">
        <v>250</v>
      </c>
    </row>
    <row r="37" spans="1:20" x14ac:dyDescent="0.25">
      <c r="A37" t="s">
        <v>88</v>
      </c>
      <c r="B37" t="s">
        <v>89</v>
      </c>
      <c r="C37" t="str">
        <f>CONCATENATE(B37, " ",A37)</f>
        <v>Carol Foley</v>
      </c>
      <c r="D37" s="1" t="s">
        <v>240</v>
      </c>
      <c r="E37">
        <v>441853073</v>
      </c>
      <c r="F37">
        <v>20230302</v>
      </c>
      <c r="G37" t="str">
        <f>TEXT(DATE(LEFT(F37,4), MID(F37,5,2), RIGHT(F37,2)), "M/d/yyyy")</f>
        <v>3/2/2023</v>
      </c>
      <c r="H37" t="s">
        <v>91</v>
      </c>
      <c r="I37" t="s">
        <v>96</v>
      </c>
      <c r="J37" t="s">
        <v>97</v>
      </c>
      <c r="K37" t="str">
        <f>CONCATENATE(I37, " ",J37)</f>
        <v>JEREMY WORKMAN</v>
      </c>
      <c r="L37" t="s">
        <v>59</v>
      </c>
      <c r="M37" t="s">
        <v>60</v>
      </c>
      <c r="N37">
        <v>20250801</v>
      </c>
      <c r="O37">
        <v>11.4</v>
      </c>
      <c r="P37">
        <v>11.4</v>
      </c>
      <c r="Q37">
        <v>0.91</v>
      </c>
      <c r="R37">
        <v>8</v>
      </c>
      <c r="S37" t="s">
        <v>64</v>
      </c>
      <c r="T37" t="s">
        <v>250</v>
      </c>
    </row>
    <row r="38" spans="1:20" x14ac:dyDescent="0.25">
      <c r="A38" t="s">
        <v>88</v>
      </c>
      <c r="B38" t="s">
        <v>89</v>
      </c>
      <c r="C38" t="str">
        <f>CONCATENATE(B38, " ",A38)</f>
        <v>Carol Foley</v>
      </c>
      <c r="D38" s="1" t="s">
        <v>240</v>
      </c>
      <c r="E38">
        <v>441913483</v>
      </c>
      <c r="F38">
        <v>20230601</v>
      </c>
      <c r="G38" t="str">
        <f>TEXT(DATE(LEFT(F38,4), MID(F38,5,2), RIGHT(F38,2)), "M/d/yyyy")</f>
        <v>6/1/2023</v>
      </c>
      <c r="H38" t="s">
        <v>91</v>
      </c>
      <c r="I38" t="s">
        <v>106</v>
      </c>
      <c r="J38" t="s">
        <v>107</v>
      </c>
      <c r="K38" t="str">
        <f>CONCATENATE(I38, " ",J38)</f>
        <v>HOWARD MAISENHELDER</v>
      </c>
      <c r="L38" t="s">
        <v>59</v>
      </c>
      <c r="M38" t="s">
        <v>60</v>
      </c>
      <c r="N38">
        <v>20250801</v>
      </c>
      <c r="O38">
        <v>11.4</v>
      </c>
      <c r="P38">
        <v>11.4</v>
      </c>
      <c r="Q38">
        <v>0.91</v>
      </c>
      <c r="R38">
        <v>8</v>
      </c>
      <c r="S38" t="s">
        <v>64</v>
      </c>
      <c r="T38" t="s">
        <v>250</v>
      </c>
    </row>
    <row r="39" spans="1:20" x14ac:dyDescent="0.25">
      <c r="A39" t="s">
        <v>126</v>
      </c>
      <c r="B39" t="s">
        <v>127</v>
      </c>
      <c r="C39" t="str">
        <f>CONCATENATE(B39, " ",A39)</f>
        <v>Jason Hoffmann</v>
      </c>
      <c r="D39" s="1">
        <v>15278437</v>
      </c>
      <c r="E39">
        <v>441696456</v>
      </c>
      <c r="F39">
        <v>20221213</v>
      </c>
      <c r="G39" t="str">
        <f>TEXT(DATE(LEFT(F39,4), MID(F39,5,2), RIGHT(F39,2)), "M/d/yyyy")</f>
        <v>12/13/2022</v>
      </c>
      <c r="H39" t="s">
        <v>91</v>
      </c>
      <c r="I39" t="s">
        <v>129</v>
      </c>
      <c r="J39" t="s">
        <v>130</v>
      </c>
      <c r="K39" t="str">
        <f>CONCATENATE(I39, " ",J39)</f>
        <v>KARA COWEN</v>
      </c>
      <c r="L39" t="s">
        <v>59</v>
      </c>
      <c r="M39" t="s">
        <v>60</v>
      </c>
      <c r="N39">
        <v>20250801</v>
      </c>
      <c r="O39">
        <v>11.4</v>
      </c>
      <c r="P39">
        <v>11.4</v>
      </c>
      <c r="Q39">
        <v>0.91</v>
      </c>
      <c r="R39">
        <v>8</v>
      </c>
      <c r="S39" t="s">
        <v>64</v>
      </c>
      <c r="T39" t="s">
        <v>250</v>
      </c>
    </row>
    <row r="40" spans="1:20" x14ac:dyDescent="0.25">
      <c r="A40" t="s">
        <v>51</v>
      </c>
      <c r="B40" t="s">
        <v>173</v>
      </c>
      <c r="C40" t="str">
        <f>CONCATENATE(B40, " ",A40)</f>
        <v>Peter Richter</v>
      </c>
      <c r="D40" s="1">
        <v>16509456</v>
      </c>
      <c r="E40">
        <v>442580059</v>
      </c>
      <c r="F40">
        <v>20240401</v>
      </c>
      <c r="G40" t="str">
        <f>TEXT(DATE(LEFT(F40,4), MID(F40,5,2), RIGHT(F40,2)), "M/d/yyyy")</f>
        <v>4/1/2024</v>
      </c>
      <c r="H40" t="s">
        <v>65</v>
      </c>
      <c r="I40" t="s">
        <v>198</v>
      </c>
      <c r="J40" t="s">
        <v>199</v>
      </c>
      <c r="K40" t="str">
        <f>CONCATENATE(I40, " ",J40)</f>
        <v>AMY RYZENGA</v>
      </c>
      <c r="L40" t="s">
        <v>202</v>
      </c>
      <c r="M40" t="s">
        <v>203</v>
      </c>
      <c r="N40">
        <v>20250801</v>
      </c>
      <c r="O40">
        <v>13.28</v>
      </c>
      <c r="P40">
        <v>13.28</v>
      </c>
      <c r="Q40">
        <v>0.93</v>
      </c>
      <c r="R40">
        <v>7</v>
      </c>
      <c r="S40" t="s">
        <v>64</v>
      </c>
      <c r="T40" t="s">
        <v>247</v>
      </c>
    </row>
  </sheetData>
  <sortState xmlns:xlrd2="http://schemas.microsoft.com/office/spreadsheetml/2017/richdata2" ref="A2:AY40">
    <sortCondition ref="L2:L40"/>
    <sortCondition ref="R2:R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2025-08-14T17:15:22Z</dcterms:created>
  <dcterms:modified xsi:type="dcterms:W3CDTF">2025-08-18T18:43:21Z</dcterms:modified>
</cp:coreProperties>
</file>