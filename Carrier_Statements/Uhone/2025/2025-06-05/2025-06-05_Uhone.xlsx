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6-05-25\"/>
    </mc:Choice>
  </mc:AlternateContent>
  <xr:revisionPtr revIDLastSave="0" documentId="13_ncr:1_{28474F2A-0905-45C9-9C97-C63E4981740B}" xr6:coauthVersionLast="47" xr6:coauthVersionMax="47" xr10:uidLastSave="{00000000-0000-0000-0000-000000000000}"/>
  <bookViews>
    <workbookView xWindow="28680" yWindow="-120" windowWidth="29040" windowHeight="16440" activeTab="1" xr2:uid="{ACB642C4-EB7C-46D7-97BE-E10457473A21}"/>
  </bookViews>
  <sheets>
    <sheet name="CommissionStatement_AA5418109_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</calcChain>
</file>

<file path=xl/sharedStrings.xml><?xml version="1.0" encoding="utf-8"?>
<sst xmlns="http://schemas.openxmlformats.org/spreadsheetml/2006/main" count="955" uniqueCount="215">
  <si>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</si>
  <si>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</si>
  <si>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</si>
  <si>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</si>
  <si>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</si>
  <si>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</si>
  <si>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</si>
  <si>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</si>
  <si>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</si>
  <si>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</si>
  <si>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</si>
  <si>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</si>
  <si>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</si>
  <si>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</si>
  <si>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</si>
  <si>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</si>
  <si>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</si>
  <si>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</si>
  <si>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</si>
  <si>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</si>
  <si>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</si>
  <si>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</si>
  <si>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</si>
  <si>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</si>
  <si>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</si>
  <si>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</si>
  <si>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</si>
  <si>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</si>
  <si>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</si>
  <si>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</si>
  <si>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</si>
  <si>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</si>
  <si>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</si>
  <si>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</si>
  <si>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</si>
  <si>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</si>
  <si>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</si>
  <si>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</si>
  <si>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</si>
  <si>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</si>
  <si>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</si>
  <si>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</si>
  <si>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</si>
  <si>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</si>
  <si>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</si>
  <si>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</si>
  <si>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</si>
  <si>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</si>
  <si>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</si>
  <si>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</si>
  <si>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</si>
  <si>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</si>
  <si>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</si>
  <si>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</si>
  <si>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</si>
  <si>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</si>
  <si>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</si>
  <si>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</si>
  <si>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</si>
  <si>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</si>
  <si>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</si>
  <si>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</si>
  <si>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</si>
  <si>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</si>
  <si>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</si>
  <si>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</si>
  <si>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</si>
  <si>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</si>
  <si>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3240 West Springs Dr</t>
  </si>
  <si>
    <t>Ellicott City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</si>
  <si>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</si>
  <si>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</si>
  <si>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</si>
  <si>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</si>
  <si>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</si>
  <si>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</si>
  <si>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</si>
  <si>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</si>
  <si>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MOBOLAJI</t>
  </si>
  <si>
    <t>FOWOSE</t>
  </si>
  <si>
    <t>2109 Oak Rd</t>
  </si>
  <si>
    <t>Sparrows Pt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</si>
  <si>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</si>
  <si>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</si>
  <si>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</si>
  <si>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</si>
  <si>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</si>
  <si>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</si>
  <si>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</si>
  <si>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</si>
  <si>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</si>
  <si>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</si>
  <si>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</si>
  <si>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</si>
  <si>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</si>
  <si>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</si>
  <si>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</si>
  <si>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</si>
  <si>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</si>
  <si>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</si>
  <si>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</si>
  <si>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</si>
  <si>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</si>
  <si>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</si>
  <si>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</si>
  <si>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</si>
  <si>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</si>
  <si>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</si>
  <si>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</si>
  <si>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</si>
  <si>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</si>
  <si>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4450 Sherwood Forest Dr</t>
  </si>
  <si>
    <t>Titusville</t>
  </si>
  <si>
    <t>3212237493 EXT.</t>
  </si>
  <si>
    <t>Dental Premier</t>
  </si>
  <si>
    <t>Dental Base Coverage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</si>
  <si>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</si>
  <si>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</si>
  <si>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</si>
  <si>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</si>
  <si>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</si>
  <si>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</si>
  <si>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</si>
  <si>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</si>
  <si>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Hoffmann</t>
  </si>
  <si>
    <t>Jason</t>
  </si>
  <si>
    <t>XXX-XX-4575</t>
  </si>
  <si>
    <t>OH</t>
  </si>
  <si>
    <t>DOUGLAS</t>
  </si>
  <si>
    <t>GEISSINGER</t>
  </si>
  <si>
    <t>2151 Mount Pleasant St Nw</t>
  </si>
  <si>
    <t>North Canton</t>
  </si>
  <si>
    <t>3303239338 EXT.</t>
  </si>
  <si>
    <t>Casta</t>
  </si>
  <si>
    <t>Laurie</t>
  </si>
  <si>
    <t>XXX-XX-3207</t>
  </si>
  <si>
    <t>JOHN</t>
  </si>
  <si>
    <t>SONGER</t>
  </si>
  <si>
    <t>8051 Woodholme Cir</t>
  </si>
  <si>
    <t>Pasadena</t>
  </si>
  <si>
    <t>CASSANDRA</t>
  </si>
  <si>
    <t>KRAHAM</t>
  </si>
  <si>
    <t>1100 Ednor Rd</t>
  </si>
  <si>
    <t>Silver Spring</t>
  </si>
  <si>
    <t>ELIZABETH</t>
  </si>
  <si>
    <t>WELLER</t>
  </si>
  <si>
    <t>5920 Quinn Rd</t>
  </si>
  <si>
    <t>Frederick</t>
  </si>
  <si>
    <t>3016064726 EXT.</t>
  </si>
  <si>
    <t>MICHAEL</t>
  </si>
  <si>
    <t>ARRICH</t>
  </si>
  <si>
    <t>8100 Cambridge Dr</t>
  </si>
  <si>
    <t>DEBRA</t>
  </si>
  <si>
    <t>BECK</t>
  </si>
  <si>
    <t>2557 Baldwin Mill Rd</t>
  </si>
  <si>
    <t>Baldwin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</si>
  <si>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</si>
  <si>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</si>
  <si>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</si>
  <si>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</si>
  <si>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</si>
  <si>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</si>
  <si>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</si>
  <si>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</si>
  <si>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</si>
  <si>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</si>
  <si>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</si>
  <si>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</si>
  <si>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</si>
  <si>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</si>
  <si>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</si>
  <si>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</si>
  <si>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</si>
  <si>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</si>
  <si>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</si>
  <si>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</si>
  <si>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</si>
  <si>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</si>
  <si>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</si>
  <si>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AMY</t>
  </si>
  <si>
    <t>RYZENGA</t>
  </si>
  <si>
    <t>4 Fordham Ct</t>
  </si>
  <si>
    <t>Millersville</t>
  </si>
  <si>
    <t>VisionWise Premier</t>
  </si>
  <si>
    <t>VisionWise Base</t>
  </si>
  <si>
    <t>Kucan</t>
  </si>
  <si>
    <t>Thomas</t>
  </si>
  <si>
    <t>XXX-XX-4686</t>
  </si>
  <si>
    <t>ASHLEY</t>
  </si>
  <si>
    <t>SOUBIE</t>
  </si>
  <si>
    <t>2205 Byrnes Ct Apt A</t>
  </si>
  <si>
    <t>4104590992 EXT.</t>
  </si>
  <si>
    <t>FREDERICK</t>
  </si>
  <si>
    <t>HUTCHINSON</t>
  </si>
  <si>
    <t>4285 Creeds Mill Pl</t>
  </si>
  <si>
    <t>Marbury</t>
  </si>
  <si>
    <t>3018484218 EXT.</t>
  </si>
  <si>
    <t>DentalWise Max 1000</t>
  </si>
  <si>
    <t>DentalWise Base</t>
  </si>
  <si>
    <t>ALEXIS</t>
  </si>
  <si>
    <t>DUKE</t>
  </si>
  <si>
    <t>727 Little New York Road</t>
  </si>
  <si>
    <t>Rising Sun</t>
  </si>
  <si>
    <t>4438340069 EXT.</t>
  </si>
  <si>
    <t>DentalWise Max 3000</t>
  </si>
  <si>
    <t>Uhone Accident ExpenseGuard</t>
  </si>
  <si>
    <t>uhone Critical Life SafeGrd 20</t>
  </si>
  <si>
    <t>Uhone Dental Gen</t>
  </si>
  <si>
    <t>Uhone Dental Premier</t>
  </si>
  <si>
    <t>Uhone Dental Primary- CO,ND</t>
  </si>
  <si>
    <t>Uhone Dental Primary</t>
  </si>
  <si>
    <t>Uhone DentalWise 1000, 2000 (all states except CO, FL, NM, NV, RI, SD, WA) 18-64</t>
  </si>
  <si>
    <t>Uhone Vision</t>
  </si>
  <si>
    <t>Uhone Vision - DE, FL, IN, KY, MD, OH, NJ, SC, TN, VT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</si>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</sst>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41CD-13CC-4ED3-A219-158152141D38}">
  <dimension ref="A1:AV31"/>
  <sheetViews>
    <sheetView topLeftCell="T1" workbookViewId="0">
      <selection activeCell="T1" sqref="A1:XFD1048576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20250612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441842580</v>
      </c>
      <c r="L2">
        <v>20230301</v>
      </c>
      <c r="M2">
        <v>20230223</v>
      </c>
      <c r="O2">
        <v>3</v>
      </c>
      <c r="P2">
        <v>62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20007</v>
      </c>
      <c r="AE2" t="s">
        <v>59</v>
      </c>
      <c r="AF2" t="s">
        <v>60</v>
      </c>
      <c r="AG2" t="s">
        <v>61</v>
      </c>
      <c r="AH2" t="s">
        <v>62</v>
      </c>
      <c r="AI2">
        <v>20250601</v>
      </c>
      <c r="AJ2" t="s">
        <v>63</v>
      </c>
      <c r="AK2" t="s">
        <v>63</v>
      </c>
      <c r="AL2">
        <v>1</v>
      </c>
      <c r="AM2">
        <v>20250604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20250612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441848447</v>
      </c>
      <c r="L3">
        <v>20230301</v>
      </c>
      <c r="M3">
        <v>20230227</v>
      </c>
      <c r="O3">
        <v>3</v>
      </c>
      <c r="P3">
        <v>25</v>
      </c>
      <c r="Q3" t="s">
        <v>65</v>
      </c>
      <c r="R3" t="s">
        <v>65</v>
      </c>
      <c r="S3" t="s">
        <v>66</v>
      </c>
      <c r="U3" t="s">
        <v>67</v>
      </c>
      <c r="W3" t="s">
        <v>68</v>
      </c>
      <c r="Z3" t="s">
        <v>69</v>
      </c>
      <c r="AA3" t="s">
        <v>65</v>
      </c>
      <c r="AB3">
        <v>21043</v>
      </c>
      <c r="AE3" t="s">
        <v>59</v>
      </c>
      <c r="AF3" t="s">
        <v>60</v>
      </c>
      <c r="AG3" t="s">
        <v>61</v>
      </c>
      <c r="AH3" t="s">
        <v>62</v>
      </c>
      <c r="AI3">
        <v>20250601</v>
      </c>
      <c r="AJ3" t="s">
        <v>63</v>
      </c>
      <c r="AK3" t="s">
        <v>63</v>
      </c>
      <c r="AL3">
        <v>1</v>
      </c>
      <c r="AM3">
        <v>20250604</v>
      </c>
      <c r="AN3">
        <v>10.4</v>
      </c>
      <c r="AO3">
        <v>10.4</v>
      </c>
      <c r="AP3" t="s">
        <v>63</v>
      </c>
      <c r="AS3">
        <v>100</v>
      </c>
      <c r="AT3">
        <v>0.42</v>
      </c>
      <c r="AU3">
        <v>4</v>
      </c>
      <c r="AV3" t="s">
        <v>64</v>
      </c>
    </row>
    <row r="4" spans="1:48" x14ac:dyDescent="0.25">
      <c r="A4" t="s">
        <v>48</v>
      </c>
      <c r="B4">
        <v>20250612</v>
      </c>
      <c r="C4" t="s">
        <v>49</v>
      </c>
      <c r="D4">
        <v>0</v>
      </c>
      <c r="E4">
        <v>20411454</v>
      </c>
      <c r="F4" t="s">
        <v>50</v>
      </c>
      <c r="G4" t="s">
        <v>51</v>
      </c>
      <c r="H4" t="s">
        <v>52</v>
      </c>
      <c r="I4" t="s">
        <v>53</v>
      </c>
      <c r="J4">
        <v>9079571</v>
      </c>
      <c r="K4">
        <v>441861055</v>
      </c>
      <c r="L4">
        <v>20230401</v>
      </c>
      <c r="M4">
        <v>20230307</v>
      </c>
      <c r="O4">
        <v>3</v>
      </c>
      <c r="P4">
        <v>60</v>
      </c>
      <c r="Q4" t="s">
        <v>65</v>
      </c>
      <c r="R4" t="s">
        <v>65</v>
      </c>
      <c r="S4" t="s">
        <v>70</v>
      </c>
      <c r="U4" t="s">
        <v>71</v>
      </c>
      <c r="W4" t="s">
        <v>72</v>
      </c>
      <c r="Z4" t="s">
        <v>73</v>
      </c>
      <c r="AA4" t="s">
        <v>65</v>
      </c>
      <c r="AB4">
        <v>21205</v>
      </c>
      <c r="AE4" t="s">
        <v>59</v>
      </c>
      <c r="AF4" t="s">
        <v>60</v>
      </c>
      <c r="AG4" t="s">
        <v>61</v>
      </c>
      <c r="AH4" t="s">
        <v>62</v>
      </c>
      <c r="AI4">
        <v>20250601</v>
      </c>
      <c r="AJ4" t="s">
        <v>63</v>
      </c>
      <c r="AK4" t="s">
        <v>63</v>
      </c>
      <c r="AL4">
        <v>1</v>
      </c>
      <c r="AM4">
        <v>20250604</v>
      </c>
      <c r="AN4">
        <v>10.4</v>
      </c>
      <c r="AO4">
        <v>10.4</v>
      </c>
      <c r="AP4" t="s">
        <v>63</v>
      </c>
      <c r="AS4">
        <v>100</v>
      </c>
      <c r="AT4">
        <v>0.42</v>
      </c>
      <c r="AU4">
        <v>4</v>
      </c>
      <c r="AV4" t="s">
        <v>64</v>
      </c>
    </row>
    <row r="5" spans="1:48" x14ac:dyDescent="0.25">
      <c r="A5" t="s">
        <v>48</v>
      </c>
      <c r="B5">
        <v>20250612</v>
      </c>
      <c r="C5" t="s">
        <v>49</v>
      </c>
      <c r="D5">
        <v>0</v>
      </c>
      <c r="E5">
        <v>20411454</v>
      </c>
      <c r="F5" t="s">
        <v>50</v>
      </c>
      <c r="G5" t="s">
        <v>51</v>
      </c>
      <c r="H5" t="s">
        <v>52</v>
      </c>
      <c r="I5" t="s">
        <v>53</v>
      </c>
      <c r="J5">
        <v>9079571</v>
      </c>
      <c r="K5">
        <v>441874278</v>
      </c>
      <c r="L5">
        <v>20230401</v>
      </c>
      <c r="M5">
        <v>20230314</v>
      </c>
      <c r="O5">
        <v>3</v>
      </c>
      <c r="P5">
        <v>58</v>
      </c>
      <c r="Q5" t="s">
        <v>65</v>
      </c>
      <c r="R5" t="s">
        <v>65</v>
      </c>
      <c r="S5" t="s">
        <v>74</v>
      </c>
      <c r="U5" t="s">
        <v>75</v>
      </c>
      <c r="W5" t="s">
        <v>76</v>
      </c>
      <c r="Z5" t="s">
        <v>77</v>
      </c>
      <c r="AA5" t="s">
        <v>65</v>
      </c>
      <c r="AB5">
        <v>21612</v>
      </c>
      <c r="AE5" t="s">
        <v>59</v>
      </c>
      <c r="AF5" t="s">
        <v>60</v>
      </c>
      <c r="AG5" t="s">
        <v>61</v>
      </c>
      <c r="AH5" t="s">
        <v>62</v>
      </c>
      <c r="AI5">
        <v>20250601</v>
      </c>
      <c r="AJ5" t="s">
        <v>63</v>
      </c>
      <c r="AK5" t="s">
        <v>63</v>
      </c>
      <c r="AL5">
        <v>2</v>
      </c>
      <c r="AM5">
        <v>20250604</v>
      </c>
      <c r="AN5">
        <v>17</v>
      </c>
      <c r="AO5">
        <v>17</v>
      </c>
      <c r="AP5" t="s">
        <v>63</v>
      </c>
      <c r="AS5">
        <v>100</v>
      </c>
      <c r="AT5">
        <v>0.68</v>
      </c>
      <c r="AU5">
        <v>4</v>
      </c>
      <c r="AV5" t="s">
        <v>64</v>
      </c>
    </row>
    <row r="6" spans="1:48" x14ac:dyDescent="0.25">
      <c r="A6" t="s">
        <v>48</v>
      </c>
      <c r="B6">
        <v>20250612</v>
      </c>
      <c r="C6" t="s">
        <v>49</v>
      </c>
      <c r="D6">
        <v>0</v>
      </c>
      <c r="E6">
        <v>20411454</v>
      </c>
      <c r="F6" t="s">
        <v>50</v>
      </c>
      <c r="G6" t="s">
        <v>51</v>
      </c>
      <c r="H6" t="s">
        <v>52</v>
      </c>
      <c r="I6" t="s">
        <v>53</v>
      </c>
      <c r="J6">
        <v>9079571</v>
      </c>
      <c r="K6">
        <v>441934655</v>
      </c>
      <c r="L6">
        <v>20230501</v>
      </c>
      <c r="M6">
        <v>20230421</v>
      </c>
      <c r="O6">
        <v>3</v>
      </c>
      <c r="P6">
        <v>59</v>
      </c>
      <c r="Q6" t="s">
        <v>65</v>
      </c>
      <c r="R6" t="s">
        <v>65</v>
      </c>
      <c r="S6" t="s">
        <v>78</v>
      </c>
      <c r="U6" t="s">
        <v>79</v>
      </c>
      <c r="W6" t="s">
        <v>80</v>
      </c>
      <c r="Z6" t="s">
        <v>81</v>
      </c>
      <c r="AA6" t="s">
        <v>65</v>
      </c>
      <c r="AB6">
        <v>21219</v>
      </c>
      <c r="AE6" t="s">
        <v>59</v>
      </c>
      <c r="AF6" t="s">
        <v>60</v>
      </c>
      <c r="AG6" t="s">
        <v>61</v>
      </c>
      <c r="AH6" t="s">
        <v>62</v>
      </c>
      <c r="AI6">
        <v>20250601</v>
      </c>
      <c r="AJ6" t="s">
        <v>63</v>
      </c>
      <c r="AK6" t="s">
        <v>63</v>
      </c>
      <c r="AL6">
        <v>1</v>
      </c>
      <c r="AM6">
        <v>20250604</v>
      </c>
      <c r="AN6">
        <v>10.4</v>
      </c>
      <c r="AO6">
        <v>10.4</v>
      </c>
      <c r="AP6" t="s">
        <v>63</v>
      </c>
      <c r="AS6">
        <v>100</v>
      </c>
      <c r="AT6">
        <v>0.42</v>
      </c>
      <c r="AU6">
        <v>4</v>
      </c>
      <c r="AV6" t="s">
        <v>64</v>
      </c>
    </row>
    <row r="7" spans="1:48" x14ac:dyDescent="0.25">
      <c r="A7" t="s">
        <v>48</v>
      </c>
      <c r="B7">
        <v>20250612</v>
      </c>
      <c r="C7" t="s">
        <v>49</v>
      </c>
      <c r="D7">
        <v>0</v>
      </c>
      <c r="E7">
        <v>20411454</v>
      </c>
      <c r="F7" t="s">
        <v>50</v>
      </c>
      <c r="G7" t="s">
        <v>51</v>
      </c>
      <c r="H7" t="s">
        <v>52</v>
      </c>
      <c r="I7" t="s">
        <v>53</v>
      </c>
      <c r="J7">
        <v>9079571</v>
      </c>
      <c r="K7">
        <v>441951697</v>
      </c>
      <c r="L7">
        <v>20230502</v>
      </c>
      <c r="M7">
        <v>20230501</v>
      </c>
      <c r="O7">
        <v>3</v>
      </c>
      <c r="P7">
        <v>66</v>
      </c>
      <c r="Q7" t="s">
        <v>65</v>
      </c>
      <c r="R7" t="s">
        <v>65</v>
      </c>
      <c r="S7" t="s">
        <v>82</v>
      </c>
      <c r="U7" t="s">
        <v>83</v>
      </c>
      <c r="W7" t="s">
        <v>84</v>
      </c>
      <c r="Z7" t="s">
        <v>85</v>
      </c>
      <c r="AA7" t="s">
        <v>65</v>
      </c>
      <c r="AB7">
        <v>21811</v>
      </c>
      <c r="AE7" t="s">
        <v>59</v>
      </c>
      <c r="AF7" t="s">
        <v>60</v>
      </c>
      <c r="AG7" t="s">
        <v>61</v>
      </c>
      <c r="AH7" t="s">
        <v>62</v>
      </c>
      <c r="AI7">
        <v>20250601</v>
      </c>
      <c r="AJ7" t="s">
        <v>63</v>
      </c>
      <c r="AK7" t="s">
        <v>63</v>
      </c>
      <c r="AL7">
        <v>1</v>
      </c>
      <c r="AM7">
        <v>20250604</v>
      </c>
      <c r="AN7">
        <v>10.4</v>
      </c>
      <c r="AO7">
        <v>10.4</v>
      </c>
      <c r="AP7" t="s">
        <v>63</v>
      </c>
      <c r="AS7">
        <v>100</v>
      </c>
      <c r="AT7">
        <v>0.42</v>
      </c>
      <c r="AU7">
        <v>4</v>
      </c>
      <c r="AV7" t="s">
        <v>64</v>
      </c>
    </row>
    <row r="8" spans="1:48" x14ac:dyDescent="0.25">
      <c r="A8" t="s">
        <v>48</v>
      </c>
      <c r="B8">
        <v>20250612</v>
      </c>
      <c r="C8" t="s">
        <v>49</v>
      </c>
      <c r="D8">
        <v>0</v>
      </c>
      <c r="E8">
        <v>20411454</v>
      </c>
      <c r="F8" t="s">
        <v>50</v>
      </c>
      <c r="G8" t="s">
        <v>86</v>
      </c>
      <c r="H8" t="s">
        <v>87</v>
      </c>
      <c r="I8" t="s">
        <v>88</v>
      </c>
      <c r="J8">
        <v>17425766</v>
      </c>
      <c r="K8">
        <v>441726411</v>
      </c>
      <c r="L8">
        <v>20230101</v>
      </c>
      <c r="M8">
        <v>20221221</v>
      </c>
      <c r="O8">
        <v>3</v>
      </c>
      <c r="P8">
        <v>64</v>
      </c>
      <c r="Q8" t="s">
        <v>89</v>
      </c>
      <c r="R8" t="s">
        <v>89</v>
      </c>
      <c r="S8" t="s">
        <v>90</v>
      </c>
      <c r="U8" t="s">
        <v>91</v>
      </c>
      <c r="W8" t="s">
        <v>92</v>
      </c>
      <c r="Z8" t="s">
        <v>93</v>
      </c>
      <c r="AA8" t="s">
        <v>89</v>
      </c>
      <c r="AB8">
        <v>19148</v>
      </c>
      <c r="AE8" t="s">
        <v>59</v>
      </c>
      <c r="AF8" t="s">
        <v>60</v>
      </c>
      <c r="AG8" t="s">
        <v>61</v>
      </c>
      <c r="AH8" t="s">
        <v>62</v>
      </c>
      <c r="AI8">
        <v>20250601</v>
      </c>
      <c r="AJ8" t="s">
        <v>63</v>
      </c>
      <c r="AK8" t="s">
        <v>63</v>
      </c>
      <c r="AL8">
        <v>0</v>
      </c>
      <c r="AM8">
        <v>20250604</v>
      </c>
      <c r="AN8">
        <v>11.4</v>
      </c>
      <c r="AO8">
        <v>11.4</v>
      </c>
      <c r="AP8" t="s">
        <v>63</v>
      </c>
      <c r="AS8">
        <v>100</v>
      </c>
      <c r="AT8">
        <v>0.91</v>
      </c>
      <c r="AU8">
        <v>8</v>
      </c>
      <c r="AV8" t="s">
        <v>64</v>
      </c>
    </row>
    <row r="9" spans="1:48" x14ac:dyDescent="0.25">
      <c r="A9" t="s">
        <v>48</v>
      </c>
      <c r="B9">
        <v>20250612</v>
      </c>
      <c r="C9" t="s">
        <v>49</v>
      </c>
      <c r="D9">
        <v>0</v>
      </c>
      <c r="E9">
        <v>20411454</v>
      </c>
      <c r="F9" t="s">
        <v>50</v>
      </c>
      <c r="G9" t="s">
        <v>86</v>
      </c>
      <c r="H9" t="s">
        <v>87</v>
      </c>
      <c r="I9" t="s">
        <v>88</v>
      </c>
      <c r="J9">
        <v>17425766</v>
      </c>
      <c r="K9">
        <v>441853073</v>
      </c>
      <c r="L9">
        <v>20230302</v>
      </c>
      <c r="M9">
        <v>20230301</v>
      </c>
      <c r="O9">
        <v>3</v>
      </c>
      <c r="P9">
        <v>49</v>
      </c>
      <c r="Q9" t="s">
        <v>89</v>
      </c>
      <c r="R9" t="s">
        <v>89</v>
      </c>
      <c r="S9" t="s">
        <v>94</v>
      </c>
      <c r="U9" t="s">
        <v>95</v>
      </c>
      <c r="W9" t="s">
        <v>96</v>
      </c>
      <c r="Z9" t="s">
        <v>97</v>
      </c>
      <c r="AA9" t="s">
        <v>89</v>
      </c>
      <c r="AB9">
        <v>19460</v>
      </c>
      <c r="AE9" t="s">
        <v>59</v>
      </c>
      <c r="AF9" t="s">
        <v>60</v>
      </c>
      <c r="AG9" t="s">
        <v>61</v>
      </c>
      <c r="AH9" t="s">
        <v>62</v>
      </c>
      <c r="AI9">
        <v>20250601</v>
      </c>
      <c r="AJ9" t="s">
        <v>63</v>
      </c>
      <c r="AK9" t="s">
        <v>63</v>
      </c>
      <c r="AL9">
        <v>1</v>
      </c>
      <c r="AM9">
        <v>20250604</v>
      </c>
      <c r="AN9">
        <v>11.4</v>
      </c>
      <c r="AO9">
        <v>11.4</v>
      </c>
      <c r="AP9" t="s">
        <v>63</v>
      </c>
      <c r="AS9">
        <v>100</v>
      </c>
      <c r="AT9">
        <v>0.91</v>
      </c>
      <c r="AU9">
        <v>8</v>
      </c>
      <c r="AV9" t="s">
        <v>64</v>
      </c>
    </row>
    <row r="10" spans="1:48" x14ac:dyDescent="0.25">
      <c r="A10" t="s">
        <v>48</v>
      </c>
      <c r="B10">
        <v>20250612</v>
      </c>
      <c r="C10" t="s">
        <v>49</v>
      </c>
      <c r="D10">
        <v>0</v>
      </c>
      <c r="E10">
        <v>20411454</v>
      </c>
      <c r="F10" t="s">
        <v>50</v>
      </c>
      <c r="G10" t="s">
        <v>86</v>
      </c>
      <c r="H10" t="s">
        <v>87</v>
      </c>
      <c r="I10" t="s">
        <v>88</v>
      </c>
      <c r="J10">
        <v>17425766</v>
      </c>
      <c r="K10">
        <v>441952843</v>
      </c>
      <c r="L10">
        <v>20230503</v>
      </c>
      <c r="M10">
        <v>20230502</v>
      </c>
      <c r="O10">
        <v>3</v>
      </c>
      <c r="P10">
        <v>55</v>
      </c>
      <c r="Q10" t="s">
        <v>89</v>
      </c>
      <c r="R10" t="s">
        <v>89</v>
      </c>
      <c r="S10" t="s">
        <v>98</v>
      </c>
      <c r="U10" t="s">
        <v>99</v>
      </c>
      <c r="W10" t="s">
        <v>100</v>
      </c>
      <c r="Z10" t="s">
        <v>101</v>
      </c>
      <c r="AA10" t="s">
        <v>89</v>
      </c>
      <c r="AB10">
        <v>18960</v>
      </c>
      <c r="AE10" t="s">
        <v>102</v>
      </c>
      <c r="AF10" t="s">
        <v>103</v>
      </c>
      <c r="AG10" t="s">
        <v>61</v>
      </c>
      <c r="AH10" t="s">
        <v>62</v>
      </c>
      <c r="AI10">
        <v>20250601</v>
      </c>
      <c r="AJ10" t="s">
        <v>63</v>
      </c>
      <c r="AK10" t="s">
        <v>63</v>
      </c>
      <c r="AL10">
        <v>1</v>
      </c>
      <c r="AM10">
        <v>20250605</v>
      </c>
      <c r="AN10">
        <v>62.58</v>
      </c>
      <c r="AO10">
        <v>62.58</v>
      </c>
      <c r="AP10" t="s">
        <v>63</v>
      </c>
      <c r="AS10">
        <v>100</v>
      </c>
      <c r="AT10">
        <v>3.13</v>
      </c>
      <c r="AU10">
        <v>5</v>
      </c>
      <c r="AV10" t="s">
        <v>64</v>
      </c>
    </row>
    <row r="11" spans="1:48" x14ac:dyDescent="0.25">
      <c r="A11" t="s">
        <v>48</v>
      </c>
      <c r="B11">
        <v>20250612</v>
      </c>
      <c r="C11" t="s">
        <v>49</v>
      </c>
      <c r="D11">
        <v>0</v>
      </c>
      <c r="E11">
        <v>20411454</v>
      </c>
      <c r="F11" t="s">
        <v>50</v>
      </c>
      <c r="G11" t="s">
        <v>86</v>
      </c>
      <c r="H11" t="s">
        <v>87</v>
      </c>
      <c r="I11" t="s">
        <v>88</v>
      </c>
      <c r="J11">
        <v>17425766</v>
      </c>
      <c r="K11">
        <v>441913483</v>
      </c>
      <c r="L11">
        <v>20230601</v>
      </c>
      <c r="M11">
        <v>20230407</v>
      </c>
      <c r="O11">
        <v>3</v>
      </c>
      <c r="P11">
        <v>70</v>
      </c>
      <c r="Q11" t="s">
        <v>89</v>
      </c>
      <c r="R11" t="s">
        <v>89</v>
      </c>
      <c r="S11" t="s">
        <v>104</v>
      </c>
      <c r="U11" t="s">
        <v>105</v>
      </c>
      <c r="W11" t="s">
        <v>106</v>
      </c>
      <c r="Z11" t="s">
        <v>107</v>
      </c>
      <c r="AA11" t="s">
        <v>89</v>
      </c>
      <c r="AB11">
        <v>19001</v>
      </c>
      <c r="AE11" t="s">
        <v>59</v>
      </c>
      <c r="AF11" t="s">
        <v>60</v>
      </c>
      <c r="AG11" t="s">
        <v>61</v>
      </c>
      <c r="AH11" t="s">
        <v>62</v>
      </c>
      <c r="AI11">
        <v>20250601</v>
      </c>
      <c r="AJ11" t="s">
        <v>63</v>
      </c>
      <c r="AK11" t="s">
        <v>63</v>
      </c>
      <c r="AL11">
        <v>1</v>
      </c>
      <c r="AM11">
        <v>20250604</v>
      </c>
      <c r="AN11">
        <v>11.4</v>
      </c>
      <c r="AO11">
        <v>11.4</v>
      </c>
      <c r="AP11" t="s">
        <v>63</v>
      </c>
      <c r="AS11">
        <v>100</v>
      </c>
      <c r="AT11">
        <v>0.91</v>
      </c>
      <c r="AU11">
        <v>8</v>
      </c>
      <c r="AV11" t="s">
        <v>64</v>
      </c>
    </row>
    <row r="12" spans="1:48" x14ac:dyDescent="0.25">
      <c r="A12" t="s">
        <v>48</v>
      </c>
      <c r="B12">
        <v>20250612</v>
      </c>
      <c r="C12" t="s">
        <v>49</v>
      </c>
      <c r="D12">
        <v>0</v>
      </c>
      <c r="E12">
        <v>20411454</v>
      </c>
      <c r="F12" t="s">
        <v>50</v>
      </c>
      <c r="G12" t="s">
        <v>86</v>
      </c>
      <c r="H12" t="s">
        <v>87</v>
      </c>
      <c r="I12" t="s">
        <v>88</v>
      </c>
      <c r="J12">
        <v>17425766</v>
      </c>
      <c r="K12">
        <v>442047054</v>
      </c>
      <c r="L12">
        <v>20230701</v>
      </c>
      <c r="M12">
        <v>20230629</v>
      </c>
      <c r="O12">
        <v>2</v>
      </c>
      <c r="P12">
        <v>61</v>
      </c>
      <c r="Q12" t="s">
        <v>108</v>
      </c>
      <c r="R12" t="s">
        <v>108</v>
      </c>
      <c r="S12" t="s">
        <v>109</v>
      </c>
      <c r="U12" t="s">
        <v>110</v>
      </c>
      <c r="W12" t="s">
        <v>111</v>
      </c>
      <c r="Z12" t="s">
        <v>112</v>
      </c>
      <c r="AA12" t="s">
        <v>108</v>
      </c>
      <c r="AB12">
        <v>32796</v>
      </c>
      <c r="AC12" t="s">
        <v>113</v>
      </c>
      <c r="AE12" t="s">
        <v>114</v>
      </c>
      <c r="AF12" t="s">
        <v>115</v>
      </c>
      <c r="AG12" t="s">
        <v>61</v>
      </c>
      <c r="AH12" t="s">
        <v>62</v>
      </c>
      <c r="AI12">
        <v>20250601</v>
      </c>
      <c r="AJ12" t="s">
        <v>63</v>
      </c>
      <c r="AK12" t="s">
        <v>63</v>
      </c>
      <c r="AL12">
        <v>1</v>
      </c>
      <c r="AM12">
        <v>20250604</v>
      </c>
      <c r="AN12">
        <v>37.340000000000003</v>
      </c>
      <c r="AO12">
        <v>37.340000000000003</v>
      </c>
      <c r="AP12" t="s">
        <v>63</v>
      </c>
      <c r="AS12">
        <v>100</v>
      </c>
      <c r="AT12">
        <v>1.49</v>
      </c>
      <c r="AU12">
        <v>4</v>
      </c>
      <c r="AV12" t="s">
        <v>64</v>
      </c>
    </row>
    <row r="13" spans="1:48" x14ac:dyDescent="0.25">
      <c r="A13" t="s">
        <v>48</v>
      </c>
      <c r="B13">
        <v>20250612</v>
      </c>
      <c r="C13" t="s">
        <v>49</v>
      </c>
      <c r="D13">
        <v>0</v>
      </c>
      <c r="E13">
        <v>20411454</v>
      </c>
      <c r="F13" t="s">
        <v>50</v>
      </c>
      <c r="G13" t="s">
        <v>86</v>
      </c>
      <c r="H13" t="s">
        <v>87</v>
      </c>
      <c r="I13" t="s">
        <v>88</v>
      </c>
      <c r="J13">
        <v>17425766</v>
      </c>
      <c r="K13">
        <v>442268083</v>
      </c>
      <c r="L13">
        <v>20231201</v>
      </c>
      <c r="M13">
        <v>20231109</v>
      </c>
      <c r="O13">
        <v>2</v>
      </c>
      <c r="P13">
        <v>48</v>
      </c>
      <c r="Q13" t="s">
        <v>108</v>
      </c>
      <c r="R13" t="s">
        <v>108</v>
      </c>
      <c r="S13" t="s">
        <v>116</v>
      </c>
      <c r="U13" t="s">
        <v>117</v>
      </c>
      <c r="W13" t="s">
        <v>118</v>
      </c>
      <c r="Z13" t="s">
        <v>119</v>
      </c>
      <c r="AA13" t="s">
        <v>108</v>
      </c>
      <c r="AB13">
        <v>33076</v>
      </c>
      <c r="AC13" t="s">
        <v>120</v>
      </c>
      <c r="AE13" t="s">
        <v>121</v>
      </c>
      <c r="AF13" t="s">
        <v>122</v>
      </c>
      <c r="AG13" t="s">
        <v>61</v>
      </c>
      <c r="AH13" t="s">
        <v>62</v>
      </c>
      <c r="AI13">
        <v>20250601</v>
      </c>
      <c r="AJ13" t="s">
        <v>63</v>
      </c>
      <c r="AK13" t="s">
        <v>63</v>
      </c>
      <c r="AL13">
        <v>5</v>
      </c>
      <c r="AM13">
        <v>20250604</v>
      </c>
      <c r="AN13">
        <v>52.1</v>
      </c>
      <c r="AO13">
        <v>52.1</v>
      </c>
      <c r="AP13" t="s">
        <v>63</v>
      </c>
      <c r="AS13">
        <v>100</v>
      </c>
      <c r="AT13">
        <v>4.17</v>
      </c>
      <c r="AU13">
        <v>8</v>
      </c>
      <c r="AV13" t="s">
        <v>64</v>
      </c>
    </row>
    <row r="14" spans="1:48" x14ac:dyDescent="0.25">
      <c r="A14" t="s">
        <v>48</v>
      </c>
      <c r="B14">
        <v>20250612</v>
      </c>
      <c r="C14" t="s">
        <v>49</v>
      </c>
      <c r="D14">
        <v>0</v>
      </c>
      <c r="E14">
        <v>20411454</v>
      </c>
      <c r="F14" t="s">
        <v>50</v>
      </c>
      <c r="G14" t="s">
        <v>86</v>
      </c>
      <c r="H14" t="s">
        <v>87</v>
      </c>
      <c r="I14" t="s">
        <v>88</v>
      </c>
      <c r="J14">
        <v>17425766</v>
      </c>
      <c r="K14">
        <v>442268078</v>
      </c>
      <c r="L14">
        <v>20231201</v>
      </c>
      <c r="M14">
        <v>20231109</v>
      </c>
      <c r="O14">
        <v>2</v>
      </c>
      <c r="P14">
        <v>48</v>
      </c>
      <c r="Q14" t="s">
        <v>108</v>
      </c>
      <c r="R14" t="s">
        <v>108</v>
      </c>
      <c r="S14" t="s">
        <v>116</v>
      </c>
      <c r="U14" t="s">
        <v>117</v>
      </c>
      <c r="W14" t="s">
        <v>118</v>
      </c>
      <c r="Z14" t="s">
        <v>119</v>
      </c>
      <c r="AA14" t="s">
        <v>108</v>
      </c>
      <c r="AB14">
        <v>33076</v>
      </c>
      <c r="AC14" t="s">
        <v>120</v>
      </c>
      <c r="AE14" t="s">
        <v>123</v>
      </c>
      <c r="AF14" t="s">
        <v>115</v>
      </c>
      <c r="AG14" t="s">
        <v>61</v>
      </c>
      <c r="AH14" t="s">
        <v>62</v>
      </c>
      <c r="AI14">
        <v>20250601</v>
      </c>
      <c r="AJ14" t="s">
        <v>63</v>
      </c>
      <c r="AK14" t="s">
        <v>63</v>
      </c>
      <c r="AL14">
        <v>5</v>
      </c>
      <c r="AM14">
        <v>20250604</v>
      </c>
      <c r="AN14">
        <v>110.44</v>
      </c>
      <c r="AO14">
        <v>110.44</v>
      </c>
      <c r="AP14" t="s">
        <v>63</v>
      </c>
      <c r="AS14">
        <v>100</v>
      </c>
      <c r="AT14">
        <v>4.42</v>
      </c>
      <c r="AU14">
        <v>4</v>
      </c>
      <c r="AV14" t="s">
        <v>64</v>
      </c>
    </row>
    <row r="15" spans="1:48" x14ac:dyDescent="0.25">
      <c r="A15" t="s">
        <v>48</v>
      </c>
      <c r="B15">
        <v>20250612</v>
      </c>
      <c r="C15" t="s">
        <v>49</v>
      </c>
      <c r="D15">
        <v>0</v>
      </c>
      <c r="E15">
        <v>20411454</v>
      </c>
      <c r="F15" t="s">
        <v>50</v>
      </c>
      <c r="G15" t="s">
        <v>86</v>
      </c>
      <c r="H15" t="s">
        <v>87</v>
      </c>
      <c r="I15" t="s">
        <v>88</v>
      </c>
      <c r="J15">
        <v>17425766</v>
      </c>
      <c r="K15">
        <v>442268077</v>
      </c>
      <c r="L15">
        <v>20231201</v>
      </c>
      <c r="M15">
        <v>20231109</v>
      </c>
      <c r="O15">
        <v>2</v>
      </c>
      <c r="P15">
        <v>48</v>
      </c>
      <c r="Q15" t="s">
        <v>108</v>
      </c>
      <c r="R15" t="s">
        <v>108</v>
      </c>
      <c r="S15" t="s">
        <v>116</v>
      </c>
      <c r="U15" t="s">
        <v>117</v>
      </c>
      <c r="W15" t="s">
        <v>118</v>
      </c>
      <c r="Z15" t="s">
        <v>119</v>
      </c>
      <c r="AA15" t="s">
        <v>108</v>
      </c>
      <c r="AB15">
        <v>33076</v>
      </c>
      <c r="AE15" t="s">
        <v>59</v>
      </c>
      <c r="AF15" t="s">
        <v>60</v>
      </c>
      <c r="AG15" t="s">
        <v>61</v>
      </c>
      <c r="AH15" t="s">
        <v>62</v>
      </c>
      <c r="AI15">
        <v>20250601</v>
      </c>
      <c r="AJ15" t="s">
        <v>63</v>
      </c>
      <c r="AK15" t="s">
        <v>63</v>
      </c>
      <c r="AL15">
        <v>5</v>
      </c>
      <c r="AM15">
        <v>20250604</v>
      </c>
      <c r="AN15">
        <v>36.799999999999997</v>
      </c>
      <c r="AO15">
        <v>36.799999999999997</v>
      </c>
      <c r="AP15" t="s">
        <v>63</v>
      </c>
      <c r="AS15">
        <v>100</v>
      </c>
      <c r="AT15">
        <v>1.47</v>
      </c>
      <c r="AU15">
        <v>4</v>
      </c>
      <c r="AV15" t="s">
        <v>64</v>
      </c>
    </row>
    <row r="16" spans="1:48" x14ac:dyDescent="0.25">
      <c r="A16" t="s">
        <v>48</v>
      </c>
      <c r="B16">
        <v>20250612</v>
      </c>
      <c r="C16" t="s">
        <v>49</v>
      </c>
      <c r="D16">
        <v>0</v>
      </c>
      <c r="E16">
        <v>20411454</v>
      </c>
      <c r="F16" t="s">
        <v>50</v>
      </c>
      <c r="G16" t="s">
        <v>124</v>
      </c>
      <c r="H16" t="s">
        <v>125</v>
      </c>
      <c r="I16" t="s">
        <v>126</v>
      </c>
      <c r="J16">
        <v>15278437</v>
      </c>
      <c r="K16">
        <v>442249622</v>
      </c>
      <c r="L16">
        <v>20231103</v>
      </c>
      <c r="M16">
        <v>20231102</v>
      </c>
      <c r="O16">
        <v>2</v>
      </c>
      <c r="P16">
        <v>60</v>
      </c>
      <c r="Q16" t="s">
        <v>127</v>
      </c>
      <c r="R16" t="s">
        <v>127</v>
      </c>
      <c r="S16" t="s">
        <v>128</v>
      </c>
      <c r="U16" t="s">
        <v>129</v>
      </c>
      <c r="W16" t="s">
        <v>130</v>
      </c>
      <c r="Z16" t="s">
        <v>131</v>
      </c>
      <c r="AA16" t="s">
        <v>127</v>
      </c>
      <c r="AB16">
        <v>44720</v>
      </c>
      <c r="AC16" t="s">
        <v>132</v>
      </c>
      <c r="AE16" t="s">
        <v>123</v>
      </c>
      <c r="AF16" t="s">
        <v>115</v>
      </c>
      <c r="AG16" t="s">
        <v>61</v>
      </c>
      <c r="AH16" t="s">
        <v>62</v>
      </c>
      <c r="AI16">
        <v>20250601</v>
      </c>
      <c r="AJ16" t="s">
        <v>63</v>
      </c>
      <c r="AK16" t="s">
        <v>63</v>
      </c>
      <c r="AL16">
        <v>1</v>
      </c>
      <c r="AM16">
        <v>20250605</v>
      </c>
      <c r="AN16">
        <v>21.81</v>
      </c>
      <c r="AO16">
        <v>21.81</v>
      </c>
      <c r="AP16" t="s">
        <v>63</v>
      </c>
      <c r="AS16">
        <v>100</v>
      </c>
      <c r="AT16">
        <v>0.87</v>
      </c>
      <c r="AU16">
        <v>4</v>
      </c>
      <c r="AV16" t="s">
        <v>64</v>
      </c>
    </row>
    <row r="17" spans="1:48" x14ac:dyDescent="0.25">
      <c r="A17" t="s">
        <v>48</v>
      </c>
      <c r="B17">
        <v>20250612</v>
      </c>
      <c r="C17" t="s">
        <v>49</v>
      </c>
      <c r="D17">
        <v>0</v>
      </c>
      <c r="E17">
        <v>20411454</v>
      </c>
      <c r="F17" t="s">
        <v>50</v>
      </c>
      <c r="G17" t="s">
        <v>133</v>
      </c>
      <c r="H17" t="s">
        <v>134</v>
      </c>
      <c r="I17" t="s">
        <v>135</v>
      </c>
      <c r="J17">
        <v>20697692</v>
      </c>
      <c r="K17">
        <v>442037493</v>
      </c>
      <c r="L17">
        <v>20230701</v>
      </c>
      <c r="M17">
        <v>20230624</v>
      </c>
      <c r="O17">
        <v>2</v>
      </c>
      <c r="P17">
        <v>70</v>
      </c>
      <c r="Q17" t="s">
        <v>65</v>
      </c>
      <c r="R17" t="s">
        <v>65</v>
      </c>
      <c r="S17" t="s">
        <v>136</v>
      </c>
      <c r="U17" t="s">
        <v>137</v>
      </c>
      <c r="W17" t="s">
        <v>138</v>
      </c>
      <c r="Z17" t="s">
        <v>139</v>
      </c>
      <c r="AA17" t="s">
        <v>65</v>
      </c>
      <c r="AB17">
        <v>21122</v>
      </c>
      <c r="AE17" t="s">
        <v>59</v>
      </c>
      <c r="AF17" t="s">
        <v>60</v>
      </c>
      <c r="AG17" t="s">
        <v>61</v>
      </c>
      <c r="AH17" t="s">
        <v>62</v>
      </c>
      <c r="AI17">
        <v>20250601</v>
      </c>
      <c r="AJ17" t="s">
        <v>63</v>
      </c>
      <c r="AK17" t="s">
        <v>63</v>
      </c>
      <c r="AL17">
        <v>2</v>
      </c>
      <c r="AM17">
        <v>20250604</v>
      </c>
      <c r="AN17">
        <v>17</v>
      </c>
      <c r="AO17">
        <v>17</v>
      </c>
      <c r="AP17" t="s">
        <v>63</v>
      </c>
      <c r="AS17">
        <v>100</v>
      </c>
      <c r="AT17">
        <v>0.68</v>
      </c>
      <c r="AU17">
        <v>4</v>
      </c>
      <c r="AV17" t="s">
        <v>64</v>
      </c>
    </row>
    <row r="18" spans="1:48" x14ac:dyDescent="0.25">
      <c r="A18" t="s">
        <v>48</v>
      </c>
      <c r="B18">
        <v>20250612</v>
      </c>
      <c r="C18" t="s">
        <v>49</v>
      </c>
      <c r="D18">
        <v>0</v>
      </c>
      <c r="E18">
        <v>20411454</v>
      </c>
      <c r="F18" t="s">
        <v>50</v>
      </c>
      <c r="G18" t="s">
        <v>133</v>
      </c>
      <c r="H18" t="s">
        <v>134</v>
      </c>
      <c r="I18" t="s">
        <v>135</v>
      </c>
      <c r="J18">
        <v>20697692</v>
      </c>
      <c r="K18">
        <v>442099791</v>
      </c>
      <c r="L18">
        <v>20230803</v>
      </c>
      <c r="M18">
        <v>20230802</v>
      </c>
      <c r="O18">
        <v>2</v>
      </c>
      <c r="P18">
        <v>55</v>
      </c>
      <c r="Q18" t="s">
        <v>65</v>
      </c>
      <c r="R18" t="s">
        <v>65</v>
      </c>
      <c r="S18" t="s">
        <v>140</v>
      </c>
      <c r="U18" t="s">
        <v>141</v>
      </c>
      <c r="W18" t="s">
        <v>142</v>
      </c>
      <c r="Z18" t="s">
        <v>143</v>
      </c>
      <c r="AA18" t="s">
        <v>65</v>
      </c>
      <c r="AB18">
        <v>20905</v>
      </c>
      <c r="AE18" t="s">
        <v>59</v>
      </c>
      <c r="AF18" t="s">
        <v>60</v>
      </c>
      <c r="AG18" t="s">
        <v>61</v>
      </c>
      <c r="AH18" t="s">
        <v>62</v>
      </c>
      <c r="AI18">
        <v>20250601</v>
      </c>
      <c r="AJ18" t="s">
        <v>63</v>
      </c>
      <c r="AK18" t="s">
        <v>63</v>
      </c>
      <c r="AL18">
        <v>1</v>
      </c>
      <c r="AM18">
        <v>20250605</v>
      </c>
      <c r="AN18">
        <v>10.4</v>
      </c>
      <c r="AO18">
        <v>10.4</v>
      </c>
      <c r="AP18" t="s">
        <v>63</v>
      </c>
      <c r="AS18">
        <v>100</v>
      </c>
      <c r="AT18">
        <v>0.42</v>
      </c>
      <c r="AU18">
        <v>4</v>
      </c>
      <c r="AV18" t="s">
        <v>64</v>
      </c>
    </row>
    <row r="19" spans="1:48" x14ac:dyDescent="0.25">
      <c r="A19" t="s">
        <v>48</v>
      </c>
      <c r="B19">
        <v>20250612</v>
      </c>
      <c r="C19" t="s">
        <v>49</v>
      </c>
      <c r="D19">
        <v>0</v>
      </c>
      <c r="E19">
        <v>20411454</v>
      </c>
      <c r="F19" t="s">
        <v>50</v>
      </c>
      <c r="G19" t="s">
        <v>133</v>
      </c>
      <c r="H19" t="s">
        <v>134</v>
      </c>
      <c r="I19" t="s">
        <v>135</v>
      </c>
      <c r="J19">
        <v>20697692</v>
      </c>
      <c r="K19">
        <v>442190945</v>
      </c>
      <c r="L19">
        <v>20231001</v>
      </c>
      <c r="M19">
        <v>20230929</v>
      </c>
      <c r="O19">
        <v>2</v>
      </c>
      <c r="P19">
        <v>61</v>
      </c>
      <c r="Q19" t="s">
        <v>65</v>
      </c>
      <c r="R19" t="s">
        <v>65</v>
      </c>
      <c r="S19" t="s">
        <v>144</v>
      </c>
      <c r="U19" t="s">
        <v>145</v>
      </c>
      <c r="W19" t="s">
        <v>146</v>
      </c>
      <c r="Z19" t="s">
        <v>147</v>
      </c>
      <c r="AA19" t="s">
        <v>65</v>
      </c>
      <c r="AB19">
        <v>21701</v>
      </c>
      <c r="AC19" t="s">
        <v>148</v>
      </c>
      <c r="AE19" t="s">
        <v>123</v>
      </c>
      <c r="AF19" t="s">
        <v>115</v>
      </c>
      <c r="AG19" t="s">
        <v>61</v>
      </c>
      <c r="AH19" t="s">
        <v>62</v>
      </c>
      <c r="AI19">
        <v>20250601</v>
      </c>
      <c r="AJ19" t="s">
        <v>63</v>
      </c>
      <c r="AK19" t="s">
        <v>63</v>
      </c>
      <c r="AL19">
        <v>1</v>
      </c>
      <c r="AM19">
        <v>20250604</v>
      </c>
      <c r="AN19">
        <v>60.14</v>
      </c>
      <c r="AO19">
        <v>60.14</v>
      </c>
      <c r="AP19" t="s">
        <v>63</v>
      </c>
      <c r="AS19">
        <v>100</v>
      </c>
      <c r="AT19">
        <v>6.01</v>
      </c>
      <c r="AU19">
        <v>10</v>
      </c>
      <c r="AV19" t="s">
        <v>64</v>
      </c>
    </row>
    <row r="20" spans="1:48" x14ac:dyDescent="0.25">
      <c r="A20" t="s">
        <v>48</v>
      </c>
      <c r="B20">
        <v>20250612</v>
      </c>
      <c r="C20" t="s">
        <v>49</v>
      </c>
      <c r="D20">
        <v>0</v>
      </c>
      <c r="E20">
        <v>20411454</v>
      </c>
      <c r="F20" t="s">
        <v>50</v>
      </c>
      <c r="G20" t="s">
        <v>133</v>
      </c>
      <c r="H20" t="s">
        <v>134</v>
      </c>
      <c r="I20" t="s">
        <v>135</v>
      </c>
      <c r="J20">
        <v>20697692</v>
      </c>
      <c r="K20">
        <v>442236865</v>
      </c>
      <c r="L20">
        <v>20231101</v>
      </c>
      <c r="M20">
        <v>20231027</v>
      </c>
      <c r="O20">
        <v>2</v>
      </c>
      <c r="P20">
        <v>52</v>
      </c>
      <c r="Q20" t="s">
        <v>65</v>
      </c>
      <c r="R20" t="s">
        <v>65</v>
      </c>
      <c r="S20" t="s">
        <v>149</v>
      </c>
      <c r="U20" t="s">
        <v>150</v>
      </c>
      <c r="W20" t="s">
        <v>151</v>
      </c>
      <c r="Z20" t="s">
        <v>147</v>
      </c>
      <c r="AA20" t="s">
        <v>65</v>
      </c>
      <c r="AB20">
        <v>21704</v>
      </c>
      <c r="AE20" t="s">
        <v>59</v>
      </c>
      <c r="AF20" t="s">
        <v>60</v>
      </c>
      <c r="AG20" t="s">
        <v>61</v>
      </c>
      <c r="AH20" t="s">
        <v>62</v>
      </c>
      <c r="AI20">
        <v>20250601</v>
      </c>
      <c r="AJ20" t="s">
        <v>63</v>
      </c>
      <c r="AK20" t="s">
        <v>63</v>
      </c>
      <c r="AL20">
        <v>2</v>
      </c>
      <c r="AM20">
        <v>20250604</v>
      </c>
      <c r="AN20">
        <v>17</v>
      </c>
      <c r="AO20">
        <v>17</v>
      </c>
      <c r="AP20" t="s">
        <v>63</v>
      </c>
      <c r="AS20">
        <v>100</v>
      </c>
      <c r="AT20">
        <v>0.68</v>
      </c>
      <c r="AU20">
        <v>4</v>
      </c>
      <c r="AV20" t="s">
        <v>64</v>
      </c>
    </row>
    <row r="21" spans="1:48" x14ac:dyDescent="0.25">
      <c r="A21" t="s">
        <v>48</v>
      </c>
      <c r="B21">
        <v>20250612</v>
      </c>
      <c r="C21" t="s">
        <v>49</v>
      </c>
      <c r="D21">
        <v>0</v>
      </c>
      <c r="E21">
        <v>20411454</v>
      </c>
      <c r="F21" t="s">
        <v>50</v>
      </c>
      <c r="G21" t="s">
        <v>133</v>
      </c>
      <c r="H21" t="s">
        <v>134</v>
      </c>
      <c r="I21" t="s">
        <v>135</v>
      </c>
      <c r="J21">
        <v>20697692</v>
      </c>
      <c r="K21">
        <v>442249792</v>
      </c>
      <c r="L21">
        <v>20231103</v>
      </c>
      <c r="M21">
        <v>20231102</v>
      </c>
      <c r="O21">
        <v>2</v>
      </c>
      <c r="P21">
        <v>62</v>
      </c>
      <c r="Q21" t="s">
        <v>65</v>
      </c>
      <c r="R21" t="s">
        <v>65</v>
      </c>
      <c r="S21" t="s">
        <v>152</v>
      </c>
      <c r="U21" t="s">
        <v>153</v>
      </c>
      <c r="W21" t="s">
        <v>154</v>
      </c>
      <c r="Z21" t="s">
        <v>155</v>
      </c>
      <c r="AA21" t="s">
        <v>65</v>
      </c>
      <c r="AB21">
        <v>21013</v>
      </c>
      <c r="AE21" t="s">
        <v>59</v>
      </c>
      <c r="AF21" t="s">
        <v>60</v>
      </c>
      <c r="AG21" t="s">
        <v>61</v>
      </c>
      <c r="AH21" t="s">
        <v>62</v>
      </c>
      <c r="AI21">
        <v>20250601</v>
      </c>
      <c r="AJ21" t="s">
        <v>63</v>
      </c>
      <c r="AK21" t="s">
        <v>63</v>
      </c>
      <c r="AL21">
        <v>1</v>
      </c>
      <c r="AM21">
        <v>20250605</v>
      </c>
      <c r="AN21">
        <v>10.4</v>
      </c>
      <c r="AO21">
        <v>10.4</v>
      </c>
      <c r="AP21" t="s">
        <v>63</v>
      </c>
      <c r="AS21">
        <v>100</v>
      </c>
      <c r="AT21">
        <v>0.42</v>
      </c>
      <c r="AU21">
        <v>4</v>
      </c>
      <c r="AV21" t="s">
        <v>64</v>
      </c>
    </row>
    <row r="22" spans="1:48" x14ac:dyDescent="0.25">
      <c r="A22" t="s">
        <v>48</v>
      </c>
      <c r="B22">
        <v>20250612</v>
      </c>
      <c r="C22" t="s">
        <v>49</v>
      </c>
      <c r="D22">
        <v>0</v>
      </c>
      <c r="E22">
        <v>20411454</v>
      </c>
      <c r="F22" t="s">
        <v>50</v>
      </c>
      <c r="G22" t="s">
        <v>133</v>
      </c>
      <c r="H22" t="s">
        <v>134</v>
      </c>
      <c r="I22" t="s">
        <v>135</v>
      </c>
      <c r="J22">
        <v>20697692</v>
      </c>
      <c r="K22">
        <v>442288978</v>
      </c>
      <c r="L22">
        <v>20240101</v>
      </c>
      <c r="M22">
        <v>20231117</v>
      </c>
      <c r="O22">
        <v>2</v>
      </c>
      <c r="P22">
        <v>63</v>
      </c>
      <c r="Q22" t="s">
        <v>65</v>
      </c>
      <c r="R22" t="s">
        <v>65</v>
      </c>
      <c r="S22" t="s">
        <v>156</v>
      </c>
      <c r="U22" t="s">
        <v>157</v>
      </c>
      <c r="W22" t="s">
        <v>158</v>
      </c>
      <c r="Z22" t="s">
        <v>159</v>
      </c>
      <c r="AA22" t="s">
        <v>65</v>
      </c>
      <c r="AB22">
        <v>21014</v>
      </c>
      <c r="AE22" t="s">
        <v>59</v>
      </c>
      <c r="AF22" t="s">
        <v>60</v>
      </c>
      <c r="AG22" t="s">
        <v>61</v>
      </c>
      <c r="AH22" t="s">
        <v>62</v>
      </c>
      <c r="AI22">
        <v>20250601</v>
      </c>
      <c r="AJ22" t="s">
        <v>63</v>
      </c>
      <c r="AK22" t="s">
        <v>63</v>
      </c>
      <c r="AL22">
        <v>1</v>
      </c>
      <c r="AM22">
        <v>20250604</v>
      </c>
      <c r="AN22">
        <v>10.4</v>
      </c>
      <c r="AO22">
        <v>10.4</v>
      </c>
      <c r="AP22" t="s">
        <v>63</v>
      </c>
      <c r="AS22">
        <v>100</v>
      </c>
      <c r="AT22">
        <v>0.42</v>
      </c>
      <c r="AU22">
        <v>4</v>
      </c>
      <c r="AV22" t="s">
        <v>64</v>
      </c>
    </row>
    <row r="23" spans="1:48" x14ac:dyDescent="0.25">
      <c r="A23" t="s">
        <v>48</v>
      </c>
      <c r="B23">
        <v>20250612</v>
      </c>
      <c r="C23" t="s">
        <v>49</v>
      </c>
      <c r="D23">
        <v>0</v>
      </c>
      <c r="E23">
        <v>20411454</v>
      </c>
      <c r="F23" t="s">
        <v>50</v>
      </c>
      <c r="G23" t="s">
        <v>51</v>
      </c>
      <c r="H23" t="s">
        <v>160</v>
      </c>
      <c r="I23" t="s">
        <v>161</v>
      </c>
      <c r="J23">
        <v>16509456</v>
      </c>
      <c r="K23">
        <v>441862448</v>
      </c>
      <c r="L23">
        <v>20230401</v>
      </c>
      <c r="M23">
        <v>20230307</v>
      </c>
      <c r="O23">
        <v>3</v>
      </c>
      <c r="P23">
        <v>61</v>
      </c>
      <c r="Q23" t="s">
        <v>89</v>
      </c>
      <c r="R23" t="s">
        <v>89</v>
      </c>
      <c r="S23" t="s">
        <v>162</v>
      </c>
      <c r="U23" t="s">
        <v>163</v>
      </c>
      <c r="W23" t="s">
        <v>164</v>
      </c>
      <c r="Z23" t="s">
        <v>165</v>
      </c>
      <c r="AA23" t="s">
        <v>89</v>
      </c>
      <c r="AB23">
        <v>19372</v>
      </c>
      <c r="AC23" t="s">
        <v>166</v>
      </c>
      <c r="AE23" t="s">
        <v>114</v>
      </c>
      <c r="AF23" t="s">
        <v>115</v>
      </c>
      <c r="AG23" t="s">
        <v>61</v>
      </c>
      <c r="AH23" t="s">
        <v>62</v>
      </c>
      <c r="AI23">
        <v>20250601</v>
      </c>
      <c r="AJ23" t="s">
        <v>63</v>
      </c>
      <c r="AK23" t="s">
        <v>63</v>
      </c>
      <c r="AL23">
        <v>1</v>
      </c>
      <c r="AM23">
        <v>20250604</v>
      </c>
      <c r="AN23">
        <v>45.49</v>
      </c>
      <c r="AO23">
        <v>45.49</v>
      </c>
      <c r="AP23" t="s">
        <v>63</v>
      </c>
      <c r="AS23">
        <v>100</v>
      </c>
      <c r="AT23">
        <v>1.82</v>
      </c>
      <c r="AU23">
        <v>4</v>
      </c>
      <c r="AV23" t="s">
        <v>64</v>
      </c>
    </row>
    <row r="24" spans="1:48" x14ac:dyDescent="0.25">
      <c r="A24" t="s">
        <v>48</v>
      </c>
      <c r="B24">
        <v>20250612</v>
      </c>
      <c r="C24" t="s">
        <v>49</v>
      </c>
      <c r="D24">
        <v>0</v>
      </c>
      <c r="E24">
        <v>20411454</v>
      </c>
      <c r="F24" t="s">
        <v>50</v>
      </c>
      <c r="G24" t="s">
        <v>51</v>
      </c>
      <c r="H24" t="s">
        <v>160</v>
      </c>
      <c r="I24" t="s">
        <v>161</v>
      </c>
      <c r="J24">
        <v>16509456</v>
      </c>
      <c r="K24">
        <v>441991771</v>
      </c>
      <c r="L24">
        <v>20230601</v>
      </c>
      <c r="M24">
        <v>20230526</v>
      </c>
      <c r="O24">
        <v>3</v>
      </c>
      <c r="P24">
        <v>64</v>
      </c>
      <c r="Q24" t="s">
        <v>89</v>
      </c>
      <c r="R24" t="s">
        <v>89</v>
      </c>
      <c r="S24" t="s">
        <v>167</v>
      </c>
      <c r="U24" t="s">
        <v>168</v>
      </c>
      <c r="W24" t="s">
        <v>169</v>
      </c>
      <c r="X24" t="s">
        <v>170</v>
      </c>
      <c r="Z24" t="s">
        <v>171</v>
      </c>
      <c r="AA24" t="s">
        <v>89</v>
      </c>
      <c r="AB24" t="s">
        <v>172</v>
      </c>
      <c r="AC24" t="s">
        <v>173</v>
      </c>
      <c r="AE24" t="s">
        <v>174</v>
      </c>
      <c r="AF24" t="s">
        <v>115</v>
      </c>
      <c r="AG24" t="s">
        <v>61</v>
      </c>
      <c r="AH24" t="s">
        <v>62</v>
      </c>
      <c r="AI24">
        <v>20250601</v>
      </c>
      <c r="AJ24" t="s">
        <v>63</v>
      </c>
      <c r="AK24" t="s">
        <v>63</v>
      </c>
      <c r="AL24">
        <v>1</v>
      </c>
      <c r="AM24">
        <v>20250604</v>
      </c>
      <c r="AN24">
        <v>72.19</v>
      </c>
      <c r="AO24">
        <v>72.19</v>
      </c>
      <c r="AP24" t="s">
        <v>63</v>
      </c>
      <c r="AS24">
        <v>100</v>
      </c>
      <c r="AT24">
        <v>3.61</v>
      </c>
      <c r="AU24">
        <v>5</v>
      </c>
      <c r="AV24" t="s">
        <v>64</v>
      </c>
    </row>
    <row r="25" spans="1:48" x14ac:dyDescent="0.25">
      <c r="A25" t="s">
        <v>48</v>
      </c>
      <c r="B25">
        <v>20250612</v>
      </c>
      <c r="C25" t="s">
        <v>49</v>
      </c>
      <c r="D25">
        <v>0</v>
      </c>
      <c r="E25">
        <v>20411454</v>
      </c>
      <c r="F25" t="s">
        <v>50</v>
      </c>
      <c r="G25" t="s">
        <v>51</v>
      </c>
      <c r="H25" t="s">
        <v>160</v>
      </c>
      <c r="I25" t="s">
        <v>161</v>
      </c>
      <c r="J25">
        <v>16509456</v>
      </c>
      <c r="K25">
        <v>442096371</v>
      </c>
      <c r="L25">
        <v>20230801</v>
      </c>
      <c r="M25">
        <v>20230731</v>
      </c>
      <c r="O25">
        <v>2</v>
      </c>
      <c r="P25">
        <v>43</v>
      </c>
      <c r="Q25" t="s">
        <v>65</v>
      </c>
      <c r="R25" t="s">
        <v>65</v>
      </c>
      <c r="S25" t="s">
        <v>175</v>
      </c>
      <c r="U25" t="s">
        <v>176</v>
      </c>
      <c r="W25" t="s">
        <v>177</v>
      </c>
      <c r="Z25" t="s">
        <v>178</v>
      </c>
      <c r="AA25" t="s">
        <v>65</v>
      </c>
      <c r="AB25">
        <v>20874</v>
      </c>
      <c r="AE25" t="s">
        <v>59</v>
      </c>
      <c r="AF25" t="s">
        <v>60</v>
      </c>
      <c r="AG25" t="s">
        <v>61</v>
      </c>
      <c r="AH25" t="s">
        <v>62</v>
      </c>
      <c r="AI25">
        <v>20250601</v>
      </c>
      <c r="AJ25" t="s">
        <v>63</v>
      </c>
      <c r="AK25" t="s">
        <v>63</v>
      </c>
      <c r="AL25">
        <v>1</v>
      </c>
      <c r="AM25">
        <v>20250604</v>
      </c>
      <c r="AN25">
        <v>10.4</v>
      </c>
      <c r="AO25">
        <v>10.4</v>
      </c>
      <c r="AP25" t="s">
        <v>63</v>
      </c>
      <c r="AS25">
        <v>100</v>
      </c>
      <c r="AT25">
        <v>0.42</v>
      </c>
      <c r="AU25">
        <v>4</v>
      </c>
      <c r="AV25" t="s">
        <v>64</v>
      </c>
    </row>
    <row r="26" spans="1:48" x14ac:dyDescent="0.25">
      <c r="A26" t="s">
        <v>48</v>
      </c>
      <c r="B26">
        <v>20250612</v>
      </c>
      <c r="C26" t="s">
        <v>49</v>
      </c>
      <c r="D26">
        <v>0</v>
      </c>
      <c r="E26">
        <v>20411454</v>
      </c>
      <c r="F26" t="s">
        <v>50</v>
      </c>
      <c r="G26" t="s">
        <v>51</v>
      </c>
      <c r="H26" t="s">
        <v>160</v>
      </c>
      <c r="I26" t="s">
        <v>161</v>
      </c>
      <c r="J26">
        <v>16509456</v>
      </c>
      <c r="K26">
        <v>442580059</v>
      </c>
      <c r="L26">
        <v>20240401</v>
      </c>
      <c r="M26">
        <v>20240330</v>
      </c>
      <c r="O26">
        <v>2</v>
      </c>
      <c r="P26">
        <v>57</v>
      </c>
      <c r="Q26" t="s">
        <v>65</v>
      </c>
      <c r="R26" t="s">
        <v>65</v>
      </c>
      <c r="S26" t="s">
        <v>179</v>
      </c>
      <c r="U26" t="s">
        <v>180</v>
      </c>
      <c r="W26" t="s">
        <v>181</v>
      </c>
      <c r="Z26" t="s">
        <v>182</v>
      </c>
      <c r="AA26" t="s">
        <v>65</v>
      </c>
      <c r="AB26">
        <v>21108</v>
      </c>
      <c r="AE26" t="s">
        <v>183</v>
      </c>
      <c r="AF26" t="s">
        <v>184</v>
      </c>
      <c r="AG26" t="s">
        <v>61</v>
      </c>
      <c r="AH26" t="s">
        <v>62</v>
      </c>
      <c r="AI26">
        <v>20250601</v>
      </c>
      <c r="AJ26" t="s">
        <v>63</v>
      </c>
      <c r="AK26" t="s">
        <v>63</v>
      </c>
      <c r="AL26">
        <v>1</v>
      </c>
      <c r="AM26">
        <v>20250604</v>
      </c>
      <c r="AN26">
        <v>13.28</v>
      </c>
      <c r="AO26">
        <v>13.28</v>
      </c>
      <c r="AP26" t="s">
        <v>63</v>
      </c>
      <c r="AS26">
        <v>100</v>
      </c>
      <c r="AT26">
        <v>0.93</v>
      </c>
      <c r="AU26">
        <v>7</v>
      </c>
      <c r="AV26" t="s">
        <v>64</v>
      </c>
    </row>
    <row r="27" spans="1:48" x14ac:dyDescent="0.25">
      <c r="A27" t="s">
        <v>48</v>
      </c>
      <c r="B27">
        <v>20250612</v>
      </c>
      <c r="C27" t="s">
        <v>49</v>
      </c>
      <c r="D27">
        <v>0</v>
      </c>
      <c r="E27">
        <v>20411454</v>
      </c>
      <c r="F27" t="s">
        <v>50</v>
      </c>
      <c r="G27" t="s">
        <v>185</v>
      </c>
      <c r="H27" t="s">
        <v>186</v>
      </c>
      <c r="I27" t="s">
        <v>187</v>
      </c>
      <c r="J27">
        <v>16202925</v>
      </c>
      <c r="K27">
        <v>442385061</v>
      </c>
      <c r="L27">
        <v>20240101</v>
      </c>
      <c r="M27">
        <v>20231219</v>
      </c>
      <c r="O27">
        <v>2</v>
      </c>
      <c r="P27">
        <v>34</v>
      </c>
      <c r="Q27" t="s">
        <v>65</v>
      </c>
      <c r="R27" t="s">
        <v>65</v>
      </c>
      <c r="S27" t="s">
        <v>188</v>
      </c>
      <c r="U27" t="s">
        <v>189</v>
      </c>
      <c r="W27" t="s">
        <v>190</v>
      </c>
      <c r="Z27" t="s">
        <v>159</v>
      </c>
      <c r="AA27" t="s">
        <v>65</v>
      </c>
      <c r="AB27">
        <v>21015</v>
      </c>
      <c r="AE27" t="s">
        <v>121</v>
      </c>
      <c r="AF27" t="s">
        <v>122</v>
      </c>
      <c r="AG27" t="s">
        <v>61</v>
      </c>
      <c r="AH27" t="s">
        <v>62</v>
      </c>
      <c r="AI27">
        <v>20250601</v>
      </c>
      <c r="AJ27" t="s">
        <v>63</v>
      </c>
      <c r="AK27" t="s">
        <v>63</v>
      </c>
      <c r="AL27">
        <v>1</v>
      </c>
      <c r="AM27">
        <v>20250604</v>
      </c>
      <c r="AN27">
        <v>26.04</v>
      </c>
      <c r="AO27">
        <v>26.04</v>
      </c>
      <c r="AP27" t="s">
        <v>63</v>
      </c>
      <c r="AS27">
        <v>100</v>
      </c>
      <c r="AT27">
        <v>2.08</v>
      </c>
      <c r="AU27">
        <v>8</v>
      </c>
      <c r="AV27" t="s">
        <v>64</v>
      </c>
    </row>
    <row r="28" spans="1:48" x14ac:dyDescent="0.25">
      <c r="A28" t="s">
        <v>48</v>
      </c>
      <c r="B28">
        <v>20250612</v>
      </c>
      <c r="C28" t="s">
        <v>49</v>
      </c>
      <c r="D28">
        <v>0</v>
      </c>
      <c r="E28">
        <v>20411454</v>
      </c>
      <c r="F28" t="s">
        <v>50</v>
      </c>
      <c r="G28" t="s">
        <v>185</v>
      </c>
      <c r="H28" t="s">
        <v>186</v>
      </c>
      <c r="I28" t="s">
        <v>187</v>
      </c>
      <c r="J28">
        <v>16202925</v>
      </c>
      <c r="K28">
        <v>442385060</v>
      </c>
      <c r="L28">
        <v>20240101</v>
      </c>
      <c r="M28">
        <v>20231219</v>
      </c>
      <c r="O28">
        <v>2</v>
      </c>
      <c r="P28">
        <v>34</v>
      </c>
      <c r="Q28" t="s">
        <v>65</v>
      </c>
      <c r="R28" t="s">
        <v>65</v>
      </c>
      <c r="S28" t="s">
        <v>188</v>
      </c>
      <c r="U28" t="s">
        <v>189</v>
      </c>
      <c r="W28" t="s">
        <v>190</v>
      </c>
      <c r="Z28" t="s">
        <v>159</v>
      </c>
      <c r="AA28" t="s">
        <v>65</v>
      </c>
      <c r="AB28">
        <v>21015</v>
      </c>
      <c r="AC28" t="s">
        <v>191</v>
      </c>
      <c r="AE28" t="s">
        <v>123</v>
      </c>
      <c r="AF28" t="s">
        <v>115</v>
      </c>
      <c r="AG28" t="s">
        <v>61</v>
      </c>
      <c r="AH28" t="s">
        <v>62</v>
      </c>
      <c r="AI28">
        <v>20250601</v>
      </c>
      <c r="AJ28" t="s">
        <v>63</v>
      </c>
      <c r="AK28" t="s">
        <v>63</v>
      </c>
      <c r="AL28">
        <v>1</v>
      </c>
      <c r="AM28">
        <v>20250604</v>
      </c>
      <c r="AN28">
        <v>36.130000000000003</v>
      </c>
      <c r="AO28">
        <v>36.130000000000003</v>
      </c>
      <c r="AP28" t="s">
        <v>63</v>
      </c>
      <c r="AS28">
        <v>100</v>
      </c>
      <c r="AT28">
        <v>1.45</v>
      </c>
      <c r="AU28">
        <v>4</v>
      </c>
      <c r="AV28" t="s">
        <v>64</v>
      </c>
    </row>
    <row r="29" spans="1:48" x14ac:dyDescent="0.25">
      <c r="A29" t="s">
        <v>48</v>
      </c>
      <c r="B29">
        <v>20250612</v>
      </c>
      <c r="C29" t="s">
        <v>49</v>
      </c>
      <c r="D29">
        <v>0</v>
      </c>
      <c r="E29">
        <v>20411454</v>
      </c>
      <c r="F29" t="s">
        <v>50</v>
      </c>
      <c r="G29" t="s">
        <v>185</v>
      </c>
      <c r="H29" t="s">
        <v>186</v>
      </c>
      <c r="I29" t="s">
        <v>187</v>
      </c>
      <c r="J29">
        <v>16202925</v>
      </c>
      <c r="K29">
        <v>442385059</v>
      </c>
      <c r="L29">
        <v>20240101</v>
      </c>
      <c r="M29">
        <v>20231219</v>
      </c>
      <c r="O29">
        <v>2</v>
      </c>
      <c r="P29">
        <v>34</v>
      </c>
      <c r="Q29" t="s">
        <v>65</v>
      </c>
      <c r="R29" t="s">
        <v>65</v>
      </c>
      <c r="S29" t="s">
        <v>188</v>
      </c>
      <c r="U29" t="s">
        <v>189</v>
      </c>
      <c r="W29" t="s">
        <v>190</v>
      </c>
      <c r="Z29" t="s">
        <v>159</v>
      </c>
      <c r="AA29" t="s">
        <v>65</v>
      </c>
      <c r="AB29">
        <v>21015</v>
      </c>
      <c r="AE29" t="s">
        <v>59</v>
      </c>
      <c r="AF29" t="s">
        <v>60</v>
      </c>
      <c r="AG29" t="s">
        <v>61</v>
      </c>
      <c r="AH29" t="s">
        <v>62</v>
      </c>
      <c r="AI29">
        <v>20250601</v>
      </c>
      <c r="AJ29" t="s">
        <v>63</v>
      </c>
      <c r="AK29" t="s">
        <v>63</v>
      </c>
      <c r="AL29">
        <v>1</v>
      </c>
      <c r="AM29">
        <v>20250604</v>
      </c>
      <c r="AN29">
        <v>10.4</v>
      </c>
      <c r="AO29">
        <v>10.4</v>
      </c>
      <c r="AP29" t="s">
        <v>63</v>
      </c>
      <c r="AS29">
        <v>100</v>
      </c>
      <c r="AT29">
        <v>0.42</v>
      </c>
      <c r="AU29">
        <v>4</v>
      </c>
      <c r="AV29" t="s">
        <v>64</v>
      </c>
    </row>
    <row r="30" spans="1:48" x14ac:dyDescent="0.25">
      <c r="A30" t="s">
        <v>48</v>
      </c>
      <c r="B30">
        <v>20250612</v>
      </c>
      <c r="C30" t="s">
        <v>49</v>
      </c>
      <c r="D30">
        <v>0</v>
      </c>
      <c r="E30">
        <v>20411454</v>
      </c>
      <c r="F30" t="s">
        <v>50</v>
      </c>
      <c r="G30" t="s">
        <v>185</v>
      </c>
      <c r="H30" t="s">
        <v>186</v>
      </c>
      <c r="I30" t="s">
        <v>187</v>
      </c>
      <c r="J30">
        <v>16202925</v>
      </c>
      <c r="K30">
        <v>442602708</v>
      </c>
      <c r="L30">
        <v>20240501</v>
      </c>
      <c r="M30">
        <v>20240411</v>
      </c>
      <c r="O30">
        <v>2</v>
      </c>
      <c r="P30">
        <v>55</v>
      </c>
      <c r="Q30" t="s">
        <v>65</v>
      </c>
      <c r="R30" t="s">
        <v>65</v>
      </c>
      <c r="S30" t="s">
        <v>192</v>
      </c>
      <c r="U30" t="s">
        <v>193</v>
      </c>
      <c r="W30" t="s">
        <v>194</v>
      </c>
      <c r="Z30" t="s">
        <v>195</v>
      </c>
      <c r="AA30" t="s">
        <v>65</v>
      </c>
      <c r="AB30">
        <v>20658</v>
      </c>
      <c r="AC30" t="s">
        <v>196</v>
      </c>
      <c r="AE30" t="s">
        <v>197</v>
      </c>
      <c r="AF30" t="s">
        <v>198</v>
      </c>
      <c r="AG30" t="s">
        <v>61</v>
      </c>
      <c r="AH30" t="s">
        <v>62</v>
      </c>
      <c r="AI30">
        <v>20250601</v>
      </c>
      <c r="AJ30" t="s">
        <v>63</v>
      </c>
      <c r="AK30" t="s">
        <v>63</v>
      </c>
      <c r="AL30">
        <v>1</v>
      </c>
      <c r="AM30">
        <v>20250604</v>
      </c>
      <c r="AN30">
        <v>42.59</v>
      </c>
      <c r="AO30">
        <v>42.59</v>
      </c>
      <c r="AP30" t="s">
        <v>63</v>
      </c>
      <c r="AS30">
        <v>100</v>
      </c>
      <c r="AT30">
        <v>2.98</v>
      </c>
      <c r="AU30">
        <v>7</v>
      </c>
      <c r="AV30" t="s">
        <v>64</v>
      </c>
    </row>
    <row r="31" spans="1:48" x14ac:dyDescent="0.25">
      <c r="A31" t="s">
        <v>48</v>
      </c>
      <c r="B31">
        <v>20250612</v>
      </c>
      <c r="C31" t="s">
        <v>49</v>
      </c>
      <c r="D31">
        <v>0</v>
      </c>
      <c r="E31">
        <v>20411454</v>
      </c>
      <c r="F31" t="s">
        <v>50</v>
      </c>
      <c r="G31" t="s">
        <v>185</v>
      </c>
      <c r="H31" t="s">
        <v>186</v>
      </c>
      <c r="I31" t="s">
        <v>187</v>
      </c>
      <c r="J31">
        <v>16202925</v>
      </c>
      <c r="K31">
        <v>442649730</v>
      </c>
      <c r="L31">
        <v>20240601</v>
      </c>
      <c r="M31">
        <v>20240506</v>
      </c>
      <c r="O31">
        <v>2</v>
      </c>
      <c r="P31">
        <v>31</v>
      </c>
      <c r="Q31" t="s">
        <v>65</v>
      </c>
      <c r="R31" t="s">
        <v>65</v>
      </c>
      <c r="S31" t="s">
        <v>199</v>
      </c>
      <c r="U31" t="s">
        <v>200</v>
      </c>
      <c r="W31" t="s">
        <v>201</v>
      </c>
      <c r="Z31" t="s">
        <v>202</v>
      </c>
      <c r="AA31" t="s">
        <v>65</v>
      </c>
      <c r="AB31">
        <v>21911</v>
      </c>
      <c r="AC31" t="s">
        <v>203</v>
      </c>
      <c r="AE31" t="s">
        <v>204</v>
      </c>
      <c r="AF31" t="s">
        <v>198</v>
      </c>
      <c r="AG31" t="s">
        <v>61</v>
      </c>
      <c r="AH31" t="s">
        <v>62</v>
      </c>
      <c r="AI31">
        <v>20250601</v>
      </c>
      <c r="AJ31" t="s">
        <v>63</v>
      </c>
      <c r="AK31" t="s">
        <v>63</v>
      </c>
      <c r="AL31">
        <v>2</v>
      </c>
      <c r="AM31">
        <v>20250604</v>
      </c>
      <c r="AN31">
        <v>111.57</v>
      </c>
      <c r="AO31">
        <v>111.57</v>
      </c>
      <c r="AP31" t="s">
        <v>63</v>
      </c>
      <c r="AS31">
        <v>100</v>
      </c>
      <c r="AT31">
        <v>7.81</v>
      </c>
      <c r="AU31">
        <v>7</v>
      </c>
      <c r="AV3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C376-69C0-4B54-A88F-09646CE22F21}">
  <dimension ref="A1:U31"/>
  <sheetViews>
    <sheetView tabSelected="1" workbookViewId="0">
      <selection activeCell="E11" sqref="E11"/>
    </sheetView>
  </sheetViews>
  <sheetFormatPr defaultRowHeight="15" x14ac:dyDescent="0.25"/>
  <cols>
    <col min="1" max="4" width="9.140625" style="1"/>
    <col min="5" max="5" width="14.140625" style="1" bestFit="1" customWidth="1"/>
    <col min="6" max="7" width="10.28515625" style="1" customWidth="1"/>
    <col min="8" max="11" width="9.140625" style="1"/>
    <col min="12" max="12" width="29.85546875" style="1" customWidth="1"/>
    <col min="13" max="13" width="23" style="1" bestFit="1" customWidth="1"/>
    <col min="14" max="14" width="10.140625" style="1" customWidth="1"/>
    <col min="15" max="16" width="9.140625" style="1"/>
    <col min="17" max="17" width="11.85546875" style="1" customWidth="1"/>
    <col min="18" max="16384" width="9.140625" style="1"/>
  </cols>
  <sheetData>
    <row r="1" spans="1:21" x14ac:dyDescent="0.25">
      <c r="A1" s="1" t="s">
        <v>6</v>
      </c>
      <c r="B1" s="1" t="s">
        <v>7</v>
      </c>
      <c r="D1" s="1" t="s">
        <v>9</v>
      </c>
      <c r="E1" s="1" t="s">
        <v>10</v>
      </c>
      <c r="F1" s="1" t="s">
        <v>11</v>
      </c>
      <c r="H1" s="1" t="s">
        <v>14</v>
      </c>
      <c r="I1" s="1" t="s">
        <v>17</v>
      </c>
      <c r="J1" s="1" t="s">
        <v>18</v>
      </c>
      <c r="K1" s="1" t="s">
        <v>20</v>
      </c>
      <c r="M1" s="1" t="s">
        <v>30</v>
      </c>
      <c r="N1" s="1" t="s">
        <v>31</v>
      </c>
      <c r="O1" s="1" t="s">
        <v>34</v>
      </c>
      <c r="P1" s="1" t="s">
        <v>38</v>
      </c>
      <c r="Q1" s="1" t="s">
        <v>39</v>
      </c>
      <c r="R1" s="1" t="s">
        <v>40</v>
      </c>
      <c r="S1" s="1" t="s">
        <v>45</v>
      </c>
      <c r="T1" s="1" t="s">
        <v>46</v>
      </c>
    </row>
    <row r="2" spans="1:21" x14ac:dyDescent="0.25">
      <c r="A2" s="1" t="s">
        <v>51</v>
      </c>
      <c r="B2" s="1" t="s">
        <v>52</v>
      </c>
      <c r="C2" s="1" t="str">
        <f>CONCATENATE(B2, " ",A2)</f>
        <v>Adam Richter</v>
      </c>
      <c r="D2" s="1">
        <v>9079571</v>
      </c>
      <c r="E2" s="1">
        <v>441842580</v>
      </c>
      <c r="F2" s="1">
        <v>20230301</v>
      </c>
      <c r="G2" s="1" t="str">
        <f>TEXT(DATE(LEFT(F2,4), MID(F2,5,2), RIGHT(F2,2)), "M/d/yyyy")</f>
        <v>3/1/2023</v>
      </c>
      <c r="H2" s="1">
        <v>3</v>
      </c>
      <c r="I2" s="1" t="s">
        <v>54</v>
      </c>
      <c r="J2" s="1" t="s">
        <v>55</v>
      </c>
      <c r="K2" s="1" t="s">
        <v>56</v>
      </c>
      <c r="L2" s="1" t="str">
        <f>CONCATENATE(J2, " ",K2)</f>
        <v>GAY BROWNE</v>
      </c>
      <c r="M2" s="1" t="s">
        <v>59</v>
      </c>
      <c r="N2" s="1" t="s">
        <v>60</v>
      </c>
      <c r="O2" s="1">
        <v>20250601</v>
      </c>
      <c r="P2" s="1">
        <v>20250604</v>
      </c>
      <c r="Q2" s="1">
        <v>11.4</v>
      </c>
      <c r="R2" s="1">
        <v>11.4</v>
      </c>
      <c r="S2" s="1">
        <v>0.91</v>
      </c>
      <c r="T2" s="1">
        <v>8</v>
      </c>
      <c r="U2" s="1" t="s">
        <v>212</v>
      </c>
    </row>
    <row r="3" spans="1:21" x14ac:dyDescent="0.25">
      <c r="A3" s="1" t="s">
        <v>51</v>
      </c>
      <c r="B3" s="1" t="s">
        <v>52</v>
      </c>
      <c r="C3" s="1" t="str">
        <f t="shared" ref="C3:C31" si="0">CONCATENATE(B3, " ",A3)</f>
        <v>Adam Richter</v>
      </c>
      <c r="D3" s="1">
        <v>9079571</v>
      </c>
      <c r="E3" s="1">
        <v>441848447</v>
      </c>
      <c r="F3" s="1">
        <v>20230301</v>
      </c>
      <c r="G3" s="1" t="str">
        <f t="shared" ref="G3:G31" si="1">TEXT(DATE(LEFT(F3,4), MID(F3,5,2), RIGHT(F3,2)), "M/d/yyyy")</f>
        <v>3/1/2023</v>
      </c>
      <c r="H3" s="1">
        <v>3</v>
      </c>
      <c r="I3" s="1" t="s">
        <v>65</v>
      </c>
      <c r="J3" s="1" t="s">
        <v>66</v>
      </c>
      <c r="K3" s="1" t="s">
        <v>67</v>
      </c>
      <c r="L3" s="1" t="str">
        <f t="shared" ref="L3:L31" si="2">CONCATENATE(J3, " ",K3)</f>
        <v>ZEV SHEPPARD</v>
      </c>
      <c r="M3" s="1" t="s">
        <v>59</v>
      </c>
      <c r="N3" s="1" t="s">
        <v>60</v>
      </c>
      <c r="O3" s="1">
        <v>20250601</v>
      </c>
      <c r="P3" s="1">
        <v>20250604</v>
      </c>
      <c r="Q3" s="1">
        <v>10.4</v>
      </c>
      <c r="R3" s="1">
        <v>10.4</v>
      </c>
      <c r="S3" s="1">
        <v>0.42</v>
      </c>
      <c r="T3" s="1">
        <v>4</v>
      </c>
      <c r="U3" s="1" t="s">
        <v>213</v>
      </c>
    </row>
    <row r="4" spans="1:21" x14ac:dyDescent="0.25">
      <c r="A4" s="1" t="s">
        <v>51</v>
      </c>
      <c r="B4" s="1" t="s">
        <v>52</v>
      </c>
      <c r="C4" s="1" t="str">
        <f t="shared" si="0"/>
        <v>Adam Richter</v>
      </c>
      <c r="D4" s="1">
        <v>9079571</v>
      </c>
      <c r="E4" s="1">
        <v>441861055</v>
      </c>
      <c r="F4" s="1">
        <v>20230401</v>
      </c>
      <c r="G4" s="1" t="str">
        <f t="shared" si="1"/>
        <v>4/1/2023</v>
      </c>
      <c r="H4" s="1">
        <v>3</v>
      </c>
      <c r="I4" s="1" t="s">
        <v>65</v>
      </c>
      <c r="J4" s="1" t="s">
        <v>70</v>
      </c>
      <c r="K4" s="1" t="s">
        <v>71</v>
      </c>
      <c r="L4" s="1" t="str">
        <f t="shared" si="2"/>
        <v>KEVIN KITCHEN</v>
      </c>
      <c r="M4" s="1" t="s">
        <v>59</v>
      </c>
      <c r="N4" s="1" t="s">
        <v>60</v>
      </c>
      <c r="O4" s="1">
        <v>20250601</v>
      </c>
      <c r="P4" s="1">
        <v>20250604</v>
      </c>
      <c r="Q4" s="1">
        <v>10.4</v>
      </c>
      <c r="R4" s="1">
        <v>10.4</v>
      </c>
      <c r="S4" s="1">
        <v>0.42</v>
      </c>
      <c r="T4" s="1">
        <v>4</v>
      </c>
      <c r="U4" s="1" t="s">
        <v>213</v>
      </c>
    </row>
    <row r="5" spans="1:21" x14ac:dyDescent="0.25">
      <c r="A5" s="1" t="s">
        <v>51</v>
      </c>
      <c r="B5" s="1" t="s">
        <v>52</v>
      </c>
      <c r="C5" s="1" t="str">
        <f t="shared" si="0"/>
        <v>Adam Richter</v>
      </c>
      <c r="D5" s="1">
        <v>9079571</v>
      </c>
      <c r="E5" s="1">
        <v>441874278</v>
      </c>
      <c r="F5" s="1">
        <v>20230401</v>
      </c>
      <c r="G5" s="1" t="str">
        <f t="shared" si="1"/>
        <v>4/1/2023</v>
      </c>
      <c r="H5" s="1">
        <v>3</v>
      </c>
      <c r="I5" s="1" t="s">
        <v>65</v>
      </c>
      <c r="J5" s="1" t="s">
        <v>74</v>
      </c>
      <c r="K5" s="1" t="s">
        <v>75</v>
      </c>
      <c r="L5" s="1" t="str">
        <f t="shared" si="2"/>
        <v>NEAL KIRSCH</v>
      </c>
      <c r="M5" s="1" t="s">
        <v>59</v>
      </c>
      <c r="N5" s="1" t="s">
        <v>60</v>
      </c>
      <c r="O5" s="1">
        <v>20250601</v>
      </c>
      <c r="P5" s="1">
        <v>20250604</v>
      </c>
      <c r="Q5" s="1">
        <v>17</v>
      </c>
      <c r="R5" s="1">
        <v>17</v>
      </c>
      <c r="S5" s="1">
        <v>0.68</v>
      </c>
      <c r="T5" s="1">
        <v>4</v>
      </c>
      <c r="U5" s="1" t="s">
        <v>213</v>
      </c>
    </row>
    <row r="6" spans="1:21" x14ac:dyDescent="0.25">
      <c r="A6" s="1" t="s">
        <v>51</v>
      </c>
      <c r="B6" s="1" t="s">
        <v>52</v>
      </c>
      <c r="C6" s="1" t="str">
        <f t="shared" si="0"/>
        <v>Adam Richter</v>
      </c>
      <c r="D6" s="1">
        <v>9079571</v>
      </c>
      <c r="E6" s="1">
        <v>441934655</v>
      </c>
      <c r="F6" s="1">
        <v>20230501</v>
      </c>
      <c r="G6" s="1" t="str">
        <f t="shared" si="1"/>
        <v>5/1/2023</v>
      </c>
      <c r="H6" s="1">
        <v>3</v>
      </c>
      <c r="I6" s="1" t="s">
        <v>65</v>
      </c>
      <c r="J6" s="1" t="s">
        <v>78</v>
      </c>
      <c r="K6" s="1" t="s">
        <v>79</v>
      </c>
      <c r="L6" s="1" t="str">
        <f t="shared" si="2"/>
        <v>MOBOLAJI FOWOSE</v>
      </c>
      <c r="M6" s="1" t="s">
        <v>59</v>
      </c>
      <c r="N6" s="1" t="s">
        <v>60</v>
      </c>
      <c r="O6" s="1">
        <v>20250601</v>
      </c>
      <c r="P6" s="1">
        <v>20250604</v>
      </c>
      <c r="Q6" s="1">
        <v>10.4</v>
      </c>
      <c r="R6" s="1">
        <v>10.4</v>
      </c>
      <c r="S6" s="1">
        <v>0.42</v>
      </c>
      <c r="T6" s="1">
        <v>4</v>
      </c>
      <c r="U6" s="1" t="s">
        <v>213</v>
      </c>
    </row>
    <row r="7" spans="1:21" x14ac:dyDescent="0.25">
      <c r="A7" s="1" t="s">
        <v>51</v>
      </c>
      <c r="B7" s="1" t="s">
        <v>52</v>
      </c>
      <c r="C7" s="1" t="str">
        <f t="shared" si="0"/>
        <v>Adam Richter</v>
      </c>
      <c r="D7" s="1">
        <v>9079571</v>
      </c>
      <c r="E7" s="1">
        <v>441951697</v>
      </c>
      <c r="F7" s="1">
        <v>20230502</v>
      </c>
      <c r="G7" s="1" t="str">
        <f t="shared" si="1"/>
        <v>5/2/2023</v>
      </c>
      <c r="H7" s="1">
        <v>3</v>
      </c>
      <c r="I7" s="1" t="s">
        <v>65</v>
      </c>
      <c r="J7" s="1" t="s">
        <v>82</v>
      </c>
      <c r="K7" s="1" t="s">
        <v>83</v>
      </c>
      <c r="L7" s="1" t="str">
        <f t="shared" si="2"/>
        <v>KAREN FRITZ</v>
      </c>
      <c r="M7" s="1" t="s">
        <v>59</v>
      </c>
      <c r="N7" s="1" t="s">
        <v>60</v>
      </c>
      <c r="O7" s="1">
        <v>20250601</v>
      </c>
      <c r="P7" s="1">
        <v>20250604</v>
      </c>
      <c r="Q7" s="1">
        <v>10.4</v>
      </c>
      <c r="R7" s="1">
        <v>10.4</v>
      </c>
      <c r="S7" s="1">
        <v>0.42</v>
      </c>
      <c r="T7" s="1">
        <v>4</v>
      </c>
      <c r="U7" s="1" t="s">
        <v>213</v>
      </c>
    </row>
    <row r="8" spans="1:21" x14ac:dyDescent="0.25">
      <c r="A8" s="1" t="s">
        <v>124</v>
      </c>
      <c r="B8" s="1" t="s">
        <v>125</v>
      </c>
      <c r="C8" s="1" t="str">
        <f t="shared" si="0"/>
        <v>Jason Hoffmann</v>
      </c>
      <c r="D8" s="1">
        <v>15278437</v>
      </c>
      <c r="E8" s="1">
        <v>442249622</v>
      </c>
      <c r="F8" s="1">
        <v>20231103</v>
      </c>
      <c r="G8" s="1" t="str">
        <f t="shared" si="1"/>
        <v>11/3/2023</v>
      </c>
      <c r="H8" s="1">
        <v>2</v>
      </c>
      <c r="I8" s="1" t="s">
        <v>127</v>
      </c>
      <c r="J8" s="1" t="s">
        <v>128</v>
      </c>
      <c r="K8" s="1" t="s">
        <v>129</v>
      </c>
      <c r="L8" s="1" t="str">
        <f t="shared" si="2"/>
        <v>DOUGLAS GEISSINGER</v>
      </c>
      <c r="M8" s="1" t="s">
        <v>123</v>
      </c>
      <c r="N8" s="1" t="s">
        <v>115</v>
      </c>
      <c r="O8" s="1">
        <v>20250601</v>
      </c>
      <c r="P8" s="1">
        <v>20250605</v>
      </c>
      <c r="Q8" s="1">
        <v>21.81</v>
      </c>
      <c r="R8" s="1">
        <v>21.81</v>
      </c>
      <c r="S8" s="1">
        <v>0.87</v>
      </c>
      <c r="T8" s="1">
        <v>4</v>
      </c>
      <c r="U8" s="1" t="s">
        <v>208</v>
      </c>
    </row>
    <row r="9" spans="1:21" x14ac:dyDescent="0.25">
      <c r="A9" s="1" t="s">
        <v>185</v>
      </c>
      <c r="B9" s="1" t="s">
        <v>186</v>
      </c>
      <c r="C9" s="1" t="str">
        <f t="shared" si="0"/>
        <v>Thomas Kucan</v>
      </c>
      <c r="D9" s="1">
        <v>16202925</v>
      </c>
      <c r="E9" s="1">
        <v>442385061</v>
      </c>
      <c r="F9" s="1">
        <v>20240101</v>
      </c>
      <c r="G9" s="1" t="str">
        <f t="shared" si="1"/>
        <v>1/1/2024</v>
      </c>
      <c r="H9" s="1">
        <v>2</v>
      </c>
      <c r="I9" s="1" t="s">
        <v>65</v>
      </c>
      <c r="J9" s="1" t="s">
        <v>188</v>
      </c>
      <c r="K9" s="1" t="s">
        <v>189</v>
      </c>
      <c r="L9" s="1" t="str">
        <f t="shared" si="2"/>
        <v>ASHLEY SOUBIE</v>
      </c>
      <c r="M9" s="1" t="s">
        <v>121</v>
      </c>
      <c r="N9" s="1" t="s">
        <v>122</v>
      </c>
      <c r="O9" s="1">
        <v>20250601</v>
      </c>
      <c r="P9" s="1">
        <v>20250604</v>
      </c>
      <c r="Q9" s="1">
        <v>26.04</v>
      </c>
      <c r="R9" s="1">
        <v>26.04</v>
      </c>
      <c r="S9" s="1">
        <v>2.08</v>
      </c>
      <c r="T9" s="1">
        <v>8</v>
      </c>
      <c r="U9" s="1" t="s">
        <v>205</v>
      </c>
    </row>
    <row r="10" spans="1:21" x14ac:dyDescent="0.25">
      <c r="A10" s="1" t="s">
        <v>185</v>
      </c>
      <c r="B10" s="1" t="s">
        <v>186</v>
      </c>
      <c r="C10" s="1" t="str">
        <f t="shared" si="0"/>
        <v>Thomas Kucan</v>
      </c>
      <c r="D10" s="1">
        <v>16202925</v>
      </c>
      <c r="E10" s="1">
        <v>442385060</v>
      </c>
      <c r="F10" s="1">
        <v>20240101</v>
      </c>
      <c r="G10" s="1" t="str">
        <f t="shared" si="1"/>
        <v>1/1/2024</v>
      </c>
      <c r="H10" s="1">
        <v>2</v>
      </c>
      <c r="I10" s="1" t="s">
        <v>65</v>
      </c>
      <c r="J10" s="1" t="s">
        <v>188</v>
      </c>
      <c r="K10" s="1" t="s">
        <v>189</v>
      </c>
      <c r="L10" s="1" t="str">
        <f t="shared" si="2"/>
        <v>ASHLEY SOUBIE</v>
      </c>
      <c r="M10" s="1" t="s">
        <v>123</v>
      </c>
      <c r="N10" s="1" t="s">
        <v>115</v>
      </c>
      <c r="O10" s="1">
        <v>20250601</v>
      </c>
      <c r="P10" s="1">
        <v>20250604</v>
      </c>
      <c r="Q10" s="1">
        <v>36.130000000000003</v>
      </c>
      <c r="R10" s="1">
        <v>36.130000000000003</v>
      </c>
      <c r="S10" s="1">
        <v>1.45</v>
      </c>
      <c r="T10" s="1">
        <v>4</v>
      </c>
      <c r="U10" s="1" t="s">
        <v>210</v>
      </c>
    </row>
    <row r="11" spans="1:21" x14ac:dyDescent="0.25">
      <c r="A11" s="1" t="s">
        <v>185</v>
      </c>
      <c r="B11" s="1" t="s">
        <v>186</v>
      </c>
      <c r="C11" s="1" t="str">
        <f t="shared" si="0"/>
        <v>Thomas Kucan</v>
      </c>
      <c r="D11" s="1">
        <v>16202925</v>
      </c>
      <c r="E11" s="1">
        <v>442602708</v>
      </c>
      <c r="F11" s="1">
        <v>20240501</v>
      </c>
      <c r="G11" s="1" t="str">
        <f t="shared" si="1"/>
        <v>5/1/2024</v>
      </c>
      <c r="H11" s="1">
        <v>2</v>
      </c>
      <c r="I11" s="1" t="s">
        <v>65</v>
      </c>
      <c r="J11" s="1" t="s">
        <v>192</v>
      </c>
      <c r="K11" s="1" t="s">
        <v>193</v>
      </c>
      <c r="L11" s="1" t="str">
        <f t="shared" si="2"/>
        <v>FREDERICK HUTCHINSON</v>
      </c>
      <c r="M11" s="1" t="s">
        <v>197</v>
      </c>
      <c r="N11" s="1" t="s">
        <v>198</v>
      </c>
      <c r="O11" s="1">
        <v>20250601</v>
      </c>
      <c r="P11" s="1">
        <v>20250604</v>
      </c>
      <c r="Q11" s="1">
        <v>42.59</v>
      </c>
      <c r="R11" s="1">
        <v>42.59</v>
      </c>
      <c r="S11" s="1">
        <v>2.98</v>
      </c>
      <c r="T11" s="1">
        <v>7</v>
      </c>
      <c r="U11" s="1" t="s">
        <v>211</v>
      </c>
    </row>
    <row r="12" spans="1:21" x14ac:dyDescent="0.25">
      <c r="A12" s="1" t="s">
        <v>185</v>
      </c>
      <c r="B12" s="1" t="s">
        <v>186</v>
      </c>
      <c r="C12" s="1" t="str">
        <f t="shared" si="0"/>
        <v>Thomas Kucan</v>
      </c>
      <c r="D12" s="1">
        <v>16202925</v>
      </c>
      <c r="E12" s="1">
        <v>442649730</v>
      </c>
      <c r="F12" s="1">
        <v>20240601</v>
      </c>
      <c r="G12" s="1" t="str">
        <f t="shared" si="1"/>
        <v>6/1/2024</v>
      </c>
      <c r="H12" s="1">
        <v>2</v>
      </c>
      <c r="I12" s="1" t="s">
        <v>65</v>
      </c>
      <c r="J12" s="1" t="s">
        <v>199</v>
      </c>
      <c r="K12" s="1" t="s">
        <v>200</v>
      </c>
      <c r="L12" s="1" t="str">
        <f t="shared" si="2"/>
        <v>ALEXIS DUKE</v>
      </c>
      <c r="M12" s="1" t="s">
        <v>204</v>
      </c>
      <c r="N12" s="1" t="s">
        <v>198</v>
      </c>
      <c r="O12" s="1">
        <v>20250601</v>
      </c>
      <c r="P12" s="1">
        <v>20250604</v>
      </c>
      <c r="Q12" s="1">
        <v>111.57</v>
      </c>
      <c r="R12" s="1">
        <v>111.57</v>
      </c>
      <c r="S12" s="1">
        <v>7.81</v>
      </c>
      <c r="T12" s="1">
        <v>7</v>
      </c>
      <c r="U12" s="1" t="s">
        <v>211</v>
      </c>
    </row>
    <row r="13" spans="1:21" x14ac:dyDescent="0.25">
      <c r="A13" s="1" t="s">
        <v>185</v>
      </c>
      <c r="B13" s="1" t="s">
        <v>186</v>
      </c>
      <c r="C13" s="1" t="str">
        <f t="shared" si="0"/>
        <v>Thomas Kucan</v>
      </c>
      <c r="D13" s="1">
        <v>16202925</v>
      </c>
      <c r="E13" s="1">
        <v>442385059</v>
      </c>
      <c r="F13" s="1">
        <v>20240101</v>
      </c>
      <c r="G13" s="1" t="str">
        <f t="shared" si="1"/>
        <v>1/1/2024</v>
      </c>
      <c r="H13" s="1">
        <v>2</v>
      </c>
      <c r="I13" s="1" t="s">
        <v>65</v>
      </c>
      <c r="J13" s="1" t="s">
        <v>188</v>
      </c>
      <c r="K13" s="1" t="s">
        <v>189</v>
      </c>
      <c r="L13" s="1" t="str">
        <f t="shared" si="2"/>
        <v>ASHLEY SOUBIE</v>
      </c>
      <c r="M13" s="1" t="s">
        <v>59</v>
      </c>
      <c r="N13" s="1" t="s">
        <v>60</v>
      </c>
      <c r="O13" s="1">
        <v>20250601</v>
      </c>
      <c r="P13" s="1">
        <v>20250604</v>
      </c>
      <c r="Q13" s="1">
        <v>10.4</v>
      </c>
      <c r="R13" s="1">
        <v>10.4</v>
      </c>
      <c r="S13" s="1">
        <v>0.42</v>
      </c>
      <c r="T13" s="1">
        <v>4</v>
      </c>
      <c r="U13" s="1" t="s">
        <v>213</v>
      </c>
    </row>
    <row r="14" spans="1:21" x14ac:dyDescent="0.25">
      <c r="A14" s="1" t="s">
        <v>51</v>
      </c>
      <c r="B14" s="1" t="s">
        <v>160</v>
      </c>
      <c r="C14" s="1" t="str">
        <f t="shared" si="0"/>
        <v>Peter Richter</v>
      </c>
      <c r="D14" s="1">
        <v>16509456</v>
      </c>
      <c r="E14" s="1">
        <v>441991771</v>
      </c>
      <c r="F14" s="1">
        <v>20230601</v>
      </c>
      <c r="G14" s="1" t="str">
        <f t="shared" si="1"/>
        <v>6/1/2023</v>
      </c>
      <c r="H14" s="1">
        <v>3</v>
      </c>
      <c r="I14" s="1" t="s">
        <v>89</v>
      </c>
      <c r="J14" s="1" t="s">
        <v>167</v>
      </c>
      <c r="K14" s="1" t="s">
        <v>168</v>
      </c>
      <c r="L14" s="1" t="str">
        <f t="shared" si="2"/>
        <v>LINDA DEANTONIO</v>
      </c>
      <c r="M14" s="1" t="s">
        <v>174</v>
      </c>
      <c r="N14" s="1" t="s">
        <v>115</v>
      </c>
      <c r="O14" s="1">
        <v>20250601</v>
      </c>
      <c r="P14" s="1">
        <v>20250604</v>
      </c>
      <c r="Q14" s="1">
        <v>72.19</v>
      </c>
      <c r="R14" s="1">
        <v>72.19</v>
      </c>
      <c r="S14" s="1">
        <v>3.61</v>
      </c>
      <c r="T14" s="1">
        <v>5</v>
      </c>
      <c r="U14" s="1" t="s">
        <v>207</v>
      </c>
    </row>
    <row r="15" spans="1:21" x14ac:dyDescent="0.25">
      <c r="A15" s="1" t="s">
        <v>51</v>
      </c>
      <c r="B15" s="1" t="s">
        <v>160</v>
      </c>
      <c r="C15" s="1" t="str">
        <f t="shared" si="0"/>
        <v>Peter Richter</v>
      </c>
      <c r="D15" s="1">
        <v>16509456</v>
      </c>
      <c r="E15" s="1">
        <v>441862448</v>
      </c>
      <c r="F15" s="1">
        <v>20230401</v>
      </c>
      <c r="G15" s="1" t="str">
        <f t="shared" si="1"/>
        <v>4/1/2023</v>
      </c>
      <c r="H15" s="1">
        <v>3</v>
      </c>
      <c r="I15" s="1" t="s">
        <v>89</v>
      </c>
      <c r="J15" s="1" t="s">
        <v>162</v>
      </c>
      <c r="K15" s="1" t="s">
        <v>163</v>
      </c>
      <c r="L15" s="1" t="str">
        <f t="shared" si="2"/>
        <v>MARC FOX</v>
      </c>
      <c r="M15" s="1" t="s">
        <v>114</v>
      </c>
      <c r="N15" s="1" t="s">
        <v>115</v>
      </c>
      <c r="O15" s="1">
        <v>20250601</v>
      </c>
      <c r="P15" s="1">
        <v>20250604</v>
      </c>
      <c r="Q15" s="1">
        <v>45.49</v>
      </c>
      <c r="R15" s="1">
        <v>45.49</v>
      </c>
      <c r="S15" s="1">
        <v>1.82</v>
      </c>
      <c r="T15" s="1">
        <v>4</v>
      </c>
      <c r="U15" s="1" t="s">
        <v>208</v>
      </c>
    </row>
    <row r="16" spans="1:21" x14ac:dyDescent="0.25">
      <c r="A16" s="1" t="s">
        <v>51</v>
      </c>
      <c r="B16" s="1" t="s">
        <v>160</v>
      </c>
      <c r="C16" s="1" t="str">
        <f t="shared" si="0"/>
        <v>Peter Richter</v>
      </c>
      <c r="D16" s="1">
        <v>16509456</v>
      </c>
      <c r="E16" s="1">
        <v>442096371</v>
      </c>
      <c r="F16" s="1">
        <v>20230801</v>
      </c>
      <c r="G16" s="1" t="str">
        <f t="shared" si="1"/>
        <v>8/1/2023</v>
      </c>
      <c r="H16" s="1">
        <v>2</v>
      </c>
      <c r="I16" s="1" t="s">
        <v>65</v>
      </c>
      <c r="J16" s="1" t="s">
        <v>175</v>
      </c>
      <c r="K16" s="1" t="s">
        <v>176</v>
      </c>
      <c r="L16" s="1" t="str">
        <f t="shared" si="2"/>
        <v>MARTHA ACEROS MENDEZ</v>
      </c>
      <c r="M16" s="1" t="s">
        <v>59</v>
      </c>
      <c r="N16" s="1" t="s">
        <v>60</v>
      </c>
      <c r="O16" s="1">
        <v>20250601</v>
      </c>
      <c r="P16" s="1">
        <v>20250604</v>
      </c>
      <c r="Q16" s="1">
        <v>10.4</v>
      </c>
      <c r="R16" s="1">
        <v>10.4</v>
      </c>
      <c r="S16" s="1">
        <v>0.42</v>
      </c>
      <c r="T16" s="1">
        <v>4</v>
      </c>
      <c r="U16" s="1" t="s">
        <v>213</v>
      </c>
    </row>
    <row r="17" spans="1:21" x14ac:dyDescent="0.25">
      <c r="A17" s="1" t="s">
        <v>51</v>
      </c>
      <c r="B17" s="1" t="s">
        <v>160</v>
      </c>
      <c r="C17" s="1" t="str">
        <f t="shared" si="0"/>
        <v>Peter Richter</v>
      </c>
      <c r="D17" s="1">
        <v>16509456</v>
      </c>
      <c r="E17" s="1">
        <v>442580059</v>
      </c>
      <c r="F17" s="1">
        <v>20240401</v>
      </c>
      <c r="G17" s="1" t="str">
        <f t="shared" si="1"/>
        <v>4/1/2024</v>
      </c>
      <c r="H17" s="1">
        <v>2</v>
      </c>
      <c r="I17" s="1" t="s">
        <v>65</v>
      </c>
      <c r="J17" s="1" t="s">
        <v>179</v>
      </c>
      <c r="K17" s="1" t="s">
        <v>180</v>
      </c>
      <c r="L17" s="1" t="str">
        <f t="shared" si="2"/>
        <v>AMY RYZENGA</v>
      </c>
      <c r="M17" s="1" t="s">
        <v>183</v>
      </c>
      <c r="N17" s="1" t="s">
        <v>184</v>
      </c>
      <c r="O17" s="1">
        <v>20250601</v>
      </c>
      <c r="P17" s="1">
        <v>20250604</v>
      </c>
      <c r="Q17" s="1">
        <v>13.28</v>
      </c>
      <c r="R17" s="1">
        <v>13.28</v>
      </c>
      <c r="S17" s="1">
        <v>0.93</v>
      </c>
      <c r="T17" s="1">
        <v>7</v>
      </c>
      <c r="U17" s="1" t="s">
        <v>211</v>
      </c>
    </row>
    <row r="18" spans="1:21" x14ac:dyDescent="0.25">
      <c r="A18" s="1" t="s">
        <v>86</v>
      </c>
      <c r="B18" s="1" t="s">
        <v>87</v>
      </c>
      <c r="C18" s="1" t="str">
        <f t="shared" si="0"/>
        <v>Carol Foley</v>
      </c>
      <c r="D18" s="1" t="s">
        <v>214</v>
      </c>
      <c r="E18" s="1">
        <v>442268083</v>
      </c>
      <c r="F18" s="1">
        <v>20231201</v>
      </c>
      <c r="G18" s="1" t="str">
        <f t="shared" si="1"/>
        <v>12/1/2023</v>
      </c>
      <c r="H18" s="1">
        <v>2</v>
      </c>
      <c r="I18" s="1" t="s">
        <v>108</v>
      </c>
      <c r="J18" s="1" t="s">
        <v>116</v>
      </c>
      <c r="K18" s="1" t="s">
        <v>117</v>
      </c>
      <c r="L18" s="1" t="str">
        <f t="shared" si="2"/>
        <v>SCOTT SHEAR</v>
      </c>
      <c r="M18" s="1" t="s">
        <v>121</v>
      </c>
      <c r="N18" s="1" t="s">
        <v>122</v>
      </c>
      <c r="O18" s="1">
        <v>20250601</v>
      </c>
      <c r="P18" s="1">
        <v>20250604</v>
      </c>
      <c r="Q18" s="1">
        <v>52.1</v>
      </c>
      <c r="R18" s="1">
        <v>52.1</v>
      </c>
      <c r="S18" s="1">
        <v>4.17</v>
      </c>
      <c r="T18" s="1">
        <v>8</v>
      </c>
      <c r="U18" s="1" t="s">
        <v>205</v>
      </c>
    </row>
    <row r="19" spans="1:21" x14ac:dyDescent="0.25">
      <c r="A19" s="1" t="s">
        <v>86</v>
      </c>
      <c r="B19" s="1" t="s">
        <v>87</v>
      </c>
      <c r="C19" s="1" t="str">
        <f t="shared" si="0"/>
        <v>Carol Foley</v>
      </c>
      <c r="D19" s="1" t="s">
        <v>214</v>
      </c>
      <c r="E19" s="1">
        <v>441952843</v>
      </c>
      <c r="F19" s="1">
        <v>20230503</v>
      </c>
      <c r="G19" s="1" t="str">
        <f t="shared" si="1"/>
        <v>5/3/2023</v>
      </c>
      <c r="H19" s="1">
        <v>3</v>
      </c>
      <c r="I19" s="1" t="s">
        <v>89</v>
      </c>
      <c r="J19" s="1" t="s">
        <v>98</v>
      </c>
      <c r="K19" s="1" t="s">
        <v>99</v>
      </c>
      <c r="L19" s="1" t="str">
        <f t="shared" si="2"/>
        <v>MARIA QUIC CAXAJ</v>
      </c>
      <c r="M19" s="1" t="s">
        <v>102</v>
      </c>
      <c r="N19" s="1" t="s">
        <v>103</v>
      </c>
      <c r="O19" s="1">
        <v>20250601</v>
      </c>
      <c r="P19" s="1">
        <v>20250605</v>
      </c>
      <c r="Q19" s="1">
        <v>62.58</v>
      </c>
      <c r="R19" s="1">
        <v>62.58</v>
      </c>
      <c r="S19" s="1">
        <v>3.13</v>
      </c>
      <c r="T19" s="1">
        <v>5</v>
      </c>
      <c r="U19" s="1" t="s">
        <v>206</v>
      </c>
    </row>
    <row r="20" spans="1:21" x14ac:dyDescent="0.25">
      <c r="A20" s="1" t="s">
        <v>86</v>
      </c>
      <c r="B20" s="1" t="s">
        <v>87</v>
      </c>
      <c r="C20" s="1" t="str">
        <f t="shared" si="0"/>
        <v>Carol Foley</v>
      </c>
      <c r="D20" s="1" t="s">
        <v>214</v>
      </c>
      <c r="E20" s="1">
        <v>442047054</v>
      </c>
      <c r="F20" s="1">
        <v>20230701</v>
      </c>
      <c r="G20" s="1" t="str">
        <f t="shared" si="1"/>
        <v>7/1/2023</v>
      </c>
      <c r="H20" s="1">
        <v>2</v>
      </c>
      <c r="I20" s="1" t="s">
        <v>108</v>
      </c>
      <c r="J20" s="1" t="s">
        <v>109</v>
      </c>
      <c r="K20" s="1" t="s">
        <v>110</v>
      </c>
      <c r="L20" s="1" t="str">
        <f t="shared" si="2"/>
        <v>KELLIE CURRY</v>
      </c>
      <c r="M20" s="1" t="s">
        <v>114</v>
      </c>
      <c r="N20" s="1" t="s">
        <v>115</v>
      </c>
      <c r="O20" s="1">
        <v>20250601</v>
      </c>
      <c r="P20" s="1">
        <v>20250604</v>
      </c>
      <c r="Q20" s="1">
        <v>37.340000000000003</v>
      </c>
      <c r="R20" s="1">
        <v>37.340000000000003</v>
      </c>
      <c r="S20" s="1">
        <v>1.49</v>
      </c>
      <c r="T20" s="1">
        <v>4</v>
      </c>
      <c r="U20" s="1" t="s">
        <v>208</v>
      </c>
    </row>
    <row r="21" spans="1:21" x14ac:dyDescent="0.25">
      <c r="A21" s="1" t="s">
        <v>86</v>
      </c>
      <c r="B21" s="1" t="s">
        <v>87</v>
      </c>
      <c r="C21" s="1" t="str">
        <f t="shared" si="0"/>
        <v>Carol Foley</v>
      </c>
      <c r="D21" s="1" t="s">
        <v>214</v>
      </c>
      <c r="E21" s="1">
        <v>442268078</v>
      </c>
      <c r="F21" s="1">
        <v>20231201</v>
      </c>
      <c r="G21" s="1" t="str">
        <f t="shared" si="1"/>
        <v>12/1/2023</v>
      </c>
      <c r="H21" s="1">
        <v>2</v>
      </c>
      <c r="I21" s="1" t="s">
        <v>108</v>
      </c>
      <c r="J21" s="1" t="s">
        <v>116</v>
      </c>
      <c r="K21" s="1" t="s">
        <v>117</v>
      </c>
      <c r="L21" s="1" t="str">
        <f t="shared" si="2"/>
        <v>SCOTT SHEAR</v>
      </c>
      <c r="M21" s="1" t="s">
        <v>123</v>
      </c>
      <c r="N21" s="1" t="s">
        <v>115</v>
      </c>
      <c r="O21" s="1">
        <v>20250601</v>
      </c>
      <c r="P21" s="1">
        <v>20250604</v>
      </c>
      <c r="Q21" s="1">
        <v>110.44</v>
      </c>
      <c r="R21" s="1">
        <v>110.44</v>
      </c>
      <c r="S21" s="1">
        <v>4.42</v>
      </c>
      <c r="T21" s="1">
        <v>4</v>
      </c>
      <c r="U21" s="1" t="s">
        <v>208</v>
      </c>
    </row>
    <row r="22" spans="1:21" x14ac:dyDescent="0.25">
      <c r="A22" s="1" t="s">
        <v>86</v>
      </c>
      <c r="B22" s="1" t="s">
        <v>87</v>
      </c>
      <c r="C22" s="1" t="str">
        <f t="shared" si="0"/>
        <v>Carol Foley</v>
      </c>
      <c r="D22" s="1" t="s">
        <v>214</v>
      </c>
      <c r="E22" s="1">
        <v>441726411</v>
      </c>
      <c r="F22" s="1">
        <v>20230101</v>
      </c>
      <c r="G22" s="1" t="str">
        <f t="shared" si="1"/>
        <v>1/1/2023</v>
      </c>
      <c r="H22" s="1">
        <v>3</v>
      </c>
      <c r="I22" s="1" t="s">
        <v>89</v>
      </c>
      <c r="J22" s="1" t="s">
        <v>90</v>
      </c>
      <c r="K22" s="1" t="s">
        <v>91</v>
      </c>
      <c r="L22" s="1" t="str">
        <f t="shared" si="2"/>
        <v>VINCENT IDEO</v>
      </c>
      <c r="M22" s="1" t="s">
        <v>59</v>
      </c>
      <c r="N22" s="1" t="s">
        <v>60</v>
      </c>
      <c r="O22" s="1">
        <v>20250601</v>
      </c>
      <c r="P22" s="1">
        <v>20250604</v>
      </c>
      <c r="Q22" s="1">
        <v>11.4</v>
      </c>
      <c r="R22" s="1">
        <v>11.4</v>
      </c>
      <c r="S22" s="1">
        <v>0.91</v>
      </c>
      <c r="T22" s="1">
        <v>8</v>
      </c>
      <c r="U22" s="1" t="s">
        <v>212</v>
      </c>
    </row>
    <row r="23" spans="1:21" x14ac:dyDescent="0.25">
      <c r="A23" s="1" t="s">
        <v>86</v>
      </c>
      <c r="B23" s="1" t="s">
        <v>87</v>
      </c>
      <c r="C23" s="1" t="str">
        <f t="shared" si="0"/>
        <v>Carol Foley</v>
      </c>
      <c r="D23" s="1" t="s">
        <v>214</v>
      </c>
      <c r="E23" s="1">
        <v>441853073</v>
      </c>
      <c r="F23" s="1">
        <v>20230302</v>
      </c>
      <c r="G23" s="1" t="str">
        <f t="shared" si="1"/>
        <v>3/2/2023</v>
      </c>
      <c r="H23" s="1">
        <v>3</v>
      </c>
      <c r="I23" s="1" t="s">
        <v>89</v>
      </c>
      <c r="J23" s="1" t="s">
        <v>94</v>
      </c>
      <c r="K23" s="1" t="s">
        <v>95</v>
      </c>
      <c r="L23" s="1" t="str">
        <f t="shared" si="2"/>
        <v>JEREMY WORKMAN</v>
      </c>
      <c r="M23" s="1" t="s">
        <v>59</v>
      </c>
      <c r="N23" s="1" t="s">
        <v>60</v>
      </c>
      <c r="O23" s="1">
        <v>20250601</v>
      </c>
      <c r="P23" s="1">
        <v>20250604</v>
      </c>
      <c r="Q23" s="1">
        <v>11.4</v>
      </c>
      <c r="R23" s="1">
        <v>11.4</v>
      </c>
      <c r="S23" s="1">
        <v>0.91</v>
      </c>
      <c r="T23" s="1">
        <v>8</v>
      </c>
      <c r="U23" s="1" t="s">
        <v>212</v>
      </c>
    </row>
    <row r="24" spans="1:21" x14ac:dyDescent="0.25">
      <c r="A24" s="1" t="s">
        <v>86</v>
      </c>
      <c r="B24" s="1" t="s">
        <v>87</v>
      </c>
      <c r="C24" s="1" t="str">
        <f t="shared" si="0"/>
        <v>Carol Foley</v>
      </c>
      <c r="D24" s="1" t="s">
        <v>214</v>
      </c>
      <c r="E24" s="1">
        <v>441913483</v>
      </c>
      <c r="F24" s="1">
        <v>20230601</v>
      </c>
      <c r="G24" s="1" t="str">
        <f t="shared" si="1"/>
        <v>6/1/2023</v>
      </c>
      <c r="H24" s="1">
        <v>3</v>
      </c>
      <c r="I24" s="1" t="s">
        <v>89</v>
      </c>
      <c r="J24" s="1" t="s">
        <v>104</v>
      </c>
      <c r="K24" s="1" t="s">
        <v>105</v>
      </c>
      <c r="L24" s="1" t="str">
        <f t="shared" si="2"/>
        <v>HOWARD MAISENHELDER</v>
      </c>
      <c r="M24" s="1" t="s">
        <v>59</v>
      </c>
      <c r="N24" s="1" t="s">
        <v>60</v>
      </c>
      <c r="O24" s="1">
        <v>20250601</v>
      </c>
      <c r="P24" s="1">
        <v>20250604</v>
      </c>
      <c r="Q24" s="1">
        <v>11.4</v>
      </c>
      <c r="R24" s="1">
        <v>11.4</v>
      </c>
      <c r="S24" s="1">
        <v>0.91</v>
      </c>
      <c r="T24" s="1">
        <v>8</v>
      </c>
      <c r="U24" s="1" t="s">
        <v>212</v>
      </c>
    </row>
    <row r="25" spans="1:21" x14ac:dyDescent="0.25">
      <c r="A25" s="1" t="s">
        <v>86</v>
      </c>
      <c r="B25" s="1" t="s">
        <v>87</v>
      </c>
      <c r="C25" s="1" t="str">
        <f t="shared" si="0"/>
        <v>Carol Foley</v>
      </c>
      <c r="D25" s="1" t="s">
        <v>214</v>
      </c>
      <c r="E25" s="1">
        <v>442268077</v>
      </c>
      <c r="F25" s="1">
        <v>20231201</v>
      </c>
      <c r="G25" s="1" t="str">
        <f t="shared" si="1"/>
        <v>12/1/2023</v>
      </c>
      <c r="H25" s="1">
        <v>2</v>
      </c>
      <c r="I25" s="1" t="s">
        <v>108</v>
      </c>
      <c r="J25" s="1" t="s">
        <v>116</v>
      </c>
      <c r="K25" s="1" t="s">
        <v>117</v>
      </c>
      <c r="L25" s="1" t="str">
        <f t="shared" si="2"/>
        <v>SCOTT SHEAR</v>
      </c>
      <c r="M25" s="1" t="s">
        <v>59</v>
      </c>
      <c r="N25" s="1" t="s">
        <v>60</v>
      </c>
      <c r="O25" s="1">
        <v>20250601</v>
      </c>
      <c r="P25" s="1">
        <v>20250604</v>
      </c>
      <c r="Q25" s="1">
        <v>36.799999999999997</v>
      </c>
      <c r="R25" s="1">
        <v>36.799999999999997</v>
      </c>
      <c r="S25" s="1">
        <v>1.47</v>
      </c>
      <c r="T25" s="1">
        <v>4</v>
      </c>
      <c r="U25" s="1" t="s">
        <v>213</v>
      </c>
    </row>
    <row r="26" spans="1:21" x14ac:dyDescent="0.25">
      <c r="A26" s="1" t="s">
        <v>133</v>
      </c>
      <c r="B26" s="1" t="s">
        <v>134</v>
      </c>
      <c r="C26" s="1" t="str">
        <f t="shared" si="0"/>
        <v>Laurie Casta</v>
      </c>
      <c r="D26" s="1">
        <v>20697692</v>
      </c>
      <c r="E26" s="1">
        <v>442190945</v>
      </c>
      <c r="F26" s="1">
        <v>20231001</v>
      </c>
      <c r="G26" s="1" t="str">
        <f t="shared" si="1"/>
        <v>10/1/2023</v>
      </c>
      <c r="H26" s="1">
        <v>2</v>
      </c>
      <c r="I26" s="1" t="s">
        <v>65</v>
      </c>
      <c r="J26" s="1" t="s">
        <v>144</v>
      </c>
      <c r="K26" s="1" t="s">
        <v>145</v>
      </c>
      <c r="L26" s="1" t="str">
        <f t="shared" si="2"/>
        <v>ELIZABETH WELLER</v>
      </c>
      <c r="M26" s="1" t="s">
        <v>123</v>
      </c>
      <c r="N26" s="1" t="s">
        <v>115</v>
      </c>
      <c r="O26" s="1">
        <v>20250601</v>
      </c>
      <c r="P26" s="1">
        <v>20250604</v>
      </c>
      <c r="Q26" s="1">
        <v>60.14</v>
      </c>
      <c r="R26" s="1">
        <v>60.14</v>
      </c>
      <c r="S26" s="1">
        <v>6.01</v>
      </c>
      <c r="T26" s="1">
        <v>10</v>
      </c>
      <c r="U26" s="1" t="s">
        <v>209</v>
      </c>
    </row>
    <row r="27" spans="1:21" x14ac:dyDescent="0.25">
      <c r="A27" s="1" t="s">
        <v>133</v>
      </c>
      <c r="B27" s="1" t="s">
        <v>134</v>
      </c>
      <c r="C27" s="1" t="str">
        <f t="shared" si="0"/>
        <v>Laurie Casta</v>
      </c>
      <c r="D27" s="1">
        <v>20697692</v>
      </c>
      <c r="E27" s="1">
        <v>442037493</v>
      </c>
      <c r="F27" s="1">
        <v>20230701</v>
      </c>
      <c r="G27" s="1" t="str">
        <f t="shared" si="1"/>
        <v>7/1/2023</v>
      </c>
      <c r="H27" s="1">
        <v>2</v>
      </c>
      <c r="I27" s="1" t="s">
        <v>65</v>
      </c>
      <c r="J27" s="1" t="s">
        <v>136</v>
      </c>
      <c r="K27" s="1" t="s">
        <v>137</v>
      </c>
      <c r="L27" s="1" t="str">
        <f t="shared" si="2"/>
        <v>JOHN SONGER</v>
      </c>
      <c r="M27" s="1" t="s">
        <v>59</v>
      </c>
      <c r="N27" s="1" t="s">
        <v>60</v>
      </c>
      <c r="O27" s="1">
        <v>20250601</v>
      </c>
      <c r="P27" s="1">
        <v>20250604</v>
      </c>
      <c r="Q27" s="1">
        <v>17</v>
      </c>
      <c r="R27" s="1">
        <v>17</v>
      </c>
      <c r="S27" s="1">
        <v>0.68</v>
      </c>
      <c r="T27" s="1">
        <v>4</v>
      </c>
      <c r="U27" s="1" t="s">
        <v>213</v>
      </c>
    </row>
    <row r="28" spans="1:21" x14ac:dyDescent="0.25">
      <c r="A28" s="1" t="s">
        <v>133</v>
      </c>
      <c r="B28" s="1" t="s">
        <v>134</v>
      </c>
      <c r="C28" s="1" t="str">
        <f t="shared" si="0"/>
        <v>Laurie Casta</v>
      </c>
      <c r="D28" s="1">
        <v>20697692</v>
      </c>
      <c r="E28" s="1">
        <v>442099791</v>
      </c>
      <c r="F28" s="1">
        <v>20230803</v>
      </c>
      <c r="G28" s="1" t="str">
        <f t="shared" si="1"/>
        <v>8/3/2023</v>
      </c>
      <c r="H28" s="1">
        <v>2</v>
      </c>
      <c r="I28" s="1" t="s">
        <v>65</v>
      </c>
      <c r="J28" s="1" t="s">
        <v>140</v>
      </c>
      <c r="K28" s="1" t="s">
        <v>141</v>
      </c>
      <c r="L28" s="1" t="str">
        <f t="shared" si="2"/>
        <v>CASSANDRA KRAHAM</v>
      </c>
      <c r="M28" s="1" t="s">
        <v>59</v>
      </c>
      <c r="N28" s="1" t="s">
        <v>60</v>
      </c>
      <c r="O28" s="1">
        <v>20250601</v>
      </c>
      <c r="P28" s="1">
        <v>20250605</v>
      </c>
      <c r="Q28" s="1">
        <v>10.4</v>
      </c>
      <c r="R28" s="1">
        <v>10.4</v>
      </c>
      <c r="S28" s="1">
        <v>0.42</v>
      </c>
      <c r="T28" s="1">
        <v>4</v>
      </c>
      <c r="U28" s="1" t="s">
        <v>213</v>
      </c>
    </row>
    <row r="29" spans="1:21" x14ac:dyDescent="0.25">
      <c r="A29" s="1" t="s">
        <v>133</v>
      </c>
      <c r="B29" s="1" t="s">
        <v>134</v>
      </c>
      <c r="C29" s="1" t="str">
        <f t="shared" si="0"/>
        <v>Laurie Casta</v>
      </c>
      <c r="D29" s="1">
        <v>20697692</v>
      </c>
      <c r="E29" s="1">
        <v>442236865</v>
      </c>
      <c r="F29" s="1">
        <v>20231101</v>
      </c>
      <c r="G29" s="1" t="str">
        <f t="shared" si="1"/>
        <v>11/1/2023</v>
      </c>
      <c r="H29" s="1">
        <v>2</v>
      </c>
      <c r="I29" s="1" t="s">
        <v>65</v>
      </c>
      <c r="J29" s="1" t="s">
        <v>149</v>
      </c>
      <c r="K29" s="1" t="s">
        <v>150</v>
      </c>
      <c r="L29" s="1" t="str">
        <f t="shared" si="2"/>
        <v>MICHAEL ARRICH</v>
      </c>
      <c r="M29" s="1" t="s">
        <v>59</v>
      </c>
      <c r="N29" s="1" t="s">
        <v>60</v>
      </c>
      <c r="O29" s="1">
        <v>20250601</v>
      </c>
      <c r="P29" s="1">
        <v>20250604</v>
      </c>
      <c r="Q29" s="1">
        <v>17</v>
      </c>
      <c r="R29" s="1">
        <v>17</v>
      </c>
      <c r="S29" s="1">
        <v>0.68</v>
      </c>
      <c r="T29" s="1">
        <v>4</v>
      </c>
      <c r="U29" s="1" t="s">
        <v>213</v>
      </c>
    </row>
    <row r="30" spans="1:21" x14ac:dyDescent="0.25">
      <c r="A30" s="1" t="s">
        <v>133</v>
      </c>
      <c r="B30" s="1" t="s">
        <v>134</v>
      </c>
      <c r="C30" s="1" t="str">
        <f t="shared" si="0"/>
        <v>Laurie Casta</v>
      </c>
      <c r="D30" s="1">
        <v>20697692</v>
      </c>
      <c r="E30" s="1">
        <v>442249792</v>
      </c>
      <c r="F30" s="1">
        <v>20231103</v>
      </c>
      <c r="G30" s="1" t="str">
        <f t="shared" si="1"/>
        <v>11/3/2023</v>
      </c>
      <c r="H30" s="1">
        <v>2</v>
      </c>
      <c r="I30" s="1" t="s">
        <v>65</v>
      </c>
      <c r="J30" s="1" t="s">
        <v>152</v>
      </c>
      <c r="K30" s="1" t="s">
        <v>153</v>
      </c>
      <c r="L30" s="1" t="str">
        <f t="shared" si="2"/>
        <v>DEBRA BECK</v>
      </c>
      <c r="M30" s="1" t="s">
        <v>59</v>
      </c>
      <c r="N30" s="1" t="s">
        <v>60</v>
      </c>
      <c r="O30" s="1">
        <v>20250601</v>
      </c>
      <c r="P30" s="1">
        <v>20250605</v>
      </c>
      <c r="Q30" s="1">
        <v>10.4</v>
      </c>
      <c r="R30" s="1">
        <v>10.4</v>
      </c>
      <c r="S30" s="1">
        <v>0.42</v>
      </c>
      <c r="T30" s="1">
        <v>4</v>
      </c>
      <c r="U30" s="1" t="s">
        <v>213</v>
      </c>
    </row>
    <row r="31" spans="1:21" x14ac:dyDescent="0.25">
      <c r="A31" s="1" t="s">
        <v>133</v>
      </c>
      <c r="B31" s="1" t="s">
        <v>134</v>
      </c>
      <c r="C31" s="1" t="str">
        <f t="shared" si="0"/>
        <v>Laurie Casta</v>
      </c>
      <c r="D31" s="1">
        <v>20697692</v>
      </c>
      <c r="E31" s="1">
        <v>442288978</v>
      </c>
      <c r="F31" s="1">
        <v>20240101</v>
      </c>
      <c r="G31" s="1" t="str">
        <f t="shared" si="1"/>
        <v>1/1/2024</v>
      </c>
      <c r="H31" s="1">
        <v>2</v>
      </c>
      <c r="I31" s="1" t="s">
        <v>65</v>
      </c>
      <c r="J31" s="1" t="s">
        <v>156</v>
      </c>
      <c r="K31" s="1" t="s">
        <v>157</v>
      </c>
      <c r="L31" s="1" t="str">
        <f t="shared" si="2"/>
        <v>ANN DELLARCO</v>
      </c>
      <c r="M31" s="1" t="s">
        <v>59</v>
      </c>
      <c r="N31" s="1" t="s">
        <v>60</v>
      </c>
      <c r="O31" s="1">
        <v>20250601</v>
      </c>
      <c r="P31" s="1">
        <v>20250604</v>
      </c>
      <c r="Q31" s="1">
        <v>10.4</v>
      </c>
      <c r="R31" s="1">
        <v>10.4</v>
      </c>
      <c r="S31" s="1">
        <v>0.42</v>
      </c>
      <c r="T31" s="1">
        <v>4</v>
      </c>
      <c r="U31" s="1" t="s">
        <v>213</v>
      </c>
    </row>
  </sheetData>
  <sortState xmlns:xlrd2="http://schemas.microsoft.com/office/spreadsheetml/2017/richdata2" ref="A2:AY31">
    <sortCondition ref="D2:D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2025-06-12T17:48:20Z</dcterms:created>
  <dcterms:modified xsi:type="dcterms:W3CDTF">2025-06-17T18:59:54Z</dcterms:modified>
</cp:coreProperties>
</file>