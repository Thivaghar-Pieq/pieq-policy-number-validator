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05-15-25\"/>
    </mc:Choice>
  </mc:AlternateContent>
  <xr:revisionPtr revIDLastSave="0" documentId="13_ncr:9_{92773A76-8E93-40C8-9FC7-CDB2D7E4585A}" xr6:coauthVersionLast="47" xr6:coauthVersionMax="47" xr10:uidLastSave="{00000000-0000-0000-0000-000000000000}"/>
  <bookViews>
    <workbookView xWindow="28680" yWindow="-120" windowWidth="29040" windowHeight="16440" activeTab="1" xr2:uid="{438478D5-00D5-4F1D-BBFF-909A08F8A638}"/>
  </bookViews>
  <sheets>
    <sheet name="CommissionStatement_AA5418109_2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2" i="2"/>
  <c r="G3" i="2"/>
  <c r="G4" i="2"/>
  <c r="G5" i="2"/>
  <c r="G6" i="2"/>
  <c r="G7" i="2"/>
  <c r="G8" i="2"/>
  <c r="G9" i="2"/>
  <c r="G10" i="2"/>
  <c r="G11" i="2"/>
  <c r="G12" i="2"/>
  <c r="G2" i="2"/>
  <c r="K3" i="2"/>
  <c r="K4" i="2"/>
  <c r="K5" i="2"/>
  <c r="K6" i="2"/>
  <c r="K7" i="2"/>
  <c r="K8" i="2"/>
  <c r="K9" i="2"/>
  <c r="K10" i="2"/>
  <c r="K11" i="2"/>
  <c r="K12" i="2"/>
  <c r="K2" i="2"/>
  <c r="C3" i="2"/>
  <c r="C4" i="2"/>
  <c r="C5" i="2"/>
  <c r="C6" i="2"/>
  <c r="C7" i="2"/>
  <c r="C8" i="2"/>
  <c r="C9" i="2"/>
  <c r="C10" i="2"/>
  <c r="C11" i="2"/>
  <c r="C12" i="2"/>
  <c r="C2" i="2"/>
</calcChain>
</file>

<file path=xl/sharedStrings.xml><?xml version="1.0" encoding="utf-8"?>
<sst xmlns="http://schemas.openxmlformats.org/spreadsheetml/2006/main" count="390" uniqueCount="135">
  <si>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</si>
  <si>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</si>
  <si>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</si>
  <si>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</si>
  <si>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</si>
  <si>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</si>
  <si>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</si>
  <si>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</si>
  <si>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</si>
  <si>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</si>
  <si>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</si>
  <si>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</si>
  <si>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</si>
  <si>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</si>
  <si>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</si>
  <si>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</si>
  <si>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</si>
  <si>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</si>
  <si>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</si>
  <si>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</si>
  <si>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</si>
  <si>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</si>
  <si>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</si>
  <si>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</si>
  <si>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</si>
  <si>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</si>
  <si>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</si>
  <si>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</si>
  <si>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</si>
  <si>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</si>
  <si>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</si>
  <si>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</si>
  <si>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</si>
  <si>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</si>
  <si>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</si>
  <si>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</si>
  <si>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</si>
  <si>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</si>
  <si>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</si>
  <si>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</si>
  <si>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</si>
  <si>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</si>
  <si>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</si>
  <si>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</si>
  <si>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</si>
  <si>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</si>
  <si>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</si>
  <si>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</si>
  <si>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</si>
  <si>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</si>
  <si>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</si>
  <si>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</si>
  <si>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</si>
  <si>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</si>
  <si>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MD</t>
  </si>
  <si>
    <t>DENNIS</t>
  </si>
  <si>
    <t>BLOMME</t>
  </si>
  <si>
    <t>14825 Sapling Way</t>
  </si>
  <si>
    <t>Glenelg</t>
  </si>
  <si>
    <t>3012751037 EXT.</t>
  </si>
  <si>
    <t>Dental Gen</t>
  </si>
  <si>
    <t>Dental Base Coverage</t>
  </si>
  <si>
    <t>Monthly</t>
  </si>
  <si>
    <t>R</t>
  </si>
  <si>
    <t>N</t>
  </si>
  <si>
    <t>COMM</t>
  </si>
  <si>
    <t>Foley</t>
  </si>
  <si>
    <t>Carol</t>
  </si>
  <si>
    <t>XXX-XX-1245</t>
  </si>
  <si>
    <t>PA</t>
  </si>
  <si>
    <t>ANDREW</t>
  </si>
  <si>
    <t>FLEMING</t>
  </si>
  <si>
    <t>1087 Ebelhare Rd</t>
  </si>
  <si>
    <t>Pottstown</t>
  </si>
  <si>
    <t>Vision</t>
  </si>
  <si>
    <t>Vision Stand Alone Base Coverage</t>
  </si>
  <si>
    <t>ANNA</t>
  </si>
  <si>
    <t>CABOT</t>
  </si>
  <si>
    <t>1849 N Valley Rd</t>
  </si>
  <si>
    <t>Malvern</t>
  </si>
  <si>
    <t>Lemon</t>
  </si>
  <si>
    <t>Cathy</t>
  </si>
  <si>
    <t>XXX-XX-9298</t>
  </si>
  <si>
    <t>HELENE</t>
  </si>
  <si>
    <t>MOUDIO</t>
  </si>
  <si>
    <t>3904 Noyes Cir Apt 103</t>
  </si>
  <si>
    <t>Randallstown</t>
  </si>
  <si>
    <t>2023202556 EXT.</t>
  </si>
  <si>
    <t>DentalWise Max 3000</t>
  </si>
  <si>
    <t>DentalWise Base</t>
  </si>
  <si>
    <t>Caltagirone</t>
  </si>
  <si>
    <t>Katelenn</t>
  </si>
  <si>
    <t>XXX-XX-0852</t>
  </si>
  <si>
    <t>SC</t>
  </si>
  <si>
    <t>TIMOTHY</t>
  </si>
  <si>
    <t>WASSELL</t>
  </si>
  <si>
    <t>150 Ireland Dr</t>
  </si>
  <si>
    <t>North</t>
  </si>
  <si>
    <t>New Benefits Base</t>
  </si>
  <si>
    <t>New Benefits Base Coverage</t>
  </si>
  <si>
    <t>Peter</t>
  </si>
  <si>
    <t>XXX-XX-8611</t>
  </si>
  <si>
    <t>KEVIN</t>
  </si>
  <si>
    <t>MILLER</t>
  </si>
  <si>
    <t>819 W 34th St</t>
  </si>
  <si>
    <t>Baltimore</t>
  </si>
  <si>
    <t>VisionWise Premier</t>
  </si>
  <si>
    <t>VisionWise Base</t>
  </si>
  <si>
    <t>MARYURI</t>
  </si>
  <si>
    <t>MEMBRENO NAVAS</t>
  </si>
  <si>
    <t>7527 Cypress Ave</t>
  </si>
  <si>
    <t>Aguglia</t>
  </si>
  <si>
    <t>Scott</t>
  </si>
  <si>
    <t>XXX-XX-0970</t>
  </si>
  <si>
    <t>MARK</t>
  </si>
  <si>
    <t>FARIS</t>
  </si>
  <si>
    <t>7517 National Pike</t>
  </si>
  <si>
    <t>Uniontown</t>
  </si>
  <si>
    <t>Kucan</t>
  </si>
  <si>
    <t>Thomas</t>
  </si>
  <si>
    <t>XXX-XX-4686</t>
  </si>
  <si>
    <t>TOUSSANT</t>
  </si>
  <si>
    <t>MCKENZIE</t>
  </si>
  <si>
    <t>1719 Wadsworth Way</t>
  </si>
  <si>
    <t>Hosp Guard GI</t>
  </si>
  <si>
    <t>Ancillary Base</t>
  </si>
  <si>
    <t>4102946300 EXT.</t>
  </si>
  <si>
    <t>Dental Premier</t>
  </si>
  <si>
    <t>Uhone Dental Gen</t>
  </si>
  <si>
    <t>Uhone Vision</t>
  </si>
  <si>
    <t>Uhone DentalWise 1000, 2000 (all states except CO, FL, NM, NV, RI, SD, WA) 18-64</t>
  </si>
  <si>
    <t>Uhone Guard Plan</t>
  </si>
  <si>
    <t>Uhone New Benefits Base</t>
  </si>
  <si>
    <t>Uhone Dental Premier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</si>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</sst>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F66D-4810-48C3-AB98-214979E80E74}">
  <dimension ref="A1:AV12"/>
  <sheetViews>
    <sheetView topLeftCell="T1" workbookViewId="0">
      <selection activeCell="T1" sqref="A1:XFD1048576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20250530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441983893</v>
      </c>
      <c r="L2">
        <v>20230523</v>
      </c>
      <c r="M2">
        <v>20230522</v>
      </c>
      <c r="O2">
        <v>3</v>
      </c>
      <c r="P2">
        <v>66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21737</v>
      </c>
      <c r="AC2" t="s">
        <v>59</v>
      </c>
      <c r="AE2" t="s">
        <v>60</v>
      </c>
      <c r="AF2" t="s">
        <v>61</v>
      </c>
      <c r="AG2" t="s">
        <v>62</v>
      </c>
      <c r="AH2" t="s">
        <v>63</v>
      </c>
      <c r="AI2">
        <v>20250524</v>
      </c>
      <c r="AJ2" t="s">
        <v>64</v>
      </c>
      <c r="AK2" t="s">
        <v>64</v>
      </c>
      <c r="AL2">
        <v>2</v>
      </c>
      <c r="AM2">
        <v>20250510</v>
      </c>
      <c r="AN2">
        <v>41.29</v>
      </c>
      <c r="AO2">
        <v>41.29</v>
      </c>
      <c r="AP2" t="s">
        <v>64</v>
      </c>
      <c r="AS2">
        <v>100</v>
      </c>
      <c r="AT2">
        <v>2.06</v>
      </c>
      <c r="AU2">
        <v>5</v>
      </c>
      <c r="AV2" t="s">
        <v>65</v>
      </c>
    </row>
    <row r="3" spans="1:48" x14ac:dyDescent="0.25">
      <c r="A3" t="s">
        <v>48</v>
      </c>
      <c r="B3">
        <v>20250530</v>
      </c>
      <c r="C3" t="s">
        <v>49</v>
      </c>
      <c r="D3">
        <v>0</v>
      </c>
      <c r="E3">
        <v>20411454</v>
      </c>
      <c r="F3" t="s">
        <v>50</v>
      </c>
      <c r="G3" t="s">
        <v>51</v>
      </c>
      <c r="H3" t="s">
        <v>52</v>
      </c>
      <c r="I3" t="s">
        <v>53</v>
      </c>
      <c r="J3">
        <v>9079571</v>
      </c>
      <c r="K3">
        <v>441983893</v>
      </c>
      <c r="L3">
        <v>20230523</v>
      </c>
      <c r="M3">
        <v>20230522</v>
      </c>
      <c r="O3">
        <v>2</v>
      </c>
      <c r="P3">
        <v>66</v>
      </c>
      <c r="Q3" t="s">
        <v>54</v>
      </c>
      <c r="R3" t="s">
        <v>54</v>
      </c>
      <c r="S3" t="s">
        <v>55</v>
      </c>
      <c r="U3" t="s">
        <v>56</v>
      </c>
      <c r="W3" t="s">
        <v>57</v>
      </c>
      <c r="Z3" t="s">
        <v>58</v>
      </c>
      <c r="AA3" t="s">
        <v>54</v>
      </c>
      <c r="AB3">
        <v>21737</v>
      </c>
      <c r="AC3" t="s">
        <v>59</v>
      </c>
      <c r="AE3" t="s">
        <v>60</v>
      </c>
      <c r="AF3" t="s">
        <v>61</v>
      </c>
      <c r="AG3" t="s">
        <v>62</v>
      </c>
      <c r="AH3" t="s">
        <v>63</v>
      </c>
      <c r="AI3">
        <v>20250501</v>
      </c>
      <c r="AJ3" t="s">
        <v>64</v>
      </c>
      <c r="AK3" t="s">
        <v>64</v>
      </c>
      <c r="AL3">
        <v>2</v>
      </c>
      <c r="AM3">
        <v>20250510</v>
      </c>
      <c r="AN3">
        <v>100.94</v>
      </c>
      <c r="AO3">
        <v>100.94</v>
      </c>
      <c r="AP3" t="s">
        <v>64</v>
      </c>
      <c r="AS3">
        <v>100</v>
      </c>
      <c r="AT3">
        <v>5.05</v>
      </c>
      <c r="AU3">
        <v>5</v>
      </c>
      <c r="AV3" t="s">
        <v>65</v>
      </c>
    </row>
    <row r="4" spans="1:48" x14ac:dyDescent="0.25">
      <c r="A4" t="s">
        <v>48</v>
      </c>
      <c r="B4">
        <v>20250530</v>
      </c>
      <c r="C4" t="s">
        <v>49</v>
      </c>
      <c r="D4">
        <v>0</v>
      </c>
      <c r="E4">
        <v>20411454</v>
      </c>
      <c r="F4" t="s">
        <v>50</v>
      </c>
      <c r="G4" t="s">
        <v>66</v>
      </c>
      <c r="H4" t="s">
        <v>67</v>
      </c>
      <c r="I4" t="s">
        <v>68</v>
      </c>
      <c r="J4">
        <v>17425766</v>
      </c>
      <c r="K4">
        <v>442238637</v>
      </c>
      <c r="L4">
        <v>20231031</v>
      </c>
      <c r="M4">
        <v>20231030</v>
      </c>
      <c r="O4">
        <v>2</v>
      </c>
      <c r="P4">
        <v>35</v>
      </c>
      <c r="Q4" t="s">
        <v>69</v>
      </c>
      <c r="R4" t="s">
        <v>69</v>
      </c>
      <c r="S4" t="s">
        <v>70</v>
      </c>
      <c r="U4" t="s">
        <v>71</v>
      </c>
      <c r="W4" t="s">
        <v>72</v>
      </c>
      <c r="Z4" t="s">
        <v>73</v>
      </c>
      <c r="AA4" t="s">
        <v>69</v>
      </c>
      <c r="AB4">
        <v>19465</v>
      </c>
      <c r="AE4" t="s">
        <v>74</v>
      </c>
      <c r="AF4" t="s">
        <v>75</v>
      </c>
      <c r="AG4" t="s">
        <v>62</v>
      </c>
      <c r="AH4" t="s">
        <v>63</v>
      </c>
      <c r="AI4">
        <v>20250501</v>
      </c>
      <c r="AJ4" t="s">
        <v>64</v>
      </c>
      <c r="AK4" t="s">
        <v>64</v>
      </c>
      <c r="AL4">
        <v>1</v>
      </c>
      <c r="AM4">
        <v>20250514</v>
      </c>
      <c r="AN4">
        <v>11.4</v>
      </c>
      <c r="AO4">
        <v>11.4</v>
      </c>
      <c r="AP4" t="s">
        <v>64</v>
      </c>
      <c r="AS4">
        <v>100</v>
      </c>
      <c r="AT4">
        <v>0.91</v>
      </c>
      <c r="AU4">
        <v>8</v>
      </c>
      <c r="AV4" t="s">
        <v>65</v>
      </c>
    </row>
    <row r="5" spans="1:48" x14ac:dyDescent="0.25">
      <c r="A5" t="s">
        <v>48</v>
      </c>
      <c r="B5">
        <v>20250530</v>
      </c>
      <c r="C5" t="s">
        <v>49</v>
      </c>
      <c r="D5">
        <v>0</v>
      </c>
      <c r="E5">
        <v>20411454</v>
      </c>
      <c r="F5" t="s">
        <v>50</v>
      </c>
      <c r="G5" t="s">
        <v>66</v>
      </c>
      <c r="H5" t="s">
        <v>67</v>
      </c>
      <c r="I5" t="s">
        <v>68</v>
      </c>
      <c r="J5">
        <v>17425766</v>
      </c>
      <c r="K5">
        <v>442293037</v>
      </c>
      <c r="L5">
        <v>20231121</v>
      </c>
      <c r="M5">
        <v>20231120</v>
      </c>
      <c r="O5">
        <v>2</v>
      </c>
      <c r="P5">
        <v>58</v>
      </c>
      <c r="Q5" t="s">
        <v>69</v>
      </c>
      <c r="R5" t="s">
        <v>69</v>
      </c>
      <c r="S5" t="s">
        <v>76</v>
      </c>
      <c r="U5" t="s">
        <v>77</v>
      </c>
      <c r="W5" t="s">
        <v>78</v>
      </c>
      <c r="Z5" t="s">
        <v>79</v>
      </c>
      <c r="AA5" t="s">
        <v>69</v>
      </c>
      <c r="AB5">
        <v>19355</v>
      </c>
      <c r="AE5" t="s">
        <v>74</v>
      </c>
      <c r="AF5" t="s">
        <v>75</v>
      </c>
      <c r="AG5" t="s">
        <v>62</v>
      </c>
      <c r="AH5" t="s">
        <v>63</v>
      </c>
      <c r="AI5">
        <v>20250501</v>
      </c>
      <c r="AJ5" t="s">
        <v>64</v>
      </c>
      <c r="AK5" t="s">
        <v>64</v>
      </c>
      <c r="AL5">
        <v>1</v>
      </c>
      <c r="AM5">
        <v>20250509</v>
      </c>
      <c r="AN5">
        <v>11.4</v>
      </c>
      <c r="AO5">
        <v>11.4</v>
      </c>
      <c r="AP5" t="s">
        <v>64</v>
      </c>
      <c r="AS5">
        <v>100</v>
      </c>
      <c r="AT5">
        <v>0.91</v>
      </c>
      <c r="AU5">
        <v>8</v>
      </c>
      <c r="AV5" t="s">
        <v>65</v>
      </c>
    </row>
    <row r="6" spans="1:48" x14ac:dyDescent="0.25">
      <c r="A6" t="s">
        <v>48</v>
      </c>
      <c r="B6">
        <v>20250530</v>
      </c>
      <c r="C6" t="s">
        <v>49</v>
      </c>
      <c r="D6">
        <v>0</v>
      </c>
      <c r="E6">
        <v>20411454</v>
      </c>
      <c r="F6" t="s">
        <v>50</v>
      </c>
      <c r="G6" t="s">
        <v>80</v>
      </c>
      <c r="H6" t="s">
        <v>81</v>
      </c>
      <c r="I6" t="s">
        <v>82</v>
      </c>
      <c r="J6">
        <v>17195620</v>
      </c>
      <c r="K6">
        <v>442624391</v>
      </c>
      <c r="L6">
        <v>20240424</v>
      </c>
      <c r="M6">
        <v>20240423</v>
      </c>
      <c r="O6">
        <v>2</v>
      </c>
      <c r="P6">
        <v>40</v>
      </c>
      <c r="Q6" t="s">
        <v>54</v>
      </c>
      <c r="R6" t="s">
        <v>54</v>
      </c>
      <c r="S6" t="s">
        <v>83</v>
      </c>
      <c r="U6" t="s">
        <v>84</v>
      </c>
      <c r="W6" t="s">
        <v>85</v>
      </c>
      <c r="Z6" t="s">
        <v>86</v>
      </c>
      <c r="AA6" t="s">
        <v>54</v>
      </c>
      <c r="AB6">
        <v>21133</v>
      </c>
      <c r="AC6" t="s">
        <v>87</v>
      </c>
      <c r="AE6" t="s">
        <v>88</v>
      </c>
      <c r="AF6" t="s">
        <v>89</v>
      </c>
      <c r="AG6" t="s">
        <v>62</v>
      </c>
      <c r="AH6" t="s">
        <v>63</v>
      </c>
      <c r="AI6">
        <v>20250501</v>
      </c>
      <c r="AJ6" t="s">
        <v>64</v>
      </c>
      <c r="AK6" t="s">
        <v>64</v>
      </c>
      <c r="AL6">
        <v>1</v>
      </c>
      <c r="AM6">
        <v>20250510</v>
      </c>
      <c r="AN6">
        <v>55.3</v>
      </c>
      <c r="AO6">
        <v>55.3</v>
      </c>
      <c r="AP6" t="s">
        <v>64</v>
      </c>
      <c r="AS6">
        <v>100</v>
      </c>
      <c r="AT6">
        <v>3.87</v>
      </c>
      <c r="AU6">
        <v>7</v>
      </c>
      <c r="AV6" t="s">
        <v>65</v>
      </c>
    </row>
    <row r="7" spans="1:48" x14ac:dyDescent="0.25">
      <c r="A7" t="s">
        <v>48</v>
      </c>
      <c r="B7">
        <v>20250530</v>
      </c>
      <c r="C7" t="s">
        <v>49</v>
      </c>
      <c r="D7">
        <v>0</v>
      </c>
      <c r="E7">
        <v>20411454</v>
      </c>
      <c r="F7" t="s">
        <v>50</v>
      </c>
      <c r="G7" t="s">
        <v>90</v>
      </c>
      <c r="H7" t="s">
        <v>91</v>
      </c>
      <c r="I7" t="s">
        <v>92</v>
      </c>
      <c r="J7">
        <v>20436896</v>
      </c>
      <c r="K7">
        <v>441769366</v>
      </c>
      <c r="L7">
        <v>20230124</v>
      </c>
      <c r="M7">
        <v>20230113</v>
      </c>
      <c r="O7">
        <v>3</v>
      </c>
      <c r="P7">
        <v>53</v>
      </c>
      <c r="Q7" t="s">
        <v>93</v>
      </c>
      <c r="R7" t="s">
        <v>93</v>
      </c>
      <c r="S7" t="s">
        <v>94</v>
      </c>
      <c r="U7" t="s">
        <v>95</v>
      </c>
      <c r="W7" t="s">
        <v>96</v>
      </c>
      <c r="Z7" t="s">
        <v>97</v>
      </c>
      <c r="AA7" t="s">
        <v>93</v>
      </c>
      <c r="AB7">
        <v>29112</v>
      </c>
      <c r="AE7" t="s">
        <v>98</v>
      </c>
      <c r="AF7" t="s">
        <v>99</v>
      </c>
      <c r="AG7" t="s">
        <v>62</v>
      </c>
      <c r="AH7" t="s">
        <v>63</v>
      </c>
      <c r="AI7">
        <v>20250501</v>
      </c>
      <c r="AJ7" t="s">
        <v>64</v>
      </c>
      <c r="AK7" t="s">
        <v>64</v>
      </c>
      <c r="AL7">
        <v>1</v>
      </c>
      <c r="AM7">
        <v>20250510</v>
      </c>
      <c r="AN7">
        <v>25</v>
      </c>
      <c r="AO7">
        <v>25</v>
      </c>
      <c r="AP7" t="s">
        <v>64</v>
      </c>
      <c r="AS7">
        <v>100</v>
      </c>
      <c r="AT7">
        <v>5</v>
      </c>
      <c r="AU7">
        <v>20</v>
      </c>
      <c r="AV7" t="s">
        <v>65</v>
      </c>
    </row>
    <row r="8" spans="1:48" x14ac:dyDescent="0.25">
      <c r="A8" t="s">
        <v>48</v>
      </c>
      <c r="B8">
        <v>20250530</v>
      </c>
      <c r="C8" t="s">
        <v>49</v>
      </c>
      <c r="D8">
        <v>2</v>
      </c>
      <c r="E8">
        <v>20411454</v>
      </c>
      <c r="F8" t="s">
        <v>50</v>
      </c>
      <c r="G8" t="s">
        <v>51</v>
      </c>
      <c r="H8" t="s">
        <v>100</v>
      </c>
      <c r="I8" t="s">
        <v>101</v>
      </c>
      <c r="J8">
        <v>16509456</v>
      </c>
      <c r="K8">
        <v>442505686</v>
      </c>
      <c r="L8">
        <v>20240222</v>
      </c>
      <c r="M8">
        <v>20240221</v>
      </c>
      <c r="O8">
        <v>2</v>
      </c>
      <c r="P8">
        <v>55</v>
      </c>
      <c r="Q8" t="s">
        <v>54</v>
      </c>
      <c r="R8" t="s">
        <v>54</v>
      </c>
      <c r="S8" t="s">
        <v>102</v>
      </c>
      <c r="U8" t="s">
        <v>103</v>
      </c>
      <c r="W8" t="s">
        <v>104</v>
      </c>
      <c r="Z8" t="s">
        <v>105</v>
      </c>
      <c r="AA8" t="s">
        <v>54</v>
      </c>
      <c r="AB8">
        <v>21211</v>
      </c>
      <c r="AE8" t="s">
        <v>106</v>
      </c>
      <c r="AF8" t="s">
        <v>107</v>
      </c>
      <c r="AG8" t="s">
        <v>62</v>
      </c>
      <c r="AH8" t="s">
        <v>63</v>
      </c>
      <c r="AI8">
        <v>20250501</v>
      </c>
      <c r="AJ8" t="s">
        <v>64</v>
      </c>
      <c r="AK8" t="s">
        <v>64</v>
      </c>
      <c r="AL8">
        <v>1</v>
      </c>
      <c r="AM8">
        <v>20250510</v>
      </c>
      <c r="AN8">
        <v>13.28</v>
      </c>
      <c r="AO8">
        <v>13.28</v>
      </c>
      <c r="AP8" t="s">
        <v>64</v>
      </c>
      <c r="AS8">
        <v>100</v>
      </c>
      <c r="AT8">
        <v>0.93</v>
      </c>
      <c r="AU8">
        <v>7</v>
      </c>
      <c r="AV8" t="s">
        <v>65</v>
      </c>
    </row>
    <row r="9" spans="1:48" x14ac:dyDescent="0.25">
      <c r="A9" t="s">
        <v>48</v>
      </c>
      <c r="B9">
        <v>20250530</v>
      </c>
      <c r="C9" t="s">
        <v>49</v>
      </c>
      <c r="D9">
        <v>2</v>
      </c>
      <c r="E9">
        <v>20411454</v>
      </c>
      <c r="F9" t="s">
        <v>50</v>
      </c>
      <c r="G9" t="s">
        <v>51</v>
      </c>
      <c r="H9" t="s">
        <v>100</v>
      </c>
      <c r="I9" t="s">
        <v>101</v>
      </c>
      <c r="J9">
        <v>16509456</v>
      </c>
      <c r="K9">
        <v>442508319</v>
      </c>
      <c r="L9">
        <v>20240223</v>
      </c>
      <c r="M9">
        <v>20240222</v>
      </c>
      <c r="O9">
        <v>2</v>
      </c>
      <c r="P9">
        <v>22</v>
      </c>
      <c r="Q9" t="s">
        <v>54</v>
      </c>
      <c r="R9" t="s">
        <v>54</v>
      </c>
      <c r="S9" t="s">
        <v>108</v>
      </c>
      <c r="U9" t="s">
        <v>109</v>
      </c>
      <c r="W9" t="s">
        <v>110</v>
      </c>
      <c r="Z9" t="s">
        <v>105</v>
      </c>
      <c r="AA9" t="s">
        <v>54</v>
      </c>
      <c r="AB9">
        <v>21224</v>
      </c>
      <c r="AE9" t="s">
        <v>106</v>
      </c>
      <c r="AF9" t="s">
        <v>107</v>
      </c>
      <c r="AG9" t="s">
        <v>62</v>
      </c>
      <c r="AH9" t="s">
        <v>63</v>
      </c>
      <c r="AI9">
        <v>20250501</v>
      </c>
      <c r="AJ9" t="s">
        <v>64</v>
      </c>
      <c r="AK9" t="s">
        <v>64</v>
      </c>
      <c r="AL9">
        <v>1</v>
      </c>
      <c r="AM9">
        <v>20250510</v>
      </c>
      <c r="AN9">
        <v>13.28</v>
      </c>
      <c r="AO9">
        <v>13.28</v>
      </c>
      <c r="AP9" t="s">
        <v>64</v>
      </c>
      <c r="AS9">
        <v>100</v>
      </c>
      <c r="AT9">
        <v>0.93</v>
      </c>
      <c r="AU9">
        <v>7</v>
      </c>
      <c r="AV9" t="s">
        <v>65</v>
      </c>
    </row>
    <row r="10" spans="1:48" x14ac:dyDescent="0.25">
      <c r="A10" t="s">
        <v>48</v>
      </c>
      <c r="B10">
        <v>20250530</v>
      </c>
      <c r="C10" t="s">
        <v>49</v>
      </c>
      <c r="D10">
        <v>0</v>
      </c>
      <c r="E10">
        <v>20411454</v>
      </c>
      <c r="F10" t="s">
        <v>50</v>
      </c>
      <c r="G10" t="s">
        <v>111</v>
      </c>
      <c r="H10" t="s">
        <v>112</v>
      </c>
      <c r="I10" t="s">
        <v>113</v>
      </c>
      <c r="J10">
        <v>8971826</v>
      </c>
      <c r="K10">
        <v>442596433</v>
      </c>
      <c r="L10">
        <v>20240409</v>
      </c>
      <c r="M10">
        <v>20240408</v>
      </c>
      <c r="O10">
        <v>2</v>
      </c>
      <c r="P10">
        <v>60</v>
      </c>
      <c r="Q10" t="s">
        <v>69</v>
      </c>
      <c r="R10" t="s">
        <v>69</v>
      </c>
      <c r="S10" t="s">
        <v>114</v>
      </c>
      <c r="U10" t="s">
        <v>115</v>
      </c>
      <c r="W10" t="s">
        <v>116</v>
      </c>
      <c r="Z10" t="s">
        <v>117</v>
      </c>
      <c r="AA10" t="s">
        <v>69</v>
      </c>
      <c r="AB10">
        <v>15401</v>
      </c>
      <c r="AE10" t="s">
        <v>98</v>
      </c>
      <c r="AF10" t="s">
        <v>99</v>
      </c>
      <c r="AG10" t="s">
        <v>62</v>
      </c>
      <c r="AH10" t="s">
        <v>63</v>
      </c>
      <c r="AI10">
        <v>20250501</v>
      </c>
      <c r="AJ10" t="s">
        <v>64</v>
      </c>
      <c r="AK10" t="s">
        <v>64</v>
      </c>
      <c r="AL10">
        <v>1</v>
      </c>
      <c r="AM10">
        <v>20250513</v>
      </c>
      <c r="AN10">
        <v>25</v>
      </c>
      <c r="AO10">
        <v>25</v>
      </c>
      <c r="AP10" t="s">
        <v>64</v>
      </c>
      <c r="AS10">
        <v>100</v>
      </c>
      <c r="AT10">
        <v>5</v>
      </c>
      <c r="AU10">
        <v>20</v>
      </c>
      <c r="AV10" t="s">
        <v>65</v>
      </c>
    </row>
    <row r="11" spans="1:48" x14ac:dyDescent="0.25">
      <c r="A11" t="s">
        <v>48</v>
      </c>
      <c r="B11">
        <v>20250530</v>
      </c>
      <c r="C11" t="s">
        <v>49</v>
      </c>
      <c r="D11">
        <v>2</v>
      </c>
      <c r="E11">
        <v>20411454</v>
      </c>
      <c r="F11" t="s">
        <v>50</v>
      </c>
      <c r="G11" t="s">
        <v>118</v>
      </c>
      <c r="H11" t="s">
        <v>119</v>
      </c>
      <c r="I11" t="s">
        <v>120</v>
      </c>
      <c r="J11">
        <v>16202925</v>
      </c>
      <c r="K11">
        <v>442424445</v>
      </c>
      <c r="L11">
        <v>20240110</v>
      </c>
      <c r="M11">
        <v>20240109</v>
      </c>
      <c r="O11">
        <v>2</v>
      </c>
      <c r="P11">
        <v>51</v>
      </c>
      <c r="Q11" t="s">
        <v>54</v>
      </c>
      <c r="R11" t="s">
        <v>54</v>
      </c>
      <c r="S11" t="s">
        <v>121</v>
      </c>
      <c r="U11" t="s">
        <v>122</v>
      </c>
      <c r="W11" t="s">
        <v>123</v>
      </c>
      <c r="Z11" t="s">
        <v>105</v>
      </c>
      <c r="AA11" t="s">
        <v>54</v>
      </c>
      <c r="AB11">
        <v>21239</v>
      </c>
      <c r="AE11" t="s">
        <v>124</v>
      </c>
      <c r="AF11" t="s">
        <v>125</v>
      </c>
      <c r="AG11" t="s">
        <v>62</v>
      </c>
      <c r="AH11" t="s">
        <v>63</v>
      </c>
      <c r="AI11">
        <v>20250501</v>
      </c>
      <c r="AJ11" t="s">
        <v>64</v>
      </c>
      <c r="AK11" t="s">
        <v>64</v>
      </c>
      <c r="AL11">
        <v>1</v>
      </c>
      <c r="AM11">
        <v>20250514</v>
      </c>
      <c r="AN11">
        <v>63.2</v>
      </c>
      <c r="AO11">
        <v>63.2</v>
      </c>
      <c r="AP11" t="s">
        <v>64</v>
      </c>
      <c r="AS11">
        <v>100</v>
      </c>
      <c r="AT11">
        <v>4.42</v>
      </c>
      <c r="AU11">
        <v>7</v>
      </c>
      <c r="AV11" t="s">
        <v>65</v>
      </c>
    </row>
    <row r="12" spans="1:48" x14ac:dyDescent="0.25">
      <c r="A12" t="s">
        <v>48</v>
      </c>
      <c r="B12">
        <v>20250530</v>
      </c>
      <c r="C12" t="s">
        <v>49</v>
      </c>
      <c r="D12">
        <v>2</v>
      </c>
      <c r="E12">
        <v>20411454</v>
      </c>
      <c r="F12" t="s">
        <v>50</v>
      </c>
      <c r="G12" t="s">
        <v>118</v>
      </c>
      <c r="H12" t="s">
        <v>119</v>
      </c>
      <c r="I12" t="s">
        <v>120</v>
      </c>
      <c r="J12">
        <v>16202925</v>
      </c>
      <c r="K12">
        <v>442424444</v>
      </c>
      <c r="L12">
        <v>20240110</v>
      </c>
      <c r="M12">
        <v>20240109</v>
      </c>
      <c r="O12">
        <v>2</v>
      </c>
      <c r="P12">
        <v>51</v>
      </c>
      <c r="Q12" t="s">
        <v>54</v>
      </c>
      <c r="R12" t="s">
        <v>54</v>
      </c>
      <c r="S12" t="s">
        <v>121</v>
      </c>
      <c r="U12" t="s">
        <v>122</v>
      </c>
      <c r="W12" t="s">
        <v>123</v>
      </c>
      <c r="Z12" t="s">
        <v>105</v>
      </c>
      <c r="AA12" t="s">
        <v>54</v>
      </c>
      <c r="AB12">
        <v>21239</v>
      </c>
      <c r="AC12" t="s">
        <v>126</v>
      </c>
      <c r="AE12" t="s">
        <v>127</v>
      </c>
      <c r="AF12" t="s">
        <v>61</v>
      </c>
      <c r="AG12" t="s">
        <v>62</v>
      </c>
      <c r="AH12" t="s">
        <v>63</v>
      </c>
      <c r="AI12">
        <v>20250501</v>
      </c>
      <c r="AJ12" t="s">
        <v>64</v>
      </c>
      <c r="AK12" t="s">
        <v>64</v>
      </c>
      <c r="AL12">
        <v>1</v>
      </c>
      <c r="AM12">
        <v>20250514</v>
      </c>
      <c r="AN12">
        <v>58.4</v>
      </c>
      <c r="AO12">
        <v>58.4</v>
      </c>
      <c r="AP12" t="s">
        <v>64</v>
      </c>
      <c r="AS12">
        <v>100</v>
      </c>
      <c r="AT12">
        <v>2.34</v>
      </c>
      <c r="AU12">
        <v>4</v>
      </c>
      <c r="AV12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0BC4-6722-479E-A9E0-55B7B411A870}">
  <dimension ref="A1:V12"/>
  <sheetViews>
    <sheetView tabSelected="1" workbookViewId="0">
      <selection activeCell="T2" sqref="T2:T12"/>
    </sheetView>
  </sheetViews>
  <sheetFormatPr defaultRowHeight="15" x14ac:dyDescent="0.25"/>
  <cols>
    <col min="5" max="5" width="14.140625" bestFit="1" customWidth="1"/>
    <col min="6" max="7" width="11.85546875" customWidth="1"/>
    <col min="10" max="11" width="18.140625" customWidth="1"/>
    <col min="12" max="12" width="19" customWidth="1"/>
  </cols>
  <sheetData>
    <row r="1" spans="1:22" x14ac:dyDescent="0.25">
      <c r="A1" t="s">
        <v>6</v>
      </c>
      <c r="B1" t="s">
        <v>7</v>
      </c>
      <c r="D1" t="s">
        <v>9</v>
      </c>
      <c r="E1" t="s">
        <v>10</v>
      </c>
      <c r="F1" t="s">
        <v>11</v>
      </c>
      <c r="H1" t="s">
        <v>17</v>
      </c>
      <c r="I1" t="s">
        <v>18</v>
      </c>
      <c r="J1" t="s">
        <v>20</v>
      </c>
      <c r="L1" t="s">
        <v>30</v>
      </c>
      <c r="M1" t="s">
        <v>31</v>
      </c>
      <c r="N1" t="s">
        <v>34</v>
      </c>
      <c r="P1" t="s">
        <v>37</v>
      </c>
      <c r="Q1" t="s">
        <v>38</v>
      </c>
      <c r="R1" t="s">
        <v>39</v>
      </c>
      <c r="S1" t="s">
        <v>40</v>
      </c>
      <c r="T1" t="s">
        <v>45</v>
      </c>
      <c r="U1" t="s">
        <v>46</v>
      </c>
    </row>
    <row r="2" spans="1:22" x14ac:dyDescent="0.25">
      <c r="A2" t="s">
        <v>51</v>
      </c>
      <c r="B2" t="s">
        <v>52</v>
      </c>
      <c r="C2" t="str">
        <f>CONCATENATE(B2, " ",A2)</f>
        <v>Adam Richter</v>
      </c>
      <c r="D2">
        <v>9079571</v>
      </c>
      <c r="E2">
        <v>441983893</v>
      </c>
      <c r="F2">
        <v>20230523</v>
      </c>
      <c r="G2" t="str">
        <f>TEXT(DATE(LEFT(F2,4), MID(F2,5,2), RIGHT(F2,2)), "M/d/yyyy")</f>
        <v>5/23/2023</v>
      </c>
      <c r="H2" t="s">
        <v>54</v>
      </c>
      <c r="I2" t="s">
        <v>55</v>
      </c>
      <c r="J2" t="s">
        <v>56</v>
      </c>
      <c r="K2" t="str">
        <f>CONCATENATE(I2, " ",J2)</f>
        <v>DENNIS BLOMME</v>
      </c>
      <c r="L2" t="s">
        <v>60</v>
      </c>
      <c r="M2" t="s">
        <v>61</v>
      </c>
      <c r="N2">
        <v>20250524</v>
      </c>
      <c r="O2" t="str">
        <f>TEXT(DATE(LEFT(N2,4), MID(N2,5,2), RIGHT(N2,2)), "M/d/yyyy")</f>
        <v>5/24/2025</v>
      </c>
      <c r="P2">
        <v>2</v>
      </c>
      <c r="Q2">
        <v>20250510</v>
      </c>
      <c r="R2">
        <v>41.29</v>
      </c>
      <c r="S2">
        <v>41.29</v>
      </c>
      <c r="T2">
        <v>2.06</v>
      </c>
      <c r="U2">
        <v>5</v>
      </c>
      <c r="V2" t="s">
        <v>128</v>
      </c>
    </row>
    <row r="3" spans="1:22" x14ac:dyDescent="0.25">
      <c r="A3" t="s">
        <v>51</v>
      </c>
      <c r="B3" t="s">
        <v>52</v>
      </c>
      <c r="C3" t="str">
        <f t="shared" ref="C3:C12" si="0">CONCATENATE(B3, " ",A3)</f>
        <v>Adam Richter</v>
      </c>
      <c r="D3">
        <v>9079571</v>
      </c>
      <c r="E3">
        <v>441983893</v>
      </c>
      <c r="F3">
        <v>20230523</v>
      </c>
      <c r="G3" t="str">
        <f t="shared" ref="G3:G12" si="1">TEXT(DATE(LEFT(F3,4), MID(F3,5,2), RIGHT(F3,2)), "M/d/yyyy")</f>
        <v>5/23/2023</v>
      </c>
      <c r="H3" t="s">
        <v>54</v>
      </c>
      <c r="I3" t="s">
        <v>55</v>
      </c>
      <c r="J3" t="s">
        <v>56</v>
      </c>
      <c r="K3" t="str">
        <f t="shared" ref="K3:K12" si="2">CONCATENATE(I3, " ",J3)</f>
        <v>DENNIS BLOMME</v>
      </c>
      <c r="L3" t="s">
        <v>60</v>
      </c>
      <c r="M3" t="s">
        <v>61</v>
      </c>
      <c r="N3">
        <v>20250501</v>
      </c>
      <c r="O3" t="str">
        <f t="shared" ref="O3:O12" si="3">TEXT(DATE(LEFT(N3,4), MID(N3,5,2), RIGHT(N3,2)), "M/d/yyyy")</f>
        <v>5/1/2025</v>
      </c>
      <c r="P3">
        <v>2</v>
      </c>
      <c r="Q3">
        <v>20250510</v>
      </c>
      <c r="R3">
        <v>100.94</v>
      </c>
      <c r="S3">
        <v>100.94</v>
      </c>
      <c r="T3">
        <v>5.05</v>
      </c>
      <c r="U3">
        <v>5</v>
      </c>
      <c r="V3" t="s">
        <v>128</v>
      </c>
    </row>
    <row r="4" spans="1:22" x14ac:dyDescent="0.25">
      <c r="A4" t="s">
        <v>66</v>
      </c>
      <c r="B4" t="s">
        <v>67</v>
      </c>
      <c r="C4" t="str">
        <f t="shared" si="0"/>
        <v>Carol Foley</v>
      </c>
      <c r="D4" t="s">
        <v>134</v>
      </c>
      <c r="E4">
        <v>442238637</v>
      </c>
      <c r="F4">
        <v>20231031</v>
      </c>
      <c r="G4" t="str">
        <f t="shared" si="1"/>
        <v>10/31/2023</v>
      </c>
      <c r="H4" t="s">
        <v>69</v>
      </c>
      <c r="I4" t="s">
        <v>70</v>
      </c>
      <c r="J4" t="s">
        <v>71</v>
      </c>
      <c r="K4" t="str">
        <f t="shared" si="2"/>
        <v>ANDREW FLEMING</v>
      </c>
      <c r="L4" t="s">
        <v>74</v>
      </c>
      <c r="M4" t="s">
        <v>75</v>
      </c>
      <c r="N4">
        <v>20250501</v>
      </c>
      <c r="O4" t="str">
        <f t="shared" si="3"/>
        <v>5/1/2025</v>
      </c>
      <c r="P4">
        <v>1</v>
      </c>
      <c r="Q4">
        <v>20250514</v>
      </c>
      <c r="R4">
        <v>11.4</v>
      </c>
      <c r="S4">
        <v>11.4</v>
      </c>
      <c r="T4">
        <v>0.91</v>
      </c>
      <c r="U4">
        <v>8</v>
      </c>
      <c r="V4" t="s">
        <v>129</v>
      </c>
    </row>
    <row r="5" spans="1:22" x14ac:dyDescent="0.25">
      <c r="A5" t="s">
        <v>66</v>
      </c>
      <c r="B5" t="s">
        <v>67</v>
      </c>
      <c r="C5" t="str">
        <f t="shared" si="0"/>
        <v>Carol Foley</v>
      </c>
      <c r="D5" t="s">
        <v>134</v>
      </c>
      <c r="E5">
        <v>442293037</v>
      </c>
      <c r="F5">
        <v>20231121</v>
      </c>
      <c r="G5" t="str">
        <f t="shared" si="1"/>
        <v>11/21/2023</v>
      </c>
      <c r="H5" t="s">
        <v>69</v>
      </c>
      <c r="I5" t="s">
        <v>76</v>
      </c>
      <c r="J5" t="s">
        <v>77</v>
      </c>
      <c r="K5" t="str">
        <f t="shared" si="2"/>
        <v>ANNA CABOT</v>
      </c>
      <c r="L5" t="s">
        <v>74</v>
      </c>
      <c r="M5" t="s">
        <v>75</v>
      </c>
      <c r="N5">
        <v>20250501</v>
      </c>
      <c r="O5" t="str">
        <f t="shared" si="3"/>
        <v>5/1/2025</v>
      </c>
      <c r="P5">
        <v>1</v>
      </c>
      <c r="Q5">
        <v>20250509</v>
      </c>
      <c r="R5">
        <v>11.4</v>
      </c>
      <c r="S5">
        <v>11.4</v>
      </c>
      <c r="T5">
        <v>0.91</v>
      </c>
      <c r="U5">
        <v>8</v>
      </c>
      <c r="V5" t="s">
        <v>129</v>
      </c>
    </row>
    <row r="6" spans="1:22" x14ac:dyDescent="0.25">
      <c r="A6" t="s">
        <v>80</v>
      </c>
      <c r="B6" t="s">
        <v>81</v>
      </c>
      <c r="C6" t="str">
        <f t="shared" si="0"/>
        <v>Cathy Lemon</v>
      </c>
      <c r="D6">
        <v>17195620</v>
      </c>
      <c r="E6">
        <v>442624391</v>
      </c>
      <c r="F6">
        <v>20240424</v>
      </c>
      <c r="G6" t="str">
        <f t="shared" si="1"/>
        <v>4/24/2024</v>
      </c>
      <c r="H6" t="s">
        <v>54</v>
      </c>
      <c r="I6" t="s">
        <v>83</v>
      </c>
      <c r="J6" t="s">
        <v>84</v>
      </c>
      <c r="K6" t="str">
        <f t="shared" si="2"/>
        <v>HELENE MOUDIO</v>
      </c>
      <c r="L6" t="s">
        <v>88</v>
      </c>
      <c r="M6" t="s">
        <v>89</v>
      </c>
      <c r="N6">
        <v>20250501</v>
      </c>
      <c r="O6" t="str">
        <f t="shared" si="3"/>
        <v>5/1/2025</v>
      </c>
      <c r="P6">
        <v>1</v>
      </c>
      <c r="Q6">
        <v>20250510</v>
      </c>
      <c r="R6">
        <v>55.3</v>
      </c>
      <c r="S6">
        <v>55.3</v>
      </c>
      <c r="T6">
        <v>3.87</v>
      </c>
      <c r="U6">
        <v>7</v>
      </c>
      <c r="V6" t="s">
        <v>130</v>
      </c>
    </row>
    <row r="7" spans="1:22" x14ac:dyDescent="0.25">
      <c r="A7" t="s">
        <v>90</v>
      </c>
      <c r="B7" t="s">
        <v>91</v>
      </c>
      <c r="C7" t="str">
        <f t="shared" si="0"/>
        <v>Katelenn Caltagirone</v>
      </c>
      <c r="D7">
        <v>20436896</v>
      </c>
      <c r="E7">
        <v>441769366</v>
      </c>
      <c r="F7">
        <v>20230124</v>
      </c>
      <c r="G7" t="str">
        <f t="shared" si="1"/>
        <v>1/24/2023</v>
      </c>
      <c r="H7" t="s">
        <v>93</v>
      </c>
      <c r="I7" t="s">
        <v>94</v>
      </c>
      <c r="J7" t="s">
        <v>95</v>
      </c>
      <c r="K7" t="str">
        <f t="shared" si="2"/>
        <v>TIMOTHY WASSELL</v>
      </c>
      <c r="L7" t="s">
        <v>98</v>
      </c>
      <c r="M7" t="s">
        <v>99</v>
      </c>
      <c r="N7">
        <v>20250501</v>
      </c>
      <c r="O7" t="str">
        <f t="shared" si="3"/>
        <v>5/1/2025</v>
      </c>
      <c r="P7">
        <v>1</v>
      </c>
      <c r="Q7">
        <v>20250510</v>
      </c>
      <c r="R7">
        <v>25</v>
      </c>
      <c r="S7">
        <v>25</v>
      </c>
      <c r="T7">
        <v>5</v>
      </c>
      <c r="U7">
        <v>20</v>
      </c>
      <c r="V7" t="s">
        <v>132</v>
      </c>
    </row>
    <row r="8" spans="1:22" x14ac:dyDescent="0.25">
      <c r="A8" t="s">
        <v>51</v>
      </c>
      <c r="B8" t="s">
        <v>100</v>
      </c>
      <c r="C8" t="str">
        <f t="shared" si="0"/>
        <v>Peter Richter</v>
      </c>
      <c r="D8">
        <v>16509456</v>
      </c>
      <c r="E8">
        <v>442505686</v>
      </c>
      <c r="F8">
        <v>20240222</v>
      </c>
      <c r="G8" t="str">
        <f t="shared" si="1"/>
        <v>2/22/2024</v>
      </c>
      <c r="H8" t="s">
        <v>54</v>
      </c>
      <c r="I8" t="s">
        <v>102</v>
      </c>
      <c r="J8" t="s">
        <v>103</v>
      </c>
      <c r="K8" t="str">
        <f t="shared" si="2"/>
        <v>KEVIN MILLER</v>
      </c>
      <c r="L8" t="s">
        <v>106</v>
      </c>
      <c r="M8" t="s">
        <v>107</v>
      </c>
      <c r="N8">
        <v>20250501</v>
      </c>
      <c r="O8" t="str">
        <f t="shared" si="3"/>
        <v>5/1/2025</v>
      </c>
      <c r="P8">
        <v>1</v>
      </c>
      <c r="Q8">
        <v>20250510</v>
      </c>
      <c r="R8">
        <v>13.28</v>
      </c>
      <c r="S8">
        <v>13.28</v>
      </c>
      <c r="T8">
        <v>0.93</v>
      </c>
      <c r="U8">
        <v>7</v>
      </c>
      <c r="V8" t="s">
        <v>130</v>
      </c>
    </row>
    <row r="9" spans="1:22" x14ac:dyDescent="0.25">
      <c r="A9" t="s">
        <v>51</v>
      </c>
      <c r="B9" t="s">
        <v>100</v>
      </c>
      <c r="C9" t="str">
        <f t="shared" si="0"/>
        <v>Peter Richter</v>
      </c>
      <c r="D9">
        <v>16509456</v>
      </c>
      <c r="E9">
        <v>442508319</v>
      </c>
      <c r="F9">
        <v>20240223</v>
      </c>
      <c r="G9" t="str">
        <f t="shared" si="1"/>
        <v>2/23/2024</v>
      </c>
      <c r="H9" t="s">
        <v>54</v>
      </c>
      <c r="I9" t="s">
        <v>108</v>
      </c>
      <c r="J9" t="s">
        <v>109</v>
      </c>
      <c r="K9" t="str">
        <f t="shared" si="2"/>
        <v>MARYURI MEMBRENO NAVAS</v>
      </c>
      <c r="L9" t="s">
        <v>106</v>
      </c>
      <c r="M9" t="s">
        <v>107</v>
      </c>
      <c r="N9">
        <v>20250501</v>
      </c>
      <c r="O9" t="str">
        <f t="shared" si="3"/>
        <v>5/1/2025</v>
      </c>
      <c r="P9">
        <v>1</v>
      </c>
      <c r="Q9">
        <v>20250510</v>
      </c>
      <c r="R9">
        <v>13.28</v>
      </c>
      <c r="S9">
        <v>13.28</v>
      </c>
      <c r="T9">
        <v>0.93</v>
      </c>
      <c r="U9">
        <v>7</v>
      </c>
      <c r="V9" t="s">
        <v>130</v>
      </c>
    </row>
    <row r="10" spans="1:22" x14ac:dyDescent="0.25">
      <c r="A10" t="s">
        <v>111</v>
      </c>
      <c r="B10" t="s">
        <v>112</v>
      </c>
      <c r="C10" t="str">
        <f t="shared" si="0"/>
        <v>Scott Aguglia</v>
      </c>
      <c r="D10">
        <v>8971826</v>
      </c>
      <c r="E10">
        <v>442596433</v>
      </c>
      <c r="F10">
        <v>20240409</v>
      </c>
      <c r="G10" t="str">
        <f t="shared" si="1"/>
        <v>4/9/2024</v>
      </c>
      <c r="H10" t="s">
        <v>69</v>
      </c>
      <c r="I10" t="s">
        <v>114</v>
      </c>
      <c r="J10" t="s">
        <v>115</v>
      </c>
      <c r="K10" t="str">
        <f t="shared" si="2"/>
        <v>MARK FARIS</v>
      </c>
      <c r="L10" t="s">
        <v>98</v>
      </c>
      <c r="M10" t="s">
        <v>99</v>
      </c>
      <c r="N10">
        <v>20250501</v>
      </c>
      <c r="O10" t="str">
        <f t="shared" si="3"/>
        <v>5/1/2025</v>
      </c>
      <c r="P10">
        <v>1</v>
      </c>
      <c r="Q10">
        <v>20250513</v>
      </c>
      <c r="R10">
        <v>25</v>
      </c>
      <c r="S10">
        <v>25</v>
      </c>
      <c r="T10">
        <v>5</v>
      </c>
      <c r="U10">
        <v>20</v>
      </c>
      <c r="V10" t="s">
        <v>132</v>
      </c>
    </row>
    <row r="11" spans="1:22" x14ac:dyDescent="0.25">
      <c r="A11" t="s">
        <v>118</v>
      </c>
      <c r="B11" t="s">
        <v>119</v>
      </c>
      <c r="C11" t="str">
        <f t="shared" si="0"/>
        <v>Thomas Kucan</v>
      </c>
      <c r="D11">
        <v>16202925</v>
      </c>
      <c r="E11">
        <v>442424445</v>
      </c>
      <c r="F11">
        <v>20240110</v>
      </c>
      <c r="G11" t="str">
        <f t="shared" si="1"/>
        <v>1/10/2024</v>
      </c>
      <c r="H11" t="s">
        <v>54</v>
      </c>
      <c r="I11" t="s">
        <v>121</v>
      </c>
      <c r="J11" t="s">
        <v>122</v>
      </c>
      <c r="K11" t="str">
        <f t="shared" si="2"/>
        <v>TOUSSANT MCKENZIE</v>
      </c>
      <c r="L11" t="s">
        <v>124</v>
      </c>
      <c r="M11" t="s">
        <v>125</v>
      </c>
      <c r="N11">
        <v>20250501</v>
      </c>
      <c r="O11" t="str">
        <f t="shared" si="3"/>
        <v>5/1/2025</v>
      </c>
      <c r="P11">
        <v>1</v>
      </c>
      <c r="Q11">
        <v>20250514</v>
      </c>
      <c r="R11">
        <v>63.2</v>
      </c>
      <c r="S11">
        <v>63.2</v>
      </c>
      <c r="T11">
        <v>4.42</v>
      </c>
      <c r="U11">
        <v>7</v>
      </c>
      <c r="V11" t="s">
        <v>131</v>
      </c>
    </row>
    <row r="12" spans="1:22" x14ac:dyDescent="0.25">
      <c r="A12" t="s">
        <v>118</v>
      </c>
      <c r="B12" t="s">
        <v>119</v>
      </c>
      <c r="C12" t="str">
        <f t="shared" si="0"/>
        <v>Thomas Kucan</v>
      </c>
      <c r="D12">
        <v>16202925</v>
      </c>
      <c r="E12">
        <v>442424444</v>
      </c>
      <c r="F12">
        <v>20240110</v>
      </c>
      <c r="G12" t="str">
        <f t="shared" si="1"/>
        <v>1/10/2024</v>
      </c>
      <c r="H12" t="s">
        <v>54</v>
      </c>
      <c r="I12" t="s">
        <v>121</v>
      </c>
      <c r="J12" t="s">
        <v>122</v>
      </c>
      <c r="K12" t="str">
        <f t="shared" si="2"/>
        <v>TOUSSANT MCKENZIE</v>
      </c>
      <c r="L12" t="s">
        <v>127</v>
      </c>
      <c r="M12" t="s">
        <v>61</v>
      </c>
      <c r="N12">
        <v>20250501</v>
      </c>
      <c r="O12" t="str">
        <f t="shared" si="3"/>
        <v>5/1/2025</v>
      </c>
      <c r="P12">
        <v>1</v>
      </c>
      <c r="Q12">
        <v>20250514</v>
      </c>
      <c r="R12">
        <v>58.4</v>
      </c>
      <c r="S12">
        <v>58.4</v>
      </c>
      <c r="T12">
        <v>2.34</v>
      </c>
      <c r="U12">
        <v>4</v>
      </c>
      <c r="V1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CommissionStatement_AA5418109_2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2025-05-30T13:22:24Z</dcterms:created>
  <dcterms:modified xsi:type="dcterms:W3CDTF">2025-05-30T15:16:36Z</dcterms:modified>
</cp:coreProperties>
</file>