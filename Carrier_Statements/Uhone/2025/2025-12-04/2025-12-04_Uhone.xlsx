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one\2025\12-04-25\"/>
    </mc:Choice>
  </mc:AlternateContent>
  <xr:revisionPtr revIDLastSave="0" documentId="13_ncr:1_{AA587286-3F5E-40E7-9BF1-CB1BAB80386D}" xr6:coauthVersionLast="47" xr6:coauthVersionMax="47" xr10:uidLastSave="{00000000-0000-0000-0000-000000000000}"/>
  <bookViews>
    <workbookView xWindow="28680" yWindow="-120" windowWidth="29040" windowHeight="16440" activeTab="1" xr2:uid="{84682E56-3437-4955-9D74-A9B031E0D06C}"/>
  </bookViews>
  <sheets>
    <sheet name="CommissionStatement_AA5418109_2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J17" i="2" l="1"/>
  <c r="J8" i="2"/>
  <c r="J18" i="2"/>
  <c r="J9" i="2"/>
  <c r="J21" i="2"/>
  <c r="J22" i="2"/>
  <c r="J2" i="2"/>
  <c r="J3" i="2"/>
  <c r="J4" i="2"/>
  <c r="J5" i="2"/>
  <c r="J10" i="2"/>
  <c r="J14" i="2"/>
  <c r="J15" i="2"/>
  <c r="J16" i="2"/>
  <c r="J19" i="2"/>
  <c r="J6" i="2"/>
  <c r="J11" i="2"/>
  <c r="J12" i="2"/>
  <c r="J13" i="2"/>
  <c r="J20" i="2"/>
  <c r="J7" i="2"/>
  <c r="C17" i="2"/>
  <c r="C8" i="2"/>
  <c r="C18" i="2"/>
  <c r="C9" i="2"/>
  <c r="C21" i="2"/>
  <c r="C22" i="2"/>
  <c r="C2" i="2"/>
  <c r="C3" i="2"/>
  <c r="C4" i="2"/>
  <c r="C5" i="2"/>
  <c r="C10" i="2"/>
  <c r="C14" i="2"/>
  <c r="C15" i="2"/>
  <c r="C16" i="2"/>
  <c r="C19" i="2"/>
  <c r="C6" i="2"/>
  <c r="C11" i="2"/>
  <c r="C12" i="2"/>
  <c r="C13" i="2"/>
  <c r="C20" i="2"/>
  <c r="C7" i="2"/>
</calcChain>
</file>

<file path=xl/sharedStrings.xml><?xml version="1.0" encoding="utf-8"?>
<sst xmlns="http://schemas.openxmlformats.org/spreadsheetml/2006/main" count="694" uniqueCount="184">
  <si>
    <t>Reporting Company/Carrier</t>
  </si>
  <si>
    <t>Extract Date</t>
  </si>
  <si>
    <t>Role for Payment Level</t>
  </si>
  <si>
    <t>VIP Count for Payment Level/Role</t>
  </si>
  <si>
    <t>Payee ID (NPN or Vue ID)</t>
  </si>
  <si>
    <t>Payee Name</t>
  </si>
  <si>
    <t>Producer Last Name</t>
  </si>
  <si>
    <t>Producer First Name</t>
  </si>
  <si>
    <t>Producer SSN</t>
  </si>
  <si>
    <t>Producer Id (NPN or VUE Id)</t>
  </si>
  <si>
    <t>Policy Number</t>
  </si>
  <si>
    <t>Policy Effective Date</t>
  </si>
  <si>
    <t>Policy Issue Date</t>
  </si>
  <si>
    <t>Policy term date</t>
  </si>
  <si>
    <t>Policy Year</t>
  </si>
  <si>
    <t>Policy Issue Age</t>
  </si>
  <si>
    <t>Policy Resident State</t>
  </si>
  <si>
    <t>Policy Issue State</t>
  </si>
  <si>
    <t>Policyholder First Name</t>
  </si>
  <si>
    <t>Policyholder Middle Name</t>
  </si>
  <si>
    <t>Policyholder Last Name</t>
  </si>
  <si>
    <t>Policyholder Suffix</t>
  </si>
  <si>
    <t>Policyholder Address 1</t>
  </si>
  <si>
    <t>Policyholder Address 2</t>
  </si>
  <si>
    <t>Policyholder Address 3</t>
  </si>
  <si>
    <t>Policyholder City</t>
  </si>
  <si>
    <t>Policyholder State</t>
  </si>
  <si>
    <t>Policyholder Zip</t>
  </si>
  <si>
    <t>Policyholder Phone Number</t>
  </si>
  <si>
    <t>Policyholder Birth Date</t>
  </si>
  <si>
    <t>Base Medical Plan Name</t>
  </si>
  <si>
    <t>Coverage Plan Name</t>
  </si>
  <si>
    <t>Policy Mode</t>
  </si>
  <si>
    <t>Payment Type</t>
  </si>
  <si>
    <t>Policy Premium Due Date</t>
  </si>
  <si>
    <t>Decreasing Term Life Indicator</t>
  </si>
  <si>
    <t>Guarantee Issue Indicator</t>
  </si>
  <si>
    <t>Policy - # of Lives</t>
  </si>
  <si>
    <t>Activity/Transaction Date</t>
  </si>
  <si>
    <t>Policy - Gross Premium</t>
  </si>
  <si>
    <t>Policy - Commissionable Premium</t>
  </si>
  <si>
    <t>Is Initial premium</t>
  </si>
  <si>
    <t>Producer - Block of Business Code</t>
  </si>
  <si>
    <t>GRI Manager ID</t>
  </si>
  <si>
    <t>Broker Commission Split %</t>
  </si>
  <si>
    <t>Commission Amount Calculated</t>
  </si>
  <si>
    <t>Commission Rate Percentage</t>
  </si>
  <si>
    <t>Reason Code</t>
  </si>
  <si>
    <t>GRIC</t>
  </si>
  <si>
    <t>SUB</t>
  </si>
  <si>
    <t>Main Line Benefits Llc</t>
  </si>
  <si>
    <t>Richter</t>
  </si>
  <si>
    <t>Adam</t>
  </si>
  <si>
    <t>XXX-XX-6579</t>
  </si>
  <si>
    <t>DC</t>
  </si>
  <si>
    <t>GAY</t>
  </si>
  <si>
    <t>BROWNE</t>
  </si>
  <si>
    <t>2802 P St Nw</t>
  </si>
  <si>
    <t>Washington</t>
  </si>
  <si>
    <t>Vision</t>
  </si>
  <si>
    <t>Vision Stand Alone Base Coverage</t>
  </si>
  <si>
    <t>Monthly</t>
  </si>
  <si>
    <t>R</t>
  </si>
  <si>
    <t>N</t>
  </si>
  <si>
    <t>COMM</t>
  </si>
  <si>
    <t>MD</t>
  </si>
  <si>
    <t>ZEV</t>
  </si>
  <si>
    <t>SHEPPARD</t>
  </si>
  <si>
    <t>2494 Scravel Rd</t>
  </si>
  <si>
    <t>Myersville</t>
  </si>
  <si>
    <t>21773-9206</t>
  </si>
  <si>
    <t>3012338666 EXT.</t>
  </si>
  <si>
    <t>KEVIN</t>
  </si>
  <si>
    <t>KITCHEN</t>
  </si>
  <si>
    <t>725 N Collington Ave</t>
  </si>
  <si>
    <t>Baltimore</t>
  </si>
  <si>
    <t>NEAL</t>
  </si>
  <si>
    <t>KIRSCH</t>
  </si>
  <si>
    <t>22590 Skippers Ln</t>
  </si>
  <si>
    <t>Bozman</t>
  </si>
  <si>
    <t>KAREN</t>
  </si>
  <si>
    <t>FRITZ</t>
  </si>
  <si>
    <t>39 Admiral Ave</t>
  </si>
  <si>
    <t>Berlin</t>
  </si>
  <si>
    <t>Foley</t>
  </si>
  <si>
    <t>Carol</t>
  </si>
  <si>
    <t>XXX-XX-1245</t>
  </si>
  <si>
    <t>PA</t>
  </si>
  <si>
    <t>VINCENT</t>
  </si>
  <si>
    <t>IDEO</t>
  </si>
  <si>
    <t>2630 S Alder St</t>
  </si>
  <si>
    <t>Philadelphia</t>
  </si>
  <si>
    <t>JEREMY</t>
  </si>
  <si>
    <t>WORKMAN</t>
  </si>
  <si>
    <t>449 W High St</t>
  </si>
  <si>
    <t>Phoenixville</t>
  </si>
  <si>
    <t>HOWARD</t>
  </si>
  <si>
    <t>MAISENHELDER</t>
  </si>
  <si>
    <t>1119 Clemens Ave</t>
  </si>
  <si>
    <t>Roslyn</t>
  </si>
  <si>
    <t>FL</t>
  </si>
  <si>
    <t>KELLIE</t>
  </si>
  <si>
    <t>CURRY</t>
  </si>
  <si>
    <t>1015 Oak Tree Pl</t>
  </si>
  <si>
    <t>Malabar</t>
  </si>
  <si>
    <t>32950-6809</t>
  </si>
  <si>
    <t>3212237493 EXT.</t>
  </si>
  <si>
    <t>Dental Premier</t>
  </si>
  <si>
    <t>Dental Base Coverage</t>
  </si>
  <si>
    <t>SCOTT</t>
  </si>
  <si>
    <t>SHEAR</t>
  </si>
  <si>
    <t>11385 Nw 81st Pl</t>
  </si>
  <si>
    <t>Parkland</t>
  </si>
  <si>
    <t>9547750563 EXT.</t>
  </si>
  <si>
    <t>Accident ExpenseGuard</t>
  </si>
  <si>
    <t>APG Base Coverage</t>
  </si>
  <si>
    <t>Dental Primary</t>
  </si>
  <si>
    <t>Casta</t>
  </si>
  <si>
    <t>Laurie</t>
  </si>
  <si>
    <t>XXX-XX-3207</t>
  </si>
  <si>
    <t>JOHN</t>
  </si>
  <si>
    <t>SONGER</t>
  </si>
  <si>
    <t>3848 Infinity Run</t>
  </si>
  <si>
    <t>The Villages</t>
  </si>
  <si>
    <t>32163-2841</t>
  </si>
  <si>
    <t>4105709634 EXT.</t>
  </si>
  <si>
    <t>MICHAEL</t>
  </si>
  <si>
    <t>ARRICH</t>
  </si>
  <si>
    <t>8100 Cambridge Dr</t>
  </si>
  <si>
    <t>Frederick</t>
  </si>
  <si>
    <t>ANN</t>
  </si>
  <si>
    <t>DELLARCO</t>
  </si>
  <si>
    <t>819 Cider Mill Ln</t>
  </si>
  <si>
    <t>Bel Air</t>
  </si>
  <si>
    <t>Peter</t>
  </si>
  <si>
    <t>XXX-XX-8611</t>
  </si>
  <si>
    <t>MARC</t>
  </si>
  <si>
    <t>FOX</t>
  </si>
  <si>
    <t>256 Thornridge Dr</t>
  </si>
  <si>
    <t>Thorndale</t>
  </si>
  <si>
    <t>4847848464 EXT.</t>
  </si>
  <si>
    <t>LINDA</t>
  </si>
  <si>
    <t>DEANTONIO</t>
  </si>
  <si>
    <t>309 Lexington Blvd</t>
  </si>
  <si>
    <t>Unit 210</t>
  </si>
  <si>
    <t>Chester Springs</t>
  </si>
  <si>
    <t>19425-3624</t>
  </si>
  <si>
    <t>2156807308 EXT.</t>
  </si>
  <si>
    <t>Dental Gen</t>
  </si>
  <si>
    <t>MARTHA</t>
  </si>
  <si>
    <t>ACEROS MENDEZ</t>
  </si>
  <si>
    <t>18971 Highstream Dr</t>
  </si>
  <si>
    <t>Germantown</t>
  </si>
  <si>
    <t>AMY</t>
  </si>
  <si>
    <t>RYZENGA</t>
  </si>
  <si>
    <t>4 Fordham Ct</t>
  </si>
  <si>
    <t>Millersville</t>
  </si>
  <si>
    <t>VisionWise Premier</t>
  </si>
  <si>
    <t>VisionWise Base</t>
  </si>
  <si>
    <t>Kucan</t>
  </si>
  <si>
    <t>Thomas</t>
  </si>
  <si>
    <t>XXX-XX-4686</t>
  </si>
  <si>
    <t>FREDERICK</t>
  </si>
  <si>
    <t>HUTCHINSON</t>
  </si>
  <si>
    <t>30400 Sothorons Desire Way</t>
  </si>
  <si>
    <t>Charlotte Hall</t>
  </si>
  <si>
    <t>20622-3130</t>
  </si>
  <si>
    <t>3018484218 EXT.</t>
  </si>
  <si>
    <t>DentalWise Max 1000</t>
  </si>
  <si>
    <t>DentalWise Base</t>
  </si>
  <si>
    <t>ALEXIS</t>
  </si>
  <si>
    <t>DUKE</t>
  </si>
  <si>
    <t>727 Little New York Road</t>
  </si>
  <si>
    <t>Rising Sun</t>
  </si>
  <si>
    <t>4438340069 EXT.</t>
  </si>
  <si>
    <t>DentalWise Max 3000</t>
  </si>
  <si>
    <t>Uhone Accident ExpenseGuard</t>
  </si>
  <si>
    <t>Uhone Dental Gen</t>
  </si>
  <si>
    <t>Uhone Dental Premier</t>
  </si>
  <si>
    <t>Uhone Dental Primary</t>
  </si>
  <si>
    <t>Uhone DentalWise 1000, 2000 (all states except CO, FL, NM, NV, RI, SD, WA) 18-64</t>
  </si>
  <si>
    <t>Uhone Vision - DE, FL, IN, KY, MD, OH, NJ, SC, TN, VT</t>
  </si>
  <si>
    <t>Uhone Vision</t>
  </si>
  <si>
    <t>17425766old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</si>
</sst>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ECC16-4B78-4305-AD30-292573E6A414}">
  <dimension ref="A1:AV22"/>
  <sheetViews>
    <sheetView topLeftCell="Z1" workbookViewId="0">
      <selection activeCell="Z1" sqref="A1:XFD1048576"/>
    </sheetView>
  </sheetViews>
  <sheetFormatPr defaultRowHeight="15" x14ac:dyDescent="0.25"/>
  <cols>
    <col min="1" max="1" width="25.85546875" bestFit="1" customWidth="1"/>
    <col min="2" max="2" width="11.5703125" bestFit="1" customWidth="1"/>
    <col min="3" max="3" width="21.85546875" bestFit="1" customWidth="1"/>
    <col min="4" max="4" width="31.7109375" bestFit="1" customWidth="1"/>
    <col min="5" max="5" width="23.5703125" bestFit="1" customWidth="1"/>
    <col min="6" max="6" width="20.42578125" bestFit="1" customWidth="1"/>
    <col min="7" max="7" width="18.85546875" bestFit="1" customWidth="1"/>
    <col min="8" max="8" width="19.28515625" bestFit="1" customWidth="1"/>
    <col min="9" max="9" width="12.85546875" bestFit="1" customWidth="1"/>
    <col min="10" max="10" width="26" bestFit="1" customWidth="1"/>
    <col min="11" max="11" width="14.140625" bestFit="1" customWidth="1"/>
    <col min="12" max="12" width="19.42578125" bestFit="1" customWidth="1"/>
    <col min="13" max="13" width="16" bestFit="1" customWidth="1"/>
    <col min="14" max="14" width="15.5703125" bestFit="1" customWidth="1"/>
    <col min="15" max="15" width="10.5703125" bestFit="1" customWidth="1"/>
    <col min="16" max="16" width="15.28515625" bestFit="1" customWidth="1"/>
    <col min="17" max="17" width="19.85546875" bestFit="1" customWidth="1"/>
    <col min="18" max="18" width="16.42578125" bestFit="1" customWidth="1"/>
    <col min="19" max="19" width="22.5703125" bestFit="1" customWidth="1"/>
    <col min="20" max="20" width="25" bestFit="1" customWidth="1"/>
    <col min="21" max="21" width="22.140625" bestFit="1" customWidth="1"/>
    <col min="22" max="22" width="18" bestFit="1" customWidth="1"/>
    <col min="23" max="23" width="26.42578125" bestFit="1" customWidth="1"/>
    <col min="24" max="25" width="21.5703125" bestFit="1" customWidth="1"/>
    <col min="26" max="26" width="16.140625" bestFit="1" customWidth="1"/>
    <col min="27" max="27" width="17.42578125" bestFit="1" customWidth="1"/>
    <col min="28" max="28" width="15.42578125" bestFit="1" customWidth="1"/>
    <col min="29" max="29" width="26.5703125" bestFit="1" customWidth="1"/>
    <col min="30" max="30" width="21.85546875" bestFit="1" customWidth="1"/>
    <col min="31" max="31" width="23" bestFit="1" customWidth="1"/>
    <col min="32" max="32" width="31.7109375" bestFit="1" customWidth="1"/>
    <col min="33" max="33" width="11.85546875" bestFit="1" customWidth="1"/>
    <col min="34" max="34" width="13.7109375" bestFit="1" customWidth="1"/>
    <col min="35" max="35" width="23.85546875" bestFit="1" customWidth="1"/>
    <col min="36" max="36" width="28.28515625" bestFit="1" customWidth="1"/>
    <col min="37" max="37" width="24" bestFit="1" customWidth="1"/>
    <col min="38" max="38" width="16.140625" bestFit="1" customWidth="1"/>
    <col min="39" max="39" width="23.7109375" bestFit="1" customWidth="1"/>
    <col min="40" max="40" width="21.7109375" bestFit="1" customWidth="1"/>
    <col min="41" max="41" width="31.85546875" bestFit="1" customWidth="1"/>
    <col min="42" max="42" width="16.7109375" bestFit="1" customWidth="1"/>
    <col min="43" max="43" width="31.42578125" bestFit="1" customWidth="1"/>
    <col min="44" max="44" width="14.5703125" bestFit="1" customWidth="1"/>
    <col min="45" max="45" width="25" bestFit="1" customWidth="1"/>
    <col min="46" max="46" width="29.85546875" bestFit="1" customWidth="1"/>
    <col min="47" max="47" width="27.28515625" bestFit="1" customWidth="1"/>
    <col min="48" max="48" width="12.4257812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>
        <v>20251208</v>
      </c>
      <c r="C2" t="s">
        <v>49</v>
      </c>
      <c r="D2">
        <v>0</v>
      </c>
      <c r="E2">
        <v>20411454</v>
      </c>
      <c r="F2" t="s">
        <v>50</v>
      </c>
      <c r="G2" t="s">
        <v>51</v>
      </c>
      <c r="H2" t="s">
        <v>52</v>
      </c>
      <c r="I2" t="s">
        <v>53</v>
      </c>
      <c r="J2">
        <v>9079571</v>
      </c>
      <c r="K2">
        <v>441842580</v>
      </c>
      <c r="L2">
        <v>20230301</v>
      </c>
      <c r="M2">
        <v>20230223</v>
      </c>
      <c r="O2">
        <v>3</v>
      </c>
      <c r="P2">
        <v>62</v>
      </c>
      <c r="Q2" t="s">
        <v>54</v>
      </c>
      <c r="R2" t="s">
        <v>54</v>
      </c>
      <c r="S2" t="s">
        <v>55</v>
      </c>
      <c r="U2" t="s">
        <v>56</v>
      </c>
      <c r="W2" t="s">
        <v>57</v>
      </c>
      <c r="Z2" t="s">
        <v>58</v>
      </c>
      <c r="AA2" t="s">
        <v>54</v>
      </c>
      <c r="AB2">
        <v>20007</v>
      </c>
      <c r="AE2" t="s">
        <v>59</v>
      </c>
      <c r="AF2" t="s">
        <v>60</v>
      </c>
      <c r="AG2" t="s">
        <v>61</v>
      </c>
      <c r="AH2" t="s">
        <v>62</v>
      </c>
      <c r="AI2">
        <v>20251201</v>
      </c>
      <c r="AJ2" t="s">
        <v>63</v>
      </c>
      <c r="AK2" t="s">
        <v>63</v>
      </c>
      <c r="AL2">
        <v>1</v>
      </c>
      <c r="AM2">
        <v>20251204</v>
      </c>
      <c r="AN2">
        <v>11.4</v>
      </c>
      <c r="AO2">
        <v>11.4</v>
      </c>
      <c r="AP2" t="s">
        <v>63</v>
      </c>
      <c r="AS2">
        <v>100</v>
      </c>
      <c r="AT2">
        <v>0.91</v>
      </c>
      <c r="AU2">
        <v>8</v>
      </c>
      <c r="AV2" t="s">
        <v>64</v>
      </c>
    </row>
    <row r="3" spans="1:48" x14ac:dyDescent="0.25">
      <c r="A3" t="s">
        <v>48</v>
      </c>
      <c r="B3">
        <v>20251208</v>
      </c>
      <c r="C3" t="s">
        <v>49</v>
      </c>
      <c r="D3">
        <v>0</v>
      </c>
      <c r="E3">
        <v>20411454</v>
      </c>
      <c r="F3" t="s">
        <v>50</v>
      </c>
      <c r="G3" t="s">
        <v>51</v>
      </c>
      <c r="H3" t="s">
        <v>52</v>
      </c>
      <c r="I3" t="s">
        <v>53</v>
      </c>
      <c r="J3">
        <v>9079571</v>
      </c>
      <c r="K3">
        <v>441848447</v>
      </c>
      <c r="L3">
        <v>20230301</v>
      </c>
      <c r="M3">
        <v>20230227</v>
      </c>
      <c r="O3">
        <v>3</v>
      </c>
      <c r="P3">
        <v>25</v>
      </c>
      <c r="Q3" t="s">
        <v>65</v>
      </c>
      <c r="R3" t="s">
        <v>65</v>
      </c>
      <c r="S3" t="s">
        <v>66</v>
      </c>
      <c r="U3" t="s">
        <v>67</v>
      </c>
      <c r="W3" t="s">
        <v>68</v>
      </c>
      <c r="Z3" t="s">
        <v>69</v>
      </c>
      <c r="AA3" t="s">
        <v>65</v>
      </c>
      <c r="AB3" t="s">
        <v>70</v>
      </c>
      <c r="AC3" t="s">
        <v>71</v>
      </c>
      <c r="AE3" t="s">
        <v>59</v>
      </c>
      <c r="AF3" t="s">
        <v>60</v>
      </c>
      <c r="AG3" t="s">
        <v>61</v>
      </c>
      <c r="AH3" t="s">
        <v>62</v>
      </c>
      <c r="AI3">
        <v>20251201</v>
      </c>
      <c r="AJ3" t="s">
        <v>63</v>
      </c>
      <c r="AK3" t="s">
        <v>63</v>
      </c>
      <c r="AL3">
        <v>1</v>
      </c>
      <c r="AM3">
        <v>20251204</v>
      </c>
      <c r="AN3">
        <v>10.4</v>
      </c>
      <c r="AO3">
        <v>10.4</v>
      </c>
      <c r="AP3" t="s">
        <v>63</v>
      </c>
      <c r="AS3">
        <v>100</v>
      </c>
      <c r="AT3">
        <v>0.42</v>
      </c>
      <c r="AU3">
        <v>4</v>
      </c>
      <c r="AV3" t="s">
        <v>64</v>
      </c>
    </row>
    <row r="4" spans="1:48" x14ac:dyDescent="0.25">
      <c r="A4" t="s">
        <v>48</v>
      </c>
      <c r="B4">
        <v>20251208</v>
      </c>
      <c r="C4" t="s">
        <v>49</v>
      </c>
      <c r="D4">
        <v>0</v>
      </c>
      <c r="E4">
        <v>20411454</v>
      </c>
      <c r="F4" t="s">
        <v>50</v>
      </c>
      <c r="G4" t="s">
        <v>51</v>
      </c>
      <c r="H4" t="s">
        <v>52</v>
      </c>
      <c r="I4" t="s">
        <v>53</v>
      </c>
      <c r="J4">
        <v>9079571</v>
      </c>
      <c r="K4">
        <v>441861055</v>
      </c>
      <c r="L4">
        <v>20230401</v>
      </c>
      <c r="M4">
        <v>20230307</v>
      </c>
      <c r="O4">
        <v>3</v>
      </c>
      <c r="P4">
        <v>60</v>
      </c>
      <c r="Q4" t="s">
        <v>65</v>
      </c>
      <c r="R4" t="s">
        <v>65</v>
      </c>
      <c r="S4" t="s">
        <v>72</v>
      </c>
      <c r="U4" t="s">
        <v>73</v>
      </c>
      <c r="W4" t="s">
        <v>74</v>
      </c>
      <c r="Z4" t="s">
        <v>75</v>
      </c>
      <c r="AA4" t="s">
        <v>65</v>
      </c>
      <c r="AB4">
        <v>21205</v>
      </c>
      <c r="AE4" t="s">
        <v>59</v>
      </c>
      <c r="AF4" t="s">
        <v>60</v>
      </c>
      <c r="AG4" t="s">
        <v>61</v>
      </c>
      <c r="AH4" t="s">
        <v>62</v>
      </c>
      <c r="AI4">
        <v>20251201</v>
      </c>
      <c r="AJ4" t="s">
        <v>63</v>
      </c>
      <c r="AK4" t="s">
        <v>63</v>
      </c>
      <c r="AL4">
        <v>1</v>
      </c>
      <c r="AM4">
        <v>20251204</v>
      </c>
      <c r="AN4">
        <v>10.4</v>
      </c>
      <c r="AO4">
        <v>10.4</v>
      </c>
      <c r="AP4" t="s">
        <v>63</v>
      </c>
      <c r="AS4">
        <v>100</v>
      </c>
      <c r="AT4">
        <v>0.42</v>
      </c>
      <c r="AU4">
        <v>4</v>
      </c>
      <c r="AV4" t="s">
        <v>64</v>
      </c>
    </row>
    <row r="5" spans="1:48" x14ac:dyDescent="0.25">
      <c r="A5" t="s">
        <v>48</v>
      </c>
      <c r="B5">
        <v>20251208</v>
      </c>
      <c r="C5" t="s">
        <v>49</v>
      </c>
      <c r="D5">
        <v>0</v>
      </c>
      <c r="E5">
        <v>20411454</v>
      </c>
      <c r="F5" t="s">
        <v>50</v>
      </c>
      <c r="G5" t="s">
        <v>51</v>
      </c>
      <c r="H5" t="s">
        <v>52</v>
      </c>
      <c r="I5" t="s">
        <v>53</v>
      </c>
      <c r="J5">
        <v>9079571</v>
      </c>
      <c r="K5">
        <v>441874278</v>
      </c>
      <c r="L5">
        <v>20230401</v>
      </c>
      <c r="M5">
        <v>20230314</v>
      </c>
      <c r="O5">
        <v>3</v>
      </c>
      <c r="P5">
        <v>58</v>
      </c>
      <c r="Q5" t="s">
        <v>65</v>
      </c>
      <c r="R5" t="s">
        <v>65</v>
      </c>
      <c r="S5" t="s">
        <v>76</v>
      </c>
      <c r="U5" t="s">
        <v>77</v>
      </c>
      <c r="W5" t="s">
        <v>78</v>
      </c>
      <c r="Z5" t="s">
        <v>79</v>
      </c>
      <c r="AA5" t="s">
        <v>65</v>
      </c>
      <c r="AB5">
        <v>21612</v>
      </c>
      <c r="AE5" t="s">
        <v>59</v>
      </c>
      <c r="AF5" t="s">
        <v>60</v>
      </c>
      <c r="AG5" t="s">
        <v>61</v>
      </c>
      <c r="AH5" t="s">
        <v>62</v>
      </c>
      <c r="AI5">
        <v>20251201</v>
      </c>
      <c r="AJ5" t="s">
        <v>63</v>
      </c>
      <c r="AK5" t="s">
        <v>63</v>
      </c>
      <c r="AL5">
        <v>2</v>
      </c>
      <c r="AM5">
        <v>20251204</v>
      </c>
      <c r="AN5">
        <v>17</v>
      </c>
      <c r="AO5">
        <v>17</v>
      </c>
      <c r="AP5" t="s">
        <v>63</v>
      </c>
      <c r="AS5">
        <v>100</v>
      </c>
      <c r="AT5">
        <v>0.68</v>
      </c>
      <c r="AU5">
        <v>4</v>
      </c>
      <c r="AV5" t="s">
        <v>64</v>
      </c>
    </row>
    <row r="6" spans="1:48" x14ac:dyDescent="0.25">
      <c r="A6" t="s">
        <v>48</v>
      </c>
      <c r="B6">
        <v>20251208</v>
      </c>
      <c r="C6" t="s">
        <v>49</v>
      </c>
      <c r="D6">
        <v>0</v>
      </c>
      <c r="E6">
        <v>20411454</v>
      </c>
      <c r="F6" t="s">
        <v>50</v>
      </c>
      <c r="G6" t="s">
        <v>51</v>
      </c>
      <c r="H6" t="s">
        <v>52</v>
      </c>
      <c r="I6" t="s">
        <v>53</v>
      </c>
      <c r="J6">
        <v>9079571</v>
      </c>
      <c r="K6">
        <v>441951697</v>
      </c>
      <c r="L6">
        <v>20230502</v>
      </c>
      <c r="M6">
        <v>20230501</v>
      </c>
      <c r="O6">
        <v>3</v>
      </c>
      <c r="P6">
        <v>66</v>
      </c>
      <c r="Q6" t="s">
        <v>65</v>
      </c>
      <c r="R6" t="s">
        <v>65</v>
      </c>
      <c r="S6" t="s">
        <v>80</v>
      </c>
      <c r="U6" t="s">
        <v>81</v>
      </c>
      <c r="W6" t="s">
        <v>82</v>
      </c>
      <c r="Z6" t="s">
        <v>83</v>
      </c>
      <c r="AA6" t="s">
        <v>65</v>
      </c>
      <c r="AB6">
        <v>21811</v>
      </c>
      <c r="AE6" t="s">
        <v>59</v>
      </c>
      <c r="AF6" t="s">
        <v>60</v>
      </c>
      <c r="AG6" t="s">
        <v>61</v>
      </c>
      <c r="AH6" t="s">
        <v>62</v>
      </c>
      <c r="AI6">
        <v>20251201</v>
      </c>
      <c r="AJ6" t="s">
        <v>63</v>
      </c>
      <c r="AK6" t="s">
        <v>63</v>
      </c>
      <c r="AL6">
        <v>1</v>
      </c>
      <c r="AM6">
        <v>20251204</v>
      </c>
      <c r="AN6">
        <v>10.4</v>
      </c>
      <c r="AO6">
        <v>10.4</v>
      </c>
      <c r="AP6" t="s">
        <v>63</v>
      </c>
      <c r="AS6">
        <v>100</v>
      </c>
      <c r="AT6">
        <v>0.42</v>
      </c>
      <c r="AU6">
        <v>4</v>
      </c>
      <c r="AV6" t="s">
        <v>64</v>
      </c>
    </row>
    <row r="7" spans="1:48" x14ac:dyDescent="0.25">
      <c r="A7" t="s">
        <v>48</v>
      </c>
      <c r="B7">
        <v>20251208</v>
      </c>
      <c r="C7" t="s">
        <v>49</v>
      </c>
      <c r="D7">
        <v>0</v>
      </c>
      <c r="E7">
        <v>20411454</v>
      </c>
      <c r="F7" t="s">
        <v>50</v>
      </c>
      <c r="G7" t="s">
        <v>84</v>
      </c>
      <c r="H7" t="s">
        <v>85</v>
      </c>
      <c r="I7" t="s">
        <v>86</v>
      </c>
      <c r="J7">
        <v>17425766</v>
      </c>
      <c r="K7">
        <v>441726411</v>
      </c>
      <c r="L7">
        <v>20230101</v>
      </c>
      <c r="M7">
        <v>20221221</v>
      </c>
      <c r="O7">
        <v>3</v>
      </c>
      <c r="P7">
        <v>64</v>
      </c>
      <c r="Q7" t="s">
        <v>87</v>
      </c>
      <c r="R7" t="s">
        <v>87</v>
      </c>
      <c r="S7" t="s">
        <v>88</v>
      </c>
      <c r="U7" t="s">
        <v>89</v>
      </c>
      <c r="W7" t="s">
        <v>90</v>
      </c>
      <c r="Z7" t="s">
        <v>91</v>
      </c>
      <c r="AA7" t="s">
        <v>87</v>
      </c>
      <c r="AB7">
        <v>19148</v>
      </c>
      <c r="AE7" t="s">
        <v>59</v>
      </c>
      <c r="AF7" t="s">
        <v>60</v>
      </c>
      <c r="AG7" t="s">
        <v>61</v>
      </c>
      <c r="AH7" t="s">
        <v>62</v>
      </c>
      <c r="AI7">
        <v>20251201</v>
      </c>
      <c r="AJ7" t="s">
        <v>63</v>
      </c>
      <c r="AK7" t="s">
        <v>63</v>
      </c>
      <c r="AL7">
        <v>0</v>
      </c>
      <c r="AM7">
        <v>20251204</v>
      </c>
      <c r="AN7">
        <v>11.4</v>
      </c>
      <c r="AO7">
        <v>11.4</v>
      </c>
      <c r="AP7" t="s">
        <v>63</v>
      </c>
      <c r="AS7">
        <v>100</v>
      </c>
      <c r="AT7">
        <v>0.91</v>
      </c>
      <c r="AU7">
        <v>8</v>
      </c>
      <c r="AV7" t="s">
        <v>64</v>
      </c>
    </row>
    <row r="8" spans="1:48" x14ac:dyDescent="0.25">
      <c r="A8" t="s">
        <v>48</v>
      </c>
      <c r="B8">
        <v>20251208</v>
      </c>
      <c r="C8" t="s">
        <v>49</v>
      </c>
      <c r="D8">
        <v>0</v>
      </c>
      <c r="E8">
        <v>20411454</v>
      </c>
      <c r="F8" t="s">
        <v>50</v>
      </c>
      <c r="G8" t="s">
        <v>84</v>
      </c>
      <c r="H8" t="s">
        <v>85</v>
      </c>
      <c r="I8" t="s">
        <v>86</v>
      </c>
      <c r="J8">
        <v>17425766</v>
      </c>
      <c r="K8">
        <v>441853073</v>
      </c>
      <c r="L8">
        <v>20230302</v>
      </c>
      <c r="M8">
        <v>20230301</v>
      </c>
      <c r="O8">
        <v>3</v>
      </c>
      <c r="P8">
        <v>49</v>
      </c>
      <c r="Q8" t="s">
        <v>87</v>
      </c>
      <c r="R8" t="s">
        <v>87</v>
      </c>
      <c r="S8" t="s">
        <v>92</v>
      </c>
      <c r="U8" t="s">
        <v>93</v>
      </c>
      <c r="W8" t="s">
        <v>94</v>
      </c>
      <c r="Z8" t="s">
        <v>95</v>
      </c>
      <c r="AA8" t="s">
        <v>87</v>
      </c>
      <c r="AB8">
        <v>19460</v>
      </c>
      <c r="AE8" t="s">
        <v>59</v>
      </c>
      <c r="AF8" t="s">
        <v>60</v>
      </c>
      <c r="AG8" t="s">
        <v>61</v>
      </c>
      <c r="AH8" t="s">
        <v>62</v>
      </c>
      <c r="AI8">
        <v>20251201</v>
      </c>
      <c r="AJ8" t="s">
        <v>63</v>
      </c>
      <c r="AK8" t="s">
        <v>63</v>
      </c>
      <c r="AL8">
        <v>1</v>
      </c>
      <c r="AM8">
        <v>20251204</v>
      </c>
      <c r="AN8">
        <v>11.4</v>
      </c>
      <c r="AO8">
        <v>11.4</v>
      </c>
      <c r="AP8" t="s">
        <v>63</v>
      </c>
      <c r="AS8">
        <v>100</v>
      </c>
      <c r="AT8">
        <v>0.91</v>
      </c>
      <c r="AU8">
        <v>8</v>
      </c>
      <c r="AV8" t="s">
        <v>64</v>
      </c>
    </row>
    <row r="9" spans="1:48" x14ac:dyDescent="0.25">
      <c r="A9" t="s">
        <v>48</v>
      </c>
      <c r="B9">
        <v>20251208</v>
      </c>
      <c r="C9" t="s">
        <v>49</v>
      </c>
      <c r="D9">
        <v>0</v>
      </c>
      <c r="E9">
        <v>20411454</v>
      </c>
      <c r="F9" t="s">
        <v>50</v>
      </c>
      <c r="G9" t="s">
        <v>84</v>
      </c>
      <c r="H9" t="s">
        <v>85</v>
      </c>
      <c r="I9" t="s">
        <v>86</v>
      </c>
      <c r="J9">
        <v>17425766</v>
      </c>
      <c r="K9">
        <v>441913483</v>
      </c>
      <c r="L9">
        <v>20230601</v>
      </c>
      <c r="M9">
        <v>20230407</v>
      </c>
      <c r="O9">
        <v>3</v>
      </c>
      <c r="P9">
        <v>70</v>
      </c>
      <c r="Q9" t="s">
        <v>87</v>
      </c>
      <c r="R9" t="s">
        <v>87</v>
      </c>
      <c r="S9" t="s">
        <v>96</v>
      </c>
      <c r="U9" t="s">
        <v>97</v>
      </c>
      <c r="W9" t="s">
        <v>98</v>
      </c>
      <c r="Z9" t="s">
        <v>99</v>
      </c>
      <c r="AA9" t="s">
        <v>87</v>
      </c>
      <c r="AB9">
        <v>19001</v>
      </c>
      <c r="AE9" t="s">
        <v>59</v>
      </c>
      <c r="AF9" t="s">
        <v>60</v>
      </c>
      <c r="AG9" t="s">
        <v>61</v>
      </c>
      <c r="AH9" t="s">
        <v>62</v>
      </c>
      <c r="AI9">
        <v>20251201</v>
      </c>
      <c r="AJ9" t="s">
        <v>63</v>
      </c>
      <c r="AK9" t="s">
        <v>63</v>
      </c>
      <c r="AL9">
        <v>1</v>
      </c>
      <c r="AM9">
        <v>20251204</v>
      </c>
      <c r="AN9">
        <v>11.4</v>
      </c>
      <c r="AO9">
        <v>11.4</v>
      </c>
      <c r="AP9" t="s">
        <v>63</v>
      </c>
      <c r="AS9">
        <v>100</v>
      </c>
      <c r="AT9">
        <v>0.91</v>
      </c>
      <c r="AU9">
        <v>8</v>
      </c>
      <c r="AV9" t="s">
        <v>64</v>
      </c>
    </row>
    <row r="10" spans="1:48" x14ac:dyDescent="0.25">
      <c r="A10" t="s">
        <v>48</v>
      </c>
      <c r="B10">
        <v>20251208</v>
      </c>
      <c r="C10" t="s">
        <v>49</v>
      </c>
      <c r="D10">
        <v>0</v>
      </c>
      <c r="E10">
        <v>20411454</v>
      </c>
      <c r="F10" t="s">
        <v>50</v>
      </c>
      <c r="G10" t="s">
        <v>84</v>
      </c>
      <c r="H10" t="s">
        <v>85</v>
      </c>
      <c r="I10" t="s">
        <v>86</v>
      </c>
      <c r="J10">
        <v>17425766</v>
      </c>
      <c r="K10">
        <v>442047054</v>
      </c>
      <c r="L10">
        <v>20230701</v>
      </c>
      <c r="M10">
        <v>20230629</v>
      </c>
      <c r="O10">
        <v>3</v>
      </c>
      <c r="P10">
        <v>61</v>
      </c>
      <c r="Q10" t="s">
        <v>100</v>
      </c>
      <c r="R10" t="s">
        <v>100</v>
      </c>
      <c r="S10" t="s">
        <v>101</v>
      </c>
      <c r="U10" t="s">
        <v>102</v>
      </c>
      <c r="W10" t="s">
        <v>103</v>
      </c>
      <c r="Z10" t="s">
        <v>104</v>
      </c>
      <c r="AA10" t="s">
        <v>100</v>
      </c>
      <c r="AB10" t="s">
        <v>105</v>
      </c>
      <c r="AC10" t="s">
        <v>106</v>
      </c>
      <c r="AE10" t="s">
        <v>107</v>
      </c>
      <c r="AF10" t="s">
        <v>108</v>
      </c>
      <c r="AG10" t="s">
        <v>61</v>
      </c>
      <c r="AH10" t="s">
        <v>62</v>
      </c>
      <c r="AI10">
        <v>20251201</v>
      </c>
      <c r="AJ10" t="s">
        <v>63</v>
      </c>
      <c r="AK10" t="s">
        <v>63</v>
      </c>
      <c r="AL10">
        <v>1</v>
      </c>
      <c r="AM10">
        <v>20251204</v>
      </c>
      <c r="AN10">
        <v>37.340000000000003</v>
      </c>
      <c r="AO10">
        <v>37.340000000000003</v>
      </c>
      <c r="AP10" t="s">
        <v>63</v>
      </c>
      <c r="AS10">
        <v>100</v>
      </c>
      <c r="AT10">
        <v>1.49</v>
      </c>
      <c r="AU10">
        <v>4</v>
      </c>
      <c r="AV10" t="s">
        <v>64</v>
      </c>
    </row>
    <row r="11" spans="1:48" x14ac:dyDescent="0.25">
      <c r="A11" t="s">
        <v>48</v>
      </c>
      <c r="B11">
        <v>20251208</v>
      </c>
      <c r="C11" t="s">
        <v>49</v>
      </c>
      <c r="D11">
        <v>0</v>
      </c>
      <c r="E11">
        <v>20411454</v>
      </c>
      <c r="F11" t="s">
        <v>50</v>
      </c>
      <c r="G11" t="s">
        <v>84</v>
      </c>
      <c r="H11" t="s">
        <v>85</v>
      </c>
      <c r="I11" t="s">
        <v>86</v>
      </c>
      <c r="J11">
        <v>17425766</v>
      </c>
      <c r="K11">
        <v>442268083</v>
      </c>
      <c r="L11">
        <v>20231201</v>
      </c>
      <c r="M11">
        <v>20231109</v>
      </c>
      <c r="O11">
        <v>3</v>
      </c>
      <c r="P11">
        <v>48</v>
      </c>
      <c r="Q11" t="s">
        <v>100</v>
      </c>
      <c r="R11" t="s">
        <v>100</v>
      </c>
      <c r="S11" t="s">
        <v>109</v>
      </c>
      <c r="U11" t="s">
        <v>110</v>
      </c>
      <c r="W11" t="s">
        <v>111</v>
      </c>
      <c r="Z11" t="s">
        <v>112</v>
      </c>
      <c r="AA11" t="s">
        <v>100</v>
      </c>
      <c r="AB11">
        <v>33076</v>
      </c>
      <c r="AC11" t="s">
        <v>113</v>
      </c>
      <c r="AE11" t="s">
        <v>114</v>
      </c>
      <c r="AF11" t="s">
        <v>115</v>
      </c>
      <c r="AG11" t="s">
        <v>61</v>
      </c>
      <c r="AH11" t="s">
        <v>62</v>
      </c>
      <c r="AI11">
        <v>20251201</v>
      </c>
      <c r="AJ11" t="s">
        <v>63</v>
      </c>
      <c r="AK11" t="s">
        <v>63</v>
      </c>
      <c r="AL11">
        <v>5</v>
      </c>
      <c r="AM11">
        <v>20251204</v>
      </c>
      <c r="AN11">
        <v>48.45</v>
      </c>
      <c r="AO11">
        <v>48.45</v>
      </c>
      <c r="AP11" t="s">
        <v>63</v>
      </c>
      <c r="AS11">
        <v>100</v>
      </c>
      <c r="AT11">
        <v>3.88</v>
      </c>
      <c r="AU11">
        <v>8</v>
      </c>
      <c r="AV11" t="s">
        <v>64</v>
      </c>
    </row>
    <row r="12" spans="1:48" x14ac:dyDescent="0.25">
      <c r="A12" t="s">
        <v>48</v>
      </c>
      <c r="B12">
        <v>20251208</v>
      </c>
      <c r="C12" t="s">
        <v>49</v>
      </c>
      <c r="D12">
        <v>0</v>
      </c>
      <c r="E12">
        <v>20411454</v>
      </c>
      <c r="F12" t="s">
        <v>50</v>
      </c>
      <c r="G12" t="s">
        <v>84</v>
      </c>
      <c r="H12" t="s">
        <v>85</v>
      </c>
      <c r="I12" t="s">
        <v>86</v>
      </c>
      <c r="J12">
        <v>17425766</v>
      </c>
      <c r="K12">
        <v>442268078</v>
      </c>
      <c r="L12">
        <v>20231201</v>
      </c>
      <c r="M12">
        <v>20231109</v>
      </c>
      <c r="O12">
        <v>3</v>
      </c>
      <c r="P12">
        <v>48</v>
      </c>
      <c r="Q12" t="s">
        <v>100</v>
      </c>
      <c r="R12" t="s">
        <v>100</v>
      </c>
      <c r="S12" t="s">
        <v>109</v>
      </c>
      <c r="U12" t="s">
        <v>110</v>
      </c>
      <c r="W12" t="s">
        <v>111</v>
      </c>
      <c r="Z12" t="s">
        <v>112</v>
      </c>
      <c r="AA12" t="s">
        <v>100</v>
      </c>
      <c r="AB12">
        <v>33076</v>
      </c>
      <c r="AC12" t="s">
        <v>113</v>
      </c>
      <c r="AE12" t="s">
        <v>116</v>
      </c>
      <c r="AF12" t="s">
        <v>108</v>
      </c>
      <c r="AG12" t="s">
        <v>61</v>
      </c>
      <c r="AH12" t="s">
        <v>62</v>
      </c>
      <c r="AI12">
        <v>20251201</v>
      </c>
      <c r="AJ12" t="s">
        <v>63</v>
      </c>
      <c r="AK12" t="s">
        <v>63</v>
      </c>
      <c r="AL12">
        <v>5</v>
      </c>
      <c r="AM12">
        <v>20251204</v>
      </c>
      <c r="AN12">
        <v>110.44</v>
      </c>
      <c r="AO12">
        <v>110.44</v>
      </c>
      <c r="AP12" t="s">
        <v>63</v>
      </c>
      <c r="AS12">
        <v>100</v>
      </c>
      <c r="AT12">
        <v>4.42</v>
      </c>
      <c r="AU12">
        <v>4</v>
      </c>
      <c r="AV12" t="s">
        <v>64</v>
      </c>
    </row>
    <row r="13" spans="1:48" x14ac:dyDescent="0.25">
      <c r="A13" t="s">
        <v>48</v>
      </c>
      <c r="B13">
        <v>20251208</v>
      </c>
      <c r="C13" t="s">
        <v>49</v>
      </c>
      <c r="D13">
        <v>0</v>
      </c>
      <c r="E13">
        <v>20411454</v>
      </c>
      <c r="F13" t="s">
        <v>50</v>
      </c>
      <c r="G13" t="s">
        <v>84</v>
      </c>
      <c r="H13" t="s">
        <v>85</v>
      </c>
      <c r="I13" t="s">
        <v>86</v>
      </c>
      <c r="J13">
        <v>17425766</v>
      </c>
      <c r="K13">
        <v>442268077</v>
      </c>
      <c r="L13">
        <v>20231201</v>
      </c>
      <c r="M13">
        <v>20231109</v>
      </c>
      <c r="O13">
        <v>3</v>
      </c>
      <c r="P13">
        <v>48</v>
      </c>
      <c r="Q13" t="s">
        <v>100</v>
      </c>
      <c r="R13" t="s">
        <v>100</v>
      </c>
      <c r="S13" t="s">
        <v>109</v>
      </c>
      <c r="U13" t="s">
        <v>110</v>
      </c>
      <c r="W13" t="s">
        <v>111</v>
      </c>
      <c r="Z13" t="s">
        <v>112</v>
      </c>
      <c r="AA13" t="s">
        <v>100</v>
      </c>
      <c r="AB13">
        <v>33076</v>
      </c>
      <c r="AE13" t="s">
        <v>59</v>
      </c>
      <c r="AF13" t="s">
        <v>60</v>
      </c>
      <c r="AG13" t="s">
        <v>61</v>
      </c>
      <c r="AH13" t="s">
        <v>62</v>
      </c>
      <c r="AI13">
        <v>20251201</v>
      </c>
      <c r="AJ13" t="s">
        <v>63</v>
      </c>
      <c r="AK13" t="s">
        <v>63</v>
      </c>
      <c r="AL13">
        <v>5</v>
      </c>
      <c r="AM13">
        <v>20251204</v>
      </c>
      <c r="AN13">
        <v>36.799999999999997</v>
      </c>
      <c r="AO13">
        <v>36.799999999999997</v>
      </c>
      <c r="AP13" t="s">
        <v>63</v>
      </c>
      <c r="AS13">
        <v>100</v>
      </c>
      <c r="AT13">
        <v>1.47</v>
      </c>
      <c r="AU13">
        <v>4</v>
      </c>
      <c r="AV13" t="s">
        <v>64</v>
      </c>
    </row>
    <row r="14" spans="1:48" x14ac:dyDescent="0.25">
      <c r="A14" t="s">
        <v>48</v>
      </c>
      <c r="B14">
        <v>20251208</v>
      </c>
      <c r="C14" t="s">
        <v>49</v>
      </c>
      <c r="D14">
        <v>0</v>
      </c>
      <c r="E14">
        <v>20411454</v>
      </c>
      <c r="F14" t="s">
        <v>50</v>
      </c>
      <c r="G14" t="s">
        <v>117</v>
      </c>
      <c r="H14" t="s">
        <v>118</v>
      </c>
      <c r="I14" t="s">
        <v>119</v>
      </c>
      <c r="J14">
        <v>20697692</v>
      </c>
      <c r="K14">
        <v>442037493</v>
      </c>
      <c r="L14">
        <v>20230701</v>
      </c>
      <c r="M14">
        <v>20230624</v>
      </c>
      <c r="O14">
        <v>3</v>
      </c>
      <c r="P14">
        <v>70</v>
      </c>
      <c r="Q14" t="s">
        <v>100</v>
      </c>
      <c r="R14" t="s">
        <v>65</v>
      </c>
      <c r="S14" t="s">
        <v>120</v>
      </c>
      <c r="U14" t="s">
        <v>121</v>
      </c>
      <c r="W14" t="s">
        <v>122</v>
      </c>
      <c r="Z14" t="s">
        <v>123</v>
      </c>
      <c r="AA14" t="s">
        <v>100</v>
      </c>
      <c r="AB14" t="s">
        <v>124</v>
      </c>
      <c r="AC14" t="s">
        <v>125</v>
      </c>
      <c r="AE14" t="s">
        <v>59</v>
      </c>
      <c r="AF14" t="s">
        <v>60</v>
      </c>
      <c r="AG14" t="s">
        <v>61</v>
      </c>
      <c r="AH14" t="s">
        <v>62</v>
      </c>
      <c r="AI14">
        <v>20251201</v>
      </c>
      <c r="AJ14" t="s">
        <v>63</v>
      </c>
      <c r="AK14" t="s">
        <v>63</v>
      </c>
      <c r="AL14">
        <v>2</v>
      </c>
      <c r="AM14">
        <v>20251204</v>
      </c>
      <c r="AN14">
        <v>17</v>
      </c>
      <c r="AO14">
        <v>17</v>
      </c>
      <c r="AP14" t="s">
        <v>63</v>
      </c>
      <c r="AS14">
        <v>100</v>
      </c>
      <c r="AT14">
        <v>0.68</v>
      </c>
      <c r="AU14">
        <v>4</v>
      </c>
      <c r="AV14" t="s">
        <v>64</v>
      </c>
    </row>
    <row r="15" spans="1:48" x14ac:dyDescent="0.25">
      <c r="A15" t="s">
        <v>48</v>
      </c>
      <c r="B15">
        <v>20251208</v>
      </c>
      <c r="C15" t="s">
        <v>49</v>
      </c>
      <c r="D15">
        <v>0</v>
      </c>
      <c r="E15">
        <v>20411454</v>
      </c>
      <c r="F15" t="s">
        <v>50</v>
      </c>
      <c r="G15" t="s">
        <v>117</v>
      </c>
      <c r="H15" t="s">
        <v>118</v>
      </c>
      <c r="I15" t="s">
        <v>119</v>
      </c>
      <c r="J15">
        <v>20697692</v>
      </c>
      <c r="K15">
        <v>442236865</v>
      </c>
      <c r="L15">
        <v>20231101</v>
      </c>
      <c r="M15">
        <v>20231027</v>
      </c>
      <c r="O15">
        <v>3</v>
      </c>
      <c r="P15">
        <v>52</v>
      </c>
      <c r="Q15" t="s">
        <v>65</v>
      </c>
      <c r="R15" t="s">
        <v>65</v>
      </c>
      <c r="S15" t="s">
        <v>126</v>
      </c>
      <c r="U15" t="s">
        <v>127</v>
      </c>
      <c r="W15" t="s">
        <v>128</v>
      </c>
      <c r="Z15" t="s">
        <v>129</v>
      </c>
      <c r="AA15" t="s">
        <v>65</v>
      </c>
      <c r="AB15">
        <v>21704</v>
      </c>
      <c r="AE15" t="s">
        <v>59</v>
      </c>
      <c r="AF15" t="s">
        <v>60</v>
      </c>
      <c r="AG15" t="s">
        <v>61</v>
      </c>
      <c r="AH15" t="s">
        <v>62</v>
      </c>
      <c r="AI15">
        <v>20251201</v>
      </c>
      <c r="AJ15" t="s">
        <v>63</v>
      </c>
      <c r="AK15" t="s">
        <v>63</v>
      </c>
      <c r="AL15">
        <v>2</v>
      </c>
      <c r="AM15">
        <v>20251204</v>
      </c>
      <c r="AN15">
        <v>17</v>
      </c>
      <c r="AO15">
        <v>17</v>
      </c>
      <c r="AP15" t="s">
        <v>63</v>
      </c>
      <c r="AS15">
        <v>100</v>
      </c>
      <c r="AT15">
        <v>0.68</v>
      </c>
      <c r="AU15">
        <v>4</v>
      </c>
      <c r="AV15" t="s">
        <v>64</v>
      </c>
    </row>
    <row r="16" spans="1:48" x14ac:dyDescent="0.25">
      <c r="A16" t="s">
        <v>48</v>
      </c>
      <c r="B16">
        <v>20251208</v>
      </c>
      <c r="C16" t="s">
        <v>49</v>
      </c>
      <c r="D16">
        <v>0</v>
      </c>
      <c r="E16">
        <v>20411454</v>
      </c>
      <c r="F16" t="s">
        <v>50</v>
      </c>
      <c r="G16" t="s">
        <v>117</v>
      </c>
      <c r="H16" t="s">
        <v>118</v>
      </c>
      <c r="I16" t="s">
        <v>119</v>
      </c>
      <c r="J16">
        <v>20697692</v>
      </c>
      <c r="K16">
        <v>442288978</v>
      </c>
      <c r="L16">
        <v>20240101</v>
      </c>
      <c r="M16">
        <v>20231117</v>
      </c>
      <c r="O16">
        <v>3</v>
      </c>
      <c r="P16">
        <v>63</v>
      </c>
      <c r="Q16" t="s">
        <v>65</v>
      </c>
      <c r="R16" t="s">
        <v>65</v>
      </c>
      <c r="S16" t="s">
        <v>130</v>
      </c>
      <c r="U16" t="s">
        <v>131</v>
      </c>
      <c r="W16" t="s">
        <v>132</v>
      </c>
      <c r="Z16" t="s">
        <v>133</v>
      </c>
      <c r="AA16" t="s">
        <v>65</v>
      </c>
      <c r="AB16">
        <v>21014</v>
      </c>
      <c r="AE16" t="s">
        <v>59</v>
      </c>
      <c r="AF16" t="s">
        <v>60</v>
      </c>
      <c r="AG16" t="s">
        <v>61</v>
      </c>
      <c r="AH16" t="s">
        <v>62</v>
      </c>
      <c r="AI16">
        <v>20251201</v>
      </c>
      <c r="AJ16" t="s">
        <v>63</v>
      </c>
      <c r="AK16" t="s">
        <v>63</v>
      </c>
      <c r="AL16">
        <v>1</v>
      </c>
      <c r="AM16">
        <v>20251204</v>
      </c>
      <c r="AN16">
        <v>10.4</v>
      </c>
      <c r="AO16">
        <v>10.4</v>
      </c>
      <c r="AP16" t="s">
        <v>63</v>
      </c>
      <c r="AS16">
        <v>100</v>
      </c>
      <c r="AT16">
        <v>0.42</v>
      </c>
      <c r="AU16">
        <v>4</v>
      </c>
      <c r="AV16" t="s">
        <v>64</v>
      </c>
    </row>
    <row r="17" spans="1:48" x14ac:dyDescent="0.25">
      <c r="A17" t="s">
        <v>48</v>
      </c>
      <c r="B17">
        <v>20251208</v>
      </c>
      <c r="C17" t="s">
        <v>49</v>
      </c>
      <c r="D17">
        <v>0</v>
      </c>
      <c r="E17">
        <v>20411454</v>
      </c>
      <c r="F17" t="s">
        <v>50</v>
      </c>
      <c r="G17" t="s">
        <v>51</v>
      </c>
      <c r="H17" t="s">
        <v>134</v>
      </c>
      <c r="I17" t="s">
        <v>135</v>
      </c>
      <c r="J17">
        <v>16509456</v>
      </c>
      <c r="K17">
        <v>441862448</v>
      </c>
      <c r="L17">
        <v>20230401</v>
      </c>
      <c r="M17">
        <v>20230307</v>
      </c>
      <c r="O17">
        <v>3</v>
      </c>
      <c r="P17">
        <v>61</v>
      </c>
      <c r="Q17" t="s">
        <v>87</v>
      </c>
      <c r="R17" t="s">
        <v>87</v>
      </c>
      <c r="S17" t="s">
        <v>136</v>
      </c>
      <c r="U17" t="s">
        <v>137</v>
      </c>
      <c r="W17" t="s">
        <v>138</v>
      </c>
      <c r="Z17" t="s">
        <v>139</v>
      </c>
      <c r="AA17" t="s">
        <v>87</v>
      </c>
      <c r="AB17">
        <v>19372</v>
      </c>
      <c r="AC17" t="s">
        <v>140</v>
      </c>
      <c r="AE17" t="s">
        <v>107</v>
      </c>
      <c r="AF17" t="s">
        <v>108</v>
      </c>
      <c r="AG17" t="s">
        <v>61</v>
      </c>
      <c r="AH17" t="s">
        <v>62</v>
      </c>
      <c r="AI17">
        <v>20251201</v>
      </c>
      <c r="AJ17" t="s">
        <v>63</v>
      </c>
      <c r="AK17" t="s">
        <v>63</v>
      </c>
      <c r="AL17">
        <v>1</v>
      </c>
      <c r="AM17">
        <v>20251204</v>
      </c>
      <c r="AN17">
        <v>45.49</v>
      </c>
      <c r="AO17">
        <v>45.49</v>
      </c>
      <c r="AP17" t="s">
        <v>63</v>
      </c>
      <c r="AS17">
        <v>100</v>
      </c>
      <c r="AT17">
        <v>1.82</v>
      </c>
      <c r="AU17">
        <v>4</v>
      </c>
      <c r="AV17" t="s">
        <v>64</v>
      </c>
    </row>
    <row r="18" spans="1:48" x14ac:dyDescent="0.25">
      <c r="A18" t="s">
        <v>48</v>
      </c>
      <c r="B18">
        <v>20251208</v>
      </c>
      <c r="C18" t="s">
        <v>49</v>
      </c>
      <c r="D18">
        <v>0</v>
      </c>
      <c r="E18">
        <v>20411454</v>
      </c>
      <c r="F18" t="s">
        <v>50</v>
      </c>
      <c r="G18" t="s">
        <v>51</v>
      </c>
      <c r="H18" t="s">
        <v>134</v>
      </c>
      <c r="I18" t="s">
        <v>135</v>
      </c>
      <c r="J18">
        <v>16509456</v>
      </c>
      <c r="K18">
        <v>441991771</v>
      </c>
      <c r="L18">
        <v>20230601</v>
      </c>
      <c r="M18">
        <v>20230526</v>
      </c>
      <c r="O18">
        <v>3</v>
      </c>
      <c r="P18">
        <v>64</v>
      </c>
      <c r="Q18" t="s">
        <v>87</v>
      </c>
      <c r="R18" t="s">
        <v>87</v>
      </c>
      <c r="S18" t="s">
        <v>141</v>
      </c>
      <c r="U18" t="s">
        <v>142</v>
      </c>
      <c r="W18" t="s">
        <v>143</v>
      </c>
      <c r="X18" t="s">
        <v>144</v>
      </c>
      <c r="Z18" t="s">
        <v>145</v>
      </c>
      <c r="AA18" t="s">
        <v>87</v>
      </c>
      <c r="AB18" t="s">
        <v>146</v>
      </c>
      <c r="AC18" t="s">
        <v>147</v>
      </c>
      <c r="AE18" t="s">
        <v>148</v>
      </c>
      <c r="AF18" t="s">
        <v>108</v>
      </c>
      <c r="AG18" t="s">
        <v>61</v>
      </c>
      <c r="AH18" t="s">
        <v>62</v>
      </c>
      <c r="AI18">
        <v>20251201</v>
      </c>
      <c r="AJ18" t="s">
        <v>63</v>
      </c>
      <c r="AK18" t="s">
        <v>63</v>
      </c>
      <c r="AL18">
        <v>1</v>
      </c>
      <c r="AM18">
        <v>20251204</v>
      </c>
      <c r="AN18">
        <v>72.19</v>
      </c>
      <c r="AO18">
        <v>72.19</v>
      </c>
      <c r="AP18" t="s">
        <v>63</v>
      </c>
      <c r="AS18">
        <v>100</v>
      </c>
      <c r="AT18">
        <v>3.61</v>
      </c>
      <c r="AU18">
        <v>5</v>
      </c>
      <c r="AV18" t="s">
        <v>64</v>
      </c>
    </row>
    <row r="19" spans="1:48" x14ac:dyDescent="0.25">
      <c r="A19" t="s">
        <v>48</v>
      </c>
      <c r="B19">
        <v>20251208</v>
      </c>
      <c r="C19" t="s">
        <v>49</v>
      </c>
      <c r="D19">
        <v>0</v>
      </c>
      <c r="E19">
        <v>20411454</v>
      </c>
      <c r="F19" t="s">
        <v>50</v>
      </c>
      <c r="G19" t="s">
        <v>51</v>
      </c>
      <c r="H19" t="s">
        <v>134</v>
      </c>
      <c r="I19" t="s">
        <v>135</v>
      </c>
      <c r="J19">
        <v>16509456</v>
      </c>
      <c r="K19">
        <v>442096371</v>
      </c>
      <c r="L19">
        <v>20230801</v>
      </c>
      <c r="M19">
        <v>20230731</v>
      </c>
      <c r="O19">
        <v>3</v>
      </c>
      <c r="P19">
        <v>43</v>
      </c>
      <c r="Q19" t="s">
        <v>65</v>
      </c>
      <c r="R19" t="s">
        <v>65</v>
      </c>
      <c r="S19" t="s">
        <v>149</v>
      </c>
      <c r="U19" t="s">
        <v>150</v>
      </c>
      <c r="W19" t="s">
        <v>151</v>
      </c>
      <c r="Z19" t="s">
        <v>152</v>
      </c>
      <c r="AA19" t="s">
        <v>65</v>
      </c>
      <c r="AB19">
        <v>20874</v>
      </c>
      <c r="AE19" t="s">
        <v>59</v>
      </c>
      <c r="AF19" t="s">
        <v>60</v>
      </c>
      <c r="AG19" t="s">
        <v>61</v>
      </c>
      <c r="AH19" t="s">
        <v>62</v>
      </c>
      <c r="AI19">
        <v>20251201</v>
      </c>
      <c r="AJ19" t="s">
        <v>63</v>
      </c>
      <c r="AK19" t="s">
        <v>63</v>
      </c>
      <c r="AL19">
        <v>1</v>
      </c>
      <c r="AM19">
        <v>20251204</v>
      </c>
      <c r="AN19">
        <v>10.4</v>
      </c>
      <c r="AO19">
        <v>10.4</v>
      </c>
      <c r="AP19" t="s">
        <v>63</v>
      </c>
      <c r="AS19">
        <v>100</v>
      </c>
      <c r="AT19">
        <v>0.42</v>
      </c>
      <c r="AU19">
        <v>4</v>
      </c>
      <c r="AV19" t="s">
        <v>64</v>
      </c>
    </row>
    <row r="20" spans="1:48" x14ac:dyDescent="0.25">
      <c r="A20" t="s">
        <v>48</v>
      </c>
      <c r="B20">
        <v>20251208</v>
      </c>
      <c r="C20" t="s">
        <v>49</v>
      </c>
      <c r="D20">
        <v>0</v>
      </c>
      <c r="E20">
        <v>20411454</v>
      </c>
      <c r="F20" t="s">
        <v>50</v>
      </c>
      <c r="G20" t="s">
        <v>51</v>
      </c>
      <c r="H20" t="s">
        <v>134</v>
      </c>
      <c r="I20" t="s">
        <v>135</v>
      </c>
      <c r="J20">
        <v>16509456</v>
      </c>
      <c r="K20">
        <v>442580059</v>
      </c>
      <c r="L20">
        <v>20240401</v>
      </c>
      <c r="M20">
        <v>20240330</v>
      </c>
      <c r="O20">
        <v>2</v>
      </c>
      <c r="P20">
        <v>57</v>
      </c>
      <c r="Q20" t="s">
        <v>65</v>
      </c>
      <c r="R20" t="s">
        <v>65</v>
      </c>
      <c r="S20" t="s">
        <v>153</v>
      </c>
      <c r="U20" t="s">
        <v>154</v>
      </c>
      <c r="W20" t="s">
        <v>155</v>
      </c>
      <c r="Z20" t="s">
        <v>156</v>
      </c>
      <c r="AA20" t="s">
        <v>65</v>
      </c>
      <c r="AB20">
        <v>21108</v>
      </c>
      <c r="AE20" t="s">
        <v>157</v>
      </c>
      <c r="AF20" t="s">
        <v>158</v>
      </c>
      <c r="AG20" t="s">
        <v>61</v>
      </c>
      <c r="AH20" t="s">
        <v>62</v>
      </c>
      <c r="AI20">
        <v>20251201</v>
      </c>
      <c r="AJ20" t="s">
        <v>63</v>
      </c>
      <c r="AK20" t="s">
        <v>63</v>
      </c>
      <c r="AL20">
        <v>1</v>
      </c>
      <c r="AM20">
        <v>20251204</v>
      </c>
      <c r="AN20">
        <v>13.28</v>
      </c>
      <c r="AO20">
        <v>13.28</v>
      </c>
      <c r="AP20" t="s">
        <v>63</v>
      </c>
      <c r="AS20">
        <v>100</v>
      </c>
      <c r="AT20">
        <v>0.93</v>
      </c>
      <c r="AU20">
        <v>7</v>
      </c>
      <c r="AV20" t="s">
        <v>64</v>
      </c>
    </row>
    <row r="21" spans="1:48" x14ac:dyDescent="0.25">
      <c r="A21" t="s">
        <v>48</v>
      </c>
      <c r="B21">
        <v>20251208</v>
      </c>
      <c r="C21" t="s">
        <v>49</v>
      </c>
      <c r="D21">
        <v>0</v>
      </c>
      <c r="E21">
        <v>20411454</v>
      </c>
      <c r="F21" t="s">
        <v>50</v>
      </c>
      <c r="G21" t="s">
        <v>159</v>
      </c>
      <c r="H21" t="s">
        <v>160</v>
      </c>
      <c r="I21" t="s">
        <v>161</v>
      </c>
      <c r="J21">
        <v>16202925</v>
      </c>
      <c r="K21">
        <v>442602708</v>
      </c>
      <c r="L21">
        <v>20240501</v>
      </c>
      <c r="M21">
        <v>20240411</v>
      </c>
      <c r="O21">
        <v>2</v>
      </c>
      <c r="P21">
        <v>55</v>
      </c>
      <c r="Q21" t="s">
        <v>65</v>
      </c>
      <c r="R21" t="s">
        <v>65</v>
      </c>
      <c r="S21" t="s">
        <v>162</v>
      </c>
      <c r="U21" t="s">
        <v>163</v>
      </c>
      <c r="W21" t="s">
        <v>164</v>
      </c>
      <c r="Z21" t="s">
        <v>165</v>
      </c>
      <c r="AA21" t="s">
        <v>65</v>
      </c>
      <c r="AB21" t="s">
        <v>166</v>
      </c>
      <c r="AC21" t="s">
        <v>167</v>
      </c>
      <c r="AE21" t="s">
        <v>168</v>
      </c>
      <c r="AF21" t="s">
        <v>169</v>
      </c>
      <c r="AG21" t="s">
        <v>61</v>
      </c>
      <c r="AH21" t="s">
        <v>62</v>
      </c>
      <c r="AI21">
        <v>20251201</v>
      </c>
      <c r="AJ21" t="s">
        <v>63</v>
      </c>
      <c r="AK21" t="s">
        <v>63</v>
      </c>
      <c r="AL21">
        <v>1</v>
      </c>
      <c r="AM21">
        <v>20251204</v>
      </c>
      <c r="AN21">
        <v>42.59</v>
      </c>
      <c r="AO21">
        <v>42.59</v>
      </c>
      <c r="AP21" t="s">
        <v>63</v>
      </c>
      <c r="AS21">
        <v>100</v>
      </c>
      <c r="AT21">
        <v>2.98</v>
      </c>
      <c r="AU21">
        <v>7</v>
      </c>
      <c r="AV21" t="s">
        <v>64</v>
      </c>
    </row>
    <row r="22" spans="1:48" x14ac:dyDescent="0.25">
      <c r="A22" t="s">
        <v>48</v>
      </c>
      <c r="B22">
        <v>20251208</v>
      </c>
      <c r="C22" t="s">
        <v>49</v>
      </c>
      <c r="D22">
        <v>0</v>
      </c>
      <c r="E22">
        <v>20411454</v>
      </c>
      <c r="F22" t="s">
        <v>50</v>
      </c>
      <c r="G22" t="s">
        <v>159</v>
      </c>
      <c r="H22" t="s">
        <v>160</v>
      </c>
      <c r="I22" t="s">
        <v>161</v>
      </c>
      <c r="J22">
        <v>16202925</v>
      </c>
      <c r="K22">
        <v>442649730</v>
      </c>
      <c r="L22">
        <v>20240601</v>
      </c>
      <c r="M22">
        <v>20240506</v>
      </c>
      <c r="O22">
        <v>2</v>
      </c>
      <c r="P22">
        <v>31</v>
      </c>
      <c r="Q22" t="s">
        <v>65</v>
      </c>
      <c r="R22" t="s">
        <v>65</v>
      </c>
      <c r="S22" t="s">
        <v>170</v>
      </c>
      <c r="U22" t="s">
        <v>171</v>
      </c>
      <c r="W22" t="s">
        <v>172</v>
      </c>
      <c r="Z22" t="s">
        <v>173</v>
      </c>
      <c r="AA22" t="s">
        <v>65</v>
      </c>
      <c r="AB22">
        <v>21911</v>
      </c>
      <c r="AC22" t="s">
        <v>174</v>
      </c>
      <c r="AE22" t="s">
        <v>175</v>
      </c>
      <c r="AF22" t="s">
        <v>169</v>
      </c>
      <c r="AG22" t="s">
        <v>61</v>
      </c>
      <c r="AH22" t="s">
        <v>62</v>
      </c>
      <c r="AI22">
        <v>20251201</v>
      </c>
      <c r="AJ22" t="s">
        <v>63</v>
      </c>
      <c r="AK22" t="s">
        <v>63</v>
      </c>
      <c r="AL22">
        <v>2</v>
      </c>
      <c r="AM22">
        <v>20251204</v>
      </c>
      <c r="AN22">
        <v>111.57</v>
      </c>
      <c r="AO22">
        <v>111.57</v>
      </c>
      <c r="AP22" t="s">
        <v>63</v>
      </c>
      <c r="AS22">
        <v>100</v>
      </c>
      <c r="AT22">
        <v>7.81</v>
      </c>
      <c r="AU22">
        <v>7</v>
      </c>
      <c r="AV22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0F8AF-C162-40D3-B204-125CBA47FA45}">
  <dimension ref="A1:R22"/>
  <sheetViews>
    <sheetView tabSelected="1" workbookViewId="0">
      <selection activeCell="P1" sqref="P1:P1048576"/>
    </sheetView>
  </sheetViews>
  <sheetFormatPr defaultRowHeight="15" x14ac:dyDescent="0.25"/>
  <cols>
    <col min="1" max="1" width="9.5703125" customWidth="1"/>
    <col min="2" max="3" width="8.5703125" customWidth="1"/>
    <col min="4" max="4" width="10.7109375" customWidth="1"/>
    <col min="5" max="5" width="14.140625" bestFit="1" customWidth="1"/>
    <col min="6" max="6" width="10.85546875" customWidth="1"/>
    <col min="7" max="7" width="10.7109375" customWidth="1"/>
    <col min="8" max="8" width="12.5703125" customWidth="1"/>
    <col min="9" max="10" width="15.42578125" customWidth="1"/>
    <col min="11" max="11" width="15.7109375" customWidth="1"/>
    <col min="12" max="12" width="31.7109375" bestFit="1" customWidth="1"/>
    <col min="13" max="13" width="13.42578125" customWidth="1"/>
    <col min="14" max="14" width="10.42578125" customWidth="1"/>
    <col min="15" max="15" width="13" customWidth="1"/>
    <col min="16" max="17" width="9.140625" customWidth="1"/>
  </cols>
  <sheetData>
    <row r="1" spans="1:18" x14ac:dyDescent="0.25">
      <c r="A1" t="s">
        <v>6</v>
      </c>
      <c r="B1" t="s">
        <v>7</v>
      </c>
      <c r="D1" t="s">
        <v>9</v>
      </c>
      <c r="E1" t="s">
        <v>10</v>
      </c>
      <c r="F1" t="s">
        <v>11</v>
      </c>
      <c r="G1" t="s">
        <v>17</v>
      </c>
      <c r="H1" t="s">
        <v>18</v>
      </c>
      <c r="I1" t="s">
        <v>20</v>
      </c>
      <c r="K1" t="s">
        <v>30</v>
      </c>
      <c r="L1" t="s">
        <v>31</v>
      </c>
      <c r="M1" t="s">
        <v>34</v>
      </c>
      <c r="N1" t="s">
        <v>39</v>
      </c>
      <c r="O1" t="s">
        <v>40</v>
      </c>
      <c r="P1" t="s">
        <v>45</v>
      </c>
      <c r="Q1" t="s">
        <v>46</v>
      </c>
    </row>
    <row r="2" spans="1:18" x14ac:dyDescent="0.25">
      <c r="A2" t="s">
        <v>51</v>
      </c>
      <c r="B2" t="s">
        <v>52</v>
      </c>
      <c r="C2" t="str">
        <f>CONCATENATE(B2, " ",A2)</f>
        <v>Adam Richter</v>
      </c>
      <c r="D2">
        <v>9079571</v>
      </c>
      <c r="E2">
        <v>441848447</v>
      </c>
      <c r="F2" s="1">
        <v>44986</v>
      </c>
      <c r="G2" t="s">
        <v>65</v>
      </c>
      <c r="H2" t="s">
        <v>66</v>
      </c>
      <c r="I2" t="s">
        <v>67</v>
      </c>
      <c r="J2" t="str">
        <f>CONCATENATE(H2, " ",I2)</f>
        <v>ZEV SHEPPARD</v>
      </c>
      <c r="K2" t="s">
        <v>59</v>
      </c>
      <c r="L2" t="s">
        <v>60</v>
      </c>
      <c r="M2" s="1">
        <v>45992</v>
      </c>
      <c r="N2">
        <v>10.4</v>
      </c>
      <c r="O2">
        <v>10.4</v>
      </c>
      <c r="P2">
        <v>0.42</v>
      </c>
      <c r="Q2">
        <v>4</v>
      </c>
      <c r="R2" t="s">
        <v>181</v>
      </c>
    </row>
    <row r="3" spans="1:18" x14ac:dyDescent="0.25">
      <c r="A3" t="s">
        <v>51</v>
      </c>
      <c r="B3" t="s">
        <v>52</v>
      </c>
      <c r="C3" t="str">
        <f>CONCATENATE(B3, " ",A3)</f>
        <v>Adam Richter</v>
      </c>
      <c r="D3">
        <v>9079571</v>
      </c>
      <c r="E3">
        <v>441861055</v>
      </c>
      <c r="F3" s="1">
        <v>45017</v>
      </c>
      <c r="G3" t="s">
        <v>65</v>
      </c>
      <c r="H3" t="s">
        <v>72</v>
      </c>
      <c r="I3" t="s">
        <v>73</v>
      </c>
      <c r="J3" t="str">
        <f>CONCATENATE(H3, " ",I3)</f>
        <v>KEVIN KITCHEN</v>
      </c>
      <c r="K3" t="s">
        <v>59</v>
      </c>
      <c r="L3" t="s">
        <v>60</v>
      </c>
      <c r="M3" s="1">
        <v>45992</v>
      </c>
      <c r="N3">
        <v>10.4</v>
      </c>
      <c r="O3">
        <v>10.4</v>
      </c>
      <c r="P3">
        <v>0.42</v>
      </c>
      <c r="Q3">
        <v>4</v>
      </c>
      <c r="R3" t="s">
        <v>181</v>
      </c>
    </row>
    <row r="4" spans="1:18" x14ac:dyDescent="0.25">
      <c r="A4" t="s">
        <v>51</v>
      </c>
      <c r="B4" t="s">
        <v>52</v>
      </c>
      <c r="C4" t="str">
        <f>CONCATENATE(B4, " ",A4)</f>
        <v>Adam Richter</v>
      </c>
      <c r="D4">
        <v>9079571</v>
      </c>
      <c r="E4">
        <v>441874278</v>
      </c>
      <c r="F4" s="1">
        <v>45017</v>
      </c>
      <c r="G4" t="s">
        <v>65</v>
      </c>
      <c r="H4" t="s">
        <v>76</v>
      </c>
      <c r="I4" t="s">
        <v>77</v>
      </c>
      <c r="J4" t="str">
        <f>CONCATENATE(H4, " ",I4)</f>
        <v>NEAL KIRSCH</v>
      </c>
      <c r="K4" t="s">
        <v>59</v>
      </c>
      <c r="L4" t="s">
        <v>60</v>
      </c>
      <c r="M4" s="1">
        <v>45992</v>
      </c>
      <c r="N4">
        <v>17</v>
      </c>
      <c r="O4">
        <v>17</v>
      </c>
      <c r="P4">
        <v>0.68</v>
      </c>
      <c r="Q4">
        <v>4</v>
      </c>
      <c r="R4" t="s">
        <v>181</v>
      </c>
    </row>
    <row r="5" spans="1:18" x14ac:dyDescent="0.25">
      <c r="A5" t="s">
        <v>51</v>
      </c>
      <c r="B5" t="s">
        <v>52</v>
      </c>
      <c r="C5" t="str">
        <f>CONCATENATE(B5, " ",A5)</f>
        <v>Adam Richter</v>
      </c>
      <c r="D5">
        <v>9079571</v>
      </c>
      <c r="E5">
        <v>441951697</v>
      </c>
      <c r="F5" s="1">
        <v>45048</v>
      </c>
      <c r="G5" t="s">
        <v>65</v>
      </c>
      <c r="H5" t="s">
        <v>80</v>
      </c>
      <c r="I5" t="s">
        <v>81</v>
      </c>
      <c r="J5" t="str">
        <f>CONCATENATE(H5, " ",I5)</f>
        <v>KAREN FRITZ</v>
      </c>
      <c r="K5" t="s">
        <v>59</v>
      </c>
      <c r="L5" t="s">
        <v>60</v>
      </c>
      <c r="M5" s="1">
        <v>45992</v>
      </c>
      <c r="N5">
        <v>10.4</v>
      </c>
      <c r="O5">
        <v>10.4</v>
      </c>
      <c r="P5">
        <v>0.42</v>
      </c>
      <c r="Q5">
        <v>4</v>
      </c>
      <c r="R5" t="s">
        <v>181</v>
      </c>
    </row>
    <row r="6" spans="1:18" x14ac:dyDescent="0.25">
      <c r="A6" t="s">
        <v>51</v>
      </c>
      <c r="B6" t="s">
        <v>52</v>
      </c>
      <c r="C6" t="str">
        <f>CONCATENATE(B6, " ",A6)</f>
        <v>Adam Richter</v>
      </c>
      <c r="D6">
        <v>9079571</v>
      </c>
      <c r="E6">
        <v>441842580</v>
      </c>
      <c r="F6" s="1">
        <v>44986</v>
      </c>
      <c r="G6" t="s">
        <v>54</v>
      </c>
      <c r="H6" t="s">
        <v>55</v>
      </c>
      <c r="I6" t="s">
        <v>56</v>
      </c>
      <c r="J6" t="str">
        <f>CONCATENATE(H6, " ",I6)</f>
        <v>GAY BROWNE</v>
      </c>
      <c r="K6" t="s">
        <v>59</v>
      </c>
      <c r="L6" t="s">
        <v>60</v>
      </c>
      <c r="M6" s="1">
        <v>45992</v>
      </c>
      <c r="N6">
        <v>11.4</v>
      </c>
      <c r="O6">
        <v>11.4</v>
      </c>
      <c r="P6">
        <v>0.91</v>
      </c>
      <c r="Q6">
        <v>8</v>
      </c>
      <c r="R6" t="s">
        <v>182</v>
      </c>
    </row>
    <row r="7" spans="1:18" x14ac:dyDescent="0.25">
      <c r="A7" t="s">
        <v>84</v>
      </c>
      <c r="B7" t="s">
        <v>85</v>
      </c>
      <c r="C7" t="str">
        <f>CONCATENATE(B7, " ",A7)</f>
        <v>Carol Foley</v>
      </c>
      <c r="D7" t="s">
        <v>183</v>
      </c>
      <c r="E7">
        <v>442268083</v>
      </c>
      <c r="F7" s="1">
        <v>45261</v>
      </c>
      <c r="G7" t="s">
        <v>100</v>
      </c>
      <c r="H7" t="s">
        <v>109</v>
      </c>
      <c r="I7" t="s">
        <v>110</v>
      </c>
      <c r="J7" t="str">
        <f>CONCATENATE(H7, " ",I7)</f>
        <v>SCOTT SHEAR</v>
      </c>
      <c r="K7" t="s">
        <v>114</v>
      </c>
      <c r="L7" t="s">
        <v>115</v>
      </c>
      <c r="M7" s="1">
        <v>45992</v>
      </c>
      <c r="N7">
        <v>48.45</v>
      </c>
      <c r="O7">
        <v>48.45</v>
      </c>
      <c r="P7">
        <v>3.88</v>
      </c>
      <c r="Q7">
        <v>8</v>
      </c>
      <c r="R7" t="s">
        <v>176</v>
      </c>
    </row>
    <row r="8" spans="1:18" x14ac:dyDescent="0.25">
      <c r="A8" t="s">
        <v>84</v>
      </c>
      <c r="B8" t="s">
        <v>85</v>
      </c>
      <c r="C8" t="str">
        <f>CONCATENATE(B8, " ",A8)</f>
        <v>Carol Foley</v>
      </c>
      <c r="D8" t="s">
        <v>183</v>
      </c>
      <c r="E8">
        <v>442047054</v>
      </c>
      <c r="F8" s="1">
        <v>45108</v>
      </c>
      <c r="G8" t="s">
        <v>100</v>
      </c>
      <c r="H8" t="s">
        <v>101</v>
      </c>
      <c r="I8" t="s">
        <v>102</v>
      </c>
      <c r="J8" t="str">
        <f>CONCATENATE(H8, " ",I8)</f>
        <v>KELLIE CURRY</v>
      </c>
      <c r="K8" t="s">
        <v>107</v>
      </c>
      <c r="L8" t="s">
        <v>108</v>
      </c>
      <c r="M8" s="1">
        <v>45992</v>
      </c>
      <c r="N8">
        <v>37.340000000000003</v>
      </c>
      <c r="O8">
        <v>37.340000000000003</v>
      </c>
      <c r="P8">
        <v>1.49</v>
      </c>
      <c r="Q8">
        <v>4</v>
      </c>
      <c r="R8" t="s">
        <v>178</v>
      </c>
    </row>
    <row r="9" spans="1:18" x14ac:dyDescent="0.25">
      <c r="A9" t="s">
        <v>84</v>
      </c>
      <c r="B9" t="s">
        <v>85</v>
      </c>
      <c r="C9" t="str">
        <f>CONCATENATE(B9, " ",A9)</f>
        <v>Carol Foley</v>
      </c>
      <c r="D9" t="s">
        <v>183</v>
      </c>
      <c r="E9">
        <v>442268078</v>
      </c>
      <c r="F9" s="1">
        <v>45261</v>
      </c>
      <c r="G9" t="s">
        <v>100</v>
      </c>
      <c r="H9" t="s">
        <v>109</v>
      </c>
      <c r="I9" t="s">
        <v>110</v>
      </c>
      <c r="J9" t="str">
        <f>CONCATENATE(H9, " ",I9)</f>
        <v>SCOTT SHEAR</v>
      </c>
      <c r="K9" t="s">
        <v>116</v>
      </c>
      <c r="L9" t="s">
        <v>108</v>
      </c>
      <c r="M9" s="1">
        <v>45992</v>
      </c>
      <c r="N9">
        <v>110.44</v>
      </c>
      <c r="O9">
        <v>110.44</v>
      </c>
      <c r="P9">
        <v>4.42</v>
      </c>
      <c r="Q9">
        <v>4</v>
      </c>
      <c r="R9" t="s">
        <v>179</v>
      </c>
    </row>
    <row r="10" spans="1:18" x14ac:dyDescent="0.25">
      <c r="A10" t="s">
        <v>84</v>
      </c>
      <c r="B10" t="s">
        <v>85</v>
      </c>
      <c r="C10" t="str">
        <f>CONCATENATE(B10, " ",A10)</f>
        <v>Carol Foley</v>
      </c>
      <c r="D10" t="s">
        <v>183</v>
      </c>
      <c r="E10">
        <v>442268077</v>
      </c>
      <c r="F10" s="1">
        <v>45261</v>
      </c>
      <c r="G10" t="s">
        <v>100</v>
      </c>
      <c r="H10" t="s">
        <v>109</v>
      </c>
      <c r="I10" t="s">
        <v>110</v>
      </c>
      <c r="J10" t="str">
        <f>CONCATENATE(H10, " ",I10)</f>
        <v>SCOTT SHEAR</v>
      </c>
      <c r="K10" t="s">
        <v>59</v>
      </c>
      <c r="L10" t="s">
        <v>60</v>
      </c>
      <c r="M10" s="1">
        <v>45992</v>
      </c>
      <c r="N10">
        <v>36.799999999999997</v>
      </c>
      <c r="O10">
        <v>36.799999999999997</v>
      </c>
      <c r="P10">
        <v>1.47</v>
      </c>
      <c r="Q10">
        <v>4</v>
      </c>
      <c r="R10" t="s">
        <v>181</v>
      </c>
    </row>
    <row r="11" spans="1:18" x14ac:dyDescent="0.25">
      <c r="A11" t="s">
        <v>84</v>
      </c>
      <c r="B11" t="s">
        <v>85</v>
      </c>
      <c r="C11" t="str">
        <f>CONCATENATE(B11, " ",A11)</f>
        <v>Carol Foley</v>
      </c>
      <c r="D11" t="s">
        <v>183</v>
      </c>
      <c r="E11">
        <v>441726411</v>
      </c>
      <c r="F11" s="1">
        <v>44927</v>
      </c>
      <c r="G11" t="s">
        <v>87</v>
      </c>
      <c r="H11" t="s">
        <v>88</v>
      </c>
      <c r="I11" t="s">
        <v>89</v>
      </c>
      <c r="J11" t="str">
        <f>CONCATENATE(H11, " ",I11)</f>
        <v>VINCENT IDEO</v>
      </c>
      <c r="K11" t="s">
        <v>59</v>
      </c>
      <c r="L11" t="s">
        <v>60</v>
      </c>
      <c r="M11" s="1">
        <v>45992</v>
      </c>
      <c r="N11">
        <v>11.4</v>
      </c>
      <c r="O11">
        <v>11.4</v>
      </c>
      <c r="P11">
        <v>0.91</v>
      </c>
      <c r="Q11">
        <v>8</v>
      </c>
      <c r="R11" t="s">
        <v>182</v>
      </c>
    </row>
    <row r="12" spans="1:18" x14ac:dyDescent="0.25">
      <c r="A12" t="s">
        <v>84</v>
      </c>
      <c r="B12" t="s">
        <v>85</v>
      </c>
      <c r="C12" t="str">
        <f>CONCATENATE(B12, " ",A12)</f>
        <v>Carol Foley</v>
      </c>
      <c r="D12" t="s">
        <v>183</v>
      </c>
      <c r="E12">
        <v>441853073</v>
      </c>
      <c r="F12" s="1">
        <v>44987</v>
      </c>
      <c r="G12" t="s">
        <v>87</v>
      </c>
      <c r="H12" t="s">
        <v>92</v>
      </c>
      <c r="I12" t="s">
        <v>93</v>
      </c>
      <c r="J12" t="str">
        <f>CONCATENATE(H12, " ",I12)</f>
        <v>JEREMY WORKMAN</v>
      </c>
      <c r="K12" t="s">
        <v>59</v>
      </c>
      <c r="L12" t="s">
        <v>60</v>
      </c>
      <c r="M12" s="1">
        <v>45992</v>
      </c>
      <c r="N12">
        <v>11.4</v>
      </c>
      <c r="O12">
        <v>11.4</v>
      </c>
      <c r="P12">
        <v>0.91</v>
      </c>
      <c r="Q12">
        <v>8</v>
      </c>
      <c r="R12" t="s">
        <v>182</v>
      </c>
    </row>
    <row r="13" spans="1:18" x14ac:dyDescent="0.25">
      <c r="A13" t="s">
        <v>84</v>
      </c>
      <c r="B13" t="s">
        <v>85</v>
      </c>
      <c r="C13" t="str">
        <f>CONCATENATE(B13, " ",A13)</f>
        <v>Carol Foley</v>
      </c>
      <c r="D13" t="s">
        <v>183</v>
      </c>
      <c r="E13">
        <v>441913483</v>
      </c>
      <c r="F13" s="1">
        <v>45078</v>
      </c>
      <c r="G13" t="s">
        <v>87</v>
      </c>
      <c r="H13" t="s">
        <v>96</v>
      </c>
      <c r="I13" t="s">
        <v>97</v>
      </c>
      <c r="J13" t="str">
        <f>CONCATENATE(H13, " ",I13)</f>
        <v>HOWARD MAISENHELDER</v>
      </c>
      <c r="K13" t="s">
        <v>59</v>
      </c>
      <c r="L13" t="s">
        <v>60</v>
      </c>
      <c r="M13" s="1">
        <v>45992</v>
      </c>
      <c r="N13">
        <v>11.4</v>
      </c>
      <c r="O13">
        <v>11.4</v>
      </c>
      <c r="P13">
        <v>0.91</v>
      </c>
      <c r="Q13">
        <v>8</v>
      </c>
      <c r="R13" t="s">
        <v>182</v>
      </c>
    </row>
    <row r="14" spans="1:18" x14ac:dyDescent="0.25">
      <c r="A14" t="s">
        <v>117</v>
      </c>
      <c r="B14" t="s">
        <v>118</v>
      </c>
      <c r="C14" t="str">
        <f>CONCATENATE(B14, " ",A14)</f>
        <v>Laurie Casta</v>
      </c>
      <c r="D14">
        <v>20697692</v>
      </c>
      <c r="E14">
        <v>442037493</v>
      </c>
      <c r="F14" s="1">
        <v>45108</v>
      </c>
      <c r="G14" t="s">
        <v>65</v>
      </c>
      <c r="H14" t="s">
        <v>120</v>
      </c>
      <c r="I14" t="s">
        <v>121</v>
      </c>
      <c r="J14" t="str">
        <f>CONCATENATE(H14, " ",I14)</f>
        <v>JOHN SONGER</v>
      </c>
      <c r="K14" t="s">
        <v>59</v>
      </c>
      <c r="L14" t="s">
        <v>60</v>
      </c>
      <c r="M14" s="1">
        <v>45992</v>
      </c>
      <c r="N14">
        <v>17</v>
      </c>
      <c r="O14">
        <v>17</v>
      </c>
      <c r="P14">
        <v>0.68</v>
      </c>
      <c r="Q14">
        <v>4</v>
      </c>
      <c r="R14" t="s">
        <v>181</v>
      </c>
    </row>
    <row r="15" spans="1:18" x14ac:dyDescent="0.25">
      <c r="A15" t="s">
        <v>117</v>
      </c>
      <c r="B15" t="s">
        <v>118</v>
      </c>
      <c r="C15" t="str">
        <f>CONCATENATE(B15, " ",A15)</f>
        <v>Laurie Casta</v>
      </c>
      <c r="D15">
        <v>20697692</v>
      </c>
      <c r="E15">
        <v>442236865</v>
      </c>
      <c r="F15" s="1">
        <v>45231</v>
      </c>
      <c r="G15" t="s">
        <v>65</v>
      </c>
      <c r="H15" t="s">
        <v>126</v>
      </c>
      <c r="I15" t="s">
        <v>127</v>
      </c>
      <c r="J15" t="str">
        <f>CONCATENATE(H15, " ",I15)</f>
        <v>MICHAEL ARRICH</v>
      </c>
      <c r="K15" t="s">
        <v>59</v>
      </c>
      <c r="L15" t="s">
        <v>60</v>
      </c>
      <c r="M15" s="1">
        <v>45992</v>
      </c>
      <c r="N15">
        <v>17</v>
      </c>
      <c r="O15">
        <v>17</v>
      </c>
      <c r="P15">
        <v>0.68</v>
      </c>
      <c r="Q15">
        <v>4</v>
      </c>
      <c r="R15" t="s">
        <v>181</v>
      </c>
    </row>
    <row r="16" spans="1:18" x14ac:dyDescent="0.25">
      <c r="A16" t="s">
        <v>117</v>
      </c>
      <c r="B16" t="s">
        <v>118</v>
      </c>
      <c r="C16" t="str">
        <f>CONCATENATE(B16, " ",A16)</f>
        <v>Laurie Casta</v>
      </c>
      <c r="D16">
        <v>20697692</v>
      </c>
      <c r="E16">
        <v>442288978</v>
      </c>
      <c r="F16" s="1">
        <v>45292</v>
      </c>
      <c r="G16" t="s">
        <v>65</v>
      </c>
      <c r="H16" t="s">
        <v>130</v>
      </c>
      <c r="I16" t="s">
        <v>131</v>
      </c>
      <c r="J16" t="str">
        <f>CONCATENATE(H16, " ",I16)</f>
        <v>ANN DELLARCO</v>
      </c>
      <c r="K16" t="s">
        <v>59</v>
      </c>
      <c r="L16" t="s">
        <v>60</v>
      </c>
      <c r="M16" s="1">
        <v>45992</v>
      </c>
      <c r="N16">
        <v>10.4</v>
      </c>
      <c r="O16">
        <v>10.4</v>
      </c>
      <c r="P16">
        <v>0.42</v>
      </c>
      <c r="Q16">
        <v>4</v>
      </c>
      <c r="R16" t="s">
        <v>181</v>
      </c>
    </row>
    <row r="17" spans="1:18" x14ac:dyDescent="0.25">
      <c r="A17" t="s">
        <v>51</v>
      </c>
      <c r="B17" t="s">
        <v>134</v>
      </c>
      <c r="C17" t="str">
        <f>CONCATENATE(B17, " ",A17)</f>
        <v>Peter Richter</v>
      </c>
      <c r="D17">
        <v>16509456</v>
      </c>
      <c r="E17">
        <v>441991771</v>
      </c>
      <c r="F17" s="1">
        <v>45078</v>
      </c>
      <c r="G17" t="s">
        <v>87</v>
      </c>
      <c r="H17" t="s">
        <v>141</v>
      </c>
      <c r="I17" t="s">
        <v>142</v>
      </c>
      <c r="J17" t="str">
        <f>CONCATENATE(H17, " ",I17)</f>
        <v>LINDA DEANTONIO</v>
      </c>
      <c r="K17" t="s">
        <v>148</v>
      </c>
      <c r="L17" t="s">
        <v>108</v>
      </c>
      <c r="M17" s="1">
        <v>45992</v>
      </c>
      <c r="N17">
        <v>72.19</v>
      </c>
      <c r="O17">
        <v>72.19</v>
      </c>
      <c r="P17">
        <v>3.61</v>
      </c>
      <c r="Q17">
        <v>5</v>
      </c>
      <c r="R17" t="s">
        <v>177</v>
      </c>
    </row>
    <row r="18" spans="1:18" x14ac:dyDescent="0.25">
      <c r="A18" t="s">
        <v>51</v>
      </c>
      <c r="B18" t="s">
        <v>134</v>
      </c>
      <c r="C18" t="str">
        <f>CONCATENATE(B18, " ",A18)</f>
        <v>Peter Richter</v>
      </c>
      <c r="D18">
        <v>16509456</v>
      </c>
      <c r="E18">
        <v>441862448</v>
      </c>
      <c r="F18" s="1">
        <v>45017</v>
      </c>
      <c r="G18" t="s">
        <v>87</v>
      </c>
      <c r="H18" t="s">
        <v>136</v>
      </c>
      <c r="I18" t="s">
        <v>137</v>
      </c>
      <c r="J18" t="str">
        <f>CONCATENATE(H18, " ",I18)</f>
        <v>MARC FOX</v>
      </c>
      <c r="K18" t="s">
        <v>107</v>
      </c>
      <c r="L18" t="s">
        <v>108</v>
      </c>
      <c r="M18" s="1">
        <v>45992</v>
      </c>
      <c r="N18">
        <v>45.49</v>
      </c>
      <c r="O18">
        <v>45.49</v>
      </c>
      <c r="P18">
        <v>1.82</v>
      </c>
      <c r="Q18">
        <v>4</v>
      </c>
      <c r="R18" t="s">
        <v>178</v>
      </c>
    </row>
    <row r="19" spans="1:18" x14ac:dyDescent="0.25">
      <c r="A19" t="s">
        <v>51</v>
      </c>
      <c r="B19" t="s">
        <v>134</v>
      </c>
      <c r="C19" t="str">
        <f>CONCATENATE(B19, " ",A19)</f>
        <v>Peter Richter</v>
      </c>
      <c r="D19">
        <v>16509456</v>
      </c>
      <c r="E19">
        <v>442096371</v>
      </c>
      <c r="F19" s="1">
        <v>45139</v>
      </c>
      <c r="G19" t="s">
        <v>65</v>
      </c>
      <c r="H19" t="s">
        <v>149</v>
      </c>
      <c r="I19" t="s">
        <v>150</v>
      </c>
      <c r="J19" t="str">
        <f>CONCATENATE(H19, " ",I19)</f>
        <v>MARTHA ACEROS MENDEZ</v>
      </c>
      <c r="K19" t="s">
        <v>59</v>
      </c>
      <c r="L19" t="s">
        <v>60</v>
      </c>
      <c r="M19" s="1">
        <v>45992</v>
      </c>
      <c r="N19">
        <v>10.4</v>
      </c>
      <c r="O19">
        <v>10.4</v>
      </c>
      <c r="P19">
        <v>0.42</v>
      </c>
      <c r="Q19">
        <v>4</v>
      </c>
      <c r="R19" t="s">
        <v>181</v>
      </c>
    </row>
    <row r="20" spans="1:18" x14ac:dyDescent="0.25">
      <c r="A20" t="s">
        <v>51</v>
      </c>
      <c r="B20" t="s">
        <v>134</v>
      </c>
      <c r="C20" t="str">
        <f>CONCATENATE(B20, " ",A20)</f>
        <v>Peter Richter</v>
      </c>
      <c r="D20">
        <v>16509456</v>
      </c>
      <c r="E20">
        <v>442580059</v>
      </c>
      <c r="F20" s="1">
        <v>45383</v>
      </c>
      <c r="G20" t="s">
        <v>65</v>
      </c>
      <c r="H20" t="s">
        <v>153</v>
      </c>
      <c r="I20" t="s">
        <v>154</v>
      </c>
      <c r="J20" t="str">
        <f>CONCATENATE(H20, " ",I20)</f>
        <v>AMY RYZENGA</v>
      </c>
      <c r="K20" t="s">
        <v>157</v>
      </c>
      <c r="L20" t="s">
        <v>158</v>
      </c>
      <c r="M20" s="1">
        <v>45992</v>
      </c>
      <c r="N20">
        <v>13.28</v>
      </c>
      <c r="O20">
        <v>13.28</v>
      </c>
      <c r="P20">
        <v>0.93</v>
      </c>
      <c r="Q20">
        <v>7</v>
      </c>
      <c r="R20" t="s">
        <v>180</v>
      </c>
    </row>
    <row r="21" spans="1:18" x14ac:dyDescent="0.25">
      <c r="A21" t="s">
        <v>159</v>
      </c>
      <c r="B21" t="s">
        <v>160</v>
      </c>
      <c r="C21" t="str">
        <f>CONCATENATE(B21, " ",A21)</f>
        <v>Thomas Kucan</v>
      </c>
      <c r="D21">
        <v>16202925</v>
      </c>
      <c r="E21">
        <v>442602708</v>
      </c>
      <c r="F21" s="1">
        <v>45413</v>
      </c>
      <c r="G21" t="s">
        <v>65</v>
      </c>
      <c r="H21" t="s">
        <v>162</v>
      </c>
      <c r="I21" t="s">
        <v>163</v>
      </c>
      <c r="J21" t="str">
        <f>CONCATENATE(H21, " ",I21)</f>
        <v>FREDERICK HUTCHINSON</v>
      </c>
      <c r="K21" t="s">
        <v>168</v>
      </c>
      <c r="L21" t="s">
        <v>169</v>
      </c>
      <c r="M21" s="1">
        <v>45992</v>
      </c>
      <c r="N21">
        <v>42.59</v>
      </c>
      <c r="O21">
        <v>42.59</v>
      </c>
      <c r="P21">
        <v>2.98</v>
      </c>
      <c r="Q21">
        <v>7</v>
      </c>
      <c r="R21" t="s">
        <v>180</v>
      </c>
    </row>
    <row r="22" spans="1:18" x14ac:dyDescent="0.25">
      <c r="A22" t="s">
        <v>159</v>
      </c>
      <c r="B22" t="s">
        <v>160</v>
      </c>
      <c r="C22" t="str">
        <f>CONCATENATE(B22, " ",A22)</f>
        <v>Thomas Kucan</v>
      </c>
      <c r="D22">
        <v>16202925</v>
      </c>
      <c r="E22">
        <v>442649730</v>
      </c>
      <c r="F22" s="1">
        <v>45444</v>
      </c>
      <c r="G22" t="s">
        <v>65</v>
      </c>
      <c r="H22" t="s">
        <v>170</v>
      </c>
      <c r="I22" t="s">
        <v>171</v>
      </c>
      <c r="J22" t="str">
        <f>CONCATENATE(H22, " ",I22)</f>
        <v>ALEXIS DUKE</v>
      </c>
      <c r="K22" t="s">
        <v>175</v>
      </c>
      <c r="L22" t="s">
        <v>169</v>
      </c>
      <c r="M22" s="1">
        <v>45992</v>
      </c>
      <c r="N22">
        <v>111.57</v>
      </c>
      <c r="O22">
        <v>111.57</v>
      </c>
      <c r="P22">
        <v>7.81</v>
      </c>
      <c r="Q22">
        <v>7</v>
      </c>
      <c r="R22" t="s">
        <v>180</v>
      </c>
    </row>
  </sheetData>
  <sortState xmlns:xlrd2="http://schemas.microsoft.com/office/spreadsheetml/2017/richdata2" ref="A2:AX22">
    <sortCondition ref="C2:C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CommissionStatement_AA5418109_2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Loula Irene Cabel</cp:lastModifiedBy>
  <dcterms:created xsi:type="dcterms:W3CDTF">2025-12-08T13:48:07Z</dcterms:created>
  <dcterms:modified xsi:type="dcterms:W3CDTF">2025-12-09T16:12:04Z</dcterms:modified>
</cp:coreProperties>
</file>