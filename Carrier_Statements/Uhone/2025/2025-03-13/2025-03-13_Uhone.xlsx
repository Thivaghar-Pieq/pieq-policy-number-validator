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3-13-25\"/>
    </mc:Choice>
  </mc:AlternateContent>
  <xr:revisionPtr revIDLastSave="0" documentId="13_ncr:1_{4DAD7E08-DD32-41DB-9139-495F6F38C127}" xr6:coauthVersionLast="47" xr6:coauthVersionMax="47" xr10:uidLastSave="{00000000-0000-0000-0000-000000000000}"/>
  <bookViews>
    <workbookView xWindow="28680" yWindow="-120" windowWidth="29040" windowHeight="16440" activeTab="1" xr2:uid="{0386E566-9E43-432E-90F6-AAAA2E979228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AC10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" i="2"/>
</calcChain>
</file>

<file path=xl/sharedStrings.xml><?xml version="1.0" encoding="utf-8"?>
<sst xmlns="http://schemas.openxmlformats.org/spreadsheetml/2006/main" count="742" uniqueCount="200">
  <si>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</si>
  <si>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</si>
  <si>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</si>
  <si>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</si>
  <si>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</si>
  <si>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</si>
  <si>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</si>
  <si>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</si>
  <si>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</si>
  <si>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</si>
  <si>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</si>
  <si>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</si>
  <si>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</si>
  <si>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</si>
  <si>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</si>
  <si>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</si>
  <si>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</si>
  <si>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</si>
  <si>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</si>
  <si>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</si>
  <si>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</si>
  <si>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</si>
  <si>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</si>
  <si>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</si>
  <si>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</si>
  <si>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</si>
  <si>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</si>
  <si>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</si>
  <si>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</si>
  <si>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</si>
  <si>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</si>
  <si>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</si>
  <si>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</si>
  <si>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</si>
  <si>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</si>
  <si>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</si>
  <si>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</si>
  <si>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</si>
  <si>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</si>
  <si>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</si>
  <si>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</si>
  <si>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</si>
  <si>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</si>
  <si>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</si>
  <si>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</si>
  <si>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</si>
  <si>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</si>
  <si>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</si>
  <si>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</si>
  <si>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</si>
  <si>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</si>
  <si>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</si>
  <si>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</si>
  <si>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</si>
  <si>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</si>
  <si>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</si>
  <si>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</si>
  <si>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</si>
  <si>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</si>
  <si>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Dental Gen</t>
  </si>
  <si>
    <t>Dental Base Coverage</t>
  </si>
  <si>
    <t>Monthly</t>
  </si>
  <si>
    <t>R</t>
  </si>
  <si>
    <t>N</t>
  </si>
  <si>
    <t>COMM</t>
  </si>
  <si>
    <t>Foley</t>
  </si>
  <si>
    <t>Carol</t>
  </si>
  <si>
    <t>XXX-XX-1245</t>
  </si>
  <si>
    <t>PA</t>
  </si>
  <si>
    <t>GARY</t>
  </si>
  <si>
    <t>NEHER</t>
  </si>
  <si>
    <t>72 Longcross Rd</t>
  </si>
  <si>
    <t>Limerick</t>
  </si>
  <si>
    <t>Vision</t>
  </si>
  <si>
    <t>Vision Stand Alone Base Coverage</t>
  </si>
  <si>
    <t>ANDREW</t>
  </si>
  <si>
    <t>FLEMING</t>
  </si>
  <si>
    <t>1087 Ebelhare Rd</t>
  </si>
  <si>
    <t>Pottstown</t>
  </si>
  <si>
    <t>ANNA</t>
  </si>
  <si>
    <t>CABOT</t>
  </si>
  <si>
    <t>1849 N Valley Rd</t>
  </si>
  <si>
    <t>Malvern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</si>
  <si>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</si>
  <si>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</si>
  <si>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</si>
  <si>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</si>
  <si>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</si>
  <si>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</si>
  <si>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</si>
  <si>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</si>
  <si>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</si>
  <si>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</si>
  <si>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Lemon</t>
  </si>
  <si>
    <t>Cathy</t>
  </si>
  <si>
    <t>XXX-XX-9298</t>
  </si>
  <si>
    <t>HELENE</t>
  </si>
  <si>
    <t>MOUDIO</t>
  </si>
  <si>
    <t>3904 Noyes Cir Apt 103</t>
  </si>
  <si>
    <t>Randallstown</t>
  </si>
  <si>
    <t>2023202556 EXT.</t>
  </si>
  <si>
    <t>DentalWise Max 3000</t>
  </si>
  <si>
    <t>DentalWise Base</t>
  </si>
  <si>
    <t>F</t>
  </si>
  <si>
    <t>Hoffmann</t>
  </si>
  <si>
    <t>Jason</t>
  </si>
  <si>
    <t>XXX-XX-4575</t>
  </si>
  <si>
    <t>MICHAEL</t>
  </si>
  <si>
    <t>DIGREGORIO</t>
  </si>
  <si>
    <t>30 Nutt Rd Apt D4</t>
  </si>
  <si>
    <t>Phoenixville</t>
  </si>
  <si>
    <t>Accident ExpenseGuard</t>
  </si>
  <si>
    <t>APG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</si>
  <si>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</si>
  <si>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</si>
  <si>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</si>
  <si>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</si>
  <si>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</si>
  <si>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</si>
  <si>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</si>
  <si>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</si>
  <si>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</si>
  <si>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</si>
  <si>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</si>
  <si>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</si>
  <si>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</si>
  <si>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</si>
  <si>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</si>
  <si>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</si>
  <si>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</si>
  <si>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</si>
  <si>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Casta</t>
  </si>
  <si>
    <t>Laurie</t>
  </si>
  <si>
    <t>XXX-XX-3207</t>
  </si>
  <si>
    <t>JOY</t>
  </si>
  <si>
    <t>FOURNILLIER</t>
  </si>
  <si>
    <t>9919 Grant St</t>
  </si>
  <si>
    <t>Lanham</t>
  </si>
  <si>
    <t>3017148465 EXT.</t>
  </si>
  <si>
    <t>Dental Premier</t>
  </si>
  <si>
    <t>Peter</t>
  </si>
  <si>
    <t>XXX-XX-8611</t>
  </si>
  <si>
    <t>THERESA</t>
  </si>
  <si>
    <t>COLE</t>
  </si>
  <si>
    <t>394 Larose Dr</t>
  </si>
  <si>
    <t>Coatesville</t>
  </si>
  <si>
    <t>STEPHEN</t>
  </si>
  <si>
    <t>BIEGANSKI</t>
  </si>
  <si>
    <t>600 King Rd</t>
  </si>
  <si>
    <t>West Chester</t>
  </si>
  <si>
    <t>KEVIN</t>
  </si>
  <si>
    <t>MILLER</t>
  </si>
  <si>
    <t>819 W 34th St</t>
  </si>
  <si>
    <t>Baltimore</t>
  </si>
  <si>
    <t>MARYURI</t>
  </si>
  <si>
    <t>MEMBRENO NAVAS</t>
  </si>
  <si>
    <t>7527 Cypress Ave</t>
  </si>
  <si>
    <t>Aguglia</t>
  </si>
  <si>
    <t>Scott</t>
  </si>
  <si>
    <t>XXX-XX-0970</t>
  </si>
  <si>
    <t>MARK</t>
  </si>
  <si>
    <t>FARIS</t>
  </si>
  <si>
    <t>7517 National Pike</t>
  </si>
  <si>
    <t>Uniontown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</si>
  <si>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</si>
  <si>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</si>
  <si>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</si>
  <si>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</si>
  <si>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</si>
  <si>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</si>
  <si>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</si>
  <si>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TOUSSANT</t>
  </si>
  <si>
    <t>MCKENZIE</t>
  </si>
  <si>
    <t>1719 Wadsworth Way</t>
  </si>
  <si>
    <t>Hosp Guard GI</t>
  </si>
  <si>
    <t>Ancillary Base</t>
  </si>
  <si>
    <t>4102946300 EXT.</t>
  </si>
  <si>
    <t>ALYCEA</t>
  </si>
  <si>
    <t>RIVERA</t>
  </si>
  <si>
    <t>154 Elizabeth Ave</t>
  </si>
  <si>
    <t>Halethorpe</t>
  </si>
  <si>
    <t>MATTHEW</t>
  </si>
  <si>
    <t>BOLIEK</t>
  </si>
  <si>
    <t>1405 Billman Ln</t>
  </si>
  <si>
    <t>Silver Spring</t>
  </si>
  <si>
    <t>DentalWise Max 1000</t>
  </si>
  <si>
    <t>PAUL</t>
  </si>
  <si>
    <t>KOESTER</t>
  </si>
  <si>
    <t>113 Hall Dr</t>
  </si>
  <si>
    <t>Salisbury</t>
  </si>
  <si>
    <t>17425766old</t>
  </si>
  <si>
    <t>Uhone Dental Gen</t>
  </si>
  <si>
    <t>Uhone Vision</t>
  </si>
  <si>
    <t>Uhone Vision - DE, FL, IN, KY, MD, OH, NJ, SC, TN, VT</t>
  </si>
  <si>
    <t>Uhone DentalWise 1000, 2000 (all states except CO, FL, NM, NV, RI, SD, WA) 18-64</t>
  </si>
  <si>
    <t>Uhone Accident ExpenseGuard</t>
  </si>
  <si>
    <t>Uhone New Benefits Base</t>
  </si>
  <si>
    <t>UHONE dental premier*</t>
  </si>
  <si>
    <t>Uhone Guard Plan</t>
  </si>
  <si>
    <t>Uhone Dental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</si>
</sst>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0B3E-93BB-4087-A096-7290AFC66821}">
  <dimension ref="A1:AV24"/>
  <sheetViews>
    <sheetView workbookViewId="0">
      <selection sqref="A1:XFD1048576"/>
    </sheetView>
  </sheetViews>
  <sheetFormatPr defaultRowHeight="15" x14ac:dyDescent="0.25"/>
  <cols>
    <col min="46" max="46" width="29.85546875" bestFit="1" customWidth="1"/>
    <col min="47" max="47" width="27.28515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20250314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441983893</v>
      </c>
      <c r="L2">
        <v>20230523</v>
      </c>
      <c r="M2">
        <v>20230522</v>
      </c>
      <c r="O2">
        <v>2</v>
      </c>
      <c r="P2">
        <v>66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21737</v>
      </c>
      <c r="AE2" t="s">
        <v>59</v>
      </c>
      <c r="AF2" t="s">
        <v>60</v>
      </c>
      <c r="AG2" t="s">
        <v>61</v>
      </c>
      <c r="AH2" t="s">
        <v>62</v>
      </c>
      <c r="AI2">
        <v>20250301</v>
      </c>
      <c r="AJ2" t="s">
        <v>63</v>
      </c>
      <c r="AK2" t="s">
        <v>63</v>
      </c>
      <c r="AL2">
        <v>2</v>
      </c>
      <c r="AM2">
        <v>20250312</v>
      </c>
      <c r="AN2">
        <v>142.22999999999999</v>
      </c>
      <c r="AO2">
        <v>142.22999999999999</v>
      </c>
      <c r="AP2" t="s">
        <v>63</v>
      </c>
      <c r="AS2">
        <v>100</v>
      </c>
      <c r="AT2">
        <v>7.11</v>
      </c>
      <c r="AU2">
        <v>5</v>
      </c>
      <c r="AV2" t="s">
        <v>64</v>
      </c>
    </row>
    <row r="3" spans="1:48" x14ac:dyDescent="0.25">
      <c r="A3" t="s">
        <v>48</v>
      </c>
      <c r="B3">
        <v>20250314</v>
      </c>
      <c r="C3" t="s">
        <v>49</v>
      </c>
      <c r="D3">
        <v>4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17425766</v>
      </c>
      <c r="K3">
        <v>441942243</v>
      </c>
      <c r="L3">
        <v>20230427</v>
      </c>
      <c r="M3">
        <v>20230426</v>
      </c>
      <c r="O3">
        <v>2</v>
      </c>
      <c r="P3">
        <v>63</v>
      </c>
      <c r="Q3" t="s">
        <v>68</v>
      </c>
      <c r="R3" t="s">
        <v>68</v>
      </c>
      <c r="S3" t="s">
        <v>69</v>
      </c>
      <c r="U3" t="s">
        <v>70</v>
      </c>
      <c r="W3" t="s">
        <v>71</v>
      </c>
      <c r="Z3" t="s">
        <v>72</v>
      </c>
      <c r="AA3" t="s">
        <v>68</v>
      </c>
      <c r="AB3">
        <v>19468</v>
      </c>
      <c r="AE3" t="s">
        <v>73</v>
      </c>
      <c r="AF3" t="s">
        <v>74</v>
      </c>
      <c r="AG3" t="s">
        <v>61</v>
      </c>
      <c r="AH3" t="s">
        <v>62</v>
      </c>
      <c r="AI3">
        <v>20250301</v>
      </c>
      <c r="AJ3" t="s">
        <v>63</v>
      </c>
      <c r="AK3" t="s">
        <v>63</v>
      </c>
      <c r="AL3">
        <v>1</v>
      </c>
      <c r="AM3">
        <v>20250312</v>
      </c>
      <c r="AN3">
        <v>11.4</v>
      </c>
      <c r="AO3">
        <v>11.4</v>
      </c>
      <c r="AP3" t="s">
        <v>63</v>
      </c>
      <c r="AS3">
        <v>100</v>
      </c>
      <c r="AT3">
        <v>0.91</v>
      </c>
      <c r="AU3">
        <v>8</v>
      </c>
      <c r="AV3" t="s">
        <v>64</v>
      </c>
    </row>
    <row r="4" spans="1:48" x14ac:dyDescent="0.25">
      <c r="A4" t="s">
        <v>48</v>
      </c>
      <c r="B4">
        <v>20250314</v>
      </c>
      <c r="C4" t="s">
        <v>49</v>
      </c>
      <c r="D4">
        <v>4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17425766</v>
      </c>
      <c r="K4">
        <v>442238637</v>
      </c>
      <c r="L4">
        <v>20231031</v>
      </c>
      <c r="M4">
        <v>20231030</v>
      </c>
      <c r="O4">
        <v>2</v>
      </c>
      <c r="P4">
        <v>35</v>
      </c>
      <c r="Q4" t="s">
        <v>68</v>
      </c>
      <c r="R4" t="s">
        <v>68</v>
      </c>
      <c r="S4" t="s">
        <v>75</v>
      </c>
      <c r="U4" t="s">
        <v>76</v>
      </c>
      <c r="W4" t="s">
        <v>77</v>
      </c>
      <c r="Z4" t="s">
        <v>78</v>
      </c>
      <c r="AA4" t="s">
        <v>68</v>
      </c>
      <c r="AB4">
        <v>19465</v>
      </c>
      <c r="AE4" t="s">
        <v>73</v>
      </c>
      <c r="AF4" t="s">
        <v>74</v>
      </c>
      <c r="AG4" t="s">
        <v>61</v>
      </c>
      <c r="AH4" t="s">
        <v>62</v>
      </c>
      <c r="AI4">
        <v>20250301</v>
      </c>
      <c r="AJ4" t="s">
        <v>63</v>
      </c>
      <c r="AK4" t="s">
        <v>63</v>
      </c>
      <c r="AL4">
        <v>1</v>
      </c>
      <c r="AM4">
        <v>20250312</v>
      </c>
      <c r="AN4">
        <v>11.4</v>
      </c>
      <c r="AO4">
        <v>11.4</v>
      </c>
      <c r="AP4" t="s">
        <v>63</v>
      </c>
      <c r="AS4">
        <v>100</v>
      </c>
      <c r="AT4">
        <v>0.91</v>
      </c>
      <c r="AU4">
        <v>8</v>
      </c>
      <c r="AV4" t="s">
        <v>64</v>
      </c>
    </row>
    <row r="5" spans="1:48" x14ac:dyDescent="0.25">
      <c r="A5" t="s">
        <v>48</v>
      </c>
      <c r="B5">
        <v>20250314</v>
      </c>
      <c r="C5" t="s">
        <v>49</v>
      </c>
      <c r="D5">
        <v>4</v>
      </c>
      <c r="E5">
        <v>20411454</v>
      </c>
      <c r="F5" t="s">
        <v>50</v>
      </c>
      <c r="G5" t="s">
        <v>65</v>
      </c>
      <c r="H5" t="s">
        <v>66</v>
      </c>
      <c r="I5" t="s">
        <v>67</v>
      </c>
      <c r="J5">
        <v>17425766</v>
      </c>
      <c r="K5">
        <v>442293037</v>
      </c>
      <c r="L5">
        <v>20231121</v>
      </c>
      <c r="M5">
        <v>20231120</v>
      </c>
      <c r="O5">
        <v>2</v>
      </c>
      <c r="P5">
        <v>58</v>
      </c>
      <c r="Q5" t="s">
        <v>68</v>
      </c>
      <c r="R5" t="s">
        <v>68</v>
      </c>
      <c r="S5" t="s">
        <v>79</v>
      </c>
      <c r="U5" t="s">
        <v>80</v>
      </c>
      <c r="W5" t="s">
        <v>81</v>
      </c>
      <c r="Z5" t="s">
        <v>82</v>
      </c>
      <c r="AA5" t="s">
        <v>68</v>
      </c>
      <c r="AB5">
        <v>19355</v>
      </c>
      <c r="AE5" t="s">
        <v>73</v>
      </c>
      <c r="AF5" t="s">
        <v>74</v>
      </c>
      <c r="AG5" t="s">
        <v>61</v>
      </c>
      <c r="AH5" t="s">
        <v>62</v>
      </c>
      <c r="AI5">
        <v>20250301</v>
      </c>
      <c r="AJ5" t="s">
        <v>63</v>
      </c>
      <c r="AK5" t="s">
        <v>63</v>
      </c>
      <c r="AL5">
        <v>1</v>
      </c>
      <c r="AM5">
        <v>20250311</v>
      </c>
      <c r="AN5">
        <v>11.4</v>
      </c>
      <c r="AO5">
        <v>11.4</v>
      </c>
      <c r="AP5" t="s">
        <v>63</v>
      </c>
      <c r="AS5">
        <v>100</v>
      </c>
      <c r="AT5">
        <v>0.91</v>
      </c>
      <c r="AU5">
        <v>8</v>
      </c>
      <c r="AV5" t="s">
        <v>64</v>
      </c>
    </row>
    <row r="6" spans="1:48" x14ac:dyDescent="0.25">
      <c r="A6" t="s">
        <v>48</v>
      </c>
      <c r="B6">
        <v>20250314</v>
      </c>
      <c r="C6" t="s">
        <v>49</v>
      </c>
      <c r="D6">
        <v>4</v>
      </c>
      <c r="E6">
        <v>20411454</v>
      </c>
      <c r="F6" t="s">
        <v>50</v>
      </c>
      <c r="G6" t="s">
        <v>65</v>
      </c>
      <c r="H6" t="s">
        <v>66</v>
      </c>
      <c r="I6" t="s">
        <v>67</v>
      </c>
      <c r="J6">
        <v>17425766</v>
      </c>
      <c r="K6">
        <v>442363899</v>
      </c>
      <c r="L6">
        <v>20231214</v>
      </c>
      <c r="M6">
        <v>20231213</v>
      </c>
      <c r="O6">
        <v>2</v>
      </c>
      <c r="P6">
        <v>57</v>
      </c>
      <c r="Q6" t="s">
        <v>68</v>
      </c>
      <c r="R6" t="s">
        <v>68</v>
      </c>
      <c r="S6" t="s">
        <v>83</v>
      </c>
      <c r="U6" t="s">
        <v>84</v>
      </c>
      <c r="W6" t="s">
        <v>85</v>
      </c>
      <c r="Z6" t="s">
        <v>86</v>
      </c>
      <c r="AA6" t="s">
        <v>68</v>
      </c>
      <c r="AB6">
        <v>19428</v>
      </c>
      <c r="AE6" t="s">
        <v>73</v>
      </c>
      <c r="AF6" t="s">
        <v>74</v>
      </c>
      <c r="AG6" t="s">
        <v>61</v>
      </c>
      <c r="AH6" t="s">
        <v>62</v>
      </c>
      <c r="AI6">
        <v>20250301</v>
      </c>
      <c r="AJ6" t="s">
        <v>63</v>
      </c>
      <c r="AK6" t="s">
        <v>63</v>
      </c>
      <c r="AL6">
        <v>1</v>
      </c>
      <c r="AM6">
        <v>20250307</v>
      </c>
      <c r="AN6">
        <v>11.4</v>
      </c>
      <c r="AO6">
        <v>11.4</v>
      </c>
      <c r="AP6" t="s">
        <v>63</v>
      </c>
      <c r="AS6">
        <v>100</v>
      </c>
      <c r="AT6">
        <v>0.91</v>
      </c>
      <c r="AU6">
        <v>8</v>
      </c>
      <c r="AV6" t="s">
        <v>64</v>
      </c>
    </row>
    <row r="7" spans="1:48" x14ac:dyDescent="0.25">
      <c r="A7" t="s">
        <v>48</v>
      </c>
      <c r="B7">
        <v>20250314</v>
      </c>
      <c r="C7" t="s">
        <v>49</v>
      </c>
      <c r="D7">
        <v>4</v>
      </c>
      <c r="E7">
        <v>20411454</v>
      </c>
      <c r="F7" t="s">
        <v>50</v>
      </c>
      <c r="G7" t="s">
        <v>65</v>
      </c>
      <c r="H7" t="s">
        <v>66</v>
      </c>
      <c r="I7" t="s">
        <v>67</v>
      </c>
      <c r="J7">
        <v>17425766</v>
      </c>
      <c r="K7">
        <v>442477122</v>
      </c>
      <c r="L7">
        <v>20240206</v>
      </c>
      <c r="M7">
        <v>20240205</v>
      </c>
      <c r="O7">
        <v>2</v>
      </c>
      <c r="P7">
        <v>67</v>
      </c>
      <c r="Q7" t="s">
        <v>68</v>
      </c>
      <c r="R7" t="s">
        <v>68</v>
      </c>
      <c r="S7" t="s">
        <v>87</v>
      </c>
      <c r="U7" t="s">
        <v>88</v>
      </c>
      <c r="W7" t="s">
        <v>89</v>
      </c>
      <c r="Z7" t="s">
        <v>90</v>
      </c>
      <c r="AA7" t="s">
        <v>68</v>
      </c>
      <c r="AB7">
        <v>19010</v>
      </c>
      <c r="AE7" t="s">
        <v>91</v>
      </c>
      <c r="AF7" t="s">
        <v>92</v>
      </c>
      <c r="AG7" t="s">
        <v>61</v>
      </c>
      <c r="AH7" t="s">
        <v>62</v>
      </c>
      <c r="AI7">
        <v>20250301</v>
      </c>
      <c r="AJ7" t="s">
        <v>63</v>
      </c>
      <c r="AK7" t="s">
        <v>63</v>
      </c>
      <c r="AL7">
        <v>1</v>
      </c>
      <c r="AM7">
        <v>20250308</v>
      </c>
      <c r="AN7">
        <v>13.28</v>
      </c>
      <c r="AO7">
        <v>13.28</v>
      </c>
      <c r="AP7" t="s">
        <v>63</v>
      </c>
      <c r="AS7">
        <v>100</v>
      </c>
      <c r="AT7">
        <v>0.93</v>
      </c>
      <c r="AU7">
        <v>7</v>
      </c>
      <c r="AV7" t="s">
        <v>64</v>
      </c>
    </row>
    <row r="8" spans="1:48" x14ac:dyDescent="0.25">
      <c r="A8" t="s">
        <v>48</v>
      </c>
      <c r="B8">
        <v>20250314</v>
      </c>
      <c r="C8" t="s">
        <v>49</v>
      </c>
      <c r="D8">
        <v>1</v>
      </c>
      <c r="E8">
        <v>20411454</v>
      </c>
      <c r="F8" t="s">
        <v>50</v>
      </c>
      <c r="G8" t="s">
        <v>93</v>
      </c>
      <c r="H8" t="s">
        <v>94</v>
      </c>
      <c r="I8" t="s">
        <v>95</v>
      </c>
      <c r="J8">
        <v>17195620</v>
      </c>
      <c r="K8">
        <v>442624391</v>
      </c>
      <c r="L8">
        <v>20240424</v>
      </c>
      <c r="M8">
        <v>20240423</v>
      </c>
      <c r="O8">
        <v>1</v>
      </c>
      <c r="P8">
        <v>40</v>
      </c>
      <c r="Q8" t="s">
        <v>54</v>
      </c>
      <c r="R8" t="s">
        <v>54</v>
      </c>
      <c r="S8" t="s">
        <v>96</v>
      </c>
      <c r="U8" t="s">
        <v>97</v>
      </c>
      <c r="W8" t="s">
        <v>98</v>
      </c>
      <c r="Z8" t="s">
        <v>99</v>
      </c>
      <c r="AA8" t="s">
        <v>54</v>
      </c>
      <c r="AB8">
        <v>21133</v>
      </c>
      <c r="AC8" t="s">
        <v>100</v>
      </c>
      <c r="AE8" t="s">
        <v>101</v>
      </c>
      <c r="AF8" t="s">
        <v>102</v>
      </c>
      <c r="AG8" t="s">
        <v>61</v>
      </c>
      <c r="AH8" t="s">
        <v>103</v>
      </c>
      <c r="AI8">
        <v>20250301</v>
      </c>
      <c r="AJ8" t="s">
        <v>63</v>
      </c>
      <c r="AK8" t="s">
        <v>63</v>
      </c>
      <c r="AL8">
        <v>1</v>
      </c>
      <c r="AM8">
        <v>20250312</v>
      </c>
      <c r="AN8">
        <v>47.24</v>
      </c>
      <c r="AO8">
        <v>47.24</v>
      </c>
      <c r="AP8" t="s">
        <v>63</v>
      </c>
      <c r="AS8">
        <v>100</v>
      </c>
      <c r="AT8">
        <v>21.26</v>
      </c>
      <c r="AU8">
        <v>45</v>
      </c>
      <c r="AV8" t="s">
        <v>64</v>
      </c>
    </row>
    <row r="9" spans="1:48" x14ac:dyDescent="0.25">
      <c r="A9" t="s">
        <v>48</v>
      </c>
      <c r="B9">
        <v>20250314</v>
      </c>
      <c r="C9" t="s">
        <v>49</v>
      </c>
      <c r="D9">
        <v>2</v>
      </c>
      <c r="E9">
        <v>20411454</v>
      </c>
      <c r="F9" t="s">
        <v>50</v>
      </c>
      <c r="G9" t="s">
        <v>104</v>
      </c>
      <c r="H9" t="s">
        <v>105</v>
      </c>
      <c r="I9" t="s">
        <v>106</v>
      </c>
      <c r="J9">
        <v>15278437</v>
      </c>
      <c r="K9">
        <v>441699275</v>
      </c>
      <c r="L9">
        <v>20221214</v>
      </c>
      <c r="M9">
        <v>20221213</v>
      </c>
      <c r="O9">
        <v>3</v>
      </c>
      <c r="P9">
        <v>28</v>
      </c>
      <c r="Q9" t="s">
        <v>68</v>
      </c>
      <c r="R9" t="s">
        <v>68</v>
      </c>
      <c r="S9" t="s">
        <v>107</v>
      </c>
      <c r="U9" t="s">
        <v>108</v>
      </c>
      <c r="W9" t="s">
        <v>109</v>
      </c>
      <c r="Z9" t="s">
        <v>110</v>
      </c>
      <c r="AA9" t="s">
        <v>68</v>
      </c>
      <c r="AB9">
        <v>19460</v>
      </c>
      <c r="AE9" t="s">
        <v>111</v>
      </c>
      <c r="AF9" t="s">
        <v>112</v>
      </c>
      <c r="AG9" t="s">
        <v>61</v>
      </c>
      <c r="AH9" t="s">
        <v>62</v>
      </c>
      <c r="AI9">
        <v>20250301</v>
      </c>
      <c r="AJ9" t="s">
        <v>63</v>
      </c>
      <c r="AK9" t="s">
        <v>63</v>
      </c>
      <c r="AL9">
        <v>0</v>
      </c>
      <c r="AM9">
        <v>20250307</v>
      </c>
      <c r="AN9">
        <v>34.94</v>
      </c>
      <c r="AO9">
        <v>34.94</v>
      </c>
      <c r="AP9" t="s">
        <v>63</v>
      </c>
      <c r="AS9">
        <v>100</v>
      </c>
      <c r="AT9">
        <v>2.8</v>
      </c>
      <c r="AU9">
        <v>8</v>
      </c>
      <c r="AV9" t="s">
        <v>64</v>
      </c>
    </row>
    <row r="10" spans="1:48" x14ac:dyDescent="0.25">
      <c r="A10" t="s">
        <v>48</v>
      </c>
      <c r="B10">
        <v>20250314</v>
      </c>
      <c r="C10" t="s">
        <v>49</v>
      </c>
      <c r="D10">
        <v>0</v>
      </c>
      <c r="E10">
        <v>20411454</v>
      </c>
      <c r="F10" t="s">
        <v>50</v>
      </c>
      <c r="G10" t="s">
        <v>113</v>
      </c>
      <c r="H10" t="s">
        <v>114</v>
      </c>
      <c r="I10" t="s">
        <v>115</v>
      </c>
      <c r="J10">
        <v>20436896</v>
      </c>
      <c r="K10">
        <v>441769366</v>
      </c>
      <c r="L10">
        <v>20230124</v>
      </c>
      <c r="M10">
        <v>20230113</v>
      </c>
      <c r="O10">
        <v>3</v>
      </c>
      <c r="P10">
        <v>53</v>
      </c>
      <c r="Q10" t="s">
        <v>116</v>
      </c>
      <c r="R10" t="s">
        <v>116</v>
      </c>
      <c r="S10" t="s">
        <v>117</v>
      </c>
      <c r="U10" t="s">
        <v>118</v>
      </c>
      <c r="W10" t="s">
        <v>119</v>
      </c>
      <c r="Z10" t="s">
        <v>120</v>
      </c>
      <c r="AA10" t="s">
        <v>116</v>
      </c>
      <c r="AB10">
        <v>29112</v>
      </c>
      <c r="AE10" t="s">
        <v>121</v>
      </c>
      <c r="AF10" t="s">
        <v>122</v>
      </c>
      <c r="AG10" t="s">
        <v>61</v>
      </c>
      <c r="AH10" t="s">
        <v>62</v>
      </c>
      <c r="AI10">
        <v>20250301</v>
      </c>
      <c r="AJ10" t="s">
        <v>63</v>
      </c>
      <c r="AK10" t="s">
        <v>63</v>
      </c>
      <c r="AL10">
        <v>1</v>
      </c>
      <c r="AM10">
        <v>20250312</v>
      </c>
      <c r="AN10">
        <v>25</v>
      </c>
      <c r="AO10">
        <v>25</v>
      </c>
      <c r="AP10" t="s">
        <v>63</v>
      </c>
      <c r="AS10">
        <v>100</v>
      </c>
      <c r="AT10">
        <v>5</v>
      </c>
      <c r="AU10">
        <v>20</v>
      </c>
      <c r="AV10" t="s">
        <v>64</v>
      </c>
    </row>
    <row r="11" spans="1:48" x14ac:dyDescent="0.25">
      <c r="A11" t="s">
        <v>48</v>
      </c>
      <c r="B11">
        <v>20250314</v>
      </c>
      <c r="C11" t="s">
        <v>49</v>
      </c>
      <c r="D11">
        <v>0</v>
      </c>
      <c r="E11">
        <v>20411454</v>
      </c>
      <c r="F11" t="s">
        <v>50</v>
      </c>
      <c r="G11" t="s">
        <v>123</v>
      </c>
      <c r="H11" t="s">
        <v>124</v>
      </c>
      <c r="I11" t="s">
        <v>125</v>
      </c>
      <c r="J11">
        <v>13496370</v>
      </c>
      <c r="K11">
        <v>442370248</v>
      </c>
      <c r="L11">
        <v>20231215</v>
      </c>
      <c r="M11">
        <v>20231214</v>
      </c>
      <c r="O11">
        <v>2</v>
      </c>
      <c r="P11">
        <v>62</v>
      </c>
      <c r="Q11" t="s">
        <v>126</v>
      </c>
      <c r="R11" t="s">
        <v>54</v>
      </c>
      <c r="S11" t="s">
        <v>127</v>
      </c>
      <c r="U11" t="s">
        <v>128</v>
      </c>
      <c r="W11" t="s">
        <v>129</v>
      </c>
      <c r="Z11" t="s">
        <v>130</v>
      </c>
      <c r="AA11" t="s">
        <v>126</v>
      </c>
      <c r="AB11">
        <v>27517</v>
      </c>
      <c r="AE11" t="s">
        <v>73</v>
      </c>
      <c r="AF11" t="s">
        <v>74</v>
      </c>
      <c r="AG11" t="s">
        <v>61</v>
      </c>
      <c r="AH11" t="s">
        <v>62</v>
      </c>
      <c r="AI11">
        <v>20250301</v>
      </c>
      <c r="AJ11" t="s">
        <v>63</v>
      </c>
      <c r="AK11" t="s">
        <v>63</v>
      </c>
      <c r="AL11">
        <v>1</v>
      </c>
      <c r="AM11">
        <v>20250307</v>
      </c>
      <c r="AN11">
        <v>10.4</v>
      </c>
      <c r="AO11">
        <v>10.4</v>
      </c>
      <c r="AP11" t="s">
        <v>63</v>
      </c>
      <c r="AS11">
        <v>100</v>
      </c>
      <c r="AT11">
        <v>0.42</v>
      </c>
      <c r="AU11">
        <v>4</v>
      </c>
      <c r="AV11" t="s">
        <v>64</v>
      </c>
    </row>
    <row r="12" spans="1:48" x14ac:dyDescent="0.25">
      <c r="A12" t="s">
        <v>48</v>
      </c>
      <c r="B12">
        <v>20250314</v>
      </c>
      <c r="C12" t="s">
        <v>49</v>
      </c>
      <c r="D12">
        <v>0</v>
      </c>
      <c r="E12">
        <v>20411454</v>
      </c>
      <c r="F12" t="s">
        <v>50</v>
      </c>
      <c r="G12" t="s">
        <v>131</v>
      </c>
      <c r="H12" t="s">
        <v>132</v>
      </c>
      <c r="I12" t="s">
        <v>133</v>
      </c>
      <c r="J12">
        <v>20697692</v>
      </c>
      <c r="K12">
        <v>442332365</v>
      </c>
      <c r="L12">
        <v>20231215</v>
      </c>
      <c r="M12">
        <v>20231205</v>
      </c>
      <c r="O12">
        <v>2</v>
      </c>
      <c r="P12">
        <v>59</v>
      </c>
      <c r="Q12" t="s">
        <v>54</v>
      </c>
      <c r="R12" t="s">
        <v>54</v>
      </c>
      <c r="S12" t="s">
        <v>134</v>
      </c>
      <c r="U12" t="s">
        <v>135</v>
      </c>
      <c r="W12" t="s">
        <v>136</v>
      </c>
      <c r="Z12" t="s">
        <v>137</v>
      </c>
      <c r="AA12" t="s">
        <v>54</v>
      </c>
      <c r="AB12">
        <v>20706</v>
      </c>
      <c r="AC12" t="s">
        <v>138</v>
      </c>
      <c r="AE12" t="s">
        <v>139</v>
      </c>
      <c r="AF12" t="s">
        <v>60</v>
      </c>
      <c r="AG12" t="s">
        <v>61</v>
      </c>
      <c r="AH12" t="s">
        <v>62</v>
      </c>
      <c r="AI12">
        <v>20250301</v>
      </c>
      <c r="AJ12" t="s">
        <v>63</v>
      </c>
      <c r="AK12" t="s">
        <v>63</v>
      </c>
      <c r="AL12">
        <v>2</v>
      </c>
      <c r="AM12">
        <v>20250307</v>
      </c>
      <c r="AN12">
        <v>102.55</v>
      </c>
      <c r="AO12">
        <v>102.55</v>
      </c>
      <c r="AP12" t="s">
        <v>63</v>
      </c>
      <c r="AS12">
        <v>100</v>
      </c>
      <c r="AT12">
        <v>15.38</v>
      </c>
      <c r="AU12">
        <v>15</v>
      </c>
      <c r="AV12" t="s">
        <v>64</v>
      </c>
    </row>
    <row r="13" spans="1:48" x14ac:dyDescent="0.25">
      <c r="A13" t="s">
        <v>48</v>
      </c>
      <c r="B13">
        <v>20250314</v>
      </c>
      <c r="C13" t="s">
        <v>49</v>
      </c>
      <c r="D13">
        <v>6</v>
      </c>
      <c r="E13">
        <v>20411454</v>
      </c>
      <c r="F13" t="s">
        <v>50</v>
      </c>
      <c r="G13" t="s">
        <v>51</v>
      </c>
      <c r="H13" t="s">
        <v>140</v>
      </c>
      <c r="I13" t="s">
        <v>141</v>
      </c>
      <c r="J13">
        <v>16509456</v>
      </c>
      <c r="K13">
        <v>442289311</v>
      </c>
      <c r="L13">
        <v>20231118</v>
      </c>
      <c r="M13">
        <v>20231117</v>
      </c>
      <c r="O13">
        <v>2</v>
      </c>
      <c r="P13">
        <v>57</v>
      </c>
      <c r="Q13" t="s">
        <v>68</v>
      </c>
      <c r="R13" t="s">
        <v>68</v>
      </c>
      <c r="S13" t="s">
        <v>142</v>
      </c>
      <c r="U13" t="s">
        <v>143</v>
      </c>
      <c r="W13" t="s">
        <v>144</v>
      </c>
      <c r="Z13" t="s">
        <v>145</v>
      </c>
      <c r="AA13" t="s">
        <v>68</v>
      </c>
      <c r="AB13">
        <v>19320</v>
      </c>
      <c r="AE13" t="s">
        <v>73</v>
      </c>
      <c r="AF13" t="s">
        <v>74</v>
      </c>
      <c r="AG13" t="s">
        <v>61</v>
      </c>
      <c r="AH13" t="s">
        <v>62</v>
      </c>
      <c r="AI13">
        <v>20250301</v>
      </c>
      <c r="AJ13" t="s">
        <v>63</v>
      </c>
      <c r="AK13" t="s">
        <v>63</v>
      </c>
      <c r="AL13">
        <v>1</v>
      </c>
      <c r="AM13">
        <v>20250308</v>
      </c>
      <c r="AN13">
        <v>15.7</v>
      </c>
      <c r="AO13">
        <v>15.7</v>
      </c>
      <c r="AP13" t="s">
        <v>63</v>
      </c>
      <c r="AS13">
        <v>100</v>
      </c>
      <c r="AT13">
        <v>1.26</v>
      </c>
      <c r="AU13">
        <v>8</v>
      </c>
      <c r="AV13" t="s">
        <v>64</v>
      </c>
    </row>
    <row r="14" spans="1:48" x14ac:dyDescent="0.25">
      <c r="A14" t="s">
        <v>48</v>
      </c>
      <c r="B14">
        <v>20250314</v>
      </c>
      <c r="C14" t="s">
        <v>49</v>
      </c>
      <c r="D14">
        <v>6</v>
      </c>
      <c r="E14">
        <v>20411454</v>
      </c>
      <c r="F14" t="s">
        <v>50</v>
      </c>
      <c r="G14" t="s">
        <v>51</v>
      </c>
      <c r="H14" t="s">
        <v>140</v>
      </c>
      <c r="I14" t="s">
        <v>141</v>
      </c>
      <c r="J14">
        <v>16509456</v>
      </c>
      <c r="K14">
        <v>442495285</v>
      </c>
      <c r="L14">
        <v>20240216</v>
      </c>
      <c r="M14">
        <v>20240215</v>
      </c>
      <c r="O14">
        <v>2</v>
      </c>
      <c r="P14">
        <v>29</v>
      </c>
      <c r="Q14" t="s">
        <v>68</v>
      </c>
      <c r="R14" t="s">
        <v>68</v>
      </c>
      <c r="S14" t="s">
        <v>146</v>
      </c>
      <c r="U14" t="s">
        <v>147</v>
      </c>
      <c r="W14" t="s">
        <v>148</v>
      </c>
      <c r="Z14" t="s">
        <v>149</v>
      </c>
      <c r="AA14" t="s">
        <v>68</v>
      </c>
      <c r="AB14">
        <v>19380</v>
      </c>
      <c r="AE14" t="s">
        <v>111</v>
      </c>
      <c r="AF14" t="s">
        <v>112</v>
      </c>
      <c r="AG14" t="s">
        <v>61</v>
      </c>
      <c r="AH14" t="s">
        <v>62</v>
      </c>
      <c r="AI14">
        <v>20250301</v>
      </c>
      <c r="AJ14" t="s">
        <v>63</v>
      </c>
      <c r="AK14" t="s">
        <v>63</v>
      </c>
      <c r="AL14">
        <v>1</v>
      </c>
      <c r="AM14">
        <v>20250308</v>
      </c>
      <c r="AN14">
        <v>34.94</v>
      </c>
      <c r="AO14">
        <v>34.94</v>
      </c>
      <c r="AP14" t="s">
        <v>63</v>
      </c>
      <c r="AS14">
        <v>100</v>
      </c>
      <c r="AT14">
        <v>2.8</v>
      </c>
      <c r="AU14">
        <v>8</v>
      </c>
      <c r="AV14" t="s">
        <v>64</v>
      </c>
    </row>
    <row r="15" spans="1:48" x14ac:dyDescent="0.25">
      <c r="A15" t="s">
        <v>48</v>
      </c>
      <c r="B15">
        <v>20250314</v>
      </c>
      <c r="C15" t="s">
        <v>49</v>
      </c>
      <c r="D15">
        <v>6</v>
      </c>
      <c r="E15">
        <v>20411454</v>
      </c>
      <c r="F15" t="s">
        <v>50</v>
      </c>
      <c r="G15" t="s">
        <v>51</v>
      </c>
      <c r="H15" t="s">
        <v>140</v>
      </c>
      <c r="I15" t="s">
        <v>141</v>
      </c>
      <c r="J15">
        <v>16509456</v>
      </c>
      <c r="K15">
        <v>442505686</v>
      </c>
      <c r="L15">
        <v>20240222</v>
      </c>
      <c r="M15">
        <v>20240221</v>
      </c>
      <c r="O15">
        <v>2</v>
      </c>
      <c r="P15">
        <v>55</v>
      </c>
      <c r="Q15" t="s">
        <v>54</v>
      </c>
      <c r="R15" t="s">
        <v>54</v>
      </c>
      <c r="S15" t="s">
        <v>150</v>
      </c>
      <c r="U15" t="s">
        <v>151</v>
      </c>
      <c r="W15" t="s">
        <v>152</v>
      </c>
      <c r="Z15" t="s">
        <v>153</v>
      </c>
      <c r="AA15" t="s">
        <v>54</v>
      </c>
      <c r="AB15">
        <v>21211</v>
      </c>
      <c r="AE15" t="s">
        <v>91</v>
      </c>
      <c r="AF15" t="s">
        <v>92</v>
      </c>
      <c r="AG15" t="s">
        <v>61</v>
      </c>
      <c r="AH15" t="s">
        <v>62</v>
      </c>
      <c r="AI15">
        <v>20250301</v>
      </c>
      <c r="AJ15" t="s">
        <v>63</v>
      </c>
      <c r="AK15" t="s">
        <v>63</v>
      </c>
      <c r="AL15">
        <v>1</v>
      </c>
      <c r="AM15">
        <v>20250312</v>
      </c>
      <c r="AN15">
        <v>13.28</v>
      </c>
      <c r="AO15">
        <v>13.28</v>
      </c>
      <c r="AP15" t="s">
        <v>63</v>
      </c>
      <c r="AS15">
        <v>100</v>
      </c>
      <c r="AT15">
        <v>0.93</v>
      </c>
      <c r="AU15">
        <v>7</v>
      </c>
      <c r="AV15" t="s">
        <v>64</v>
      </c>
    </row>
    <row r="16" spans="1:48" x14ac:dyDescent="0.25">
      <c r="A16" t="s">
        <v>48</v>
      </c>
      <c r="B16">
        <v>20250314</v>
      </c>
      <c r="C16" t="s">
        <v>49</v>
      </c>
      <c r="D16">
        <v>6</v>
      </c>
      <c r="E16">
        <v>20411454</v>
      </c>
      <c r="F16" t="s">
        <v>50</v>
      </c>
      <c r="G16" t="s">
        <v>51</v>
      </c>
      <c r="H16" t="s">
        <v>140</v>
      </c>
      <c r="I16" t="s">
        <v>141</v>
      </c>
      <c r="J16">
        <v>16509456</v>
      </c>
      <c r="K16">
        <v>442508319</v>
      </c>
      <c r="L16">
        <v>20240223</v>
      </c>
      <c r="M16">
        <v>20240222</v>
      </c>
      <c r="O16">
        <v>2</v>
      </c>
      <c r="P16">
        <v>22</v>
      </c>
      <c r="Q16" t="s">
        <v>54</v>
      </c>
      <c r="R16" t="s">
        <v>54</v>
      </c>
      <c r="S16" t="s">
        <v>154</v>
      </c>
      <c r="U16" t="s">
        <v>155</v>
      </c>
      <c r="W16" t="s">
        <v>156</v>
      </c>
      <c r="Z16" t="s">
        <v>153</v>
      </c>
      <c r="AA16" t="s">
        <v>54</v>
      </c>
      <c r="AB16">
        <v>21224</v>
      </c>
      <c r="AE16" t="s">
        <v>91</v>
      </c>
      <c r="AF16" t="s">
        <v>92</v>
      </c>
      <c r="AG16" t="s">
        <v>61</v>
      </c>
      <c r="AH16" t="s">
        <v>62</v>
      </c>
      <c r="AI16">
        <v>20250301</v>
      </c>
      <c r="AJ16" t="s">
        <v>63</v>
      </c>
      <c r="AK16" t="s">
        <v>63</v>
      </c>
      <c r="AL16">
        <v>1</v>
      </c>
      <c r="AM16">
        <v>20250312</v>
      </c>
      <c r="AN16">
        <v>13.28</v>
      </c>
      <c r="AO16">
        <v>13.28</v>
      </c>
      <c r="AP16" t="s">
        <v>63</v>
      </c>
      <c r="AS16">
        <v>100</v>
      </c>
      <c r="AT16">
        <v>0.93</v>
      </c>
      <c r="AU16">
        <v>7</v>
      </c>
      <c r="AV16" t="s">
        <v>64</v>
      </c>
    </row>
    <row r="17" spans="1:48" x14ac:dyDescent="0.25">
      <c r="A17" t="s">
        <v>48</v>
      </c>
      <c r="B17">
        <v>20250314</v>
      </c>
      <c r="C17" t="s">
        <v>49</v>
      </c>
      <c r="D17">
        <v>3</v>
      </c>
      <c r="E17">
        <v>20411454</v>
      </c>
      <c r="F17" t="s">
        <v>50</v>
      </c>
      <c r="G17" t="s">
        <v>157</v>
      </c>
      <c r="H17" t="s">
        <v>158</v>
      </c>
      <c r="I17" t="s">
        <v>159</v>
      </c>
      <c r="J17">
        <v>8971826</v>
      </c>
      <c r="K17">
        <v>442596433</v>
      </c>
      <c r="L17">
        <v>20240409</v>
      </c>
      <c r="M17">
        <v>20240408</v>
      </c>
      <c r="O17">
        <v>1</v>
      </c>
      <c r="P17">
        <v>60</v>
      </c>
      <c r="Q17" t="s">
        <v>68</v>
      </c>
      <c r="R17" t="s">
        <v>68</v>
      </c>
      <c r="S17" t="s">
        <v>160</v>
      </c>
      <c r="U17" t="s">
        <v>161</v>
      </c>
      <c r="W17" t="s">
        <v>162</v>
      </c>
      <c r="Z17" t="s">
        <v>163</v>
      </c>
      <c r="AA17" t="s">
        <v>68</v>
      </c>
      <c r="AB17">
        <v>15401</v>
      </c>
      <c r="AE17" t="s">
        <v>121</v>
      </c>
      <c r="AF17" t="s">
        <v>122</v>
      </c>
      <c r="AG17" t="s">
        <v>61</v>
      </c>
      <c r="AH17" t="s">
        <v>103</v>
      </c>
      <c r="AI17">
        <v>20250301</v>
      </c>
      <c r="AJ17" t="s">
        <v>63</v>
      </c>
      <c r="AK17" t="s">
        <v>63</v>
      </c>
      <c r="AL17">
        <v>1</v>
      </c>
      <c r="AM17">
        <v>20250312</v>
      </c>
      <c r="AN17">
        <v>25</v>
      </c>
      <c r="AO17">
        <v>25</v>
      </c>
      <c r="AP17" t="s">
        <v>63</v>
      </c>
      <c r="AS17">
        <v>100</v>
      </c>
      <c r="AT17">
        <v>10</v>
      </c>
      <c r="AU17">
        <v>40</v>
      </c>
      <c r="AV17" t="s">
        <v>64</v>
      </c>
    </row>
    <row r="18" spans="1:48" x14ac:dyDescent="0.25">
      <c r="A18" t="s">
        <v>48</v>
      </c>
      <c r="B18">
        <v>20250314</v>
      </c>
      <c r="C18" t="s">
        <v>49</v>
      </c>
      <c r="D18">
        <v>6</v>
      </c>
      <c r="E18">
        <v>20411454</v>
      </c>
      <c r="F18" t="s">
        <v>50</v>
      </c>
      <c r="G18" t="s">
        <v>164</v>
      </c>
      <c r="H18" t="s">
        <v>165</v>
      </c>
      <c r="I18" t="s">
        <v>166</v>
      </c>
      <c r="J18">
        <v>16202925</v>
      </c>
      <c r="K18">
        <v>442368806</v>
      </c>
      <c r="L18">
        <v>20231215</v>
      </c>
      <c r="M18">
        <v>20231214</v>
      </c>
      <c r="O18">
        <v>2</v>
      </c>
      <c r="P18">
        <v>72</v>
      </c>
      <c r="Q18" t="s">
        <v>54</v>
      </c>
      <c r="R18" t="s">
        <v>54</v>
      </c>
      <c r="S18" t="s">
        <v>167</v>
      </c>
      <c r="U18" t="s">
        <v>168</v>
      </c>
      <c r="W18" t="s">
        <v>169</v>
      </c>
      <c r="Z18" t="s">
        <v>170</v>
      </c>
      <c r="AA18" t="s">
        <v>54</v>
      </c>
      <c r="AB18">
        <v>21401</v>
      </c>
      <c r="AE18" t="s">
        <v>73</v>
      </c>
      <c r="AF18" t="s">
        <v>74</v>
      </c>
      <c r="AG18" t="s">
        <v>61</v>
      </c>
      <c r="AH18" t="s">
        <v>62</v>
      </c>
      <c r="AI18">
        <v>20250301</v>
      </c>
      <c r="AJ18" t="s">
        <v>63</v>
      </c>
      <c r="AK18" t="s">
        <v>63</v>
      </c>
      <c r="AL18">
        <v>2</v>
      </c>
      <c r="AM18">
        <v>20250307</v>
      </c>
      <c r="AN18">
        <v>17</v>
      </c>
      <c r="AO18">
        <v>17</v>
      </c>
      <c r="AP18" t="s">
        <v>63</v>
      </c>
      <c r="AS18">
        <v>100</v>
      </c>
      <c r="AT18">
        <v>0.68</v>
      </c>
      <c r="AU18">
        <v>4</v>
      </c>
      <c r="AV18" t="s">
        <v>64</v>
      </c>
    </row>
    <row r="19" spans="1:48" x14ac:dyDescent="0.25">
      <c r="A19" t="s">
        <v>48</v>
      </c>
      <c r="B19">
        <v>20250314</v>
      </c>
      <c r="C19" t="s">
        <v>49</v>
      </c>
      <c r="D19">
        <v>6</v>
      </c>
      <c r="E19">
        <v>20411454</v>
      </c>
      <c r="F19" t="s">
        <v>50</v>
      </c>
      <c r="G19" t="s">
        <v>164</v>
      </c>
      <c r="H19" t="s">
        <v>165</v>
      </c>
      <c r="I19" t="s">
        <v>166</v>
      </c>
      <c r="J19">
        <v>16202925</v>
      </c>
      <c r="K19">
        <v>442424445</v>
      </c>
      <c r="L19">
        <v>20240110</v>
      </c>
      <c r="M19">
        <v>20240109</v>
      </c>
      <c r="O19">
        <v>2</v>
      </c>
      <c r="P19">
        <v>51</v>
      </c>
      <c r="Q19" t="s">
        <v>54</v>
      </c>
      <c r="R19" t="s">
        <v>54</v>
      </c>
      <c r="S19" t="s">
        <v>171</v>
      </c>
      <c r="U19" t="s">
        <v>172</v>
      </c>
      <c r="W19" t="s">
        <v>173</v>
      </c>
      <c r="Z19" t="s">
        <v>153</v>
      </c>
      <c r="AA19" t="s">
        <v>54</v>
      </c>
      <c r="AB19">
        <v>21239</v>
      </c>
      <c r="AE19" t="s">
        <v>174</v>
      </c>
      <c r="AF19" t="s">
        <v>175</v>
      </c>
      <c r="AG19" t="s">
        <v>61</v>
      </c>
      <c r="AH19" t="s">
        <v>62</v>
      </c>
      <c r="AI19">
        <v>20250301</v>
      </c>
      <c r="AJ19" t="s">
        <v>63</v>
      </c>
      <c r="AK19" t="s">
        <v>63</v>
      </c>
      <c r="AL19">
        <v>1</v>
      </c>
      <c r="AM19">
        <v>20250312</v>
      </c>
      <c r="AN19">
        <v>63.2</v>
      </c>
      <c r="AO19">
        <v>63.2</v>
      </c>
      <c r="AP19" t="s">
        <v>63</v>
      </c>
      <c r="AS19">
        <v>100</v>
      </c>
      <c r="AT19">
        <v>4.42</v>
      </c>
      <c r="AU19">
        <v>7</v>
      </c>
      <c r="AV19" t="s">
        <v>64</v>
      </c>
    </row>
    <row r="20" spans="1:48" x14ac:dyDescent="0.25">
      <c r="A20" t="s">
        <v>48</v>
      </c>
      <c r="B20">
        <v>20250314</v>
      </c>
      <c r="C20" t="s">
        <v>49</v>
      </c>
      <c r="D20">
        <v>6</v>
      </c>
      <c r="E20">
        <v>20411454</v>
      </c>
      <c r="F20" t="s">
        <v>50</v>
      </c>
      <c r="G20" t="s">
        <v>164</v>
      </c>
      <c r="H20" t="s">
        <v>165</v>
      </c>
      <c r="I20" t="s">
        <v>166</v>
      </c>
      <c r="J20">
        <v>16202925</v>
      </c>
      <c r="K20">
        <v>442424444</v>
      </c>
      <c r="L20">
        <v>20240110</v>
      </c>
      <c r="M20">
        <v>20240109</v>
      </c>
      <c r="O20">
        <v>2</v>
      </c>
      <c r="P20">
        <v>51</v>
      </c>
      <c r="Q20" t="s">
        <v>54</v>
      </c>
      <c r="R20" t="s">
        <v>54</v>
      </c>
      <c r="S20" t="s">
        <v>171</v>
      </c>
      <c r="U20" t="s">
        <v>172</v>
      </c>
      <c r="W20" t="s">
        <v>173</v>
      </c>
      <c r="Z20" t="s">
        <v>153</v>
      </c>
      <c r="AA20" t="s">
        <v>54</v>
      </c>
      <c r="AB20">
        <v>21239</v>
      </c>
      <c r="AC20" t="s">
        <v>176</v>
      </c>
      <c r="AE20" t="s">
        <v>139</v>
      </c>
      <c r="AF20" t="s">
        <v>60</v>
      </c>
      <c r="AG20" t="s">
        <v>61</v>
      </c>
      <c r="AH20" t="s">
        <v>62</v>
      </c>
      <c r="AI20">
        <v>20250301</v>
      </c>
      <c r="AJ20" t="s">
        <v>63</v>
      </c>
      <c r="AK20" t="s">
        <v>63</v>
      </c>
      <c r="AL20">
        <v>1</v>
      </c>
      <c r="AM20">
        <v>20250312</v>
      </c>
      <c r="AN20">
        <v>58.4</v>
      </c>
      <c r="AO20">
        <v>58.4</v>
      </c>
      <c r="AP20" t="s">
        <v>63</v>
      </c>
      <c r="AS20">
        <v>100</v>
      </c>
      <c r="AT20">
        <v>2.34</v>
      </c>
      <c r="AU20">
        <v>4</v>
      </c>
      <c r="AV20" t="s">
        <v>64</v>
      </c>
    </row>
    <row r="21" spans="1:48" x14ac:dyDescent="0.25">
      <c r="A21" t="s">
        <v>48</v>
      </c>
      <c r="B21">
        <v>20250314</v>
      </c>
      <c r="C21" t="s">
        <v>49</v>
      </c>
      <c r="D21">
        <v>6</v>
      </c>
      <c r="E21">
        <v>20411454</v>
      </c>
      <c r="F21" t="s">
        <v>50</v>
      </c>
      <c r="G21" t="s">
        <v>164</v>
      </c>
      <c r="H21" t="s">
        <v>165</v>
      </c>
      <c r="I21" t="s">
        <v>166</v>
      </c>
      <c r="J21">
        <v>16202925</v>
      </c>
      <c r="K21">
        <v>442433511</v>
      </c>
      <c r="L21">
        <v>20240116</v>
      </c>
      <c r="M21">
        <v>20240113</v>
      </c>
      <c r="O21">
        <v>2</v>
      </c>
      <c r="P21">
        <v>26</v>
      </c>
      <c r="Q21" t="s">
        <v>54</v>
      </c>
      <c r="R21" t="s">
        <v>54</v>
      </c>
      <c r="S21" t="s">
        <v>177</v>
      </c>
      <c r="U21" t="s">
        <v>178</v>
      </c>
      <c r="W21" t="s">
        <v>179</v>
      </c>
      <c r="Z21" t="s">
        <v>180</v>
      </c>
      <c r="AA21" t="s">
        <v>54</v>
      </c>
      <c r="AB21">
        <v>21227</v>
      </c>
      <c r="AE21" t="s">
        <v>111</v>
      </c>
      <c r="AF21" t="s">
        <v>112</v>
      </c>
      <c r="AG21" t="s">
        <v>61</v>
      </c>
      <c r="AH21" t="s">
        <v>62</v>
      </c>
      <c r="AI21">
        <v>20250301</v>
      </c>
      <c r="AJ21" t="s">
        <v>63</v>
      </c>
      <c r="AK21" t="s">
        <v>63</v>
      </c>
      <c r="AL21">
        <v>1</v>
      </c>
      <c r="AM21">
        <v>20250308</v>
      </c>
      <c r="AN21">
        <v>26.04</v>
      </c>
      <c r="AO21">
        <v>26.04</v>
      </c>
      <c r="AP21" t="s">
        <v>63</v>
      </c>
      <c r="AS21">
        <v>100</v>
      </c>
      <c r="AT21">
        <v>2.08</v>
      </c>
      <c r="AU21">
        <v>8</v>
      </c>
      <c r="AV21" t="s">
        <v>64</v>
      </c>
    </row>
    <row r="22" spans="1:48" x14ac:dyDescent="0.25">
      <c r="A22" t="s">
        <v>48</v>
      </c>
      <c r="B22">
        <v>20250314</v>
      </c>
      <c r="C22" t="s">
        <v>49</v>
      </c>
      <c r="D22">
        <v>6</v>
      </c>
      <c r="E22">
        <v>20411454</v>
      </c>
      <c r="F22" t="s">
        <v>50</v>
      </c>
      <c r="G22" t="s">
        <v>164</v>
      </c>
      <c r="H22" t="s">
        <v>165</v>
      </c>
      <c r="I22" t="s">
        <v>166</v>
      </c>
      <c r="J22">
        <v>16202925</v>
      </c>
      <c r="K22">
        <v>442433510</v>
      </c>
      <c r="L22">
        <v>20240116</v>
      </c>
      <c r="M22">
        <v>20240113</v>
      </c>
      <c r="O22">
        <v>2</v>
      </c>
      <c r="P22">
        <v>26</v>
      </c>
      <c r="Q22" t="s">
        <v>54</v>
      </c>
      <c r="R22" t="s">
        <v>54</v>
      </c>
      <c r="S22" t="s">
        <v>177</v>
      </c>
      <c r="U22" t="s">
        <v>178</v>
      </c>
      <c r="W22" t="s">
        <v>179</v>
      </c>
      <c r="Z22" t="s">
        <v>180</v>
      </c>
      <c r="AA22" t="s">
        <v>54</v>
      </c>
      <c r="AB22">
        <v>21227</v>
      </c>
      <c r="AE22" t="s">
        <v>73</v>
      </c>
      <c r="AF22" t="s">
        <v>74</v>
      </c>
      <c r="AG22" t="s">
        <v>61</v>
      </c>
      <c r="AH22" t="s">
        <v>62</v>
      </c>
      <c r="AI22">
        <v>20250301</v>
      </c>
      <c r="AJ22" t="s">
        <v>63</v>
      </c>
      <c r="AK22" t="s">
        <v>63</v>
      </c>
      <c r="AL22">
        <v>1</v>
      </c>
      <c r="AM22">
        <v>20250308</v>
      </c>
      <c r="AN22">
        <v>10.4</v>
      </c>
      <c r="AO22">
        <v>10.4</v>
      </c>
      <c r="AP22" t="s">
        <v>63</v>
      </c>
      <c r="AS22">
        <v>100</v>
      </c>
      <c r="AT22">
        <v>0.42</v>
      </c>
      <c r="AU22">
        <v>4</v>
      </c>
      <c r="AV22" t="s">
        <v>64</v>
      </c>
    </row>
    <row r="23" spans="1:48" x14ac:dyDescent="0.25">
      <c r="A23" t="s">
        <v>48</v>
      </c>
      <c r="B23">
        <v>20250314</v>
      </c>
      <c r="C23" t="s">
        <v>49</v>
      </c>
      <c r="D23">
        <v>6</v>
      </c>
      <c r="E23">
        <v>20411454</v>
      </c>
      <c r="F23" t="s">
        <v>50</v>
      </c>
      <c r="G23" t="s">
        <v>164</v>
      </c>
      <c r="H23" t="s">
        <v>165</v>
      </c>
      <c r="I23" t="s">
        <v>166</v>
      </c>
      <c r="J23">
        <v>16202925</v>
      </c>
      <c r="K23">
        <v>442606244</v>
      </c>
      <c r="L23">
        <v>20240414</v>
      </c>
      <c r="M23">
        <v>20240413</v>
      </c>
      <c r="O23">
        <v>1</v>
      </c>
      <c r="P23">
        <v>49</v>
      </c>
      <c r="Q23" t="s">
        <v>54</v>
      </c>
      <c r="R23" t="s">
        <v>54</v>
      </c>
      <c r="S23" t="s">
        <v>181</v>
      </c>
      <c r="U23" t="s">
        <v>182</v>
      </c>
      <c r="W23" t="s">
        <v>183</v>
      </c>
      <c r="Z23" t="s">
        <v>184</v>
      </c>
      <c r="AA23" t="s">
        <v>54</v>
      </c>
      <c r="AB23">
        <v>20902</v>
      </c>
      <c r="AE23" t="s">
        <v>185</v>
      </c>
      <c r="AF23" t="s">
        <v>102</v>
      </c>
      <c r="AG23" t="s">
        <v>61</v>
      </c>
      <c r="AH23" t="s">
        <v>103</v>
      </c>
      <c r="AI23">
        <v>20250301</v>
      </c>
      <c r="AJ23" t="s">
        <v>63</v>
      </c>
      <c r="AK23" t="s">
        <v>63</v>
      </c>
      <c r="AL23">
        <v>1</v>
      </c>
      <c r="AM23">
        <v>20250307</v>
      </c>
      <c r="AN23">
        <v>36.64</v>
      </c>
      <c r="AO23">
        <v>36.64</v>
      </c>
      <c r="AP23" t="s">
        <v>63</v>
      </c>
      <c r="AS23">
        <v>100</v>
      </c>
      <c r="AT23">
        <v>16.489999999999998</v>
      </c>
      <c r="AU23">
        <v>45</v>
      </c>
      <c r="AV23" t="s">
        <v>64</v>
      </c>
    </row>
    <row r="24" spans="1:48" x14ac:dyDescent="0.25">
      <c r="A24" t="s">
        <v>48</v>
      </c>
      <c r="B24">
        <v>20250314</v>
      </c>
      <c r="C24" t="s">
        <v>49</v>
      </c>
      <c r="D24">
        <v>6</v>
      </c>
      <c r="E24">
        <v>20411454</v>
      </c>
      <c r="F24" t="s">
        <v>50</v>
      </c>
      <c r="G24" t="s">
        <v>164</v>
      </c>
      <c r="H24" t="s">
        <v>165</v>
      </c>
      <c r="I24" t="s">
        <v>166</v>
      </c>
      <c r="J24">
        <v>16202925</v>
      </c>
      <c r="K24">
        <v>442646320</v>
      </c>
      <c r="L24">
        <v>20240505</v>
      </c>
      <c r="M24">
        <v>20240503</v>
      </c>
      <c r="O24">
        <v>1</v>
      </c>
      <c r="P24">
        <v>57</v>
      </c>
      <c r="Q24" t="s">
        <v>54</v>
      </c>
      <c r="R24" t="s">
        <v>54</v>
      </c>
      <c r="S24" t="s">
        <v>186</v>
      </c>
      <c r="U24" t="s">
        <v>187</v>
      </c>
      <c r="W24" t="s">
        <v>188</v>
      </c>
      <c r="Z24" t="s">
        <v>189</v>
      </c>
      <c r="AA24" t="s">
        <v>54</v>
      </c>
      <c r="AB24">
        <v>21804</v>
      </c>
      <c r="AE24" t="s">
        <v>101</v>
      </c>
      <c r="AF24" t="s">
        <v>102</v>
      </c>
      <c r="AG24" t="s">
        <v>61</v>
      </c>
      <c r="AH24" t="s">
        <v>103</v>
      </c>
      <c r="AI24">
        <v>20250301</v>
      </c>
      <c r="AJ24" t="s">
        <v>63</v>
      </c>
      <c r="AK24" t="s">
        <v>63</v>
      </c>
      <c r="AL24">
        <v>1</v>
      </c>
      <c r="AM24">
        <v>20250307</v>
      </c>
      <c r="AN24">
        <v>47.24</v>
      </c>
      <c r="AO24">
        <v>47.24</v>
      </c>
      <c r="AP24" t="s">
        <v>63</v>
      </c>
      <c r="AS24">
        <v>100</v>
      </c>
      <c r="AT24">
        <v>21.26</v>
      </c>
      <c r="AU24">
        <v>45</v>
      </c>
      <c r="AV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569C-614D-473C-ABAA-5792275798F3}">
  <dimension ref="A1:AC24"/>
  <sheetViews>
    <sheetView tabSelected="1" topLeftCell="G1" workbookViewId="0">
      <selection activeCell="D10" sqref="A10:XFD10"/>
    </sheetView>
  </sheetViews>
  <sheetFormatPr defaultRowHeight="15" x14ac:dyDescent="0.25"/>
  <cols>
    <col min="3" max="3" width="19.85546875" bestFit="1" customWidth="1"/>
    <col min="4" max="4" width="26" bestFit="1" customWidth="1"/>
    <col min="5" max="5" width="14.140625" bestFit="1" customWidth="1"/>
    <col min="7" max="7" width="10.7109375" bestFit="1" customWidth="1"/>
    <col min="14" max="14" width="27.42578125" bestFit="1" customWidth="1"/>
    <col min="15" max="15" width="23" bestFit="1" customWidth="1"/>
    <col min="16" max="16" width="31.7109375" bestFit="1" customWidth="1"/>
    <col min="19" max="19" width="9.42578125" customWidth="1"/>
    <col min="21" max="21" width="8" customWidth="1"/>
    <col min="22" max="22" width="9" customWidth="1"/>
  </cols>
  <sheetData>
    <row r="1" spans="1:29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12</v>
      </c>
      <c r="I1" t="s">
        <v>14</v>
      </c>
      <c r="J1" t="s">
        <v>15</v>
      </c>
      <c r="K1" t="s">
        <v>16</v>
      </c>
      <c r="L1" t="s">
        <v>18</v>
      </c>
      <c r="M1" t="s">
        <v>20</v>
      </c>
      <c r="O1" t="s">
        <v>30</v>
      </c>
      <c r="P1" t="s">
        <v>31</v>
      </c>
      <c r="Q1" t="s">
        <v>34</v>
      </c>
      <c r="R1" t="s">
        <v>37</v>
      </c>
      <c r="S1" t="s">
        <v>40</v>
      </c>
      <c r="T1" t="s">
        <v>44</v>
      </c>
      <c r="U1" t="s">
        <v>45</v>
      </c>
      <c r="V1" t="s">
        <v>46</v>
      </c>
    </row>
    <row r="2" spans="1:29" x14ac:dyDescent="0.25">
      <c r="A2" t="s">
        <v>51</v>
      </c>
      <c r="B2" t="s">
        <v>52</v>
      </c>
      <c r="C2" t="str">
        <f>CONCATENATE(B2, " ",A2)</f>
        <v>Adam Richter</v>
      </c>
      <c r="D2" s="1">
        <v>9079571</v>
      </c>
      <c r="E2">
        <v>441983893</v>
      </c>
      <c r="F2">
        <v>20230501</v>
      </c>
      <c r="G2" t="str">
        <f>TEXT(DATE(LEFT(F2,4), MID(F2,5,2), RIGHT(F2,2)), "M/d/yyyy")</f>
        <v>5/1/2023</v>
      </c>
      <c r="H2">
        <v>20230522</v>
      </c>
      <c r="I2">
        <v>2</v>
      </c>
      <c r="J2">
        <v>66</v>
      </c>
      <c r="K2" t="s">
        <v>54</v>
      </c>
      <c r="L2" t="s">
        <v>55</v>
      </c>
      <c r="M2" t="s">
        <v>56</v>
      </c>
      <c r="N2" t="str">
        <f>CONCATENATE(L2, " ",M2)</f>
        <v>DENNIS BLOMME</v>
      </c>
      <c r="O2" t="s">
        <v>59</v>
      </c>
      <c r="P2" t="s">
        <v>60</v>
      </c>
      <c r="Q2">
        <v>20250301</v>
      </c>
      <c r="R2">
        <v>2</v>
      </c>
      <c r="S2">
        <v>142.22999999999999</v>
      </c>
      <c r="T2">
        <v>100</v>
      </c>
      <c r="U2">
        <v>7.11</v>
      </c>
      <c r="V2">
        <v>5</v>
      </c>
      <c r="W2" t="s">
        <v>191</v>
      </c>
    </row>
    <row r="3" spans="1:29" x14ac:dyDescent="0.25">
      <c r="A3" t="s">
        <v>65</v>
      </c>
      <c r="B3" t="s">
        <v>66</v>
      </c>
      <c r="C3" t="str">
        <f t="shared" ref="C3:C24" si="0">CONCATENATE(B3, " ",A3)</f>
        <v>Carol Foley</v>
      </c>
      <c r="D3" s="1" t="s">
        <v>190</v>
      </c>
      <c r="E3">
        <v>441942243</v>
      </c>
      <c r="F3">
        <v>20230401</v>
      </c>
      <c r="G3" t="str">
        <f t="shared" ref="G3:G24" si="1">TEXT(DATE(LEFT(F3,4), MID(F3,5,2), RIGHT(F3,2)), "M/d/yyyy")</f>
        <v>4/1/2023</v>
      </c>
      <c r="H3">
        <v>20230426</v>
      </c>
      <c r="I3">
        <v>2</v>
      </c>
      <c r="J3">
        <v>63</v>
      </c>
      <c r="K3" t="s">
        <v>68</v>
      </c>
      <c r="L3" t="s">
        <v>69</v>
      </c>
      <c r="M3" t="s">
        <v>70</v>
      </c>
      <c r="N3" t="str">
        <f t="shared" ref="N3:N24" si="2">CONCATENATE(L3, " ",M3)</f>
        <v>GARY NEHER</v>
      </c>
      <c r="O3" t="s">
        <v>73</v>
      </c>
      <c r="P3" t="s">
        <v>74</v>
      </c>
      <c r="Q3">
        <v>20250301</v>
      </c>
      <c r="R3">
        <v>1</v>
      </c>
      <c r="S3">
        <v>11.4</v>
      </c>
      <c r="T3">
        <v>100</v>
      </c>
      <c r="U3">
        <v>0.91</v>
      </c>
      <c r="V3">
        <v>8</v>
      </c>
      <c r="W3" t="s">
        <v>192</v>
      </c>
    </row>
    <row r="4" spans="1:29" x14ac:dyDescent="0.25">
      <c r="A4" t="s">
        <v>65</v>
      </c>
      <c r="B4" t="s">
        <v>66</v>
      </c>
      <c r="C4" t="str">
        <f t="shared" si="0"/>
        <v>Carol Foley</v>
      </c>
      <c r="D4" s="1" t="s">
        <v>190</v>
      </c>
      <c r="E4">
        <v>442238637</v>
      </c>
      <c r="F4">
        <v>20231001</v>
      </c>
      <c r="G4" t="str">
        <f t="shared" si="1"/>
        <v>10/1/2023</v>
      </c>
      <c r="H4">
        <v>20231030</v>
      </c>
      <c r="I4">
        <v>2</v>
      </c>
      <c r="J4">
        <v>35</v>
      </c>
      <c r="K4" t="s">
        <v>68</v>
      </c>
      <c r="L4" t="s">
        <v>75</v>
      </c>
      <c r="M4" t="s">
        <v>76</v>
      </c>
      <c r="N4" t="str">
        <f t="shared" si="2"/>
        <v>ANDREW FLEMING</v>
      </c>
      <c r="O4" t="s">
        <v>73</v>
      </c>
      <c r="P4" t="s">
        <v>74</v>
      </c>
      <c r="Q4">
        <v>20250301</v>
      </c>
      <c r="R4">
        <v>1</v>
      </c>
      <c r="S4">
        <v>11.4</v>
      </c>
      <c r="T4">
        <v>100</v>
      </c>
      <c r="U4">
        <v>0.91</v>
      </c>
      <c r="V4">
        <v>8</v>
      </c>
      <c r="W4" t="s">
        <v>192</v>
      </c>
    </row>
    <row r="5" spans="1:29" x14ac:dyDescent="0.25">
      <c r="A5" t="s">
        <v>65</v>
      </c>
      <c r="B5" t="s">
        <v>66</v>
      </c>
      <c r="C5" t="str">
        <f t="shared" si="0"/>
        <v>Carol Foley</v>
      </c>
      <c r="D5" s="1" t="s">
        <v>190</v>
      </c>
      <c r="E5">
        <v>442293037</v>
      </c>
      <c r="F5">
        <v>20231101</v>
      </c>
      <c r="G5" t="str">
        <f t="shared" si="1"/>
        <v>11/1/2023</v>
      </c>
      <c r="H5">
        <v>20231120</v>
      </c>
      <c r="I5">
        <v>2</v>
      </c>
      <c r="J5">
        <v>58</v>
      </c>
      <c r="K5" t="s">
        <v>68</v>
      </c>
      <c r="L5" t="s">
        <v>79</v>
      </c>
      <c r="M5" t="s">
        <v>80</v>
      </c>
      <c r="N5" t="str">
        <f t="shared" si="2"/>
        <v>ANNA CABOT</v>
      </c>
      <c r="O5" t="s">
        <v>73</v>
      </c>
      <c r="P5" t="s">
        <v>74</v>
      </c>
      <c r="Q5">
        <v>20250301</v>
      </c>
      <c r="R5">
        <v>1</v>
      </c>
      <c r="S5">
        <v>11.4</v>
      </c>
      <c r="T5">
        <v>100</v>
      </c>
      <c r="U5">
        <v>0.91</v>
      </c>
      <c r="V5">
        <v>8</v>
      </c>
      <c r="W5" t="s">
        <v>192</v>
      </c>
    </row>
    <row r="6" spans="1:29" x14ac:dyDescent="0.25">
      <c r="A6" t="s">
        <v>65</v>
      </c>
      <c r="B6" t="s">
        <v>66</v>
      </c>
      <c r="C6" t="str">
        <f t="shared" si="0"/>
        <v>Carol Foley</v>
      </c>
      <c r="D6" s="1" t="s">
        <v>190</v>
      </c>
      <c r="E6">
        <v>442363899</v>
      </c>
      <c r="F6">
        <v>20231201</v>
      </c>
      <c r="G6" t="str">
        <f t="shared" si="1"/>
        <v>12/1/2023</v>
      </c>
      <c r="H6">
        <v>20231213</v>
      </c>
      <c r="I6">
        <v>2</v>
      </c>
      <c r="J6">
        <v>57</v>
      </c>
      <c r="K6" t="s">
        <v>68</v>
      </c>
      <c r="L6" t="s">
        <v>83</v>
      </c>
      <c r="M6" t="s">
        <v>84</v>
      </c>
      <c r="N6" t="str">
        <f t="shared" si="2"/>
        <v>STUART STURROCK</v>
      </c>
      <c r="O6" t="s">
        <v>73</v>
      </c>
      <c r="P6" t="s">
        <v>74</v>
      </c>
      <c r="Q6">
        <v>20250301</v>
      </c>
      <c r="R6">
        <v>1</v>
      </c>
      <c r="S6">
        <v>11.4</v>
      </c>
      <c r="T6">
        <v>100</v>
      </c>
      <c r="U6">
        <v>0.91</v>
      </c>
      <c r="V6">
        <v>8</v>
      </c>
      <c r="W6" t="s">
        <v>192</v>
      </c>
    </row>
    <row r="7" spans="1:29" x14ac:dyDescent="0.25">
      <c r="A7" t="s">
        <v>65</v>
      </c>
      <c r="B7" t="s">
        <v>66</v>
      </c>
      <c r="C7" t="str">
        <f t="shared" si="0"/>
        <v>Carol Foley</v>
      </c>
      <c r="D7" s="1" t="s">
        <v>190</v>
      </c>
      <c r="E7">
        <v>442477122</v>
      </c>
      <c r="F7">
        <v>20240201</v>
      </c>
      <c r="G7" t="str">
        <f t="shared" si="1"/>
        <v>2/1/2024</v>
      </c>
      <c r="H7">
        <v>20240205</v>
      </c>
      <c r="I7">
        <v>2</v>
      </c>
      <c r="J7">
        <v>67</v>
      </c>
      <c r="K7" t="s">
        <v>68</v>
      </c>
      <c r="L7" t="s">
        <v>87</v>
      </c>
      <c r="M7" t="s">
        <v>88</v>
      </c>
      <c r="N7" t="str">
        <f t="shared" si="2"/>
        <v>MONIQUE SEYLER</v>
      </c>
      <c r="O7" t="s">
        <v>91</v>
      </c>
      <c r="P7" t="s">
        <v>92</v>
      </c>
      <c r="Q7">
        <v>20250301</v>
      </c>
      <c r="R7">
        <v>1</v>
      </c>
      <c r="S7">
        <v>13.28</v>
      </c>
      <c r="T7">
        <v>100</v>
      </c>
      <c r="U7">
        <v>0.93</v>
      </c>
      <c r="V7">
        <v>7</v>
      </c>
      <c r="W7" t="s">
        <v>194</v>
      </c>
    </row>
    <row r="8" spans="1:29" x14ac:dyDescent="0.25">
      <c r="A8" t="s">
        <v>93</v>
      </c>
      <c r="B8" t="s">
        <v>94</v>
      </c>
      <c r="C8" t="str">
        <f t="shared" si="0"/>
        <v>Cathy Lemon</v>
      </c>
      <c r="D8" s="1">
        <v>17195620</v>
      </c>
      <c r="E8">
        <v>442624391</v>
      </c>
      <c r="F8">
        <v>20240401</v>
      </c>
      <c r="G8" t="str">
        <f t="shared" si="1"/>
        <v>4/1/2024</v>
      </c>
      <c r="H8">
        <v>20240423</v>
      </c>
      <c r="I8">
        <v>1</v>
      </c>
      <c r="J8">
        <v>40</v>
      </c>
      <c r="K8" t="s">
        <v>54</v>
      </c>
      <c r="L8" t="s">
        <v>96</v>
      </c>
      <c r="M8" t="s">
        <v>97</v>
      </c>
      <c r="N8" t="str">
        <f t="shared" si="2"/>
        <v>HELENE MOUDIO</v>
      </c>
      <c r="O8" t="s">
        <v>101</v>
      </c>
      <c r="P8" t="s">
        <v>102</v>
      </c>
      <c r="Q8">
        <v>20250301</v>
      </c>
      <c r="R8">
        <v>1</v>
      </c>
      <c r="S8">
        <v>47.24</v>
      </c>
      <c r="T8">
        <v>100</v>
      </c>
      <c r="U8">
        <v>21.26</v>
      </c>
      <c r="V8">
        <v>45</v>
      </c>
      <c r="W8" t="s">
        <v>194</v>
      </c>
    </row>
    <row r="9" spans="1:29" x14ac:dyDescent="0.25">
      <c r="A9" t="s">
        <v>104</v>
      </c>
      <c r="B9" t="s">
        <v>105</v>
      </c>
      <c r="C9" t="str">
        <f t="shared" si="0"/>
        <v>Jason Hoffmann</v>
      </c>
      <c r="D9" s="1">
        <v>15278437</v>
      </c>
      <c r="E9">
        <v>441699275</v>
      </c>
      <c r="F9">
        <v>20221201</v>
      </c>
      <c r="G9" t="str">
        <f t="shared" si="1"/>
        <v>12/1/2022</v>
      </c>
      <c r="H9">
        <v>20221213</v>
      </c>
      <c r="I9">
        <v>3</v>
      </c>
      <c r="J9">
        <v>28</v>
      </c>
      <c r="K9" t="s">
        <v>68</v>
      </c>
      <c r="L9" t="s">
        <v>107</v>
      </c>
      <c r="M9" t="s">
        <v>108</v>
      </c>
      <c r="N9" t="str">
        <f t="shared" si="2"/>
        <v>MICHAEL DIGREGORIO</v>
      </c>
      <c r="O9" t="s">
        <v>111</v>
      </c>
      <c r="P9" t="s">
        <v>112</v>
      </c>
      <c r="Q9">
        <v>20250301</v>
      </c>
      <c r="R9">
        <v>0</v>
      </c>
      <c r="S9">
        <v>34.94</v>
      </c>
      <c r="T9">
        <v>100</v>
      </c>
      <c r="U9">
        <v>2.8</v>
      </c>
      <c r="V9">
        <v>8</v>
      </c>
      <c r="W9" t="s">
        <v>195</v>
      </c>
    </row>
    <row r="10" spans="1:29" s="2" customFormat="1" x14ac:dyDescent="0.25">
      <c r="A10" s="2" t="s">
        <v>113</v>
      </c>
      <c r="B10" s="2" t="s">
        <v>114</v>
      </c>
      <c r="C10" s="2" t="str">
        <f t="shared" si="0"/>
        <v>Katelenn Caltagirone</v>
      </c>
      <c r="D10" s="3">
        <v>20436896</v>
      </c>
      <c r="E10" s="2">
        <v>441769366</v>
      </c>
      <c r="F10" s="2">
        <v>20230101</v>
      </c>
      <c r="G10" s="2" t="str">
        <f t="shared" si="1"/>
        <v>1/1/2023</v>
      </c>
      <c r="H10" s="2">
        <v>20230113</v>
      </c>
      <c r="I10" s="2">
        <v>3</v>
      </c>
      <c r="J10" s="2">
        <v>53</v>
      </c>
      <c r="K10" s="2" t="s">
        <v>116</v>
      </c>
      <c r="L10" s="2" t="s">
        <v>117</v>
      </c>
      <c r="M10" s="2" t="s">
        <v>118</v>
      </c>
      <c r="N10" s="2" t="str">
        <f t="shared" si="2"/>
        <v>TIMOTHY WASSELL</v>
      </c>
      <c r="O10" s="2" t="s">
        <v>121</v>
      </c>
      <c r="P10" s="2" t="s">
        <v>122</v>
      </c>
      <c r="Q10" s="2">
        <v>20250301</v>
      </c>
      <c r="R10" s="2">
        <v>1</v>
      </c>
      <c r="S10" s="2">
        <v>25</v>
      </c>
      <c r="T10" s="2">
        <v>100</v>
      </c>
      <c r="U10" s="2">
        <v>5</v>
      </c>
      <c r="V10" s="2">
        <v>20</v>
      </c>
      <c r="W10" s="2" t="s">
        <v>196</v>
      </c>
      <c r="AC10" s="2">
        <f>25*20%</f>
        <v>5</v>
      </c>
    </row>
    <row r="11" spans="1:29" x14ac:dyDescent="0.25">
      <c r="A11" t="s">
        <v>123</v>
      </c>
      <c r="B11" t="s">
        <v>124</v>
      </c>
      <c r="C11" t="str">
        <f t="shared" si="0"/>
        <v>Laneece White</v>
      </c>
      <c r="D11" s="1">
        <v>13496370</v>
      </c>
      <c r="E11">
        <v>442370248</v>
      </c>
      <c r="F11">
        <v>20231201</v>
      </c>
      <c r="G11" t="str">
        <f t="shared" si="1"/>
        <v>12/1/2023</v>
      </c>
      <c r="H11">
        <v>20231214</v>
      </c>
      <c r="I11">
        <v>2</v>
      </c>
      <c r="J11">
        <v>62</v>
      </c>
      <c r="K11" t="s">
        <v>126</v>
      </c>
      <c r="L11" t="s">
        <v>127</v>
      </c>
      <c r="M11" t="s">
        <v>128</v>
      </c>
      <c r="N11" t="str">
        <f t="shared" si="2"/>
        <v>S AMANDA DAVIS</v>
      </c>
      <c r="O11" t="s">
        <v>73</v>
      </c>
      <c r="P11" t="s">
        <v>74</v>
      </c>
      <c r="Q11">
        <v>20250301</v>
      </c>
      <c r="R11">
        <v>1</v>
      </c>
      <c r="S11">
        <v>10.4</v>
      </c>
      <c r="T11">
        <v>100</v>
      </c>
      <c r="U11">
        <v>0.42</v>
      </c>
      <c r="V11">
        <v>4</v>
      </c>
      <c r="W11" t="s">
        <v>193</v>
      </c>
    </row>
    <row r="12" spans="1:29" x14ac:dyDescent="0.25">
      <c r="A12" t="s">
        <v>131</v>
      </c>
      <c r="B12" t="s">
        <v>132</v>
      </c>
      <c r="C12" t="str">
        <f t="shared" si="0"/>
        <v>Laurie Casta</v>
      </c>
      <c r="D12" s="1">
        <v>20697692</v>
      </c>
      <c r="E12">
        <v>442332365</v>
      </c>
      <c r="F12">
        <v>20231201</v>
      </c>
      <c r="G12" t="str">
        <f t="shared" si="1"/>
        <v>12/1/2023</v>
      </c>
      <c r="H12">
        <v>20231205</v>
      </c>
      <c r="I12">
        <v>2</v>
      </c>
      <c r="J12">
        <v>59</v>
      </c>
      <c r="K12" t="s">
        <v>54</v>
      </c>
      <c r="L12" t="s">
        <v>134</v>
      </c>
      <c r="M12" t="s">
        <v>135</v>
      </c>
      <c r="N12" t="str">
        <f t="shared" si="2"/>
        <v>JOY FOURNILLIER</v>
      </c>
      <c r="O12" t="s">
        <v>139</v>
      </c>
      <c r="P12" t="s">
        <v>60</v>
      </c>
      <c r="Q12">
        <v>20250301</v>
      </c>
      <c r="R12">
        <v>2</v>
      </c>
      <c r="S12">
        <v>102.55</v>
      </c>
      <c r="T12">
        <v>100</v>
      </c>
      <c r="U12">
        <v>15.38</v>
      </c>
      <c r="V12">
        <v>15</v>
      </c>
      <c r="W12" t="s">
        <v>197</v>
      </c>
    </row>
    <row r="13" spans="1:29" x14ac:dyDescent="0.25">
      <c r="A13" t="s">
        <v>51</v>
      </c>
      <c r="B13" t="s">
        <v>140</v>
      </c>
      <c r="C13" t="str">
        <f t="shared" si="0"/>
        <v>Peter Richter</v>
      </c>
      <c r="D13" s="1">
        <v>16509456</v>
      </c>
      <c r="E13">
        <v>442289311</v>
      </c>
      <c r="F13">
        <v>20231101</v>
      </c>
      <c r="G13" t="str">
        <f t="shared" si="1"/>
        <v>11/1/2023</v>
      </c>
      <c r="H13">
        <v>20231117</v>
      </c>
      <c r="I13">
        <v>2</v>
      </c>
      <c r="J13">
        <v>57</v>
      </c>
      <c r="K13" t="s">
        <v>68</v>
      </c>
      <c r="L13" t="s">
        <v>142</v>
      </c>
      <c r="M13" t="s">
        <v>143</v>
      </c>
      <c r="N13" t="str">
        <f t="shared" si="2"/>
        <v>THERESA COLE</v>
      </c>
      <c r="O13" t="s">
        <v>73</v>
      </c>
      <c r="P13" t="s">
        <v>74</v>
      </c>
      <c r="Q13">
        <v>20250301</v>
      </c>
      <c r="R13">
        <v>1</v>
      </c>
      <c r="S13">
        <v>15.7</v>
      </c>
      <c r="T13">
        <v>100</v>
      </c>
      <c r="U13">
        <v>1.26</v>
      </c>
      <c r="V13">
        <v>8</v>
      </c>
      <c r="W13" t="s">
        <v>192</v>
      </c>
    </row>
    <row r="14" spans="1:29" x14ac:dyDescent="0.25">
      <c r="A14" t="s">
        <v>51</v>
      </c>
      <c r="B14" t="s">
        <v>140</v>
      </c>
      <c r="C14" t="str">
        <f t="shared" si="0"/>
        <v>Peter Richter</v>
      </c>
      <c r="D14" s="1">
        <v>16509456</v>
      </c>
      <c r="E14">
        <v>442495285</v>
      </c>
      <c r="F14">
        <v>20240201</v>
      </c>
      <c r="G14" t="str">
        <f t="shared" si="1"/>
        <v>2/1/2024</v>
      </c>
      <c r="H14">
        <v>20240215</v>
      </c>
      <c r="I14">
        <v>2</v>
      </c>
      <c r="J14">
        <v>29</v>
      </c>
      <c r="K14" t="s">
        <v>68</v>
      </c>
      <c r="L14" t="s">
        <v>146</v>
      </c>
      <c r="M14" t="s">
        <v>147</v>
      </c>
      <c r="N14" t="str">
        <f t="shared" si="2"/>
        <v>STEPHEN BIEGANSKI</v>
      </c>
      <c r="O14" t="s">
        <v>111</v>
      </c>
      <c r="P14" t="s">
        <v>112</v>
      </c>
      <c r="Q14">
        <v>20250301</v>
      </c>
      <c r="R14">
        <v>1</v>
      </c>
      <c r="S14">
        <v>34.94</v>
      </c>
      <c r="T14">
        <v>100</v>
      </c>
      <c r="U14">
        <v>2.8</v>
      </c>
      <c r="V14">
        <v>8</v>
      </c>
      <c r="W14" t="s">
        <v>195</v>
      </c>
    </row>
    <row r="15" spans="1:29" x14ac:dyDescent="0.25">
      <c r="A15" t="s">
        <v>51</v>
      </c>
      <c r="B15" t="s">
        <v>140</v>
      </c>
      <c r="C15" t="str">
        <f t="shared" si="0"/>
        <v>Peter Richter</v>
      </c>
      <c r="D15" s="1">
        <v>16509456</v>
      </c>
      <c r="E15">
        <v>442505686</v>
      </c>
      <c r="F15">
        <v>20240201</v>
      </c>
      <c r="G15" t="str">
        <f t="shared" si="1"/>
        <v>2/1/2024</v>
      </c>
      <c r="H15">
        <v>20240221</v>
      </c>
      <c r="I15">
        <v>2</v>
      </c>
      <c r="J15">
        <v>55</v>
      </c>
      <c r="K15" t="s">
        <v>54</v>
      </c>
      <c r="L15" t="s">
        <v>150</v>
      </c>
      <c r="M15" t="s">
        <v>151</v>
      </c>
      <c r="N15" t="str">
        <f t="shared" si="2"/>
        <v>KEVIN MILLER</v>
      </c>
      <c r="O15" t="s">
        <v>91</v>
      </c>
      <c r="P15" t="s">
        <v>92</v>
      </c>
      <c r="Q15">
        <v>20250301</v>
      </c>
      <c r="R15">
        <v>1</v>
      </c>
      <c r="S15">
        <v>13.28</v>
      </c>
      <c r="T15">
        <v>100</v>
      </c>
      <c r="U15">
        <v>0.93</v>
      </c>
      <c r="V15">
        <v>7</v>
      </c>
      <c r="W15" t="s">
        <v>194</v>
      </c>
    </row>
    <row r="16" spans="1:29" x14ac:dyDescent="0.25">
      <c r="A16" t="s">
        <v>51</v>
      </c>
      <c r="B16" t="s">
        <v>140</v>
      </c>
      <c r="C16" t="str">
        <f t="shared" si="0"/>
        <v>Peter Richter</v>
      </c>
      <c r="D16" s="1">
        <v>16509456</v>
      </c>
      <c r="E16">
        <v>442508319</v>
      </c>
      <c r="F16">
        <v>20240201</v>
      </c>
      <c r="G16" t="str">
        <f t="shared" si="1"/>
        <v>2/1/2024</v>
      </c>
      <c r="H16">
        <v>20240222</v>
      </c>
      <c r="I16">
        <v>2</v>
      </c>
      <c r="J16">
        <v>22</v>
      </c>
      <c r="K16" t="s">
        <v>54</v>
      </c>
      <c r="L16" t="s">
        <v>154</v>
      </c>
      <c r="M16" t="s">
        <v>155</v>
      </c>
      <c r="N16" t="str">
        <f t="shared" si="2"/>
        <v>MARYURI MEMBRENO NAVAS</v>
      </c>
      <c r="O16" t="s">
        <v>91</v>
      </c>
      <c r="P16" t="s">
        <v>92</v>
      </c>
      <c r="Q16">
        <v>20250301</v>
      </c>
      <c r="R16">
        <v>1</v>
      </c>
      <c r="S16">
        <v>13.28</v>
      </c>
      <c r="T16">
        <v>100</v>
      </c>
      <c r="U16">
        <v>0.93</v>
      </c>
      <c r="V16">
        <v>7</v>
      </c>
      <c r="W16" t="s">
        <v>194</v>
      </c>
    </row>
    <row r="17" spans="1:23" x14ac:dyDescent="0.25">
      <c r="A17" t="s">
        <v>157</v>
      </c>
      <c r="B17" t="s">
        <v>158</v>
      </c>
      <c r="C17" t="str">
        <f t="shared" si="0"/>
        <v>Scott Aguglia</v>
      </c>
      <c r="D17" s="1">
        <v>8971826</v>
      </c>
      <c r="E17">
        <v>442596433</v>
      </c>
      <c r="F17">
        <v>20240401</v>
      </c>
      <c r="G17" t="str">
        <f t="shared" si="1"/>
        <v>4/1/2024</v>
      </c>
      <c r="H17">
        <v>20240408</v>
      </c>
      <c r="I17">
        <v>1</v>
      </c>
      <c r="J17">
        <v>60</v>
      </c>
      <c r="K17" t="s">
        <v>68</v>
      </c>
      <c r="L17" t="s">
        <v>160</v>
      </c>
      <c r="M17" t="s">
        <v>161</v>
      </c>
      <c r="N17" t="str">
        <f t="shared" si="2"/>
        <v>MARK FARIS</v>
      </c>
      <c r="O17" t="s">
        <v>121</v>
      </c>
      <c r="P17" t="s">
        <v>122</v>
      </c>
      <c r="Q17">
        <v>20250301</v>
      </c>
      <c r="R17">
        <v>1</v>
      </c>
      <c r="S17">
        <v>25</v>
      </c>
      <c r="T17">
        <v>100</v>
      </c>
      <c r="U17">
        <v>10</v>
      </c>
      <c r="V17">
        <v>40</v>
      </c>
      <c r="W17" t="s">
        <v>196</v>
      </c>
    </row>
    <row r="18" spans="1:23" x14ac:dyDescent="0.25">
      <c r="A18" t="s">
        <v>164</v>
      </c>
      <c r="B18" t="s">
        <v>165</v>
      </c>
      <c r="C18" t="str">
        <f t="shared" si="0"/>
        <v>Thomas Kucan</v>
      </c>
      <c r="D18" s="1">
        <v>16202925</v>
      </c>
      <c r="E18">
        <v>442368806</v>
      </c>
      <c r="F18">
        <v>20231201</v>
      </c>
      <c r="G18" t="str">
        <f t="shared" si="1"/>
        <v>12/1/2023</v>
      </c>
      <c r="H18">
        <v>20231214</v>
      </c>
      <c r="I18">
        <v>2</v>
      </c>
      <c r="J18">
        <v>72</v>
      </c>
      <c r="K18" t="s">
        <v>54</v>
      </c>
      <c r="L18" t="s">
        <v>167</v>
      </c>
      <c r="M18" t="s">
        <v>168</v>
      </c>
      <c r="N18" t="str">
        <f t="shared" si="2"/>
        <v>CHARLES MACDONALD</v>
      </c>
      <c r="O18" t="s">
        <v>73</v>
      </c>
      <c r="P18" t="s">
        <v>74</v>
      </c>
      <c r="Q18">
        <v>20250301</v>
      </c>
      <c r="R18">
        <v>2</v>
      </c>
      <c r="S18">
        <v>17</v>
      </c>
      <c r="T18">
        <v>100</v>
      </c>
      <c r="U18">
        <v>0.68</v>
      </c>
      <c r="V18">
        <v>4</v>
      </c>
      <c r="W18" t="s">
        <v>193</v>
      </c>
    </row>
    <row r="19" spans="1:23" x14ac:dyDescent="0.25">
      <c r="A19" t="s">
        <v>164</v>
      </c>
      <c r="B19" t="s">
        <v>165</v>
      </c>
      <c r="C19" t="str">
        <f t="shared" si="0"/>
        <v>Thomas Kucan</v>
      </c>
      <c r="D19" s="1">
        <v>16202925</v>
      </c>
      <c r="E19">
        <v>442424445</v>
      </c>
      <c r="F19">
        <v>20240101</v>
      </c>
      <c r="G19" t="str">
        <f t="shared" si="1"/>
        <v>1/1/2024</v>
      </c>
      <c r="H19">
        <v>20240109</v>
      </c>
      <c r="I19">
        <v>2</v>
      </c>
      <c r="J19">
        <v>51</v>
      </c>
      <c r="K19" t="s">
        <v>54</v>
      </c>
      <c r="L19" t="s">
        <v>171</v>
      </c>
      <c r="M19" t="s">
        <v>172</v>
      </c>
      <c r="N19" t="str">
        <f t="shared" si="2"/>
        <v>TOUSSANT MCKENZIE</v>
      </c>
      <c r="O19" t="s">
        <v>174</v>
      </c>
      <c r="P19" t="s">
        <v>175</v>
      </c>
      <c r="Q19">
        <v>20250301</v>
      </c>
      <c r="R19">
        <v>1</v>
      </c>
      <c r="S19">
        <v>63.2</v>
      </c>
      <c r="T19">
        <v>100</v>
      </c>
      <c r="U19">
        <v>4.42</v>
      </c>
      <c r="V19">
        <v>7</v>
      </c>
      <c r="W19" t="s">
        <v>198</v>
      </c>
    </row>
    <row r="20" spans="1:23" x14ac:dyDescent="0.25">
      <c r="A20" t="s">
        <v>164</v>
      </c>
      <c r="B20" t="s">
        <v>165</v>
      </c>
      <c r="C20" t="str">
        <f t="shared" si="0"/>
        <v>Thomas Kucan</v>
      </c>
      <c r="D20" s="1">
        <v>16202925</v>
      </c>
      <c r="E20">
        <v>442424444</v>
      </c>
      <c r="F20">
        <v>20240101</v>
      </c>
      <c r="G20" t="str">
        <f t="shared" si="1"/>
        <v>1/1/2024</v>
      </c>
      <c r="H20">
        <v>20240109</v>
      </c>
      <c r="I20">
        <v>2</v>
      </c>
      <c r="J20">
        <v>51</v>
      </c>
      <c r="K20" t="s">
        <v>54</v>
      </c>
      <c r="L20" t="s">
        <v>171</v>
      </c>
      <c r="M20" t="s">
        <v>172</v>
      </c>
      <c r="N20" t="str">
        <f t="shared" si="2"/>
        <v>TOUSSANT MCKENZIE</v>
      </c>
      <c r="O20" t="s">
        <v>139</v>
      </c>
      <c r="P20" t="s">
        <v>60</v>
      </c>
      <c r="Q20">
        <v>20250301</v>
      </c>
      <c r="R20">
        <v>1</v>
      </c>
      <c r="S20">
        <v>58.4</v>
      </c>
      <c r="T20">
        <v>100</v>
      </c>
      <c r="U20">
        <v>2.34</v>
      </c>
      <c r="V20">
        <v>4</v>
      </c>
      <c r="W20" t="s">
        <v>199</v>
      </c>
    </row>
    <row r="21" spans="1:23" x14ac:dyDescent="0.25">
      <c r="A21" t="s">
        <v>164</v>
      </c>
      <c r="B21" t="s">
        <v>165</v>
      </c>
      <c r="C21" t="str">
        <f t="shared" si="0"/>
        <v>Thomas Kucan</v>
      </c>
      <c r="D21" s="1">
        <v>16202925</v>
      </c>
      <c r="E21">
        <v>442433511</v>
      </c>
      <c r="F21">
        <v>20240101</v>
      </c>
      <c r="G21" t="str">
        <f t="shared" si="1"/>
        <v>1/1/2024</v>
      </c>
      <c r="H21">
        <v>20240113</v>
      </c>
      <c r="I21">
        <v>2</v>
      </c>
      <c r="J21">
        <v>26</v>
      </c>
      <c r="K21" t="s">
        <v>54</v>
      </c>
      <c r="L21" t="s">
        <v>177</v>
      </c>
      <c r="M21" t="s">
        <v>178</v>
      </c>
      <c r="N21" t="str">
        <f t="shared" si="2"/>
        <v>ALYCEA RIVERA</v>
      </c>
      <c r="O21" t="s">
        <v>111</v>
      </c>
      <c r="P21" t="s">
        <v>112</v>
      </c>
      <c r="Q21">
        <v>20250301</v>
      </c>
      <c r="R21">
        <v>1</v>
      </c>
      <c r="S21">
        <v>26.04</v>
      </c>
      <c r="T21">
        <v>100</v>
      </c>
      <c r="U21">
        <v>2.08</v>
      </c>
      <c r="V21">
        <v>8</v>
      </c>
      <c r="W21" t="s">
        <v>195</v>
      </c>
    </row>
    <row r="22" spans="1:23" x14ac:dyDescent="0.25">
      <c r="A22" t="s">
        <v>164</v>
      </c>
      <c r="B22" t="s">
        <v>165</v>
      </c>
      <c r="C22" t="str">
        <f t="shared" si="0"/>
        <v>Thomas Kucan</v>
      </c>
      <c r="D22" s="1">
        <v>16202925</v>
      </c>
      <c r="E22">
        <v>442433510</v>
      </c>
      <c r="F22">
        <v>20240101</v>
      </c>
      <c r="G22" t="str">
        <f t="shared" si="1"/>
        <v>1/1/2024</v>
      </c>
      <c r="H22">
        <v>20240113</v>
      </c>
      <c r="I22">
        <v>2</v>
      </c>
      <c r="J22">
        <v>26</v>
      </c>
      <c r="K22" t="s">
        <v>54</v>
      </c>
      <c r="L22" t="s">
        <v>177</v>
      </c>
      <c r="M22" t="s">
        <v>178</v>
      </c>
      <c r="N22" t="str">
        <f t="shared" si="2"/>
        <v>ALYCEA RIVERA</v>
      </c>
      <c r="O22" t="s">
        <v>73</v>
      </c>
      <c r="P22" t="s">
        <v>74</v>
      </c>
      <c r="Q22">
        <v>20250301</v>
      </c>
      <c r="R22">
        <v>1</v>
      </c>
      <c r="S22">
        <v>10.4</v>
      </c>
      <c r="T22">
        <v>100</v>
      </c>
      <c r="U22">
        <v>0.42</v>
      </c>
      <c r="V22">
        <v>4</v>
      </c>
      <c r="W22" t="s">
        <v>193</v>
      </c>
    </row>
    <row r="23" spans="1:23" x14ac:dyDescent="0.25">
      <c r="A23" t="s">
        <v>164</v>
      </c>
      <c r="B23" t="s">
        <v>165</v>
      </c>
      <c r="C23" t="str">
        <f t="shared" si="0"/>
        <v>Thomas Kucan</v>
      </c>
      <c r="D23" s="1">
        <v>16202925</v>
      </c>
      <c r="E23">
        <v>442606244</v>
      </c>
      <c r="F23">
        <v>20240401</v>
      </c>
      <c r="G23" t="str">
        <f t="shared" si="1"/>
        <v>4/1/2024</v>
      </c>
      <c r="H23">
        <v>20240413</v>
      </c>
      <c r="I23">
        <v>1</v>
      </c>
      <c r="J23">
        <v>49</v>
      </c>
      <c r="K23" t="s">
        <v>54</v>
      </c>
      <c r="L23" t="s">
        <v>181</v>
      </c>
      <c r="M23" t="s">
        <v>182</v>
      </c>
      <c r="N23" t="str">
        <f t="shared" si="2"/>
        <v>MATTHEW BOLIEK</v>
      </c>
      <c r="O23" t="s">
        <v>185</v>
      </c>
      <c r="P23" t="s">
        <v>102</v>
      </c>
      <c r="Q23">
        <v>20250301</v>
      </c>
      <c r="R23">
        <v>1</v>
      </c>
      <c r="S23">
        <v>36.64</v>
      </c>
      <c r="T23">
        <v>100</v>
      </c>
      <c r="U23">
        <v>16.489999999999998</v>
      </c>
      <c r="V23">
        <v>45</v>
      </c>
      <c r="W23" t="s">
        <v>194</v>
      </c>
    </row>
    <row r="24" spans="1:23" x14ac:dyDescent="0.25">
      <c r="A24" t="s">
        <v>164</v>
      </c>
      <c r="B24" t="s">
        <v>165</v>
      </c>
      <c r="C24" t="str">
        <f t="shared" si="0"/>
        <v>Thomas Kucan</v>
      </c>
      <c r="D24" s="1">
        <v>16202925</v>
      </c>
      <c r="E24">
        <v>442646320</v>
      </c>
      <c r="F24">
        <v>20240501</v>
      </c>
      <c r="G24" t="str">
        <f t="shared" si="1"/>
        <v>5/1/2024</v>
      </c>
      <c r="H24">
        <v>20240503</v>
      </c>
      <c r="I24">
        <v>1</v>
      </c>
      <c r="J24">
        <v>57</v>
      </c>
      <c r="K24" t="s">
        <v>54</v>
      </c>
      <c r="L24" t="s">
        <v>186</v>
      </c>
      <c r="M24" t="s">
        <v>187</v>
      </c>
      <c r="N24" t="str">
        <f t="shared" si="2"/>
        <v>PAUL KOESTER</v>
      </c>
      <c r="O24" t="s">
        <v>101</v>
      </c>
      <c r="P24" t="s">
        <v>102</v>
      </c>
      <c r="Q24">
        <v>20250301</v>
      </c>
      <c r="R24">
        <v>1</v>
      </c>
      <c r="S24">
        <v>47.24</v>
      </c>
      <c r="T24">
        <v>100</v>
      </c>
      <c r="U24">
        <v>21.26</v>
      </c>
      <c r="V24">
        <v>45</v>
      </c>
      <c r="W24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2025-03-14T13:26:38Z</dcterms:created>
  <dcterms:modified xsi:type="dcterms:W3CDTF">2025-03-17T19:57:45Z</dcterms:modified>
</cp:coreProperties>
</file>