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cension\"/>
    </mc:Choice>
  </mc:AlternateContent>
  <xr:revisionPtr revIDLastSave="0" documentId="13_ncr:1_{3C598A92-9217-46AC-B849-36079D32A25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.29.24" sheetId="1" r:id="rId1"/>
    <sheet name="2.7.24" sheetId="2" r:id="rId2"/>
    <sheet name="1.20.24" sheetId="3" r:id="rId3"/>
    <sheet name="1.20 and 2.7 Combined" sheetId="4" r:id="rId4"/>
    <sheet name="1.20 and 2.7 Pivot Table" sheetId="5" r:id="rId5"/>
  </sheets>
  <definedNames>
    <definedName name="_xlnm._FilterDatabase" localSheetId="3" hidden="1">'1.20 and 2.7 Combined'!$A$1:$AC$28</definedName>
    <definedName name="_xlnm._FilterDatabase" localSheetId="4" hidden="1">'1.20 and 2.7 Pivot Table'!$A$1:$D$6</definedName>
    <definedName name="_xlnm._FilterDatabase" localSheetId="2" hidden="1">'1.20.24'!$A$1:$AC$15</definedName>
    <definedName name="_xlnm._FilterDatabase" localSheetId="0" hidden="1">'2.29.24'!$A$1:$AC$7</definedName>
    <definedName name="_xlnm._FilterDatabase" localSheetId="1" hidden="1">'2.7.24'!$A$1:$AC$15</definedName>
  </definedNames>
  <calcPr calcId="191029"/>
  <pivotCaches>
    <pivotCache cacheId="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yfWP8vBUPR6gJumcrgTyWYi/m2KrrqZPpZ/icvUl+rI="/>
    </ext>
  </extLst>
</workbook>
</file>

<file path=xl/calcChain.xml><?xml version="1.0" encoding="utf-8"?>
<calcChain xmlns="http://schemas.openxmlformats.org/spreadsheetml/2006/main">
  <c r="X28" i="4" l="1"/>
  <c r="X15" i="3"/>
  <c r="X15" i="2"/>
  <c r="X7" i="1"/>
  <c r="V6" i="1"/>
  <c r="V4" i="1"/>
  <c r="V2" i="1"/>
</calcChain>
</file>

<file path=xl/sharedStrings.xml><?xml version="1.0" encoding="utf-8"?>
<sst xmlns="http://schemas.openxmlformats.org/spreadsheetml/2006/main" count="871" uniqueCount="58">
  <si>
    <t>Payee_ID</t>
  </si>
  <si>
    <t>Payee_Name</t>
  </si>
  <si>
    <t>Pay_Date</t>
  </si>
  <si>
    <t>Agent_ID</t>
  </si>
  <si>
    <t>Agent_Name</t>
  </si>
  <si>
    <t>Comm_Type</t>
  </si>
  <si>
    <t>Group_ID</t>
  </si>
  <si>
    <t>SBSB_ID</t>
  </si>
  <si>
    <t>SBSB_Name</t>
  </si>
  <si>
    <t>NPN_Number</t>
  </si>
  <si>
    <t>General_Agency_ID</t>
  </si>
  <si>
    <t>Contract_Type</t>
  </si>
  <si>
    <t>Contract_Description</t>
  </si>
  <si>
    <t>Due_Date</t>
  </si>
  <si>
    <t>Comm_Period</t>
  </si>
  <si>
    <t>Arrangement_ID</t>
  </si>
  <si>
    <t>Arrangement_Desc</t>
  </si>
  <si>
    <t>Calc_Desc</t>
  </si>
  <si>
    <t>Percentage</t>
  </si>
  <si>
    <t>Amount</t>
  </si>
  <si>
    <t>Factor</t>
  </si>
  <si>
    <t>Subscriber_Count</t>
  </si>
  <si>
    <t>Premium_Total</t>
  </si>
  <si>
    <t>Comm_Paid</t>
  </si>
  <si>
    <t>Calculated_Comm</t>
  </si>
  <si>
    <t>Reversed_Comm</t>
  </si>
  <si>
    <t>Comm_Adjustment</t>
  </si>
  <si>
    <t>Comm_Bonus</t>
  </si>
  <si>
    <t>Adjust_Desc</t>
  </si>
  <si>
    <t>204114540001</t>
  </si>
  <si>
    <t>MAIN LINE BENEFITS LLC</t>
  </si>
  <si>
    <t>02/29/2024</t>
  </si>
  <si>
    <t>A83079330001</t>
  </si>
  <si>
    <t>TEIPEL, GREGORY</t>
  </si>
  <si>
    <t>WAGT</t>
  </si>
  <si>
    <t>ACEXCHTN</t>
  </si>
  <si>
    <t>770253614</t>
  </si>
  <si>
    <t>CLEMENTS,STEPHEN</t>
  </si>
  <si>
    <t>830793300000</t>
  </si>
  <si>
    <t>MACTN015</t>
  </si>
  <si>
    <t>ACA SILVER METAL LEVEL</t>
  </si>
  <si>
    <t>01/01/2024</t>
  </si>
  <si>
    <t>25</t>
  </si>
  <si>
    <t>8307933</t>
  </si>
  <si>
    <t>GREGORY TEIPEL ACA</t>
  </si>
  <si>
    <t>$20 PER MEMBER PER MONTH</t>
  </si>
  <si>
    <t/>
  </si>
  <si>
    <t>204114540000</t>
  </si>
  <si>
    <t>02/01/2024</t>
  </si>
  <si>
    <t>26</t>
  </si>
  <si>
    <t>03/01/2024</t>
  </si>
  <si>
    <t>27</t>
  </si>
  <si>
    <t>CLARK,DONNY</t>
  </si>
  <si>
    <t>$21 PER MEMBER PER MONTH</t>
  </si>
  <si>
    <t>$20.00 PER MEMBER PER MONTH</t>
  </si>
  <si>
    <t>CLARK,DONNY Total</t>
  </si>
  <si>
    <t>CLEMENTS,STEPHEN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</si>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</sst>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m/dd/yyyy"/>
    <numFmt numFmtId="165" formatCode="&quot;$&quot;#,##0.00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44" fontId="1" fillId="0" borderId="0" xfId="0" applyNumberFormat="1" applyFont="1"/>
    <xf numFmtId="1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center" wrapText="1"/>
    </xf>
    <xf numFmtId="44" fontId="2" fillId="0" borderId="1" xfId="0" applyNumberFormat="1" applyFont="1" applyBorder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1" fillId="0" borderId="0" xfId="0" applyFont="1" applyAlignment="1">
      <alignment horizontal="center"/>
    </xf>
    <xf numFmtId="49" fontId="2" fillId="0" borderId="0" xfId="0" applyNumberFormat="1" applyFont="1"/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44" fontId="2" fillId="0" borderId="0" xfId="0" applyNumberFormat="1" applyFont="1"/>
    <xf numFmtId="44" fontId="2" fillId="0" borderId="1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44" fontId="2" fillId="0" borderId="0" xfId="0" applyNumberFormat="1" applyFont="1" applyAlignment="1">
      <alignment wrapText="1"/>
    </xf>
    <xf numFmtId="0" fontId="0" fillId="0" borderId="2" xfId="0" pivotButton="1" applyBorder="1"/>
    <xf numFmtId="0" fontId="0" fillId="0" borderId="3" xfId="0" pivotButton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anki Patel" refreshedDate="46022.584792592592" refreshedVersion="8" recordCount="26" xr:uid="{00000000-000A-0000-FFFF-FFFF00000000}">
  <cacheSource type="worksheet">
    <worksheetSource ref="A1:AC27" sheet="1.20 and 2.7 Combined"/>
  </cacheSource>
  <cacheFields count="29">
    <cacheField name="Payee_ID" numFmtId="49">
      <sharedItems/>
    </cacheField>
    <cacheField name="Payee_Name" numFmtId="0">
      <sharedItems/>
    </cacheField>
    <cacheField name="Pay_Date" numFmtId="164">
      <sharedItems containsSemiMixedTypes="0" containsNonDate="0" containsDate="1" containsString="0" minDate="2024-01-20T00:00:00" maxDate="2024-02-08T00:00:00"/>
    </cacheField>
    <cacheField name="Agent_ID" numFmtId="0">
      <sharedItems/>
    </cacheField>
    <cacheField name="Agent_Name" numFmtId="0">
      <sharedItems count="1">
        <s v="TEIPEL, GREGORY"/>
      </sharedItems>
    </cacheField>
    <cacheField name="Comm_Type" numFmtId="0">
      <sharedItems/>
    </cacheField>
    <cacheField name="Group_ID" numFmtId="0">
      <sharedItems/>
    </cacheField>
    <cacheField name="SBSB_ID" numFmtId="0">
      <sharedItems containsSemiMixedTypes="0" containsString="0" containsNumber="1" containsInteger="1" minValue="770213018" maxValue="770253614" count="2">
        <n v="770213018"/>
        <n v="770253614"/>
      </sharedItems>
    </cacheField>
    <cacheField name="SBSB_Name" numFmtId="0">
      <sharedItems count="2">
        <s v="CLARK,DONNY"/>
        <s v="CLEMENTS,STEPHEN"/>
      </sharedItems>
    </cacheField>
    <cacheField name="NPN_Number" numFmtId="49">
      <sharedItems/>
    </cacheField>
    <cacheField name="General_Agency_ID" numFmtId="0">
      <sharedItems/>
    </cacheField>
    <cacheField name="Contract_Type" numFmtId="0">
      <sharedItems/>
    </cacheField>
    <cacheField name="Contract_Description" numFmtId="0">
      <sharedItems/>
    </cacheField>
    <cacheField name="Due_Date" numFmtId="164">
      <sharedItems containsSemiMixedTypes="0" containsNonDate="0" containsDate="1" containsString="0" minDate="2023-01-01T00:00:00" maxDate="2024-02-02T00:00:00"/>
    </cacheField>
    <cacheField name="Comm_Period" numFmtId="0">
      <sharedItems containsSemiMixedTypes="0" containsString="0" containsNumber="1" containsInteger="1" minValue="13" maxValue="26"/>
    </cacheField>
    <cacheField name="Arrangement_ID" numFmtId="0">
      <sharedItems containsSemiMixedTypes="0" containsString="0" containsNumber="1" containsInteger="1" minValue="8307933" maxValue="8307933"/>
    </cacheField>
    <cacheField name="Arrangement_Desc" numFmtId="0">
      <sharedItems/>
    </cacheField>
    <cacheField name="Calc_Desc" numFmtId="0">
      <sharedItems/>
    </cacheField>
    <cacheField name="Percentage" numFmtId="0">
      <sharedItems containsSemiMixedTypes="0" containsString="0" containsNumber="1" containsInteger="1" minValue="0" maxValue="0"/>
    </cacheField>
    <cacheField name="Amount" numFmtId="44">
      <sharedItems containsSemiMixedTypes="0" containsString="0" containsNumber="1" containsInteger="1" minValue="20" maxValue="21"/>
    </cacheField>
    <cacheField name="Factor" numFmtId="0">
      <sharedItems containsSemiMixedTypes="0" containsString="0" containsNumber="1" containsInteger="1" minValue="100" maxValue="100"/>
    </cacheField>
    <cacheField name="Subscriber_Count" numFmtId="0">
      <sharedItems containsSemiMixedTypes="0" containsString="0" containsNumber="1" containsInteger="1" minValue="0" maxValue="1"/>
    </cacheField>
    <cacheField name="Premium_Total" numFmtId="44">
      <sharedItems containsSemiMixedTypes="0" containsString="0" containsNumber="1" minValue="0" maxValue="17.45"/>
    </cacheField>
    <cacheField name="Comm_Paid" numFmtId="44">
      <sharedItems containsSemiMixedTypes="0" containsString="0" containsNumber="1" containsInteger="1" minValue="-42" maxValue="42"/>
    </cacheField>
    <cacheField name="Calculated_Comm" numFmtId="44">
      <sharedItems containsSemiMixedTypes="0" containsString="0" containsNumber="1" containsInteger="1" minValue="-42" maxValue="42"/>
    </cacheField>
    <cacheField name="Reversed_Comm" numFmtId="44">
      <sharedItems containsSemiMixedTypes="0" containsString="0" containsNumber="1" containsInteger="1" minValue="0" maxValue="0"/>
    </cacheField>
    <cacheField name="Comm_Adjustment" numFmtId="44">
      <sharedItems containsSemiMixedTypes="0" containsString="0" containsNumber="1" containsInteger="1" minValue="0" maxValue="0"/>
    </cacheField>
    <cacheField name="Comm_Bonus" numFmtId="44">
      <sharedItems containsSemiMixedTypes="0" containsString="0" containsNumber="1" containsInteger="1" minValue="0" maxValue="0"/>
    </cacheField>
    <cacheField name="Adjust_Desc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s v="204114540001"/>
    <s v="MAIN LINE BENEFITS LLC"/>
    <d v="2024-01-20T00:00:00"/>
    <s v="A83079330001"/>
    <x v="0"/>
    <s v="WAGT"/>
    <s v="ACEXCHTN"/>
    <x v="0"/>
    <x v="0"/>
    <s v="830793300000"/>
    <s v="A83079330001"/>
    <s v="MACTN015"/>
    <s v="ACA SILVER METAL LEVEL"/>
    <d v="2023-01-01T00:00:00"/>
    <n v="13"/>
    <n v="8307933"/>
    <s v="GREGORY TEIPEL ACA"/>
    <s v="$21 PER MEMBER PER MONTH"/>
    <n v="0"/>
    <n v="21"/>
    <n v="100"/>
    <n v="0"/>
    <n v="0"/>
    <n v="-42"/>
    <n v="-42"/>
    <n v="0"/>
    <n v="0"/>
    <n v="0"/>
    <m/>
  </r>
  <r>
    <s v="204114540001"/>
    <s v="MAIN LINE BENEFITS LLC"/>
    <d v="2024-02-07T00:00:00"/>
    <s v="A83079330001"/>
    <x v="0"/>
    <s v="WAGT"/>
    <s v="ACEXCHTN"/>
    <x v="0"/>
    <x v="0"/>
    <s v="830793300000"/>
    <s v="A83079330001"/>
    <s v="MACTN015"/>
    <s v="ACA SILVER METAL LEVEL"/>
    <d v="2023-01-01T00:00:00"/>
    <n v="13"/>
    <n v="8307933"/>
    <s v="GREGORY TEIPEL ACA"/>
    <s v="$21 PER MEMBER PER MONTH"/>
    <n v="0"/>
    <n v="21"/>
    <n v="100"/>
    <n v="0"/>
    <n v="0"/>
    <n v="42"/>
    <n v="42"/>
    <n v="0"/>
    <n v="0"/>
    <n v="0"/>
    <m/>
  </r>
  <r>
    <s v="204114540001"/>
    <s v="MAIN LINE BENEFITS LLC"/>
    <d v="2024-01-20T00:00:00"/>
    <s v="A83079330001"/>
    <x v="0"/>
    <s v="WAGT"/>
    <s v="ACEXCHTN"/>
    <x v="0"/>
    <x v="0"/>
    <s v="830793300000"/>
    <s v="A83079330001"/>
    <s v="MACTN015"/>
    <s v="ACA SILVER METAL LEVEL"/>
    <d v="2023-02-01T00:00:00"/>
    <n v="14"/>
    <n v="8307933"/>
    <s v="GREGORY TEIPEL ACA"/>
    <s v="$21 PER MEMBER PER MONTH"/>
    <n v="0"/>
    <n v="21"/>
    <n v="100"/>
    <n v="0"/>
    <n v="0"/>
    <n v="-42"/>
    <n v="-42"/>
    <n v="0"/>
    <n v="0"/>
    <n v="0"/>
    <m/>
  </r>
  <r>
    <s v="204114540001"/>
    <s v="MAIN LINE BENEFITS LLC"/>
    <d v="2024-02-07T00:00:00"/>
    <s v="A83079330001"/>
    <x v="0"/>
    <s v="WAGT"/>
    <s v="ACEXCHTN"/>
    <x v="0"/>
    <x v="0"/>
    <s v="830793300000"/>
    <s v="A83079330001"/>
    <s v="MACTN015"/>
    <s v="ACA SILVER METAL LEVEL"/>
    <d v="2023-02-01T00:00:00"/>
    <n v="14"/>
    <n v="8307933"/>
    <s v="GREGORY TEIPEL ACA"/>
    <s v="$21 PER MEMBER PER MONTH"/>
    <n v="0"/>
    <n v="21"/>
    <n v="100"/>
    <n v="0"/>
    <n v="0"/>
    <n v="42"/>
    <n v="42"/>
    <n v="0"/>
    <n v="0"/>
    <n v="0"/>
    <m/>
  </r>
  <r>
    <s v="204114540001"/>
    <s v="MAIN LINE BENEFITS LLC"/>
    <d v="2024-01-20T00:00:00"/>
    <s v="A83079330001"/>
    <x v="0"/>
    <s v="WAGT"/>
    <s v="ACEXCHTN"/>
    <x v="0"/>
    <x v="0"/>
    <s v="830793300000"/>
    <s v="A83079330001"/>
    <s v="MACTN015"/>
    <s v="ACA SILVER METAL LEVEL"/>
    <d v="2023-03-01T00:00:00"/>
    <n v="15"/>
    <n v="8307933"/>
    <s v="GREGORY TEIPEL ACA"/>
    <s v="$21 PER MEMBER PER MONTH"/>
    <n v="0"/>
    <n v="21"/>
    <n v="100"/>
    <n v="0"/>
    <n v="0"/>
    <n v="-42"/>
    <n v="-42"/>
    <n v="0"/>
    <n v="0"/>
    <n v="0"/>
    <m/>
  </r>
  <r>
    <s v="204114540001"/>
    <s v="MAIN LINE BENEFITS LLC"/>
    <d v="2024-02-07T00:00:00"/>
    <s v="A83079330001"/>
    <x v="0"/>
    <s v="WAGT"/>
    <s v="ACEXCHTN"/>
    <x v="0"/>
    <x v="0"/>
    <s v="830793300000"/>
    <s v="A83079330001"/>
    <s v="MACTN015"/>
    <s v="ACA SILVER METAL LEVEL"/>
    <d v="2023-03-01T00:00:00"/>
    <n v="15"/>
    <n v="8307933"/>
    <s v="GREGORY TEIPEL ACA"/>
    <s v="$21 PER MEMBER PER MONTH"/>
    <n v="0"/>
    <n v="21"/>
    <n v="100"/>
    <n v="0"/>
    <n v="0"/>
    <n v="42"/>
    <n v="42"/>
    <n v="0"/>
    <n v="0"/>
    <n v="0"/>
    <m/>
  </r>
  <r>
    <s v="204114540001"/>
    <s v="MAIN LINE BENEFITS LLC"/>
    <d v="2024-01-20T00:00:00"/>
    <s v="A83079330001"/>
    <x v="0"/>
    <s v="WAGT"/>
    <s v="ACEXCHTN"/>
    <x v="0"/>
    <x v="0"/>
    <s v="830793300000"/>
    <s v="A83079330001"/>
    <s v="MACTN015"/>
    <s v="ACA SILVER METAL LEVEL"/>
    <d v="2023-04-01T00:00:00"/>
    <n v="16"/>
    <n v="8307933"/>
    <s v="GREGORY TEIPEL ACA"/>
    <s v="$21 PER MEMBER PER MONTH"/>
    <n v="0"/>
    <n v="21"/>
    <n v="100"/>
    <n v="0"/>
    <n v="0"/>
    <n v="-42"/>
    <n v="-42"/>
    <n v="0"/>
    <n v="0"/>
    <n v="0"/>
    <m/>
  </r>
  <r>
    <s v="204114540001"/>
    <s v="MAIN LINE BENEFITS LLC"/>
    <d v="2024-02-07T00:00:00"/>
    <s v="A83079330001"/>
    <x v="0"/>
    <s v="WAGT"/>
    <s v="ACEXCHTN"/>
    <x v="0"/>
    <x v="0"/>
    <s v="830793300000"/>
    <s v="A83079330001"/>
    <s v="MACTN015"/>
    <s v="ACA SILVER METAL LEVEL"/>
    <d v="2023-04-01T00:00:00"/>
    <n v="16"/>
    <n v="8307933"/>
    <s v="GREGORY TEIPEL ACA"/>
    <s v="$21 PER MEMBER PER MONTH"/>
    <n v="0"/>
    <n v="21"/>
    <n v="100"/>
    <n v="0"/>
    <n v="0"/>
    <n v="42"/>
    <n v="42"/>
    <n v="0"/>
    <n v="0"/>
    <n v="0"/>
    <m/>
  </r>
  <r>
    <s v="204114540001"/>
    <s v="MAIN LINE BENEFITS LLC"/>
    <d v="2024-01-20T00:00:00"/>
    <s v="A83079330001"/>
    <x v="0"/>
    <s v="WAGT"/>
    <s v="ACEXCHTN"/>
    <x v="0"/>
    <x v="0"/>
    <s v="830793300000"/>
    <s v="A83079330001"/>
    <s v="MACTN015"/>
    <s v="ACA SILVER METAL LEVEL"/>
    <d v="2023-05-01T00:00:00"/>
    <n v="17"/>
    <n v="8307933"/>
    <s v="GREGORY TEIPEL ACA"/>
    <s v="$21 PER MEMBER PER MONTH"/>
    <n v="0"/>
    <n v="21"/>
    <n v="100"/>
    <n v="0"/>
    <n v="0"/>
    <n v="-42"/>
    <n v="-42"/>
    <n v="0"/>
    <n v="0"/>
    <n v="0"/>
    <m/>
  </r>
  <r>
    <s v="204114540001"/>
    <s v="MAIN LINE BENEFITS LLC"/>
    <d v="2024-02-07T00:00:00"/>
    <s v="A83079330001"/>
    <x v="0"/>
    <s v="WAGT"/>
    <s v="ACEXCHTN"/>
    <x v="0"/>
    <x v="0"/>
    <s v="830793300000"/>
    <s v="A83079330001"/>
    <s v="MACTN015"/>
    <s v="ACA SILVER METAL LEVEL"/>
    <d v="2023-05-01T00:00:00"/>
    <n v="17"/>
    <n v="8307933"/>
    <s v="GREGORY TEIPEL ACA"/>
    <s v="$21 PER MEMBER PER MONTH"/>
    <n v="0"/>
    <n v="21"/>
    <n v="100"/>
    <n v="0"/>
    <n v="0"/>
    <n v="42"/>
    <n v="42"/>
    <n v="0"/>
    <n v="0"/>
    <n v="0"/>
    <m/>
  </r>
  <r>
    <s v="204114540001"/>
    <s v="MAIN LINE BENEFITS LLC"/>
    <d v="2024-01-20T00:00:00"/>
    <s v="A83079330001"/>
    <x v="0"/>
    <s v="WAGT"/>
    <s v="ACEXCHTN"/>
    <x v="0"/>
    <x v="0"/>
    <s v="830793300000"/>
    <s v="A83079330001"/>
    <s v="MACTN015"/>
    <s v="ACA SILVER METAL LEVEL"/>
    <d v="2023-06-01T00:00:00"/>
    <n v="18"/>
    <n v="8307933"/>
    <s v="GREGORY TEIPEL ACA"/>
    <s v="$21 PER MEMBER PER MONTH"/>
    <n v="0"/>
    <n v="21"/>
    <n v="100"/>
    <n v="0"/>
    <n v="0"/>
    <n v="-42"/>
    <n v="-42"/>
    <n v="0"/>
    <n v="0"/>
    <n v="0"/>
    <m/>
  </r>
  <r>
    <s v="204114540001"/>
    <s v="MAIN LINE BENEFITS LLC"/>
    <d v="2024-02-07T00:00:00"/>
    <s v="A83079330001"/>
    <x v="0"/>
    <s v="WAGT"/>
    <s v="ACEXCHTN"/>
    <x v="0"/>
    <x v="0"/>
    <s v="830793300000"/>
    <s v="A83079330001"/>
    <s v="MACTN015"/>
    <s v="ACA SILVER METAL LEVEL"/>
    <d v="2023-06-01T00:00:00"/>
    <n v="18"/>
    <n v="8307933"/>
    <s v="GREGORY TEIPEL ACA"/>
    <s v="$21 PER MEMBER PER MONTH"/>
    <n v="0"/>
    <n v="21"/>
    <n v="100"/>
    <n v="0"/>
    <n v="0"/>
    <n v="42"/>
    <n v="42"/>
    <n v="0"/>
    <n v="0"/>
    <n v="0"/>
    <m/>
  </r>
  <r>
    <s v="204114540001"/>
    <s v="MAIN LINE BENEFITS LLC"/>
    <d v="2024-01-20T00:00:00"/>
    <s v="A83079330001"/>
    <x v="0"/>
    <s v="WAGT"/>
    <s v="ACEXCHTN"/>
    <x v="0"/>
    <x v="0"/>
    <s v="830793300000"/>
    <s v="A83079330001"/>
    <s v="MACTN015"/>
    <s v="ACA SILVER METAL LEVEL"/>
    <d v="2023-07-01T00:00:00"/>
    <n v="19"/>
    <n v="8307933"/>
    <s v="GREGORY TEIPEL ACA"/>
    <s v="$21 PER MEMBER PER MONTH"/>
    <n v="0"/>
    <n v="21"/>
    <n v="100"/>
    <n v="0"/>
    <n v="0"/>
    <n v="-42"/>
    <n v="-42"/>
    <n v="0"/>
    <n v="0"/>
    <n v="0"/>
    <m/>
  </r>
  <r>
    <s v="204114540001"/>
    <s v="MAIN LINE BENEFITS LLC"/>
    <d v="2024-02-07T00:00:00"/>
    <s v="A83079330001"/>
    <x v="0"/>
    <s v="WAGT"/>
    <s v="ACEXCHTN"/>
    <x v="0"/>
    <x v="0"/>
    <s v="830793300000"/>
    <s v="A83079330001"/>
    <s v="MACTN015"/>
    <s v="ACA SILVER METAL LEVEL"/>
    <d v="2023-07-01T00:00:00"/>
    <n v="19"/>
    <n v="8307933"/>
    <s v="GREGORY TEIPEL ACA"/>
    <s v="$21 PER MEMBER PER MONTH"/>
    <n v="0"/>
    <n v="21"/>
    <n v="100"/>
    <n v="0"/>
    <n v="0"/>
    <n v="42"/>
    <n v="42"/>
    <n v="0"/>
    <n v="0"/>
    <n v="0"/>
    <m/>
  </r>
  <r>
    <s v="204114540001"/>
    <s v="MAIN LINE BENEFITS LLC"/>
    <d v="2024-01-20T00:00:00"/>
    <s v="A83079330001"/>
    <x v="0"/>
    <s v="WAGT"/>
    <s v="ACEXCHTN"/>
    <x v="0"/>
    <x v="0"/>
    <s v="830793300000"/>
    <s v="A83079330001"/>
    <s v="MACTN015"/>
    <s v="ACA SILVER METAL LEVEL"/>
    <d v="2023-08-01T00:00:00"/>
    <n v="20"/>
    <n v="8307933"/>
    <s v="GREGORY TEIPEL ACA"/>
    <s v="$21 PER MEMBER PER MONTH"/>
    <n v="0"/>
    <n v="21"/>
    <n v="100"/>
    <n v="0"/>
    <n v="0"/>
    <n v="-42"/>
    <n v="-42"/>
    <n v="0"/>
    <n v="0"/>
    <n v="0"/>
    <m/>
  </r>
  <r>
    <s v="204114540001"/>
    <s v="MAIN LINE BENEFITS LLC"/>
    <d v="2024-02-07T00:00:00"/>
    <s v="A83079330001"/>
    <x v="0"/>
    <s v="WAGT"/>
    <s v="ACEXCHTN"/>
    <x v="0"/>
    <x v="0"/>
    <s v="830793300000"/>
    <s v="A83079330001"/>
    <s v="MACTN015"/>
    <s v="ACA SILVER METAL LEVEL"/>
    <d v="2023-08-01T00:00:00"/>
    <n v="20"/>
    <n v="8307933"/>
    <s v="GREGORY TEIPEL ACA"/>
    <s v="$21 PER MEMBER PER MONTH"/>
    <n v="0"/>
    <n v="21"/>
    <n v="100"/>
    <n v="0"/>
    <n v="0"/>
    <n v="42"/>
    <n v="42"/>
    <n v="0"/>
    <n v="0"/>
    <n v="0"/>
    <m/>
  </r>
  <r>
    <s v="204114540001"/>
    <s v="MAIN LINE BENEFITS LLC"/>
    <d v="2024-01-20T00:00:00"/>
    <s v="A83079330001"/>
    <x v="0"/>
    <s v="WAGT"/>
    <s v="ACEXCHTN"/>
    <x v="0"/>
    <x v="0"/>
    <s v="830793300000"/>
    <s v="A83079330001"/>
    <s v="MACTN015"/>
    <s v="ACA SILVER METAL LEVEL"/>
    <d v="2023-09-01T00:00:00"/>
    <n v="21"/>
    <n v="8307933"/>
    <s v="GREGORY TEIPEL ACA"/>
    <s v="$21 PER MEMBER PER MONTH"/>
    <n v="0"/>
    <n v="21"/>
    <n v="100"/>
    <n v="0"/>
    <n v="0"/>
    <n v="-42"/>
    <n v="-42"/>
    <n v="0"/>
    <n v="0"/>
    <n v="0"/>
    <m/>
  </r>
  <r>
    <s v="204114540001"/>
    <s v="MAIN LINE BENEFITS LLC"/>
    <d v="2024-02-07T00:00:00"/>
    <s v="A83079330001"/>
    <x v="0"/>
    <s v="WAGT"/>
    <s v="ACEXCHTN"/>
    <x v="0"/>
    <x v="0"/>
    <s v="830793300000"/>
    <s v="A83079330001"/>
    <s v="MACTN015"/>
    <s v="ACA SILVER METAL LEVEL"/>
    <d v="2023-09-01T00:00:00"/>
    <n v="21"/>
    <n v="8307933"/>
    <s v="GREGORY TEIPEL ACA"/>
    <s v="$21 PER MEMBER PER MONTH"/>
    <n v="0"/>
    <n v="21"/>
    <n v="100"/>
    <n v="0"/>
    <n v="0"/>
    <n v="42"/>
    <n v="42"/>
    <n v="0"/>
    <n v="0"/>
    <n v="0"/>
    <m/>
  </r>
  <r>
    <s v="204114540001"/>
    <s v="MAIN LINE BENEFITS LLC"/>
    <d v="2024-01-20T00:00:00"/>
    <s v="A83079330001"/>
    <x v="0"/>
    <s v="WAGT"/>
    <s v="ACEXCHTN"/>
    <x v="0"/>
    <x v="0"/>
    <s v="830793300000"/>
    <s v="A83079330001"/>
    <s v="MACTN015"/>
    <s v="ACA SILVER METAL LEVEL"/>
    <d v="2023-10-01T00:00:00"/>
    <n v="22"/>
    <n v="8307933"/>
    <s v="GREGORY TEIPEL ACA"/>
    <s v="$21 PER MEMBER PER MONTH"/>
    <n v="0"/>
    <n v="21"/>
    <n v="100"/>
    <n v="0"/>
    <n v="0"/>
    <n v="-42"/>
    <n v="-42"/>
    <n v="0"/>
    <n v="0"/>
    <n v="0"/>
    <m/>
  </r>
  <r>
    <s v="204114540001"/>
    <s v="MAIN LINE BENEFITS LLC"/>
    <d v="2024-02-07T00:00:00"/>
    <s v="A83079330001"/>
    <x v="0"/>
    <s v="WAGT"/>
    <s v="ACEXCHTN"/>
    <x v="0"/>
    <x v="0"/>
    <s v="830793300000"/>
    <s v="A83079330001"/>
    <s v="MACTN015"/>
    <s v="ACA SILVER METAL LEVEL"/>
    <d v="2023-10-01T00:00:00"/>
    <n v="22"/>
    <n v="8307933"/>
    <s v="GREGORY TEIPEL ACA"/>
    <s v="$21 PER MEMBER PER MONTH"/>
    <n v="0"/>
    <n v="21"/>
    <n v="100"/>
    <n v="0"/>
    <n v="0"/>
    <n v="42"/>
    <n v="42"/>
    <n v="0"/>
    <n v="0"/>
    <n v="0"/>
    <m/>
  </r>
  <r>
    <s v="204114540001"/>
    <s v="MAIN LINE BENEFITS LLC"/>
    <d v="2024-01-20T00:00:00"/>
    <s v="A83079330001"/>
    <x v="0"/>
    <s v="WAGT"/>
    <s v="ACEXCHTN"/>
    <x v="0"/>
    <x v="0"/>
    <s v="830793300000"/>
    <s v="A83079330001"/>
    <s v="MACTN015"/>
    <s v="ACA SILVER METAL LEVEL"/>
    <d v="2023-11-01T00:00:00"/>
    <n v="23"/>
    <n v="8307933"/>
    <s v="GREGORY TEIPEL ACA"/>
    <s v="$21 PER MEMBER PER MONTH"/>
    <n v="0"/>
    <n v="21"/>
    <n v="100"/>
    <n v="0"/>
    <n v="0"/>
    <n v="-42"/>
    <n v="-42"/>
    <n v="0"/>
    <n v="0"/>
    <n v="0"/>
    <m/>
  </r>
  <r>
    <s v="204114540001"/>
    <s v="MAIN LINE BENEFITS LLC"/>
    <d v="2024-02-07T00:00:00"/>
    <s v="A83079330001"/>
    <x v="0"/>
    <s v="WAGT"/>
    <s v="ACEXCHTN"/>
    <x v="0"/>
    <x v="0"/>
    <s v="830793300000"/>
    <s v="A83079330001"/>
    <s v="MACTN015"/>
    <s v="ACA SILVER METAL LEVEL"/>
    <d v="2023-11-01T00:00:00"/>
    <n v="23"/>
    <n v="8307933"/>
    <s v="GREGORY TEIPEL ACA"/>
    <s v="$21 PER MEMBER PER MONTH"/>
    <n v="0"/>
    <n v="21"/>
    <n v="100"/>
    <n v="0"/>
    <n v="0"/>
    <n v="42"/>
    <n v="42"/>
    <n v="0"/>
    <n v="0"/>
    <n v="0"/>
    <m/>
  </r>
  <r>
    <s v="204114540001"/>
    <s v="MAIN LINE BENEFITS LLC"/>
    <d v="2024-01-20T00:00:00"/>
    <s v="A83079330001"/>
    <x v="0"/>
    <s v="WAGT"/>
    <s v="ACEXCHTN"/>
    <x v="0"/>
    <x v="0"/>
    <s v="830793300000"/>
    <s v="A83079330001"/>
    <s v="MACTN015"/>
    <s v="ACA SILVER METAL LEVEL"/>
    <d v="2023-12-01T00:00:00"/>
    <n v="24"/>
    <n v="8307933"/>
    <s v="GREGORY TEIPEL ACA"/>
    <s v="$21 PER MEMBER PER MONTH"/>
    <n v="0"/>
    <n v="21"/>
    <n v="100"/>
    <n v="0"/>
    <n v="0"/>
    <n v="-42"/>
    <n v="-42"/>
    <n v="0"/>
    <n v="0"/>
    <n v="0"/>
    <m/>
  </r>
  <r>
    <s v="204114540001"/>
    <s v="MAIN LINE BENEFITS LLC"/>
    <d v="2024-02-07T00:00:00"/>
    <s v="A83079330001"/>
    <x v="0"/>
    <s v="WAGT"/>
    <s v="ACEXCHTN"/>
    <x v="0"/>
    <x v="0"/>
    <s v="830793300000"/>
    <s v="A83079330001"/>
    <s v="MACTN015"/>
    <s v="ACA SILVER METAL LEVEL"/>
    <d v="2023-12-01T00:00:00"/>
    <n v="24"/>
    <n v="8307933"/>
    <s v="GREGORY TEIPEL ACA"/>
    <s v="$21 PER MEMBER PER MONTH"/>
    <n v="0"/>
    <n v="21"/>
    <n v="100"/>
    <n v="0"/>
    <n v="0"/>
    <n v="42"/>
    <n v="42"/>
    <n v="0"/>
    <n v="0"/>
    <n v="0"/>
    <m/>
  </r>
  <r>
    <s v="204114540001"/>
    <s v="MAIN LINE BENEFITS LLC"/>
    <d v="2024-01-20T00:00:00"/>
    <s v="A83079330001"/>
    <x v="0"/>
    <s v="WAGT"/>
    <s v="ACEXCHTN"/>
    <x v="1"/>
    <x v="1"/>
    <s v="830793300000"/>
    <s v="A83079330001"/>
    <s v="MACTN015"/>
    <s v="ACA SILVER METAL LEVEL"/>
    <d v="2024-01-01T00:00:00"/>
    <n v="25"/>
    <n v="8307933"/>
    <s v="GREGORY TEIPEL ACA"/>
    <s v="$20.00 PER MEMBER PER MONTH"/>
    <n v="0"/>
    <n v="20"/>
    <n v="100"/>
    <n v="1"/>
    <n v="17.45"/>
    <n v="20"/>
    <n v="20"/>
    <n v="0"/>
    <n v="0"/>
    <n v="0"/>
    <m/>
  </r>
  <r>
    <s v="204114540001"/>
    <s v="MAIN LINE BENEFITS LLC"/>
    <d v="2024-02-07T00:00:00"/>
    <s v="A83079330001"/>
    <x v="0"/>
    <s v="WAGT"/>
    <s v="ACEXCHTN"/>
    <x v="1"/>
    <x v="1"/>
    <s v="830793300000"/>
    <s v="A83079330001"/>
    <s v="MACTN015"/>
    <s v="ACA SILVER METAL LEVEL"/>
    <d v="2024-02-01T00:00:00"/>
    <n v="26"/>
    <n v="8307933"/>
    <s v="GREGORY TEIPEL ACA"/>
    <s v="$20.00 PER MEMBER PER MONTH"/>
    <n v="0"/>
    <n v="20"/>
    <n v="100"/>
    <n v="1"/>
    <n v="17.45"/>
    <n v="20"/>
    <n v="20"/>
    <n v="0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1.20 and 2.7 Pivot Table" cacheId="6" applyNumberFormats="0" applyBorderFormats="0" applyFontFormats="0" applyPatternFormats="0" applyAlignmentFormats="0" applyWidthHeightFormats="0" dataCaption="" updatedVersion="8" compact="0" compactData="0">
  <location ref="A1:C6" firstHeaderRow="1" firstDataRow="1" firstDataCol="3"/>
  <pivotFields count="29">
    <pivotField name="Payee_ID" compact="0" numFmtId="49" outline="0" multipleItemSelectionAllowed="1" showAll="0"/>
    <pivotField name="Payee_Name" compact="0" outline="0" multipleItemSelectionAllowed="1" showAll="0"/>
    <pivotField name="Pay_Date" compact="0" numFmtId="164" outline="0" multipleItemSelectionAllowed="1" showAll="0"/>
    <pivotField name="Agent_ID" compact="0" outline="0" multipleItemSelectionAllowed="1" showAll="0"/>
    <pivotField name="Agent_Name" axis="axisRow" compact="0" outline="0" multipleItemSelectionAllowed="1" showAll="0" sortType="ascending">
      <items count="2">
        <item x="0"/>
        <item t="default"/>
      </items>
    </pivotField>
    <pivotField name="Comm_Type" compact="0" outline="0" multipleItemSelectionAllowed="1" showAll="0"/>
    <pivotField name="Group_ID" compact="0" outline="0" multipleItemSelectionAllowed="1" showAll="0"/>
    <pivotField name="SBSB_ID" axis="axisRow" compact="0" outline="0" multipleItemSelectionAllowed="1" showAll="0" sortType="ascending" defaultSubtotal="0">
      <items count="2">
        <item x="0"/>
        <item x="1"/>
      </items>
    </pivotField>
    <pivotField name="SBSB_Name" axis="axisRow" compact="0" outline="0" multipleItemSelectionAllowed="1" showAll="0" sortType="ascending">
      <items count="3">
        <item x="0"/>
        <item x="1"/>
        <item t="default"/>
      </items>
    </pivotField>
    <pivotField name="NPN_Number" compact="0" numFmtId="49" outline="0" multipleItemSelectionAllowed="1" showAll="0"/>
    <pivotField name="General_Agency_ID" compact="0" outline="0" multipleItemSelectionAllowed="1" showAll="0"/>
    <pivotField name="Contract_Type" compact="0" outline="0" multipleItemSelectionAllowed="1" showAll="0"/>
    <pivotField name="Contract_Description" compact="0" outline="0" multipleItemSelectionAllowed="1" showAll="0"/>
    <pivotField name="Due_Date" compact="0" numFmtId="164" outline="0" multipleItemSelectionAllowed="1" showAll="0"/>
    <pivotField name="Comm_Period" compact="0" outline="0" multipleItemSelectionAllowed="1" showAll="0"/>
    <pivotField name="Arrangement_ID" compact="0" outline="0" multipleItemSelectionAllowed="1" showAll="0"/>
    <pivotField name="Arrangement_Desc" compact="0" outline="0" multipleItemSelectionAllowed="1" showAll="0"/>
    <pivotField name="Calc_Desc" compact="0" outline="0" multipleItemSelectionAllowed="1" showAll="0"/>
    <pivotField name="Percentage" compact="0" outline="0" multipleItemSelectionAllowed="1" showAll="0"/>
    <pivotField compact="0" numFmtId="44" outline="0" showAll="0" includeNewItemsInFilter="1"/>
    <pivotField name="Factor" compact="0" outline="0" multipleItemSelectionAllowed="1" showAll="0"/>
    <pivotField name="Subscriber_Count" compact="0" outline="0" multipleItemSelectionAllowed="1" showAll="0"/>
    <pivotField compact="0" numFmtId="44" outline="0" showAll="0" includeNewItemsInFilter="1"/>
    <pivotField compact="0" numFmtId="44" outline="0" showAll="0" includeNewItemsInFilter="1"/>
    <pivotField compact="0" numFmtId="44" outline="0" showAll="0" includeNewItemsInFilter="1"/>
    <pivotField compact="0" numFmtId="44" outline="0" showAll="0" includeNewItemsInFilter="1"/>
    <pivotField compact="0" numFmtId="44" outline="0" showAll="0" includeNewItemsInFilter="1"/>
    <pivotField compact="0" numFmtId="44" outline="0" showAll="0" includeNewItemsInFilter="1"/>
    <pivotField name="Adjust_Desc" compact="0" outline="0" multipleItemSelectionAllowed="1" showAll="0"/>
  </pivotFields>
  <rowFields count="3">
    <field x="7"/>
    <field x="8"/>
    <field x="4"/>
  </rowFields>
  <rowItems count="5">
    <i>
      <x/>
      <x/>
      <x/>
    </i>
    <i t="default" r="1">
      <x/>
    </i>
    <i>
      <x v="1"/>
      <x v="1"/>
      <x/>
    </i>
    <i t="default" r="1">
      <x v="1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0"/>
  <sheetViews>
    <sheetView tabSelected="1" workbookViewId="0">
      <pane ySplit="1" topLeftCell="A2" activePane="bottomLeft" state="frozen"/>
      <selection pane="bottomLeft" activeCell="M3" sqref="M3"/>
    </sheetView>
  </sheetViews>
  <sheetFormatPr defaultColWidth="12.5703125" defaultRowHeight="15" customHeight="1" x14ac:dyDescent="0.2"/>
  <cols>
    <col min="1" max="1" width="15.28515625" customWidth="1"/>
    <col min="2" max="4" width="12.5703125" customWidth="1"/>
    <col min="5" max="5" width="22.28515625" customWidth="1"/>
    <col min="6" max="6" width="15.42578125" customWidth="1"/>
    <col min="9" max="9" width="18.85546875" customWidth="1"/>
    <col min="10" max="10" width="16.42578125" customWidth="1"/>
  </cols>
  <sheetData>
    <row r="1" spans="1:2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1" t="s">
        <v>28</v>
      </c>
    </row>
    <row r="2" spans="1:29" ht="15.75" customHeight="1" x14ac:dyDescent="0.25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s">
        <v>37</v>
      </c>
      <c r="J2" s="4" t="s">
        <v>38</v>
      </c>
      <c r="K2" s="4" t="s">
        <v>32</v>
      </c>
      <c r="L2" s="4" t="s">
        <v>39</v>
      </c>
      <c r="M2" s="4" t="s">
        <v>40</v>
      </c>
      <c r="N2" s="4" t="s">
        <v>41</v>
      </c>
      <c r="O2" s="4" t="s">
        <v>42</v>
      </c>
      <c r="P2" s="4" t="s">
        <v>43</v>
      </c>
      <c r="Q2" s="4" t="s">
        <v>44</v>
      </c>
      <c r="R2" s="4" t="s">
        <v>45</v>
      </c>
      <c r="S2" s="5">
        <v>0</v>
      </c>
      <c r="T2" s="6">
        <v>20</v>
      </c>
      <c r="U2" s="5">
        <v>100</v>
      </c>
      <c r="V2" s="5">
        <f>X2/T2</f>
        <v>1</v>
      </c>
      <c r="W2" s="6">
        <v>17.45</v>
      </c>
      <c r="X2" s="6">
        <v>20</v>
      </c>
      <c r="Y2" s="6">
        <v>20</v>
      </c>
      <c r="Z2" s="6">
        <v>0</v>
      </c>
      <c r="AA2" s="6">
        <v>0</v>
      </c>
      <c r="AB2" s="6">
        <v>0</v>
      </c>
      <c r="AC2" s="4" t="s">
        <v>46</v>
      </c>
    </row>
    <row r="3" spans="1:29" ht="15.75" customHeight="1" x14ac:dyDescent="0.25">
      <c r="A3" s="4" t="s">
        <v>29</v>
      </c>
      <c r="B3" s="4" t="s">
        <v>30</v>
      </c>
      <c r="C3" s="4" t="s">
        <v>31</v>
      </c>
      <c r="D3" s="4" t="s">
        <v>29</v>
      </c>
      <c r="E3" s="4" t="s">
        <v>30</v>
      </c>
      <c r="F3" s="4" t="s">
        <v>46</v>
      </c>
      <c r="G3" s="4" t="s">
        <v>35</v>
      </c>
      <c r="H3" s="4" t="s">
        <v>36</v>
      </c>
      <c r="I3" s="4" t="s">
        <v>37</v>
      </c>
      <c r="J3" s="4" t="s">
        <v>47</v>
      </c>
      <c r="K3" s="4" t="s">
        <v>29</v>
      </c>
      <c r="L3" s="4" t="s">
        <v>39</v>
      </c>
      <c r="M3" s="4" t="s">
        <v>40</v>
      </c>
      <c r="N3" s="4" t="s">
        <v>41</v>
      </c>
      <c r="O3" s="4" t="s">
        <v>42</v>
      </c>
      <c r="P3" s="4" t="s">
        <v>43</v>
      </c>
      <c r="Q3" s="4" t="s">
        <v>44</v>
      </c>
      <c r="R3" s="4" t="s">
        <v>46</v>
      </c>
      <c r="S3" s="5">
        <v>0</v>
      </c>
      <c r="T3" s="6">
        <v>0</v>
      </c>
      <c r="U3" s="5">
        <v>0</v>
      </c>
      <c r="V3" s="5">
        <v>0</v>
      </c>
      <c r="W3" s="6">
        <v>-17.45</v>
      </c>
      <c r="X3" s="6">
        <v>-20</v>
      </c>
      <c r="Y3" s="6">
        <v>0</v>
      </c>
      <c r="Z3" s="6">
        <v>-20</v>
      </c>
      <c r="AA3" s="6">
        <v>0</v>
      </c>
      <c r="AB3" s="6">
        <v>0</v>
      </c>
      <c r="AC3" s="4" t="s">
        <v>46</v>
      </c>
    </row>
    <row r="4" spans="1:29" ht="15.75" customHeight="1" x14ac:dyDescent="0.25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32</v>
      </c>
      <c r="L4" s="4" t="s">
        <v>39</v>
      </c>
      <c r="M4" s="4" t="s">
        <v>40</v>
      </c>
      <c r="N4" s="4" t="s">
        <v>48</v>
      </c>
      <c r="O4" s="4" t="s">
        <v>49</v>
      </c>
      <c r="P4" s="4" t="s">
        <v>43</v>
      </c>
      <c r="Q4" s="4" t="s">
        <v>44</v>
      </c>
      <c r="R4" s="4" t="s">
        <v>45</v>
      </c>
      <c r="S4" s="5">
        <v>0</v>
      </c>
      <c r="T4" s="6">
        <v>20</v>
      </c>
      <c r="U4" s="5">
        <v>100</v>
      </c>
      <c r="V4" s="5">
        <f>X4/T4</f>
        <v>1</v>
      </c>
      <c r="W4" s="6">
        <v>17.45</v>
      </c>
      <c r="X4" s="6">
        <v>20</v>
      </c>
      <c r="Y4" s="6">
        <v>20</v>
      </c>
      <c r="Z4" s="6">
        <v>0</v>
      </c>
      <c r="AA4" s="6">
        <v>0</v>
      </c>
      <c r="AB4" s="6">
        <v>0</v>
      </c>
      <c r="AC4" s="4" t="s">
        <v>46</v>
      </c>
    </row>
    <row r="5" spans="1:29" ht="15.75" customHeight="1" x14ac:dyDescent="0.25">
      <c r="A5" s="4" t="s">
        <v>29</v>
      </c>
      <c r="B5" s="4" t="s">
        <v>30</v>
      </c>
      <c r="C5" s="4" t="s">
        <v>31</v>
      </c>
      <c r="D5" s="4" t="s">
        <v>29</v>
      </c>
      <c r="E5" s="4" t="s">
        <v>30</v>
      </c>
      <c r="F5" s="4" t="s">
        <v>46</v>
      </c>
      <c r="G5" s="4" t="s">
        <v>35</v>
      </c>
      <c r="H5" s="4" t="s">
        <v>36</v>
      </c>
      <c r="I5" s="4" t="s">
        <v>37</v>
      </c>
      <c r="J5" s="4" t="s">
        <v>47</v>
      </c>
      <c r="K5" s="4" t="s">
        <v>29</v>
      </c>
      <c r="L5" s="4" t="s">
        <v>39</v>
      </c>
      <c r="M5" s="4" t="s">
        <v>40</v>
      </c>
      <c r="N5" s="4" t="s">
        <v>48</v>
      </c>
      <c r="O5" s="4" t="s">
        <v>49</v>
      </c>
      <c r="P5" s="4" t="s">
        <v>43</v>
      </c>
      <c r="Q5" s="4" t="s">
        <v>44</v>
      </c>
      <c r="R5" s="4" t="s">
        <v>46</v>
      </c>
      <c r="S5" s="5">
        <v>0</v>
      </c>
      <c r="T5" s="6">
        <v>0</v>
      </c>
      <c r="U5" s="5">
        <v>0</v>
      </c>
      <c r="V5" s="5">
        <v>0</v>
      </c>
      <c r="W5" s="6">
        <v>-17.45</v>
      </c>
      <c r="X5" s="6">
        <v>-20</v>
      </c>
      <c r="Y5" s="6">
        <v>0</v>
      </c>
      <c r="Z5" s="6">
        <v>-20</v>
      </c>
      <c r="AA5" s="6">
        <v>0</v>
      </c>
      <c r="AB5" s="6">
        <v>0</v>
      </c>
      <c r="AC5" s="4" t="s">
        <v>46</v>
      </c>
    </row>
    <row r="6" spans="1:29" ht="15.75" customHeight="1" x14ac:dyDescent="0.25">
      <c r="A6" s="4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4" t="s">
        <v>35</v>
      </c>
      <c r="H6" s="4" t="s">
        <v>36</v>
      </c>
      <c r="I6" s="4" t="s">
        <v>37</v>
      </c>
      <c r="J6" s="4" t="s">
        <v>38</v>
      </c>
      <c r="K6" s="4" t="s">
        <v>32</v>
      </c>
      <c r="L6" s="4" t="s">
        <v>39</v>
      </c>
      <c r="M6" s="4" t="s">
        <v>40</v>
      </c>
      <c r="N6" s="4" t="s">
        <v>50</v>
      </c>
      <c r="O6" s="4" t="s">
        <v>51</v>
      </c>
      <c r="P6" s="4" t="s">
        <v>43</v>
      </c>
      <c r="Q6" s="4" t="s">
        <v>44</v>
      </c>
      <c r="R6" s="4" t="s">
        <v>45</v>
      </c>
      <c r="S6" s="5">
        <v>0</v>
      </c>
      <c r="T6" s="6">
        <v>20</v>
      </c>
      <c r="U6" s="5">
        <v>100</v>
      </c>
      <c r="V6" s="5">
        <f>X6/T6</f>
        <v>1</v>
      </c>
      <c r="W6" s="6">
        <v>17.45</v>
      </c>
      <c r="X6" s="6">
        <v>20</v>
      </c>
      <c r="Y6" s="6">
        <v>20</v>
      </c>
      <c r="Z6" s="6">
        <v>0</v>
      </c>
      <c r="AA6" s="6">
        <v>0</v>
      </c>
      <c r="AB6" s="6">
        <v>0</v>
      </c>
      <c r="AC6" s="4" t="s">
        <v>46</v>
      </c>
    </row>
    <row r="7" spans="1:29" ht="15.75" customHeight="1" x14ac:dyDescent="0.25">
      <c r="X7" s="7">
        <f>SUM(X2:X6)</f>
        <v>20</v>
      </c>
    </row>
    <row r="8" spans="1:29" ht="15.75" customHeight="1" x14ac:dyDescent="0.2"/>
    <row r="9" spans="1:29" ht="15.75" customHeight="1" x14ac:dyDescent="0.2"/>
    <row r="10" spans="1:29" ht="15.75" customHeight="1" x14ac:dyDescent="0.2"/>
    <row r="11" spans="1:29" ht="15.75" customHeight="1" x14ac:dyDescent="0.2"/>
    <row r="12" spans="1:29" ht="15.75" customHeight="1" x14ac:dyDescent="0.2"/>
    <row r="13" spans="1:29" ht="15.75" customHeight="1" x14ac:dyDescent="0.2"/>
    <row r="14" spans="1:29" ht="15.75" customHeight="1" x14ac:dyDescent="0.2"/>
    <row r="15" spans="1:29" ht="15.75" customHeight="1" x14ac:dyDescent="0.2"/>
    <row r="16" spans="1:2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AC7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6" width="12.5703125" customWidth="1"/>
  </cols>
  <sheetData>
    <row r="1" spans="1:29" ht="15.75" customHeight="1" x14ac:dyDescent="0.25">
      <c r="A1" s="8" t="s">
        <v>0</v>
      </c>
      <c r="B1" s="1" t="s">
        <v>1</v>
      </c>
      <c r="C1" s="9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9</v>
      </c>
      <c r="K1" s="1" t="s">
        <v>10</v>
      </c>
      <c r="L1" s="1" t="s">
        <v>11</v>
      </c>
      <c r="M1" s="1" t="s">
        <v>12</v>
      </c>
      <c r="N1" s="10" t="s">
        <v>13</v>
      </c>
      <c r="O1" s="1" t="s">
        <v>14</v>
      </c>
      <c r="P1" s="1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1" t="s">
        <v>28</v>
      </c>
    </row>
    <row r="2" spans="1:29" ht="15.75" customHeight="1" x14ac:dyDescent="0.25">
      <c r="A2" s="12" t="s">
        <v>29</v>
      </c>
      <c r="B2" s="4" t="s">
        <v>30</v>
      </c>
      <c r="C2" s="13">
        <v>45329</v>
      </c>
      <c r="D2" s="4" t="s">
        <v>32</v>
      </c>
      <c r="E2" s="4" t="s">
        <v>33</v>
      </c>
      <c r="F2" s="4" t="s">
        <v>34</v>
      </c>
      <c r="G2" s="4" t="s">
        <v>35</v>
      </c>
      <c r="H2" s="4">
        <v>770213018</v>
      </c>
      <c r="I2" s="4" t="s">
        <v>52</v>
      </c>
      <c r="J2" s="12" t="s">
        <v>38</v>
      </c>
      <c r="K2" s="4" t="s">
        <v>32</v>
      </c>
      <c r="L2" s="4" t="s">
        <v>39</v>
      </c>
      <c r="M2" s="4" t="s">
        <v>40</v>
      </c>
      <c r="N2" s="14">
        <v>44927</v>
      </c>
      <c r="O2" s="4">
        <v>13</v>
      </c>
      <c r="P2" s="15">
        <v>8307933</v>
      </c>
      <c r="Q2" s="4" t="s">
        <v>44</v>
      </c>
      <c r="R2" s="4" t="s">
        <v>53</v>
      </c>
      <c r="S2" s="4">
        <v>0</v>
      </c>
      <c r="T2" s="16">
        <v>21</v>
      </c>
      <c r="U2" s="4">
        <v>100</v>
      </c>
      <c r="V2" s="4">
        <v>0</v>
      </c>
      <c r="W2" s="16">
        <v>0</v>
      </c>
      <c r="X2" s="16">
        <v>42</v>
      </c>
      <c r="Y2" s="16">
        <v>42</v>
      </c>
      <c r="Z2" s="16">
        <v>0</v>
      </c>
      <c r="AA2" s="16">
        <v>0</v>
      </c>
      <c r="AB2" s="16">
        <v>0</v>
      </c>
      <c r="AC2" s="4"/>
    </row>
    <row r="3" spans="1:29" ht="15.75" customHeight="1" x14ac:dyDescent="0.25">
      <c r="A3" s="12" t="s">
        <v>29</v>
      </c>
      <c r="B3" s="4" t="s">
        <v>30</v>
      </c>
      <c r="C3" s="13">
        <v>45329</v>
      </c>
      <c r="D3" s="4" t="s">
        <v>32</v>
      </c>
      <c r="E3" s="4" t="s">
        <v>33</v>
      </c>
      <c r="F3" s="4" t="s">
        <v>34</v>
      </c>
      <c r="G3" s="4" t="s">
        <v>35</v>
      </c>
      <c r="H3" s="4">
        <v>770213018</v>
      </c>
      <c r="I3" s="4" t="s">
        <v>52</v>
      </c>
      <c r="J3" s="12" t="s">
        <v>38</v>
      </c>
      <c r="K3" s="4" t="s">
        <v>32</v>
      </c>
      <c r="L3" s="4" t="s">
        <v>39</v>
      </c>
      <c r="M3" s="4" t="s">
        <v>40</v>
      </c>
      <c r="N3" s="14">
        <v>44958</v>
      </c>
      <c r="O3" s="4">
        <v>14</v>
      </c>
      <c r="P3" s="15">
        <v>8307933</v>
      </c>
      <c r="Q3" s="4" t="s">
        <v>44</v>
      </c>
      <c r="R3" s="4" t="s">
        <v>53</v>
      </c>
      <c r="S3" s="4">
        <v>0</v>
      </c>
      <c r="T3" s="16">
        <v>21</v>
      </c>
      <c r="U3" s="4">
        <v>100</v>
      </c>
      <c r="V3" s="4">
        <v>0</v>
      </c>
      <c r="W3" s="16">
        <v>0</v>
      </c>
      <c r="X3" s="16">
        <v>42</v>
      </c>
      <c r="Y3" s="16">
        <v>42</v>
      </c>
      <c r="Z3" s="16">
        <v>0</v>
      </c>
      <c r="AA3" s="16">
        <v>0</v>
      </c>
      <c r="AB3" s="16">
        <v>0</v>
      </c>
      <c r="AC3" s="4"/>
    </row>
    <row r="4" spans="1:29" ht="15.75" customHeight="1" x14ac:dyDescent="0.25">
      <c r="A4" s="12" t="s">
        <v>29</v>
      </c>
      <c r="B4" s="4" t="s">
        <v>30</v>
      </c>
      <c r="C4" s="13">
        <v>45329</v>
      </c>
      <c r="D4" s="4" t="s">
        <v>32</v>
      </c>
      <c r="E4" s="4" t="s">
        <v>33</v>
      </c>
      <c r="F4" s="4" t="s">
        <v>34</v>
      </c>
      <c r="G4" s="4" t="s">
        <v>35</v>
      </c>
      <c r="H4" s="4">
        <v>770213018</v>
      </c>
      <c r="I4" s="4" t="s">
        <v>52</v>
      </c>
      <c r="J4" s="12" t="s">
        <v>38</v>
      </c>
      <c r="K4" s="4" t="s">
        <v>32</v>
      </c>
      <c r="L4" s="4" t="s">
        <v>39</v>
      </c>
      <c r="M4" s="4" t="s">
        <v>40</v>
      </c>
      <c r="N4" s="14">
        <v>44986</v>
      </c>
      <c r="O4" s="4">
        <v>15</v>
      </c>
      <c r="P4" s="15">
        <v>8307933</v>
      </c>
      <c r="Q4" s="4" t="s">
        <v>44</v>
      </c>
      <c r="R4" s="4" t="s">
        <v>53</v>
      </c>
      <c r="S4" s="4">
        <v>0</v>
      </c>
      <c r="T4" s="16">
        <v>21</v>
      </c>
      <c r="U4" s="4">
        <v>100</v>
      </c>
      <c r="V4" s="4">
        <v>0</v>
      </c>
      <c r="W4" s="16">
        <v>0</v>
      </c>
      <c r="X4" s="16">
        <v>42</v>
      </c>
      <c r="Y4" s="16">
        <v>42</v>
      </c>
      <c r="Z4" s="16">
        <v>0</v>
      </c>
      <c r="AA4" s="16">
        <v>0</v>
      </c>
      <c r="AB4" s="16">
        <v>0</v>
      </c>
      <c r="AC4" s="4"/>
    </row>
    <row r="5" spans="1:29" ht="15.75" customHeight="1" x14ac:dyDescent="0.25">
      <c r="A5" s="12" t="s">
        <v>29</v>
      </c>
      <c r="B5" s="4" t="s">
        <v>30</v>
      </c>
      <c r="C5" s="13">
        <v>45329</v>
      </c>
      <c r="D5" s="4" t="s">
        <v>32</v>
      </c>
      <c r="E5" s="4" t="s">
        <v>33</v>
      </c>
      <c r="F5" s="4" t="s">
        <v>34</v>
      </c>
      <c r="G5" s="4" t="s">
        <v>35</v>
      </c>
      <c r="H5" s="4">
        <v>770213018</v>
      </c>
      <c r="I5" s="4" t="s">
        <v>52</v>
      </c>
      <c r="J5" s="12" t="s">
        <v>38</v>
      </c>
      <c r="K5" s="4" t="s">
        <v>32</v>
      </c>
      <c r="L5" s="4" t="s">
        <v>39</v>
      </c>
      <c r="M5" s="4" t="s">
        <v>40</v>
      </c>
      <c r="N5" s="14">
        <v>45017</v>
      </c>
      <c r="O5" s="4">
        <v>16</v>
      </c>
      <c r="P5" s="15">
        <v>8307933</v>
      </c>
      <c r="Q5" s="4" t="s">
        <v>44</v>
      </c>
      <c r="R5" s="4" t="s">
        <v>53</v>
      </c>
      <c r="S5" s="4">
        <v>0</v>
      </c>
      <c r="T5" s="16">
        <v>21</v>
      </c>
      <c r="U5" s="4">
        <v>100</v>
      </c>
      <c r="V5" s="4">
        <v>0</v>
      </c>
      <c r="W5" s="16">
        <v>0</v>
      </c>
      <c r="X5" s="16">
        <v>42</v>
      </c>
      <c r="Y5" s="16">
        <v>42</v>
      </c>
      <c r="Z5" s="16">
        <v>0</v>
      </c>
      <c r="AA5" s="16">
        <v>0</v>
      </c>
      <c r="AB5" s="16">
        <v>0</v>
      </c>
      <c r="AC5" s="4"/>
    </row>
    <row r="6" spans="1:29" ht="15.75" customHeight="1" x14ac:dyDescent="0.25">
      <c r="A6" s="12" t="s">
        <v>29</v>
      </c>
      <c r="B6" s="4" t="s">
        <v>30</v>
      </c>
      <c r="C6" s="13">
        <v>45329</v>
      </c>
      <c r="D6" s="4" t="s">
        <v>32</v>
      </c>
      <c r="E6" s="4" t="s">
        <v>33</v>
      </c>
      <c r="F6" s="4" t="s">
        <v>34</v>
      </c>
      <c r="G6" s="4" t="s">
        <v>35</v>
      </c>
      <c r="H6" s="4">
        <v>770213018</v>
      </c>
      <c r="I6" s="4" t="s">
        <v>52</v>
      </c>
      <c r="J6" s="12" t="s">
        <v>38</v>
      </c>
      <c r="K6" s="4" t="s">
        <v>32</v>
      </c>
      <c r="L6" s="4" t="s">
        <v>39</v>
      </c>
      <c r="M6" s="4" t="s">
        <v>40</v>
      </c>
      <c r="N6" s="14">
        <v>45047</v>
      </c>
      <c r="O6" s="4">
        <v>17</v>
      </c>
      <c r="P6" s="15">
        <v>8307933</v>
      </c>
      <c r="Q6" s="4" t="s">
        <v>44</v>
      </c>
      <c r="R6" s="4" t="s">
        <v>53</v>
      </c>
      <c r="S6" s="4">
        <v>0</v>
      </c>
      <c r="T6" s="16">
        <v>21</v>
      </c>
      <c r="U6" s="4">
        <v>100</v>
      </c>
      <c r="V6" s="4">
        <v>0</v>
      </c>
      <c r="W6" s="16">
        <v>0</v>
      </c>
      <c r="X6" s="16">
        <v>42</v>
      </c>
      <c r="Y6" s="16">
        <v>42</v>
      </c>
      <c r="Z6" s="16">
        <v>0</v>
      </c>
      <c r="AA6" s="16">
        <v>0</v>
      </c>
      <c r="AB6" s="16">
        <v>0</v>
      </c>
      <c r="AC6" s="4"/>
    </row>
    <row r="7" spans="1:29" ht="15.75" customHeight="1" x14ac:dyDescent="0.25">
      <c r="A7" s="12" t="s">
        <v>29</v>
      </c>
      <c r="B7" s="4" t="s">
        <v>30</v>
      </c>
      <c r="C7" s="13">
        <v>45329</v>
      </c>
      <c r="D7" s="4" t="s">
        <v>32</v>
      </c>
      <c r="E7" s="4" t="s">
        <v>33</v>
      </c>
      <c r="F7" s="4" t="s">
        <v>34</v>
      </c>
      <c r="G7" s="4" t="s">
        <v>35</v>
      </c>
      <c r="H7" s="4">
        <v>770213018</v>
      </c>
      <c r="I7" s="4" t="s">
        <v>52</v>
      </c>
      <c r="J7" s="12" t="s">
        <v>38</v>
      </c>
      <c r="K7" s="4" t="s">
        <v>32</v>
      </c>
      <c r="L7" s="4" t="s">
        <v>39</v>
      </c>
      <c r="M7" s="4" t="s">
        <v>40</v>
      </c>
      <c r="N7" s="14">
        <v>45078</v>
      </c>
      <c r="O7" s="4">
        <v>18</v>
      </c>
      <c r="P7" s="15">
        <v>8307933</v>
      </c>
      <c r="Q7" s="4" t="s">
        <v>44</v>
      </c>
      <c r="R7" s="4" t="s">
        <v>53</v>
      </c>
      <c r="S7" s="4">
        <v>0</v>
      </c>
      <c r="T7" s="16">
        <v>21</v>
      </c>
      <c r="U7" s="4">
        <v>100</v>
      </c>
      <c r="V7" s="4">
        <v>0</v>
      </c>
      <c r="W7" s="16">
        <v>0</v>
      </c>
      <c r="X7" s="16">
        <v>42</v>
      </c>
      <c r="Y7" s="16">
        <v>42</v>
      </c>
      <c r="Z7" s="16">
        <v>0</v>
      </c>
      <c r="AA7" s="16">
        <v>0</v>
      </c>
      <c r="AB7" s="16">
        <v>0</v>
      </c>
      <c r="AC7" s="4"/>
    </row>
    <row r="8" spans="1:29" ht="15.75" customHeight="1" x14ac:dyDescent="0.25">
      <c r="A8" s="12" t="s">
        <v>29</v>
      </c>
      <c r="B8" s="4" t="s">
        <v>30</v>
      </c>
      <c r="C8" s="13">
        <v>45329</v>
      </c>
      <c r="D8" s="4" t="s">
        <v>32</v>
      </c>
      <c r="E8" s="4" t="s">
        <v>33</v>
      </c>
      <c r="F8" s="4" t="s">
        <v>34</v>
      </c>
      <c r="G8" s="4" t="s">
        <v>35</v>
      </c>
      <c r="H8" s="4">
        <v>770213018</v>
      </c>
      <c r="I8" s="4" t="s">
        <v>52</v>
      </c>
      <c r="J8" s="12" t="s">
        <v>38</v>
      </c>
      <c r="K8" s="4" t="s">
        <v>32</v>
      </c>
      <c r="L8" s="4" t="s">
        <v>39</v>
      </c>
      <c r="M8" s="4" t="s">
        <v>40</v>
      </c>
      <c r="N8" s="14">
        <v>45108</v>
      </c>
      <c r="O8" s="4">
        <v>19</v>
      </c>
      <c r="P8" s="15">
        <v>8307933</v>
      </c>
      <c r="Q8" s="4" t="s">
        <v>44</v>
      </c>
      <c r="R8" s="4" t="s">
        <v>53</v>
      </c>
      <c r="S8" s="4">
        <v>0</v>
      </c>
      <c r="T8" s="16">
        <v>21</v>
      </c>
      <c r="U8" s="4">
        <v>100</v>
      </c>
      <c r="V8" s="4">
        <v>0</v>
      </c>
      <c r="W8" s="16">
        <v>0</v>
      </c>
      <c r="X8" s="16">
        <v>42</v>
      </c>
      <c r="Y8" s="16">
        <v>42</v>
      </c>
      <c r="Z8" s="16">
        <v>0</v>
      </c>
      <c r="AA8" s="16">
        <v>0</v>
      </c>
      <c r="AB8" s="16">
        <v>0</v>
      </c>
      <c r="AC8" s="4"/>
    </row>
    <row r="9" spans="1:29" ht="15.75" customHeight="1" x14ac:dyDescent="0.25">
      <c r="A9" s="12" t="s">
        <v>29</v>
      </c>
      <c r="B9" s="4" t="s">
        <v>30</v>
      </c>
      <c r="C9" s="13">
        <v>45329</v>
      </c>
      <c r="D9" s="4" t="s">
        <v>32</v>
      </c>
      <c r="E9" s="4" t="s">
        <v>33</v>
      </c>
      <c r="F9" s="4" t="s">
        <v>34</v>
      </c>
      <c r="G9" s="4" t="s">
        <v>35</v>
      </c>
      <c r="H9" s="4">
        <v>770213018</v>
      </c>
      <c r="I9" s="4" t="s">
        <v>52</v>
      </c>
      <c r="J9" s="12" t="s">
        <v>38</v>
      </c>
      <c r="K9" s="4" t="s">
        <v>32</v>
      </c>
      <c r="L9" s="4" t="s">
        <v>39</v>
      </c>
      <c r="M9" s="4" t="s">
        <v>40</v>
      </c>
      <c r="N9" s="14">
        <v>45139</v>
      </c>
      <c r="O9" s="4">
        <v>20</v>
      </c>
      <c r="P9" s="15">
        <v>8307933</v>
      </c>
      <c r="Q9" s="4" t="s">
        <v>44</v>
      </c>
      <c r="R9" s="4" t="s">
        <v>53</v>
      </c>
      <c r="S9" s="4">
        <v>0</v>
      </c>
      <c r="T9" s="16">
        <v>21</v>
      </c>
      <c r="U9" s="4">
        <v>100</v>
      </c>
      <c r="V9" s="4">
        <v>0</v>
      </c>
      <c r="W9" s="16">
        <v>0</v>
      </c>
      <c r="X9" s="16">
        <v>42</v>
      </c>
      <c r="Y9" s="16">
        <v>42</v>
      </c>
      <c r="Z9" s="16">
        <v>0</v>
      </c>
      <c r="AA9" s="16">
        <v>0</v>
      </c>
      <c r="AB9" s="16">
        <v>0</v>
      </c>
      <c r="AC9" s="4"/>
    </row>
    <row r="10" spans="1:29" ht="15.75" customHeight="1" x14ac:dyDescent="0.25">
      <c r="A10" s="12" t="s">
        <v>29</v>
      </c>
      <c r="B10" s="4" t="s">
        <v>30</v>
      </c>
      <c r="C10" s="13">
        <v>45329</v>
      </c>
      <c r="D10" s="4" t="s">
        <v>32</v>
      </c>
      <c r="E10" s="4" t="s">
        <v>33</v>
      </c>
      <c r="F10" s="4" t="s">
        <v>34</v>
      </c>
      <c r="G10" s="4" t="s">
        <v>35</v>
      </c>
      <c r="H10" s="4">
        <v>770213018</v>
      </c>
      <c r="I10" s="4" t="s">
        <v>52</v>
      </c>
      <c r="J10" s="12" t="s">
        <v>38</v>
      </c>
      <c r="K10" s="4" t="s">
        <v>32</v>
      </c>
      <c r="L10" s="4" t="s">
        <v>39</v>
      </c>
      <c r="M10" s="4" t="s">
        <v>40</v>
      </c>
      <c r="N10" s="14">
        <v>45170</v>
      </c>
      <c r="O10" s="4">
        <v>21</v>
      </c>
      <c r="P10" s="15">
        <v>8307933</v>
      </c>
      <c r="Q10" s="4" t="s">
        <v>44</v>
      </c>
      <c r="R10" s="4" t="s">
        <v>53</v>
      </c>
      <c r="S10" s="4">
        <v>0</v>
      </c>
      <c r="T10" s="16">
        <v>21</v>
      </c>
      <c r="U10" s="4">
        <v>100</v>
      </c>
      <c r="V10" s="4">
        <v>0</v>
      </c>
      <c r="W10" s="16">
        <v>0</v>
      </c>
      <c r="X10" s="16">
        <v>42</v>
      </c>
      <c r="Y10" s="16">
        <v>42</v>
      </c>
      <c r="Z10" s="16">
        <v>0</v>
      </c>
      <c r="AA10" s="16">
        <v>0</v>
      </c>
      <c r="AB10" s="16">
        <v>0</v>
      </c>
      <c r="AC10" s="4"/>
    </row>
    <row r="11" spans="1:29" ht="15.75" customHeight="1" x14ac:dyDescent="0.25">
      <c r="A11" s="12" t="s">
        <v>29</v>
      </c>
      <c r="B11" s="4" t="s">
        <v>30</v>
      </c>
      <c r="C11" s="13">
        <v>45329</v>
      </c>
      <c r="D11" s="4" t="s">
        <v>32</v>
      </c>
      <c r="E11" s="4" t="s">
        <v>33</v>
      </c>
      <c r="F11" s="4" t="s">
        <v>34</v>
      </c>
      <c r="G11" s="4" t="s">
        <v>35</v>
      </c>
      <c r="H11" s="4">
        <v>770213018</v>
      </c>
      <c r="I11" s="4" t="s">
        <v>52</v>
      </c>
      <c r="J11" s="12" t="s">
        <v>38</v>
      </c>
      <c r="K11" s="4" t="s">
        <v>32</v>
      </c>
      <c r="L11" s="4" t="s">
        <v>39</v>
      </c>
      <c r="M11" s="4" t="s">
        <v>40</v>
      </c>
      <c r="N11" s="14">
        <v>45200</v>
      </c>
      <c r="O11" s="4">
        <v>22</v>
      </c>
      <c r="P11" s="15">
        <v>8307933</v>
      </c>
      <c r="Q11" s="4" t="s">
        <v>44</v>
      </c>
      <c r="R11" s="4" t="s">
        <v>53</v>
      </c>
      <c r="S11" s="4">
        <v>0</v>
      </c>
      <c r="T11" s="16">
        <v>21</v>
      </c>
      <c r="U11" s="4">
        <v>100</v>
      </c>
      <c r="V11" s="4">
        <v>0</v>
      </c>
      <c r="W11" s="16">
        <v>0</v>
      </c>
      <c r="X11" s="16">
        <v>42</v>
      </c>
      <c r="Y11" s="16">
        <v>42</v>
      </c>
      <c r="Z11" s="16">
        <v>0</v>
      </c>
      <c r="AA11" s="16">
        <v>0</v>
      </c>
      <c r="AB11" s="16">
        <v>0</v>
      </c>
      <c r="AC11" s="4"/>
    </row>
    <row r="12" spans="1:29" ht="15.75" customHeight="1" x14ac:dyDescent="0.25">
      <c r="A12" s="12" t="s">
        <v>29</v>
      </c>
      <c r="B12" s="4" t="s">
        <v>30</v>
      </c>
      <c r="C12" s="13">
        <v>45329</v>
      </c>
      <c r="D12" s="4" t="s">
        <v>32</v>
      </c>
      <c r="E12" s="4" t="s">
        <v>33</v>
      </c>
      <c r="F12" s="4" t="s">
        <v>34</v>
      </c>
      <c r="G12" s="4" t="s">
        <v>35</v>
      </c>
      <c r="H12" s="4">
        <v>770213018</v>
      </c>
      <c r="I12" s="4" t="s">
        <v>52</v>
      </c>
      <c r="J12" s="12" t="s">
        <v>38</v>
      </c>
      <c r="K12" s="4" t="s">
        <v>32</v>
      </c>
      <c r="L12" s="4" t="s">
        <v>39</v>
      </c>
      <c r="M12" s="4" t="s">
        <v>40</v>
      </c>
      <c r="N12" s="14">
        <v>45231</v>
      </c>
      <c r="O12" s="4">
        <v>23</v>
      </c>
      <c r="P12" s="15">
        <v>8307933</v>
      </c>
      <c r="Q12" s="4" t="s">
        <v>44</v>
      </c>
      <c r="R12" s="4" t="s">
        <v>53</v>
      </c>
      <c r="S12" s="4">
        <v>0</v>
      </c>
      <c r="T12" s="16">
        <v>21</v>
      </c>
      <c r="U12" s="4">
        <v>100</v>
      </c>
      <c r="V12" s="4">
        <v>0</v>
      </c>
      <c r="W12" s="16">
        <v>0</v>
      </c>
      <c r="X12" s="16">
        <v>42</v>
      </c>
      <c r="Y12" s="16">
        <v>42</v>
      </c>
      <c r="Z12" s="16">
        <v>0</v>
      </c>
      <c r="AA12" s="16">
        <v>0</v>
      </c>
      <c r="AB12" s="16">
        <v>0</v>
      </c>
      <c r="AC12" s="4"/>
    </row>
    <row r="13" spans="1:29" ht="15.75" customHeight="1" x14ac:dyDescent="0.25">
      <c r="A13" s="12" t="s">
        <v>29</v>
      </c>
      <c r="B13" s="4" t="s">
        <v>30</v>
      </c>
      <c r="C13" s="13">
        <v>45329</v>
      </c>
      <c r="D13" s="4" t="s">
        <v>32</v>
      </c>
      <c r="E13" s="4" t="s">
        <v>33</v>
      </c>
      <c r="F13" s="4" t="s">
        <v>34</v>
      </c>
      <c r="G13" s="4" t="s">
        <v>35</v>
      </c>
      <c r="H13" s="4">
        <v>770213018</v>
      </c>
      <c r="I13" s="4" t="s">
        <v>52</v>
      </c>
      <c r="J13" s="12" t="s">
        <v>38</v>
      </c>
      <c r="K13" s="4" t="s">
        <v>32</v>
      </c>
      <c r="L13" s="4" t="s">
        <v>39</v>
      </c>
      <c r="M13" s="4" t="s">
        <v>40</v>
      </c>
      <c r="N13" s="14">
        <v>45261</v>
      </c>
      <c r="O13" s="4">
        <v>24</v>
      </c>
      <c r="P13" s="15">
        <v>8307933</v>
      </c>
      <c r="Q13" s="4" t="s">
        <v>44</v>
      </c>
      <c r="R13" s="4" t="s">
        <v>53</v>
      </c>
      <c r="S13" s="4">
        <v>0</v>
      </c>
      <c r="T13" s="16">
        <v>21</v>
      </c>
      <c r="U13" s="4">
        <v>100</v>
      </c>
      <c r="V13" s="4">
        <v>0</v>
      </c>
      <c r="W13" s="16">
        <v>0</v>
      </c>
      <c r="X13" s="16">
        <v>42</v>
      </c>
      <c r="Y13" s="16">
        <v>42</v>
      </c>
      <c r="Z13" s="16">
        <v>0</v>
      </c>
      <c r="AA13" s="16">
        <v>0</v>
      </c>
      <c r="AB13" s="16">
        <v>0</v>
      </c>
      <c r="AC13" s="4"/>
    </row>
    <row r="14" spans="1:29" ht="15.75" customHeight="1" x14ac:dyDescent="0.25">
      <c r="A14" s="12" t="s">
        <v>29</v>
      </c>
      <c r="B14" s="4" t="s">
        <v>30</v>
      </c>
      <c r="C14" s="13">
        <v>45329</v>
      </c>
      <c r="D14" s="4" t="s">
        <v>32</v>
      </c>
      <c r="E14" s="4" t="s">
        <v>33</v>
      </c>
      <c r="F14" s="4" t="s">
        <v>34</v>
      </c>
      <c r="G14" s="4" t="s">
        <v>35</v>
      </c>
      <c r="H14" s="4">
        <v>770253614</v>
      </c>
      <c r="I14" s="4" t="s">
        <v>37</v>
      </c>
      <c r="J14" s="12" t="s">
        <v>38</v>
      </c>
      <c r="K14" s="4" t="s">
        <v>32</v>
      </c>
      <c r="L14" s="4" t="s">
        <v>39</v>
      </c>
      <c r="M14" s="4" t="s">
        <v>40</v>
      </c>
      <c r="N14" s="14">
        <v>45323</v>
      </c>
      <c r="O14" s="4">
        <v>26</v>
      </c>
      <c r="P14" s="15">
        <v>8307933</v>
      </c>
      <c r="Q14" s="4" t="s">
        <v>44</v>
      </c>
      <c r="R14" s="4" t="s">
        <v>54</v>
      </c>
      <c r="S14" s="4">
        <v>0</v>
      </c>
      <c r="T14" s="16">
        <v>20</v>
      </c>
      <c r="U14" s="4">
        <v>100</v>
      </c>
      <c r="V14" s="4">
        <v>1</v>
      </c>
      <c r="W14" s="16">
        <v>17.45</v>
      </c>
      <c r="X14" s="16">
        <v>20</v>
      </c>
      <c r="Y14" s="16">
        <v>20</v>
      </c>
      <c r="Z14" s="16">
        <v>0</v>
      </c>
      <c r="AA14" s="16">
        <v>0</v>
      </c>
      <c r="AB14" s="16">
        <v>0</v>
      </c>
      <c r="AC14" s="4"/>
    </row>
    <row r="15" spans="1:29" ht="15.75" customHeight="1" x14ac:dyDescent="0.25">
      <c r="X15" s="17">
        <f>SUM(X2:X14)</f>
        <v>524</v>
      </c>
    </row>
    <row r="16" spans="1:2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AC1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12.140625" customWidth="1"/>
    <col min="2" max="2" width="19.42578125" customWidth="1"/>
    <col min="3" max="3" width="10.5703125" customWidth="1"/>
    <col min="4" max="4" width="12.28515625" customWidth="1"/>
    <col min="5" max="5" width="14" customWidth="1"/>
    <col min="6" max="6" width="13" customWidth="1"/>
    <col min="7" max="7" width="10.7109375" customWidth="1"/>
    <col min="8" max="8" width="9.85546875" customWidth="1"/>
    <col min="9" max="9" width="16.28515625" customWidth="1"/>
    <col min="10" max="10" width="14" customWidth="1"/>
    <col min="11" max="11" width="18.42578125" customWidth="1"/>
    <col min="12" max="12" width="14.42578125" customWidth="1"/>
    <col min="13" max="13" width="19.5703125" customWidth="1"/>
    <col min="14" max="14" width="11" customWidth="1"/>
    <col min="15" max="15" width="14.28515625" customWidth="1"/>
    <col min="16" max="16" width="16.140625" customWidth="1"/>
    <col min="17" max="17" width="21.42578125" customWidth="1"/>
    <col min="18" max="18" width="26.42578125" customWidth="1"/>
    <col min="19" max="19" width="12" customWidth="1"/>
    <col min="20" max="20" width="9.5703125" customWidth="1"/>
    <col min="21" max="21" width="8.28515625" customWidth="1"/>
    <col min="22" max="22" width="16.85546875" customWidth="1"/>
    <col min="23" max="23" width="15" customWidth="1"/>
    <col min="24" max="24" width="12.5703125" customWidth="1"/>
    <col min="25" max="25" width="17.28515625" customWidth="1"/>
    <col min="26" max="26" width="16.28515625" customWidth="1"/>
    <col min="27" max="27" width="18.28515625" customWidth="1"/>
    <col min="28" max="28" width="14" customWidth="1"/>
    <col min="29" max="29" width="12.85546875" customWidth="1"/>
  </cols>
  <sheetData>
    <row r="1" spans="1:29" ht="15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ht="15.75" customHeight="1" x14ac:dyDescent="0.25">
      <c r="A2" s="4">
        <v>204114540001</v>
      </c>
      <c r="B2" s="4" t="s">
        <v>30</v>
      </c>
      <c r="C2" s="14">
        <v>45311</v>
      </c>
      <c r="D2" s="4" t="s">
        <v>32</v>
      </c>
      <c r="E2" s="4" t="s">
        <v>33</v>
      </c>
      <c r="F2" s="4" t="s">
        <v>34</v>
      </c>
      <c r="G2" s="4" t="s">
        <v>35</v>
      </c>
      <c r="H2" s="4">
        <v>770213018</v>
      </c>
      <c r="I2" s="4" t="s">
        <v>52</v>
      </c>
      <c r="J2" s="4">
        <v>830793300000</v>
      </c>
      <c r="K2" s="4" t="s">
        <v>32</v>
      </c>
      <c r="L2" s="4" t="s">
        <v>39</v>
      </c>
      <c r="M2" s="4" t="s">
        <v>40</v>
      </c>
      <c r="N2" s="14">
        <v>44927</v>
      </c>
      <c r="O2" s="4">
        <v>13</v>
      </c>
      <c r="P2" s="4">
        <v>8307933</v>
      </c>
      <c r="Q2" s="4" t="s">
        <v>44</v>
      </c>
      <c r="R2" s="4" t="s">
        <v>53</v>
      </c>
      <c r="S2" s="5">
        <v>0</v>
      </c>
      <c r="T2" s="18">
        <v>21</v>
      </c>
      <c r="U2" s="5">
        <v>100</v>
      </c>
      <c r="V2" s="5">
        <v>0</v>
      </c>
      <c r="W2" s="18">
        <v>0</v>
      </c>
      <c r="X2" s="18">
        <v>-42</v>
      </c>
      <c r="Y2" s="18">
        <v>-42</v>
      </c>
      <c r="Z2" s="18">
        <v>0</v>
      </c>
      <c r="AA2" s="18">
        <v>0</v>
      </c>
      <c r="AB2" s="18">
        <v>0</v>
      </c>
      <c r="AC2" s="4"/>
    </row>
    <row r="3" spans="1:29" ht="15.75" customHeight="1" x14ac:dyDescent="0.25">
      <c r="A3" s="4">
        <v>204114540001</v>
      </c>
      <c r="B3" s="4" t="s">
        <v>30</v>
      </c>
      <c r="C3" s="14">
        <v>45311</v>
      </c>
      <c r="D3" s="4" t="s">
        <v>32</v>
      </c>
      <c r="E3" s="4" t="s">
        <v>33</v>
      </c>
      <c r="F3" s="4" t="s">
        <v>34</v>
      </c>
      <c r="G3" s="4" t="s">
        <v>35</v>
      </c>
      <c r="H3" s="4">
        <v>770213018</v>
      </c>
      <c r="I3" s="4" t="s">
        <v>52</v>
      </c>
      <c r="J3" s="4">
        <v>830793300000</v>
      </c>
      <c r="K3" s="4" t="s">
        <v>32</v>
      </c>
      <c r="L3" s="4" t="s">
        <v>39</v>
      </c>
      <c r="M3" s="4" t="s">
        <v>40</v>
      </c>
      <c r="N3" s="14">
        <v>44958</v>
      </c>
      <c r="O3" s="4">
        <v>14</v>
      </c>
      <c r="P3" s="4">
        <v>8307933</v>
      </c>
      <c r="Q3" s="4" t="s">
        <v>44</v>
      </c>
      <c r="R3" s="4" t="s">
        <v>53</v>
      </c>
      <c r="S3" s="5">
        <v>0</v>
      </c>
      <c r="T3" s="18">
        <v>21</v>
      </c>
      <c r="U3" s="5">
        <v>100</v>
      </c>
      <c r="V3" s="5">
        <v>0</v>
      </c>
      <c r="W3" s="18">
        <v>0</v>
      </c>
      <c r="X3" s="18">
        <v>-42</v>
      </c>
      <c r="Y3" s="18">
        <v>-42</v>
      </c>
      <c r="Z3" s="18">
        <v>0</v>
      </c>
      <c r="AA3" s="18">
        <v>0</v>
      </c>
      <c r="AB3" s="18">
        <v>0</v>
      </c>
      <c r="AC3" s="4"/>
    </row>
    <row r="4" spans="1:29" ht="15.75" customHeight="1" x14ac:dyDescent="0.25">
      <c r="A4" s="4">
        <v>204114540001</v>
      </c>
      <c r="B4" s="4" t="s">
        <v>30</v>
      </c>
      <c r="C4" s="14">
        <v>45311</v>
      </c>
      <c r="D4" s="4" t="s">
        <v>32</v>
      </c>
      <c r="E4" s="4" t="s">
        <v>33</v>
      </c>
      <c r="F4" s="4" t="s">
        <v>34</v>
      </c>
      <c r="G4" s="4" t="s">
        <v>35</v>
      </c>
      <c r="H4" s="4">
        <v>770213018</v>
      </c>
      <c r="I4" s="4" t="s">
        <v>52</v>
      </c>
      <c r="J4" s="4">
        <v>830793300000</v>
      </c>
      <c r="K4" s="4" t="s">
        <v>32</v>
      </c>
      <c r="L4" s="4" t="s">
        <v>39</v>
      </c>
      <c r="M4" s="4" t="s">
        <v>40</v>
      </c>
      <c r="N4" s="14">
        <v>44986</v>
      </c>
      <c r="O4" s="4">
        <v>15</v>
      </c>
      <c r="P4" s="4">
        <v>8307933</v>
      </c>
      <c r="Q4" s="4" t="s">
        <v>44</v>
      </c>
      <c r="R4" s="4" t="s">
        <v>53</v>
      </c>
      <c r="S4" s="5">
        <v>0</v>
      </c>
      <c r="T4" s="18">
        <v>21</v>
      </c>
      <c r="U4" s="5">
        <v>100</v>
      </c>
      <c r="V4" s="5">
        <v>0</v>
      </c>
      <c r="W4" s="18">
        <v>0</v>
      </c>
      <c r="X4" s="18">
        <v>-42</v>
      </c>
      <c r="Y4" s="18">
        <v>-42</v>
      </c>
      <c r="Z4" s="18">
        <v>0</v>
      </c>
      <c r="AA4" s="18">
        <v>0</v>
      </c>
      <c r="AB4" s="18">
        <v>0</v>
      </c>
      <c r="AC4" s="4"/>
    </row>
    <row r="5" spans="1:29" ht="15.75" customHeight="1" x14ac:dyDescent="0.25">
      <c r="A5" s="4">
        <v>204114540001</v>
      </c>
      <c r="B5" s="4" t="s">
        <v>30</v>
      </c>
      <c r="C5" s="14">
        <v>45311</v>
      </c>
      <c r="D5" s="4" t="s">
        <v>32</v>
      </c>
      <c r="E5" s="4" t="s">
        <v>33</v>
      </c>
      <c r="F5" s="4" t="s">
        <v>34</v>
      </c>
      <c r="G5" s="4" t="s">
        <v>35</v>
      </c>
      <c r="H5" s="4">
        <v>770213018</v>
      </c>
      <c r="I5" s="4" t="s">
        <v>52</v>
      </c>
      <c r="J5" s="4">
        <v>830793300000</v>
      </c>
      <c r="K5" s="4" t="s">
        <v>32</v>
      </c>
      <c r="L5" s="4" t="s">
        <v>39</v>
      </c>
      <c r="M5" s="4" t="s">
        <v>40</v>
      </c>
      <c r="N5" s="14">
        <v>45017</v>
      </c>
      <c r="O5" s="4">
        <v>16</v>
      </c>
      <c r="P5" s="4">
        <v>8307933</v>
      </c>
      <c r="Q5" s="4" t="s">
        <v>44</v>
      </c>
      <c r="R5" s="4" t="s">
        <v>53</v>
      </c>
      <c r="S5" s="5">
        <v>0</v>
      </c>
      <c r="T5" s="18">
        <v>21</v>
      </c>
      <c r="U5" s="5">
        <v>100</v>
      </c>
      <c r="V5" s="5">
        <v>0</v>
      </c>
      <c r="W5" s="18">
        <v>0</v>
      </c>
      <c r="X5" s="18">
        <v>-42</v>
      </c>
      <c r="Y5" s="18">
        <v>-42</v>
      </c>
      <c r="Z5" s="18">
        <v>0</v>
      </c>
      <c r="AA5" s="18">
        <v>0</v>
      </c>
      <c r="AB5" s="18">
        <v>0</v>
      </c>
      <c r="AC5" s="4"/>
    </row>
    <row r="6" spans="1:29" ht="15.75" customHeight="1" x14ac:dyDescent="0.25">
      <c r="A6" s="4">
        <v>204114540001</v>
      </c>
      <c r="B6" s="4" t="s">
        <v>30</v>
      </c>
      <c r="C6" s="14">
        <v>45311</v>
      </c>
      <c r="D6" s="4" t="s">
        <v>32</v>
      </c>
      <c r="E6" s="4" t="s">
        <v>33</v>
      </c>
      <c r="F6" s="4" t="s">
        <v>34</v>
      </c>
      <c r="G6" s="4" t="s">
        <v>35</v>
      </c>
      <c r="H6" s="4">
        <v>770213018</v>
      </c>
      <c r="I6" s="4" t="s">
        <v>52</v>
      </c>
      <c r="J6" s="4">
        <v>830793300000</v>
      </c>
      <c r="K6" s="4" t="s">
        <v>32</v>
      </c>
      <c r="L6" s="4" t="s">
        <v>39</v>
      </c>
      <c r="M6" s="4" t="s">
        <v>40</v>
      </c>
      <c r="N6" s="14">
        <v>45047</v>
      </c>
      <c r="O6" s="4">
        <v>17</v>
      </c>
      <c r="P6" s="4">
        <v>8307933</v>
      </c>
      <c r="Q6" s="4" t="s">
        <v>44</v>
      </c>
      <c r="R6" s="4" t="s">
        <v>53</v>
      </c>
      <c r="S6" s="5">
        <v>0</v>
      </c>
      <c r="T6" s="18">
        <v>21</v>
      </c>
      <c r="U6" s="5">
        <v>100</v>
      </c>
      <c r="V6" s="5">
        <v>0</v>
      </c>
      <c r="W6" s="18">
        <v>0</v>
      </c>
      <c r="X6" s="18">
        <v>-42</v>
      </c>
      <c r="Y6" s="18">
        <v>-42</v>
      </c>
      <c r="Z6" s="18">
        <v>0</v>
      </c>
      <c r="AA6" s="18">
        <v>0</v>
      </c>
      <c r="AB6" s="18">
        <v>0</v>
      </c>
      <c r="AC6" s="4"/>
    </row>
    <row r="7" spans="1:29" ht="15.75" customHeight="1" x14ac:dyDescent="0.25">
      <c r="A7" s="4">
        <v>204114540001</v>
      </c>
      <c r="B7" s="4" t="s">
        <v>30</v>
      </c>
      <c r="C7" s="14">
        <v>45311</v>
      </c>
      <c r="D7" s="4" t="s">
        <v>32</v>
      </c>
      <c r="E7" s="4" t="s">
        <v>33</v>
      </c>
      <c r="F7" s="4" t="s">
        <v>34</v>
      </c>
      <c r="G7" s="4" t="s">
        <v>35</v>
      </c>
      <c r="H7" s="4">
        <v>770213018</v>
      </c>
      <c r="I7" s="4" t="s">
        <v>52</v>
      </c>
      <c r="J7" s="4">
        <v>830793300000</v>
      </c>
      <c r="K7" s="4" t="s">
        <v>32</v>
      </c>
      <c r="L7" s="4" t="s">
        <v>39</v>
      </c>
      <c r="M7" s="4" t="s">
        <v>40</v>
      </c>
      <c r="N7" s="14">
        <v>45078</v>
      </c>
      <c r="O7" s="4">
        <v>18</v>
      </c>
      <c r="P7" s="4">
        <v>8307933</v>
      </c>
      <c r="Q7" s="4" t="s">
        <v>44</v>
      </c>
      <c r="R7" s="4" t="s">
        <v>53</v>
      </c>
      <c r="S7" s="5">
        <v>0</v>
      </c>
      <c r="T7" s="18">
        <v>21</v>
      </c>
      <c r="U7" s="5">
        <v>100</v>
      </c>
      <c r="V7" s="5">
        <v>0</v>
      </c>
      <c r="W7" s="18">
        <v>0</v>
      </c>
      <c r="X7" s="18">
        <v>-42</v>
      </c>
      <c r="Y7" s="18">
        <v>-42</v>
      </c>
      <c r="Z7" s="18">
        <v>0</v>
      </c>
      <c r="AA7" s="18">
        <v>0</v>
      </c>
      <c r="AB7" s="18">
        <v>0</v>
      </c>
      <c r="AC7" s="4"/>
    </row>
    <row r="8" spans="1:29" ht="15.75" customHeight="1" x14ac:dyDescent="0.25">
      <c r="A8" s="4">
        <v>204114540001</v>
      </c>
      <c r="B8" s="4" t="s">
        <v>30</v>
      </c>
      <c r="C8" s="14">
        <v>45311</v>
      </c>
      <c r="D8" s="4" t="s">
        <v>32</v>
      </c>
      <c r="E8" s="4" t="s">
        <v>33</v>
      </c>
      <c r="F8" s="4" t="s">
        <v>34</v>
      </c>
      <c r="G8" s="4" t="s">
        <v>35</v>
      </c>
      <c r="H8" s="4">
        <v>770213018</v>
      </c>
      <c r="I8" s="4" t="s">
        <v>52</v>
      </c>
      <c r="J8" s="4">
        <v>830793300000</v>
      </c>
      <c r="K8" s="4" t="s">
        <v>32</v>
      </c>
      <c r="L8" s="4" t="s">
        <v>39</v>
      </c>
      <c r="M8" s="4" t="s">
        <v>40</v>
      </c>
      <c r="N8" s="14">
        <v>45108</v>
      </c>
      <c r="O8" s="4">
        <v>19</v>
      </c>
      <c r="P8" s="4">
        <v>8307933</v>
      </c>
      <c r="Q8" s="4" t="s">
        <v>44</v>
      </c>
      <c r="R8" s="4" t="s">
        <v>53</v>
      </c>
      <c r="S8" s="5">
        <v>0</v>
      </c>
      <c r="T8" s="18">
        <v>21</v>
      </c>
      <c r="U8" s="5">
        <v>100</v>
      </c>
      <c r="V8" s="5">
        <v>0</v>
      </c>
      <c r="W8" s="18">
        <v>0</v>
      </c>
      <c r="X8" s="18">
        <v>-42</v>
      </c>
      <c r="Y8" s="18">
        <v>-42</v>
      </c>
      <c r="Z8" s="18">
        <v>0</v>
      </c>
      <c r="AA8" s="18">
        <v>0</v>
      </c>
      <c r="AB8" s="18">
        <v>0</v>
      </c>
      <c r="AC8" s="4"/>
    </row>
    <row r="9" spans="1:29" ht="15.75" customHeight="1" x14ac:dyDescent="0.25">
      <c r="A9" s="4">
        <v>204114540001</v>
      </c>
      <c r="B9" s="4" t="s">
        <v>30</v>
      </c>
      <c r="C9" s="14">
        <v>45311</v>
      </c>
      <c r="D9" s="4" t="s">
        <v>32</v>
      </c>
      <c r="E9" s="4" t="s">
        <v>33</v>
      </c>
      <c r="F9" s="4" t="s">
        <v>34</v>
      </c>
      <c r="G9" s="4" t="s">
        <v>35</v>
      </c>
      <c r="H9" s="4">
        <v>770213018</v>
      </c>
      <c r="I9" s="4" t="s">
        <v>52</v>
      </c>
      <c r="J9" s="4">
        <v>830793300000</v>
      </c>
      <c r="K9" s="4" t="s">
        <v>32</v>
      </c>
      <c r="L9" s="4" t="s">
        <v>39</v>
      </c>
      <c r="M9" s="4" t="s">
        <v>40</v>
      </c>
      <c r="N9" s="14">
        <v>45139</v>
      </c>
      <c r="O9" s="4">
        <v>20</v>
      </c>
      <c r="P9" s="4">
        <v>8307933</v>
      </c>
      <c r="Q9" s="4" t="s">
        <v>44</v>
      </c>
      <c r="R9" s="4" t="s">
        <v>53</v>
      </c>
      <c r="S9" s="5">
        <v>0</v>
      </c>
      <c r="T9" s="18">
        <v>21</v>
      </c>
      <c r="U9" s="5">
        <v>100</v>
      </c>
      <c r="V9" s="5">
        <v>0</v>
      </c>
      <c r="W9" s="18">
        <v>0</v>
      </c>
      <c r="X9" s="18">
        <v>-42</v>
      </c>
      <c r="Y9" s="18">
        <v>-42</v>
      </c>
      <c r="Z9" s="18">
        <v>0</v>
      </c>
      <c r="AA9" s="18">
        <v>0</v>
      </c>
      <c r="AB9" s="18">
        <v>0</v>
      </c>
      <c r="AC9" s="4"/>
    </row>
    <row r="10" spans="1:29" ht="15.75" customHeight="1" x14ac:dyDescent="0.25">
      <c r="A10" s="4">
        <v>204114540001</v>
      </c>
      <c r="B10" s="4" t="s">
        <v>30</v>
      </c>
      <c r="C10" s="14">
        <v>45311</v>
      </c>
      <c r="D10" s="4" t="s">
        <v>32</v>
      </c>
      <c r="E10" s="4" t="s">
        <v>33</v>
      </c>
      <c r="F10" s="4" t="s">
        <v>34</v>
      </c>
      <c r="G10" s="4" t="s">
        <v>35</v>
      </c>
      <c r="H10" s="4">
        <v>770213018</v>
      </c>
      <c r="I10" s="4" t="s">
        <v>52</v>
      </c>
      <c r="J10" s="4">
        <v>830793300000</v>
      </c>
      <c r="K10" s="4" t="s">
        <v>32</v>
      </c>
      <c r="L10" s="4" t="s">
        <v>39</v>
      </c>
      <c r="M10" s="4" t="s">
        <v>40</v>
      </c>
      <c r="N10" s="14">
        <v>45170</v>
      </c>
      <c r="O10" s="4">
        <v>21</v>
      </c>
      <c r="P10" s="4">
        <v>8307933</v>
      </c>
      <c r="Q10" s="4" t="s">
        <v>44</v>
      </c>
      <c r="R10" s="4" t="s">
        <v>53</v>
      </c>
      <c r="S10" s="5">
        <v>0</v>
      </c>
      <c r="T10" s="18">
        <v>21</v>
      </c>
      <c r="U10" s="5">
        <v>100</v>
      </c>
      <c r="V10" s="5">
        <v>0</v>
      </c>
      <c r="W10" s="18">
        <v>0</v>
      </c>
      <c r="X10" s="18">
        <v>-42</v>
      </c>
      <c r="Y10" s="18">
        <v>-42</v>
      </c>
      <c r="Z10" s="18">
        <v>0</v>
      </c>
      <c r="AA10" s="18">
        <v>0</v>
      </c>
      <c r="AB10" s="18">
        <v>0</v>
      </c>
      <c r="AC10" s="4"/>
    </row>
    <row r="11" spans="1:29" ht="15.75" customHeight="1" x14ac:dyDescent="0.25">
      <c r="A11" s="4">
        <v>204114540001</v>
      </c>
      <c r="B11" s="4" t="s">
        <v>30</v>
      </c>
      <c r="C11" s="14">
        <v>45311</v>
      </c>
      <c r="D11" s="4" t="s">
        <v>32</v>
      </c>
      <c r="E11" s="4" t="s">
        <v>33</v>
      </c>
      <c r="F11" s="4" t="s">
        <v>34</v>
      </c>
      <c r="G11" s="4" t="s">
        <v>35</v>
      </c>
      <c r="H11" s="4">
        <v>770213018</v>
      </c>
      <c r="I11" s="4" t="s">
        <v>52</v>
      </c>
      <c r="J11" s="4">
        <v>830793300000</v>
      </c>
      <c r="K11" s="4" t="s">
        <v>32</v>
      </c>
      <c r="L11" s="4" t="s">
        <v>39</v>
      </c>
      <c r="M11" s="4" t="s">
        <v>40</v>
      </c>
      <c r="N11" s="14">
        <v>45200</v>
      </c>
      <c r="O11" s="4">
        <v>22</v>
      </c>
      <c r="P11" s="4">
        <v>8307933</v>
      </c>
      <c r="Q11" s="4" t="s">
        <v>44</v>
      </c>
      <c r="R11" s="4" t="s">
        <v>53</v>
      </c>
      <c r="S11" s="5">
        <v>0</v>
      </c>
      <c r="T11" s="18">
        <v>21</v>
      </c>
      <c r="U11" s="5">
        <v>100</v>
      </c>
      <c r="V11" s="5">
        <v>0</v>
      </c>
      <c r="W11" s="18">
        <v>0</v>
      </c>
      <c r="X11" s="18">
        <v>-42</v>
      </c>
      <c r="Y11" s="18">
        <v>-42</v>
      </c>
      <c r="Z11" s="18">
        <v>0</v>
      </c>
      <c r="AA11" s="18">
        <v>0</v>
      </c>
      <c r="AB11" s="18">
        <v>0</v>
      </c>
      <c r="AC11" s="4"/>
    </row>
    <row r="12" spans="1:29" ht="15.75" customHeight="1" x14ac:dyDescent="0.25">
      <c r="A12" s="4">
        <v>204114540001</v>
      </c>
      <c r="B12" s="4" t="s">
        <v>30</v>
      </c>
      <c r="C12" s="14">
        <v>45311</v>
      </c>
      <c r="D12" s="4" t="s">
        <v>32</v>
      </c>
      <c r="E12" s="4" t="s">
        <v>33</v>
      </c>
      <c r="F12" s="4" t="s">
        <v>34</v>
      </c>
      <c r="G12" s="4" t="s">
        <v>35</v>
      </c>
      <c r="H12" s="4">
        <v>770213018</v>
      </c>
      <c r="I12" s="4" t="s">
        <v>52</v>
      </c>
      <c r="J12" s="4">
        <v>830793300000</v>
      </c>
      <c r="K12" s="4" t="s">
        <v>32</v>
      </c>
      <c r="L12" s="4" t="s">
        <v>39</v>
      </c>
      <c r="M12" s="4" t="s">
        <v>40</v>
      </c>
      <c r="N12" s="14">
        <v>45231</v>
      </c>
      <c r="O12" s="4">
        <v>23</v>
      </c>
      <c r="P12" s="4">
        <v>8307933</v>
      </c>
      <c r="Q12" s="4" t="s">
        <v>44</v>
      </c>
      <c r="R12" s="4" t="s">
        <v>53</v>
      </c>
      <c r="S12" s="5">
        <v>0</v>
      </c>
      <c r="T12" s="18">
        <v>21</v>
      </c>
      <c r="U12" s="5">
        <v>100</v>
      </c>
      <c r="V12" s="5">
        <v>0</v>
      </c>
      <c r="W12" s="18">
        <v>0</v>
      </c>
      <c r="X12" s="18">
        <v>-42</v>
      </c>
      <c r="Y12" s="18">
        <v>-42</v>
      </c>
      <c r="Z12" s="18">
        <v>0</v>
      </c>
      <c r="AA12" s="18">
        <v>0</v>
      </c>
      <c r="AB12" s="18">
        <v>0</v>
      </c>
      <c r="AC12" s="4"/>
    </row>
    <row r="13" spans="1:29" ht="15.75" customHeight="1" x14ac:dyDescent="0.25">
      <c r="A13" s="4">
        <v>204114540001</v>
      </c>
      <c r="B13" s="4" t="s">
        <v>30</v>
      </c>
      <c r="C13" s="14">
        <v>45311</v>
      </c>
      <c r="D13" s="4" t="s">
        <v>32</v>
      </c>
      <c r="E13" s="4" t="s">
        <v>33</v>
      </c>
      <c r="F13" s="4" t="s">
        <v>34</v>
      </c>
      <c r="G13" s="4" t="s">
        <v>35</v>
      </c>
      <c r="H13" s="4">
        <v>770213018</v>
      </c>
      <c r="I13" s="4" t="s">
        <v>52</v>
      </c>
      <c r="J13" s="4">
        <v>830793300000</v>
      </c>
      <c r="K13" s="4" t="s">
        <v>32</v>
      </c>
      <c r="L13" s="4" t="s">
        <v>39</v>
      </c>
      <c r="M13" s="4" t="s">
        <v>40</v>
      </c>
      <c r="N13" s="14">
        <v>45261</v>
      </c>
      <c r="O13" s="4">
        <v>24</v>
      </c>
      <c r="P13" s="4">
        <v>8307933</v>
      </c>
      <c r="Q13" s="4" t="s">
        <v>44</v>
      </c>
      <c r="R13" s="4" t="s">
        <v>53</v>
      </c>
      <c r="S13" s="5">
        <v>0</v>
      </c>
      <c r="T13" s="18">
        <v>21</v>
      </c>
      <c r="U13" s="5">
        <v>100</v>
      </c>
      <c r="V13" s="5">
        <v>0</v>
      </c>
      <c r="W13" s="18">
        <v>0</v>
      </c>
      <c r="X13" s="18">
        <v>-42</v>
      </c>
      <c r="Y13" s="18">
        <v>-42</v>
      </c>
      <c r="Z13" s="18">
        <v>0</v>
      </c>
      <c r="AA13" s="18">
        <v>0</v>
      </c>
      <c r="AB13" s="18">
        <v>0</v>
      </c>
      <c r="AC13" s="4"/>
    </row>
    <row r="14" spans="1:29" ht="15.75" customHeight="1" x14ac:dyDescent="0.25">
      <c r="A14" s="4">
        <v>204114540001</v>
      </c>
      <c r="B14" s="4" t="s">
        <v>30</v>
      </c>
      <c r="C14" s="14">
        <v>45311</v>
      </c>
      <c r="D14" s="4" t="s">
        <v>32</v>
      </c>
      <c r="E14" s="4" t="s">
        <v>33</v>
      </c>
      <c r="F14" s="4" t="s">
        <v>34</v>
      </c>
      <c r="G14" s="4" t="s">
        <v>35</v>
      </c>
      <c r="H14" s="4">
        <v>770253614</v>
      </c>
      <c r="I14" s="4" t="s">
        <v>37</v>
      </c>
      <c r="J14" s="4">
        <v>830793300000</v>
      </c>
      <c r="K14" s="4" t="s">
        <v>32</v>
      </c>
      <c r="L14" s="4" t="s">
        <v>39</v>
      </c>
      <c r="M14" s="4" t="s">
        <v>40</v>
      </c>
      <c r="N14" s="14">
        <v>45292</v>
      </c>
      <c r="O14" s="4">
        <v>25</v>
      </c>
      <c r="P14" s="4">
        <v>8307933</v>
      </c>
      <c r="Q14" s="4" t="s">
        <v>44</v>
      </c>
      <c r="R14" s="4" t="s">
        <v>54</v>
      </c>
      <c r="S14" s="5">
        <v>0</v>
      </c>
      <c r="T14" s="18">
        <v>20</v>
      </c>
      <c r="U14" s="5">
        <v>100</v>
      </c>
      <c r="V14" s="5">
        <v>1</v>
      </c>
      <c r="W14" s="18">
        <v>17.45</v>
      </c>
      <c r="X14" s="18">
        <v>20</v>
      </c>
      <c r="Y14" s="18">
        <v>20</v>
      </c>
      <c r="Z14" s="18">
        <v>0</v>
      </c>
      <c r="AA14" s="18">
        <v>0</v>
      </c>
      <c r="AB14" s="18">
        <v>0</v>
      </c>
      <c r="AC14" s="4"/>
    </row>
    <row r="15" spans="1:29" ht="15.7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9">
        <f>SUM(X2:X14)</f>
        <v>-484</v>
      </c>
      <c r="Y15" s="4"/>
      <c r="Z15" s="4"/>
      <c r="AA15" s="4"/>
      <c r="AB15" s="4"/>
      <c r="AC15" s="4"/>
    </row>
    <row r="16" spans="1:29" ht="15.7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5.7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5.7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5.7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5.7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5.75" customHeight="1" x14ac:dyDescent="0.2"/>
    <row r="22" spans="1:29" ht="15.75" customHeight="1" x14ac:dyDescent="0.2"/>
    <row r="23" spans="1:29" ht="15.75" customHeight="1" x14ac:dyDescent="0.2"/>
    <row r="24" spans="1:29" ht="15.75" customHeight="1" x14ac:dyDescent="0.2"/>
    <row r="25" spans="1:29" ht="15.75" customHeight="1" x14ac:dyDescent="0.2"/>
    <row r="26" spans="1:29" ht="15.75" customHeight="1" x14ac:dyDescent="0.2"/>
    <row r="27" spans="1:29" ht="15.75" customHeight="1" x14ac:dyDescent="0.2"/>
    <row r="28" spans="1:29" ht="15.75" customHeight="1" x14ac:dyDescent="0.2"/>
    <row r="29" spans="1:29" ht="15.75" customHeight="1" x14ac:dyDescent="0.2"/>
    <row r="30" spans="1:29" ht="15.75" customHeight="1" x14ac:dyDescent="0.2"/>
    <row r="31" spans="1:29" ht="15.75" customHeight="1" x14ac:dyDescent="0.2"/>
    <row r="32" spans="1:2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AC1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6" width="12.5703125" customWidth="1"/>
  </cols>
  <sheetData>
    <row r="1" spans="1:29" ht="15.75" customHeight="1" x14ac:dyDescent="0.25">
      <c r="A1" s="8" t="s">
        <v>0</v>
      </c>
      <c r="B1" s="1" t="s">
        <v>1</v>
      </c>
      <c r="C1" s="9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9</v>
      </c>
      <c r="K1" s="1" t="s">
        <v>10</v>
      </c>
      <c r="L1" s="1" t="s">
        <v>11</v>
      </c>
      <c r="M1" s="1" t="s">
        <v>12</v>
      </c>
      <c r="N1" s="10" t="s">
        <v>13</v>
      </c>
      <c r="O1" s="1" t="s">
        <v>14</v>
      </c>
      <c r="P1" s="1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1" t="s">
        <v>28</v>
      </c>
    </row>
    <row r="2" spans="1:29" ht="15.75" customHeight="1" x14ac:dyDescent="0.25">
      <c r="A2" s="12" t="s">
        <v>29</v>
      </c>
      <c r="B2" s="4" t="s">
        <v>30</v>
      </c>
      <c r="C2" s="13">
        <v>45311</v>
      </c>
      <c r="D2" s="4" t="s">
        <v>32</v>
      </c>
      <c r="E2" s="4" t="s">
        <v>33</v>
      </c>
      <c r="F2" s="4" t="s">
        <v>34</v>
      </c>
      <c r="G2" s="4" t="s">
        <v>35</v>
      </c>
      <c r="H2" s="4">
        <v>770213018</v>
      </c>
      <c r="I2" s="4" t="s">
        <v>52</v>
      </c>
      <c r="J2" s="12" t="s">
        <v>38</v>
      </c>
      <c r="K2" s="4" t="s">
        <v>32</v>
      </c>
      <c r="L2" s="4" t="s">
        <v>39</v>
      </c>
      <c r="M2" s="4" t="s">
        <v>40</v>
      </c>
      <c r="N2" s="14">
        <v>44927</v>
      </c>
      <c r="O2" s="4">
        <v>13</v>
      </c>
      <c r="P2" s="15">
        <v>8307933</v>
      </c>
      <c r="Q2" s="4" t="s">
        <v>44</v>
      </c>
      <c r="R2" s="4" t="s">
        <v>53</v>
      </c>
      <c r="S2" s="4">
        <v>0</v>
      </c>
      <c r="T2" s="20">
        <v>21</v>
      </c>
      <c r="U2" s="4">
        <v>100</v>
      </c>
      <c r="V2" s="4">
        <v>0</v>
      </c>
      <c r="W2" s="20">
        <v>0</v>
      </c>
      <c r="X2" s="20">
        <v>-42</v>
      </c>
      <c r="Y2" s="20">
        <v>-42</v>
      </c>
      <c r="Z2" s="20">
        <v>0</v>
      </c>
      <c r="AA2" s="20">
        <v>0</v>
      </c>
      <c r="AB2" s="20">
        <v>0</v>
      </c>
      <c r="AC2" s="4"/>
    </row>
    <row r="3" spans="1:29" ht="15.75" customHeight="1" x14ac:dyDescent="0.25">
      <c r="A3" s="12" t="s">
        <v>29</v>
      </c>
      <c r="B3" s="4" t="s">
        <v>30</v>
      </c>
      <c r="C3" s="13">
        <v>45329</v>
      </c>
      <c r="D3" s="4" t="s">
        <v>32</v>
      </c>
      <c r="E3" s="4" t="s">
        <v>33</v>
      </c>
      <c r="F3" s="4" t="s">
        <v>34</v>
      </c>
      <c r="G3" s="4" t="s">
        <v>35</v>
      </c>
      <c r="H3" s="4">
        <v>770213018</v>
      </c>
      <c r="I3" s="4" t="s">
        <v>52</v>
      </c>
      <c r="J3" s="12" t="s">
        <v>38</v>
      </c>
      <c r="K3" s="4" t="s">
        <v>32</v>
      </c>
      <c r="L3" s="4" t="s">
        <v>39</v>
      </c>
      <c r="M3" s="4" t="s">
        <v>40</v>
      </c>
      <c r="N3" s="14">
        <v>44927</v>
      </c>
      <c r="O3" s="4">
        <v>13</v>
      </c>
      <c r="P3" s="15">
        <v>8307933</v>
      </c>
      <c r="Q3" s="4" t="s">
        <v>44</v>
      </c>
      <c r="R3" s="4" t="s">
        <v>53</v>
      </c>
      <c r="S3" s="4">
        <v>0</v>
      </c>
      <c r="T3" s="16">
        <v>21</v>
      </c>
      <c r="U3" s="4">
        <v>100</v>
      </c>
      <c r="V3" s="4">
        <v>0</v>
      </c>
      <c r="W3" s="16">
        <v>0</v>
      </c>
      <c r="X3" s="16">
        <v>42</v>
      </c>
      <c r="Y3" s="16">
        <v>42</v>
      </c>
      <c r="Z3" s="16">
        <v>0</v>
      </c>
      <c r="AA3" s="16">
        <v>0</v>
      </c>
      <c r="AB3" s="16">
        <v>0</v>
      </c>
      <c r="AC3" s="4"/>
    </row>
    <row r="4" spans="1:29" ht="15.75" customHeight="1" x14ac:dyDescent="0.25">
      <c r="A4" s="12" t="s">
        <v>29</v>
      </c>
      <c r="B4" s="4" t="s">
        <v>30</v>
      </c>
      <c r="C4" s="13">
        <v>45311</v>
      </c>
      <c r="D4" s="4" t="s">
        <v>32</v>
      </c>
      <c r="E4" s="4" t="s">
        <v>33</v>
      </c>
      <c r="F4" s="4" t="s">
        <v>34</v>
      </c>
      <c r="G4" s="4" t="s">
        <v>35</v>
      </c>
      <c r="H4" s="4">
        <v>770213018</v>
      </c>
      <c r="I4" s="4" t="s">
        <v>52</v>
      </c>
      <c r="J4" s="12" t="s">
        <v>38</v>
      </c>
      <c r="K4" s="4" t="s">
        <v>32</v>
      </c>
      <c r="L4" s="4" t="s">
        <v>39</v>
      </c>
      <c r="M4" s="4" t="s">
        <v>40</v>
      </c>
      <c r="N4" s="14">
        <v>44958</v>
      </c>
      <c r="O4" s="4">
        <v>14</v>
      </c>
      <c r="P4" s="15">
        <v>8307933</v>
      </c>
      <c r="Q4" s="4" t="s">
        <v>44</v>
      </c>
      <c r="R4" s="4" t="s">
        <v>53</v>
      </c>
      <c r="S4" s="4">
        <v>0</v>
      </c>
      <c r="T4" s="20">
        <v>21</v>
      </c>
      <c r="U4" s="4">
        <v>100</v>
      </c>
      <c r="V4" s="4">
        <v>0</v>
      </c>
      <c r="W4" s="20">
        <v>0</v>
      </c>
      <c r="X4" s="20">
        <v>-42</v>
      </c>
      <c r="Y4" s="20">
        <v>-42</v>
      </c>
      <c r="Z4" s="20">
        <v>0</v>
      </c>
      <c r="AA4" s="20">
        <v>0</v>
      </c>
      <c r="AB4" s="20">
        <v>0</v>
      </c>
      <c r="AC4" s="4"/>
    </row>
    <row r="5" spans="1:29" ht="15.75" customHeight="1" x14ac:dyDescent="0.25">
      <c r="A5" s="12" t="s">
        <v>29</v>
      </c>
      <c r="B5" s="4" t="s">
        <v>30</v>
      </c>
      <c r="C5" s="13">
        <v>45329</v>
      </c>
      <c r="D5" s="4" t="s">
        <v>32</v>
      </c>
      <c r="E5" s="4" t="s">
        <v>33</v>
      </c>
      <c r="F5" s="4" t="s">
        <v>34</v>
      </c>
      <c r="G5" s="4" t="s">
        <v>35</v>
      </c>
      <c r="H5" s="4">
        <v>770213018</v>
      </c>
      <c r="I5" s="4" t="s">
        <v>52</v>
      </c>
      <c r="J5" s="12" t="s">
        <v>38</v>
      </c>
      <c r="K5" s="4" t="s">
        <v>32</v>
      </c>
      <c r="L5" s="4" t="s">
        <v>39</v>
      </c>
      <c r="M5" s="4" t="s">
        <v>40</v>
      </c>
      <c r="N5" s="14">
        <v>44958</v>
      </c>
      <c r="O5" s="4">
        <v>14</v>
      </c>
      <c r="P5" s="15">
        <v>8307933</v>
      </c>
      <c r="Q5" s="4" t="s">
        <v>44</v>
      </c>
      <c r="R5" s="4" t="s">
        <v>53</v>
      </c>
      <c r="S5" s="4">
        <v>0</v>
      </c>
      <c r="T5" s="16">
        <v>21</v>
      </c>
      <c r="U5" s="4">
        <v>100</v>
      </c>
      <c r="V5" s="4">
        <v>0</v>
      </c>
      <c r="W5" s="16">
        <v>0</v>
      </c>
      <c r="X5" s="16">
        <v>42</v>
      </c>
      <c r="Y5" s="16">
        <v>42</v>
      </c>
      <c r="Z5" s="16">
        <v>0</v>
      </c>
      <c r="AA5" s="16">
        <v>0</v>
      </c>
      <c r="AB5" s="16">
        <v>0</v>
      </c>
      <c r="AC5" s="4"/>
    </row>
    <row r="6" spans="1:29" ht="15.75" customHeight="1" x14ac:dyDescent="0.25">
      <c r="A6" s="12" t="s">
        <v>29</v>
      </c>
      <c r="B6" s="4" t="s">
        <v>30</v>
      </c>
      <c r="C6" s="13">
        <v>45311</v>
      </c>
      <c r="D6" s="4" t="s">
        <v>32</v>
      </c>
      <c r="E6" s="4" t="s">
        <v>33</v>
      </c>
      <c r="F6" s="4" t="s">
        <v>34</v>
      </c>
      <c r="G6" s="4" t="s">
        <v>35</v>
      </c>
      <c r="H6" s="4">
        <v>770213018</v>
      </c>
      <c r="I6" s="4" t="s">
        <v>52</v>
      </c>
      <c r="J6" s="12" t="s">
        <v>38</v>
      </c>
      <c r="K6" s="4" t="s">
        <v>32</v>
      </c>
      <c r="L6" s="4" t="s">
        <v>39</v>
      </c>
      <c r="M6" s="4" t="s">
        <v>40</v>
      </c>
      <c r="N6" s="14">
        <v>44986</v>
      </c>
      <c r="O6" s="4">
        <v>15</v>
      </c>
      <c r="P6" s="15">
        <v>8307933</v>
      </c>
      <c r="Q6" s="4" t="s">
        <v>44</v>
      </c>
      <c r="R6" s="4" t="s">
        <v>53</v>
      </c>
      <c r="S6" s="4">
        <v>0</v>
      </c>
      <c r="T6" s="20">
        <v>21</v>
      </c>
      <c r="U6" s="4">
        <v>100</v>
      </c>
      <c r="V6" s="4">
        <v>0</v>
      </c>
      <c r="W6" s="20">
        <v>0</v>
      </c>
      <c r="X6" s="20">
        <v>-42</v>
      </c>
      <c r="Y6" s="20">
        <v>-42</v>
      </c>
      <c r="Z6" s="20">
        <v>0</v>
      </c>
      <c r="AA6" s="20">
        <v>0</v>
      </c>
      <c r="AB6" s="20">
        <v>0</v>
      </c>
      <c r="AC6" s="4"/>
    </row>
    <row r="7" spans="1:29" ht="15.75" customHeight="1" x14ac:dyDescent="0.25">
      <c r="A7" s="12" t="s">
        <v>29</v>
      </c>
      <c r="B7" s="4" t="s">
        <v>30</v>
      </c>
      <c r="C7" s="13">
        <v>45329</v>
      </c>
      <c r="D7" s="4" t="s">
        <v>32</v>
      </c>
      <c r="E7" s="4" t="s">
        <v>33</v>
      </c>
      <c r="F7" s="4" t="s">
        <v>34</v>
      </c>
      <c r="G7" s="4" t="s">
        <v>35</v>
      </c>
      <c r="H7" s="4">
        <v>770213018</v>
      </c>
      <c r="I7" s="4" t="s">
        <v>52</v>
      </c>
      <c r="J7" s="12" t="s">
        <v>38</v>
      </c>
      <c r="K7" s="4" t="s">
        <v>32</v>
      </c>
      <c r="L7" s="4" t="s">
        <v>39</v>
      </c>
      <c r="M7" s="4" t="s">
        <v>40</v>
      </c>
      <c r="N7" s="14">
        <v>44986</v>
      </c>
      <c r="O7" s="4">
        <v>15</v>
      </c>
      <c r="P7" s="15">
        <v>8307933</v>
      </c>
      <c r="Q7" s="4" t="s">
        <v>44</v>
      </c>
      <c r="R7" s="4" t="s">
        <v>53</v>
      </c>
      <c r="S7" s="4">
        <v>0</v>
      </c>
      <c r="T7" s="16">
        <v>21</v>
      </c>
      <c r="U7" s="4">
        <v>100</v>
      </c>
      <c r="V7" s="4">
        <v>0</v>
      </c>
      <c r="W7" s="16">
        <v>0</v>
      </c>
      <c r="X7" s="16">
        <v>42</v>
      </c>
      <c r="Y7" s="16">
        <v>42</v>
      </c>
      <c r="Z7" s="16">
        <v>0</v>
      </c>
      <c r="AA7" s="16">
        <v>0</v>
      </c>
      <c r="AB7" s="16">
        <v>0</v>
      </c>
      <c r="AC7" s="4"/>
    </row>
    <row r="8" spans="1:29" ht="15.75" customHeight="1" x14ac:dyDescent="0.25">
      <c r="A8" s="12" t="s">
        <v>29</v>
      </c>
      <c r="B8" s="4" t="s">
        <v>30</v>
      </c>
      <c r="C8" s="13">
        <v>45311</v>
      </c>
      <c r="D8" s="4" t="s">
        <v>32</v>
      </c>
      <c r="E8" s="4" t="s">
        <v>33</v>
      </c>
      <c r="F8" s="4" t="s">
        <v>34</v>
      </c>
      <c r="G8" s="4" t="s">
        <v>35</v>
      </c>
      <c r="H8" s="4">
        <v>770213018</v>
      </c>
      <c r="I8" s="4" t="s">
        <v>52</v>
      </c>
      <c r="J8" s="12" t="s">
        <v>38</v>
      </c>
      <c r="K8" s="4" t="s">
        <v>32</v>
      </c>
      <c r="L8" s="4" t="s">
        <v>39</v>
      </c>
      <c r="M8" s="4" t="s">
        <v>40</v>
      </c>
      <c r="N8" s="14">
        <v>45017</v>
      </c>
      <c r="O8" s="4">
        <v>16</v>
      </c>
      <c r="P8" s="15">
        <v>8307933</v>
      </c>
      <c r="Q8" s="4" t="s">
        <v>44</v>
      </c>
      <c r="R8" s="4" t="s">
        <v>53</v>
      </c>
      <c r="S8" s="4">
        <v>0</v>
      </c>
      <c r="T8" s="20">
        <v>21</v>
      </c>
      <c r="U8" s="4">
        <v>100</v>
      </c>
      <c r="V8" s="4">
        <v>0</v>
      </c>
      <c r="W8" s="20">
        <v>0</v>
      </c>
      <c r="X8" s="20">
        <v>-42</v>
      </c>
      <c r="Y8" s="20">
        <v>-42</v>
      </c>
      <c r="Z8" s="20">
        <v>0</v>
      </c>
      <c r="AA8" s="20">
        <v>0</v>
      </c>
      <c r="AB8" s="20">
        <v>0</v>
      </c>
      <c r="AC8" s="4"/>
    </row>
    <row r="9" spans="1:29" ht="15.75" customHeight="1" x14ac:dyDescent="0.25">
      <c r="A9" s="12" t="s">
        <v>29</v>
      </c>
      <c r="B9" s="4" t="s">
        <v>30</v>
      </c>
      <c r="C9" s="13">
        <v>45329</v>
      </c>
      <c r="D9" s="4" t="s">
        <v>32</v>
      </c>
      <c r="E9" s="4" t="s">
        <v>33</v>
      </c>
      <c r="F9" s="4" t="s">
        <v>34</v>
      </c>
      <c r="G9" s="4" t="s">
        <v>35</v>
      </c>
      <c r="H9" s="4">
        <v>770213018</v>
      </c>
      <c r="I9" s="4" t="s">
        <v>52</v>
      </c>
      <c r="J9" s="12" t="s">
        <v>38</v>
      </c>
      <c r="K9" s="4" t="s">
        <v>32</v>
      </c>
      <c r="L9" s="4" t="s">
        <v>39</v>
      </c>
      <c r="M9" s="4" t="s">
        <v>40</v>
      </c>
      <c r="N9" s="14">
        <v>45017</v>
      </c>
      <c r="O9" s="4">
        <v>16</v>
      </c>
      <c r="P9" s="15">
        <v>8307933</v>
      </c>
      <c r="Q9" s="4" t="s">
        <v>44</v>
      </c>
      <c r="R9" s="4" t="s">
        <v>53</v>
      </c>
      <c r="S9" s="4">
        <v>0</v>
      </c>
      <c r="T9" s="16">
        <v>21</v>
      </c>
      <c r="U9" s="4">
        <v>100</v>
      </c>
      <c r="V9" s="4">
        <v>0</v>
      </c>
      <c r="W9" s="16">
        <v>0</v>
      </c>
      <c r="X9" s="16">
        <v>42</v>
      </c>
      <c r="Y9" s="16">
        <v>42</v>
      </c>
      <c r="Z9" s="16">
        <v>0</v>
      </c>
      <c r="AA9" s="16">
        <v>0</v>
      </c>
      <c r="AB9" s="16">
        <v>0</v>
      </c>
      <c r="AC9" s="4"/>
    </row>
    <row r="10" spans="1:29" ht="15.75" customHeight="1" x14ac:dyDescent="0.25">
      <c r="A10" s="12" t="s">
        <v>29</v>
      </c>
      <c r="B10" s="4" t="s">
        <v>30</v>
      </c>
      <c r="C10" s="13">
        <v>45311</v>
      </c>
      <c r="D10" s="4" t="s">
        <v>32</v>
      </c>
      <c r="E10" s="4" t="s">
        <v>33</v>
      </c>
      <c r="F10" s="4" t="s">
        <v>34</v>
      </c>
      <c r="G10" s="4" t="s">
        <v>35</v>
      </c>
      <c r="H10" s="4">
        <v>770213018</v>
      </c>
      <c r="I10" s="4" t="s">
        <v>52</v>
      </c>
      <c r="J10" s="12" t="s">
        <v>38</v>
      </c>
      <c r="K10" s="4" t="s">
        <v>32</v>
      </c>
      <c r="L10" s="4" t="s">
        <v>39</v>
      </c>
      <c r="M10" s="4" t="s">
        <v>40</v>
      </c>
      <c r="N10" s="14">
        <v>45047</v>
      </c>
      <c r="O10" s="4">
        <v>17</v>
      </c>
      <c r="P10" s="15">
        <v>8307933</v>
      </c>
      <c r="Q10" s="4" t="s">
        <v>44</v>
      </c>
      <c r="R10" s="4" t="s">
        <v>53</v>
      </c>
      <c r="S10" s="4">
        <v>0</v>
      </c>
      <c r="T10" s="20">
        <v>21</v>
      </c>
      <c r="U10" s="4">
        <v>100</v>
      </c>
      <c r="V10" s="4">
        <v>0</v>
      </c>
      <c r="W10" s="20">
        <v>0</v>
      </c>
      <c r="X10" s="20">
        <v>-42</v>
      </c>
      <c r="Y10" s="20">
        <v>-42</v>
      </c>
      <c r="Z10" s="20">
        <v>0</v>
      </c>
      <c r="AA10" s="20">
        <v>0</v>
      </c>
      <c r="AB10" s="20">
        <v>0</v>
      </c>
      <c r="AC10" s="4"/>
    </row>
    <row r="11" spans="1:29" ht="15.75" customHeight="1" x14ac:dyDescent="0.25">
      <c r="A11" s="12" t="s">
        <v>29</v>
      </c>
      <c r="B11" s="4" t="s">
        <v>30</v>
      </c>
      <c r="C11" s="13">
        <v>45329</v>
      </c>
      <c r="D11" s="4" t="s">
        <v>32</v>
      </c>
      <c r="E11" s="4" t="s">
        <v>33</v>
      </c>
      <c r="F11" s="4" t="s">
        <v>34</v>
      </c>
      <c r="G11" s="4" t="s">
        <v>35</v>
      </c>
      <c r="H11" s="4">
        <v>770213018</v>
      </c>
      <c r="I11" s="4" t="s">
        <v>52</v>
      </c>
      <c r="J11" s="12" t="s">
        <v>38</v>
      </c>
      <c r="K11" s="4" t="s">
        <v>32</v>
      </c>
      <c r="L11" s="4" t="s">
        <v>39</v>
      </c>
      <c r="M11" s="4" t="s">
        <v>40</v>
      </c>
      <c r="N11" s="14">
        <v>45047</v>
      </c>
      <c r="O11" s="4">
        <v>17</v>
      </c>
      <c r="P11" s="15">
        <v>8307933</v>
      </c>
      <c r="Q11" s="4" t="s">
        <v>44</v>
      </c>
      <c r="R11" s="4" t="s">
        <v>53</v>
      </c>
      <c r="S11" s="4">
        <v>0</v>
      </c>
      <c r="T11" s="16">
        <v>21</v>
      </c>
      <c r="U11" s="4">
        <v>100</v>
      </c>
      <c r="V11" s="4">
        <v>0</v>
      </c>
      <c r="W11" s="16">
        <v>0</v>
      </c>
      <c r="X11" s="16">
        <v>42</v>
      </c>
      <c r="Y11" s="16">
        <v>42</v>
      </c>
      <c r="Z11" s="16">
        <v>0</v>
      </c>
      <c r="AA11" s="16">
        <v>0</v>
      </c>
      <c r="AB11" s="16">
        <v>0</v>
      </c>
      <c r="AC11" s="4"/>
    </row>
    <row r="12" spans="1:29" ht="15.75" customHeight="1" x14ac:dyDescent="0.25">
      <c r="A12" s="12" t="s">
        <v>29</v>
      </c>
      <c r="B12" s="4" t="s">
        <v>30</v>
      </c>
      <c r="C12" s="13">
        <v>45311</v>
      </c>
      <c r="D12" s="4" t="s">
        <v>32</v>
      </c>
      <c r="E12" s="4" t="s">
        <v>33</v>
      </c>
      <c r="F12" s="4" t="s">
        <v>34</v>
      </c>
      <c r="G12" s="4" t="s">
        <v>35</v>
      </c>
      <c r="H12" s="4">
        <v>770213018</v>
      </c>
      <c r="I12" s="4" t="s">
        <v>52</v>
      </c>
      <c r="J12" s="12" t="s">
        <v>38</v>
      </c>
      <c r="K12" s="4" t="s">
        <v>32</v>
      </c>
      <c r="L12" s="4" t="s">
        <v>39</v>
      </c>
      <c r="M12" s="4" t="s">
        <v>40</v>
      </c>
      <c r="N12" s="14">
        <v>45078</v>
      </c>
      <c r="O12" s="4">
        <v>18</v>
      </c>
      <c r="P12" s="15">
        <v>8307933</v>
      </c>
      <c r="Q12" s="4" t="s">
        <v>44</v>
      </c>
      <c r="R12" s="4" t="s">
        <v>53</v>
      </c>
      <c r="S12" s="4">
        <v>0</v>
      </c>
      <c r="T12" s="20">
        <v>21</v>
      </c>
      <c r="U12" s="4">
        <v>100</v>
      </c>
      <c r="V12" s="4">
        <v>0</v>
      </c>
      <c r="W12" s="20">
        <v>0</v>
      </c>
      <c r="X12" s="20">
        <v>-42</v>
      </c>
      <c r="Y12" s="20">
        <v>-42</v>
      </c>
      <c r="Z12" s="20">
        <v>0</v>
      </c>
      <c r="AA12" s="20">
        <v>0</v>
      </c>
      <c r="AB12" s="20">
        <v>0</v>
      </c>
      <c r="AC12" s="4"/>
    </row>
    <row r="13" spans="1:29" ht="15.75" customHeight="1" x14ac:dyDescent="0.25">
      <c r="A13" s="12" t="s">
        <v>29</v>
      </c>
      <c r="B13" s="4" t="s">
        <v>30</v>
      </c>
      <c r="C13" s="13">
        <v>45329</v>
      </c>
      <c r="D13" s="4" t="s">
        <v>32</v>
      </c>
      <c r="E13" s="4" t="s">
        <v>33</v>
      </c>
      <c r="F13" s="4" t="s">
        <v>34</v>
      </c>
      <c r="G13" s="4" t="s">
        <v>35</v>
      </c>
      <c r="H13" s="4">
        <v>770213018</v>
      </c>
      <c r="I13" s="4" t="s">
        <v>52</v>
      </c>
      <c r="J13" s="12" t="s">
        <v>38</v>
      </c>
      <c r="K13" s="4" t="s">
        <v>32</v>
      </c>
      <c r="L13" s="4" t="s">
        <v>39</v>
      </c>
      <c r="M13" s="4" t="s">
        <v>40</v>
      </c>
      <c r="N13" s="14">
        <v>45078</v>
      </c>
      <c r="O13" s="4">
        <v>18</v>
      </c>
      <c r="P13" s="15">
        <v>8307933</v>
      </c>
      <c r="Q13" s="4" t="s">
        <v>44</v>
      </c>
      <c r="R13" s="4" t="s">
        <v>53</v>
      </c>
      <c r="S13" s="4">
        <v>0</v>
      </c>
      <c r="T13" s="16">
        <v>21</v>
      </c>
      <c r="U13" s="4">
        <v>100</v>
      </c>
      <c r="V13" s="4">
        <v>0</v>
      </c>
      <c r="W13" s="16">
        <v>0</v>
      </c>
      <c r="X13" s="16">
        <v>42</v>
      </c>
      <c r="Y13" s="16">
        <v>42</v>
      </c>
      <c r="Z13" s="16">
        <v>0</v>
      </c>
      <c r="AA13" s="16">
        <v>0</v>
      </c>
      <c r="AB13" s="16">
        <v>0</v>
      </c>
      <c r="AC13" s="4"/>
    </row>
    <row r="14" spans="1:29" ht="15.75" customHeight="1" x14ac:dyDescent="0.25">
      <c r="A14" s="12" t="s">
        <v>29</v>
      </c>
      <c r="B14" s="4" t="s">
        <v>30</v>
      </c>
      <c r="C14" s="13">
        <v>45311</v>
      </c>
      <c r="D14" s="4" t="s">
        <v>32</v>
      </c>
      <c r="E14" s="4" t="s">
        <v>33</v>
      </c>
      <c r="F14" s="4" t="s">
        <v>34</v>
      </c>
      <c r="G14" s="4" t="s">
        <v>35</v>
      </c>
      <c r="H14" s="4">
        <v>770213018</v>
      </c>
      <c r="I14" s="4" t="s">
        <v>52</v>
      </c>
      <c r="J14" s="12" t="s">
        <v>38</v>
      </c>
      <c r="K14" s="4" t="s">
        <v>32</v>
      </c>
      <c r="L14" s="4" t="s">
        <v>39</v>
      </c>
      <c r="M14" s="4" t="s">
        <v>40</v>
      </c>
      <c r="N14" s="14">
        <v>45108</v>
      </c>
      <c r="O14" s="4">
        <v>19</v>
      </c>
      <c r="P14" s="15">
        <v>8307933</v>
      </c>
      <c r="Q14" s="4" t="s">
        <v>44</v>
      </c>
      <c r="R14" s="4" t="s">
        <v>53</v>
      </c>
      <c r="S14" s="4">
        <v>0</v>
      </c>
      <c r="T14" s="20">
        <v>21</v>
      </c>
      <c r="U14" s="4">
        <v>100</v>
      </c>
      <c r="V14" s="4">
        <v>0</v>
      </c>
      <c r="W14" s="20">
        <v>0</v>
      </c>
      <c r="X14" s="20">
        <v>-42</v>
      </c>
      <c r="Y14" s="20">
        <v>-42</v>
      </c>
      <c r="Z14" s="20">
        <v>0</v>
      </c>
      <c r="AA14" s="20">
        <v>0</v>
      </c>
      <c r="AB14" s="20">
        <v>0</v>
      </c>
      <c r="AC14" s="4"/>
    </row>
    <row r="15" spans="1:29" ht="15.75" customHeight="1" x14ac:dyDescent="0.25">
      <c r="A15" s="12" t="s">
        <v>29</v>
      </c>
      <c r="B15" s="4" t="s">
        <v>30</v>
      </c>
      <c r="C15" s="13">
        <v>45329</v>
      </c>
      <c r="D15" s="4" t="s">
        <v>32</v>
      </c>
      <c r="E15" s="4" t="s">
        <v>33</v>
      </c>
      <c r="F15" s="4" t="s">
        <v>34</v>
      </c>
      <c r="G15" s="4" t="s">
        <v>35</v>
      </c>
      <c r="H15" s="4">
        <v>770213018</v>
      </c>
      <c r="I15" s="4" t="s">
        <v>52</v>
      </c>
      <c r="J15" s="12" t="s">
        <v>38</v>
      </c>
      <c r="K15" s="4" t="s">
        <v>32</v>
      </c>
      <c r="L15" s="4" t="s">
        <v>39</v>
      </c>
      <c r="M15" s="4" t="s">
        <v>40</v>
      </c>
      <c r="N15" s="14">
        <v>45108</v>
      </c>
      <c r="O15" s="4">
        <v>19</v>
      </c>
      <c r="P15" s="15">
        <v>8307933</v>
      </c>
      <c r="Q15" s="4" t="s">
        <v>44</v>
      </c>
      <c r="R15" s="4" t="s">
        <v>53</v>
      </c>
      <c r="S15" s="4">
        <v>0</v>
      </c>
      <c r="T15" s="16">
        <v>21</v>
      </c>
      <c r="U15" s="4">
        <v>100</v>
      </c>
      <c r="V15" s="4">
        <v>0</v>
      </c>
      <c r="W15" s="16">
        <v>0</v>
      </c>
      <c r="X15" s="16">
        <v>42</v>
      </c>
      <c r="Y15" s="16">
        <v>42</v>
      </c>
      <c r="Z15" s="16">
        <v>0</v>
      </c>
      <c r="AA15" s="16">
        <v>0</v>
      </c>
      <c r="AB15" s="16">
        <v>0</v>
      </c>
      <c r="AC15" s="4"/>
    </row>
    <row r="16" spans="1:29" ht="15.75" customHeight="1" x14ac:dyDescent="0.25">
      <c r="A16" s="12" t="s">
        <v>29</v>
      </c>
      <c r="B16" s="4" t="s">
        <v>30</v>
      </c>
      <c r="C16" s="13">
        <v>45311</v>
      </c>
      <c r="D16" s="4" t="s">
        <v>32</v>
      </c>
      <c r="E16" s="4" t="s">
        <v>33</v>
      </c>
      <c r="F16" s="4" t="s">
        <v>34</v>
      </c>
      <c r="G16" s="4" t="s">
        <v>35</v>
      </c>
      <c r="H16" s="4">
        <v>770213018</v>
      </c>
      <c r="I16" s="4" t="s">
        <v>52</v>
      </c>
      <c r="J16" s="12" t="s">
        <v>38</v>
      </c>
      <c r="K16" s="4" t="s">
        <v>32</v>
      </c>
      <c r="L16" s="4" t="s">
        <v>39</v>
      </c>
      <c r="M16" s="4" t="s">
        <v>40</v>
      </c>
      <c r="N16" s="14">
        <v>45139</v>
      </c>
      <c r="O16" s="4">
        <v>20</v>
      </c>
      <c r="P16" s="15">
        <v>8307933</v>
      </c>
      <c r="Q16" s="4" t="s">
        <v>44</v>
      </c>
      <c r="R16" s="4" t="s">
        <v>53</v>
      </c>
      <c r="S16" s="4">
        <v>0</v>
      </c>
      <c r="T16" s="20">
        <v>21</v>
      </c>
      <c r="U16" s="4">
        <v>100</v>
      </c>
      <c r="V16" s="4">
        <v>0</v>
      </c>
      <c r="W16" s="20">
        <v>0</v>
      </c>
      <c r="X16" s="20">
        <v>-42</v>
      </c>
      <c r="Y16" s="20">
        <v>-42</v>
      </c>
      <c r="Z16" s="20">
        <v>0</v>
      </c>
      <c r="AA16" s="20">
        <v>0</v>
      </c>
      <c r="AB16" s="20">
        <v>0</v>
      </c>
      <c r="AC16" s="4"/>
    </row>
    <row r="17" spans="1:29" ht="15.75" customHeight="1" x14ac:dyDescent="0.25">
      <c r="A17" s="12" t="s">
        <v>29</v>
      </c>
      <c r="B17" s="4" t="s">
        <v>30</v>
      </c>
      <c r="C17" s="13">
        <v>45329</v>
      </c>
      <c r="D17" s="4" t="s">
        <v>32</v>
      </c>
      <c r="E17" s="4" t="s">
        <v>33</v>
      </c>
      <c r="F17" s="4" t="s">
        <v>34</v>
      </c>
      <c r="G17" s="4" t="s">
        <v>35</v>
      </c>
      <c r="H17" s="4">
        <v>770213018</v>
      </c>
      <c r="I17" s="4" t="s">
        <v>52</v>
      </c>
      <c r="J17" s="12" t="s">
        <v>38</v>
      </c>
      <c r="K17" s="4" t="s">
        <v>32</v>
      </c>
      <c r="L17" s="4" t="s">
        <v>39</v>
      </c>
      <c r="M17" s="4" t="s">
        <v>40</v>
      </c>
      <c r="N17" s="14">
        <v>45139</v>
      </c>
      <c r="O17" s="4">
        <v>20</v>
      </c>
      <c r="P17" s="15">
        <v>8307933</v>
      </c>
      <c r="Q17" s="4" t="s">
        <v>44</v>
      </c>
      <c r="R17" s="4" t="s">
        <v>53</v>
      </c>
      <c r="S17" s="4">
        <v>0</v>
      </c>
      <c r="T17" s="16">
        <v>21</v>
      </c>
      <c r="U17" s="4">
        <v>100</v>
      </c>
      <c r="V17" s="4">
        <v>0</v>
      </c>
      <c r="W17" s="16">
        <v>0</v>
      </c>
      <c r="X17" s="16">
        <v>42</v>
      </c>
      <c r="Y17" s="16">
        <v>42</v>
      </c>
      <c r="Z17" s="16">
        <v>0</v>
      </c>
      <c r="AA17" s="16">
        <v>0</v>
      </c>
      <c r="AB17" s="16">
        <v>0</v>
      </c>
      <c r="AC17" s="4"/>
    </row>
    <row r="18" spans="1:29" ht="15.75" customHeight="1" x14ac:dyDescent="0.25">
      <c r="A18" s="12" t="s">
        <v>29</v>
      </c>
      <c r="B18" s="4" t="s">
        <v>30</v>
      </c>
      <c r="C18" s="13">
        <v>45311</v>
      </c>
      <c r="D18" s="4" t="s">
        <v>32</v>
      </c>
      <c r="E18" s="4" t="s">
        <v>33</v>
      </c>
      <c r="F18" s="4" t="s">
        <v>34</v>
      </c>
      <c r="G18" s="4" t="s">
        <v>35</v>
      </c>
      <c r="H18" s="4">
        <v>770213018</v>
      </c>
      <c r="I18" s="4" t="s">
        <v>52</v>
      </c>
      <c r="J18" s="12" t="s">
        <v>38</v>
      </c>
      <c r="K18" s="4" t="s">
        <v>32</v>
      </c>
      <c r="L18" s="4" t="s">
        <v>39</v>
      </c>
      <c r="M18" s="4" t="s">
        <v>40</v>
      </c>
      <c r="N18" s="14">
        <v>45170</v>
      </c>
      <c r="O18" s="4">
        <v>21</v>
      </c>
      <c r="P18" s="15">
        <v>8307933</v>
      </c>
      <c r="Q18" s="4" t="s">
        <v>44</v>
      </c>
      <c r="R18" s="4" t="s">
        <v>53</v>
      </c>
      <c r="S18" s="4">
        <v>0</v>
      </c>
      <c r="T18" s="20">
        <v>21</v>
      </c>
      <c r="U18" s="4">
        <v>100</v>
      </c>
      <c r="V18" s="4">
        <v>0</v>
      </c>
      <c r="W18" s="20">
        <v>0</v>
      </c>
      <c r="X18" s="20">
        <v>-42</v>
      </c>
      <c r="Y18" s="20">
        <v>-42</v>
      </c>
      <c r="Z18" s="20">
        <v>0</v>
      </c>
      <c r="AA18" s="20">
        <v>0</v>
      </c>
      <c r="AB18" s="20">
        <v>0</v>
      </c>
      <c r="AC18" s="4"/>
    </row>
    <row r="19" spans="1:29" ht="15.75" customHeight="1" x14ac:dyDescent="0.25">
      <c r="A19" s="12" t="s">
        <v>29</v>
      </c>
      <c r="B19" s="4" t="s">
        <v>30</v>
      </c>
      <c r="C19" s="13">
        <v>45329</v>
      </c>
      <c r="D19" s="4" t="s">
        <v>32</v>
      </c>
      <c r="E19" s="4" t="s">
        <v>33</v>
      </c>
      <c r="F19" s="4" t="s">
        <v>34</v>
      </c>
      <c r="G19" s="4" t="s">
        <v>35</v>
      </c>
      <c r="H19" s="4">
        <v>770213018</v>
      </c>
      <c r="I19" s="4" t="s">
        <v>52</v>
      </c>
      <c r="J19" s="12" t="s">
        <v>38</v>
      </c>
      <c r="K19" s="4" t="s">
        <v>32</v>
      </c>
      <c r="L19" s="4" t="s">
        <v>39</v>
      </c>
      <c r="M19" s="4" t="s">
        <v>40</v>
      </c>
      <c r="N19" s="14">
        <v>45170</v>
      </c>
      <c r="O19" s="4">
        <v>21</v>
      </c>
      <c r="P19" s="15">
        <v>8307933</v>
      </c>
      <c r="Q19" s="4" t="s">
        <v>44</v>
      </c>
      <c r="R19" s="4" t="s">
        <v>53</v>
      </c>
      <c r="S19" s="4">
        <v>0</v>
      </c>
      <c r="T19" s="16">
        <v>21</v>
      </c>
      <c r="U19" s="4">
        <v>100</v>
      </c>
      <c r="V19" s="4">
        <v>0</v>
      </c>
      <c r="W19" s="16">
        <v>0</v>
      </c>
      <c r="X19" s="16">
        <v>42</v>
      </c>
      <c r="Y19" s="16">
        <v>42</v>
      </c>
      <c r="Z19" s="16">
        <v>0</v>
      </c>
      <c r="AA19" s="16">
        <v>0</v>
      </c>
      <c r="AB19" s="16">
        <v>0</v>
      </c>
      <c r="AC19" s="4"/>
    </row>
    <row r="20" spans="1:29" ht="15.75" customHeight="1" x14ac:dyDescent="0.25">
      <c r="A20" s="12" t="s">
        <v>29</v>
      </c>
      <c r="B20" s="4" t="s">
        <v>30</v>
      </c>
      <c r="C20" s="13">
        <v>45311</v>
      </c>
      <c r="D20" s="4" t="s">
        <v>32</v>
      </c>
      <c r="E20" s="4" t="s">
        <v>33</v>
      </c>
      <c r="F20" s="4" t="s">
        <v>34</v>
      </c>
      <c r="G20" s="4" t="s">
        <v>35</v>
      </c>
      <c r="H20" s="4">
        <v>770213018</v>
      </c>
      <c r="I20" s="4" t="s">
        <v>52</v>
      </c>
      <c r="J20" s="12" t="s">
        <v>38</v>
      </c>
      <c r="K20" s="4" t="s">
        <v>32</v>
      </c>
      <c r="L20" s="4" t="s">
        <v>39</v>
      </c>
      <c r="M20" s="4" t="s">
        <v>40</v>
      </c>
      <c r="N20" s="14">
        <v>45200</v>
      </c>
      <c r="O20" s="4">
        <v>22</v>
      </c>
      <c r="P20" s="15">
        <v>8307933</v>
      </c>
      <c r="Q20" s="4" t="s">
        <v>44</v>
      </c>
      <c r="R20" s="4" t="s">
        <v>53</v>
      </c>
      <c r="S20" s="4">
        <v>0</v>
      </c>
      <c r="T20" s="20">
        <v>21</v>
      </c>
      <c r="U20" s="4">
        <v>100</v>
      </c>
      <c r="V20" s="4">
        <v>0</v>
      </c>
      <c r="W20" s="20">
        <v>0</v>
      </c>
      <c r="X20" s="20">
        <v>-42</v>
      </c>
      <c r="Y20" s="20">
        <v>-42</v>
      </c>
      <c r="Z20" s="20">
        <v>0</v>
      </c>
      <c r="AA20" s="20">
        <v>0</v>
      </c>
      <c r="AB20" s="20">
        <v>0</v>
      </c>
      <c r="AC20" s="4"/>
    </row>
    <row r="21" spans="1:29" ht="15.75" customHeight="1" x14ac:dyDescent="0.25">
      <c r="A21" s="12" t="s">
        <v>29</v>
      </c>
      <c r="B21" s="4" t="s">
        <v>30</v>
      </c>
      <c r="C21" s="13">
        <v>45329</v>
      </c>
      <c r="D21" s="4" t="s">
        <v>32</v>
      </c>
      <c r="E21" s="4" t="s">
        <v>33</v>
      </c>
      <c r="F21" s="4" t="s">
        <v>34</v>
      </c>
      <c r="G21" s="4" t="s">
        <v>35</v>
      </c>
      <c r="H21" s="4">
        <v>770213018</v>
      </c>
      <c r="I21" s="4" t="s">
        <v>52</v>
      </c>
      <c r="J21" s="12" t="s">
        <v>38</v>
      </c>
      <c r="K21" s="4" t="s">
        <v>32</v>
      </c>
      <c r="L21" s="4" t="s">
        <v>39</v>
      </c>
      <c r="M21" s="4" t="s">
        <v>40</v>
      </c>
      <c r="N21" s="14">
        <v>45200</v>
      </c>
      <c r="O21" s="4">
        <v>22</v>
      </c>
      <c r="P21" s="15">
        <v>8307933</v>
      </c>
      <c r="Q21" s="4" t="s">
        <v>44</v>
      </c>
      <c r="R21" s="4" t="s">
        <v>53</v>
      </c>
      <c r="S21" s="4">
        <v>0</v>
      </c>
      <c r="T21" s="16">
        <v>21</v>
      </c>
      <c r="U21" s="4">
        <v>100</v>
      </c>
      <c r="V21" s="4">
        <v>0</v>
      </c>
      <c r="W21" s="16">
        <v>0</v>
      </c>
      <c r="X21" s="16">
        <v>42</v>
      </c>
      <c r="Y21" s="16">
        <v>42</v>
      </c>
      <c r="Z21" s="16">
        <v>0</v>
      </c>
      <c r="AA21" s="16">
        <v>0</v>
      </c>
      <c r="AB21" s="16">
        <v>0</v>
      </c>
      <c r="AC21" s="4"/>
    </row>
    <row r="22" spans="1:29" ht="15.75" customHeight="1" x14ac:dyDescent="0.25">
      <c r="A22" s="12" t="s">
        <v>29</v>
      </c>
      <c r="B22" s="4" t="s">
        <v>30</v>
      </c>
      <c r="C22" s="13">
        <v>45311</v>
      </c>
      <c r="D22" s="4" t="s">
        <v>32</v>
      </c>
      <c r="E22" s="4" t="s">
        <v>33</v>
      </c>
      <c r="F22" s="4" t="s">
        <v>34</v>
      </c>
      <c r="G22" s="4" t="s">
        <v>35</v>
      </c>
      <c r="H22" s="4">
        <v>770213018</v>
      </c>
      <c r="I22" s="4" t="s">
        <v>52</v>
      </c>
      <c r="J22" s="12" t="s">
        <v>38</v>
      </c>
      <c r="K22" s="4" t="s">
        <v>32</v>
      </c>
      <c r="L22" s="4" t="s">
        <v>39</v>
      </c>
      <c r="M22" s="4" t="s">
        <v>40</v>
      </c>
      <c r="N22" s="14">
        <v>45231</v>
      </c>
      <c r="O22" s="4">
        <v>23</v>
      </c>
      <c r="P22" s="15">
        <v>8307933</v>
      </c>
      <c r="Q22" s="4" t="s">
        <v>44</v>
      </c>
      <c r="R22" s="4" t="s">
        <v>53</v>
      </c>
      <c r="S22" s="4">
        <v>0</v>
      </c>
      <c r="T22" s="20">
        <v>21</v>
      </c>
      <c r="U22" s="4">
        <v>100</v>
      </c>
      <c r="V22" s="4">
        <v>0</v>
      </c>
      <c r="W22" s="20">
        <v>0</v>
      </c>
      <c r="X22" s="20">
        <v>-42</v>
      </c>
      <c r="Y22" s="20">
        <v>-42</v>
      </c>
      <c r="Z22" s="20">
        <v>0</v>
      </c>
      <c r="AA22" s="20">
        <v>0</v>
      </c>
      <c r="AB22" s="20">
        <v>0</v>
      </c>
      <c r="AC22" s="4"/>
    </row>
    <row r="23" spans="1:29" ht="15.75" customHeight="1" x14ac:dyDescent="0.25">
      <c r="A23" s="12" t="s">
        <v>29</v>
      </c>
      <c r="B23" s="4" t="s">
        <v>30</v>
      </c>
      <c r="C23" s="13">
        <v>45329</v>
      </c>
      <c r="D23" s="4" t="s">
        <v>32</v>
      </c>
      <c r="E23" s="4" t="s">
        <v>33</v>
      </c>
      <c r="F23" s="4" t="s">
        <v>34</v>
      </c>
      <c r="G23" s="4" t="s">
        <v>35</v>
      </c>
      <c r="H23" s="4">
        <v>770213018</v>
      </c>
      <c r="I23" s="4" t="s">
        <v>52</v>
      </c>
      <c r="J23" s="12" t="s">
        <v>38</v>
      </c>
      <c r="K23" s="4" t="s">
        <v>32</v>
      </c>
      <c r="L23" s="4" t="s">
        <v>39</v>
      </c>
      <c r="M23" s="4" t="s">
        <v>40</v>
      </c>
      <c r="N23" s="14">
        <v>45231</v>
      </c>
      <c r="O23" s="4">
        <v>23</v>
      </c>
      <c r="P23" s="15">
        <v>8307933</v>
      </c>
      <c r="Q23" s="4" t="s">
        <v>44</v>
      </c>
      <c r="R23" s="4" t="s">
        <v>53</v>
      </c>
      <c r="S23" s="4">
        <v>0</v>
      </c>
      <c r="T23" s="16">
        <v>21</v>
      </c>
      <c r="U23" s="4">
        <v>100</v>
      </c>
      <c r="V23" s="4">
        <v>0</v>
      </c>
      <c r="W23" s="16">
        <v>0</v>
      </c>
      <c r="X23" s="16">
        <v>42</v>
      </c>
      <c r="Y23" s="16">
        <v>42</v>
      </c>
      <c r="Z23" s="16">
        <v>0</v>
      </c>
      <c r="AA23" s="16">
        <v>0</v>
      </c>
      <c r="AB23" s="16">
        <v>0</v>
      </c>
      <c r="AC23" s="4"/>
    </row>
    <row r="24" spans="1:29" ht="15.75" customHeight="1" x14ac:dyDescent="0.25">
      <c r="A24" s="12" t="s">
        <v>29</v>
      </c>
      <c r="B24" s="4" t="s">
        <v>30</v>
      </c>
      <c r="C24" s="13">
        <v>45311</v>
      </c>
      <c r="D24" s="4" t="s">
        <v>32</v>
      </c>
      <c r="E24" s="4" t="s">
        <v>33</v>
      </c>
      <c r="F24" s="4" t="s">
        <v>34</v>
      </c>
      <c r="G24" s="4" t="s">
        <v>35</v>
      </c>
      <c r="H24" s="4">
        <v>770213018</v>
      </c>
      <c r="I24" s="4" t="s">
        <v>52</v>
      </c>
      <c r="J24" s="12" t="s">
        <v>38</v>
      </c>
      <c r="K24" s="4" t="s">
        <v>32</v>
      </c>
      <c r="L24" s="4" t="s">
        <v>39</v>
      </c>
      <c r="M24" s="4" t="s">
        <v>40</v>
      </c>
      <c r="N24" s="14">
        <v>45261</v>
      </c>
      <c r="O24" s="4">
        <v>24</v>
      </c>
      <c r="P24" s="15">
        <v>8307933</v>
      </c>
      <c r="Q24" s="4" t="s">
        <v>44</v>
      </c>
      <c r="R24" s="4" t="s">
        <v>53</v>
      </c>
      <c r="S24" s="4">
        <v>0</v>
      </c>
      <c r="T24" s="20">
        <v>21</v>
      </c>
      <c r="U24" s="4">
        <v>100</v>
      </c>
      <c r="V24" s="4">
        <v>0</v>
      </c>
      <c r="W24" s="20">
        <v>0</v>
      </c>
      <c r="X24" s="20">
        <v>-42</v>
      </c>
      <c r="Y24" s="20">
        <v>-42</v>
      </c>
      <c r="Z24" s="20">
        <v>0</v>
      </c>
      <c r="AA24" s="20">
        <v>0</v>
      </c>
      <c r="AB24" s="20">
        <v>0</v>
      </c>
      <c r="AC24" s="4"/>
    </row>
    <row r="25" spans="1:29" ht="15.75" customHeight="1" x14ac:dyDescent="0.25">
      <c r="A25" s="12" t="s">
        <v>29</v>
      </c>
      <c r="B25" s="4" t="s">
        <v>30</v>
      </c>
      <c r="C25" s="13">
        <v>45329</v>
      </c>
      <c r="D25" s="4" t="s">
        <v>32</v>
      </c>
      <c r="E25" s="4" t="s">
        <v>33</v>
      </c>
      <c r="F25" s="4" t="s">
        <v>34</v>
      </c>
      <c r="G25" s="4" t="s">
        <v>35</v>
      </c>
      <c r="H25" s="4">
        <v>770213018</v>
      </c>
      <c r="I25" s="4" t="s">
        <v>52</v>
      </c>
      <c r="J25" s="12" t="s">
        <v>38</v>
      </c>
      <c r="K25" s="4" t="s">
        <v>32</v>
      </c>
      <c r="L25" s="4" t="s">
        <v>39</v>
      </c>
      <c r="M25" s="4" t="s">
        <v>40</v>
      </c>
      <c r="N25" s="14">
        <v>45261</v>
      </c>
      <c r="O25" s="4">
        <v>24</v>
      </c>
      <c r="P25" s="15">
        <v>8307933</v>
      </c>
      <c r="Q25" s="4" t="s">
        <v>44</v>
      </c>
      <c r="R25" s="4" t="s">
        <v>53</v>
      </c>
      <c r="S25" s="4">
        <v>0</v>
      </c>
      <c r="T25" s="16">
        <v>21</v>
      </c>
      <c r="U25" s="4">
        <v>100</v>
      </c>
      <c r="V25" s="4">
        <v>0</v>
      </c>
      <c r="W25" s="16">
        <v>0</v>
      </c>
      <c r="X25" s="16">
        <v>42</v>
      </c>
      <c r="Y25" s="16">
        <v>42</v>
      </c>
      <c r="Z25" s="16">
        <v>0</v>
      </c>
      <c r="AA25" s="16">
        <v>0</v>
      </c>
      <c r="AB25" s="16">
        <v>0</v>
      </c>
      <c r="AC25" s="4"/>
    </row>
    <row r="26" spans="1:29" ht="15.75" customHeight="1" x14ac:dyDescent="0.25">
      <c r="A26" s="12" t="s">
        <v>29</v>
      </c>
      <c r="B26" s="4" t="s">
        <v>30</v>
      </c>
      <c r="C26" s="13">
        <v>45311</v>
      </c>
      <c r="D26" s="4" t="s">
        <v>32</v>
      </c>
      <c r="E26" s="4" t="s">
        <v>33</v>
      </c>
      <c r="F26" s="4" t="s">
        <v>34</v>
      </c>
      <c r="G26" s="4" t="s">
        <v>35</v>
      </c>
      <c r="H26" s="4">
        <v>770253614</v>
      </c>
      <c r="I26" s="4" t="s">
        <v>37</v>
      </c>
      <c r="J26" s="12" t="s">
        <v>38</v>
      </c>
      <c r="K26" s="4" t="s">
        <v>32</v>
      </c>
      <c r="L26" s="4" t="s">
        <v>39</v>
      </c>
      <c r="M26" s="4" t="s">
        <v>40</v>
      </c>
      <c r="N26" s="14">
        <v>45292</v>
      </c>
      <c r="O26" s="4">
        <v>25</v>
      </c>
      <c r="P26" s="15">
        <v>8307933</v>
      </c>
      <c r="Q26" s="4" t="s">
        <v>44</v>
      </c>
      <c r="R26" s="4" t="s">
        <v>54</v>
      </c>
      <c r="S26" s="4">
        <v>0</v>
      </c>
      <c r="T26" s="20">
        <v>20</v>
      </c>
      <c r="U26" s="4">
        <v>100</v>
      </c>
      <c r="V26" s="4">
        <v>1</v>
      </c>
      <c r="W26" s="20">
        <v>17.45</v>
      </c>
      <c r="X26" s="20">
        <v>20</v>
      </c>
      <c r="Y26" s="20">
        <v>20</v>
      </c>
      <c r="Z26" s="20">
        <v>0</v>
      </c>
      <c r="AA26" s="20">
        <v>0</v>
      </c>
      <c r="AB26" s="20">
        <v>0</v>
      </c>
      <c r="AC26" s="4"/>
    </row>
    <row r="27" spans="1:29" ht="15.75" customHeight="1" x14ac:dyDescent="0.25">
      <c r="A27" s="12" t="s">
        <v>29</v>
      </c>
      <c r="B27" s="4" t="s">
        <v>30</v>
      </c>
      <c r="C27" s="13">
        <v>45329</v>
      </c>
      <c r="D27" s="4" t="s">
        <v>32</v>
      </c>
      <c r="E27" s="4" t="s">
        <v>33</v>
      </c>
      <c r="F27" s="4" t="s">
        <v>34</v>
      </c>
      <c r="G27" s="4" t="s">
        <v>35</v>
      </c>
      <c r="H27" s="4">
        <v>770253614</v>
      </c>
      <c r="I27" s="4" t="s">
        <v>37</v>
      </c>
      <c r="J27" s="12" t="s">
        <v>38</v>
      </c>
      <c r="K27" s="4" t="s">
        <v>32</v>
      </c>
      <c r="L27" s="4" t="s">
        <v>39</v>
      </c>
      <c r="M27" s="4" t="s">
        <v>40</v>
      </c>
      <c r="N27" s="14">
        <v>45323</v>
      </c>
      <c r="O27" s="4">
        <v>26</v>
      </c>
      <c r="P27" s="15">
        <v>8307933</v>
      </c>
      <c r="Q27" s="4" t="s">
        <v>44</v>
      </c>
      <c r="R27" s="4" t="s">
        <v>54</v>
      </c>
      <c r="S27" s="4">
        <v>0</v>
      </c>
      <c r="T27" s="16">
        <v>20</v>
      </c>
      <c r="U27" s="4">
        <v>100</v>
      </c>
      <c r="V27" s="4">
        <v>1</v>
      </c>
      <c r="W27" s="16">
        <v>17.45</v>
      </c>
      <c r="X27" s="16">
        <v>20</v>
      </c>
      <c r="Y27" s="16">
        <v>20</v>
      </c>
      <c r="Z27" s="16">
        <v>0</v>
      </c>
      <c r="AA27" s="16">
        <v>0</v>
      </c>
      <c r="AB27" s="16">
        <v>0</v>
      </c>
      <c r="AC27" s="4"/>
    </row>
    <row r="28" spans="1:29" ht="15.75" customHeight="1" x14ac:dyDescent="0.25">
      <c r="X28" s="17">
        <f>SUM(X2:X27)</f>
        <v>40</v>
      </c>
    </row>
    <row r="29" spans="1:29" ht="15.75" customHeight="1" x14ac:dyDescent="0.2"/>
    <row r="30" spans="1:29" ht="15.75" customHeight="1" x14ac:dyDescent="0.2"/>
    <row r="31" spans="1:29" ht="15.75" customHeight="1" x14ac:dyDescent="0.2"/>
    <row r="32" spans="1:2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AC28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6" width="12.5703125" customWidth="1"/>
  </cols>
  <sheetData>
    <row r="1" spans="1:3" ht="15.75" customHeight="1" x14ac:dyDescent="0.2">
      <c r="A1" s="21" t="s">
        <v>7</v>
      </c>
      <c r="B1" s="21" t="s">
        <v>8</v>
      </c>
      <c r="C1" s="22" t="s">
        <v>4</v>
      </c>
    </row>
    <row r="2" spans="1:3" ht="15.75" customHeight="1" x14ac:dyDescent="0.2">
      <c r="A2" s="23">
        <v>770213018</v>
      </c>
      <c r="B2" s="23" t="s">
        <v>52</v>
      </c>
      <c r="C2" s="24" t="s">
        <v>33</v>
      </c>
    </row>
    <row r="3" spans="1:3" ht="15.75" customHeight="1" x14ac:dyDescent="0.2">
      <c r="A3" s="25"/>
      <c r="B3" s="23" t="s">
        <v>55</v>
      </c>
      <c r="C3" s="26"/>
    </row>
    <row r="4" spans="1:3" ht="15.75" customHeight="1" x14ac:dyDescent="0.2">
      <c r="A4" s="23">
        <v>770253614</v>
      </c>
      <c r="B4" s="23" t="s">
        <v>37</v>
      </c>
      <c r="C4" s="24" t="s">
        <v>33</v>
      </c>
    </row>
    <row r="5" spans="1:3" ht="15.75" customHeight="1" x14ac:dyDescent="0.2">
      <c r="A5" s="25"/>
      <c r="B5" s="23" t="s">
        <v>56</v>
      </c>
      <c r="C5" s="26"/>
    </row>
    <row r="6" spans="1:3" ht="15.75" customHeight="1" x14ac:dyDescent="0.2">
      <c r="A6" s="27" t="s">
        <v>57</v>
      </c>
      <c r="B6" s="28"/>
      <c r="C6" s="29"/>
    </row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D6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2.29.24</vt:lpstr>
      <vt:lpstr>2.7.24</vt:lpstr>
      <vt:lpstr>1.20.24</vt:lpstr>
      <vt:lpstr>1.20 and 2.7 Combined</vt:lpstr>
      <vt:lpstr>1.20 and 2.7 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Janki Patel</cp:lastModifiedBy>
  <dcterms:modified xsi:type="dcterms:W3CDTF">2025-12-31T19:02:16Z</dcterms:modified>
</cp:coreProperties>
</file>