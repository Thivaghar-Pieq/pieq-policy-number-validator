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>
    <definedName hidden="1" localSheetId="0" name="_xlnm._FilterDatabase">Sheet1!$A$1:$K$95</definedName>
    <definedName hidden="1" localSheetId="2" name="_xlnm._FilterDatabase">Sheet2!$A$1:$W$1000</definedName>
  </definedNames>
  <calcPr/>
  <extLst>
    <ext uri="GoogleSheetsCustomDataVersion2">
      <go:sheetsCustomData xmlns:go="http://customooxmlschemas.google.com/" r:id="rId7" roundtripDataChecksum="Tz6tPKQ3A7L4yoDwAmXxxGEyQf7HZlHVaOvJGaxtd3Y="/>
    </ext>
  </extLst>
</workbook>
</file>

<file path=xl/sharedStrings.xml><?xml version="1.0" encoding="utf-8"?>
<sst xmlns="http://schemas.openxmlformats.org/spreadsheetml/2006/main" count="1636" uniqueCount="112">
  <si>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</si>
  <si>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</si>
  <si>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</si>
  <si>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</si>
  <si>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</si>
  <si>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</si>
  <si>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</si>
  <si>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</si>
  <si>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</si>
  <si>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</si>
  <si>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</si>
  <si>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</si>
  <si>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Jerome</t>
  </si>
  <si>
    <t>Martin</t>
  </si>
  <si>
    <t>Geisinger Health Plan</t>
  </si>
  <si>
    <t>GHP 2018-2026 Initial / Replace OR</t>
  </si>
  <si>
    <t>Bonnie</t>
  </si>
  <si>
    <t>Chad Bender</t>
  </si>
  <si>
    <t>Nannette</t>
  </si>
  <si>
    <t>Burti</t>
  </si>
  <si>
    <t>GHP 2026 Replace STREET - Gold Classic 360 HMO (ProRata: 1)</t>
  </si>
  <si>
    <t>Edward</t>
  </si>
  <si>
    <t>Chojnacki</t>
  </si>
  <si>
    <t>Yvonne</t>
  </si>
  <si>
    <t>O Neill</t>
  </si>
  <si>
    <t>Eugene</t>
  </si>
  <si>
    <t>Falls</t>
  </si>
  <si>
    <t>GHP 2026 Replace STREET (ProRata: 1)</t>
  </si>
  <si>
    <t>Lyndia</t>
  </si>
  <si>
    <t>Susan</t>
  </si>
  <si>
    <t>Havens</t>
  </si>
  <si>
    <t>Robert</t>
  </si>
  <si>
    <t>Dehaas</t>
  </si>
  <si>
    <t>Judy</t>
  </si>
  <si>
    <t>Detar</t>
  </si>
  <si>
    <t>Jackalin</t>
  </si>
  <si>
    <t>Haines</t>
  </si>
  <si>
    <t>Thomas</t>
  </si>
  <si>
    <t>Ryan Stocker</t>
  </si>
  <si>
    <t>Irene</t>
  </si>
  <si>
    <t>Walsh</t>
  </si>
  <si>
    <t>Gardner</t>
  </si>
  <si>
    <t>Jean</t>
  </si>
  <si>
    <t>Francois Orszag</t>
  </si>
  <si>
    <t>Deborah</t>
  </si>
  <si>
    <t>Weaver</t>
  </si>
  <si>
    <t>Kenneth</t>
  </si>
  <si>
    <t>Melinda</t>
  </si>
  <si>
    <t>Barnett</t>
  </si>
  <si>
    <t>Harold</t>
  </si>
  <si>
    <t>Riser</t>
  </si>
  <si>
    <t>Molly</t>
  </si>
  <si>
    <t>John</t>
  </si>
  <si>
    <t>Etters</t>
  </si>
  <si>
    <t>Cindy</t>
  </si>
  <si>
    <t>Bair</t>
  </si>
  <si>
    <t>Terrence</t>
  </si>
  <si>
    <t>Benton</t>
  </si>
  <si>
    <t>Jacqueline</t>
  </si>
  <si>
    <t>Glenn</t>
  </si>
  <si>
    <t>Mccloskey</t>
  </si>
  <si>
    <t>Coursen</t>
  </si>
  <si>
    <t>Betty</t>
  </si>
  <si>
    <t>Corman</t>
  </si>
  <si>
    <t>Ray</t>
  </si>
  <si>
    <t>Daniel</t>
  </si>
  <si>
    <t>Brownson</t>
  </si>
  <si>
    <t>Clifford</t>
  </si>
  <si>
    <t>Deanna</t>
  </si>
  <si>
    <t>Potter</t>
  </si>
  <si>
    <t>Kingsland</t>
  </si>
  <si>
    <t>Irving</t>
  </si>
  <si>
    <t>Davies</t>
  </si>
  <si>
    <t>Thelma</t>
  </si>
  <si>
    <t>Cindye</t>
  </si>
  <si>
    <t>Rudy</t>
  </si>
  <si>
    <t>Nicholas</t>
  </si>
  <si>
    <t>Ciambrone</t>
  </si>
  <si>
    <t>Carol Foley</t>
  </si>
  <si>
    <t>Jackie</t>
  </si>
  <si>
    <t>Williams</t>
  </si>
  <si>
    <t>David</t>
  </si>
  <si>
    <t>Rhoads</t>
  </si>
  <si>
    <t>Hollie</t>
  </si>
  <si>
    <t>Lindquist</t>
  </si>
  <si>
    <t>Fred</t>
  </si>
  <si>
    <t>Mcclintic</t>
  </si>
  <si>
    <t>Ierovante</t>
  </si>
  <si>
    <t>Patricia Long</t>
  </si>
  <si>
    <t>Debra</t>
  </si>
  <si>
    <t>Vanderduim</t>
  </si>
  <si>
    <t>Roger</t>
  </si>
  <si>
    <t>Mccoy</t>
  </si>
  <si>
    <t>GHP 2026 Replace STREET (ProRata: 6)</t>
  </si>
  <si>
    <t>GHP Renewal OR 2025-2026 (ProRata: 1)</t>
  </si>
  <si>
    <t>B25595</t>
  </si>
  <si>
    <t>Connie</t>
  </si>
  <si>
    <t>Barger</t>
  </si>
  <si>
    <t>Margaret</t>
  </si>
  <si>
    <t>Stoner</t>
  </si>
  <si>
    <t>Max</t>
  </si>
  <si>
    <t>William</t>
  </si>
  <si>
    <t>Weist</t>
  </si>
  <si>
    <t>9254978N</t>
  </si>
  <si>
    <t>Geisinger 2026 CT, PA, DC *</t>
  </si>
  <si>
    <t>[%/$=391][prorate=1/12]</t>
  </si>
  <si>
    <t>[%/$=391][prorate=6/12]</t>
  </si>
  <si>
    <t>Main Line Benefits</t>
  </si>
  <si>
    <t>Geisinger MAPD OVR</t>
  </si>
  <si>
    <t>pro</t>
  </si>
  <si>
    <t>prem</t>
  </si>
  <si>
    <t>prorate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</si>
</sst>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2" numFmtId="0" xfId="0" applyFont="1"/>
    <xf borderId="1" fillId="2" fontId="1" numFmtId="0" xfId="0" applyBorder="1" applyFill="1" applyFont="1"/>
    <xf borderId="1" fillId="2" fontId="1" numFmtId="14" xfId="0" applyBorder="1" applyFont="1" applyNumberFormat="1"/>
    <xf borderId="1" fillId="2" fontId="1" numFmtId="16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5.43"/>
    <col customWidth="1" min="3" max="3" width="10.71"/>
    <col customWidth="1" min="4" max="4" width="10.57"/>
    <col customWidth="1" min="5" max="5" width="14.71"/>
    <col customWidth="1" min="6" max="6" width="12.0"/>
    <col customWidth="1" min="7" max="7" width="11.86"/>
    <col customWidth="1" min="8" max="8" width="14.71"/>
    <col customWidth="1" min="9" max="9" width="20.29"/>
    <col customWidth="1" min="10" max="10" width="55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>
        <v>2.0111722101E10</v>
      </c>
      <c r="G2" s="2">
        <v>46204.0</v>
      </c>
      <c r="H2" s="2">
        <v>46171.0</v>
      </c>
      <c r="I2" s="1" t="s">
        <v>14</v>
      </c>
      <c r="J2" s="1" t="s">
        <v>15</v>
      </c>
      <c r="K2" s="3">
        <v>75.0</v>
      </c>
    </row>
    <row r="3">
      <c r="A3" s="1" t="s">
        <v>11</v>
      </c>
      <c r="C3" s="1">
        <v>9254978.0</v>
      </c>
      <c r="D3" s="1" t="s">
        <v>16</v>
      </c>
      <c r="E3" s="1" t="s">
        <v>13</v>
      </c>
      <c r="F3" s="1">
        <v>2.0111722201E10</v>
      </c>
      <c r="G3" s="2">
        <v>46204.0</v>
      </c>
      <c r="H3" s="2">
        <v>46171.0</v>
      </c>
      <c r="I3" s="1" t="s">
        <v>14</v>
      </c>
      <c r="J3" s="1" t="s">
        <v>15</v>
      </c>
      <c r="K3" s="3">
        <v>75.0</v>
      </c>
    </row>
    <row r="4">
      <c r="A4" s="1" t="s">
        <v>17</v>
      </c>
      <c r="C4" s="1">
        <v>1.8598357E7</v>
      </c>
      <c r="D4" s="1" t="s">
        <v>18</v>
      </c>
      <c r="E4" s="1" t="s">
        <v>19</v>
      </c>
      <c r="F4" s="1">
        <v>2.0031442801E10</v>
      </c>
      <c r="G4" s="2">
        <v>44927.0</v>
      </c>
      <c r="H4" s="2">
        <v>46171.0</v>
      </c>
      <c r="I4" s="1" t="s">
        <v>14</v>
      </c>
      <c r="J4" s="1" t="s">
        <v>20</v>
      </c>
      <c r="K4" s="3">
        <v>16.27</v>
      </c>
    </row>
    <row r="5">
      <c r="A5" s="1" t="s">
        <v>11</v>
      </c>
      <c r="C5" s="1">
        <v>9254978.0</v>
      </c>
      <c r="D5" s="1" t="s">
        <v>21</v>
      </c>
      <c r="E5" s="1" t="s">
        <v>22</v>
      </c>
      <c r="F5" s="1">
        <v>2.0037806301E10</v>
      </c>
      <c r="G5" s="2">
        <v>46023.0</v>
      </c>
      <c r="H5" s="2">
        <v>46171.0</v>
      </c>
      <c r="I5" s="1" t="s">
        <v>14</v>
      </c>
      <c r="J5" s="1" t="s">
        <v>20</v>
      </c>
      <c r="K5" s="3">
        <v>16.27</v>
      </c>
    </row>
    <row r="6">
      <c r="A6" s="1" t="s">
        <v>17</v>
      </c>
      <c r="C6" s="1">
        <v>1.8598357E7</v>
      </c>
      <c r="D6" s="1" t="s">
        <v>23</v>
      </c>
      <c r="E6" s="1" t="s">
        <v>24</v>
      </c>
      <c r="F6" s="1">
        <v>2.0061982301E10</v>
      </c>
      <c r="G6" s="2">
        <v>44986.0</v>
      </c>
      <c r="H6" s="2">
        <v>46171.0</v>
      </c>
      <c r="I6" s="1" t="s">
        <v>14</v>
      </c>
      <c r="J6" s="1" t="s">
        <v>20</v>
      </c>
      <c r="K6" s="3">
        <v>16.27</v>
      </c>
    </row>
    <row r="7">
      <c r="A7" s="1" t="s">
        <v>11</v>
      </c>
      <c r="C7" s="1">
        <v>9254978.0</v>
      </c>
      <c r="D7" s="1" t="s">
        <v>25</v>
      </c>
      <c r="E7" s="1" t="s">
        <v>26</v>
      </c>
      <c r="F7" s="1">
        <v>8.5742701E7</v>
      </c>
      <c r="G7" s="2">
        <v>46023.0</v>
      </c>
      <c r="H7" s="2">
        <v>46171.0</v>
      </c>
      <c r="I7" s="1" t="s">
        <v>14</v>
      </c>
      <c r="J7" s="1" t="s">
        <v>27</v>
      </c>
      <c r="K7" s="3">
        <v>32.58</v>
      </c>
    </row>
    <row r="8">
      <c r="A8" s="1" t="s">
        <v>11</v>
      </c>
      <c r="C8" s="1">
        <v>9254978.0</v>
      </c>
      <c r="D8" s="1" t="s">
        <v>28</v>
      </c>
      <c r="E8" s="1" t="s">
        <v>26</v>
      </c>
      <c r="F8" s="1">
        <v>9.6603301E7</v>
      </c>
      <c r="G8" s="2">
        <v>46023.0</v>
      </c>
      <c r="H8" s="2">
        <v>46171.0</v>
      </c>
      <c r="I8" s="1" t="s">
        <v>14</v>
      </c>
      <c r="J8" s="1" t="s">
        <v>27</v>
      </c>
      <c r="K8" s="3">
        <v>32.58</v>
      </c>
    </row>
    <row r="9">
      <c r="A9" s="1" t="s">
        <v>11</v>
      </c>
      <c r="C9" s="1">
        <v>9254978.0</v>
      </c>
      <c r="D9" s="1" t="s">
        <v>29</v>
      </c>
      <c r="E9" s="1" t="s">
        <v>30</v>
      </c>
      <c r="F9" s="1">
        <v>1.0008741301E10</v>
      </c>
      <c r="G9" s="2">
        <v>46023.0</v>
      </c>
      <c r="H9" s="2">
        <v>46171.0</v>
      </c>
      <c r="I9" s="1" t="s">
        <v>14</v>
      </c>
      <c r="J9" s="1" t="s">
        <v>27</v>
      </c>
      <c r="K9" s="3">
        <v>32.58</v>
      </c>
    </row>
    <row r="10">
      <c r="A10" s="1" t="s">
        <v>11</v>
      </c>
      <c r="C10" s="1">
        <v>9254978.0</v>
      </c>
      <c r="D10" s="1" t="s">
        <v>31</v>
      </c>
      <c r="E10" s="1" t="s">
        <v>32</v>
      </c>
      <c r="F10" s="1">
        <v>1.0028861101E10</v>
      </c>
      <c r="G10" s="2">
        <v>46054.0</v>
      </c>
      <c r="H10" s="2">
        <v>46171.0</v>
      </c>
      <c r="I10" s="1" t="s">
        <v>14</v>
      </c>
      <c r="J10" s="1" t="s">
        <v>27</v>
      </c>
      <c r="K10" s="3">
        <v>32.58</v>
      </c>
    </row>
    <row r="11">
      <c r="A11" s="1" t="s">
        <v>11</v>
      </c>
      <c r="C11" s="1">
        <v>9254978.0</v>
      </c>
      <c r="D11" s="1" t="s">
        <v>33</v>
      </c>
      <c r="E11" s="1" t="s">
        <v>34</v>
      </c>
      <c r="F11" s="1">
        <v>1.0096067901E10</v>
      </c>
      <c r="G11" s="2">
        <v>46023.0</v>
      </c>
      <c r="H11" s="2">
        <v>46171.0</v>
      </c>
      <c r="I11" s="1" t="s">
        <v>14</v>
      </c>
      <c r="J11" s="1" t="s">
        <v>27</v>
      </c>
      <c r="K11" s="3">
        <v>32.58</v>
      </c>
    </row>
    <row r="12">
      <c r="A12" s="1" t="s">
        <v>11</v>
      </c>
      <c r="C12" s="1">
        <v>9254978.0</v>
      </c>
      <c r="D12" s="1" t="s">
        <v>35</v>
      </c>
      <c r="E12" s="1" t="s">
        <v>36</v>
      </c>
      <c r="F12" s="1">
        <v>1.0124160901E10</v>
      </c>
      <c r="G12" s="2">
        <v>46023.0</v>
      </c>
      <c r="H12" s="2">
        <v>46171.0</v>
      </c>
      <c r="I12" s="1" t="s">
        <v>14</v>
      </c>
      <c r="J12" s="1" t="s">
        <v>27</v>
      </c>
      <c r="K12" s="3">
        <v>32.58</v>
      </c>
    </row>
    <row r="13">
      <c r="A13" s="1" t="s">
        <v>11</v>
      </c>
      <c r="C13" s="1">
        <v>9254978.0</v>
      </c>
      <c r="D13" s="1" t="s">
        <v>37</v>
      </c>
      <c r="E13" s="1" t="s">
        <v>30</v>
      </c>
      <c r="F13" s="1">
        <v>2.0009616401E10</v>
      </c>
      <c r="G13" s="2">
        <v>46023.0</v>
      </c>
      <c r="H13" s="2">
        <v>46171.0</v>
      </c>
      <c r="I13" s="1" t="s">
        <v>14</v>
      </c>
      <c r="J13" s="1" t="s">
        <v>27</v>
      </c>
      <c r="K13" s="3">
        <v>32.58</v>
      </c>
    </row>
    <row r="14">
      <c r="A14" s="1" t="s">
        <v>38</v>
      </c>
      <c r="C14" s="1">
        <v>1.5950276E7</v>
      </c>
      <c r="D14" s="1" t="s">
        <v>39</v>
      </c>
      <c r="E14" s="1" t="s">
        <v>40</v>
      </c>
      <c r="F14" s="1">
        <v>2.0010119701E10</v>
      </c>
      <c r="G14" s="2">
        <v>43466.0</v>
      </c>
      <c r="H14" s="2">
        <v>46171.0</v>
      </c>
      <c r="I14" s="1" t="s">
        <v>14</v>
      </c>
      <c r="J14" s="1" t="s">
        <v>27</v>
      </c>
      <c r="K14" s="3">
        <v>32.58</v>
      </c>
    </row>
    <row r="15">
      <c r="A15" s="1" t="s">
        <v>11</v>
      </c>
      <c r="C15" s="1">
        <v>9254978.0</v>
      </c>
      <c r="D15" s="1" t="s">
        <v>37</v>
      </c>
      <c r="E15" s="1" t="s">
        <v>41</v>
      </c>
      <c r="F15" s="1">
        <v>2.0011185201E10</v>
      </c>
      <c r="G15" s="2">
        <v>46023.0</v>
      </c>
      <c r="H15" s="2">
        <v>46171.0</v>
      </c>
      <c r="I15" s="1" t="s">
        <v>14</v>
      </c>
      <c r="J15" s="1" t="s">
        <v>27</v>
      </c>
      <c r="K15" s="3">
        <v>32.58</v>
      </c>
    </row>
    <row r="16">
      <c r="A16" s="1" t="s">
        <v>38</v>
      </c>
      <c r="C16" s="1">
        <v>1.5950276E7</v>
      </c>
      <c r="D16" s="1" t="s">
        <v>42</v>
      </c>
      <c r="E16" s="1" t="s">
        <v>43</v>
      </c>
      <c r="F16" s="1">
        <v>2.0020870101E10</v>
      </c>
      <c r="G16" s="2">
        <v>44197.0</v>
      </c>
      <c r="H16" s="2">
        <v>46171.0</v>
      </c>
      <c r="I16" s="1" t="s">
        <v>14</v>
      </c>
      <c r="J16" s="1" t="s">
        <v>27</v>
      </c>
      <c r="K16" s="3">
        <v>32.58</v>
      </c>
    </row>
    <row r="17">
      <c r="A17" s="1" t="s">
        <v>11</v>
      </c>
      <c r="C17" s="1">
        <v>9254978.0</v>
      </c>
      <c r="D17" s="1" t="s">
        <v>44</v>
      </c>
      <c r="E17" s="1" t="s">
        <v>45</v>
      </c>
      <c r="F17" s="1">
        <v>2.0027177601E10</v>
      </c>
      <c r="G17" s="2">
        <v>46023.0</v>
      </c>
      <c r="H17" s="2">
        <v>46171.0</v>
      </c>
      <c r="I17" s="1" t="s">
        <v>14</v>
      </c>
      <c r="J17" s="1" t="s">
        <v>27</v>
      </c>
      <c r="K17" s="3">
        <v>32.58</v>
      </c>
    </row>
    <row r="18">
      <c r="A18" s="1" t="s">
        <v>11</v>
      </c>
      <c r="C18" s="1">
        <v>9254978.0</v>
      </c>
      <c r="D18" s="1" t="s">
        <v>46</v>
      </c>
      <c r="E18" s="1" t="s">
        <v>45</v>
      </c>
      <c r="F18" s="1">
        <v>2.0027350401E10</v>
      </c>
      <c r="G18" s="2">
        <v>46023.0</v>
      </c>
      <c r="H18" s="2">
        <v>46171.0</v>
      </c>
      <c r="I18" s="1" t="s">
        <v>14</v>
      </c>
      <c r="J18" s="1" t="s">
        <v>27</v>
      </c>
      <c r="K18" s="3">
        <v>32.58</v>
      </c>
    </row>
    <row r="19">
      <c r="A19" s="1" t="s">
        <v>11</v>
      </c>
      <c r="C19" s="1">
        <v>9254978.0</v>
      </c>
      <c r="D19" s="1" t="s">
        <v>47</v>
      </c>
      <c r="E19" s="1" t="s">
        <v>48</v>
      </c>
      <c r="F19" s="1">
        <v>2.0032097801E10</v>
      </c>
      <c r="G19" s="2">
        <v>46023.0</v>
      </c>
      <c r="H19" s="2">
        <v>46171.0</v>
      </c>
      <c r="I19" s="1" t="s">
        <v>14</v>
      </c>
      <c r="J19" s="1" t="s">
        <v>27</v>
      </c>
      <c r="K19" s="3">
        <v>32.58</v>
      </c>
    </row>
    <row r="20">
      <c r="A20" s="1" t="s">
        <v>11</v>
      </c>
      <c r="C20" s="1">
        <v>9254978.0</v>
      </c>
      <c r="D20" s="1" t="s">
        <v>49</v>
      </c>
      <c r="E20" s="1" t="s">
        <v>50</v>
      </c>
      <c r="F20" s="1">
        <v>2.0032142301E10</v>
      </c>
      <c r="G20" s="2">
        <v>46023.0</v>
      </c>
      <c r="H20" s="2">
        <v>46171.0</v>
      </c>
      <c r="I20" s="1" t="s">
        <v>14</v>
      </c>
      <c r="J20" s="1" t="s">
        <v>27</v>
      </c>
      <c r="K20" s="3">
        <v>32.58</v>
      </c>
    </row>
    <row r="21" ht="15.75" customHeight="1">
      <c r="A21" s="1" t="s">
        <v>11</v>
      </c>
      <c r="C21" s="1">
        <v>9254978.0</v>
      </c>
      <c r="D21" s="1" t="s">
        <v>51</v>
      </c>
      <c r="E21" s="1" t="s">
        <v>50</v>
      </c>
      <c r="F21" s="1">
        <v>2.0032142501E10</v>
      </c>
      <c r="G21" s="2">
        <v>46023.0</v>
      </c>
      <c r="H21" s="2">
        <v>46171.0</v>
      </c>
      <c r="I21" s="1" t="s">
        <v>14</v>
      </c>
      <c r="J21" s="1" t="s">
        <v>27</v>
      </c>
      <c r="K21" s="3">
        <v>32.58</v>
      </c>
    </row>
    <row r="22" ht="15.75" customHeight="1">
      <c r="A22" s="1" t="s">
        <v>11</v>
      </c>
      <c r="C22" s="1">
        <v>9254978.0</v>
      </c>
      <c r="D22" s="1" t="s">
        <v>52</v>
      </c>
      <c r="E22" s="1" t="s">
        <v>53</v>
      </c>
      <c r="F22" s="1">
        <v>2.0032206001E10</v>
      </c>
      <c r="G22" s="2">
        <v>46023.0</v>
      </c>
      <c r="H22" s="2">
        <v>46171.0</v>
      </c>
      <c r="I22" s="1" t="s">
        <v>14</v>
      </c>
      <c r="J22" s="1" t="s">
        <v>27</v>
      </c>
      <c r="K22" s="3">
        <v>32.58</v>
      </c>
    </row>
    <row r="23" ht="15.75" customHeight="1">
      <c r="A23" s="1" t="s">
        <v>11</v>
      </c>
      <c r="C23" s="1">
        <v>9254978.0</v>
      </c>
      <c r="D23" s="1" t="s">
        <v>54</v>
      </c>
      <c r="E23" s="1" t="s">
        <v>55</v>
      </c>
      <c r="F23" s="1">
        <v>2.0038750301E10</v>
      </c>
      <c r="G23" s="2">
        <v>46023.0</v>
      </c>
      <c r="H23" s="2">
        <v>46171.0</v>
      </c>
      <c r="I23" s="1" t="s">
        <v>14</v>
      </c>
      <c r="J23" s="1" t="s">
        <v>27</v>
      </c>
      <c r="K23" s="3">
        <v>32.58</v>
      </c>
    </row>
    <row r="24" ht="15.75" customHeight="1">
      <c r="A24" s="1" t="s">
        <v>11</v>
      </c>
      <c r="C24" s="1">
        <v>9254978.0</v>
      </c>
      <c r="D24" s="1" t="s">
        <v>56</v>
      </c>
      <c r="E24" s="1" t="s">
        <v>57</v>
      </c>
      <c r="F24" s="1">
        <v>2.0038818301E10</v>
      </c>
      <c r="G24" s="2">
        <v>46023.0</v>
      </c>
      <c r="H24" s="2">
        <v>46171.0</v>
      </c>
      <c r="I24" s="1" t="s">
        <v>14</v>
      </c>
      <c r="J24" s="1" t="s">
        <v>27</v>
      </c>
      <c r="K24" s="3">
        <v>32.58</v>
      </c>
    </row>
    <row r="25" ht="15.75" customHeight="1">
      <c r="A25" s="1" t="s">
        <v>11</v>
      </c>
      <c r="C25" s="1">
        <v>9254978.0</v>
      </c>
      <c r="D25" s="1" t="s">
        <v>58</v>
      </c>
      <c r="E25" s="1" t="s">
        <v>57</v>
      </c>
      <c r="F25" s="1">
        <v>2.0038840001E10</v>
      </c>
      <c r="G25" s="2">
        <v>46023.0</v>
      </c>
      <c r="H25" s="2">
        <v>46171.0</v>
      </c>
      <c r="I25" s="1" t="s">
        <v>14</v>
      </c>
      <c r="J25" s="1" t="s">
        <v>27</v>
      </c>
      <c r="K25" s="3">
        <v>32.58</v>
      </c>
    </row>
    <row r="26" ht="15.75" customHeight="1">
      <c r="A26" s="1" t="s">
        <v>11</v>
      </c>
      <c r="C26" s="1">
        <v>9254978.0</v>
      </c>
      <c r="D26" s="1" t="s">
        <v>59</v>
      </c>
      <c r="E26" s="1" t="s">
        <v>60</v>
      </c>
      <c r="F26" s="1">
        <v>2.0038840101E10</v>
      </c>
      <c r="G26" s="2">
        <v>46023.0</v>
      </c>
      <c r="H26" s="2">
        <v>46171.0</v>
      </c>
      <c r="I26" s="1" t="s">
        <v>14</v>
      </c>
      <c r="J26" s="1" t="s">
        <v>27</v>
      </c>
      <c r="K26" s="3">
        <v>32.58</v>
      </c>
    </row>
    <row r="27" ht="15.75" customHeight="1">
      <c r="A27" s="1" t="s">
        <v>11</v>
      </c>
      <c r="C27" s="1">
        <v>9254978.0</v>
      </c>
      <c r="D27" s="1" t="s">
        <v>52</v>
      </c>
      <c r="E27" s="1" t="s">
        <v>61</v>
      </c>
      <c r="F27" s="1">
        <v>2.0038842601E10</v>
      </c>
      <c r="G27" s="2">
        <v>46023.0</v>
      </c>
      <c r="H27" s="2">
        <v>46171.0</v>
      </c>
      <c r="I27" s="1" t="s">
        <v>14</v>
      </c>
      <c r="J27" s="1" t="s">
        <v>27</v>
      </c>
      <c r="K27" s="3">
        <v>32.58</v>
      </c>
    </row>
    <row r="28" ht="15.75" customHeight="1">
      <c r="A28" s="1" t="s">
        <v>11</v>
      </c>
      <c r="C28" s="1">
        <v>9254978.0</v>
      </c>
      <c r="D28" s="1" t="s">
        <v>62</v>
      </c>
      <c r="E28" s="1" t="s">
        <v>63</v>
      </c>
      <c r="F28" s="1">
        <v>2.0039206601E10</v>
      </c>
      <c r="G28" s="2">
        <v>46023.0</v>
      </c>
      <c r="H28" s="2">
        <v>46171.0</v>
      </c>
      <c r="I28" s="1" t="s">
        <v>14</v>
      </c>
      <c r="J28" s="1" t="s">
        <v>27</v>
      </c>
      <c r="K28" s="3">
        <v>32.58</v>
      </c>
    </row>
    <row r="29" ht="15.75" customHeight="1">
      <c r="A29" s="1" t="s">
        <v>11</v>
      </c>
      <c r="C29" s="1">
        <v>9254978.0</v>
      </c>
      <c r="D29" s="1" t="s">
        <v>64</v>
      </c>
      <c r="E29" s="1" t="s">
        <v>63</v>
      </c>
      <c r="F29" s="1">
        <v>2.0039228601E10</v>
      </c>
      <c r="G29" s="2">
        <v>46023.0</v>
      </c>
      <c r="H29" s="2">
        <v>46171.0</v>
      </c>
      <c r="I29" s="1" t="s">
        <v>14</v>
      </c>
      <c r="J29" s="1" t="s">
        <v>27</v>
      </c>
      <c r="K29" s="3">
        <v>32.58</v>
      </c>
    </row>
    <row r="30" ht="15.75" customHeight="1">
      <c r="A30" s="1" t="s">
        <v>11</v>
      </c>
      <c r="C30" s="1">
        <v>9254978.0</v>
      </c>
      <c r="D30" s="1" t="s">
        <v>65</v>
      </c>
      <c r="E30" s="1" t="s">
        <v>66</v>
      </c>
      <c r="F30" s="1">
        <v>2.0039512801E10</v>
      </c>
      <c r="G30" s="2">
        <v>46023.0</v>
      </c>
      <c r="H30" s="2">
        <v>46171.0</v>
      </c>
      <c r="I30" s="1" t="s">
        <v>14</v>
      </c>
      <c r="J30" s="1" t="s">
        <v>27</v>
      </c>
      <c r="K30" s="3">
        <v>32.58</v>
      </c>
    </row>
    <row r="31" ht="15.75" customHeight="1">
      <c r="A31" s="1" t="s">
        <v>38</v>
      </c>
      <c r="C31" s="1">
        <v>1.5950276E7</v>
      </c>
      <c r="D31" s="1" t="s">
        <v>67</v>
      </c>
      <c r="E31" s="1" t="s">
        <v>40</v>
      </c>
      <c r="F31" s="1">
        <v>2.0039572101E10</v>
      </c>
      <c r="G31" s="2">
        <v>44531.0</v>
      </c>
      <c r="H31" s="2">
        <v>46171.0</v>
      </c>
      <c r="I31" s="1" t="s">
        <v>14</v>
      </c>
      <c r="J31" s="1" t="s">
        <v>27</v>
      </c>
      <c r="K31" s="3">
        <v>32.58</v>
      </c>
    </row>
    <row r="32" ht="15.75" customHeight="1">
      <c r="A32" s="1" t="s">
        <v>11</v>
      </c>
      <c r="C32" s="1">
        <v>9254978.0</v>
      </c>
      <c r="D32" s="1" t="s">
        <v>25</v>
      </c>
      <c r="E32" s="1" t="s">
        <v>45</v>
      </c>
      <c r="F32" s="1">
        <v>2.0039672401E10</v>
      </c>
      <c r="G32" s="2">
        <v>46023.0</v>
      </c>
      <c r="H32" s="2">
        <v>46171.0</v>
      </c>
      <c r="I32" s="1" t="s">
        <v>14</v>
      </c>
      <c r="J32" s="1" t="s">
        <v>27</v>
      </c>
      <c r="K32" s="3">
        <v>32.58</v>
      </c>
    </row>
    <row r="33" ht="15.75" customHeight="1">
      <c r="A33" s="1" t="s">
        <v>11</v>
      </c>
      <c r="C33" s="1">
        <v>9254978.0</v>
      </c>
      <c r="D33" s="1" t="s">
        <v>68</v>
      </c>
      <c r="E33" s="1" t="s">
        <v>45</v>
      </c>
      <c r="F33" s="1">
        <v>2.0039673901E10</v>
      </c>
      <c r="G33" s="2">
        <v>46023.0</v>
      </c>
      <c r="H33" s="2">
        <v>46171.0</v>
      </c>
      <c r="I33" s="1" t="s">
        <v>14</v>
      </c>
      <c r="J33" s="1" t="s">
        <v>27</v>
      </c>
      <c r="K33" s="3">
        <v>32.58</v>
      </c>
    </row>
    <row r="34" ht="15.75" customHeight="1">
      <c r="A34" s="1" t="s">
        <v>11</v>
      </c>
      <c r="C34" s="1">
        <v>9254978.0</v>
      </c>
      <c r="D34" s="1" t="s">
        <v>52</v>
      </c>
      <c r="E34" s="1" t="s">
        <v>69</v>
      </c>
      <c r="F34" s="1">
        <v>2.0040587601E10</v>
      </c>
      <c r="G34" s="2">
        <v>46023.0</v>
      </c>
      <c r="H34" s="2">
        <v>46171.0</v>
      </c>
      <c r="I34" s="1" t="s">
        <v>14</v>
      </c>
      <c r="J34" s="1" t="s">
        <v>27</v>
      </c>
      <c r="K34" s="3">
        <v>32.58</v>
      </c>
    </row>
    <row r="35" ht="15.75" customHeight="1">
      <c r="A35" s="1" t="s">
        <v>17</v>
      </c>
      <c r="C35" s="1">
        <v>1.8598357E7</v>
      </c>
      <c r="D35" s="1" t="s">
        <v>21</v>
      </c>
      <c r="E35" s="1" t="s">
        <v>70</v>
      </c>
      <c r="F35" s="1">
        <v>2.0041040101E10</v>
      </c>
      <c r="G35" s="2">
        <v>45809.0</v>
      </c>
      <c r="H35" s="2">
        <v>46171.0</v>
      </c>
      <c r="I35" s="1" t="s">
        <v>14</v>
      </c>
      <c r="J35" s="1" t="s">
        <v>27</v>
      </c>
      <c r="K35" s="3">
        <v>32.58</v>
      </c>
    </row>
    <row r="36" ht="15.75" customHeight="1">
      <c r="A36" s="1" t="s">
        <v>11</v>
      </c>
      <c r="C36" s="1">
        <v>9254978.0</v>
      </c>
      <c r="D36" s="1" t="s">
        <v>71</v>
      </c>
      <c r="E36" s="1" t="s">
        <v>72</v>
      </c>
      <c r="F36" s="1">
        <v>2.0041787401E10</v>
      </c>
      <c r="G36" s="2">
        <v>46023.0</v>
      </c>
      <c r="H36" s="2">
        <v>46171.0</v>
      </c>
      <c r="I36" s="1" t="s">
        <v>14</v>
      </c>
      <c r="J36" s="1" t="s">
        <v>27</v>
      </c>
      <c r="K36" s="3">
        <v>32.58</v>
      </c>
    </row>
    <row r="37" ht="15.75" customHeight="1">
      <c r="A37" s="1" t="s">
        <v>11</v>
      </c>
      <c r="C37" s="1">
        <v>9254978.0</v>
      </c>
      <c r="D37" s="1" t="s">
        <v>73</v>
      </c>
      <c r="E37" s="1" t="s">
        <v>72</v>
      </c>
      <c r="F37" s="1">
        <v>2.0041800601E10</v>
      </c>
      <c r="G37" s="2">
        <v>46023.0</v>
      </c>
      <c r="H37" s="2">
        <v>46171.0</v>
      </c>
      <c r="I37" s="1" t="s">
        <v>14</v>
      </c>
      <c r="J37" s="1" t="s">
        <v>27</v>
      </c>
      <c r="K37" s="3">
        <v>32.58</v>
      </c>
    </row>
    <row r="38" ht="15.75" customHeight="1">
      <c r="A38" s="1" t="s">
        <v>11</v>
      </c>
      <c r="C38" s="1">
        <v>9254978.0</v>
      </c>
      <c r="D38" s="1" t="s">
        <v>74</v>
      </c>
      <c r="E38" s="1" t="s">
        <v>75</v>
      </c>
      <c r="F38" s="1">
        <v>2.0042811101E10</v>
      </c>
      <c r="G38" s="2">
        <v>46023.0</v>
      </c>
      <c r="H38" s="2">
        <v>46171.0</v>
      </c>
      <c r="I38" s="1" t="s">
        <v>14</v>
      </c>
      <c r="J38" s="1" t="s">
        <v>27</v>
      </c>
      <c r="K38" s="3">
        <v>32.58</v>
      </c>
    </row>
    <row r="39" ht="15.75" customHeight="1">
      <c r="A39" s="1" t="s">
        <v>38</v>
      </c>
      <c r="C39" s="1">
        <v>1.5950276E7</v>
      </c>
      <c r="D39" s="1" t="s">
        <v>76</v>
      </c>
      <c r="E39" s="1" t="s">
        <v>77</v>
      </c>
      <c r="F39" s="1">
        <v>2.0043844601E10</v>
      </c>
      <c r="G39" s="2">
        <v>44713.0</v>
      </c>
      <c r="H39" s="2">
        <v>46171.0</v>
      </c>
      <c r="I39" s="1" t="s">
        <v>14</v>
      </c>
      <c r="J39" s="1" t="s">
        <v>27</v>
      </c>
      <c r="K39" s="3">
        <v>32.58</v>
      </c>
    </row>
    <row r="40" ht="15.75" customHeight="1">
      <c r="A40" s="1" t="s">
        <v>78</v>
      </c>
      <c r="C40" s="1">
        <v>1.7425766E7</v>
      </c>
      <c r="D40" s="1" t="s">
        <v>79</v>
      </c>
      <c r="E40" s="1" t="s">
        <v>80</v>
      </c>
      <c r="F40" s="1">
        <v>2.0044292901E10</v>
      </c>
      <c r="G40" s="2">
        <v>45689.0</v>
      </c>
      <c r="H40" s="2">
        <v>46171.0</v>
      </c>
      <c r="I40" s="1" t="s">
        <v>14</v>
      </c>
      <c r="J40" s="1" t="s">
        <v>27</v>
      </c>
      <c r="K40" s="3">
        <v>32.58</v>
      </c>
    </row>
    <row r="41" ht="15.75" customHeight="1">
      <c r="A41" s="1" t="s">
        <v>11</v>
      </c>
      <c r="C41" s="1">
        <v>9254978.0</v>
      </c>
      <c r="D41" s="1" t="s">
        <v>81</v>
      </c>
      <c r="E41" s="1" t="s">
        <v>82</v>
      </c>
      <c r="F41" s="1">
        <v>2.0045810201E10</v>
      </c>
      <c r="G41" s="2">
        <v>46023.0</v>
      </c>
      <c r="H41" s="2">
        <v>46171.0</v>
      </c>
      <c r="I41" s="1" t="s">
        <v>14</v>
      </c>
      <c r="J41" s="1" t="s">
        <v>27</v>
      </c>
      <c r="K41" s="3">
        <v>32.58</v>
      </c>
    </row>
    <row r="42" ht="15.75" customHeight="1">
      <c r="A42" s="1" t="s">
        <v>11</v>
      </c>
      <c r="C42" s="1">
        <v>9254978.0</v>
      </c>
      <c r="D42" s="1" t="s">
        <v>83</v>
      </c>
      <c r="E42" s="1" t="s">
        <v>84</v>
      </c>
      <c r="F42" s="1">
        <v>2.0054968601E10</v>
      </c>
      <c r="G42" s="2">
        <v>46023.0</v>
      </c>
      <c r="H42" s="2">
        <v>46171.0</v>
      </c>
      <c r="I42" s="1" t="s">
        <v>14</v>
      </c>
      <c r="J42" s="1" t="s">
        <v>27</v>
      </c>
      <c r="K42" s="3">
        <v>32.58</v>
      </c>
    </row>
    <row r="43" ht="15.75" customHeight="1">
      <c r="A43" s="1" t="s">
        <v>11</v>
      </c>
      <c r="C43" s="1">
        <v>9254978.0</v>
      </c>
      <c r="D43" s="1" t="s">
        <v>85</v>
      </c>
      <c r="E43" s="1" t="s">
        <v>86</v>
      </c>
      <c r="F43" s="1">
        <v>2.0057066101E10</v>
      </c>
      <c r="G43" s="2">
        <v>46023.0</v>
      </c>
      <c r="H43" s="2">
        <v>46171.0</v>
      </c>
      <c r="I43" s="1" t="s">
        <v>14</v>
      </c>
      <c r="J43" s="1" t="s">
        <v>27</v>
      </c>
      <c r="K43" s="3">
        <v>32.58</v>
      </c>
    </row>
    <row r="44" ht="15.75" customHeight="1">
      <c r="A44" s="1" t="s">
        <v>17</v>
      </c>
      <c r="C44" s="1">
        <v>1.8598357E7</v>
      </c>
      <c r="D44" s="1" t="s">
        <v>76</v>
      </c>
      <c r="E44" s="1" t="s">
        <v>87</v>
      </c>
      <c r="F44" s="1">
        <v>2.0058750001E10</v>
      </c>
      <c r="G44" s="2">
        <v>46023.0</v>
      </c>
      <c r="H44" s="2">
        <v>46171.0</v>
      </c>
      <c r="I44" s="1" t="s">
        <v>14</v>
      </c>
      <c r="J44" s="1" t="s">
        <v>27</v>
      </c>
      <c r="K44" s="3">
        <v>32.58</v>
      </c>
    </row>
    <row r="45" ht="15.75" customHeight="1">
      <c r="A45" s="1" t="s">
        <v>88</v>
      </c>
      <c r="C45" s="1">
        <v>1.879474E7</v>
      </c>
      <c r="D45" s="1" t="s">
        <v>89</v>
      </c>
      <c r="E45" s="1" t="s">
        <v>90</v>
      </c>
      <c r="F45" s="1">
        <v>2.0063015901E10</v>
      </c>
      <c r="G45" s="2">
        <v>45292.0</v>
      </c>
      <c r="H45" s="2">
        <v>46171.0</v>
      </c>
      <c r="I45" s="1" t="s">
        <v>14</v>
      </c>
      <c r="J45" s="1" t="s">
        <v>27</v>
      </c>
      <c r="K45" s="3">
        <v>32.58</v>
      </c>
    </row>
    <row r="46" ht="15.75" customHeight="1">
      <c r="A46" s="1" t="s">
        <v>11</v>
      </c>
      <c r="C46" s="1">
        <v>9254978.0</v>
      </c>
      <c r="D46" s="1" t="s">
        <v>91</v>
      </c>
      <c r="E46" s="1" t="s">
        <v>92</v>
      </c>
      <c r="F46" s="1">
        <v>2.0063885901E10</v>
      </c>
      <c r="G46" s="2">
        <v>46023.0</v>
      </c>
      <c r="H46" s="2">
        <v>46171.0</v>
      </c>
      <c r="I46" s="1" t="s">
        <v>14</v>
      </c>
      <c r="J46" s="1" t="s">
        <v>27</v>
      </c>
      <c r="K46" s="3">
        <v>32.58</v>
      </c>
    </row>
    <row r="47" ht="15.75" customHeight="1">
      <c r="A47" s="1" t="s">
        <v>11</v>
      </c>
      <c r="C47" s="1">
        <v>9254978.0</v>
      </c>
      <c r="D47" s="1" t="s">
        <v>12</v>
      </c>
      <c r="E47" s="1" t="s">
        <v>13</v>
      </c>
      <c r="F47" s="1">
        <v>2.0111722101E10</v>
      </c>
      <c r="G47" s="2">
        <v>46204.0</v>
      </c>
      <c r="H47" s="2">
        <v>46171.0</v>
      </c>
      <c r="I47" s="1" t="s">
        <v>14</v>
      </c>
      <c r="J47" s="1" t="s">
        <v>93</v>
      </c>
      <c r="K47" s="3">
        <v>195.5</v>
      </c>
    </row>
    <row r="48" ht="15.75" customHeight="1">
      <c r="A48" s="1" t="s">
        <v>11</v>
      </c>
      <c r="C48" s="1">
        <v>9254978.0</v>
      </c>
      <c r="D48" s="1" t="s">
        <v>16</v>
      </c>
      <c r="E48" s="1" t="s">
        <v>13</v>
      </c>
      <c r="F48" s="1">
        <v>2.0111722201E10</v>
      </c>
      <c r="G48" s="2">
        <v>46204.0</v>
      </c>
      <c r="H48" s="2">
        <v>46171.0</v>
      </c>
      <c r="I48" s="1" t="s">
        <v>14</v>
      </c>
      <c r="J48" s="1" t="s">
        <v>93</v>
      </c>
      <c r="K48" s="3">
        <v>195.5</v>
      </c>
    </row>
    <row r="49" ht="15.75" customHeight="1">
      <c r="A49" s="1" t="s">
        <v>11</v>
      </c>
      <c r="C49" s="1">
        <v>9254978.0</v>
      </c>
      <c r="D49" s="1" t="s">
        <v>25</v>
      </c>
      <c r="E49" s="1" t="s">
        <v>26</v>
      </c>
      <c r="F49" s="1">
        <v>8.5742701E7</v>
      </c>
      <c r="G49" s="2">
        <v>46023.0</v>
      </c>
      <c r="H49" s="2">
        <v>46171.0</v>
      </c>
      <c r="I49" s="1" t="s">
        <v>14</v>
      </c>
      <c r="J49" s="1" t="s">
        <v>94</v>
      </c>
      <c r="K49" s="3">
        <v>3.12</v>
      </c>
    </row>
    <row r="50" ht="15.75" customHeight="1">
      <c r="A50" s="1" t="s">
        <v>11</v>
      </c>
      <c r="C50" s="1">
        <v>9254978.0</v>
      </c>
      <c r="D50" s="1" t="s">
        <v>28</v>
      </c>
      <c r="E50" s="1" t="s">
        <v>26</v>
      </c>
      <c r="F50" s="1">
        <v>9.6603301E7</v>
      </c>
      <c r="G50" s="2">
        <v>46023.0</v>
      </c>
      <c r="H50" s="2">
        <v>46171.0</v>
      </c>
      <c r="I50" s="1" t="s">
        <v>14</v>
      </c>
      <c r="J50" s="1" t="s">
        <v>94</v>
      </c>
      <c r="K50" s="3">
        <v>3.12</v>
      </c>
    </row>
    <row r="51" ht="15.75" customHeight="1">
      <c r="A51" s="1" t="s">
        <v>11</v>
      </c>
      <c r="C51" s="1">
        <v>9254978.0</v>
      </c>
      <c r="D51" s="1" t="s">
        <v>29</v>
      </c>
      <c r="E51" s="1" t="s">
        <v>30</v>
      </c>
      <c r="F51" s="1">
        <v>1.0008741301E10</v>
      </c>
      <c r="G51" s="2">
        <v>46023.0</v>
      </c>
      <c r="H51" s="2">
        <v>46171.0</v>
      </c>
      <c r="I51" s="1" t="s">
        <v>14</v>
      </c>
      <c r="J51" s="1" t="s">
        <v>94</v>
      </c>
      <c r="K51" s="3">
        <v>3.12</v>
      </c>
    </row>
    <row r="52" ht="15.75" customHeight="1">
      <c r="A52" s="1" t="s">
        <v>11</v>
      </c>
      <c r="C52" s="1">
        <v>9254978.0</v>
      </c>
      <c r="D52" s="1" t="s">
        <v>31</v>
      </c>
      <c r="E52" s="1" t="s">
        <v>32</v>
      </c>
      <c r="F52" s="1">
        <v>1.0028861101E10</v>
      </c>
      <c r="G52" s="2">
        <v>46054.0</v>
      </c>
      <c r="H52" s="2">
        <v>46171.0</v>
      </c>
      <c r="I52" s="1" t="s">
        <v>14</v>
      </c>
      <c r="J52" s="1" t="s">
        <v>94</v>
      </c>
      <c r="K52" s="3">
        <v>3.12</v>
      </c>
    </row>
    <row r="53" ht="15.75" customHeight="1">
      <c r="A53" s="1" t="s">
        <v>11</v>
      </c>
      <c r="C53" s="1">
        <v>9254978.0</v>
      </c>
      <c r="D53" s="1" t="s">
        <v>33</v>
      </c>
      <c r="E53" s="1" t="s">
        <v>34</v>
      </c>
      <c r="F53" s="1">
        <v>1.0096067901E10</v>
      </c>
      <c r="G53" s="2">
        <v>46023.0</v>
      </c>
      <c r="H53" s="2">
        <v>46171.0</v>
      </c>
      <c r="I53" s="1" t="s">
        <v>14</v>
      </c>
      <c r="J53" s="1" t="s">
        <v>94</v>
      </c>
      <c r="K53" s="3">
        <v>3.12</v>
      </c>
    </row>
    <row r="54" ht="15.75" customHeight="1">
      <c r="A54" s="1" t="s">
        <v>11</v>
      </c>
      <c r="C54" s="1">
        <v>9254978.0</v>
      </c>
      <c r="D54" s="1" t="s">
        <v>35</v>
      </c>
      <c r="E54" s="1" t="s">
        <v>36</v>
      </c>
      <c r="F54" s="1">
        <v>1.0124160901E10</v>
      </c>
      <c r="G54" s="2">
        <v>46023.0</v>
      </c>
      <c r="H54" s="2">
        <v>46171.0</v>
      </c>
      <c r="I54" s="1" t="s">
        <v>14</v>
      </c>
      <c r="J54" s="1" t="s">
        <v>94</v>
      </c>
      <c r="K54" s="3">
        <v>3.12</v>
      </c>
    </row>
    <row r="55" ht="15.75" customHeight="1">
      <c r="A55" s="1" t="s">
        <v>11</v>
      </c>
      <c r="C55" s="1">
        <v>9254978.0</v>
      </c>
      <c r="D55" s="1" t="s">
        <v>37</v>
      </c>
      <c r="E55" s="1" t="s">
        <v>30</v>
      </c>
      <c r="F55" s="1">
        <v>2.0009616401E10</v>
      </c>
      <c r="G55" s="2">
        <v>46023.0</v>
      </c>
      <c r="H55" s="2">
        <v>46171.0</v>
      </c>
      <c r="I55" s="1" t="s">
        <v>14</v>
      </c>
      <c r="J55" s="1" t="s">
        <v>94</v>
      </c>
      <c r="K55" s="3">
        <v>3.12</v>
      </c>
    </row>
    <row r="56" ht="15.75" customHeight="1">
      <c r="A56" s="1" t="s">
        <v>38</v>
      </c>
      <c r="C56" s="1">
        <v>1.5950276E7</v>
      </c>
      <c r="D56" s="1" t="s">
        <v>39</v>
      </c>
      <c r="E56" s="1" t="s">
        <v>40</v>
      </c>
      <c r="F56" s="1">
        <v>2.0010119701E10</v>
      </c>
      <c r="G56" s="2">
        <v>43466.0</v>
      </c>
      <c r="H56" s="2">
        <v>46171.0</v>
      </c>
      <c r="I56" s="1" t="s">
        <v>14</v>
      </c>
      <c r="J56" s="1" t="s">
        <v>94</v>
      </c>
      <c r="K56" s="3">
        <v>3.12</v>
      </c>
    </row>
    <row r="57" ht="15.75" customHeight="1">
      <c r="A57" s="1" t="s">
        <v>11</v>
      </c>
      <c r="C57" s="1">
        <v>9254978.0</v>
      </c>
      <c r="D57" s="1" t="s">
        <v>37</v>
      </c>
      <c r="E57" s="1" t="s">
        <v>41</v>
      </c>
      <c r="F57" s="1">
        <v>2.0011185201E10</v>
      </c>
      <c r="G57" s="2">
        <v>46023.0</v>
      </c>
      <c r="H57" s="2">
        <v>46171.0</v>
      </c>
      <c r="I57" s="1" t="s">
        <v>14</v>
      </c>
      <c r="J57" s="1" t="s">
        <v>94</v>
      </c>
      <c r="K57" s="3">
        <v>3.12</v>
      </c>
    </row>
    <row r="58" ht="15.75" customHeight="1">
      <c r="A58" s="1" t="s">
        <v>38</v>
      </c>
      <c r="C58" s="1">
        <v>1.5950276E7</v>
      </c>
      <c r="D58" s="1" t="s">
        <v>42</v>
      </c>
      <c r="E58" s="1" t="s">
        <v>43</v>
      </c>
      <c r="F58" s="1">
        <v>2.0020870101E10</v>
      </c>
      <c r="G58" s="2">
        <v>44197.0</v>
      </c>
      <c r="H58" s="2">
        <v>46171.0</v>
      </c>
      <c r="I58" s="1" t="s">
        <v>14</v>
      </c>
      <c r="J58" s="1" t="s">
        <v>94</v>
      </c>
      <c r="K58" s="3">
        <v>3.12</v>
      </c>
    </row>
    <row r="59" ht="15.75" customHeight="1">
      <c r="A59" s="1" t="s">
        <v>11</v>
      </c>
      <c r="C59" s="1">
        <v>9254978.0</v>
      </c>
      <c r="D59" s="1" t="s">
        <v>44</v>
      </c>
      <c r="E59" s="1" t="s">
        <v>45</v>
      </c>
      <c r="F59" s="1">
        <v>2.0027177601E10</v>
      </c>
      <c r="G59" s="2">
        <v>46023.0</v>
      </c>
      <c r="H59" s="2">
        <v>46171.0</v>
      </c>
      <c r="I59" s="1" t="s">
        <v>14</v>
      </c>
      <c r="J59" s="1" t="s">
        <v>94</v>
      </c>
      <c r="K59" s="3">
        <v>3.12</v>
      </c>
    </row>
    <row r="60" ht="15.75" customHeight="1">
      <c r="A60" s="1" t="s">
        <v>11</v>
      </c>
      <c r="C60" s="1">
        <v>9254978.0</v>
      </c>
      <c r="D60" s="1" t="s">
        <v>46</v>
      </c>
      <c r="E60" s="1" t="s">
        <v>45</v>
      </c>
      <c r="F60" s="1">
        <v>2.0027350401E10</v>
      </c>
      <c r="G60" s="2">
        <v>46023.0</v>
      </c>
      <c r="H60" s="2">
        <v>46171.0</v>
      </c>
      <c r="I60" s="1" t="s">
        <v>14</v>
      </c>
      <c r="J60" s="1" t="s">
        <v>94</v>
      </c>
      <c r="K60" s="3">
        <v>3.12</v>
      </c>
    </row>
    <row r="61" ht="15.75" customHeight="1">
      <c r="A61" s="1" t="s">
        <v>17</v>
      </c>
      <c r="C61" s="1">
        <v>1.8598357E7</v>
      </c>
      <c r="D61" s="1" t="s">
        <v>18</v>
      </c>
      <c r="E61" s="1" t="s">
        <v>19</v>
      </c>
      <c r="F61" s="1">
        <v>2.0031442801E10</v>
      </c>
      <c r="G61" s="2">
        <v>44927.0</v>
      </c>
      <c r="H61" s="2">
        <v>46171.0</v>
      </c>
      <c r="I61" s="1" t="s">
        <v>14</v>
      </c>
      <c r="J61" s="1" t="s">
        <v>94</v>
      </c>
      <c r="K61" s="3">
        <v>3.12</v>
      </c>
    </row>
    <row r="62" ht="15.75" customHeight="1">
      <c r="A62" s="1" t="s">
        <v>11</v>
      </c>
      <c r="C62" s="1">
        <v>9254978.0</v>
      </c>
      <c r="D62" s="1" t="s">
        <v>47</v>
      </c>
      <c r="E62" s="1" t="s">
        <v>48</v>
      </c>
      <c r="F62" s="1">
        <v>2.0032097801E10</v>
      </c>
      <c r="G62" s="2">
        <v>46023.0</v>
      </c>
      <c r="H62" s="2">
        <v>46171.0</v>
      </c>
      <c r="I62" s="1" t="s">
        <v>14</v>
      </c>
      <c r="J62" s="1" t="s">
        <v>94</v>
      </c>
      <c r="K62" s="3">
        <v>3.12</v>
      </c>
    </row>
    <row r="63" ht="15.75" customHeight="1">
      <c r="A63" s="1" t="s">
        <v>11</v>
      </c>
      <c r="C63" s="1">
        <v>9254978.0</v>
      </c>
      <c r="D63" s="1" t="s">
        <v>49</v>
      </c>
      <c r="E63" s="1" t="s">
        <v>50</v>
      </c>
      <c r="F63" s="1">
        <v>2.0032142301E10</v>
      </c>
      <c r="G63" s="2">
        <v>46023.0</v>
      </c>
      <c r="H63" s="2">
        <v>46171.0</v>
      </c>
      <c r="I63" s="1" t="s">
        <v>14</v>
      </c>
      <c r="J63" s="1" t="s">
        <v>94</v>
      </c>
      <c r="K63" s="3">
        <v>3.12</v>
      </c>
    </row>
    <row r="64" ht="15.75" customHeight="1">
      <c r="A64" s="1" t="s">
        <v>11</v>
      </c>
      <c r="C64" s="1">
        <v>9254978.0</v>
      </c>
      <c r="D64" s="1" t="s">
        <v>51</v>
      </c>
      <c r="E64" s="1" t="s">
        <v>50</v>
      </c>
      <c r="F64" s="1">
        <v>2.0032142501E10</v>
      </c>
      <c r="G64" s="2">
        <v>46023.0</v>
      </c>
      <c r="H64" s="2">
        <v>46171.0</v>
      </c>
      <c r="I64" s="1" t="s">
        <v>14</v>
      </c>
      <c r="J64" s="1" t="s">
        <v>94</v>
      </c>
      <c r="K64" s="3">
        <v>3.12</v>
      </c>
    </row>
    <row r="65" ht="15.75" customHeight="1">
      <c r="A65" s="1" t="s">
        <v>11</v>
      </c>
      <c r="C65" s="1">
        <v>9254978.0</v>
      </c>
      <c r="D65" s="1" t="s">
        <v>52</v>
      </c>
      <c r="E65" s="1" t="s">
        <v>53</v>
      </c>
      <c r="F65" s="1">
        <v>2.0032206001E10</v>
      </c>
      <c r="G65" s="2">
        <v>46023.0</v>
      </c>
      <c r="H65" s="2">
        <v>46171.0</v>
      </c>
      <c r="I65" s="1" t="s">
        <v>14</v>
      </c>
      <c r="J65" s="1" t="s">
        <v>94</v>
      </c>
      <c r="K65" s="3">
        <v>3.12</v>
      </c>
    </row>
    <row r="66" ht="15.75" customHeight="1">
      <c r="A66" s="1" t="s">
        <v>11</v>
      </c>
      <c r="C66" s="1">
        <v>9254978.0</v>
      </c>
      <c r="D66" s="1" t="s">
        <v>21</v>
      </c>
      <c r="E66" s="1" t="s">
        <v>22</v>
      </c>
      <c r="F66" s="1">
        <v>2.0037806301E10</v>
      </c>
      <c r="G66" s="2">
        <v>46023.0</v>
      </c>
      <c r="H66" s="2">
        <v>46171.0</v>
      </c>
      <c r="I66" s="1" t="s">
        <v>14</v>
      </c>
      <c r="J66" s="1" t="s">
        <v>94</v>
      </c>
      <c r="K66" s="3">
        <v>3.12</v>
      </c>
    </row>
    <row r="67" ht="15.75" customHeight="1">
      <c r="A67" s="1" t="s">
        <v>11</v>
      </c>
      <c r="C67" s="1">
        <v>9254978.0</v>
      </c>
      <c r="D67" s="1" t="s">
        <v>54</v>
      </c>
      <c r="E67" s="1" t="s">
        <v>55</v>
      </c>
      <c r="F67" s="1">
        <v>2.0038750301E10</v>
      </c>
      <c r="G67" s="2">
        <v>46023.0</v>
      </c>
      <c r="H67" s="2">
        <v>46171.0</v>
      </c>
      <c r="I67" s="1" t="s">
        <v>14</v>
      </c>
      <c r="J67" s="1" t="s">
        <v>94</v>
      </c>
      <c r="K67" s="3">
        <v>3.12</v>
      </c>
    </row>
    <row r="68" ht="15.75" customHeight="1">
      <c r="A68" s="1" t="s">
        <v>11</v>
      </c>
      <c r="C68" s="1">
        <v>9254978.0</v>
      </c>
      <c r="D68" s="1" t="s">
        <v>56</v>
      </c>
      <c r="E68" s="1" t="s">
        <v>57</v>
      </c>
      <c r="F68" s="1">
        <v>2.0038818301E10</v>
      </c>
      <c r="G68" s="2">
        <v>46023.0</v>
      </c>
      <c r="H68" s="2">
        <v>46171.0</v>
      </c>
      <c r="I68" s="1" t="s">
        <v>14</v>
      </c>
      <c r="J68" s="1" t="s">
        <v>94</v>
      </c>
      <c r="K68" s="3">
        <v>3.12</v>
      </c>
    </row>
    <row r="69" ht="15.75" customHeight="1">
      <c r="A69" s="1" t="s">
        <v>11</v>
      </c>
      <c r="C69" s="1">
        <v>9254978.0</v>
      </c>
      <c r="D69" s="1" t="s">
        <v>58</v>
      </c>
      <c r="E69" s="1" t="s">
        <v>57</v>
      </c>
      <c r="F69" s="1">
        <v>2.0038840001E10</v>
      </c>
      <c r="G69" s="2">
        <v>46023.0</v>
      </c>
      <c r="H69" s="2">
        <v>46171.0</v>
      </c>
      <c r="I69" s="1" t="s">
        <v>14</v>
      </c>
      <c r="J69" s="1" t="s">
        <v>94</v>
      </c>
      <c r="K69" s="3">
        <v>3.12</v>
      </c>
    </row>
    <row r="70" ht="15.75" customHeight="1">
      <c r="A70" s="1" t="s">
        <v>11</v>
      </c>
      <c r="C70" s="1">
        <v>9254978.0</v>
      </c>
      <c r="D70" s="1" t="s">
        <v>59</v>
      </c>
      <c r="E70" s="1" t="s">
        <v>60</v>
      </c>
      <c r="F70" s="1">
        <v>2.0038840101E10</v>
      </c>
      <c r="G70" s="2">
        <v>46023.0</v>
      </c>
      <c r="H70" s="2">
        <v>46171.0</v>
      </c>
      <c r="I70" s="1" t="s">
        <v>14</v>
      </c>
      <c r="J70" s="1" t="s">
        <v>94</v>
      </c>
      <c r="K70" s="3">
        <v>3.12</v>
      </c>
    </row>
    <row r="71" ht="15.75" customHeight="1">
      <c r="A71" s="1" t="s">
        <v>11</v>
      </c>
      <c r="C71" s="1">
        <v>9254978.0</v>
      </c>
      <c r="D71" s="1" t="s">
        <v>52</v>
      </c>
      <c r="E71" s="1" t="s">
        <v>61</v>
      </c>
      <c r="F71" s="1">
        <v>2.0038842601E10</v>
      </c>
      <c r="G71" s="2">
        <v>46023.0</v>
      </c>
      <c r="H71" s="2">
        <v>46171.0</v>
      </c>
      <c r="I71" s="1" t="s">
        <v>14</v>
      </c>
      <c r="J71" s="1" t="s">
        <v>94</v>
      </c>
      <c r="K71" s="3">
        <v>3.12</v>
      </c>
    </row>
    <row r="72" ht="15.75" customHeight="1">
      <c r="A72" s="1" t="s">
        <v>11</v>
      </c>
      <c r="C72" s="1">
        <v>9254978.0</v>
      </c>
      <c r="D72" s="1" t="s">
        <v>62</v>
      </c>
      <c r="E72" s="1" t="s">
        <v>63</v>
      </c>
      <c r="F72" s="1">
        <v>2.0039206601E10</v>
      </c>
      <c r="G72" s="2">
        <v>46023.0</v>
      </c>
      <c r="H72" s="2">
        <v>46171.0</v>
      </c>
      <c r="I72" s="1" t="s">
        <v>14</v>
      </c>
      <c r="J72" s="1" t="s">
        <v>94</v>
      </c>
      <c r="K72" s="3">
        <v>3.12</v>
      </c>
    </row>
    <row r="73" ht="15.75" customHeight="1">
      <c r="A73" s="1" t="s">
        <v>11</v>
      </c>
      <c r="C73" s="1">
        <v>9254978.0</v>
      </c>
      <c r="D73" s="1" t="s">
        <v>64</v>
      </c>
      <c r="E73" s="1" t="s">
        <v>63</v>
      </c>
      <c r="F73" s="1">
        <v>2.0039228601E10</v>
      </c>
      <c r="G73" s="2">
        <v>46023.0</v>
      </c>
      <c r="H73" s="2">
        <v>46171.0</v>
      </c>
      <c r="I73" s="1" t="s">
        <v>14</v>
      </c>
      <c r="J73" s="1" t="s">
        <v>94</v>
      </c>
      <c r="K73" s="3">
        <v>3.12</v>
      </c>
    </row>
    <row r="74" ht="15.75" customHeight="1">
      <c r="A74" s="1" t="s">
        <v>11</v>
      </c>
      <c r="C74" s="1">
        <v>9254978.0</v>
      </c>
      <c r="D74" s="1" t="s">
        <v>65</v>
      </c>
      <c r="E74" s="1" t="s">
        <v>66</v>
      </c>
      <c r="F74" s="1">
        <v>2.0039512801E10</v>
      </c>
      <c r="G74" s="2">
        <v>46023.0</v>
      </c>
      <c r="H74" s="2">
        <v>46171.0</v>
      </c>
      <c r="I74" s="1" t="s">
        <v>14</v>
      </c>
      <c r="J74" s="1" t="s">
        <v>94</v>
      </c>
      <c r="K74" s="3">
        <v>3.12</v>
      </c>
    </row>
    <row r="75" ht="15.75" customHeight="1">
      <c r="A75" s="1" t="s">
        <v>38</v>
      </c>
      <c r="C75" s="1">
        <v>1.5950276E7</v>
      </c>
      <c r="D75" s="1" t="s">
        <v>67</v>
      </c>
      <c r="E75" s="1" t="s">
        <v>40</v>
      </c>
      <c r="F75" s="1">
        <v>2.0039572101E10</v>
      </c>
      <c r="G75" s="2">
        <v>44531.0</v>
      </c>
      <c r="H75" s="2">
        <v>46171.0</v>
      </c>
      <c r="I75" s="1" t="s">
        <v>14</v>
      </c>
      <c r="J75" s="1" t="s">
        <v>94</v>
      </c>
      <c r="K75" s="3">
        <v>3.12</v>
      </c>
    </row>
    <row r="76" ht="15.75" customHeight="1">
      <c r="A76" s="1" t="s">
        <v>11</v>
      </c>
      <c r="C76" s="1">
        <v>9254978.0</v>
      </c>
      <c r="D76" s="1" t="s">
        <v>25</v>
      </c>
      <c r="E76" s="1" t="s">
        <v>45</v>
      </c>
      <c r="F76" s="1">
        <v>2.0039672401E10</v>
      </c>
      <c r="G76" s="2">
        <v>46023.0</v>
      </c>
      <c r="H76" s="2">
        <v>46171.0</v>
      </c>
      <c r="I76" s="1" t="s">
        <v>14</v>
      </c>
      <c r="J76" s="1" t="s">
        <v>94</v>
      </c>
      <c r="K76" s="3">
        <v>3.12</v>
      </c>
    </row>
    <row r="77" ht="15.75" customHeight="1">
      <c r="A77" s="1" t="s">
        <v>11</v>
      </c>
      <c r="C77" s="1">
        <v>9254978.0</v>
      </c>
      <c r="D77" s="1" t="s">
        <v>68</v>
      </c>
      <c r="E77" s="1" t="s">
        <v>45</v>
      </c>
      <c r="F77" s="1">
        <v>2.0039673901E10</v>
      </c>
      <c r="G77" s="2">
        <v>46023.0</v>
      </c>
      <c r="H77" s="2">
        <v>46171.0</v>
      </c>
      <c r="I77" s="1" t="s">
        <v>14</v>
      </c>
      <c r="J77" s="1" t="s">
        <v>94</v>
      </c>
      <c r="K77" s="3">
        <v>3.12</v>
      </c>
    </row>
    <row r="78" ht="15.75" customHeight="1">
      <c r="A78" s="1" t="s">
        <v>11</v>
      </c>
      <c r="C78" s="1">
        <v>9254978.0</v>
      </c>
      <c r="D78" s="1" t="s">
        <v>52</v>
      </c>
      <c r="E78" s="1" t="s">
        <v>69</v>
      </c>
      <c r="F78" s="1">
        <v>2.0040587601E10</v>
      </c>
      <c r="G78" s="2">
        <v>46023.0</v>
      </c>
      <c r="H78" s="2">
        <v>46171.0</v>
      </c>
      <c r="I78" s="1" t="s">
        <v>14</v>
      </c>
      <c r="J78" s="1" t="s">
        <v>94</v>
      </c>
      <c r="K78" s="3">
        <v>3.12</v>
      </c>
    </row>
    <row r="79" ht="15.75" customHeight="1">
      <c r="A79" s="1" t="s">
        <v>17</v>
      </c>
      <c r="C79" s="1">
        <v>1.8598357E7</v>
      </c>
      <c r="D79" s="1" t="s">
        <v>21</v>
      </c>
      <c r="E79" s="1" t="s">
        <v>70</v>
      </c>
      <c r="F79" s="1">
        <v>2.0041040101E10</v>
      </c>
      <c r="G79" s="2">
        <v>45809.0</v>
      </c>
      <c r="H79" s="2">
        <v>46171.0</v>
      </c>
      <c r="I79" s="1" t="s">
        <v>14</v>
      </c>
      <c r="J79" s="1" t="s">
        <v>94</v>
      </c>
      <c r="K79" s="3">
        <v>3.12</v>
      </c>
    </row>
    <row r="80" ht="15.75" customHeight="1">
      <c r="A80" s="1" t="s">
        <v>11</v>
      </c>
      <c r="C80" s="1">
        <v>9254978.0</v>
      </c>
      <c r="D80" s="1" t="s">
        <v>71</v>
      </c>
      <c r="E80" s="1" t="s">
        <v>72</v>
      </c>
      <c r="F80" s="1">
        <v>2.0041787401E10</v>
      </c>
      <c r="G80" s="2">
        <v>46023.0</v>
      </c>
      <c r="H80" s="2">
        <v>46171.0</v>
      </c>
      <c r="I80" s="1" t="s">
        <v>14</v>
      </c>
      <c r="J80" s="1" t="s">
        <v>94</v>
      </c>
      <c r="K80" s="3">
        <v>3.12</v>
      </c>
    </row>
    <row r="81" ht="15.75" customHeight="1">
      <c r="A81" s="1" t="s">
        <v>11</v>
      </c>
      <c r="C81" s="1">
        <v>9254978.0</v>
      </c>
      <c r="D81" s="1" t="s">
        <v>73</v>
      </c>
      <c r="E81" s="1" t="s">
        <v>72</v>
      </c>
      <c r="F81" s="1">
        <v>2.0041800601E10</v>
      </c>
      <c r="G81" s="2">
        <v>46023.0</v>
      </c>
      <c r="H81" s="2">
        <v>46171.0</v>
      </c>
      <c r="I81" s="1" t="s">
        <v>14</v>
      </c>
      <c r="J81" s="1" t="s">
        <v>94</v>
      </c>
      <c r="K81" s="3">
        <v>3.12</v>
      </c>
    </row>
    <row r="82" ht="15.75" customHeight="1">
      <c r="A82" s="1" t="s">
        <v>11</v>
      </c>
      <c r="C82" s="1">
        <v>9254978.0</v>
      </c>
      <c r="D82" s="1" t="s">
        <v>74</v>
      </c>
      <c r="E82" s="1" t="s">
        <v>75</v>
      </c>
      <c r="F82" s="1">
        <v>2.0042811101E10</v>
      </c>
      <c r="G82" s="2">
        <v>46023.0</v>
      </c>
      <c r="H82" s="2">
        <v>46171.0</v>
      </c>
      <c r="I82" s="1" t="s">
        <v>14</v>
      </c>
      <c r="J82" s="1" t="s">
        <v>94</v>
      </c>
      <c r="K82" s="3">
        <v>3.12</v>
      </c>
    </row>
    <row r="83" ht="15.75" customHeight="1">
      <c r="A83" s="1" t="s">
        <v>38</v>
      </c>
      <c r="C83" s="1">
        <v>1.5950276E7</v>
      </c>
      <c r="D83" s="1" t="s">
        <v>76</v>
      </c>
      <c r="E83" s="1" t="s">
        <v>77</v>
      </c>
      <c r="F83" s="1">
        <v>2.0043844601E10</v>
      </c>
      <c r="G83" s="2">
        <v>44713.0</v>
      </c>
      <c r="H83" s="2">
        <v>46171.0</v>
      </c>
      <c r="I83" s="1" t="s">
        <v>14</v>
      </c>
      <c r="J83" s="1" t="s">
        <v>94</v>
      </c>
      <c r="K83" s="3">
        <v>3.12</v>
      </c>
    </row>
    <row r="84" ht="15.75" customHeight="1">
      <c r="A84" s="1" t="s">
        <v>78</v>
      </c>
      <c r="C84" s="1">
        <v>1.7425766E7</v>
      </c>
      <c r="D84" s="1" t="s">
        <v>79</v>
      </c>
      <c r="E84" s="1" t="s">
        <v>80</v>
      </c>
      <c r="F84" s="1">
        <v>2.0044292901E10</v>
      </c>
      <c r="G84" s="2">
        <v>45689.0</v>
      </c>
      <c r="H84" s="2">
        <v>46171.0</v>
      </c>
      <c r="I84" s="1" t="s">
        <v>14</v>
      </c>
      <c r="J84" s="1" t="s">
        <v>94</v>
      </c>
      <c r="K84" s="3">
        <v>3.12</v>
      </c>
    </row>
    <row r="85" ht="15.75" customHeight="1">
      <c r="A85" s="1" t="s">
        <v>11</v>
      </c>
      <c r="C85" s="1">
        <v>9254978.0</v>
      </c>
      <c r="D85" s="1" t="s">
        <v>81</v>
      </c>
      <c r="E85" s="1" t="s">
        <v>82</v>
      </c>
      <c r="F85" s="1">
        <v>2.0045810201E10</v>
      </c>
      <c r="G85" s="2">
        <v>46023.0</v>
      </c>
      <c r="H85" s="2">
        <v>46171.0</v>
      </c>
      <c r="I85" s="1" t="s">
        <v>14</v>
      </c>
      <c r="J85" s="1" t="s">
        <v>94</v>
      </c>
      <c r="K85" s="3">
        <v>3.12</v>
      </c>
    </row>
    <row r="86" ht="15.75" customHeight="1">
      <c r="A86" s="1" t="s">
        <v>11</v>
      </c>
      <c r="C86" s="1">
        <v>9254978.0</v>
      </c>
      <c r="D86" s="1" t="s">
        <v>83</v>
      </c>
      <c r="E86" s="1" t="s">
        <v>84</v>
      </c>
      <c r="F86" s="1">
        <v>2.0054968601E10</v>
      </c>
      <c r="G86" s="2">
        <v>46023.0</v>
      </c>
      <c r="H86" s="2">
        <v>46171.0</v>
      </c>
      <c r="I86" s="1" t="s">
        <v>14</v>
      </c>
      <c r="J86" s="1" t="s">
        <v>94</v>
      </c>
      <c r="K86" s="3">
        <v>3.12</v>
      </c>
    </row>
    <row r="87" ht="15.75" customHeight="1">
      <c r="A87" s="1" t="s">
        <v>11</v>
      </c>
      <c r="C87" s="1">
        <v>9254978.0</v>
      </c>
      <c r="D87" s="1" t="s">
        <v>85</v>
      </c>
      <c r="E87" s="1" t="s">
        <v>86</v>
      </c>
      <c r="F87" s="1">
        <v>2.0057066101E10</v>
      </c>
      <c r="G87" s="2">
        <v>46023.0</v>
      </c>
      <c r="H87" s="2">
        <v>46171.0</v>
      </c>
      <c r="I87" s="1" t="s">
        <v>14</v>
      </c>
      <c r="J87" s="1" t="s">
        <v>94</v>
      </c>
      <c r="K87" s="3">
        <v>3.12</v>
      </c>
    </row>
    <row r="88" ht="15.75" customHeight="1">
      <c r="A88" s="1" t="s">
        <v>17</v>
      </c>
      <c r="C88" s="1">
        <v>1.8598357E7</v>
      </c>
      <c r="D88" s="1" t="s">
        <v>76</v>
      </c>
      <c r="E88" s="1" t="s">
        <v>87</v>
      </c>
      <c r="F88" s="1">
        <v>2.0058750001E10</v>
      </c>
      <c r="G88" s="2">
        <v>46023.0</v>
      </c>
      <c r="H88" s="2">
        <v>46171.0</v>
      </c>
      <c r="I88" s="1" t="s">
        <v>14</v>
      </c>
      <c r="J88" s="1" t="s">
        <v>94</v>
      </c>
      <c r="K88" s="3">
        <v>3.12</v>
      </c>
    </row>
    <row r="89" ht="15.75" customHeight="1">
      <c r="A89" s="1" t="s">
        <v>17</v>
      </c>
      <c r="C89" s="1">
        <v>1.8598357E7</v>
      </c>
      <c r="D89" s="1" t="s">
        <v>23</v>
      </c>
      <c r="E89" s="1" t="s">
        <v>24</v>
      </c>
      <c r="F89" s="1">
        <v>2.0061982301E10</v>
      </c>
      <c r="G89" s="2">
        <v>44986.0</v>
      </c>
      <c r="H89" s="2">
        <v>46171.0</v>
      </c>
      <c r="I89" s="1" t="s">
        <v>14</v>
      </c>
      <c r="J89" s="1" t="s">
        <v>94</v>
      </c>
      <c r="K89" s="3">
        <v>3.12</v>
      </c>
    </row>
    <row r="90" ht="15.75" customHeight="1">
      <c r="A90" s="1" t="s">
        <v>88</v>
      </c>
      <c r="C90" s="1">
        <v>1.879474E7</v>
      </c>
      <c r="D90" s="1" t="s">
        <v>89</v>
      </c>
      <c r="E90" s="1" t="s">
        <v>90</v>
      </c>
      <c r="F90" s="1">
        <v>2.0063015901E10</v>
      </c>
      <c r="G90" s="2">
        <v>45292.0</v>
      </c>
      <c r="H90" s="2">
        <v>46171.0</v>
      </c>
      <c r="I90" s="1" t="s">
        <v>14</v>
      </c>
      <c r="J90" s="1" t="s">
        <v>94</v>
      </c>
      <c r="K90" s="3">
        <v>3.12</v>
      </c>
    </row>
    <row r="91" ht="15.75" customHeight="1">
      <c r="A91" s="1" t="s">
        <v>11</v>
      </c>
      <c r="C91" s="1">
        <v>9254978.0</v>
      </c>
      <c r="D91" s="1" t="s">
        <v>91</v>
      </c>
      <c r="E91" s="1" t="s">
        <v>92</v>
      </c>
      <c r="F91" s="1">
        <v>2.0063885901E10</v>
      </c>
      <c r="G91" s="2">
        <v>46023.0</v>
      </c>
      <c r="H91" s="2">
        <v>46171.0</v>
      </c>
      <c r="I91" s="1" t="s">
        <v>14</v>
      </c>
      <c r="J91" s="1" t="s">
        <v>94</v>
      </c>
      <c r="K91" s="3">
        <v>3.12</v>
      </c>
    </row>
    <row r="92" ht="15.75" customHeight="1">
      <c r="A92" s="1" t="s">
        <v>11</v>
      </c>
      <c r="B92" s="1" t="s">
        <v>95</v>
      </c>
      <c r="C92" s="1">
        <v>9254978.0</v>
      </c>
      <c r="D92" s="1" t="s">
        <v>96</v>
      </c>
      <c r="E92" s="1" t="s">
        <v>97</v>
      </c>
      <c r="F92" s="1">
        <v>2.0088356201E10</v>
      </c>
      <c r="G92" s="2">
        <v>45658.0</v>
      </c>
      <c r="H92" s="2">
        <v>46171.0</v>
      </c>
      <c r="I92" s="1" t="s">
        <v>14</v>
      </c>
      <c r="J92" s="1" t="s">
        <v>94</v>
      </c>
      <c r="K92" s="3">
        <v>3.12</v>
      </c>
    </row>
    <row r="93" ht="15.75" customHeight="1">
      <c r="A93" s="1" t="s">
        <v>11</v>
      </c>
      <c r="B93" s="1" t="s">
        <v>95</v>
      </c>
      <c r="C93" s="1">
        <v>9254978.0</v>
      </c>
      <c r="D93" s="1" t="s">
        <v>98</v>
      </c>
      <c r="E93" s="1" t="s">
        <v>99</v>
      </c>
      <c r="F93" s="1">
        <v>2.0088358301E10</v>
      </c>
      <c r="G93" s="2">
        <v>45658.0</v>
      </c>
      <c r="H93" s="2">
        <v>46171.0</v>
      </c>
      <c r="I93" s="1" t="s">
        <v>14</v>
      </c>
      <c r="J93" s="1" t="s">
        <v>94</v>
      </c>
      <c r="K93" s="3">
        <v>3.12</v>
      </c>
    </row>
    <row r="94" ht="15.75" customHeight="1">
      <c r="A94" s="1" t="s">
        <v>11</v>
      </c>
      <c r="B94" s="1" t="s">
        <v>95</v>
      </c>
      <c r="C94" s="1">
        <v>9254978.0</v>
      </c>
      <c r="D94" s="1" t="s">
        <v>100</v>
      </c>
      <c r="E94" s="1" t="s">
        <v>99</v>
      </c>
      <c r="F94" s="1">
        <v>2.0088358501E10</v>
      </c>
      <c r="G94" s="2">
        <v>45658.0</v>
      </c>
      <c r="H94" s="2">
        <v>46171.0</v>
      </c>
      <c r="I94" s="1" t="s">
        <v>14</v>
      </c>
      <c r="J94" s="1" t="s">
        <v>94</v>
      </c>
      <c r="K94" s="3">
        <v>3.12</v>
      </c>
    </row>
    <row r="95" ht="15.75" customHeight="1">
      <c r="A95" s="1" t="s">
        <v>11</v>
      </c>
      <c r="B95" s="1" t="s">
        <v>95</v>
      </c>
      <c r="C95" s="1">
        <v>9254978.0</v>
      </c>
      <c r="D95" s="1" t="s">
        <v>101</v>
      </c>
      <c r="E95" s="1" t="s">
        <v>102</v>
      </c>
      <c r="F95" s="1">
        <v>2.0088846701E10</v>
      </c>
      <c r="G95" s="2">
        <v>45658.0</v>
      </c>
      <c r="H95" s="2">
        <v>46171.0</v>
      </c>
      <c r="I95" s="1" t="s">
        <v>14</v>
      </c>
      <c r="J95" s="1" t="s">
        <v>94</v>
      </c>
      <c r="K95" s="3">
        <v>3.12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95">
    <sortState ref="A1:K95">
      <sortCondition ref="J1:J95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0.71"/>
    <col customWidth="1" min="3" max="3" width="10.57"/>
    <col customWidth="1" min="4" max="5" width="14.71"/>
    <col customWidth="1" min="6" max="6" width="12.0"/>
    <col customWidth="1" min="7" max="7" width="14.14"/>
    <col customWidth="1" min="8" max="8" width="11.86"/>
    <col customWidth="1" min="9" max="9" width="14.71"/>
    <col customWidth="1" min="10" max="10" width="20.29"/>
    <col customWidth="1" min="11" max="11" width="55.71"/>
    <col customWidth="1" min="12" max="12" width="15.71"/>
    <col customWidth="1" min="13" max="13" width="25.14"/>
    <col customWidth="1" min="14" max="14" width="23.14"/>
    <col customWidth="1" min="15" max="15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 t="s">
        <v>103</v>
      </c>
      <c r="C2" s="1" t="s">
        <v>25</v>
      </c>
      <c r="D2" s="1" t="s">
        <v>26</v>
      </c>
      <c r="E2" s="1" t="str">
        <f t="shared" ref="E2:E92" si="1">CONCATENATE(C2," ",D2)</f>
        <v>Eugene Falls</v>
      </c>
      <c r="F2" s="1">
        <v>8.5742701E7</v>
      </c>
      <c r="G2" s="1" t="str">
        <f t="shared" ref="G2:G38" si="2">CONCATENATE(F2,33)</f>
        <v>8574270133</v>
      </c>
      <c r="H2" s="2">
        <v>46023.0</v>
      </c>
      <c r="I2" s="2">
        <v>46171.0</v>
      </c>
      <c r="J2" s="1" t="s">
        <v>14</v>
      </c>
      <c r="K2" s="1" t="s">
        <v>27</v>
      </c>
      <c r="L2" s="3">
        <v>32.58</v>
      </c>
      <c r="M2" s="4" t="s">
        <v>104</v>
      </c>
      <c r="N2" s="4" t="s">
        <v>105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11</v>
      </c>
      <c r="B3" s="1" t="s">
        <v>103</v>
      </c>
      <c r="C3" s="1" t="s">
        <v>28</v>
      </c>
      <c r="D3" s="1" t="s">
        <v>26</v>
      </c>
      <c r="E3" s="1" t="str">
        <f t="shared" si="1"/>
        <v>Lyndia Falls</v>
      </c>
      <c r="F3" s="1">
        <v>9.6603301E7</v>
      </c>
      <c r="G3" s="1" t="str">
        <f t="shared" si="2"/>
        <v>9660330133</v>
      </c>
      <c r="H3" s="2">
        <v>46023.0</v>
      </c>
      <c r="I3" s="2">
        <v>46171.0</v>
      </c>
      <c r="J3" s="1" t="s">
        <v>14</v>
      </c>
      <c r="K3" s="1" t="s">
        <v>27</v>
      </c>
      <c r="L3" s="3">
        <v>32.58</v>
      </c>
      <c r="M3" s="4" t="s">
        <v>104</v>
      </c>
      <c r="N3" s="4" t="s">
        <v>105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11</v>
      </c>
      <c r="B4" s="1" t="s">
        <v>103</v>
      </c>
      <c r="C4" s="1" t="s">
        <v>29</v>
      </c>
      <c r="D4" s="1" t="s">
        <v>30</v>
      </c>
      <c r="E4" s="1" t="str">
        <f t="shared" si="1"/>
        <v>Susan Havens</v>
      </c>
      <c r="F4" s="1">
        <v>1.0008741301E10</v>
      </c>
      <c r="G4" s="1" t="str">
        <f t="shared" si="2"/>
        <v>1000874130133</v>
      </c>
      <c r="H4" s="2">
        <v>46023.0</v>
      </c>
      <c r="I4" s="2">
        <v>46171.0</v>
      </c>
      <c r="J4" s="1" t="s">
        <v>14</v>
      </c>
      <c r="K4" s="1" t="s">
        <v>27</v>
      </c>
      <c r="L4" s="3">
        <v>32.58</v>
      </c>
      <c r="M4" s="4" t="s">
        <v>104</v>
      </c>
      <c r="N4" s="4" t="s">
        <v>105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11</v>
      </c>
      <c r="B5" s="1" t="s">
        <v>103</v>
      </c>
      <c r="C5" s="1" t="s">
        <v>31</v>
      </c>
      <c r="D5" s="1" t="s">
        <v>32</v>
      </c>
      <c r="E5" s="1" t="str">
        <f t="shared" si="1"/>
        <v>Robert Dehaas</v>
      </c>
      <c r="F5" s="1">
        <v>1.0028861101E10</v>
      </c>
      <c r="G5" s="1" t="str">
        <f t="shared" si="2"/>
        <v>1002886110133</v>
      </c>
      <c r="H5" s="2">
        <v>46054.0</v>
      </c>
      <c r="I5" s="2">
        <v>46171.0</v>
      </c>
      <c r="J5" s="1" t="s">
        <v>14</v>
      </c>
      <c r="K5" s="1" t="s">
        <v>27</v>
      </c>
      <c r="L5" s="3">
        <v>32.58</v>
      </c>
      <c r="M5" s="4" t="s">
        <v>104</v>
      </c>
      <c r="N5" s="4" t="s">
        <v>105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11</v>
      </c>
      <c r="B6" s="1" t="s">
        <v>103</v>
      </c>
      <c r="C6" s="1" t="s">
        <v>33</v>
      </c>
      <c r="D6" s="1" t="s">
        <v>34</v>
      </c>
      <c r="E6" s="1" t="str">
        <f t="shared" si="1"/>
        <v>Judy Detar</v>
      </c>
      <c r="F6" s="1">
        <v>1.0096067901E10</v>
      </c>
      <c r="G6" s="1" t="str">
        <f t="shared" si="2"/>
        <v>1009606790133</v>
      </c>
      <c r="H6" s="2">
        <v>46023.0</v>
      </c>
      <c r="I6" s="2">
        <v>46171.0</v>
      </c>
      <c r="J6" s="1" t="s">
        <v>14</v>
      </c>
      <c r="K6" s="1" t="s">
        <v>27</v>
      </c>
      <c r="L6" s="3">
        <v>32.58</v>
      </c>
      <c r="M6" s="4" t="s">
        <v>104</v>
      </c>
      <c r="N6" s="4" t="s">
        <v>105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11</v>
      </c>
      <c r="B7" s="1" t="s">
        <v>103</v>
      </c>
      <c r="C7" s="1" t="s">
        <v>35</v>
      </c>
      <c r="D7" s="1" t="s">
        <v>36</v>
      </c>
      <c r="E7" s="1" t="str">
        <f t="shared" si="1"/>
        <v>Jackalin Haines</v>
      </c>
      <c r="F7" s="1">
        <v>1.0124160901E10</v>
      </c>
      <c r="G7" s="1" t="str">
        <f t="shared" si="2"/>
        <v>1012416090133</v>
      </c>
      <c r="H7" s="2">
        <v>46023.0</v>
      </c>
      <c r="I7" s="2">
        <v>46171.0</v>
      </c>
      <c r="J7" s="1" t="s">
        <v>14</v>
      </c>
      <c r="K7" s="1" t="s">
        <v>27</v>
      </c>
      <c r="L7" s="3">
        <v>32.58</v>
      </c>
      <c r="M7" s="4" t="s">
        <v>104</v>
      </c>
      <c r="N7" s="4" t="s">
        <v>105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11</v>
      </c>
      <c r="B8" s="1" t="s">
        <v>103</v>
      </c>
      <c r="C8" s="1" t="s">
        <v>37</v>
      </c>
      <c r="D8" s="1" t="s">
        <v>30</v>
      </c>
      <c r="E8" s="1" t="str">
        <f t="shared" si="1"/>
        <v>Thomas Havens</v>
      </c>
      <c r="F8" s="1">
        <v>2.0009616401E10</v>
      </c>
      <c r="G8" s="1" t="str">
        <f t="shared" si="2"/>
        <v>2000961640133</v>
      </c>
      <c r="H8" s="2">
        <v>46023.0</v>
      </c>
      <c r="I8" s="2">
        <v>46171.0</v>
      </c>
      <c r="J8" s="1" t="s">
        <v>14</v>
      </c>
      <c r="K8" s="1" t="s">
        <v>27</v>
      </c>
      <c r="L8" s="3">
        <v>32.58</v>
      </c>
      <c r="M8" s="4" t="s">
        <v>104</v>
      </c>
      <c r="N8" s="4" t="s">
        <v>105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11</v>
      </c>
      <c r="B9" s="1" t="s">
        <v>103</v>
      </c>
      <c r="C9" s="1" t="s">
        <v>37</v>
      </c>
      <c r="D9" s="1" t="s">
        <v>41</v>
      </c>
      <c r="E9" s="1" t="str">
        <f t="shared" si="1"/>
        <v>Thomas Gardner</v>
      </c>
      <c r="F9" s="1">
        <v>2.0011185201E10</v>
      </c>
      <c r="G9" s="1" t="str">
        <f t="shared" si="2"/>
        <v>2001118520133</v>
      </c>
      <c r="H9" s="2">
        <v>46023.0</v>
      </c>
      <c r="I9" s="2">
        <v>46171.0</v>
      </c>
      <c r="J9" s="1" t="s">
        <v>14</v>
      </c>
      <c r="K9" s="1" t="s">
        <v>27</v>
      </c>
      <c r="L9" s="3">
        <v>32.58</v>
      </c>
      <c r="M9" s="4" t="s">
        <v>104</v>
      </c>
      <c r="N9" s="4" t="s">
        <v>105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11</v>
      </c>
      <c r="B10" s="1" t="s">
        <v>103</v>
      </c>
      <c r="C10" s="1" t="s">
        <v>44</v>
      </c>
      <c r="D10" s="1" t="s">
        <v>45</v>
      </c>
      <c r="E10" s="1" t="str">
        <f t="shared" si="1"/>
        <v>Deborah Weaver</v>
      </c>
      <c r="F10" s="1">
        <v>2.0027177601E10</v>
      </c>
      <c r="G10" s="1" t="str">
        <f t="shared" si="2"/>
        <v>2002717760133</v>
      </c>
      <c r="H10" s="2">
        <v>46023.0</v>
      </c>
      <c r="I10" s="2">
        <v>46171.0</v>
      </c>
      <c r="J10" s="1" t="s">
        <v>14</v>
      </c>
      <c r="K10" s="1" t="s">
        <v>27</v>
      </c>
      <c r="L10" s="3">
        <v>32.58</v>
      </c>
      <c r="M10" s="4" t="s">
        <v>104</v>
      </c>
      <c r="N10" s="4" t="s">
        <v>105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11</v>
      </c>
      <c r="B11" s="1" t="s">
        <v>103</v>
      </c>
      <c r="C11" s="1" t="s">
        <v>46</v>
      </c>
      <c r="D11" s="1" t="s">
        <v>45</v>
      </c>
      <c r="E11" s="1" t="str">
        <f t="shared" si="1"/>
        <v>Kenneth Weaver</v>
      </c>
      <c r="F11" s="1">
        <v>2.0027350401E10</v>
      </c>
      <c r="G11" s="1" t="str">
        <f t="shared" si="2"/>
        <v>2002735040133</v>
      </c>
      <c r="H11" s="2">
        <v>46023.0</v>
      </c>
      <c r="I11" s="2">
        <v>46171.0</v>
      </c>
      <c r="J11" s="1" t="s">
        <v>14</v>
      </c>
      <c r="K11" s="1" t="s">
        <v>27</v>
      </c>
      <c r="L11" s="3">
        <v>32.58</v>
      </c>
      <c r="M11" s="4" t="s">
        <v>104</v>
      </c>
      <c r="N11" s="4" t="s">
        <v>105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11</v>
      </c>
      <c r="B12" s="1" t="s">
        <v>103</v>
      </c>
      <c r="C12" s="1" t="s">
        <v>47</v>
      </c>
      <c r="D12" s="1" t="s">
        <v>48</v>
      </c>
      <c r="E12" s="1" t="str">
        <f t="shared" si="1"/>
        <v>Melinda Barnett</v>
      </c>
      <c r="F12" s="1">
        <v>2.0032097801E10</v>
      </c>
      <c r="G12" s="1" t="str">
        <f t="shared" si="2"/>
        <v>2003209780133</v>
      </c>
      <c r="H12" s="2">
        <v>46023.0</v>
      </c>
      <c r="I12" s="2">
        <v>46171.0</v>
      </c>
      <c r="J12" s="1" t="s">
        <v>14</v>
      </c>
      <c r="K12" s="1" t="s">
        <v>27</v>
      </c>
      <c r="L12" s="3">
        <v>32.58</v>
      </c>
      <c r="M12" s="4" t="s">
        <v>104</v>
      </c>
      <c r="N12" s="4" t="s">
        <v>105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11</v>
      </c>
      <c r="B13" s="1" t="s">
        <v>103</v>
      </c>
      <c r="C13" s="1" t="s">
        <v>49</v>
      </c>
      <c r="D13" s="1" t="s">
        <v>50</v>
      </c>
      <c r="E13" s="1" t="str">
        <f t="shared" si="1"/>
        <v>Harold Riser</v>
      </c>
      <c r="F13" s="1">
        <v>2.0032142301E10</v>
      </c>
      <c r="G13" s="1" t="str">
        <f t="shared" si="2"/>
        <v>2003214230133</v>
      </c>
      <c r="H13" s="2">
        <v>46023.0</v>
      </c>
      <c r="I13" s="2">
        <v>46171.0</v>
      </c>
      <c r="J13" s="1" t="s">
        <v>14</v>
      </c>
      <c r="K13" s="1" t="s">
        <v>27</v>
      </c>
      <c r="L13" s="3">
        <v>32.58</v>
      </c>
      <c r="M13" s="4" t="s">
        <v>104</v>
      </c>
      <c r="N13" s="4" t="s">
        <v>105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11</v>
      </c>
      <c r="B14" s="1" t="s">
        <v>103</v>
      </c>
      <c r="C14" s="1" t="s">
        <v>51</v>
      </c>
      <c r="D14" s="1" t="s">
        <v>50</v>
      </c>
      <c r="E14" s="1" t="str">
        <f t="shared" si="1"/>
        <v>Molly Riser</v>
      </c>
      <c r="F14" s="1">
        <v>2.0032142501E10</v>
      </c>
      <c r="G14" s="1" t="str">
        <f t="shared" si="2"/>
        <v>2003214250133</v>
      </c>
      <c r="H14" s="2">
        <v>46023.0</v>
      </c>
      <c r="I14" s="2">
        <v>46171.0</v>
      </c>
      <c r="J14" s="1" t="s">
        <v>14</v>
      </c>
      <c r="K14" s="1" t="s">
        <v>27</v>
      </c>
      <c r="L14" s="3">
        <v>32.58</v>
      </c>
      <c r="M14" s="4" t="s">
        <v>104</v>
      </c>
      <c r="N14" s="4" t="s">
        <v>105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11</v>
      </c>
      <c r="B15" s="1" t="s">
        <v>103</v>
      </c>
      <c r="C15" s="1" t="s">
        <v>52</v>
      </c>
      <c r="D15" s="1" t="s">
        <v>53</v>
      </c>
      <c r="E15" s="1" t="str">
        <f t="shared" si="1"/>
        <v>John Etters</v>
      </c>
      <c r="F15" s="1">
        <v>2.0032206001E10</v>
      </c>
      <c r="G15" s="1" t="str">
        <f t="shared" si="2"/>
        <v>2003220600133</v>
      </c>
      <c r="H15" s="2">
        <v>46023.0</v>
      </c>
      <c r="I15" s="2">
        <v>46171.0</v>
      </c>
      <c r="J15" s="1" t="s">
        <v>14</v>
      </c>
      <c r="K15" s="1" t="s">
        <v>27</v>
      </c>
      <c r="L15" s="3">
        <v>32.58</v>
      </c>
      <c r="M15" s="4" t="s">
        <v>104</v>
      </c>
      <c r="N15" s="4" t="s">
        <v>105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11</v>
      </c>
      <c r="B16" s="1" t="s">
        <v>103</v>
      </c>
      <c r="C16" s="1" t="s">
        <v>54</v>
      </c>
      <c r="D16" s="1" t="s">
        <v>55</v>
      </c>
      <c r="E16" s="1" t="str">
        <f t="shared" si="1"/>
        <v>Cindy Bair</v>
      </c>
      <c r="F16" s="1">
        <v>2.0038750301E10</v>
      </c>
      <c r="G16" s="1" t="str">
        <f t="shared" si="2"/>
        <v>2003875030133</v>
      </c>
      <c r="H16" s="2">
        <v>46023.0</v>
      </c>
      <c r="I16" s="2">
        <v>46171.0</v>
      </c>
      <c r="J16" s="1" t="s">
        <v>14</v>
      </c>
      <c r="K16" s="1" t="s">
        <v>27</v>
      </c>
      <c r="L16" s="3">
        <v>32.58</v>
      </c>
      <c r="M16" s="4" t="s">
        <v>104</v>
      </c>
      <c r="N16" s="4" t="s">
        <v>105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11</v>
      </c>
      <c r="B17" s="1" t="s">
        <v>103</v>
      </c>
      <c r="C17" s="1" t="s">
        <v>56</v>
      </c>
      <c r="D17" s="1" t="s">
        <v>57</v>
      </c>
      <c r="E17" s="1" t="str">
        <f t="shared" si="1"/>
        <v>Terrence Benton</v>
      </c>
      <c r="F17" s="1">
        <v>2.0038818301E10</v>
      </c>
      <c r="G17" s="1" t="str">
        <f t="shared" si="2"/>
        <v>2003881830133</v>
      </c>
      <c r="H17" s="2">
        <v>46023.0</v>
      </c>
      <c r="I17" s="2">
        <v>46171.0</v>
      </c>
      <c r="J17" s="1" t="s">
        <v>14</v>
      </c>
      <c r="K17" s="1" t="s">
        <v>27</v>
      </c>
      <c r="L17" s="3">
        <v>32.58</v>
      </c>
      <c r="M17" s="4" t="s">
        <v>104</v>
      </c>
      <c r="N17" s="4" t="s">
        <v>105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11</v>
      </c>
      <c r="B18" s="1" t="s">
        <v>103</v>
      </c>
      <c r="C18" s="1" t="s">
        <v>58</v>
      </c>
      <c r="D18" s="1" t="s">
        <v>57</v>
      </c>
      <c r="E18" s="1" t="str">
        <f t="shared" si="1"/>
        <v>Jacqueline Benton</v>
      </c>
      <c r="F18" s="1">
        <v>2.0038840001E10</v>
      </c>
      <c r="G18" s="1" t="str">
        <f t="shared" si="2"/>
        <v>2003884000133</v>
      </c>
      <c r="H18" s="2">
        <v>46023.0</v>
      </c>
      <c r="I18" s="2">
        <v>46171.0</v>
      </c>
      <c r="J18" s="1" t="s">
        <v>14</v>
      </c>
      <c r="K18" s="1" t="s">
        <v>27</v>
      </c>
      <c r="L18" s="3">
        <v>32.58</v>
      </c>
      <c r="M18" s="4" t="s">
        <v>104</v>
      </c>
      <c r="N18" s="4" t="s">
        <v>105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11</v>
      </c>
      <c r="B19" s="1" t="s">
        <v>103</v>
      </c>
      <c r="C19" s="1" t="s">
        <v>59</v>
      </c>
      <c r="D19" s="1" t="s">
        <v>60</v>
      </c>
      <c r="E19" s="1" t="str">
        <f t="shared" si="1"/>
        <v>Glenn Mccloskey</v>
      </c>
      <c r="F19" s="1">
        <v>2.0038840101E10</v>
      </c>
      <c r="G19" s="1" t="str">
        <f t="shared" si="2"/>
        <v>2003884010133</v>
      </c>
      <c r="H19" s="2">
        <v>46023.0</v>
      </c>
      <c r="I19" s="2">
        <v>46171.0</v>
      </c>
      <c r="J19" s="1" t="s">
        <v>14</v>
      </c>
      <c r="K19" s="1" t="s">
        <v>27</v>
      </c>
      <c r="L19" s="3">
        <v>32.58</v>
      </c>
      <c r="M19" s="4" t="s">
        <v>104</v>
      </c>
      <c r="N19" s="4" t="s">
        <v>105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11</v>
      </c>
      <c r="B20" s="1" t="s">
        <v>103</v>
      </c>
      <c r="C20" s="1" t="s">
        <v>52</v>
      </c>
      <c r="D20" s="1" t="s">
        <v>61</v>
      </c>
      <c r="E20" s="1" t="str">
        <f t="shared" si="1"/>
        <v>John Coursen</v>
      </c>
      <c r="F20" s="1">
        <v>2.0038842601E10</v>
      </c>
      <c r="G20" s="1" t="str">
        <f t="shared" si="2"/>
        <v>2003884260133</v>
      </c>
      <c r="H20" s="2">
        <v>46023.0</v>
      </c>
      <c r="I20" s="2">
        <v>46171.0</v>
      </c>
      <c r="J20" s="1" t="s">
        <v>14</v>
      </c>
      <c r="K20" s="1" t="s">
        <v>27</v>
      </c>
      <c r="L20" s="3">
        <v>32.58</v>
      </c>
      <c r="M20" s="4" t="s">
        <v>104</v>
      </c>
      <c r="N20" s="4" t="s">
        <v>105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 t="s">
        <v>11</v>
      </c>
      <c r="B21" s="1" t="s">
        <v>103</v>
      </c>
      <c r="C21" s="1" t="s">
        <v>62</v>
      </c>
      <c r="D21" s="1" t="s">
        <v>63</v>
      </c>
      <c r="E21" s="1" t="str">
        <f t="shared" si="1"/>
        <v>Betty Corman</v>
      </c>
      <c r="F21" s="1">
        <v>2.0039206601E10</v>
      </c>
      <c r="G21" s="1" t="str">
        <f t="shared" si="2"/>
        <v>2003920660133</v>
      </c>
      <c r="H21" s="2">
        <v>46023.0</v>
      </c>
      <c r="I21" s="2">
        <v>46171.0</v>
      </c>
      <c r="J21" s="1" t="s">
        <v>14</v>
      </c>
      <c r="K21" s="1" t="s">
        <v>27</v>
      </c>
      <c r="L21" s="3">
        <v>32.58</v>
      </c>
      <c r="M21" s="4" t="s">
        <v>104</v>
      </c>
      <c r="N21" s="4" t="s">
        <v>105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 t="s">
        <v>11</v>
      </c>
      <c r="B22" s="1" t="s">
        <v>103</v>
      </c>
      <c r="C22" s="1" t="s">
        <v>64</v>
      </c>
      <c r="D22" s="1" t="s">
        <v>63</v>
      </c>
      <c r="E22" s="1" t="str">
        <f t="shared" si="1"/>
        <v>Ray Corman</v>
      </c>
      <c r="F22" s="1">
        <v>2.0039228601E10</v>
      </c>
      <c r="G22" s="1" t="str">
        <f t="shared" si="2"/>
        <v>2003922860133</v>
      </c>
      <c r="H22" s="2">
        <v>46023.0</v>
      </c>
      <c r="I22" s="2">
        <v>46171.0</v>
      </c>
      <c r="J22" s="1" t="s">
        <v>14</v>
      </c>
      <c r="K22" s="1" t="s">
        <v>27</v>
      </c>
      <c r="L22" s="3">
        <v>32.58</v>
      </c>
      <c r="M22" s="4" t="s">
        <v>104</v>
      </c>
      <c r="N22" s="4" t="s">
        <v>105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 t="s">
        <v>11</v>
      </c>
      <c r="B23" s="1" t="s">
        <v>103</v>
      </c>
      <c r="C23" s="1" t="s">
        <v>65</v>
      </c>
      <c r="D23" s="1" t="s">
        <v>66</v>
      </c>
      <c r="E23" s="1" t="str">
        <f t="shared" si="1"/>
        <v>Daniel Brownson</v>
      </c>
      <c r="F23" s="1">
        <v>2.0039512801E10</v>
      </c>
      <c r="G23" s="1" t="str">
        <f t="shared" si="2"/>
        <v>2003951280133</v>
      </c>
      <c r="H23" s="2">
        <v>46023.0</v>
      </c>
      <c r="I23" s="2">
        <v>46171.0</v>
      </c>
      <c r="J23" s="1" t="s">
        <v>14</v>
      </c>
      <c r="K23" s="1" t="s">
        <v>27</v>
      </c>
      <c r="L23" s="3">
        <v>32.58</v>
      </c>
      <c r="M23" s="4" t="s">
        <v>104</v>
      </c>
      <c r="N23" s="4" t="s">
        <v>105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 t="s">
        <v>11</v>
      </c>
      <c r="B24" s="1" t="s">
        <v>103</v>
      </c>
      <c r="C24" s="1" t="s">
        <v>25</v>
      </c>
      <c r="D24" s="1" t="s">
        <v>45</v>
      </c>
      <c r="E24" s="1" t="str">
        <f t="shared" si="1"/>
        <v>Eugene Weaver</v>
      </c>
      <c r="F24" s="1">
        <v>2.0039672401E10</v>
      </c>
      <c r="G24" s="1" t="str">
        <f t="shared" si="2"/>
        <v>2003967240133</v>
      </c>
      <c r="H24" s="2">
        <v>46023.0</v>
      </c>
      <c r="I24" s="2">
        <v>46171.0</v>
      </c>
      <c r="J24" s="1" t="s">
        <v>14</v>
      </c>
      <c r="K24" s="1" t="s">
        <v>27</v>
      </c>
      <c r="L24" s="3">
        <v>32.58</v>
      </c>
      <c r="M24" s="4" t="s">
        <v>104</v>
      </c>
      <c r="N24" s="4" t="s">
        <v>105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 t="s">
        <v>11</v>
      </c>
      <c r="B25" s="1" t="s">
        <v>103</v>
      </c>
      <c r="C25" s="1" t="s">
        <v>68</v>
      </c>
      <c r="D25" s="1" t="s">
        <v>45</v>
      </c>
      <c r="E25" s="1" t="str">
        <f t="shared" si="1"/>
        <v>Deanna Weaver</v>
      </c>
      <c r="F25" s="1">
        <v>2.0039673901E10</v>
      </c>
      <c r="G25" s="1" t="str">
        <f t="shared" si="2"/>
        <v>2003967390133</v>
      </c>
      <c r="H25" s="2">
        <v>46023.0</v>
      </c>
      <c r="I25" s="2">
        <v>46171.0</v>
      </c>
      <c r="J25" s="1" t="s">
        <v>14</v>
      </c>
      <c r="K25" s="1" t="s">
        <v>27</v>
      </c>
      <c r="L25" s="3">
        <v>32.58</v>
      </c>
      <c r="M25" s="4" t="s">
        <v>104</v>
      </c>
      <c r="N25" s="4" t="s">
        <v>105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 t="s">
        <v>11</v>
      </c>
      <c r="B26" s="1" t="s">
        <v>103</v>
      </c>
      <c r="C26" s="1" t="s">
        <v>52</v>
      </c>
      <c r="D26" s="1" t="s">
        <v>69</v>
      </c>
      <c r="E26" s="1" t="str">
        <f t="shared" si="1"/>
        <v>John Potter</v>
      </c>
      <c r="F26" s="1">
        <v>2.0040587601E10</v>
      </c>
      <c r="G26" s="1" t="str">
        <f t="shared" si="2"/>
        <v>2004058760133</v>
      </c>
      <c r="H26" s="2">
        <v>46023.0</v>
      </c>
      <c r="I26" s="2">
        <v>46171.0</v>
      </c>
      <c r="J26" s="1" t="s">
        <v>14</v>
      </c>
      <c r="K26" s="1" t="s">
        <v>27</v>
      </c>
      <c r="L26" s="3">
        <v>32.58</v>
      </c>
      <c r="M26" s="4" t="s">
        <v>104</v>
      </c>
      <c r="N26" s="4" t="s">
        <v>105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 t="s">
        <v>11</v>
      </c>
      <c r="B27" s="1" t="s">
        <v>103</v>
      </c>
      <c r="C27" s="1" t="s">
        <v>71</v>
      </c>
      <c r="D27" s="1" t="s">
        <v>72</v>
      </c>
      <c r="E27" s="1" t="str">
        <f t="shared" si="1"/>
        <v>Irving Davies</v>
      </c>
      <c r="F27" s="1">
        <v>2.0041787401E10</v>
      </c>
      <c r="G27" s="1" t="str">
        <f t="shared" si="2"/>
        <v>2004178740133</v>
      </c>
      <c r="H27" s="2">
        <v>46023.0</v>
      </c>
      <c r="I27" s="2">
        <v>46171.0</v>
      </c>
      <c r="J27" s="1" t="s">
        <v>14</v>
      </c>
      <c r="K27" s="1" t="s">
        <v>27</v>
      </c>
      <c r="L27" s="3">
        <v>32.58</v>
      </c>
      <c r="M27" s="4" t="s">
        <v>104</v>
      </c>
      <c r="N27" s="4" t="s">
        <v>105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 t="s">
        <v>11</v>
      </c>
      <c r="B28" s="1" t="s">
        <v>103</v>
      </c>
      <c r="C28" s="1" t="s">
        <v>73</v>
      </c>
      <c r="D28" s="1" t="s">
        <v>72</v>
      </c>
      <c r="E28" s="1" t="str">
        <f t="shared" si="1"/>
        <v>Thelma Davies</v>
      </c>
      <c r="F28" s="1">
        <v>2.0041800601E10</v>
      </c>
      <c r="G28" s="1" t="str">
        <f t="shared" si="2"/>
        <v>2004180060133</v>
      </c>
      <c r="H28" s="2">
        <v>46023.0</v>
      </c>
      <c r="I28" s="2">
        <v>46171.0</v>
      </c>
      <c r="J28" s="1" t="s">
        <v>14</v>
      </c>
      <c r="K28" s="1" t="s">
        <v>27</v>
      </c>
      <c r="L28" s="3">
        <v>32.58</v>
      </c>
      <c r="M28" s="4" t="s">
        <v>104</v>
      </c>
      <c r="N28" s="4" t="s">
        <v>105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 t="s">
        <v>11</v>
      </c>
      <c r="B29" s="1" t="s">
        <v>103</v>
      </c>
      <c r="C29" s="1" t="s">
        <v>74</v>
      </c>
      <c r="D29" s="1" t="s">
        <v>75</v>
      </c>
      <c r="E29" s="1" t="str">
        <f t="shared" si="1"/>
        <v>Cindye Rudy</v>
      </c>
      <c r="F29" s="1">
        <v>2.0042811101E10</v>
      </c>
      <c r="G29" s="1" t="str">
        <f t="shared" si="2"/>
        <v>2004281110133</v>
      </c>
      <c r="H29" s="2">
        <v>46023.0</v>
      </c>
      <c r="I29" s="2">
        <v>46171.0</v>
      </c>
      <c r="J29" s="1" t="s">
        <v>14</v>
      </c>
      <c r="K29" s="1" t="s">
        <v>27</v>
      </c>
      <c r="L29" s="3">
        <v>32.58</v>
      </c>
      <c r="M29" s="4" t="s">
        <v>104</v>
      </c>
      <c r="N29" s="4" t="s">
        <v>105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 t="s">
        <v>11</v>
      </c>
      <c r="B30" s="1" t="s">
        <v>103</v>
      </c>
      <c r="C30" s="1" t="s">
        <v>81</v>
      </c>
      <c r="D30" s="1" t="s">
        <v>82</v>
      </c>
      <c r="E30" s="1" t="str">
        <f t="shared" si="1"/>
        <v>David Rhoads</v>
      </c>
      <c r="F30" s="1">
        <v>2.0045810201E10</v>
      </c>
      <c r="G30" s="1" t="str">
        <f t="shared" si="2"/>
        <v>2004581020133</v>
      </c>
      <c r="H30" s="2">
        <v>46023.0</v>
      </c>
      <c r="I30" s="2">
        <v>46171.0</v>
      </c>
      <c r="J30" s="1" t="s">
        <v>14</v>
      </c>
      <c r="K30" s="1" t="s">
        <v>27</v>
      </c>
      <c r="L30" s="3">
        <v>32.58</v>
      </c>
      <c r="M30" s="4" t="s">
        <v>104</v>
      </c>
      <c r="N30" s="4" t="s">
        <v>105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 t="s">
        <v>11</v>
      </c>
      <c r="B31" s="1" t="s">
        <v>103</v>
      </c>
      <c r="C31" s="1" t="s">
        <v>83</v>
      </c>
      <c r="D31" s="1" t="s">
        <v>84</v>
      </c>
      <c r="E31" s="1" t="str">
        <f t="shared" si="1"/>
        <v>Hollie Lindquist</v>
      </c>
      <c r="F31" s="1">
        <v>2.0054968601E10</v>
      </c>
      <c r="G31" s="1" t="str">
        <f t="shared" si="2"/>
        <v>2005496860133</v>
      </c>
      <c r="H31" s="2">
        <v>46023.0</v>
      </c>
      <c r="I31" s="2">
        <v>46171.0</v>
      </c>
      <c r="J31" s="1" t="s">
        <v>14</v>
      </c>
      <c r="K31" s="1" t="s">
        <v>27</v>
      </c>
      <c r="L31" s="3">
        <v>32.58</v>
      </c>
      <c r="M31" s="4" t="s">
        <v>104</v>
      </c>
      <c r="N31" s="4" t="s">
        <v>105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 t="s">
        <v>11</v>
      </c>
      <c r="B32" s="1" t="s">
        <v>103</v>
      </c>
      <c r="C32" s="1" t="s">
        <v>85</v>
      </c>
      <c r="D32" s="1" t="s">
        <v>86</v>
      </c>
      <c r="E32" s="1" t="str">
        <f t="shared" si="1"/>
        <v>Fred Mcclintic</v>
      </c>
      <c r="F32" s="1">
        <v>2.0057066101E10</v>
      </c>
      <c r="G32" s="1" t="str">
        <f t="shared" si="2"/>
        <v>2005706610133</v>
      </c>
      <c r="H32" s="2">
        <v>46023.0</v>
      </c>
      <c r="I32" s="2">
        <v>46171.0</v>
      </c>
      <c r="J32" s="1" t="s">
        <v>14</v>
      </c>
      <c r="K32" s="1" t="s">
        <v>27</v>
      </c>
      <c r="L32" s="3">
        <v>32.58</v>
      </c>
      <c r="M32" s="4" t="s">
        <v>104</v>
      </c>
      <c r="N32" s="4" t="s">
        <v>105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 t="s">
        <v>11</v>
      </c>
      <c r="B33" s="1" t="s">
        <v>103</v>
      </c>
      <c r="C33" s="1" t="s">
        <v>91</v>
      </c>
      <c r="D33" s="1" t="s">
        <v>92</v>
      </c>
      <c r="E33" s="1" t="str">
        <f t="shared" si="1"/>
        <v>Roger Mccoy</v>
      </c>
      <c r="F33" s="1">
        <v>2.0063885901E10</v>
      </c>
      <c r="G33" s="1" t="str">
        <f t="shared" si="2"/>
        <v>2006388590133</v>
      </c>
      <c r="H33" s="2">
        <v>46023.0</v>
      </c>
      <c r="I33" s="2">
        <v>46171.0</v>
      </c>
      <c r="J33" s="1" t="s">
        <v>14</v>
      </c>
      <c r="K33" s="1" t="s">
        <v>27</v>
      </c>
      <c r="L33" s="3">
        <v>32.58</v>
      </c>
      <c r="M33" s="4" t="s">
        <v>104</v>
      </c>
      <c r="N33" s="4" t="s">
        <v>105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 t="s">
        <v>11</v>
      </c>
      <c r="B34" s="1" t="s">
        <v>103</v>
      </c>
      <c r="C34" s="1" t="s">
        <v>12</v>
      </c>
      <c r="D34" s="1" t="s">
        <v>13</v>
      </c>
      <c r="E34" s="1" t="str">
        <f t="shared" si="1"/>
        <v>Jerome Martin</v>
      </c>
      <c r="F34" s="1">
        <v>2.0111722101E10</v>
      </c>
      <c r="G34" s="1" t="str">
        <f t="shared" si="2"/>
        <v>2011172210133</v>
      </c>
      <c r="H34" s="2">
        <v>46204.0</v>
      </c>
      <c r="I34" s="2">
        <v>46171.0</v>
      </c>
      <c r="J34" s="1" t="s">
        <v>14</v>
      </c>
      <c r="K34" s="1" t="s">
        <v>93</v>
      </c>
      <c r="L34" s="3">
        <v>195.5</v>
      </c>
      <c r="M34" s="4" t="s">
        <v>104</v>
      </c>
      <c r="N34" s="1" t="s">
        <v>106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 t="s">
        <v>11</v>
      </c>
      <c r="B35" s="1" t="s">
        <v>103</v>
      </c>
      <c r="C35" s="1" t="s">
        <v>16</v>
      </c>
      <c r="D35" s="1" t="s">
        <v>13</v>
      </c>
      <c r="E35" s="1" t="str">
        <f t="shared" si="1"/>
        <v>Bonnie Martin</v>
      </c>
      <c r="F35" s="1">
        <v>2.0111722201E10</v>
      </c>
      <c r="G35" s="1" t="str">
        <f t="shared" si="2"/>
        <v>2011172220133</v>
      </c>
      <c r="H35" s="2">
        <v>46204.0</v>
      </c>
      <c r="I35" s="2">
        <v>46171.0</v>
      </c>
      <c r="J35" s="1" t="s">
        <v>14</v>
      </c>
      <c r="K35" s="1" t="s">
        <v>93</v>
      </c>
      <c r="L35" s="3">
        <v>195.5</v>
      </c>
      <c r="M35" s="4" t="s">
        <v>104</v>
      </c>
      <c r="N35" s="1" t="s">
        <v>106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 t="s">
        <v>78</v>
      </c>
      <c r="B36" s="1">
        <v>1.7425766E7</v>
      </c>
      <c r="C36" s="1" t="s">
        <v>79</v>
      </c>
      <c r="D36" s="1" t="s">
        <v>80</v>
      </c>
      <c r="E36" s="1" t="str">
        <f t="shared" si="1"/>
        <v>Jackie Williams</v>
      </c>
      <c r="F36" s="1">
        <v>2.0044292901E10</v>
      </c>
      <c r="G36" s="1" t="str">
        <f t="shared" si="2"/>
        <v>2004429290133</v>
      </c>
      <c r="H36" s="2">
        <v>45689.0</v>
      </c>
      <c r="I36" s="2">
        <v>46171.0</v>
      </c>
      <c r="J36" s="1" t="s">
        <v>14</v>
      </c>
      <c r="K36" s="1" t="s">
        <v>27</v>
      </c>
      <c r="L36" s="3">
        <v>32.58</v>
      </c>
      <c r="M36" s="4" t="s">
        <v>104</v>
      </c>
      <c r="N36" s="4" t="s">
        <v>105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 t="s">
        <v>17</v>
      </c>
      <c r="B37" s="1">
        <v>1.8598357E7</v>
      </c>
      <c r="C37" s="1" t="s">
        <v>21</v>
      </c>
      <c r="D37" s="1" t="s">
        <v>70</v>
      </c>
      <c r="E37" s="1" t="str">
        <f t="shared" si="1"/>
        <v>Edward Kingsland</v>
      </c>
      <c r="F37" s="1">
        <v>2.0041040101E10</v>
      </c>
      <c r="G37" s="1" t="str">
        <f t="shared" si="2"/>
        <v>2004104010133</v>
      </c>
      <c r="H37" s="2">
        <v>45809.0</v>
      </c>
      <c r="I37" s="2">
        <v>46171.0</v>
      </c>
      <c r="J37" s="1" t="s">
        <v>14</v>
      </c>
      <c r="K37" s="1" t="s">
        <v>27</v>
      </c>
      <c r="L37" s="3">
        <v>32.58</v>
      </c>
      <c r="M37" s="4" t="s">
        <v>104</v>
      </c>
      <c r="N37" s="4" t="s">
        <v>105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 t="s">
        <v>17</v>
      </c>
      <c r="B38" s="1">
        <v>1.8598357E7</v>
      </c>
      <c r="C38" s="1" t="s">
        <v>76</v>
      </c>
      <c r="D38" s="1" t="s">
        <v>87</v>
      </c>
      <c r="E38" s="1" t="str">
        <f t="shared" si="1"/>
        <v>Nicholas Ierovante</v>
      </c>
      <c r="F38" s="1">
        <v>2.0058750001E10</v>
      </c>
      <c r="G38" s="1" t="str">
        <f t="shared" si="2"/>
        <v>2005875000133</v>
      </c>
      <c r="H38" s="2">
        <v>46023.0</v>
      </c>
      <c r="I38" s="2">
        <v>46171.0</v>
      </c>
      <c r="J38" s="1" t="s">
        <v>14</v>
      </c>
      <c r="K38" s="1" t="s">
        <v>27</v>
      </c>
      <c r="L38" s="3">
        <v>32.58</v>
      </c>
      <c r="M38" s="4" t="s">
        <v>104</v>
      </c>
      <c r="N38" s="4" t="s">
        <v>105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107</v>
      </c>
      <c r="B39" s="5">
        <v>2.0411454E7</v>
      </c>
      <c r="C39" s="5" t="s">
        <v>25</v>
      </c>
      <c r="D39" s="5" t="s">
        <v>26</v>
      </c>
      <c r="E39" s="1" t="str">
        <f t="shared" si="1"/>
        <v>Eugene Falls</v>
      </c>
      <c r="F39" s="5">
        <v>8.5742701E7</v>
      </c>
      <c r="G39" s="5" t="str">
        <f t="shared" ref="G39:G87" si="3">CONCATENATE(F39,"OVR")</f>
        <v>85742701OVR</v>
      </c>
      <c r="H39" s="6">
        <v>46023.0</v>
      </c>
      <c r="I39" s="6">
        <v>46171.0</v>
      </c>
      <c r="J39" s="5" t="s">
        <v>14</v>
      </c>
      <c r="K39" s="5" t="s">
        <v>94</v>
      </c>
      <c r="L39" s="7">
        <v>3.12</v>
      </c>
      <c r="M39" s="5" t="s">
        <v>108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107</v>
      </c>
      <c r="B40" s="5">
        <v>2.0411454E7</v>
      </c>
      <c r="C40" s="5" t="s">
        <v>28</v>
      </c>
      <c r="D40" s="5" t="s">
        <v>26</v>
      </c>
      <c r="E40" s="1" t="str">
        <f t="shared" si="1"/>
        <v>Lyndia Falls</v>
      </c>
      <c r="F40" s="5">
        <v>9.6603301E7</v>
      </c>
      <c r="G40" s="5" t="str">
        <f t="shared" si="3"/>
        <v>96603301OVR</v>
      </c>
      <c r="H40" s="6">
        <v>46023.0</v>
      </c>
      <c r="I40" s="6">
        <v>46171.0</v>
      </c>
      <c r="J40" s="5" t="s">
        <v>14</v>
      </c>
      <c r="K40" s="5" t="s">
        <v>94</v>
      </c>
      <c r="L40" s="7">
        <v>3.12</v>
      </c>
      <c r="M40" s="5" t="s">
        <v>108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107</v>
      </c>
      <c r="B41" s="5">
        <v>2.0411454E7</v>
      </c>
      <c r="C41" s="5" t="s">
        <v>29</v>
      </c>
      <c r="D41" s="5" t="s">
        <v>30</v>
      </c>
      <c r="E41" s="1" t="str">
        <f t="shared" si="1"/>
        <v>Susan Havens</v>
      </c>
      <c r="F41" s="5">
        <v>1.0008741301E10</v>
      </c>
      <c r="G41" s="5" t="str">
        <f t="shared" si="3"/>
        <v>10008741301OVR</v>
      </c>
      <c r="H41" s="6">
        <v>46023.0</v>
      </c>
      <c r="I41" s="6">
        <v>46171.0</v>
      </c>
      <c r="J41" s="5" t="s">
        <v>14</v>
      </c>
      <c r="K41" s="5" t="s">
        <v>94</v>
      </c>
      <c r="L41" s="7">
        <v>3.12</v>
      </c>
      <c r="M41" s="5" t="s">
        <v>108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 t="s">
        <v>107</v>
      </c>
      <c r="B42" s="5">
        <v>2.0411454E7</v>
      </c>
      <c r="C42" s="5" t="s">
        <v>31</v>
      </c>
      <c r="D42" s="5" t="s">
        <v>32</v>
      </c>
      <c r="E42" s="1" t="str">
        <f t="shared" si="1"/>
        <v>Robert Dehaas</v>
      </c>
      <c r="F42" s="5">
        <v>1.0028861101E10</v>
      </c>
      <c r="G42" s="5" t="str">
        <f t="shared" si="3"/>
        <v>10028861101OVR</v>
      </c>
      <c r="H42" s="6">
        <v>46054.0</v>
      </c>
      <c r="I42" s="6">
        <v>46171.0</v>
      </c>
      <c r="J42" s="5" t="s">
        <v>14</v>
      </c>
      <c r="K42" s="5" t="s">
        <v>94</v>
      </c>
      <c r="L42" s="7">
        <v>3.12</v>
      </c>
      <c r="M42" s="5" t="s">
        <v>108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 t="s">
        <v>107</v>
      </c>
      <c r="B43" s="5">
        <v>2.0411454E7</v>
      </c>
      <c r="C43" s="5" t="s">
        <v>33</v>
      </c>
      <c r="D43" s="5" t="s">
        <v>34</v>
      </c>
      <c r="E43" s="1" t="str">
        <f t="shared" si="1"/>
        <v>Judy Detar</v>
      </c>
      <c r="F43" s="5">
        <v>1.0096067901E10</v>
      </c>
      <c r="G43" s="5" t="str">
        <f t="shared" si="3"/>
        <v>10096067901OVR</v>
      </c>
      <c r="H43" s="6">
        <v>46023.0</v>
      </c>
      <c r="I43" s="6">
        <v>46171.0</v>
      </c>
      <c r="J43" s="5" t="s">
        <v>14</v>
      </c>
      <c r="K43" s="5" t="s">
        <v>94</v>
      </c>
      <c r="L43" s="7">
        <v>3.12</v>
      </c>
      <c r="M43" s="5" t="s">
        <v>108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107</v>
      </c>
      <c r="B44" s="5">
        <v>2.0411454E7</v>
      </c>
      <c r="C44" s="5" t="s">
        <v>35</v>
      </c>
      <c r="D44" s="5" t="s">
        <v>36</v>
      </c>
      <c r="E44" s="1" t="str">
        <f t="shared" si="1"/>
        <v>Jackalin Haines</v>
      </c>
      <c r="F44" s="5">
        <v>1.0124160901E10</v>
      </c>
      <c r="G44" s="5" t="str">
        <f t="shared" si="3"/>
        <v>10124160901OVR</v>
      </c>
      <c r="H44" s="6">
        <v>46023.0</v>
      </c>
      <c r="I44" s="6">
        <v>46171.0</v>
      </c>
      <c r="J44" s="5" t="s">
        <v>14</v>
      </c>
      <c r="K44" s="5" t="s">
        <v>94</v>
      </c>
      <c r="L44" s="7">
        <v>3.12</v>
      </c>
      <c r="M44" s="5" t="s">
        <v>108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107</v>
      </c>
      <c r="B45" s="5">
        <v>2.0411454E7</v>
      </c>
      <c r="C45" s="5" t="s">
        <v>37</v>
      </c>
      <c r="D45" s="5" t="s">
        <v>30</v>
      </c>
      <c r="E45" s="1" t="str">
        <f t="shared" si="1"/>
        <v>Thomas Havens</v>
      </c>
      <c r="F45" s="5">
        <v>2.0009616401E10</v>
      </c>
      <c r="G45" s="5" t="str">
        <f t="shared" si="3"/>
        <v>20009616401OVR</v>
      </c>
      <c r="H45" s="6">
        <v>46023.0</v>
      </c>
      <c r="I45" s="6">
        <v>46171.0</v>
      </c>
      <c r="J45" s="5" t="s">
        <v>14</v>
      </c>
      <c r="K45" s="5" t="s">
        <v>94</v>
      </c>
      <c r="L45" s="7">
        <v>3.12</v>
      </c>
      <c r="M45" s="5" t="s">
        <v>108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 t="s">
        <v>107</v>
      </c>
      <c r="B46" s="5">
        <v>2.0411454E7</v>
      </c>
      <c r="C46" s="5" t="s">
        <v>39</v>
      </c>
      <c r="D46" s="5" t="s">
        <v>40</v>
      </c>
      <c r="E46" s="1" t="str">
        <f t="shared" si="1"/>
        <v>Irene Walsh</v>
      </c>
      <c r="F46" s="5">
        <v>2.0010119701E10</v>
      </c>
      <c r="G46" s="5" t="str">
        <f t="shared" si="3"/>
        <v>20010119701OVR</v>
      </c>
      <c r="H46" s="6">
        <v>43466.0</v>
      </c>
      <c r="I46" s="6">
        <v>46171.0</v>
      </c>
      <c r="J46" s="5" t="s">
        <v>14</v>
      </c>
      <c r="K46" s="5" t="s">
        <v>94</v>
      </c>
      <c r="L46" s="7">
        <v>3.12</v>
      </c>
      <c r="M46" s="5" t="s">
        <v>108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 t="s">
        <v>107</v>
      </c>
      <c r="B47" s="5">
        <v>2.0411454E7</v>
      </c>
      <c r="C47" s="5" t="s">
        <v>37</v>
      </c>
      <c r="D47" s="5" t="s">
        <v>41</v>
      </c>
      <c r="E47" s="1" t="str">
        <f t="shared" si="1"/>
        <v>Thomas Gardner</v>
      </c>
      <c r="F47" s="5">
        <v>2.0011185201E10</v>
      </c>
      <c r="G47" s="5" t="str">
        <f t="shared" si="3"/>
        <v>20011185201OVR</v>
      </c>
      <c r="H47" s="6">
        <v>46023.0</v>
      </c>
      <c r="I47" s="6">
        <v>46171.0</v>
      </c>
      <c r="J47" s="5" t="s">
        <v>14</v>
      </c>
      <c r="K47" s="5" t="s">
        <v>94</v>
      </c>
      <c r="L47" s="7">
        <v>3.12</v>
      </c>
      <c r="M47" s="5" t="s">
        <v>108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107</v>
      </c>
      <c r="B48" s="5">
        <v>2.0411454E7</v>
      </c>
      <c r="C48" s="5" t="s">
        <v>42</v>
      </c>
      <c r="D48" s="5" t="s">
        <v>43</v>
      </c>
      <c r="E48" s="1" t="str">
        <f t="shared" si="1"/>
        <v>Jean Francois Orszag</v>
      </c>
      <c r="F48" s="5">
        <v>2.0020870101E10</v>
      </c>
      <c r="G48" s="5" t="str">
        <f t="shared" si="3"/>
        <v>20020870101OVR</v>
      </c>
      <c r="H48" s="6">
        <v>44197.0</v>
      </c>
      <c r="I48" s="6">
        <v>46171.0</v>
      </c>
      <c r="J48" s="5" t="s">
        <v>14</v>
      </c>
      <c r="K48" s="5" t="s">
        <v>94</v>
      </c>
      <c r="L48" s="7">
        <v>3.12</v>
      </c>
      <c r="M48" s="5" t="s">
        <v>108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107</v>
      </c>
      <c r="B49" s="5">
        <v>2.0411454E7</v>
      </c>
      <c r="C49" s="5" t="s">
        <v>44</v>
      </c>
      <c r="D49" s="5" t="s">
        <v>45</v>
      </c>
      <c r="E49" s="1" t="str">
        <f t="shared" si="1"/>
        <v>Deborah Weaver</v>
      </c>
      <c r="F49" s="5">
        <v>2.0027177601E10</v>
      </c>
      <c r="G49" s="5" t="str">
        <f t="shared" si="3"/>
        <v>20027177601OVR</v>
      </c>
      <c r="H49" s="6">
        <v>46023.0</v>
      </c>
      <c r="I49" s="6">
        <v>46171.0</v>
      </c>
      <c r="J49" s="5" t="s">
        <v>14</v>
      </c>
      <c r="K49" s="5" t="s">
        <v>94</v>
      </c>
      <c r="L49" s="7">
        <v>3.12</v>
      </c>
      <c r="M49" s="5" t="s">
        <v>108</v>
      </c>
      <c r="N49" s="5"/>
      <c r="O49" s="5"/>
    </row>
    <row r="50" ht="15.75" customHeight="1">
      <c r="A50" s="5" t="s">
        <v>107</v>
      </c>
      <c r="B50" s="5">
        <v>2.0411454E7</v>
      </c>
      <c r="C50" s="5" t="s">
        <v>46</v>
      </c>
      <c r="D50" s="5" t="s">
        <v>45</v>
      </c>
      <c r="E50" s="1" t="str">
        <f t="shared" si="1"/>
        <v>Kenneth Weaver</v>
      </c>
      <c r="F50" s="5">
        <v>2.0027350401E10</v>
      </c>
      <c r="G50" s="5" t="str">
        <f t="shared" si="3"/>
        <v>20027350401OVR</v>
      </c>
      <c r="H50" s="6">
        <v>46023.0</v>
      </c>
      <c r="I50" s="6">
        <v>46171.0</v>
      </c>
      <c r="J50" s="5" t="s">
        <v>14</v>
      </c>
      <c r="K50" s="5" t="s">
        <v>94</v>
      </c>
      <c r="L50" s="7">
        <v>3.12</v>
      </c>
      <c r="M50" s="5" t="s">
        <v>108</v>
      </c>
      <c r="N50" s="5"/>
      <c r="O50" s="5"/>
    </row>
    <row r="51" ht="15.75" customHeight="1">
      <c r="A51" s="5" t="s">
        <v>107</v>
      </c>
      <c r="B51" s="5">
        <v>2.0411454E7</v>
      </c>
      <c r="C51" s="5" t="s">
        <v>18</v>
      </c>
      <c r="D51" s="5" t="s">
        <v>19</v>
      </c>
      <c r="E51" s="1" t="str">
        <f t="shared" si="1"/>
        <v>Nannette Burti</v>
      </c>
      <c r="F51" s="5">
        <v>2.0031442801E10</v>
      </c>
      <c r="G51" s="5" t="str">
        <f t="shared" si="3"/>
        <v>20031442801OVR</v>
      </c>
      <c r="H51" s="6">
        <v>44927.0</v>
      </c>
      <c r="I51" s="6">
        <v>46171.0</v>
      </c>
      <c r="J51" s="5" t="s">
        <v>14</v>
      </c>
      <c r="K51" s="5" t="s">
        <v>94</v>
      </c>
      <c r="L51" s="7">
        <v>3.12</v>
      </c>
      <c r="M51" s="5" t="s">
        <v>108</v>
      </c>
      <c r="N51" s="5"/>
      <c r="O51" s="5"/>
    </row>
    <row r="52" ht="15.75" customHeight="1">
      <c r="A52" s="5" t="s">
        <v>107</v>
      </c>
      <c r="B52" s="5">
        <v>2.0411454E7</v>
      </c>
      <c r="C52" s="5" t="s">
        <v>47</v>
      </c>
      <c r="D52" s="5" t="s">
        <v>48</v>
      </c>
      <c r="E52" s="1" t="str">
        <f t="shared" si="1"/>
        <v>Melinda Barnett</v>
      </c>
      <c r="F52" s="5">
        <v>2.0032097801E10</v>
      </c>
      <c r="G52" s="5" t="str">
        <f t="shared" si="3"/>
        <v>20032097801OVR</v>
      </c>
      <c r="H52" s="6">
        <v>46023.0</v>
      </c>
      <c r="I52" s="6">
        <v>46171.0</v>
      </c>
      <c r="J52" s="5" t="s">
        <v>14</v>
      </c>
      <c r="K52" s="5" t="s">
        <v>94</v>
      </c>
      <c r="L52" s="7">
        <v>3.12</v>
      </c>
      <c r="M52" s="5" t="s">
        <v>108</v>
      </c>
      <c r="N52" s="5"/>
      <c r="O52" s="5"/>
    </row>
    <row r="53" ht="15.75" customHeight="1">
      <c r="A53" s="5" t="s">
        <v>107</v>
      </c>
      <c r="B53" s="5">
        <v>2.0411454E7</v>
      </c>
      <c r="C53" s="5" t="s">
        <v>49</v>
      </c>
      <c r="D53" s="5" t="s">
        <v>50</v>
      </c>
      <c r="E53" s="1" t="str">
        <f t="shared" si="1"/>
        <v>Harold Riser</v>
      </c>
      <c r="F53" s="5">
        <v>2.0032142301E10</v>
      </c>
      <c r="G53" s="5" t="str">
        <f t="shared" si="3"/>
        <v>20032142301OVR</v>
      </c>
      <c r="H53" s="6">
        <v>46023.0</v>
      </c>
      <c r="I53" s="6">
        <v>46171.0</v>
      </c>
      <c r="J53" s="5" t="s">
        <v>14</v>
      </c>
      <c r="K53" s="5" t="s">
        <v>94</v>
      </c>
      <c r="L53" s="7">
        <v>3.12</v>
      </c>
      <c r="M53" s="5" t="s">
        <v>108</v>
      </c>
      <c r="N53" s="5"/>
      <c r="O53" s="5"/>
    </row>
    <row r="54" ht="15.75" customHeight="1">
      <c r="A54" s="5" t="s">
        <v>107</v>
      </c>
      <c r="B54" s="5">
        <v>2.0411454E7</v>
      </c>
      <c r="C54" s="5" t="s">
        <v>51</v>
      </c>
      <c r="D54" s="5" t="s">
        <v>50</v>
      </c>
      <c r="E54" s="1" t="str">
        <f t="shared" si="1"/>
        <v>Molly Riser</v>
      </c>
      <c r="F54" s="5">
        <v>2.0032142501E10</v>
      </c>
      <c r="G54" s="5" t="str">
        <f t="shared" si="3"/>
        <v>20032142501OVR</v>
      </c>
      <c r="H54" s="6">
        <v>46023.0</v>
      </c>
      <c r="I54" s="6">
        <v>46171.0</v>
      </c>
      <c r="J54" s="5" t="s">
        <v>14</v>
      </c>
      <c r="K54" s="5" t="s">
        <v>94</v>
      </c>
      <c r="L54" s="7">
        <v>3.12</v>
      </c>
      <c r="M54" s="5" t="s">
        <v>108</v>
      </c>
      <c r="N54" s="5"/>
      <c r="O54" s="5"/>
    </row>
    <row r="55" ht="15.75" customHeight="1">
      <c r="A55" s="5" t="s">
        <v>107</v>
      </c>
      <c r="B55" s="5">
        <v>2.0411454E7</v>
      </c>
      <c r="C55" s="5" t="s">
        <v>52</v>
      </c>
      <c r="D55" s="5" t="s">
        <v>53</v>
      </c>
      <c r="E55" s="1" t="str">
        <f t="shared" si="1"/>
        <v>John Etters</v>
      </c>
      <c r="F55" s="5">
        <v>2.0032206001E10</v>
      </c>
      <c r="G55" s="5" t="str">
        <f t="shared" si="3"/>
        <v>20032206001OVR</v>
      </c>
      <c r="H55" s="6">
        <v>46023.0</v>
      </c>
      <c r="I55" s="6">
        <v>46171.0</v>
      </c>
      <c r="J55" s="5" t="s">
        <v>14</v>
      </c>
      <c r="K55" s="5" t="s">
        <v>94</v>
      </c>
      <c r="L55" s="7">
        <v>3.12</v>
      </c>
      <c r="M55" s="5" t="s">
        <v>108</v>
      </c>
      <c r="N55" s="5"/>
      <c r="O55" s="5"/>
    </row>
    <row r="56" ht="15.75" customHeight="1">
      <c r="A56" s="5" t="s">
        <v>107</v>
      </c>
      <c r="B56" s="5">
        <v>2.0411454E7</v>
      </c>
      <c r="C56" s="5" t="s">
        <v>21</v>
      </c>
      <c r="D56" s="5" t="s">
        <v>22</v>
      </c>
      <c r="E56" s="1" t="str">
        <f t="shared" si="1"/>
        <v>Edward Chojnacki</v>
      </c>
      <c r="F56" s="5">
        <v>2.0037806301E10</v>
      </c>
      <c r="G56" s="5" t="str">
        <f t="shared" si="3"/>
        <v>20037806301OVR</v>
      </c>
      <c r="H56" s="6">
        <v>46023.0</v>
      </c>
      <c r="I56" s="6">
        <v>46171.0</v>
      </c>
      <c r="J56" s="5" t="s">
        <v>14</v>
      </c>
      <c r="K56" s="5" t="s">
        <v>94</v>
      </c>
      <c r="L56" s="7">
        <v>3.12</v>
      </c>
      <c r="M56" s="5" t="s">
        <v>108</v>
      </c>
      <c r="N56" s="5"/>
      <c r="O56" s="5"/>
    </row>
    <row r="57" ht="15.75" customHeight="1">
      <c r="A57" s="5" t="s">
        <v>107</v>
      </c>
      <c r="B57" s="5">
        <v>2.0411454E7</v>
      </c>
      <c r="C57" s="5" t="s">
        <v>54</v>
      </c>
      <c r="D57" s="5" t="s">
        <v>55</v>
      </c>
      <c r="E57" s="1" t="str">
        <f t="shared" si="1"/>
        <v>Cindy Bair</v>
      </c>
      <c r="F57" s="5">
        <v>2.0038750301E10</v>
      </c>
      <c r="G57" s="5" t="str">
        <f t="shared" si="3"/>
        <v>20038750301OVR</v>
      </c>
      <c r="H57" s="6">
        <v>46023.0</v>
      </c>
      <c r="I57" s="6">
        <v>46171.0</v>
      </c>
      <c r="J57" s="5" t="s">
        <v>14</v>
      </c>
      <c r="K57" s="5" t="s">
        <v>94</v>
      </c>
      <c r="L57" s="7">
        <v>3.12</v>
      </c>
      <c r="M57" s="5" t="s">
        <v>108</v>
      </c>
      <c r="N57" s="5"/>
      <c r="O57" s="5"/>
    </row>
    <row r="58" ht="15.75" customHeight="1">
      <c r="A58" s="5" t="s">
        <v>107</v>
      </c>
      <c r="B58" s="5">
        <v>2.0411454E7</v>
      </c>
      <c r="C58" s="5" t="s">
        <v>56</v>
      </c>
      <c r="D58" s="5" t="s">
        <v>57</v>
      </c>
      <c r="E58" s="1" t="str">
        <f t="shared" si="1"/>
        <v>Terrence Benton</v>
      </c>
      <c r="F58" s="5">
        <v>2.0038818301E10</v>
      </c>
      <c r="G58" s="5" t="str">
        <f t="shared" si="3"/>
        <v>20038818301OVR</v>
      </c>
      <c r="H58" s="6">
        <v>46023.0</v>
      </c>
      <c r="I58" s="6">
        <v>46171.0</v>
      </c>
      <c r="J58" s="5" t="s">
        <v>14</v>
      </c>
      <c r="K58" s="5" t="s">
        <v>94</v>
      </c>
      <c r="L58" s="7">
        <v>3.12</v>
      </c>
      <c r="M58" s="5" t="s">
        <v>108</v>
      </c>
      <c r="N58" s="5"/>
      <c r="O58" s="5"/>
    </row>
    <row r="59" ht="15.75" customHeight="1">
      <c r="A59" s="5" t="s">
        <v>107</v>
      </c>
      <c r="B59" s="5">
        <v>2.0411454E7</v>
      </c>
      <c r="C59" s="5" t="s">
        <v>58</v>
      </c>
      <c r="D59" s="5" t="s">
        <v>57</v>
      </c>
      <c r="E59" s="1" t="str">
        <f t="shared" si="1"/>
        <v>Jacqueline Benton</v>
      </c>
      <c r="F59" s="5">
        <v>2.0038840001E10</v>
      </c>
      <c r="G59" s="5" t="str">
        <f t="shared" si="3"/>
        <v>20038840001OVR</v>
      </c>
      <c r="H59" s="6">
        <v>46023.0</v>
      </c>
      <c r="I59" s="6">
        <v>46171.0</v>
      </c>
      <c r="J59" s="5" t="s">
        <v>14</v>
      </c>
      <c r="K59" s="5" t="s">
        <v>94</v>
      </c>
      <c r="L59" s="7">
        <v>3.12</v>
      </c>
      <c r="M59" s="5" t="s">
        <v>108</v>
      </c>
      <c r="N59" s="5"/>
      <c r="O59" s="5"/>
    </row>
    <row r="60" ht="15.75" customHeight="1">
      <c r="A60" s="5" t="s">
        <v>107</v>
      </c>
      <c r="B60" s="5">
        <v>2.0411454E7</v>
      </c>
      <c r="C60" s="5" t="s">
        <v>59</v>
      </c>
      <c r="D60" s="5" t="s">
        <v>60</v>
      </c>
      <c r="E60" s="1" t="str">
        <f t="shared" si="1"/>
        <v>Glenn Mccloskey</v>
      </c>
      <c r="F60" s="5">
        <v>2.0038840101E10</v>
      </c>
      <c r="G60" s="5" t="str">
        <f t="shared" si="3"/>
        <v>20038840101OVR</v>
      </c>
      <c r="H60" s="6">
        <v>46023.0</v>
      </c>
      <c r="I60" s="6">
        <v>46171.0</v>
      </c>
      <c r="J60" s="5" t="s">
        <v>14</v>
      </c>
      <c r="K60" s="5" t="s">
        <v>94</v>
      </c>
      <c r="L60" s="7">
        <v>3.12</v>
      </c>
      <c r="M60" s="5" t="s">
        <v>108</v>
      </c>
      <c r="N60" s="5"/>
      <c r="O60" s="5"/>
    </row>
    <row r="61" ht="15.75" customHeight="1">
      <c r="A61" s="5" t="s">
        <v>107</v>
      </c>
      <c r="B61" s="5">
        <v>2.0411454E7</v>
      </c>
      <c r="C61" s="5" t="s">
        <v>52</v>
      </c>
      <c r="D61" s="5" t="s">
        <v>61</v>
      </c>
      <c r="E61" s="1" t="str">
        <f t="shared" si="1"/>
        <v>John Coursen</v>
      </c>
      <c r="F61" s="5">
        <v>2.0038842601E10</v>
      </c>
      <c r="G61" s="5" t="str">
        <f t="shared" si="3"/>
        <v>20038842601OVR</v>
      </c>
      <c r="H61" s="6">
        <v>46023.0</v>
      </c>
      <c r="I61" s="6">
        <v>46171.0</v>
      </c>
      <c r="J61" s="5" t="s">
        <v>14</v>
      </c>
      <c r="K61" s="5" t="s">
        <v>94</v>
      </c>
      <c r="L61" s="7">
        <v>3.12</v>
      </c>
      <c r="M61" s="5" t="s">
        <v>108</v>
      </c>
      <c r="N61" s="5"/>
      <c r="O61" s="5"/>
    </row>
    <row r="62" ht="15.75" customHeight="1">
      <c r="A62" s="5" t="s">
        <v>107</v>
      </c>
      <c r="B62" s="5">
        <v>2.0411454E7</v>
      </c>
      <c r="C62" s="5" t="s">
        <v>62</v>
      </c>
      <c r="D62" s="5" t="s">
        <v>63</v>
      </c>
      <c r="E62" s="1" t="str">
        <f t="shared" si="1"/>
        <v>Betty Corman</v>
      </c>
      <c r="F62" s="5">
        <v>2.0039206601E10</v>
      </c>
      <c r="G62" s="5" t="str">
        <f t="shared" si="3"/>
        <v>20039206601OVR</v>
      </c>
      <c r="H62" s="6">
        <v>46023.0</v>
      </c>
      <c r="I62" s="6">
        <v>46171.0</v>
      </c>
      <c r="J62" s="5" t="s">
        <v>14</v>
      </c>
      <c r="K62" s="5" t="s">
        <v>94</v>
      </c>
      <c r="L62" s="7">
        <v>3.12</v>
      </c>
      <c r="M62" s="5" t="s">
        <v>108</v>
      </c>
      <c r="N62" s="5"/>
      <c r="O62" s="5"/>
    </row>
    <row r="63" ht="15.75" customHeight="1">
      <c r="A63" s="5" t="s">
        <v>107</v>
      </c>
      <c r="B63" s="5">
        <v>2.0411454E7</v>
      </c>
      <c r="C63" s="5" t="s">
        <v>64</v>
      </c>
      <c r="D63" s="5" t="s">
        <v>63</v>
      </c>
      <c r="E63" s="1" t="str">
        <f t="shared" si="1"/>
        <v>Ray Corman</v>
      </c>
      <c r="F63" s="5">
        <v>2.0039228601E10</v>
      </c>
      <c r="G63" s="5" t="str">
        <f t="shared" si="3"/>
        <v>20039228601OVR</v>
      </c>
      <c r="H63" s="6">
        <v>46023.0</v>
      </c>
      <c r="I63" s="6">
        <v>46171.0</v>
      </c>
      <c r="J63" s="5" t="s">
        <v>14</v>
      </c>
      <c r="K63" s="5" t="s">
        <v>94</v>
      </c>
      <c r="L63" s="7">
        <v>3.12</v>
      </c>
      <c r="M63" s="5" t="s">
        <v>108</v>
      </c>
      <c r="N63" s="5"/>
      <c r="O63" s="5"/>
    </row>
    <row r="64" ht="15.75" customHeight="1">
      <c r="A64" s="5" t="s">
        <v>107</v>
      </c>
      <c r="B64" s="5">
        <v>2.0411454E7</v>
      </c>
      <c r="C64" s="5" t="s">
        <v>65</v>
      </c>
      <c r="D64" s="5" t="s">
        <v>66</v>
      </c>
      <c r="E64" s="1" t="str">
        <f t="shared" si="1"/>
        <v>Daniel Brownson</v>
      </c>
      <c r="F64" s="5">
        <v>2.0039512801E10</v>
      </c>
      <c r="G64" s="5" t="str">
        <f t="shared" si="3"/>
        <v>20039512801OVR</v>
      </c>
      <c r="H64" s="6">
        <v>46023.0</v>
      </c>
      <c r="I64" s="6">
        <v>46171.0</v>
      </c>
      <c r="J64" s="5" t="s">
        <v>14</v>
      </c>
      <c r="K64" s="5" t="s">
        <v>94</v>
      </c>
      <c r="L64" s="7">
        <v>3.12</v>
      </c>
      <c r="M64" s="5" t="s">
        <v>108</v>
      </c>
      <c r="N64" s="5"/>
      <c r="O64" s="5"/>
    </row>
    <row r="65" ht="15.75" customHeight="1">
      <c r="A65" s="5" t="s">
        <v>107</v>
      </c>
      <c r="B65" s="5">
        <v>2.0411454E7</v>
      </c>
      <c r="C65" s="5" t="s">
        <v>67</v>
      </c>
      <c r="D65" s="5" t="s">
        <v>40</v>
      </c>
      <c r="E65" s="1" t="str">
        <f t="shared" si="1"/>
        <v>Clifford Walsh</v>
      </c>
      <c r="F65" s="5">
        <v>2.0039572101E10</v>
      </c>
      <c r="G65" s="5" t="str">
        <f t="shared" si="3"/>
        <v>20039572101OVR</v>
      </c>
      <c r="H65" s="6">
        <v>44531.0</v>
      </c>
      <c r="I65" s="6">
        <v>46171.0</v>
      </c>
      <c r="J65" s="5" t="s">
        <v>14</v>
      </c>
      <c r="K65" s="5" t="s">
        <v>94</v>
      </c>
      <c r="L65" s="7">
        <v>3.12</v>
      </c>
      <c r="M65" s="5" t="s">
        <v>108</v>
      </c>
      <c r="N65" s="5"/>
      <c r="O65" s="5"/>
    </row>
    <row r="66" ht="15.75" customHeight="1">
      <c r="A66" s="5" t="s">
        <v>107</v>
      </c>
      <c r="B66" s="5">
        <v>2.0411454E7</v>
      </c>
      <c r="C66" s="5" t="s">
        <v>25</v>
      </c>
      <c r="D66" s="5" t="s">
        <v>45</v>
      </c>
      <c r="E66" s="1" t="str">
        <f t="shared" si="1"/>
        <v>Eugene Weaver</v>
      </c>
      <c r="F66" s="5">
        <v>2.0039672401E10</v>
      </c>
      <c r="G66" s="5" t="str">
        <f t="shared" si="3"/>
        <v>20039672401OVR</v>
      </c>
      <c r="H66" s="6">
        <v>46023.0</v>
      </c>
      <c r="I66" s="6">
        <v>46171.0</v>
      </c>
      <c r="J66" s="5" t="s">
        <v>14</v>
      </c>
      <c r="K66" s="5" t="s">
        <v>94</v>
      </c>
      <c r="L66" s="7">
        <v>3.12</v>
      </c>
      <c r="M66" s="5" t="s">
        <v>108</v>
      </c>
      <c r="N66" s="5"/>
      <c r="O66" s="5"/>
    </row>
    <row r="67" ht="15.75" customHeight="1">
      <c r="A67" s="5" t="s">
        <v>107</v>
      </c>
      <c r="B67" s="5">
        <v>2.0411454E7</v>
      </c>
      <c r="C67" s="5" t="s">
        <v>68</v>
      </c>
      <c r="D67" s="5" t="s">
        <v>45</v>
      </c>
      <c r="E67" s="1" t="str">
        <f t="shared" si="1"/>
        <v>Deanna Weaver</v>
      </c>
      <c r="F67" s="5">
        <v>2.0039673901E10</v>
      </c>
      <c r="G67" s="5" t="str">
        <f t="shared" si="3"/>
        <v>20039673901OVR</v>
      </c>
      <c r="H67" s="6">
        <v>46023.0</v>
      </c>
      <c r="I67" s="6">
        <v>46171.0</v>
      </c>
      <c r="J67" s="5" t="s">
        <v>14</v>
      </c>
      <c r="K67" s="5" t="s">
        <v>94</v>
      </c>
      <c r="L67" s="7">
        <v>3.12</v>
      </c>
      <c r="M67" s="5" t="s">
        <v>108</v>
      </c>
      <c r="N67" s="5"/>
      <c r="O67" s="5"/>
    </row>
    <row r="68" ht="15.75" customHeight="1">
      <c r="A68" s="5" t="s">
        <v>107</v>
      </c>
      <c r="B68" s="5">
        <v>2.0411454E7</v>
      </c>
      <c r="C68" s="5" t="s">
        <v>52</v>
      </c>
      <c r="D68" s="5" t="s">
        <v>69</v>
      </c>
      <c r="E68" s="1" t="str">
        <f t="shared" si="1"/>
        <v>John Potter</v>
      </c>
      <c r="F68" s="5">
        <v>2.0040587601E10</v>
      </c>
      <c r="G68" s="5" t="str">
        <f t="shared" si="3"/>
        <v>20040587601OVR</v>
      </c>
      <c r="H68" s="6">
        <v>46023.0</v>
      </c>
      <c r="I68" s="6">
        <v>46171.0</v>
      </c>
      <c r="J68" s="5" t="s">
        <v>14</v>
      </c>
      <c r="K68" s="5" t="s">
        <v>94</v>
      </c>
      <c r="L68" s="7">
        <v>3.12</v>
      </c>
      <c r="M68" s="5" t="s">
        <v>108</v>
      </c>
      <c r="N68" s="5"/>
      <c r="O68" s="5"/>
    </row>
    <row r="69" ht="15.75" customHeight="1">
      <c r="A69" s="5" t="s">
        <v>107</v>
      </c>
      <c r="B69" s="5">
        <v>2.0411454E7</v>
      </c>
      <c r="C69" s="5" t="s">
        <v>21</v>
      </c>
      <c r="D69" s="5" t="s">
        <v>70</v>
      </c>
      <c r="E69" s="1" t="str">
        <f t="shared" si="1"/>
        <v>Edward Kingsland</v>
      </c>
      <c r="F69" s="5">
        <v>2.0041040101E10</v>
      </c>
      <c r="G69" s="5" t="str">
        <f t="shared" si="3"/>
        <v>20041040101OVR</v>
      </c>
      <c r="H69" s="6">
        <v>45809.0</v>
      </c>
      <c r="I69" s="6">
        <v>46171.0</v>
      </c>
      <c r="J69" s="5" t="s">
        <v>14</v>
      </c>
      <c r="K69" s="5" t="s">
        <v>94</v>
      </c>
      <c r="L69" s="7">
        <v>3.12</v>
      </c>
      <c r="M69" s="5" t="s">
        <v>108</v>
      </c>
      <c r="N69" s="5"/>
      <c r="O69" s="5"/>
    </row>
    <row r="70" ht="15.75" customHeight="1">
      <c r="A70" s="5" t="s">
        <v>107</v>
      </c>
      <c r="B70" s="5">
        <v>2.0411454E7</v>
      </c>
      <c r="C70" s="5" t="s">
        <v>71</v>
      </c>
      <c r="D70" s="5" t="s">
        <v>72</v>
      </c>
      <c r="E70" s="1" t="str">
        <f t="shared" si="1"/>
        <v>Irving Davies</v>
      </c>
      <c r="F70" s="5">
        <v>2.0041787401E10</v>
      </c>
      <c r="G70" s="5" t="str">
        <f t="shared" si="3"/>
        <v>20041787401OVR</v>
      </c>
      <c r="H70" s="6">
        <v>46023.0</v>
      </c>
      <c r="I70" s="6">
        <v>46171.0</v>
      </c>
      <c r="J70" s="5" t="s">
        <v>14</v>
      </c>
      <c r="K70" s="5" t="s">
        <v>94</v>
      </c>
      <c r="L70" s="7">
        <v>3.12</v>
      </c>
      <c r="M70" s="5" t="s">
        <v>108</v>
      </c>
      <c r="N70" s="5"/>
      <c r="O70" s="5"/>
    </row>
    <row r="71" ht="15.75" customHeight="1">
      <c r="A71" s="5" t="s">
        <v>107</v>
      </c>
      <c r="B71" s="5">
        <v>2.0411454E7</v>
      </c>
      <c r="C71" s="5" t="s">
        <v>73</v>
      </c>
      <c r="D71" s="5" t="s">
        <v>72</v>
      </c>
      <c r="E71" s="1" t="str">
        <f t="shared" si="1"/>
        <v>Thelma Davies</v>
      </c>
      <c r="F71" s="5">
        <v>2.0041800601E10</v>
      </c>
      <c r="G71" s="5" t="str">
        <f t="shared" si="3"/>
        <v>20041800601OVR</v>
      </c>
      <c r="H71" s="6">
        <v>46023.0</v>
      </c>
      <c r="I71" s="6">
        <v>46171.0</v>
      </c>
      <c r="J71" s="5" t="s">
        <v>14</v>
      </c>
      <c r="K71" s="5" t="s">
        <v>94</v>
      </c>
      <c r="L71" s="7">
        <v>3.12</v>
      </c>
      <c r="M71" s="5" t="s">
        <v>108</v>
      </c>
      <c r="N71" s="5"/>
      <c r="O71" s="5"/>
    </row>
    <row r="72" ht="15.75" customHeight="1">
      <c r="A72" s="5" t="s">
        <v>107</v>
      </c>
      <c r="B72" s="5">
        <v>2.0411454E7</v>
      </c>
      <c r="C72" s="5" t="s">
        <v>74</v>
      </c>
      <c r="D72" s="5" t="s">
        <v>75</v>
      </c>
      <c r="E72" s="1" t="str">
        <f t="shared" si="1"/>
        <v>Cindye Rudy</v>
      </c>
      <c r="F72" s="5">
        <v>2.0042811101E10</v>
      </c>
      <c r="G72" s="5" t="str">
        <f t="shared" si="3"/>
        <v>20042811101OVR</v>
      </c>
      <c r="H72" s="6">
        <v>46023.0</v>
      </c>
      <c r="I72" s="6">
        <v>46171.0</v>
      </c>
      <c r="J72" s="5" t="s">
        <v>14</v>
      </c>
      <c r="K72" s="5" t="s">
        <v>94</v>
      </c>
      <c r="L72" s="7">
        <v>3.12</v>
      </c>
      <c r="M72" s="5" t="s">
        <v>108</v>
      </c>
      <c r="N72" s="5"/>
      <c r="O72" s="5"/>
    </row>
    <row r="73" ht="15.75" customHeight="1">
      <c r="A73" s="5" t="s">
        <v>107</v>
      </c>
      <c r="B73" s="5">
        <v>2.0411454E7</v>
      </c>
      <c r="C73" s="5" t="s">
        <v>76</v>
      </c>
      <c r="D73" s="5" t="s">
        <v>77</v>
      </c>
      <c r="E73" s="1" t="str">
        <f t="shared" si="1"/>
        <v>Nicholas Ciambrone</v>
      </c>
      <c r="F73" s="5">
        <v>2.0043844601E10</v>
      </c>
      <c r="G73" s="5" t="str">
        <f t="shared" si="3"/>
        <v>20043844601OVR</v>
      </c>
      <c r="H73" s="6">
        <v>44713.0</v>
      </c>
      <c r="I73" s="6">
        <v>46171.0</v>
      </c>
      <c r="J73" s="5" t="s">
        <v>14</v>
      </c>
      <c r="K73" s="5" t="s">
        <v>94</v>
      </c>
      <c r="L73" s="7">
        <v>3.12</v>
      </c>
      <c r="M73" s="5" t="s">
        <v>108</v>
      </c>
      <c r="N73" s="5"/>
      <c r="O73" s="5"/>
    </row>
    <row r="74" ht="15.75" customHeight="1">
      <c r="A74" s="5" t="s">
        <v>107</v>
      </c>
      <c r="B74" s="5">
        <v>2.0411454E7</v>
      </c>
      <c r="C74" s="5" t="s">
        <v>79</v>
      </c>
      <c r="D74" s="5" t="s">
        <v>80</v>
      </c>
      <c r="E74" s="1" t="str">
        <f t="shared" si="1"/>
        <v>Jackie Williams</v>
      </c>
      <c r="F74" s="5">
        <v>2.0044292901E10</v>
      </c>
      <c r="G74" s="5" t="str">
        <f t="shared" si="3"/>
        <v>20044292901OVR</v>
      </c>
      <c r="H74" s="6">
        <v>45689.0</v>
      </c>
      <c r="I74" s="6">
        <v>46171.0</v>
      </c>
      <c r="J74" s="5" t="s">
        <v>14</v>
      </c>
      <c r="K74" s="5" t="s">
        <v>94</v>
      </c>
      <c r="L74" s="7">
        <v>3.12</v>
      </c>
      <c r="M74" s="5" t="s">
        <v>108</v>
      </c>
      <c r="N74" s="5"/>
      <c r="O74" s="5"/>
    </row>
    <row r="75" ht="15.75" customHeight="1">
      <c r="A75" s="5" t="s">
        <v>107</v>
      </c>
      <c r="B75" s="5">
        <v>2.0411454E7</v>
      </c>
      <c r="C75" s="5" t="s">
        <v>81</v>
      </c>
      <c r="D75" s="5" t="s">
        <v>82</v>
      </c>
      <c r="E75" s="1" t="str">
        <f t="shared" si="1"/>
        <v>David Rhoads</v>
      </c>
      <c r="F75" s="5">
        <v>2.0045810201E10</v>
      </c>
      <c r="G75" s="5" t="str">
        <f t="shared" si="3"/>
        <v>20045810201OVR</v>
      </c>
      <c r="H75" s="6">
        <v>46023.0</v>
      </c>
      <c r="I75" s="6">
        <v>46171.0</v>
      </c>
      <c r="J75" s="5" t="s">
        <v>14</v>
      </c>
      <c r="K75" s="5" t="s">
        <v>94</v>
      </c>
      <c r="L75" s="7">
        <v>3.12</v>
      </c>
      <c r="M75" s="5" t="s">
        <v>108</v>
      </c>
      <c r="N75" s="5"/>
      <c r="O75" s="5"/>
    </row>
    <row r="76" ht="15.75" customHeight="1">
      <c r="A76" s="5" t="s">
        <v>107</v>
      </c>
      <c r="B76" s="5">
        <v>2.0411454E7</v>
      </c>
      <c r="C76" s="5" t="s">
        <v>83</v>
      </c>
      <c r="D76" s="5" t="s">
        <v>84</v>
      </c>
      <c r="E76" s="1" t="str">
        <f t="shared" si="1"/>
        <v>Hollie Lindquist</v>
      </c>
      <c r="F76" s="5">
        <v>2.0054968601E10</v>
      </c>
      <c r="G76" s="5" t="str">
        <f t="shared" si="3"/>
        <v>20054968601OVR</v>
      </c>
      <c r="H76" s="6">
        <v>46023.0</v>
      </c>
      <c r="I76" s="6">
        <v>46171.0</v>
      </c>
      <c r="J76" s="5" t="s">
        <v>14</v>
      </c>
      <c r="K76" s="5" t="s">
        <v>94</v>
      </c>
      <c r="L76" s="7">
        <v>3.12</v>
      </c>
      <c r="M76" s="5" t="s">
        <v>108</v>
      </c>
      <c r="N76" s="5"/>
      <c r="O76" s="5"/>
    </row>
    <row r="77" ht="15.75" customHeight="1">
      <c r="A77" s="5" t="s">
        <v>107</v>
      </c>
      <c r="B77" s="5">
        <v>2.0411454E7</v>
      </c>
      <c r="C77" s="5" t="s">
        <v>85</v>
      </c>
      <c r="D77" s="5" t="s">
        <v>86</v>
      </c>
      <c r="E77" s="1" t="str">
        <f t="shared" si="1"/>
        <v>Fred Mcclintic</v>
      </c>
      <c r="F77" s="5">
        <v>2.0057066101E10</v>
      </c>
      <c r="G77" s="5" t="str">
        <f t="shared" si="3"/>
        <v>20057066101OVR</v>
      </c>
      <c r="H77" s="6">
        <v>46023.0</v>
      </c>
      <c r="I77" s="6">
        <v>46171.0</v>
      </c>
      <c r="J77" s="5" t="s">
        <v>14</v>
      </c>
      <c r="K77" s="5" t="s">
        <v>94</v>
      </c>
      <c r="L77" s="7">
        <v>3.12</v>
      </c>
      <c r="M77" s="5" t="s">
        <v>108</v>
      </c>
      <c r="N77" s="5"/>
      <c r="O77" s="5"/>
    </row>
    <row r="78" ht="15.75" customHeight="1">
      <c r="A78" s="5" t="s">
        <v>107</v>
      </c>
      <c r="B78" s="5">
        <v>2.0411454E7</v>
      </c>
      <c r="C78" s="5" t="s">
        <v>76</v>
      </c>
      <c r="D78" s="5" t="s">
        <v>87</v>
      </c>
      <c r="E78" s="1" t="str">
        <f t="shared" si="1"/>
        <v>Nicholas Ierovante</v>
      </c>
      <c r="F78" s="5">
        <v>2.0058750001E10</v>
      </c>
      <c r="G78" s="5" t="str">
        <f t="shared" si="3"/>
        <v>20058750001OVR</v>
      </c>
      <c r="H78" s="6">
        <v>46023.0</v>
      </c>
      <c r="I78" s="6">
        <v>46171.0</v>
      </c>
      <c r="J78" s="5" t="s">
        <v>14</v>
      </c>
      <c r="K78" s="5" t="s">
        <v>94</v>
      </c>
      <c r="L78" s="7">
        <v>3.12</v>
      </c>
      <c r="M78" s="5" t="s">
        <v>108</v>
      </c>
      <c r="N78" s="5"/>
      <c r="O78" s="5"/>
    </row>
    <row r="79" ht="15.75" customHeight="1">
      <c r="A79" s="5" t="s">
        <v>107</v>
      </c>
      <c r="B79" s="5">
        <v>2.0411454E7</v>
      </c>
      <c r="C79" s="5" t="s">
        <v>23</v>
      </c>
      <c r="D79" s="5" t="s">
        <v>24</v>
      </c>
      <c r="E79" s="1" t="str">
        <f t="shared" si="1"/>
        <v>Yvonne O Neill</v>
      </c>
      <c r="F79" s="5">
        <v>2.0061982301E10</v>
      </c>
      <c r="G79" s="5" t="str">
        <f t="shared" si="3"/>
        <v>20061982301OVR</v>
      </c>
      <c r="H79" s="6">
        <v>44986.0</v>
      </c>
      <c r="I79" s="6">
        <v>46171.0</v>
      </c>
      <c r="J79" s="5" t="s">
        <v>14</v>
      </c>
      <c r="K79" s="5" t="s">
        <v>94</v>
      </c>
      <c r="L79" s="7">
        <v>3.12</v>
      </c>
      <c r="M79" s="5" t="s">
        <v>108</v>
      </c>
      <c r="N79" s="5"/>
      <c r="O79" s="5"/>
    </row>
    <row r="80" ht="15.75" customHeight="1">
      <c r="A80" s="5" t="s">
        <v>107</v>
      </c>
      <c r="B80" s="5">
        <v>2.0411454E7</v>
      </c>
      <c r="C80" s="5" t="s">
        <v>89</v>
      </c>
      <c r="D80" s="5" t="s">
        <v>90</v>
      </c>
      <c r="E80" s="1" t="str">
        <f t="shared" si="1"/>
        <v>Debra Vanderduim</v>
      </c>
      <c r="F80" s="5">
        <v>2.0063015901E10</v>
      </c>
      <c r="G80" s="5" t="str">
        <f t="shared" si="3"/>
        <v>20063015901OVR</v>
      </c>
      <c r="H80" s="6">
        <v>45292.0</v>
      </c>
      <c r="I80" s="6">
        <v>46171.0</v>
      </c>
      <c r="J80" s="5" t="s">
        <v>14</v>
      </c>
      <c r="K80" s="5" t="s">
        <v>94</v>
      </c>
      <c r="L80" s="7">
        <v>3.12</v>
      </c>
      <c r="M80" s="5" t="s">
        <v>108</v>
      </c>
      <c r="N80" s="5"/>
      <c r="O80" s="5"/>
    </row>
    <row r="81" ht="15.75" customHeight="1">
      <c r="A81" s="5" t="s">
        <v>107</v>
      </c>
      <c r="B81" s="5">
        <v>2.0411454E7</v>
      </c>
      <c r="C81" s="5" t="s">
        <v>91</v>
      </c>
      <c r="D81" s="5" t="s">
        <v>92</v>
      </c>
      <c r="E81" s="1" t="str">
        <f t="shared" si="1"/>
        <v>Roger Mccoy</v>
      </c>
      <c r="F81" s="5">
        <v>2.0063885901E10</v>
      </c>
      <c r="G81" s="5" t="str">
        <f t="shared" si="3"/>
        <v>20063885901OVR</v>
      </c>
      <c r="H81" s="6">
        <v>46023.0</v>
      </c>
      <c r="I81" s="6">
        <v>46171.0</v>
      </c>
      <c r="J81" s="5" t="s">
        <v>14</v>
      </c>
      <c r="K81" s="5" t="s">
        <v>94</v>
      </c>
      <c r="L81" s="7">
        <v>3.12</v>
      </c>
      <c r="M81" s="5" t="s">
        <v>108</v>
      </c>
      <c r="N81" s="5"/>
      <c r="O81" s="5"/>
    </row>
    <row r="82" ht="15.75" customHeight="1">
      <c r="A82" s="5" t="s">
        <v>107</v>
      </c>
      <c r="B82" s="5">
        <v>2.0411454E7</v>
      </c>
      <c r="C82" s="5" t="s">
        <v>96</v>
      </c>
      <c r="D82" s="5" t="s">
        <v>97</v>
      </c>
      <c r="E82" s="1" t="str">
        <f t="shared" si="1"/>
        <v>Connie Barger</v>
      </c>
      <c r="F82" s="5">
        <v>2.0088356201E10</v>
      </c>
      <c r="G82" s="5" t="str">
        <f t="shared" si="3"/>
        <v>20088356201OVR</v>
      </c>
      <c r="H82" s="6">
        <v>45658.0</v>
      </c>
      <c r="I82" s="6">
        <v>46171.0</v>
      </c>
      <c r="J82" s="5" t="s">
        <v>14</v>
      </c>
      <c r="K82" s="5" t="s">
        <v>94</v>
      </c>
      <c r="L82" s="7">
        <v>3.12</v>
      </c>
      <c r="M82" s="5" t="s">
        <v>108</v>
      </c>
      <c r="N82" s="5"/>
      <c r="O82" s="5"/>
    </row>
    <row r="83" ht="15.75" customHeight="1">
      <c r="A83" s="5" t="s">
        <v>107</v>
      </c>
      <c r="B83" s="5">
        <v>2.0411454E7</v>
      </c>
      <c r="C83" s="5" t="s">
        <v>98</v>
      </c>
      <c r="D83" s="5" t="s">
        <v>99</v>
      </c>
      <c r="E83" s="1" t="str">
        <f t="shared" si="1"/>
        <v>Margaret Stoner</v>
      </c>
      <c r="F83" s="5">
        <v>2.0088358301E10</v>
      </c>
      <c r="G83" s="5" t="str">
        <f t="shared" si="3"/>
        <v>20088358301OVR</v>
      </c>
      <c r="H83" s="6">
        <v>45658.0</v>
      </c>
      <c r="I83" s="6">
        <v>46171.0</v>
      </c>
      <c r="J83" s="5" t="s">
        <v>14</v>
      </c>
      <c r="K83" s="5" t="s">
        <v>94</v>
      </c>
      <c r="L83" s="7">
        <v>3.12</v>
      </c>
      <c r="M83" s="5" t="s">
        <v>108</v>
      </c>
      <c r="N83" s="5"/>
      <c r="O83" s="5"/>
    </row>
    <row r="84" ht="15.75" customHeight="1">
      <c r="A84" s="5" t="s">
        <v>107</v>
      </c>
      <c r="B84" s="5">
        <v>2.0411454E7</v>
      </c>
      <c r="C84" s="5" t="s">
        <v>100</v>
      </c>
      <c r="D84" s="5" t="s">
        <v>99</v>
      </c>
      <c r="E84" s="1" t="str">
        <f t="shared" si="1"/>
        <v>Max Stoner</v>
      </c>
      <c r="F84" s="5">
        <v>2.0088358501E10</v>
      </c>
      <c r="G84" s="5" t="str">
        <f t="shared" si="3"/>
        <v>20088358501OVR</v>
      </c>
      <c r="H84" s="6">
        <v>45658.0</v>
      </c>
      <c r="I84" s="6">
        <v>46171.0</v>
      </c>
      <c r="J84" s="5" t="s">
        <v>14</v>
      </c>
      <c r="K84" s="5" t="s">
        <v>94</v>
      </c>
      <c r="L84" s="7">
        <v>3.12</v>
      </c>
      <c r="M84" s="5" t="s">
        <v>108</v>
      </c>
      <c r="N84" s="5"/>
      <c r="O84" s="5"/>
    </row>
    <row r="85" ht="15.75" customHeight="1">
      <c r="A85" s="5" t="s">
        <v>107</v>
      </c>
      <c r="B85" s="5">
        <v>2.0411454E7</v>
      </c>
      <c r="C85" s="5" t="s">
        <v>101</v>
      </c>
      <c r="D85" s="5" t="s">
        <v>102</v>
      </c>
      <c r="E85" s="1" t="str">
        <f t="shared" si="1"/>
        <v>William Weist</v>
      </c>
      <c r="F85" s="5">
        <v>2.0088846701E10</v>
      </c>
      <c r="G85" s="5" t="str">
        <f t="shared" si="3"/>
        <v>20088846701OVR</v>
      </c>
      <c r="H85" s="6">
        <v>45658.0</v>
      </c>
      <c r="I85" s="6">
        <v>46171.0</v>
      </c>
      <c r="J85" s="5" t="s">
        <v>14</v>
      </c>
      <c r="K85" s="5" t="s">
        <v>94</v>
      </c>
      <c r="L85" s="7">
        <v>3.12</v>
      </c>
      <c r="M85" s="5" t="s">
        <v>108</v>
      </c>
      <c r="N85" s="5"/>
      <c r="O85" s="5"/>
    </row>
    <row r="86" ht="15.75" customHeight="1">
      <c r="A86" s="5" t="s">
        <v>107</v>
      </c>
      <c r="B86" s="5">
        <v>2.0411454E7</v>
      </c>
      <c r="C86" s="5" t="s">
        <v>12</v>
      </c>
      <c r="D86" s="5" t="s">
        <v>13</v>
      </c>
      <c r="E86" s="1" t="str">
        <f t="shared" si="1"/>
        <v>Jerome Martin</v>
      </c>
      <c r="F86" s="5">
        <v>2.0111722101E10</v>
      </c>
      <c r="G86" s="5" t="str">
        <f t="shared" si="3"/>
        <v>20111722101OVR</v>
      </c>
      <c r="H86" s="6">
        <v>46204.0</v>
      </c>
      <c r="I86" s="6">
        <v>46171.0</v>
      </c>
      <c r="J86" s="5" t="s">
        <v>14</v>
      </c>
      <c r="K86" s="5" t="s">
        <v>15</v>
      </c>
      <c r="L86" s="7">
        <v>75.0</v>
      </c>
      <c r="M86" s="5" t="s">
        <v>108</v>
      </c>
      <c r="N86" s="5"/>
      <c r="O86" s="5"/>
    </row>
    <row r="87" ht="15.75" customHeight="1">
      <c r="A87" s="5" t="s">
        <v>107</v>
      </c>
      <c r="B87" s="5">
        <v>2.0411454E7</v>
      </c>
      <c r="C87" s="5" t="s">
        <v>16</v>
      </c>
      <c r="D87" s="5" t="s">
        <v>13</v>
      </c>
      <c r="E87" s="1" t="str">
        <f t="shared" si="1"/>
        <v>Bonnie Martin</v>
      </c>
      <c r="F87" s="5">
        <v>2.0111722201E10</v>
      </c>
      <c r="G87" s="5" t="str">
        <f t="shared" si="3"/>
        <v>20111722201OVR</v>
      </c>
      <c r="H87" s="6">
        <v>46204.0</v>
      </c>
      <c r="I87" s="6">
        <v>46171.0</v>
      </c>
      <c r="J87" s="5" t="s">
        <v>14</v>
      </c>
      <c r="K87" s="5" t="s">
        <v>15</v>
      </c>
      <c r="L87" s="7">
        <v>75.0</v>
      </c>
      <c r="M87" s="5" t="s">
        <v>108</v>
      </c>
      <c r="N87" s="5"/>
      <c r="O87" s="5"/>
    </row>
    <row r="88" ht="15.75" customHeight="1">
      <c r="A88" s="1" t="s">
        <v>88</v>
      </c>
      <c r="B88" s="1">
        <v>1.879474E7</v>
      </c>
      <c r="C88" s="1" t="s">
        <v>89</v>
      </c>
      <c r="D88" s="1" t="s">
        <v>90</v>
      </c>
      <c r="E88" s="1" t="str">
        <f t="shared" si="1"/>
        <v>Debra Vanderduim</v>
      </c>
      <c r="F88" s="1">
        <v>2.0063015901E10</v>
      </c>
      <c r="G88" s="1" t="str">
        <f t="shared" ref="G88:G92" si="4">CONCATENATE(F88,33)</f>
        <v>2006301590133</v>
      </c>
      <c r="H88" s="2">
        <v>45292.0</v>
      </c>
      <c r="I88" s="2">
        <v>46171.0</v>
      </c>
      <c r="J88" s="1" t="s">
        <v>14</v>
      </c>
      <c r="K88" s="1" t="s">
        <v>27</v>
      </c>
      <c r="L88" s="3">
        <v>32.58</v>
      </c>
      <c r="M88" s="4" t="s">
        <v>104</v>
      </c>
      <c r="N88" s="4" t="s">
        <v>105</v>
      </c>
    </row>
    <row r="89" ht="15.75" customHeight="1">
      <c r="A89" s="1" t="s">
        <v>38</v>
      </c>
      <c r="B89" s="1">
        <v>1.5950276E7</v>
      </c>
      <c r="C89" s="1" t="s">
        <v>39</v>
      </c>
      <c r="D89" s="1" t="s">
        <v>40</v>
      </c>
      <c r="E89" s="1" t="str">
        <f t="shared" si="1"/>
        <v>Irene Walsh</v>
      </c>
      <c r="F89" s="1">
        <v>2.0010119701E10</v>
      </c>
      <c r="G89" s="1" t="str">
        <f t="shared" si="4"/>
        <v>2001011970133</v>
      </c>
      <c r="H89" s="2">
        <v>43466.0</v>
      </c>
      <c r="I89" s="2">
        <v>46171.0</v>
      </c>
      <c r="J89" s="1" t="s">
        <v>14</v>
      </c>
      <c r="K89" s="1" t="s">
        <v>27</v>
      </c>
      <c r="L89" s="3">
        <v>32.58</v>
      </c>
      <c r="M89" s="4" t="s">
        <v>104</v>
      </c>
      <c r="N89" s="4" t="s">
        <v>105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 t="s">
        <v>38</v>
      </c>
      <c r="B90" s="1">
        <v>1.5950276E7</v>
      </c>
      <c r="C90" s="1" t="s">
        <v>42</v>
      </c>
      <c r="D90" s="1" t="s">
        <v>43</v>
      </c>
      <c r="E90" s="1" t="str">
        <f t="shared" si="1"/>
        <v>Jean Francois Orszag</v>
      </c>
      <c r="F90" s="1">
        <v>2.0020870101E10</v>
      </c>
      <c r="G90" s="1" t="str">
        <f t="shared" si="4"/>
        <v>2002087010133</v>
      </c>
      <c r="H90" s="2">
        <v>44197.0</v>
      </c>
      <c r="I90" s="2">
        <v>46171.0</v>
      </c>
      <c r="J90" s="1" t="s">
        <v>14</v>
      </c>
      <c r="K90" s="1" t="s">
        <v>27</v>
      </c>
      <c r="L90" s="3">
        <v>32.58</v>
      </c>
      <c r="M90" s="4" t="s">
        <v>104</v>
      </c>
      <c r="N90" s="4" t="s">
        <v>105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 t="s">
        <v>38</v>
      </c>
      <c r="B91" s="1">
        <v>1.5950276E7</v>
      </c>
      <c r="C91" s="1" t="s">
        <v>67</v>
      </c>
      <c r="D91" s="1" t="s">
        <v>40</v>
      </c>
      <c r="E91" s="1" t="str">
        <f t="shared" si="1"/>
        <v>Clifford Walsh</v>
      </c>
      <c r="F91" s="1">
        <v>2.0039572101E10</v>
      </c>
      <c r="G91" s="1" t="str">
        <f t="shared" si="4"/>
        <v>2003957210133</v>
      </c>
      <c r="H91" s="2">
        <v>44531.0</v>
      </c>
      <c r="I91" s="2">
        <v>46171.0</v>
      </c>
      <c r="J91" s="1" t="s">
        <v>14</v>
      </c>
      <c r="K91" s="1" t="s">
        <v>27</v>
      </c>
      <c r="L91" s="3">
        <v>32.58</v>
      </c>
      <c r="M91" s="4" t="s">
        <v>104</v>
      </c>
      <c r="N91" s="4" t="s">
        <v>105</v>
      </c>
    </row>
    <row r="92" ht="15.75" customHeight="1">
      <c r="A92" s="1" t="s">
        <v>38</v>
      </c>
      <c r="B92" s="1">
        <v>1.5950276E7</v>
      </c>
      <c r="C92" s="1" t="s">
        <v>76</v>
      </c>
      <c r="D92" s="1" t="s">
        <v>77</v>
      </c>
      <c r="E92" s="1" t="str">
        <f t="shared" si="1"/>
        <v>Nicholas Ciambrone</v>
      </c>
      <c r="F92" s="1">
        <v>2.0043844601E10</v>
      </c>
      <c r="G92" s="1" t="str">
        <f t="shared" si="4"/>
        <v>2004384460133</v>
      </c>
      <c r="H92" s="2">
        <v>44713.0</v>
      </c>
      <c r="I92" s="2">
        <v>46171.0</v>
      </c>
      <c r="J92" s="1" t="s">
        <v>14</v>
      </c>
      <c r="K92" s="1" t="s">
        <v>27</v>
      </c>
      <c r="L92" s="3">
        <v>32.58</v>
      </c>
      <c r="M92" s="4" t="s">
        <v>104</v>
      </c>
      <c r="N92" s="4" t="s">
        <v>105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29"/>
    <col customWidth="1" min="3" max="3" width="14.29"/>
    <col customWidth="1" min="4" max="4" width="12.86"/>
    <col customWidth="1" min="5" max="5" width="16.57"/>
    <col customWidth="1" min="6" max="6" width="11.57"/>
    <col customWidth="1" min="7" max="7" width="54.14"/>
    <col customWidth="1" min="8" max="8" width="15.14"/>
    <col customWidth="1" min="9" max="9" width="24.29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F1" s="1" t="s">
        <v>6</v>
      </c>
      <c r="G1" s="1" t="s">
        <v>9</v>
      </c>
      <c r="H1" s="8" t="s">
        <v>10</v>
      </c>
      <c r="I1" s="1" t="s">
        <v>109</v>
      </c>
      <c r="J1" s="1" t="s">
        <v>110</v>
      </c>
      <c r="K1" s="1" t="s">
        <v>111</v>
      </c>
    </row>
    <row r="2" hidden="1">
      <c r="A2" s="1" t="s">
        <v>11</v>
      </c>
      <c r="B2" s="1" t="s">
        <v>25</v>
      </c>
      <c r="C2" s="1" t="s">
        <v>26</v>
      </c>
      <c r="D2" s="1">
        <v>8.5742701E7</v>
      </c>
      <c r="E2" s="1" t="str">
        <f>_xludf.concat(D2,33)</f>
        <v>#NAME?</v>
      </c>
      <c r="F2" s="2">
        <v>46023.0</v>
      </c>
      <c r="G2" s="1" t="s">
        <v>27</v>
      </c>
      <c r="H2" s="8">
        <v>32.58</v>
      </c>
      <c r="I2" s="1" t="s">
        <v>104</v>
      </c>
      <c r="J2" s="1">
        <v>1.0</v>
      </c>
      <c r="K2" s="1" t="s">
        <v>105</v>
      </c>
    </row>
    <row r="3" hidden="1">
      <c r="A3" s="1" t="s">
        <v>107</v>
      </c>
      <c r="B3" s="1" t="s">
        <v>25</v>
      </c>
      <c r="C3" s="1" t="s">
        <v>26</v>
      </c>
      <c r="D3" s="1">
        <v>8.5742701E7</v>
      </c>
      <c r="E3" s="1" t="str">
        <f>_xludf.concat(D3,"OVR")</f>
        <v>#NAME?</v>
      </c>
      <c r="F3" s="2">
        <v>46023.0</v>
      </c>
      <c r="G3" s="1" t="s">
        <v>94</v>
      </c>
      <c r="H3" s="8">
        <v>3.12</v>
      </c>
      <c r="I3" s="1" t="s">
        <v>108</v>
      </c>
      <c r="J3" s="8">
        <v>3.12</v>
      </c>
    </row>
    <row r="4" hidden="1">
      <c r="A4" s="1" t="s">
        <v>11</v>
      </c>
      <c r="B4" s="1" t="s">
        <v>28</v>
      </c>
      <c r="C4" s="1" t="s">
        <v>26</v>
      </c>
      <c r="D4" s="1">
        <v>9.6603301E7</v>
      </c>
      <c r="E4" s="1" t="str">
        <f>_xludf.concat(D4,33)</f>
        <v>#NAME?</v>
      </c>
      <c r="F4" s="2">
        <v>46023.0</v>
      </c>
      <c r="G4" s="1" t="s">
        <v>27</v>
      </c>
      <c r="H4" s="8">
        <v>32.58</v>
      </c>
      <c r="I4" s="1" t="s">
        <v>104</v>
      </c>
      <c r="J4" s="1">
        <v>1.0</v>
      </c>
      <c r="K4" s="1" t="s">
        <v>105</v>
      </c>
    </row>
    <row r="5" hidden="1">
      <c r="A5" s="1" t="s">
        <v>107</v>
      </c>
      <c r="B5" s="1" t="s">
        <v>28</v>
      </c>
      <c r="C5" s="1" t="s">
        <v>26</v>
      </c>
      <c r="D5" s="1">
        <v>9.6603301E7</v>
      </c>
      <c r="E5" s="1" t="str">
        <f>_xludf.concat(D5,"OVR")</f>
        <v>#NAME?</v>
      </c>
      <c r="F5" s="2">
        <v>46023.0</v>
      </c>
      <c r="G5" s="1" t="s">
        <v>94</v>
      </c>
      <c r="H5" s="8">
        <v>3.12</v>
      </c>
      <c r="I5" s="1" t="s">
        <v>108</v>
      </c>
      <c r="J5" s="8">
        <v>3.12</v>
      </c>
    </row>
    <row r="6" hidden="1">
      <c r="A6" s="1" t="s">
        <v>11</v>
      </c>
      <c r="B6" s="1" t="s">
        <v>29</v>
      </c>
      <c r="C6" s="1" t="s">
        <v>30</v>
      </c>
      <c r="D6" s="1">
        <v>1.0008741301E10</v>
      </c>
      <c r="E6" s="1" t="str">
        <f>_xludf.concat(D6,33)</f>
        <v>#NAME?</v>
      </c>
      <c r="F6" s="2">
        <v>46023.0</v>
      </c>
      <c r="G6" s="1" t="s">
        <v>27</v>
      </c>
      <c r="H6" s="8">
        <v>32.58</v>
      </c>
      <c r="I6" s="1" t="s">
        <v>104</v>
      </c>
      <c r="J6" s="1">
        <v>1.0</v>
      </c>
      <c r="K6" s="1" t="s">
        <v>105</v>
      </c>
    </row>
    <row r="7" hidden="1">
      <c r="A7" s="1" t="s">
        <v>107</v>
      </c>
      <c r="B7" s="1" t="s">
        <v>29</v>
      </c>
      <c r="C7" s="1" t="s">
        <v>30</v>
      </c>
      <c r="D7" s="1">
        <v>1.0008741301E10</v>
      </c>
      <c r="E7" s="1" t="str">
        <f>_xludf.concat(D7,"OVR")</f>
        <v>#NAME?</v>
      </c>
      <c r="F7" s="2">
        <v>46023.0</v>
      </c>
      <c r="G7" s="1" t="s">
        <v>94</v>
      </c>
      <c r="H7" s="8">
        <v>3.12</v>
      </c>
      <c r="I7" s="1" t="s">
        <v>108</v>
      </c>
      <c r="J7" s="8">
        <v>3.12</v>
      </c>
    </row>
    <row r="8" hidden="1">
      <c r="A8" s="1" t="s">
        <v>11</v>
      </c>
      <c r="B8" s="1" t="s">
        <v>31</v>
      </c>
      <c r="C8" s="1" t="s">
        <v>32</v>
      </c>
      <c r="D8" s="1">
        <v>1.0028861101E10</v>
      </c>
      <c r="E8" s="1" t="str">
        <f>_xludf.concat(D8,33)</f>
        <v>#NAME?</v>
      </c>
      <c r="F8" s="2">
        <v>46054.0</v>
      </c>
      <c r="G8" s="1" t="s">
        <v>27</v>
      </c>
      <c r="H8" s="8">
        <v>32.58</v>
      </c>
      <c r="I8" s="1" t="s">
        <v>104</v>
      </c>
      <c r="J8" s="1">
        <v>1.0</v>
      </c>
      <c r="K8" s="1" t="s">
        <v>105</v>
      </c>
    </row>
    <row r="9" hidden="1">
      <c r="A9" s="1" t="s">
        <v>107</v>
      </c>
      <c r="B9" s="1" t="s">
        <v>31</v>
      </c>
      <c r="C9" s="1" t="s">
        <v>32</v>
      </c>
      <c r="D9" s="1">
        <v>1.0028861101E10</v>
      </c>
      <c r="E9" s="1" t="str">
        <f>_xludf.concat(D9,"OVR")</f>
        <v>#NAME?</v>
      </c>
      <c r="F9" s="2">
        <v>46054.0</v>
      </c>
      <c r="G9" s="1" t="s">
        <v>94</v>
      </c>
      <c r="H9" s="8">
        <v>3.12</v>
      </c>
      <c r="I9" s="1" t="s">
        <v>108</v>
      </c>
      <c r="J9" s="8">
        <v>3.12</v>
      </c>
    </row>
    <row r="10" hidden="1">
      <c r="A10" s="1" t="s">
        <v>11</v>
      </c>
      <c r="B10" s="1" t="s">
        <v>33</v>
      </c>
      <c r="C10" s="1" t="s">
        <v>34</v>
      </c>
      <c r="D10" s="1">
        <v>1.0096067901E10</v>
      </c>
      <c r="E10" s="1" t="str">
        <f>_xludf.concat(D10,33)</f>
        <v>#NAME?</v>
      </c>
      <c r="F10" s="2">
        <v>46023.0</v>
      </c>
      <c r="G10" s="1" t="s">
        <v>27</v>
      </c>
      <c r="H10" s="8">
        <v>32.58</v>
      </c>
      <c r="I10" s="1" t="s">
        <v>104</v>
      </c>
      <c r="J10" s="1">
        <v>1.0</v>
      </c>
      <c r="K10" s="1" t="s">
        <v>105</v>
      </c>
    </row>
    <row r="11" hidden="1">
      <c r="A11" s="1" t="s">
        <v>107</v>
      </c>
      <c r="B11" s="1" t="s">
        <v>33</v>
      </c>
      <c r="C11" s="1" t="s">
        <v>34</v>
      </c>
      <c r="D11" s="1">
        <v>1.0096067901E10</v>
      </c>
      <c r="E11" s="1" t="str">
        <f>_xludf.concat(D11,"OVR")</f>
        <v>#NAME?</v>
      </c>
      <c r="F11" s="2">
        <v>46023.0</v>
      </c>
      <c r="G11" s="1" t="s">
        <v>94</v>
      </c>
      <c r="H11" s="8">
        <v>3.12</v>
      </c>
      <c r="I11" s="1" t="s">
        <v>108</v>
      </c>
      <c r="J11" s="8">
        <v>3.12</v>
      </c>
    </row>
    <row r="12" hidden="1">
      <c r="A12" s="1" t="s">
        <v>11</v>
      </c>
      <c r="B12" s="1" t="s">
        <v>35</v>
      </c>
      <c r="C12" s="1" t="s">
        <v>36</v>
      </c>
      <c r="D12" s="1">
        <v>1.0124160901E10</v>
      </c>
      <c r="E12" s="1" t="str">
        <f>_xludf.concat(D12,33)</f>
        <v>#NAME?</v>
      </c>
      <c r="F12" s="2">
        <v>46023.0</v>
      </c>
      <c r="G12" s="1" t="s">
        <v>27</v>
      </c>
      <c r="H12" s="8">
        <v>32.58</v>
      </c>
      <c r="I12" s="1" t="s">
        <v>104</v>
      </c>
      <c r="J12" s="1">
        <v>1.0</v>
      </c>
      <c r="K12" s="1" t="s">
        <v>105</v>
      </c>
    </row>
    <row r="13" hidden="1">
      <c r="A13" s="1" t="s">
        <v>107</v>
      </c>
      <c r="B13" s="1" t="s">
        <v>35</v>
      </c>
      <c r="C13" s="1" t="s">
        <v>36</v>
      </c>
      <c r="D13" s="1">
        <v>1.0124160901E10</v>
      </c>
      <c r="E13" s="1" t="str">
        <f>_xludf.concat(D13,"OVR")</f>
        <v>#NAME?</v>
      </c>
      <c r="F13" s="2">
        <v>46023.0</v>
      </c>
      <c r="G13" s="1" t="s">
        <v>94</v>
      </c>
      <c r="H13" s="8">
        <v>3.12</v>
      </c>
      <c r="I13" s="1" t="s">
        <v>108</v>
      </c>
      <c r="J13" s="8">
        <v>3.12</v>
      </c>
    </row>
    <row r="14" hidden="1">
      <c r="A14" s="1" t="s">
        <v>11</v>
      </c>
      <c r="B14" s="1" t="s">
        <v>37</v>
      </c>
      <c r="C14" s="1" t="s">
        <v>30</v>
      </c>
      <c r="D14" s="1">
        <v>2.0009616401E10</v>
      </c>
      <c r="E14" s="1" t="str">
        <f>_xludf.concat(D14,33)</f>
        <v>#NAME?</v>
      </c>
      <c r="F14" s="2">
        <v>46023.0</v>
      </c>
      <c r="G14" s="1" t="s">
        <v>27</v>
      </c>
      <c r="H14" s="8">
        <v>32.58</v>
      </c>
      <c r="I14" s="1" t="s">
        <v>104</v>
      </c>
      <c r="J14" s="1">
        <v>1.0</v>
      </c>
      <c r="K14" s="1" t="s">
        <v>105</v>
      </c>
    </row>
    <row r="15" hidden="1">
      <c r="A15" s="1" t="s">
        <v>107</v>
      </c>
      <c r="B15" s="1" t="s">
        <v>37</v>
      </c>
      <c r="C15" s="1" t="s">
        <v>30</v>
      </c>
      <c r="D15" s="1">
        <v>2.0009616401E10</v>
      </c>
      <c r="E15" s="1" t="str">
        <f t="shared" ref="E15:E16" si="1">_xludf.concat(D15,"OVR")</f>
        <v>#NAME?</v>
      </c>
      <c r="F15" s="2">
        <v>46023.0</v>
      </c>
      <c r="G15" s="1" t="s">
        <v>94</v>
      </c>
      <c r="H15" s="8">
        <v>3.12</v>
      </c>
      <c r="I15" s="1" t="s">
        <v>108</v>
      </c>
      <c r="J15" s="8">
        <v>3.12</v>
      </c>
    </row>
    <row r="16" hidden="1">
      <c r="A16" s="1" t="s">
        <v>107</v>
      </c>
      <c r="B16" s="1" t="s">
        <v>39</v>
      </c>
      <c r="C16" s="1" t="s">
        <v>40</v>
      </c>
      <c r="D16" s="1">
        <v>2.0010119701E10</v>
      </c>
      <c r="E16" s="1" t="str">
        <f t="shared" si="1"/>
        <v>#NAME?</v>
      </c>
      <c r="F16" s="2">
        <v>43466.0</v>
      </c>
      <c r="G16" s="1" t="s">
        <v>94</v>
      </c>
      <c r="H16" s="8">
        <v>3.12</v>
      </c>
      <c r="I16" s="1" t="s">
        <v>108</v>
      </c>
      <c r="J16" s="8">
        <v>3.12</v>
      </c>
    </row>
    <row r="17" hidden="1">
      <c r="A17" s="1" t="s">
        <v>38</v>
      </c>
      <c r="B17" s="1" t="s">
        <v>39</v>
      </c>
      <c r="C17" s="1" t="s">
        <v>40</v>
      </c>
      <c r="D17" s="1">
        <v>2.0010119701E10</v>
      </c>
      <c r="E17" s="1" t="str">
        <f t="shared" ref="E17:E18" si="2">_xludf.concat(D17,33)</f>
        <v>#NAME?</v>
      </c>
      <c r="F17" s="2">
        <v>43466.0</v>
      </c>
      <c r="G17" s="1" t="s">
        <v>27</v>
      </c>
      <c r="H17" s="8">
        <v>32.58</v>
      </c>
      <c r="I17" s="1" t="s">
        <v>104</v>
      </c>
      <c r="J17" s="1">
        <v>1.0</v>
      </c>
      <c r="K17" s="1" t="s">
        <v>105</v>
      </c>
    </row>
    <row r="18" hidden="1">
      <c r="A18" s="1" t="s">
        <v>11</v>
      </c>
      <c r="B18" s="1" t="s">
        <v>37</v>
      </c>
      <c r="C18" s="1" t="s">
        <v>41</v>
      </c>
      <c r="D18" s="1">
        <v>2.0011185201E10</v>
      </c>
      <c r="E18" s="1" t="str">
        <f t="shared" si="2"/>
        <v>#NAME?</v>
      </c>
      <c r="F18" s="2">
        <v>46023.0</v>
      </c>
      <c r="G18" s="1" t="s">
        <v>27</v>
      </c>
      <c r="H18" s="8">
        <v>32.58</v>
      </c>
      <c r="I18" s="1" t="s">
        <v>104</v>
      </c>
      <c r="J18" s="1">
        <v>1.0</v>
      </c>
      <c r="K18" s="1" t="s">
        <v>105</v>
      </c>
    </row>
    <row r="19" hidden="1">
      <c r="A19" s="1" t="s">
        <v>107</v>
      </c>
      <c r="B19" s="1" t="s">
        <v>37</v>
      </c>
      <c r="C19" s="1" t="s">
        <v>41</v>
      </c>
      <c r="D19" s="1">
        <v>2.0011185201E10</v>
      </c>
      <c r="E19" s="1" t="str">
        <f t="shared" ref="E19:E20" si="3">_xludf.concat(D19,"OVR")</f>
        <v>#NAME?</v>
      </c>
      <c r="F19" s="2">
        <v>46023.0</v>
      </c>
      <c r="G19" s="1" t="s">
        <v>94</v>
      </c>
      <c r="H19" s="8">
        <v>3.12</v>
      </c>
      <c r="I19" s="1" t="s">
        <v>108</v>
      </c>
      <c r="J19" s="8">
        <v>3.12</v>
      </c>
    </row>
    <row r="20" hidden="1">
      <c r="A20" s="1" t="s">
        <v>107</v>
      </c>
      <c r="B20" s="1" t="s">
        <v>42</v>
      </c>
      <c r="C20" s="1" t="s">
        <v>43</v>
      </c>
      <c r="D20" s="1">
        <v>2.0020870101E10</v>
      </c>
      <c r="E20" s="1" t="str">
        <f t="shared" si="3"/>
        <v>#NAME?</v>
      </c>
      <c r="F20" s="2">
        <v>44197.0</v>
      </c>
      <c r="G20" s="1" t="s">
        <v>94</v>
      </c>
      <c r="H20" s="8">
        <v>3.12</v>
      </c>
      <c r="I20" s="1" t="s">
        <v>108</v>
      </c>
      <c r="J20" s="8">
        <v>3.12</v>
      </c>
    </row>
    <row r="21" hidden="1">
      <c r="A21" s="1" t="s">
        <v>38</v>
      </c>
      <c r="B21" s="1" t="s">
        <v>42</v>
      </c>
      <c r="C21" s="1" t="s">
        <v>43</v>
      </c>
      <c r="D21" s="1">
        <v>2.0020870101E10</v>
      </c>
      <c r="E21" s="1" t="str">
        <f t="shared" ref="E21:E22" si="4">_xludf.concat(D21,33)</f>
        <v>#NAME?</v>
      </c>
      <c r="F21" s="2">
        <v>44197.0</v>
      </c>
      <c r="G21" s="1" t="s">
        <v>27</v>
      </c>
      <c r="H21" s="8">
        <v>32.58</v>
      </c>
      <c r="I21" s="1" t="s">
        <v>104</v>
      </c>
      <c r="J21" s="1">
        <v>1.0</v>
      </c>
      <c r="K21" s="1" t="s">
        <v>105</v>
      </c>
    </row>
    <row r="22" hidden="1">
      <c r="A22" s="1" t="s">
        <v>11</v>
      </c>
      <c r="B22" s="1" t="s">
        <v>44</v>
      </c>
      <c r="C22" s="1" t="s">
        <v>45</v>
      </c>
      <c r="D22" s="1">
        <v>2.0027177601E10</v>
      </c>
      <c r="E22" s="1" t="str">
        <f t="shared" si="4"/>
        <v>#NAME?</v>
      </c>
      <c r="F22" s="2">
        <v>46023.0</v>
      </c>
      <c r="G22" s="1" t="s">
        <v>27</v>
      </c>
      <c r="H22" s="8">
        <v>32.58</v>
      </c>
      <c r="I22" s="1" t="s">
        <v>104</v>
      </c>
      <c r="J22" s="1">
        <v>1.0</v>
      </c>
      <c r="K22" s="1" t="s">
        <v>105</v>
      </c>
    </row>
    <row r="23" hidden="1">
      <c r="A23" s="1" t="s">
        <v>107</v>
      </c>
      <c r="B23" s="1" t="s">
        <v>44</v>
      </c>
      <c r="C23" s="1" t="s">
        <v>45</v>
      </c>
      <c r="D23" s="1">
        <v>2.0027177601E10</v>
      </c>
      <c r="E23" s="1" t="str">
        <f>_xludf.concat(D23,"OVR")</f>
        <v>#NAME?</v>
      </c>
      <c r="F23" s="2">
        <v>46023.0</v>
      </c>
      <c r="G23" s="1" t="s">
        <v>94</v>
      </c>
      <c r="H23" s="8">
        <v>3.12</v>
      </c>
      <c r="I23" s="1" t="s">
        <v>108</v>
      </c>
      <c r="J23" s="8">
        <v>3.12</v>
      </c>
    </row>
    <row r="24" hidden="1">
      <c r="A24" s="1" t="s">
        <v>11</v>
      </c>
      <c r="B24" s="1" t="s">
        <v>46</v>
      </c>
      <c r="C24" s="1" t="s">
        <v>45</v>
      </c>
      <c r="D24" s="1">
        <v>2.0027350401E10</v>
      </c>
      <c r="E24" s="1" t="str">
        <f>_xludf.concat(D24,33)</f>
        <v>#NAME?</v>
      </c>
      <c r="F24" s="2">
        <v>46023.0</v>
      </c>
      <c r="G24" s="1" t="s">
        <v>27</v>
      </c>
      <c r="H24" s="8">
        <v>32.58</v>
      </c>
      <c r="I24" s="1" t="s">
        <v>104</v>
      </c>
      <c r="J24" s="1">
        <v>1.0</v>
      </c>
      <c r="K24" s="1" t="s">
        <v>105</v>
      </c>
    </row>
    <row r="25" hidden="1">
      <c r="A25" s="1" t="s">
        <v>107</v>
      </c>
      <c r="B25" s="1" t="s">
        <v>46</v>
      </c>
      <c r="C25" s="1" t="s">
        <v>45</v>
      </c>
      <c r="D25" s="1">
        <v>2.0027350401E10</v>
      </c>
      <c r="E25" s="1" t="str">
        <f>_xludf.concat(D25,"OVR")</f>
        <v>#NAME?</v>
      </c>
      <c r="F25" s="2">
        <v>46023.0</v>
      </c>
      <c r="G25" s="1" t="s">
        <v>94</v>
      </c>
      <c r="H25" s="8">
        <v>3.12</v>
      </c>
      <c r="I25" s="1" t="s">
        <v>108</v>
      </c>
      <c r="J25" s="8">
        <v>3.12</v>
      </c>
    </row>
    <row r="26">
      <c r="A26" s="1" t="s">
        <v>17</v>
      </c>
      <c r="B26" s="1" t="s">
        <v>18</v>
      </c>
      <c r="C26" s="1" t="s">
        <v>19</v>
      </c>
      <c r="D26" s="1">
        <v>2.0031442801E10</v>
      </c>
      <c r="F26" s="2">
        <v>44927.0</v>
      </c>
      <c r="G26" s="1" t="s">
        <v>20</v>
      </c>
      <c r="H26" s="8">
        <v>16.27</v>
      </c>
      <c r="J26" s="1">
        <v>1.0</v>
      </c>
    </row>
    <row r="27" hidden="1">
      <c r="A27" s="1" t="s">
        <v>107</v>
      </c>
      <c r="B27" s="1" t="s">
        <v>18</v>
      </c>
      <c r="C27" s="1" t="s">
        <v>19</v>
      </c>
      <c r="D27" s="1">
        <v>2.0031442801E10</v>
      </c>
      <c r="E27" s="1" t="str">
        <f>_xludf.concat(D27,"OVR")</f>
        <v>#NAME?</v>
      </c>
      <c r="F27" s="2">
        <v>44927.0</v>
      </c>
      <c r="G27" s="1" t="s">
        <v>94</v>
      </c>
      <c r="H27" s="8">
        <v>3.12</v>
      </c>
      <c r="I27" s="1" t="s">
        <v>108</v>
      </c>
      <c r="J27" s="8">
        <v>3.12</v>
      </c>
    </row>
    <row r="28" hidden="1">
      <c r="A28" s="1" t="s">
        <v>11</v>
      </c>
      <c r="B28" s="1" t="s">
        <v>47</v>
      </c>
      <c r="C28" s="1" t="s">
        <v>48</v>
      </c>
      <c r="D28" s="1">
        <v>2.0032097801E10</v>
      </c>
      <c r="E28" s="1" t="str">
        <f>_xludf.concat(D28,33)</f>
        <v>#NAME?</v>
      </c>
      <c r="F28" s="2">
        <v>46023.0</v>
      </c>
      <c r="G28" s="1" t="s">
        <v>27</v>
      </c>
      <c r="H28" s="8">
        <v>32.58</v>
      </c>
      <c r="I28" s="1" t="s">
        <v>104</v>
      </c>
      <c r="J28" s="1">
        <v>1.0</v>
      </c>
      <c r="K28" s="1" t="s">
        <v>105</v>
      </c>
    </row>
    <row r="29" hidden="1">
      <c r="A29" s="1" t="s">
        <v>107</v>
      </c>
      <c r="B29" s="1" t="s">
        <v>47</v>
      </c>
      <c r="C29" s="1" t="s">
        <v>48</v>
      </c>
      <c r="D29" s="1">
        <v>2.0032097801E10</v>
      </c>
      <c r="E29" s="1" t="str">
        <f>_xludf.concat(D29,"OVR")</f>
        <v>#NAME?</v>
      </c>
      <c r="F29" s="2">
        <v>46023.0</v>
      </c>
      <c r="G29" s="1" t="s">
        <v>94</v>
      </c>
      <c r="H29" s="8">
        <v>3.12</v>
      </c>
      <c r="I29" s="1" t="s">
        <v>108</v>
      </c>
      <c r="J29" s="8">
        <v>3.12</v>
      </c>
    </row>
    <row r="30" hidden="1">
      <c r="A30" s="1" t="s">
        <v>11</v>
      </c>
      <c r="B30" s="1" t="s">
        <v>49</v>
      </c>
      <c r="C30" s="1" t="s">
        <v>50</v>
      </c>
      <c r="D30" s="1">
        <v>2.0032142301E10</v>
      </c>
      <c r="E30" s="1" t="str">
        <f>_xludf.concat(D30,33)</f>
        <v>#NAME?</v>
      </c>
      <c r="F30" s="2">
        <v>46023.0</v>
      </c>
      <c r="G30" s="1" t="s">
        <v>27</v>
      </c>
      <c r="H30" s="8">
        <v>32.58</v>
      </c>
      <c r="I30" s="1" t="s">
        <v>104</v>
      </c>
      <c r="J30" s="1">
        <v>1.0</v>
      </c>
      <c r="K30" s="1" t="s">
        <v>105</v>
      </c>
    </row>
    <row r="31" hidden="1">
      <c r="A31" s="1" t="s">
        <v>107</v>
      </c>
      <c r="B31" s="1" t="s">
        <v>49</v>
      </c>
      <c r="C31" s="1" t="s">
        <v>50</v>
      </c>
      <c r="D31" s="1">
        <v>2.0032142301E10</v>
      </c>
      <c r="E31" s="1" t="str">
        <f>_xludf.concat(D31,"OVR")</f>
        <v>#NAME?</v>
      </c>
      <c r="F31" s="2">
        <v>46023.0</v>
      </c>
      <c r="G31" s="1" t="s">
        <v>94</v>
      </c>
      <c r="H31" s="8">
        <v>3.12</v>
      </c>
      <c r="I31" s="1" t="s">
        <v>108</v>
      </c>
      <c r="J31" s="8">
        <v>3.12</v>
      </c>
    </row>
    <row r="32" hidden="1">
      <c r="A32" s="1" t="s">
        <v>11</v>
      </c>
      <c r="B32" s="1" t="s">
        <v>51</v>
      </c>
      <c r="C32" s="1" t="s">
        <v>50</v>
      </c>
      <c r="D32" s="1">
        <v>2.0032142501E10</v>
      </c>
      <c r="E32" s="1" t="str">
        <f>_xludf.concat(D32,33)</f>
        <v>#NAME?</v>
      </c>
      <c r="F32" s="2">
        <v>46023.0</v>
      </c>
      <c r="G32" s="1" t="s">
        <v>27</v>
      </c>
      <c r="H32" s="8">
        <v>32.58</v>
      </c>
      <c r="I32" s="1" t="s">
        <v>104</v>
      </c>
      <c r="J32" s="1">
        <v>1.0</v>
      </c>
      <c r="K32" s="1" t="s">
        <v>105</v>
      </c>
    </row>
    <row r="33" hidden="1">
      <c r="A33" s="1" t="s">
        <v>107</v>
      </c>
      <c r="B33" s="1" t="s">
        <v>51</v>
      </c>
      <c r="C33" s="1" t="s">
        <v>50</v>
      </c>
      <c r="D33" s="1">
        <v>2.0032142501E10</v>
      </c>
      <c r="E33" s="1" t="str">
        <f>_xludf.concat(D33,"OVR")</f>
        <v>#NAME?</v>
      </c>
      <c r="F33" s="2">
        <v>46023.0</v>
      </c>
      <c r="G33" s="1" t="s">
        <v>94</v>
      </c>
      <c r="H33" s="8">
        <v>3.12</v>
      </c>
      <c r="I33" s="1" t="s">
        <v>108</v>
      </c>
      <c r="J33" s="8">
        <v>3.12</v>
      </c>
    </row>
    <row r="34" hidden="1">
      <c r="A34" s="1" t="s">
        <v>11</v>
      </c>
      <c r="B34" s="1" t="s">
        <v>52</v>
      </c>
      <c r="C34" s="1" t="s">
        <v>53</v>
      </c>
      <c r="D34" s="1">
        <v>2.0032206001E10</v>
      </c>
      <c r="E34" s="1" t="str">
        <f>_xludf.concat(D34,33)</f>
        <v>#NAME?</v>
      </c>
      <c r="F34" s="2">
        <v>46023.0</v>
      </c>
      <c r="G34" s="1" t="s">
        <v>27</v>
      </c>
      <c r="H34" s="8">
        <v>32.58</v>
      </c>
      <c r="I34" s="1" t="s">
        <v>104</v>
      </c>
      <c r="J34" s="1">
        <v>1.0</v>
      </c>
      <c r="K34" s="1" t="s">
        <v>105</v>
      </c>
    </row>
    <row r="35" hidden="1">
      <c r="A35" s="1" t="s">
        <v>107</v>
      </c>
      <c r="B35" s="1" t="s">
        <v>52</v>
      </c>
      <c r="C35" s="1" t="s">
        <v>53</v>
      </c>
      <c r="D35" s="1">
        <v>2.0032206001E10</v>
      </c>
      <c r="E35" s="1" t="str">
        <f>_xludf.concat(D35,"OVR")</f>
        <v>#NAME?</v>
      </c>
      <c r="F35" s="2">
        <v>46023.0</v>
      </c>
      <c r="G35" s="1" t="s">
        <v>94</v>
      </c>
      <c r="H35" s="8">
        <v>3.12</v>
      </c>
      <c r="I35" s="1" t="s">
        <v>108</v>
      </c>
      <c r="J35" s="8">
        <v>3.12</v>
      </c>
    </row>
    <row r="36">
      <c r="A36" s="1" t="s">
        <v>11</v>
      </c>
      <c r="B36" s="1" t="s">
        <v>21</v>
      </c>
      <c r="C36" s="1" t="s">
        <v>22</v>
      </c>
      <c r="D36" s="1">
        <v>2.0037806301E10</v>
      </c>
      <c r="F36" s="2">
        <v>46023.0</v>
      </c>
      <c r="G36" s="1" t="s">
        <v>20</v>
      </c>
      <c r="H36" s="8">
        <v>16.27</v>
      </c>
      <c r="J36" s="1">
        <v>1.0</v>
      </c>
    </row>
    <row r="37" hidden="1">
      <c r="A37" s="1" t="s">
        <v>107</v>
      </c>
      <c r="B37" s="1" t="s">
        <v>21</v>
      </c>
      <c r="C37" s="1" t="s">
        <v>22</v>
      </c>
      <c r="D37" s="1">
        <v>2.0037806301E10</v>
      </c>
      <c r="E37" s="1" t="str">
        <f>_xludf.concat(D37,"OVR")</f>
        <v>#NAME?</v>
      </c>
      <c r="F37" s="2">
        <v>46023.0</v>
      </c>
      <c r="G37" s="1" t="s">
        <v>94</v>
      </c>
      <c r="H37" s="8">
        <v>3.12</v>
      </c>
      <c r="I37" s="1" t="s">
        <v>108</v>
      </c>
      <c r="J37" s="8">
        <v>3.12</v>
      </c>
    </row>
    <row r="38" hidden="1">
      <c r="A38" s="1" t="s">
        <v>11</v>
      </c>
      <c r="B38" s="1" t="s">
        <v>54</v>
      </c>
      <c r="C38" s="1" t="s">
        <v>55</v>
      </c>
      <c r="D38" s="1">
        <v>2.0038750301E10</v>
      </c>
      <c r="E38" s="1" t="str">
        <f>_xludf.concat(D38,33)</f>
        <v>#NAME?</v>
      </c>
      <c r="F38" s="2">
        <v>46023.0</v>
      </c>
      <c r="G38" s="1" t="s">
        <v>27</v>
      </c>
      <c r="H38" s="8">
        <v>32.58</v>
      </c>
      <c r="I38" s="1" t="s">
        <v>104</v>
      </c>
      <c r="J38" s="1">
        <v>1.0</v>
      </c>
      <c r="K38" s="1" t="s">
        <v>105</v>
      </c>
    </row>
    <row r="39" hidden="1">
      <c r="A39" s="1" t="s">
        <v>107</v>
      </c>
      <c r="B39" s="1" t="s">
        <v>54</v>
      </c>
      <c r="C39" s="1" t="s">
        <v>55</v>
      </c>
      <c r="D39" s="1">
        <v>2.0038750301E10</v>
      </c>
      <c r="E39" s="1" t="str">
        <f>_xludf.concat(D39,"OVR")</f>
        <v>#NAME?</v>
      </c>
      <c r="F39" s="2">
        <v>46023.0</v>
      </c>
      <c r="G39" s="1" t="s">
        <v>94</v>
      </c>
      <c r="H39" s="8">
        <v>3.12</v>
      </c>
      <c r="I39" s="1" t="s">
        <v>108</v>
      </c>
      <c r="J39" s="8">
        <v>3.12</v>
      </c>
    </row>
    <row r="40" hidden="1">
      <c r="A40" s="1" t="s">
        <v>11</v>
      </c>
      <c r="B40" s="1" t="s">
        <v>56</v>
      </c>
      <c r="C40" s="1" t="s">
        <v>57</v>
      </c>
      <c r="D40" s="1">
        <v>2.0038818301E10</v>
      </c>
      <c r="E40" s="1" t="str">
        <f>_xludf.concat(D40,33)</f>
        <v>#NAME?</v>
      </c>
      <c r="F40" s="2">
        <v>46023.0</v>
      </c>
      <c r="G40" s="1" t="s">
        <v>27</v>
      </c>
      <c r="H40" s="8">
        <v>32.58</v>
      </c>
      <c r="I40" s="1" t="s">
        <v>104</v>
      </c>
      <c r="J40" s="1">
        <v>1.0</v>
      </c>
      <c r="K40" s="1" t="s">
        <v>105</v>
      </c>
    </row>
    <row r="41" hidden="1">
      <c r="A41" s="1" t="s">
        <v>107</v>
      </c>
      <c r="B41" s="1" t="s">
        <v>56</v>
      </c>
      <c r="C41" s="1" t="s">
        <v>57</v>
      </c>
      <c r="D41" s="1">
        <v>2.0038818301E10</v>
      </c>
      <c r="E41" s="1" t="str">
        <f>_xludf.concat(D41,"OVR")</f>
        <v>#NAME?</v>
      </c>
      <c r="F41" s="2">
        <v>46023.0</v>
      </c>
      <c r="G41" s="1" t="s">
        <v>94</v>
      </c>
      <c r="H41" s="8">
        <v>3.12</v>
      </c>
      <c r="I41" s="1" t="s">
        <v>108</v>
      </c>
      <c r="J41" s="8">
        <v>3.12</v>
      </c>
    </row>
    <row r="42" hidden="1">
      <c r="A42" s="1" t="s">
        <v>11</v>
      </c>
      <c r="B42" s="1" t="s">
        <v>58</v>
      </c>
      <c r="C42" s="1" t="s">
        <v>57</v>
      </c>
      <c r="D42" s="1">
        <v>2.0038840001E10</v>
      </c>
      <c r="E42" s="1" t="str">
        <f>_xludf.concat(D42,33)</f>
        <v>#NAME?</v>
      </c>
      <c r="F42" s="2">
        <v>46023.0</v>
      </c>
      <c r="G42" s="1" t="s">
        <v>27</v>
      </c>
      <c r="H42" s="8">
        <v>32.58</v>
      </c>
      <c r="I42" s="1" t="s">
        <v>104</v>
      </c>
      <c r="J42" s="1">
        <v>1.0</v>
      </c>
      <c r="K42" s="1" t="s">
        <v>105</v>
      </c>
    </row>
    <row r="43" hidden="1">
      <c r="A43" s="1" t="s">
        <v>107</v>
      </c>
      <c r="B43" s="1" t="s">
        <v>58</v>
      </c>
      <c r="C43" s="1" t="s">
        <v>57</v>
      </c>
      <c r="D43" s="1">
        <v>2.0038840001E10</v>
      </c>
      <c r="E43" s="1" t="str">
        <f>_xludf.concat(D43,"OVR")</f>
        <v>#NAME?</v>
      </c>
      <c r="F43" s="2">
        <v>46023.0</v>
      </c>
      <c r="G43" s="1" t="s">
        <v>94</v>
      </c>
      <c r="H43" s="8">
        <v>3.12</v>
      </c>
      <c r="I43" s="1" t="s">
        <v>108</v>
      </c>
      <c r="J43" s="8">
        <v>3.12</v>
      </c>
    </row>
    <row r="44" hidden="1">
      <c r="A44" s="1" t="s">
        <v>11</v>
      </c>
      <c r="B44" s="1" t="s">
        <v>59</v>
      </c>
      <c r="C44" s="1" t="s">
        <v>60</v>
      </c>
      <c r="D44" s="1">
        <v>2.0038840101E10</v>
      </c>
      <c r="E44" s="1" t="str">
        <f>_xludf.concat(D44,33)</f>
        <v>#NAME?</v>
      </c>
      <c r="F44" s="2">
        <v>46023.0</v>
      </c>
      <c r="G44" s="1" t="s">
        <v>27</v>
      </c>
      <c r="H44" s="8">
        <v>32.58</v>
      </c>
      <c r="I44" s="1" t="s">
        <v>104</v>
      </c>
      <c r="J44" s="1">
        <v>1.0</v>
      </c>
      <c r="K44" s="1" t="s">
        <v>105</v>
      </c>
    </row>
    <row r="45" hidden="1">
      <c r="A45" s="1" t="s">
        <v>107</v>
      </c>
      <c r="B45" s="1" t="s">
        <v>59</v>
      </c>
      <c r="C45" s="1" t="s">
        <v>60</v>
      </c>
      <c r="D45" s="1">
        <v>2.0038840101E10</v>
      </c>
      <c r="E45" s="1" t="str">
        <f>_xludf.concat(D45,"OVR")</f>
        <v>#NAME?</v>
      </c>
      <c r="F45" s="2">
        <v>46023.0</v>
      </c>
      <c r="G45" s="1" t="s">
        <v>94</v>
      </c>
      <c r="H45" s="8">
        <v>3.12</v>
      </c>
      <c r="I45" s="1" t="s">
        <v>108</v>
      </c>
      <c r="J45" s="8">
        <v>3.12</v>
      </c>
    </row>
    <row r="46" hidden="1">
      <c r="A46" s="1" t="s">
        <v>11</v>
      </c>
      <c r="B46" s="1" t="s">
        <v>52</v>
      </c>
      <c r="C46" s="1" t="s">
        <v>61</v>
      </c>
      <c r="D46" s="1">
        <v>2.0038842601E10</v>
      </c>
      <c r="E46" s="1" t="str">
        <f>_xludf.concat(D46,33)</f>
        <v>#NAME?</v>
      </c>
      <c r="F46" s="2">
        <v>46023.0</v>
      </c>
      <c r="G46" s="1" t="s">
        <v>27</v>
      </c>
      <c r="H46" s="8">
        <v>32.58</v>
      </c>
      <c r="I46" s="1" t="s">
        <v>104</v>
      </c>
      <c r="J46" s="1">
        <v>1.0</v>
      </c>
      <c r="K46" s="1" t="s">
        <v>105</v>
      </c>
    </row>
    <row r="47" hidden="1">
      <c r="A47" s="1" t="s">
        <v>107</v>
      </c>
      <c r="B47" s="1" t="s">
        <v>52</v>
      </c>
      <c r="C47" s="1" t="s">
        <v>61</v>
      </c>
      <c r="D47" s="1">
        <v>2.0038842601E10</v>
      </c>
      <c r="E47" s="1" t="str">
        <f>_xludf.concat(D47,"OVR")</f>
        <v>#NAME?</v>
      </c>
      <c r="F47" s="2">
        <v>46023.0</v>
      </c>
      <c r="G47" s="1" t="s">
        <v>94</v>
      </c>
      <c r="H47" s="8">
        <v>3.12</v>
      </c>
      <c r="I47" s="1" t="s">
        <v>108</v>
      </c>
      <c r="J47" s="8">
        <v>3.12</v>
      </c>
    </row>
    <row r="48" hidden="1">
      <c r="A48" s="1" t="s">
        <v>11</v>
      </c>
      <c r="B48" s="1" t="s">
        <v>62</v>
      </c>
      <c r="C48" s="1" t="s">
        <v>63</v>
      </c>
      <c r="D48" s="1">
        <v>2.0039206601E10</v>
      </c>
      <c r="E48" s="1" t="str">
        <f>_xludf.concat(D48,33)</f>
        <v>#NAME?</v>
      </c>
      <c r="F48" s="2">
        <v>46023.0</v>
      </c>
      <c r="G48" s="1" t="s">
        <v>27</v>
      </c>
      <c r="H48" s="8">
        <v>32.58</v>
      </c>
      <c r="I48" s="1" t="s">
        <v>104</v>
      </c>
      <c r="J48" s="1">
        <v>1.0</v>
      </c>
      <c r="K48" s="1" t="s">
        <v>105</v>
      </c>
    </row>
    <row r="49" hidden="1">
      <c r="A49" s="1" t="s">
        <v>107</v>
      </c>
      <c r="B49" s="1" t="s">
        <v>62</v>
      </c>
      <c r="C49" s="1" t="s">
        <v>63</v>
      </c>
      <c r="D49" s="1">
        <v>2.0039206601E10</v>
      </c>
      <c r="E49" s="1" t="str">
        <f>_xludf.concat(D49,"OVR")</f>
        <v>#NAME?</v>
      </c>
      <c r="F49" s="2">
        <v>46023.0</v>
      </c>
      <c r="G49" s="1" t="s">
        <v>94</v>
      </c>
      <c r="H49" s="8">
        <v>3.12</v>
      </c>
      <c r="I49" s="1" t="s">
        <v>108</v>
      </c>
      <c r="J49" s="8">
        <v>3.12</v>
      </c>
    </row>
    <row r="50" hidden="1">
      <c r="A50" s="1" t="s">
        <v>11</v>
      </c>
      <c r="B50" s="1" t="s">
        <v>64</v>
      </c>
      <c r="C50" s="1" t="s">
        <v>63</v>
      </c>
      <c r="D50" s="1">
        <v>2.0039228601E10</v>
      </c>
      <c r="E50" s="1" t="str">
        <f>_xludf.concat(D50,33)</f>
        <v>#NAME?</v>
      </c>
      <c r="F50" s="2">
        <v>46023.0</v>
      </c>
      <c r="G50" s="1" t="s">
        <v>27</v>
      </c>
      <c r="H50" s="8">
        <v>32.58</v>
      </c>
      <c r="I50" s="1" t="s">
        <v>104</v>
      </c>
      <c r="J50" s="1">
        <v>1.0</v>
      </c>
      <c r="K50" s="1" t="s">
        <v>105</v>
      </c>
    </row>
    <row r="51" hidden="1">
      <c r="A51" s="1" t="s">
        <v>107</v>
      </c>
      <c r="B51" s="1" t="s">
        <v>64</v>
      </c>
      <c r="C51" s="1" t="s">
        <v>63</v>
      </c>
      <c r="D51" s="1">
        <v>2.0039228601E10</v>
      </c>
      <c r="E51" s="1" t="str">
        <f>_xludf.concat(D51,"OVR")</f>
        <v>#NAME?</v>
      </c>
      <c r="F51" s="2">
        <v>46023.0</v>
      </c>
      <c r="G51" s="1" t="s">
        <v>94</v>
      </c>
      <c r="H51" s="8">
        <v>3.12</v>
      </c>
      <c r="I51" s="1" t="s">
        <v>108</v>
      </c>
      <c r="J51" s="8">
        <v>3.12</v>
      </c>
    </row>
    <row r="52" hidden="1">
      <c r="A52" s="1" t="s">
        <v>11</v>
      </c>
      <c r="B52" s="1" t="s">
        <v>65</v>
      </c>
      <c r="C52" s="1" t="s">
        <v>66</v>
      </c>
      <c r="D52" s="1">
        <v>2.0039512801E10</v>
      </c>
      <c r="E52" s="1" t="str">
        <f>_xludf.concat(D52,33)</f>
        <v>#NAME?</v>
      </c>
      <c r="F52" s="2">
        <v>46023.0</v>
      </c>
      <c r="G52" s="1" t="s">
        <v>27</v>
      </c>
      <c r="H52" s="8">
        <v>32.58</v>
      </c>
      <c r="I52" s="1" t="s">
        <v>104</v>
      </c>
      <c r="J52" s="1">
        <v>1.0</v>
      </c>
      <c r="K52" s="1" t="s">
        <v>105</v>
      </c>
    </row>
    <row r="53" hidden="1">
      <c r="A53" s="1" t="s">
        <v>107</v>
      </c>
      <c r="B53" s="1" t="s">
        <v>65</v>
      </c>
      <c r="C53" s="1" t="s">
        <v>66</v>
      </c>
      <c r="D53" s="1">
        <v>2.0039512801E10</v>
      </c>
      <c r="E53" s="1" t="str">
        <f t="shared" ref="E53:E54" si="5">_xludf.concat(D53,"OVR")</f>
        <v>#NAME?</v>
      </c>
      <c r="F53" s="2">
        <v>46023.0</v>
      </c>
      <c r="G53" s="1" t="s">
        <v>94</v>
      </c>
      <c r="H53" s="8">
        <v>3.12</v>
      </c>
      <c r="I53" s="1" t="s">
        <v>108</v>
      </c>
      <c r="J53" s="8">
        <v>3.12</v>
      </c>
    </row>
    <row r="54" hidden="1">
      <c r="A54" s="1" t="s">
        <v>107</v>
      </c>
      <c r="B54" s="1" t="s">
        <v>67</v>
      </c>
      <c r="C54" s="1" t="s">
        <v>40</v>
      </c>
      <c r="D54" s="1">
        <v>2.0039572101E10</v>
      </c>
      <c r="E54" s="1" t="str">
        <f t="shared" si="5"/>
        <v>#NAME?</v>
      </c>
      <c r="F54" s="2">
        <v>44531.0</v>
      </c>
      <c r="G54" s="1" t="s">
        <v>94</v>
      </c>
      <c r="H54" s="8">
        <v>3.12</v>
      </c>
      <c r="I54" s="1" t="s">
        <v>108</v>
      </c>
      <c r="J54" s="8">
        <v>3.12</v>
      </c>
    </row>
    <row r="55" hidden="1">
      <c r="A55" s="1" t="s">
        <v>38</v>
      </c>
      <c r="B55" s="1" t="s">
        <v>67</v>
      </c>
      <c r="C55" s="1" t="s">
        <v>40</v>
      </c>
      <c r="D55" s="1">
        <v>2.0039572101E10</v>
      </c>
      <c r="E55" s="1" t="str">
        <f t="shared" ref="E55:E56" si="6">_xludf.concat(D55,33)</f>
        <v>#NAME?</v>
      </c>
      <c r="F55" s="2">
        <v>44531.0</v>
      </c>
      <c r="G55" s="1" t="s">
        <v>27</v>
      </c>
      <c r="H55" s="8">
        <v>32.58</v>
      </c>
      <c r="I55" s="1" t="s">
        <v>104</v>
      </c>
      <c r="J55" s="1">
        <v>1.0</v>
      </c>
      <c r="K55" s="1" t="s">
        <v>105</v>
      </c>
    </row>
    <row r="56" hidden="1">
      <c r="A56" s="1" t="s">
        <v>11</v>
      </c>
      <c r="B56" s="1" t="s">
        <v>25</v>
      </c>
      <c r="C56" s="1" t="s">
        <v>45</v>
      </c>
      <c r="D56" s="1">
        <v>2.0039672401E10</v>
      </c>
      <c r="E56" s="1" t="str">
        <f t="shared" si="6"/>
        <v>#NAME?</v>
      </c>
      <c r="F56" s="2">
        <v>46023.0</v>
      </c>
      <c r="G56" s="1" t="s">
        <v>27</v>
      </c>
      <c r="H56" s="8">
        <v>32.58</v>
      </c>
      <c r="I56" s="1" t="s">
        <v>104</v>
      </c>
      <c r="J56" s="1">
        <v>1.0</v>
      </c>
      <c r="K56" s="1" t="s">
        <v>105</v>
      </c>
    </row>
    <row r="57" hidden="1">
      <c r="A57" s="1" t="s">
        <v>107</v>
      </c>
      <c r="B57" s="1" t="s">
        <v>25</v>
      </c>
      <c r="C57" s="1" t="s">
        <v>45</v>
      </c>
      <c r="D57" s="1">
        <v>2.0039672401E10</v>
      </c>
      <c r="E57" s="1" t="str">
        <f>_xludf.concat(D57,"OVR")</f>
        <v>#NAME?</v>
      </c>
      <c r="F57" s="2">
        <v>46023.0</v>
      </c>
      <c r="G57" s="1" t="s">
        <v>94</v>
      </c>
      <c r="H57" s="8">
        <v>3.12</v>
      </c>
      <c r="I57" s="1" t="s">
        <v>108</v>
      </c>
      <c r="J57" s="8">
        <v>3.12</v>
      </c>
    </row>
    <row r="58" hidden="1">
      <c r="A58" s="1" t="s">
        <v>11</v>
      </c>
      <c r="B58" s="1" t="s">
        <v>68</v>
      </c>
      <c r="C58" s="1" t="s">
        <v>45</v>
      </c>
      <c r="D58" s="1">
        <v>2.0039673901E10</v>
      </c>
      <c r="E58" s="1" t="str">
        <f>_xludf.concat(D58,33)</f>
        <v>#NAME?</v>
      </c>
      <c r="F58" s="2">
        <v>46023.0</v>
      </c>
      <c r="G58" s="1" t="s">
        <v>27</v>
      </c>
      <c r="H58" s="8">
        <v>32.58</v>
      </c>
      <c r="I58" s="1" t="s">
        <v>104</v>
      </c>
      <c r="J58" s="1">
        <v>1.0</v>
      </c>
      <c r="K58" s="1" t="s">
        <v>105</v>
      </c>
    </row>
    <row r="59" hidden="1">
      <c r="A59" s="1" t="s">
        <v>107</v>
      </c>
      <c r="B59" s="1" t="s">
        <v>68</v>
      </c>
      <c r="C59" s="1" t="s">
        <v>45</v>
      </c>
      <c r="D59" s="1">
        <v>2.0039673901E10</v>
      </c>
      <c r="E59" s="1" t="str">
        <f>_xludf.concat(D59,"OVR")</f>
        <v>#NAME?</v>
      </c>
      <c r="F59" s="2">
        <v>46023.0</v>
      </c>
      <c r="G59" s="1" t="s">
        <v>94</v>
      </c>
      <c r="H59" s="8">
        <v>3.12</v>
      </c>
      <c r="I59" s="1" t="s">
        <v>108</v>
      </c>
      <c r="J59" s="8">
        <v>3.12</v>
      </c>
    </row>
    <row r="60" hidden="1">
      <c r="A60" s="1" t="s">
        <v>11</v>
      </c>
      <c r="B60" s="1" t="s">
        <v>52</v>
      </c>
      <c r="C60" s="1" t="s">
        <v>69</v>
      </c>
      <c r="D60" s="1">
        <v>2.0040587601E10</v>
      </c>
      <c r="E60" s="1" t="str">
        <f>_xludf.concat(D60,33)</f>
        <v>#NAME?</v>
      </c>
      <c r="F60" s="2">
        <v>46023.0</v>
      </c>
      <c r="G60" s="1" t="s">
        <v>27</v>
      </c>
      <c r="H60" s="8">
        <v>32.58</v>
      </c>
      <c r="I60" s="1" t="s">
        <v>104</v>
      </c>
      <c r="J60" s="1">
        <v>1.0</v>
      </c>
      <c r="K60" s="1" t="s">
        <v>105</v>
      </c>
    </row>
    <row r="61" hidden="1">
      <c r="A61" s="1" t="s">
        <v>107</v>
      </c>
      <c r="B61" s="1" t="s">
        <v>52</v>
      </c>
      <c r="C61" s="1" t="s">
        <v>69</v>
      </c>
      <c r="D61" s="1">
        <v>2.0040587601E10</v>
      </c>
      <c r="E61" s="1" t="str">
        <f>_xludf.concat(D61,"OVR")</f>
        <v>#NAME?</v>
      </c>
      <c r="F61" s="2">
        <v>46023.0</v>
      </c>
      <c r="G61" s="1" t="s">
        <v>94</v>
      </c>
      <c r="H61" s="8">
        <v>3.12</v>
      </c>
      <c r="I61" s="1" t="s">
        <v>108</v>
      </c>
      <c r="J61" s="8">
        <v>3.12</v>
      </c>
    </row>
    <row r="62" hidden="1">
      <c r="A62" s="1" t="s">
        <v>17</v>
      </c>
      <c r="B62" s="1" t="s">
        <v>21</v>
      </c>
      <c r="C62" s="1" t="s">
        <v>70</v>
      </c>
      <c r="D62" s="1">
        <v>2.0041040101E10</v>
      </c>
      <c r="E62" s="1" t="str">
        <f>_xludf.concat(D62,33)</f>
        <v>#NAME?</v>
      </c>
      <c r="F62" s="2">
        <v>45809.0</v>
      </c>
      <c r="G62" s="1" t="s">
        <v>27</v>
      </c>
      <c r="H62" s="8">
        <v>32.58</v>
      </c>
      <c r="I62" s="1" t="s">
        <v>104</v>
      </c>
      <c r="J62" s="1">
        <v>1.0</v>
      </c>
      <c r="K62" s="1" t="s">
        <v>105</v>
      </c>
    </row>
    <row r="63" hidden="1">
      <c r="A63" s="1" t="s">
        <v>107</v>
      </c>
      <c r="B63" s="1" t="s">
        <v>21</v>
      </c>
      <c r="C63" s="1" t="s">
        <v>70</v>
      </c>
      <c r="D63" s="1">
        <v>2.0041040101E10</v>
      </c>
      <c r="E63" s="1" t="str">
        <f>_xludf.concat(D63,"OVR")</f>
        <v>#NAME?</v>
      </c>
      <c r="F63" s="2">
        <v>45809.0</v>
      </c>
      <c r="G63" s="1" t="s">
        <v>94</v>
      </c>
      <c r="H63" s="8">
        <v>3.12</v>
      </c>
      <c r="I63" s="1" t="s">
        <v>108</v>
      </c>
      <c r="J63" s="8">
        <v>3.12</v>
      </c>
    </row>
    <row r="64" hidden="1">
      <c r="A64" s="1" t="s">
        <v>11</v>
      </c>
      <c r="B64" s="1" t="s">
        <v>71</v>
      </c>
      <c r="C64" s="1" t="s">
        <v>72</v>
      </c>
      <c r="D64" s="1">
        <v>2.0041787401E10</v>
      </c>
      <c r="E64" s="1" t="str">
        <f>_xludf.concat(D64,33)</f>
        <v>#NAME?</v>
      </c>
      <c r="F64" s="2">
        <v>46023.0</v>
      </c>
      <c r="G64" s="1" t="s">
        <v>27</v>
      </c>
      <c r="H64" s="8">
        <v>32.58</v>
      </c>
      <c r="I64" s="1" t="s">
        <v>104</v>
      </c>
      <c r="J64" s="1">
        <v>1.0</v>
      </c>
      <c r="K64" s="1" t="s">
        <v>105</v>
      </c>
    </row>
    <row r="65" hidden="1">
      <c r="A65" s="1" t="s">
        <v>107</v>
      </c>
      <c r="B65" s="1" t="s">
        <v>71</v>
      </c>
      <c r="C65" s="1" t="s">
        <v>72</v>
      </c>
      <c r="D65" s="1">
        <v>2.0041787401E10</v>
      </c>
      <c r="E65" s="1" t="str">
        <f>_xludf.concat(D65,"OVR")</f>
        <v>#NAME?</v>
      </c>
      <c r="F65" s="2">
        <v>46023.0</v>
      </c>
      <c r="G65" s="1" t="s">
        <v>94</v>
      </c>
      <c r="H65" s="8">
        <v>3.12</v>
      </c>
      <c r="I65" s="1" t="s">
        <v>108</v>
      </c>
      <c r="J65" s="8">
        <v>3.12</v>
      </c>
    </row>
    <row r="66" hidden="1">
      <c r="A66" s="1" t="s">
        <v>11</v>
      </c>
      <c r="B66" s="1" t="s">
        <v>73</v>
      </c>
      <c r="C66" s="1" t="s">
        <v>72</v>
      </c>
      <c r="D66" s="1">
        <v>2.0041800601E10</v>
      </c>
      <c r="E66" s="1" t="str">
        <f>_xludf.concat(D66,33)</f>
        <v>#NAME?</v>
      </c>
      <c r="F66" s="2">
        <v>46023.0</v>
      </c>
      <c r="G66" s="1" t="s">
        <v>27</v>
      </c>
      <c r="H66" s="8">
        <v>32.58</v>
      </c>
      <c r="I66" s="1" t="s">
        <v>104</v>
      </c>
      <c r="J66" s="1">
        <v>1.0</v>
      </c>
      <c r="K66" s="1" t="s">
        <v>105</v>
      </c>
    </row>
    <row r="67" hidden="1">
      <c r="A67" s="1" t="s">
        <v>107</v>
      </c>
      <c r="B67" s="1" t="s">
        <v>73</v>
      </c>
      <c r="C67" s="1" t="s">
        <v>72</v>
      </c>
      <c r="D67" s="1">
        <v>2.0041800601E10</v>
      </c>
      <c r="E67" s="1" t="str">
        <f>_xludf.concat(D67,"OVR")</f>
        <v>#NAME?</v>
      </c>
      <c r="F67" s="2">
        <v>46023.0</v>
      </c>
      <c r="G67" s="1" t="s">
        <v>94</v>
      </c>
      <c r="H67" s="8">
        <v>3.12</v>
      </c>
      <c r="I67" s="1" t="s">
        <v>108</v>
      </c>
      <c r="J67" s="8">
        <v>3.12</v>
      </c>
    </row>
    <row r="68" hidden="1">
      <c r="A68" s="1" t="s">
        <v>11</v>
      </c>
      <c r="B68" s="1" t="s">
        <v>74</v>
      </c>
      <c r="C68" s="1" t="s">
        <v>75</v>
      </c>
      <c r="D68" s="1">
        <v>2.0042811101E10</v>
      </c>
      <c r="E68" s="1" t="str">
        <f>_xludf.concat(D68,33)</f>
        <v>#NAME?</v>
      </c>
      <c r="F68" s="2">
        <v>46023.0</v>
      </c>
      <c r="G68" s="1" t="s">
        <v>27</v>
      </c>
      <c r="H68" s="8">
        <v>32.58</v>
      </c>
      <c r="I68" s="1" t="s">
        <v>104</v>
      </c>
      <c r="J68" s="1">
        <v>1.0</v>
      </c>
      <c r="K68" s="1" t="s">
        <v>105</v>
      </c>
    </row>
    <row r="69" hidden="1">
      <c r="A69" s="1" t="s">
        <v>107</v>
      </c>
      <c r="B69" s="1" t="s">
        <v>74</v>
      </c>
      <c r="C69" s="1" t="s">
        <v>75</v>
      </c>
      <c r="D69" s="1">
        <v>2.0042811101E10</v>
      </c>
      <c r="E69" s="1" t="str">
        <f t="shared" ref="E69:E70" si="7">_xludf.concat(D69,"OVR")</f>
        <v>#NAME?</v>
      </c>
      <c r="F69" s="2">
        <v>46023.0</v>
      </c>
      <c r="G69" s="1" t="s">
        <v>94</v>
      </c>
      <c r="H69" s="8">
        <v>3.12</v>
      </c>
      <c r="I69" s="1" t="s">
        <v>108</v>
      </c>
      <c r="J69" s="8">
        <v>3.12</v>
      </c>
    </row>
    <row r="70" hidden="1">
      <c r="A70" s="1" t="s">
        <v>107</v>
      </c>
      <c r="B70" s="1" t="s">
        <v>76</v>
      </c>
      <c r="C70" s="1" t="s">
        <v>77</v>
      </c>
      <c r="D70" s="1">
        <v>2.0043844601E10</v>
      </c>
      <c r="E70" s="1" t="str">
        <f t="shared" si="7"/>
        <v>#NAME?</v>
      </c>
      <c r="F70" s="2">
        <v>44713.0</v>
      </c>
      <c r="G70" s="1" t="s">
        <v>94</v>
      </c>
      <c r="H70" s="8">
        <v>3.12</v>
      </c>
      <c r="I70" s="1" t="s">
        <v>108</v>
      </c>
      <c r="J70" s="8">
        <v>3.12</v>
      </c>
    </row>
    <row r="71" hidden="1">
      <c r="A71" s="1" t="s">
        <v>38</v>
      </c>
      <c r="B71" s="1" t="s">
        <v>76</v>
      </c>
      <c r="C71" s="1" t="s">
        <v>77</v>
      </c>
      <c r="D71" s="1">
        <v>2.0043844601E10</v>
      </c>
      <c r="E71" s="1" t="str">
        <f t="shared" ref="E71:E72" si="8">_xludf.concat(D71,33)</f>
        <v>#NAME?</v>
      </c>
      <c r="F71" s="2">
        <v>44713.0</v>
      </c>
      <c r="G71" s="1" t="s">
        <v>27</v>
      </c>
      <c r="H71" s="8">
        <v>32.58</v>
      </c>
      <c r="I71" s="1" t="s">
        <v>104</v>
      </c>
      <c r="J71" s="1">
        <v>1.0</v>
      </c>
      <c r="K71" s="1" t="s">
        <v>105</v>
      </c>
    </row>
    <row r="72" hidden="1">
      <c r="A72" s="1" t="s">
        <v>78</v>
      </c>
      <c r="B72" s="1" t="s">
        <v>79</v>
      </c>
      <c r="C72" s="1" t="s">
        <v>80</v>
      </c>
      <c r="D72" s="1">
        <v>2.0044292901E10</v>
      </c>
      <c r="E72" s="1" t="str">
        <f t="shared" si="8"/>
        <v>#NAME?</v>
      </c>
      <c r="F72" s="2">
        <v>45689.0</v>
      </c>
      <c r="G72" s="1" t="s">
        <v>27</v>
      </c>
      <c r="H72" s="8">
        <v>32.58</v>
      </c>
      <c r="I72" s="1" t="s">
        <v>104</v>
      </c>
      <c r="J72" s="1">
        <v>1.0</v>
      </c>
      <c r="K72" s="1" t="s">
        <v>105</v>
      </c>
    </row>
    <row r="73" hidden="1">
      <c r="A73" s="1" t="s">
        <v>107</v>
      </c>
      <c r="B73" s="1" t="s">
        <v>79</v>
      </c>
      <c r="C73" s="1" t="s">
        <v>80</v>
      </c>
      <c r="D73" s="1">
        <v>2.0044292901E10</v>
      </c>
      <c r="E73" s="1" t="str">
        <f>_xludf.concat(D73,"OVR")</f>
        <v>#NAME?</v>
      </c>
      <c r="F73" s="2">
        <v>45689.0</v>
      </c>
      <c r="G73" s="1" t="s">
        <v>94</v>
      </c>
      <c r="H73" s="8">
        <v>3.12</v>
      </c>
      <c r="I73" s="1" t="s">
        <v>108</v>
      </c>
      <c r="J73" s="8">
        <v>3.12</v>
      </c>
    </row>
    <row r="74" hidden="1">
      <c r="A74" s="1" t="s">
        <v>11</v>
      </c>
      <c r="B74" s="1" t="s">
        <v>81</v>
      </c>
      <c r="C74" s="1" t="s">
        <v>82</v>
      </c>
      <c r="D74" s="1">
        <v>2.0045810201E10</v>
      </c>
      <c r="E74" s="1" t="str">
        <f>_xludf.concat(D74,33)</f>
        <v>#NAME?</v>
      </c>
      <c r="F74" s="2">
        <v>46023.0</v>
      </c>
      <c r="G74" s="1" t="s">
        <v>27</v>
      </c>
      <c r="H74" s="8">
        <v>32.58</v>
      </c>
      <c r="I74" s="1" t="s">
        <v>104</v>
      </c>
      <c r="J74" s="1">
        <v>1.0</v>
      </c>
      <c r="K74" s="1" t="s">
        <v>105</v>
      </c>
    </row>
    <row r="75" hidden="1">
      <c r="A75" s="1" t="s">
        <v>107</v>
      </c>
      <c r="B75" s="1" t="s">
        <v>81</v>
      </c>
      <c r="C75" s="1" t="s">
        <v>82</v>
      </c>
      <c r="D75" s="1">
        <v>2.0045810201E10</v>
      </c>
      <c r="E75" s="1" t="str">
        <f>_xludf.concat(D75,"OVR")</f>
        <v>#NAME?</v>
      </c>
      <c r="F75" s="2">
        <v>46023.0</v>
      </c>
      <c r="G75" s="1" t="s">
        <v>94</v>
      </c>
      <c r="H75" s="8">
        <v>3.12</v>
      </c>
      <c r="I75" s="1" t="s">
        <v>108</v>
      </c>
      <c r="J75" s="8">
        <v>3.12</v>
      </c>
    </row>
    <row r="76" hidden="1">
      <c r="A76" s="1" t="s">
        <v>11</v>
      </c>
      <c r="B76" s="1" t="s">
        <v>83</v>
      </c>
      <c r="C76" s="1" t="s">
        <v>84</v>
      </c>
      <c r="D76" s="1">
        <v>2.0054968601E10</v>
      </c>
      <c r="E76" s="1" t="str">
        <f>_xludf.concat(D76,33)</f>
        <v>#NAME?</v>
      </c>
      <c r="F76" s="2">
        <v>46023.0</v>
      </c>
      <c r="G76" s="1" t="s">
        <v>27</v>
      </c>
      <c r="H76" s="8">
        <v>32.58</v>
      </c>
      <c r="I76" s="1" t="s">
        <v>104</v>
      </c>
      <c r="J76" s="1">
        <v>1.0</v>
      </c>
      <c r="K76" s="1" t="s">
        <v>105</v>
      </c>
    </row>
    <row r="77" hidden="1">
      <c r="A77" s="1" t="s">
        <v>107</v>
      </c>
      <c r="B77" s="1" t="s">
        <v>83</v>
      </c>
      <c r="C77" s="1" t="s">
        <v>84</v>
      </c>
      <c r="D77" s="1">
        <v>2.0054968601E10</v>
      </c>
      <c r="E77" s="1" t="str">
        <f>_xludf.concat(D77,"OVR")</f>
        <v>#NAME?</v>
      </c>
      <c r="F77" s="2">
        <v>46023.0</v>
      </c>
      <c r="G77" s="1" t="s">
        <v>94</v>
      </c>
      <c r="H77" s="8">
        <v>3.12</v>
      </c>
      <c r="I77" s="1" t="s">
        <v>108</v>
      </c>
      <c r="J77" s="8">
        <v>3.12</v>
      </c>
    </row>
    <row r="78" hidden="1">
      <c r="A78" s="1" t="s">
        <v>11</v>
      </c>
      <c r="B78" s="1" t="s">
        <v>85</v>
      </c>
      <c r="C78" s="1" t="s">
        <v>86</v>
      </c>
      <c r="D78" s="1">
        <v>2.0057066101E10</v>
      </c>
      <c r="E78" s="1" t="str">
        <f>_xludf.concat(D78,33)</f>
        <v>#NAME?</v>
      </c>
      <c r="F78" s="2">
        <v>46023.0</v>
      </c>
      <c r="G78" s="1" t="s">
        <v>27</v>
      </c>
      <c r="H78" s="8">
        <v>32.58</v>
      </c>
      <c r="I78" s="1" t="s">
        <v>104</v>
      </c>
      <c r="J78" s="1">
        <v>1.0</v>
      </c>
      <c r="K78" s="1" t="s">
        <v>105</v>
      </c>
    </row>
    <row r="79" hidden="1">
      <c r="A79" s="1" t="s">
        <v>107</v>
      </c>
      <c r="B79" s="1" t="s">
        <v>85</v>
      </c>
      <c r="C79" s="1" t="s">
        <v>86</v>
      </c>
      <c r="D79" s="1">
        <v>2.0057066101E10</v>
      </c>
      <c r="E79" s="1" t="str">
        <f>_xludf.concat(D79,"OVR")</f>
        <v>#NAME?</v>
      </c>
      <c r="F79" s="2">
        <v>46023.0</v>
      </c>
      <c r="G79" s="1" t="s">
        <v>94</v>
      </c>
      <c r="H79" s="8">
        <v>3.12</v>
      </c>
      <c r="I79" s="1" t="s">
        <v>108</v>
      </c>
      <c r="J79" s="8">
        <v>3.12</v>
      </c>
    </row>
    <row r="80" hidden="1">
      <c r="A80" s="1" t="s">
        <v>17</v>
      </c>
      <c r="B80" s="1" t="s">
        <v>76</v>
      </c>
      <c r="C80" s="1" t="s">
        <v>87</v>
      </c>
      <c r="D80" s="1">
        <v>2.0058750001E10</v>
      </c>
      <c r="E80" s="1" t="str">
        <f>_xludf.concat(D80,33)</f>
        <v>#NAME?</v>
      </c>
      <c r="F80" s="2">
        <v>46023.0</v>
      </c>
      <c r="G80" s="1" t="s">
        <v>27</v>
      </c>
      <c r="H80" s="8">
        <v>32.58</v>
      </c>
      <c r="I80" s="1" t="s">
        <v>104</v>
      </c>
      <c r="J80" s="1">
        <v>1.0</v>
      </c>
      <c r="K80" s="1" t="s">
        <v>105</v>
      </c>
    </row>
    <row r="81" hidden="1">
      <c r="A81" s="1" t="s">
        <v>107</v>
      </c>
      <c r="B81" s="1" t="s">
        <v>76</v>
      </c>
      <c r="C81" s="1" t="s">
        <v>87</v>
      </c>
      <c r="D81" s="1">
        <v>2.0058750001E10</v>
      </c>
      <c r="E81" s="1" t="str">
        <f>_xludf.concat(D81,"OVR")</f>
        <v>#NAME?</v>
      </c>
      <c r="F81" s="2">
        <v>46023.0</v>
      </c>
      <c r="G81" s="1" t="s">
        <v>94</v>
      </c>
      <c r="H81" s="8">
        <v>3.12</v>
      </c>
      <c r="I81" s="1" t="s">
        <v>108</v>
      </c>
      <c r="J81" s="8">
        <v>3.12</v>
      </c>
    </row>
    <row r="82">
      <c r="A82" s="1" t="s">
        <v>17</v>
      </c>
      <c r="B82" s="1" t="s">
        <v>23</v>
      </c>
      <c r="C82" s="1" t="s">
        <v>24</v>
      </c>
      <c r="D82" s="1">
        <v>2.0061982301E10</v>
      </c>
      <c r="F82" s="2">
        <v>44986.0</v>
      </c>
      <c r="G82" s="1" t="s">
        <v>20</v>
      </c>
      <c r="H82" s="8">
        <v>16.27</v>
      </c>
      <c r="J82" s="1">
        <v>1.0</v>
      </c>
    </row>
    <row r="83" hidden="1">
      <c r="A83" s="1" t="s">
        <v>107</v>
      </c>
      <c r="B83" s="1" t="s">
        <v>23</v>
      </c>
      <c r="C83" s="1" t="s">
        <v>24</v>
      </c>
      <c r="D83" s="1">
        <v>2.0061982301E10</v>
      </c>
      <c r="E83" s="1" t="str">
        <f>_xludf.concat(D83,"OVR")</f>
        <v>#NAME?</v>
      </c>
      <c r="F83" s="2">
        <v>44986.0</v>
      </c>
      <c r="G83" s="1" t="s">
        <v>94</v>
      </c>
      <c r="H83" s="8">
        <v>3.12</v>
      </c>
      <c r="I83" s="1" t="s">
        <v>108</v>
      </c>
      <c r="J83" s="8">
        <v>3.12</v>
      </c>
    </row>
    <row r="84" hidden="1">
      <c r="A84" s="1" t="s">
        <v>88</v>
      </c>
      <c r="B84" s="1" t="s">
        <v>89</v>
      </c>
      <c r="C84" s="1" t="s">
        <v>90</v>
      </c>
      <c r="D84" s="1">
        <v>2.0063015901E10</v>
      </c>
      <c r="E84" s="1" t="str">
        <f>_xludf.concat(D84,33)</f>
        <v>#NAME?</v>
      </c>
      <c r="F84" s="2">
        <v>45292.0</v>
      </c>
      <c r="G84" s="1" t="s">
        <v>27</v>
      </c>
      <c r="H84" s="8">
        <v>32.58</v>
      </c>
      <c r="I84" s="1" t="s">
        <v>104</v>
      </c>
      <c r="J84" s="1">
        <v>1.0</v>
      </c>
      <c r="K84" s="1" t="s">
        <v>105</v>
      </c>
    </row>
    <row r="85" hidden="1">
      <c r="A85" s="1" t="s">
        <v>107</v>
      </c>
      <c r="B85" s="1" t="s">
        <v>89</v>
      </c>
      <c r="C85" s="1" t="s">
        <v>90</v>
      </c>
      <c r="D85" s="1">
        <v>2.0063015901E10</v>
      </c>
      <c r="E85" s="1" t="str">
        <f>_xludf.concat(D85,"OVR")</f>
        <v>#NAME?</v>
      </c>
      <c r="F85" s="2">
        <v>45292.0</v>
      </c>
      <c r="G85" s="1" t="s">
        <v>94</v>
      </c>
      <c r="H85" s="8">
        <v>3.12</v>
      </c>
      <c r="I85" s="1" t="s">
        <v>108</v>
      </c>
      <c r="J85" s="8">
        <v>3.12</v>
      </c>
    </row>
    <row r="86" hidden="1">
      <c r="A86" s="1" t="s">
        <v>11</v>
      </c>
      <c r="B86" s="1" t="s">
        <v>91</v>
      </c>
      <c r="C86" s="1" t="s">
        <v>92</v>
      </c>
      <c r="D86" s="1">
        <v>2.0063885901E10</v>
      </c>
      <c r="E86" s="1" t="str">
        <f>_xludf.concat(D86,33)</f>
        <v>#NAME?</v>
      </c>
      <c r="F86" s="2">
        <v>46023.0</v>
      </c>
      <c r="G86" s="1" t="s">
        <v>27</v>
      </c>
      <c r="H86" s="8">
        <v>32.58</v>
      </c>
      <c r="I86" s="1" t="s">
        <v>104</v>
      </c>
      <c r="J86" s="1">
        <v>1.0</v>
      </c>
      <c r="K86" s="1" t="s">
        <v>105</v>
      </c>
    </row>
    <row r="87" hidden="1">
      <c r="A87" s="1" t="s">
        <v>107</v>
      </c>
      <c r="B87" s="1" t="s">
        <v>91</v>
      </c>
      <c r="C87" s="1" t="s">
        <v>92</v>
      </c>
      <c r="D87" s="1">
        <v>2.0063885901E10</v>
      </c>
      <c r="E87" s="1" t="str">
        <f t="shared" ref="E87:E93" si="9">_xludf.concat(D87,"OVR")</f>
        <v>#NAME?</v>
      </c>
      <c r="F87" s="2">
        <v>46023.0</v>
      </c>
      <c r="G87" s="1" t="s">
        <v>94</v>
      </c>
      <c r="H87" s="8">
        <v>3.12</v>
      </c>
      <c r="I87" s="1" t="s">
        <v>108</v>
      </c>
      <c r="J87" s="8">
        <v>3.12</v>
      </c>
    </row>
    <row r="88" hidden="1">
      <c r="A88" s="1" t="s">
        <v>107</v>
      </c>
      <c r="B88" s="1" t="s">
        <v>96</v>
      </c>
      <c r="C88" s="1" t="s">
        <v>97</v>
      </c>
      <c r="D88" s="1">
        <v>2.0088356201E10</v>
      </c>
      <c r="E88" s="1" t="str">
        <f t="shared" si="9"/>
        <v>#NAME?</v>
      </c>
      <c r="F88" s="2">
        <v>45658.0</v>
      </c>
      <c r="G88" s="1" t="s">
        <v>94</v>
      </c>
      <c r="H88" s="8">
        <v>3.12</v>
      </c>
      <c r="I88" s="1" t="s">
        <v>108</v>
      </c>
      <c r="J88" s="8">
        <v>3.12</v>
      </c>
    </row>
    <row r="89" hidden="1">
      <c r="A89" s="1" t="s">
        <v>107</v>
      </c>
      <c r="B89" s="1" t="s">
        <v>98</v>
      </c>
      <c r="C89" s="1" t="s">
        <v>99</v>
      </c>
      <c r="D89" s="1">
        <v>2.0088358301E10</v>
      </c>
      <c r="E89" s="1" t="str">
        <f t="shared" si="9"/>
        <v>#NAME?</v>
      </c>
      <c r="F89" s="2">
        <v>45658.0</v>
      </c>
      <c r="G89" s="1" t="s">
        <v>94</v>
      </c>
      <c r="H89" s="8">
        <v>3.12</v>
      </c>
      <c r="I89" s="1" t="s">
        <v>108</v>
      </c>
      <c r="J89" s="8">
        <v>3.12</v>
      </c>
    </row>
    <row r="90" hidden="1">
      <c r="A90" s="1" t="s">
        <v>107</v>
      </c>
      <c r="B90" s="1" t="s">
        <v>100</v>
      </c>
      <c r="C90" s="1" t="s">
        <v>99</v>
      </c>
      <c r="D90" s="1">
        <v>2.0088358501E10</v>
      </c>
      <c r="E90" s="1" t="str">
        <f t="shared" si="9"/>
        <v>#NAME?</v>
      </c>
      <c r="F90" s="2">
        <v>45658.0</v>
      </c>
      <c r="G90" s="1" t="s">
        <v>94</v>
      </c>
      <c r="H90" s="8">
        <v>3.12</v>
      </c>
      <c r="I90" s="1" t="s">
        <v>108</v>
      </c>
      <c r="J90" s="8">
        <v>3.12</v>
      </c>
    </row>
    <row r="91" hidden="1">
      <c r="A91" s="1" t="s">
        <v>107</v>
      </c>
      <c r="B91" s="1" t="s">
        <v>101</v>
      </c>
      <c r="C91" s="1" t="s">
        <v>102</v>
      </c>
      <c r="D91" s="1">
        <v>2.0088846701E10</v>
      </c>
      <c r="E91" s="1" t="str">
        <f t="shared" si="9"/>
        <v>#NAME?</v>
      </c>
      <c r="F91" s="2">
        <v>45658.0</v>
      </c>
      <c r="G91" s="1" t="s">
        <v>94</v>
      </c>
      <c r="H91" s="8">
        <v>3.12</v>
      </c>
      <c r="I91" s="1" t="s">
        <v>108</v>
      </c>
      <c r="J91" s="8">
        <v>3.12</v>
      </c>
    </row>
    <row r="92" hidden="1">
      <c r="A92" s="1" t="s">
        <v>107</v>
      </c>
      <c r="B92" s="1" t="s">
        <v>12</v>
      </c>
      <c r="C92" s="1" t="s">
        <v>13</v>
      </c>
      <c r="D92" s="1">
        <v>2.0111722101E10</v>
      </c>
      <c r="E92" s="1" t="str">
        <f t="shared" si="9"/>
        <v>#NAME?</v>
      </c>
      <c r="F92" s="2">
        <v>46204.0</v>
      </c>
      <c r="G92" s="1" t="s">
        <v>15</v>
      </c>
      <c r="H92" s="8">
        <v>75.0</v>
      </c>
      <c r="I92" s="1" t="s">
        <v>108</v>
      </c>
      <c r="J92" s="8">
        <v>75.0</v>
      </c>
    </row>
    <row r="93" hidden="1">
      <c r="A93" s="1" t="s">
        <v>107</v>
      </c>
      <c r="B93" s="1" t="s">
        <v>16</v>
      </c>
      <c r="C93" s="1" t="s">
        <v>13</v>
      </c>
      <c r="D93" s="1">
        <v>2.0111722201E10</v>
      </c>
      <c r="E93" s="1" t="str">
        <f t="shared" si="9"/>
        <v>#NAME?</v>
      </c>
      <c r="F93" s="2">
        <v>46204.0</v>
      </c>
      <c r="G93" s="1" t="s">
        <v>15</v>
      </c>
      <c r="H93" s="8">
        <v>75.0</v>
      </c>
      <c r="I93" s="1" t="s">
        <v>108</v>
      </c>
      <c r="J93" s="8">
        <v>75.0</v>
      </c>
    </row>
    <row r="94" hidden="1">
      <c r="A94" s="1" t="s">
        <v>11</v>
      </c>
      <c r="B94" s="1" t="s">
        <v>12</v>
      </c>
      <c r="C94" s="1" t="s">
        <v>13</v>
      </c>
      <c r="D94" s="1">
        <v>2.0111722101E10</v>
      </c>
      <c r="E94" s="1" t="str">
        <f t="shared" ref="E94:E95" si="10">_xludf.concat(D94,33)</f>
        <v>#NAME?</v>
      </c>
      <c r="F94" s="2">
        <v>46204.0</v>
      </c>
      <c r="G94" s="1" t="s">
        <v>93</v>
      </c>
      <c r="H94" s="8">
        <v>195.5</v>
      </c>
      <c r="I94" s="1" t="s">
        <v>104</v>
      </c>
      <c r="J94" s="1">
        <v>1.0</v>
      </c>
      <c r="K94" s="1" t="s">
        <v>106</v>
      </c>
    </row>
    <row r="95" hidden="1">
      <c r="A95" s="1" t="s">
        <v>11</v>
      </c>
      <c r="B95" s="1" t="s">
        <v>16</v>
      </c>
      <c r="C95" s="1" t="s">
        <v>13</v>
      </c>
      <c r="D95" s="1">
        <v>2.0111722201E10</v>
      </c>
      <c r="E95" s="1" t="str">
        <f t="shared" si="10"/>
        <v>#NAME?</v>
      </c>
      <c r="F95" s="2">
        <v>46204.0</v>
      </c>
      <c r="G95" s="1" t="s">
        <v>93</v>
      </c>
      <c r="H95" s="8">
        <v>195.5</v>
      </c>
      <c r="I95" s="1" t="s">
        <v>104</v>
      </c>
      <c r="J95" s="1">
        <v>1.0</v>
      </c>
      <c r="K95" s="1" t="s">
        <v>106</v>
      </c>
    </row>
    <row r="96" hidden="1">
      <c r="H96" s="8"/>
    </row>
    <row r="97" hidden="1">
      <c r="H97" s="8"/>
    </row>
    <row r="98" hidden="1">
      <c r="H98" s="8"/>
    </row>
    <row r="99" hidden="1">
      <c r="H99" s="8"/>
    </row>
    <row r="100" hidden="1">
      <c r="H100" s="8"/>
    </row>
    <row r="101" hidden="1">
      <c r="H101" s="8"/>
    </row>
    <row r="102" hidden="1">
      <c r="H102" s="8"/>
    </row>
    <row r="103" hidden="1">
      <c r="H103" s="8"/>
    </row>
    <row r="104" hidden="1">
      <c r="H104" s="8"/>
    </row>
    <row r="105" hidden="1">
      <c r="H105" s="8"/>
    </row>
    <row r="106" hidden="1">
      <c r="H106" s="8"/>
    </row>
    <row r="107" hidden="1">
      <c r="H107" s="8"/>
    </row>
    <row r="108" hidden="1">
      <c r="H108" s="8"/>
    </row>
    <row r="109" hidden="1">
      <c r="H109" s="8"/>
    </row>
    <row r="110" hidden="1">
      <c r="H110" s="8"/>
    </row>
    <row r="111" hidden="1">
      <c r="H111" s="8"/>
    </row>
    <row r="112" hidden="1">
      <c r="H112" s="8"/>
    </row>
    <row r="113" hidden="1">
      <c r="H113" s="8"/>
    </row>
    <row r="114" hidden="1">
      <c r="H114" s="8"/>
    </row>
    <row r="115" hidden="1">
      <c r="H115" s="8"/>
    </row>
    <row r="116" hidden="1">
      <c r="H116" s="8"/>
    </row>
    <row r="117" hidden="1">
      <c r="H117" s="8"/>
    </row>
    <row r="118" hidden="1">
      <c r="H118" s="8"/>
    </row>
    <row r="119" hidden="1">
      <c r="H119" s="8"/>
    </row>
    <row r="120" hidden="1">
      <c r="H120" s="8"/>
    </row>
    <row r="121" hidden="1">
      <c r="H121" s="8"/>
    </row>
    <row r="122" hidden="1">
      <c r="H122" s="8"/>
    </row>
    <row r="123" hidden="1">
      <c r="H123" s="8"/>
    </row>
    <row r="124" hidden="1">
      <c r="H124" s="8"/>
    </row>
    <row r="125" hidden="1">
      <c r="H125" s="8"/>
    </row>
    <row r="126" hidden="1">
      <c r="H126" s="8"/>
    </row>
    <row r="127" hidden="1">
      <c r="H127" s="8"/>
    </row>
    <row r="128" hidden="1">
      <c r="H128" s="8"/>
    </row>
    <row r="129" hidden="1">
      <c r="H129" s="8"/>
    </row>
    <row r="130" hidden="1">
      <c r="H130" s="8"/>
    </row>
    <row r="131" hidden="1">
      <c r="H131" s="8"/>
    </row>
    <row r="132" hidden="1">
      <c r="H132" s="8"/>
    </row>
    <row r="133" hidden="1">
      <c r="H133" s="8"/>
    </row>
    <row r="134" hidden="1">
      <c r="H134" s="8"/>
    </row>
    <row r="135" hidden="1">
      <c r="H135" s="8"/>
    </row>
    <row r="136" hidden="1">
      <c r="H136" s="8"/>
    </row>
    <row r="137" hidden="1">
      <c r="H137" s="8"/>
    </row>
    <row r="138" hidden="1">
      <c r="H138" s="8"/>
    </row>
    <row r="139" hidden="1">
      <c r="H139" s="8"/>
    </row>
    <row r="140" hidden="1">
      <c r="H140" s="8"/>
    </row>
    <row r="141" hidden="1">
      <c r="H141" s="8"/>
    </row>
    <row r="142" hidden="1">
      <c r="H142" s="8"/>
    </row>
    <row r="143" hidden="1">
      <c r="H143" s="8"/>
    </row>
    <row r="144" hidden="1">
      <c r="H144" s="8"/>
    </row>
    <row r="145" hidden="1">
      <c r="H145" s="8"/>
    </row>
    <row r="146" hidden="1">
      <c r="H146" s="8"/>
    </row>
    <row r="147" hidden="1">
      <c r="H147" s="8"/>
    </row>
    <row r="148" hidden="1">
      <c r="H148" s="8"/>
    </row>
    <row r="149" hidden="1">
      <c r="H149" s="8"/>
    </row>
    <row r="150" hidden="1">
      <c r="H150" s="8"/>
    </row>
    <row r="151" hidden="1">
      <c r="H151" s="8"/>
    </row>
    <row r="152" hidden="1">
      <c r="H152" s="8"/>
    </row>
    <row r="153" hidden="1">
      <c r="H153" s="8"/>
    </row>
    <row r="154" hidden="1">
      <c r="H154" s="8"/>
    </row>
    <row r="155" hidden="1">
      <c r="H155" s="8"/>
    </row>
    <row r="156" hidden="1">
      <c r="H156" s="8"/>
    </row>
    <row r="157" hidden="1">
      <c r="H157" s="8"/>
    </row>
    <row r="158" hidden="1">
      <c r="H158" s="8"/>
    </row>
    <row r="159" hidden="1">
      <c r="H159" s="8"/>
    </row>
    <row r="160" hidden="1">
      <c r="H160" s="8"/>
    </row>
    <row r="161" hidden="1">
      <c r="H161" s="8"/>
    </row>
    <row r="162" hidden="1">
      <c r="H162" s="8"/>
    </row>
    <row r="163" hidden="1">
      <c r="H163" s="8"/>
    </row>
    <row r="164" hidden="1">
      <c r="H164" s="8"/>
    </row>
    <row r="165" hidden="1">
      <c r="H165" s="8"/>
    </row>
    <row r="166" hidden="1">
      <c r="H166" s="8"/>
    </row>
    <row r="167" hidden="1">
      <c r="H167" s="8"/>
    </row>
    <row r="168" hidden="1">
      <c r="H168" s="8"/>
    </row>
    <row r="169" hidden="1">
      <c r="H169" s="8"/>
    </row>
    <row r="170" hidden="1">
      <c r="H170" s="8"/>
    </row>
    <row r="171" hidden="1">
      <c r="H171" s="8"/>
    </row>
    <row r="172" hidden="1">
      <c r="H172" s="8"/>
    </row>
    <row r="173" hidden="1">
      <c r="H173" s="8"/>
    </row>
    <row r="174" hidden="1">
      <c r="H174" s="8"/>
    </row>
    <row r="175" hidden="1">
      <c r="H175" s="8"/>
    </row>
    <row r="176" hidden="1">
      <c r="H176" s="8"/>
    </row>
    <row r="177" hidden="1">
      <c r="H177" s="8"/>
    </row>
    <row r="178" hidden="1">
      <c r="H178" s="8"/>
    </row>
    <row r="179" hidden="1">
      <c r="H179" s="8"/>
    </row>
    <row r="180" hidden="1">
      <c r="H180" s="8"/>
    </row>
    <row r="181" hidden="1">
      <c r="H181" s="8"/>
    </row>
    <row r="182" hidden="1">
      <c r="H182" s="8"/>
    </row>
    <row r="183" hidden="1">
      <c r="H183" s="8"/>
    </row>
    <row r="184" hidden="1">
      <c r="H184" s="8"/>
    </row>
    <row r="185" hidden="1">
      <c r="H185" s="8"/>
    </row>
    <row r="186" hidden="1">
      <c r="H186" s="8"/>
    </row>
    <row r="187" hidden="1">
      <c r="H187" s="8"/>
    </row>
    <row r="188" hidden="1">
      <c r="H188" s="8"/>
    </row>
    <row r="189" hidden="1">
      <c r="H189" s="8"/>
    </row>
    <row r="190" hidden="1">
      <c r="H190" s="8"/>
    </row>
    <row r="191" hidden="1">
      <c r="H191" s="8"/>
    </row>
    <row r="192" hidden="1">
      <c r="H192" s="8"/>
    </row>
    <row r="193" hidden="1">
      <c r="H193" s="8"/>
    </row>
    <row r="194" hidden="1">
      <c r="H194" s="8"/>
    </row>
    <row r="195" hidden="1">
      <c r="H195" s="8"/>
    </row>
    <row r="196" hidden="1">
      <c r="H196" s="8"/>
    </row>
    <row r="197" hidden="1">
      <c r="H197" s="8"/>
    </row>
    <row r="198" hidden="1">
      <c r="H198" s="8"/>
    </row>
    <row r="199" hidden="1">
      <c r="H199" s="8"/>
    </row>
    <row r="200" hidden="1">
      <c r="H200" s="8"/>
    </row>
    <row r="201" hidden="1">
      <c r="H201" s="8"/>
    </row>
    <row r="202" hidden="1">
      <c r="H202" s="8"/>
    </row>
    <row r="203" hidden="1">
      <c r="H203" s="8"/>
    </row>
    <row r="204" hidden="1">
      <c r="H204" s="8"/>
    </row>
    <row r="205" hidden="1">
      <c r="H205" s="8"/>
    </row>
    <row r="206" hidden="1">
      <c r="H206" s="8"/>
    </row>
    <row r="207" hidden="1">
      <c r="H207" s="8"/>
    </row>
    <row r="208" hidden="1">
      <c r="H208" s="8"/>
    </row>
    <row r="209" hidden="1">
      <c r="H209" s="8"/>
    </row>
    <row r="210" hidden="1">
      <c r="H210" s="8"/>
    </row>
    <row r="211" hidden="1">
      <c r="H211" s="8"/>
    </row>
    <row r="212" hidden="1">
      <c r="H212" s="8"/>
    </row>
    <row r="213" hidden="1">
      <c r="H213" s="8"/>
    </row>
    <row r="214" hidden="1">
      <c r="H214" s="8"/>
    </row>
    <row r="215" hidden="1">
      <c r="H215" s="8"/>
    </row>
    <row r="216" hidden="1">
      <c r="H216" s="8"/>
    </row>
    <row r="217" hidden="1">
      <c r="H217" s="8"/>
    </row>
    <row r="218" hidden="1">
      <c r="H218" s="8"/>
    </row>
    <row r="219" hidden="1">
      <c r="H219" s="8"/>
    </row>
    <row r="220" hidden="1">
      <c r="H220" s="8"/>
    </row>
    <row r="221" hidden="1">
      <c r="H221" s="8"/>
    </row>
    <row r="222" hidden="1">
      <c r="H222" s="8"/>
    </row>
    <row r="223" hidden="1">
      <c r="H223" s="8"/>
    </row>
    <row r="224" hidden="1">
      <c r="H224" s="8"/>
    </row>
    <row r="225" hidden="1">
      <c r="H225" s="8"/>
    </row>
    <row r="226" hidden="1">
      <c r="H226" s="8"/>
    </row>
    <row r="227" hidden="1">
      <c r="H227" s="8"/>
    </row>
    <row r="228" hidden="1">
      <c r="H228" s="8"/>
    </row>
    <row r="229" hidden="1">
      <c r="H229" s="8"/>
    </row>
    <row r="230" hidden="1">
      <c r="H230" s="8"/>
    </row>
    <row r="231" hidden="1">
      <c r="H231" s="8"/>
    </row>
    <row r="232" hidden="1">
      <c r="H232" s="8"/>
    </row>
    <row r="233" hidden="1">
      <c r="H233" s="8"/>
    </row>
    <row r="234" hidden="1">
      <c r="H234" s="8"/>
    </row>
    <row r="235" hidden="1">
      <c r="H235" s="8"/>
    </row>
    <row r="236" hidden="1">
      <c r="H236" s="8"/>
    </row>
    <row r="237" hidden="1">
      <c r="H237" s="8"/>
    </row>
    <row r="238" hidden="1">
      <c r="H238" s="8"/>
    </row>
    <row r="239" hidden="1">
      <c r="H239" s="8"/>
    </row>
    <row r="240" hidden="1">
      <c r="H240" s="8"/>
    </row>
    <row r="241" hidden="1">
      <c r="H241" s="8"/>
    </row>
    <row r="242" hidden="1">
      <c r="H242" s="8"/>
    </row>
    <row r="243" hidden="1">
      <c r="H243" s="8"/>
    </row>
    <row r="244" hidden="1">
      <c r="H244" s="8"/>
    </row>
    <row r="245" hidden="1">
      <c r="H245" s="8"/>
    </row>
    <row r="246" hidden="1">
      <c r="H246" s="8"/>
    </row>
    <row r="247" hidden="1">
      <c r="H247" s="8"/>
    </row>
    <row r="248" hidden="1">
      <c r="H248" s="8"/>
    </row>
    <row r="249" hidden="1">
      <c r="H249" s="8"/>
    </row>
    <row r="250" hidden="1">
      <c r="H250" s="8"/>
    </row>
    <row r="251" hidden="1">
      <c r="H251" s="8"/>
    </row>
    <row r="252" hidden="1">
      <c r="H252" s="8"/>
    </row>
    <row r="253" hidden="1">
      <c r="H253" s="8"/>
    </row>
    <row r="254" hidden="1">
      <c r="H254" s="8"/>
    </row>
    <row r="255" hidden="1">
      <c r="H255" s="8"/>
    </row>
    <row r="256" hidden="1">
      <c r="H256" s="8"/>
    </row>
    <row r="257" hidden="1">
      <c r="H257" s="8"/>
    </row>
    <row r="258" hidden="1">
      <c r="H258" s="8"/>
    </row>
    <row r="259" hidden="1">
      <c r="H259" s="8"/>
    </row>
    <row r="260" hidden="1">
      <c r="H260" s="8"/>
    </row>
    <row r="261" hidden="1">
      <c r="H261" s="8"/>
    </row>
    <row r="262" hidden="1">
      <c r="H262" s="8"/>
    </row>
    <row r="263" hidden="1">
      <c r="H263" s="8"/>
    </row>
    <row r="264" hidden="1">
      <c r="H264" s="8"/>
    </row>
    <row r="265" hidden="1">
      <c r="H265" s="8"/>
    </row>
    <row r="266" hidden="1">
      <c r="H266" s="8"/>
    </row>
    <row r="267" hidden="1">
      <c r="H267" s="8"/>
    </row>
    <row r="268" hidden="1">
      <c r="H268" s="8"/>
    </row>
    <row r="269" hidden="1">
      <c r="H269" s="8"/>
    </row>
    <row r="270" hidden="1">
      <c r="H270" s="8"/>
    </row>
    <row r="271" hidden="1">
      <c r="H271" s="8"/>
    </row>
    <row r="272" hidden="1">
      <c r="H272" s="8"/>
    </row>
    <row r="273" hidden="1">
      <c r="H273" s="8"/>
    </row>
    <row r="274" hidden="1">
      <c r="H274" s="8"/>
    </row>
    <row r="275" hidden="1">
      <c r="H275" s="8"/>
    </row>
    <row r="276" hidden="1">
      <c r="H276" s="8"/>
    </row>
    <row r="277" hidden="1">
      <c r="H277" s="8"/>
    </row>
    <row r="278" hidden="1">
      <c r="H278" s="8"/>
    </row>
    <row r="279" hidden="1">
      <c r="H279" s="8"/>
    </row>
    <row r="280" hidden="1">
      <c r="H280" s="8"/>
    </row>
    <row r="281" hidden="1">
      <c r="H281" s="8"/>
    </row>
    <row r="282" hidden="1">
      <c r="H282" s="8"/>
    </row>
    <row r="283" hidden="1">
      <c r="H283" s="8"/>
    </row>
    <row r="284" hidden="1">
      <c r="H284" s="8"/>
    </row>
    <row r="285" hidden="1">
      <c r="H285" s="8"/>
    </row>
    <row r="286" hidden="1">
      <c r="H286" s="8"/>
    </row>
    <row r="287" hidden="1">
      <c r="H287" s="8"/>
    </row>
    <row r="288" hidden="1">
      <c r="H288" s="8"/>
    </row>
    <row r="289" hidden="1">
      <c r="H289" s="8"/>
    </row>
    <row r="290" hidden="1">
      <c r="H290" s="8"/>
    </row>
    <row r="291" hidden="1">
      <c r="H291" s="8"/>
    </row>
    <row r="292" hidden="1">
      <c r="H292" s="8"/>
    </row>
    <row r="293" hidden="1">
      <c r="H293" s="8"/>
    </row>
    <row r="294" hidden="1">
      <c r="H294" s="8"/>
    </row>
    <row r="295" hidden="1">
      <c r="H295" s="8"/>
    </row>
    <row r="296" hidden="1">
      <c r="H296" s="8"/>
    </row>
    <row r="297" hidden="1">
      <c r="H297" s="8"/>
    </row>
    <row r="298" hidden="1">
      <c r="H298" s="8"/>
    </row>
    <row r="299" hidden="1">
      <c r="H299" s="8"/>
    </row>
    <row r="300" hidden="1">
      <c r="H300" s="8"/>
    </row>
    <row r="301" hidden="1">
      <c r="H301" s="8"/>
    </row>
    <row r="302" hidden="1">
      <c r="H302" s="8"/>
    </row>
    <row r="303" hidden="1">
      <c r="H303" s="8"/>
    </row>
    <row r="304" hidden="1">
      <c r="H304" s="8"/>
    </row>
    <row r="305" hidden="1">
      <c r="H305" s="8"/>
    </row>
    <row r="306" hidden="1">
      <c r="H306" s="8"/>
    </row>
    <row r="307" hidden="1">
      <c r="H307" s="8"/>
    </row>
    <row r="308" hidden="1">
      <c r="H308" s="8"/>
    </row>
    <row r="309" hidden="1">
      <c r="H309" s="8"/>
    </row>
    <row r="310" hidden="1">
      <c r="H310" s="8"/>
    </row>
    <row r="311" hidden="1">
      <c r="H311" s="8"/>
    </row>
    <row r="312" hidden="1">
      <c r="H312" s="8"/>
    </row>
    <row r="313" hidden="1">
      <c r="H313" s="8"/>
    </row>
    <row r="314" hidden="1">
      <c r="H314" s="8"/>
    </row>
    <row r="315" hidden="1">
      <c r="H315" s="8"/>
    </row>
    <row r="316" hidden="1">
      <c r="H316" s="8"/>
    </row>
    <row r="317" hidden="1">
      <c r="H317" s="8"/>
    </row>
    <row r="318" hidden="1">
      <c r="H318" s="8"/>
    </row>
    <row r="319" hidden="1">
      <c r="H319" s="8"/>
    </row>
    <row r="320" hidden="1">
      <c r="H320" s="8"/>
    </row>
    <row r="321" hidden="1">
      <c r="H321" s="8"/>
    </row>
    <row r="322" hidden="1">
      <c r="H322" s="8"/>
    </row>
    <row r="323" hidden="1">
      <c r="H323" s="8"/>
    </row>
    <row r="324" hidden="1">
      <c r="H324" s="8"/>
    </row>
    <row r="325" hidden="1">
      <c r="H325" s="8"/>
    </row>
    <row r="326" hidden="1">
      <c r="H326" s="8"/>
    </row>
    <row r="327" hidden="1">
      <c r="H327" s="8"/>
    </row>
    <row r="328" hidden="1">
      <c r="H328" s="8"/>
    </row>
    <row r="329" hidden="1">
      <c r="H329" s="8"/>
    </row>
    <row r="330" hidden="1">
      <c r="H330" s="8"/>
    </row>
    <row r="331" hidden="1">
      <c r="H331" s="8"/>
    </row>
    <row r="332" hidden="1">
      <c r="H332" s="8"/>
    </row>
    <row r="333" hidden="1">
      <c r="H333" s="8"/>
    </row>
    <row r="334" hidden="1">
      <c r="H334" s="8"/>
    </row>
    <row r="335" hidden="1">
      <c r="H335" s="8"/>
    </row>
    <row r="336" hidden="1">
      <c r="H336" s="8"/>
    </row>
    <row r="337" hidden="1">
      <c r="H337" s="8"/>
    </row>
    <row r="338" hidden="1">
      <c r="H338" s="8"/>
    </row>
    <row r="339" hidden="1">
      <c r="H339" s="8"/>
    </row>
    <row r="340" hidden="1">
      <c r="H340" s="8"/>
    </row>
    <row r="341" hidden="1">
      <c r="H341" s="8"/>
    </row>
    <row r="342" hidden="1">
      <c r="H342" s="8"/>
    </row>
    <row r="343" hidden="1">
      <c r="H343" s="8"/>
    </row>
    <row r="344" hidden="1">
      <c r="H344" s="8"/>
    </row>
    <row r="345" hidden="1">
      <c r="H345" s="8"/>
    </row>
    <row r="346" hidden="1">
      <c r="H346" s="8"/>
    </row>
    <row r="347" hidden="1">
      <c r="H347" s="8"/>
    </row>
    <row r="348" hidden="1">
      <c r="H348" s="8"/>
    </row>
    <row r="349" hidden="1">
      <c r="H349" s="8"/>
    </row>
    <row r="350" hidden="1">
      <c r="H350" s="8"/>
    </row>
    <row r="351" hidden="1">
      <c r="H351" s="8"/>
    </row>
    <row r="352" hidden="1">
      <c r="H352" s="8"/>
    </row>
    <row r="353" hidden="1">
      <c r="H353" s="8"/>
    </row>
    <row r="354" hidden="1">
      <c r="H354" s="8"/>
    </row>
    <row r="355" hidden="1">
      <c r="H355" s="8"/>
    </row>
    <row r="356" hidden="1">
      <c r="H356" s="8"/>
    </row>
    <row r="357" hidden="1">
      <c r="H357" s="8"/>
    </row>
    <row r="358" hidden="1">
      <c r="H358" s="8"/>
    </row>
    <row r="359" hidden="1">
      <c r="H359" s="8"/>
    </row>
    <row r="360" hidden="1">
      <c r="H360" s="8"/>
    </row>
    <row r="361" hidden="1">
      <c r="H361" s="8"/>
    </row>
    <row r="362" hidden="1">
      <c r="H362" s="8"/>
    </row>
    <row r="363" hidden="1">
      <c r="H363" s="8"/>
    </row>
    <row r="364" hidden="1">
      <c r="H364" s="8"/>
    </row>
    <row r="365" hidden="1">
      <c r="H365" s="8"/>
    </row>
    <row r="366" hidden="1">
      <c r="H366" s="8"/>
    </row>
    <row r="367" hidden="1">
      <c r="H367" s="8"/>
    </row>
    <row r="368" hidden="1">
      <c r="H368" s="8"/>
    </row>
    <row r="369" hidden="1">
      <c r="H369" s="8"/>
    </row>
    <row r="370" hidden="1">
      <c r="H370" s="8"/>
    </row>
    <row r="371" hidden="1">
      <c r="H371" s="8"/>
    </row>
    <row r="372" hidden="1">
      <c r="H372" s="8"/>
    </row>
    <row r="373" hidden="1">
      <c r="H373" s="8"/>
    </row>
    <row r="374" hidden="1">
      <c r="H374" s="8"/>
    </row>
    <row r="375" hidden="1">
      <c r="H375" s="8"/>
    </row>
    <row r="376" hidden="1">
      <c r="H376" s="8"/>
    </row>
    <row r="377" hidden="1">
      <c r="H377" s="8"/>
    </row>
    <row r="378" hidden="1">
      <c r="H378" s="8"/>
    </row>
    <row r="379" hidden="1">
      <c r="H379" s="8"/>
    </row>
    <row r="380" hidden="1">
      <c r="H380" s="8"/>
    </row>
    <row r="381" hidden="1">
      <c r="H381" s="8"/>
    </row>
    <row r="382" hidden="1">
      <c r="H382" s="8"/>
    </row>
    <row r="383" hidden="1">
      <c r="H383" s="8"/>
    </row>
    <row r="384" hidden="1">
      <c r="H384" s="8"/>
    </row>
    <row r="385" hidden="1">
      <c r="H385" s="8"/>
    </row>
    <row r="386" hidden="1">
      <c r="H386" s="8"/>
    </row>
    <row r="387" hidden="1">
      <c r="H387" s="8"/>
    </row>
    <row r="388" hidden="1">
      <c r="H388" s="8"/>
    </row>
    <row r="389" hidden="1">
      <c r="H389" s="8"/>
    </row>
    <row r="390" hidden="1">
      <c r="H390" s="8"/>
    </row>
    <row r="391" hidden="1">
      <c r="H391" s="8"/>
    </row>
    <row r="392" hidden="1">
      <c r="H392" s="8"/>
    </row>
    <row r="393" hidden="1">
      <c r="H393" s="8"/>
    </row>
    <row r="394" hidden="1">
      <c r="H394" s="8"/>
    </row>
    <row r="395" hidden="1">
      <c r="H395" s="8"/>
    </row>
    <row r="396" hidden="1">
      <c r="H396" s="8"/>
    </row>
    <row r="397" hidden="1">
      <c r="H397" s="8"/>
    </row>
    <row r="398" hidden="1">
      <c r="H398" s="8"/>
    </row>
    <row r="399" hidden="1">
      <c r="H399" s="8"/>
    </row>
    <row r="400" hidden="1">
      <c r="H400" s="8"/>
    </row>
    <row r="401" hidden="1">
      <c r="H401" s="8"/>
    </row>
    <row r="402" hidden="1">
      <c r="H402" s="8"/>
    </row>
    <row r="403" hidden="1">
      <c r="H403" s="8"/>
    </row>
    <row r="404" hidden="1">
      <c r="H404" s="8"/>
    </row>
    <row r="405" hidden="1">
      <c r="H405" s="8"/>
    </row>
    <row r="406" hidden="1">
      <c r="H406" s="8"/>
    </row>
    <row r="407" hidden="1">
      <c r="H407" s="8"/>
    </row>
    <row r="408" hidden="1">
      <c r="H408" s="8"/>
    </row>
    <row r="409" hidden="1">
      <c r="H409" s="8"/>
    </row>
    <row r="410" hidden="1">
      <c r="H410" s="8"/>
    </row>
    <row r="411" hidden="1">
      <c r="H411" s="8"/>
    </row>
    <row r="412" hidden="1">
      <c r="H412" s="8"/>
    </row>
    <row r="413" hidden="1">
      <c r="H413" s="8"/>
    </row>
    <row r="414" hidden="1">
      <c r="H414" s="8"/>
    </row>
    <row r="415" hidden="1">
      <c r="H415" s="8"/>
    </row>
    <row r="416" hidden="1">
      <c r="H416" s="8"/>
    </row>
    <row r="417" hidden="1">
      <c r="H417" s="8"/>
    </row>
    <row r="418" hidden="1">
      <c r="H418" s="8"/>
    </row>
    <row r="419" hidden="1">
      <c r="H419" s="8"/>
    </row>
    <row r="420" hidden="1">
      <c r="H420" s="8"/>
    </row>
    <row r="421" hidden="1">
      <c r="H421" s="8"/>
    </row>
    <row r="422" hidden="1">
      <c r="H422" s="8"/>
    </row>
    <row r="423" hidden="1">
      <c r="H423" s="8"/>
    </row>
    <row r="424" hidden="1">
      <c r="H424" s="8"/>
    </row>
    <row r="425" hidden="1">
      <c r="H425" s="8"/>
    </row>
    <row r="426" hidden="1">
      <c r="H426" s="8"/>
    </row>
    <row r="427" hidden="1">
      <c r="H427" s="8"/>
    </row>
    <row r="428" hidden="1">
      <c r="H428" s="8"/>
    </row>
    <row r="429" hidden="1">
      <c r="H429" s="8"/>
    </row>
    <row r="430" hidden="1">
      <c r="H430" s="8"/>
    </row>
    <row r="431" hidden="1">
      <c r="H431" s="8"/>
    </row>
    <row r="432" hidden="1">
      <c r="H432" s="8"/>
    </row>
    <row r="433" hidden="1">
      <c r="H433" s="8"/>
    </row>
    <row r="434" hidden="1">
      <c r="H434" s="8"/>
    </row>
    <row r="435" hidden="1">
      <c r="H435" s="8"/>
    </row>
    <row r="436" hidden="1">
      <c r="H436" s="8"/>
    </row>
    <row r="437" hidden="1">
      <c r="H437" s="8"/>
    </row>
    <row r="438" hidden="1">
      <c r="H438" s="8"/>
    </row>
    <row r="439" hidden="1">
      <c r="H439" s="8"/>
    </row>
    <row r="440" hidden="1">
      <c r="H440" s="8"/>
    </row>
    <row r="441" hidden="1">
      <c r="H441" s="8"/>
    </row>
    <row r="442" hidden="1">
      <c r="H442" s="8"/>
    </row>
    <row r="443" hidden="1">
      <c r="H443" s="8"/>
    </row>
    <row r="444" hidden="1">
      <c r="H444" s="8"/>
    </row>
    <row r="445" hidden="1">
      <c r="H445" s="8"/>
    </row>
    <row r="446" hidden="1">
      <c r="H446" s="8"/>
    </row>
    <row r="447" hidden="1">
      <c r="H447" s="8"/>
    </row>
    <row r="448" hidden="1">
      <c r="H448" s="8"/>
    </row>
    <row r="449" hidden="1">
      <c r="H449" s="8"/>
    </row>
    <row r="450" hidden="1">
      <c r="H450" s="8"/>
    </row>
    <row r="451" hidden="1">
      <c r="H451" s="8"/>
    </row>
    <row r="452" hidden="1">
      <c r="H452" s="8"/>
    </row>
    <row r="453" hidden="1">
      <c r="H453" s="8"/>
    </row>
    <row r="454" hidden="1">
      <c r="H454" s="8"/>
    </row>
    <row r="455" hidden="1">
      <c r="H455" s="8"/>
    </row>
    <row r="456" hidden="1">
      <c r="H456" s="8"/>
    </row>
    <row r="457" hidden="1">
      <c r="H457" s="8"/>
    </row>
    <row r="458" hidden="1">
      <c r="H458" s="8"/>
    </row>
    <row r="459" hidden="1">
      <c r="H459" s="8"/>
    </row>
    <row r="460" hidden="1">
      <c r="H460" s="8"/>
    </row>
    <row r="461" hidden="1">
      <c r="H461" s="8"/>
    </row>
    <row r="462" hidden="1">
      <c r="H462" s="8"/>
    </row>
    <row r="463" hidden="1">
      <c r="H463" s="8"/>
    </row>
    <row r="464" hidden="1">
      <c r="H464" s="8"/>
    </row>
    <row r="465" hidden="1">
      <c r="H465" s="8"/>
    </row>
    <row r="466" hidden="1">
      <c r="H466" s="8"/>
    </row>
    <row r="467" hidden="1">
      <c r="H467" s="8"/>
    </row>
    <row r="468" hidden="1">
      <c r="H468" s="8"/>
    </row>
    <row r="469" hidden="1">
      <c r="H469" s="8"/>
    </row>
    <row r="470" hidden="1">
      <c r="H470" s="8"/>
    </row>
    <row r="471" hidden="1">
      <c r="H471" s="8"/>
    </row>
    <row r="472" hidden="1">
      <c r="H472" s="8"/>
    </row>
    <row r="473" hidden="1">
      <c r="H473" s="8"/>
    </row>
    <row r="474" hidden="1">
      <c r="H474" s="8"/>
    </row>
    <row r="475" hidden="1">
      <c r="H475" s="8"/>
    </row>
    <row r="476" hidden="1">
      <c r="H476" s="8"/>
    </row>
    <row r="477" hidden="1">
      <c r="H477" s="8"/>
    </row>
    <row r="478" hidden="1">
      <c r="H478" s="8"/>
    </row>
    <row r="479" hidden="1">
      <c r="H479" s="8"/>
    </row>
    <row r="480" hidden="1">
      <c r="H480" s="8"/>
    </row>
    <row r="481" hidden="1">
      <c r="H481" s="8"/>
    </row>
    <row r="482" hidden="1">
      <c r="H482" s="8"/>
    </row>
    <row r="483" hidden="1">
      <c r="H483" s="8"/>
    </row>
    <row r="484" hidden="1">
      <c r="H484" s="8"/>
    </row>
    <row r="485" hidden="1">
      <c r="H485" s="8"/>
    </row>
    <row r="486" hidden="1">
      <c r="H486" s="8"/>
    </row>
    <row r="487" hidden="1">
      <c r="H487" s="8"/>
    </row>
    <row r="488" hidden="1">
      <c r="H488" s="8"/>
    </row>
    <row r="489" hidden="1">
      <c r="H489" s="8"/>
    </row>
    <row r="490" hidden="1">
      <c r="H490" s="8"/>
    </row>
    <row r="491" hidden="1">
      <c r="H491" s="8"/>
    </row>
    <row r="492" hidden="1">
      <c r="H492" s="8"/>
    </row>
    <row r="493" hidden="1">
      <c r="H493" s="8"/>
    </row>
    <row r="494" hidden="1">
      <c r="H494" s="8"/>
    </row>
    <row r="495" hidden="1">
      <c r="H495" s="8"/>
    </row>
    <row r="496" hidden="1">
      <c r="H496" s="8"/>
    </row>
    <row r="497" hidden="1">
      <c r="H497" s="8"/>
    </row>
    <row r="498" hidden="1">
      <c r="H498" s="8"/>
    </row>
    <row r="499" hidden="1">
      <c r="H499" s="8"/>
    </row>
    <row r="500" hidden="1">
      <c r="H500" s="8"/>
    </row>
    <row r="501" hidden="1">
      <c r="H501" s="8"/>
    </row>
    <row r="502" hidden="1">
      <c r="H502" s="8"/>
    </row>
    <row r="503" hidden="1">
      <c r="H503" s="8"/>
    </row>
    <row r="504" hidden="1">
      <c r="H504" s="8"/>
    </row>
    <row r="505" hidden="1">
      <c r="H505" s="8"/>
    </row>
    <row r="506" hidden="1">
      <c r="H506" s="8"/>
    </row>
    <row r="507" hidden="1">
      <c r="H507" s="8"/>
    </row>
    <row r="508" hidden="1">
      <c r="H508" s="8"/>
    </row>
    <row r="509" hidden="1">
      <c r="H509" s="8"/>
    </row>
    <row r="510" hidden="1">
      <c r="H510" s="8"/>
    </row>
    <row r="511" hidden="1">
      <c r="H511" s="8"/>
    </row>
    <row r="512" hidden="1">
      <c r="H512" s="8"/>
    </row>
    <row r="513" hidden="1">
      <c r="H513" s="8"/>
    </row>
    <row r="514" hidden="1">
      <c r="H514" s="8"/>
    </row>
    <row r="515" hidden="1">
      <c r="H515" s="8"/>
    </row>
    <row r="516" hidden="1">
      <c r="H516" s="8"/>
    </row>
    <row r="517" hidden="1">
      <c r="H517" s="8"/>
    </row>
    <row r="518" hidden="1">
      <c r="H518" s="8"/>
    </row>
    <row r="519" hidden="1">
      <c r="H519" s="8"/>
    </row>
    <row r="520" hidden="1">
      <c r="H520" s="8"/>
    </row>
    <row r="521" hidden="1">
      <c r="H521" s="8"/>
    </row>
    <row r="522" hidden="1">
      <c r="H522" s="8"/>
    </row>
    <row r="523" hidden="1">
      <c r="H523" s="8"/>
    </row>
    <row r="524" hidden="1">
      <c r="H524" s="8"/>
    </row>
    <row r="525" hidden="1">
      <c r="H525" s="8"/>
    </row>
    <row r="526" hidden="1">
      <c r="H526" s="8"/>
    </row>
    <row r="527" hidden="1">
      <c r="H527" s="8"/>
    </row>
    <row r="528" hidden="1">
      <c r="H528" s="8"/>
    </row>
    <row r="529" hidden="1">
      <c r="H529" s="8"/>
    </row>
    <row r="530" hidden="1">
      <c r="H530" s="8"/>
    </row>
    <row r="531" hidden="1">
      <c r="H531" s="8"/>
    </row>
    <row r="532" hidden="1">
      <c r="H532" s="8"/>
    </row>
    <row r="533" hidden="1">
      <c r="H533" s="8"/>
    </row>
    <row r="534" hidden="1">
      <c r="H534" s="8"/>
    </row>
    <row r="535" hidden="1">
      <c r="H535" s="8"/>
    </row>
    <row r="536" hidden="1">
      <c r="H536" s="8"/>
    </row>
    <row r="537" hidden="1">
      <c r="H537" s="8"/>
    </row>
    <row r="538" hidden="1">
      <c r="H538" s="8"/>
    </row>
    <row r="539" hidden="1">
      <c r="H539" s="8"/>
    </row>
    <row r="540" hidden="1">
      <c r="H540" s="8"/>
    </row>
    <row r="541" hidden="1">
      <c r="H541" s="8"/>
    </row>
    <row r="542" hidden="1">
      <c r="H542" s="8"/>
    </row>
    <row r="543" hidden="1">
      <c r="H543" s="8"/>
    </row>
    <row r="544" hidden="1">
      <c r="H544" s="8"/>
    </row>
    <row r="545" hidden="1">
      <c r="H545" s="8"/>
    </row>
    <row r="546" hidden="1">
      <c r="H546" s="8"/>
    </row>
    <row r="547" hidden="1">
      <c r="H547" s="8"/>
    </row>
    <row r="548" hidden="1">
      <c r="H548" s="8"/>
    </row>
    <row r="549" hidden="1">
      <c r="H549" s="8"/>
    </row>
    <row r="550" hidden="1">
      <c r="H550" s="8"/>
    </row>
    <row r="551" hidden="1">
      <c r="H551" s="8"/>
    </row>
    <row r="552" hidden="1">
      <c r="H552" s="8"/>
    </row>
    <row r="553" hidden="1">
      <c r="H553" s="8"/>
    </row>
    <row r="554" hidden="1">
      <c r="H554" s="8"/>
    </row>
    <row r="555" hidden="1">
      <c r="H555" s="8"/>
    </row>
    <row r="556" hidden="1">
      <c r="H556" s="8"/>
    </row>
    <row r="557" hidden="1">
      <c r="H557" s="8"/>
    </row>
    <row r="558" hidden="1">
      <c r="H558" s="8"/>
    </row>
    <row r="559" hidden="1">
      <c r="H559" s="8"/>
    </row>
    <row r="560" hidden="1">
      <c r="H560" s="8"/>
    </row>
    <row r="561" hidden="1">
      <c r="H561" s="8"/>
    </row>
    <row r="562" hidden="1">
      <c r="H562" s="8"/>
    </row>
    <row r="563" hidden="1">
      <c r="H563" s="8"/>
    </row>
    <row r="564" hidden="1">
      <c r="H564" s="8"/>
    </row>
    <row r="565" hidden="1">
      <c r="H565" s="8"/>
    </row>
    <row r="566" hidden="1">
      <c r="H566" s="8"/>
    </row>
    <row r="567" hidden="1">
      <c r="H567" s="8"/>
    </row>
    <row r="568" hidden="1">
      <c r="H568" s="8"/>
    </row>
    <row r="569" hidden="1">
      <c r="H569" s="8"/>
    </row>
    <row r="570" hidden="1">
      <c r="H570" s="8"/>
    </row>
    <row r="571" hidden="1">
      <c r="H571" s="8"/>
    </row>
    <row r="572" hidden="1">
      <c r="H572" s="8"/>
    </row>
    <row r="573" hidden="1">
      <c r="H573" s="8"/>
    </row>
    <row r="574" hidden="1">
      <c r="H574" s="8"/>
    </row>
    <row r="575" hidden="1">
      <c r="H575" s="8"/>
    </row>
    <row r="576" hidden="1">
      <c r="H576" s="8"/>
    </row>
    <row r="577" hidden="1">
      <c r="H577" s="8"/>
    </row>
    <row r="578" hidden="1">
      <c r="H578" s="8"/>
    </row>
    <row r="579" hidden="1">
      <c r="H579" s="8"/>
    </row>
    <row r="580" hidden="1">
      <c r="H580" s="8"/>
    </row>
    <row r="581" hidden="1">
      <c r="H581" s="8"/>
    </row>
    <row r="582" hidden="1">
      <c r="H582" s="8"/>
    </row>
    <row r="583" hidden="1">
      <c r="H583" s="8"/>
    </row>
    <row r="584" hidden="1">
      <c r="H584" s="8"/>
    </row>
    <row r="585" hidden="1">
      <c r="H585" s="8"/>
    </row>
    <row r="586" hidden="1">
      <c r="H586" s="8"/>
    </row>
    <row r="587" hidden="1">
      <c r="H587" s="8"/>
    </row>
    <row r="588" hidden="1">
      <c r="H588" s="8"/>
    </row>
    <row r="589" hidden="1">
      <c r="H589" s="8"/>
    </row>
    <row r="590" hidden="1">
      <c r="H590" s="8"/>
    </row>
    <row r="591" hidden="1">
      <c r="H591" s="8"/>
    </row>
    <row r="592" hidden="1">
      <c r="H592" s="8"/>
    </row>
    <row r="593" hidden="1">
      <c r="H593" s="8"/>
    </row>
    <row r="594" hidden="1">
      <c r="H594" s="8"/>
    </row>
    <row r="595" hidden="1">
      <c r="H595" s="8"/>
    </row>
    <row r="596" hidden="1">
      <c r="H596" s="8"/>
    </row>
    <row r="597" hidden="1">
      <c r="H597" s="8"/>
    </row>
    <row r="598" hidden="1">
      <c r="H598" s="8"/>
    </row>
    <row r="599" hidden="1">
      <c r="H599" s="8"/>
    </row>
    <row r="600" hidden="1">
      <c r="H600" s="8"/>
    </row>
    <row r="601" hidden="1">
      <c r="H601" s="8"/>
    </row>
    <row r="602" hidden="1">
      <c r="H602" s="8"/>
    </row>
    <row r="603" hidden="1">
      <c r="H603" s="8"/>
    </row>
    <row r="604" hidden="1">
      <c r="H604" s="8"/>
    </row>
    <row r="605" hidden="1">
      <c r="H605" s="8"/>
    </row>
    <row r="606" hidden="1">
      <c r="H606" s="8"/>
    </row>
    <row r="607" hidden="1">
      <c r="H607" s="8"/>
    </row>
    <row r="608" hidden="1">
      <c r="H608" s="8"/>
    </row>
    <row r="609" hidden="1">
      <c r="H609" s="8"/>
    </row>
    <row r="610" hidden="1">
      <c r="H610" s="8"/>
    </row>
    <row r="611" hidden="1">
      <c r="H611" s="8"/>
    </row>
    <row r="612" hidden="1">
      <c r="H612" s="8"/>
    </row>
    <row r="613" hidden="1">
      <c r="H613" s="8"/>
    </row>
    <row r="614" hidden="1">
      <c r="H614" s="8"/>
    </row>
    <row r="615" hidden="1">
      <c r="H615" s="8"/>
    </row>
    <row r="616" hidden="1">
      <c r="H616" s="8"/>
    </row>
    <row r="617" hidden="1">
      <c r="H617" s="8"/>
    </row>
    <row r="618" hidden="1">
      <c r="H618" s="8"/>
    </row>
    <row r="619" hidden="1">
      <c r="H619" s="8"/>
    </row>
    <row r="620" hidden="1">
      <c r="H620" s="8"/>
    </row>
    <row r="621" hidden="1">
      <c r="H621" s="8"/>
    </row>
    <row r="622" hidden="1">
      <c r="H622" s="8"/>
    </row>
    <row r="623" hidden="1">
      <c r="H623" s="8"/>
    </row>
    <row r="624" hidden="1">
      <c r="H624" s="8"/>
    </row>
    <row r="625" hidden="1">
      <c r="H625" s="8"/>
    </row>
    <row r="626" hidden="1">
      <c r="H626" s="8"/>
    </row>
    <row r="627" hidden="1">
      <c r="H627" s="8"/>
    </row>
    <row r="628" hidden="1">
      <c r="H628" s="8"/>
    </row>
    <row r="629" hidden="1">
      <c r="H629" s="8"/>
    </row>
    <row r="630" hidden="1">
      <c r="H630" s="8"/>
    </row>
    <row r="631" hidden="1">
      <c r="H631" s="8"/>
    </row>
    <row r="632" hidden="1">
      <c r="H632" s="8"/>
    </row>
    <row r="633" hidden="1">
      <c r="H633" s="8"/>
    </row>
    <row r="634" hidden="1">
      <c r="H634" s="8"/>
    </row>
    <row r="635" hidden="1">
      <c r="H635" s="8"/>
    </row>
    <row r="636" hidden="1">
      <c r="H636" s="8"/>
    </row>
    <row r="637" hidden="1">
      <c r="H637" s="8"/>
    </row>
    <row r="638" hidden="1">
      <c r="H638" s="8"/>
    </row>
    <row r="639" hidden="1">
      <c r="H639" s="8"/>
    </row>
    <row r="640" hidden="1">
      <c r="H640" s="8"/>
    </row>
    <row r="641" hidden="1">
      <c r="H641" s="8"/>
    </row>
    <row r="642" hidden="1">
      <c r="H642" s="8"/>
    </row>
    <row r="643" hidden="1">
      <c r="H643" s="8"/>
    </row>
    <row r="644" hidden="1">
      <c r="H644" s="8"/>
    </row>
    <row r="645" hidden="1">
      <c r="H645" s="8"/>
    </row>
    <row r="646" hidden="1">
      <c r="H646" s="8"/>
    </row>
    <row r="647" hidden="1">
      <c r="H647" s="8"/>
    </row>
    <row r="648" hidden="1">
      <c r="H648" s="8"/>
    </row>
    <row r="649" hidden="1">
      <c r="H649" s="8"/>
    </row>
    <row r="650" hidden="1">
      <c r="H650" s="8"/>
    </row>
    <row r="651" hidden="1">
      <c r="H651" s="8"/>
    </row>
    <row r="652" hidden="1">
      <c r="H652" s="8"/>
    </row>
    <row r="653" hidden="1">
      <c r="H653" s="8"/>
    </row>
    <row r="654" hidden="1">
      <c r="H654" s="8"/>
    </row>
    <row r="655" hidden="1">
      <c r="H655" s="8"/>
    </row>
    <row r="656" hidden="1">
      <c r="H656" s="8"/>
    </row>
    <row r="657" hidden="1">
      <c r="H657" s="8"/>
    </row>
    <row r="658" hidden="1">
      <c r="H658" s="8"/>
    </row>
    <row r="659" hidden="1">
      <c r="H659" s="8"/>
    </row>
    <row r="660" hidden="1">
      <c r="H660" s="8"/>
    </row>
    <row r="661" hidden="1">
      <c r="H661" s="8"/>
    </row>
    <row r="662" hidden="1">
      <c r="H662" s="8"/>
    </row>
    <row r="663" hidden="1">
      <c r="H663" s="8"/>
    </row>
    <row r="664" hidden="1">
      <c r="H664" s="8"/>
    </row>
    <row r="665" hidden="1">
      <c r="H665" s="8"/>
    </row>
    <row r="666" hidden="1">
      <c r="H666" s="8"/>
    </row>
    <row r="667" hidden="1">
      <c r="H667" s="8"/>
    </row>
    <row r="668" hidden="1">
      <c r="H668" s="8"/>
    </row>
    <row r="669" hidden="1">
      <c r="H669" s="8"/>
    </row>
    <row r="670" hidden="1">
      <c r="H670" s="8"/>
    </row>
    <row r="671" hidden="1">
      <c r="H671" s="8"/>
    </row>
    <row r="672" hidden="1">
      <c r="H672" s="8"/>
    </row>
    <row r="673" hidden="1">
      <c r="H673" s="8"/>
    </row>
    <row r="674" hidden="1">
      <c r="H674" s="8"/>
    </row>
    <row r="675" hidden="1">
      <c r="H675" s="8"/>
    </row>
    <row r="676" hidden="1">
      <c r="H676" s="8"/>
    </row>
    <row r="677" hidden="1">
      <c r="H677" s="8"/>
    </row>
    <row r="678" hidden="1">
      <c r="H678" s="8"/>
    </row>
    <row r="679" hidden="1">
      <c r="H679" s="8"/>
    </row>
    <row r="680" hidden="1">
      <c r="H680" s="8"/>
    </row>
    <row r="681" hidden="1">
      <c r="H681" s="8"/>
    </row>
    <row r="682" hidden="1">
      <c r="H682" s="8"/>
    </row>
    <row r="683" hidden="1">
      <c r="H683" s="8"/>
    </row>
    <row r="684" hidden="1">
      <c r="H684" s="8"/>
    </row>
    <row r="685" hidden="1">
      <c r="H685" s="8"/>
    </row>
    <row r="686" hidden="1">
      <c r="H686" s="8"/>
    </row>
    <row r="687" hidden="1">
      <c r="H687" s="8"/>
    </row>
    <row r="688" hidden="1">
      <c r="H688" s="8"/>
    </row>
    <row r="689" hidden="1">
      <c r="H689" s="8"/>
    </row>
    <row r="690" hidden="1">
      <c r="H690" s="8"/>
    </row>
    <row r="691" hidden="1">
      <c r="H691" s="8"/>
    </row>
    <row r="692" hidden="1">
      <c r="H692" s="8"/>
    </row>
    <row r="693" hidden="1">
      <c r="H693" s="8"/>
    </row>
    <row r="694" hidden="1">
      <c r="H694" s="8"/>
    </row>
    <row r="695" hidden="1">
      <c r="H695" s="8"/>
    </row>
    <row r="696" hidden="1">
      <c r="H696" s="8"/>
    </row>
    <row r="697" hidden="1">
      <c r="H697" s="8"/>
    </row>
    <row r="698" hidden="1">
      <c r="H698" s="8"/>
    </row>
    <row r="699" hidden="1">
      <c r="H699" s="8"/>
    </row>
    <row r="700" hidden="1">
      <c r="H700" s="8"/>
    </row>
    <row r="701" hidden="1">
      <c r="H701" s="8"/>
    </row>
    <row r="702" hidden="1">
      <c r="H702" s="8"/>
    </row>
    <row r="703" hidden="1">
      <c r="H703" s="8"/>
    </row>
    <row r="704" hidden="1">
      <c r="H704" s="8"/>
    </row>
    <row r="705" hidden="1">
      <c r="H705" s="8"/>
    </row>
    <row r="706" hidden="1">
      <c r="H706" s="8"/>
    </row>
    <row r="707" hidden="1">
      <c r="H707" s="8"/>
    </row>
    <row r="708" hidden="1">
      <c r="H708" s="8"/>
    </row>
    <row r="709" hidden="1">
      <c r="H709" s="8"/>
    </row>
    <row r="710" hidden="1">
      <c r="H710" s="8"/>
    </row>
    <row r="711" hidden="1">
      <c r="H711" s="8"/>
    </row>
    <row r="712" hidden="1">
      <c r="H712" s="8"/>
    </row>
    <row r="713" hidden="1">
      <c r="H713" s="8"/>
    </row>
    <row r="714" hidden="1">
      <c r="H714" s="8"/>
    </row>
    <row r="715" hidden="1">
      <c r="H715" s="8"/>
    </row>
    <row r="716" hidden="1">
      <c r="H716" s="8"/>
    </row>
    <row r="717" hidden="1">
      <c r="H717" s="8"/>
    </row>
    <row r="718" hidden="1">
      <c r="H718" s="8"/>
    </row>
    <row r="719" hidden="1">
      <c r="H719" s="8"/>
    </row>
    <row r="720" hidden="1">
      <c r="H720" s="8"/>
    </row>
    <row r="721" hidden="1">
      <c r="H721" s="8"/>
    </row>
    <row r="722" hidden="1">
      <c r="H722" s="8"/>
    </row>
    <row r="723" hidden="1">
      <c r="H723" s="8"/>
    </row>
    <row r="724" hidden="1">
      <c r="H724" s="8"/>
    </row>
    <row r="725" hidden="1">
      <c r="H725" s="8"/>
    </row>
    <row r="726" hidden="1">
      <c r="H726" s="8"/>
    </row>
    <row r="727" hidden="1">
      <c r="H727" s="8"/>
    </row>
    <row r="728" hidden="1">
      <c r="H728" s="8"/>
    </row>
    <row r="729" hidden="1">
      <c r="H729" s="8"/>
    </row>
    <row r="730" hidden="1">
      <c r="H730" s="8"/>
    </row>
    <row r="731" hidden="1">
      <c r="H731" s="8"/>
    </row>
    <row r="732" hidden="1">
      <c r="H732" s="8"/>
    </row>
    <row r="733" hidden="1">
      <c r="H733" s="8"/>
    </row>
    <row r="734" hidden="1">
      <c r="H734" s="8"/>
    </row>
    <row r="735" hidden="1">
      <c r="H735" s="8"/>
    </row>
    <row r="736" hidden="1">
      <c r="H736" s="8"/>
    </row>
    <row r="737" hidden="1">
      <c r="H737" s="8"/>
    </row>
    <row r="738" hidden="1">
      <c r="H738" s="8"/>
    </row>
    <row r="739" hidden="1">
      <c r="H739" s="8"/>
    </row>
    <row r="740" hidden="1">
      <c r="H740" s="8"/>
    </row>
    <row r="741" hidden="1">
      <c r="H741" s="8"/>
    </row>
    <row r="742" hidden="1">
      <c r="H742" s="8"/>
    </row>
    <row r="743" hidden="1">
      <c r="H743" s="8"/>
    </row>
    <row r="744" hidden="1">
      <c r="H744" s="8"/>
    </row>
    <row r="745" hidden="1">
      <c r="H745" s="8"/>
    </row>
    <row r="746" hidden="1">
      <c r="H746" s="8"/>
    </row>
    <row r="747" hidden="1">
      <c r="H747" s="8"/>
    </row>
    <row r="748" hidden="1">
      <c r="H748" s="8"/>
    </row>
    <row r="749" hidden="1">
      <c r="H749" s="8"/>
    </row>
    <row r="750" hidden="1">
      <c r="H750" s="8"/>
    </row>
    <row r="751" hidden="1">
      <c r="H751" s="8"/>
    </row>
    <row r="752" hidden="1">
      <c r="H752" s="8"/>
    </row>
    <row r="753" hidden="1">
      <c r="H753" s="8"/>
    </row>
    <row r="754" hidden="1">
      <c r="H754" s="8"/>
    </row>
    <row r="755" hidden="1">
      <c r="H755" s="8"/>
    </row>
    <row r="756" hidden="1">
      <c r="H756" s="8"/>
    </row>
    <row r="757" hidden="1">
      <c r="H757" s="8"/>
    </row>
    <row r="758" hidden="1">
      <c r="H758" s="8"/>
    </row>
    <row r="759" hidden="1">
      <c r="H759" s="8"/>
    </row>
    <row r="760" hidden="1">
      <c r="H760" s="8"/>
    </row>
    <row r="761" hidden="1">
      <c r="H761" s="8"/>
    </row>
    <row r="762" hidden="1">
      <c r="H762" s="8"/>
    </row>
    <row r="763" hidden="1">
      <c r="H763" s="8"/>
    </row>
    <row r="764" hidden="1">
      <c r="H764" s="8"/>
    </row>
    <row r="765" hidden="1">
      <c r="H765" s="8"/>
    </row>
    <row r="766" hidden="1">
      <c r="H766" s="8"/>
    </row>
    <row r="767" hidden="1">
      <c r="H767" s="8"/>
    </row>
    <row r="768" hidden="1">
      <c r="H768" s="8"/>
    </row>
    <row r="769" hidden="1">
      <c r="H769" s="8"/>
    </row>
    <row r="770" hidden="1">
      <c r="H770" s="8"/>
    </row>
    <row r="771" hidden="1">
      <c r="H771" s="8"/>
    </row>
    <row r="772" hidden="1">
      <c r="H772" s="8"/>
    </row>
    <row r="773" hidden="1">
      <c r="H773" s="8"/>
    </row>
    <row r="774" hidden="1">
      <c r="H774" s="8"/>
    </row>
    <row r="775" hidden="1">
      <c r="H775" s="8"/>
    </row>
    <row r="776" hidden="1">
      <c r="H776" s="8"/>
    </row>
    <row r="777" hidden="1">
      <c r="H777" s="8"/>
    </row>
    <row r="778" hidden="1">
      <c r="H778" s="8"/>
    </row>
    <row r="779" hidden="1">
      <c r="H779" s="8"/>
    </row>
    <row r="780" hidden="1">
      <c r="H780" s="8"/>
    </row>
    <row r="781" hidden="1">
      <c r="H781" s="8"/>
    </row>
    <row r="782" hidden="1">
      <c r="H782" s="8"/>
    </row>
    <row r="783" hidden="1">
      <c r="H783" s="8"/>
    </row>
    <row r="784" hidden="1">
      <c r="H784" s="8"/>
    </row>
    <row r="785" hidden="1">
      <c r="H785" s="8"/>
    </row>
    <row r="786" hidden="1">
      <c r="H786" s="8"/>
    </row>
    <row r="787" hidden="1">
      <c r="H787" s="8"/>
    </row>
    <row r="788" hidden="1">
      <c r="H788" s="8"/>
    </row>
    <row r="789" hidden="1">
      <c r="H789" s="8"/>
    </row>
    <row r="790" hidden="1">
      <c r="H790" s="8"/>
    </row>
    <row r="791" hidden="1">
      <c r="H791" s="8"/>
    </row>
    <row r="792" hidden="1">
      <c r="H792" s="8"/>
    </row>
    <row r="793" hidden="1">
      <c r="H793" s="8"/>
    </row>
    <row r="794" hidden="1">
      <c r="H794" s="8"/>
    </row>
    <row r="795" hidden="1">
      <c r="H795" s="8"/>
    </row>
    <row r="796" hidden="1">
      <c r="H796" s="8"/>
    </row>
    <row r="797" hidden="1">
      <c r="H797" s="8"/>
    </row>
    <row r="798" hidden="1">
      <c r="H798" s="8"/>
    </row>
    <row r="799" hidden="1">
      <c r="H799" s="8"/>
    </row>
    <row r="800" hidden="1">
      <c r="H800" s="8"/>
    </row>
    <row r="801" hidden="1">
      <c r="H801" s="8"/>
    </row>
    <row r="802" hidden="1">
      <c r="H802" s="8"/>
    </row>
    <row r="803" hidden="1">
      <c r="H803" s="8"/>
    </row>
    <row r="804" hidden="1">
      <c r="H804" s="8"/>
    </row>
    <row r="805" hidden="1">
      <c r="H805" s="8"/>
    </row>
    <row r="806" hidden="1">
      <c r="H806" s="8"/>
    </row>
    <row r="807" hidden="1">
      <c r="H807" s="8"/>
    </row>
    <row r="808" hidden="1">
      <c r="H808" s="8"/>
    </row>
    <row r="809" hidden="1">
      <c r="H809" s="8"/>
    </row>
    <row r="810" hidden="1">
      <c r="H810" s="8"/>
    </row>
    <row r="811" hidden="1">
      <c r="H811" s="8"/>
    </row>
    <row r="812" hidden="1">
      <c r="H812" s="8"/>
    </row>
    <row r="813" hidden="1">
      <c r="H813" s="8"/>
    </row>
    <row r="814" hidden="1">
      <c r="H814" s="8"/>
    </row>
    <row r="815" hidden="1">
      <c r="H815" s="8"/>
    </row>
    <row r="816" hidden="1">
      <c r="H816" s="8"/>
    </row>
    <row r="817" hidden="1">
      <c r="H817" s="8"/>
    </row>
    <row r="818" hidden="1">
      <c r="H818" s="8"/>
    </row>
    <row r="819" hidden="1">
      <c r="H819" s="8"/>
    </row>
    <row r="820" hidden="1">
      <c r="H820" s="8"/>
    </row>
    <row r="821" hidden="1">
      <c r="H821" s="8"/>
    </row>
    <row r="822" hidden="1">
      <c r="H822" s="8"/>
    </row>
    <row r="823" hidden="1">
      <c r="H823" s="8"/>
    </row>
    <row r="824" hidden="1">
      <c r="H824" s="8"/>
    </row>
    <row r="825" hidden="1">
      <c r="H825" s="8"/>
    </row>
    <row r="826" hidden="1">
      <c r="H826" s="8"/>
    </row>
    <row r="827" hidden="1">
      <c r="H827" s="8"/>
    </row>
    <row r="828" hidden="1">
      <c r="H828" s="8"/>
    </row>
    <row r="829" hidden="1">
      <c r="H829" s="8"/>
    </row>
    <row r="830" hidden="1">
      <c r="H830" s="8"/>
    </row>
    <row r="831" hidden="1">
      <c r="H831" s="8"/>
    </row>
    <row r="832" hidden="1">
      <c r="H832" s="8"/>
    </row>
    <row r="833" hidden="1">
      <c r="H833" s="8"/>
    </row>
    <row r="834" hidden="1">
      <c r="H834" s="8"/>
    </row>
    <row r="835" hidden="1">
      <c r="H835" s="8"/>
    </row>
    <row r="836" hidden="1">
      <c r="H836" s="8"/>
    </row>
    <row r="837" hidden="1">
      <c r="H837" s="8"/>
    </row>
    <row r="838" hidden="1">
      <c r="H838" s="8"/>
    </row>
    <row r="839" hidden="1">
      <c r="H839" s="8"/>
    </row>
    <row r="840" hidden="1">
      <c r="H840" s="8"/>
    </row>
    <row r="841" hidden="1">
      <c r="H841" s="8"/>
    </row>
    <row r="842" hidden="1">
      <c r="H842" s="8"/>
    </row>
    <row r="843" hidden="1">
      <c r="H843" s="8"/>
    </row>
    <row r="844" hidden="1">
      <c r="H844" s="8"/>
    </row>
    <row r="845" hidden="1">
      <c r="H845" s="8"/>
    </row>
    <row r="846" hidden="1">
      <c r="H846" s="8"/>
    </row>
    <row r="847" hidden="1">
      <c r="H847" s="8"/>
    </row>
    <row r="848" hidden="1">
      <c r="H848" s="8"/>
    </row>
    <row r="849" hidden="1">
      <c r="H849" s="8"/>
    </row>
    <row r="850" hidden="1">
      <c r="H850" s="8"/>
    </row>
    <row r="851" hidden="1">
      <c r="H851" s="8"/>
    </row>
    <row r="852" hidden="1">
      <c r="H852" s="8"/>
    </row>
    <row r="853" hidden="1">
      <c r="H853" s="8"/>
    </row>
    <row r="854" hidden="1">
      <c r="H854" s="8"/>
    </row>
    <row r="855" hidden="1">
      <c r="H855" s="8"/>
    </row>
    <row r="856" hidden="1">
      <c r="H856" s="8"/>
    </row>
    <row r="857" hidden="1">
      <c r="H857" s="8"/>
    </row>
    <row r="858" hidden="1">
      <c r="H858" s="8"/>
    </row>
    <row r="859" hidden="1">
      <c r="H859" s="8"/>
    </row>
    <row r="860" hidden="1">
      <c r="H860" s="8"/>
    </row>
    <row r="861" hidden="1">
      <c r="H861" s="8"/>
    </row>
    <row r="862" hidden="1">
      <c r="H862" s="8"/>
    </row>
    <row r="863" hidden="1">
      <c r="H863" s="8"/>
    </row>
    <row r="864" hidden="1">
      <c r="H864" s="8"/>
    </row>
    <row r="865" hidden="1">
      <c r="H865" s="8"/>
    </row>
    <row r="866" hidden="1">
      <c r="H866" s="8"/>
    </row>
    <row r="867" hidden="1">
      <c r="H867" s="8"/>
    </row>
    <row r="868" hidden="1">
      <c r="H868" s="8"/>
    </row>
    <row r="869" hidden="1">
      <c r="H869" s="8"/>
    </row>
    <row r="870" hidden="1">
      <c r="H870" s="8"/>
    </row>
    <row r="871" hidden="1">
      <c r="H871" s="8"/>
    </row>
    <row r="872" hidden="1">
      <c r="H872" s="8"/>
    </row>
    <row r="873" hidden="1">
      <c r="H873" s="8"/>
    </row>
    <row r="874" hidden="1">
      <c r="H874" s="8"/>
    </row>
    <row r="875" hidden="1">
      <c r="H875" s="8"/>
    </row>
    <row r="876" hidden="1">
      <c r="H876" s="8"/>
    </row>
    <row r="877" hidden="1">
      <c r="H877" s="8"/>
    </row>
    <row r="878" hidden="1">
      <c r="H878" s="8"/>
    </row>
    <row r="879" hidden="1">
      <c r="H879" s="8"/>
    </row>
    <row r="880" hidden="1">
      <c r="H880" s="8"/>
    </row>
    <row r="881" hidden="1">
      <c r="H881" s="8"/>
    </row>
    <row r="882" hidden="1">
      <c r="H882" s="8"/>
    </row>
    <row r="883" hidden="1">
      <c r="H883" s="8"/>
    </row>
    <row r="884" hidden="1">
      <c r="H884" s="8"/>
    </row>
    <row r="885" hidden="1">
      <c r="H885" s="8"/>
    </row>
    <row r="886" hidden="1">
      <c r="H886" s="8"/>
    </row>
    <row r="887" hidden="1">
      <c r="H887" s="8"/>
    </row>
    <row r="888" hidden="1">
      <c r="H888" s="8"/>
    </row>
    <row r="889" hidden="1">
      <c r="H889" s="8"/>
    </row>
    <row r="890" hidden="1">
      <c r="H890" s="8"/>
    </row>
    <row r="891" hidden="1">
      <c r="H891" s="8"/>
    </row>
    <row r="892" hidden="1">
      <c r="H892" s="8"/>
    </row>
    <row r="893" hidden="1">
      <c r="H893" s="8"/>
    </row>
    <row r="894" hidden="1">
      <c r="H894" s="8"/>
    </row>
    <row r="895" hidden="1">
      <c r="H895" s="8"/>
    </row>
    <row r="896" hidden="1">
      <c r="H896" s="8"/>
    </row>
    <row r="897" hidden="1">
      <c r="H897" s="8"/>
    </row>
    <row r="898" hidden="1">
      <c r="H898" s="8"/>
    </row>
    <row r="899" hidden="1">
      <c r="H899" s="8"/>
    </row>
    <row r="900" hidden="1">
      <c r="H900" s="8"/>
    </row>
    <row r="901" hidden="1">
      <c r="H901" s="8"/>
    </row>
    <row r="902" hidden="1">
      <c r="H902" s="8"/>
    </row>
    <row r="903" hidden="1">
      <c r="H903" s="8"/>
    </row>
    <row r="904" hidden="1">
      <c r="H904" s="8"/>
    </row>
    <row r="905" hidden="1">
      <c r="H905" s="8"/>
    </row>
    <row r="906" hidden="1">
      <c r="H906" s="8"/>
    </row>
    <row r="907" hidden="1">
      <c r="H907" s="8"/>
    </row>
    <row r="908" hidden="1">
      <c r="H908" s="8"/>
    </row>
    <row r="909" hidden="1">
      <c r="H909" s="8"/>
    </row>
    <row r="910" hidden="1">
      <c r="H910" s="8"/>
    </row>
    <row r="911" hidden="1">
      <c r="H911" s="8"/>
    </row>
    <row r="912" hidden="1">
      <c r="H912" s="8"/>
    </row>
    <row r="913" hidden="1">
      <c r="H913" s="8"/>
    </row>
    <row r="914" hidden="1">
      <c r="H914" s="8"/>
    </row>
    <row r="915" hidden="1">
      <c r="H915" s="8"/>
    </row>
    <row r="916" hidden="1">
      <c r="H916" s="8"/>
    </row>
    <row r="917" hidden="1">
      <c r="H917" s="8"/>
    </row>
    <row r="918" hidden="1">
      <c r="H918" s="8"/>
    </row>
    <row r="919" hidden="1">
      <c r="H919" s="8"/>
    </row>
    <row r="920" hidden="1">
      <c r="H920" s="8"/>
    </row>
    <row r="921" hidden="1">
      <c r="H921" s="8"/>
    </row>
    <row r="922" hidden="1">
      <c r="H922" s="8"/>
    </row>
    <row r="923" hidden="1">
      <c r="H923" s="8"/>
    </row>
    <row r="924" hidden="1">
      <c r="H924" s="8"/>
    </row>
    <row r="925" hidden="1">
      <c r="H925" s="8"/>
    </row>
    <row r="926" hidden="1">
      <c r="H926" s="8"/>
    </row>
    <row r="927" hidden="1">
      <c r="H927" s="8"/>
    </row>
    <row r="928" hidden="1">
      <c r="H928" s="8"/>
    </row>
    <row r="929" hidden="1">
      <c r="H929" s="8"/>
    </row>
    <row r="930" hidden="1">
      <c r="H930" s="8"/>
    </row>
    <row r="931" hidden="1">
      <c r="H931" s="8"/>
    </row>
    <row r="932" hidden="1">
      <c r="H932" s="8"/>
    </row>
    <row r="933" hidden="1">
      <c r="H933" s="8"/>
    </row>
    <row r="934" hidden="1">
      <c r="H934" s="8"/>
    </row>
    <row r="935" hidden="1">
      <c r="H935" s="8"/>
    </row>
    <row r="936" hidden="1">
      <c r="H936" s="8"/>
    </row>
    <row r="937" hidden="1">
      <c r="H937" s="8"/>
    </row>
    <row r="938" hidden="1">
      <c r="H938" s="8"/>
    </row>
    <row r="939" hidden="1">
      <c r="H939" s="8"/>
    </row>
    <row r="940" hidden="1">
      <c r="H940" s="8"/>
    </row>
    <row r="941" hidden="1">
      <c r="H941" s="8"/>
    </row>
    <row r="942" hidden="1">
      <c r="H942" s="8"/>
    </row>
    <row r="943" hidden="1">
      <c r="H943" s="8"/>
    </row>
    <row r="944" hidden="1">
      <c r="H944" s="8"/>
    </row>
    <row r="945" hidden="1">
      <c r="H945" s="8"/>
    </row>
    <row r="946" hidden="1">
      <c r="H946" s="8"/>
    </row>
    <row r="947" hidden="1">
      <c r="H947" s="8"/>
    </row>
    <row r="948" hidden="1">
      <c r="H948" s="8"/>
    </row>
    <row r="949" hidden="1">
      <c r="H949" s="8"/>
    </row>
    <row r="950" hidden="1">
      <c r="H950" s="8"/>
    </row>
    <row r="951" hidden="1">
      <c r="H951" s="8"/>
    </row>
    <row r="952" hidden="1">
      <c r="H952" s="8"/>
    </row>
    <row r="953" hidden="1">
      <c r="H953" s="8"/>
    </row>
    <row r="954" hidden="1">
      <c r="H954" s="8"/>
    </row>
    <row r="955" hidden="1">
      <c r="H955" s="8"/>
    </row>
    <row r="956" hidden="1">
      <c r="H956" s="8"/>
    </row>
    <row r="957" hidden="1">
      <c r="H957" s="8"/>
    </row>
    <row r="958" hidden="1">
      <c r="H958" s="8"/>
    </row>
    <row r="959" hidden="1">
      <c r="H959" s="8"/>
    </row>
    <row r="960" hidden="1">
      <c r="H960" s="8"/>
    </row>
    <row r="961" hidden="1">
      <c r="H961" s="8"/>
    </row>
    <row r="962" hidden="1">
      <c r="H962" s="8"/>
    </row>
    <row r="963" hidden="1">
      <c r="H963" s="8"/>
    </row>
    <row r="964" hidden="1">
      <c r="H964" s="8"/>
    </row>
    <row r="965" hidden="1">
      <c r="H965" s="8"/>
    </row>
    <row r="966" hidden="1">
      <c r="H966" s="8"/>
    </row>
    <row r="967" hidden="1">
      <c r="H967" s="8"/>
    </row>
    <row r="968" hidden="1">
      <c r="H968" s="8"/>
    </row>
    <row r="969" hidden="1">
      <c r="H969" s="8"/>
    </row>
    <row r="970" hidden="1">
      <c r="H970" s="8"/>
    </row>
    <row r="971" hidden="1">
      <c r="H971" s="8"/>
    </row>
    <row r="972" hidden="1">
      <c r="H972" s="8"/>
    </row>
    <row r="973" hidden="1">
      <c r="H973" s="8"/>
    </row>
    <row r="974" hidden="1">
      <c r="H974" s="8"/>
    </row>
    <row r="975" hidden="1">
      <c r="H975" s="8"/>
    </row>
    <row r="976" hidden="1">
      <c r="H976" s="8"/>
    </row>
    <row r="977" hidden="1">
      <c r="H977" s="8"/>
    </row>
    <row r="978" hidden="1">
      <c r="H978" s="8"/>
    </row>
    <row r="979" hidden="1">
      <c r="H979" s="8"/>
    </row>
    <row r="980" hidden="1">
      <c r="H980" s="8"/>
    </row>
    <row r="981" hidden="1">
      <c r="H981" s="8"/>
    </row>
    <row r="982" hidden="1">
      <c r="H982" s="8"/>
    </row>
    <row r="983" hidden="1">
      <c r="H983" s="8"/>
    </row>
    <row r="984" hidden="1">
      <c r="H984" s="8"/>
    </row>
    <row r="985" hidden="1">
      <c r="H985" s="8"/>
    </row>
    <row r="986" hidden="1">
      <c r="H986" s="8"/>
    </row>
    <row r="987" hidden="1">
      <c r="H987" s="8"/>
    </row>
    <row r="988" hidden="1">
      <c r="H988" s="8"/>
    </row>
    <row r="989" hidden="1">
      <c r="H989" s="8"/>
    </row>
    <row r="990" hidden="1">
      <c r="H990" s="8"/>
    </row>
    <row r="991" hidden="1">
      <c r="H991" s="8"/>
    </row>
    <row r="992" hidden="1">
      <c r="H992" s="8"/>
    </row>
    <row r="993" hidden="1">
      <c r="H993" s="8"/>
    </row>
    <row r="994" hidden="1">
      <c r="H994" s="8"/>
    </row>
    <row r="995" hidden="1">
      <c r="H995" s="8"/>
    </row>
    <row r="996" hidden="1">
      <c r="H996" s="8"/>
    </row>
    <row r="997" hidden="1">
      <c r="H997" s="8"/>
    </row>
    <row r="998" hidden="1">
      <c r="H998" s="8"/>
    </row>
    <row r="999" hidden="1">
      <c r="H999" s="8"/>
    </row>
    <row r="1000" hidden="1">
      <c r="H1000" s="8"/>
    </row>
  </sheetData>
  <autoFilter ref="$A$1:$W$1000">
    <filterColumn colId="7">
      <filters blank="1">
        <filter val="16.27"/>
        <filter val="3.12"/>
        <filter val="75.00"/>
      </filters>
    </filterColumn>
    <filterColumn colId="6">
      <filters>
        <filter val="GHP 2026 Replace STREET (ProRata: 6)"/>
        <filter val="GHP 2026 Replace STREET (ProRata: 1)"/>
        <filter val="GHP 2026 Replace STREET - Gold Classic 360 HMO (ProRata: 1)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2026-05-29T15:42:27Z</dcterms:created>
  <dc:creator>Vrushabh Parmar</dc:creator>
</cp:coreProperties>
</file>