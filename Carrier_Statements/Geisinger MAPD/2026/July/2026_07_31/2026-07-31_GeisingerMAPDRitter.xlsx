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Geisinger MAPD\2026\July\2026_07_31\"/>
    </mc:Choice>
  </mc:AlternateContent>
  <xr:revisionPtr revIDLastSave="0" documentId="13_ncr:1_{5CD6E015-BDEF-412B-BB5E-785FFE16B175}" xr6:coauthVersionLast="47" xr6:coauthVersionMax="47" xr10:uidLastSave="{00000000-0000-0000-0000-000000000000}"/>
  <bookViews>
    <workbookView xWindow="-120" yWindow="-120" windowWidth="29040" windowHeight="15720" activeTab="1" xr2:uid="{95883099-E3CC-4E1C-B4A2-8709E02AAD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2" i="2"/>
  <c r="H90" i="2"/>
  <c r="H89" i="2"/>
  <c r="H88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87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87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89" i="2"/>
  <c r="R90" i="2"/>
  <c r="R89" i="2"/>
  <c r="P88" i="2"/>
</calcChain>
</file>

<file path=xl/sharedStrings.xml><?xml version="1.0" encoding="utf-8"?>
<sst xmlns="http://schemas.openxmlformats.org/spreadsheetml/2006/main" count="1105" uniqueCount="113">
  <si>
    <t>GHP 2026 Replace STREET (ProRata: 1)</t>
  </si>
  <si>
    <t>Geisinger Health Plan</t>
  </si>
  <si>
    <t>Ciambrone</t>
  </si>
  <si>
    <t>Nicholas</t>
  </si>
  <si>
    <t>Ryan Stocker</t>
  </si>
  <si>
    <t>Francois Orszag</t>
  </si>
  <si>
    <t>Jean</t>
  </si>
  <si>
    <t>Walsh</t>
  </si>
  <si>
    <t>Clifford</t>
  </si>
  <si>
    <t>Irene</t>
  </si>
  <si>
    <t>GHP 2026 Full STREET (ProRata: 9)</t>
  </si>
  <si>
    <t>Phillips</t>
  </si>
  <si>
    <t>Clay</t>
  </si>
  <si>
    <t>Alison Luse</t>
  </si>
  <si>
    <t>GHP 2026 Replace STREET (ProRata: 4)</t>
  </si>
  <si>
    <t>Walker</t>
  </si>
  <si>
    <t>Fran</t>
  </si>
  <si>
    <t>GHP Renewal OR 2025-2026 (ProRata: 1)</t>
  </si>
  <si>
    <t>Bair</t>
  </si>
  <si>
    <t>Cindy</t>
  </si>
  <si>
    <t>Barger</t>
  </si>
  <si>
    <t>Connie</t>
  </si>
  <si>
    <t>B25595</t>
  </si>
  <si>
    <t>Barnett</t>
  </si>
  <si>
    <t>Melinda</t>
  </si>
  <si>
    <t>Benton</t>
  </si>
  <si>
    <t>Jacqueline</t>
  </si>
  <si>
    <t>Terrence</t>
  </si>
  <si>
    <t>Brownson</t>
  </si>
  <si>
    <t>Daniel</t>
  </si>
  <si>
    <t>Chojnacki</t>
  </si>
  <si>
    <t>Edward</t>
  </si>
  <si>
    <t>Corman</t>
  </si>
  <si>
    <t>Ray</t>
  </si>
  <si>
    <t>Betty</t>
  </si>
  <si>
    <t>Coursen</t>
  </si>
  <si>
    <t>John</t>
  </si>
  <si>
    <t>Davies</t>
  </si>
  <si>
    <t>Thelma</t>
  </si>
  <si>
    <t>Irving</t>
  </si>
  <si>
    <t>Dehaas</t>
  </si>
  <si>
    <t>Robert</t>
  </si>
  <si>
    <t>Detar</t>
  </si>
  <si>
    <t>Judy</t>
  </si>
  <si>
    <t>Etters</t>
  </si>
  <si>
    <t>Falls</t>
  </si>
  <si>
    <t>Lyndia</t>
  </si>
  <si>
    <t>Eugene</t>
  </si>
  <si>
    <t>Gardner</t>
  </si>
  <si>
    <t>Thomas</t>
  </si>
  <si>
    <t>Haines</t>
  </si>
  <si>
    <t>Jackalin</t>
  </si>
  <si>
    <t>Havens</t>
  </si>
  <si>
    <t>Susan</t>
  </si>
  <si>
    <t>Lindquist</t>
  </si>
  <si>
    <t>Hollie</t>
  </si>
  <si>
    <t>Mcclintic</t>
  </si>
  <si>
    <t>Fred</t>
  </si>
  <si>
    <t>Mccloskey</t>
  </si>
  <si>
    <t>Glenn</t>
  </si>
  <si>
    <t>Mccoy</t>
  </si>
  <si>
    <t>Roger</t>
  </si>
  <si>
    <t>Potter</t>
  </si>
  <si>
    <t>Rhoads</t>
  </si>
  <si>
    <t>David</t>
  </si>
  <si>
    <t>Riser</t>
  </si>
  <si>
    <t>Molly</t>
  </si>
  <si>
    <t>Harold</t>
  </si>
  <si>
    <t>Rudy</t>
  </si>
  <si>
    <t>Cindye</t>
  </si>
  <si>
    <t>Stoner</t>
  </si>
  <si>
    <t>Max</t>
  </si>
  <si>
    <t>Margaret</t>
  </si>
  <si>
    <t>Weaver</t>
  </si>
  <si>
    <t>Deanna</t>
  </si>
  <si>
    <t>Kenneth</t>
  </si>
  <si>
    <t>Deborah</t>
  </si>
  <si>
    <t>Weist</t>
  </si>
  <si>
    <t>William</t>
  </si>
  <si>
    <t>GHP 2018-2026 Initial / Replace OR</t>
  </si>
  <si>
    <t>Williams</t>
  </si>
  <si>
    <t>Jackie</t>
  </si>
  <si>
    <t>Carol Foley</t>
  </si>
  <si>
    <t>Burti</t>
  </si>
  <si>
    <t>Nannette</t>
  </si>
  <si>
    <t>Chad Bender</t>
  </si>
  <si>
    <t>Ierovante</t>
  </si>
  <si>
    <t>Kingsland</t>
  </si>
  <si>
    <t>O Neill</t>
  </si>
  <si>
    <t>Yvonne</t>
  </si>
  <si>
    <t>Vanderduim</t>
  </si>
  <si>
    <t>Debra</t>
  </si>
  <si>
    <t>Patricia Long</t>
  </si>
  <si>
    <t>GHP 2026 Replace STREET - Gold Classic 360 HMO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</si>
  <si>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</si>
  <si>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</si>
  <si>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</si>
  <si>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</si>
  <si>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</si>
  <si>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</si>
  <si>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</si>
  <si>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</si>
  <si>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</si>
  <si>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</si>
  <si>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</si>
  <si>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[%/$=391][prorate=1/12]</t>
  </si>
  <si>
    <t>Geisinger 2026 CT, PA, DC *</t>
  </si>
  <si>
    <t>Geisinger MAPD OVR</t>
  </si>
  <si>
    <t>[%/$=391][prorate=4/12]</t>
  </si>
  <si>
    <t>[%/$=391][prorate=6/12]</t>
  </si>
  <si>
    <t>Geisinger 2026 CT, PA, DC</t>
  </si>
  <si>
    <t>[%/$=781]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</si>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</sst>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35AF-B6D9-4A08-83A7-9624E5AD4275}">
  <dimension ref="A1:K92"/>
  <sheetViews>
    <sheetView workbookViewId="0">
      <selection sqref="A1:XFD1048576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9.5703125" bestFit="1" customWidth="1"/>
    <col min="4" max="4" width="9.7109375" bestFit="1" customWidth="1"/>
    <col min="5" max="5" width="13.85546875" bestFit="1" customWidth="1"/>
    <col min="6" max="6" width="11.85546875" bestFit="1" customWidth="1"/>
    <col min="7" max="7" width="11" bestFit="1" customWidth="1"/>
    <col min="8" max="8" width="13.5703125" bestFit="1" customWidth="1"/>
    <col min="9" max="9" width="18.5703125" bestFit="1" customWidth="1"/>
    <col min="10" max="10" width="53" bestFit="1" customWidth="1"/>
    <col min="11" max="11" width="14.42578125" bestFit="1" customWidth="1"/>
  </cols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13</v>
      </c>
      <c r="C2">
        <v>9254978</v>
      </c>
      <c r="D2" t="s">
        <v>76</v>
      </c>
      <c r="E2" t="s">
        <v>73</v>
      </c>
      <c r="F2">
        <v>20027177601</v>
      </c>
      <c r="G2" s="2">
        <v>46023</v>
      </c>
      <c r="H2" s="2">
        <v>46234</v>
      </c>
      <c r="I2" t="s">
        <v>1</v>
      </c>
      <c r="J2" t="s">
        <v>0</v>
      </c>
      <c r="K2" s="1">
        <v>32.58</v>
      </c>
    </row>
    <row r="3" spans="1:11" x14ac:dyDescent="0.25">
      <c r="A3" t="s">
        <v>13</v>
      </c>
      <c r="C3">
        <v>9254978</v>
      </c>
      <c r="D3" t="s">
        <v>75</v>
      </c>
      <c r="E3" t="s">
        <v>73</v>
      </c>
      <c r="F3">
        <v>20027350401</v>
      </c>
      <c r="G3" s="2">
        <v>46023</v>
      </c>
      <c r="H3" s="2">
        <v>46234</v>
      </c>
      <c r="I3" t="s">
        <v>1</v>
      </c>
      <c r="J3" t="s">
        <v>0</v>
      </c>
      <c r="K3" s="1">
        <v>32.58</v>
      </c>
    </row>
    <row r="4" spans="1:11" x14ac:dyDescent="0.25">
      <c r="A4" t="s">
        <v>13</v>
      </c>
      <c r="C4">
        <v>9254978</v>
      </c>
      <c r="D4" t="s">
        <v>74</v>
      </c>
      <c r="E4" t="s">
        <v>73</v>
      </c>
      <c r="F4">
        <v>20039673901</v>
      </c>
      <c r="G4" s="2">
        <v>46023</v>
      </c>
      <c r="H4" s="2">
        <v>46234</v>
      </c>
      <c r="I4" t="s">
        <v>1</v>
      </c>
      <c r="J4" t="s">
        <v>0</v>
      </c>
      <c r="K4" s="1">
        <v>32.58</v>
      </c>
    </row>
    <row r="5" spans="1:11" x14ac:dyDescent="0.25">
      <c r="A5" t="s">
        <v>13</v>
      </c>
      <c r="C5">
        <v>9254978</v>
      </c>
      <c r="D5" t="s">
        <v>69</v>
      </c>
      <c r="E5" t="s">
        <v>68</v>
      </c>
      <c r="F5">
        <v>20042811101</v>
      </c>
      <c r="G5" s="2">
        <v>46023</v>
      </c>
      <c r="H5" s="2">
        <v>46234</v>
      </c>
      <c r="I5" t="s">
        <v>1</v>
      </c>
      <c r="J5" t="s">
        <v>0</v>
      </c>
      <c r="K5" s="1">
        <v>32.58</v>
      </c>
    </row>
    <row r="6" spans="1:11" x14ac:dyDescent="0.25">
      <c r="A6" t="s">
        <v>13</v>
      </c>
      <c r="C6">
        <v>9254978</v>
      </c>
      <c r="D6" t="s">
        <v>67</v>
      </c>
      <c r="E6" t="s">
        <v>65</v>
      </c>
      <c r="F6">
        <v>20032142301</v>
      </c>
      <c r="G6" s="2">
        <v>46023</v>
      </c>
      <c r="H6" s="2">
        <v>46234</v>
      </c>
      <c r="I6" t="s">
        <v>1</v>
      </c>
      <c r="J6" t="s">
        <v>0</v>
      </c>
      <c r="K6" s="1">
        <v>32.58</v>
      </c>
    </row>
    <row r="7" spans="1:11" x14ac:dyDescent="0.25">
      <c r="A7" t="s">
        <v>13</v>
      </c>
      <c r="C7">
        <v>9254978</v>
      </c>
      <c r="D7" t="s">
        <v>66</v>
      </c>
      <c r="E7" t="s">
        <v>65</v>
      </c>
      <c r="F7">
        <v>20032142501</v>
      </c>
      <c r="G7" s="2">
        <v>46023</v>
      </c>
      <c r="H7" s="2">
        <v>46234</v>
      </c>
      <c r="I7" t="s">
        <v>1</v>
      </c>
      <c r="J7" t="s">
        <v>0</v>
      </c>
      <c r="K7" s="1">
        <v>32.58</v>
      </c>
    </row>
    <row r="8" spans="1:11" x14ac:dyDescent="0.25">
      <c r="A8" t="s">
        <v>13</v>
      </c>
      <c r="C8">
        <v>9254978</v>
      </c>
      <c r="D8" t="s">
        <v>64</v>
      </c>
      <c r="E8" t="s">
        <v>63</v>
      </c>
      <c r="F8">
        <v>20045810201</v>
      </c>
      <c r="G8" s="2">
        <v>46023</v>
      </c>
      <c r="H8" s="2">
        <v>46234</v>
      </c>
      <c r="I8" t="s">
        <v>1</v>
      </c>
      <c r="J8" t="s">
        <v>0</v>
      </c>
      <c r="K8" s="1">
        <v>32.58</v>
      </c>
    </row>
    <row r="9" spans="1:11" x14ac:dyDescent="0.25">
      <c r="A9" t="s">
        <v>13</v>
      </c>
      <c r="C9">
        <v>9254978</v>
      </c>
      <c r="D9" t="s">
        <v>36</v>
      </c>
      <c r="E9" t="s">
        <v>62</v>
      </c>
      <c r="F9">
        <v>20040587601</v>
      </c>
      <c r="G9" s="2">
        <v>46023</v>
      </c>
      <c r="H9" s="2">
        <v>46234</v>
      </c>
      <c r="I9" t="s">
        <v>1</v>
      </c>
      <c r="J9" t="s">
        <v>0</v>
      </c>
      <c r="K9" s="1">
        <v>32.58</v>
      </c>
    </row>
    <row r="10" spans="1:11" x14ac:dyDescent="0.25">
      <c r="A10" t="s">
        <v>13</v>
      </c>
      <c r="C10">
        <v>9254978</v>
      </c>
      <c r="D10" t="s">
        <v>61</v>
      </c>
      <c r="E10" t="s">
        <v>60</v>
      </c>
      <c r="F10">
        <v>20063885901</v>
      </c>
      <c r="G10" s="2">
        <v>46023</v>
      </c>
      <c r="H10" s="2">
        <v>46234</v>
      </c>
      <c r="I10" t="s">
        <v>1</v>
      </c>
      <c r="J10" t="s">
        <v>0</v>
      </c>
      <c r="K10" s="1">
        <v>32.58</v>
      </c>
    </row>
    <row r="11" spans="1:11" x14ac:dyDescent="0.25">
      <c r="A11" t="s">
        <v>13</v>
      </c>
      <c r="C11">
        <v>9254978</v>
      </c>
      <c r="D11" t="s">
        <v>59</v>
      </c>
      <c r="E11" t="s">
        <v>58</v>
      </c>
      <c r="F11">
        <v>20038840101</v>
      </c>
      <c r="G11" s="2">
        <v>46023</v>
      </c>
      <c r="H11" s="2">
        <v>46234</v>
      </c>
      <c r="I11" t="s">
        <v>1</v>
      </c>
      <c r="J11" t="s">
        <v>0</v>
      </c>
      <c r="K11" s="1">
        <v>32.58</v>
      </c>
    </row>
    <row r="12" spans="1:11" x14ac:dyDescent="0.25">
      <c r="A12" t="s">
        <v>13</v>
      </c>
      <c r="C12">
        <v>9254978</v>
      </c>
      <c r="D12" t="s">
        <v>57</v>
      </c>
      <c r="E12" t="s">
        <v>56</v>
      </c>
      <c r="F12">
        <v>20057066101</v>
      </c>
      <c r="G12" s="2">
        <v>46023</v>
      </c>
      <c r="H12" s="2">
        <v>46234</v>
      </c>
      <c r="I12" t="s">
        <v>1</v>
      </c>
      <c r="J12" t="s">
        <v>0</v>
      </c>
      <c r="K12" s="1">
        <v>32.58</v>
      </c>
    </row>
    <row r="13" spans="1:11" x14ac:dyDescent="0.25">
      <c r="A13" t="s">
        <v>13</v>
      </c>
      <c r="C13">
        <v>9254978</v>
      </c>
      <c r="D13" t="s">
        <v>55</v>
      </c>
      <c r="E13" t="s">
        <v>54</v>
      </c>
      <c r="F13">
        <v>20054968601</v>
      </c>
      <c r="G13" s="2">
        <v>46023</v>
      </c>
      <c r="H13" s="2">
        <v>46234</v>
      </c>
      <c r="I13" t="s">
        <v>1</v>
      </c>
      <c r="J13" t="s">
        <v>0</v>
      </c>
      <c r="K13" s="1">
        <v>32.58</v>
      </c>
    </row>
    <row r="14" spans="1:11" x14ac:dyDescent="0.25">
      <c r="A14" t="s">
        <v>13</v>
      </c>
      <c r="C14">
        <v>9254978</v>
      </c>
      <c r="D14" t="s">
        <v>53</v>
      </c>
      <c r="E14" t="s">
        <v>52</v>
      </c>
      <c r="F14">
        <v>10008741301</v>
      </c>
      <c r="G14" s="2">
        <v>46023</v>
      </c>
      <c r="H14" s="2">
        <v>46234</v>
      </c>
      <c r="I14" t="s">
        <v>1</v>
      </c>
      <c r="J14" t="s">
        <v>0</v>
      </c>
      <c r="K14" s="1">
        <v>32.58</v>
      </c>
    </row>
    <row r="15" spans="1:11" x14ac:dyDescent="0.25">
      <c r="A15" t="s">
        <v>13</v>
      </c>
      <c r="C15">
        <v>9254978</v>
      </c>
      <c r="D15" t="s">
        <v>49</v>
      </c>
      <c r="E15" t="s">
        <v>52</v>
      </c>
      <c r="F15">
        <v>20009616401</v>
      </c>
      <c r="G15" s="2">
        <v>46023</v>
      </c>
      <c r="H15" s="2">
        <v>46234</v>
      </c>
      <c r="I15" t="s">
        <v>1</v>
      </c>
      <c r="J15" t="s">
        <v>0</v>
      </c>
      <c r="K15" s="1">
        <v>32.58</v>
      </c>
    </row>
    <row r="16" spans="1:11" x14ac:dyDescent="0.25">
      <c r="A16" t="s">
        <v>13</v>
      </c>
      <c r="C16">
        <v>9254978</v>
      </c>
      <c r="D16" t="s">
        <v>51</v>
      </c>
      <c r="E16" t="s">
        <v>50</v>
      </c>
      <c r="F16">
        <v>10124160901</v>
      </c>
      <c r="G16" s="2">
        <v>46023</v>
      </c>
      <c r="H16" s="2">
        <v>46234</v>
      </c>
      <c r="I16" t="s">
        <v>1</v>
      </c>
      <c r="J16" t="s">
        <v>0</v>
      </c>
      <c r="K16" s="1">
        <v>32.58</v>
      </c>
    </row>
    <row r="17" spans="1:11" x14ac:dyDescent="0.25">
      <c r="A17" t="s">
        <v>13</v>
      </c>
      <c r="C17">
        <v>9254978</v>
      </c>
      <c r="D17" t="s">
        <v>49</v>
      </c>
      <c r="E17" t="s">
        <v>48</v>
      </c>
      <c r="F17">
        <v>20011185201</v>
      </c>
      <c r="G17" s="2">
        <v>46023</v>
      </c>
      <c r="H17" s="2">
        <v>46234</v>
      </c>
      <c r="I17" t="s">
        <v>1</v>
      </c>
      <c r="J17" t="s">
        <v>0</v>
      </c>
      <c r="K17" s="1">
        <v>32.58</v>
      </c>
    </row>
    <row r="18" spans="1:11" x14ac:dyDescent="0.25">
      <c r="A18" t="s">
        <v>13</v>
      </c>
      <c r="C18">
        <v>9254978</v>
      </c>
      <c r="D18" t="s">
        <v>47</v>
      </c>
      <c r="E18" t="s">
        <v>45</v>
      </c>
      <c r="F18">
        <v>85742701</v>
      </c>
      <c r="G18" s="2">
        <v>46023</v>
      </c>
      <c r="H18" s="2">
        <v>46234</v>
      </c>
      <c r="I18" t="s">
        <v>1</v>
      </c>
      <c r="J18" t="s">
        <v>0</v>
      </c>
      <c r="K18" s="1">
        <v>32.58</v>
      </c>
    </row>
    <row r="19" spans="1:11" x14ac:dyDescent="0.25">
      <c r="A19" t="s">
        <v>13</v>
      </c>
      <c r="C19">
        <v>9254978</v>
      </c>
      <c r="D19" t="s">
        <v>46</v>
      </c>
      <c r="E19" t="s">
        <v>45</v>
      </c>
      <c r="F19">
        <v>96603301</v>
      </c>
      <c r="G19" s="2">
        <v>46023</v>
      </c>
      <c r="H19" s="2">
        <v>46234</v>
      </c>
      <c r="I19" t="s">
        <v>1</v>
      </c>
      <c r="J19" t="s">
        <v>0</v>
      </c>
      <c r="K19" s="1">
        <v>32.58</v>
      </c>
    </row>
    <row r="20" spans="1:11" x14ac:dyDescent="0.25">
      <c r="A20" t="s">
        <v>13</v>
      </c>
      <c r="C20">
        <v>9254978</v>
      </c>
      <c r="D20" t="s">
        <v>36</v>
      </c>
      <c r="E20" t="s">
        <v>44</v>
      </c>
      <c r="F20">
        <v>20032206001</v>
      </c>
      <c r="G20" s="2">
        <v>46023</v>
      </c>
      <c r="H20" s="2">
        <v>46234</v>
      </c>
      <c r="I20" t="s">
        <v>1</v>
      </c>
      <c r="J20" t="s">
        <v>0</v>
      </c>
      <c r="K20" s="1">
        <v>32.58</v>
      </c>
    </row>
    <row r="21" spans="1:11" x14ac:dyDescent="0.25">
      <c r="A21" t="s">
        <v>13</v>
      </c>
      <c r="C21">
        <v>9254978</v>
      </c>
      <c r="D21" t="s">
        <v>43</v>
      </c>
      <c r="E21" t="s">
        <v>42</v>
      </c>
      <c r="F21">
        <v>10096067901</v>
      </c>
      <c r="G21" s="2">
        <v>46023</v>
      </c>
      <c r="H21" s="2">
        <v>46234</v>
      </c>
      <c r="I21" t="s">
        <v>1</v>
      </c>
      <c r="J21" t="s">
        <v>0</v>
      </c>
      <c r="K21" s="1">
        <v>32.58</v>
      </c>
    </row>
    <row r="22" spans="1:11" x14ac:dyDescent="0.25">
      <c r="A22" t="s">
        <v>13</v>
      </c>
      <c r="C22">
        <v>9254978</v>
      </c>
      <c r="D22" t="s">
        <v>41</v>
      </c>
      <c r="E22" t="s">
        <v>40</v>
      </c>
      <c r="F22">
        <v>10028861101</v>
      </c>
      <c r="G22" s="2">
        <v>46054</v>
      </c>
      <c r="H22" s="2">
        <v>46234</v>
      </c>
      <c r="I22" t="s">
        <v>1</v>
      </c>
      <c r="J22" t="s">
        <v>0</v>
      </c>
      <c r="K22" s="1">
        <v>32.58</v>
      </c>
    </row>
    <row r="23" spans="1:11" x14ac:dyDescent="0.25">
      <c r="A23" t="s">
        <v>13</v>
      </c>
      <c r="C23">
        <v>9254978</v>
      </c>
      <c r="D23" t="s">
        <v>39</v>
      </c>
      <c r="E23" t="s">
        <v>37</v>
      </c>
      <c r="F23">
        <v>20041787401</v>
      </c>
      <c r="G23" s="2">
        <v>46023</v>
      </c>
      <c r="H23" s="2">
        <v>46234</v>
      </c>
      <c r="I23" t="s">
        <v>1</v>
      </c>
      <c r="J23" t="s">
        <v>0</v>
      </c>
      <c r="K23" s="1">
        <v>32.58</v>
      </c>
    </row>
    <row r="24" spans="1:11" x14ac:dyDescent="0.25">
      <c r="A24" t="s">
        <v>13</v>
      </c>
      <c r="C24">
        <v>9254978</v>
      </c>
      <c r="D24" t="s">
        <v>38</v>
      </c>
      <c r="E24" t="s">
        <v>37</v>
      </c>
      <c r="F24">
        <v>20041800601</v>
      </c>
      <c r="G24" s="2">
        <v>46023</v>
      </c>
      <c r="H24" s="2">
        <v>46234</v>
      </c>
      <c r="I24" t="s">
        <v>1</v>
      </c>
      <c r="J24" t="s">
        <v>0</v>
      </c>
      <c r="K24" s="1">
        <v>32.58</v>
      </c>
    </row>
    <row r="25" spans="1:11" x14ac:dyDescent="0.25">
      <c r="A25" t="s">
        <v>13</v>
      </c>
      <c r="C25">
        <v>9254978</v>
      </c>
      <c r="D25" t="s">
        <v>36</v>
      </c>
      <c r="E25" t="s">
        <v>35</v>
      </c>
      <c r="F25">
        <v>20038842601</v>
      </c>
      <c r="G25" s="2">
        <v>46023</v>
      </c>
      <c r="H25" s="2">
        <v>46234</v>
      </c>
      <c r="I25" t="s">
        <v>1</v>
      </c>
      <c r="J25" t="s">
        <v>0</v>
      </c>
      <c r="K25" s="1">
        <v>32.58</v>
      </c>
    </row>
    <row r="26" spans="1:11" x14ac:dyDescent="0.25">
      <c r="A26" t="s">
        <v>13</v>
      </c>
      <c r="C26">
        <v>9254978</v>
      </c>
      <c r="D26" t="s">
        <v>34</v>
      </c>
      <c r="E26" t="s">
        <v>32</v>
      </c>
      <c r="F26">
        <v>20039206601</v>
      </c>
      <c r="G26" s="2">
        <v>46023</v>
      </c>
      <c r="H26" s="2">
        <v>46234</v>
      </c>
      <c r="I26" t="s">
        <v>1</v>
      </c>
      <c r="J26" t="s">
        <v>0</v>
      </c>
      <c r="K26" s="1">
        <v>32.58</v>
      </c>
    </row>
    <row r="27" spans="1:11" x14ac:dyDescent="0.25">
      <c r="A27" t="s">
        <v>13</v>
      </c>
      <c r="C27">
        <v>9254978</v>
      </c>
      <c r="D27" t="s">
        <v>33</v>
      </c>
      <c r="E27" t="s">
        <v>32</v>
      </c>
      <c r="F27">
        <v>20039228601</v>
      </c>
      <c r="G27" s="2">
        <v>46023</v>
      </c>
      <c r="H27" s="2">
        <v>46234</v>
      </c>
      <c r="I27" t="s">
        <v>1</v>
      </c>
      <c r="J27" t="s">
        <v>0</v>
      </c>
      <c r="K27" s="1">
        <v>32.58</v>
      </c>
    </row>
    <row r="28" spans="1:11" x14ac:dyDescent="0.25">
      <c r="A28" t="s">
        <v>13</v>
      </c>
      <c r="C28">
        <v>9254978</v>
      </c>
      <c r="D28" t="s">
        <v>31</v>
      </c>
      <c r="E28" t="s">
        <v>30</v>
      </c>
      <c r="F28">
        <v>20037806301</v>
      </c>
      <c r="G28" s="2">
        <v>46023</v>
      </c>
      <c r="H28" s="2">
        <v>46234</v>
      </c>
      <c r="I28" t="s">
        <v>1</v>
      </c>
      <c r="J28" t="s">
        <v>93</v>
      </c>
      <c r="K28" s="1">
        <v>16.27</v>
      </c>
    </row>
    <row r="29" spans="1:11" x14ac:dyDescent="0.25">
      <c r="A29" t="s">
        <v>13</v>
      </c>
      <c r="C29">
        <v>9254978</v>
      </c>
      <c r="D29" t="s">
        <v>29</v>
      </c>
      <c r="E29" t="s">
        <v>28</v>
      </c>
      <c r="F29">
        <v>20039512801</v>
      </c>
      <c r="G29" s="2">
        <v>46023</v>
      </c>
      <c r="H29" s="2">
        <v>46234</v>
      </c>
      <c r="I29" t="s">
        <v>1</v>
      </c>
      <c r="J29" t="s">
        <v>0</v>
      </c>
      <c r="K29" s="1">
        <v>32.58</v>
      </c>
    </row>
    <row r="30" spans="1:11" x14ac:dyDescent="0.25">
      <c r="A30" t="s">
        <v>13</v>
      </c>
      <c r="C30">
        <v>9254978</v>
      </c>
      <c r="D30" t="s">
        <v>27</v>
      </c>
      <c r="E30" t="s">
        <v>25</v>
      </c>
      <c r="F30">
        <v>20038818301</v>
      </c>
      <c r="G30" s="2">
        <v>46023</v>
      </c>
      <c r="H30" s="2">
        <v>46234</v>
      </c>
      <c r="I30" t="s">
        <v>1</v>
      </c>
      <c r="J30" t="s">
        <v>0</v>
      </c>
      <c r="K30" s="1">
        <v>32.58</v>
      </c>
    </row>
    <row r="31" spans="1:11" x14ac:dyDescent="0.25">
      <c r="A31" t="s">
        <v>13</v>
      </c>
      <c r="C31">
        <v>9254978</v>
      </c>
      <c r="D31" t="s">
        <v>26</v>
      </c>
      <c r="E31" t="s">
        <v>25</v>
      </c>
      <c r="F31">
        <v>20038840001</v>
      </c>
      <c r="G31" s="2">
        <v>46023</v>
      </c>
      <c r="H31" s="2">
        <v>46234</v>
      </c>
      <c r="I31" t="s">
        <v>1</v>
      </c>
      <c r="J31" t="s">
        <v>0</v>
      </c>
      <c r="K31" s="1">
        <v>32.58</v>
      </c>
    </row>
    <row r="32" spans="1:11" x14ac:dyDescent="0.25">
      <c r="A32" t="s">
        <v>13</v>
      </c>
      <c r="C32">
        <v>9254978</v>
      </c>
      <c r="D32" t="s">
        <v>24</v>
      </c>
      <c r="E32" t="s">
        <v>23</v>
      </c>
      <c r="F32">
        <v>20032097801</v>
      </c>
      <c r="G32" s="2">
        <v>46023</v>
      </c>
      <c r="H32" s="2">
        <v>46234</v>
      </c>
      <c r="I32" t="s">
        <v>1</v>
      </c>
      <c r="J32" t="s">
        <v>0</v>
      </c>
      <c r="K32" s="1">
        <v>32.58</v>
      </c>
    </row>
    <row r="33" spans="1:11" x14ac:dyDescent="0.25">
      <c r="A33" t="s">
        <v>13</v>
      </c>
      <c r="C33">
        <v>9254978</v>
      </c>
      <c r="D33" t="s">
        <v>19</v>
      </c>
      <c r="E33" t="s">
        <v>18</v>
      </c>
      <c r="F33">
        <v>20038750301</v>
      </c>
      <c r="G33" s="2">
        <v>46023</v>
      </c>
      <c r="H33" s="2">
        <v>46234</v>
      </c>
      <c r="I33" t="s">
        <v>1</v>
      </c>
      <c r="J33" t="s">
        <v>0</v>
      </c>
      <c r="K33" s="1">
        <v>32.58</v>
      </c>
    </row>
    <row r="34" spans="1:11" x14ac:dyDescent="0.25">
      <c r="A34" t="s">
        <v>82</v>
      </c>
      <c r="C34">
        <v>17425766</v>
      </c>
      <c r="D34" t="s">
        <v>81</v>
      </c>
      <c r="E34" t="s">
        <v>80</v>
      </c>
      <c r="F34">
        <v>20044292901</v>
      </c>
      <c r="G34" s="2">
        <v>45689</v>
      </c>
      <c r="H34" s="2">
        <v>46234</v>
      </c>
      <c r="I34" t="s">
        <v>1</v>
      </c>
      <c r="J34" t="s">
        <v>0</v>
      </c>
      <c r="K34" s="1">
        <v>32.58</v>
      </c>
    </row>
    <row r="35" spans="1:11" x14ac:dyDescent="0.25">
      <c r="A35" t="s">
        <v>85</v>
      </c>
      <c r="C35">
        <v>18598357</v>
      </c>
      <c r="D35" t="s">
        <v>89</v>
      </c>
      <c r="E35" t="s">
        <v>88</v>
      </c>
      <c r="F35">
        <v>20061982301</v>
      </c>
      <c r="G35" s="2">
        <v>44986</v>
      </c>
      <c r="H35" s="2">
        <v>46234</v>
      </c>
      <c r="I35" t="s">
        <v>1</v>
      </c>
      <c r="J35" t="s">
        <v>93</v>
      </c>
      <c r="K35" s="1">
        <v>16.27</v>
      </c>
    </row>
    <row r="36" spans="1:11" x14ac:dyDescent="0.25">
      <c r="A36" t="s">
        <v>85</v>
      </c>
      <c r="C36">
        <v>18598357</v>
      </c>
      <c r="D36" t="s">
        <v>31</v>
      </c>
      <c r="E36" t="s">
        <v>87</v>
      </c>
      <c r="F36">
        <v>20041040101</v>
      </c>
      <c r="G36" s="2">
        <v>45809</v>
      </c>
      <c r="H36" s="2">
        <v>46234</v>
      </c>
      <c r="I36" t="s">
        <v>1</v>
      </c>
      <c r="J36" t="s">
        <v>0</v>
      </c>
      <c r="K36" s="1">
        <v>32.58</v>
      </c>
    </row>
    <row r="37" spans="1:11" x14ac:dyDescent="0.25">
      <c r="A37" t="s">
        <v>85</v>
      </c>
      <c r="C37">
        <v>18598357</v>
      </c>
      <c r="D37" t="s">
        <v>3</v>
      </c>
      <c r="E37" t="s">
        <v>86</v>
      </c>
      <c r="F37">
        <v>20058750001</v>
      </c>
      <c r="G37" s="2">
        <v>46023</v>
      </c>
      <c r="H37" s="2">
        <v>46234</v>
      </c>
      <c r="I37" t="s">
        <v>1</v>
      </c>
      <c r="J37" t="s">
        <v>0</v>
      </c>
      <c r="K37" s="1">
        <v>32.58</v>
      </c>
    </row>
    <row r="38" spans="1:11" x14ac:dyDescent="0.25">
      <c r="A38" t="s">
        <v>85</v>
      </c>
      <c r="C38">
        <v>18598357</v>
      </c>
      <c r="D38" t="s">
        <v>84</v>
      </c>
      <c r="E38" t="s">
        <v>83</v>
      </c>
      <c r="F38">
        <v>20031442801</v>
      </c>
      <c r="G38" s="2">
        <v>44927</v>
      </c>
      <c r="H38" s="2">
        <v>46234</v>
      </c>
      <c r="I38" t="s">
        <v>1</v>
      </c>
      <c r="J38" t="s">
        <v>93</v>
      </c>
      <c r="K38" s="1">
        <v>16.27</v>
      </c>
    </row>
    <row r="39" spans="1:11" x14ac:dyDescent="0.25">
      <c r="A39" t="s">
        <v>92</v>
      </c>
      <c r="C39">
        <v>18794740</v>
      </c>
      <c r="D39" t="s">
        <v>91</v>
      </c>
      <c r="E39" t="s">
        <v>90</v>
      </c>
      <c r="F39">
        <v>20063015901</v>
      </c>
      <c r="G39" s="2">
        <v>45292</v>
      </c>
      <c r="H39" s="2">
        <v>46234</v>
      </c>
      <c r="I39" t="s">
        <v>1</v>
      </c>
      <c r="J39" t="s">
        <v>0</v>
      </c>
      <c r="K39" s="1">
        <v>32.58</v>
      </c>
    </row>
    <row r="40" spans="1:11" x14ac:dyDescent="0.25">
      <c r="A40" t="s">
        <v>92</v>
      </c>
      <c r="C40">
        <v>18794740</v>
      </c>
      <c r="D40" t="s">
        <v>91</v>
      </c>
      <c r="E40" t="s">
        <v>90</v>
      </c>
      <c r="F40">
        <v>20063015901</v>
      </c>
      <c r="G40" s="2">
        <v>45292</v>
      </c>
      <c r="H40" s="2">
        <v>46234</v>
      </c>
      <c r="I40" t="s">
        <v>1</v>
      </c>
      <c r="J40" t="s">
        <v>17</v>
      </c>
      <c r="K40" s="1">
        <v>3.12</v>
      </c>
    </row>
    <row r="41" spans="1:11" x14ac:dyDescent="0.25">
      <c r="A41" t="s">
        <v>85</v>
      </c>
      <c r="C41">
        <v>18598357</v>
      </c>
      <c r="D41" t="s">
        <v>89</v>
      </c>
      <c r="E41" t="s">
        <v>88</v>
      </c>
      <c r="F41">
        <v>20061982301</v>
      </c>
      <c r="G41" s="2">
        <v>44986</v>
      </c>
      <c r="H41" s="2">
        <v>46234</v>
      </c>
      <c r="I41" t="s">
        <v>1</v>
      </c>
      <c r="J41" t="s">
        <v>17</v>
      </c>
      <c r="K41" s="1">
        <v>3.12</v>
      </c>
    </row>
    <row r="42" spans="1:11" x14ac:dyDescent="0.25">
      <c r="A42" t="s">
        <v>85</v>
      </c>
      <c r="C42">
        <v>18598357</v>
      </c>
      <c r="D42" t="s">
        <v>31</v>
      </c>
      <c r="E42" t="s">
        <v>87</v>
      </c>
      <c r="F42">
        <v>20041040101</v>
      </c>
      <c r="G42" s="2">
        <v>45809</v>
      </c>
      <c r="H42" s="2">
        <v>46234</v>
      </c>
      <c r="I42" t="s">
        <v>1</v>
      </c>
      <c r="J42" t="s">
        <v>17</v>
      </c>
      <c r="K42" s="1">
        <v>3.12</v>
      </c>
    </row>
    <row r="43" spans="1:11" x14ac:dyDescent="0.25">
      <c r="A43" t="s">
        <v>85</v>
      </c>
      <c r="C43">
        <v>18598357</v>
      </c>
      <c r="D43" t="s">
        <v>3</v>
      </c>
      <c r="E43" t="s">
        <v>86</v>
      </c>
      <c r="F43">
        <v>20058750001</v>
      </c>
      <c r="G43" s="2">
        <v>46023</v>
      </c>
      <c r="H43" s="2">
        <v>46234</v>
      </c>
      <c r="I43" t="s">
        <v>1</v>
      </c>
      <c r="J43" t="s">
        <v>17</v>
      </c>
      <c r="K43" s="1">
        <v>3.12</v>
      </c>
    </row>
    <row r="44" spans="1:11" x14ac:dyDescent="0.25">
      <c r="A44" t="s">
        <v>85</v>
      </c>
      <c r="C44">
        <v>18598357</v>
      </c>
      <c r="D44" t="s">
        <v>84</v>
      </c>
      <c r="E44" t="s">
        <v>83</v>
      </c>
      <c r="F44">
        <v>20031442801</v>
      </c>
      <c r="G44" s="2">
        <v>44927</v>
      </c>
      <c r="H44" s="2">
        <v>46234</v>
      </c>
      <c r="I44" t="s">
        <v>1</v>
      </c>
      <c r="J44" t="s">
        <v>17</v>
      </c>
      <c r="K44" s="1">
        <v>3.12</v>
      </c>
    </row>
    <row r="45" spans="1:11" x14ac:dyDescent="0.25">
      <c r="A45" t="s">
        <v>82</v>
      </c>
      <c r="C45">
        <v>17425766</v>
      </c>
      <c r="D45" t="s">
        <v>81</v>
      </c>
      <c r="E45" t="s">
        <v>80</v>
      </c>
      <c r="F45">
        <v>20044292901</v>
      </c>
      <c r="G45" s="2">
        <v>45689</v>
      </c>
      <c r="H45" s="2">
        <v>46234</v>
      </c>
      <c r="I45" t="s">
        <v>1</v>
      </c>
      <c r="J45" t="s">
        <v>17</v>
      </c>
      <c r="K45" s="1">
        <v>3.12</v>
      </c>
    </row>
    <row r="46" spans="1:11" x14ac:dyDescent="0.25">
      <c r="A46" t="s">
        <v>4</v>
      </c>
      <c r="C46">
        <v>15950276</v>
      </c>
      <c r="D46" t="s">
        <v>9</v>
      </c>
      <c r="E46" t="s">
        <v>7</v>
      </c>
      <c r="F46">
        <v>20010119701</v>
      </c>
      <c r="G46" s="2">
        <v>43466</v>
      </c>
      <c r="H46" s="2">
        <v>46234</v>
      </c>
      <c r="I46" t="s">
        <v>1</v>
      </c>
      <c r="J46" t="s">
        <v>17</v>
      </c>
      <c r="K46" s="1">
        <v>3.12</v>
      </c>
    </row>
    <row r="47" spans="1:11" x14ac:dyDescent="0.25">
      <c r="A47" t="s">
        <v>4</v>
      </c>
      <c r="C47">
        <v>15950276</v>
      </c>
      <c r="D47" t="s">
        <v>8</v>
      </c>
      <c r="E47" t="s">
        <v>7</v>
      </c>
      <c r="F47">
        <v>20039572101</v>
      </c>
      <c r="G47" s="2">
        <v>44531</v>
      </c>
      <c r="H47" s="2">
        <v>46234</v>
      </c>
      <c r="I47" t="s">
        <v>1</v>
      </c>
      <c r="J47" t="s">
        <v>17</v>
      </c>
      <c r="K47" s="1">
        <v>3.12</v>
      </c>
    </row>
    <row r="48" spans="1:11" x14ac:dyDescent="0.25">
      <c r="A48" t="s">
        <v>4</v>
      </c>
      <c r="C48">
        <v>15950276</v>
      </c>
      <c r="D48" t="s">
        <v>6</v>
      </c>
      <c r="E48" t="s">
        <v>5</v>
      </c>
      <c r="F48">
        <v>20020870101</v>
      </c>
      <c r="G48" s="2">
        <v>44197</v>
      </c>
      <c r="H48" s="2">
        <v>46234</v>
      </c>
      <c r="I48" t="s">
        <v>1</v>
      </c>
      <c r="J48" t="s">
        <v>17</v>
      </c>
      <c r="K48" s="1">
        <v>3.12</v>
      </c>
    </row>
    <row r="49" spans="1:11" x14ac:dyDescent="0.25">
      <c r="A49" t="s">
        <v>4</v>
      </c>
      <c r="C49">
        <v>15950276</v>
      </c>
      <c r="D49" t="s">
        <v>3</v>
      </c>
      <c r="E49" t="s">
        <v>2</v>
      </c>
      <c r="F49">
        <v>20043844601</v>
      </c>
      <c r="G49" s="2">
        <v>44713</v>
      </c>
      <c r="H49" s="2">
        <v>46234</v>
      </c>
      <c r="I49" t="s">
        <v>1</v>
      </c>
      <c r="J49" t="s">
        <v>17</v>
      </c>
      <c r="K49" s="1">
        <v>3.12</v>
      </c>
    </row>
    <row r="50" spans="1:11" x14ac:dyDescent="0.25">
      <c r="A50" t="s">
        <v>13</v>
      </c>
      <c r="C50">
        <v>9254978</v>
      </c>
      <c r="D50" t="s">
        <v>16</v>
      </c>
      <c r="E50" t="s">
        <v>15</v>
      </c>
      <c r="F50">
        <v>20113363801</v>
      </c>
      <c r="G50" s="2">
        <v>46266</v>
      </c>
      <c r="H50" s="2">
        <v>46234</v>
      </c>
      <c r="I50" t="s">
        <v>1</v>
      </c>
      <c r="J50" t="s">
        <v>79</v>
      </c>
      <c r="K50" s="1">
        <v>75</v>
      </c>
    </row>
    <row r="51" spans="1:11" x14ac:dyDescent="0.25">
      <c r="A51" t="s">
        <v>13</v>
      </c>
      <c r="B51" t="s">
        <v>22</v>
      </c>
      <c r="C51">
        <v>9254978</v>
      </c>
      <c r="D51" t="s">
        <v>78</v>
      </c>
      <c r="E51" t="s">
        <v>77</v>
      </c>
      <c r="F51">
        <v>20088846701</v>
      </c>
      <c r="G51" s="2">
        <v>45658</v>
      </c>
      <c r="H51" s="2">
        <v>46234</v>
      </c>
      <c r="I51" t="s">
        <v>1</v>
      </c>
      <c r="J51" t="s">
        <v>17</v>
      </c>
      <c r="K51" s="1">
        <v>3.12</v>
      </c>
    </row>
    <row r="52" spans="1:11" x14ac:dyDescent="0.25">
      <c r="A52" t="s">
        <v>13</v>
      </c>
      <c r="C52">
        <v>9254978</v>
      </c>
      <c r="D52" t="s">
        <v>76</v>
      </c>
      <c r="E52" t="s">
        <v>73</v>
      </c>
      <c r="F52">
        <v>20027177601</v>
      </c>
      <c r="G52" s="2">
        <v>46023</v>
      </c>
      <c r="H52" s="2">
        <v>46234</v>
      </c>
      <c r="I52" t="s">
        <v>1</v>
      </c>
      <c r="J52" t="s">
        <v>17</v>
      </c>
      <c r="K52" s="1">
        <v>3.12</v>
      </c>
    </row>
    <row r="53" spans="1:11" x14ac:dyDescent="0.25">
      <c r="A53" t="s">
        <v>13</v>
      </c>
      <c r="C53">
        <v>9254978</v>
      </c>
      <c r="D53" t="s">
        <v>75</v>
      </c>
      <c r="E53" t="s">
        <v>73</v>
      </c>
      <c r="F53">
        <v>20027350401</v>
      </c>
      <c r="G53" s="2">
        <v>46023</v>
      </c>
      <c r="H53" s="2">
        <v>46234</v>
      </c>
      <c r="I53" t="s">
        <v>1</v>
      </c>
      <c r="J53" t="s">
        <v>17</v>
      </c>
      <c r="K53" s="1">
        <v>3.12</v>
      </c>
    </row>
    <row r="54" spans="1:11" x14ac:dyDescent="0.25">
      <c r="A54" t="s">
        <v>13</v>
      </c>
      <c r="C54">
        <v>9254978</v>
      </c>
      <c r="D54" t="s">
        <v>74</v>
      </c>
      <c r="E54" t="s">
        <v>73</v>
      </c>
      <c r="F54">
        <v>20039673901</v>
      </c>
      <c r="G54" s="2">
        <v>46023</v>
      </c>
      <c r="H54" s="2">
        <v>46234</v>
      </c>
      <c r="I54" t="s">
        <v>1</v>
      </c>
      <c r="J54" t="s">
        <v>17</v>
      </c>
      <c r="K54" s="1">
        <v>3.12</v>
      </c>
    </row>
    <row r="55" spans="1:11" x14ac:dyDescent="0.25">
      <c r="A55" t="s">
        <v>13</v>
      </c>
      <c r="B55" t="s">
        <v>22</v>
      </c>
      <c r="C55">
        <v>9254978</v>
      </c>
      <c r="D55" t="s">
        <v>72</v>
      </c>
      <c r="E55" t="s">
        <v>70</v>
      </c>
      <c r="F55">
        <v>20088358301</v>
      </c>
      <c r="G55" s="2">
        <v>45658</v>
      </c>
      <c r="H55" s="2">
        <v>46234</v>
      </c>
      <c r="I55" t="s">
        <v>1</v>
      </c>
      <c r="J55" t="s">
        <v>17</v>
      </c>
      <c r="K55" s="1">
        <v>3.12</v>
      </c>
    </row>
    <row r="56" spans="1:11" x14ac:dyDescent="0.25">
      <c r="A56" t="s">
        <v>13</v>
      </c>
      <c r="B56" t="s">
        <v>22</v>
      </c>
      <c r="C56">
        <v>9254978</v>
      </c>
      <c r="D56" t="s">
        <v>71</v>
      </c>
      <c r="E56" t="s">
        <v>70</v>
      </c>
      <c r="F56">
        <v>20088358501</v>
      </c>
      <c r="G56" s="2">
        <v>45658</v>
      </c>
      <c r="H56" s="2">
        <v>46234</v>
      </c>
      <c r="I56" t="s">
        <v>1</v>
      </c>
      <c r="J56" t="s">
        <v>17</v>
      </c>
      <c r="K56" s="1">
        <v>3.12</v>
      </c>
    </row>
    <row r="57" spans="1:11" x14ac:dyDescent="0.25">
      <c r="A57" t="s">
        <v>13</v>
      </c>
      <c r="C57">
        <v>9254978</v>
      </c>
      <c r="D57" t="s">
        <v>69</v>
      </c>
      <c r="E57" t="s">
        <v>68</v>
      </c>
      <c r="F57">
        <v>20042811101</v>
      </c>
      <c r="G57" s="2">
        <v>46023</v>
      </c>
      <c r="H57" s="2">
        <v>46234</v>
      </c>
      <c r="I57" t="s">
        <v>1</v>
      </c>
      <c r="J57" t="s">
        <v>17</v>
      </c>
      <c r="K57" s="1">
        <v>3.12</v>
      </c>
    </row>
    <row r="58" spans="1:11" x14ac:dyDescent="0.25">
      <c r="A58" t="s">
        <v>13</v>
      </c>
      <c r="C58">
        <v>9254978</v>
      </c>
      <c r="D58" t="s">
        <v>67</v>
      </c>
      <c r="E58" t="s">
        <v>65</v>
      </c>
      <c r="F58">
        <v>20032142301</v>
      </c>
      <c r="G58" s="2">
        <v>46023</v>
      </c>
      <c r="H58" s="2">
        <v>46234</v>
      </c>
      <c r="I58" t="s">
        <v>1</v>
      </c>
      <c r="J58" t="s">
        <v>17</v>
      </c>
      <c r="K58" s="1">
        <v>3.12</v>
      </c>
    </row>
    <row r="59" spans="1:11" x14ac:dyDescent="0.25">
      <c r="A59" t="s">
        <v>13</v>
      </c>
      <c r="C59">
        <v>9254978</v>
      </c>
      <c r="D59" t="s">
        <v>66</v>
      </c>
      <c r="E59" t="s">
        <v>65</v>
      </c>
      <c r="F59">
        <v>20032142501</v>
      </c>
      <c r="G59" s="2">
        <v>46023</v>
      </c>
      <c r="H59" s="2">
        <v>46234</v>
      </c>
      <c r="I59" t="s">
        <v>1</v>
      </c>
      <c r="J59" t="s">
        <v>17</v>
      </c>
      <c r="K59" s="1">
        <v>3.12</v>
      </c>
    </row>
    <row r="60" spans="1:11" x14ac:dyDescent="0.25">
      <c r="A60" t="s">
        <v>13</v>
      </c>
      <c r="C60">
        <v>9254978</v>
      </c>
      <c r="D60" t="s">
        <v>64</v>
      </c>
      <c r="E60" t="s">
        <v>63</v>
      </c>
      <c r="F60">
        <v>20045810201</v>
      </c>
      <c r="G60" s="2">
        <v>46023</v>
      </c>
      <c r="H60" s="2">
        <v>46234</v>
      </c>
      <c r="I60" t="s">
        <v>1</v>
      </c>
      <c r="J60" t="s">
        <v>17</v>
      </c>
      <c r="K60" s="1">
        <v>3.12</v>
      </c>
    </row>
    <row r="61" spans="1:11" x14ac:dyDescent="0.25">
      <c r="A61" t="s">
        <v>13</v>
      </c>
      <c r="C61">
        <v>9254978</v>
      </c>
      <c r="D61" t="s">
        <v>36</v>
      </c>
      <c r="E61" t="s">
        <v>62</v>
      </c>
      <c r="F61">
        <v>20040587601</v>
      </c>
      <c r="G61" s="2">
        <v>46023</v>
      </c>
      <c r="H61" s="2">
        <v>46234</v>
      </c>
      <c r="I61" t="s">
        <v>1</v>
      </c>
      <c r="J61" t="s">
        <v>17</v>
      </c>
      <c r="K61" s="1">
        <v>3.12</v>
      </c>
    </row>
    <row r="62" spans="1:11" x14ac:dyDescent="0.25">
      <c r="A62" t="s">
        <v>13</v>
      </c>
      <c r="C62">
        <v>9254978</v>
      </c>
      <c r="D62" t="s">
        <v>61</v>
      </c>
      <c r="E62" t="s">
        <v>60</v>
      </c>
      <c r="F62">
        <v>20063885901</v>
      </c>
      <c r="G62" s="2">
        <v>46023</v>
      </c>
      <c r="H62" s="2">
        <v>46234</v>
      </c>
      <c r="I62" t="s">
        <v>1</v>
      </c>
      <c r="J62" t="s">
        <v>17</v>
      </c>
      <c r="K62" s="1">
        <v>3.12</v>
      </c>
    </row>
    <row r="63" spans="1:11" x14ac:dyDescent="0.25">
      <c r="A63" t="s">
        <v>13</v>
      </c>
      <c r="C63">
        <v>9254978</v>
      </c>
      <c r="D63" t="s">
        <v>59</v>
      </c>
      <c r="E63" t="s">
        <v>58</v>
      </c>
      <c r="F63">
        <v>20038840101</v>
      </c>
      <c r="G63" s="2">
        <v>46023</v>
      </c>
      <c r="H63" s="2">
        <v>46234</v>
      </c>
      <c r="I63" t="s">
        <v>1</v>
      </c>
      <c r="J63" t="s">
        <v>17</v>
      </c>
      <c r="K63" s="1">
        <v>3.12</v>
      </c>
    </row>
    <row r="64" spans="1:11" x14ac:dyDescent="0.25">
      <c r="A64" t="s">
        <v>13</v>
      </c>
      <c r="C64">
        <v>9254978</v>
      </c>
      <c r="D64" t="s">
        <v>57</v>
      </c>
      <c r="E64" t="s">
        <v>56</v>
      </c>
      <c r="F64">
        <v>20057066101</v>
      </c>
      <c r="G64" s="2">
        <v>46023</v>
      </c>
      <c r="H64" s="2">
        <v>46234</v>
      </c>
      <c r="I64" t="s">
        <v>1</v>
      </c>
      <c r="J64" t="s">
        <v>17</v>
      </c>
      <c r="K64" s="1">
        <v>3.12</v>
      </c>
    </row>
    <row r="65" spans="1:11" x14ac:dyDescent="0.25">
      <c r="A65" t="s">
        <v>13</v>
      </c>
      <c r="C65">
        <v>9254978</v>
      </c>
      <c r="D65" t="s">
        <v>55</v>
      </c>
      <c r="E65" t="s">
        <v>54</v>
      </c>
      <c r="F65">
        <v>20054968601</v>
      </c>
      <c r="G65" s="2">
        <v>46023</v>
      </c>
      <c r="H65" s="2">
        <v>46234</v>
      </c>
      <c r="I65" t="s">
        <v>1</v>
      </c>
      <c r="J65" t="s">
        <v>17</v>
      </c>
      <c r="K65" s="1">
        <v>3.12</v>
      </c>
    </row>
    <row r="66" spans="1:11" x14ac:dyDescent="0.25">
      <c r="A66" t="s">
        <v>13</v>
      </c>
      <c r="C66">
        <v>9254978</v>
      </c>
      <c r="D66" t="s">
        <v>53</v>
      </c>
      <c r="E66" t="s">
        <v>52</v>
      </c>
      <c r="F66">
        <v>10008741301</v>
      </c>
      <c r="G66" s="2">
        <v>46023</v>
      </c>
      <c r="H66" s="2">
        <v>46234</v>
      </c>
      <c r="I66" t="s">
        <v>1</v>
      </c>
      <c r="J66" t="s">
        <v>17</v>
      </c>
      <c r="K66" s="1">
        <v>3.12</v>
      </c>
    </row>
    <row r="67" spans="1:11" x14ac:dyDescent="0.25">
      <c r="A67" t="s">
        <v>13</v>
      </c>
      <c r="C67">
        <v>9254978</v>
      </c>
      <c r="D67" t="s">
        <v>49</v>
      </c>
      <c r="E67" t="s">
        <v>52</v>
      </c>
      <c r="F67">
        <v>20009616401</v>
      </c>
      <c r="G67" s="2">
        <v>46023</v>
      </c>
      <c r="H67" s="2">
        <v>46234</v>
      </c>
      <c r="I67" t="s">
        <v>1</v>
      </c>
      <c r="J67" t="s">
        <v>17</v>
      </c>
      <c r="K67" s="1">
        <v>3.12</v>
      </c>
    </row>
    <row r="68" spans="1:11" x14ac:dyDescent="0.25">
      <c r="A68" t="s">
        <v>13</v>
      </c>
      <c r="C68">
        <v>9254978</v>
      </c>
      <c r="D68" t="s">
        <v>51</v>
      </c>
      <c r="E68" t="s">
        <v>50</v>
      </c>
      <c r="F68">
        <v>10124160901</v>
      </c>
      <c r="G68" s="2">
        <v>46023</v>
      </c>
      <c r="H68" s="2">
        <v>46234</v>
      </c>
      <c r="I68" t="s">
        <v>1</v>
      </c>
      <c r="J68" t="s">
        <v>17</v>
      </c>
      <c r="K68" s="1">
        <v>3.12</v>
      </c>
    </row>
    <row r="69" spans="1:11" x14ac:dyDescent="0.25">
      <c r="A69" t="s">
        <v>13</v>
      </c>
      <c r="C69">
        <v>9254978</v>
      </c>
      <c r="D69" t="s">
        <v>49</v>
      </c>
      <c r="E69" t="s">
        <v>48</v>
      </c>
      <c r="F69">
        <v>20011185201</v>
      </c>
      <c r="G69" s="2">
        <v>46023</v>
      </c>
      <c r="H69" s="2">
        <v>46234</v>
      </c>
      <c r="I69" t="s">
        <v>1</v>
      </c>
      <c r="J69" t="s">
        <v>17</v>
      </c>
      <c r="K69" s="1">
        <v>3.12</v>
      </c>
    </row>
    <row r="70" spans="1:11" x14ac:dyDescent="0.25">
      <c r="A70" t="s">
        <v>13</v>
      </c>
      <c r="C70">
        <v>9254978</v>
      </c>
      <c r="D70" t="s">
        <v>47</v>
      </c>
      <c r="E70" t="s">
        <v>45</v>
      </c>
      <c r="F70">
        <v>85742701</v>
      </c>
      <c r="G70" s="2">
        <v>46023</v>
      </c>
      <c r="H70" s="2">
        <v>46234</v>
      </c>
      <c r="I70" t="s">
        <v>1</v>
      </c>
      <c r="J70" t="s">
        <v>17</v>
      </c>
      <c r="K70" s="1">
        <v>3.12</v>
      </c>
    </row>
    <row r="71" spans="1:11" x14ac:dyDescent="0.25">
      <c r="A71" t="s">
        <v>13</v>
      </c>
      <c r="C71">
        <v>9254978</v>
      </c>
      <c r="D71" t="s">
        <v>46</v>
      </c>
      <c r="E71" t="s">
        <v>45</v>
      </c>
      <c r="F71">
        <v>96603301</v>
      </c>
      <c r="G71" s="2">
        <v>46023</v>
      </c>
      <c r="H71" s="2">
        <v>46234</v>
      </c>
      <c r="I71" t="s">
        <v>1</v>
      </c>
      <c r="J71" t="s">
        <v>17</v>
      </c>
      <c r="K71" s="1">
        <v>3.12</v>
      </c>
    </row>
    <row r="72" spans="1:11" x14ac:dyDescent="0.25">
      <c r="A72" t="s">
        <v>13</v>
      </c>
      <c r="C72">
        <v>9254978</v>
      </c>
      <c r="D72" t="s">
        <v>36</v>
      </c>
      <c r="E72" t="s">
        <v>44</v>
      </c>
      <c r="F72">
        <v>20032206001</v>
      </c>
      <c r="G72" s="2">
        <v>46023</v>
      </c>
      <c r="H72" s="2">
        <v>46234</v>
      </c>
      <c r="I72" t="s">
        <v>1</v>
      </c>
      <c r="J72" t="s">
        <v>17</v>
      </c>
      <c r="K72" s="1">
        <v>3.12</v>
      </c>
    </row>
    <row r="73" spans="1:11" x14ac:dyDescent="0.25">
      <c r="A73" t="s">
        <v>13</v>
      </c>
      <c r="C73">
        <v>9254978</v>
      </c>
      <c r="D73" t="s">
        <v>43</v>
      </c>
      <c r="E73" t="s">
        <v>42</v>
      </c>
      <c r="F73">
        <v>10096067901</v>
      </c>
      <c r="G73" s="2">
        <v>46023</v>
      </c>
      <c r="H73" s="2">
        <v>46234</v>
      </c>
      <c r="I73" t="s">
        <v>1</v>
      </c>
      <c r="J73" t="s">
        <v>17</v>
      </c>
      <c r="K73" s="1">
        <v>3.12</v>
      </c>
    </row>
    <row r="74" spans="1:11" x14ac:dyDescent="0.25">
      <c r="A74" t="s">
        <v>13</v>
      </c>
      <c r="C74">
        <v>9254978</v>
      </c>
      <c r="D74" t="s">
        <v>41</v>
      </c>
      <c r="E74" t="s">
        <v>40</v>
      </c>
      <c r="F74">
        <v>10028861101</v>
      </c>
      <c r="G74" s="2">
        <v>46054</v>
      </c>
      <c r="H74" s="2">
        <v>46234</v>
      </c>
      <c r="I74" t="s">
        <v>1</v>
      </c>
      <c r="J74" t="s">
        <v>17</v>
      </c>
      <c r="K74" s="1">
        <v>3.12</v>
      </c>
    </row>
    <row r="75" spans="1:11" x14ac:dyDescent="0.25">
      <c r="A75" t="s">
        <v>13</v>
      </c>
      <c r="C75">
        <v>9254978</v>
      </c>
      <c r="D75" t="s">
        <v>39</v>
      </c>
      <c r="E75" t="s">
        <v>37</v>
      </c>
      <c r="F75">
        <v>20041787401</v>
      </c>
      <c r="G75" s="2">
        <v>46023</v>
      </c>
      <c r="H75" s="2">
        <v>46234</v>
      </c>
      <c r="I75" t="s">
        <v>1</v>
      </c>
      <c r="J75" t="s">
        <v>17</v>
      </c>
      <c r="K75" s="1">
        <v>3.12</v>
      </c>
    </row>
    <row r="76" spans="1:11" x14ac:dyDescent="0.25">
      <c r="A76" t="s">
        <v>13</v>
      </c>
      <c r="C76">
        <v>9254978</v>
      </c>
      <c r="D76" t="s">
        <v>38</v>
      </c>
      <c r="E76" t="s">
        <v>37</v>
      </c>
      <c r="F76">
        <v>20041800601</v>
      </c>
      <c r="G76" s="2">
        <v>46023</v>
      </c>
      <c r="H76" s="2">
        <v>46234</v>
      </c>
      <c r="I76" t="s">
        <v>1</v>
      </c>
      <c r="J76" t="s">
        <v>17</v>
      </c>
      <c r="K76" s="1">
        <v>3.12</v>
      </c>
    </row>
    <row r="77" spans="1:11" x14ac:dyDescent="0.25">
      <c r="A77" t="s">
        <v>13</v>
      </c>
      <c r="C77">
        <v>9254978</v>
      </c>
      <c r="D77" t="s">
        <v>36</v>
      </c>
      <c r="E77" t="s">
        <v>35</v>
      </c>
      <c r="F77">
        <v>20038842601</v>
      </c>
      <c r="G77" s="2">
        <v>46023</v>
      </c>
      <c r="H77" s="2">
        <v>46234</v>
      </c>
      <c r="I77" t="s">
        <v>1</v>
      </c>
      <c r="J77" t="s">
        <v>17</v>
      </c>
      <c r="K77" s="1">
        <v>3.12</v>
      </c>
    </row>
    <row r="78" spans="1:11" x14ac:dyDescent="0.25">
      <c r="A78" t="s">
        <v>13</v>
      </c>
      <c r="C78">
        <v>9254978</v>
      </c>
      <c r="D78" t="s">
        <v>34</v>
      </c>
      <c r="E78" t="s">
        <v>32</v>
      </c>
      <c r="F78">
        <v>20039206601</v>
      </c>
      <c r="G78" s="2">
        <v>46023</v>
      </c>
      <c r="H78" s="2">
        <v>46234</v>
      </c>
      <c r="I78" t="s">
        <v>1</v>
      </c>
      <c r="J78" t="s">
        <v>17</v>
      </c>
      <c r="K78" s="1">
        <v>3.12</v>
      </c>
    </row>
    <row r="79" spans="1:11" x14ac:dyDescent="0.25">
      <c r="A79" t="s">
        <v>13</v>
      </c>
      <c r="C79">
        <v>9254978</v>
      </c>
      <c r="D79" t="s">
        <v>33</v>
      </c>
      <c r="E79" t="s">
        <v>32</v>
      </c>
      <c r="F79">
        <v>20039228601</v>
      </c>
      <c r="G79" s="2">
        <v>46023</v>
      </c>
      <c r="H79" s="2">
        <v>46234</v>
      </c>
      <c r="I79" t="s">
        <v>1</v>
      </c>
      <c r="J79" t="s">
        <v>17</v>
      </c>
      <c r="K79" s="1">
        <v>3.12</v>
      </c>
    </row>
    <row r="80" spans="1:11" x14ac:dyDescent="0.25">
      <c r="A80" t="s">
        <v>13</v>
      </c>
      <c r="C80">
        <v>9254978</v>
      </c>
      <c r="D80" t="s">
        <v>31</v>
      </c>
      <c r="E80" t="s">
        <v>30</v>
      </c>
      <c r="F80">
        <v>20037806301</v>
      </c>
      <c r="G80" s="2">
        <v>46023</v>
      </c>
      <c r="H80" s="2">
        <v>46234</v>
      </c>
      <c r="I80" t="s">
        <v>1</v>
      </c>
      <c r="J80" t="s">
        <v>17</v>
      </c>
      <c r="K80" s="1">
        <v>3.12</v>
      </c>
    </row>
    <row r="81" spans="1:11" x14ac:dyDescent="0.25">
      <c r="A81" t="s">
        <v>13</v>
      </c>
      <c r="C81">
        <v>9254978</v>
      </c>
      <c r="D81" t="s">
        <v>29</v>
      </c>
      <c r="E81" t="s">
        <v>28</v>
      </c>
      <c r="F81">
        <v>20039512801</v>
      </c>
      <c r="G81" s="2">
        <v>46023</v>
      </c>
      <c r="H81" s="2">
        <v>46234</v>
      </c>
      <c r="I81" t="s">
        <v>1</v>
      </c>
      <c r="J81" t="s">
        <v>17</v>
      </c>
      <c r="K81" s="1">
        <v>3.12</v>
      </c>
    </row>
    <row r="82" spans="1:11" x14ac:dyDescent="0.25">
      <c r="A82" t="s">
        <v>13</v>
      </c>
      <c r="C82">
        <v>9254978</v>
      </c>
      <c r="D82" t="s">
        <v>27</v>
      </c>
      <c r="E82" t="s">
        <v>25</v>
      </c>
      <c r="F82">
        <v>20038818301</v>
      </c>
      <c r="G82" s="2">
        <v>46023</v>
      </c>
      <c r="H82" s="2">
        <v>46234</v>
      </c>
      <c r="I82" t="s">
        <v>1</v>
      </c>
      <c r="J82" t="s">
        <v>17</v>
      </c>
      <c r="K82" s="1">
        <v>3.12</v>
      </c>
    </row>
    <row r="83" spans="1:11" x14ac:dyDescent="0.25">
      <c r="A83" t="s">
        <v>13</v>
      </c>
      <c r="C83">
        <v>9254978</v>
      </c>
      <c r="D83" t="s">
        <v>26</v>
      </c>
      <c r="E83" t="s">
        <v>25</v>
      </c>
      <c r="F83">
        <v>20038840001</v>
      </c>
      <c r="G83" s="2">
        <v>46023</v>
      </c>
      <c r="H83" s="2">
        <v>46234</v>
      </c>
      <c r="I83" t="s">
        <v>1</v>
      </c>
      <c r="J83" t="s">
        <v>17</v>
      </c>
      <c r="K83" s="1">
        <v>3.12</v>
      </c>
    </row>
    <row r="84" spans="1:11" x14ac:dyDescent="0.25">
      <c r="A84" t="s">
        <v>13</v>
      </c>
      <c r="C84">
        <v>9254978</v>
      </c>
      <c r="D84" t="s">
        <v>24</v>
      </c>
      <c r="E84" t="s">
        <v>23</v>
      </c>
      <c r="F84">
        <v>20032097801</v>
      </c>
      <c r="G84" s="2">
        <v>46023</v>
      </c>
      <c r="H84" s="2">
        <v>46234</v>
      </c>
      <c r="I84" t="s">
        <v>1</v>
      </c>
      <c r="J84" t="s">
        <v>17</v>
      </c>
      <c r="K84" s="1">
        <v>3.12</v>
      </c>
    </row>
    <row r="85" spans="1:11" x14ac:dyDescent="0.25">
      <c r="A85" t="s">
        <v>13</v>
      </c>
      <c r="B85" t="s">
        <v>22</v>
      </c>
      <c r="C85">
        <v>9254978</v>
      </c>
      <c r="D85" t="s">
        <v>21</v>
      </c>
      <c r="E85" t="s">
        <v>20</v>
      </c>
      <c r="F85">
        <v>20088356201</v>
      </c>
      <c r="G85" s="2">
        <v>45658</v>
      </c>
      <c r="H85" s="2">
        <v>46234</v>
      </c>
      <c r="I85" t="s">
        <v>1</v>
      </c>
      <c r="J85" t="s">
        <v>17</v>
      </c>
      <c r="K85" s="1">
        <v>3.12</v>
      </c>
    </row>
    <row r="86" spans="1:11" x14ac:dyDescent="0.25">
      <c r="A86" t="s">
        <v>13</v>
      </c>
      <c r="C86">
        <v>9254978</v>
      </c>
      <c r="D86" t="s">
        <v>19</v>
      </c>
      <c r="E86" t="s">
        <v>18</v>
      </c>
      <c r="F86">
        <v>20038750301</v>
      </c>
      <c r="G86" s="2">
        <v>46023</v>
      </c>
      <c r="H86" s="2">
        <v>46234</v>
      </c>
      <c r="I86" t="s">
        <v>1</v>
      </c>
      <c r="J86" t="s">
        <v>17</v>
      </c>
      <c r="K86" s="1">
        <v>3.12</v>
      </c>
    </row>
    <row r="87" spans="1:11" x14ac:dyDescent="0.25">
      <c r="A87" t="s">
        <v>13</v>
      </c>
      <c r="C87">
        <v>9254978</v>
      </c>
      <c r="D87" t="s">
        <v>16</v>
      </c>
      <c r="E87" t="s">
        <v>15</v>
      </c>
      <c r="F87">
        <v>20113363801</v>
      </c>
      <c r="G87" s="2">
        <v>46266</v>
      </c>
      <c r="H87" s="2">
        <v>46234</v>
      </c>
      <c r="I87" t="s">
        <v>1</v>
      </c>
      <c r="J87" t="s">
        <v>14</v>
      </c>
      <c r="K87" s="1">
        <v>130.33000000000001</v>
      </c>
    </row>
    <row r="88" spans="1:11" x14ac:dyDescent="0.25">
      <c r="A88" t="s">
        <v>13</v>
      </c>
      <c r="C88">
        <v>9254978</v>
      </c>
      <c r="D88" t="s">
        <v>12</v>
      </c>
      <c r="E88" t="s">
        <v>11</v>
      </c>
      <c r="F88">
        <v>20112399501</v>
      </c>
      <c r="G88" s="2">
        <v>46204</v>
      </c>
      <c r="H88" s="2">
        <v>46234</v>
      </c>
      <c r="I88" t="s">
        <v>1</v>
      </c>
      <c r="J88" t="s">
        <v>10</v>
      </c>
      <c r="K88" s="1">
        <v>585.75</v>
      </c>
    </row>
    <row r="89" spans="1:11" x14ac:dyDescent="0.25">
      <c r="A89" t="s">
        <v>4</v>
      </c>
      <c r="C89">
        <v>15950276</v>
      </c>
      <c r="D89" t="s">
        <v>9</v>
      </c>
      <c r="E89" t="s">
        <v>7</v>
      </c>
      <c r="F89">
        <v>20010119701</v>
      </c>
      <c r="G89" s="2">
        <v>43466</v>
      </c>
      <c r="H89" s="2">
        <v>46234</v>
      </c>
      <c r="I89" t="s">
        <v>1</v>
      </c>
      <c r="J89" t="s">
        <v>0</v>
      </c>
      <c r="K89" s="1">
        <v>32.58</v>
      </c>
    </row>
    <row r="90" spans="1:11" x14ac:dyDescent="0.25">
      <c r="A90" t="s">
        <v>4</v>
      </c>
      <c r="C90">
        <v>15950276</v>
      </c>
      <c r="D90" t="s">
        <v>8</v>
      </c>
      <c r="E90" t="s">
        <v>7</v>
      </c>
      <c r="F90">
        <v>20039572101</v>
      </c>
      <c r="G90" s="2">
        <v>44531</v>
      </c>
      <c r="H90" s="2">
        <v>46234</v>
      </c>
      <c r="I90" t="s">
        <v>1</v>
      </c>
      <c r="J90" t="s">
        <v>0</v>
      </c>
      <c r="K90" s="1">
        <v>32.58</v>
      </c>
    </row>
    <row r="91" spans="1:11" x14ac:dyDescent="0.25">
      <c r="A91" t="s">
        <v>4</v>
      </c>
      <c r="C91">
        <v>15950276</v>
      </c>
      <c r="D91" t="s">
        <v>6</v>
      </c>
      <c r="E91" t="s">
        <v>5</v>
      </c>
      <c r="F91">
        <v>20020870101</v>
      </c>
      <c r="G91" s="2">
        <v>44197</v>
      </c>
      <c r="H91" s="2">
        <v>46234</v>
      </c>
      <c r="I91" t="s">
        <v>1</v>
      </c>
      <c r="J91" t="s">
        <v>0</v>
      </c>
      <c r="K91" s="1">
        <v>32.58</v>
      </c>
    </row>
    <row r="92" spans="1:11" x14ac:dyDescent="0.25">
      <c r="A92" t="s">
        <v>4</v>
      </c>
      <c r="C92">
        <v>15950276</v>
      </c>
      <c r="D92" t="s">
        <v>3</v>
      </c>
      <c r="E92" t="s">
        <v>2</v>
      </c>
      <c r="F92">
        <v>20043844601</v>
      </c>
      <c r="G92" s="2">
        <v>44713</v>
      </c>
      <c r="H92" s="2">
        <v>46234</v>
      </c>
      <c r="I92" t="s">
        <v>1</v>
      </c>
      <c r="J92" t="s">
        <v>0</v>
      </c>
      <c r="K92" s="1">
        <v>32.58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2B19-1892-499B-9915-10B78322DDBA}">
  <dimension ref="A1:R96"/>
  <sheetViews>
    <sheetView tabSelected="1" topLeftCell="C72" zoomScaleNormal="100" workbookViewId="0">
      <selection activeCell="G89" sqref="G89"/>
    </sheetView>
  </sheetViews>
  <sheetFormatPr defaultRowHeight="15" x14ac:dyDescent="0.25"/>
  <cols>
    <col min="1" max="1" width="12.140625" bestFit="1" customWidth="1"/>
    <col min="2" max="2" width="9.5703125" bestFit="1" customWidth="1"/>
    <col min="3" max="3" width="12.85546875" bestFit="1" customWidth="1"/>
    <col min="4" max="4" width="9.7109375" bestFit="1" customWidth="1"/>
    <col min="5" max="5" width="13.85546875" bestFit="1" customWidth="1"/>
    <col min="6" max="6" width="13.85546875" customWidth="1"/>
    <col min="7" max="7" width="11.85546875" bestFit="1" customWidth="1"/>
    <col min="8" max="8" width="16" bestFit="1" customWidth="1"/>
    <col min="9" max="9" width="11" bestFit="1" customWidth="1"/>
    <col min="10" max="10" width="13.5703125" bestFit="1" customWidth="1"/>
    <col min="11" max="11" width="18.5703125" bestFit="1" customWidth="1"/>
    <col min="12" max="12" width="53" bestFit="1" customWidth="1"/>
    <col min="13" max="13" width="14.42578125" bestFit="1" customWidth="1"/>
    <col min="14" max="14" width="25.140625" bestFit="1" customWidth="1"/>
    <col min="15" max="15" width="23.140625" bestFit="1" customWidth="1"/>
  </cols>
  <sheetData>
    <row r="1" spans="1:14" x14ac:dyDescent="0.25">
      <c r="A1" t="s">
        <v>94</v>
      </c>
      <c r="B1" t="s">
        <v>96</v>
      </c>
      <c r="D1" t="s">
        <v>97</v>
      </c>
      <c r="E1" t="s">
        <v>98</v>
      </c>
      <c r="G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4" s="3" customFormat="1" x14ac:dyDescent="0.25">
      <c r="A2" s="3" t="s">
        <v>92</v>
      </c>
      <c r="B2" s="3">
        <v>18794740</v>
      </c>
      <c r="C2" s="3" t="str">
        <f>CONCATENATE(B2,"OVR")</f>
        <v>18794740OVR</v>
      </c>
      <c r="D2" s="3" t="s">
        <v>91</v>
      </c>
      <c r="E2" s="3" t="s">
        <v>90</v>
      </c>
      <c r="F2" s="3" t="str">
        <f>CONCATENATE(D2," ",E2)</f>
        <v>Debra Vanderduim</v>
      </c>
      <c r="G2" s="3">
        <v>20063015901</v>
      </c>
      <c r="H2" s="3" t="str">
        <f>CONCATENATE(G2,"OVR")</f>
        <v>20063015901OVR</v>
      </c>
      <c r="I2" s="4">
        <v>45292</v>
      </c>
      <c r="J2" s="4">
        <v>46235</v>
      </c>
      <c r="K2" s="3" t="s">
        <v>1</v>
      </c>
      <c r="L2" s="3" t="s">
        <v>17</v>
      </c>
      <c r="M2" s="5">
        <v>3.12</v>
      </c>
      <c r="N2" s="3" t="s">
        <v>107</v>
      </c>
    </row>
    <row r="3" spans="1:14" s="3" customFormat="1" x14ac:dyDescent="0.25">
      <c r="A3" s="3" t="s">
        <v>85</v>
      </c>
      <c r="B3" s="3">
        <v>18598357</v>
      </c>
      <c r="C3" s="3" t="str">
        <f t="shared" ref="C3:C47" si="0">CONCATENATE(B3,"OVR")</f>
        <v>18598357OVR</v>
      </c>
      <c r="D3" s="3" t="s">
        <v>89</v>
      </c>
      <c r="E3" s="3" t="s">
        <v>88</v>
      </c>
      <c r="F3" s="3" t="str">
        <f t="shared" ref="F3:F66" si="1">CONCATENATE(D3," ",E3)</f>
        <v>Yvonne O Neill</v>
      </c>
      <c r="G3" s="3">
        <v>20061982301</v>
      </c>
      <c r="H3" s="3" t="str">
        <f t="shared" ref="H3:H47" si="2">CONCATENATE(G3,"OVR")</f>
        <v>20061982301OVR</v>
      </c>
      <c r="I3" s="4">
        <v>44986</v>
      </c>
      <c r="J3" s="4">
        <v>46235</v>
      </c>
      <c r="K3" s="3" t="s">
        <v>1</v>
      </c>
      <c r="L3" s="3" t="s">
        <v>17</v>
      </c>
      <c r="M3" s="5">
        <v>3.12</v>
      </c>
      <c r="N3" s="3" t="s">
        <v>107</v>
      </c>
    </row>
    <row r="4" spans="1:14" s="3" customFormat="1" x14ac:dyDescent="0.25">
      <c r="A4" s="3" t="s">
        <v>85</v>
      </c>
      <c r="B4" s="3">
        <v>18598357</v>
      </c>
      <c r="C4" s="3" t="str">
        <f t="shared" si="0"/>
        <v>18598357OVR</v>
      </c>
      <c r="D4" s="3" t="s">
        <v>31</v>
      </c>
      <c r="E4" s="3" t="s">
        <v>87</v>
      </c>
      <c r="F4" s="3" t="str">
        <f t="shared" si="1"/>
        <v>Edward Kingsland</v>
      </c>
      <c r="G4" s="3">
        <v>20041040101</v>
      </c>
      <c r="H4" s="3" t="str">
        <f t="shared" si="2"/>
        <v>20041040101OVR</v>
      </c>
      <c r="I4" s="4">
        <v>45809</v>
      </c>
      <c r="J4" s="4">
        <v>46235</v>
      </c>
      <c r="K4" s="3" t="s">
        <v>1</v>
      </c>
      <c r="L4" s="3" t="s">
        <v>17</v>
      </c>
      <c r="M4" s="5">
        <v>3.12</v>
      </c>
      <c r="N4" s="3" t="s">
        <v>107</v>
      </c>
    </row>
    <row r="5" spans="1:14" s="3" customFormat="1" x14ac:dyDescent="0.25">
      <c r="A5" s="3" t="s">
        <v>85</v>
      </c>
      <c r="B5" s="3">
        <v>18598357</v>
      </c>
      <c r="C5" s="3" t="str">
        <f t="shared" si="0"/>
        <v>18598357OVR</v>
      </c>
      <c r="D5" s="3" t="s">
        <v>3</v>
      </c>
      <c r="E5" s="3" t="s">
        <v>86</v>
      </c>
      <c r="F5" s="3" t="str">
        <f t="shared" si="1"/>
        <v>Nicholas Ierovante</v>
      </c>
      <c r="G5" s="3">
        <v>20058750001</v>
      </c>
      <c r="H5" s="3" t="str">
        <f t="shared" si="2"/>
        <v>20058750001OVR</v>
      </c>
      <c r="I5" s="4">
        <v>46023</v>
      </c>
      <c r="J5" s="4">
        <v>46235</v>
      </c>
      <c r="K5" s="3" t="s">
        <v>1</v>
      </c>
      <c r="L5" s="3" t="s">
        <v>17</v>
      </c>
      <c r="M5" s="5">
        <v>3.12</v>
      </c>
      <c r="N5" s="3" t="s">
        <v>107</v>
      </c>
    </row>
    <row r="6" spans="1:14" s="3" customFormat="1" x14ac:dyDescent="0.25">
      <c r="A6" s="3" t="s">
        <v>85</v>
      </c>
      <c r="B6" s="3">
        <v>18598357</v>
      </c>
      <c r="C6" s="3" t="str">
        <f t="shared" si="0"/>
        <v>18598357OVR</v>
      </c>
      <c r="D6" s="3" t="s">
        <v>84</v>
      </c>
      <c r="E6" s="3" t="s">
        <v>83</v>
      </c>
      <c r="F6" s="3" t="str">
        <f t="shared" si="1"/>
        <v>Nannette Burti</v>
      </c>
      <c r="G6" s="3">
        <v>20031442801</v>
      </c>
      <c r="H6" s="3" t="str">
        <f t="shared" si="2"/>
        <v>20031442801OVR</v>
      </c>
      <c r="I6" s="4">
        <v>44927</v>
      </c>
      <c r="J6" s="4">
        <v>46235</v>
      </c>
      <c r="K6" s="3" t="s">
        <v>1</v>
      </c>
      <c r="L6" s="3" t="s">
        <v>17</v>
      </c>
      <c r="M6" s="5">
        <v>3.12</v>
      </c>
      <c r="N6" s="3" t="s">
        <v>107</v>
      </c>
    </row>
    <row r="7" spans="1:14" s="3" customFormat="1" x14ac:dyDescent="0.25">
      <c r="A7" s="3" t="s">
        <v>82</v>
      </c>
      <c r="B7" s="3">
        <v>17425766</v>
      </c>
      <c r="C7" s="3" t="str">
        <f t="shared" si="0"/>
        <v>17425766OVR</v>
      </c>
      <c r="D7" s="3" t="s">
        <v>81</v>
      </c>
      <c r="E7" s="3" t="s">
        <v>80</v>
      </c>
      <c r="F7" s="3" t="str">
        <f t="shared" si="1"/>
        <v>Jackie Williams</v>
      </c>
      <c r="G7" s="3">
        <v>20044292901</v>
      </c>
      <c r="H7" s="3" t="str">
        <f t="shared" si="2"/>
        <v>20044292901OVR</v>
      </c>
      <c r="I7" s="4">
        <v>45689</v>
      </c>
      <c r="J7" s="4">
        <v>46235</v>
      </c>
      <c r="K7" s="3" t="s">
        <v>1</v>
      </c>
      <c r="L7" s="3" t="s">
        <v>17</v>
      </c>
      <c r="M7" s="5">
        <v>3.12</v>
      </c>
      <c r="N7" s="3" t="s">
        <v>107</v>
      </c>
    </row>
    <row r="8" spans="1:14" s="3" customFormat="1" x14ac:dyDescent="0.25">
      <c r="A8" s="3" t="s">
        <v>4</v>
      </c>
      <c r="B8" s="3">
        <v>15950276</v>
      </c>
      <c r="C8" s="3" t="str">
        <f t="shared" si="0"/>
        <v>15950276OVR</v>
      </c>
      <c r="D8" s="3" t="s">
        <v>9</v>
      </c>
      <c r="E8" s="3" t="s">
        <v>7</v>
      </c>
      <c r="F8" s="3" t="str">
        <f t="shared" si="1"/>
        <v>Irene Walsh</v>
      </c>
      <c r="G8" s="3">
        <v>20010119701</v>
      </c>
      <c r="H8" s="3" t="str">
        <f t="shared" si="2"/>
        <v>20010119701OVR</v>
      </c>
      <c r="I8" s="4">
        <v>43466</v>
      </c>
      <c r="J8" s="4">
        <v>46235</v>
      </c>
      <c r="K8" s="3" t="s">
        <v>1</v>
      </c>
      <c r="L8" s="3" t="s">
        <v>17</v>
      </c>
      <c r="M8" s="5">
        <v>3.12</v>
      </c>
      <c r="N8" s="3" t="s">
        <v>107</v>
      </c>
    </row>
    <row r="9" spans="1:14" s="3" customFormat="1" x14ac:dyDescent="0.25">
      <c r="A9" s="3" t="s">
        <v>4</v>
      </c>
      <c r="B9" s="3">
        <v>15950276</v>
      </c>
      <c r="C9" s="3" t="str">
        <f t="shared" si="0"/>
        <v>15950276OVR</v>
      </c>
      <c r="D9" s="3" t="s">
        <v>8</v>
      </c>
      <c r="E9" s="3" t="s">
        <v>7</v>
      </c>
      <c r="F9" s="3" t="str">
        <f t="shared" si="1"/>
        <v>Clifford Walsh</v>
      </c>
      <c r="G9" s="3">
        <v>20039572101</v>
      </c>
      <c r="H9" s="3" t="str">
        <f t="shared" si="2"/>
        <v>20039572101OVR</v>
      </c>
      <c r="I9" s="4">
        <v>44531</v>
      </c>
      <c r="J9" s="4">
        <v>46235</v>
      </c>
      <c r="K9" s="3" t="s">
        <v>1</v>
      </c>
      <c r="L9" s="3" t="s">
        <v>17</v>
      </c>
      <c r="M9" s="5">
        <v>3.12</v>
      </c>
      <c r="N9" s="3" t="s">
        <v>107</v>
      </c>
    </row>
    <row r="10" spans="1:14" s="3" customFormat="1" x14ac:dyDescent="0.25">
      <c r="A10" s="3" t="s">
        <v>4</v>
      </c>
      <c r="B10" s="3">
        <v>15950276</v>
      </c>
      <c r="C10" s="3" t="str">
        <f t="shared" si="0"/>
        <v>15950276OVR</v>
      </c>
      <c r="D10" s="3" t="s">
        <v>6</v>
      </c>
      <c r="E10" s="3" t="s">
        <v>5</v>
      </c>
      <c r="F10" s="3" t="str">
        <f t="shared" si="1"/>
        <v>Jean Francois Orszag</v>
      </c>
      <c r="G10" s="3">
        <v>20020870101</v>
      </c>
      <c r="H10" s="3" t="str">
        <f t="shared" si="2"/>
        <v>20020870101OVR</v>
      </c>
      <c r="I10" s="4">
        <v>44197</v>
      </c>
      <c r="J10" s="4">
        <v>46235</v>
      </c>
      <c r="K10" s="3" t="s">
        <v>1</v>
      </c>
      <c r="L10" s="3" t="s">
        <v>17</v>
      </c>
      <c r="M10" s="5">
        <v>3.12</v>
      </c>
      <c r="N10" s="3" t="s">
        <v>107</v>
      </c>
    </row>
    <row r="11" spans="1:14" s="3" customFormat="1" x14ac:dyDescent="0.25">
      <c r="A11" s="3" t="s">
        <v>4</v>
      </c>
      <c r="B11" s="3">
        <v>15950276</v>
      </c>
      <c r="C11" s="3" t="str">
        <f t="shared" si="0"/>
        <v>15950276OVR</v>
      </c>
      <c r="D11" s="3" t="s">
        <v>3</v>
      </c>
      <c r="E11" s="3" t="s">
        <v>2</v>
      </c>
      <c r="F11" s="3" t="str">
        <f t="shared" si="1"/>
        <v>Nicholas Ciambrone</v>
      </c>
      <c r="G11" s="3">
        <v>20043844601</v>
      </c>
      <c r="H11" s="3" t="str">
        <f t="shared" si="2"/>
        <v>20043844601OVR</v>
      </c>
      <c r="I11" s="4">
        <v>44713</v>
      </c>
      <c r="J11" s="4">
        <v>46235</v>
      </c>
      <c r="K11" s="3" t="s">
        <v>1</v>
      </c>
      <c r="L11" s="3" t="s">
        <v>17</v>
      </c>
      <c r="M11" s="5">
        <v>3.12</v>
      </c>
      <c r="N11" s="3" t="s">
        <v>107</v>
      </c>
    </row>
    <row r="12" spans="1:14" s="3" customFormat="1" x14ac:dyDescent="0.25">
      <c r="A12" s="3" t="s">
        <v>13</v>
      </c>
      <c r="B12" s="3">
        <v>9254978</v>
      </c>
      <c r="C12" s="3" t="str">
        <f t="shared" si="0"/>
        <v>9254978OVR</v>
      </c>
      <c r="D12" s="3" t="s">
        <v>78</v>
      </c>
      <c r="E12" s="3" t="s">
        <v>77</v>
      </c>
      <c r="F12" s="3" t="str">
        <f t="shared" si="1"/>
        <v>William Weist</v>
      </c>
      <c r="G12" s="3">
        <v>20088846701</v>
      </c>
      <c r="H12" s="3" t="str">
        <f t="shared" si="2"/>
        <v>20088846701OVR</v>
      </c>
      <c r="I12" s="4">
        <v>45658</v>
      </c>
      <c r="J12" s="4">
        <v>46235</v>
      </c>
      <c r="K12" s="3" t="s">
        <v>1</v>
      </c>
      <c r="L12" s="3" t="s">
        <v>17</v>
      </c>
      <c r="M12" s="5">
        <v>3.12</v>
      </c>
      <c r="N12" s="3" t="s">
        <v>107</v>
      </c>
    </row>
    <row r="13" spans="1:14" s="3" customFormat="1" x14ac:dyDescent="0.25">
      <c r="A13" s="3" t="s">
        <v>13</v>
      </c>
      <c r="B13" s="3">
        <v>9254978</v>
      </c>
      <c r="C13" s="3" t="str">
        <f t="shared" si="0"/>
        <v>9254978OVR</v>
      </c>
      <c r="D13" s="3" t="s">
        <v>76</v>
      </c>
      <c r="E13" s="3" t="s">
        <v>73</v>
      </c>
      <c r="F13" s="3" t="str">
        <f t="shared" si="1"/>
        <v>Deborah Weaver</v>
      </c>
      <c r="G13" s="3">
        <v>20027177601</v>
      </c>
      <c r="H13" s="3" t="str">
        <f t="shared" si="2"/>
        <v>20027177601OVR</v>
      </c>
      <c r="I13" s="4">
        <v>46023</v>
      </c>
      <c r="J13" s="4">
        <v>46235</v>
      </c>
      <c r="K13" s="3" t="s">
        <v>1</v>
      </c>
      <c r="L13" s="3" t="s">
        <v>17</v>
      </c>
      <c r="M13" s="5">
        <v>3.12</v>
      </c>
      <c r="N13" s="3" t="s">
        <v>107</v>
      </c>
    </row>
    <row r="14" spans="1:14" s="3" customFormat="1" x14ac:dyDescent="0.25">
      <c r="A14" s="3" t="s">
        <v>13</v>
      </c>
      <c r="B14" s="3">
        <v>9254978</v>
      </c>
      <c r="C14" s="3" t="str">
        <f t="shared" si="0"/>
        <v>9254978OVR</v>
      </c>
      <c r="D14" s="3" t="s">
        <v>75</v>
      </c>
      <c r="E14" s="3" t="s">
        <v>73</v>
      </c>
      <c r="F14" s="3" t="str">
        <f t="shared" si="1"/>
        <v>Kenneth Weaver</v>
      </c>
      <c r="G14" s="3">
        <v>20027350401</v>
      </c>
      <c r="H14" s="3" t="str">
        <f t="shared" si="2"/>
        <v>20027350401OVR</v>
      </c>
      <c r="I14" s="4">
        <v>46023</v>
      </c>
      <c r="J14" s="4">
        <v>46235</v>
      </c>
      <c r="K14" s="3" t="s">
        <v>1</v>
      </c>
      <c r="L14" s="3" t="s">
        <v>17</v>
      </c>
      <c r="M14" s="5">
        <v>3.12</v>
      </c>
      <c r="N14" s="3" t="s">
        <v>107</v>
      </c>
    </row>
    <row r="15" spans="1:14" s="3" customFormat="1" x14ac:dyDescent="0.25">
      <c r="A15" s="3" t="s">
        <v>13</v>
      </c>
      <c r="B15" s="3">
        <v>9254978</v>
      </c>
      <c r="C15" s="3" t="str">
        <f t="shared" si="0"/>
        <v>9254978OVR</v>
      </c>
      <c r="D15" s="3" t="s">
        <v>74</v>
      </c>
      <c r="E15" s="3" t="s">
        <v>73</v>
      </c>
      <c r="F15" s="3" t="str">
        <f t="shared" si="1"/>
        <v>Deanna Weaver</v>
      </c>
      <c r="G15" s="3">
        <v>20039673901</v>
      </c>
      <c r="H15" s="3" t="str">
        <f t="shared" si="2"/>
        <v>20039673901OVR</v>
      </c>
      <c r="I15" s="4">
        <v>46023</v>
      </c>
      <c r="J15" s="4">
        <v>46235</v>
      </c>
      <c r="K15" s="3" t="s">
        <v>1</v>
      </c>
      <c r="L15" s="3" t="s">
        <v>17</v>
      </c>
      <c r="M15" s="5">
        <v>3.12</v>
      </c>
      <c r="N15" s="3" t="s">
        <v>107</v>
      </c>
    </row>
    <row r="16" spans="1:14" s="3" customFormat="1" x14ac:dyDescent="0.25">
      <c r="A16" s="3" t="s">
        <v>13</v>
      </c>
      <c r="B16" s="3">
        <v>9254978</v>
      </c>
      <c r="C16" s="3" t="str">
        <f t="shared" si="0"/>
        <v>9254978OVR</v>
      </c>
      <c r="D16" s="3" t="s">
        <v>72</v>
      </c>
      <c r="E16" s="3" t="s">
        <v>70</v>
      </c>
      <c r="F16" s="3" t="str">
        <f t="shared" si="1"/>
        <v>Margaret Stoner</v>
      </c>
      <c r="G16" s="3">
        <v>20088358301</v>
      </c>
      <c r="H16" s="3" t="str">
        <f t="shared" si="2"/>
        <v>20088358301OVR</v>
      </c>
      <c r="I16" s="4">
        <v>45658</v>
      </c>
      <c r="J16" s="4">
        <v>46235</v>
      </c>
      <c r="K16" s="3" t="s">
        <v>1</v>
      </c>
      <c r="L16" s="3" t="s">
        <v>17</v>
      </c>
      <c r="M16" s="5">
        <v>3.12</v>
      </c>
      <c r="N16" s="3" t="s">
        <v>107</v>
      </c>
    </row>
    <row r="17" spans="1:14" s="3" customFormat="1" x14ac:dyDescent="0.25">
      <c r="A17" s="3" t="s">
        <v>13</v>
      </c>
      <c r="B17" s="3">
        <v>9254978</v>
      </c>
      <c r="C17" s="3" t="str">
        <f t="shared" si="0"/>
        <v>9254978OVR</v>
      </c>
      <c r="D17" s="3" t="s">
        <v>71</v>
      </c>
      <c r="E17" s="3" t="s">
        <v>70</v>
      </c>
      <c r="F17" s="3" t="str">
        <f t="shared" si="1"/>
        <v>Max Stoner</v>
      </c>
      <c r="G17" s="3">
        <v>20088358501</v>
      </c>
      <c r="H17" s="3" t="str">
        <f t="shared" si="2"/>
        <v>20088358501OVR</v>
      </c>
      <c r="I17" s="4">
        <v>45658</v>
      </c>
      <c r="J17" s="4">
        <v>46235</v>
      </c>
      <c r="K17" s="3" t="s">
        <v>1</v>
      </c>
      <c r="L17" s="3" t="s">
        <v>17</v>
      </c>
      <c r="M17" s="5">
        <v>3.12</v>
      </c>
      <c r="N17" s="3" t="s">
        <v>107</v>
      </c>
    </row>
    <row r="18" spans="1:14" s="3" customFormat="1" x14ac:dyDescent="0.25">
      <c r="A18" s="3" t="s">
        <v>13</v>
      </c>
      <c r="B18" s="3">
        <v>9254978</v>
      </c>
      <c r="C18" s="3" t="str">
        <f t="shared" si="0"/>
        <v>9254978OVR</v>
      </c>
      <c r="D18" s="3" t="s">
        <v>69</v>
      </c>
      <c r="E18" s="3" t="s">
        <v>68</v>
      </c>
      <c r="F18" s="3" t="str">
        <f t="shared" si="1"/>
        <v>Cindye Rudy</v>
      </c>
      <c r="G18" s="3">
        <v>20042811101</v>
      </c>
      <c r="H18" s="3" t="str">
        <f t="shared" si="2"/>
        <v>20042811101OVR</v>
      </c>
      <c r="I18" s="4">
        <v>46023</v>
      </c>
      <c r="J18" s="4">
        <v>46235</v>
      </c>
      <c r="K18" s="3" t="s">
        <v>1</v>
      </c>
      <c r="L18" s="3" t="s">
        <v>17</v>
      </c>
      <c r="M18" s="5">
        <v>3.12</v>
      </c>
      <c r="N18" s="3" t="s">
        <v>107</v>
      </c>
    </row>
    <row r="19" spans="1:14" s="3" customFormat="1" x14ac:dyDescent="0.25">
      <c r="A19" s="3" t="s">
        <v>13</v>
      </c>
      <c r="B19" s="3">
        <v>9254978</v>
      </c>
      <c r="C19" s="3" t="str">
        <f t="shared" si="0"/>
        <v>9254978OVR</v>
      </c>
      <c r="D19" s="3" t="s">
        <v>67</v>
      </c>
      <c r="E19" s="3" t="s">
        <v>65</v>
      </c>
      <c r="F19" s="3" t="str">
        <f t="shared" si="1"/>
        <v>Harold Riser</v>
      </c>
      <c r="G19" s="3">
        <v>20032142301</v>
      </c>
      <c r="H19" s="3" t="str">
        <f t="shared" si="2"/>
        <v>20032142301OVR</v>
      </c>
      <c r="I19" s="4">
        <v>46023</v>
      </c>
      <c r="J19" s="4">
        <v>46235</v>
      </c>
      <c r="K19" s="3" t="s">
        <v>1</v>
      </c>
      <c r="L19" s="3" t="s">
        <v>17</v>
      </c>
      <c r="M19" s="5">
        <v>3.12</v>
      </c>
      <c r="N19" s="3" t="s">
        <v>107</v>
      </c>
    </row>
    <row r="20" spans="1:14" s="3" customFormat="1" x14ac:dyDescent="0.25">
      <c r="A20" s="3" t="s">
        <v>13</v>
      </c>
      <c r="B20" s="3">
        <v>9254978</v>
      </c>
      <c r="C20" s="3" t="str">
        <f t="shared" si="0"/>
        <v>9254978OVR</v>
      </c>
      <c r="D20" s="3" t="s">
        <v>66</v>
      </c>
      <c r="E20" s="3" t="s">
        <v>65</v>
      </c>
      <c r="F20" s="3" t="str">
        <f t="shared" si="1"/>
        <v>Molly Riser</v>
      </c>
      <c r="G20" s="3">
        <v>20032142501</v>
      </c>
      <c r="H20" s="3" t="str">
        <f t="shared" si="2"/>
        <v>20032142501OVR</v>
      </c>
      <c r="I20" s="4">
        <v>46023</v>
      </c>
      <c r="J20" s="4">
        <v>46235</v>
      </c>
      <c r="K20" s="3" t="s">
        <v>1</v>
      </c>
      <c r="L20" s="3" t="s">
        <v>17</v>
      </c>
      <c r="M20" s="5">
        <v>3.12</v>
      </c>
      <c r="N20" s="3" t="s">
        <v>107</v>
      </c>
    </row>
    <row r="21" spans="1:14" s="3" customFormat="1" x14ac:dyDescent="0.25">
      <c r="A21" s="3" t="s">
        <v>13</v>
      </c>
      <c r="B21" s="3">
        <v>9254978</v>
      </c>
      <c r="C21" s="3" t="str">
        <f t="shared" si="0"/>
        <v>9254978OVR</v>
      </c>
      <c r="D21" s="3" t="s">
        <v>64</v>
      </c>
      <c r="E21" s="3" t="s">
        <v>63</v>
      </c>
      <c r="F21" s="3" t="str">
        <f t="shared" si="1"/>
        <v>David Rhoads</v>
      </c>
      <c r="G21" s="3">
        <v>20045810201</v>
      </c>
      <c r="H21" s="3" t="str">
        <f t="shared" si="2"/>
        <v>20045810201OVR</v>
      </c>
      <c r="I21" s="4">
        <v>46023</v>
      </c>
      <c r="J21" s="4">
        <v>46235</v>
      </c>
      <c r="K21" s="3" t="s">
        <v>1</v>
      </c>
      <c r="L21" s="3" t="s">
        <v>17</v>
      </c>
      <c r="M21" s="5">
        <v>3.12</v>
      </c>
      <c r="N21" s="3" t="s">
        <v>107</v>
      </c>
    </row>
    <row r="22" spans="1:14" s="3" customFormat="1" x14ac:dyDescent="0.25">
      <c r="A22" s="3" t="s">
        <v>13</v>
      </c>
      <c r="B22" s="3">
        <v>9254978</v>
      </c>
      <c r="C22" s="3" t="str">
        <f t="shared" si="0"/>
        <v>9254978OVR</v>
      </c>
      <c r="D22" s="3" t="s">
        <v>36</v>
      </c>
      <c r="E22" s="3" t="s">
        <v>62</v>
      </c>
      <c r="F22" s="3" t="str">
        <f t="shared" si="1"/>
        <v>John Potter</v>
      </c>
      <c r="G22" s="3">
        <v>20040587601</v>
      </c>
      <c r="H22" s="3" t="str">
        <f t="shared" si="2"/>
        <v>20040587601OVR</v>
      </c>
      <c r="I22" s="4">
        <v>46023</v>
      </c>
      <c r="J22" s="4">
        <v>46235</v>
      </c>
      <c r="K22" s="3" t="s">
        <v>1</v>
      </c>
      <c r="L22" s="3" t="s">
        <v>17</v>
      </c>
      <c r="M22" s="5">
        <v>3.12</v>
      </c>
      <c r="N22" s="3" t="s">
        <v>107</v>
      </c>
    </row>
    <row r="23" spans="1:14" s="3" customFormat="1" x14ac:dyDescent="0.25">
      <c r="A23" s="3" t="s">
        <v>13</v>
      </c>
      <c r="B23" s="3">
        <v>9254978</v>
      </c>
      <c r="C23" s="3" t="str">
        <f t="shared" si="0"/>
        <v>9254978OVR</v>
      </c>
      <c r="D23" s="3" t="s">
        <v>61</v>
      </c>
      <c r="E23" s="3" t="s">
        <v>60</v>
      </c>
      <c r="F23" s="3" t="str">
        <f t="shared" si="1"/>
        <v>Roger Mccoy</v>
      </c>
      <c r="G23" s="3">
        <v>20063885901</v>
      </c>
      <c r="H23" s="3" t="str">
        <f t="shared" si="2"/>
        <v>20063885901OVR</v>
      </c>
      <c r="I23" s="4">
        <v>46023</v>
      </c>
      <c r="J23" s="4">
        <v>46235</v>
      </c>
      <c r="K23" s="3" t="s">
        <v>1</v>
      </c>
      <c r="L23" s="3" t="s">
        <v>17</v>
      </c>
      <c r="M23" s="5">
        <v>3.12</v>
      </c>
      <c r="N23" s="3" t="s">
        <v>107</v>
      </c>
    </row>
    <row r="24" spans="1:14" s="3" customFormat="1" x14ac:dyDescent="0.25">
      <c r="A24" s="3" t="s">
        <v>13</v>
      </c>
      <c r="B24" s="3">
        <v>9254978</v>
      </c>
      <c r="C24" s="3" t="str">
        <f t="shared" si="0"/>
        <v>9254978OVR</v>
      </c>
      <c r="D24" s="3" t="s">
        <v>59</v>
      </c>
      <c r="E24" s="3" t="s">
        <v>58</v>
      </c>
      <c r="F24" s="3" t="str">
        <f t="shared" si="1"/>
        <v>Glenn Mccloskey</v>
      </c>
      <c r="G24" s="3">
        <v>20038840101</v>
      </c>
      <c r="H24" s="3" t="str">
        <f t="shared" si="2"/>
        <v>20038840101OVR</v>
      </c>
      <c r="I24" s="4">
        <v>46023</v>
      </c>
      <c r="J24" s="4">
        <v>46235</v>
      </c>
      <c r="K24" s="3" t="s">
        <v>1</v>
      </c>
      <c r="L24" s="3" t="s">
        <v>17</v>
      </c>
      <c r="M24" s="5">
        <v>3.12</v>
      </c>
      <c r="N24" s="3" t="s">
        <v>107</v>
      </c>
    </row>
    <row r="25" spans="1:14" s="3" customFormat="1" x14ac:dyDescent="0.25">
      <c r="A25" s="3" t="s">
        <v>13</v>
      </c>
      <c r="B25" s="3">
        <v>9254978</v>
      </c>
      <c r="C25" s="3" t="str">
        <f t="shared" si="0"/>
        <v>9254978OVR</v>
      </c>
      <c r="D25" s="3" t="s">
        <v>57</v>
      </c>
      <c r="E25" s="3" t="s">
        <v>56</v>
      </c>
      <c r="F25" s="3" t="str">
        <f t="shared" si="1"/>
        <v>Fred Mcclintic</v>
      </c>
      <c r="G25" s="3">
        <v>20057066101</v>
      </c>
      <c r="H25" s="3" t="str">
        <f t="shared" si="2"/>
        <v>20057066101OVR</v>
      </c>
      <c r="I25" s="4">
        <v>46023</v>
      </c>
      <c r="J25" s="4">
        <v>46235</v>
      </c>
      <c r="K25" s="3" t="s">
        <v>1</v>
      </c>
      <c r="L25" s="3" t="s">
        <v>17</v>
      </c>
      <c r="M25" s="5">
        <v>3.12</v>
      </c>
      <c r="N25" s="3" t="s">
        <v>107</v>
      </c>
    </row>
    <row r="26" spans="1:14" s="3" customFormat="1" x14ac:dyDescent="0.25">
      <c r="A26" s="3" t="s">
        <v>13</v>
      </c>
      <c r="B26" s="3">
        <v>9254978</v>
      </c>
      <c r="C26" s="3" t="str">
        <f t="shared" si="0"/>
        <v>9254978OVR</v>
      </c>
      <c r="D26" s="3" t="s">
        <v>55</v>
      </c>
      <c r="E26" s="3" t="s">
        <v>54</v>
      </c>
      <c r="F26" s="3" t="str">
        <f t="shared" si="1"/>
        <v>Hollie Lindquist</v>
      </c>
      <c r="G26" s="3">
        <v>20054968601</v>
      </c>
      <c r="H26" s="3" t="str">
        <f t="shared" si="2"/>
        <v>20054968601OVR</v>
      </c>
      <c r="I26" s="4">
        <v>46023</v>
      </c>
      <c r="J26" s="4">
        <v>46235</v>
      </c>
      <c r="K26" s="3" t="s">
        <v>1</v>
      </c>
      <c r="L26" s="3" t="s">
        <v>17</v>
      </c>
      <c r="M26" s="5">
        <v>3.12</v>
      </c>
      <c r="N26" s="3" t="s">
        <v>107</v>
      </c>
    </row>
    <row r="27" spans="1:14" s="3" customFormat="1" x14ac:dyDescent="0.25">
      <c r="A27" s="3" t="s">
        <v>13</v>
      </c>
      <c r="B27" s="3">
        <v>9254978</v>
      </c>
      <c r="C27" s="3" t="str">
        <f t="shared" si="0"/>
        <v>9254978OVR</v>
      </c>
      <c r="D27" s="3" t="s">
        <v>53</v>
      </c>
      <c r="E27" s="3" t="s">
        <v>52</v>
      </c>
      <c r="F27" s="3" t="str">
        <f t="shared" si="1"/>
        <v>Susan Havens</v>
      </c>
      <c r="G27" s="3">
        <v>10008741301</v>
      </c>
      <c r="H27" s="3" t="str">
        <f t="shared" si="2"/>
        <v>10008741301OVR</v>
      </c>
      <c r="I27" s="4">
        <v>46023</v>
      </c>
      <c r="J27" s="4">
        <v>46235</v>
      </c>
      <c r="K27" s="3" t="s">
        <v>1</v>
      </c>
      <c r="L27" s="3" t="s">
        <v>17</v>
      </c>
      <c r="M27" s="5">
        <v>3.12</v>
      </c>
      <c r="N27" s="3" t="s">
        <v>107</v>
      </c>
    </row>
    <row r="28" spans="1:14" s="3" customFormat="1" x14ac:dyDescent="0.25">
      <c r="A28" s="3" t="s">
        <v>13</v>
      </c>
      <c r="B28" s="3">
        <v>9254978</v>
      </c>
      <c r="C28" s="3" t="str">
        <f t="shared" si="0"/>
        <v>9254978OVR</v>
      </c>
      <c r="D28" s="3" t="s">
        <v>49</v>
      </c>
      <c r="E28" s="3" t="s">
        <v>52</v>
      </c>
      <c r="F28" s="3" t="str">
        <f t="shared" si="1"/>
        <v>Thomas Havens</v>
      </c>
      <c r="G28" s="3">
        <v>20009616401</v>
      </c>
      <c r="H28" s="3" t="str">
        <f t="shared" si="2"/>
        <v>20009616401OVR</v>
      </c>
      <c r="I28" s="4">
        <v>46023</v>
      </c>
      <c r="J28" s="4">
        <v>46235</v>
      </c>
      <c r="K28" s="3" t="s">
        <v>1</v>
      </c>
      <c r="L28" s="3" t="s">
        <v>17</v>
      </c>
      <c r="M28" s="5">
        <v>3.12</v>
      </c>
      <c r="N28" s="3" t="s">
        <v>107</v>
      </c>
    </row>
    <row r="29" spans="1:14" s="3" customFormat="1" x14ac:dyDescent="0.25">
      <c r="A29" s="3" t="s">
        <v>13</v>
      </c>
      <c r="B29" s="3">
        <v>9254978</v>
      </c>
      <c r="C29" s="3" t="str">
        <f t="shared" si="0"/>
        <v>9254978OVR</v>
      </c>
      <c r="D29" s="3" t="s">
        <v>51</v>
      </c>
      <c r="E29" s="3" t="s">
        <v>50</v>
      </c>
      <c r="F29" s="3" t="str">
        <f t="shared" si="1"/>
        <v>Jackalin Haines</v>
      </c>
      <c r="G29" s="3">
        <v>10124160901</v>
      </c>
      <c r="H29" s="3" t="str">
        <f t="shared" si="2"/>
        <v>10124160901OVR</v>
      </c>
      <c r="I29" s="4">
        <v>46023</v>
      </c>
      <c r="J29" s="4">
        <v>46235</v>
      </c>
      <c r="K29" s="3" t="s">
        <v>1</v>
      </c>
      <c r="L29" s="3" t="s">
        <v>17</v>
      </c>
      <c r="M29" s="5">
        <v>3.12</v>
      </c>
      <c r="N29" s="3" t="s">
        <v>107</v>
      </c>
    </row>
    <row r="30" spans="1:14" s="3" customFormat="1" x14ac:dyDescent="0.25">
      <c r="A30" s="3" t="s">
        <v>13</v>
      </c>
      <c r="B30" s="3">
        <v>9254978</v>
      </c>
      <c r="C30" s="3" t="str">
        <f t="shared" si="0"/>
        <v>9254978OVR</v>
      </c>
      <c r="D30" s="3" t="s">
        <v>49</v>
      </c>
      <c r="E30" s="3" t="s">
        <v>48</v>
      </c>
      <c r="F30" s="3" t="str">
        <f t="shared" si="1"/>
        <v>Thomas Gardner</v>
      </c>
      <c r="G30" s="3">
        <v>20011185201</v>
      </c>
      <c r="H30" s="3" t="str">
        <f t="shared" si="2"/>
        <v>20011185201OVR</v>
      </c>
      <c r="I30" s="4">
        <v>46023</v>
      </c>
      <c r="J30" s="4">
        <v>46235</v>
      </c>
      <c r="K30" s="3" t="s">
        <v>1</v>
      </c>
      <c r="L30" s="3" t="s">
        <v>17</v>
      </c>
      <c r="M30" s="5">
        <v>3.12</v>
      </c>
      <c r="N30" s="3" t="s">
        <v>107</v>
      </c>
    </row>
    <row r="31" spans="1:14" s="3" customFormat="1" x14ac:dyDescent="0.25">
      <c r="A31" s="3" t="s">
        <v>13</v>
      </c>
      <c r="B31" s="3">
        <v>9254978</v>
      </c>
      <c r="C31" s="3" t="str">
        <f t="shared" si="0"/>
        <v>9254978OVR</v>
      </c>
      <c r="D31" s="3" t="s">
        <v>47</v>
      </c>
      <c r="E31" s="3" t="s">
        <v>45</v>
      </c>
      <c r="F31" s="3" t="str">
        <f t="shared" si="1"/>
        <v>Eugene Falls</v>
      </c>
      <c r="G31" s="3">
        <v>85742701</v>
      </c>
      <c r="H31" s="3" t="str">
        <f t="shared" si="2"/>
        <v>85742701OVR</v>
      </c>
      <c r="I31" s="4">
        <v>46023</v>
      </c>
      <c r="J31" s="4">
        <v>46235</v>
      </c>
      <c r="K31" s="3" t="s">
        <v>1</v>
      </c>
      <c r="L31" s="3" t="s">
        <v>17</v>
      </c>
      <c r="M31" s="5">
        <v>3.12</v>
      </c>
      <c r="N31" s="3" t="s">
        <v>107</v>
      </c>
    </row>
    <row r="32" spans="1:14" s="3" customFormat="1" x14ac:dyDescent="0.25">
      <c r="A32" s="3" t="s">
        <v>13</v>
      </c>
      <c r="B32" s="3">
        <v>9254978</v>
      </c>
      <c r="C32" s="3" t="str">
        <f t="shared" si="0"/>
        <v>9254978OVR</v>
      </c>
      <c r="D32" s="3" t="s">
        <v>46</v>
      </c>
      <c r="E32" s="3" t="s">
        <v>45</v>
      </c>
      <c r="F32" s="3" t="str">
        <f t="shared" si="1"/>
        <v>Lyndia Falls</v>
      </c>
      <c r="G32" s="3">
        <v>96603301</v>
      </c>
      <c r="H32" s="3" t="str">
        <f t="shared" si="2"/>
        <v>96603301OVR</v>
      </c>
      <c r="I32" s="4">
        <v>46023</v>
      </c>
      <c r="J32" s="4">
        <v>46235</v>
      </c>
      <c r="K32" s="3" t="s">
        <v>1</v>
      </c>
      <c r="L32" s="3" t="s">
        <v>17</v>
      </c>
      <c r="M32" s="5">
        <v>3.12</v>
      </c>
      <c r="N32" s="3" t="s">
        <v>107</v>
      </c>
    </row>
    <row r="33" spans="1:15" s="3" customFormat="1" x14ac:dyDescent="0.25">
      <c r="A33" s="3" t="s">
        <v>13</v>
      </c>
      <c r="B33" s="3">
        <v>9254978</v>
      </c>
      <c r="C33" s="3" t="str">
        <f t="shared" si="0"/>
        <v>9254978OVR</v>
      </c>
      <c r="D33" s="3" t="s">
        <v>36</v>
      </c>
      <c r="E33" s="3" t="s">
        <v>44</v>
      </c>
      <c r="F33" s="3" t="str">
        <f t="shared" si="1"/>
        <v>John Etters</v>
      </c>
      <c r="G33" s="3">
        <v>20032206001</v>
      </c>
      <c r="H33" s="3" t="str">
        <f t="shared" si="2"/>
        <v>20032206001OVR</v>
      </c>
      <c r="I33" s="4">
        <v>46023</v>
      </c>
      <c r="J33" s="4">
        <v>46235</v>
      </c>
      <c r="K33" s="3" t="s">
        <v>1</v>
      </c>
      <c r="L33" s="3" t="s">
        <v>17</v>
      </c>
      <c r="M33" s="5">
        <v>3.12</v>
      </c>
      <c r="N33" s="3" t="s">
        <v>107</v>
      </c>
    </row>
    <row r="34" spans="1:15" s="3" customFormat="1" x14ac:dyDescent="0.25">
      <c r="A34" s="3" t="s">
        <v>13</v>
      </c>
      <c r="B34" s="3">
        <v>9254978</v>
      </c>
      <c r="C34" s="3" t="str">
        <f t="shared" si="0"/>
        <v>9254978OVR</v>
      </c>
      <c r="D34" s="3" t="s">
        <v>43</v>
      </c>
      <c r="E34" s="3" t="s">
        <v>42</v>
      </c>
      <c r="F34" s="3" t="str">
        <f t="shared" si="1"/>
        <v>Judy Detar</v>
      </c>
      <c r="G34" s="3">
        <v>10096067901</v>
      </c>
      <c r="H34" s="3" t="str">
        <f t="shared" si="2"/>
        <v>10096067901OVR</v>
      </c>
      <c r="I34" s="4">
        <v>46023</v>
      </c>
      <c r="J34" s="4">
        <v>46235</v>
      </c>
      <c r="K34" s="3" t="s">
        <v>1</v>
      </c>
      <c r="L34" s="3" t="s">
        <v>17</v>
      </c>
      <c r="M34" s="5">
        <v>3.12</v>
      </c>
      <c r="N34" s="3" t="s">
        <v>107</v>
      </c>
    </row>
    <row r="35" spans="1:15" s="3" customFormat="1" x14ac:dyDescent="0.25">
      <c r="A35" s="3" t="s">
        <v>13</v>
      </c>
      <c r="B35" s="3">
        <v>9254978</v>
      </c>
      <c r="C35" s="3" t="str">
        <f t="shared" si="0"/>
        <v>9254978OVR</v>
      </c>
      <c r="D35" s="3" t="s">
        <v>41</v>
      </c>
      <c r="E35" s="3" t="s">
        <v>40</v>
      </c>
      <c r="F35" s="3" t="str">
        <f t="shared" si="1"/>
        <v>Robert Dehaas</v>
      </c>
      <c r="G35" s="3">
        <v>10028861101</v>
      </c>
      <c r="H35" s="3" t="str">
        <f t="shared" si="2"/>
        <v>10028861101OVR</v>
      </c>
      <c r="I35" s="4">
        <v>46054</v>
      </c>
      <c r="J35" s="4">
        <v>46235</v>
      </c>
      <c r="K35" s="3" t="s">
        <v>1</v>
      </c>
      <c r="L35" s="3" t="s">
        <v>17</v>
      </c>
      <c r="M35" s="5">
        <v>3.12</v>
      </c>
      <c r="N35" s="3" t="s">
        <v>107</v>
      </c>
    </row>
    <row r="36" spans="1:15" s="3" customFormat="1" x14ac:dyDescent="0.25">
      <c r="A36" s="3" t="s">
        <v>13</v>
      </c>
      <c r="B36" s="3">
        <v>9254978</v>
      </c>
      <c r="C36" s="3" t="str">
        <f t="shared" si="0"/>
        <v>9254978OVR</v>
      </c>
      <c r="D36" s="3" t="s">
        <v>39</v>
      </c>
      <c r="E36" s="3" t="s">
        <v>37</v>
      </c>
      <c r="F36" s="3" t="str">
        <f t="shared" si="1"/>
        <v>Irving Davies</v>
      </c>
      <c r="G36" s="3">
        <v>20041787401</v>
      </c>
      <c r="H36" s="3" t="str">
        <f t="shared" si="2"/>
        <v>20041787401OVR</v>
      </c>
      <c r="I36" s="4">
        <v>46023</v>
      </c>
      <c r="J36" s="4">
        <v>46235</v>
      </c>
      <c r="K36" s="3" t="s">
        <v>1</v>
      </c>
      <c r="L36" s="3" t="s">
        <v>17</v>
      </c>
      <c r="M36" s="5">
        <v>3.12</v>
      </c>
      <c r="N36" s="3" t="s">
        <v>107</v>
      </c>
    </row>
    <row r="37" spans="1:15" s="3" customFormat="1" x14ac:dyDescent="0.25">
      <c r="A37" s="3" t="s">
        <v>13</v>
      </c>
      <c r="B37" s="3">
        <v>9254978</v>
      </c>
      <c r="C37" s="3" t="str">
        <f t="shared" si="0"/>
        <v>9254978OVR</v>
      </c>
      <c r="D37" s="3" t="s">
        <v>38</v>
      </c>
      <c r="E37" s="3" t="s">
        <v>37</v>
      </c>
      <c r="F37" s="3" t="str">
        <f t="shared" si="1"/>
        <v>Thelma Davies</v>
      </c>
      <c r="G37" s="3">
        <v>20041800601</v>
      </c>
      <c r="H37" s="3" t="str">
        <f t="shared" si="2"/>
        <v>20041800601OVR</v>
      </c>
      <c r="I37" s="4">
        <v>46023</v>
      </c>
      <c r="J37" s="4">
        <v>46235</v>
      </c>
      <c r="K37" s="3" t="s">
        <v>1</v>
      </c>
      <c r="L37" s="3" t="s">
        <v>17</v>
      </c>
      <c r="M37" s="5">
        <v>3.12</v>
      </c>
      <c r="N37" s="3" t="s">
        <v>107</v>
      </c>
    </row>
    <row r="38" spans="1:15" s="3" customFormat="1" x14ac:dyDescent="0.25">
      <c r="A38" s="3" t="s">
        <v>13</v>
      </c>
      <c r="B38" s="3">
        <v>9254978</v>
      </c>
      <c r="C38" s="3" t="str">
        <f t="shared" si="0"/>
        <v>9254978OVR</v>
      </c>
      <c r="D38" s="3" t="s">
        <v>36</v>
      </c>
      <c r="E38" s="3" t="s">
        <v>35</v>
      </c>
      <c r="F38" s="3" t="str">
        <f t="shared" si="1"/>
        <v>John Coursen</v>
      </c>
      <c r="G38" s="3">
        <v>20038842601</v>
      </c>
      <c r="H38" s="3" t="str">
        <f t="shared" si="2"/>
        <v>20038842601OVR</v>
      </c>
      <c r="I38" s="4">
        <v>46023</v>
      </c>
      <c r="J38" s="4">
        <v>46235</v>
      </c>
      <c r="K38" s="3" t="s">
        <v>1</v>
      </c>
      <c r="L38" s="3" t="s">
        <v>17</v>
      </c>
      <c r="M38" s="5">
        <v>3.12</v>
      </c>
      <c r="N38" s="3" t="s">
        <v>107</v>
      </c>
    </row>
    <row r="39" spans="1:15" s="3" customFormat="1" x14ac:dyDescent="0.25">
      <c r="A39" s="3" t="s">
        <v>13</v>
      </c>
      <c r="B39" s="3">
        <v>9254978</v>
      </c>
      <c r="C39" s="3" t="str">
        <f t="shared" si="0"/>
        <v>9254978OVR</v>
      </c>
      <c r="D39" s="3" t="s">
        <v>34</v>
      </c>
      <c r="E39" s="3" t="s">
        <v>32</v>
      </c>
      <c r="F39" s="3" t="str">
        <f t="shared" si="1"/>
        <v>Betty Corman</v>
      </c>
      <c r="G39" s="3">
        <v>20039206601</v>
      </c>
      <c r="H39" s="3" t="str">
        <f t="shared" si="2"/>
        <v>20039206601OVR</v>
      </c>
      <c r="I39" s="4">
        <v>46023</v>
      </c>
      <c r="J39" s="4">
        <v>46235</v>
      </c>
      <c r="K39" s="3" t="s">
        <v>1</v>
      </c>
      <c r="L39" s="3" t="s">
        <v>17</v>
      </c>
      <c r="M39" s="5">
        <v>3.12</v>
      </c>
      <c r="N39" s="3" t="s">
        <v>107</v>
      </c>
    </row>
    <row r="40" spans="1:15" s="3" customFormat="1" x14ac:dyDescent="0.25">
      <c r="A40" s="3" t="s">
        <v>13</v>
      </c>
      <c r="B40" s="3">
        <v>9254978</v>
      </c>
      <c r="C40" s="3" t="str">
        <f t="shared" si="0"/>
        <v>9254978OVR</v>
      </c>
      <c r="D40" s="3" t="s">
        <v>33</v>
      </c>
      <c r="E40" s="3" t="s">
        <v>32</v>
      </c>
      <c r="F40" s="3" t="str">
        <f t="shared" si="1"/>
        <v>Ray Corman</v>
      </c>
      <c r="G40" s="3">
        <v>20039228601</v>
      </c>
      <c r="H40" s="3" t="str">
        <f t="shared" si="2"/>
        <v>20039228601OVR</v>
      </c>
      <c r="I40" s="4">
        <v>46023</v>
      </c>
      <c r="J40" s="4">
        <v>46235</v>
      </c>
      <c r="K40" s="3" t="s">
        <v>1</v>
      </c>
      <c r="L40" s="3" t="s">
        <v>17</v>
      </c>
      <c r="M40" s="5">
        <v>3.12</v>
      </c>
      <c r="N40" s="3" t="s">
        <v>107</v>
      </c>
    </row>
    <row r="41" spans="1:15" s="3" customFormat="1" x14ac:dyDescent="0.25">
      <c r="A41" s="3" t="s">
        <v>13</v>
      </c>
      <c r="B41" s="3">
        <v>9254978</v>
      </c>
      <c r="C41" s="3" t="str">
        <f t="shared" si="0"/>
        <v>9254978OVR</v>
      </c>
      <c r="D41" s="3" t="s">
        <v>31</v>
      </c>
      <c r="E41" s="3" t="s">
        <v>30</v>
      </c>
      <c r="F41" s="3" t="str">
        <f t="shared" si="1"/>
        <v>Edward Chojnacki</v>
      </c>
      <c r="G41" s="3">
        <v>20037806301</v>
      </c>
      <c r="H41" s="3" t="str">
        <f t="shared" si="2"/>
        <v>20037806301OVR</v>
      </c>
      <c r="I41" s="4">
        <v>46023</v>
      </c>
      <c r="J41" s="4">
        <v>46235</v>
      </c>
      <c r="K41" s="3" t="s">
        <v>1</v>
      </c>
      <c r="L41" s="3" t="s">
        <v>17</v>
      </c>
      <c r="M41" s="5">
        <v>3.12</v>
      </c>
      <c r="N41" s="3" t="s">
        <v>107</v>
      </c>
    </row>
    <row r="42" spans="1:15" s="3" customFormat="1" x14ac:dyDescent="0.25">
      <c r="A42" s="3" t="s">
        <v>13</v>
      </c>
      <c r="B42" s="3">
        <v>9254978</v>
      </c>
      <c r="C42" s="3" t="str">
        <f t="shared" si="0"/>
        <v>9254978OVR</v>
      </c>
      <c r="D42" s="3" t="s">
        <v>29</v>
      </c>
      <c r="E42" s="3" t="s">
        <v>28</v>
      </c>
      <c r="F42" s="3" t="str">
        <f t="shared" si="1"/>
        <v>Daniel Brownson</v>
      </c>
      <c r="G42" s="3">
        <v>20039512801</v>
      </c>
      <c r="H42" s="3" t="str">
        <f t="shared" si="2"/>
        <v>20039512801OVR</v>
      </c>
      <c r="I42" s="4">
        <v>46023</v>
      </c>
      <c r="J42" s="4">
        <v>46235</v>
      </c>
      <c r="K42" s="3" t="s">
        <v>1</v>
      </c>
      <c r="L42" s="3" t="s">
        <v>17</v>
      </c>
      <c r="M42" s="5">
        <v>3.12</v>
      </c>
      <c r="N42" s="3" t="s">
        <v>107</v>
      </c>
    </row>
    <row r="43" spans="1:15" s="3" customFormat="1" x14ac:dyDescent="0.25">
      <c r="A43" s="3" t="s">
        <v>13</v>
      </c>
      <c r="B43" s="3">
        <v>9254978</v>
      </c>
      <c r="C43" s="3" t="str">
        <f t="shared" si="0"/>
        <v>9254978OVR</v>
      </c>
      <c r="D43" s="3" t="s">
        <v>27</v>
      </c>
      <c r="E43" s="3" t="s">
        <v>25</v>
      </c>
      <c r="F43" s="3" t="str">
        <f t="shared" si="1"/>
        <v>Terrence Benton</v>
      </c>
      <c r="G43" s="3">
        <v>20038818301</v>
      </c>
      <c r="H43" s="3" t="str">
        <f t="shared" si="2"/>
        <v>20038818301OVR</v>
      </c>
      <c r="I43" s="4">
        <v>46023</v>
      </c>
      <c r="J43" s="4">
        <v>46235</v>
      </c>
      <c r="K43" s="3" t="s">
        <v>1</v>
      </c>
      <c r="L43" s="3" t="s">
        <v>17</v>
      </c>
      <c r="M43" s="5">
        <v>3.12</v>
      </c>
      <c r="N43" s="3" t="s">
        <v>107</v>
      </c>
    </row>
    <row r="44" spans="1:15" s="3" customFormat="1" x14ac:dyDescent="0.25">
      <c r="A44" s="3" t="s">
        <v>13</v>
      </c>
      <c r="B44" s="3">
        <v>9254978</v>
      </c>
      <c r="C44" s="3" t="str">
        <f t="shared" si="0"/>
        <v>9254978OVR</v>
      </c>
      <c r="D44" s="3" t="s">
        <v>26</v>
      </c>
      <c r="E44" s="3" t="s">
        <v>25</v>
      </c>
      <c r="F44" s="3" t="str">
        <f t="shared" si="1"/>
        <v>Jacqueline Benton</v>
      </c>
      <c r="G44" s="3">
        <v>20038840001</v>
      </c>
      <c r="H44" s="3" t="str">
        <f t="shared" si="2"/>
        <v>20038840001OVR</v>
      </c>
      <c r="I44" s="4">
        <v>46023</v>
      </c>
      <c r="J44" s="4">
        <v>46235</v>
      </c>
      <c r="K44" s="3" t="s">
        <v>1</v>
      </c>
      <c r="L44" s="3" t="s">
        <v>17</v>
      </c>
      <c r="M44" s="5">
        <v>3.12</v>
      </c>
      <c r="N44" s="3" t="s">
        <v>107</v>
      </c>
    </row>
    <row r="45" spans="1:15" s="3" customFormat="1" x14ac:dyDescent="0.25">
      <c r="A45" s="3" t="s">
        <v>13</v>
      </c>
      <c r="B45" s="3">
        <v>9254978</v>
      </c>
      <c r="C45" s="3" t="str">
        <f t="shared" si="0"/>
        <v>9254978OVR</v>
      </c>
      <c r="D45" s="3" t="s">
        <v>24</v>
      </c>
      <c r="E45" s="3" t="s">
        <v>23</v>
      </c>
      <c r="F45" s="3" t="str">
        <f t="shared" si="1"/>
        <v>Melinda Barnett</v>
      </c>
      <c r="G45" s="3">
        <v>20032097801</v>
      </c>
      <c r="H45" s="3" t="str">
        <f t="shared" si="2"/>
        <v>20032097801OVR</v>
      </c>
      <c r="I45" s="4">
        <v>46023</v>
      </c>
      <c r="J45" s="4">
        <v>46235</v>
      </c>
      <c r="K45" s="3" t="s">
        <v>1</v>
      </c>
      <c r="L45" s="3" t="s">
        <v>17</v>
      </c>
      <c r="M45" s="5">
        <v>3.12</v>
      </c>
      <c r="N45" s="3" t="s">
        <v>107</v>
      </c>
    </row>
    <row r="46" spans="1:15" s="3" customFormat="1" x14ac:dyDescent="0.25">
      <c r="A46" s="3" t="s">
        <v>13</v>
      </c>
      <c r="B46" s="3">
        <v>9254978</v>
      </c>
      <c r="C46" s="3" t="str">
        <f t="shared" si="0"/>
        <v>9254978OVR</v>
      </c>
      <c r="D46" s="3" t="s">
        <v>21</v>
      </c>
      <c r="E46" s="3" t="s">
        <v>20</v>
      </c>
      <c r="F46" s="3" t="str">
        <f t="shared" si="1"/>
        <v>Connie Barger</v>
      </c>
      <c r="G46" s="3">
        <v>20088356201</v>
      </c>
      <c r="H46" s="3" t="str">
        <f t="shared" si="2"/>
        <v>20088356201OVR</v>
      </c>
      <c r="I46" s="4">
        <v>45658</v>
      </c>
      <c r="J46" s="4">
        <v>46235</v>
      </c>
      <c r="K46" s="3" t="s">
        <v>1</v>
      </c>
      <c r="L46" s="3" t="s">
        <v>17</v>
      </c>
      <c r="M46" s="5">
        <v>3.12</v>
      </c>
      <c r="N46" s="3" t="s">
        <v>107</v>
      </c>
    </row>
    <row r="47" spans="1:15" s="3" customFormat="1" x14ac:dyDescent="0.25">
      <c r="A47" s="3" t="s">
        <v>13</v>
      </c>
      <c r="B47" s="3">
        <v>9254978</v>
      </c>
      <c r="C47" s="3" t="str">
        <f t="shared" si="0"/>
        <v>9254978OVR</v>
      </c>
      <c r="D47" s="3" t="s">
        <v>19</v>
      </c>
      <c r="E47" s="3" t="s">
        <v>18</v>
      </c>
      <c r="F47" s="3" t="str">
        <f t="shared" si="1"/>
        <v>Cindy Bair</v>
      </c>
      <c r="G47" s="3">
        <v>20038750301</v>
      </c>
      <c r="H47" s="3" t="str">
        <f t="shared" si="2"/>
        <v>20038750301OVR</v>
      </c>
      <c r="I47" s="4">
        <v>46023</v>
      </c>
      <c r="J47" s="4">
        <v>46235</v>
      </c>
      <c r="K47" s="3" t="s">
        <v>1</v>
      </c>
      <c r="L47" s="3" t="s">
        <v>17</v>
      </c>
      <c r="M47" s="5">
        <v>3.12</v>
      </c>
      <c r="N47" s="3" t="s">
        <v>107</v>
      </c>
    </row>
    <row r="48" spans="1:15" s="6" customFormat="1" x14ac:dyDescent="0.25">
      <c r="A48" s="6" t="s">
        <v>13</v>
      </c>
      <c r="B48" s="6">
        <v>9254978</v>
      </c>
      <c r="C48" s="6" t="s">
        <v>112</v>
      </c>
      <c r="D48" s="6" t="s">
        <v>76</v>
      </c>
      <c r="E48" s="6" t="s">
        <v>73</v>
      </c>
      <c r="F48" s="3" t="str">
        <f t="shared" si="1"/>
        <v>Deborah Weaver</v>
      </c>
      <c r="G48" s="6">
        <v>20027177601</v>
      </c>
      <c r="H48" s="6" t="str">
        <f>CONCATENATE(G48,33)</f>
        <v>2002717760133</v>
      </c>
      <c r="I48" s="7">
        <v>46023</v>
      </c>
      <c r="J48" s="7">
        <v>46235</v>
      </c>
      <c r="K48" s="6" t="s">
        <v>1</v>
      </c>
      <c r="L48" s="6" t="s">
        <v>0</v>
      </c>
      <c r="M48" s="8">
        <v>32.58</v>
      </c>
      <c r="N48" s="6" t="s">
        <v>106</v>
      </c>
      <c r="O48" s="6" t="s">
        <v>105</v>
      </c>
    </row>
    <row r="49" spans="1:15" x14ac:dyDescent="0.25">
      <c r="A49" t="s">
        <v>13</v>
      </c>
      <c r="B49">
        <v>9254978</v>
      </c>
      <c r="C49" t="s">
        <v>112</v>
      </c>
      <c r="D49" t="s">
        <v>75</v>
      </c>
      <c r="E49" t="s">
        <v>73</v>
      </c>
      <c r="F49" s="3" t="str">
        <f t="shared" si="1"/>
        <v>Kenneth Weaver</v>
      </c>
      <c r="G49">
        <v>20027350401</v>
      </c>
      <c r="H49" s="6" t="str">
        <f t="shared" ref="H49:H86" si="3">CONCATENATE(G49,33)</f>
        <v>2002735040133</v>
      </c>
      <c r="I49" s="2">
        <v>46023</v>
      </c>
      <c r="J49" s="2">
        <v>46235</v>
      </c>
      <c r="K49" t="s">
        <v>1</v>
      </c>
      <c r="L49" t="s">
        <v>0</v>
      </c>
      <c r="M49" s="1">
        <v>32.58</v>
      </c>
      <c r="N49" t="s">
        <v>106</v>
      </c>
      <c r="O49" t="s">
        <v>105</v>
      </c>
    </row>
    <row r="50" spans="1:15" x14ac:dyDescent="0.25">
      <c r="A50" t="s">
        <v>13</v>
      </c>
      <c r="B50">
        <v>9254978</v>
      </c>
      <c r="C50" t="s">
        <v>112</v>
      </c>
      <c r="D50" t="s">
        <v>74</v>
      </c>
      <c r="E50" t="s">
        <v>73</v>
      </c>
      <c r="F50" s="3" t="str">
        <f t="shared" si="1"/>
        <v>Deanna Weaver</v>
      </c>
      <c r="G50">
        <v>20039673901</v>
      </c>
      <c r="H50" s="6" t="str">
        <f t="shared" si="3"/>
        <v>2003967390133</v>
      </c>
      <c r="I50" s="2">
        <v>46023</v>
      </c>
      <c r="J50" s="2">
        <v>46235</v>
      </c>
      <c r="K50" t="s">
        <v>1</v>
      </c>
      <c r="L50" t="s">
        <v>0</v>
      </c>
      <c r="M50" s="1">
        <v>32.58</v>
      </c>
      <c r="N50" t="s">
        <v>106</v>
      </c>
      <c r="O50" t="s">
        <v>105</v>
      </c>
    </row>
    <row r="51" spans="1:15" x14ac:dyDescent="0.25">
      <c r="A51" t="s">
        <v>13</v>
      </c>
      <c r="B51">
        <v>9254978</v>
      </c>
      <c r="C51" t="s">
        <v>112</v>
      </c>
      <c r="D51" t="s">
        <v>69</v>
      </c>
      <c r="E51" t="s">
        <v>68</v>
      </c>
      <c r="F51" s="3" t="str">
        <f t="shared" si="1"/>
        <v>Cindye Rudy</v>
      </c>
      <c r="G51">
        <v>20042811101</v>
      </c>
      <c r="H51" s="6" t="str">
        <f t="shared" si="3"/>
        <v>2004281110133</v>
      </c>
      <c r="I51" s="2">
        <v>46023</v>
      </c>
      <c r="J51" s="2">
        <v>46235</v>
      </c>
      <c r="K51" t="s">
        <v>1</v>
      </c>
      <c r="L51" t="s">
        <v>0</v>
      </c>
      <c r="M51" s="1">
        <v>32.58</v>
      </c>
      <c r="N51" t="s">
        <v>106</v>
      </c>
      <c r="O51" t="s">
        <v>105</v>
      </c>
    </row>
    <row r="52" spans="1:15" x14ac:dyDescent="0.25">
      <c r="A52" t="s">
        <v>13</v>
      </c>
      <c r="B52">
        <v>9254978</v>
      </c>
      <c r="C52" t="s">
        <v>112</v>
      </c>
      <c r="D52" t="s">
        <v>67</v>
      </c>
      <c r="E52" t="s">
        <v>65</v>
      </c>
      <c r="F52" s="3" t="str">
        <f t="shared" si="1"/>
        <v>Harold Riser</v>
      </c>
      <c r="G52">
        <v>20032142301</v>
      </c>
      <c r="H52" s="6" t="str">
        <f t="shared" si="3"/>
        <v>2003214230133</v>
      </c>
      <c r="I52" s="2">
        <v>46023</v>
      </c>
      <c r="J52" s="2">
        <v>46235</v>
      </c>
      <c r="K52" t="s">
        <v>1</v>
      </c>
      <c r="L52" t="s">
        <v>0</v>
      </c>
      <c r="M52" s="1">
        <v>32.58</v>
      </c>
      <c r="N52" t="s">
        <v>106</v>
      </c>
      <c r="O52" t="s">
        <v>105</v>
      </c>
    </row>
    <row r="53" spans="1:15" x14ac:dyDescent="0.25">
      <c r="A53" t="s">
        <v>13</v>
      </c>
      <c r="B53">
        <v>9254978</v>
      </c>
      <c r="C53" t="s">
        <v>112</v>
      </c>
      <c r="D53" t="s">
        <v>66</v>
      </c>
      <c r="E53" t="s">
        <v>65</v>
      </c>
      <c r="F53" s="3" t="str">
        <f t="shared" si="1"/>
        <v>Molly Riser</v>
      </c>
      <c r="G53">
        <v>20032142501</v>
      </c>
      <c r="H53" s="6" t="str">
        <f t="shared" si="3"/>
        <v>2003214250133</v>
      </c>
      <c r="I53" s="2">
        <v>46023</v>
      </c>
      <c r="J53" s="2">
        <v>46235</v>
      </c>
      <c r="K53" t="s">
        <v>1</v>
      </c>
      <c r="L53" t="s">
        <v>0</v>
      </c>
      <c r="M53" s="1">
        <v>32.58</v>
      </c>
      <c r="N53" t="s">
        <v>106</v>
      </c>
      <c r="O53" t="s">
        <v>105</v>
      </c>
    </row>
    <row r="54" spans="1:15" x14ac:dyDescent="0.25">
      <c r="A54" t="s">
        <v>13</v>
      </c>
      <c r="B54">
        <v>9254978</v>
      </c>
      <c r="C54" t="s">
        <v>112</v>
      </c>
      <c r="D54" t="s">
        <v>64</v>
      </c>
      <c r="E54" t="s">
        <v>63</v>
      </c>
      <c r="F54" s="3" t="str">
        <f t="shared" si="1"/>
        <v>David Rhoads</v>
      </c>
      <c r="G54">
        <v>20045810201</v>
      </c>
      <c r="H54" s="6" t="str">
        <f t="shared" si="3"/>
        <v>2004581020133</v>
      </c>
      <c r="I54" s="2">
        <v>46023</v>
      </c>
      <c r="J54" s="2">
        <v>46235</v>
      </c>
      <c r="K54" t="s">
        <v>1</v>
      </c>
      <c r="L54" t="s">
        <v>0</v>
      </c>
      <c r="M54" s="1">
        <v>32.58</v>
      </c>
      <c r="N54" t="s">
        <v>106</v>
      </c>
      <c r="O54" t="s">
        <v>105</v>
      </c>
    </row>
    <row r="55" spans="1:15" x14ac:dyDescent="0.25">
      <c r="A55" t="s">
        <v>13</v>
      </c>
      <c r="B55">
        <v>9254978</v>
      </c>
      <c r="C55" t="s">
        <v>112</v>
      </c>
      <c r="D55" t="s">
        <v>36</v>
      </c>
      <c r="E55" t="s">
        <v>62</v>
      </c>
      <c r="F55" s="3" t="str">
        <f t="shared" si="1"/>
        <v>John Potter</v>
      </c>
      <c r="G55">
        <v>20040587601</v>
      </c>
      <c r="H55" s="6" t="str">
        <f t="shared" si="3"/>
        <v>2004058760133</v>
      </c>
      <c r="I55" s="2">
        <v>46023</v>
      </c>
      <c r="J55" s="2">
        <v>46235</v>
      </c>
      <c r="K55" t="s">
        <v>1</v>
      </c>
      <c r="L55" t="s">
        <v>0</v>
      </c>
      <c r="M55" s="1">
        <v>32.58</v>
      </c>
      <c r="N55" t="s">
        <v>106</v>
      </c>
      <c r="O55" t="s">
        <v>105</v>
      </c>
    </row>
    <row r="56" spans="1:15" x14ac:dyDescent="0.25">
      <c r="A56" t="s">
        <v>13</v>
      </c>
      <c r="B56">
        <v>9254978</v>
      </c>
      <c r="C56" t="s">
        <v>112</v>
      </c>
      <c r="D56" t="s">
        <v>61</v>
      </c>
      <c r="E56" t="s">
        <v>60</v>
      </c>
      <c r="F56" s="3" t="str">
        <f t="shared" si="1"/>
        <v>Roger Mccoy</v>
      </c>
      <c r="G56">
        <v>20063885901</v>
      </c>
      <c r="H56" s="6" t="str">
        <f t="shared" si="3"/>
        <v>2006388590133</v>
      </c>
      <c r="I56" s="2">
        <v>46023</v>
      </c>
      <c r="J56" s="2">
        <v>46235</v>
      </c>
      <c r="K56" t="s">
        <v>1</v>
      </c>
      <c r="L56" t="s">
        <v>0</v>
      </c>
      <c r="M56" s="1">
        <v>32.58</v>
      </c>
      <c r="N56" t="s">
        <v>106</v>
      </c>
      <c r="O56" t="s">
        <v>105</v>
      </c>
    </row>
    <row r="57" spans="1:15" x14ac:dyDescent="0.25">
      <c r="A57" t="s">
        <v>13</v>
      </c>
      <c r="B57">
        <v>9254978</v>
      </c>
      <c r="C57" t="s">
        <v>112</v>
      </c>
      <c r="D57" t="s">
        <v>59</v>
      </c>
      <c r="E57" t="s">
        <v>58</v>
      </c>
      <c r="F57" s="3" t="str">
        <f t="shared" si="1"/>
        <v>Glenn Mccloskey</v>
      </c>
      <c r="G57">
        <v>20038840101</v>
      </c>
      <c r="H57" s="6" t="str">
        <f t="shared" si="3"/>
        <v>2003884010133</v>
      </c>
      <c r="I57" s="2">
        <v>46023</v>
      </c>
      <c r="J57" s="2">
        <v>46235</v>
      </c>
      <c r="K57" t="s">
        <v>1</v>
      </c>
      <c r="L57" t="s">
        <v>0</v>
      </c>
      <c r="M57" s="1">
        <v>32.58</v>
      </c>
      <c r="N57" t="s">
        <v>106</v>
      </c>
      <c r="O57" t="s">
        <v>105</v>
      </c>
    </row>
    <row r="58" spans="1:15" x14ac:dyDescent="0.25">
      <c r="A58" t="s">
        <v>13</v>
      </c>
      <c r="B58">
        <v>9254978</v>
      </c>
      <c r="C58" t="s">
        <v>112</v>
      </c>
      <c r="D58" t="s">
        <v>57</v>
      </c>
      <c r="E58" t="s">
        <v>56</v>
      </c>
      <c r="F58" s="3" t="str">
        <f t="shared" si="1"/>
        <v>Fred Mcclintic</v>
      </c>
      <c r="G58">
        <v>20057066101</v>
      </c>
      <c r="H58" s="6" t="str">
        <f t="shared" si="3"/>
        <v>2005706610133</v>
      </c>
      <c r="I58" s="2">
        <v>46023</v>
      </c>
      <c r="J58" s="2">
        <v>46235</v>
      </c>
      <c r="K58" t="s">
        <v>1</v>
      </c>
      <c r="L58" t="s">
        <v>0</v>
      </c>
      <c r="M58" s="1">
        <v>32.58</v>
      </c>
      <c r="N58" t="s">
        <v>106</v>
      </c>
      <c r="O58" t="s">
        <v>105</v>
      </c>
    </row>
    <row r="59" spans="1:15" x14ac:dyDescent="0.25">
      <c r="A59" t="s">
        <v>13</v>
      </c>
      <c r="B59">
        <v>9254978</v>
      </c>
      <c r="C59" t="s">
        <v>112</v>
      </c>
      <c r="D59" t="s">
        <v>55</v>
      </c>
      <c r="E59" t="s">
        <v>54</v>
      </c>
      <c r="F59" s="3" t="str">
        <f t="shared" si="1"/>
        <v>Hollie Lindquist</v>
      </c>
      <c r="G59">
        <v>20054968601</v>
      </c>
      <c r="H59" s="6" t="str">
        <f t="shared" si="3"/>
        <v>2005496860133</v>
      </c>
      <c r="I59" s="2">
        <v>46023</v>
      </c>
      <c r="J59" s="2">
        <v>46235</v>
      </c>
      <c r="K59" t="s">
        <v>1</v>
      </c>
      <c r="L59" t="s">
        <v>0</v>
      </c>
      <c r="M59" s="1">
        <v>32.58</v>
      </c>
      <c r="N59" t="s">
        <v>106</v>
      </c>
      <c r="O59" t="s">
        <v>105</v>
      </c>
    </row>
    <row r="60" spans="1:15" x14ac:dyDescent="0.25">
      <c r="A60" t="s">
        <v>13</v>
      </c>
      <c r="B60">
        <v>9254978</v>
      </c>
      <c r="C60" t="s">
        <v>112</v>
      </c>
      <c r="D60" t="s">
        <v>53</v>
      </c>
      <c r="E60" t="s">
        <v>52</v>
      </c>
      <c r="F60" s="3" t="str">
        <f t="shared" si="1"/>
        <v>Susan Havens</v>
      </c>
      <c r="G60">
        <v>10008741301</v>
      </c>
      <c r="H60" s="6" t="str">
        <f t="shared" si="3"/>
        <v>1000874130133</v>
      </c>
      <c r="I60" s="2">
        <v>46023</v>
      </c>
      <c r="J60" s="2">
        <v>46235</v>
      </c>
      <c r="K60" t="s">
        <v>1</v>
      </c>
      <c r="L60" t="s">
        <v>0</v>
      </c>
      <c r="M60" s="1">
        <v>32.58</v>
      </c>
      <c r="N60" t="s">
        <v>106</v>
      </c>
      <c r="O60" t="s">
        <v>105</v>
      </c>
    </row>
    <row r="61" spans="1:15" x14ac:dyDescent="0.25">
      <c r="A61" t="s">
        <v>13</v>
      </c>
      <c r="B61">
        <v>9254978</v>
      </c>
      <c r="C61" t="s">
        <v>112</v>
      </c>
      <c r="D61" t="s">
        <v>49</v>
      </c>
      <c r="E61" t="s">
        <v>52</v>
      </c>
      <c r="F61" s="3" t="str">
        <f t="shared" si="1"/>
        <v>Thomas Havens</v>
      </c>
      <c r="G61">
        <v>20009616401</v>
      </c>
      <c r="H61" s="6" t="str">
        <f t="shared" si="3"/>
        <v>2000961640133</v>
      </c>
      <c r="I61" s="2">
        <v>46023</v>
      </c>
      <c r="J61" s="2">
        <v>46235</v>
      </c>
      <c r="K61" t="s">
        <v>1</v>
      </c>
      <c r="L61" t="s">
        <v>0</v>
      </c>
      <c r="M61" s="1">
        <v>32.58</v>
      </c>
      <c r="N61" t="s">
        <v>106</v>
      </c>
      <c r="O61" t="s">
        <v>105</v>
      </c>
    </row>
    <row r="62" spans="1:15" x14ac:dyDescent="0.25">
      <c r="A62" t="s">
        <v>13</v>
      </c>
      <c r="B62">
        <v>9254978</v>
      </c>
      <c r="C62" t="s">
        <v>112</v>
      </c>
      <c r="D62" t="s">
        <v>51</v>
      </c>
      <c r="E62" t="s">
        <v>50</v>
      </c>
      <c r="F62" s="3" t="str">
        <f t="shared" si="1"/>
        <v>Jackalin Haines</v>
      </c>
      <c r="G62">
        <v>10124160901</v>
      </c>
      <c r="H62" s="6" t="str">
        <f t="shared" si="3"/>
        <v>1012416090133</v>
      </c>
      <c r="I62" s="2">
        <v>46023</v>
      </c>
      <c r="J62" s="2">
        <v>46235</v>
      </c>
      <c r="K62" t="s">
        <v>1</v>
      </c>
      <c r="L62" t="s">
        <v>0</v>
      </c>
      <c r="M62" s="1">
        <v>32.58</v>
      </c>
      <c r="N62" t="s">
        <v>106</v>
      </c>
      <c r="O62" t="s">
        <v>105</v>
      </c>
    </row>
    <row r="63" spans="1:15" x14ac:dyDescent="0.25">
      <c r="A63" t="s">
        <v>13</v>
      </c>
      <c r="B63">
        <v>9254978</v>
      </c>
      <c r="C63" t="s">
        <v>112</v>
      </c>
      <c r="D63" t="s">
        <v>49</v>
      </c>
      <c r="E63" t="s">
        <v>48</v>
      </c>
      <c r="F63" s="3" t="str">
        <f t="shared" si="1"/>
        <v>Thomas Gardner</v>
      </c>
      <c r="G63">
        <v>20011185201</v>
      </c>
      <c r="H63" s="6" t="str">
        <f t="shared" si="3"/>
        <v>2001118520133</v>
      </c>
      <c r="I63" s="2">
        <v>46023</v>
      </c>
      <c r="J63" s="2">
        <v>46235</v>
      </c>
      <c r="K63" t="s">
        <v>1</v>
      </c>
      <c r="L63" t="s">
        <v>0</v>
      </c>
      <c r="M63" s="1">
        <v>32.58</v>
      </c>
      <c r="N63" t="s">
        <v>106</v>
      </c>
      <c r="O63" t="s">
        <v>105</v>
      </c>
    </row>
    <row r="64" spans="1:15" x14ac:dyDescent="0.25">
      <c r="A64" t="s">
        <v>13</v>
      </c>
      <c r="B64">
        <v>9254978</v>
      </c>
      <c r="C64" t="s">
        <v>112</v>
      </c>
      <c r="D64" t="s">
        <v>47</v>
      </c>
      <c r="E64" t="s">
        <v>45</v>
      </c>
      <c r="F64" s="3" t="str">
        <f t="shared" si="1"/>
        <v>Eugene Falls</v>
      </c>
      <c r="G64">
        <v>85742701</v>
      </c>
      <c r="H64" s="6" t="str">
        <f t="shared" si="3"/>
        <v>8574270133</v>
      </c>
      <c r="I64" s="2">
        <v>46023</v>
      </c>
      <c r="J64" s="2">
        <v>46235</v>
      </c>
      <c r="K64" t="s">
        <v>1</v>
      </c>
      <c r="L64" t="s">
        <v>0</v>
      </c>
      <c r="M64" s="1">
        <v>32.58</v>
      </c>
      <c r="N64" t="s">
        <v>106</v>
      </c>
      <c r="O64" t="s">
        <v>105</v>
      </c>
    </row>
    <row r="65" spans="1:15" x14ac:dyDescent="0.25">
      <c r="A65" t="s">
        <v>13</v>
      </c>
      <c r="B65">
        <v>9254978</v>
      </c>
      <c r="C65" t="s">
        <v>112</v>
      </c>
      <c r="D65" t="s">
        <v>46</v>
      </c>
      <c r="E65" t="s">
        <v>45</v>
      </c>
      <c r="F65" s="3" t="str">
        <f t="shared" si="1"/>
        <v>Lyndia Falls</v>
      </c>
      <c r="G65">
        <v>96603301</v>
      </c>
      <c r="H65" s="6" t="str">
        <f t="shared" si="3"/>
        <v>9660330133</v>
      </c>
      <c r="I65" s="2">
        <v>46023</v>
      </c>
      <c r="J65" s="2">
        <v>46235</v>
      </c>
      <c r="K65" t="s">
        <v>1</v>
      </c>
      <c r="L65" t="s">
        <v>0</v>
      </c>
      <c r="M65" s="1">
        <v>32.58</v>
      </c>
      <c r="N65" t="s">
        <v>106</v>
      </c>
      <c r="O65" t="s">
        <v>105</v>
      </c>
    </row>
    <row r="66" spans="1:15" x14ac:dyDescent="0.25">
      <c r="A66" t="s">
        <v>13</v>
      </c>
      <c r="B66">
        <v>9254978</v>
      </c>
      <c r="C66" t="s">
        <v>112</v>
      </c>
      <c r="D66" t="s">
        <v>36</v>
      </c>
      <c r="E66" t="s">
        <v>44</v>
      </c>
      <c r="F66" s="3" t="str">
        <f t="shared" si="1"/>
        <v>John Etters</v>
      </c>
      <c r="G66">
        <v>20032206001</v>
      </c>
      <c r="H66" s="6" t="str">
        <f t="shared" si="3"/>
        <v>2003220600133</v>
      </c>
      <c r="I66" s="2">
        <v>46023</v>
      </c>
      <c r="J66" s="2">
        <v>46235</v>
      </c>
      <c r="K66" t="s">
        <v>1</v>
      </c>
      <c r="L66" t="s">
        <v>0</v>
      </c>
      <c r="M66" s="1">
        <v>32.58</v>
      </c>
      <c r="N66" t="s">
        <v>106</v>
      </c>
      <c r="O66" t="s">
        <v>105</v>
      </c>
    </row>
    <row r="67" spans="1:15" x14ac:dyDescent="0.25">
      <c r="A67" t="s">
        <v>13</v>
      </c>
      <c r="B67">
        <v>9254978</v>
      </c>
      <c r="C67" t="s">
        <v>112</v>
      </c>
      <c r="D67" t="s">
        <v>43</v>
      </c>
      <c r="E67" t="s">
        <v>42</v>
      </c>
      <c r="F67" s="3" t="str">
        <f t="shared" ref="F67:F90" si="4">CONCATENATE(D67," ",E67)</f>
        <v>Judy Detar</v>
      </c>
      <c r="G67">
        <v>10096067901</v>
      </c>
      <c r="H67" s="6" t="str">
        <f t="shared" si="3"/>
        <v>1009606790133</v>
      </c>
      <c r="I67" s="2">
        <v>46023</v>
      </c>
      <c r="J67" s="2">
        <v>46235</v>
      </c>
      <c r="K67" t="s">
        <v>1</v>
      </c>
      <c r="L67" t="s">
        <v>0</v>
      </c>
      <c r="M67" s="1">
        <v>32.58</v>
      </c>
      <c r="N67" t="s">
        <v>106</v>
      </c>
      <c r="O67" t="s">
        <v>105</v>
      </c>
    </row>
    <row r="68" spans="1:15" x14ac:dyDescent="0.25">
      <c r="A68" t="s">
        <v>13</v>
      </c>
      <c r="B68">
        <v>9254978</v>
      </c>
      <c r="C68" t="s">
        <v>112</v>
      </c>
      <c r="D68" t="s">
        <v>39</v>
      </c>
      <c r="E68" t="s">
        <v>37</v>
      </c>
      <c r="F68" s="3" t="str">
        <f t="shared" si="4"/>
        <v>Irving Davies</v>
      </c>
      <c r="G68">
        <v>20041787401</v>
      </c>
      <c r="H68" s="6" t="str">
        <f t="shared" si="3"/>
        <v>2004178740133</v>
      </c>
      <c r="I68" s="2">
        <v>46023</v>
      </c>
      <c r="J68" s="2">
        <v>46235</v>
      </c>
      <c r="K68" t="s">
        <v>1</v>
      </c>
      <c r="L68" t="s">
        <v>0</v>
      </c>
      <c r="M68" s="1">
        <v>32.58</v>
      </c>
      <c r="N68" t="s">
        <v>106</v>
      </c>
      <c r="O68" t="s">
        <v>105</v>
      </c>
    </row>
    <row r="69" spans="1:15" x14ac:dyDescent="0.25">
      <c r="A69" t="s">
        <v>13</v>
      </c>
      <c r="B69">
        <v>9254978</v>
      </c>
      <c r="C69" t="s">
        <v>112</v>
      </c>
      <c r="D69" t="s">
        <v>38</v>
      </c>
      <c r="E69" t="s">
        <v>37</v>
      </c>
      <c r="F69" s="3" t="str">
        <f t="shared" si="4"/>
        <v>Thelma Davies</v>
      </c>
      <c r="G69">
        <v>20041800601</v>
      </c>
      <c r="H69" s="6" t="str">
        <f t="shared" si="3"/>
        <v>2004180060133</v>
      </c>
      <c r="I69" s="2">
        <v>46023</v>
      </c>
      <c r="J69" s="2">
        <v>46235</v>
      </c>
      <c r="K69" t="s">
        <v>1</v>
      </c>
      <c r="L69" t="s">
        <v>0</v>
      </c>
      <c r="M69" s="1">
        <v>32.58</v>
      </c>
      <c r="N69" t="s">
        <v>106</v>
      </c>
      <c r="O69" t="s">
        <v>105</v>
      </c>
    </row>
    <row r="70" spans="1:15" x14ac:dyDescent="0.25">
      <c r="A70" t="s">
        <v>13</v>
      </c>
      <c r="B70">
        <v>9254978</v>
      </c>
      <c r="C70" t="s">
        <v>112</v>
      </c>
      <c r="D70" t="s">
        <v>36</v>
      </c>
      <c r="E70" t="s">
        <v>35</v>
      </c>
      <c r="F70" s="3" t="str">
        <f t="shared" si="4"/>
        <v>John Coursen</v>
      </c>
      <c r="G70">
        <v>20038842601</v>
      </c>
      <c r="H70" s="6" t="str">
        <f t="shared" si="3"/>
        <v>2003884260133</v>
      </c>
      <c r="I70" s="2">
        <v>46023</v>
      </c>
      <c r="J70" s="2">
        <v>46235</v>
      </c>
      <c r="K70" t="s">
        <v>1</v>
      </c>
      <c r="L70" t="s">
        <v>0</v>
      </c>
      <c r="M70" s="1">
        <v>32.58</v>
      </c>
      <c r="N70" t="s">
        <v>106</v>
      </c>
      <c r="O70" t="s">
        <v>105</v>
      </c>
    </row>
    <row r="71" spans="1:15" x14ac:dyDescent="0.25">
      <c r="A71" t="s">
        <v>13</v>
      </c>
      <c r="B71">
        <v>9254978</v>
      </c>
      <c r="C71" t="s">
        <v>112</v>
      </c>
      <c r="D71" t="s">
        <v>34</v>
      </c>
      <c r="E71" t="s">
        <v>32</v>
      </c>
      <c r="F71" s="3" t="str">
        <f t="shared" si="4"/>
        <v>Betty Corman</v>
      </c>
      <c r="G71">
        <v>20039206601</v>
      </c>
      <c r="H71" s="6" t="str">
        <f t="shared" si="3"/>
        <v>2003920660133</v>
      </c>
      <c r="I71" s="2">
        <v>46023</v>
      </c>
      <c r="J71" s="2">
        <v>46235</v>
      </c>
      <c r="K71" t="s">
        <v>1</v>
      </c>
      <c r="L71" t="s">
        <v>0</v>
      </c>
      <c r="M71" s="1">
        <v>32.58</v>
      </c>
      <c r="N71" t="s">
        <v>106</v>
      </c>
      <c r="O71" t="s">
        <v>105</v>
      </c>
    </row>
    <row r="72" spans="1:15" x14ac:dyDescent="0.25">
      <c r="A72" t="s">
        <v>13</v>
      </c>
      <c r="B72">
        <v>9254978</v>
      </c>
      <c r="C72" t="s">
        <v>112</v>
      </c>
      <c r="D72" t="s">
        <v>33</v>
      </c>
      <c r="E72" t="s">
        <v>32</v>
      </c>
      <c r="F72" s="3" t="str">
        <f t="shared" si="4"/>
        <v>Ray Corman</v>
      </c>
      <c r="G72">
        <v>20039228601</v>
      </c>
      <c r="H72" s="6" t="str">
        <f t="shared" si="3"/>
        <v>2003922860133</v>
      </c>
      <c r="I72" s="2">
        <v>46023</v>
      </c>
      <c r="J72" s="2">
        <v>46235</v>
      </c>
      <c r="K72" t="s">
        <v>1</v>
      </c>
      <c r="L72" t="s">
        <v>0</v>
      </c>
      <c r="M72" s="1">
        <v>32.58</v>
      </c>
      <c r="N72" t="s">
        <v>106</v>
      </c>
      <c r="O72" t="s">
        <v>105</v>
      </c>
    </row>
    <row r="73" spans="1:15" x14ac:dyDescent="0.25">
      <c r="A73" t="s">
        <v>13</v>
      </c>
      <c r="B73">
        <v>9254978</v>
      </c>
      <c r="C73" t="s">
        <v>112</v>
      </c>
      <c r="D73" t="s">
        <v>29</v>
      </c>
      <c r="E73" t="s">
        <v>28</v>
      </c>
      <c r="F73" s="3" t="str">
        <f t="shared" si="4"/>
        <v>Daniel Brownson</v>
      </c>
      <c r="G73">
        <v>20039512801</v>
      </c>
      <c r="H73" s="6" t="str">
        <f t="shared" si="3"/>
        <v>2003951280133</v>
      </c>
      <c r="I73" s="2">
        <v>46023</v>
      </c>
      <c r="J73" s="2">
        <v>46235</v>
      </c>
      <c r="K73" t="s">
        <v>1</v>
      </c>
      <c r="L73" t="s">
        <v>0</v>
      </c>
      <c r="M73" s="1">
        <v>32.58</v>
      </c>
      <c r="N73" t="s">
        <v>106</v>
      </c>
      <c r="O73" t="s">
        <v>105</v>
      </c>
    </row>
    <row r="74" spans="1:15" x14ac:dyDescent="0.25">
      <c r="A74" t="s">
        <v>13</v>
      </c>
      <c r="B74">
        <v>9254978</v>
      </c>
      <c r="C74" t="s">
        <v>112</v>
      </c>
      <c r="D74" t="s">
        <v>27</v>
      </c>
      <c r="E74" t="s">
        <v>25</v>
      </c>
      <c r="F74" s="3" t="str">
        <f t="shared" si="4"/>
        <v>Terrence Benton</v>
      </c>
      <c r="G74">
        <v>20038818301</v>
      </c>
      <c r="H74" s="6" t="str">
        <f t="shared" si="3"/>
        <v>2003881830133</v>
      </c>
      <c r="I74" s="2">
        <v>46023</v>
      </c>
      <c r="J74" s="2">
        <v>46235</v>
      </c>
      <c r="K74" t="s">
        <v>1</v>
      </c>
      <c r="L74" t="s">
        <v>0</v>
      </c>
      <c r="M74" s="1">
        <v>32.58</v>
      </c>
      <c r="N74" t="s">
        <v>106</v>
      </c>
      <c r="O74" t="s">
        <v>105</v>
      </c>
    </row>
    <row r="75" spans="1:15" x14ac:dyDescent="0.25">
      <c r="A75" t="s">
        <v>13</v>
      </c>
      <c r="B75">
        <v>9254978</v>
      </c>
      <c r="C75" t="s">
        <v>112</v>
      </c>
      <c r="D75" t="s">
        <v>26</v>
      </c>
      <c r="E75" t="s">
        <v>25</v>
      </c>
      <c r="F75" s="3" t="str">
        <f t="shared" si="4"/>
        <v>Jacqueline Benton</v>
      </c>
      <c r="G75">
        <v>20038840001</v>
      </c>
      <c r="H75" s="6" t="str">
        <f t="shared" si="3"/>
        <v>2003884000133</v>
      </c>
      <c r="I75" s="2">
        <v>46023</v>
      </c>
      <c r="J75" s="2">
        <v>46235</v>
      </c>
      <c r="K75" t="s">
        <v>1</v>
      </c>
      <c r="L75" t="s">
        <v>0</v>
      </c>
      <c r="M75" s="1">
        <v>32.58</v>
      </c>
      <c r="N75" t="s">
        <v>106</v>
      </c>
      <c r="O75" t="s">
        <v>105</v>
      </c>
    </row>
    <row r="76" spans="1:15" x14ac:dyDescent="0.25">
      <c r="A76" t="s">
        <v>13</v>
      </c>
      <c r="B76">
        <v>9254978</v>
      </c>
      <c r="C76" t="s">
        <v>112</v>
      </c>
      <c r="D76" t="s">
        <v>24</v>
      </c>
      <c r="E76" t="s">
        <v>23</v>
      </c>
      <c r="F76" s="3" t="str">
        <f t="shared" si="4"/>
        <v>Melinda Barnett</v>
      </c>
      <c r="G76">
        <v>20032097801</v>
      </c>
      <c r="H76" s="6" t="str">
        <f t="shared" si="3"/>
        <v>2003209780133</v>
      </c>
      <c r="I76" s="2">
        <v>46023</v>
      </c>
      <c r="J76" s="2">
        <v>46235</v>
      </c>
      <c r="K76" t="s">
        <v>1</v>
      </c>
      <c r="L76" t="s">
        <v>0</v>
      </c>
      <c r="M76" s="1">
        <v>32.58</v>
      </c>
      <c r="N76" t="s">
        <v>106</v>
      </c>
      <c r="O76" t="s">
        <v>105</v>
      </c>
    </row>
    <row r="77" spans="1:15" x14ac:dyDescent="0.25">
      <c r="A77" t="s">
        <v>13</v>
      </c>
      <c r="B77">
        <v>9254978</v>
      </c>
      <c r="C77" t="s">
        <v>112</v>
      </c>
      <c r="D77" t="s">
        <v>19</v>
      </c>
      <c r="E77" t="s">
        <v>18</v>
      </c>
      <c r="F77" s="3" t="str">
        <f t="shared" si="4"/>
        <v>Cindy Bair</v>
      </c>
      <c r="G77">
        <v>20038750301</v>
      </c>
      <c r="H77" s="6" t="str">
        <f t="shared" si="3"/>
        <v>2003875030133</v>
      </c>
      <c r="I77" s="2">
        <v>46023</v>
      </c>
      <c r="J77" s="2">
        <v>46235</v>
      </c>
      <c r="K77" t="s">
        <v>1</v>
      </c>
      <c r="L77" t="s">
        <v>0</v>
      </c>
      <c r="M77" s="1">
        <v>32.58</v>
      </c>
      <c r="N77" t="s">
        <v>106</v>
      </c>
      <c r="O77" t="s">
        <v>105</v>
      </c>
    </row>
    <row r="78" spans="1:15" x14ac:dyDescent="0.25">
      <c r="A78" t="s">
        <v>13</v>
      </c>
      <c r="B78">
        <v>9254978</v>
      </c>
      <c r="C78" t="s">
        <v>112</v>
      </c>
      <c r="D78" t="s">
        <v>41</v>
      </c>
      <c r="E78" t="s">
        <v>40</v>
      </c>
      <c r="F78" s="3" t="str">
        <f t="shared" si="4"/>
        <v>Robert Dehaas</v>
      </c>
      <c r="G78">
        <v>10028861101</v>
      </c>
      <c r="H78" s="6" t="str">
        <f t="shared" si="3"/>
        <v>1002886110133</v>
      </c>
      <c r="I78" s="2">
        <v>46054</v>
      </c>
      <c r="J78" s="2">
        <v>46235</v>
      </c>
      <c r="K78" t="s">
        <v>1</v>
      </c>
      <c r="L78" t="s">
        <v>0</v>
      </c>
      <c r="M78" s="1">
        <v>32.58</v>
      </c>
      <c r="N78" t="s">
        <v>106</v>
      </c>
      <c r="O78" t="s">
        <v>105</v>
      </c>
    </row>
    <row r="79" spans="1:15" x14ac:dyDescent="0.25">
      <c r="A79" t="s">
        <v>82</v>
      </c>
      <c r="B79">
        <v>17425766</v>
      </c>
      <c r="C79">
        <v>17425766</v>
      </c>
      <c r="D79" t="s">
        <v>81</v>
      </c>
      <c r="E79" t="s">
        <v>80</v>
      </c>
      <c r="F79" s="3" t="str">
        <f t="shared" si="4"/>
        <v>Jackie Williams</v>
      </c>
      <c r="G79">
        <v>20044292901</v>
      </c>
      <c r="H79" s="6" t="str">
        <f t="shared" si="3"/>
        <v>2004429290133</v>
      </c>
      <c r="I79" s="2">
        <v>45689</v>
      </c>
      <c r="J79" s="2">
        <v>46235</v>
      </c>
      <c r="K79" t="s">
        <v>1</v>
      </c>
      <c r="L79" t="s">
        <v>0</v>
      </c>
      <c r="M79" s="1">
        <v>32.58</v>
      </c>
      <c r="N79" t="s">
        <v>106</v>
      </c>
      <c r="O79" t="s">
        <v>105</v>
      </c>
    </row>
    <row r="80" spans="1:15" x14ac:dyDescent="0.25">
      <c r="A80" t="s">
        <v>85</v>
      </c>
      <c r="B80">
        <v>18598357</v>
      </c>
      <c r="C80">
        <v>18598357</v>
      </c>
      <c r="D80" t="s">
        <v>31</v>
      </c>
      <c r="E80" t="s">
        <v>87</v>
      </c>
      <c r="F80" s="3" t="str">
        <f t="shared" si="4"/>
        <v>Edward Kingsland</v>
      </c>
      <c r="G80">
        <v>20041040101</v>
      </c>
      <c r="H80" s="6" t="str">
        <f t="shared" si="3"/>
        <v>2004104010133</v>
      </c>
      <c r="I80" s="2">
        <v>45809</v>
      </c>
      <c r="J80" s="2">
        <v>46235</v>
      </c>
      <c r="K80" t="s">
        <v>1</v>
      </c>
      <c r="L80" t="s">
        <v>0</v>
      </c>
      <c r="M80" s="1">
        <v>32.58</v>
      </c>
      <c r="N80" t="s">
        <v>106</v>
      </c>
      <c r="O80" t="s">
        <v>105</v>
      </c>
    </row>
    <row r="81" spans="1:18" x14ac:dyDescent="0.25">
      <c r="A81" t="s">
        <v>85</v>
      </c>
      <c r="B81">
        <v>18598357</v>
      </c>
      <c r="C81">
        <v>18598357</v>
      </c>
      <c r="D81" t="s">
        <v>3</v>
      </c>
      <c r="E81" t="s">
        <v>86</v>
      </c>
      <c r="F81" s="3" t="str">
        <f t="shared" si="4"/>
        <v>Nicholas Ierovante</v>
      </c>
      <c r="G81">
        <v>20058750001</v>
      </c>
      <c r="H81" s="6" t="str">
        <f t="shared" si="3"/>
        <v>2005875000133</v>
      </c>
      <c r="I81" s="2">
        <v>46023</v>
      </c>
      <c r="J81" s="2">
        <v>46235</v>
      </c>
      <c r="K81" t="s">
        <v>1</v>
      </c>
      <c r="L81" t="s">
        <v>0</v>
      </c>
      <c r="M81" s="1">
        <v>32.58</v>
      </c>
      <c r="N81" t="s">
        <v>106</v>
      </c>
      <c r="O81" t="s">
        <v>105</v>
      </c>
    </row>
    <row r="82" spans="1:18" x14ac:dyDescent="0.25">
      <c r="A82" t="s">
        <v>92</v>
      </c>
      <c r="B82">
        <v>18794740</v>
      </c>
      <c r="C82">
        <v>18794740</v>
      </c>
      <c r="D82" t="s">
        <v>91</v>
      </c>
      <c r="E82" t="s">
        <v>90</v>
      </c>
      <c r="F82" s="3" t="str">
        <f t="shared" si="4"/>
        <v>Debra Vanderduim</v>
      </c>
      <c r="G82">
        <v>20063015901</v>
      </c>
      <c r="H82" s="6" t="str">
        <f t="shared" si="3"/>
        <v>2006301590133</v>
      </c>
      <c r="I82" s="2">
        <v>45292</v>
      </c>
      <c r="J82" s="2">
        <v>46235</v>
      </c>
      <c r="K82" t="s">
        <v>1</v>
      </c>
      <c r="L82" t="s">
        <v>0</v>
      </c>
      <c r="M82" s="1">
        <v>32.58</v>
      </c>
      <c r="N82" t="s">
        <v>106</v>
      </c>
      <c r="O82" t="s">
        <v>105</v>
      </c>
    </row>
    <row r="83" spans="1:18" x14ac:dyDescent="0.25">
      <c r="A83" t="s">
        <v>4</v>
      </c>
      <c r="B83">
        <v>15950276</v>
      </c>
      <c r="C83">
        <v>15950276</v>
      </c>
      <c r="D83" t="s">
        <v>9</v>
      </c>
      <c r="E83" t="s">
        <v>7</v>
      </c>
      <c r="F83" s="3" t="str">
        <f t="shared" si="4"/>
        <v>Irene Walsh</v>
      </c>
      <c r="G83">
        <v>20010119701</v>
      </c>
      <c r="H83" s="6" t="str">
        <f t="shared" si="3"/>
        <v>2001011970133</v>
      </c>
      <c r="I83" s="2">
        <v>43466</v>
      </c>
      <c r="J83" s="2">
        <v>46235</v>
      </c>
      <c r="K83" t="s">
        <v>1</v>
      </c>
      <c r="L83" t="s">
        <v>0</v>
      </c>
      <c r="M83" s="1">
        <v>32.58</v>
      </c>
      <c r="N83" t="s">
        <v>106</v>
      </c>
      <c r="O83" t="s">
        <v>105</v>
      </c>
    </row>
    <row r="84" spans="1:18" x14ac:dyDescent="0.25">
      <c r="A84" t="s">
        <v>4</v>
      </c>
      <c r="B84">
        <v>15950276</v>
      </c>
      <c r="C84">
        <v>15950276</v>
      </c>
      <c r="D84" t="s">
        <v>8</v>
      </c>
      <c r="E84" t="s">
        <v>7</v>
      </c>
      <c r="F84" s="3" t="str">
        <f t="shared" si="4"/>
        <v>Clifford Walsh</v>
      </c>
      <c r="G84">
        <v>20039572101</v>
      </c>
      <c r="H84" s="6" t="str">
        <f t="shared" si="3"/>
        <v>2003957210133</v>
      </c>
      <c r="I84" s="2">
        <v>44531</v>
      </c>
      <c r="J84" s="2">
        <v>46235</v>
      </c>
      <c r="K84" t="s">
        <v>1</v>
      </c>
      <c r="L84" t="s">
        <v>0</v>
      </c>
      <c r="M84" s="1">
        <v>32.58</v>
      </c>
      <c r="N84" t="s">
        <v>106</v>
      </c>
      <c r="O84" t="s">
        <v>105</v>
      </c>
    </row>
    <row r="85" spans="1:18" x14ac:dyDescent="0.25">
      <c r="A85" t="s">
        <v>4</v>
      </c>
      <c r="B85">
        <v>15950276</v>
      </c>
      <c r="C85">
        <v>15950276</v>
      </c>
      <c r="D85" t="s">
        <v>6</v>
      </c>
      <c r="E85" t="s">
        <v>5</v>
      </c>
      <c r="F85" s="3" t="str">
        <f t="shared" si="4"/>
        <v>Jean Francois Orszag</v>
      </c>
      <c r="G85">
        <v>20020870101</v>
      </c>
      <c r="H85" s="6" t="str">
        <f t="shared" si="3"/>
        <v>2002087010133</v>
      </c>
      <c r="I85" s="2">
        <v>44197</v>
      </c>
      <c r="J85" s="2">
        <v>46235</v>
      </c>
      <c r="K85" t="s">
        <v>1</v>
      </c>
      <c r="L85" t="s">
        <v>0</v>
      </c>
      <c r="M85" s="1">
        <v>32.58</v>
      </c>
      <c r="N85" t="s">
        <v>106</v>
      </c>
      <c r="O85" t="s">
        <v>105</v>
      </c>
    </row>
    <row r="86" spans="1:18" x14ac:dyDescent="0.25">
      <c r="A86" t="s">
        <v>4</v>
      </c>
      <c r="B86">
        <v>15950276</v>
      </c>
      <c r="C86">
        <v>15950276</v>
      </c>
      <c r="D86" t="s">
        <v>3</v>
      </c>
      <c r="E86" t="s">
        <v>2</v>
      </c>
      <c r="F86" s="3" t="str">
        <f t="shared" si="4"/>
        <v>Nicholas Ciambrone</v>
      </c>
      <c r="G86">
        <v>20043844601</v>
      </c>
      <c r="H86" s="6" t="str">
        <f t="shared" si="3"/>
        <v>2004384460133</v>
      </c>
      <c r="I86" s="2">
        <v>44713</v>
      </c>
      <c r="J86" s="2">
        <v>46235</v>
      </c>
      <c r="K86" t="s">
        <v>1</v>
      </c>
      <c r="L86" t="s">
        <v>0</v>
      </c>
      <c r="M86" s="1">
        <v>32.58</v>
      </c>
      <c r="N86" t="s">
        <v>106</v>
      </c>
      <c r="O86" t="s">
        <v>105</v>
      </c>
    </row>
    <row r="87" spans="1:18" s="3" customFormat="1" x14ac:dyDescent="0.25">
      <c r="A87" s="3" t="s">
        <v>13</v>
      </c>
      <c r="B87" s="3">
        <v>9254978</v>
      </c>
      <c r="C87" s="3" t="str">
        <f>CONCATENATE(B87,"OVR")</f>
        <v>9254978OVR</v>
      </c>
      <c r="D87" s="3" t="s">
        <v>16</v>
      </c>
      <c r="E87" s="3" t="s">
        <v>15</v>
      </c>
      <c r="F87" s="3" t="str">
        <f t="shared" si="4"/>
        <v>Fran Walker</v>
      </c>
      <c r="G87" s="3">
        <v>20113363801</v>
      </c>
      <c r="H87" s="3" t="str">
        <f>CONCATENATE(G87,"OVR")</f>
        <v>20113363801OVR</v>
      </c>
      <c r="I87" s="4">
        <v>46266</v>
      </c>
      <c r="J87" s="4">
        <v>46387</v>
      </c>
      <c r="K87" s="3" t="s">
        <v>1</v>
      </c>
      <c r="L87" s="3" t="s">
        <v>79</v>
      </c>
      <c r="M87" s="5">
        <v>75</v>
      </c>
      <c r="N87" s="3" t="s">
        <v>107</v>
      </c>
    </row>
    <row r="88" spans="1:18" x14ac:dyDescent="0.25">
      <c r="A88" t="s">
        <v>13</v>
      </c>
      <c r="B88">
        <v>9254978</v>
      </c>
      <c r="C88" t="s">
        <v>112</v>
      </c>
      <c r="D88" t="s">
        <v>16</v>
      </c>
      <c r="E88" t="s">
        <v>15</v>
      </c>
      <c r="F88" s="3" t="str">
        <f t="shared" si="4"/>
        <v>Fran Walker</v>
      </c>
      <c r="G88">
        <v>20113363801</v>
      </c>
      <c r="H88" s="6" t="str">
        <f t="shared" ref="H88:H89" si="5">CONCATENATE(G88,33)</f>
        <v>2011336380133</v>
      </c>
      <c r="I88" s="2">
        <v>46266</v>
      </c>
      <c r="J88" s="2">
        <v>46387</v>
      </c>
      <c r="K88" t="s">
        <v>1</v>
      </c>
      <c r="L88" t="s">
        <v>14</v>
      </c>
      <c r="M88" s="1">
        <v>130.33000000000001</v>
      </c>
      <c r="N88" t="s">
        <v>106</v>
      </c>
      <c r="O88" t="s">
        <v>108</v>
      </c>
      <c r="P88">
        <f>391/12*4</f>
        <v>130.33333333333334</v>
      </c>
    </row>
    <row r="89" spans="1:18" x14ac:dyDescent="0.25">
      <c r="A89" t="s">
        <v>13</v>
      </c>
      <c r="B89">
        <v>9254978</v>
      </c>
      <c r="C89" t="s">
        <v>112</v>
      </c>
      <c r="D89" t="s">
        <v>12</v>
      </c>
      <c r="E89" t="s">
        <v>11</v>
      </c>
      <c r="F89" s="3" t="str">
        <f t="shared" si="4"/>
        <v>Clay Phillips</v>
      </c>
      <c r="G89">
        <v>20112399501</v>
      </c>
      <c r="H89" s="6" t="str">
        <f t="shared" si="5"/>
        <v>2011239950133</v>
      </c>
      <c r="I89" s="2">
        <v>46204</v>
      </c>
      <c r="J89" s="2">
        <v>46387</v>
      </c>
      <c r="K89" t="s">
        <v>1</v>
      </c>
      <c r="L89" t="s">
        <v>10</v>
      </c>
      <c r="M89" s="1">
        <v>-195.5</v>
      </c>
      <c r="N89" t="s">
        <v>106</v>
      </c>
      <c r="O89" t="s">
        <v>109</v>
      </c>
      <c r="P89">
        <f>391/12*6</f>
        <v>195.5</v>
      </c>
      <c r="R89">
        <f>781/12*9</f>
        <v>585.75</v>
      </c>
    </row>
    <row r="90" spans="1:18" x14ac:dyDescent="0.25">
      <c r="A90" t="s">
        <v>13</v>
      </c>
      <c r="B90">
        <v>9254978</v>
      </c>
      <c r="C90" t="s">
        <v>112</v>
      </c>
      <c r="D90" t="s">
        <v>12</v>
      </c>
      <c r="E90" t="s">
        <v>11</v>
      </c>
      <c r="F90" s="3" t="str">
        <f t="shared" si="4"/>
        <v>Clay Phillips</v>
      </c>
      <c r="G90">
        <v>20112399501</v>
      </c>
      <c r="H90" s="6" t="str">
        <f>CONCATENATE(G90,34)</f>
        <v>2011239950134</v>
      </c>
      <c r="I90" s="2">
        <v>46204</v>
      </c>
      <c r="J90" s="2">
        <v>46387</v>
      </c>
      <c r="K90" t="s">
        <v>1</v>
      </c>
      <c r="L90" t="s">
        <v>10</v>
      </c>
      <c r="M90" s="1">
        <v>781</v>
      </c>
      <c r="N90" t="s">
        <v>110</v>
      </c>
      <c r="O90" t="s">
        <v>111</v>
      </c>
      <c r="P90">
        <v>195.5</v>
      </c>
      <c r="R90">
        <f>781/12*9</f>
        <v>585.75</v>
      </c>
    </row>
    <row r="94" spans="1:18" x14ac:dyDescent="0.25">
      <c r="A94" t="s">
        <v>13</v>
      </c>
      <c r="B94">
        <v>9254978</v>
      </c>
      <c r="D94" t="s">
        <v>31</v>
      </c>
      <c r="E94" t="s">
        <v>30</v>
      </c>
      <c r="G94">
        <v>20037806301</v>
      </c>
      <c r="I94" s="2">
        <v>46023</v>
      </c>
      <c r="J94" s="2">
        <v>46234</v>
      </c>
      <c r="K94" t="s">
        <v>1</v>
      </c>
      <c r="L94" t="s">
        <v>93</v>
      </c>
      <c r="M94" s="1">
        <v>16.27</v>
      </c>
    </row>
    <row r="95" spans="1:18" x14ac:dyDescent="0.25">
      <c r="A95" t="s">
        <v>85</v>
      </c>
      <c r="B95">
        <v>18598357</v>
      </c>
      <c r="D95" t="s">
        <v>89</v>
      </c>
      <c r="E95" t="s">
        <v>88</v>
      </c>
      <c r="G95">
        <v>20061982301</v>
      </c>
      <c r="I95" s="2">
        <v>44986</v>
      </c>
      <c r="J95" s="2">
        <v>46234</v>
      </c>
      <c r="K95" t="s">
        <v>1</v>
      </c>
      <c r="L95" t="s">
        <v>93</v>
      </c>
      <c r="M95" s="1">
        <v>16.27</v>
      </c>
    </row>
    <row r="96" spans="1:18" x14ac:dyDescent="0.25">
      <c r="A96" t="s">
        <v>85</v>
      </c>
      <c r="B96">
        <v>18598357</v>
      </c>
      <c r="D96" t="s">
        <v>84</v>
      </c>
      <c r="E96" t="s">
        <v>83</v>
      </c>
      <c r="G96">
        <v>20031442801</v>
      </c>
      <c r="I96" s="2">
        <v>44927</v>
      </c>
      <c r="J96" s="2">
        <v>46234</v>
      </c>
      <c r="K96" t="s">
        <v>1</v>
      </c>
      <c r="L96" t="s">
        <v>93</v>
      </c>
      <c r="M96" s="1">
        <v>16.27</v>
      </c>
    </row>
  </sheetData>
  <sortState xmlns:xlrd2="http://schemas.microsoft.com/office/spreadsheetml/2017/richdata2" ref="A49:R78">
    <sortCondition ref="I49:I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2026-07-31T15:34:29Z</dcterms:created>
  <dcterms:modified xsi:type="dcterms:W3CDTF">2026-07-31T19:45:38Z</dcterms:modified>
</cp:coreProperties>
</file>