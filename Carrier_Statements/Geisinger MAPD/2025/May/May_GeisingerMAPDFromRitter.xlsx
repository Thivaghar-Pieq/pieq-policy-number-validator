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5\Geisinger 05-02-25\"/>
    </mc:Choice>
  </mc:AlternateContent>
  <xr:revisionPtr revIDLastSave="0" documentId="13_ncr:1_{E59A4183-9DEB-44DA-AEAA-ACA92C078D29}" xr6:coauthVersionLast="47" xr6:coauthVersionMax="47" xr10:uidLastSave="{00000000-0000-0000-0000-000000000000}"/>
  <bookViews>
    <workbookView xWindow="28680" yWindow="-120" windowWidth="29040" windowHeight="16440" activeTab="1" xr2:uid="{27699884-F522-4E62-84F2-BA872B4A696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  <c r="G6" i="2"/>
  <c r="G5" i="2"/>
  <c r="G4" i="2"/>
  <c r="G3" i="2"/>
  <c r="G2" i="2"/>
  <c r="E3" i="2"/>
  <c r="E4" i="2"/>
  <c r="E5" i="2"/>
  <c r="E6" i="2"/>
  <c r="E7" i="2"/>
  <c r="E2" i="2"/>
</calcChain>
</file>

<file path=xl/sharedStrings.xml><?xml version="1.0" encoding="utf-8"?>
<sst xmlns="http://schemas.openxmlformats.org/spreadsheetml/2006/main" count="91" uniqueCount="27">
  <si>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</si>
  <si>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</si>
  <si>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</si>
  <si>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</si>
  <si>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</si>
  <si>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</si>
  <si>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</si>
  <si>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</si>
  <si>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</si>
  <si>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</si>
  <si>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</si>
  <si>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</si>
  <si>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Jackie</t>
  </si>
  <si>
    <t>Williams</t>
  </si>
  <si>
    <t>Geisinger Health Plan</t>
  </si>
  <si>
    <t>GHP 2025 Replace STREET (ProRata: 1)</t>
  </si>
  <si>
    <t>Vicky</t>
  </si>
  <si>
    <t>Schaffner</t>
  </si>
  <si>
    <t>Patricia Long</t>
  </si>
  <si>
    <t>Debra</t>
  </si>
  <si>
    <t>Vanderduim</t>
  </si>
  <si>
    <t>GHP Renewal OR 2025 (ProRata: 1)</t>
  </si>
  <si>
    <t>Main Line Benefits</t>
  </si>
  <si>
    <t>17425766old</t>
  </si>
  <si>
    <t>Geisinger MAPD OVR</t>
  </si>
  <si>
    <t>Geisinger 2025 CT, PA, DC*</t>
  </si>
  <si>
    <t>[%/$=353][prorate=1/12]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</si>
</sst>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03A1-8FFB-43F7-8E71-B725D1FC83C1}">
  <dimension ref="A1:K7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>
        <v>20044292901</v>
      </c>
      <c r="G2" s="1">
        <v>45689</v>
      </c>
      <c r="H2" s="1">
        <v>45779</v>
      </c>
      <c r="I2" t="s">
        <v>14</v>
      </c>
      <c r="J2" t="s">
        <v>15</v>
      </c>
      <c r="K2" s="2">
        <v>29.41</v>
      </c>
    </row>
    <row r="3" spans="1:11" x14ac:dyDescent="0.25">
      <c r="A3" t="s">
        <v>11</v>
      </c>
      <c r="C3">
        <v>17425766</v>
      </c>
      <c r="D3" t="s">
        <v>16</v>
      </c>
      <c r="E3" t="s">
        <v>17</v>
      </c>
      <c r="F3">
        <v>20067374501</v>
      </c>
      <c r="G3" s="1">
        <v>45231</v>
      </c>
      <c r="H3" s="1">
        <v>45779</v>
      </c>
      <c r="I3" t="s">
        <v>14</v>
      </c>
      <c r="J3" t="s">
        <v>15</v>
      </c>
      <c r="K3" s="2">
        <v>29.41</v>
      </c>
    </row>
    <row r="4" spans="1:11" x14ac:dyDescent="0.25">
      <c r="A4" t="s">
        <v>18</v>
      </c>
      <c r="C4">
        <v>18794740</v>
      </c>
      <c r="D4" t="s">
        <v>19</v>
      </c>
      <c r="E4" t="s">
        <v>20</v>
      </c>
      <c r="F4">
        <v>20063015901</v>
      </c>
      <c r="G4" s="1">
        <v>45292</v>
      </c>
      <c r="H4" s="1">
        <v>45779</v>
      </c>
      <c r="I4" t="s">
        <v>14</v>
      </c>
      <c r="J4" t="s">
        <v>15</v>
      </c>
      <c r="K4" s="2">
        <v>29.41</v>
      </c>
    </row>
    <row r="5" spans="1:11" x14ac:dyDescent="0.25">
      <c r="A5" t="s">
        <v>11</v>
      </c>
      <c r="C5">
        <v>17425766</v>
      </c>
      <c r="D5" t="s">
        <v>12</v>
      </c>
      <c r="E5" t="s">
        <v>13</v>
      </c>
      <c r="F5">
        <v>20044292901</v>
      </c>
      <c r="G5" s="1">
        <v>45689</v>
      </c>
      <c r="H5" s="1">
        <v>45779</v>
      </c>
      <c r="I5" t="s">
        <v>14</v>
      </c>
      <c r="J5" t="s">
        <v>21</v>
      </c>
      <c r="K5" s="2">
        <v>3.12</v>
      </c>
    </row>
    <row r="6" spans="1:11" x14ac:dyDescent="0.25">
      <c r="A6" t="s">
        <v>11</v>
      </c>
      <c r="C6">
        <v>17425766</v>
      </c>
      <c r="D6" t="s">
        <v>16</v>
      </c>
      <c r="E6" t="s">
        <v>17</v>
      </c>
      <c r="F6">
        <v>20067374501</v>
      </c>
      <c r="G6" s="1">
        <v>45231</v>
      </c>
      <c r="H6" s="1">
        <v>45779</v>
      </c>
      <c r="I6" t="s">
        <v>14</v>
      </c>
      <c r="J6" t="s">
        <v>21</v>
      </c>
      <c r="K6" s="2">
        <v>3.12</v>
      </c>
    </row>
    <row r="7" spans="1:11" x14ac:dyDescent="0.25">
      <c r="A7" t="s">
        <v>18</v>
      </c>
      <c r="C7">
        <v>18794740</v>
      </c>
      <c r="D7" t="s">
        <v>19</v>
      </c>
      <c r="E7" t="s">
        <v>20</v>
      </c>
      <c r="F7">
        <v>20063015901</v>
      </c>
      <c r="G7" s="1">
        <v>45292</v>
      </c>
      <c r="H7" s="1">
        <v>45779</v>
      </c>
      <c r="I7" t="s">
        <v>14</v>
      </c>
      <c r="J7" t="s">
        <v>21</v>
      </c>
      <c r="K7" s="2">
        <v>3.12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352E-7DE8-4781-8A05-5997F6E64BA1}">
  <dimension ref="A1:N7"/>
  <sheetViews>
    <sheetView tabSelected="1" workbookViewId="0">
      <selection activeCell="N2" sqref="N2:N7"/>
    </sheetView>
  </sheetViews>
  <sheetFormatPr defaultRowHeight="15" x14ac:dyDescent="0.25"/>
  <cols>
    <col min="1" max="1" width="17.7109375" bestFit="1" customWidth="1"/>
    <col min="2" max="2" width="11.85546875" bestFit="1" customWidth="1"/>
    <col min="3" max="3" width="10.5703125" bestFit="1" customWidth="1"/>
    <col min="4" max="4" width="12" bestFit="1" customWidth="1"/>
    <col min="5" max="5" width="14.5703125" bestFit="1" customWidth="1"/>
    <col min="6" max="6" width="12" bestFit="1" customWidth="1"/>
    <col min="7" max="7" width="13.140625" bestFit="1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34.7109375" bestFit="1" customWidth="1"/>
    <col min="12" max="12" width="15.7109375" bestFit="1" customWidth="1"/>
    <col min="13" max="13" width="24.710937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11</v>
      </c>
      <c r="B2">
        <v>17425766</v>
      </c>
      <c r="C2" t="s">
        <v>12</v>
      </c>
      <c r="D2" t="s">
        <v>13</v>
      </c>
      <c r="E2" t="str">
        <f>CONCATENATE(C2, " ",D2)</f>
        <v>Jackie Williams</v>
      </c>
      <c r="F2">
        <v>20044292901</v>
      </c>
      <c r="G2" t="str">
        <f>CONCATENATE(F2,3)</f>
        <v>200442929013</v>
      </c>
      <c r="H2" s="1">
        <v>45689</v>
      </c>
      <c r="I2" s="1">
        <v>45779</v>
      </c>
      <c r="J2" t="s">
        <v>14</v>
      </c>
      <c r="K2" t="s">
        <v>15</v>
      </c>
      <c r="L2" s="2">
        <v>29.41</v>
      </c>
      <c r="M2" t="s">
        <v>25</v>
      </c>
      <c r="N2" t="s">
        <v>26</v>
      </c>
    </row>
    <row r="3" spans="1:14" x14ac:dyDescent="0.25">
      <c r="A3" t="s">
        <v>11</v>
      </c>
      <c r="B3" t="s">
        <v>23</v>
      </c>
      <c r="C3" t="s">
        <v>16</v>
      </c>
      <c r="D3" t="s">
        <v>17</v>
      </c>
      <c r="E3" t="str">
        <f t="shared" ref="E3:E7" si="0">CONCATENATE(C3, " ",D3)</f>
        <v>Vicky Schaffner</v>
      </c>
      <c r="F3">
        <v>20067374501</v>
      </c>
      <c r="G3" t="str">
        <f t="shared" ref="G3:G4" si="1">CONCATENATE(F3,3)</f>
        <v>200673745013</v>
      </c>
      <c r="H3" s="1">
        <v>45231</v>
      </c>
      <c r="I3" s="1">
        <v>45779</v>
      </c>
      <c r="J3" t="s">
        <v>14</v>
      </c>
      <c r="K3" t="s">
        <v>15</v>
      </c>
      <c r="L3" s="2">
        <v>29.41</v>
      </c>
      <c r="M3" t="s">
        <v>25</v>
      </c>
      <c r="N3" t="s">
        <v>26</v>
      </c>
    </row>
    <row r="4" spans="1:14" x14ac:dyDescent="0.25">
      <c r="A4" t="s">
        <v>18</v>
      </c>
      <c r="B4">
        <v>18794740</v>
      </c>
      <c r="C4" t="s">
        <v>19</v>
      </c>
      <c r="D4" t="s">
        <v>20</v>
      </c>
      <c r="E4" t="str">
        <f t="shared" si="0"/>
        <v>Debra Vanderduim</v>
      </c>
      <c r="F4">
        <v>20063015901</v>
      </c>
      <c r="G4" t="str">
        <f t="shared" si="1"/>
        <v>200630159013</v>
      </c>
      <c r="H4" s="1">
        <v>45292</v>
      </c>
      <c r="I4" s="1">
        <v>45779</v>
      </c>
      <c r="J4" t="s">
        <v>14</v>
      </c>
      <c r="K4" t="s">
        <v>15</v>
      </c>
      <c r="L4" s="2">
        <v>29.41</v>
      </c>
      <c r="M4" t="s">
        <v>25</v>
      </c>
      <c r="N4" t="s">
        <v>26</v>
      </c>
    </row>
    <row r="5" spans="1:14" x14ac:dyDescent="0.25">
      <c r="A5" t="s">
        <v>22</v>
      </c>
      <c r="B5">
        <v>20411454</v>
      </c>
      <c r="C5" t="s">
        <v>12</v>
      </c>
      <c r="D5" t="s">
        <v>13</v>
      </c>
      <c r="E5" t="str">
        <f t="shared" si="0"/>
        <v>Jackie Williams</v>
      </c>
      <c r="F5">
        <v>20044292901</v>
      </c>
      <c r="G5" t="str">
        <f>CONCATENATE(F5,2)</f>
        <v>200442929012</v>
      </c>
      <c r="H5" s="1">
        <v>45689</v>
      </c>
      <c r="I5" s="1">
        <v>45779</v>
      </c>
      <c r="J5" t="s">
        <v>14</v>
      </c>
      <c r="K5" t="s">
        <v>21</v>
      </c>
      <c r="L5" s="2">
        <v>3.12</v>
      </c>
      <c r="M5" t="s">
        <v>24</v>
      </c>
    </row>
    <row r="6" spans="1:14" x14ac:dyDescent="0.25">
      <c r="A6" t="s">
        <v>22</v>
      </c>
      <c r="B6">
        <v>20411454</v>
      </c>
      <c r="C6" t="s">
        <v>16</v>
      </c>
      <c r="D6" t="s">
        <v>17</v>
      </c>
      <c r="E6" t="str">
        <f t="shared" si="0"/>
        <v>Vicky Schaffner</v>
      </c>
      <c r="F6">
        <v>20067374501</v>
      </c>
      <c r="G6" t="str">
        <f t="shared" ref="G6:G7" si="2">CONCATENATE(F6,2)</f>
        <v>200673745012</v>
      </c>
      <c r="H6" s="1">
        <v>45231</v>
      </c>
      <c r="I6" s="1">
        <v>45779</v>
      </c>
      <c r="J6" t="s">
        <v>14</v>
      </c>
      <c r="K6" t="s">
        <v>21</v>
      </c>
      <c r="L6" s="2">
        <v>3.12</v>
      </c>
      <c r="M6" t="s">
        <v>24</v>
      </c>
    </row>
    <row r="7" spans="1:14" x14ac:dyDescent="0.25">
      <c r="A7" t="s">
        <v>22</v>
      </c>
      <c r="B7">
        <v>20411454</v>
      </c>
      <c r="C7" t="s">
        <v>19</v>
      </c>
      <c r="D7" t="s">
        <v>20</v>
      </c>
      <c r="E7" t="str">
        <f t="shared" si="0"/>
        <v>Debra Vanderduim</v>
      </c>
      <c r="F7">
        <v>20063015901</v>
      </c>
      <c r="G7" t="str">
        <f t="shared" si="2"/>
        <v>200630159012</v>
      </c>
      <c r="H7" s="1">
        <v>45292</v>
      </c>
      <c r="I7" s="1">
        <v>45779</v>
      </c>
      <c r="J7" t="s">
        <v>14</v>
      </c>
      <c r="K7" t="s">
        <v>21</v>
      </c>
      <c r="L7" s="2">
        <v>3.12</v>
      </c>
      <c r="M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2025-05-02T17:25:46Z</dcterms:created>
  <dcterms:modified xsi:type="dcterms:W3CDTF">2025-05-02T20:50:18Z</dcterms:modified>
</cp:coreProperties>
</file>