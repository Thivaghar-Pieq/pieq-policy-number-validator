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2025\Geisinger MAPD 10-31-25 Ritter\"/>
    </mc:Choice>
  </mc:AlternateContent>
  <xr:revisionPtr revIDLastSave="0" documentId="13_ncr:1_{5FBE4866-1DE5-4D8A-A0AC-53E1C3648738}" xr6:coauthVersionLast="47" xr6:coauthVersionMax="47" xr10:uidLastSave="{00000000-0000-0000-0000-000000000000}"/>
  <bookViews>
    <workbookView xWindow="28680" yWindow="-120" windowWidth="29040" windowHeight="16440" activeTab="1" xr2:uid="{176F2FA5-F624-433F-92B0-2E0D1EAC921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G13" i="2"/>
  <c r="G14" i="2"/>
  <c r="G15" i="2"/>
  <c r="G16" i="2"/>
  <c r="G17" i="2"/>
  <c r="G18" i="2"/>
  <c r="G19" i="2"/>
  <c r="G11" i="2"/>
  <c r="G10" i="2"/>
  <c r="G9" i="2"/>
  <c r="G8" i="2"/>
  <c r="G7" i="2"/>
  <c r="G6" i="2"/>
  <c r="G5" i="2"/>
  <c r="G4" i="2"/>
  <c r="G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</calcChain>
</file>

<file path=xl/sharedStrings.xml><?xml version="1.0" encoding="utf-8"?>
<sst xmlns="http://schemas.openxmlformats.org/spreadsheetml/2006/main" count="228" uniqueCount="39">
  <si>
    <t>Carol Foley</t>
  </si>
  <si>
    <t>Jackie</t>
  </si>
  <si>
    <t>Williams</t>
  </si>
  <si>
    <t>Geisinger Health Plan</t>
  </si>
  <si>
    <t>GHP 2025 Replace STREET (ProRata: 1)</t>
  </si>
  <si>
    <t>Vicky</t>
  </si>
  <si>
    <t>Schaffner</t>
  </si>
  <si>
    <t>Chad Bender</t>
  </si>
  <si>
    <t>Nannette</t>
  </si>
  <si>
    <t>Burti</t>
  </si>
  <si>
    <t>Yvonne</t>
  </si>
  <si>
    <t>O Neill</t>
  </si>
  <si>
    <t>Patricia Long</t>
  </si>
  <si>
    <t>Debra</t>
  </si>
  <si>
    <t>Vanderduim</t>
  </si>
  <si>
    <t>Ryan Stocker</t>
  </si>
  <si>
    <t>Clifford</t>
  </si>
  <si>
    <t>Walsh</t>
  </si>
  <si>
    <t>Irene</t>
  </si>
  <si>
    <t>Jean</t>
  </si>
  <si>
    <t>Francois Orszag</t>
  </si>
  <si>
    <t>Nicholas</t>
  </si>
  <si>
    <t>Ciambrone</t>
  </si>
  <si>
    <t>GHP Renewal OR 2010-2012 (ProRata: 1)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</si>
  <si>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</si>
  <si>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</si>
  <si>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</si>
  <si>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</si>
  <si>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</si>
  <si>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</si>
  <si>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</si>
  <si>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</si>
  <si>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</si>
  <si>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</si>
  <si>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</si>
  <si>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Main Line Benefits</t>
  </si>
  <si>
    <t>Geisinger 2025 CT, PA, DC*</t>
  </si>
  <si>
    <t>Geisinger MAPD OVR</t>
  </si>
  <si>
    <t>[%/$=353][prorate=1/12]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</si>
</sst>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3CA1-588C-4BC8-BC8E-8EB17F373CB9}">
  <dimension ref="A1:K19"/>
  <sheetViews>
    <sheetView workbookViewId="0">
      <selection activeCell="K1" sqref="K1:K1048576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4.710937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0.28515625" bestFit="1" customWidth="1"/>
    <col min="10" max="10" width="36.5703125" bestFit="1" customWidth="1"/>
    <col min="11" max="11" width="15.7109375" bestFit="1" customWidth="1"/>
  </cols>
  <sheetData>
    <row r="1" spans="1:11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25">
      <c r="A2" t="s">
        <v>0</v>
      </c>
      <c r="C2">
        <v>17425766</v>
      </c>
      <c r="D2" t="s">
        <v>1</v>
      </c>
      <c r="E2" t="s">
        <v>2</v>
      </c>
      <c r="F2">
        <v>20044292901</v>
      </c>
      <c r="G2" s="1">
        <v>45689</v>
      </c>
      <c r="H2" s="1">
        <v>45961</v>
      </c>
      <c r="I2" t="s">
        <v>3</v>
      </c>
      <c r="J2" t="s">
        <v>4</v>
      </c>
      <c r="K2" s="2">
        <v>29.41</v>
      </c>
    </row>
    <row r="3" spans="1:11" x14ac:dyDescent="0.25">
      <c r="A3" t="s">
        <v>0</v>
      </c>
      <c r="C3">
        <v>17425766</v>
      </c>
      <c r="D3" t="s">
        <v>5</v>
      </c>
      <c r="E3" t="s">
        <v>6</v>
      </c>
      <c r="F3">
        <v>20067374501</v>
      </c>
      <c r="G3" s="1">
        <v>45231</v>
      </c>
      <c r="H3" s="1">
        <v>45961</v>
      </c>
      <c r="I3" t="s">
        <v>3</v>
      </c>
      <c r="J3" t="s">
        <v>4</v>
      </c>
      <c r="K3" s="2">
        <v>29.41</v>
      </c>
    </row>
    <row r="4" spans="1:11" x14ac:dyDescent="0.25">
      <c r="A4" t="s">
        <v>7</v>
      </c>
      <c r="C4">
        <v>18598357</v>
      </c>
      <c r="D4" t="s">
        <v>8</v>
      </c>
      <c r="E4" t="s">
        <v>9</v>
      </c>
      <c r="F4">
        <v>20031442801</v>
      </c>
      <c r="G4" s="1">
        <v>44927</v>
      </c>
      <c r="H4" s="1">
        <v>45961</v>
      </c>
      <c r="I4" t="s">
        <v>3</v>
      </c>
      <c r="J4" t="s">
        <v>4</v>
      </c>
      <c r="K4" s="2">
        <v>29.41</v>
      </c>
    </row>
    <row r="5" spans="1:11" x14ac:dyDescent="0.25">
      <c r="A5" t="s">
        <v>7</v>
      </c>
      <c r="C5">
        <v>18598357</v>
      </c>
      <c r="D5" t="s">
        <v>10</v>
      </c>
      <c r="E5" t="s">
        <v>11</v>
      </c>
      <c r="F5">
        <v>20061982301</v>
      </c>
      <c r="G5" s="1">
        <v>44986</v>
      </c>
      <c r="H5" s="1">
        <v>45961</v>
      </c>
      <c r="I5" t="s">
        <v>3</v>
      </c>
      <c r="J5" t="s">
        <v>4</v>
      </c>
      <c r="K5" s="2">
        <v>29.41</v>
      </c>
    </row>
    <row r="6" spans="1:11" x14ac:dyDescent="0.25">
      <c r="A6" t="s">
        <v>12</v>
      </c>
      <c r="C6">
        <v>18794740</v>
      </c>
      <c r="D6" t="s">
        <v>13</v>
      </c>
      <c r="E6" t="s">
        <v>14</v>
      </c>
      <c r="F6">
        <v>20063015901</v>
      </c>
      <c r="G6" s="1">
        <v>45292</v>
      </c>
      <c r="H6" s="1">
        <v>45961</v>
      </c>
      <c r="I6" t="s">
        <v>3</v>
      </c>
      <c r="J6" t="s">
        <v>4</v>
      </c>
      <c r="K6" s="2">
        <v>29.41</v>
      </c>
    </row>
    <row r="7" spans="1:11" x14ac:dyDescent="0.25">
      <c r="A7" t="s">
        <v>15</v>
      </c>
      <c r="C7">
        <v>15950276</v>
      </c>
      <c r="D7" t="s">
        <v>16</v>
      </c>
      <c r="E7" t="s">
        <v>17</v>
      </c>
      <c r="F7">
        <v>20039572101</v>
      </c>
      <c r="G7" s="1">
        <v>44531</v>
      </c>
      <c r="H7" s="1">
        <v>45961</v>
      </c>
      <c r="I7" t="s">
        <v>3</v>
      </c>
      <c r="J7" t="s">
        <v>4</v>
      </c>
      <c r="K7" s="2">
        <v>29.41</v>
      </c>
    </row>
    <row r="8" spans="1:11" x14ac:dyDescent="0.25">
      <c r="A8" t="s">
        <v>15</v>
      </c>
      <c r="C8">
        <v>15950276</v>
      </c>
      <c r="D8" t="s">
        <v>18</v>
      </c>
      <c r="E8" t="s">
        <v>17</v>
      </c>
      <c r="F8">
        <v>20010119701</v>
      </c>
      <c r="G8" s="1">
        <v>43466</v>
      </c>
      <c r="H8" s="1">
        <v>45961</v>
      </c>
      <c r="I8" t="s">
        <v>3</v>
      </c>
      <c r="J8" t="s">
        <v>4</v>
      </c>
      <c r="K8" s="2">
        <v>29.41</v>
      </c>
    </row>
    <row r="9" spans="1:11" x14ac:dyDescent="0.25">
      <c r="A9" t="s">
        <v>15</v>
      </c>
      <c r="C9">
        <v>15950276</v>
      </c>
      <c r="D9" t="s">
        <v>19</v>
      </c>
      <c r="E9" t="s">
        <v>20</v>
      </c>
      <c r="F9">
        <v>20020870101</v>
      </c>
      <c r="G9" s="1">
        <v>44197</v>
      </c>
      <c r="H9" s="1">
        <v>45961</v>
      </c>
      <c r="I9" t="s">
        <v>3</v>
      </c>
      <c r="J9" t="s">
        <v>4</v>
      </c>
      <c r="K9" s="2">
        <v>29.41</v>
      </c>
    </row>
    <row r="10" spans="1:11" x14ac:dyDescent="0.25">
      <c r="A10" t="s">
        <v>15</v>
      </c>
      <c r="C10">
        <v>15950276</v>
      </c>
      <c r="D10" t="s">
        <v>21</v>
      </c>
      <c r="E10" t="s">
        <v>22</v>
      </c>
      <c r="F10">
        <v>20043844601</v>
      </c>
      <c r="G10" s="1">
        <v>44713</v>
      </c>
      <c r="H10" s="1">
        <v>45961</v>
      </c>
      <c r="I10" t="s">
        <v>3</v>
      </c>
      <c r="J10" t="s">
        <v>4</v>
      </c>
      <c r="K10" s="2">
        <v>29.41</v>
      </c>
    </row>
    <row r="11" spans="1:11" x14ac:dyDescent="0.25">
      <c r="A11" t="s">
        <v>0</v>
      </c>
      <c r="C11">
        <v>17425766</v>
      </c>
      <c r="D11" t="s">
        <v>1</v>
      </c>
      <c r="E11" t="s">
        <v>2</v>
      </c>
      <c r="F11">
        <v>20044292901</v>
      </c>
      <c r="G11" s="1">
        <v>45689</v>
      </c>
      <c r="H11" s="1">
        <v>45961</v>
      </c>
      <c r="I11" t="s">
        <v>3</v>
      </c>
      <c r="J11" t="s">
        <v>23</v>
      </c>
      <c r="K11" s="2">
        <v>2.91</v>
      </c>
    </row>
    <row r="12" spans="1:11" x14ac:dyDescent="0.25">
      <c r="A12" t="s">
        <v>0</v>
      </c>
      <c r="C12">
        <v>17425766</v>
      </c>
      <c r="D12" t="s">
        <v>5</v>
      </c>
      <c r="E12" t="s">
        <v>6</v>
      </c>
      <c r="F12">
        <v>20067374501</v>
      </c>
      <c r="G12" s="1">
        <v>45231</v>
      </c>
      <c r="H12" s="1">
        <v>45961</v>
      </c>
      <c r="I12" t="s">
        <v>3</v>
      </c>
      <c r="J12" t="s">
        <v>23</v>
      </c>
      <c r="K12" s="2">
        <v>2.91</v>
      </c>
    </row>
    <row r="13" spans="1:11" x14ac:dyDescent="0.25">
      <c r="A13" t="s">
        <v>7</v>
      </c>
      <c r="C13">
        <v>18598357</v>
      </c>
      <c r="D13" t="s">
        <v>8</v>
      </c>
      <c r="E13" t="s">
        <v>9</v>
      </c>
      <c r="F13">
        <v>20031442801</v>
      </c>
      <c r="G13" s="1">
        <v>44927</v>
      </c>
      <c r="H13" s="1">
        <v>45961</v>
      </c>
      <c r="I13" t="s">
        <v>3</v>
      </c>
      <c r="J13" t="s">
        <v>23</v>
      </c>
      <c r="K13" s="2">
        <v>2.91</v>
      </c>
    </row>
    <row r="14" spans="1:11" x14ac:dyDescent="0.25">
      <c r="A14" t="s">
        <v>7</v>
      </c>
      <c r="C14">
        <v>18598357</v>
      </c>
      <c r="D14" t="s">
        <v>10</v>
      </c>
      <c r="E14" t="s">
        <v>11</v>
      </c>
      <c r="F14">
        <v>20061982301</v>
      </c>
      <c r="G14" s="1">
        <v>44986</v>
      </c>
      <c r="H14" s="1">
        <v>45961</v>
      </c>
      <c r="I14" t="s">
        <v>3</v>
      </c>
      <c r="J14" t="s">
        <v>23</v>
      </c>
      <c r="K14" s="2">
        <v>2.91</v>
      </c>
    </row>
    <row r="15" spans="1:11" x14ac:dyDescent="0.25">
      <c r="A15" t="s">
        <v>12</v>
      </c>
      <c r="C15">
        <v>18794740</v>
      </c>
      <c r="D15" t="s">
        <v>13</v>
      </c>
      <c r="E15" t="s">
        <v>14</v>
      </c>
      <c r="F15">
        <v>20063015901</v>
      </c>
      <c r="G15" s="1">
        <v>45292</v>
      </c>
      <c r="H15" s="1">
        <v>45961</v>
      </c>
      <c r="I15" t="s">
        <v>3</v>
      </c>
      <c r="J15" t="s">
        <v>23</v>
      </c>
      <c r="K15" s="2">
        <v>2.91</v>
      </c>
    </row>
    <row r="16" spans="1:11" x14ac:dyDescent="0.25">
      <c r="A16" t="s">
        <v>15</v>
      </c>
      <c r="C16">
        <v>15950276</v>
      </c>
      <c r="D16" t="s">
        <v>16</v>
      </c>
      <c r="E16" t="s">
        <v>17</v>
      </c>
      <c r="F16">
        <v>20039572101</v>
      </c>
      <c r="G16" s="1">
        <v>44531</v>
      </c>
      <c r="H16" s="1">
        <v>45961</v>
      </c>
      <c r="I16" t="s">
        <v>3</v>
      </c>
      <c r="J16" t="s">
        <v>23</v>
      </c>
      <c r="K16" s="2">
        <v>2.91</v>
      </c>
    </row>
    <row r="17" spans="1:11" x14ac:dyDescent="0.25">
      <c r="A17" t="s">
        <v>15</v>
      </c>
      <c r="C17">
        <v>15950276</v>
      </c>
      <c r="D17" t="s">
        <v>18</v>
      </c>
      <c r="E17" t="s">
        <v>17</v>
      </c>
      <c r="F17">
        <v>20010119701</v>
      </c>
      <c r="G17" s="1">
        <v>43466</v>
      </c>
      <c r="H17" s="1">
        <v>45961</v>
      </c>
      <c r="I17" t="s">
        <v>3</v>
      </c>
      <c r="J17" t="s">
        <v>23</v>
      </c>
      <c r="K17" s="2">
        <v>2.91</v>
      </c>
    </row>
    <row r="18" spans="1:11" x14ac:dyDescent="0.25">
      <c r="A18" t="s">
        <v>15</v>
      </c>
      <c r="C18">
        <v>15950276</v>
      </c>
      <c r="D18" t="s">
        <v>19</v>
      </c>
      <c r="E18" t="s">
        <v>20</v>
      </c>
      <c r="F18">
        <v>20020870101</v>
      </c>
      <c r="G18" s="1">
        <v>44197</v>
      </c>
      <c r="H18" s="1">
        <v>45961</v>
      </c>
      <c r="I18" t="s">
        <v>3</v>
      </c>
      <c r="J18" t="s">
        <v>23</v>
      </c>
      <c r="K18" s="2">
        <v>2.91</v>
      </c>
    </row>
    <row r="19" spans="1:11" x14ac:dyDescent="0.25">
      <c r="A19" t="s">
        <v>15</v>
      </c>
      <c r="C19">
        <v>15950276</v>
      </c>
      <c r="D19" t="s">
        <v>21</v>
      </c>
      <c r="E19" t="s">
        <v>22</v>
      </c>
      <c r="F19">
        <v>20043844601</v>
      </c>
      <c r="G19" s="1">
        <v>44713</v>
      </c>
      <c r="H19" s="1">
        <v>45961</v>
      </c>
      <c r="I19" t="s">
        <v>3</v>
      </c>
      <c r="J19" t="s">
        <v>23</v>
      </c>
      <c r="K19" s="2">
        <v>2.91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B48D-BB0F-43D5-BF13-AFE8AB917154}">
  <dimension ref="A1:N19"/>
  <sheetViews>
    <sheetView tabSelected="1" workbookViewId="0">
      <selection activeCell="K32" sqref="K32"/>
    </sheetView>
  </sheetViews>
  <sheetFormatPr defaultRowHeight="15" x14ac:dyDescent="0.25"/>
  <cols>
    <col min="1" max="1" width="13.42578125" bestFit="1" customWidth="1"/>
    <col min="2" max="2" width="10.7109375" bestFit="1" customWidth="1"/>
    <col min="3" max="3" width="10.5703125" bestFit="1" customWidth="1"/>
    <col min="4" max="4" width="14.7109375" bestFit="1" customWidth="1"/>
    <col min="5" max="5" width="14.7109375" customWidth="1"/>
    <col min="6" max="6" width="12" bestFit="1" customWidth="1"/>
    <col min="7" max="7" width="16" bestFit="1" customWidth="1"/>
    <col min="8" max="8" width="11.85546875" bestFit="1" customWidth="1"/>
    <col min="9" max="9" width="14.7109375" bestFit="1" customWidth="1"/>
    <col min="10" max="10" width="20.28515625" bestFit="1" customWidth="1"/>
    <col min="11" max="11" width="36.5703125" bestFit="1" customWidth="1"/>
    <col min="12" max="12" width="15.7109375" bestFit="1" customWidth="1"/>
    <col min="13" max="13" width="24.7109375" bestFit="1" customWidth="1"/>
  </cols>
  <sheetData>
    <row r="1" spans="1:14" x14ac:dyDescent="0.25">
      <c r="A1" t="s">
        <v>24</v>
      </c>
      <c r="B1" t="s">
        <v>26</v>
      </c>
      <c r="C1" t="s">
        <v>27</v>
      </c>
      <c r="D1" t="s">
        <v>28</v>
      </c>
      <c r="F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</row>
    <row r="2" spans="1:14" x14ac:dyDescent="0.25">
      <c r="A2" t="s">
        <v>0</v>
      </c>
      <c r="B2">
        <v>17425766</v>
      </c>
      <c r="C2" t="s">
        <v>1</v>
      </c>
      <c r="D2" t="s">
        <v>2</v>
      </c>
      <c r="E2" t="str">
        <f>CONCATENATE(C2,  " ",D2)</f>
        <v>Jackie Williams</v>
      </c>
      <c r="F2">
        <v>20044292901</v>
      </c>
      <c r="G2" t="str">
        <f>CONCATENATE(F2,3)</f>
        <v>200442929013</v>
      </c>
      <c r="H2" s="1">
        <v>45689</v>
      </c>
      <c r="I2" s="1">
        <v>45961</v>
      </c>
      <c r="J2" t="s">
        <v>3</v>
      </c>
      <c r="K2" t="s">
        <v>4</v>
      </c>
      <c r="L2" s="2">
        <v>29.41</v>
      </c>
      <c r="M2" t="s">
        <v>36</v>
      </c>
      <c r="N2" t="s">
        <v>38</v>
      </c>
    </row>
    <row r="3" spans="1:14" x14ac:dyDescent="0.25">
      <c r="A3" t="s">
        <v>0</v>
      </c>
      <c r="B3">
        <v>17425766</v>
      </c>
      <c r="C3" t="s">
        <v>5</v>
      </c>
      <c r="D3" t="s">
        <v>6</v>
      </c>
      <c r="E3" t="str">
        <f t="shared" ref="E3:E19" si="0">CONCATENATE(C3,  " ",D3)</f>
        <v>Vicky Schaffner</v>
      </c>
      <c r="F3">
        <v>20067374501</v>
      </c>
      <c r="G3" t="str">
        <f t="shared" ref="G3:G10" si="1">CONCATENATE(F3,3)</f>
        <v>200673745013</v>
      </c>
      <c r="H3" s="1">
        <v>45231</v>
      </c>
      <c r="I3" s="1">
        <v>45961</v>
      </c>
      <c r="J3" t="s">
        <v>3</v>
      </c>
      <c r="K3" t="s">
        <v>4</v>
      </c>
      <c r="L3" s="2">
        <v>29.41</v>
      </c>
      <c r="M3" t="s">
        <v>36</v>
      </c>
      <c r="N3" t="s">
        <v>38</v>
      </c>
    </row>
    <row r="4" spans="1:14" x14ac:dyDescent="0.25">
      <c r="A4" t="s">
        <v>7</v>
      </c>
      <c r="B4">
        <v>18598357</v>
      </c>
      <c r="C4" t="s">
        <v>8</v>
      </c>
      <c r="D4" t="s">
        <v>9</v>
      </c>
      <c r="E4" t="str">
        <f t="shared" si="0"/>
        <v>Nannette Burti</v>
      </c>
      <c r="F4">
        <v>20031442801</v>
      </c>
      <c r="G4" t="str">
        <f t="shared" si="1"/>
        <v>200314428013</v>
      </c>
      <c r="H4" s="1">
        <v>44927</v>
      </c>
      <c r="I4" s="1">
        <v>45961</v>
      </c>
      <c r="J4" t="s">
        <v>3</v>
      </c>
      <c r="K4" t="s">
        <v>4</v>
      </c>
      <c r="L4" s="2">
        <v>29.41</v>
      </c>
      <c r="M4" t="s">
        <v>36</v>
      </c>
      <c r="N4" t="s">
        <v>38</v>
      </c>
    </row>
    <row r="5" spans="1:14" x14ac:dyDescent="0.25">
      <c r="A5" t="s">
        <v>7</v>
      </c>
      <c r="B5">
        <v>18598357</v>
      </c>
      <c r="C5" t="s">
        <v>10</v>
      </c>
      <c r="D5" t="s">
        <v>11</v>
      </c>
      <c r="E5" t="str">
        <f t="shared" si="0"/>
        <v>Yvonne O Neill</v>
      </c>
      <c r="F5">
        <v>20061982301</v>
      </c>
      <c r="G5" t="str">
        <f t="shared" si="1"/>
        <v>200619823013</v>
      </c>
      <c r="H5" s="1">
        <v>44986</v>
      </c>
      <c r="I5" s="1">
        <v>45961</v>
      </c>
      <c r="J5" t="s">
        <v>3</v>
      </c>
      <c r="K5" t="s">
        <v>4</v>
      </c>
      <c r="L5" s="2">
        <v>29.41</v>
      </c>
      <c r="M5" t="s">
        <v>36</v>
      </c>
      <c r="N5" t="s">
        <v>38</v>
      </c>
    </row>
    <row r="6" spans="1:14" x14ac:dyDescent="0.25">
      <c r="A6" t="s">
        <v>12</v>
      </c>
      <c r="B6">
        <v>18794740</v>
      </c>
      <c r="C6" t="s">
        <v>13</v>
      </c>
      <c r="D6" t="s">
        <v>14</v>
      </c>
      <c r="E6" t="str">
        <f t="shared" si="0"/>
        <v>Debra Vanderduim</v>
      </c>
      <c r="F6">
        <v>20063015901</v>
      </c>
      <c r="G6" t="str">
        <f t="shared" si="1"/>
        <v>200630159013</v>
      </c>
      <c r="H6" s="1">
        <v>45292</v>
      </c>
      <c r="I6" s="1">
        <v>45961</v>
      </c>
      <c r="J6" t="s">
        <v>3</v>
      </c>
      <c r="K6" t="s">
        <v>4</v>
      </c>
      <c r="L6" s="2">
        <v>29.41</v>
      </c>
      <c r="M6" t="s">
        <v>36</v>
      </c>
      <c r="N6" t="s">
        <v>38</v>
      </c>
    </row>
    <row r="7" spans="1:14" x14ac:dyDescent="0.25">
      <c r="A7" t="s">
        <v>15</v>
      </c>
      <c r="B7">
        <v>15950276</v>
      </c>
      <c r="C7" t="s">
        <v>16</v>
      </c>
      <c r="D7" t="s">
        <v>17</v>
      </c>
      <c r="E7" t="str">
        <f t="shared" si="0"/>
        <v>Clifford Walsh</v>
      </c>
      <c r="F7">
        <v>20039572101</v>
      </c>
      <c r="G7" t="str">
        <f t="shared" si="1"/>
        <v>200395721013</v>
      </c>
      <c r="H7" s="1">
        <v>44531</v>
      </c>
      <c r="I7" s="1">
        <v>45961</v>
      </c>
      <c r="J7" t="s">
        <v>3</v>
      </c>
      <c r="K7" t="s">
        <v>4</v>
      </c>
      <c r="L7" s="2">
        <v>29.41</v>
      </c>
      <c r="M7" t="s">
        <v>36</v>
      </c>
      <c r="N7" t="s">
        <v>38</v>
      </c>
    </row>
    <row r="8" spans="1:14" x14ac:dyDescent="0.25">
      <c r="A8" t="s">
        <v>15</v>
      </c>
      <c r="B8">
        <v>15950276</v>
      </c>
      <c r="C8" t="s">
        <v>18</v>
      </c>
      <c r="D8" t="s">
        <v>17</v>
      </c>
      <c r="E8" t="str">
        <f t="shared" si="0"/>
        <v>Irene Walsh</v>
      </c>
      <c r="F8">
        <v>20010119701</v>
      </c>
      <c r="G8" t="str">
        <f t="shared" si="1"/>
        <v>200101197013</v>
      </c>
      <c r="H8" s="1">
        <v>43466</v>
      </c>
      <c r="I8" s="1">
        <v>45961</v>
      </c>
      <c r="J8" t="s">
        <v>3</v>
      </c>
      <c r="K8" t="s">
        <v>4</v>
      </c>
      <c r="L8" s="2">
        <v>29.41</v>
      </c>
      <c r="M8" t="s">
        <v>36</v>
      </c>
      <c r="N8" t="s">
        <v>38</v>
      </c>
    </row>
    <row r="9" spans="1:14" x14ac:dyDescent="0.25">
      <c r="A9" t="s">
        <v>15</v>
      </c>
      <c r="B9">
        <v>15950276</v>
      </c>
      <c r="C9" t="s">
        <v>19</v>
      </c>
      <c r="D9" t="s">
        <v>20</v>
      </c>
      <c r="E9" t="str">
        <f t="shared" si="0"/>
        <v>Jean Francois Orszag</v>
      </c>
      <c r="F9">
        <v>20020870101</v>
      </c>
      <c r="G9" t="str">
        <f t="shared" si="1"/>
        <v>200208701013</v>
      </c>
      <c r="H9" s="1">
        <v>44197</v>
      </c>
      <c r="I9" s="1">
        <v>45961</v>
      </c>
      <c r="J9" t="s">
        <v>3</v>
      </c>
      <c r="K9" t="s">
        <v>4</v>
      </c>
      <c r="L9" s="2">
        <v>29.41</v>
      </c>
      <c r="M9" t="s">
        <v>36</v>
      </c>
      <c r="N9" t="s">
        <v>38</v>
      </c>
    </row>
    <row r="10" spans="1:14" x14ac:dyDescent="0.25">
      <c r="A10" t="s">
        <v>15</v>
      </c>
      <c r="B10">
        <v>15950276</v>
      </c>
      <c r="C10" t="s">
        <v>21</v>
      </c>
      <c r="D10" t="s">
        <v>22</v>
      </c>
      <c r="E10" t="str">
        <f t="shared" si="0"/>
        <v>Nicholas Ciambrone</v>
      </c>
      <c r="F10">
        <v>20043844601</v>
      </c>
      <c r="G10" t="str">
        <f t="shared" si="1"/>
        <v>200438446013</v>
      </c>
      <c r="H10" s="1">
        <v>44713</v>
      </c>
      <c r="I10" s="1">
        <v>45961</v>
      </c>
      <c r="J10" t="s">
        <v>3</v>
      </c>
      <c r="K10" t="s">
        <v>4</v>
      </c>
      <c r="L10" s="2">
        <v>29.41</v>
      </c>
      <c r="M10" t="s">
        <v>36</v>
      </c>
      <c r="N10" t="s">
        <v>38</v>
      </c>
    </row>
    <row r="11" spans="1:14" s="3" customFormat="1" x14ac:dyDescent="0.25">
      <c r="A11" s="3" t="s">
        <v>35</v>
      </c>
      <c r="B11" s="3">
        <v>20411454</v>
      </c>
      <c r="C11" s="3" t="s">
        <v>1</v>
      </c>
      <c r="D11" s="3" t="s">
        <v>2</v>
      </c>
      <c r="E11" s="3" t="str">
        <f t="shared" si="0"/>
        <v>Jackie Williams</v>
      </c>
      <c r="F11" s="3">
        <v>20044292901</v>
      </c>
      <c r="G11" s="3" t="str">
        <f>CONCATENATE(F11, "OVR")</f>
        <v>20044292901OVR</v>
      </c>
      <c r="H11" s="4">
        <v>45689</v>
      </c>
      <c r="I11" s="4">
        <v>45961</v>
      </c>
      <c r="J11" s="3" t="s">
        <v>3</v>
      </c>
      <c r="K11" s="3" t="s">
        <v>23</v>
      </c>
      <c r="L11" s="5">
        <v>2.91</v>
      </c>
      <c r="M11" s="3" t="s">
        <v>37</v>
      </c>
    </row>
    <row r="12" spans="1:14" s="3" customFormat="1" x14ac:dyDescent="0.25">
      <c r="A12" s="3" t="s">
        <v>35</v>
      </c>
      <c r="B12" s="3">
        <v>20411454</v>
      </c>
      <c r="C12" s="3" t="s">
        <v>5</v>
      </c>
      <c r="D12" s="3" t="s">
        <v>6</v>
      </c>
      <c r="E12" s="3" t="str">
        <f t="shared" si="0"/>
        <v>Vicky Schaffner</v>
      </c>
      <c r="F12" s="3">
        <v>20067374501</v>
      </c>
      <c r="G12" s="3" t="str">
        <f t="shared" ref="G12:G19" si="2">CONCATENATE(F12, "OVR")</f>
        <v>20067374501OVR</v>
      </c>
      <c r="H12" s="4">
        <v>45231</v>
      </c>
      <c r="I12" s="4">
        <v>45961</v>
      </c>
      <c r="J12" s="3" t="s">
        <v>3</v>
      </c>
      <c r="K12" s="3" t="s">
        <v>23</v>
      </c>
      <c r="L12" s="5">
        <v>2.91</v>
      </c>
      <c r="M12" s="3" t="s">
        <v>37</v>
      </c>
    </row>
    <row r="13" spans="1:14" s="3" customFormat="1" x14ac:dyDescent="0.25">
      <c r="A13" s="3" t="s">
        <v>35</v>
      </c>
      <c r="B13" s="3">
        <v>20411454</v>
      </c>
      <c r="C13" s="3" t="s">
        <v>8</v>
      </c>
      <c r="D13" s="3" t="s">
        <v>9</v>
      </c>
      <c r="E13" s="3" t="str">
        <f t="shared" si="0"/>
        <v>Nannette Burti</v>
      </c>
      <c r="F13" s="3">
        <v>20031442801</v>
      </c>
      <c r="G13" s="3" t="str">
        <f t="shared" si="2"/>
        <v>20031442801OVR</v>
      </c>
      <c r="H13" s="4">
        <v>44927</v>
      </c>
      <c r="I13" s="4">
        <v>45961</v>
      </c>
      <c r="J13" s="3" t="s">
        <v>3</v>
      </c>
      <c r="K13" s="3" t="s">
        <v>23</v>
      </c>
      <c r="L13" s="5">
        <v>2.91</v>
      </c>
      <c r="M13" s="3" t="s">
        <v>37</v>
      </c>
    </row>
    <row r="14" spans="1:14" s="3" customFormat="1" x14ac:dyDescent="0.25">
      <c r="A14" s="3" t="s">
        <v>35</v>
      </c>
      <c r="B14" s="3">
        <v>20411454</v>
      </c>
      <c r="C14" s="3" t="s">
        <v>10</v>
      </c>
      <c r="D14" s="3" t="s">
        <v>11</v>
      </c>
      <c r="E14" s="3" t="str">
        <f t="shared" si="0"/>
        <v>Yvonne O Neill</v>
      </c>
      <c r="F14" s="3">
        <v>20061982301</v>
      </c>
      <c r="G14" s="3" t="str">
        <f t="shared" si="2"/>
        <v>20061982301OVR</v>
      </c>
      <c r="H14" s="4">
        <v>44986</v>
      </c>
      <c r="I14" s="4">
        <v>45961</v>
      </c>
      <c r="J14" s="3" t="s">
        <v>3</v>
      </c>
      <c r="K14" s="3" t="s">
        <v>23</v>
      </c>
      <c r="L14" s="5">
        <v>2.91</v>
      </c>
      <c r="M14" s="3" t="s">
        <v>37</v>
      </c>
    </row>
    <row r="15" spans="1:14" s="3" customFormat="1" x14ac:dyDescent="0.25">
      <c r="A15" s="3" t="s">
        <v>35</v>
      </c>
      <c r="B15" s="3">
        <v>20411454</v>
      </c>
      <c r="C15" s="3" t="s">
        <v>13</v>
      </c>
      <c r="D15" s="3" t="s">
        <v>14</v>
      </c>
      <c r="E15" s="3" t="str">
        <f t="shared" si="0"/>
        <v>Debra Vanderduim</v>
      </c>
      <c r="F15" s="3">
        <v>20063015901</v>
      </c>
      <c r="G15" s="3" t="str">
        <f t="shared" si="2"/>
        <v>20063015901OVR</v>
      </c>
      <c r="H15" s="4">
        <v>45292</v>
      </c>
      <c r="I15" s="4">
        <v>45961</v>
      </c>
      <c r="J15" s="3" t="s">
        <v>3</v>
      </c>
      <c r="K15" s="3" t="s">
        <v>23</v>
      </c>
      <c r="L15" s="5">
        <v>2.91</v>
      </c>
      <c r="M15" s="3" t="s">
        <v>37</v>
      </c>
    </row>
    <row r="16" spans="1:14" s="3" customFormat="1" x14ac:dyDescent="0.25">
      <c r="A16" s="3" t="s">
        <v>35</v>
      </c>
      <c r="B16" s="3">
        <v>20411454</v>
      </c>
      <c r="C16" s="3" t="s">
        <v>16</v>
      </c>
      <c r="D16" s="3" t="s">
        <v>17</v>
      </c>
      <c r="E16" s="3" t="str">
        <f t="shared" si="0"/>
        <v>Clifford Walsh</v>
      </c>
      <c r="F16" s="3">
        <v>20039572101</v>
      </c>
      <c r="G16" s="3" t="str">
        <f t="shared" si="2"/>
        <v>20039572101OVR</v>
      </c>
      <c r="H16" s="4">
        <v>44531</v>
      </c>
      <c r="I16" s="4">
        <v>45961</v>
      </c>
      <c r="J16" s="3" t="s">
        <v>3</v>
      </c>
      <c r="K16" s="3" t="s">
        <v>23</v>
      </c>
      <c r="L16" s="5">
        <v>2.91</v>
      </c>
      <c r="M16" s="3" t="s">
        <v>37</v>
      </c>
    </row>
    <row r="17" spans="1:13" s="3" customFormat="1" x14ac:dyDescent="0.25">
      <c r="A17" s="3" t="s">
        <v>35</v>
      </c>
      <c r="B17" s="3">
        <v>20411454</v>
      </c>
      <c r="C17" s="3" t="s">
        <v>18</v>
      </c>
      <c r="D17" s="3" t="s">
        <v>17</v>
      </c>
      <c r="E17" s="3" t="str">
        <f t="shared" si="0"/>
        <v>Irene Walsh</v>
      </c>
      <c r="F17" s="3">
        <v>20010119701</v>
      </c>
      <c r="G17" s="3" t="str">
        <f t="shared" si="2"/>
        <v>20010119701OVR</v>
      </c>
      <c r="H17" s="4">
        <v>43466</v>
      </c>
      <c r="I17" s="4">
        <v>45961</v>
      </c>
      <c r="J17" s="3" t="s">
        <v>3</v>
      </c>
      <c r="K17" s="3" t="s">
        <v>23</v>
      </c>
      <c r="L17" s="5">
        <v>2.91</v>
      </c>
      <c r="M17" s="3" t="s">
        <v>37</v>
      </c>
    </row>
    <row r="18" spans="1:13" s="3" customFormat="1" x14ac:dyDescent="0.25">
      <c r="A18" s="3" t="s">
        <v>35</v>
      </c>
      <c r="B18" s="3">
        <v>20411454</v>
      </c>
      <c r="C18" s="3" t="s">
        <v>19</v>
      </c>
      <c r="D18" s="3" t="s">
        <v>20</v>
      </c>
      <c r="E18" s="3" t="str">
        <f t="shared" si="0"/>
        <v>Jean Francois Orszag</v>
      </c>
      <c r="F18" s="3">
        <v>20020870101</v>
      </c>
      <c r="G18" s="3" t="str">
        <f t="shared" si="2"/>
        <v>20020870101OVR</v>
      </c>
      <c r="H18" s="4">
        <v>44197</v>
      </c>
      <c r="I18" s="4">
        <v>45961</v>
      </c>
      <c r="J18" s="3" t="s">
        <v>3</v>
      </c>
      <c r="K18" s="3" t="s">
        <v>23</v>
      </c>
      <c r="L18" s="5">
        <v>2.91</v>
      </c>
      <c r="M18" s="3" t="s">
        <v>37</v>
      </c>
    </row>
    <row r="19" spans="1:13" s="3" customFormat="1" x14ac:dyDescent="0.25">
      <c r="A19" s="3" t="s">
        <v>35</v>
      </c>
      <c r="B19" s="3">
        <v>20411454</v>
      </c>
      <c r="C19" s="3" t="s">
        <v>21</v>
      </c>
      <c r="D19" s="3" t="s">
        <v>22</v>
      </c>
      <c r="E19" s="3" t="str">
        <f t="shared" si="0"/>
        <v>Nicholas Ciambrone</v>
      </c>
      <c r="F19" s="3">
        <v>20043844601</v>
      </c>
      <c r="G19" s="3" t="str">
        <f t="shared" si="2"/>
        <v>20043844601OVR</v>
      </c>
      <c r="H19" s="4">
        <v>44713</v>
      </c>
      <c r="I19" s="4">
        <v>45961</v>
      </c>
      <c r="J19" s="3" t="s">
        <v>3</v>
      </c>
      <c r="K19" s="3" t="s">
        <v>23</v>
      </c>
      <c r="L19" s="5">
        <v>2.91</v>
      </c>
      <c r="M19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2025-10-31T15:23:55Z</dcterms:created>
  <dcterms:modified xsi:type="dcterms:W3CDTF">2025-11-03T20:07:56Z</dcterms:modified>
</cp:coreProperties>
</file>