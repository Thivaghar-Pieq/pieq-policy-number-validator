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3-28-25 from Ritter\"/>
    </mc:Choice>
  </mc:AlternateContent>
  <xr:revisionPtr revIDLastSave="0" documentId="13_ncr:1_{851E2540-75A4-4DAD-A9AD-7F0EE34BE6F1}" xr6:coauthVersionLast="47" xr6:coauthVersionMax="47" xr10:uidLastSave="{00000000-0000-0000-0000-000000000000}"/>
  <bookViews>
    <workbookView xWindow="28680" yWindow="-120" windowWidth="29040" windowHeight="16440" activeTab="1" xr2:uid="{B8768859-E8CC-4528-AC0A-CE71CD6CB6B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4" i="2"/>
  <c r="G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<sst xmlns="http://schemas.openxmlformats.org/spreadsheetml/2006/main" count="91" uniqueCount="27">
  <si>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</si>
  <si>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</si>
  <si>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</si>
  <si>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</si>
  <si>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</si>
  <si>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</si>
  <si>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</si>
  <si>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</si>
  <si>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</si>
  <si>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</si>
  <si>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</si>
  <si>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</si>
  <si>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</si>
  <si>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</si>
  <si>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</si>
  <si>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Renewal OR 2025 (ProRata: 1)</t>
  </si>
  <si>
    <t>GHP 2025 Replace STREET (ProRata: 1)</t>
  </si>
  <si>
    <t>Carol Foley</t>
  </si>
  <si>
    <t>Vicky</t>
  </si>
  <si>
    <t>Schaffner</t>
  </si>
  <si>
    <t>Jackie</t>
  </si>
  <si>
    <t>Williams</t>
  </si>
  <si>
    <t>17425766old</t>
  </si>
  <si>
    <t>Geisinger 2025 CT, PA, DC*</t>
  </si>
  <si>
    <t>Geisinger MAPD OVR</t>
  </si>
  <si>
    <t>[%/$=353][prorate=1/12]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</si>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</sst>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3494-7CF8-4D59-ADCD-40D962B27BDB}">
  <dimension ref="A1:K7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18794740</v>
      </c>
      <c r="D2" t="s">
        <v>12</v>
      </c>
      <c r="E2" t="s">
        <v>13</v>
      </c>
      <c r="F2">
        <v>20063015901</v>
      </c>
      <c r="G2" s="1">
        <v>45292</v>
      </c>
      <c r="H2" s="1">
        <v>45744</v>
      </c>
      <c r="I2" t="s">
        <v>14</v>
      </c>
      <c r="J2" t="s">
        <v>15</v>
      </c>
      <c r="K2" s="2">
        <v>3.12</v>
      </c>
    </row>
    <row r="3" spans="1:11" x14ac:dyDescent="0.25">
      <c r="A3" t="s">
        <v>11</v>
      </c>
      <c r="C3">
        <v>18794740</v>
      </c>
      <c r="D3" t="s">
        <v>12</v>
      </c>
      <c r="E3" t="s">
        <v>13</v>
      </c>
      <c r="F3">
        <v>20063015901</v>
      </c>
      <c r="G3" s="1">
        <v>45292</v>
      </c>
      <c r="H3" s="1">
        <v>45744</v>
      </c>
      <c r="I3" t="s">
        <v>14</v>
      </c>
      <c r="J3" t="s">
        <v>16</v>
      </c>
      <c r="K3" s="2">
        <v>29.41</v>
      </c>
    </row>
    <row r="4" spans="1:11" x14ac:dyDescent="0.25">
      <c r="A4" t="s">
        <v>17</v>
      </c>
      <c r="C4">
        <v>17425766</v>
      </c>
      <c r="D4" t="s">
        <v>18</v>
      </c>
      <c r="E4" t="s">
        <v>19</v>
      </c>
      <c r="F4">
        <v>20067374501</v>
      </c>
      <c r="G4" s="1">
        <v>45231</v>
      </c>
      <c r="H4" s="1">
        <v>45744</v>
      </c>
      <c r="I4" t="s">
        <v>14</v>
      </c>
      <c r="J4" t="s">
        <v>15</v>
      </c>
      <c r="K4" s="2">
        <v>3.12</v>
      </c>
    </row>
    <row r="5" spans="1:11" x14ac:dyDescent="0.25">
      <c r="A5" t="s">
        <v>17</v>
      </c>
      <c r="C5">
        <v>17425766</v>
      </c>
      <c r="D5" t="s">
        <v>20</v>
      </c>
      <c r="E5" t="s">
        <v>21</v>
      </c>
      <c r="F5">
        <v>20044292901</v>
      </c>
      <c r="G5" s="1">
        <v>45689</v>
      </c>
      <c r="H5" s="1">
        <v>45744</v>
      </c>
      <c r="I5" t="s">
        <v>14</v>
      </c>
      <c r="J5" t="s">
        <v>15</v>
      </c>
      <c r="K5" s="2">
        <v>3.12</v>
      </c>
    </row>
    <row r="6" spans="1:11" x14ac:dyDescent="0.25">
      <c r="A6" t="s">
        <v>17</v>
      </c>
      <c r="C6">
        <v>17425766</v>
      </c>
      <c r="D6" t="s">
        <v>18</v>
      </c>
      <c r="E6" t="s">
        <v>19</v>
      </c>
      <c r="F6">
        <v>20067374501</v>
      </c>
      <c r="G6" s="1">
        <v>45231</v>
      </c>
      <c r="H6" s="1">
        <v>45744</v>
      </c>
      <c r="I6" t="s">
        <v>14</v>
      </c>
      <c r="J6" t="s">
        <v>16</v>
      </c>
      <c r="K6" s="2">
        <v>29.41</v>
      </c>
    </row>
    <row r="7" spans="1:11" x14ac:dyDescent="0.25">
      <c r="A7" t="s">
        <v>17</v>
      </c>
      <c r="C7">
        <v>17425766</v>
      </c>
      <c r="D7" t="s">
        <v>20</v>
      </c>
      <c r="E7" t="s">
        <v>21</v>
      </c>
      <c r="F7">
        <v>20044292901</v>
      </c>
      <c r="G7" s="1">
        <v>45689</v>
      </c>
      <c r="H7" s="1">
        <v>45744</v>
      </c>
      <c r="I7" t="s">
        <v>14</v>
      </c>
      <c r="J7" t="s">
        <v>16</v>
      </c>
      <c r="K7" s="2">
        <v>29.41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32F2-65BF-4A0A-8082-B030FFDD68B2}">
  <dimension ref="A1:N7"/>
  <sheetViews>
    <sheetView tabSelected="1" workbookViewId="0">
      <selection activeCell="N2" sqref="N2:N7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2" bestFit="1" customWidth="1"/>
    <col min="5" max="5" width="12" customWidth="1"/>
    <col min="6" max="6" width="12" bestFit="1" customWidth="1"/>
    <col min="7" max="7" width="13.140625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4.710937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26</v>
      </c>
      <c r="B2">
        <v>20411454</v>
      </c>
      <c r="C2" t="s">
        <v>12</v>
      </c>
      <c r="D2" t="s">
        <v>13</v>
      </c>
      <c r="E2" t="str">
        <f>CONCATENATE(C2, " ", D2)</f>
        <v>Debra Vanderduim</v>
      </c>
      <c r="F2">
        <v>20063015901</v>
      </c>
      <c r="G2" t="str">
        <f>CONCATENATE(1,F2)</f>
        <v>120063015901</v>
      </c>
      <c r="H2" s="1">
        <v>45292</v>
      </c>
      <c r="I2" s="1">
        <v>45744</v>
      </c>
      <c r="J2" t="s">
        <v>14</v>
      </c>
      <c r="K2" t="s">
        <v>15</v>
      </c>
      <c r="L2" s="2">
        <v>3.12</v>
      </c>
      <c r="M2" t="s">
        <v>24</v>
      </c>
    </row>
    <row r="3" spans="1:14" x14ac:dyDescent="0.25">
      <c r="A3" t="s">
        <v>11</v>
      </c>
      <c r="B3">
        <v>18794740</v>
      </c>
      <c r="C3" t="s">
        <v>12</v>
      </c>
      <c r="D3" t="s">
        <v>13</v>
      </c>
      <c r="E3" t="str">
        <f t="shared" ref="E3:E7" si="0">CONCATENATE(C3, " ", D3)</f>
        <v>Debra Vanderduim</v>
      </c>
      <c r="F3">
        <v>20063015901</v>
      </c>
      <c r="G3">
        <v>20063015901</v>
      </c>
      <c r="H3" s="1">
        <v>45292</v>
      </c>
      <c r="I3" s="1">
        <v>45744</v>
      </c>
      <c r="J3" t="s">
        <v>14</v>
      </c>
      <c r="K3" t="s">
        <v>16</v>
      </c>
      <c r="L3" s="2">
        <v>29.41</v>
      </c>
      <c r="M3" t="s">
        <v>23</v>
      </c>
      <c r="N3" t="s">
        <v>25</v>
      </c>
    </row>
    <row r="4" spans="1:14" x14ac:dyDescent="0.25">
      <c r="A4" t="s">
        <v>26</v>
      </c>
      <c r="B4">
        <v>20411454</v>
      </c>
      <c r="C4" t="s">
        <v>18</v>
      </c>
      <c r="D4" t="s">
        <v>19</v>
      </c>
      <c r="E4" t="str">
        <f t="shared" si="0"/>
        <v>Vicky Schaffner</v>
      </c>
      <c r="F4">
        <v>20067374501</v>
      </c>
      <c r="G4" t="str">
        <f t="shared" ref="G4:G5" si="1">CONCATENATE(1,F4)</f>
        <v>120067374501</v>
      </c>
      <c r="H4" s="1">
        <v>45231</v>
      </c>
      <c r="I4" s="1">
        <v>45744</v>
      </c>
      <c r="J4" t="s">
        <v>14</v>
      </c>
      <c r="K4" t="s">
        <v>15</v>
      </c>
      <c r="L4" s="2">
        <v>3.12</v>
      </c>
      <c r="M4" t="s">
        <v>24</v>
      </c>
    </row>
    <row r="5" spans="1:14" x14ac:dyDescent="0.25">
      <c r="A5" t="s">
        <v>26</v>
      </c>
      <c r="B5">
        <v>20411454</v>
      </c>
      <c r="C5" t="s">
        <v>20</v>
      </c>
      <c r="D5" t="s">
        <v>21</v>
      </c>
      <c r="E5" t="str">
        <f t="shared" si="0"/>
        <v>Jackie Williams</v>
      </c>
      <c r="F5">
        <v>20044292901</v>
      </c>
      <c r="G5" t="str">
        <f t="shared" si="1"/>
        <v>120044292901</v>
      </c>
      <c r="H5" s="1">
        <v>45689</v>
      </c>
      <c r="I5" s="1">
        <v>45744</v>
      </c>
      <c r="J5" t="s">
        <v>14</v>
      </c>
      <c r="K5" t="s">
        <v>15</v>
      </c>
      <c r="L5" s="2">
        <v>3.12</v>
      </c>
      <c r="M5" t="s">
        <v>24</v>
      </c>
    </row>
    <row r="6" spans="1:14" x14ac:dyDescent="0.25">
      <c r="A6" t="s">
        <v>17</v>
      </c>
      <c r="B6" t="s">
        <v>22</v>
      </c>
      <c r="C6" t="s">
        <v>18</v>
      </c>
      <c r="D6" t="s">
        <v>19</v>
      </c>
      <c r="E6" t="str">
        <f t="shared" si="0"/>
        <v>Vicky Schaffner</v>
      </c>
      <c r="F6">
        <v>20067374501</v>
      </c>
      <c r="G6">
        <v>20067374501</v>
      </c>
      <c r="H6" s="1">
        <v>45231</v>
      </c>
      <c r="I6" s="1">
        <v>45744</v>
      </c>
      <c r="J6" t="s">
        <v>14</v>
      </c>
      <c r="K6" t="s">
        <v>16</v>
      </c>
      <c r="L6" s="2">
        <v>29.41</v>
      </c>
      <c r="M6" t="s">
        <v>23</v>
      </c>
      <c r="N6" t="s">
        <v>25</v>
      </c>
    </row>
    <row r="7" spans="1:14" x14ac:dyDescent="0.25">
      <c r="A7" t="s">
        <v>17</v>
      </c>
      <c r="B7">
        <v>17425766</v>
      </c>
      <c r="C7" t="s">
        <v>20</v>
      </c>
      <c r="D7" t="s">
        <v>21</v>
      </c>
      <c r="E7" t="str">
        <f t="shared" si="0"/>
        <v>Jackie Williams</v>
      </c>
      <c r="F7">
        <v>20044292901</v>
      </c>
      <c r="G7">
        <v>20044292901</v>
      </c>
      <c r="H7" s="1">
        <v>45689</v>
      </c>
      <c r="I7" s="1">
        <v>45744</v>
      </c>
      <c r="J7" t="s">
        <v>14</v>
      </c>
      <c r="K7" t="s">
        <v>16</v>
      </c>
      <c r="L7" s="2">
        <v>29.41</v>
      </c>
      <c r="M7" t="s">
        <v>23</v>
      </c>
      <c r="N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2025-03-31T13:29:22Z</dcterms:created>
  <dcterms:modified xsi:type="dcterms:W3CDTF">2025-03-31T16:28:33Z</dcterms:modified>
</cp:coreProperties>
</file>