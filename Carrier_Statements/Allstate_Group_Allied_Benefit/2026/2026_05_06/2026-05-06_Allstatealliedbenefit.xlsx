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0223426" sheetId="1" r:id="rId4"/>
    <sheet state="visible" name="Sheet1" sheetId="2" r:id="rId5"/>
    <sheet state="visible" name="Sheet2" sheetId="3" r:id="rId6"/>
  </sheets>
  <definedNames/>
  <calcPr/>
  <extLst>
    <ext uri="GoogleSheetsCustomDataVersion2">
      <go:sheetsCustomData xmlns:go="http://customooxmlschemas.google.com/" r:id="rId7" roundtripDataChecksum="pSuR2ldVCRBD0R4aFasEVslz3hIXecQVdmNpz/WKNGc="/>
    </ext>
  </extLst>
</workbook>
</file>

<file path=xl/sharedStrings.xml><?xml version="1.0" encoding="utf-8"?>
<sst xmlns="http://schemas.openxmlformats.org/spreadsheetml/2006/main" count="148" uniqueCount="54">
  <si>
    <t>Policyholder Name</t>
  </si>
  <si>
    <t>Writing Agent Name</t>
  </si>
  <si>
    <t>Issue Date</t>
  </si>
  <si>
    <t>BOULDER VALLEY PLASTI</t>
  </si>
  <si>
    <t>Group Number</t>
  </si>
  <si>
    <t>Group Name</t>
  </si>
  <si>
    <t>Billing Period</t>
  </si>
  <si>
    <t>Vendor Num</t>
  </si>
  <si>
    <t>Adjustment Period</t>
  </si>
  <si>
    <t>Invoice Total</t>
  </si>
  <si>
    <t>Agent Rate</t>
  </si>
  <si>
    <t>Paid Amount</t>
  </si>
  <si>
    <t>pro</t>
  </si>
  <si>
    <t>Vendor Name</t>
  </si>
  <si>
    <t>Writing Agent Num</t>
  </si>
  <si>
    <t xml:space="preserve">JACOB D YALE                  </t>
  </si>
  <si>
    <t>L260172</t>
  </si>
  <si>
    <t>Writing Agent 2 Num</t>
  </si>
  <si>
    <t>Writing Agent 2 Name</t>
  </si>
  <si>
    <t>Allied Group 5%</t>
  </si>
  <si>
    <t xml:space="preserve">RICHARD A YALE                </t>
  </si>
  <si>
    <t>Census</t>
  </si>
  <si>
    <t>L252129</t>
  </si>
  <si>
    <t>GREGORY AUTO LL</t>
  </si>
  <si>
    <t>Calculation Method</t>
  </si>
  <si>
    <t>FAMILY CARE ASSOCIATE</t>
  </si>
  <si>
    <t>Report Date</t>
  </si>
  <si>
    <t>Allied Group 7%</t>
  </si>
  <si>
    <t>G0223426</t>
  </si>
  <si>
    <t>L260624</t>
  </si>
  <si>
    <t>HAVECO TOOL &amp; MFG IN</t>
  </si>
  <si>
    <t>BEAR TRUCK SALE</t>
  </si>
  <si>
    <t>MAIN LINE BENEFITS LLC</t>
  </si>
  <si>
    <t>G0218304</t>
  </si>
  <si>
    <t>ALWAYS UNDERGROUND IN</t>
  </si>
  <si>
    <t xml:space="preserve">ANTHONY J HUNSBERGER          </t>
  </si>
  <si>
    <t>L252323</t>
  </si>
  <si>
    <t>INFINITY TAX SOLUTION</t>
  </si>
  <si>
    <t>Allied Group 20%</t>
  </si>
  <si>
    <t>L253014</t>
  </si>
  <si>
    <t>BEAUTY BAR SEATTLE LL</t>
  </si>
  <si>
    <t>Premium Equivalent</t>
  </si>
  <si>
    <t>Allied Group 15%</t>
  </si>
  <si>
    <t xml:space="preserve">JAKE P SHULMAN                </t>
  </si>
  <si>
    <t>L252791</t>
  </si>
  <si>
    <t>LITTLE STEPS FLORIDA L</t>
  </si>
  <si>
    <t>G0221820</t>
  </si>
  <si>
    <t>L260232</t>
  </si>
  <si>
    <t xml:space="preserve">VICTOR FUENTES                </t>
  </si>
  <si>
    <t>L252752</t>
  </si>
  <si>
    <t>Allied Group 12%</t>
  </si>
  <si>
    <t>G0228701</t>
  </si>
  <si>
    <t>G0229009</t>
  </si>
  <si>
    <t>G0229309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</si>
</sst>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10409]m/d/yyyy"/>
    <numFmt numFmtId="165" formatCode="m/d/yyyy"/>
    <numFmt numFmtId="166" formatCode="mm/dd/yyyy"/>
    <numFmt numFmtId="167" formatCode="[$-10409]&quot;$&quot;#,##0.0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rgb="FF000000"/>
      <name val="Quattrocento Sans"/>
    </font>
    <font>
      <b/>
      <sz val="10.0"/>
      <color rgb="FF000000"/>
      <name val="Arial"/>
    </font>
    <font>
      <sz val="10.0"/>
      <color rgb="FF000000"/>
      <name val="Quattrocento Sans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left" readingOrder="1" shrinkToFit="0" vertical="top" wrapText="0"/>
    </xf>
    <xf borderId="0" fillId="0" fontId="1" numFmtId="0" xfId="0" applyAlignment="1" applyFont="1">
      <alignment horizontal="left" readingOrder="1"/>
    </xf>
    <xf borderId="1" fillId="2" fontId="3" numFmtId="0" xfId="0" applyAlignment="1" applyBorder="1" applyFont="1">
      <alignment horizontal="left" readingOrder="1" shrinkToFit="0" vertical="top" wrapText="0"/>
    </xf>
    <xf borderId="1" fillId="2" fontId="2" numFmtId="0" xfId="0" applyAlignment="1" applyBorder="1" applyFont="1">
      <alignment horizontal="left" readingOrder="1" shrinkToFit="0" vertical="top" wrapText="1"/>
    </xf>
    <xf borderId="1" fillId="0" fontId="4" numFmtId="0" xfId="0" applyAlignment="1" applyBorder="1" applyFont="1">
      <alignment horizontal="left" readingOrder="1" shrinkToFit="0" vertical="top" wrapText="0"/>
    </xf>
    <xf borderId="1" fillId="0" fontId="5" numFmtId="0" xfId="0" applyAlignment="1" applyBorder="1" applyFont="1">
      <alignment horizontal="left" readingOrder="1" shrinkToFit="0" vertical="top" wrapText="0"/>
    </xf>
    <xf borderId="1" fillId="0" fontId="5" numFmtId="164" xfId="0" applyAlignment="1" applyBorder="1" applyFont="1" applyNumberFormat="1">
      <alignment horizontal="left" readingOrder="1" shrinkToFit="0" vertical="top" wrapText="0"/>
    </xf>
    <xf borderId="1" fillId="2" fontId="3" numFmtId="0" xfId="0" applyAlignment="1" applyBorder="1" applyFont="1">
      <alignment horizontal="left" readingOrder="1" shrinkToFit="0" vertical="top" wrapText="1"/>
    </xf>
    <xf borderId="1" fillId="0" fontId="5" numFmtId="4" xfId="0" applyAlignment="1" applyBorder="1" applyFont="1" applyNumberFormat="1">
      <alignment horizontal="left" readingOrder="1" shrinkToFit="0" vertical="top" wrapText="0"/>
    </xf>
    <xf borderId="0" fillId="0" fontId="1" numFmtId="165" xfId="0" applyFont="1" applyNumberFormat="1"/>
    <xf borderId="0" fillId="0" fontId="1" numFmtId="165" xfId="0" applyAlignment="1" applyFont="1" applyNumberFormat="1">
      <alignment readingOrder="0"/>
    </xf>
    <xf borderId="1" fillId="0" fontId="4" numFmtId="0" xfId="0" applyAlignment="1" applyBorder="1" applyFont="1">
      <alignment horizontal="left" readingOrder="1" shrinkToFit="0" vertical="top" wrapText="1"/>
    </xf>
    <xf borderId="1" fillId="0" fontId="5" numFmtId="0" xfId="0" applyAlignment="1" applyBorder="1" applyFont="1">
      <alignment horizontal="left" readingOrder="1" shrinkToFit="0" vertical="top" wrapText="1"/>
    </xf>
    <xf borderId="1" fillId="0" fontId="5" numFmtId="164" xfId="0" applyAlignment="1" applyBorder="1" applyFont="1" applyNumberFormat="1">
      <alignment horizontal="left" readingOrder="1" shrinkToFit="0" vertical="top" wrapText="1"/>
    </xf>
    <xf borderId="0" fillId="0" fontId="1" numFmtId="166" xfId="0" applyAlignment="1" applyFont="1" applyNumberFormat="1">
      <alignment readingOrder="0"/>
    </xf>
    <xf borderId="1" fillId="0" fontId="5" numFmtId="167" xfId="0" applyAlignment="1" applyBorder="1" applyFont="1" applyNumberFormat="1">
      <alignment horizontal="left" readingOrder="1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3.75"/>
    <col customWidth="1" min="2" max="2" width="38.38"/>
    <col customWidth="1" min="3" max="3" width="21.75"/>
    <col customWidth="1" min="4" max="4" width="38.38"/>
    <col customWidth="1" min="5" max="5" width="21.75"/>
    <col customWidth="1" min="6" max="6" width="38.38"/>
    <col customWidth="1" min="7" max="7" width="13.75"/>
    <col customWidth="1" min="8" max="8" width="37.75"/>
    <col customWidth="1" min="9" max="13" width="13.75"/>
    <col customWidth="1" min="14" max="14" width="38.0"/>
    <col customWidth="1" min="15" max="15" width="13.75"/>
    <col customWidth="1" min="16" max="16" width="13.63"/>
    <col customWidth="1" min="17" max="26" width="8.63"/>
  </cols>
  <sheetData>
    <row r="1" ht="12.75" customHeight="1">
      <c r="A1" s="5" t="s">
        <v>7</v>
      </c>
      <c r="B1" s="5" t="s">
        <v>13</v>
      </c>
      <c r="C1" s="5" t="s">
        <v>14</v>
      </c>
      <c r="D1" s="5" t="s">
        <v>1</v>
      </c>
      <c r="E1" s="5" t="s">
        <v>17</v>
      </c>
      <c r="F1" s="5" t="s">
        <v>18</v>
      </c>
      <c r="G1" s="5" t="s">
        <v>4</v>
      </c>
      <c r="H1" s="9" t="s">
        <v>5</v>
      </c>
      <c r="I1" s="9" t="s">
        <v>6</v>
      </c>
      <c r="J1" s="9" t="s">
        <v>8</v>
      </c>
      <c r="K1" s="9" t="s">
        <v>9</v>
      </c>
      <c r="L1" s="9" t="s">
        <v>21</v>
      </c>
      <c r="M1" s="9" t="s">
        <v>10</v>
      </c>
      <c r="N1" s="9" t="s">
        <v>24</v>
      </c>
      <c r="O1" s="9" t="s">
        <v>11</v>
      </c>
      <c r="P1" s="9" t="s">
        <v>26</v>
      </c>
    </row>
    <row r="2" ht="12.75" customHeight="1">
      <c r="A2" s="13" t="s">
        <v>28</v>
      </c>
      <c r="B2" s="13" t="s">
        <v>32</v>
      </c>
      <c r="C2" s="13" t="s">
        <v>33</v>
      </c>
      <c r="D2" s="13" t="s">
        <v>15</v>
      </c>
      <c r="E2" s="13"/>
      <c r="F2" s="13"/>
      <c r="G2" s="13" t="s">
        <v>16</v>
      </c>
      <c r="H2" s="14" t="s">
        <v>3</v>
      </c>
      <c r="I2" s="15">
        <v>46143.0</v>
      </c>
      <c r="J2" s="15">
        <v>46143.0</v>
      </c>
      <c r="K2" s="17">
        <v>1927.41</v>
      </c>
      <c r="L2" s="14">
        <v>3.0</v>
      </c>
      <c r="M2" s="14">
        <v>5.0</v>
      </c>
      <c r="N2" s="14" t="s">
        <v>41</v>
      </c>
      <c r="O2" s="17">
        <v>96.36</v>
      </c>
      <c r="P2" s="15">
        <v>46148.0</v>
      </c>
    </row>
    <row r="3" ht="12.75" customHeight="1">
      <c r="A3" s="13" t="s">
        <v>28</v>
      </c>
      <c r="B3" s="13" t="s">
        <v>32</v>
      </c>
      <c r="C3" s="13" t="s">
        <v>46</v>
      </c>
      <c r="D3" s="13" t="s">
        <v>20</v>
      </c>
      <c r="E3" s="13"/>
      <c r="F3" s="13"/>
      <c r="G3" s="13" t="s">
        <v>22</v>
      </c>
      <c r="H3" s="14" t="s">
        <v>23</v>
      </c>
      <c r="I3" s="15">
        <v>46143.0</v>
      </c>
      <c r="J3" s="15">
        <v>46143.0</v>
      </c>
      <c r="K3" s="17">
        <v>16175.84</v>
      </c>
      <c r="L3" s="14">
        <v>34.0</v>
      </c>
      <c r="M3" s="14">
        <v>7.0</v>
      </c>
      <c r="N3" s="14" t="s">
        <v>41</v>
      </c>
      <c r="O3" s="17">
        <v>1132.39</v>
      </c>
      <c r="P3" s="15">
        <v>46148.0</v>
      </c>
    </row>
    <row r="4" ht="12.75" customHeight="1">
      <c r="A4" s="13" t="s">
        <v>28</v>
      </c>
      <c r="B4" s="13" t="s">
        <v>32</v>
      </c>
      <c r="C4" s="13" t="s">
        <v>46</v>
      </c>
      <c r="D4" s="13" t="s">
        <v>20</v>
      </c>
      <c r="E4" s="13"/>
      <c r="F4" s="13"/>
      <c r="G4" s="13" t="s">
        <v>29</v>
      </c>
      <c r="H4" s="14" t="s">
        <v>31</v>
      </c>
      <c r="I4" s="15">
        <v>46143.0</v>
      </c>
      <c r="J4" s="15">
        <v>46143.0</v>
      </c>
      <c r="K4" s="17">
        <v>3075.35</v>
      </c>
      <c r="L4" s="14">
        <v>2.0</v>
      </c>
      <c r="M4" s="14">
        <v>7.0</v>
      </c>
      <c r="N4" s="14" t="s">
        <v>41</v>
      </c>
      <c r="O4" s="17">
        <v>215.28</v>
      </c>
      <c r="P4" s="15">
        <v>46148.0</v>
      </c>
    </row>
    <row r="5" ht="12.0" customHeight="1">
      <c r="A5" s="13" t="s">
        <v>28</v>
      </c>
      <c r="B5" s="13" t="s">
        <v>32</v>
      </c>
      <c r="C5" s="13" t="s">
        <v>51</v>
      </c>
      <c r="D5" s="13" t="s">
        <v>35</v>
      </c>
      <c r="E5" s="13"/>
      <c r="F5" s="13"/>
      <c r="G5" s="13" t="s">
        <v>36</v>
      </c>
      <c r="H5" s="14" t="s">
        <v>25</v>
      </c>
      <c r="I5" s="15">
        <v>46113.0</v>
      </c>
      <c r="J5" s="15">
        <v>46113.0</v>
      </c>
      <c r="K5" s="17">
        <v>4799.05</v>
      </c>
      <c r="L5" s="14">
        <v>5.0</v>
      </c>
      <c r="M5" s="14">
        <v>20.0</v>
      </c>
      <c r="N5" s="14" t="s">
        <v>41</v>
      </c>
      <c r="O5" s="17">
        <v>959.8</v>
      </c>
      <c r="P5" s="15">
        <v>46148.0</v>
      </c>
    </row>
    <row r="6" ht="12.75" customHeight="1">
      <c r="A6" s="13" t="s">
        <v>28</v>
      </c>
      <c r="B6" s="13" t="s">
        <v>32</v>
      </c>
      <c r="C6" s="13" t="s">
        <v>51</v>
      </c>
      <c r="D6" s="13" t="s">
        <v>35</v>
      </c>
      <c r="E6" s="13"/>
      <c r="F6" s="13"/>
      <c r="G6" s="13" t="s">
        <v>39</v>
      </c>
      <c r="H6" s="14" t="s">
        <v>34</v>
      </c>
      <c r="I6" s="15">
        <v>46143.0</v>
      </c>
      <c r="J6" s="15">
        <v>46143.0</v>
      </c>
      <c r="K6" s="17">
        <v>18639.26</v>
      </c>
      <c r="L6" s="14">
        <v>15.0</v>
      </c>
      <c r="M6" s="14">
        <v>15.0</v>
      </c>
      <c r="N6" s="14" t="s">
        <v>41</v>
      </c>
      <c r="O6" s="17">
        <v>2795.93</v>
      </c>
      <c r="P6" s="15">
        <v>46148.0</v>
      </c>
    </row>
    <row r="7" ht="12.75" customHeight="1">
      <c r="A7" s="13" t="s">
        <v>28</v>
      </c>
      <c r="B7" s="13" t="s">
        <v>32</v>
      </c>
      <c r="C7" s="13" t="s">
        <v>52</v>
      </c>
      <c r="D7" s="13" t="s">
        <v>43</v>
      </c>
      <c r="E7" s="13"/>
      <c r="F7" s="13"/>
      <c r="G7" s="13" t="s">
        <v>44</v>
      </c>
      <c r="H7" s="14" t="s">
        <v>37</v>
      </c>
      <c r="I7" s="15">
        <v>46113.0</v>
      </c>
      <c r="J7" s="15">
        <v>46113.0</v>
      </c>
      <c r="K7" s="17">
        <v>2808.61</v>
      </c>
      <c r="L7" s="14">
        <v>3.0</v>
      </c>
      <c r="M7" s="14">
        <v>7.0</v>
      </c>
      <c r="N7" s="14" t="s">
        <v>41</v>
      </c>
      <c r="O7" s="17">
        <v>196.6</v>
      </c>
      <c r="P7" s="15">
        <v>46148.0</v>
      </c>
    </row>
    <row r="8" ht="12.75" customHeight="1">
      <c r="A8" s="13" t="s">
        <v>28</v>
      </c>
      <c r="B8" s="13" t="s">
        <v>32</v>
      </c>
      <c r="C8" s="13" t="s">
        <v>52</v>
      </c>
      <c r="D8" s="13" t="s">
        <v>43</v>
      </c>
      <c r="E8" s="13"/>
      <c r="F8" s="13"/>
      <c r="G8" s="13" t="s">
        <v>44</v>
      </c>
      <c r="H8" s="14" t="s">
        <v>37</v>
      </c>
      <c r="I8" s="15">
        <v>46143.0</v>
      </c>
      <c r="J8" s="15">
        <v>46143.0</v>
      </c>
      <c r="K8" s="17">
        <v>3149.04</v>
      </c>
      <c r="L8" s="14">
        <v>3.0</v>
      </c>
      <c r="M8" s="14">
        <v>7.0</v>
      </c>
      <c r="N8" s="14" t="s">
        <v>41</v>
      </c>
      <c r="O8" s="17">
        <v>220.43</v>
      </c>
      <c r="P8" s="15">
        <v>46148.0</v>
      </c>
    </row>
    <row r="9" ht="12.75" customHeight="1">
      <c r="A9" s="13" t="s">
        <v>28</v>
      </c>
      <c r="B9" s="13" t="s">
        <v>32</v>
      </c>
      <c r="C9" s="13" t="s">
        <v>52</v>
      </c>
      <c r="D9" s="13" t="s">
        <v>43</v>
      </c>
      <c r="E9" s="13"/>
      <c r="F9" s="13"/>
      <c r="G9" s="13" t="s">
        <v>47</v>
      </c>
      <c r="H9" s="14" t="s">
        <v>40</v>
      </c>
      <c r="I9" s="15">
        <v>46143.0</v>
      </c>
      <c r="J9" s="15">
        <v>46143.0</v>
      </c>
      <c r="K9" s="17">
        <v>4670.1</v>
      </c>
      <c r="L9" s="14">
        <v>9.0</v>
      </c>
      <c r="M9" s="14">
        <v>7.0</v>
      </c>
      <c r="N9" s="14" t="s">
        <v>41</v>
      </c>
      <c r="O9" s="17">
        <v>326.88</v>
      </c>
      <c r="P9" s="15">
        <v>46148.0</v>
      </c>
    </row>
    <row r="10" ht="12.75" customHeight="1">
      <c r="A10" s="13" t="s">
        <v>28</v>
      </c>
      <c r="B10" s="13" t="s">
        <v>32</v>
      </c>
      <c r="C10" s="13" t="s">
        <v>53</v>
      </c>
      <c r="D10" s="13" t="s">
        <v>48</v>
      </c>
      <c r="E10" s="13"/>
      <c r="F10" s="13"/>
      <c r="G10" s="13" t="s">
        <v>49</v>
      </c>
      <c r="H10" s="14" t="s">
        <v>45</v>
      </c>
      <c r="I10" s="15">
        <v>46143.0</v>
      </c>
      <c r="J10" s="15">
        <v>46143.0</v>
      </c>
      <c r="K10" s="17">
        <v>3776.09</v>
      </c>
      <c r="L10" s="14">
        <v>7.0</v>
      </c>
      <c r="M10" s="14">
        <v>12.0</v>
      </c>
      <c r="N10" s="14" t="s">
        <v>41</v>
      </c>
      <c r="O10" s="17">
        <v>453.13</v>
      </c>
      <c r="P10" s="15">
        <v>46148.0</v>
      </c>
    </row>
    <row r="11" ht="108.0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1.0" right="1.0" top="1.0"/>
  <pageSetup orientation="portrait"/>
  <headerFooter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25"/>
    <col customWidth="1" min="2" max="2" width="11.75"/>
    <col customWidth="1" min="3" max="3" width="23.5"/>
    <col customWidth="1" min="4" max="4" width="11.75"/>
    <col customWidth="1" min="5" max="5" width="15.75"/>
    <col customWidth="1" min="6" max="6" width="11.0"/>
    <col customWidth="1" min="7" max="7" width="9.75"/>
    <col customWidth="1" min="8" max="8" width="11.25"/>
  </cols>
  <sheetData>
    <row r="1">
      <c r="A1" s="2" t="s">
        <v>1</v>
      </c>
      <c r="B1" s="2" t="s">
        <v>4</v>
      </c>
      <c r="C1" s="4" t="s">
        <v>5</v>
      </c>
      <c r="D1" s="4" t="s">
        <v>6</v>
      </c>
      <c r="E1" s="4" t="s">
        <v>8</v>
      </c>
      <c r="F1" s="4" t="s">
        <v>9</v>
      </c>
      <c r="G1" s="4" t="s">
        <v>10</v>
      </c>
      <c r="H1" s="4" t="s">
        <v>11</v>
      </c>
      <c r="I1" s="1" t="s">
        <v>12</v>
      </c>
    </row>
    <row r="2">
      <c r="A2" s="6" t="s">
        <v>15</v>
      </c>
      <c r="B2" s="6" t="s">
        <v>16</v>
      </c>
      <c r="C2" s="7" t="s">
        <v>3</v>
      </c>
      <c r="D2" s="8">
        <v>46143.0</v>
      </c>
      <c r="E2" s="8">
        <v>46143.0</v>
      </c>
      <c r="F2" s="10">
        <v>1927.41</v>
      </c>
      <c r="G2" s="7">
        <v>5.0</v>
      </c>
      <c r="H2" s="10">
        <v>96.36</v>
      </c>
      <c r="I2" s="1" t="s">
        <v>19</v>
      </c>
    </row>
    <row r="3">
      <c r="A3" s="6" t="s">
        <v>20</v>
      </c>
      <c r="B3" s="6" t="s">
        <v>22</v>
      </c>
      <c r="C3" s="7" t="s">
        <v>23</v>
      </c>
      <c r="D3" s="8">
        <v>46143.0</v>
      </c>
      <c r="E3" s="8">
        <v>46143.0</v>
      </c>
      <c r="F3" s="10">
        <v>16175.84</v>
      </c>
      <c r="G3" s="7">
        <v>7.0</v>
      </c>
      <c r="H3" s="10">
        <v>1132.39</v>
      </c>
      <c r="I3" s="1" t="s">
        <v>27</v>
      </c>
    </row>
    <row r="4">
      <c r="A4" s="6" t="s">
        <v>20</v>
      </c>
      <c r="B4" s="6" t="s">
        <v>29</v>
      </c>
      <c r="C4" s="7" t="s">
        <v>31</v>
      </c>
      <c r="D4" s="8">
        <v>46143.0</v>
      </c>
      <c r="E4" s="8">
        <v>46143.0</v>
      </c>
      <c r="F4" s="10">
        <v>3075.35</v>
      </c>
      <c r="G4" s="7">
        <v>7.0</v>
      </c>
      <c r="H4" s="10">
        <v>215.28</v>
      </c>
      <c r="I4" s="1" t="s">
        <v>27</v>
      </c>
    </row>
    <row r="5">
      <c r="A5" s="6" t="s">
        <v>35</v>
      </c>
      <c r="B5" s="6" t="s">
        <v>36</v>
      </c>
      <c r="C5" s="7" t="s">
        <v>25</v>
      </c>
      <c r="D5" s="8">
        <v>46113.0</v>
      </c>
      <c r="E5" s="8">
        <v>46113.0</v>
      </c>
      <c r="F5" s="10">
        <v>4799.05</v>
      </c>
      <c r="G5" s="7">
        <v>20.0</v>
      </c>
      <c r="H5" s="10">
        <v>959.8</v>
      </c>
      <c r="I5" s="1" t="s">
        <v>38</v>
      </c>
    </row>
    <row r="6">
      <c r="A6" s="6" t="s">
        <v>35</v>
      </c>
      <c r="B6" s="6" t="s">
        <v>39</v>
      </c>
      <c r="C6" s="7" t="s">
        <v>34</v>
      </c>
      <c r="D6" s="8">
        <v>46143.0</v>
      </c>
      <c r="E6" s="8">
        <v>46143.0</v>
      </c>
      <c r="F6" s="10">
        <v>18639.26</v>
      </c>
      <c r="G6" s="7">
        <v>15.0</v>
      </c>
      <c r="H6" s="10">
        <v>2795.93</v>
      </c>
      <c r="I6" s="1" t="s">
        <v>42</v>
      </c>
    </row>
    <row r="7">
      <c r="A7" s="6" t="s">
        <v>43</v>
      </c>
      <c r="B7" s="6" t="s">
        <v>44</v>
      </c>
      <c r="C7" s="7" t="s">
        <v>37</v>
      </c>
      <c r="D7" s="8">
        <v>46113.0</v>
      </c>
      <c r="E7" s="8">
        <v>46113.0</v>
      </c>
      <c r="F7" s="10">
        <v>2808.61</v>
      </c>
      <c r="G7" s="7">
        <v>7.0</v>
      </c>
      <c r="H7" s="10">
        <v>196.6</v>
      </c>
      <c r="I7" s="1" t="s">
        <v>27</v>
      </c>
    </row>
    <row r="8">
      <c r="A8" s="6" t="s">
        <v>43</v>
      </c>
      <c r="B8" s="6" t="s">
        <v>44</v>
      </c>
      <c r="C8" s="7" t="s">
        <v>37</v>
      </c>
      <c r="D8" s="8">
        <v>46143.0</v>
      </c>
      <c r="E8" s="8">
        <v>46143.0</v>
      </c>
      <c r="F8" s="10">
        <v>3149.04</v>
      </c>
      <c r="G8" s="7">
        <v>7.0</v>
      </c>
      <c r="H8" s="10">
        <v>220.43</v>
      </c>
      <c r="I8" s="1" t="s">
        <v>27</v>
      </c>
    </row>
    <row r="9">
      <c r="A9" s="6" t="s">
        <v>43</v>
      </c>
      <c r="B9" s="6" t="s">
        <v>47</v>
      </c>
      <c r="C9" s="7" t="s">
        <v>40</v>
      </c>
      <c r="D9" s="8">
        <v>46143.0</v>
      </c>
      <c r="E9" s="8">
        <v>46143.0</v>
      </c>
      <c r="F9" s="10">
        <v>4670.1</v>
      </c>
      <c r="G9" s="7">
        <v>7.0</v>
      </c>
      <c r="H9" s="10">
        <v>326.88</v>
      </c>
      <c r="I9" s="1" t="s">
        <v>27</v>
      </c>
    </row>
    <row r="10">
      <c r="A10" s="6" t="s">
        <v>48</v>
      </c>
      <c r="B10" s="6" t="s">
        <v>49</v>
      </c>
      <c r="C10" s="7" t="s">
        <v>45</v>
      </c>
      <c r="D10" s="8">
        <v>46143.0</v>
      </c>
      <c r="E10" s="8">
        <v>46143.0</v>
      </c>
      <c r="F10" s="10">
        <v>3776.09</v>
      </c>
      <c r="G10" s="7">
        <v>12.0</v>
      </c>
      <c r="H10" s="10">
        <v>453.13</v>
      </c>
      <c r="I10" s="1" t="s">
        <v>50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23.5"/>
  </cols>
  <sheetData>
    <row r="1">
      <c r="A1" s="1" t="s">
        <v>0</v>
      </c>
      <c r="B1" s="1" t="s">
        <v>2</v>
      </c>
      <c r="D1" s="3" t="s">
        <v>3</v>
      </c>
      <c r="E1" s="11">
        <f t="shared" ref="E1:E5" si="1">vlookup(D1,A:B,2,0)</f>
        <v>46023</v>
      </c>
    </row>
    <row r="2">
      <c r="A2" s="1" t="s">
        <v>25</v>
      </c>
      <c r="B2" s="12">
        <v>45809.0</v>
      </c>
      <c r="D2" s="3" t="s">
        <v>23</v>
      </c>
      <c r="E2" s="11">
        <f t="shared" si="1"/>
        <v>45778</v>
      </c>
    </row>
    <row r="3">
      <c r="A3" s="1" t="s">
        <v>30</v>
      </c>
      <c r="B3" s="12">
        <v>45809.0</v>
      </c>
      <c r="D3" s="3" t="s">
        <v>31</v>
      </c>
      <c r="E3" s="11">
        <f t="shared" si="1"/>
        <v>46023</v>
      </c>
    </row>
    <row r="4">
      <c r="A4" s="1" t="s">
        <v>34</v>
      </c>
      <c r="B4" s="12">
        <v>45931.0</v>
      </c>
      <c r="D4" s="3" t="s">
        <v>25</v>
      </c>
      <c r="E4" s="11">
        <f t="shared" si="1"/>
        <v>45809</v>
      </c>
    </row>
    <row r="5">
      <c r="A5" s="1" t="s">
        <v>34</v>
      </c>
      <c r="B5" s="12">
        <v>45931.0</v>
      </c>
      <c r="D5" s="3" t="s">
        <v>34</v>
      </c>
      <c r="E5" s="11">
        <f t="shared" si="1"/>
        <v>45931</v>
      </c>
    </row>
    <row r="6">
      <c r="A6" s="1" t="s">
        <v>34</v>
      </c>
      <c r="B6" s="12">
        <v>45931.0</v>
      </c>
      <c r="D6" s="3" t="s">
        <v>37</v>
      </c>
      <c r="E6" s="16">
        <v>45901.0</v>
      </c>
    </row>
    <row r="7">
      <c r="A7" s="1" t="s">
        <v>34</v>
      </c>
      <c r="B7" s="12">
        <v>45931.0</v>
      </c>
      <c r="D7" s="3" t="s">
        <v>37</v>
      </c>
      <c r="E7" s="16">
        <v>45901.0</v>
      </c>
    </row>
    <row r="8">
      <c r="A8" s="1" t="s">
        <v>34</v>
      </c>
      <c r="B8" s="12">
        <v>45931.0</v>
      </c>
      <c r="D8" s="3" t="s">
        <v>40</v>
      </c>
      <c r="E8" s="11">
        <f t="shared" ref="E8:E9" si="2">vlookup(D8,A:B,2,0)</f>
        <v>46023</v>
      </c>
    </row>
    <row r="9">
      <c r="A9" s="1" t="s">
        <v>3</v>
      </c>
      <c r="B9" s="12">
        <v>46023.0</v>
      </c>
      <c r="D9" s="3" t="s">
        <v>45</v>
      </c>
      <c r="E9" s="11">
        <f t="shared" si="2"/>
        <v>45901</v>
      </c>
    </row>
    <row r="10">
      <c r="A10" s="1" t="s">
        <v>40</v>
      </c>
      <c r="B10" s="12">
        <v>46023.0</v>
      </c>
    </row>
    <row r="11">
      <c r="A11" s="1" t="s">
        <v>23</v>
      </c>
      <c r="B11" s="12">
        <v>45778.0</v>
      </c>
    </row>
    <row r="12">
      <c r="A12" s="1" t="s">
        <v>23</v>
      </c>
      <c r="B12" s="12">
        <v>45778.0</v>
      </c>
    </row>
    <row r="13">
      <c r="A13" s="1" t="s">
        <v>31</v>
      </c>
      <c r="B13" s="12">
        <v>46023.0</v>
      </c>
    </row>
    <row r="14">
      <c r="A14" s="1" t="s">
        <v>45</v>
      </c>
      <c r="B14" s="12">
        <v>45901.0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2026-05-07T10:10:20Z</dcterms:created>
</cp:coreProperties>
</file>