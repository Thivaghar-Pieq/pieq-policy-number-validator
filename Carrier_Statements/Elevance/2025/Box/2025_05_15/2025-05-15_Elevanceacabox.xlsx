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5-15-25 to 06-05-25 ACA Box\"/>
    </mc:Choice>
  </mc:AlternateContent>
  <xr:revisionPtr revIDLastSave="0" documentId="13_ncr:1_{665F96CF-7A20-43E2-8B0F-5523D763118A}" xr6:coauthVersionLast="47" xr6:coauthVersionMax="47" xr10:uidLastSave="{00000000-0000-0000-0000-000000000000}"/>
  <bookViews>
    <workbookView xWindow="28680" yWindow="-120" windowWidth="29040" windowHeight="16440" activeTab="1" xr2:uid="{C4A23C39-5D14-4985-A75E-CC4EDF8CF9C5}"/>
  </bookViews>
  <sheets>
    <sheet name="Main Line Benefits LLC _ Jason " sheetId="1" r:id="rId1"/>
    <sheet name="Sheet1" sheetId="2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7" i="2" l="1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159" i="2"/>
  <c r="I160" i="2"/>
  <c r="I179" i="2"/>
  <c r="I180" i="2"/>
  <c r="I181" i="2"/>
  <c r="I182" i="2"/>
  <c r="I194" i="2"/>
  <c r="I195" i="2"/>
  <c r="I196" i="2"/>
  <c r="I161" i="2"/>
  <c r="I162" i="2"/>
  <c r="I163" i="2"/>
  <c r="I164" i="2"/>
  <c r="I165" i="2"/>
  <c r="I166" i="2"/>
  <c r="I167" i="2"/>
  <c r="I183" i="2"/>
  <c r="I184" i="2"/>
  <c r="I185" i="2"/>
  <c r="I197" i="2"/>
  <c r="I198" i="2"/>
  <c r="I199" i="2"/>
  <c r="I200" i="2"/>
  <c r="I201" i="2"/>
  <c r="I210" i="2"/>
  <c r="I218" i="2"/>
  <c r="I219" i="2"/>
  <c r="I220" i="2"/>
  <c r="I221" i="2"/>
  <c r="I223" i="2"/>
  <c r="I206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168" i="2"/>
  <c r="I169" i="2"/>
  <c r="I170" i="2"/>
  <c r="I171" i="2"/>
  <c r="I172" i="2"/>
  <c r="I173" i="2"/>
  <c r="I174" i="2"/>
  <c r="I175" i="2"/>
  <c r="I176" i="2"/>
  <c r="I177" i="2"/>
  <c r="I178" i="2"/>
  <c r="I186" i="2"/>
  <c r="I187" i="2"/>
  <c r="I202" i="2"/>
  <c r="I222" i="2"/>
  <c r="I188" i="2"/>
  <c r="I189" i="2"/>
  <c r="I190" i="2"/>
  <c r="I191" i="2"/>
  <c r="I192" i="2"/>
  <c r="I193" i="2"/>
  <c r="I207" i="2"/>
  <c r="I208" i="2"/>
  <c r="I209" i="2"/>
  <c r="I203" i="2"/>
  <c r="I204" i="2"/>
  <c r="I205" i="2"/>
  <c r="I211" i="2"/>
  <c r="I212" i="2"/>
  <c r="I213" i="2"/>
  <c r="I214" i="2"/>
  <c r="I215" i="2"/>
  <c r="I216" i="2"/>
  <c r="I217" i="2"/>
  <c r="I224" i="2"/>
  <c r="I135" i="2"/>
  <c r="I99" i="2"/>
  <c r="I100" i="2"/>
  <c r="I101" i="2"/>
  <c r="I102" i="2"/>
  <c r="I103" i="2"/>
  <c r="I104" i="2"/>
  <c r="I105" i="2"/>
  <c r="I136" i="2"/>
  <c r="I106" i="2"/>
  <c r="E105" i="2"/>
  <c r="E104" i="2"/>
  <c r="E103" i="2"/>
  <c r="E102" i="2"/>
  <c r="E101" i="2"/>
  <c r="E100" i="2"/>
  <c r="E99" i="2"/>
  <c r="Q136" i="2"/>
  <c r="Q105" i="2"/>
  <c r="Q104" i="2"/>
  <c r="Q103" i="2"/>
  <c r="Q102" i="2"/>
  <c r="Q101" i="2"/>
  <c r="Q100" i="2"/>
  <c r="Q99" i="2"/>
  <c r="Q135" i="2"/>
  <c r="Q158" i="2"/>
  <c r="Q134" i="2"/>
  <c r="Q157" i="2"/>
  <c r="Q156" i="2"/>
  <c r="Q155" i="2"/>
  <c r="Q154" i="2"/>
  <c r="Q133" i="2"/>
  <c r="Q132" i="2"/>
  <c r="Q153" i="2"/>
  <c r="Q152" i="2"/>
  <c r="Q151" i="2"/>
  <c r="Q150" i="2"/>
  <c r="Q131" i="2"/>
  <c r="Q130" i="2"/>
  <c r="Q129" i="2"/>
  <c r="Q128" i="2"/>
  <c r="Q127" i="2"/>
  <c r="Q126" i="2"/>
  <c r="Q149" i="2"/>
  <c r="Q125" i="2"/>
  <c r="Q124" i="2"/>
  <c r="Q123" i="2"/>
  <c r="Q122" i="2"/>
  <c r="Q121" i="2"/>
  <c r="Q148" i="2"/>
  <c r="Q120" i="2"/>
  <c r="Q106" i="2"/>
  <c r="Q119" i="2"/>
  <c r="Q118" i="2"/>
  <c r="Q147" i="2"/>
  <c r="Q146" i="2"/>
  <c r="Q145" i="2"/>
  <c r="Q144" i="2"/>
  <c r="Q143" i="2"/>
  <c r="Q142" i="2"/>
  <c r="Q117" i="2"/>
  <c r="Q116" i="2"/>
  <c r="Q115" i="2"/>
  <c r="Q140" i="2"/>
  <c r="Q139" i="2"/>
  <c r="Q138" i="2"/>
  <c r="Q137" i="2"/>
  <c r="Q114" i="2"/>
  <c r="Q113" i="2"/>
  <c r="Q112" i="2"/>
  <c r="Q111" i="2"/>
  <c r="Q110" i="2"/>
  <c r="Q109" i="2"/>
  <c r="Q108" i="2"/>
  <c r="Q141" i="2"/>
  <c r="Q107" i="2"/>
  <c r="E136" i="2"/>
  <c r="E135" i="2"/>
  <c r="E158" i="2"/>
  <c r="E134" i="2"/>
  <c r="E157" i="2"/>
  <c r="E156" i="2"/>
  <c r="E155" i="2"/>
  <c r="E154" i="2"/>
  <c r="E133" i="2"/>
  <c r="E132" i="2"/>
  <c r="E153" i="2"/>
  <c r="E152" i="2"/>
  <c r="E151" i="2"/>
  <c r="E150" i="2"/>
  <c r="E131" i="2"/>
  <c r="E130" i="2"/>
  <c r="E129" i="2"/>
  <c r="E128" i="2"/>
  <c r="E127" i="2"/>
  <c r="E126" i="2"/>
  <c r="E149" i="2"/>
  <c r="E125" i="2"/>
  <c r="E124" i="2"/>
  <c r="E123" i="2"/>
  <c r="E122" i="2"/>
  <c r="E121" i="2"/>
  <c r="E148" i="2"/>
  <c r="E120" i="2"/>
  <c r="E106" i="2"/>
  <c r="E119" i="2"/>
  <c r="E118" i="2"/>
  <c r="E147" i="2"/>
  <c r="E146" i="2"/>
  <c r="E145" i="2"/>
  <c r="E144" i="2"/>
  <c r="E143" i="2"/>
  <c r="E142" i="2"/>
  <c r="E117" i="2"/>
  <c r="E116" i="2"/>
  <c r="E115" i="2"/>
  <c r="E140" i="2"/>
  <c r="E139" i="2"/>
  <c r="E138" i="2"/>
  <c r="E137" i="2"/>
  <c r="E114" i="2"/>
  <c r="E113" i="2"/>
  <c r="E112" i="2"/>
  <c r="E111" i="2"/>
  <c r="E110" i="2"/>
  <c r="E109" i="2"/>
  <c r="E108" i="2"/>
  <c r="E141" i="2"/>
  <c r="E107" i="2"/>
</calcChain>
</file>

<file path=xl/sharedStrings.xml><?xml version="1.0" encoding="utf-8"?>
<sst xmlns="http://schemas.openxmlformats.org/spreadsheetml/2006/main" count="4036" uniqueCount="514">
  <si>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</si>
  <si>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</si>
  <si>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</si>
  <si>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</si>
  <si>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</si>
  <si>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</si>
  <si>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</si>
  <si>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</si>
  <si>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</si>
  <si>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</si>
  <si>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</si>
  <si>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</si>
  <si>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</si>
  <si>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</si>
  <si>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</si>
  <si>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</si>
  <si>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</si>
  <si>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</si>
  <si>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</si>
  <si>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</si>
  <si>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</si>
  <si>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</si>
  <si>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3-</t>
  </si>
  <si>
    <t>HURSEY, MACKENN</t>
  </si>
  <si>
    <t>HURSEY, BRENT</t>
  </si>
  <si>
    <t>HURSEY, PAULA</t>
  </si>
  <si>
    <t>HURSEY, MARIELL</t>
  </si>
  <si>
    <t>CALTAGIRONE, RYAN J</t>
  </si>
  <si>
    <t>KCHMQKSTPZ</t>
  </si>
  <si>
    <t>MAJOR, DIANE</t>
  </si>
  <si>
    <t>292W18062</t>
  </si>
  <si>
    <t>OH</t>
  </si>
  <si>
    <t>1-</t>
  </si>
  <si>
    <t>LEE, JOEL N</t>
  </si>
  <si>
    <t>CKKLNNKVMZ</t>
  </si>
  <si>
    <t>KIRBY, MIA</t>
  </si>
  <si>
    <t>861A73804</t>
  </si>
  <si>
    <t>CO</t>
  </si>
  <si>
    <t>PARK, PATRICK</t>
  </si>
  <si>
    <t>GESKE, HEATHER M</t>
  </si>
  <si>
    <t>MFLLMNTMMZ</t>
  </si>
  <si>
    <t>NORRIS, TIONNA</t>
  </si>
  <si>
    <t>025W23272</t>
  </si>
  <si>
    <t>ODONNELL, BRITTAN</t>
  </si>
  <si>
    <t>817W22059</t>
  </si>
  <si>
    <t>VIS</t>
  </si>
  <si>
    <t>GESKE, WILLIAM E</t>
  </si>
  <si>
    <t>BMHJQKKRPZ</t>
  </si>
  <si>
    <t>GODEBU, KARA</t>
  </si>
  <si>
    <t>333W07421</t>
  </si>
  <si>
    <t>DEN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</si>
  <si>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</si>
  <si>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</si>
  <si>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</si>
  <si>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</si>
  <si>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</si>
  <si>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</si>
  <si>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</si>
  <si>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</si>
  <si>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</si>
  <si>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</si>
  <si>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</si>
  <si>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</si>
  <si>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</si>
  <si>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</si>
  <si>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</si>
  <si>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</si>
  <si>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</si>
  <si>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WARDRIP, TWYLA</t>
  </si>
  <si>
    <t>661M56077</t>
  </si>
  <si>
    <t>IN</t>
  </si>
  <si>
    <t>KOCHER, AMANDA</t>
  </si>
  <si>
    <t>579W23751</t>
  </si>
  <si>
    <t>MANIKONDA, KAMALAK</t>
  </si>
  <si>
    <t>414W22927</t>
  </si>
  <si>
    <t>RINGGENBERG, LAURA</t>
  </si>
  <si>
    <t>818W08412</t>
  </si>
  <si>
    <t>BELAVIANTY, MARTHA</t>
  </si>
  <si>
    <t>RINGGENBERG, BRUCE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</si>
  <si>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</si>
  <si>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</si>
  <si>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</si>
  <si>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</si>
  <si>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</si>
  <si>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</si>
  <si>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</si>
  <si>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</si>
  <si>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</si>
  <si>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</si>
  <si>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</si>
  <si>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</si>
  <si>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</si>
  <si>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</si>
  <si>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</si>
  <si>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</si>
  <si>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</si>
  <si>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</si>
  <si>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MAYDEW, LILYAHN</t>
  </si>
  <si>
    <t>693W23559</t>
  </si>
  <si>
    <t>KAYSER, LISA</t>
  </si>
  <si>
    <t>583W22704</t>
  </si>
  <si>
    <t>PEREZ, JOSEPH</t>
  </si>
  <si>
    <t>MAYDEW, DONNA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</si>
  <si>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</si>
  <si>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</si>
  <si>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</si>
  <si>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</si>
  <si>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</si>
  <si>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</si>
  <si>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</si>
  <si>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</si>
  <si>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</si>
  <si>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</si>
  <si>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</si>
  <si>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</si>
  <si>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</si>
  <si>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</si>
  <si>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</si>
  <si>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</si>
  <si>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</si>
  <si>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</si>
  <si>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</si>
  <si>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</si>
  <si>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ABDUL, SAADIA S</t>
  </si>
  <si>
    <t>FKHFGRTRPZ</t>
  </si>
  <si>
    <t>DOHENY, PATRICK</t>
  </si>
  <si>
    <t>730M85299</t>
  </si>
  <si>
    <t>CA</t>
  </si>
  <si>
    <t>PROEMSEY, KYLE</t>
  </si>
  <si>
    <t>991W23751</t>
  </si>
  <si>
    <t>PHILLIPS, KENNETH</t>
  </si>
  <si>
    <t>333A73712</t>
  </si>
  <si>
    <t>IANNACCONE, KENNETH</t>
  </si>
  <si>
    <t>734A72290</t>
  </si>
  <si>
    <t>MICHELMAN, SAMUEL</t>
  </si>
  <si>
    <t>770W23219</t>
  </si>
  <si>
    <t>OKEEFE, FIONNUA</t>
  </si>
  <si>
    <t>976W23028</t>
  </si>
  <si>
    <t>LEACH, IAN</t>
  </si>
  <si>
    <t>377M90628</t>
  </si>
  <si>
    <t>CONNOLLY, WENDY</t>
  </si>
  <si>
    <t>140M50698</t>
  </si>
  <si>
    <t>PHILLIPS, MICHELL</t>
  </si>
  <si>
    <t>KHAN, NADIM</t>
  </si>
  <si>
    <t>533W23010</t>
  </si>
  <si>
    <t>ABEYTA, JIM</t>
  </si>
  <si>
    <t>428A71564</t>
  </si>
  <si>
    <t>KOPPERUD, MELANIE</t>
  </si>
  <si>
    <t>330W21904</t>
  </si>
  <si>
    <t>HAUSCHILD, JAMES</t>
  </si>
  <si>
    <t>525M78356</t>
  </si>
  <si>
    <t>CONNOLLY, THOMAS</t>
  </si>
  <si>
    <t>WILSON, JENNIFE</t>
  </si>
  <si>
    <t>CONNOLLY, DAVID</t>
  </si>
  <si>
    <t>WHYTE, MATTHEW</t>
  </si>
  <si>
    <t>391M79456</t>
  </si>
  <si>
    <t>DWYER, PATRICK</t>
  </si>
  <si>
    <t>436M98850</t>
  </si>
  <si>
    <t>OKEEFE, COLLEEN</t>
  </si>
  <si>
    <t>SCHAUERMANN, MARY</t>
  </si>
  <si>
    <t>722W22939</t>
  </si>
  <si>
    <t>STEWART, RYAN</t>
  </si>
  <si>
    <t>504W22732</t>
  </si>
  <si>
    <t>CONNOLLY, ADAM</t>
  </si>
  <si>
    <t>TEIPEL, GREGORY K</t>
  </si>
  <si>
    <t>DMHHKNKRSZ</t>
  </si>
  <si>
    <t>KEMPKER, DAVID</t>
  </si>
  <si>
    <t>905A65921</t>
  </si>
  <si>
    <t>MO</t>
  </si>
  <si>
    <t>KEMPKER, KAYLYN</t>
  </si>
  <si>
    <t>874W03213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</si>
  <si>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</si>
  <si>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</si>
  <si>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</si>
  <si>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</si>
  <si>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</si>
  <si>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</si>
  <si>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</si>
  <si>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</si>
  <si>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</si>
  <si>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</si>
  <si>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</si>
  <si>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REITER, JUSTIN</t>
  </si>
  <si>
    <t>824W19360</t>
  </si>
  <si>
    <t>KEMPKER, JESSI</t>
  </si>
  <si>
    <t>KEMPKER, ZACHARY</t>
  </si>
  <si>
    <t>BRETZLER, CHRISTI</t>
  </si>
  <si>
    <t>656M71261</t>
  </si>
  <si>
    <t>KEMPKER, LEVI</t>
  </si>
  <si>
    <t>KEMPKER, LIAM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</si>
  <si>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</si>
  <si>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</si>
  <si>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</si>
  <si>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</si>
  <si>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</si>
  <si>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</si>
  <si>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</si>
  <si>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</si>
  <si>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</si>
  <si>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</si>
  <si>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</si>
  <si>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</si>
  <si>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</si>
  <si>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</si>
  <si>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</si>
  <si>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</si>
  <si>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</si>
  <si>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</si>
  <si>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</si>
  <si>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COOPER, RICHARD</t>
  </si>
  <si>
    <t>746A75482</t>
  </si>
  <si>
    <t>WILSON, CYNTHIA</t>
  </si>
  <si>
    <t>465M83236</t>
  </si>
  <si>
    <t>FELOSA, DAWN</t>
  </si>
  <si>
    <t>103W22858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</si>
  <si>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</si>
  <si>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</si>
  <si>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</si>
  <si>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</si>
  <si>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</si>
  <si>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</si>
  <si>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</si>
  <si>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</si>
  <si>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</si>
  <si>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</si>
  <si>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</si>
  <si>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SWOPE, CLINTON</t>
  </si>
  <si>
    <t>114A76544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</si>
  <si>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</si>
  <si>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</si>
  <si>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</si>
  <si>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</si>
  <si>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</si>
  <si>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</si>
  <si>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</si>
  <si>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</si>
  <si>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</si>
  <si>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</si>
  <si>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BOUCHARD, PIERRE</t>
  </si>
  <si>
    <t>201W23263</t>
  </si>
  <si>
    <t>NOVOTNY, MARY</t>
  </si>
  <si>
    <t>768A65980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</si>
  <si>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</si>
  <si>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</si>
  <si>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</si>
  <si>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</si>
  <si>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</si>
  <si>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</si>
  <si>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</si>
  <si>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</si>
  <si>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</si>
  <si>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</si>
  <si>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</si>
  <si>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</si>
  <si>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</si>
  <si>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</si>
  <si>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</si>
  <si>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</si>
  <si>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</si>
  <si>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LOPEZ, AMBER</t>
  </si>
  <si>
    <t>299W23604</t>
  </si>
  <si>
    <t>MCDEVITT, CINDY</t>
  </si>
  <si>
    <t>661W22857</t>
  </si>
  <si>
    <t>SWOPE, OLIVER</t>
  </si>
  <si>
    <t>GRADY, JACKSON</t>
  </si>
  <si>
    <t>610W22980</t>
  </si>
  <si>
    <t>GEORGE, THOMAS</t>
  </si>
  <si>
    <t>MONTEIL, LUKE</t>
  </si>
  <si>
    <t>DUNCAN, LORI</t>
  </si>
  <si>
    <t>123M77595</t>
  </si>
  <si>
    <t>FINCH, LESLIE</t>
  </si>
  <si>
    <t>108W23399</t>
  </si>
  <si>
    <t>RIZO, ESTEBAN</t>
  </si>
  <si>
    <t>404M88541</t>
  </si>
  <si>
    <t>JACKSON, DARLA</t>
  </si>
  <si>
    <t>644W22704</t>
  </si>
  <si>
    <t>HUNCHAR, QUINN</t>
  </si>
  <si>
    <t>787W23730</t>
  </si>
  <si>
    <t>LENEVE, OLIVIA</t>
  </si>
  <si>
    <t>270W22463</t>
  </si>
  <si>
    <t>LEFEVER, BETTE</t>
  </si>
  <si>
    <t>922W23458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</si>
  <si>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</si>
  <si>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</si>
  <si>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</si>
  <si>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</si>
  <si>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</si>
  <si>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</si>
  <si>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</si>
  <si>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</si>
  <si>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</si>
  <si>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VAN SLAMBROU, DOUGLAS</t>
  </si>
  <si>
    <t>057A66971</t>
  </si>
  <si>
    <t>NOVOTNY, JOSHUA</t>
  </si>
  <si>
    <t>GILMORE, XAVIER</t>
  </si>
  <si>
    <t>MCCULLAR, CASEY</t>
  </si>
  <si>
    <t>SWOPE, SHERRY</t>
  </si>
  <si>
    <t>WUENSCH, RICHARD</t>
  </si>
  <si>
    <t>BFHKMNJQQZ</t>
  </si>
  <si>
    <t>AMBE, LOVERT</t>
  </si>
  <si>
    <t>845W18902</t>
  </si>
  <si>
    <t>ZANA, NASANDELGER M</t>
  </si>
  <si>
    <t>BMHMJPKKPZ</t>
  </si>
  <si>
    <t>BAYANMUNKH, TSERENL</t>
  </si>
  <si>
    <t>270W22958</t>
  </si>
  <si>
    <t>GENDEN, OYUN</t>
  </si>
  <si>
    <t>712W20335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</si>
  <si>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</si>
  <si>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</si>
  <si>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</si>
  <si>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</si>
  <si>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</si>
  <si>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</si>
  <si>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</si>
  <si>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</si>
  <si>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</si>
  <si>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</si>
  <si>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</si>
  <si>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</si>
  <si>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</si>
  <si>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</si>
  <si>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</si>
  <si>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</si>
  <si>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</si>
  <si>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</si>
  <si>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</si>
  <si>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</si>
  <si>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</si>
  <si>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HUBERT, KRISTIN</t>
  </si>
  <si>
    <t>023W12292</t>
  </si>
  <si>
    <t>SANTOS, RICARDO D</t>
  </si>
  <si>
    <t>GCLHQPTSLZ</t>
  </si>
  <si>
    <t>CARTER, BRIDGET</t>
  </si>
  <si>
    <t>794A80293</t>
  </si>
  <si>
    <t>NELSON, SHELLY</t>
  </si>
  <si>
    <t>626W16823</t>
  </si>
  <si>
    <t>RUDOLPH, KAREN</t>
  </si>
  <si>
    <t>413W15068</t>
  </si>
  <si>
    <t>OLSON, TAMMIE</t>
  </si>
  <si>
    <t>162W20058</t>
  </si>
  <si>
    <t>LONG, DALE</t>
  </si>
  <si>
    <t>013M60536</t>
  </si>
  <si>
    <t>JOHNSON, PIXIE</t>
  </si>
  <si>
    <t>634A80295</t>
  </si>
  <si>
    <t>PIZZA, ISLA</t>
  </si>
  <si>
    <t>476W09451</t>
  </si>
  <si>
    <t>CARPENTER, ROBIN</t>
  </si>
  <si>
    <t>119M58274</t>
  </si>
  <si>
    <t>PIZZA, SAVANNA</t>
  </si>
  <si>
    <t>CARPENTER, DANIEL</t>
  </si>
  <si>
    <t>JOHNSON, NATALIE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</si>
  <si>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</si>
  <si>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</si>
  <si>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</si>
  <si>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</si>
  <si>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</si>
  <si>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</si>
  <si>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</si>
  <si>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</si>
  <si>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</si>
  <si>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</si>
  <si>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</si>
  <si>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</si>
  <si>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</si>
  <si>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</si>
  <si>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</si>
  <si>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</si>
  <si>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</si>
  <si>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</si>
  <si>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HOFFMANN, JASON</t>
  </si>
  <si>
    <t>HHFNLNTRWZ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</si>
  <si>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</si>
  <si>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</si>
  <si>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</si>
  <si>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</si>
  <si>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</si>
  <si>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</si>
  <si>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</si>
  <si>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</si>
  <si>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</si>
  <si>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</si>
  <si>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</si>
  <si>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</si>
  <si>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</si>
  <si>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</si>
  <si>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</si>
  <si>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</si>
  <si>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</si>
  <si>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</si>
  <si>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</si>
  <si>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</si>
  <si>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</si>
  <si>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</si>
  <si>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</si>
  <si>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TYLER, LORETTA</t>
  </si>
  <si>
    <t>590M55937</t>
  </si>
  <si>
    <t>TYLER, TODD</t>
  </si>
  <si>
    <t>ROSICH, BRADLEY</t>
  </si>
  <si>
    <t>916M54137</t>
  </si>
  <si>
    <t>ROSICH, BRAD</t>
  </si>
  <si>
    <t>GARD, ROLAND</t>
  </si>
  <si>
    <t>415W12096</t>
  </si>
  <si>
    <t>FELDMAN, MARY</t>
  </si>
  <si>
    <t>365W10380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</si>
  <si>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</si>
  <si>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</si>
  <si>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</si>
  <si>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</si>
  <si>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</si>
  <si>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</si>
  <si>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</si>
  <si>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</si>
  <si>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</si>
  <si>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</si>
  <si>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</si>
  <si>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</si>
  <si>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</si>
  <si>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</si>
  <si>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</si>
  <si>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</si>
  <si>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</si>
  <si>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</si>
  <si>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</si>
  <si>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</si>
  <si>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</si>
  <si>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CHENG, SHELBY</t>
  </si>
  <si>
    <t>553W21149</t>
  </si>
  <si>
    <t>HAMILTON, JORDYNE</t>
  </si>
  <si>
    <t>531W16963</t>
  </si>
  <si>
    <t>HOLSEY, KELLY</t>
  </si>
  <si>
    <t>708M85310</t>
  </si>
  <si>
    <t>CHENG LEONG, KENNETH</t>
  </si>
  <si>
    <t>RAPHAEL, MONICA</t>
  </si>
  <si>
    <t>150W17732</t>
  </si>
  <si>
    <t>COLLINS, MARCUS</t>
  </si>
  <si>
    <t>379W21454</t>
  </si>
  <si>
    <t>PORTUGAL, STACEY A</t>
  </si>
  <si>
    <t>KKHMKHJQQZ</t>
  </si>
  <si>
    <t>HILL, OAKLYNN</t>
  </si>
  <si>
    <t>902W20037</t>
  </si>
  <si>
    <t>HEIMAN, JACALYN</t>
  </si>
  <si>
    <t>538W16374</t>
  </si>
  <si>
    <t>HILL, BRIANNA</t>
  </si>
  <si>
    <t>HILL, JACOB</t>
  </si>
  <si>
    <t>HILL, RYDER</t>
  </si>
  <si>
    <t>RICHTER, ADAM J</t>
  </si>
  <si>
    <t>MKFNNNMQVZ</t>
  </si>
  <si>
    <t>WALLACE MILL, KAITLYN</t>
  </si>
  <si>
    <t>642W23622</t>
  </si>
  <si>
    <t>MD</t>
  </si>
  <si>
    <t>KHAN, NADIA</t>
  </si>
  <si>
    <t>233W07322</t>
  </si>
  <si>
    <t>ADAMS, ELIJAH</t>
  </si>
  <si>
    <t>905M78645</t>
  </si>
  <si>
    <t>ASHBURN, DAVID</t>
  </si>
  <si>
    <t>032M59885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</si>
  <si>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</si>
  <si>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</si>
  <si>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</si>
  <si>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</si>
  <si>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</si>
  <si>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</si>
  <si>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</si>
  <si>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</si>
  <si>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</si>
  <si>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</si>
  <si>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</si>
  <si>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</si>
  <si>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</si>
  <si>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WILKINS, PHYLLIS</t>
  </si>
  <si>
    <t>439W18874</t>
  </si>
  <si>
    <t>BROUSSEAU, CHRISTOPHER</t>
  </si>
  <si>
    <t>LFHMGKSSQZ</t>
  </si>
  <si>
    <t>KOWALSKI, DARYL</t>
  </si>
  <si>
    <t>693W23678</t>
  </si>
  <si>
    <t>TX</t>
  </si>
  <si>
    <t>FUENTES, VICTOR</t>
  </si>
  <si>
    <t>BNJGKLSVPZ</t>
  </si>
  <si>
    <t>ON, HAYDEN</t>
  </si>
  <si>
    <t>486W22556</t>
  </si>
  <si>
    <t>ALLEN, SHERI</t>
  </si>
  <si>
    <t>633W22318</t>
  </si>
  <si>
    <t>PORTUGAL, GARY</t>
  </si>
  <si>
    <t>FMHPQHRQRZ</t>
  </si>
  <si>
    <t>MOORE, CHRISTI</t>
  </si>
  <si>
    <t>386W23015</t>
  </si>
  <si>
    <t>FL</t>
  </si>
  <si>
    <t>MATA, ALISYA</t>
  </si>
  <si>
    <t>GILMORE, CHARLES</t>
  </si>
  <si>
    <t>464W22967</t>
  </si>
  <si>
    <t>SICKMAN, CHERYL</t>
  </si>
  <si>
    <t>961W23095</t>
  </si>
  <si>
    <t>Total</t>
  </si>
  <si>
    <t>[PMPM=15]</t>
  </si>
  <si>
    <t>[PMPM=2]</t>
  </si>
  <si>
    <t>[PMPM=4]</t>
  </si>
  <si>
    <t>[PMPM=5]</t>
  </si>
  <si>
    <t>[PMPM=8]</t>
  </si>
  <si>
    <t>[PMPM=3]</t>
  </si>
  <si>
    <t>155WA22447</t>
  </si>
  <si>
    <t>188WA22857</t>
  </si>
  <si>
    <t>278WA23376</t>
  </si>
  <si>
    <t>377MA90628</t>
  </si>
  <si>
    <t>386WA23015</t>
  </si>
  <si>
    <t>775MA99708</t>
  </si>
  <si>
    <t>861AA73804</t>
  </si>
  <si>
    <t>864WA08141</t>
  </si>
  <si>
    <t>Anthem DV Blue prime</t>
  </si>
  <si>
    <t>Anthem Dent plus and value</t>
  </si>
  <si>
    <t>Anthem 2025 CO</t>
  </si>
  <si>
    <t>Anthem GA, IN, NV, OH, WI, VA</t>
  </si>
  <si>
    <t>Anthem 2025 MO</t>
  </si>
  <si>
    <t>Anthem 2025 CA</t>
  </si>
  <si>
    <t>414WA22927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</si>
</sst>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4" fontId="3" fillId="3" borderId="0" xfId="1" applyFont="1" applyFill="1" applyBorder="1" applyAlignment="1">
      <alignment horizontal="center" vertical="center" wrapText="1"/>
    </xf>
    <xf numFmtId="0" fontId="0" fillId="0" borderId="0" xfId="0" applyBorder="1"/>
    <xf numFmtId="0" fontId="4" fillId="4" borderId="0" xfId="0" applyFont="1" applyFill="1" applyBorder="1" applyAlignment="1">
      <alignment horizontal="left"/>
    </xf>
    <xf numFmtId="14" fontId="4" fillId="4" borderId="0" xfId="0" applyNumberFormat="1" applyFont="1" applyFill="1" applyBorder="1" applyAlignment="1">
      <alignment horizontal="left"/>
    </xf>
    <xf numFmtId="44" fontId="4" fillId="4" borderId="0" xfId="1" applyFont="1" applyFill="1" applyBorder="1" applyAlignment="1">
      <alignment horizontal="left"/>
    </xf>
    <xf numFmtId="0" fontId="0" fillId="4" borderId="0" xfId="0" applyFill="1" applyBorder="1"/>
    <xf numFmtId="14" fontId="4" fillId="5" borderId="0" xfId="0" applyNumberFormat="1" applyFont="1" applyFill="1" applyBorder="1" applyAlignment="1">
      <alignment horizontal="left"/>
    </xf>
    <xf numFmtId="0" fontId="0" fillId="5" borderId="0" xfId="0" applyFill="1" applyBorder="1"/>
    <xf numFmtId="0" fontId="6" fillId="5" borderId="0" xfId="0" applyFont="1" applyFill="1" applyBorder="1" applyAlignment="1">
      <alignment horizontal="left"/>
    </xf>
    <xf numFmtId="14" fontId="6" fillId="5" borderId="0" xfId="0" applyNumberFormat="1" applyFont="1" applyFill="1" applyBorder="1" applyAlignment="1">
      <alignment horizontal="left"/>
    </xf>
    <xf numFmtId="44" fontId="6" fillId="5" borderId="0" xfId="1" applyFont="1" applyFill="1" applyBorder="1" applyAlignment="1">
      <alignment horizontal="left"/>
    </xf>
    <xf numFmtId="0" fontId="7" fillId="5" borderId="0" xfId="0" applyFont="1" applyFill="1" applyBorder="1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44" fontId="4" fillId="0" borderId="0" xfId="1" applyFont="1" applyFill="1" applyBorder="1" applyAlignment="1">
      <alignment horizontal="left"/>
    </xf>
    <xf numFmtId="0" fontId="0" fillId="0" borderId="0" xfId="0" applyFill="1" applyBorder="1"/>
    <xf numFmtId="9" fontId="0" fillId="0" borderId="0" xfId="2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left"/>
    </xf>
    <xf numFmtId="44" fontId="6" fillId="0" borderId="0" xfId="1" applyFont="1" applyFill="1" applyBorder="1" applyAlignment="1">
      <alignment horizontal="left"/>
    </xf>
    <xf numFmtId="0" fontId="7" fillId="0" borderId="0" xfId="0" applyFont="1" applyFill="1" applyBorder="1"/>
    <xf numFmtId="0" fontId="7" fillId="0" borderId="0" xfId="0" applyFont="1"/>
    <xf numFmtId="0" fontId="7" fillId="4" borderId="0" xfId="0" applyFont="1" applyFill="1" applyBorder="1"/>
    <xf numFmtId="0" fontId="7" fillId="0" borderId="0" xfId="0" applyFont="1" applyFill="1"/>
    <xf numFmtId="9" fontId="7" fillId="0" borderId="0" xfId="2" applyFont="1" applyFill="1" applyBorder="1"/>
    <xf numFmtId="0" fontId="7" fillId="5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3512-6A2E-4035-AD67-97F7A798E0C2}">
  <dimension ref="A1:M300"/>
  <sheetViews>
    <sheetView topLeftCell="A268" workbookViewId="0">
      <selection activeCell="B293" sqref="B293"/>
    </sheetView>
  </sheetViews>
  <sheetFormatPr defaultRowHeight="15" x14ac:dyDescent="0.25"/>
  <cols>
    <col min="1" max="1" width="42" customWidth="1"/>
    <col min="2" max="2" width="22.85546875" customWidth="1"/>
    <col min="3" max="3" width="12.85546875" customWidth="1"/>
    <col min="4" max="4" width="20.85546875" customWidth="1"/>
    <col min="5" max="5" width="11.7109375" customWidth="1"/>
    <col min="6" max="6" width="12" customWidth="1"/>
    <col min="7" max="7" width="11.5703125" customWidth="1"/>
    <col min="8" max="8" width="10.85546875" customWidth="1"/>
    <col min="9" max="9" width="9.7109375" customWidth="1"/>
    <col min="10" max="10" width="4.85546875" customWidth="1"/>
    <col min="11" max="11" width="11.5703125" customWidth="1"/>
    <col min="12" max="12" width="7.42578125" customWidth="1"/>
    <col min="13" max="13" width="11.5703125" customWidth="1"/>
  </cols>
  <sheetData>
    <row r="1" spans="1:13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45597</v>
      </c>
      <c r="G2" s="5" t="s">
        <v>13</v>
      </c>
      <c r="H2" s="5" t="s">
        <v>14</v>
      </c>
      <c r="I2" s="6">
        <v>45717</v>
      </c>
      <c r="J2" s="5" t="s">
        <v>21</v>
      </c>
      <c r="K2" s="7">
        <v>-106.31</v>
      </c>
      <c r="L2" s="5" t="s">
        <v>22</v>
      </c>
      <c r="M2" s="7">
        <v>-60</v>
      </c>
    </row>
    <row r="3" spans="1:13" x14ac:dyDescent="0.25">
      <c r="A3" s="5" t="s">
        <v>16</v>
      </c>
      <c r="B3" s="5" t="s">
        <v>17</v>
      </c>
      <c r="C3" s="5" t="s">
        <v>18</v>
      </c>
      <c r="D3" s="5" t="s">
        <v>23</v>
      </c>
      <c r="E3" s="5" t="s">
        <v>20</v>
      </c>
      <c r="F3" s="6">
        <v>45597</v>
      </c>
      <c r="G3" s="5" t="s">
        <v>13</v>
      </c>
      <c r="H3" s="5" t="s">
        <v>14</v>
      </c>
      <c r="I3" s="6">
        <v>45717</v>
      </c>
      <c r="J3" s="5" t="s">
        <v>21</v>
      </c>
      <c r="K3" s="7">
        <v>-126.87</v>
      </c>
      <c r="L3" s="5" t="s">
        <v>22</v>
      </c>
      <c r="M3" s="7">
        <v>-60</v>
      </c>
    </row>
    <row r="4" spans="1:13" x14ac:dyDescent="0.25">
      <c r="A4" s="5" t="s">
        <v>16</v>
      </c>
      <c r="B4" s="5" t="s">
        <v>17</v>
      </c>
      <c r="C4" s="5" t="s">
        <v>18</v>
      </c>
      <c r="D4" s="5" t="s">
        <v>24</v>
      </c>
      <c r="E4" s="5" t="s">
        <v>20</v>
      </c>
      <c r="F4" s="6">
        <v>45597</v>
      </c>
      <c r="G4" s="5" t="s">
        <v>13</v>
      </c>
      <c r="H4" s="5" t="s">
        <v>14</v>
      </c>
      <c r="I4" s="6">
        <v>45717</v>
      </c>
      <c r="J4" s="5" t="s">
        <v>21</v>
      </c>
      <c r="K4" s="7">
        <v>-377.25</v>
      </c>
      <c r="L4" s="5" t="s">
        <v>22</v>
      </c>
      <c r="M4" s="7">
        <v>-60</v>
      </c>
    </row>
    <row r="5" spans="1:13" x14ac:dyDescent="0.25">
      <c r="A5" s="5" t="s">
        <v>16</v>
      </c>
      <c r="B5" s="5" t="s">
        <v>17</v>
      </c>
      <c r="C5" s="5" t="s">
        <v>18</v>
      </c>
      <c r="D5" s="5" t="s">
        <v>25</v>
      </c>
      <c r="E5" s="5" t="s">
        <v>20</v>
      </c>
      <c r="F5" s="6">
        <v>45597</v>
      </c>
      <c r="G5" s="5" t="s">
        <v>13</v>
      </c>
      <c r="H5" s="5" t="s">
        <v>14</v>
      </c>
      <c r="I5" s="6">
        <v>45717</v>
      </c>
      <c r="J5" s="5" t="s">
        <v>21</v>
      </c>
      <c r="K5" s="7">
        <v>-338.66</v>
      </c>
      <c r="L5" s="5" t="s">
        <v>22</v>
      </c>
      <c r="M5" s="7">
        <v>-60</v>
      </c>
    </row>
    <row r="6" spans="1:13" x14ac:dyDescent="0.25">
      <c r="A6" s="5" t="s">
        <v>16</v>
      </c>
      <c r="B6" s="5" t="s">
        <v>17</v>
      </c>
      <c r="C6" s="5" t="s">
        <v>18</v>
      </c>
      <c r="D6" s="5" t="s">
        <v>26</v>
      </c>
      <c r="E6" s="5" t="s">
        <v>20</v>
      </c>
      <c r="F6" s="6">
        <v>45597</v>
      </c>
      <c r="G6" s="5" t="s">
        <v>13</v>
      </c>
      <c r="H6" s="5" t="s">
        <v>14</v>
      </c>
      <c r="I6" s="6">
        <v>45717</v>
      </c>
      <c r="J6" s="5" t="s">
        <v>21</v>
      </c>
      <c r="K6" s="7">
        <v>-119.36</v>
      </c>
      <c r="L6" s="5" t="s">
        <v>22</v>
      </c>
      <c r="M6" s="7">
        <v>-60</v>
      </c>
    </row>
    <row r="7" spans="1:13" x14ac:dyDescent="0.25">
      <c r="A7" s="5" t="s">
        <v>16</v>
      </c>
      <c r="B7" s="5" t="s">
        <v>27</v>
      </c>
      <c r="C7" s="5" t="s">
        <v>28</v>
      </c>
      <c r="D7" s="5" t="s">
        <v>29</v>
      </c>
      <c r="E7" s="5" t="s">
        <v>30</v>
      </c>
      <c r="F7" s="6">
        <v>45658</v>
      </c>
      <c r="G7" s="5" t="s">
        <v>13</v>
      </c>
      <c r="H7" s="5" t="s">
        <v>14</v>
      </c>
      <c r="I7" s="6">
        <v>45783</v>
      </c>
      <c r="J7" s="5" t="s">
        <v>31</v>
      </c>
      <c r="K7" s="7">
        <v>-10.55</v>
      </c>
      <c r="L7" s="5" t="s">
        <v>32</v>
      </c>
      <c r="M7" s="7">
        <v>-20</v>
      </c>
    </row>
    <row r="8" spans="1:13" x14ac:dyDescent="0.25">
      <c r="A8" s="5" t="s">
        <v>16</v>
      </c>
      <c r="B8" s="5" t="s">
        <v>33</v>
      </c>
      <c r="C8" s="5" t="s">
        <v>34</v>
      </c>
      <c r="D8" s="5" t="s">
        <v>35</v>
      </c>
      <c r="E8" s="5" t="s">
        <v>36</v>
      </c>
      <c r="F8" s="6">
        <v>45658</v>
      </c>
      <c r="G8" s="5" t="s">
        <v>13</v>
      </c>
      <c r="H8" s="5" t="s">
        <v>14</v>
      </c>
      <c r="I8" s="6">
        <v>45778</v>
      </c>
      <c r="J8" s="5" t="s">
        <v>37</v>
      </c>
      <c r="K8" s="7">
        <v>-69.72</v>
      </c>
      <c r="L8" s="5" t="s">
        <v>32</v>
      </c>
      <c r="M8" s="7">
        <v>-18</v>
      </c>
    </row>
    <row r="9" spans="1:13" x14ac:dyDescent="0.25">
      <c r="A9" s="5" t="s">
        <v>16</v>
      </c>
      <c r="B9" s="5" t="s">
        <v>33</v>
      </c>
      <c r="C9" s="5" t="s">
        <v>34</v>
      </c>
      <c r="D9" s="5" t="s">
        <v>38</v>
      </c>
      <c r="E9" s="5" t="s">
        <v>36</v>
      </c>
      <c r="F9" s="6">
        <v>45658</v>
      </c>
      <c r="G9" s="5" t="s">
        <v>13</v>
      </c>
      <c r="H9" s="5" t="s">
        <v>14</v>
      </c>
      <c r="I9" s="6">
        <v>45778</v>
      </c>
      <c r="J9" s="5" t="s">
        <v>37</v>
      </c>
      <c r="K9" s="7">
        <v>-77.97</v>
      </c>
      <c r="L9" s="5" t="s">
        <v>32</v>
      </c>
      <c r="M9" s="7">
        <v>-18</v>
      </c>
    </row>
    <row r="10" spans="1:13" x14ac:dyDescent="0.25">
      <c r="A10" s="5" t="s">
        <v>16</v>
      </c>
      <c r="B10" s="5" t="s">
        <v>39</v>
      </c>
      <c r="C10" s="5" t="s">
        <v>40</v>
      </c>
      <c r="D10" s="5" t="s">
        <v>41</v>
      </c>
      <c r="E10" s="5" t="s">
        <v>42</v>
      </c>
      <c r="F10" s="6">
        <v>45689</v>
      </c>
      <c r="G10" s="5" t="s">
        <v>13</v>
      </c>
      <c r="H10" s="5" t="s">
        <v>14</v>
      </c>
      <c r="I10" s="6">
        <v>45778</v>
      </c>
      <c r="J10" s="5" t="s">
        <v>37</v>
      </c>
      <c r="K10" s="7">
        <v>-1</v>
      </c>
      <c r="L10" s="5" t="s">
        <v>32</v>
      </c>
      <c r="M10" s="7">
        <v>-18</v>
      </c>
    </row>
    <row r="11" spans="1:13" x14ac:dyDescent="0.25">
      <c r="A11" s="5" t="s">
        <v>16</v>
      </c>
      <c r="B11" s="5" t="s">
        <v>39</v>
      </c>
      <c r="C11" s="5" t="s">
        <v>40</v>
      </c>
      <c r="D11" s="5" t="s">
        <v>43</v>
      </c>
      <c r="E11" s="5" t="s">
        <v>44</v>
      </c>
      <c r="F11" s="6">
        <v>45658</v>
      </c>
      <c r="G11" s="5" t="s">
        <v>13</v>
      </c>
      <c r="H11" s="5" t="s">
        <v>45</v>
      </c>
      <c r="I11" s="6">
        <v>45778</v>
      </c>
      <c r="J11" s="5" t="s">
        <v>37</v>
      </c>
      <c r="K11" s="7">
        <v>6.64</v>
      </c>
      <c r="L11" s="5">
        <v>1</v>
      </c>
      <c r="M11" s="7">
        <v>0.66</v>
      </c>
    </row>
    <row r="12" spans="1:13" x14ac:dyDescent="0.25">
      <c r="A12" s="5" t="s">
        <v>16</v>
      </c>
      <c r="B12" s="5" t="s">
        <v>46</v>
      </c>
      <c r="C12" s="5" t="s">
        <v>47</v>
      </c>
      <c r="D12" s="5" t="s">
        <v>48</v>
      </c>
      <c r="E12" s="5" t="s">
        <v>49</v>
      </c>
      <c r="F12" s="6">
        <v>45689</v>
      </c>
      <c r="G12" s="5" t="s">
        <v>13</v>
      </c>
      <c r="H12" s="5" t="s">
        <v>50</v>
      </c>
      <c r="I12" s="6">
        <v>45717</v>
      </c>
      <c r="J12" s="5" t="s">
        <v>37</v>
      </c>
      <c r="K12" s="7">
        <v>9.11</v>
      </c>
      <c r="L12" s="5">
        <v>1</v>
      </c>
      <c r="M12" s="7">
        <v>0.91</v>
      </c>
    </row>
    <row r="13" spans="1:13" x14ac:dyDescent="0.25">
      <c r="A13" s="5" t="s">
        <v>16</v>
      </c>
      <c r="B13" s="5" t="s">
        <v>46</v>
      </c>
      <c r="C13" s="5" t="s">
        <v>47</v>
      </c>
      <c r="D13" s="5" t="s">
        <v>48</v>
      </c>
      <c r="E13" s="5" t="s">
        <v>49</v>
      </c>
      <c r="F13" s="6">
        <v>45689</v>
      </c>
      <c r="G13" s="5" t="s">
        <v>13</v>
      </c>
      <c r="H13" s="5" t="s">
        <v>50</v>
      </c>
      <c r="I13" s="6">
        <v>45689</v>
      </c>
      <c r="J13" s="5" t="s">
        <v>37</v>
      </c>
      <c r="K13" s="7">
        <v>9.11</v>
      </c>
      <c r="L13" s="5">
        <v>1</v>
      </c>
      <c r="M13" s="7">
        <v>0.91</v>
      </c>
    </row>
    <row r="14" spans="1:13" x14ac:dyDescent="0.25">
      <c r="A14" s="5" t="s">
        <v>16</v>
      </c>
      <c r="B14" s="5" t="s">
        <v>46</v>
      </c>
      <c r="C14" s="5" t="s">
        <v>47</v>
      </c>
      <c r="D14" s="5" t="s">
        <v>48</v>
      </c>
      <c r="E14" s="5" t="s">
        <v>49</v>
      </c>
      <c r="F14" s="6">
        <v>45689</v>
      </c>
      <c r="G14" s="5" t="s">
        <v>13</v>
      </c>
      <c r="H14" s="5" t="s">
        <v>50</v>
      </c>
      <c r="I14" s="6">
        <v>45778</v>
      </c>
      <c r="J14" s="5" t="s">
        <v>37</v>
      </c>
      <c r="K14" s="7">
        <v>9.11</v>
      </c>
      <c r="L14" s="5">
        <v>1</v>
      </c>
      <c r="M14" s="7">
        <v>0.91</v>
      </c>
    </row>
    <row r="15" spans="1:13" x14ac:dyDescent="0.25">
      <c r="A15" s="5" t="s">
        <v>16</v>
      </c>
      <c r="B15" s="5" t="s">
        <v>46</v>
      </c>
      <c r="C15" s="5" t="s">
        <v>47</v>
      </c>
      <c r="D15" s="5" t="s">
        <v>48</v>
      </c>
      <c r="E15" s="5" t="s">
        <v>49</v>
      </c>
      <c r="F15" s="6">
        <v>45689</v>
      </c>
      <c r="G15" s="5" t="s">
        <v>13</v>
      </c>
      <c r="H15" s="5" t="s">
        <v>50</v>
      </c>
      <c r="I15" s="6">
        <v>45748</v>
      </c>
      <c r="J15" s="5" t="s">
        <v>37</v>
      </c>
      <c r="K15" s="7">
        <v>9.11</v>
      </c>
      <c r="L15" s="5">
        <v>1</v>
      </c>
      <c r="M15" s="7">
        <v>0.91</v>
      </c>
    </row>
    <row r="16" spans="1:13" x14ac:dyDescent="0.25">
      <c r="A16" s="5" t="s">
        <v>16</v>
      </c>
      <c r="B16" s="5" t="s">
        <v>33</v>
      </c>
      <c r="C16" s="5" t="s">
        <v>34</v>
      </c>
      <c r="D16" s="5" t="s">
        <v>51</v>
      </c>
      <c r="E16" s="5" t="s">
        <v>52</v>
      </c>
      <c r="F16" s="6">
        <v>45658</v>
      </c>
      <c r="G16" s="5" t="s">
        <v>13</v>
      </c>
      <c r="H16" s="5" t="s">
        <v>50</v>
      </c>
      <c r="I16" s="6">
        <v>45778</v>
      </c>
      <c r="J16" s="5" t="s">
        <v>37</v>
      </c>
      <c r="K16" s="7">
        <v>9.11</v>
      </c>
      <c r="L16" s="5">
        <v>1</v>
      </c>
      <c r="M16" s="7">
        <v>0.91</v>
      </c>
    </row>
    <row r="17" spans="1:13" x14ac:dyDescent="0.25">
      <c r="A17" s="5" t="s">
        <v>16</v>
      </c>
      <c r="B17" s="5" t="s">
        <v>33</v>
      </c>
      <c r="C17" s="5" t="s">
        <v>34</v>
      </c>
      <c r="D17" s="5" t="s">
        <v>53</v>
      </c>
      <c r="E17" s="5" t="s">
        <v>54</v>
      </c>
      <c r="F17" s="6">
        <v>45689</v>
      </c>
      <c r="G17" s="5" t="s">
        <v>13</v>
      </c>
      <c r="H17" s="5" t="s">
        <v>50</v>
      </c>
      <c r="I17" s="6">
        <v>45778</v>
      </c>
      <c r="J17" s="5" t="s">
        <v>37</v>
      </c>
      <c r="K17" s="7">
        <v>9.11</v>
      </c>
      <c r="L17" s="5">
        <v>1</v>
      </c>
      <c r="M17" s="7">
        <v>0.91</v>
      </c>
    </row>
    <row r="18" spans="1:13" x14ac:dyDescent="0.25">
      <c r="A18" s="5" t="s">
        <v>16</v>
      </c>
      <c r="B18" s="5" t="s">
        <v>33</v>
      </c>
      <c r="C18" s="5" t="s">
        <v>34</v>
      </c>
      <c r="D18" s="5" t="s">
        <v>55</v>
      </c>
      <c r="E18" s="5" t="s">
        <v>56</v>
      </c>
      <c r="F18" s="6">
        <v>45658</v>
      </c>
      <c r="G18" s="5" t="s">
        <v>13</v>
      </c>
      <c r="H18" s="5" t="s">
        <v>50</v>
      </c>
      <c r="I18" s="6">
        <v>45778</v>
      </c>
      <c r="J18" s="5" t="s">
        <v>37</v>
      </c>
      <c r="K18" s="7">
        <v>9.11</v>
      </c>
      <c r="L18" s="5">
        <v>1</v>
      </c>
      <c r="M18" s="7">
        <v>0.91</v>
      </c>
    </row>
    <row r="19" spans="1:13" x14ac:dyDescent="0.25">
      <c r="A19" s="5" t="s">
        <v>16</v>
      </c>
      <c r="B19" s="5" t="s">
        <v>33</v>
      </c>
      <c r="C19" s="5" t="s">
        <v>34</v>
      </c>
      <c r="D19" s="5" t="s">
        <v>57</v>
      </c>
      <c r="E19" s="5" t="s">
        <v>58</v>
      </c>
      <c r="F19" s="6">
        <v>45689</v>
      </c>
      <c r="G19" s="5" t="s">
        <v>13</v>
      </c>
      <c r="H19" s="5" t="s">
        <v>50</v>
      </c>
      <c r="I19" s="6">
        <v>45778</v>
      </c>
      <c r="J19" s="5" t="s">
        <v>37</v>
      </c>
      <c r="K19" s="7">
        <v>9.11</v>
      </c>
      <c r="L19" s="5">
        <v>1</v>
      </c>
      <c r="M19" s="7">
        <v>0.91</v>
      </c>
    </row>
    <row r="20" spans="1:13" x14ac:dyDescent="0.25">
      <c r="A20" s="5" t="s">
        <v>16</v>
      </c>
      <c r="B20" s="5" t="s">
        <v>33</v>
      </c>
      <c r="C20" s="5" t="s">
        <v>34</v>
      </c>
      <c r="D20" s="5" t="s">
        <v>59</v>
      </c>
      <c r="E20" s="5" t="s">
        <v>60</v>
      </c>
      <c r="F20" s="6">
        <v>45658</v>
      </c>
      <c r="G20" s="5" t="s">
        <v>13</v>
      </c>
      <c r="H20" s="5" t="s">
        <v>50</v>
      </c>
      <c r="I20" s="6">
        <v>45778</v>
      </c>
      <c r="J20" s="5" t="s">
        <v>37</v>
      </c>
      <c r="K20" s="7">
        <v>9.11</v>
      </c>
      <c r="L20" s="5">
        <v>1</v>
      </c>
      <c r="M20" s="7">
        <v>0.91</v>
      </c>
    </row>
    <row r="21" spans="1:13" x14ac:dyDescent="0.25">
      <c r="A21" s="5" t="s">
        <v>16</v>
      </c>
      <c r="B21" s="5" t="s">
        <v>33</v>
      </c>
      <c r="C21" s="5" t="s">
        <v>34</v>
      </c>
      <c r="D21" s="5" t="s">
        <v>61</v>
      </c>
      <c r="E21" s="5" t="s">
        <v>56</v>
      </c>
      <c r="F21" s="6">
        <v>45658</v>
      </c>
      <c r="G21" s="5" t="s">
        <v>13</v>
      </c>
      <c r="H21" s="5" t="s">
        <v>50</v>
      </c>
      <c r="I21" s="6">
        <v>45778</v>
      </c>
      <c r="J21" s="5" t="s">
        <v>37</v>
      </c>
      <c r="K21" s="7">
        <v>9.11</v>
      </c>
      <c r="L21" s="5">
        <v>1</v>
      </c>
      <c r="M21" s="7">
        <v>0.91</v>
      </c>
    </row>
    <row r="22" spans="1:13" x14ac:dyDescent="0.25">
      <c r="A22" s="5" t="s">
        <v>16</v>
      </c>
      <c r="B22" s="5" t="s">
        <v>39</v>
      </c>
      <c r="C22" s="5" t="s">
        <v>40</v>
      </c>
      <c r="D22" s="5" t="s">
        <v>62</v>
      </c>
      <c r="E22" s="5" t="s">
        <v>63</v>
      </c>
      <c r="F22" s="6">
        <v>45658</v>
      </c>
      <c r="G22" s="5" t="s">
        <v>13</v>
      </c>
      <c r="H22" s="5" t="s">
        <v>50</v>
      </c>
      <c r="I22" s="6">
        <v>45778</v>
      </c>
      <c r="J22" s="5" t="s">
        <v>37</v>
      </c>
      <c r="K22" s="7">
        <v>9.11</v>
      </c>
      <c r="L22" s="5">
        <v>1</v>
      </c>
      <c r="M22" s="7">
        <v>0.91</v>
      </c>
    </row>
    <row r="23" spans="1:13" x14ac:dyDescent="0.25">
      <c r="A23" s="5" t="s">
        <v>16</v>
      </c>
      <c r="B23" s="5" t="s">
        <v>39</v>
      </c>
      <c r="C23" s="5" t="s">
        <v>40</v>
      </c>
      <c r="D23" s="5" t="s">
        <v>64</v>
      </c>
      <c r="E23" s="5" t="s">
        <v>65</v>
      </c>
      <c r="F23" s="6">
        <v>45658</v>
      </c>
      <c r="G23" s="5" t="s">
        <v>13</v>
      </c>
      <c r="H23" s="5" t="s">
        <v>50</v>
      </c>
      <c r="I23" s="6">
        <v>45778</v>
      </c>
      <c r="J23" s="5" t="s">
        <v>37</v>
      </c>
      <c r="K23" s="7">
        <v>9.11</v>
      </c>
      <c r="L23" s="5">
        <v>1</v>
      </c>
      <c r="M23" s="7">
        <v>0.91</v>
      </c>
    </row>
    <row r="24" spans="1:13" x14ac:dyDescent="0.25">
      <c r="A24" s="5" t="s">
        <v>16</v>
      </c>
      <c r="B24" s="5" t="s">
        <v>39</v>
      </c>
      <c r="C24" s="5" t="s">
        <v>40</v>
      </c>
      <c r="D24" s="5" t="s">
        <v>66</v>
      </c>
      <c r="E24" s="5" t="s">
        <v>67</v>
      </c>
      <c r="F24" s="6">
        <v>45689</v>
      </c>
      <c r="G24" s="5" t="s">
        <v>13</v>
      </c>
      <c r="H24" s="5" t="s">
        <v>50</v>
      </c>
      <c r="I24" s="6">
        <v>45778</v>
      </c>
      <c r="J24" s="5" t="s">
        <v>37</v>
      </c>
      <c r="K24" s="7">
        <v>9.11</v>
      </c>
      <c r="L24" s="5">
        <v>1</v>
      </c>
      <c r="M24" s="7">
        <v>0.91</v>
      </c>
    </row>
    <row r="25" spans="1:13" x14ac:dyDescent="0.25">
      <c r="A25" s="5" t="s">
        <v>16</v>
      </c>
      <c r="B25" s="5" t="s">
        <v>27</v>
      </c>
      <c r="C25" s="5" t="s">
        <v>28</v>
      </c>
      <c r="D25" s="5" t="s">
        <v>68</v>
      </c>
      <c r="E25" s="5" t="s">
        <v>69</v>
      </c>
      <c r="F25" s="6">
        <v>45658</v>
      </c>
      <c r="G25" s="5" t="s">
        <v>13</v>
      </c>
      <c r="H25" s="5" t="s">
        <v>50</v>
      </c>
      <c r="I25" s="6">
        <v>45778</v>
      </c>
      <c r="J25" s="5" t="s">
        <v>70</v>
      </c>
      <c r="K25" s="7">
        <v>9.23</v>
      </c>
      <c r="L25" s="5">
        <v>1</v>
      </c>
      <c r="M25" s="7">
        <v>0.92</v>
      </c>
    </row>
    <row r="26" spans="1:13" x14ac:dyDescent="0.25">
      <c r="A26" s="5" t="s">
        <v>16</v>
      </c>
      <c r="B26" s="5" t="s">
        <v>33</v>
      </c>
      <c r="C26" s="5" t="s">
        <v>34</v>
      </c>
      <c r="D26" s="5" t="s">
        <v>71</v>
      </c>
      <c r="E26" s="5" t="s">
        <v>72</v>
      </c>
      <c r="F26" s="6">
        <v>45778</v>
      </c>
      <c r="G26" s="5" t="s">
        <v>13</v>
      </c>
      <c r="H26" s="5" t="s">
        <v>50</v>
      </c>
      <c r="I26" s="6">
        <v>45778</v>
      </c>
      <c r="J26" s="5" t="s">
        <v>37</v>
      </c>
      <c r="K26" s="7">
        <v>14.01</v>
      </c>
      <c r="L26" s="5">
        <v>1</v>
      </c>
      <c r="M26" s="7">
        <v>1.4</v>
      </c>
    </row>
    <row r="27" spans="1:13" x14ac:dyDescent="0.25">
      <c r="A27" s="5" t="s">
        <v>16</v>
      </c>
      <c r="B27" s="5" t="s">
        <v>33</v>
      </c>
      <c r="C27" s="5" t="s">
        <v>34</v>
      </c>
      <c r="D27" s="5" t="s">
        <v>73</v>
      </c>
      <c r="E27" s="5" t="s">
        <v>74</v>
      </c>
      <c r="F27" s="6">
        <v>45689</v>
      </c>
      <c r="G27" s="5" t="s">
        <v>13</v>
      </c>
      <c r="H27" s="5" t="s">
        <v>50</v>
      </c>
      <c r="I27" s="6">
        <v>45778</v>
      </c>
      <c r="J27" s="5" t="s">
        <v>37</v>
      </c>
      <c r="K27" s="7">
        <v>14.01</v>
      </c>
      <c r="L27" s="5">
        <v>1</v>
      </c>
      <c r="M27" s="7">
        <v>1.4</v>
      </c>
    </row>
    <row r="28" spans="1:13" x14ac:dyDescent="0.25">
      <c r="A28" s="5" t="s">
        <v>16</v>
      </c>
      <c r="B28" s="5" t="s">
        <v>33</v>
      </c>
      <c r="C28" s="5" t="s">
        <v>34</v>
      </c>
      <c r="D28" s="5" t="s">
        <v>75</v>
      </c>
      <c r="E28" s="5" t="s">
        <v>76</v>
      </c>
      <c r="F28" s="6">
        <v>45658</v>
      </c>
      <c r="G28" s="5" t="s">
        <v>13</v>
      </c>
      <c r="H28" s="5" t="s">
        <v>50</v>
      </c>
      <c r="I28" s="6">
        <v>45748</v>
      </c>
      <c r="J28" s="5" t="s">
        <v>37</v>
      </c>
      <c r="K28" s="7">
        <v>14.01</v>
      </c>
      <c r="L28" s="5">
        <v>1</v>
      </c>
      <c r="M28" s="7">
        <v>1.4</v>
      </c>
    </row>
    <row r="29" spans="1:13" x14ac:dyDescent="0.25">
      <c r="A29" s="5" t="s">
        <v>16</v>
      </c>
      <c r="B29" s="5" t="s">
        <v>33</v>
      </c>
      <c r="C29" s="5" t="s">
        <v>34</v>
      </c>
      <c r="D29" s="5" t="s">
        <v>75</v>
      </c>
      <c r="E29" s="5" t="s">
        <v>76</v>
      </c>
      <c r="F29" s="6">
        <v>45658</v>
      </c>
      <c r="G29" s="5" t="s">
        <v>13</v>
      </c>
      <c r="H29" s="5" t="s">
        <v>50</v>
      </c>
      <c r="I29" s="6">
        <v>45778</v>
      </c>
      <c r="J29" s="5" t="s">
        <v>37</v>
      </c>
      <c r="K29" s="7">
        <v>14.01</v>
      </c>
      <c r="L29" s="5">
        <v>1</v>
      </c>
      <c r="M29" s="7">
        <v>1.4</v>
      </c>
    </row>
    <row r="30" spans="1:13" x14ac:dyDescent="0.25">
      <c r="A30" s="5" t="s">
        <v>16</v>
      </c>
      <c r="B30" s="5" t="s">
        <v>33</v>
      </c>
      <c r="C30" s="5" t="s">
        <v>34</v>
      </c>
      <c r="D30" s="5" t="s">
        <v>77</v>
      </c>
      <c r="E30" s="5" t="s">
        <v>74</v>
      </c>
      <c r="F30" s="6">
        <v>45689</v>
      </c>
      <c r="G30" s="5" t="s">
        <v>13</v>
      </c>
      <c r="H30" s="5" t="s">
        <v>50</v>
      </c>
      <c r="I30" s="6">
        <v>45778</v>
      </c>
      <c r="J30" s="5" t="s">
        <v>37</v>
      </c>
      <c r="K30" s="7">
        <v>14.01</v>
      </c>
      <c r="L30" s="5">
        <v>1</v>
      </c>
      <c r="M30" s="7">
        <v>1.4</v>
      </c>
    </row>
    <row r="31" spans="1:13" x14ac:dyDescent="0.25">
      <c r="A31" s="5" t="s">
        <v>16</v>
      </c>
      <c r="B31" s="5" t="s">
        <v>33</v>
      </c>
      <c r="C31" s="5" t="s">
        <v>34</v>
      </c>
      <c r="D31" s="5" t="s">
        <v>78</v>
      </c>
      <c r="E31" s="5" t="s">
        <v>76</v>
      </c>
      <c r="F31" s="6">
        <v>45658</v>
      </c>
      <c r="G31" s="5" t="s">
        <v>13</v>
      </c>
      <c r="H31" s="5" t="s">
        <v>50</v>
      </c>
      <c r="I31" s="6">
        <v>45778</v>
      </c>
      <c r="J31" s="5" t="s">
        <v>37</v>
      </c>
      <c r="K31" s="7">
        <v>14.01</v>
      </c>
      <c r="L31" s="5">
        <v>1</v>
      </c>
      <c r="M31" s="7">
        <v>1.4</v>
      </c>
    </row>
    <row r="32" spans="1:13" x14ac:dyDescent="0.25">
      <c r="A32" s="5" t="s">
        <v>16</v>
      </c>
      <c r="B32" s="5" t="s">
        <v>33</v>
      </c>
      <c r="C32" s="5" t="s">
        <v>34</v>
      </c>
      <c r="D32" s="5" t="s">
        <v>78</v>
      </c>
      <c r="E32" s="5" t="s">
        <v>76</v>
      </c>
      <c r="F32" s="6">
        <v>45658</v>
      </c>
      <c r="G32" s="5" t="s">
        <v>13</v>
      </c>
      <c r="H32" s="5" t="s">
        <v>50</v>
      </c>
      <c r="I32" s="6">
        <v>45748</v>
      </c>
      <c r="J32" s="5" t="s">
        <v>37</v>
      </c>
      <c r="K32" s="7">
        <v>14.01</v>
      </c>
      <c r="L32" s="5">
        <v>1</v>
      </c>
      <c r="M32" s="7">
        <v>1.4</v>
      </c>
    </row>
    <row r="33" spans="1:13" x14ac:dyDescent="0.25">
      <c r="A33" s="5" t="s">
        <v>16</v>
      </c>
      <c r="B33" s="5" t="s">
        <v>33</v>
      </c>
      <c r="C33" s="5" t="s">
        <v>34</v>
      </c>
      <c r="D33" s="5" t="s">
        <v>79</v>
      </c>
      <c r="E33" s="5" t="s">
        <v>74</v>
      </c>
      <c r="F33" s="6">
        <v>45689</v>
      </c>
      <c r="G33" s="5" t="s">
        <v>13</v>
      </c>
      <c r="H33" s="5" t="s">
        <v>50</v>
      </c>
      <c r="I33" s="6">
        <v>45778</v>
      </c>
      <c r="J33" s="5" t="s">
        <v>37</v>
      </c>
      <c r="K33" s="7">
        <v>15.22</v>
      </c>
      <c r="L33" s="5">
        <v>1</v>
      </c>
      <c r="M33" s="7">
        <v>1.52</v>
      </c>
    </row>
    <row r="34" spans="1:13" x14ac:dyDescent="0.25">
      <c r="A34" s="5" t="s">
        <v>16</v>
      </c>
      <c r="B34" s="5" t="s">
        <v>33</v>
      </c>
      <c r="C34" s="5" t="s">
        <v>34</v>
      </c>
      <c r="D34" s="5" t="s">
        <v>80</v>
      </c>
      <c r="E34" s="5" t="s">
        <v>74</v>
      </c>
      <c r="F34" s="6">
        <v>45689</v>
      </c>
      <c r="G34" s="5" t="s">
        <v>13</v>
      </c>
      <c r="H34" s="5" t="s">
        <v>50</v>
      </c>
      <c r="I34" s="6">
        <v>45778</v>
      </c>
      <c r="J34" s="5" t="s">
        <v>37</v>
      </c>
      <c r="K34" s="7">
        <v>15.22</v>
      </c>
      <c r="L34" s="5">
        <v>1</v>
      </c>
      <c r="M34" s="7">
        <v>1.52</v>
      </c>
    </row>
    <row r="35" spans="1:13" x14ac:dyDescent="0.25">
      <c r="A35" s="5" t="s">
        <v>16</v>
      </c>
      <c r="B35" s="5" t="s">
        <v>33</v>
      </c>
      <c r="C35" s="5" t="s">
        <v>34</v>
      </c>
      <c r="D35" s="5" t="s">
        <v>81</v>
      </c>
      <c r="E35" s="5" t="s">
        <v>74</v>
      </c>
      <c r="F35" s="6">
        <v>45689</v>
      </c>
      <c r="G35" s="5" t="s">
        <v>13</v>
      </c>
      <c r="H35" s="5" t="s">
        <v>50</v>
      </c>
      <c r="I35" s="6">
        <v>45778</v>
      </c>
      <c r="J35" s="5" t="s">
        <v>37</v>
      </c>
      <c r="K35" s="7">
        <v>15.22</v>
      </c>
      <c r="L35" s="5">
        <v>1</v>
      </c>
      <c r="M35" s="7">
        <v>1.52</v>
      </c>
    </row>
    <row r="36" spans="1:13" x14ac:dyDescent="0.25">
      <c r="A36" s="5" t="s">
        <v>16</v>
      </c>
      <c r="B36" s="5" t="s">
        <v>33</v>
      </c>
      <c r="C36" s="5" t="s">
        <v>34</v>
      </c>
      <c r="D36" s="5" t="s">
        <v>82</v>
      </c>
      <c r="E36" s="5" t="s">
        <v>56</v>
      </c>
      <c r="F36" s="6">
        <v>45658</v>
      </c>
      <c r="G36" s="5" t="s">
        <v>13</v>
      </c>
      <c r="H36" s="5" t="s">
        <v>50</v>
      </c>
      <c r="I36" s="6">
        <v>45778</v>
      </c>
      <c r="J36" s="5" t="s">
        <v>37</v>
      </c>
      <c r="K36" s="7">
        <v>15.22</v>
      </c>
      <c r="L36" s="5">
        <v>1</v>
      </c>
      <c r="M36" s="7">
        <v>1.52</v>
      </c>
    </row>
    <row r="37" spans="1:13" x14ac:dyDescent="0.25">
      <c r="A37" s="5" t="s">
        <v>16</v>
      </c>
      <c r="B37" s="5" t="s">
        <v>33</v>
      </c>
      <c r="C37" s="5" t="s">
        <v>34</v>
      </c>
      <c r="D37" s="5" t="s">
        <v>83</v>
      </c>
      <c r="E37" s="5" t="s">
        <v>56</v>
      </c>
      <c r="F37" s="6">
        <v>45658</v>
      </c>
      <c r="G37" s="5" t="s">
        <v>13</v>
      </c>
      <c r="H37" s="5" t="s">
        <v>50</v>
      </c>
      <c r="I37" s="6">
        <v>45778</v>
      </c>
      <c r="J37" s="5" t="s">
        <v>37</v>
      </c>
      <c r="K37" s="7">
        <v>15.22</v>
      </c>
      <c r="L37" s="5">
        <v>1</v>
      </c>
      <c r="M37" s="7">
        <v>1.52</v>
      </c>
    </row>
    <row r="38" spans="1:13" x14ac:dyDescent="0.25">
      <c r="A38" s="5" t="s">
        <v>16</v>
      </c>
      <c r="B38" s="5" t="s">
        <v>39</v>
      </c>
      <c r="C38" s="5" t="s">
        <v>40</v>
      </c>
      <c r="D38" s="5" t="s">
        <v>84</v>
      </c>
      <c r="E38" s="5" t="s">
        <v>85</v>
      </c>
      <c r="F38" s="6">
        <v>45658</v>
      </c>
      <c r="G38" s="5" t="s">
        <v>13</v>
      </c>
      <c r="H38" s="5" t="s">
        <v>45</v>
      </c>
      <c r="I38" s="6">
        <v>45778</v>
      </c>
      <c r="J38" s="5" t="s">
        <v>37</v>
      </c>
      <c r="K38" s="7">
        <v>16.579999999999998</v>
      </c>
      <c r="L38" s="5">
        <v>1</v>
      </c>
      <c r="M38" s="7">
        <v>1.65</v>
      </c>
    </row>
    <row r="39" spans="1:13" x14ac:dyDescent="0.25">
      <c r="A39" s="5" t="s">
        <v>16</v>
      </c>
      <c r="B39" s="5" t="s">
        <v>39</v>
      </c>
      <c r="C39" s="5" t="s">
        <v>40</v>
      </c>
      <c r="D39" s="5" t="s">
        <v>86</v>
      </c>
      <c r="E39" s="5" t="s">
        <v>87</v>
      </c>
      <c r="F39" s="6">
        <v>45658</v>
      </c>
      <c r="G39" s="5" t="s">
        <v>13</v>
      </c>
      <c r="H39" s="5" t="s">
        <v>45</v>
      </c>
      <c r="I39" s="6">
        <v>45778</v>
      </c>
      <c r="J39" s="5" t="s">
        <v>37</v>
      </c>
      <c r="K39" s="7">
        <v>13.28</v>
      </c>
      <c r="L39" s="5">
        <v>1</v>
      </c>
      <c r="M39" s="7">
        <v>1.99</v>
      </c>
    </row>
    <row r="40" spans="1:13" x14ac:dyDescent="0.25">
      <c r="A40" s="5" t="s">
        <v>16</v>
      </c>
      <c r="B40" s="5" t="s">
        <v>39</v>
      </c>
      <c r="C40" s="5" t="s">
        <v>40</v>
      </c>
      <c r="D40" s="5" t="s">
        <v>88</v>
      </c>
      <c r="E40" s="5" t="s">
        <v>89</v>
      </c>
      <c r="F40" s="6">
        <v>45689</v>
      </c>
      <c r="G40" s="5" t="s">
        <v>13</v>
      </c>
      <c r="H40" s="5" t="s">
        <v>45</v>
      </c>
      <c r="I40" s="6">
        <v>45778</v>
      </c>
      <c r="J40" s="5" t="s">
        <v>37</v>
      </c>
      <c r="K40" s="7">
        <v>13.28</v>
      </c>
      <c r="L40" s="5">
        <v>1</v>
      </c>
      <c r="M40" s="7">
        <v>1.99</v>
      </c>
    </row>
    <row r="41" spans="1:13" x14ac:dyDescent="0.25">
      <c r="A41" s="5" t="s">
        <v>16</v>
      </c>
      <c r="B41" s="5" t="s">
        <v>39</v>
      </c>
      <c r="C41" s="5" t="s">
        <v>40</v>
      </c>
      <c r="D41" s="5" t="s">
        <v>90</v>
      </c>
      <c r="E41" s="5" t="s">
        <v>91</v>
      </c>
      <c r="F41" s="6">
        <v>45658</v>
      </c>
      <c r="G41" s="5" t="s">
        <v>13</v>
      </c>
      <c r="H41" s="5" t="s">
        <v>45</v>
      </c>
      <c r="I41" s="6">
        <v>45778</v>
      </c>
      <c r="J41" s="5" t="s">
        <v>37</v>
      </c>
      <c r="K41" s="7">
        <v>13.28</v>
      </c>
      <c r="L41" s="5">
        <v>1</v>
      </c>
      <c r="M41" s="7">
        <v>1.99</v>
      </c>
    </row>
    <row r="42" spans="1:13" x14ac:dyDescent="0.25">
      <c r="A42" s="5" t="s">
        <v>16</v>
      </c>
      <c r="B42" s="5" t="s">
        <v>39</v>
      </c>
      <c r="C42" s="5" t="s">
        <v>40</v>
      </c>
      <c r="D42" s="5" t="s">
        <v>92</v>
      </c>
      <c r="E42" s="5" t="s">
        <v>93</v>
      </c>
      <c r="F42" s="6">
        <v>45658</v>
      </c>
      <c r="G42" s="5" t="s">
        <v>13</v>
      </c>
      <c r="H42" s="5" t="s">
        <v>50</v>
      </c>
      <c r="I42" s="6">
        <v>45778</v>
      </c>
      <c r="J42" s="5" t="s">
        <v>37</v>
      </c>
      <c r="K42" s="7">
        <v>29.6</v>
      </c>
      <c r="L42" s="5">
        <v>1</v>
      </c>
      <c r="M42" s="7">
        <v>2.96</v>
      </c>
    </row>
    <row r="43" spans="1:13" x14ac:dyDescent="0.25">
      <c r="A43" s="5" t="s">
        <v>16</v>
      </c>
      <c r="B43" s="5" t="s">
        <v>39</v>
      </c>
      <c r="C43" s="5" t="s">
        <v>40</v>
      </c>
      <c r="D43" s="5" t="s">
        <v>94</v>
      </c>
      <c r="E43" s="5" t="s">
        <v>93</v>
      </c>
      <c r="F43" s="6">
        <v>45658</v>
      </c>
      <c r="G43" s="5" t="s">
        <v>13</v>
      </c>
      <c r="H43" s="5" t="s">
        <v>50</v>
      </c>
      <c r="I43" s="6">
        <v>45778</v>
      </c>
      <c r="J43" s="5" t="s">
        <v>37</v>
      </c>
      <c r="K43" s="7">
        <v>29.6</v>
      </c>
      <c r="L43" s="5">
        <v>1</v>
      </c>
      <c r="M43" s="7">
        <v>2.96</v>
      </c>
    </row>
    <row r="44" spans="1:13" x14ac:dyDescent="0.25">
      <c r="A44" s="5" t="s">
        <v>16</v>
      </c>
      <c r="B44" s="5" t="s">
        <v>39</v>
      </c>
      <c r="C44" s="5" t="s">
        <v>40</v>
      </c>
      <c r="D44" s="5" t="s">
        <v>95</v>
      </c>
      <c r="E44" s="5" t="s">
        <v>96</v>
      </c>
      <c r="F44" s="6">
        <v>45658</v>
      </c>
      <c r="G44" s="5" t="s">
        <v>13</v>
      </c>
      <c r="H44" s="5" t="s">
        <v>50</v>
      </c>
      <c r="I44" s="6">
        <v>45778</v>
      </c>
      <c r="J44" s="5" t="s">
        <v>37</v>
      </c>
      <c r="K44" s="7">
        <v>29.6</v>
      </c>
      <c r="L44" s="5">
        <v>1</v>
      </c>
      <c r="M44" s="7">
        <v>2.96</v>
      </c>
    </row>
    <row r="45" spans="1:13" x14ac:dyDescent="0.25">
      <c r="A45" s="5" t="s">
        <v>16</v>
      </c>
      <c r="B45" s="5" t="s">
        <v>39</v>
      </c>
      <c r="C45" s="5" t="s">
        <v>40</v>
      </c>
      <c r="D45" s="5" t="s">
        <v>86</v>
      </c>
      <c r="E45" s="5" t="s">
        <v>87</v>
      </c>
      <c r="F45" s="6">
        <v>45658</v>
      </c>
      <c r="G45" s="5" t="s">
        <v>13</v>
      </c>
      <c r="H45" s="5" t="s">
        <v>50</v>
      </c>
      <c r="I45" s="6">
        <v>45778</v>
      </c>
      <c r="J45" s="5" t="s">
        <v>37</v>
      </c>
      <c r="K45" s="7">
        <v>29.6</v>
      </c>
      <c r="L45" s="5">
        <v>1</v>
      </c>
      <c r="M45" s="7">
        <v>2.96</v>
      </c>
    </row>
    <row r="46" spans="1:13" x14ac:dyDescent="0.25">
      <c r="A46" s="5" t="s">
        <v>16</v>
      </c>
      <c r="B46" s="5" t="s">
        <v>39</v>
      </c>
      <c r="C46" s="5" t="s">
        <v>40</v>
      </c>
      <c r="D46" s="5" t="s">
        <v>97</v>
      </c>
      <c r="E46" s="5" t="s">
        <v>98</v>
      </c>
      <c r="F46" s="6">
        <v>45778</v>
      </c>
      <c r="G46" s="5" t="s">
        <v>13</v>
      </c>
      <c r="H46" s="5" t="s">
        <v>50</v>
      </c>
      <c r="I46" s="6">
        <v>45778</v>
      </c>
      <c r="J46" s="5" t="s">
        <v>37</v>
      </c>
      <c r="K46" s="7">
        <v>29.6</v>
      </c>
      <c r="L46" s="5">
        <v>1</v>
      </c>
      <c r="M46" s="7">
        <v>2.96</v>
      </c>
    </row>
    <row r="47" spans="1:13" x14ac:dyDescent="0.25">
      <c r="A47" s="5" t="s">
        <v>16</v>
      </c>
      <c r="B47" s="5" t="s">
        <v>39</v>
      </c>
      <c r="C47" s="5" t="s">
        <v>40</v>
      </c>
      <c r="D47" s="5" t="s">
        <v>84</v>
      </c>
      <c r="E47" s="5" t="s">
        <v>85</v>
      </c>
      <c r="F47" s="6">
        <v>45658</v>
      </c>
      <c r="G47" s="5" t="s">
        <v>13</v>
      </c>
      <c r="H47" s="5" t="s">
        <v>50</v>
      </c>
      <c r="I47" s="6">
        <v>45778</v>
      </c>
      <c r="J47" s="5" t="s">
        <v>37</v>
      </c>
      <c r="K47" s="7">
        <v>29.6</v>
      </c>
      <c r="L47" s="5">
        <v>1</v>
      </c>
      <c r="M47" s="7">
        <v>2.96</v>
      </c>
    </row>
    <row r="48" spans="1:13" x14ac:dyDescent="0.25">
      <c r="A48" s="5" t="s">
        <v>16</v>
      </c>
      <c r="B48" s="5" t="s">
        <v>39</v>
      </c>
      <c r="C48" s="5" t="s">
        <v>40</v>
      </c>
      <c r="D48" s="5" t="s">
        <v>99</v>
      </c>
      <c r="E48" s="5" t="s">
        <v>100</v>
      </c>
      <c r="F48" s="6">
        <v>45658</v>
      </c>
      <c r="G48" s="5" t="s">
        <v>13</v>
      </c>
      <c r="H48" s="5" t="s">
        <v>50</v>
      </c>
      <c r="I48" s="6">
        <v>45778</v>
      </c>
      <c r="J48" s="5" t="s">
        <v>37</v>
      </c>
      <c r="K48" s="7">
        <v>29.6</v>
      </c>
      <c r="L48" s="5">
        <v>1</v>
      </c>
      <c r="M48" s="7">
        <v>2.96</v>
      </c>
    </row>
    <row r="49" spans="1:13" x14ac:dyDescent="0.25">
      <c r="A49" s="5" t="s">
        <v>16</v>
      </c>
      <c r="B49" s="5" t="s">
        <v>39</v>
      </c>
      <c r="C49" s="5" t="s">
        <v>40</v>
      </c>
      <c r="D49" s="5" t="s">
        <v>43</v>
      </c>
      <c r="E49" s="5" t="s">
        <v>44</v>
      </c>
      <c r="F49" s="6">
        <v>45658</v>
      </c>
      <c r="G49" s="5" t="s">
        <v>13</v>
      </c>
      <c r="H49" s="5" t="s">
        <v>50</v>
      </c>
      <c r="I49" s="6">
        <v>45778</v>
      </c>
      <c r="J49" s="5" t="s">
        <v>37</v>
      </c>
      <c r="K49" s="7">
        <v>29.6</v>
      </c>
      <c r="L49" s="5">
        <v>1</v>
      </c>
      <c r="M49" s="7">
        <v>2.96</v>
      </c>
    </row>
    <row r="50" spans="1:13" x14ac:dyDescent="0.25">
      <c r="A50" s="5" t="s">
        <v>16</v>
      </c>
      <c r="B50" s="5" t="s">
        <v>39</v>
      </c>
      <c r="C50" s="5" t="s">
        <v>40</v>
      </c>
      <c r="D50" s="5" t="s">
        <v>101</v>
      </c>
      <c r="E50" s="5" t="s">
        <v>44</v>
      </c>
      <c r="F50" s="6">
        <v>45658</v>
      </c>
      <c r="G50" s="5" t="s">
        <v>13</v>
      </c>
      <c r="H50" s="5" t="s">
        <v>50</v>
      </c>
      <c r="I50" s="6">
        <v>45778</v>
      </c>
      <c r="J50" s="5" t="s">
        <v>37</v>
      </c>
      <c r="K50" s="7">
        <v>29.6</v>
      </c>
      <c r="L50" s="5">
        <v>1</v>
      </c>
      <c r="M50" s="7">
        <v>2.96</v>
      </c>
    </row>
    <row r="51" spans="1:13" x14ac:dyDescent="0.25">
      <c r="A51" s="5" t="s">
        <v>16</v>
      </c>
      <c r="B51" s="5" t="s">
        <v>39</v>
      </c>
      <c r="C51" s="5" t="s">
        <v>40</v>
      </c>
      <c r="D51" s="5" t="s">
        <v>102</v>
      </c>
      <c r="E51" s="5" t="s">
        <v>98</v>
      </c>
      <c r="F51" s="6">
        <v>45778</v>
      </c>
      <c r="G51" s="5" t="s">
        <v>13</v>
      </c>
      <c r="H51" s="5" t="s">
        <v>50</v>
      </c>
      <c r="I51" s="6">
        <v>45778</v>
      </c>
      <c r="J51" s="5" t="s">
        <v>37</v>
      </c>
      <c r="K51" s="7">
        <v>29.6</v>
      </c>
      <c r="L51" s="5">
        <v>1</v>
      </c>
      <c r="M51" s="7">
        <v>2.96</v>
      </c>
    </row>
    <row r="52" spans="1:13" x14ac:dyDescent="0.25">
      <c r="A52" s="5" t="s">
        <v>16</v>
      </c>
      <c r="B52" s="5" t="s">
        <v>39</v>
      </c>
      <c r="C52" s="5" t="s">
        <v>40</v>
      </c>
      <c r="D52" s="5" t="s">
        <v>103</v>
      </c>
      <c r="E52" s="5" t="s">
        <v>96</v>
      </c>
      <c r="F52" s="6">
        <v>45658</v>
      </c>
      <c r="G52" s="5" t="s">
        <v>13</v>
      </c>
      <c r="H52" s="5" t="s">
        <v>50</v>
      </c>
      <c r="I52" s="6">
        <v>45778</v>
      </c>
      <c r="J52" s="5" t="s">
        <v>37</v>
      </c>
      <c r="K52" s="7">
        <v>29.6</v>
      </c>
      <c r="L52" s="5">
        <v>1</v>
      </c>
      <c r="M52" s="7">
        <v>2.96</v>
      </c>
    </row>
    <row r="53" spans="1:13" x14ac:dyDescent="0.25">
      <c r="A53" s="5" t="s">
        <v>16</v>
      </c>
      <c r="B53" s="5" t="s">
        <v>39</v>
      </c>
      <c r="C53" s="5" t="s">
        <v>40</v>
      </c>
      <c r="D53" s="5" t="s">
        <v>104</v>
      </c>
      <c r="E53" s="5" t="s">
        <v>105</v>
      </c>
      <c r="F53" s="6">
        <v>45689</v>
      </c>
      <c r="G53" s="5" t="s">
        <v>13</v>
      </c>
      <c r="H53" s="5" t="s">
        <v>50</v>
      </c>
      <c r="I53" s="6">
        <v>45778</v>
      </c>
      <c r="J53" s="5" t="s">
        <v>37</v>
      </c>
      <c r="K53" s="7">
        <v>29.6</v>
      </c>
      <c r="L53" s="5">
        <v>1</v>
      </c>
      <c r="M53" s="7">
        <v>2.96</v>
      </c>
    </row>
    <row r="54" spans="1:13" x14ac:dyDescent="0.25">
      <c r="A54" s="5" t="s">
        <v>16</v>
      </c>
      <c r="B54" s="5" t="s">
        <v>39</v>
      </c>
      <c r="C54" s="5" t="s">
        <v>40</v>
      </c>
      <c r="D54" s="5" t="s">
        <v>90</v>
      </c>
      <c r="E54" s="5" t="s">
        <v>91</v>
      </c>
      <c r="F54" s="6">
        <v>45658</v>
      </c>
      <c r="G54" s="5" t="s">
        <v>13</v>
      </c>
      <c r="H54" s="5" t="s">
        <v>50</v>
      </c>
      <c r="I54" s="6">
        <v>45778</v>
      </c>
      <c r="J54" s="5" t="s">
        <v>37</v>
      </c>
      <c r="K54" s="7">
        <v>29.6</v>
      </c>
      <c r="L54" s="5">
        <v>1</v>
      </c>
      <c r="M54" s="7">
        <v>2.96</v>
      </c>
    </row>
    <row r="55" spans="1:13" x14ac:dyDescent="0.25">
      <c r="A55" s="5" t="s">
        <v>16</v>
      </c>
      <c r="B55" s="5" t="s">
        <v>39</v>
      </c>
      <c r="C55" s="5" t="s">
        <v>40</v>
      </c>
      <c r="D55" s="5" t="s">
        <v>106</v>
      </c>
      <c r="E55" s="5" t="s">
        <v>96</v>
      </c>
      <c r="F55" s="6">
        <v>45658</v>
      </c>
      <c r="G55" s="5" t="s">
        <v>13</v>
      </c>
      <c r="H55" s="5" t="s">
        <v>50</v>
      </c>
      <c r="I55" s="6">
        <v>45778</v>
      </c>
      <c r="J55" s="5" t="s">
        <v>37</v>
      </c>
      <c r="K55" s="7">
        <v>29.6</v>
      </c>
      <c r="L55" s="5">
        <v>1</v>
      </c>
      <c r="M55" s="7">
        <v>2.96</v>
      </c>
    </row>
    <row r="56" spans="1:13" x14ac:dyDescent="0.25">
      <c r="A56" s="5" t="s">
        <v>16</v>
      </c>
      <c r="B56" s="5" t="s">
        <v>39</v>
      </c>
      <c r="C56" s="5" t="s">
        <v>40</v>
      </c>
      <c r="D56" s="5" t="s">
        <v>107</v>
      </c>
      <c r="E56" s="5" t="s">
        <v>100</v>
      </c>
      <c r="F56" s="6">
        <v>45658</v>
      </c>
      <c r="G56" s="5" t="s">
        <v>13</v>
      </c>
      <c r="H56" s="5" t="s">
        <v>50</v>
      </c>
      <c r="I56" s="6">
        <v>45778</v>
      </c>
      <c r="J56" s="5" t="s">
        <v>37</v>
      </c>
      <c r="K56" s="7">
        <v>29.6</v>
      </c>
      <c r="L56" s="5">
        <v>1</v>
      </c>
      <c r="M56" s="7">
        <v>2.96</v>
      </c>
    </row>
    <row r="57" spans="1:13" x14ac:dyDescent="0.25">
      <c r="A57" s="5" t="s">
        <v>16</v>
      </c>
      <c r="B57" s="5" t="s">
        <v>39</v>
      </c>
      <c r="C57" s="5" t="s">
        <v>40</v>
      </c>
      <c r="D57" s="5" t="s">
        <v>108</v>
      </c>
      <c r="E57" s="5" t="s">
        <v>109</v>
      </c>
      <c r="F57" s="6">
        <v>45658</v>
      </c>
      <c r="G57" s="5" t="s">
        <v>13</v>
      </c>
      <c r="H57" s="5" t="s">
        <v>50</v>
      </c>
      <c r="I57" s="6">
        <v>45778</v>
      </c>
      <c r="J57" s="5" t="s">
        <v>37</v>
      </c>
      <c r="K57" s="7">
        <v>29.6</v>
      </c>
      <c r="L57" s="5">
        <v>1</v>
      </c>
      <c r="M57" s="7">
        <v>2.96</v>
      </c>
    </row>
    <row r="58" spans="1:13" x14ac:dyDescent="0.25">
      <c r="A58" s="5" t="s">
        <v>16</v>
      </c>
      <c r="B58" s="5" t="s">
        <v>39</v>
      </c>
      <c r="C58" s="5" t="s">
        <v>40</v>
      </c>
      <c r="D58" s="5" t="s">
        <v>110</v>
      </c>
      <c r="E58" s="5" t="s">
        <v>111</v>
      </c>
      <c r="F58" s="6">
        <v>45658</v>
      </c>
      <c r="G58" s="5" t="s">
        <v>13</v>
      </c>
      <c r="H58" s="5" t="s">
        <v>45</v>
      </c>
      <c r="I58" s="6">
        <v>45778</v>
      </c>
      <c r="J58" s="5" t="s">
        <v>37</v>
      </c>
      <c r="K58" s="7">
        <v>23.24</v>
      </c>
      <c r="L58" s="5">
        <v>1</v>
      </c>
      <c r="M58" s="7">
        <v>3.48</v>
      </c>
    </row>
    <row r="59" spans="1:13" x14ac:dyDescent="0.25">
      <c r="A59" s="5" t="s">
        <v>16</v>
      </c>
      <c r="B59" s="5" t="s">
        <v>39</v>
      </c>
      <c r="C59" s="5" t="s">
        <v>40</v>
      </c>
      <c r="D59" s="5" t="s">
        <v>107</v>
      </c>
      <c r="E59" s="5" t="s">
        <v>100</v>
      </c>
      <c r="F59" s="6">
        <v>45658</v>
      </c>
      <c r="G59" s="5" t="s">
        <v>13</v>
      </c>
      <c r="H59" s="5" t="s">
        <v>45</v>
      </c>
      <c r="I59" s="6">
        <v>45778</v>
      </c>
      <c r="J59" s="5" t="s">
        <v>37</v>
      </c>
      <c r="K59" s="7">
        <v>29.68</v>
      </c>
      <c r="L59" s="5">
        <v>1</v>
      </c>
      <c r="M59" s="7">
        <v>4.45</v>
      </c>
    </row>
    <row r="60" spans="1:13" x14ac:dyDescent="0.25">
      <c r="A60" s="5" t="s">
        <v>16</v>
      </c>
      <c r="B60" s="5" t="s">
        <v>39</v>
      </c>
      <c r="C60" s="5" t="s">
        <v>40</v>
      </c>
      <c r="D60" s="5" t="s">
        <v>112</v>
      </c>
      <c r="E60" s="5" t="s">
        <v>113</v>
      </c>
      <c r="F60" s="6">
        <v>45658</v>
      </c>
      <c r="G60" s="5" t="s">
        <v>13</v>
      </c>
      <c r="H60" s="5" t="s">
        <v>50</v>
      </c>
      <c r="I60" s="6">
        <v>45778</v>
      </c>
      <c r="J60" s="5" t="s">
        <v>37</v>
      </c>
      <c r="K60" s="7">
        <v>47.3</v>
      </c>
      <c r="L60" s="5">
        <v>1</v>
      </c>
      <c r="M60" s="7">
        <v>4.7300000000000004</v>
      </c>
    </row>
    <row r="61" spans="1:13" x14ac:dyDescent="0.25">
      <c r="A61" s="5" t="s">
        <v>16</v>
      </c>
      <c r="B61" s="5" t="s">
        <v>39</v>
      </c>
      <c r="C61" s="5" t="s">
        <v>40</v>
      </c>
      <c r="D61" s="5" t="s">
        <v>114</v>
      </c>
      <c r="E61" s="5" t="s">
        <v>115</v>
      </c>
      <c r="F61" s="6">
        <v>45658</v>
      </c>
      <c r="G61" s="5" t="s">
        <v>13</v>
      </c>
      <c r="H61" s="5" t="s">
        <v>50</v>
      </c>
      <c r="I61" s="6">
        <v>45778</v>
      </c>
      <c r="J61" s="5" t="s">
        <v>37</v>
      </c>
      <c r="K61" s="7">
        <v>47.3</v>
      </c>
      <c r="L61" s="5">
        <v>1</v>
      </c>
      <c r="M61" s="7">
        <v>4.7300000000000004</v>
      </c>
    </row>
    <row r="62" spans="1:13" x14ac:dyDescent="0.25">
      <c r="A62" s="5" t="s">
        <v>16</v>
      </c>
      <c r="B62" s="5" t="s">
        <v>39</v>
      </c>
      <c r="C62" s="5" t="s">
        <v>40</v>
      </c>
      <c r="D62" s="5" t="s">
        <v>116</v>
      </c>
      <c r="E62" s="5" t="s">
        <v>115</v>
      </c>
      <c r="F62" s="6">
        <v>45658</v>
      </c>
      <c r="G62" s="5" t="s">
        <v>13</v>
      </c>
      <c r="H62" s="5" t="s">
        <v>50</v>
      </c>
      <c r="I62" s="6">
        <v>45778</v>
      </c>
      <c r="J62" s="5" t="s">
        <v>37</v>
      </c>
      <c r="K62" s="7">
        <v>47.3</v>
      </c>
      <c r="L62" s="5">
        <v>1</v>
      </c>
      <c r="M62" s="7">
        <v>4.7300000000000004</v>
      </c>
    </row>
    <row r="63" spans="1:13" x14ac:dyDescent="0.25">
      <c r="A63" s="5" t="s">
        <v>16</v>
      </c>
      <c r="B63" s="5" t="s">
        <v>39</v>
      </c>
      <c r="C63" s="5" t="s">
        <v>40</v>
      </c>
      <c r="D63" s="5" t="s">
        <v>117</v>
      </c>
      <c r="E63" s="5" t="s">
        <v>115</v>
      </c>
      <c r="F63" s="6">
        <v>45658</v>
      </c>
      <c r="G63" s="5" t="s">
        <v>13</v>
      </c>
      <c r="H63" s="5" t="s">
        <v>50</v>
      </c>
      <c r="I63" s="6">
        <v>45778</v>
      </c>
      <c r="J63" s="5" t="s">
        <v>37</v>
      </c>
      <c r="K63" s="7">
        <v>47.3</v>
      </c>
      <c r="L63" s="5">
        <v>1</v>
      </c>
      <c r="M63" s="7">
        <v>4.7300000000000004</v>
      </c>
    </row>
    <row r="64" spans="1:13" x14ac:dyDescent="0.25">
      <c r="A64" s="5" t="s">
        <v>16</v>
      </c>
      <c r="B64" s="5" t="s">
        <v>39</v>
      </c>
      <c r="C64" s="5" t="s">
        <v>40</v>
      </c>
      <c r="D64" s="5" t="s">
        <v>118</v>
      </c>
      <c r="E64" s="5" t="s">
        <v>119</v>
      </c>
      <c r="F64" s="6">
        <v>45748</v>
      </c>
      <c r="G64" s="5" t="s">
        <v>13</v>
      </c>
      <c r="H64" s="5" t="s">
        <v>50</v>
      </c>
      <c r="I64" s="6">
        <v>45778</v>
      </c>
      <c r="J64" s="5" t="s">
        <v>37</v>
      </c>
      <c r="K64" s="7">
        <v>49.05</v>
      </c>
      <c r="L64" s="5">
        <v>1</v>
      </c>
      <c r="M64" s="7">
        <v>4.9000000000000004</v>
      </c>
    </row>
    <row r="65" spans="1:13" x14ac:dyDescent="0.25">
      <c r="A65" s="5" t="s">
        <v>16</v>
      </c>
      <c r="B65" s="5" t="s">
        <v>39</v>
      </c>
      <c r="C65" s="5" t="s">
        <v>40</v>
      </c>
      <c r="D65" s="5" t="s">
        <v>120</v>
      </c>
      <c r="E65" s="5" t="s">
        <v>111</v>
      </c>
      <c r="F65" s="6">
        <v>45658</v>
      </c>
      <c r="G65" s="5" t="s">
        <v>13</v>
      </c>
      <c r="H65" s="5" t="s">
        <v>50</v>
      </c>
      <c r="I65" s="6">
        <v>45778</v>
      </c>
      <c r="J65" s="5" t="s">
        <v>37</v>
      </c>
      <c r="K65" s="7">
        <v>49.05</v>
      </c>
      <c r="L65" s="5">
        <v>1</v>
      </c>
      <c r="M65" s="7">
        <v>4.9000000000000004</v>
      </c>
    </row>
    <row r="66" spans="1:13" x14ac:dyDescent="0.25">
      <c r="A66" s="5" t="s">
        <v>16</v>
      </c>
      <c r="B66" s="5" t="s">
        <v>39</v>
      </c>
      <c r="C66" s="5" t="s">
        <v>40</v>
      </c>
      <c r="D66" s="5" t="s">
        <v>88</v>
      </c>
      <c r="E66" s="5" t="s">
        <v>89</v>
      </c>
      <c r="F66" s="6">
        <v>45689</v>
      </c>
      <c r="G66" s="5" t="s">
        <v>13</v>
      </c>
      <c r="H66" s="5" t="s">
        <v>50</v>
      </c>
      <c r="I66" s="6">
        <v>45778</v>
      </c>
      <c r="J66" s="5" t="s">
        <v>37</v>
      </c>
      <c r="K66" s="7">
        <v>49.05</v>
      </c>
      <c r="L66" s="5">
        <v>1</v>
      </c>
      <c r="M66" s="7">
        <v>4.9000000000000004</v>
      </c>
    </row>
    <row r="67" spans="1:13" x14ac:dyDescent="0.25">
      <c r="A67" s="5" t="s">
        <v>16</v>
      </c>
      <c r="B67" s="5" t="s">
        <v>39</v>
      </c>
      <c r="C67" s="5" t="s">
        <v>40</v>
      </c>
      <c r="D67" s="5" t="s">
        <v>121</v>
      </c>
      <c r="E67" s="5" t="s">
        <v>122</v>
      </c>
      <c r="F67" s="6">
        <v>45689</v>
      </c>
      <c r="G67" s="5" t="s">
        <v>13</v>
      </c>
      <c r="H67" s="5" t="s">
        <v>50</v>
      </c>
      <c r="I67" s="6">
        <v>45778</v>
      </c>
      <c r="J67" s="5" t="s">
        <v>37</v>
      </c>
      <c r="K67" s="7">
        <v>49.05</v>
      </c>
      <c r="L67" s="5">
        <v>1</v>
      </c>
      <c r="M67" s="7">
        <v>4.9000000000000004</v>
      </c>
    </row>
    <row r="68" spans="1:13" x14ac:dyDescent="0.25">
      <c r="A68" s="5" t="s">
        <v>16</v>
      </c>
      <c r="B68" s="5" t="s">
        <v>39</v>
      </c>
      <c r="C68" s="5" t="s">
        <v>40</v>
      </c>
      <c r="D68" s="5" t="s">
        <v>110</v>
      </c>
      <c r="E68" s="5" t="s">
        <v>111</v>
      </c>
      <c r="F68" s="6">
        <v>45658</v>
      </c>
      <c r="G68" s="5" t="s">
        <v>13</v>
      </c>
      <c r="H68" s="5" t="s">
        <v>50</v>
      </c>
      <c r="I68" s="6">
        <v>45778</v>
      </c>
      <c r="J68" s="5" t="s">
        <v>37</v>
      </c>
      <c r="K68" s="7">
        <v>49.05</v>
      </c>
      <c r="L68" s="5">
        <v>1</v>
      </c>
      <c r="M68" s="7">
        <v>4.9000000000000004</v>
      </c>
    </row>
    <row r="69" spans="1:13" x14ac:dyDescent="0.25">
      <c r="A69" s="5" t="s">
        <v>16</v>
      </c>
      <c r="B69" s="5" t="s">
        <v>39</v>
      </c>
      <c r="C69" s="5" t="s">
        <v>40</v>
      </c>
      <c r="D69" s="5" t="s">
        <v>114</v>
      </c>
      <c r="E69" s="5" t="s">
        <v>115</v>
      </c>
      <c r="F69" s="6">
        <v>45658</v>
      </c>
      <c r="G69" s="5" t="s">
        <v>13</v>
      </c>
      <c r="H69" s="5" t="s">
        <v>45</v>
      </c>
      <c r="I69" s="6">
        <v>45778</v>
      </c>
      <c r="J69" s="5" t="s">
        <v>37</v>
      </c>
      <c r="K69" s="7">
        <v>47.48</v>
      </c>
      <c r="L69" s="5">
        <v>1</v>
      </c>
      <c r="M69" s="7">
        <v>7.12</v>
      </c>
    </row>
    <row r="70" spans="1:13" x14ac:dyDescent="0.25">
      <c r="A70" s="5" t="s">
        <v>16</v>
      </c>
      <c r="B70" s="5" t="s">
        <v>39</v>
      </c>
      <c r="C70" s="5" t="s">
        <v>40</v>
      </c>
      <c r="D70" s="5" t="s">
        <v>103</v>
      </c>
      <c r="E70" s="5" t="s">
        <v>96</v>
      </c>
      <c r="F70" s="6">
        <v>45658</v>
      </c>
      <c r="G70" s="5" t="s">
        <v>13</v>
      </c>
      <c r="H70" s="5" t="s">
        <v>45</v>
      </c>
      <c r="I70" s="6">
        <v>45778</v>
      </c>
      <c r="J70" s="5" t="s">
        <v>37</v>
      </c>
      <c r="K70" s="7">
        <v>47.48</v>
      </c>
      <c r="L70" s="5">
        <v>1</v>
      </c>
      <c r="M70" s="7">
        <v>7.12</v>
      </c>
    </row>
    <row r="71" spans="1:13" x14ac:dyDescent="0.25">
      <c r="A71" s="5" t="s">
        <v>16</v>
      </c>
      <c r="B71" s="5" t="s">
        <v>123</v>
      </c>
      <c r="C71" s="5" t="s">
        <v>124</v>
      </c>
      <c r="D71" s="5" t="s">
        <v>125</v>
      </c>
      <c r="E71" s="5" t="s">
        <v>126</v>
      </c>
      <c r="F71" s="6">
        <v>45778</v>
      </c>
      <c r="G71" s="5" t="s">
        <v>13</v>
      </c>
      <c r="H71" s="5" t="s">
        <v>14</v>
      </c>
      <c r="I71" s="6">
        <v>45778</v>
      </c>
      <c r="J71" s="5" t="s">
        <v>127</v>
      </c>
      <c r="K71" s="7">
        <v>406.52</v>
      </c>
      <c r="L71" s="5">
        <v>1</v>
      </c>
      <c r="M71" s="7">
        <v>15</v>
      </c>
    </row>
    <row r="72" spans="1:13" x14ac:dyDescent="0.25">
      <c r="A72" s="5" t="s">
        <v>16</v>
      </c>
      <c r="B72" s="5" t="s">
        <v>33</v>
      </c>
      <c r="C72" s="5" t="s">
        <v>34</v>
      </c>
      <c r="D72" s="5" t="s">
        <v>128</v>
      </c>
      <c r="E72" s="5" t="s">
        <v>129</v>
      </c>
      <c r="F72" s="6">
        <v>45778</v>
      </c>
      <c r="G72" s="5" t="s">
        <v>13</v>
      </c>
      <c r="H72" s="5" t="s">
        <v>14</v>
      </c>
      <c r="I72" s="6">
        <v>45778</v>
      </c>
      <c r="J72" s="5" t="s">
        <v>37</v>
      </c>
      <c r="K72" s="7">
        <v>424.35</v>
      </c>
      <c r="L72" s="5">
        <v>1</v>
      </c>
      <c r="M72" s="7">
        <v>18</v>
      </c>
    </row>
    <row r="73" spans="1:13" x14ac:dyDescent="0.25">
      <c r="A73" s="5" t="s">
        <v>16</v>
      </c>
      <c r="B73" s="5" t="s">
        <v>33</v>
      </c>
      <c r="C73" s="5" t="s">
        <v>34</v>
      </c>
      <c r="D73" s="5" t="s">
        <v>35</v>
      </c>
      <c r="E73" s="5" t="s">
        <v>36</v>
      </c>
      <c r="F73" s="6">
        <v>45658</v>
      </c>
      <c r="G73" s="5" t="s">
        <v>13</v>
      </c>
      <c r="H73" s="5" t="s">
        <v>14</v>
      </c>
      <c r="I73" s="6">
        <v>45778</v>
      </c>
      <c r="J73" s="5" t="s">
        <v>37</v>
      </c>
      <c r="K73" s="7">
        <v>604.12</v>
      </c>
      <c r="L73" s="5">
        <v>1</v>
      </c>
      <c r="M73" s="7">
        <v>18</v>
      </c>
    </row>
    <row r="74" spans="1:13" x14ac:dyDescent="0.25">
      <c r="A74" s="5" t="s">
        <v>16</v>
      </c>
      <c r="B74" s="5" t="s">
        <v>33</v>
      </c>
      <c r="C74" s="5" t="s">
        <v>34</v>
      </c>
      <c r="D74" s="5" t="s">
        <v>130</v>
      </c>
      <c r="E74" s="5" t="s">
        <v>131</v>
      </c>
      <c r="F74" s="6">
        <v>45689</v>
      </c>
      <c r="G74" s="5" t="s">
        <v>13</v>
      </c>
      <c r="H74" s="5" t="s">
        <v>14</v>
      </c>
      <c r="I74" s="6">
        <v>45778</v>
      </c>
      <c r="J74" s="5" t="s">
        <v>37</v>
      </c>
      <c r="K74" s="7">
        <v>640.55999999999995</v>
      </c>
      <c r="L74" s="5">
        <v>1</v>
      </c>
      <c r="M74" s="7">
        <v>18</v>
      </c>
    </row>
    <row r="75" spans="1:13" x14ac:dyDescent="0.25">
      <c r="A75" s="5" t="s">
        <v>16</v>
      </c>
      <c r="B75" s="5" t="s">
        <v>33</v>
      </c>
      <c r="C75" s="5" t="s">
        <v>34</v>
      </c>
      <c r="D75" s="5" t="s">
        <v>132</v>
      </c>
      <c r="E75" s="5" t="s">
        <v>133</v>
      </c>
      <c r="F75" s="6">
        <v>45689</v>
      </c>
      <c r="G75" s="5" t="s">
        <v>13</v>
      </c>
      <c r="H75" s="5" t="s">
        <v>14</v>
      </c>
      <c r="I75" s="6">
        <v>45778</v>
      </c>
      <c r="J75" s="5" t="s">
        <v>37</v>
      </c>
      <c r="K75" s="7">
        <v>653.67999999999995</v>
      </c>
      <c r="L75" s="5">
        <v>1</v>
      </c>
      <c r="M75" s="7">
        <v>18</v>
      </c>
    </row>
    <row r="76" spans="1:13" x14ac:dyDescent="0.25">
      <c r="A76" s="5" t="s">
        <v>16</v>
      </c>
      <c r="B76" s="5" t="s">
        <v>33</v>
      </c>
      <c r="C76" s="5" t="s">
        <v>34</v>
      </c>
      <c r="D76" s="5" t="s">
        <v>134</v>
      </c>
      <c r="E76" s="5" t="s">
        <v>135</v>
      </c>
      <c r="F76" s="6">
        <v>45689</v>
      </c>
      <c r="G76" s="5" t="s">
        <v>13</v>
      </c>
      <c r="H76" s="5" t="s">
        <v>14</v>
      </c>
      <c r="I76" s="6">
        <v>45778</v>
      </c>
      <c r="J76" s="5" t="s">
        <v>37</v>
      </c>
      <c r="K76" s="7">
        <v>427.23</v>
      </c>
      <c r="L76" s="5">
        <v>1</v>
      </c>
      <c r="M76" s="7">
        <v>18</v>
      </c>
    </row>
    <row r="77" spans="1:13" x14ac:dyDescent="0.25">
      <c r="A77" s="5" t="s">
        <v>16</v>
      </c>
      <c r="B77" s="5" t="s">
        <v>33</v>
      </c>
      <c r="C77" s="5" t="s">
        <v>34</v>
      </c>
      <c r="D77" s="5" t="s">
        <v>136</v>
      </c>
      <c r="E77" s="5" t="s">
        <v>137</v>
      </c>
      <c r="F77" s="6">
        <v>45689</v>
      </c>
      <c r="G77" s="5" t="s">
        <v>13</v>
      </c>
      <c r="H77" s="5" t="s">
        <v>14</v>
      </c>
      <c r="I77" s="6">
        <v>45778</v>
      </c>
      <c r="J77" s="5" t="s">
        <v>37</v>
      </c>
      <c r="K77" s="7">
        <v>274.5</v>
      </c>
      <c r="L77" s="5">
        <v>1</v>
      </c>
      <c r="M77" s="7">
        <v>18</v>
      </c>
    </row>
    <row r="78" spans="1:13" x14ac:dyDescent="0.25">
      <c r="A78" s="5" t="s">
        <v>16</v>
      </c>
      <c r="B78" s="5" t="s">
        <v>33</v>
      </c>
      <c r="C78" s="5" t="s">
        <v>34</v>
      </c>
      <c r="D78" s="5" t="s">
        <v>138</v>
      </c>
      <c r="E78" s="5" t="s">
        <v>139</v>
      </c>
      <c r="F78" s="6">
        <v>45689</v>
      </c>
      <c r="G78" s="5" t="s">
        <v>13</v>
      </c>
      <c r="H78" s="5" t="s">
        <v>14</v>
      </c>
      <c r="I78" s="6">
        <v>45778</v>
      </c>
      <c r="J78" s="5" t="s">
        <v>37</v>
      </c>
      <c r="K78" s="7">
        <v>325.60000000000002</v>
      </c>
      <c r="L78" s="5">
        <v>1</v>
      </c>
      <c r="M78" s="7">
        <v>18</v>
      </c>
    </row>
    <row r="79" spans="1:13" x14ac:dyDescent="0.25">
      <c r="A79" s="5" t="s">
        <v>16</v>
      </c>
      <c r="B79" s="5" t="s">
        <v>33</v>
      </c>
      <c r="C79" s="5" t="s">
        <v>34</v>
      </c>
      <c r="D79" s="5" t="s">
        <v>140</v>
      </c>
      <c r="E79" s="5" t="s">
        <v>141</v>
      </c>
      <c r="F79" s="6">
        <v>45658</v>
      </c>
      <c r="G79" s="5" t="s">
        <v>13</v>
      </c>
      <c r="H79" s="5" t="s">
        <v>14</v>
      </c>
      <c r="I79" s="6">
        <v>45778</v>
      </c>
      <c r="J79" s="5" t="s">
        <v>37</v>
      </c>
      <c r="K79" s="7">
        <v>510.86</v>
      </c>
      <c r="L79" s="5">
        <v>1</v>
      </c>
      <c r="M79" s="7">
        <v>18</v>
      </c>
    </row>
    <row r="80" spans="1:13" x14ac:dyDescent="0.25">
      <c r="A80" s="5" t="s">
        <v>16</v>
      </c>
      <c r="B80" s="5" t="s">
        <v>33</v>
      </c>
      <c r="C80" s="5" t="s">
        <v>34</v>
      </c>
      <c r="D80" s="5" t="s">
        <v>140</v>
      </c>
      <c r="E80" s="5" t="s">
        <v>141</v>
      </c>
      <c r="F80" s="6">
        <v>45658</v>
      </c>
      <c r="G80" s="5" t="s">
        <v>13</v>
      </c>
      <c r="H80" s="5" t="s">
        <v>14</v>
      </c>
      <c r="I80" s="6">
        <v>45748</v>
      </c>
      <c r="J80" s="5" t="s">
        <v>37</v>
      </c>
      <c r="K80" s="7">
        <v>510.86</v>
      </c>
      <c r="L80" s="5">
        <v>1</v>
      </c>
      <c r="M80" s="7">
        <v>18</v>
      </c>
    </row>
    <row r="81" spans="1:13" x14ac:dyDescent="0.25">
      <c r="A81" s="5" t="s">
        <v>16</v>
      </c>
      <c r="B81" s="5" t="s">
        <v>33</v>
      </c>
      <c r="C81" s="5" t="s">
        <v>34</v>
      </c>
      <c r="D81" s="5" t="s">
        <v>142</v>
      </c>
      <c r="E81" s="5" t="s">
        <v>131</v>
      </c>
      <c r="F81" s="6">
        <v>45689</v>
      </c>
      <c r="G81" s="5" t="s">
        <v>13</v>
      </c>
      <c r="H81" s="5" t="s">
        <v>14</v>
      </c>
      <c r="I81" s="6">
        <v>45778</v>
      </c>
      <c r="J81" s="5" t="s">
        <v>37</v>
      </c>
      <c r="K81" s="7">
        <v>640.55999999999995</v>
      </c>
      <c r="L81" s="5">
        <v>1</v>
      </c>
      <c r="M81" s="7">
        <v>18</v>
      </c>
    </row>
    <row r="82" spans="1:13" x14ac:dyDescent="0.25">
      <c r="A82" s="5" t="s">
        <v>16</v>
      </c>
      <c r="B82" s="5" t="s">
        <v>33</v>
      </c>
      <c r="C82" s="5" t="s">
        <v>34</v>
      </c>
      <c r="D82" s="5" t="s">
        <v>143</v>
      </c>
      <c r="E82" s="5" t="s">
        <v>144</v>
      </c>
      <c r="F82" s="6">
        <v>45689</v>
      </c>
      <c r="G82" s="5" t="s">
        <v>13</v>
      </c>
      <c r="H82" s="5" t="s">
        <v>14</v>
      </c>
      <c r="I82" s="6">
        <v>45778</v>
      </c>
      <c r="J82" s="5" t="s">
        <v>37</v>
      </c>
      <c r="K82" s="7">
        <v>514.89</v>
      </c>
      <c r="L82" s="5">
        <v>1</v>
      </c>
      <c r="M82" s="7">
        <v>18</v>
      </c>
    </row>
    <row r="83" spans="1:13" x14ac:dyDescent="0.25">
      <c r="A83" s="5" t="s">
        <v>16</v>
      </c>
      <c r="B83" s="5" t="s">
        <v>33</v>
      </c>
      <c r="C83" s="5" t="s">
        <v>34</v>
      </c>
      <c r="D83" s="5" t="s">
        <v>145</v>
      </c>
      <c r="E83" s="5" t="s">
        <v>146</v>
      </c>
      <c r="F83" s="6">
        <v>45778</v>
      </c>
      <c r="G83" s="5" t="s">
        <v>13</v>
      </c>
      <c r="H83" s="5" t="s">
        <v>14</v>
      </c>
      <c r="I83" s="6">
        <v>45778</v>
      </c>
      <c r="J83" s="5" t="s">
        <v>37</v>
      </c>
      <c r="K83" s="7">
        <v>1112.08</v>
      </c>
      <c r="L83" s="5">
        <v>1</v>
      </c>
      <c r="M83" s="7">
        <v>18</v>
      </c>
    </row>
    <row r="84" spans="1:13" x14ac:dyDescent="0.25">
      <c r="A84" s="5" t="s">
        <v>16</v>
      </c>
      <c r="B84" s="5" t="s">
        <v>33</v>
      </c>
      <c r="C84" s="5" t="s">
        <v>34</v>
      </c>
      <c r="D84" s="5" t="s">
        <v>147</v>
      </c>
      <c r="E84" s="5" t="s">
        <v>148</v>
      </c>
      <c r="F84" s="6">
        <v>45658</v>
      </c>
      <c r="G84" s="5" t="s">
        <v>13</v>
      </c>
      <c r="H84" s="5" t="s">
        <v>14</v>
      </c>
      <c r="I84" s="6">
        <v>45778</v>
      </c>
      <c r="J84" s="5" t="s">
        <v>37</v>
      </c>
      <c r="K84" s="7">
        <v>1014.54</v>
      </c>
      <c r="L84" s="5">
        <v>1</v>
      </c>
      <c r="M84" s="7">
        <v>18</v>
      </c>
    </row>
    <row r="85" spans="1:13" x14ac:dyDescent="0.25">
      <c r="A85" s="5" t="s">
        <v>16</v>
      </c>
      <c r="B85" s="5" t="s">
        <v>33</v>
      </c>
      <c r="C85" s="5" t="s">
        <v>34</v>
      </c>
      <c r="D85" s="5" t="s">
        <v>55</v>
      </c>
      <c r="E85" s="5" t="s">
        <v>56</v>
      </c>
      <c r="F85" s="6">
        <v>45658</v>
      </c>
      <c r="G85" s="5" t="s">
        <v>13</v>
      </c>
      <c r="H85" s="5" t="s">
        <v>14</v>
      </c>
      <c r="I85" s="6">
        <v>45778</v>
      </c>
      <c r="J85" s="5" t="s">
        <v>37</v>
      </c>
      <c r="K85" s="7">
        <v>651.91999999999996</v>
      </c>
      <c r="L85" s="5">
        <v>1</v>
      </c>
      <c r="M85" s="7">
        <v>18</v>
      </c>
    </row>
    <row r="86" spans="1:13" x14ac:dyDescent="0.25">
      <c r="A86" s="5" t="s">
        <v>16</v>
      </c>
      <c r="B86" s="5" t="s">
        <v>33</v>
      </c>
      <c r="C86" s="5" t="s">
        <v>34</v>
      </c>
      <c r="D86" s="5" t="s">
        <v>149</v>
      </c>
      <c r="E86" s="5" t="s">
        <v>150</v>
      </c>
      <c r="F86" s="6">
        <v>45717</v>
      </c>
      <c r="G86" s="5" t="s">
        <v>13</v>
      </c>
      <c r="H86" s="5" t="s">
        <v>14</v>
      </c>
      <c r="I86" s="6">
        <v>45778</v>
      </c>
      <c r="J86" s="5" t="s">
        <v>37</v>
      </c>
      <c r="K86" s="7">
        <v>682.82</v>
      </c>
      <c r="L86" s="5">
        <v>1</v>
      </c>
      <c r="M86" s="7">
        <v>18</v>
      </c>
    </row>
    <row r="87" spans="1:13" x14ac:dyDescent="0.25">
      <c r="A87" s="5" t="s">
        <v>16</v>
      </c>
      <c r="B87" s="5" t="s">
        <v>33</v>
      </c>
      <c r="C87" s="5" t="s">
        <v>34</v>
      </c>
      <c r="D87" s="5" t="s">
        <v>151</v>
      </c>
      <c r="E87" s="5" t="s">
        <v>141</v>
      </c>
      <c r="F87" s="6">
        <v>45658</v>
      </c>
      <c r="G87" s="5" t="s">
        <v>13</v>
      </c>
      <c r="H87" s="5" t="s">
        <v>14</v>
      </c>
      <c r="I87" s="6">
        <v>45778</v>
      </c>
      <c r="J87" s="5" t="s">
        <v>37</v>
      </c>
      <c r="K87" s="7">
        <v>320.48</v>
      </c>
      <c r="L87" s="5">
        <v>1</v>
      </c>
      <c r="M87" s="7">
        <v>18</v>
      </c>
    </row>
    <row r="88" spans="1:13" x14ac:dyDescent="0.25">
      <c r="A88" s="5" t="s">
        <v>16</v>
      </c>
      <c r="B88" s="5" t="s">
        <v>33</v>
      </c>
      <c r="C88" s="5" t="s">
        <v>34</v>
      </c>
      <c r="D88" s="5" t="s">
        <v>151</v>
      </c>
      <c r="E88" s="5" t="s">
        <v>141</v>
      </c>
      <c r="F88" s="6">
        <v>45658</v>
      </c>
      <c r="G88" s="5" t="s">
        <v>13</v>
      </c>
      <c r="H88" s="5" t="s">
        <v>14</v>
      </c>
      <c r="I88" s="6">
        <v>45748</v>
      </c>
      <c r="J88" s="5" t="s">
        <v>37</v>
      </c>
      <c r="K88" s="7">
        <v>320.48</v>
      </c>
      <c r="L88" s="5">
        <v>1</v>
      </c>
      <c r="M88" s="7">
        <v>18</v>
      </c>
    </row>
    <row r="89" spans="1:13" x14ac:dyDescent="0.25">
      <c r="A89" s="5" t="s">
        <v>16</v>
      </c>
      <c r="B89" s="5" t="s">
        <v>33</v>
      </c>
      <c r="C89" s="5" t="s">
        <v>34</v>
      </c>
      <c r="D89" s="5" t="s">
        <v>152</v>
      </c>
      <c r="E89" s="5" t="s">
        <v>139</v>
      </c>
      <c r="F89" s="6">
        <v>45689</v>
      </c>
      <c r="G89" s="5" t="s">
        <v>13</v>
      </c>
      <c r="H89" s="5" t="s">
        <v>14</v>
      </c>
      <c r="I89" s="6">
        <v>45778</v>
      </c>
      <c r="J89" s="5" t="s">
        <v>37</v>
      </c>
      <c r="K89" s="7">
        <v>675.43</v>
      </c>
      <c r="L89" s="5">
        <v>1</v>
      </c>
      <c r="M89" s="7">
        <v>18</v>
      </c>
    </row>
    <row r="90" spans="1:13" x14ac:dyDescent="0.25">
      <c r="A90" s="5" t="s">
        <v>16</v>
      </c>
      <c r="B90" s="5" t="s">
        <v>33</v>
      </c>
      <c r="C90" s="5" t="s">
        <v>34</v>
      </c>
      <c r="D90" s="5" t="s">
        <v>38</v>
      </c>
      <c r="E90" s="5" t="s">
        <v>36</v>
      </c>
      <c r="F90" s="6">
        <v>45658</v>
      </c>
      <c r="G90" s="5" t="s">
        <v>13</v>
      </c>
      <c r="H90" s="5" t="s">
        <v>14</v>
      </c>
      <c r="I90" s="6">
        <v>45778</v>
      </c>
      <c r="J90" s="5" t="s">
        <v>37</v>
      </c>
      <c r="K90" s="7">
        <v>675.9</v>
      </c>
      <c r="L90" s="5">
        <v>1</v>
      </c>
      <c r="M90" s="7">
        <v>18</v>
      </c>
    </row>
    <row r="91" spans="1:13" x14ac:dyDescent="0.25">
      <c r="A91" s="5" t="s">
        <v>16</v>
      </c>
      <c r="B91" s="5" t="s">
        <v>33</v>
      </c>
      <c r="C91" s="5" t="s">
        <v>34</v>
      </c>
      <c r="D91" s="5" t="s">
        <v>153</v>
      </c>
      <c r="E91" s="5" t="s">
        <v>141</v>
      </c>
      <c r="F91" s="6">
        <v>45658</v>
      </c>
      <c r="G91" s="5" t="s">
        <v>13</v>
      </c>
      <c r="H91" s="5" t="s">
        <v>14</v>
      </c>
      <c r="I91" s="6">
        <v>45748</v>
      </c>
      <c r="J91" s="5" t="s">
        <v>37</v>
      </c>
      <c r="K91" s="7">
        <v>635.16</v>
      </c>
      <c r="L91" s="5">
        <v>1</v>
      </c>
      <c r="M91" s="7">
        <v>18</v>
      </c>
    </row>
    <row r="92" spans="1:13" x14ac:dyDescent="0.25">
      <c r="A92" s="5" t="s">
        <v>16</v>
      </c>
      <c r="B92" s="5" t="s">
        <v>33</v>
      </c>
      <c r="C92" s="5" t="s">
        <v>34</v>
      </c>
      <c r="D92" s="5" t="s">
        <v>153</v>
      </c>
      <c r="E92" s="5" t="s">
        <v>141</v>
      </c>
      <c r="F92" s="6">
        <v>45658</v>
      </c>
      <c r="G92" s="5" t="s">
        <v>13</v>
      </c>
      <c r="H92" s="5" t="s">
        <v>14</v>
      </c>
      <c r="I92" s="6">
        <v>45778</v>
      </c>
      <c r="J92" s="5" t="s">
        <v>37</v>
      </c>
      <c r="K92" s="7">
        <v>635.16</v>
      </c>
      <c r="L92" s="5">
        <v>1</v>
      </c>
      <c r="M92" s="7">
        <v>18</v>
      </c>
    </row>
    <row r="93" spans="1:13" x14ac:dyDescent="0.25">
      <c r="A93" s="5" t="s">
        <v>16</v>
      </c>
      <c r="B93" s="5" t="s">
        <v>33</v>
      </c>
      <c r="C93" s="5" t="s">
        <v>34</v>
      </c>
      <c r="D93" s="5" t="s">
        <v>154</v>
      </c>
      <c r="E93" s="5" t="s">
        <v>155</v>
      </c>
      <c r="F93" s="6">
        <v>45717</v>
      </c>
      <c r="G93" s="5" t="s">
        <v>13</v>
      </c>
      <c r="H93" s="5" t="s">
        <v>14</v>
      </c>
      <c r="I93" s="6">
        <v>45778</v>
      </c>
      <c r="J93" s="5" t="s">
        <v>37</v>
      </c>
      <c r="K93" s="7">
        <v>679.84</v>
      </c>
      <c r="L93" s="5">
        <v>1</v>
      </c>
      <c r="M93" s="7">
        <v>18</v>
      </c>
    </row>
    <row r="94" spans="1:13" x14ac:dyDescent="0.25">
      <c r="A94" s="5" t="s">
        <v>16</v>
      </c>
      <c r="B94" s="5" t="s">
        <v>33</v>
      </c>
      <c r="C94" s="5" t="s">
        <v>34</v>
      </c>
      <c r="D94" s="5" t="s">
        <v>156</v>
      </c>
      <c r="E94" s="5" t="s">
        <v>157</v>
      </c>
      <c r="F94" s="6">
        <v>45778</v>
      </c>
      <c r="G94" s="5" t="s">
        <v>13</v>
      </c>
      <c r="H94" s="5" t="s">
        <v>14</v>
      </c>
      <c r="I94" s="6">
        <v>45778</v>
      </c>
      <c r="J94" s="5" t="s">
        <v>37</v>
      </c>
      <c r="K94" s="7">
        <v>862.49</v>
      </c>
      <c r="L94" s="5">
        <v>1</v>
      </c>
      <c r="M94" s="7">
        <v>18</v>
      </c>
    </row>
    <row r="95" spans="1:13" x14ac:dyDescent="0.25">
      <c r="A95" s="5" t="s">
        <v>16</v>
      </c>
      <c r="B95" s="5" t="s">
        <v>33</v>
      </c>
      <c r="C95" s="5" t="s">
        <v>34</v>
      </c>
      <c r="D95" s="5" t="s">
        <v>158</v>
      </c>
      <c r="E95" s="5" t="s">
        <v>137</v>
      </c>
      <c r="F95" s="6">
        <v>45689</v>
      </c>
      <c r="G95" s="5" t="s">
        <v>13</v>
      </c>
      <c r="H95" s="5" t="s">
        <v>14</v>
      </c>
      <c r="I95" s="6">
        <v>45778</v>
      </c>
      <c r="J95" s="5" t="s">
        <v>37</v>
      </c>
      <c r="K95" s="7">
        <v>934.01</v>
      </c>
      <c r="L95" s="5">
        <v>1</v>
      </c>
      <c r="M95" s="7">
        <v>18</v>
      </c>
    </row>
    <row r="96" spans="1:13" x14ac:dyDescent="0.25">
      <c r="A96" s="5" t="s">
        <v>16</v>
      </c>
      <c r="B96" s="5" t="s">
        <v>33</v>
      </c>
      <c r="C96" s="5" t="s">
        <v>34</v>
      </c>
      <c r="D96" s="5" t="s">
        <v>159</v>
      </c>
      <c r="E96" s="5" t="s">
        <v>160</v>
      </c>
      <c r="F96" s="6">
        <v>45658</v>
      </c>
      <c r="G96" s="5" t="s">
        <v>13</v>
      </c>
      <c r="H96" s="5" t="s">
        <v>14</v>
      </c>
      <c r="I96" s="6">
        <v>45778</v>
      </c>
      <c r="J96" s="5" t="s">
        <v>37</v>
      </c>
      <c r="K96" s="7">
        <v>811.65</v>
      </c>
      <c r="L96" s="5">
        <v>1</v>
      </c>
      <c r="M96" s="7">
        <v>18</v>
      </c>
    </row>
    <row r="97" spans="1:13" x14ac:dyDescent="0.25">
      <c r="A97" s="5" t="s">
        <v>16</v>
      </c>
      <c r="B97" s="5" t="s">
        <v>33</v>
      </c>
      <c r="C97" s="5" t="s">
        <v>34</v>
      </c>
      <c r="D97" s="5" t="s">
        <v>82</v>
      </c>
      <c r="E97" s="5" t="s">
        <v>56</v>
      </c>
      <c r="F97" s="6">
        <v>45658</v>
      </c>
      <c r="G97" s="5" t="s">
        <v>13</v>
      </c>
      <c r="H97" s="5" t="s">
        <v>14</v>
      </c>
      <c r="I97" s="6">
        <v>45778</v>
      </c>
      <c r="J97" s="5" t="s">
        <v>37</v>
      </c>
      <c r="K97" s="7">
        <v>213.77</v>
      </c>
      <c r="L97" s="5">
        <v>1</v>
      </c>
      <c r="M97" s="7">
        <v>18</v>
      </c>
    </row>
    <row r="98" spans="1:13" x14ac:dyDescent="0.25">
      <c r="A98" s="5" t="s">
        <v>16</v>
      </c>
      <c r="B98" s="5" t="s">
        <v>33</v>
      </c>
      <c r="C98" s="5" t="s">
        <v>34</v>
      </c>
      <c r="D98" s="5" t="s">
        <v>83</v>
      </c>
      <c r="E98" s="5" t="s">
        <v>56</v>
      </c>
      <c r="F98" s="6">
        <v>45658</v>
      </c>
      <c r="G98" s="5" t="s">
        <v>13</v>
      </c>
      <c r="H98" s="5" t="s">
        <v>14</v>
      </c>
      <c r="I98" s="6">
        <v>45778</v>
      </c>
      <c r="J98" s="5" t="s">
        <v>37</v>
      </c>
      <c r="K98" s="7">
        <v>255.12</v>
      </c>
      <c r="L98" s="5">
        <v>1</v>
      </c>
      <c r="M98" s="7">
        <v>18</v>
      </c>
    </row>
    <row r="99" spans="1:13" x14ac:dyDescent="0.25">
      <c r="A99" s="5" t="s">
        <v>16</v>
      </c>
      <c r="B99" s="5" t="s">
        <v>33</v>
      </c>
      <c r="C99" s="5" t="s">
        <v>34</v>
      </c>
      <c r="D99" s="5" t="s">
        <v>161</v>
      </c>
      <c r="E99" s="5" t="s">
        <v>162</v>
      </c>
      <c r="F99" s="6">
        <v>45658</v>
      </c>
      <c r="G99" s="5" t="s">
        <v>13</v>
      </c>
      <c r="H99" s="5" t="s">
        <v>14</v>
      </c>
      <c r="I99" s="6">
        <v>45778</v>
      </c>
      <c r="J99" s="5" t="s">
        <v>37</v>
      </c>
      <c r="K99" s="7">
        <v>348.74</v>
      </c>
      <c r="L99" s="5">
        <v>1</v>
      </c>
      <c r="M99" s="7">
        <v>18</v>
      </c>
    </row>
    <row r="100" spans="1:13" x14ac:dyDescent="0.25">
      <c r="A100" s="5" t="s">
        <v>16</v>
      </c>
      <c r="B100" s="5" t="s">
        <v>33</v>
      </c>
      <c r="C100" s="5" t="s">
        <v>34</v>
      </c>
      <c r="D100" s="5" t="s">
        <v>163</v>
      </c>
      <c r="E100" s="5" t="s">
        <v>141</v>
      </c>
      <c r="F100" s="6">
        <v>45658</v>
      </c>
      <c r="G100" s="5" t="s">
        <v>13</v>
      </c>
      <c r="H100" s="5" t="s">
        <v>14</v>
      </c>
      <c r="I100" s="6">
        <v>45778</v>
      </c>
      <c r="J100" s="5" t="s">
        <v>37</v>
      </c>
      <c r="K100" s="7">
        <v>301.39999999999998</v>
      </c>
      <c r="L100" s="5">
        <v>1</v>
      </c>
      <c r="M100" s="7">
        <v>18</v>
      </c>
    </row>
    <row r="101" spans="1:13" x14ac:dyDescent="0.25">
      <c r="A101" s="5" t="s">
        <v>16</v>
      </c>
      <c r="B101" s="5" t="s">
        <v>33</v>
      </c>
      <c r="C101" s="5" t="s">
        <v>34</v>
      </c>
      <c r="D101" s="5" t="s">
        <v>163</v>
      </c>
      <c r="E101" s="5" t="s">
        <v>141</v>
      </c>
      <c r="F101" s="6">
        <v>45658</v>
      </c>
      <c r="G101" s="5" t="s">
        <v>13</v>
      </c>
      <c r="H101" s="5" t="s">
        <v>14</v>
      </c>
      <c r="I101" s="6">
        <v>45748</v>
      </c>
      <c r="J101" s="5" t="s">
        <v>37</v>
      </c>
      <c r="K101" s="7">
        <v>301.39999999999998</v>
      </c>
      <c r="L101" s="5">
        <v>1</v>
      </c>
      <c r="M101" s="7">
        <v>18</v>
      </c>
    </row>
    <row r="102" spans="1:13" x14ac:dyDescent="0.25">
      <c r="A102" s="5" t="s">
        <v>16</v>
      </c>
      <c r="B102" s="5" t="s">
        <v>33</v>
      </c>
      <c r="C102" s="5" t="s">
        <v>34</v>
      </c>
      <c r="D102" s="5" t="s">
        <v>61</v>
      </c>
      <c r="E102" s="5" t="s">
        <v>56</v>
      </c>
      <c r="F102" s="6">
        <v>45658</v>
      </c>
      <c r="G102" s="5" t="s">
        <v>13</v>
      </c>
      <c r="H102" s="5" t="s">
        <v>14</v>
      </c>
      <c r="I102" s="6">
        <v>45778</v>
      </c>
      <c r="J102" s="5" t="s">
        <v>37</v>
      </c>
      <c r="K102" s="7">
        <v>436.76</v>
      </c>
      <c r="L102" s="5">
        <v>1</v>
      </c>
      <c r="M102" s="7">
        <v>18</v>
      </c>
    </row>
    <row r="103" spans="1:13" x14ac:dyDescent="0.25">
      <c r="A103" s="5" t="s">
        <v>16</v>
      </c>
      <c r="B103" s="5" t="s">
        <v>164</v>
      </c>
      <c r="C103" s="5" t="s">
        <v>165</v>
      </c>
      <c r="D103" s="5" t="s">
        <v>166</v>
      </c>
      <c r="E103" s="5" t="s">
        <v>167</v>
      </c>
      <c r="F103" s="6">
        <v>45658</v>
      </c>
      <c r="G103" s="5" t="s">
        <v>13</v>
      </c>
      <c r="H103" s="5" t="s">
        <v>14</v>
      </c>
      <c r="I103" s="6">
        <v>45778</v>
      </c>
      <c r="J103" s="5" t="s">
        <v>168</v>
      </c>
      <c r="K103" s="7">
        <v>1077.1099999999999</v>
      </c>
      <c r="L103" s="5">
        <v>1</v>
      </c>
      <c r="M103" s="7">
        <v>18</v>
      </c>
    </row>
    <row r="104" spans="1:13" x14ac:dyDescent="0.25">
      <c r="A104" s="5" t="s">
        <v>16</v>
      </c>
      <c r="B104" s="5" t="s">
        <v>164</v>
      </c>
      <c r="C104" s="5" t="s">
        <v>165</v>
      </c>
      <c r="D104" s="5" t="s">
        <v>169</v>
      </c>
      <c r="E104" s="5" t="s">
        <v>170</v>
      </c>
      <c r="F104" s="6">
        <v>45658</v>
      </c>
      <c r="G104" s="5" t="s">
        <v>13</v>
      </c>
      <c r="H104" s="5" t="s">
        <v>14</v>
      </c>
      <c r="I104" s="6">
        <v>45748</v>
      </c>
      <c r="J104" s="5" t="s">
        <v>168</v>
      </c>
      <c r="K104" s="7">
        <v>303.61</v>
      </c>
      <c r="L104" s="5">
        <v>1</v>
      </c>
      <c r="M104" s="7">
        <v>18</v>
      </c>
    </row>
    <row r="105" spans="1:13" x14ac:dyDescent="0.25">
      <c r="A105" s="5" t="s">
        <v>16</v>
      </c>
      <c r="B105" s="5" t="s">
        <v>164</v>
      </c>
      <c r="C105" s="5" t="s">
        <v>165</v>
      </c>
      <c r="D105" s="5" t="s">
        <v>171</v>
      </c>
      <c r="E105" s="5" t="s">
        <v>167</v>
      </c>
      <c r="F105" s="6">
        <v>45658</v>
      </c>
      <c r="G105" s="5" t="s">
        <v>13</v>
      </c>
      <c r="H105" s="5" t="s">
        <v>14</v>
      </c>
      <c r="I105" s="6">
        <v>45778</v>
      </c>
      <c r="J105" s="5" t="s">
        <v>168</v>
      </c>
      <c r="K105" s="7">
        <v>1115.2</v>
      </c>
      <c r="L105" s="5">
        <v>1</v>
      </c>
      <c r="M105" s="7">
        <v>18</v>
      </c>
    </row>
    <row r="106" spans="1:13" x14ac:dyDescent="0.25">
      <c r="A106" s="5" t="s">
        <v>16</v>
      </c>
      <c r="B106" s="5" t="s">
        <v>164</v>
      </c>
      <c r="C106" s="5" t="s">
        <v>165</v>
      </c>
      <c r="D106" s="5" t="s">
        <v>172</v>
      </c>
      <c r="E106" s="5" t="s">
        <v>173</v>
      </c>
      <c r="F106" s="6">
        <v>45658</v>
      </c>
      <c r="G106" s="5" t="s">
        <v>13</v>
      </c>
      <c r="H106" s="5" t="s">
        <v>14</v>
      </c>
      <c r="I106" s="6">
        <v>45778</v>
      </c>
      <c r="J106" s="5" t="s">
        <v>168</v>
      </c>
      <c r="K106" s="7">
        <v>916.18</v>
      </c>
      <c r="L106" s="5">
        <v>1</v>
      </c>
      <c r="M106" s="7">
        <v>18</v>
      </c>
    </row>
    <row r="107" spans="1:13" x14ac:dyDescent="0.25">
      <c r="A107" s="5" t="s">
        <v>16</v>
      </c>
      <c r="B107" s="5" t="s">
        <v>164</v>
      </c>
      <c r="C107" s="5" t="s">
        <v>165</v>
      </c>
      <c r="D107" s="5" t="s">
        <v>174</v>
      </c>
      <c r="E107" s="5" t="s">
        <v>175</v>
      </c>
      <c r="F107" s="6">
        <v>45658</v>
      </c>
      <c r="G107" s="5" t="s">
        <v>13</v>
      </c>
      <c r="H107" s="5" t="s">
        <v>14</v>
      </c>
      <c r="I107" s="6">
        <v>45778</v>
      </c>
      <c r="J107" s="5" t="s">
        <v>168</v>
      </c>
      <c r="K107" s="7">
        <v>1707.9</v>
      </c>
      <c r="L107" s="5">
        <v>1</v>
      </c>
      <c r="M107" s="7">
        <v>18</v>
      </c>
    </row>
    <row r="108" spans="1:13" x14ac:dyDescent="0.25">
      <c r="A108" s="5" t="s">
        <v>16</v>
      </c>
      <c r="B108" s="5" t="s">
        <v>164</v>
      </c>
      <c r="C108" s="5" t="s">
        <v>165</v>
      </c>
      <c r="D108" s="5" t="s">
        <v>176</v>
      </c>
      <c r="E108" s="5" t="s">
        <v>177</v>
      </c>
      <c r="F108" s="6">
        <v>45658</v>
      </c>
      <c r="G108" s="5" t="s">
        <v>13</v>
      </c>
      <c r="H108" s="5" t="s">
        <v>14</v>
      </c>
      <c r="I108" s="6">
        <v>45778</v>
      </c>
      <c r="J108" s="5" t="s">
        <v>168</v>
      </c>
      <c r="K108" s="7">
        <v>822.12</v>
      </c>
      <c r="L108" s="5">
        <v>1</v>
      </c>
      <c r="M108" s="7">
        <v>18</v>
      </c>
    </row>
    <row r="109" spans="1:13" x14ac:dyDescent="0.25">
      <c r="A109" s="5" t="s">
        <v>16</v>
      </c>
      <c r="B109" s="5" t="s">
        <v>164</v>
      </c>
      <c r="C109" s="5" t="s">
        <v>165</v>
      </c>
      <c r="D109" s="5" t="s">
        <v>178</v>
      </c>
      <c r="E109" s="5" t="s">
        <v>179</v>
      </c>
      <c r="F109" s="6">
        <v>45658</v>
      </c>
      <c r="G109" s="5" t="s">
        <v>13</v>
      </c>
      <c r="H109" s="5" t="s">
        <v>14</v>
      </c>
      <c r="I109" s="6">
        <v>45778</v>
      </c>
      <c r="J109" s="5" t="s">
        <v>168</v>
      </c>
      <c r="K109" s="7">
        <v>1039.02</v>
      </c>
      <c r="L109" s="5">
        <v>1</v>
      </c>
      <c r="M109" s="7">
        <v>18</v>
      </c>
    </row>
    <row r="110" spans="1:13" x14ac:dyDescent="0.25">
      <c r="A110" s="5" t="s">
        <v>16</v>
      </c>
      <c r="B110" s="5" t="s">
        <v>164</v>
      </c>
      <c r="C110" s="5" t="s">
        <v>165</v>
      </c>
      <c r="D110" s="5" t="s">
        <v>180</v>
      </c>
      <c r="E110" s="5" t="s">
        <v>181</v>
      </c>
      <c r="F110" s="6">
        <v>45658</v>
      </c>
      <c r="G110" s="5" t="s">
        <v>13</v>
      </c>
      <c r="H110" s="5" t="s">
        <v>14</v>
      </c>
      <c r="I110" s="6">
        <v>45778</v>
      </c>
      <c r="J110" s="5" t="s">
        <v>168</v>
      </c>
      <c r="K110" s="7">
        <v>431.4</v>
      </c>
      <c r="L110" s="5">
        <v>1</v>
      </c>
      <c r="M110" s="7">
        <v>18</v>
      </c>
    </row>
    <row r="111" spans="1:13" x14ac:dyDescent="0.25">
      <c r="A111" s="5" t="s">
        <v>16</v>
      </c>
      <c r="B111" s="5" t="s">
        <v>164</v>
      </c>
      <c r="C111" s="5" t="s">
        <v>165</v>
      </c>
      <c r="D111" s="5" t="s">
        <v>182</v>
      </c>
      <c r="E111" s="5" t="s">
        <v>183</v>
      </c>
      <c r="F111" s="6">
        <v>45658</v>
      </c>
      <c r="G111" s="5" t="s">
        <v>13</v>
      </c>
      <c r="H111" s="5" t="s">
        <v>14</v>
      </c>
      <c r="I111" s="6">
        <v>45778</v>
      </c>
      <c r="J111" s="5" t="s">
        <v>168</v>
      </c>
      <c r="K111" s="7">
        <v>442.36</v>
      </c>
      <c r="L111" s="5">
        <v>1</v>
      </c>
      <c r="M111" s="7">
        <v>18</v>
      </c>
    </row>
    <row r="112" spans="1:13" x14ac:dyDescent="0.25">
      <c r="A112" s="5" t="s">
        <v>16</v>
      </c>
      <c r="B112" s="5" t="s">
        <v>164</v>
      </c>
      <c r="C112" s="5" t="s">
        <v>165</v>
      </c>
      <c r="D112" s="5" t="s">
        <v>184</v>
      </c>
      <c r="E112" s="5" t="s">
        <v>170</v>
      </c>
      <c r="F112" s="6">
        <v>45658</v>
      </c>
      <c r="G112" s="5" t="s">
        <v>13</v>
      </c>
      <c r="H112" s="5" t="s">
        <v>14</v>
      </c>
      <c r="I112" s="6">
        <v>45748</v>
      </c>
      <c r="J112" s="5" t="s">
        <v>168</v>
      </c>
      <c r="K112" s="7">
        <v>494.5</v>
      </c>
      <c r="L112" s="5">
        <v>1</v>
      </c>
      <c r="M112" s="7">
        <v>18</v>
      </c>
    </row>
    <row r="113" spans="1:13" x14ac:dyDescent="0.25">
      <c r="A113" s="5" t="s">
        <v>16</v>
      </c>
      <c r="B113" s="5" t="s">
        <v>164</v>
      </c>
      <c r="C113" s="5" t="s">
        <v>165</v>
      </c>
      <c r="D113" s="5" t="s">
        <v>185</v>
      </c>
      <c r="E113" s="5" t="s">
        <v>170</v>
      </c>
      <c r="F113" s="6">
        <v>45658</v>
      </c>
      <c r="G113" s="5" t="s">
        <v>13</v>
      </c>
      <c r="H113" s="5" t="s">
        <v>14</v>
      </c>
      <c r="I113" s="6">
        <v>45748</v>
      </c>
      <c r="J113" s="5" t="s">
        <v>168</v>
      </c>
      <c r="K113" s="7">
        <v>494.5</v>
      </c>
      <c r="L113" s="5">
        <v>1</v>
      </c>
      <c r="M113" s="7">
        <v>18</v>
      </c>
    </row>
    <row r="114" spans="1:13" x14ac:dyDescent="0.25">
      <c r="A114" s="5" t="s">
        <v>16</v>
      </c>
      <c r="B114" s="5" t="s">
        <v>164</v>
      </c>
      <c r="C114" s="5" t="s">
        <v>165</v>
      </c>
      <c r="D114" s="5" t="s">
        <v>186</v>
      </c>
      <c r="E114" s="5" t="s">
        <v>187</v>
      </c>
      <c r="F114" s="6">
        <v>45658</v>
      </c>
      <c r="G114" s="5" t="s">
        <v>13</v>
      </c>
      <c r="H114" s="5" t="s">
        <v>14</v>
      </c>
      <c r="I114" s="6">
        <v>45778</v>
      </c>
      <c r="J114" s="5" t="s">
        <v>168</v>
      </c>
      <c r="K114" s="7">
        <v>683</v>
      </c>
      <c r="L114" s="5">
        <v>1</v>
      </c>
      <c r="M114" s="7">
        <v>18</v>
      </c>
    </row>
    <row r="115" spans="1:13" x14ac:dyDescent="0.25">
      <c r="A115" s="5" t="s">
        <v>16</v>
      </c>
      <c r="B115" s="5" t="s">
        <v>164</v>
      </c>
      <c r="C115" s="5" t="s">
        <v>165</v>
      </c>
      <c r="D115" s="5" t="s">
        <v>188</v>
      </c>
      <c r="E115" s="5" t="s">
        <v>170</v>
      </c>
      <c r="F115" s="6">
        <v>45658</v>
      </c>
      <c r="G115" s="5" t="s">
        <v>13</v>
      </c>
      <c r="H115" s="5" t="s">
        <v>14</v>
      </c>
      <c r="I115" s="6">
        <v>45748</v>
      </c>
      <c r="J115" s="5" t="s">
        <v>168</v>
      </c>
      <c r="K115" s="7">
        <v>303.61</v>
      </c>
      <c r="L115" s="5">
        <v>1</v>
      </c>
      <c r="M115" s="7">
        <v>18</v>
      </c>
    </row>
    <row r="116" spans="1:13" x14ac:dyDescent="0.25">
      <c r="A116" s="5" t="s">
        <v>16</v>
      </c>
      <c r="B116" s="5" t="s">
        <v>164</v>
      </c>
      <c r="C116" s="5" t="s">
        <v>165</v>
      </c>
      <c r="D116" s="5" t="s">
        <v>189</v>
      </c>
      <c r="E116" s="5" t="s">
        <v>170</v>
      </c>
      <c r="F116" s="6">
        <v>45658</v>
      </c>
      <c r="G116" s="5" t="s">
        <v>13</v>
      </c>
      <c r="H116" s="5" t="s">
        <v>14</v>
      </c>
      <c r="I116" s="6">
        <v>45748</v>
      </c>
      <c r="J116" s="5" t="s">
        <v>168</v>
      </c>
      <c r="K116" s="7">
        <v>303.61</v>
      </c>
      <c r="L116" s="5">
        <v>1</v>
      </c>
      <c r="M116" s="7">
        <v>18</v>
      </c>
    </row>
    <row r="117" spans="1:13" x14ac:dyDescent="0.25">
      <c r="A117" s="5" t="s">
        <v>16</v>
      </c>
      <c r="B117" s="5" t="s">
        <v>164</v>
      </c>
      <c r="C117" s="5" t="s">
        <v>165</v>
      </c>
      <c r="D117" s="5" t="s">
        <v>190</v>
      </c>
      <c r="E117" s="5" t="s">
        <v>177</v>
      </c>
      <c r="F117" s="6">
        <v>45658</v>
      </c>
      <c r="G117" s="5" t="s">
        <v>13</v>
      </c>
      <c r="H117" s="5" t="s">
        <v>14</v>
      </c>
      <c r="I117" s="6">
        <v>45778</v>
      </c>
      <c r="J117" s="5" t="s">
        <v>168</v>
      </c>
      <c r="K117" s="7">
        <v>822.12</v>
      </c>
      <c r="L117" s="5">
        <v>1</v>
      </c>
      <c r="M117" s="7">
        <v>18</v>
      </c>
    </row>
    <row r="118" spans="1:13" x14ac:dyDescent="0.25">
      <c r="A118" s="5" t="s">
        <v>16</v>
      </c>
      <c r="B118" s="5" t="s">
        <v>164</v>
      </c>
      <c r="C118" s="5" t="s">
        <v>165</v>
      </c>
      <c r="D118" s="5" t="s">
        <v>191</v>
      </c>
      <c r="E118" s="5" t="s">
        <v>192</v>
      </c>
      <c r="F118" s="6">
        <v>45658</v>
      </c>
      <c r="G118" s="5" t="s">
        <v>13</v>
      </c>
      <c r="H118" s="5" t="s">
        <v>14</v>
      </c>
      <c r="I118" s="6">
        <v>45778</v>
      </c>
      <c r="J118" s="5" t="s">
        <v>168</v>
      </c>
      <c r="K118" s="7">
        <v>1281.6099999999999</v>
      </c>
      <c r="L118" s="5">
        <v>1</v>
      </c>
      <c r="M118" s="7">
        <v>18</v>
      </c>
    </row>
    <row r="119" spans="1:13" x14ac:dyDescent="0.25">
      <c r="A119" s="5" t="s">
        <v>16</v>
      </c>
      <c r="B119" s="5" t="s">
        <v>193</v>
      </c>
      <c r="C119" s="5" t="s">
        <v>194</v>
      </c>
      <c r="D119" s="5" t="s">
        <v>195</v>
      </c>
      <c r="E119" s="5" t="s">
        <v>196</v>
      </c>
      <c r="F119" s="6">
        <v>45658</v>
      </c>
      <c r="G119" s="5" t="s">
        <v>13</v>
      </c>
      <c r="H119" s="5" t="s">
        <v>14</v>
      </c>
      <c r="I119" s="6">
        <v>45778</v>
      </c>
      <c r="J119" s="5" t="s">
        <v>168</v>
      </c>
      <c r="K119" s="7">
        <v>822.12</v>
      </c>
      <c r="L119" s="5">
        <v>1</v>
      </c>
      <c r="M119" s="7">
        <v>18</v>
      </c>
    </row>
    <row r="120" spans="1:13" x14ac:dyDescent="0.25">
      <c r="A120" s="5" t="s">
        <v>16</v>
      </c>
      <c r="B120" s="5" t="s">
        <v>39</v>
      </c>
      <c r="C120" s="5" t="s">
        <v>40</v>
      </c>
      <c r="D120" s="5" t="s">
        <v>197</v>
      </c>
      <c r="E120" s="5" t="s">
        <v>198</v>
      </c>
      <c r="F120" s="6">
        <v>45689</v>
      </c>
      <c r="G120" s="5" t="s">
        <v>13</v>
      </c>
      <c r="H120" s="5" t="s">
        <v>14</v>
      </c>
      <c r="I120" s="6">
        <v>45778</v>
      </c>
      <c r="J120" s="5" t="s">
        <v>37</v>
      </c>
      <c r="K120" s="7">
        <v>368.5</v>
      </c>
      <c r="L120" s="5">
        <v>1</v>
      </c>
      <c r="M120" s="7">
        <v>18</v>
      </c>
    </row>
    <row r="121" spans="1:13" x14ac:dyDescent="0.25">
      <c r="A121" s="5" t="s">
        <v>16</v>
      </c>
      <c r="B121" s="5" t="s">
        <v>39</v>
      </c>
      <c r="C121" s="5" t="s">
        <v>40</v>
      </c>
      <c r="D121" s="5" t="s">
        <v>199</v>
      </c>
      <c r="E121" s="5" t="s">
        <v>200</v>
      </c>
      <c r="F121" s="6">
        <v>45658</v>
      </c>
      <c r="G121" s="5" t="s">
        <v>13</v>
      </c>
      <c r="H121" s="5" t="s">
        <v>14</v>
      </c>
      <c r="I121" s="6">
        <v>45778</v>
      </c>
      <c r="J121" s="5" t="s">
        <v>37</v>
      </c>
      <c r="K121" s="7">
        <v>1010.2</v>
      </c>
      <c r="L121" s="5">
        <v>1</v>
      </c>
      <c r="M121" s="7">
        <v>18</v>
      </c>
    </row>
    <row r="122" spans="1:13" x14ac:dyDescent="0.25">
      <c r="A122" s="5" t="s">
        <v>16</v>
      </c>
      <c r="B122" s="5" t="s">
        <v>39</v>
      </c>
      <c r="C122" s="5" t="s">
        <v>40</v>
      </c>
      <c r="D122" s="5" t="s">
        <v>201</v>
      </c>
      <c r="E122" s="5" t="s">
        <v>202</v>
      </c>
      <c r="F122" s="6">
        <v>45658</v>
      </c>
      <c r="G122" s="5" t="s">
        <v>13</v>
      </c>
      <c r="H122" s="5" t="s">
        <v>14</v>
      </c>
      <c r="I122" s="6">
        <v>45778</v>
      </c>
      <c r="J122" s="5" t="s">
        <v>37</v>
      </c>
      <c r="K122" s="7">
        <v>742.68</v>
      </c>
      <c r="L122" s="5">
        <v>1</v>
      </c>
      <c r="M122" s="7">
        <v>18</v>
      </c>
    </row>
    <row r="123" spans="1:13" x14ac:dyDescent="0.25">
      <c r="A123" s="5" t="s">
        <v>16</v>
      </c>
      <c r="B123" s="5" t="s">
        <v>39</v>
      </c>
      <c r="C123" s="5" t="s">
        <v>40</v>
      </c>
      <c r="D123" s="5" t="s">
        <v>203</v>
      </c>
      <c r="E123" s="5" t="s">
        <v>204</v>
      </c>
      <c r="F123" s="6">
        <v>45658</v>
      </c>
      <c r="G123" s="5" t="s">
        <v>13</v>
      </c>
      <c r="H123" s="5" t="s">
        <v>14</v>
      </c>
      <c r="I123" s="6">
        <v>45778</v>
      </c>
      <c r="J123" s="5" t="s">
        <v>37</v>
      </c>
      <c r="K123" s="7">
        <v>931.03</v>
      </c>
      <c r="L123" s="5">
        <v>1</v>
      </c>
      <c r="M123" s="7">
        <v>18</v>
      </c>
    </row>
    <row r="124" spans="1:13" x14ac:dyDescent="0.25">
      <c r="A124" s="5" t="s">
        <v>16</v>
      </c>
      <c r="B124" s="5" t="s">
        <v>39</v>
      </c>
      <c r="C124" s="5" t="s">
        <v>40</v>
      </c>
      <c r="D124" s="5" t="s">
        <v>205</v>
      </c>
      <c r="E124" s="5" t="s">
        <v>206</v>
      </c>
      <c r="F124" s="6">
        <v>45658</v>
      </c>
      <c r="G124" s="5" t="s">
        <v>13</v>
      </c>
      <c r="H124" s="5" t="s">
        <v>14</v>
      </c>
      <c r="I124" s="6">
        <v>45778</v>
      </c>
      <c r="J124" s="5" t="s">
        <v>37</v>
      </c>
      <c r="K124" s="7">
        <v>640.55999999999995</v>
      </c>
      <c r="L124" s="5">
        <v>1</v>
      </c>
      <c r="M124" s="7">
        <v>18</v>
      </c>
    </row>
    <row r="125" spans="1:13" x14ac:dyDescent="0.25">
      <c r="A125" s="5" t="s">
        <v>16</v>
      </c>
      <c r="B125" s="5" t="s">
        <v>39</v>
      </c>
      <c r="C125" s="5" t="s">
        <v>40</v>
      </c>
      <c r="D125" s="5" t="s">
        <v>92</v>
      </c>
      <c r="E125" s="5" t="s">
        <v>93</v>
      </c>
      <c r="F125" s="6">
        <v>45658</v>
      </c>
      <c r="G125" s="5" t="s">
        <v>13</v>
      </c>
      <c r="H125" s="5" t="s">
        <v>14</v>
      </c>
      <c r="I125" s="6">
        <v>45778</v>
      </c>
      <c r="J125" s="5" t="s">
        <v>37</v>
      </c>
      <c r="K125" s="7">
        <v>364.06</v>
      </c>
      <c r="L125" s="5">
        <v>1</v>
      </c>
      <c r="M125" s="7">
        <v>18</v>
      </c>
    </row>
    <row r="126" spans="1:13" x14ac:dyDescent="0.25">
      <c r="A126" s="5" t="s">
        <v>16</v>
      </c>
      <c r="B126" s="5" t="s">
        <v>39</v>
      </c>
      <c r="C126" s="5" t="s">
        <v>40</v>
      </c>
      <c r="D126" s="5" t="s">
        <v>207</v>
      </c>
      <c r="E126" s="5" t="s">
        <v>208</v>
      </c>
      <c r="F126" s="6">
        <v>45658</v>
      </c>
      <c r="G126" s="5" t="s">
        <v>13</v>
      </c>
      <c r="H126" s="5" t="s">
        <v>14</v>
      </c>
      <c r="I126" s="6">
        <v>45778</v>
      </c>
      <c r="J126" s="5" t="s">
        <v>37</v>
      </c>
      <c r="K126" s="7">
        <v>956.82</v>
      </c>
      <c r="L126" s="5">
        <v>1</v>
      </c>
      <c r="M126" s="7">
        <v>18</v>
      </c>
    </row>
    <row r="127" spans="1:13" x14ac:dyDescent="0.25">
      <c r="A127" s="5" t="s">
        <v>16</v>
      </c>
      <c r="B127" s="5" t="s">
        <v>39</v>
      </c>
      <c r="C127" s="5" t="s">
        <v>40</v>
      </c>
      <c r="D127" s="5" t="s">
        <v>209</v>
      </c>
      <c r="E127" s="5" t="s">
        <v>210</v>
      </c>
      <c r="F127" s="6">
        <v>45778</v>
      </c>
      <c r="G127" s="5" t="s">
        <v>13</v>
      </c>
      <c r="H127" s="5" t="s">
        <v>14</v>
      </c>
      <c r="I127" s="6">
        <v>45778</v>
      </c>
      <c r="J127" s="5" t="s">
        <v>37</v>
      </c>
      <c r="K127" s="7">
        <v>1010.2</v>
      </c>
      <c r="L127" s="5">
        <v>1</v>
      </c>
      <c r="M127" s="7">
        <v>18</v>
      </c>
    </row>
    <row r="128" spans="1:13" x14ac:dyDescent="0.25">
      <c r="A128" s="5" t="s">
        <v>16</v>
      </c>
      <c r="B128" s="5" t="s">
        <v>39</v>
      </c>
      <c r="C128" s="5" t="s">
        <v>40</v>
      </c>
      <c r="D128" s="5" t="s">
        <v>211</v>
      </c>
      <c r="E128" s="5" t="s">
        <v>212</v>
      </c>
      <c r="F128" s="6">
        <v>45658</v>
      </c>
      <c r="G128" s="5" t="s">
        <v>13</v>
      </c>
      <c r="H128" s="5" t="s">
        <v>14</v>
      </c>
      <c r="I128" s="6">
        <v>45778</v>
      </c>
      <c r="J128" s="5" t="s">
        <v>37</v>
      </c>
      <c r="K128" s="7">
        <v>778.41</v>
      </c>
      <c r="L128" s="5">
        <v>1</v>
      </c>
      <c r="M128" s="7">
        <v>18</v>
      </c>
    </row>
    <row r="129" spans="1:13" x14ac:dyDescent="0.25">
      <c r="A129" s="5" t="s">
        <v>16</v>
      </c>
      <c r="B129" s="5" t="s">
        <v>39</v>
      </c>
      <c r="C129" s="5" t="s">
        <v>40</v>
      </c>
      <c r="D129" s="5" t="s">
        <v>213</v>
      </c>
      <c r="E129" s="5" t="s">
        <v>214</v>
      </c>
      <c r="F129" s="6">
        <v>45658</v>
      </c>
      <c r="G129" s="5" t="s">
        <v>13</v>
      </c>
      <c r="H129" s="5" t="s">
        <v>14</v>
      </c>
      <c r="I129" s="6">
        <v>45778</v>
      </c>
      <c r="J129" s="5" t="s">
        <v>37</v>
      </c>
      <c r="K129" s="7">
        <v>524.9</v>
      </c>
      <c r="L129" s="5">
        <v>1</v>
      </c>
      <c r="M129" s="7">
        <v>18</v>
      </c>
    </row>
    <row r="130" spans="1:13" x14ac:dyDescent="0.25">
      <c r="A130" s="5" t="s">
        <v>16</v>
      </c>
      <c r="B130" s="5" t="s">
        <v>39</v>
      </c>
      <c r="C130" s="5" t="s">
        <v>40</v>
      </c>
      <c r="D130" s="5" t="s">
        <v>94</v>
      </c>
      <c r="E130" s="5" t="s">
        <v>93</v>
      </c>
      <c r="F130" s="6">
        <v>45658</v>
      </c>
      <c r="G130" s="5" t="s">
        <v>13</v>
      </c>
      <c r="H130" s="5" t="s">
        <v>14</v>
      </c>
      <c r="I130" s="6">
        <v>45778</v>
      </c>
      <c r="J130" s="5" t="s">
        <v>37</v>
      </c>
      <c r="K130" s="7">
        <v>256.22000000000003</v>
      </c>
      <c r="L130" s="5">
        <v>1</v>
      </c>
      <c r="M130" s="7">
        <v>18</v>
      </c>
    </row>
    <row r="131" spans="1:13" x14ac:dyDescent="0.25">
      <c r="A131" s="5" t="s">
        <v>16</v>
      </c>
      <c r="B131" s="5" t="s">
        <v>39</v>
      </c>
      <c r="C131" s="5" t="s">
        <v>40</v>
      </c>
      <c r="D131" s="5" t="s">
        <v>112</v>
      </c>
      <c r="E131" s="5" t="s">
        <v>113</v>
      </c>
      <c r="F131" s="6">
        <v>45658</v>
      </c>
      <c r="G131" s="5" t="s">
        <v>13</v>
      </c>
      <c r="H131" s="5" t="s">
        <v>14</v>
      </c>
      <c r="I131" s="6">
        <v>45778</v>
      </c>
      <c r="J131" s="5" t="s">
        <v>37</v>
      </c>
      <c r="K131" s="7">
        <v>1029.3599999999999</v>
      </c>
      <c r="L131" s="5">
        <v>1</v>
      </c>
      <c r="M131" s="7">
        <v>18</v>
      </c>
    </row>
    <row r="132" spans="1:13" x14ac:dyDescent="0.25">
      <c r="A132" s="5" t="s">
        <v>16</v>
      </c>
      <c r="B132" s="5" t="s">
        <v>39</v>
      </c>
      <c r="C132" s="5" t="s">
        <v>40</v>
      </c>
      <c r="D132" s="5" t="s">
        <v>215</v>
      </c>
      <c r="E132" s="5" t="s">
        <v>216</v>
      </c>
      <c r="F132" s="6">
        <v>45689</v>
      </c>
      <c r="G132" s="5" t="s">
        <v>13</v>
      </c>
      <c r="H132" s="5" t="s">
        <v>14</v>
      </c>
      <c r="I132" s="6">
        <v>45778</v>
      </c>
      <c r="J132" s="5" t="s">
        <v>37</v>
      </c>
      <c r="K132" s="7">
        <v>426.11</v>
      </c>
      <c r="L132" s="5">
        <v>1</v>
      </c>
      <c r="M132" s="7">
        <v>18</v>
      </c>
    </row>
    <row r="133" spans="1:13" x14ac:dyDescent="0.25">
      <c r="A133" s="5" t="s">
        <v>16</v>
      </c>
      <c r="B133" s="5" t="s">
        <v>39</v>
      </c>
      <c r="C133" s="5" t="s">
        <v>40</v>
      </c>
      <c r="D133" s="5" t="s">
        <v>217</v>
      </c>
      <c r="E133" s="5" t="s">
        <v>218</v>
      </c>
      <c r="F133" s="6">
        <v>45717</v>
      </c>
      <c r="G133" s="5" t="s">
        <v>13</v>
      </c>
      <c r="H133" s="5" t="s">
        <v>14</v>
      </c>
      <c r="I133" s="6">
        <v>45778</v>
      </c>
      <c r="J133" s="5" t="s">
        <v>37</v>
      </c>
      <c r="K133" s="7">
        <v>776.98</v>
      </c>
      <c r="L133" s="5">
        <v>1</v>
      </c>
      <c r="M133" s="7">
        <v>18</v>
      </c>
    </row>
    <row r="134" spans="1:13" x14ac:dyDescent="0.25">
      <c r="A134" s="5" t="s">
        <v>16</v>
      </c>
      <c r="B134" s="5" t="s">
        <v>39</v>
      </c>
      <c r="C134" s="5" t="s">
        <v>40</v>
      </c>
      <c r="D134" s="5" t="s">
        <v>219</v>
      </c>
      <c r="E134" s="5" t="s">
        <v>220</v>
      </c>
      <c r="F134" s="6">
        <v>45658</v>
      </c>
      <c r="G134" s="5" t="s">
        <v>13</v>
      </c>
      <c r="H134" s="5" t="s">
        <v>14</v>
      </c>
      <c r="I134" s="6">
        <v>45778</v>
      </c>
      <c r="J134" s="5" t="s">
        <v>37</v>
      </c>
      <c r="K134" s="7">
        <v>346.88</v>
      </c>
      <c r="L134" s="5">
        <v>1</v>
      </c>
      <c r="M134" s="7">
        <v>18</v>
      </c>
    </row>
    <row r="135" spans="1:13" x14ac:dyDescent="0.25">
      <c r="A135" s="5" t="s">
        <v>16</v>
      </c>
      <c r="B135" s="5" t="s">
        <v>39</v>
      </c>
      <c r="C135" s="5" t="s">
        <v>40</v>
      </c>
      <c r="D135" s="5" t="s">
        <v>221</v>
      </c>
      <c r="E135" s="5" t="s">
        <v>206</v>
      </c>
      <c r="F135" s="6">
        <v>45658</v>
      </c>
      <c r="G135" s="5" t="s">
        <v>13</v>
      </c>
      <c r="H135" s="5" t="s">
        <v>14</v>
      </c>
      <c r="I135" s="6">
        <v>45778</v>
      </c>
      <c r="J135" s="5" t="s">
        <v>37</v>
      </c>
      <c r="K135" s="7">
        <v>397.54</v>
      </c>
      <c r="L135" s="5">
        <v>1</v>
      </c>
      <c r="M135" s="7">
        <v>18</v>
      </c>
    </row>
    <row r="136" spans="1:13" x14ac:dyDescent="0.25">
      <c r="A136" s="5" t="s">
        <v>16</v>
      </c>
      <c r="B136" s="5" t="s">
        <v>39</v>
      </c>
      <c r="C136" s="5" t="s">
        <v>40</v>
      </c>
      <c r="D136" s="5" t="s">
        <v>222</v>
      </c>
      <c r="E136" s="5" t="s">
        <v>223</v>
      </c>
      <c r="F136" s="6">
        <v>45748</v>
      </c>
      <c r="G136" s="5" t="s">
        <v>13</v>
      </c>
      <c r="H136" s="5" t="s">
        <v>14</v>
      </c>
      <c r="I136" s="6">
        <v>45748</v>
      </c>
      <c r="J136" s="5" t="s">
        <v>37</v>
      </c>
      <c r="K136" s="7">
        <v>330.87</v>
      </c>
      <c r="L136" s="5">
        <v>1</v>
      </c>
      <c r="M136" s="7">
        <v>18</v>
      </c>
    </row>
    <row r="137" spans="1:13" x14ac:dyDescent="0.25">
      <c r="A137" s="5" t="s">
        <v>16</v>
      </c>
      <c r="B137" s="5" t="s">
        <v>39</v>
      </c>
      <c r="C137" s="5" t="s">
        <v>40</v>
      </c>
      <c r="D137" s="5" t="s">
        <v>222</v>
      </c>
      <c r="E137" s="5" t="s">
        <v>223</v>
      </c>
      <c r="F137" s="6">
        <v>45748</v>
      </c>
      <c r="G137" s="5" t="s">
        <v>13</v>
      </c>
      <c r="H137" s="5" t="s">
        <v>14</v>
      </c>
      <c r="I137" s="6">
        <v>45778</v>
      </c>
      <c r="J137" s="5" t="s">
        <v>37</v>
      </c>
      <c r="K137" s="7">
        <v>330.87</v>
      </c>
      <c r="L137" s="5">
        <v>1</v>
      </c>
      <c r="M137" s="7">
        <v>18</v>
      </c>
    </row>
    <row r="138" spans="1:13" x14ac:dyDescent="0.25">
      <c r="A138" s="5" t="s">
        <v>16</v>
      </c>
      <c r="B138" s="5" t="s">
        <v>39</v>
      </c>
      <c r="C138" s="5" t="s">
        <v>40</v>
      </c>
      <c r="D138" s="5" t="s">
        <v>224</v>
      </c>
      <c r="E138" s="5" t="s">
        <v>225</v>
      </c>
      <c r="F138" s="6">
        <v>45627</v>
      </c>
      <c r="G138" s="5" t="s">
        <v>13</v>
      </c>
      <c r="H138" s="5" t="s">
        <v>14</v>
      </c>
      <c r="I138" s="6">
        <v>45778</v>
      </c>
      <c r="J138" s="5" t="s">
        <v>37</v>
      </c>
      <c r="K138" s="7">
        <v>250.16</v>
      </c>
      <c r="L138" s="5">
        <v>1</v>
      </c>
      <c r="M138" s="7">
        <v>18</v>
      </c>
    </row>
    <row r="139" spans="1:13" x14ac:dyDescent="0.25">
      <c r="A139" s="5" t="s">
        <v>16</v>
      </c>
      <c r="B139" s="5" t="s">
        <v>39</v>
      </c>
      <c r="C139" s="5" t="s">
        <v>40</v>
      </c>
      <c r="D139" s="5" t="s">
        <v>86</v>
      </c>
      <c r="E139" s="5" t="s">
        <v>87</v>
      </c>
      <c r="F139" s="6">
        <v>45658</v>
      </c>
      <c r="G139" s="5" t="s">
        <v>13</v>
      </c>
      <c r="H139" s="5" t="s">
        <v>14</v>
      </c>
      <c r="I139" s="6">
        <v>45778</v>
      </c>
      <c r="J139" s="5" t="s">
        <v>37</v>
      </c>
      <c r="K139" s="7">
        <v>731.17</v>
      </c>
      <c r="L139" s="5">
        <v>1</v>
      </c>
      <c r="M139" s="7">
        <v>18</v>
      </c>
    </row>
    <row r="140" spans="1:13" x14ac:dyDescent="0.25">
      <c r="A140" s="5" t="s">
        <v>16</v>
      </c>
      <c r="B140" s="5" t="s">
        <v>39</v>
      </c>
      <c r="C140" s="5" t="s">
        <v>40</v>
      </c>
      <c r="D140" s="5" t="s">
        <v>226</v>
      </c>
      <c r="E140" s="5" t="s">
        <v>227</v>
      </c>
      <c r="F140" s="6">
        <v>45658</v>
      </c>
      <c r="G140" s="5" t="s">
        <v>13</v>
      </c>
      <c r="H140" s="5" t="s">
        <v>14</v>
      </c>
      <c r="I140" s="6">
        <v>45778</v>
      </c>
      <c r="J140" s="5" t="s">
        <v>37</v>
      </c>
      <c r="K140" s="7">
        <v>414.97</v>
      </c>
      <c r="L140" s="5">
        <v>1</v>
      </c>
      <c r="M140" s="7">
        <v>18</v>
      </c>
    </row>
    <row r="141" spans="1:13" x14ac:dyDescent="0.25">
      <c r="A141" s="5" t="s">
        <v>16</v>
      </c>
      <c r="B141" s="5" t="s">
        <v>39</v>
      </c>
      <c r="C141" s="5" t="s">
        <v>40</v>
      </c>
      <c r="D141" s="5" t="s">
        <v>228</v>
      </c>
      <c r="E141" s="5" t="s">
        <v>229</v>
      </c>
      <c r="F141" s="6">
        <v>45689</v>
      </c>
      <c r="G141" s="5" t="s">
        <v>13</v>
      </c>
      <c r="H141" s="5" t="s">
        <v>14</v>
      </c>
      <c r="I141" s="6">
        <v>45778</v>
      </c>
      <c r="J141" s="5" t="s">
        <v>37</v>
      </c>
      <c r="K141" s="7">
        <v>889.56</v>
      </c>
      <c r="L141" s="5">
        <v>1</v>
      </c>
      <c r="M141" s="7">
        <v>18</v>
      </c>
    </row>
    <row r="142" spans="1:13" x14ac:dyDescent="0.25">
      <c r="A142" s="5" t="s">
        <v>16</v>
      </c>
      <c r="B142" s="5" t="s">
        <v>39</v>
      </c>
      <c r="C142" s="5" t="s">
        <v>40</v>
      </c>
      <c r="D142" s="5" t="s">
        <v>230</v>
      </c>
      <c r="E142" s="5" t="s">
        <v>231</v>
      </c>
      <c r="F142" s="6">
        <v>45717</v>
      </c>
      <c r="G142" s="5" t="s">
        <v>13</v>
      </c>
      <c r="H142" s="5" t="s">
        <v>14</v>
      </c>
      <c r="I142" s="6">
        <v>45778</v>
      </c>
      <c r="J142" s="5" t="s">
        <v>37</v>
      </c>
      <c r="K142" s="7">
        <v>900.41</v>
      </c>
      <c r="L142" s="5">
        <v>1</v>
      </c>
      <c r="M142" s="7">
        <v>18</v>
      </c>
    </row>
    <row r="143" spans="1:13" x14ac:dyDescent="0.25">
      <c r="A143" s="5" t="s">
        <v>16</v>
      </c>
      <c r="B143" s="5" t="s">
        <v>39</v>
      </c>
      <c r="C143" s="5" t="s">
        <v>40</v>
      </c>
      <c r="D143" s="5" t="s">
        <v>232</v>
      </c>
      <c r="E143" s="5" t="s">
        <v>233</v>
      </c>
      <c r="F143" s="6">
        <v>45658</v>
      </c>
      <c r="G143" s="5" t="s">
        <v>13</v>
      </c>
      <c r="H143" s="5" t="s">
        <v>14</v>
      </c>
      <c r="I143" s="6">
        <v>45778</v>
      </c>
      <c r="J143" s="5" t="s">
        <v>37</v>
      </c>
      <c r="K143" s="7">
        <v>747.56</v>
      </c>
      <c r="L143" s="5">
        <v>1</v>
      </c>
      <c r="M143" s="7">
        <v>18</v>
      </c>
    </row>
    <row r="144" spans="1:13" x14ac:dyDescent="0.25">
      <c r="A144" s="5" t="s">
        <v>16</v>
      </c>
      <c r="B144" s="5" t="s">
        <v>39</v>
      </c>
      <c r="C144" s="5" t="s">
        <v>40</v>
      </c>
      <c r="D144" s="5" t="s">
        <v>234</v>
      </c>
      <c r="E144" s="5" t="s">
        <v>227</v>
      </c>
      <c r="F144" s="6">
        <v>45658</v>
      </c>
      <c r="G144" s="5" t="s">
        <v>13</v>
      </c>
      <c r="H144" s="5" t="s">
        <v>14</v>
      </c>
      <c r="I144" s="6">
        <v>45778</v>
      </c>
      <c r="J144" s="5" t="s">
        <v>37</v>
      </c>
      <c r="K144" s="7">
        <v>254.78</v>
      </c>
      <c r="L144" s="5">
        <v>1</v>
      </c>
      <c r="M144" s="7">
        <v>18</v>
      </c>
    </row>
    <row r="145" spans="1:13" x14ac:dyDescent="0.25">
      <c r="A145" s="5" t="s">
        <v>16</v>
      </c>
      <c r="B145" s="5" t="s">
        <v>39</v>
      </c>
      <c r="C145" s="5" t="s">
        <v>40</v>
      </c>
      <c r="D145" s="5" t="s">
        <v>235</v>
      </c>
      <c r="E145" s="5" t="s">
        <v>210</v>
      </c>
      <c r="F145" s="6">
        <v>45778</v>
      </c>
      <c r="G145" s="5" t="s">
        <v>13</v>
      </c>
      <c r="H145" s="5" t="s">
        <v>14</v>
      </c>
      <c r="I145" s="6">
        <v>45778</v>
      </c>
      <c r="J145" s="5" t="s">
        <v>37</v>
      </c>
      <c r="K145" s="7">
        <v>1010.2</v>
      </c>
      <c r="L145" s="5">
        <v>1</v>
      </c>
      <c r="M145" s="7">
        <v>18</v>
      </c>
    </row>
    <row r="146" spans="1:13" x14ac:dyDescent="0.25">
      <c r="A146" s="5" t="s">
        <v>16</v>
      </c>
      <c r="B146" s="5" t="s">
        <v>39</v>
      </c>
      <c r="C146" s="5" t="s">
        <v>40</v>
      </c>
      <c r="D146" s="5" t="s">
        <v>236</v>
      </c>
      <c r="E146" s="5" t="s">
        <v>225</v>
      </c>
      <c r="F146" s="6">
        <v>45627</v>
      </c>
      <c r="G146" s="5" t="s">
        <v>13</v>
      </c>
      <c r="H146" s="5" t="s">
        <v>14</v>
      </c>
      <c r="I146" s="6">
        <v>45778</v>
      </c>
      <c r="J146" s="5" t="s">
        <v>37</v>
      </c>
      <c r="K146" s="7">
        <v>250.16</v>
      </c>
      <c r="L146" s="5">
        <v>1</v>
      </c>
      <c r="M146" s="7">
        <v>18</v>
      </c>
    </row>
    <row r="147" spans="1:13" x14ac:dyDescent="0.25">
      <c r="A147" s="5" t="s">
        <v>16</v>
      </c>
      <c r="B147" s="5" t="s">
        <v>39</v>
      </c>
      <c r="C147" s="5" t="s">
        <v>40</v>
      </c>
      <c r="D147" s="5" t="s">
        <v>237</v>
      </c>
      <c r="E147" s="5" t="s">
        <v>229</v>
      </c>
      <c r="F147" s="6">
        <v>45689</v>
      </c>
      <c r="G147" s="5" t="s">
        <v>13</v>
      </c>
      <c r="H147" s="5" t="s">
        <v>14</v>
      </c>
      <c r="I147" s="6">
        <v>45778</v>
      </c>
      <c r="J147" s="5" t="s">
        <v>37</v>
      </c>
      <c r="K147" s="7">
        <v>934.51</v>
      </c>
      <c r="L147" s="5">
        <v>1</v>
      </c>
      <c r="M147" s="7">
        <v>18</v>
      </c>
    </row>
    <row r="148" spans="1:13" x14ac:dyDescent="0.25">
      <c r="A148" s="5" t="s">
        <v>16</v>
      </c>
      <c r="B148" s="5" t="s">
        <v>39</v>
      </c>
      <c r="C148" s="5" t="s">
        <v>40</v>
      </c>
      <c r="D148" s="5" t="s">
        <v>118</v>
      </c>
      <c r="E148" s="5" t="s">
        <v>119</v>
      </c>
      <c r="F148" s="6">
        <v>45689</v>
      </c>
      <c r="G148" s="5" t="s">
        <v>13</v>
      </c>
      <c r="H148" s="5" t="s">
        <v>14</v>
      </c>
      <c r="I148" s="6">
        <v>45778</v>
      </c>
      <c r="J148" s="5" t="s">
        <v>37</v>
      </c>
      <c r="K148" s="7">
        <v>429.19</v>
      </c>
      <c r="L148" s="5">
        <v>1</v>
      </c>
      <c r="M148" s="7">
        <v>18</v>
      </c>
    </row>
    <row r="149" spans="1:13" x14ac:dyDescent="0.25">
      <c r="A149" s="5" t="s">
        <v>16</v>
      </c>
      <c r="B149" s="5" t="s">
        <v>39</v>
      </c>
      <c r="C149" s="5" t="s">
        <v>40</v>
      </c>
      <c r="D149" s="5" t="s">
        <v>238</v>
      </c>
      <c r="E149" s="5" t="s">
        <v>239</v>
      </c>
      <c r="F149" s="6">
        <v>45689</v>
      </c>
      <c r="G149" s="5" t="s">
        <v>13</v>
      </c>
      <c r="H149" s="5" t="s">
        <v>14</v>
      </c>
      <c r="I149" s="6">
        <v>45778</v>
      </c>
      <c r="J149" s="5" t="s">
        <v>37</v>
      </c>
      <c r="K149" s="7">
        <v>429.19</v>
      </c>
      <c r="L149" s="5">
        <v>1</v>
      </c>
      <c r="M149" s="7">
        <v>18</v>
      </c>
    </row>
    <row r="150" spans="1:13" x14ac:dyDescent="0.25">
      <c r="A150" s="5" t="s">
        <v>16</v>
      </c>
      <c r="B150" s="5" t="s">
        <v>39</v>
      </c>
      <c r="C150" s="5" t="s">
        <v>40</v>
      </c>
      <c r="D150" s="5" t="s">
        <v>99</v>
      </c>
      <c r="E150" s="5" t="s">
        <v>100</v>
      </c>
      <c r="F150" s="6">
        <v>45658</v>
      </c>
      <c r="G150" s="5" t="s">
        <v>13</v>
      </c>
      <c r="H150" s="5" t="s">
        <v>14</v>
      </c>
      <c r="I150" s="6">
        <v>45778</v>
      </c>
      <c r="J150" s="5" t="s">
        <v>37</v>
      </c>
      <c r="K150" s="7">
        <v>943.68</v>
      </c>
      <c r="L150" s="5">
        <v>1</v>
      </c>
      <c r="M150" s="7">
        <v>18</v>
      </c>
    </row>
    <row r="151" spans="1:13" x14ac:dyDescent="0.25">
      <c r="A151" s="5" t="s">
        <v>16</v>
      </c>
      <c r="B151" s="5" t="s">
        <v>39</v>
      </c>
      <c r="C151" s="5" t="s">
        <v>40</v>
      </c>
      <c r="D151" s="5" t="s">
        <v>240</v>
      </c>
      <c r="E151" s="5" t="s">
        <v>241</v>
      </c>
      <c r="F151" s="6">
        <v>45658</v>
      </c>
      <c r="G151" s="5" t="s">
        <v>13</v>
      </c>
      <c r="H151" s="5" t="s">
        <v>14</v>
      </c>
      <c r="I151" s="6">
        <v>45778</v>
      </c>
      <c r="J151" s="5" t="s">
        <v>37</v>
      </c>
      <c r="K151" s="7">
        <v>1148.93</v>
      </c>
      <c r="L151" s="5">
        <v>1</v>
      </c>
      <c r="M151" s="7">
        <v>18</v>
      </c>
    </row>
    <row r="152" spans="1:13" x14ac:dyDescent="0.25">
      <c r="A152" s="5" t="s">
        <v>16</v>
      </c>
      <c r="B152" s="5" t="s">
        <v>39</v>
      </c>
      <c r="C152" s="5" t="s">
        <v>40</v>
      </c>
      <c r="D152" s="5" t="s">
        <v>62</v>
      </c>
      <c r="E152" s="5" t="s">
        <v>63</v>
      </c>
      <c r="F152" s="6">
        <v>45658</v>
      </c>
      <c r="G152" s="5" t="s">
        <v>13</v>
      </c>
      <c r="H152" s="5" t="s">
        <v>14</v>
      </c>
      <c r="I152" s="6">
        <v>45778</v>
      </c>
      <c r="J152" s="5" t="s">
        <v>37</v>
      </c>
      <c r="K152" s="7">
        <v>474.86</v>
      </c>
      <c r="L152" s="5">
        <v>1</v>
      </c>
      <c r="M152" s="7">
        <v>18</v>
      </c>
    </row>
    <row r="153" spans="1:13" x14ac:dyDescent="0.25">
      <c r="A153" s="5" t="s">
        <v>16</v>
      </c>
      <c r="B153" s="5" t="s">
        <v>39</v>
      </c>
      <c r="C153" s="5" t="s">
        <v>40</v>
      </c>
      <c r="D153" s="5" t="s">
        <v>242</v>
      </c>
      <c r="E153" s="5" t="s">
        <v>243</v>
      </c>
      <c r="F153" s="6">
        <v>45658</v>
      </c>
      <c r="G153" s="5" t="s">
        <v>13</v>
      </c>
      <c r="H153" s="5" t="s">
        <v>14</v>
      </c>
      <c r="I153" s="6">
        <v>45778</v>
      </c>
      <c r="J153" s="5" t="s">
        <v>37</v>
      </c>
      <c r="K153" s="7">
        <v>790.22</v>
      </c>
      <c r="L153" s="5">
        <v>1</v>
      </c>
      <c r="M153" s="7">
        <v>18</v>
      </c>
    </row>
    <row r="154" spans="1:13" x14ac:dyDescent="0.25">
      <c r="A154" s="5" t="s">
        <v>16</v>
      </c>
      <c r="B154" s="5" t="s">
        <v>39</v>
      </c>
      <c r="C154" s="5" t="s">
        <v>40</v>
      </c>
      <c r="D154" s="5" t="s">
        <v>244</v>
      </c>
      <c r="E154" s="5" t="s">
        <v>245</v>
      </c>
      <c r="F154" s="6">
        <v>45689</v>
      </c>
      <c r="G154" s="5" t="s">
        <v>13</v>
      </c>
      <c r="H154" s="5" t="s">
        <v>14</v>
      </c>
      <c r="I154" s="6">
        <v>45778</v>
      </c>
      <c r="J154" s="5" t="s">
        <v>37</v>
      </c>
      <c r="K154" s="7">
        <v>1037.98</v>
      </c>
      <c r="L154" s="5">
        <v>1</v>
      </c>
      <c r="M154" s="7">
        <v>18</v>
      </c>
    </row>
    <row r="155" spans="1:13" x14ac:dyDescent="0.25">
      <c r="A155" s="5" t="s">
        <v>16</v>
      </c>
      <c r="B155" s="5" t="s">
        <v>39</v>
      </c>
      <c r="C155" s="5" t="s">
        <v>40</v>
      </c>
      <c r="D155" s="5" t="s">
        <v>246</v>
      </c>
      <c r="E155" s="5" t="s">
        <v>233</v>
      </c>
      <c r="F155" s="6">
        <v>45658</v>
      </c>
      <c r="G155" s="5" t="s">
        <v>13</v>
      </c>
      <c r="H155" s="5" t="s">
        <v>14</v>
      </c>
      <c r="I155" s="6">
        <v>45778</v>
      </c>
      <c r="J155" s="5" t="s">
        <v>37</v>
      </c>
      <c r="K155" s="7">
        <v>780.89</v>
      </c>
      <c r="L155" s="5">
        <v>1</v>
      </c>
      <c r="M155" s="7">
        <v>18</v>
      </c>
    </row>
    <row r="156" spans="1:13" x14ac:dyDescent="0.25">
      <c r="A156" s="5" t="s">
        <v>16</v>
      </c>
      <c r="B156" s="5" t="s">
        <v>39</v>
      </c>
      <c r="C156" s="5" t="s">
        <v>40</v>
      </c>
      <c r="D156" s="5" t="s">
        <v>247</v>
      </c>
      <c r="E156" s="5" t="s">
        <v>248</v>
      </c>
      <c r="F156" s="6">
        <v>45658</v>
      </c>
      <c r="G156" s="5" t="s">
        <v>13</v>
      </c>
      <c r="H156" s="5" t="s">
        <v>14</v>
      </c>
      <c r="I156" s="6">
        <v>45778</v>
      </c>
      <c r="J156" s="5" t="s">
        <v>37</v>
      </c>
      <c r="K156" s="7">
        <v>870.93</v>
      </c>
      <c r="L156" s="5">
        <v>1</v>
      </c>
      <c r="M156" s="7">
        <v>18</v>
      </c>
    </row>
    <row r="157" spans="1:13" x14ac:dyDescent="0.25">
      <c r="A157" s="5" t="s">
        <v>16</v>
      </c>
      <c r="B157" s="5" t="s">
        <v>39</v>
      </c>
      <c r="C157" s="5" t="s">
        <v>40</v>
      </c>
      <c r="D157" s="5" t="s">
        <v>249</v>
      </c>
      <c r="E157" s="5" t="s">
        <v>250</v>
      </c>
      <c r="F157" s="6">
        <v>45566</v>
      </c>
      <c r="G157" s="5" t="s">
        <v>13</v>
      </c>
      <c r="H157" s="5" t="s">
        <v>14</v>
      </c>
      <c r="I157" s="6">
        <v>45778</v>
      </c>
      <c r="J157" s="5" t="s">
        <v>37</v>
      </c>
      <c r="K157" s="7">
        <v>254.78</v>
      </c>
      <c r="L157" s="5">
        <v>1</v>
      </c>
      <c r="M157" s="7">
        <v>18</v>
      </c>
    </row>
    <row r="158" spans="1:13" x14ac:dyDescent="0.25">
      <c r="A158" s="5" t="s">
        <v>16</v>
      </c>
      <c r="B158" s="5" t="s">
        <v>39</v>
      </c>
      <c r="C158" s="5" t="s">
        <v>40</v>
      </c>
      <c r="D158" s="5" t="s">
        <v>251</v>
      </c>
      <c r="E158" s="5" t="s">
        <v>252</v>
      </c>
      <c r="F158" s="6">
        <v>45658</v>
      </c>
      <c r="G158" s="5" t="s">
        <v>13</v>
      </c>
      <c r="H158" s="5" t="s">
        <v>14</v>
      </c>
      <c r="I158" s="6">
        <v>45778</v>
      </c>
      <c r="J158" s="5" t="s">
        <v>37</v>
      </c>
      <c r="K158" s="7">
        <v>223.19</v>
      </c>
      <c r="L158" s="5">
        <v>1</v>
      </c>
      <c r="M158" s="7">
        <v>18</v>
      </c>
    </row>
    <row r="159" spans="1:13" x14ac:dyDescent="0.25">
      <c r="A159" s="5" t="s">
        <v>16</v>
      </c>
      <c r="B159" s="5" t="s">
        <v>39</v>
      </c>
      <c r="C159" s="5" t="s">
        <v>40</v>
      </c>
      <c r="D159" s="5" t="s">
        <v>253</v>
      </c>
      <c r="E159" s="5" t="s">
        <v>254</v>
      </c>
      <c r="F159" s="6">
        <v>45689</v>
      </c>
      <c r="G159" s="5" t="s">
        <v>13</v>
      </c>
      <c r="H159" s="5" t="s">
        <v>14</v>
      </c>
      <c r="I159" s="6">
        <v>45778</v>
      </c>
      <c r="J159" s="5" t="s">
        <v>37</v>
      </c>
      <c r="K159" s="7">
        <v>765.96</v>
      </c>
      <c r="L159" s="5">
        <v>1</v>
      </c>
      <c r="M159" s="7">
        <v>18</v>
      </c>
    </row>
    <row r="160" spans="1:13" x14ac:dyDescent="0.25">
      <c r="A160" s="5" t="s">
        <v>16</v>
      </c>
      <c r="B160" s="5" t="s">
        <v>39</v>
      </c>
      <c r="C160" s="5" t="s">
        <v>40</v>
      </c>
      <c r="D160" s="5" t="s">
        <v>255</v>
      </c>
      <c r="E160" s="5" t="s">
        <v>256</v>
      </c>
      <c r="F160" s="6">
        <v>45717</v>
      </c>
      <c r="G160" s="5" t="s">
        <v>13</v>
      </c>
      <c r="H160" s="5" t="s">
        <v>14</v>
      </c>
      <c r="I160" s="6">
        <v>45778</v>
      </c>
      <c r="J160" s="5" t="s">
        <v>37</v>
      </c>
      <c r="K160" s="7">
        <v>277.42</v>
      </c>
      <c r="L160" s="5">
        <v>1</v>
      </c>
      <c r="M160" s="7">
        <v>18</v>
      </c>
    </row>
    <row r="161" spans="1:13" x14ac:dyDescent="0.25">
      <c r="A161" s="5" t="s">
        <v>16</v>
      </c>
      <c r="B161" s="5" t="s">
        <v>39</v>
      </c>
      <c r="C161" s="5" t="s">
        <v>40</v>
      </c>
      <c r="D161" s="5" t="s">
        <v>257</v>
      </c>
      <c r="E161" s="5" t="s">
        <v>258</v>
      </c>
      <c r="F161" s="6">
        <v>45658</v>
      </c>
      <c r="G161" s="5" t="s">
        <v>13</v>
      </c>
      <c r="H161" s="5" t="s">
        <v>14</v>
      </c>
      <c r="I161" s="6">
        <v>45778</v>
      </c>
      <c r="J161" s="5" t="s">
        <v>37</v>
      </c>
      <c r="K161" s="7">
        <v>568.16999999999996</v>
      </c>
      <c r="L161" s="5">
        <v>1</v>
      </c>
      <c r="M161" s="7">
        <v>18</v>
      </c>
    </row>
    <row r="162" spans="1:13" x14ac:dyDescent="0.25">
      <c r="A162" s="5" t="s">
        <v>16</v>
      </c>
      <c r="B162" s="5" t="s">
        <v>39</v>
      </c>
      <c r="C162" s="5" t="s">
        <v>40</v>
      </c>
      <c r="D162" s="5" t="s">
        <v>259</v>
      </c>
      <c r="E162" s="5" t="s">
        <v>260</v>
      </c>
      <c r="F162" s="6">
        <v>45748</v>
      </c>
      <c r="G162" s="5" t="s">
        <v>13</v>
      </c>
      <c r="H162" s="5" t="s">
        <v>14</v>
      </c>
      <c r="I162" s="6">
        <v>45778</v>
      </c>
      <c r="J162" s="5" t="s">
        <v>37</v>
      </c>
      <c r="K162" s="7">
        <v>464.15</v>
      </c>
      <c r="L162" s="5">
        <v>1</v>
      </c>
      <c r="M162" s="7">
        <v>18</v>
      </c>
    </row>
    <row r="163" spans="1:13" x14ac:dyDescent="0.25">
      <c r="A163" s="5" t="s">
        <v>16</v>
      </c>
      <c r="B163" s="5" t="s">
        <v>39</v>
      </c>
      <c r="C163" s="5" t="s">
        <v>40</v>
      </c>
      <c r="D163" s="5" t="s">
        <v>261</v>
      </c>
      <c r="E163" s="5" t="s">
        <v>262</v>
      </c>
      <c r="F163" s="6">
        <v>45658</v>
      </c>
      <c r="G163" s="5" t="s">
        <v>13</v>
      </c>
      <c r="H163" s="5" t="s">
        <v>14</v>
      </c>
      <c r="I163" s="6">
        <v>45778</v>
      </c>
      <c r="J163" s="5" t="s">
        <v>37</v>
      </c>
      <c r="K163" s="7">
        <v>849.78</v>
      </c>
      <c r="L163" s="5">
        <v>1</v>
      </c>
      <c r="M163" s="7">
        <v>18</v>
      </c>
    </row>
    <row r="164" spans="1:13" x14ac:dyDescent="0.25">
      <c r="A164" s="5" t="s">
        <v>16</v>
      </c>
      <c r="B164" s="5" t="s">
        <v>39</v>
      </c>
      <c r="C164" s="5" t="s">
        <v>40</v>
      </c>
      <c r="D164" s="5" t="s">
        <v>263</v>
      </c>
      <c r="E164" s="5" t="s">
        <v>227</v>
      </c>
      <c r="F164" s="6">
        <v>45658</v>
      </c>
      <c r="G164" s="5" t="s">
        <v>13</v>
      </c>
      <c r="H164" s="5" t="s">
        <v>14</v>
      </c>
      <c r="I164" s="6">
        <v>45778</v>
      </c>
      <c r="J164" s="5" t="s">
        <v>37</v>
      </c>
      <c r="K164" s="7">
        <v>254.78</v>
      </c>
      <c r="L164" s="5">
        <v>1</v>
      </c>
      <c r="M164" s="7">
        <v>18</v>
      </c>
    </row>
    <row r="165" spans="1:13" x14ac:dyDescent="0.25">
      <c r="A165" s="5" t="s">
        <v>16</v>
      </c>
      <c r="B165" s="5" t="s">
        <v>39</v>
      </c>
      <c r="C165" s="5" t="s">
        <v>40</v>
      </c>
      <c r="D165" s="5" t="s">
        <v>102</v>
      </c>
      <c r="E165" s="5" t="s">
        <v>256</v>
      </c>
      <c r="F165" s="6">
        <v>45717</v>
      </c>
      <c r="G165" s="5" t="s">
        <v>13</v>
      </c>
      <c r="H165" s="5" t="s">
        <v>14</v>
      </c>
      <c r="I165" s="6">
        <v>45778</v>
      </c>
      <c r="J165" s="5" t="s">
        <v>37</v>
      </c>
      <c r="K165" s="7">
        <v>903.87</v>
      </c>
      <c r="L165" s="5">
        <v>1</v>
      </c>
      <c r="M165" s="7">
        <v>18</v>
      </c>
    </row>
    <row r="166" spans="1:13" x14ac:dyDescent="0.25">
      <c r="A166" s="5" t="s">
        <v>16</v>
      </c>
      <c r="B166" s="5" t="s">
        <v>39</v>
      </c>
      <c r="C166" s="5" t="s">
        <v>40</v>
      </c>
      <c r="D166" s="5" t="s">
        <v>264</v>
      </c>
      <c r="E166" s="5" t="s">
        <v>265</v>
      </c>
      <c r="F166" s="6">
        <v>45658</v>
      </c>
      <c r="G166" s="5" t="s">
        <v>13</v>
      </c>
      <c r="H166" s="5" t="s">
        <v>14</v>
      </c>
      <c r="I166" s="6">
        <v>45778</v>
      </c>
      <c r="J166" s="5" t="s">
        <v>37</v>
      </c>
      <c r="K166" s="7">
        <v>315.39</v>
      </c>
      <c r="L166" s="5">
        <v>1</v>
      </c>
      <c r="M166" s="7">
        <v>18</v>
      </c>
    </row>
    <row r="167" spans="1:13" x14ac:dyDescent="0.25">
      <c r="A167" s="5" t="s">
        <v>16</v>
      </c>
      <c r="B167" s="5" t="s">
        <v>39</v>
      </c>
      <c r="C167" s="5" t="s">
        <v>40</v>
      </c>
      <c r="D167" s="5" t="s">
        <v>266</v>
      </c>
      <c r="E167" s="5" t="s">
        <v>198</v>
      </c>
      <c r="F167" s="6">
        <v>45689</v>
      </c>
      <c r="G167" s="5" t="s">
        <v>13</v>
      </c>
      <c r="H167" s="5" t="s">
        <v>14</v>
      </c>
      <c r="I167" s="6">
        <v>45778</v>
      </c>
      <c r="J167" s="5" t="s">
        <v>37</v>
      </c>
      <c r="K167" s="7">
        <v>382.21</v>
      </c>
      <c r="L167" s="5">
        <v>1</v>
      </c>
      <c r="M167" s="7">
        <v>18</v>
      </c>
    </row>
    <row r="168" spans="1:13" x14ac:dyDescent="0.25">
      <c r="A168" s="5" t="s">
        <v>16</v>
      </c>
      <c r="B168" s="5" t="s">
        <v>39</v>
      </c>
      <c r="C168" s="5" t="s">
        <v>40</v>
      </c>
      <c r="D168" s="5" t="s">
        <v>267</v>
      </c>
      <c r="E168" s="5" t="s">
        <v>250</v>
      </c>
      <c r="F168" s="6">
        <v>45566</v>
      </c>
      <c r="G168" s="5" t="s">
        <v>13</v>
      </c>
      <c r="H168" s="5" t="s">
        <v>14</v>
      </c>
      <c r="I168" s="6">
        <v>45778</v>
      </c>
      <c r="J168" s="5" t="s">
        <v>37</v>
      </c>
      <c r="K168" s="7">
        <v>254.78</v>
      </c>
      <c r="L168" s="5">
        <v>1</v>
      </c>
      <c r="M168" s="7">
        <v>18</v>
      </c>
    </row>
    <row r="169" spans="1:13" x14ac:dyDescent="0.25">
      <c r="A169" s="5" t="s">
        <v>16</v>
      </c>
      <c r="B169" s="5" t="s">
        <v>39</v>
      </c>
      <c r="C169" s="5" t="s">
        <v>40</v>
      </c>
      <c r="D169" s="5" t="s">
        <v>268</v>
      </c>
      <c r="E169" s="5" t="s">
        <v>269</v>
      </c>
      <c r="F169" s="6">
        <v>45658</v>
      </c>
      <c r="G169" s="5" t="s">
        <v>13</v>
      </c>
      <c r="H169" s="5" t="s">
        <v>14</v>
      </c>
      <c r="I169" s="6">
        <v>45778</v>
      </c>
      <c r="J169" s="5" t="s">
        <v>37</v>
      </c>
      <c r="K169" s="7">
        <v>659.1</v>
      </c>
      <c r="L169" s="5">
        <v>1</v>
      </c>
      <c r="M169" s="7">
        <v>18</v>
      </c>
    </row>
    <row r="170" spans="1:13" x14ac:dyDescent="0.25">
      <c r="A170" s="5" t="s">
        <v>16</v>
      </c>
      <c r="B170" s="5" t="s">
        <v>39</v>
      </c>
      <c r="C170" s="5" t="s">
        <v>40</v>
      </c>
      <c r="D170" s="5" t="s">
        <v>41</v>
      </c>
      <c r="E170" s="5" t="s">
        <v>42</v>
      </c>
      <c r="F170" s="6">
        <v>45689</v>
      </c>
      <c r="G170" s="5" t="s">
        <v>13</v>
      </c>
      <c r="H170" s="5" t="s">
        <v>14</v>
      </c>
      <c r="I170" s="6">
        <v>45778</v>
      </c>
      <c r="J170" s="5" t="s">
        <v>37</v>
      </c>
      <c r="K170" s="7">
        <v>423.32</v>
      </c>
      <c r="L170" s="5">
        <v>1</v>
      </c>
      <c r="M170" s="7">
        <v>18</v>
      </c>
    </row>
    <row r="171" spans="1:13" x14ac:dyDescent="0.25">
      <c r="A171" s="5" t="s">
        <v>16</v>
      </c>
      <c r="B171" s="5" t="s">
        <v>39</v>
      </c>
      <c r="C171" s="5" t="s">
        <v>40</v>
      </c>
      <c r="D171" s="5" t="s">
        <v>41</v>
      </c>
      <c r="E171" s="5" t="s">
        <v>42</v>
      </c>
      <c r="F171" s="6">
        <v>45689</v>
      </c>
      <c r="G171" s="5" t="s">
        <v>13</v>
      </c>
      <c r="H171" s="5" t="s">
        <v>14</v>
      </c>
      <c r="I171" s="6">
        <v>45778</v>
      </c>
      <c r="J171" s="5" t="s">
        <v>37</v>
      </c>
      <c r="K171" s="7">
        <v>423.32</v>
      </c>
      <c r="L171" s="5">
        <v>1</v>
      </c>
      <c r="M171" s="7">
        <v>18</v>
      </c>
    </row>
    <row r="172" spans="1:13" x14ac:dyDescent="0.25">
      <c r="A172" s="5" t="s">
        <v>16</v>
      </c>
      <c r="B172" s="5" t="s">
        <v>39</v>
      </c>
      <c r="C172" s="5" t="s">
        <v>40</v>
      </c>
      <c r="D172" s="5" t="s">
        <v>104</v>
      </c>
      <c r="E172" s="5" t="s">
        <v>105</v>
      </c>
      <c r="F172" s="6">
        <v>45689</v>
      </c>
      <c r="G172" s="5" t="s">
        <v>13</v>
      </c>
      <c r="H172" s="5" t="s">
        <v>14</v>
      </c>
      <c r="I172" s="6">
        <v>45778</v>
      </c>
      <c r="J172" s="5" t="s">
        <v>37</v>
      </c>
      <c r="K172" s="7">
        <v>300.73</v>
      </c>
      <c r="L172" s="5">
        <v>1</v>
      </c>
      <c r="M172" s="7">
        <v>18</v>
      </c>
    </row>
    <row r="173" spans="1:13" x14ac:dyDescent="0.25">
      <c r="A173" s="5" t="s">
        <v>16</v>
      </c>
      <c r="B173" s="5" t="s">
        <v>39</v>
      </c>
      <c r="C173" s="5" t="s">
        <v>40</v>
      </c>
      <c r="D173" s="5" t="s">
        <v>270</v>
      </c>
      <c r="E173" s="5" t="s">
        <v>271</v>
      </c>
      <c r="F173" s="6">
        <v>45717</v>
      </c>
      <c r="G173" s="5" t="s">
        <v>13</v>
      </c>
      <c r="H173" s="5" t="s">
        <v>14</v>
      </c>
      <c r="I173" s="6">
        <v>45778</v>
      </c>
      <c r="J173" s="5" t="s">
        <v>37</v>
      </c>
      <c r="K173" s="7">
        <v>911.44</v>
      </c>
      <c r="L173" s="5">
        <v>1</v>
      </c>
      <c r="M173" s="7">
        <v>18</v>
      </c>
    </row>
    <row r="174" spans="1:13" x14ac:dyDescent="0.25">
      <c r="A174" s="5" t="s">
        <v>16</v>
      </c>
      <c r="B174" s="5" t="s">
        <v>39</v>
      </c>
      <c r="C174" s="5" t="s">
        <v>40</v>
      </c>
      <c r="D174" s="5" t="s">
        <v>121</v>
      </c>
      <c r="E174" s="5" t="s">
        <v>122</v>
      </c>
      <c r="F174" s="6">
        <v>45658</v>
      </c>
      <c r="G174" s="5" t="s">
        <v>13</v>
      </c>
      <c r="H174" s="5" t="s">
        <v>14</v>
      </c>
      <c r="I174" s="6">
        <v>45778</v>
      </c>
      <c r="J174" s="5" t="s">
        <v>37</v>
      </c>
      <c r="K174" s="7">
        <v>389.21</v>
      </c>
      <c r="L174" s="5">
        <v>1</v>
      </c>
      <c r="M174" s="7">
        <v>18</v>
      </c>
    </row>
    <row r="175" spans="1:13" x14ac:dyDescent="0.25">
      <c r="A175" s="5" t="s">
        <v>16</v>
      </c>
      <c r="B175" s="5" t="s">
        <v>39</v>
      </c>
      <c r="C175" s="5" t="s">
        <v>40</v>
      </c>
      <c r="D175" s="5" t="s">
        <v>272</v>
      </c>
      <c r="E175" s="5" t="s">
        <v>273</v>
      </c>
      <c r="F175" s="6">
        <v>45658</v>
      </c>
      <c r="G175" s="5" t="s">
        <v>13</v>
      </c>
      <c r="H175" s="5" t="s">
        <v>14</v>
      </c>
      <c r="I175" s="6">
        <v>45778</v>
      </c>
      <c r="J175" s="5" t="s">
        <v>37</v>
      </c>
      <c r="K175" s="7">
        <v>375.79</v>
      </c>
      <c r="L175" s="5">
        <v>1</v>
      </c>
      <c r="M175" s="7">
        <v>18</v>
      </c>
    </row>
    <row r="176" spans="1:13" x14ac:dyDescent="0.25">
      <c r="A176" s="5" t="s">
        <v>16</v>
      </c>
      <c r="B176" s="5" t="s">
        <v>39</v>
      </c>
      <c r="C176" s="5" t="s">
        <v>40</v>
      </c>
      <c r="D176" s="5" t="s">
        <v>274</v>
      </c>
      <c r="E176" s="5" t="s">
        <v>275</v>
      </c>
      <c r="F176" s="6">
        <v>45658</v>
      </c>
      <c r="G176" s="5" t="s">
        <v>13</v>
      </c>
      <c r="H176" s="5" t="s">
        <v>14</v>
      </c>
      <c r="I176" s="6">
        <v>45778</v>
      </c>
      <c r="J176" s="5" t="s">
        <v>37</v>
      </c>
      <c r="K176" s="7">
        <v>964.84</v>
      </c>
      <c r="L176" s="5">
        <v>1</v>
      </c>
      <c r="M176" s="7">
        <v>18</v>
      </c>
    </row>
    <row r="177" spans="1:13" x14ac:dyDescent="0.25">
      <c r="A177" s="5" t="s">
        <v>16</v>
      </c>
      <c r="B177" s="5" t="s">
        <v>39</v>
      </c>
      <c r="C177" s="5" t="s">
        <v>40</v>
      </c>
      <c r="D177" s="5" t="s">
        <v>276</v>
      </c>
      <c r="E177" s="5" t="s">
        <v>277</v>
      </c>
      <c r="F177" s="6">
        <v>45778</v>
      </c>
      <c r="G177" s="5" t="s">
        <v>13</v>
      </c>
      <c r="H177" s="5" t="s">
        <v>14</v>
      </c>
      <c r="I177" s="6">
        <v>45778</v>
      </c>
      <c r="J177" s="5" t="s">
        <v>37</v>
      </c>
      <c r="K177" s="7">
        <v>286.91000000000003</v>
      </c>
      <c r="L177" s="5">
        <v>1</v>
      </c>
      <c r="M177" s="7">
        <v>18</v>
      </c>
    </row>
    <row r="178" spans="1:13" x14ac:dyDescent="0.25">
      <c r="A178" s="5" t="s">
        <v>16</v>
      </c>
      <c r="B178" s="5" t="s">
        <v>39</v>
      </c>
      <c r="C178" s="5" t="s">
        <v>40</v>
      </c>
      <c r="D178" s="5" t="s">
        <v>278</v>
      </c>
      <c r="E178" s="5" t="s">
        <v>279</v>
      </c>
      <c r="F178" s="6">
        <v>45658</v>
      </c>
      <c r="G178" s="5" t="s">
        <v>13</v>
      </c>
      <c r="H178" s="5" t="s">
        <v>14</v>
      </c>
      <c r="I178" s="6">
        <v>45778</v>
      </c>
      <c r="J178" s="5" t="s">
        <v>37</v>
      </c>
      <c r="K178" s="7">
        <v>412.51</v>
      </c>
      <c r="L178" s="5">
        <v>1</v>
      </c>
      <c r="M178" s="7">
        <v>18</v>
      </c>
    </row>
    <row r="179" spans="1:13" x14ac:dyDescent="0.25">
      <c r="A179" s="5" t="s">
        <v>16</v>
      </c>
      <c r="B179" s="5" t="s">
        <v>39</v>
      </c>
      <c r="C179" s="5" t="s">
        <v>40</v>
      </c>
      <c r="D179" s="5" t="s">
        <v>280</v>
      </c>
      <c r="E179" s="5" t="s">
        <v>281</v>
      </c>
      <c r="F179" s="6">
        <v>45748</v>
      </c>
      <c r="G179" s="5" t="s">
        <v>13</v>
      </c>
      <c r="H179" s="5" t="s">
        <v>14</v>
      </c>
      <c r="I179" s="6">
        <v>45778</v>
      </c>
      <c r="J179" s="5" t="s">
        <v>37</v>
      </c>
      <c r="K179" s="7">
        <v>1219.02</v>
      </c>
      <c r="L179" s="5">
        <v>1</v>
      </c>
      <c r="M179" s="7">
        <v>18</v>
      </c>
    </row>
    <row r="180" spans="1:13" x14ac:dyDescent="0.25">
      <c r="A180" s="5" t="s">
        <v>16</v>
      </c>
      <c r="B180" s="5" t="s">
        <v>39</v>
      </c>
      <c r="C180" s="5" t="s">
        <v>40</v>
      </c>
      <c r="D180" s="5" t="s">
        <v>282</v>
      </c>
      <c r="E180" s="5" t="s">
        <v>283</v>
      </c>
      <c r="F180" s="6">
        <v>45658</v>
      </c>
      <c r="G180" s="5" t="s">
        <v>13</v>
      </c>
      <c r="H180" s="5" t="s">
        <v>14</v>
      </c>
      <c r="I180" s="6">
        <v>45778</v>
      </c>
      <c r="J180" s="5" t="s">
        <v>37</v>
      </c>
      <c r="K180" s="7">
        <v>920.6</v>
      </c>
      <c r="L180" s="5">
        <v>1</v>
      </c>
      <c r="M180" s="7">
        <v>18</v>
      </c>
    </row>
    <row r="181" spans="1:13" x14ac:dyDescent="0.25">
      <c r="A181" s="5" t="s">
        <v>16</v>
      </c>
      <c r="B181" s="5" t="s">
        <v>39</v>
      </c>
      <c r="C181" s="5" t="s">
        <v>40</v>
      </c>
      <c r="D181" s="5" t="s">
        <v>284</v>
      </c>
      <c r="E181" s="5" t="s">
        <v>285</v>
      </c>
      <c r="F181" s="6">
        <v>45658</v>
      </c>
      <c r="G181" s="5" t="s">
        <v>13</v>
      </c>
      <c r="H181" s="5" t="s">
        <v>14</v>
      </c>
      <c r="I181" s="6">
        <v>45778</v>
      </c>
      <c r="J181" s="5" t="s">
        <v>37</v>
      </c>
      <c r="K181" s="7">
        <v>385.99</v>
      </c>
      <c r="L181" s="5">
        <v>1</v>
      </c>
      <c r="M181" s="7">
        <v>18</v>
      </c>
    </row>
    <row r="182" spans="1:13" x14ac:dyDescent="0.25">
      <c r="A182" s="5" t="s">
        <v>16</v>
      </c>
      <c r="B182" s="5" t="s">
        <v>39</v>
      </c>
      <c r="C182" s="5" t="s">
        <v>40</v>
      </c>
      <c r="D182" s="5" t="s">
        <v>286</v>
      </c>
      <c r="E182" s="5" t="s">
        <v>287</v>
      </c>
      <c r="F182" s="6">
        <v>45717</v>
      </c>
      <c r="G182" s="5" t="s">
        <v>13</v>
      </c>
      <c r="H182" s="5" t="s">
        <v>14</v>
      </c>
      <c r="I182" s="6">
        <v>45778</v>
      </c>
      <c r="J182" s="5" t="s">
        <v>37</v>
      </c>
      <c r="K182" s="7">
        <v>854.64</v>
      </c>
      <c r="L182" s="5">
        <v>1</v>
      </c>
      <c r="M182" s="7">
        <v>18</v>
      </c>
    </row>
    <row r="183" spans="1:13" x14ac:dyDescent="0.25">
      <c r="A183" s="5" t="s">
        <v>16</v>
      </c>
      <c r="B183" s="5" t="s">
        <v>39</v>
      </c>
      <c r="C183" s="5" t="s">
        <v>40</v>
      </c>
      <c r="D183" s="5" t="s">
        <v>288</v>
      </c>
      <c r="E183" s="5" t="s">
        <v>289</v>
      </c>
      <c r="F183" s="6">
        <v>45627</v>
      </c>
      <c r="G183" s="5" t="s">
        <v>13</v>
      </c>
      <c r="H183" s="5" t="s">
        <v>14</v>
      </c>
      <c r="I183" s="6">
        <v>45778</v>
      </c>
      <c r="J183" s="5" t="s">
        <v>37</v>
      </c>
      <c r="K183" s="7">
        <v>425.63</v>
      </c>
      <c r="L183" s="5">
        <v>1</v>
      </c>
      <c r="M183" s="7">
        <v>18</v>
      </c>
    </row>
    <row r="184" spans="1:13" x14ac:dyDescent="0.25">
      <c r="A184" s="5" t="s">
        <v>16</v>
      </c>
      <c r="B184" s="5" t="s">
        <v>39</v>
      </c>
      <c r="C184" s="5" t="s">
        <v>40</v>
      </c>
      <c r="D184" s="5" t="s">
        <v>290</v>
      </c>
      <c r="E184" s="5" t="s">
        <v>225</v>
      </c>
      <c r="F184" s="6">
        <v>45627</v>
      </c>
      <c r="G184" s="5" t="s">
        <v>13</v>
      </c>
      <c r="H184" s="5" t="s">
        <v>14</v>
      </c>
      <c r="I184" s="6">
        <v>45778</v>
      </c>
      <c r="J184" s="5" t="s">
        <v>37</v>
      </c>
      <c r="K184" s="7">
        <v>417.92</v>
      </c>
      <c r="L184" s="5">
        <v>1</v>
      </c>
      <c r="M184" s="7">
        <v>18</v>
      </c>
    </row>
    <row r="185" spans="1:13" x14ac:dyDescent="0.25">
      <c r="A185" s="5" t="s">
        <v>16</v>
      </c>
      <c r="B185" s="5" t="s">
        <v>39</v>
      </c>
      <c r="C185" s="5" t="s">
        <v>40</v>
      </c>
      <c r="D185" s="5" t="s">
        <v>291</v>
      </c>
      <c r="E185" s="5" t="s">
        <v>292</v>
      </c>
      <c r="F185" s="6">
        <v>45627</v>
      </c>
      <c r="G185" s="5" t="s">
        <v>13</v>
      </c>
      <c r="H185" s="5" t="s">
        <v>14</v>
      </c>
      <c r="I185" s="6">
        <v>45778</v>
      </c>
      <c r="J185" s="5" t="s">
        <v>37</v>
      </c>
      <c r="K185" s="7">
        <v>1037.98</v>
      </c>
      <c r="L185" s="5">
        <v>1</v>
      </c>
      <c r="M185" s="7">
        <v>18</v>
      </c>
    </row>
    <row r="186" spans="1:13" x14ac:dyDescent="0.25">
      <c r="A186" s="5" t="s">
        <v>16</v>
      </c>
      <c r="B186" s="5" t="s">
        <v>39</v>
      </c>
      <c r="C186" s="5" t="s">
        <v>40</v>
      </c>
      <c r="D186" s="5" t="s">
        <v>293</v>
      </c>
      <c r="E186" s="5" t="s">
        <v>241</v>
      </c>
      <c r="F186" s="6">
        <v>45658</v>
      </c>
      <c r="G186" s="5" t="s">
        <v>13</v>
      </c>
      <c r="H186" s="5" t="s">
        <v>14</v>
      </c>
      <c r="I186" s="6">
        <v>45778</v>
      </c>
      <c r="J186" s="5" t="s">
        <v>37</v>
      </c>
      <c r="K186" s="7">
        <v>668.28</v>
      </c>
      <c r="L186" s="5">
        <v>1</v>
      </c>
      <c r="M186" s="7">
        <v>18</v>
      </c>
    </row>
    <row r="187" spans="1:13" x14ac:dyDescent="0.25">
      <c r="A187" s="5" t="s">
        <v>16</v>
      </c>
      <c r="B187" s="5" t="s">
        <v>39</v>
      </c>
      <c r="C187" s="5" t="s">
        <v>40</v>
      </c>
      <c r="D187" s="5" t="s">
        <v>294</v>
      </c>
      <c r="E187" s="5" t="s">
        <v>206</v>
      </c>
      <c r="F187" s="6">
        <v>45658</v>
      </c>
      <c r="G187" s="5" t="s">
        <v>13</v>
      </c>
      <c r="H187" s="5" t="s">
        <v>14</v>
      </c>
      <c r="I187" s="6">
        <v>45778</v>
      </c>
      <c r="J187" s="5" t="s">
        <v>37</v>
      </c>
      <c r="K187" s="7">
        <v>229.52</v>
      </c>
      <c r="L187" s="5">
        <v>1</v>
      </c>
      <c r="M187" s="7">
        <v>18</v>
      </c>
    </row>
    <row r="188" spans="1:13" x14ac:dyDescent="0.25">
      <c r="A188" s="5" t="s">
        <v>16</v>
      </c>
      <c r="B188" s="5" t="s">
        <v>39</v>
      </c>
      <c r="C188" s="5" t="s">
        <v>40</v>
      </c>
      <c r="D188" s="5" t="s">
        <v>107</v>
      </c>
      <c r="E188" s="5" t="s">
        <v>100</v>
      </c>
      <c r="F188" s="6">
        <v>45658</v>
      </c>
      <c r="G188" s="5" t="s">
        <v>13</v>
      </c>
      <c r="H188" s="5" t="s">
        <v>14</v>
      </c>
      <c r="I188" s="6">
        <v>45778</v>
      </c>
      <c r="J188" s="5" t="s">
        <v>37</v>
      </c>
      <c r="K188" s="7">
        <v>1007.49</v>
      </c>
      <c r="L188" s="5">
        <v>1</v>
      </c>
      <c r="M188" s="7">
        <v>18</v>
      </c>
    </row>
    <row r="189" spans="1:13" x14ac:dyDescent="0.25">
      <c r="A189" s="5" t="s">
        <v>16</v>
      </c>
      <c r="B189" s="5" t="s">
        <v>39</v>
      </c>
      <c r="C189" s="5" t="s">
        <v>40</v>
      </c>
      <c r="D189" s="5" t="s">
        <v>295</v>
      </c>
      <c r="E189" s="5" t="s">
        <v>225</v>
      </c>
      <c r="F189" s="6">
        <v>45627</v>
      </c>
      <c r="G189" s="5" t="s">
        <v>13</v>
      </c>
      <c r="H189" s="5" t="s">
        <v>14</v>
      </c>
      <c r="I189" s="6">
        <v>45778</v>
      </c>
      <c r="J189" s="5" t="s">
        <v>37</v>
      </c>
      <c r="K189" s="7">
        <v>511.12</v>
      </c>
      <c r="L189" s="5">
        <v>1</v>
      </c>
      <c r="M189" s="7">
        <v>18</v>
      </c>
    </row>
    <row r="190" spans="1:13" x14ac:dyDescent="0.25">
      <c r="A190" s="5" t="s">
        <v>16</v>
      </c>
      <c r="B190" s="5" t="s">
        <v>39</v>
      </c>
      <c r="C190" s="5" t="s">
        <v>40</v>
      </c>
      <c r="D190" s="5" t="s">
        <v>296</v>
      </c>
      <c r="E190" s="5" t="s">
        <v>227</v>
      </c>
      <c r="F190" s="6">
        <v>45658</v>
      </c>
      <c r="G190" s="5" t="s">
        <v>13</v>
      </c>
      <c r="H190" s="5" t="s">
        <v>14</v>
      </c>
      <c r="I190" s="6">
        <v>45778</v>
      </c>
      <c r="J190" s="5" t="s">
        <v>37</v>
      </c>
      <c r="K190" s="7">
        <v>420.3</v>
      </c>
      <c r="L190" s="5">
        <v>1</v>
      </c>
      <c r="M190" s="7">
        <v>18</v>
      </c>
    </row>
    <row r="191" spans="1:13" x14ac:dyDescent="0.25">
      <c r="A191" s="5" t="s">
        <v>16</v>
      </c>
      <c r="B191" s="5" t="s">
        <v>297</v>
      </c>
      <c r="C191" s="5" t="s">
        <v>298</v>
      </c>
      <c r="D191" s="5" t="s">
        <v>299</v>
      </c>
      <c r="E191" s="5" t="s">
        <v>300</v>
      </c>
      <c r="F191" s="6">
        <v>45658</v>
      </c>
      <c r="G191" s="5" t="s">
        <v>13</v>
      </c>
      <c r="H191" s="5" t="s">
        <v>14</v>
      </c>
      <c r="I191" s="6">
        <v>45778</v>
      </c>
      <c r="J191" s="5" t="s">
        <v>15</v>
      </c>
      <c r="K191" s="7">
        <v>425.9</v>
      </c>
      <c r="L191" s="5">
        <v>1</v>
      </c>
      <c r="M191" s="7">
        <v>20</v>
      </c>
    </row>
    <row r="192" spans="1:13" x14ac:dyDescent="0.25">
      <c r="A192" s="5" t="s">
        <v>16</v>
      </c>
      <c r="B192" s="5" t="s">
        <v>297</v>
      </c>
      <c r="C192" s="5" t="s">
        <v>298</v>
      </c>
      <c r="D192" s="5" t="s">
        <v>299</v>
      </c>
      <c r="E192" s="5" t="s">
        <v>300</v>
      </c>
      <c r="F192" s="6">
        <v>45658</v>
      </c>
      <c r="G192" s="5" t="s">
        <v>13</v>
      </c>
      <c r="H192" s="5" t="s">
        <v>14</v>
      </c>
      <c r="I192" s="6">
        <v>45748</v>
      </c>
      <c r="J192" s="5" t="s">
        <v>15</v>
      </c>
      <c r="K192" s="7">
        <v>425.9</v>
      </c>
      <c r="L192" s="5">
        <v>1</v>
      </c>
      <c r="M192" s="7">
        <v>20</v>
      </c>
    </row>
    <row r="193" spans="1:13" x14ac:dyDescent="0.25">
      <c r="A193" s="5" t="s">
        <v>16</v>
      </c>
      <c r="B193" s="5" t="s">
        <v>297</v>
      </c>
      <c r="C193" s="5" t="s">
        <v>298</v>
      </c>
      <c r="D193" s="5" t="s">
        <v>299</v>
      </c>
      <c r="E193" s="5" t="s">
        <v>300</v>
      </c>
      <c r="F193" s="6">
        <v>45658</v>
      </c>
      <c r="G193" s="5" t="s">
        <v>13</v>
      </c>
      <c r="H193" s="5" t="s">
        <v>14</v>
      </c>
      <c r="I193" s="6">
        <v>45717</v>
      </c>
      <c r="J193" s="5" t="s">
        <v>15</v>
      </c>
      <c r="K193" s="7">
        <v>425.9</v>
      </c>
      <c r="L193" s="5">
        <v>1</v>
      </c>
      <c r="M193" s="7">
        <v>20</v>
      </c>
    </row>
    <row r="194" spans="1:13" x14ac:dyDescent="0.25">
      <c r="A194" s="5" t="s">
        <v>16</v>
      </c>
      <c r="B194" s="5" t="s">
        <v>301</v>
      </c>
      <c r="C194" s="5" t="s">
        <v>302</v>
      </c>
      <c r="D194" s="5" t="s">
        <v>303</v>
      </c>
      <c r="E194" s="5" t="s">
        <v>304</v>
      </c>
      <c r="F194" s="6">
        <v>45689</v>
      </c>
      <c r="G194" s="5" t="s">
        <v>13</v>
      </c>
      <c r="H194" s="5" t="s">
        <v>14</v>
      </c>
      <c r="I194" s="6">
        <v>45778</v>
      </c>
      <c r="J194" s="5" t="s">
        <v>70</v>
      </c>
      <c r="K194" s="7">
        <v>348.73</v>
      </c>
      <c r="L194" s="5">
        <v>1</v>
      </c>
      <c r="M194" s="7">
        <v>20</v>
      </c>
    </row>
    <row r="195" spans="1:13" x14ac:dyDescent="0.25">
      <c r="A195" s="5" t="s">
        <v>16</v>
      </c>
      <c r="B195" s="5" t="s">
        <v>301</v>
      </c>
      <c r="C195" s="5" t="s">
        <v>302</v>
      </c>
      <c r="D195" s="5" t="s">
        <v>305</v>
      </c>
      <c r="E195" s="5" t="s">
        <v>306</v>
      </c>
      <c r="F195" s="6">
        <v>45658</v>
      </c>
      <c r="G195" s="5" t="s">
        <v>13</v>
      </c>
      <c r="H195" s="5" t="s">
        <v>14</v>
      </c>
      <c r="I195" s="6">
        <v>45778</v>
      </c>
      <c r="J195" s="5" t="s">
        <v>15</v>
      </c>
      <c r="K195" s="7">
        <v>1085.4000000000001</v>
      </c>
      <c r="L195" s="5">
        <v>1</v>
      </c>
      <c r="M195" s="7">
        <v>20</v>
      </c>
    </row>
    <row r="196" spans="1:13" x14ac:dyDescent="0.25">
      <c r="A196" s="5" t="s">
        <v>16</v>
      </c>
      <c r="B196" s="5" t="s">
        <v>164</v>
      </c>
      <c r="C196" s="5" t="s">
        <v>165</v>
      </c>
      <c r="D196" s="5" t="s">
        <v>307</v>
      </c>
      <c r="E196" s="5" t="s">
        <v>308</v>
      </c>
      <c r="F196" s="6">
        <v>45658</v>
      </c>
      <c r="G196" s="5" t="s">
        <v>13</v>
      </c>
      <c r="H196" s="5" t="s">
        <v>14</v>
      </c>
      <c r="I196" s="6">
        <v>45778</v>
      </c>
      <c r="J196" s="5" t="s">
        <v>168</v>
      </c>
      <c r="K196" s="7">
        <v>303.61</v>
      </c>
      <c r="L196" s="5">
        <v>1</v>
      </c>
      <c r="M196" s="7">
        <v>20</v>
      </c>
    </row>
    <row r="197" spans="1:13" x14ac:dyDescent="0.25">
      <c r="A197" s="5" t="s">
        <v>16</v>
      </c>
      <c r="B197" s="5" t="s">
        <v>164</v>
      </c>
      <c r="C197" s="5" t="s">
        <v>165</v>
      </c>
      <c r="D197" s="5" t="s">
        <v>309</v>
      </c>
      <c r="E197" s="5" t="s">
        <v>310</v>
      </c>
      <c r="F197" s="6">
        <v>45658</v>
      </c>
      <c r="G197" s="5" t="s">
        <v>13</v>
      </c>
      <c r="H197" s="5" t="s">
        <v>14</v>
      </c>
      <c r="I197" s="6">
        <v>45778</v>
      </c>
      <c r="J197" s="5" t="s">
        <v>168</v>
      </c>
      <c r="K197" s="7">
        <v>507.44</v>
      </c>
      <c r="L197" s="5">
        <v>1</v>
      </c>
      <c r="M197" s="7">
        <v>20</v>
      </c>
    </row>
    <row r="198" spans="1:13" x14ac:dyDescent="0.25">
      <c r="A198" s="5" t="s">
        <v>16</v>
      </c>
      <c r="B198" s="5" t="s">
        <v>164</v>
      </c>
      <c r="C198" s="5" t="s">
        <v>165</v>
      </c>
      <c r="D198" s="5" t="s">
        <v>311</v>
      </c>
      <c r="E198" s="5" t="s">
        <v>310</v>
      </c>
      <c r="F198" s="6">
        <v>45658</v>
      </c>
      <c r="G198" s="5" t="s">
        <v>13</v>
      </c>
      <c r="H198" s="5" t="s">
        <v>14</v>
      </c>
      <c r="I198" s="6">
        <v>45778</v>
      </c>
      <c r="J198" s="5" t="s">
        <v>168</v>
      </c>
      <c r="K198" s="7">
        <v>338.29</v>
      </c>
      <c r="L198" s="5">
        <v>1</v>
      </c>
      <c r="M198" s="7">
        <v>20</v>
      </c>
    </row>
    <row r="199" spans="1:13" x14ac:dyDescent="0.25">
      <c r="A199" s="5" t="s">
        <v>16</v>
      </c>
      <c r="B199" s="5" t="s">
        <v>164</v>
      </c>
      <c r="C199" s="5" t="s">
        <v>165</v>
      </c>
      <c r="D199" s="5" t="s">
        <v>312</v>
      </c>
      <c r="E199" s="5" t="s">
        <v>310</v>
      </c>
      <c r="F199" s="6">
        <v>45658</v>
      </c>
      <c r="G199" s="5" t="s">
        <v>13</v>
      </c>
      <c r="H199" s="5" t="s">
        <v>14</v>
      </c>
      <c r="I199" s="6">
        <v>45778</v>
      </c>
      <c r="J199" s="5" t="s">
        <v>168</v>
      </c>
      <c r="K199" s="7">
        <v>299.39</v>
      </c>
      <c r="L199" s="5">
        <v>1</v>
      </c>
      <c r="M199" s="7">
        <v>20</v>
      </c>
    </row>
    <row r="200" spans="1:13" x14ac:dyDescent="0.25">
      <c r="A200" s="5" t="s">
        <v>16</v>
      </c>
      <c r="B200" s="5" t="s">
        <v>164</v>
      </c>
      <c r="C200" s="5" t="s">
        <v>165</v>
      </c>
      <c r="D200" s="5" t="s">
        <v>313</v>
      </c>
      <c r="E200" s="5" t="s">
        <v>314</v>
      </c>
      <c r="F200" s="6">
        <v>45658</v>
      </c>
      <c r="G200" s="5" t="s">
        <v>13</v>
      </c>
      <c r="H200" s="5" t="s">
        <v>14</v>
      </c>
      <c r="I200" s="6">
        <v>45778</v>
      </c>
      <c r="J200" s="5" t="s">
        <v>168</v>
      </c>
      <c r="K200" s="7">
        <v>1407.53</v>
      </c>
      <c r="L200" s="5">
        <v>1</v>
      </c>
      <c r="M200" s="7">
        <v>20</v>
      </c>
    </row>
    <row r="201" spans="1:13" x14ac:dyDescent="0.25">
      <c r="A201" s="5" t="s">
        <v>16</v>
      </c>
      <c r="B201" s="5" t="s">
        <v>164</v>
      </c>
      <c r="C201" s="5" t="s">
        <v>165</v>
      </c>
      <c r="D201" s="5" t="s">
        <v>315</v>
      </c>
      <c r="E201" s="5" t="s">
        <v>310</v>
      </c>
      <c r="F201" s="6">
        <v>45658</v>
      </c>
      <c r="G201" s="5" t="s">
        <v>13</v>
      </c>
      <c r="H201" s="5" t="s">
        <v>14</v>
      </c>
      <c r="I201" s="6">
        <v>45778</v>
      </c>
      <c r="J201" s="5" t="s">
        <v>168</v>
      </c>
      <c r="K201" s="7">
        <v>258.79000000000002</v>
      </c>
      <c r="L201" s="5">
        <v>1</v>
      </c>
      <c r="M201" s="7">
        <v>20</v>
      </c>
    </row>
    <row r="202" spans="1:13" x14ac:dyDescent="0.25">
      <c r="A202" s="5" t="s">
        <v>16</v>
      </c>
      <c r="B202" s="5" t="s">
        <v>164</v>
      </c>
      <c r="C202" s="5" t="s">
        <v>165</v>
      </c>
      <c r="D202" s="5" t="s">
        <v>316</v>
      </c>
      <c r="E202" s="5" t="s">
        <v>308</v>
      </c>
      <c r="F202" s="6">
        <v>45658</v>
      </c>
      <c r="G202" s="5" t="s">
        <v>13</v>
      </c>
      <c r="H202" s="5" t="s">
        <v>14</v>
      </c>
      <c r="I202" s="6">
        <v>45778</v>
      </c>
      <c r="J202" s="5" t="s">
        <v>168</v>
      </c>
      <c r="K202" s="7">
        <v>507.2</v>
      </c>
      <c r="L202" s="5">
        <v>1</v>
      </c>
      <c r="M202" s="7">
        <v>20</v>
      </c>
    </row>
    <row r="203" spans="1:13" x14ac:dyDescent="0.25">
      <c r="A203" s="5" t="s">
        <v>16</v>
      </c>
      <c r="B203" s="5" t="s">
        <v>317</v>
      </c>
      <c r="C203" s="5" t="s">
        <v>318</v>
      </c>
      <c r="D203" s="5" t="s">
        <v>319</v>
      </c>
      <c r="E203" s="5" t="s">
        <v>320</v>
      </c>
      <c r="F203" s="6">
        <v>45748</v>
      </c>
      <c r="G203" s="5" t="s">
        <v>13</v>
      </c>
      <c r="H203" s="5" t="s">
        <v>14</v>
      </c>
      <c r="I203" s="6">
        <v>45778</v>
      </c>
      <c r="J203" s="5" t="s">
        <v>70</v>
      </c>
      <c r="K203" s="7">
        <v>203.3</v>
      </c>
      <c r="L203" s="5">
        <v>1</v>
      </c>
      <c r="M203" s="7">
        <v>20</v>
      </c>
    </row>
    <row r="204" spans="1:13" x14ac:dyDescent="0.25">
      <c r="A204" s="5" t="s">
        <v>16</v>
      </c>
      <c r="B204" s="5" t="s">
        <v>317</v>
      </c>
      <c r="C204" s="5" t="s">
        <v>318</v>
      </c>
      <c r="D204" s="5" t="s">
        <v>321</v>
      </c>
      <c r="E204" s="5" t="s">
        <v>322</v>
      </c>
      <c r="F204" s="6">
        <v>45778</v>
      </c>
      <c r="G204" s="5" t="s">
        <v>13</v>
      </c>
      <c r="H204" s="5" t="s">
        <v>14</v>
      </c>
      <c r="I204" s="6">
        <v>45778</v>
      </c>
      <c r="J204" s="5" t="s">
        <v>70</v>
      </c>
      <c r="K204" s="7">
        <v>757.73</v>
      </c>
      <c r="L204" s="5">
        <v>1</v>
      </c>
      <c r="M204" s="7">
        <v>20</v>
      </c>
    </row>
    <row r="205" spans="1:13" x14ac:dyDescent="0.25">
      <c r="A205" s="5" t="s">
        <v>16</v>
      </c>
      <c r="B205" s="5" t="s">
        <v>317</v>
      </c>
      <c r="C205" s="5" t="s">
        <v>318</v>
      </c>
      <c r="D205" s="5" t="s">
        <v>323</v>
      </c>
      <c r="E205" s="5" t="s">
        <v>320</v>
      </c>
      <c r="F205" s="6">
        <v>45748</v>
      </c>
      <c r="G205" s="5" t="s">
        <v>13</v>
      </c>
      <c r="H205" s="5" t="s">
        <v>14</v>
      </c>
      <c r="I205" s="6">
        <v>45778</v>
      </c>
      <c r="J205" s="5" t="s">
        <v>70</v>
      </c>
      <c r="K205" s="7">
        <v>335.38</v>
      </c>
      <c r="L205" s="5">
        <v>1</v>
      </c>
      <c r="M205" s="7">
        <v>20</v>
      </c>
    </row>
    <row r="206" spans="1:13" x14ac:dyDescent="0.25">
      <c r="A206" s="5" t="s">
        <v>16</v>
      </c>
      <c r="B206" s="5" t="s">
        <v>317</v>
      </c>
      <c r="C206" s="5" t="s">
        <v>318</v>
      </c>
      <c r="D206" s="5" t="s">
        <v>324</v>
      </c>
      <c r="E206" s="5" t="s">
        <v>320</v>
      </c>
      <c r="F206" s="6">
        <v>45748</v>
      </c>
      <c r="G206" s="5" t="s">
        <v>13</v>
      </c>
      <c r="H206" s="5" t="s">
        <v>14</v>
      </c>
      <c r="I206" s="6">
        <v>45778</v>
      </c>
      <c r="J206" s="5" t="s">
        <v>70</v>
      </c>
      <c r="K206" s="7">
        <v>339.63</v>
      </c>
      <c r="L206" s="5">
        <v>1</v>
      </c>
      <c r="M206" s="7">
        <v>20</v>
      </c>
    </row>
    <row r="207" spans="1:13" x14ac:dyDescent="0.25">
      <c r="A207" s="5" t="s">
        <v>16</v>
      </c>
      <c r="B207" s="5" t="s">
        <v>317</v>
      </c>
      <c r="C207" s="5" t="s">
        <v>318</v>
      </c>
      <c r="D207" s="5" t="s">
        <v>325</v>
      </c>
      <c r="E207" s="5" t="s">
        <v>320</v>
      </c>
      <c r="F207" s="6">
        <v>45748</v>
      </c>
      <c r="G207" s="5" t="s">
        <v>13</v>
      </c>
      <c r="H207" s="5" t="s">
        <v>14</v>
      </c>
      <c r="I207" s="6">
        <v>45778</v>
      </c>
      <c r="J207" s="5" t="s">
        <v>70</v>
      </c>
      <c r="K207" s="7">
        <v>203.3</v>
      </c>
      <c r="L207" s="5">
        <v>1</v>
      </c>
      <c r="M207" s="7">
        <v>20</v>
      </c>
    </row>
    <row r="208" spans="1:13" x14ac:dyDescent="0.25">
      <c r="A208" s="5" t="s">
        <v>16</v>
      </c>
      <c r="B208" s="5" t="s">
        <v>317</v>
      </c>
      <c r="C208" s="5" t="s">
        <v>318</v>
      </c>
      <c r="D208" s="5" t="s">
        <v>326</v>
      </c>
      <c r="E208" s="5" t="s">
        <v>327</v>
      </c>
      <c r="F208" s="6">
        <v>45658</v>
      </c>
      <c r="G208" s="5" t="s">
        <v>13</v>
      </c>
      <c r="H208" s="5" t="s">
        <v>14</v>
      </c>
      <c r="I208" s="6">
        <v>45778</v>
      </c>
      <c r="J208" s="5" t="s">
        <v>70</v>
      </c>
      <c r="K208" s="7">
        <v>465.56</v>
      </c>
      <c r="L208" s="5">
        <v>1</v>
      </c>
      <c r="M208" s="7">
        <v>20</v>
      </c>
    </row>
    <row r="209" spans="1:13" x14ac:dyDescent="0.25">
      <c r="A209" s="5" t="s">
        <v>16</v>
      </c>
      <c r="B209" s="5" t="s">
        <v>317</v>
      </c>
      <c r="C209" s="5" t="s">
        <v>318</v>
      </c>
      <c r="D209" s="5" t="s">
        <v>328</v>
      </c>
      <c r="E209" s="5" t="s">
        <v>329</v>
      </c>
      <c r="F209" s="6">
        <v>45658</v>
      </c>
      <c r="G209" s="5" t="s">
        <v>13</v>
      </c>
      <c r="H209" s="5" t="s">
        <v>14</v>
      </c>
      <c r="I209" s="6">
        <v>45778</v>
      </c>
      <c r="J209" s="5" t="s">
        <v>31</v>
      </c>
      <c r="K209" s="7">
        <v>1075.92</v>
      </c>
      <c r="L209" s="5">
        <v>1</v>
      </c>
      <c r="M209" s="7">
        <v>20</v>
      </c>
    </row>
    <row r="210" spans="1:13" x14ac:dyDescent="0.25">
      <c r="A210" s="5" t="s">
        <v>16</v>
      </c>
      <c r="B210" s="5" t="s">
        <v>330</v>
      </c>
      <c r="C210" s="5" t="s">
        <v>331</v>
      </c>
      <c r="D210" s="5" t="s">
        <v>332</v>
      </c>
      <c r="E210" s="5" t="s">
        <v>333</v>
      </c>
      <c r="F210" s="6">
        <v>45658</v>
      </c>
      <c r="G210" s="5" t="s">
        <v>13</v>
      </c>
      <c r="H210" s="5" t="s">
        <v>14</v>
      </c>
      <c r="I210" s="6">
        <v>45778</v>
      </c>
      <c r="J210" s="5" t="s">
        <v>70</v>
      </c>
      <c r="K210" s="7">
        <v>773.46</v>
      </c>
      <c r="L210" s="5">
        <v>1</v>
      </c>
      <c r="M210" s="7">
        <v>20</v>
      </c>
    </row>
    <row r="211" spans="1:13" x14ac:dyDescent="0.25">
      <c r="A211" s="5" t="s">
        <v>16</v>
      </c>
      <c r="B211" s="5" t="s">
        <v>330</v>
      </c>
      <c r="C211" s="5" t="s">
        <v>331</v>
      </c>
      <c r="D211" s="5" t="s">
        <v>334</v>
      </c>
      <c r="E211" s="5" t="s">
        <v>335</v>
      </c>
      <c r="F211" s="6">
        <v>45658</v>
      </c>
      <c r="G211" s="5" t="s">
        <v>13</v>
      </c>
      <c r="H211" s="5" t="s">
        <v>14</v>
      </c>
      <c r="I211" s="6">
        <v>45778</v>
      </c>
      <c r="J211" s="5" t="s">
        <v>15</v>
      </c>
      <c r="K211" s="7">
        <v>862.5</v>
      </c>
      <c r="L211" s="5">
        <v>1</v>
      </c>
      <c r="M211" s="7">
        <v>20</v>
      </c>
    </row>
    <row r="212" spans="1:13" x14ac:dyDescent="0.25">
      <c r="A212" s="5" t="s">
        <v>16</v>
      </c>
      <c r="B212" s="5" t="s">
        <v>330</v>
      </c>
      <c r="C212" s="5" t="s">
        <v>331</v>
      </c>
      <c r="D212" s="5" t="s">
        <v>336</v>
      </c>
      <c r="E212" s="5" t="s">
        <v>337</v>
      </c>
      <c r="F212" s="6">
        <v>45658</v>
      </c>
      <c r="G212" s="5" t="s">
        <v>13</v>
      </c>
      <c r="H212" s="5" t="s">
        <v>14</v>
      </c>
      <c r="I212" s="6">
        <v>45778</v>
      </c>
      <c r="J212" s="5" t="s">
        <v>15</v>
      </c>
      <c r="K212" s="7">
        <v>1271.55</v>
      </c>
      <c r="L212" s="5">
        <v>1</v>
      </c>
      <c r="M212" s="7">
        <v>20</v>
      </c>
    </row>
    <row r="213" spans="1:13" x14ac:dyDescent="0.25">
      <c r="A213" s="5" t="s">
        <v>16</v>
      </c>
      <c r="B213" s="5" t="s">
        <v>330</v>
      </c>
      <c r="C213" s="5" t="s">
        <v>331</v>
      </c>
      <c r="D213" s="5" t="s">
        <v>338</v>
      </c>
      <c r="E213" s="5" t="s">
        <v>339</v>
      </c>
      <c r="F213" s="6">
        <v>45658</v>
      </c>
      <c r="G213" s="5" t="s">
        <v>13</v>
      </c>
      <c r="H213" s="5" t="s">
        <v>14</v>
      </c>
      <c r="I213" s="6">
        <v>45778</v>
      </c>
      <c r="J213" s="5" t="s">
        <v>15</v>
      </c>
      <c r="K213" s="7">
        <v>1010.36</v>
      </c>
      <c r="L213" s="5">
        <v>1</v>
      </c>
      <c r="M213" s="7">
        <v>20</v>
      </c>
    </row>
    <row r="214" spans="1:13" x14ac:dyDescent="0.25">
      <c r="A214" s="5" t="s">
        <v>16</v>
      </c>
      <c r="B214" s="5" t="s">
        <v>330</v>
      </c>
      <c r="C214" s="5" t="s">
        <v>331</v>
      </c>
      <c r="D214" s="5" t="s">
        <v>340</v>
      </c>
      <c r="E214" s="5" t="s">
        <v>341</v>
      </c>
      <c r="F214" s="6">
        <v>45689</v>
      </c>
      <c r="G214" s="5" t="s">
        <v>13</v>
      </c>
      <c r="H214" s="5" t="s">
        <v>14</v>
      </c>
      <c r="I214" s="6">
        <v>45778</v>
      </c>
      <c r="J214" s="5" t="s">
        <v>15</v>
      </c>
      <c r="K214" s="7">
        <v>1152.31</v>
      </c>
      <c r="L214" s="5">
        <v>1</v>
      </c>
      <c r="M214" s="7">
        <v>20</v>
      </c>
    </row>
    <row r="215" spans="1:13" x14ac:dyDescent="0.25">
      <c r="A215" s="5" t="s">
        <v>16</v>
      </c>
      <c r="B215" s="5" t="s">
        <v>17</v>
      </c>
      <c r="C215" s="5" t="s">
        <v>18</v>
      </c>
      <c r="D215" s="5" t="s">
        <v>342</v>
      </c>
      <c r="E215" s="5" t="s">
        <v>343</v>
      </c>
      <c r="F215" s="6">
        <v>45689</v>
      </c>
      <c r="G215" s="5" t="s">
        <v>13</v>
      </c>
      <c r="H215" s="5" t="s">
        <v>14</v>
      </c>
      <c r="I215" s="6">
        <v>45778</v>
      </c>
      <c r="J215" s="5" t="s">
        <v>21</v>
      </c>
      <c r="K215" s="7">
        <v>834.99</v>
      </c>
      <c r="L215" s="5">
        <v>1</v>
      </c>
      <c r="M215" s="7">
        <v>20</v>
      </c>
    </row>
    <row r="216" spans="1:13" x14ac:dyDescent="0.25">
      <c r="A216" s="5" t="s">
        <v>16</v>
      </c>
      <c r="B216" s="5" t="s">
        <v>17</v>
      </c>
      <c r="C216" s="5" t="s">
        <v>18</v>
      </c>
      <c r="D216" s="5" t="s">
        <v>344</v>
      </c>
      <c r="E216" s="5" t="s">
        <v>345</v>
      </c>
      <c r="F216" s="6">
        <v>45627</v>
      </c>
      <c r="G216" s="5" t="s">
        <v>13</v>
      </c>
      <c r="H216" s="5" t="s">
        <v>14</v>
      </c>
      <c r="I216" s="6">
        <v>45778</v>
      </c>
      <c r="J216" s="5" t="s">
        <v>21</v>
      </c>
      <c r="K216" s="7">
        <v>277.19</v>
      </c>
      <c r="L216" s="5">
        <v>1</v>
      </c>
      <c r="M216" s="7">
        <v>20</v>
      </c>
    </row>
    <row r="217" spans="1:13" x14ac:dyDescent="0.25">
      <c r="A217" s="5" t="s">
        <v>16</v>
      </c>
      <c r="B217" s="5" t="s">
        <v>17</v>
      </c>
      <c r="C217" s="5" t="s">
        <v>18</v>
      </c>
      <c r="D217" s="5" t="s">
        <v>19</v>
      </c>
      <c r="E217" s="5" t="s">
        <v>20</v>
      </c>
      <c r="F217" s="6">
        <v>45597</v>
      </c>
      <c r="G217" s="5" t="s">
        <v>13</v>
      </c>
      <c r="H217" s="5" t="s">
        <v>14</v>
      </c>
      <c r="I217" s="6">
        <v>45778</v>
      </c>
      <c r="J217" s="5" t="s">
        <v>21</v>
      </c>
      <c r="K217" s="7">
        <v>204.91</v>
      </c>
      <c r="L217" s="5">
        <v>1</v>
      </c>
      <c r="M217" s="7">
        <v>20</v>
      </c>
    </row>
    <row r="218" spans="1:13" x14ac:dyDescent="0.25">
      <c r="A218" s="5" t="s">
        <v>16</v>
      </c>
      <c r="B218" s="5" t="s">
        <v>17</v>
      </c>
      <c r="C218" s="5" t="s">
        <v>18</v>
      </c>
      <c r="D218" s="5" t="s">
        <v>346</v>
      </c>
      <c r="E218" s="5" t="s">
        <v>347</v>
      </c>
      <c r="F218" s="6">
        <v>45658</v>
      </c>
      <c r="G218" s="5" t="s">
        <v>13</v>
      </c>
      <c r="H218" s="5" t="s">
        <v>14</v>
      </c>
      <c r="I218" s="6">
        <v>45778</v>
      </c>
      <c r="J218" s="5" t="s">
        <v>21</v>
      </c>
      <c r="K218" s="7">
        <v>646</v>
      </c>
      <c r="L218" s="5">
        <v>1</v>
      </c>
      <c r="M218" s="7">
        <v>20</v>
      </c>
    </row>
    <row r="219" spans="1:13" x14ac:dyDescent="0.25">
      <c r="A219" s="5" t="s">
        <v>16</v>
      </c>
      <c r="B219" s="5" t="s">
        <v>17</v>
      </c>
      <c r="C219" s="5" t="s">
        <v>18</v>
      </c>
      <c r="D219" s="5" t="s">
        <v>348</v>
      </c>
      <c r="E219" s="5" t="s">
        <v>345</v>
      </c>
      <c r="F219" s="6">
        <v>45627</v>
      </c>
      <c r="G219" s="5" t="s">
        <v>13</v>
      </c>
      <c r="H219" s="5" t="s">
        <v>14</v>
      </c>
      <c r="I219" s="6">
        <v>45778</v>
      </c>
      <c r="J219" s="5" t="s">
        <v>21</v>
      </c>
      <c r="K219" s="7">
        <v>379.73</v>
      </c>
      <c r="L219" s="5">
        <v>1</v>
      </c>
      <c r="M219" s="7">
        <v>20</v>
      </c>
    </row>
    <row r="220" spans="1:13" x14ac:dyDescent="0.25">
      <c r="A220" s="5" t="s">
        <v>16</v>
      </c>
      <c r="B220" s="5" t="s">
        <v>17</v>
      </c>
      <c r="C220" s="5" t="s">
        <v>18</v>
      </c>
      <c r="D220" s="5" t="s">
        <v>23</v>
      </c>
      <c r="E220" s="5" t="s">
        <v>20</v>
      </c>
      <c r="F220" s="6">
        <v>45597</v>
      </c>
      <c r="G220" s="5" t="s">
        <v>13</v>
      </c>
      <c r="H220" s="5" t="s">
        <v>14</v>
      </c>
      <c r="I220" s="6">
        <v>45778</v>
      </c>
      <c r="J220" s="5" t="s">
        <v>21</v>
      </c>
      <c r="K220" s="7">
        <v>244.55</v>
      </c>
      <c r="L220" s="5">
        <v>1</v>
      </c>
      <c r="M220" s="7">
        <v>20</v>
      </c>
    </row>
    <row r="221" spans="1:13" x14ac:dyDescent="0.25">
      <c r="A221" s="5" t="s">
        <v>16</v>
      </c>
      <c r="B221" s="5" t="s">
        <v>17</v>
      </c>
      <c r="C221" s="5" t="s">
        <v>18</v>
      </c>
      <c r="D221" s="5" t="s">
        <v>349</v>
      </c>
      <c r="E221" s="5" t="s">
        <v>347</v>
      </c>
      <c r="F221" s="6">
        <v>45658</v>
      </c>
      <c r="G221" s="5" t="s">
        <v>13</v>
      </c>
      <c r="H221" s="5" t="s">
        <v>14</v>
      </c>
      <c r="I221" s="6">
        <v>45778</v>
      </c>
      <c r="J221" s="5" t="s">
        <v>21</v>
      </c>
      <c r="K221" s="7">
        <v>540.76</v>
      </c>
      <c r="L221" s="5">
        <v>1</v>
      </c>
      <c r="M221" s="7">
        <v>20</v>
      </c>
    </row>
    <row r="222" spans="1:13" x14ac:dyDescent="0.25">
      <c r="A222" s="5" t="s">
        <v>16</v>
      </c>
      <c r="B222" s="5" t="s">
        <v>17</v>
      </c>
      <c r="C222" s="5" t="s">
        <v>18</v>
      </c>
      <c r="D222" s="5" t="s">
        <v>24</v>
      </c>
      <c r="E222" s="5" t="s">
        <v>20</v>
      </c>
      <c r="F222" s="6">
        <v>45597</v>
      </c>
      <c r="G222" s="5" t="s">
        <v>13</v>
      </c>
      <c r="H222" s="5" t="s">
        <v>14</v>
      </c>
      <c r="I222" s="6">
        <v>45778</v>
      </c>
      <c r="J222" s="5" t="s">
        <v>21</v>
      </c>
      <c r="K222" s="7">
        <v>726.94</v>
      </c>
      <c r="L222" s="5">
        <v>1</v>
      </c>
      <c r="M222" s="7">
        <v>20</v>
      </c>
    </row>
    <row r="223" spans="1:13" x14ac:dyDescent="0.25">
      <c r="A223" s="5" t="s">
        <v>16</v>
      </c>
      <c r="B223" s="5" t="s">
        <v>17</v>
      </c>
      <c r="C223" s="5" t="s">
        <v>18</v>
      </c>
      <c r="D223" s="5" t="s">
        <v>25</v>
      </c>
      <c r="E223" s="5" t="s">
        <v>20</v>
      </c>
      <c r="F223" s="6">
        <v>45597</v>
      </c>
      <c r="G223" s="5" t="s">
        <v>13</v>
      </c>
      <c r="H223" s="5" t="s">
        <v>14</v>
      </c>
      <c r="I223" s="6">
        <v>45778</v>
      </c>
      <c r="J223" s="5" t="s">
        <v>21</v>
      </c>
      <c r="K223" s="7">
        <v>652.75</v>
      </c>
      <c r="L223" s="5">
        <v>1</v>
      </c>
      <c r="M223" s="7">
        <v>20</v>
      </c>
    </row>
    <row r="224" spans="1:13" x14ac:dyDescent="0.25">
      <c r="A224" s="5" t="s">
        <v>16</v>
      </c>
      <c r="B224" s="5" t="s">
        <v>17</v>
      </c>
      <c r="C224" s="5" t="s">
        <v>18</v>
      </c>
      <c r="D224" s="5" t="s">
        <v>26</v>
      </c>
      <c r="E224" s="5" t="s">
        <v>20</v>
      </c>
      <c r="F224" s="6">
        <v>45597</v>
      </c>
      <c r="G224" s="5" t="s">
        <v>13</v>
      </c>
      <c r="H224" s="5" t="s">
        <v>14</v>
      </c>
      <c r="I224" s="6">
        <v>45778</v>
      </c>
      <c r="J224" s="5" t="s">
        <v>21</v>
      </c>
      <c r="K224" s="7">
        <v>230.08</v>
      </c>
      <c r="L224" s="5">
        <v>1</v>
      </c>
      <c r="M224" s="7">
        <v>20</v>
      </c>
    </row>
    <row r="225" spans="1:13" x14ac:dyDescent="0.25">
      <c r="A225" s="5" t="s">
        <v>16</v>
      </c>
      <c r="B225" s="5" t="s">
        <v>17</v>
      </c>
      <c r="C225" s="5" t="s">
        <v>18</v>
      </c>
      <c r="D225" s="5" t="s">
        <v>350</v>
      </c>
      <c r="E225" s="5" t="s">
        <v>343</v>
      </c>
      <c r="F225" s="6">
        <v>45689</v>
      </c>
      <c r="G225" s="5" t="s">
        <v>13</v>
      </c>
      <c r="H225" s="5" t="s">
        <v>14</v>
      </c>
      <c r="I225" s="6">
        <v>45778</v>
      </c>
      <c r="J225" s="5" t="s">
        <v>21</v>
      </c>
      <c r="K225" s="7">
        <v>311.16000000000003</v>
      </c>
      <c r="L225" s="5">
        <v>1</v>
      </c>
      <c r="M225" s="7">
        <v>20</v>
      </c>
    </row>
    <row r="226" spans="1:13" x14ac:dyDescent="0.25">
      <c r="A226" s="5" t="s">
        <v>16</v>
      </c>
      <c r="B226" s="5" t="s">
        <v>17</v>
      </c>
      <c r="C226" s="5" t="s">
        <v>18</v>
      </c>
      <c r="D226" s="5" t="s">
        <v>351</v>
      </c>
      <c r="E226" s="5" t="s">
        <v>352</v>
      </c>
      <c r="F226" s="6">
        <v>45627</v>
      </c>
      <c r="G226" s="5" t="s">
        <v>13</v>
      </c>
      <c r="H226" s="5" t="s">
        <v>14</v>
      </c>
      <c r="I226" s="6">
        <v>45778</v>
      </c>
      <c r="J226" s="5" t="s">
        <v>21</v>
      </c>
      <c r="K226" s="7">
        <v>298.77</v>
      </c>
      <c r="L226" s="5">
        <v>1</v>
      </c>
      <c r="M226" s="7">
        <v>20</v>
      </c>
    </row>
    <row r="227" spans="1:13" x14ac:dyDescent="0.25">
      <c r="A227" s="5" t="s">
        <v>16</v>
      </c>
      <c r="B227" s="5" t="s">
        <v>17</v>
      </c>
      <c r="C227" s="5" t="s">
        <v>18</v>
      </c>
      <c r="D227" s="5" t="s">
        <v>353</v>
      </c>
      <c r="E227" s="5" t="s">
        <v>345</v>
      </c>
      <c r="F227" s="6">
        <v>45627</v>
      </c>
      <c r="G227" s="5" t="s">
        <v>13</v>
      </c>
      <c r="H227" s="5" t="s">
        <v>14</v>
      </c>
      <c r="I227" s="6">
        <v>45778</v>
      </c>
      <c r="J227" s="5" t="s">
        <v>21</v>
      </c>
      <c r="K227" s="7">
        <v>363.79</v>
      </c>
      <c r="L227" s="5">
        <v>1</v>
      </c>
      <c r="M227" s="7">
        <v>20</v>
      </c>
    </row>
    <row r="228" spans="1:13" x14ac:dyDescent="0.25">
      <c r="A228" s="5" t="s">
        <v>16</v>
      </c>
      <c r="B228" s="5" t="s">
        <v>354</v>
      </c>
      <c r="C228" s="5" t="s">
        <v>355</v>
      </c>
      <c r="D228" s="5" t="s">
        <v>356</v>
      </c>
      <c r="E228" s="5" t="s">
        <v>357</v>
      </c>
      <c r="F228" s="6">
        <v>45597</v>
      </c>
      <c r="G228" s="5" t="s">
        <v>13</v>
      </c>
      <c r="H228" s="5" t="s">
        <v>14</v>
      </c>
      <c r="I228" s="6">
        <v>45778</v>
      </c>
      <c r="J228" s="5" t="s">
        <v>358</v>
      </c>
      <c r="K228" s="7">
        <v>889.25</v>
      </c>
      <c r="L228" s="5">
        <v>1</v>
      </c>
      <c r="M228" s="7">
        <v>20</v>
      </c>
    </row>
    <row r="229" spans="1:13" x14ac:dyDescent="0.25">
      <c r="A229" s="5" t="s">
        <v>16</v>
      </c>
      <c r="B229" s="5" t="s">
        <v>359</v>
      </c>
      <c r="C229" s="5" t="s">
        <v>360</v>
      </c>
      <c r="D229" s="5" t="s">
        <v>361</v>
      </c>
      <c r="E229" s="5" t="s">
        <v>362</v>
      </c>
      <c r="F229" s="6">
        <v>45658</v>
      </c>
      <c r="G229" s="5" t="s">
        <v>13</v>
      </c>
      <c r="H229" s="5" t="s">
        <v>14</v>
      </c>
      <c r="I229" s="6">
        <v>45778</v>
      </c>
      <c r="J229" s="5" t="s">
        <v>70</v>
      </c>
      <c r="K229" s="7">
        <v>374.45</v>
      </c>
      <c r="L229" s="5">
        <v>1</v>
      </c>
      <c r="M229" s="7">
        <v>20</v>
      </c>
    </row>
    <row r="230" spans="1:13" x14ac:dyDescent="0.25">
      <c r="A230" s="5" t="s">
        <v>16</v>
      </c>
      <c r="B230" s="5" t="s">
        <v>359</v>
      </c>
      <c r="C230" s="5" t="s">
        <v>360</v>
      </c>
      <c r="D230" s="5" t="s">
        <v>363</v>
      </c>
      <c r="E230" s="5" t="s">
        <v>364</v>
      </c>
      <c r="F230" s="6">
        <v>45778</v>
      </c>
      <c r="G230" s="5" t="s">
        <v>13</v>
      </c>
      <c r="H230" s="5" t="s">
        <v>14</v>
      </c>
      <c r="I230" s="6">
        <v>45778</v>
      </c>
      <c r="J230" s="5" t="s">
        <v>70</v>
      </c>
      <c r="K230" s="7">
        <v>426.17</v>
      </c>
      <c r="L230" s="5">
        <v>1</v>
      </c>
      <c r="M230" s="7">
        <v>20</v>
      </c>
    </row>
    <row r="231" spans="1:13" x14ac:dyDescent="0.25">
      <c r="A231" s="5" t="s">
        <v>16</v>
      </c>
      <c r="B231" s="5" t="s">
        <v>359</v>
      </c>
      <c r="C231" s="5" t="s">
        <v>360</v>
      </c>
      <c r="D231" s="5" t="s">
        <v>365</v>
      </c>
      <c r="E231" s="5" t="s">
        <v>366</v>
      </c>
      <c r="F231" s="6">
        <v>45658</v>
      </c>
      <c r="G231" s="5" t="s">
        <v>13</v>
      </c>
      <c r="H231" s="5" t="s">
        <v>14</v>
      </c>
      <c r="I231" s="6">
        <v>45748</v>
      </c>
      <c r="J231" s="5" t="s">
        <v>70</v>
      </c>
      <c r="K231" s="7">
        <v>714.77</v>
      </c>
      <c r="L231" s="5">
        <v>1</v>
      </c>
      <c r="M231" s="7">
        <v>20</v>
      </c>
    </row>
    <row r="232" spans="1:13" x14ac:dyDescent="0.25">
      <c r="A232" s="5" t="s">
        <v>16</v>
      </c>
      <c r="B232" s="5" t="s">
        <v>359</v>
      </c>
      <c r="C232" s="5" t="s">
        <v>360</v>
      </c>
      <c r="D232" s="5" t="s">
        <v>365</v>
      </c>
      <c r="E232" s="5" t="s">
        <v>366</v>
      </c>
      <c r="F232" s="6">
        <v>45658</v>
      </c>
      <c r="G232" s="5" t="s">
        <v>13</v>
      </c>
      <c r="H232" s="5" t="s">
        <v>14</v>
      </c>
      <c r="I232" s="6">
        <v>45778</v>
      </c>
      <c r="J232" s="5" t="s">
        <v>70</v>
      </c>
      <c r="K232" s="7">
        <v>714.77</v>
      </c>
      <c r="L232" s="5">
        <v>1</v>
      </c>
      <c r="M232" s="7">
        <v>20</v>
      </c>
    </row>
    <row r="233" spans="1:13" x14ac:dyDescent="0.25">
      <c r="A233" s="5" t="s">
        <v>16</v>
      </c>
      <c r="B233" s="5" t="s">
        <v>359</v>
      </c>
      <c r="C233" s="5" t="s">
        <v>360</v>
      </c>
      <c r="D233" s="5" t="s">
        <v>367</v>
      </c>
      <c r="E233" s="5" t="s">
        <v>368</v>
      </c>
      <c r="F233" s="6">
        <v>45658</v>
      </c>
      <c r="G233" s="5" t="s">
        <v>13</v>
      </c>
      <c r="H233" s="5" t="s">
        <v>14</v>
      </c>
      <c r="I233" s="6">
        <v>45778</v>
      </c>
      <c r="J233" s="5" t="s">
        <v>31</v>
      </c>
      <c r="K233" s="7">
        <v>1149.57</v>
      </c>
      <c r="L233" s="5">
        <v>1</v>
      </c>
      <c r="M233" s="7">
        <v>20</v>
      </c>
    </row>
    <row r="234" spans="1:13" x14ac:dyDescent="0.25">
      <c r="A234" s="5" t="s">
        <v>16</v>
      </c>
      <c r="B234" s="5" t="s">
        <v>369</v>
      </c>
      <c r="C234" s="5" t="s">
        <v>370</v>
      </c>
      <c r="D234" s="5" t="s">
        <v>371</v>
      </c>
      <c r="E234" s="5" t="s">
        <v>372</v>
      </c>
      <c r="F234" s="6">
        <v>45658</v>
      </c>
      <c r="G234" s="5" t="s">
        <v>13</v>
      </c>
      <c r="H234" s="5" t="s">
        <v>14</v>
      </c>
      <c r="I234" s="6">
        <v>45778</v>
      </c>
      <c r="J234" s="5" t="s">
        <v>31</v>
      </c>
      <c r="K234" s="7">
        <v>352.25</v>
      </c>
      <c r="L234" s="5">
        <v>1</v>
      </c>
      <c r="M234" s="7">
        <v>20</v>
      </c>
    </row>
    <row r="235" spans="1:13" x14ac:dyDescent="0.25">
      <c r="A235" s="5" t="s">
        <v>16</v>
      </c>
      <c r="B235" s="5" t="s">
        <v>373</v>
      </c>
      <c r="C235" s="5" t="s">
        <v>374</v>
      </c>
      <c r="D235" s="5" t="s">
        <v>375</v>
      </c>
      <c r="E235" s="5" t="s">
        <v>376</v>
      </c>
      <c r="F235" s="6">
        <v>45658</v>
      </c>
      <c r="G235" s="5" t="s">
        <v>13</v>
      </c>
      <c r="H235" s="5" t="s">
        <v>14</v>
      </c>
      <c r="I235" s="6">
        <v>45717</v>
      </c>
      <c r="J235" s="5" t="s">
        <v>358</v>
      </c>
      <c r="K235" s="7">
        <v>276.82</v>
      </c>
      <c r="L235" s="5">
        <v>1</v>
      </c>
      <c r="M235" s="7">
        <v>20</v>
      </c>
    </row>
    <row r="236" spans="1:13" x14ac:dyDescent="0.25">
      <c r="A236" s="5" t="s">
        <v>16</v>
      </c>
      <c r="B236" s="5" t="s">
        <v>373</v>
      </c>
      <c r="C236" s="5" t="s">
        <v>374</v>
      </c>
      <c r="D236" s="5" t="s">
        <v>375</v>
      </c>
      <c r="E236" s="5" t="s">
        <v>376</v>
      </c>
      <c r="F236" s="6">
        <v>45658</v>
      </c>
      <c r="G236" s="5" t="s">
        <v>13</v>
      </c>
      <c r="H236" s="5" t="s">
        <v>14</v>
      </c>
      <c r="I236" s="6">
        <v>45778</v>
      </c>
      <c r="J236" s="5" t="s">
        <v>358</v>
      </c>
      <c r="K236" s="7">
        <v>276.82</v>
      </c>
      <c r="L236" s="5">
        <v>1</v>
      </c>
      <c r="M236" s="7">
        <v>20</v>
      </c>
    </row>
    <row r="237" spans="1:13" x14ac:dyDescent="0.25">
      <c r="A237" s="5" t="s">
        <v>16</v>
      </c>
      <c r="B237" s="5" t="s">
        <v>373</v>
      </c>
      <c r="C237" s="5" t="s">
        <v>374</v>
      </c>
      <c r="D237" s="5" t="s">
        <v>375</v>
      </c>
      <c r="E237" s="5" t="s">
        <v>376</v>
      </c>
      <c r="F237" s="6">
        <v>45658</v>
      </c>
      <c r="G237" s="5" t="s">
        <v>13</v>
      </c>
      <c r="H237" s="5" t="s">
        <v>14</v>
      </c>
      <c r="I237" s="6">
        <v>45748</v>
      </c>
      <c r="J237" s="5" t="s">
        <v>358</v>
      </c>
      <c r="K237" s="7">
        <v>276.82</v>
      </c>
      <c r="L237" s="5">
        <v>1</v>
      </c>
      <c r="M237" s="7">
        <v>20</v>
      </c>
    </row>
    <row r="238" spans="1:13" x14ac:dyDescent="0.25">
      <c r="A238" s="5" t="s">
        <v>16</v>
      </c>
      <c r="B238" s="5" t="s">
        <v>373</v>
      </c>
      <c r="C238" s="5" t="s">
        <v>374</v>
      </c>
      <c r="D238" s="5" t="s">
        <v>377</v>
      </c>
      <c r="E238" s="5" t="s">
        <v>378</v>
      </c>
      <c r="F238" s="6">
        <v>45689</v>
      </c>
      <c r="G238" s="5" t="s">
        <v>13</v>
      </c>
      <c r="H238" s="5" t="s">
        <v>14</v>
      </c>
      <c r="I238" s="6">
        <v>45778</v>
      </c>
      <c r="J238" s="5" t="s">
        <v>358</v>
      </c>
      <c r="K238" s="7">
        <v>1164.24</v>
      </c>
      <c r="L238" s="5">
        <v>1</v>
      </c>
      <c r="M238" s="7">
        <v>20</v>
      </c>
    </row>
    <row r="239" spans="1:13" x14ac:dyDescent="0.25">
      <c r="A239" s="5" t="s">
        <v>16</v>
      </c>
      <c r="B239" s="5" t="s">
        <v>27</v>
      </c>
      <c r="C239" s="5" t="s">
        <v>28</v>
      </c>
      <c r="D239" s="5" t="s">
        <v>379</v>
      </c>
      <c r="E239" s="5" t="s">
        <v>380</v>
      </c>
      <c r="F239" s="6">
        <v>45658</v>
      </c>
      <c r="G239" s="5" t="s">
        <v>13</v>
      </c>
      <c r="H239" s="5" t="s">
        <v>14</v>
      </c>
      <c r="I239" s="6">
        <v>45778</v>
      </c>
      <c r="J239" s="5" t="s">
        <v>358</v>
      </c>
      <c r="K239" s="7">
        <v>259.16000000000003</v>
      </c>
      <c r="L239" s="5">
        <v>1</v>
      </c>
      <c r="M239" s="7">
        <v>20</v>
      </c>
    </row>
    <row r="240" spans="1:13" x14ac:dyDescent="0.25">
      <c r="A240" s="5" t="s">
        <v>16</v>
      </c>
      <c r="B240" s="5" t="s">
        <v>27</v>
      </c>
      <c r="C240" s="5" t="s">
        <v>28</v>
      </c>
      <c r="D240" s="5" t="s">
        <v>381</v>
      </c>
      <c r="E240" s="5" t="s">
        <v>380</v>
      </c>
      <c r="F240" s="6">
        <v>45658</v>
      </c>
      <c r="G240" s="5" t="s">
        <v>13</v>
      </c>
      <c r="H240" s="5" t="s">
        <v>14</v>
      </c>
      <c r="I240" s="6">
        <v>45778</v>
      </c>
      <c r="J240" s="5" t="s">
        <v>358</v>
      </c>
      <c r="K240" s="7">
        <v>508.16</v>
      </c>
      <c r="L240" s="5">
        <v>1</v>
      </c>
      <c r="M240" s="7">
        <v>20</v>
      </c>
    </row>
    <row r="241" spans="1:13" x14ac:dyDescent="0.25">
      <c r="A241" s="5" t="s">
        <v>16</v>
      </c>
      <c r="B241" s="5" t="s">
        <v>27</v>
      </c>
      <c r="C241" s="5" t="s">
        <v>28</v>
      </c>
      <c r="D241" s="5" t="s">
        <v>382</v>
      </c>
      <c r="E241" s="5" t="s">
        <v>380</v>
      </c>
      <c r="F241" s="6">
        <v>45658</v>
      </c>
      <c r="G241" s="5" t="s">
        <v>13</v>
      </c>
      <c r="H241" s="5" t="s">
        <v>14</v>
      </c>
      <c r="I241" s="6">
        <v>45778</v>
      </c>
      <c r="J241" s="5" t="s">
        <v>358</v>
      </c>
      <c r="K241" s="7">
        <v>553.89</v>
      </c>
      <c r="L241" s="5">
        <v>1</v>
      </c>
      <c r="M241" s="7">
        <v>20</v>
      </c>
    </row>
    <row r="242" spans="1:13" x14ac:dyDescent="0.25">
      <c r="A242" s="5" t="s">
        <v>16</v>
      </c>
      <c r="B242" s="5" t="s">
        <v>27</v>
      </c>
      <c r="C242" s="5" t="s">
        <v>28</v>
      </c>
      <c r="D242" s="5" t="s">
        <v>383</v>
      </c>
      <c r="E242" s="5" t="s">
        <v>380</v>
      </c>
      <c r="F242" s="6">
        <v>45658</v>
      </c>
      <c r="G242" s="5" t="s">
        <v>13</v>
      </c>
      <c r="H242" s="5" t="s">
        <v>14</v>
      </c>
      <c r="I242" s="6">
        <v>45778</v>
      </c>
      <c r="J242" s="5" t="s">
        <v>358</v>
      </c>
      <c r="K242" s="7">
        <v>259.16000000000003</v>
      </c>
      <c r="L242" s="5">
        <v>1</v>
      </c>
      <c r="M242" s="7">
        <v>20</v>
      </c>
    </row>
    <row r="243" spans="1:13" x14ac:dyDescent="0.25">
      <c r="A243" s="5" t="s">
        <v>16</v>
      </c>
      <c r="B243" s="5" t="s">
        <v>27</v>
      </c>
      <c r="C243" s="5" t="s">
        <v>28</v>
      </c>
      <c r="D243" s="5" t="s">
        <v>384</v>
      </c>
      <c r="E243" s="5" t="s">
        <v>385</v>
      </c>
      <c r="F243" s="6">
        <v>45658</v>
      </c>
      <c r="G243" s="5" t="s">
        <v>13</v>
      </c>
      <c r="H243" s="5" t="s">
        <v>14</v>
      </c>
      <c r="I243" s="6">
        <v>45778</v>
      </c>
      <c r="J243" s="5" t="s">
        <v>358</v>
      </c>
      <c r="K243" s="7">
        <v>411.27</v>
      </c>
      <c r="L243" s="5">
        <v>1</v>
      </c>
      <c r="M243" s="7">
        <v>20</v>
      </c>
    </row>
    <row r="244" spans="1:13" x14ac:dyDescent="0.25">
      <c r="A244" s="5" t="s">
        <v>16</v>
      </c>
      <c r="B244" s="5" t="s">
        <v>27</v>
      </c>
      <c r="C244" s="5" t="s">
        <v>28</v>
      </c>
      <c r="D244" s="5" t="s">
        <v>386</v>
      </c>
      <c r="E244" s="5" t="s">
        <v>387</v>
      </c>
      <c r="F244" s="6">
        <v>45658</v>
      </c>
      <c r="G244" s="5" t="s">
        <v>13</v>
      </c>
      <c r="H244" s="5" t="s">
        <v>14</v>
      </c>
      <c r="I244" s="6">
        <v>45778</v>
      </c>
      <c r="J244" s="5" t="s">
        <v>70</v>
      </c>
      <c r="K244" s="7">
        <v>891.42</v>
      </c>
      <c r="L244" s="5">
        <v>1</v>
      </c>
      <c r="M244" s="7">
        <v>20</v>
      </c>
    </row>
    <row r="245" spans="1:13" x14ac:dyDescent="0.25">
      <c r="A245" s="5" t="s">
        <v>16</v>
      </c>
      <c r="B245" s="5" t="s">
        <v>27</v>
      </c>
      <c r="C245" s="5" t="s">
        <v>28</v>
      </c>
      <c r="D245" s="5" t="s">
        <v>388</v>
      </c>
      <c r="E245" s="5" t="s">
        <v>389</v>
      </c>
      <c r="F245" s="6">
        <v>45658</v>
      </c>
      <c r="G245" s="5" t="s">
        <v>13</v>
      </c>
      <c r="H245" s="5" t="s">
        <v>14</v>
      </c>
      <c r="I245" s="6">
        <v>45778</v>
      </c>
      <c r="J245" s="5" t="s">
        <v>70</v>
      </c>
      <c r="K245" s="7">
        <v>817.98</v>
      </c>
      <c r="L245" s="5">
        <v>1</v>
      </c>
      <c r="M245" s="7">
        <v>20</v>
      </c>
    </row>
    <row r="246" spans="1:13" x14ac:dyDescent="0.25">
      <c r="A246" s="5" t="s">
        <v>16</v>
      </c>
      <c r="B246" s="5" t="s">
        <v>27</v>
      </c>
      <c r="C246" s="5" t="s">
        <v>28</v>
      </c>
      <c r="D246" s="5" t="s">
        <v>390</v>
      </c>
      <c r="E246" s="5" t="s">
        <v>391</v>
      </c>
      <c r="F246" s="6">
        <v>45658</v>
      </c>
      <c r="G246" s="5" t="s">
        <v>13</v>
      </c>
      <c r="H246" s="5" t="s">
        <v>14</v>
      </c>
      <c r="I246" s="6">
        <v>45778</v>
      </c>
      <c r="J246" s="5" t="s">
        <v>70</v>
      </c>
      <c r="K246" s="7">
        <v>845.5</v>
      </c>
      <c r="L246" s="5">
        <v>1</v>
      </c>
      <c r="M246" s="7">
        <v>20</v>
      </c>
    </row>
    <row r="247" spans="1:13" x14ac:dyDescent="0.25">
      <c r="A247" s="5" t="s">
        <v>16</v>
      </c>
      <c r="B247" s="5" t="s">
        <v>27</v>
      </c>
      <c r="C247" s="5" t="s">
        <v>28</v>
      </c>
      <c r="D247" s="5" t="s">
        <v>392</v>
      </c>
      <c r="E247" s="5" t="s">
        <v>393</v>
      </c>
      <c r="F247" s="6">
        <v>45658</v>
      </c>
      <c r="G247" s="5" t="s">
        <v>13</v>
      </c>
      <c r="H247" s="5" t="s">
        <v>14</v>
      </c>
      <c r="I247" s="6">
        <v>45778</v>
      </c>
      <c r="J247" s="5" t="s">
        <v>70</v>
      </c>
      <c r="K247" s="7">
        <v>534.5</v>
      </c>
      <c r="L247" s="5">
        <v>1</v>
      </c>
      <c r="M247" s="7">
        <v>20</v>
      </c>
    </row>
    <row r="248" spans="1:13" x14ac:dyDescent="0.25">
      <c r="A248" s="5" t="s">
        <v>16</v>
      </c>
      <c r="B248" s="5" t="s">
        <v>27</v>
      </c>
      <c r="C248" s="5" t="s">
        <v>28</v>
      </c>
      <c r="D248" s="5" t="s">
        <v>394</v>
      </c>
      <c r="E248" s="5" t="s">
        <v>395</v>
      </c>
      <c r="F248" s="6">
        <v>45658</v>
      </c>
      <c r="G248" s="5" t="s">
        <v>13</v>
      </c>
      <c r="H248" s="5" t="s">
        <v>14</v>
      </c>
      <c r="I248" s="6">
        <v>45778</v>
      </c>
      <c r="J248" s="5" t="s">
        <v>70</v>
      </c>
      <c r="K248" s="7">
        <v>753.34</v>
      </c>
      <c r="L248" s="5">
        <v>1</v>
      </c>
      <c r="M248" s="7">
        <v>20</v>
      </c>
    </row>
    <row r="249" spans="1:13" x14ac:dyDescent="0.25">
      <c r="A249" s="5" t="s">
        <v>16</v>
      </c>
      <c r="B249" s="5" t="s">
        <v>27</v>
      </c>
      <c r="C249" s="5" t="s">
        <v>28</v>
      </c>
      <c r="D249" s="5" t="s">
        <v>68</v>
      </c>
      <c r="E249" s="5" t="s">
        <v>69</v>
      </c>
      <c r="F249" s="6">
        <v>45658</v>
      </c>
      <c r="G249" s="5" t="s">
        <v>13</v>
      </c>
      <c r="H249" s="5" t="s">
        <v>14</v>
      </c>
      <c r="I249" s="6">
        <v>45778</v>
      </c>
      <c r="J249" s="5" t="s">
        <v>70</v>
      </c>
      <c r="K249" s="7">
        <v>660.33</v>
      </c>
      <c r="L249" s="5">
        <v>1</v>
      </c>
      <c r="M249" s="7">
        <v>20</v>
      </c>
    </row>
    <row r="250" spans="1:13" x14ac:dyDescent="0.25">
      <c r="A250" s="5" t="s">
        <v>16</v>
      </c>
      <c r="B250" s="5" t="s">
        <v>27</v>
      </c>
      <c r="C250" s="5" t="s">
        <v>28</v>
      </c>
      <c r="D250" s="5" t="s">
        <v>396</v>
      </c>
      <c r="E250" s="5" t="s">
        <v>395</v>
      </c>
      <c r="F250" s="6">
        <v>45658</v>
      </c>
      <c r="G250" s="5" t="s">
        <v>13</v>
      </c>
      <c r="H250" s="5" t="s">
        <v>14</v>
      </c>
      <c r="I250" s="6">
        <v>45778</v>
      </c>
      <c r="J250" s="5" t="s">
        <v>70</v>
      </c>
      <c r="K250" s="7">
        <v>830.8</v>
      </c>
      <c r="L250" s="5">
        <v>1</v>
      </c>
      <c r="M250" s="7">
        <v>20</v>
      </c>
    </row>
    <row r="251" spans="1:13" x14ac:dyDescent="0.25">
      <c r="A251" s="5" t="s">
        <v>16</v>
      </c>
      <c r="B251" s="5" t="s">
        <v>27</v>
      </c>
      <c r="C251" s="5" t="s">
        <v>28</v>
      </c>
      <c r="D251" s="5" t="s">
        <v>397</v>
      </c>
      <c r="E251" s="5" t="s">
        <v>398</v>
      </c>
      <c r="F251" s="6">
        <v>45748</v>
      </c>
      <c r="G251" s="5" t="s">
        <v>13</v>
      </c>
      <c r="H251" s="5" t="s">
        <v>14</v>
      </c>
      <c r="I251" s="6">
        <v>45778</v>
      </c>
      <c r="J251" s="5" t="s">
        <v>70</v>
      </c>
      <c r="K251" s="7">
        <v>604.97</v>
      </c>
      <c r="L251" s="5">
        <v>1</v>
      </c>
      <c r="M251" s="7">
        <v>20</v>
      </c>
    </row>
    <row r="252" spans="1:13" x14ac:dyDescent="0.25">
      <c r="A252" s="5" t="s">
        <v>16</v>
      </c>
      <c r="B252" s="5" t="s">
        <v>27</v>
      </c>
      <c r="C252" s="5" t="s">
        <v>28</v>
      </c>
      <c r="D252" s="5" t="s">
        <v>399</v>
      </c>
      <c r="E252" s="5" t="s">
        <v>398</v>
      </c>
      <c r="F252" s="6">
        <v>45748</v>
      </c>
      <c r="G252" s="5" t="s">
        <v>13</v>
      </c>
      <c r="H252" s="5" t="s">
        <v>14</v>
      </c>
      <c r="I252" s="6">
        <v>45778</v>
      </c>
      <c r="J252" s="5" t="s">
        <v>70</v>
      </c>
      <c r="K252" s="7">
        <v>619.51</v>
      </c>
      <c r="L252" s="5">
        <v>1</v>
      </c>
      <c r="M252" s="7">
        <v>20</v>
      </c>
    </row>
    <row r="253" spans="1:13" x14ac:dyDescent="0.25">
      <c r="A253" s="5" t="s">
        <v>16</v>
      </c>
      <c r="B253" s="5" t="s">
        <v>27</v>
      </c>
      <c r="C253" s="5" t="s">
        <v>28</v>
      </c>
      <c r="D253" s="5" t="s">
        <v>29</v>
      </c>
      <c r="E253" s="5" t="s">
        <v>30</v>
      </c>
      <c r="F253" s="6">
        <v>45658</v>
      </c>
      <c r="G253" s="5" t="s">
        <v>13</v>
      </c>
      <c r="H253" s="5" t="s">
        <v>14</v>
      </c>
      <c r="I253" s="6">
        <v>45778</v>
      </c>
      <c r="J253" s="5" t="s">
        <v>31</v>
      </c>
      <c r="K253" s="7">
        <v>919.58</v>
      </c>
      <c r="L253" s="5">
        <v>1</v>
      </c>
      <c r="M253" s="7">
        <v>20</v>
      </c>
    </row>
    <row r="254" spans="1:13" x14ac:dyDescent="0.25">
      <c r="A254" s="5" t="s">
        <v>16</v>
      </c>
      <c r="B254" s="5" t="s">
        <v>27</v>
      </c>
      <c r="C254" s="5" t="s">
        <v>28</v>
      </c>
      <c r="D254" s="5" t="s">
        <v>400</v>
      </c>
      <c r="E254" s="5" t="s">
        <v>401</v>
      </c>
      <c r="F254" s="6">
        <v>45658</v>
      </c>
      <c r="G254" s="5" t="s">
        <v>13</v>
      </c>
      <c r="H254" s="5" t="s">
        <v>14</v>
      </c>
      <c r="I254" s="6">
        <v>45778</v>
      </c>
      <c r="J254" s="5" t="s">
        <v>31</v>
      </c>
      <c r="K254" s="7">
        <v>858.37</v>
      </c>
      <c r="L254" s="5">
        <v>1</v>
      </c>
      <c r="M254" s="7">
        <v>20</v>
      </c>
    </row>
    <row r="255" spans="1:13" x14ac:dyDescent="0.25">
      <c r="A255" s="5" t="s">
        <v>16</v>
      </c>
      <c r="B255" s="5" t="s">
        <v>27</v>
      </c>
      <c r="C255" s="5" t="s">
        <v>28</v>
      </c>
      <c r="D255" s="5" t="s">
        <v>402</v>
      </c>
      <c r="E255" s="5" t="s">
        <v>403</v>
      </c>
      <c r="F255" s="6">
        <v>45627</v>
      </c>
      <c r="G255" s="5" t="s">
        <v>13</v>
      </c>
      <c r="H255" s="5" t="s">
        <v>14</v>
      </c>
      <c r="I255" s="6">
        <v>45778</v>
      </c>
      <c r="J255" s="5" t="s">
        <v>31</v>
      </c>
      <c r="K255" s="7">
        <v>1030.26</v>
      </c>
      <c r="L255" s="5">
        <v>1</v>
      </c>
      <c r="M255" s="7">
        <v>20</v>
      </c>
    </row>
    <row r="256" spans="1:13" x14ac:dyDescent="0.25">
      <c r="A256" s="5" t="s">
        <v>16</v>
      </c>
      <c r="B256" s="5" t="s">
        <v>27</v>
      </c>
      <c r="C256" s="5" t="s">
        <v>28</v>
      </c>
      <c r="D256" s="5" t="s">
        <v>404</v>
      </c>
      <c r="E256" s="5" t="s">
        <v>405</v>
      </c>
      <c r="F256" s="6">
        <v>45658</v>
      </c>
      <c r="G256" s="5" t="s">
        <v>13</v>
      </c>
      <c r="H256" s="5" t="s">
        <v>14</v>
      </c>
      <c r="I256" s="6">
        <v>45778</v>
      </c>
      <c r="J256" s="5" t="s">
        <v>31</v>
      </c>
      <c r="K256" s="7">
        <v>918.5</v>
      </c>
      <c r="L256" s="5">
        <v>1</v>
      </c>
      <c r="M256" s="7">
        <v>20</v>
      </c>
    </row>
    <row r="257" spans="1:13" x14ac:dyDescent="0.25">
      <c r="A257" s="5" t="s">
        <v>16</v>
      </c>
      <c r="B257" s="5" t="s">
        <v>27</v>
      </c>
      <c r="C257" s="5" t="s">
        <v>28</v>
      </c>
      <c r="D257" s="5" t="s">
        <v>406</v>
      </c>
      <c r="E257" s="5" t="s">
        <v>407</v>
      </c>
      <c r="F257" s="6">
        <v>45658</v>
      </c>
      <c r="G257" s="5" t="s">
        <v>13</v>
      </c>
      <c r="H257" s="5" t="s">
        <v>14</v>
      </c>
      <c r="I257" s="6">
        <v>45778</v>
      </c>
      <c r="J257" s="5" t="s">
        <v>31</v>
      </c>
      <c r="K257" s="7">
        <v>875.63</v>
      </c>
      <c r="L257" s="5">
        <v>1</v>
      </c>
      <c r="M257" s="7">
        <v>20</v>
      </c>
    </row>
    <row r="258" spans="1:13" x14ac:dyDescent="0.25">
      <c r="A258" s="5" t="s">
        <v>16</v>
      </c>
      <c r="B258" s="5" t="s">
        <v>27</v>
      </c>
      <c r="C258" s="5" t="s">
        <v>28</v>
      </c>
      <c r="D258" s="5" t="s">
        <v>408</v>
      </c>
      <c r="E258" s="5" t="s">
        <v>407</v>
      </c>
      <c r="F258" s="6">
        <v>45658</v>
      </c>
      <c r="G258" s="5" t="s">
        <v>13</v>
      </c>
      <c r="H258" s="5" t="s">
        <v>14</v>
      </c>
      <c r="I258" s="6">
        <v>45778</v>
      </c>
      <c r="J258" s="5" t="s">
        <v>31</v>
      </c>
      <c r="K258" s="7">
        <v>875.63</v>
      </c>
      <c r="L258" s="5">
        <v>1</v>
      </c>
      <c r="M258" s="7">
        <v>20</v>
      </c>
    </row>
    <row r="259" spans="1:13" x14ac:dyDescent="0.25">
      <c r="A259" s="5" t="s">
        <v>16</v>
      </c>
      <c r="B259" s="5" t="s">
        <v>27</v>
      </c>
      <c r="C259" s="5" t="s">
        <v>28</v>
      </c>
      <c r="D259" s="5" t="s">
        <v>409</v>
      </c>
      <c r="E259" s="5" t="s">
        <v>410</v>
      </c>
      <c r="F259" s="6">
        <v>45658</v>
      </c>
      <c r="G259" s="5" t="s">
        <v>13</v>
      </c>
      <c r="H259" s="5" t="s">
        <v>14</v>
      </c>
      <c r="I259" s="6">
        <v>45778</v>
      </c>
      <c r="J259" s="5" t="s">
        <v>31</v>
      </c>
      <c r="K259" s="7">
        <v>955.56</v>
      </c>
      <c r="L259" s="5">
        <v>1</v>
      </c>
      <c r="M259" s="7">
        <v>20</v>
      </c>
    </row>
    <row r="260" spans="1:13" x14ac:dyDescent="0.25">
      <c r="A260" s="5" t="s">
        <v>16</v>
      </c>
      <c r="B260" s="5" t="s">
        <v>27</v>
      </c>
      <c r="C260" s="5" t="s">
        <v>28</v>
      </c>
      <c r="D260" s="5" t="s">
        <v>411</v>
      </c>
      <c r="E260" s="5" t="s">
        <v>412</v>
      </c>
      <c r="F260" s="6">
        <v>45658</v>
      </c>
      <c r="G260" s="5" t="s">
        <v>13</v>
      </c>
      <c r="H260" s="5" t="s">
        <v>14</v>
      </c>
      <c r="I260" s="6">
        <v>45778</v>
      </c>
      <c r="J260" s="5" t="s">
        <v>31</v>
      </c>
      <c r="K260" s="7">
        <v>939.1</v>
      </c>
      <c r="L260" s="5">
        <v>1</v>
      </c>
      <c r="M260" s="7">
        <v>20</v>
      </c>
    </row>
    <row r="261" spans="1:13" x14ac:dyDescent="0.25">
      <c r="A261" s="5" t="s">
        <v>16</v>
      </c>
      <c r="B261" s="5" t="s">
        <v>27</v>
      </c>
      <c r="C261" s="5" t="s">
        <v>28</v>
      </c>
      <c r="D261" s="5" t="s">
        <v>413</v>
      </c>
      <c r="E261" s="5" t="s">
        <v>405</v>
      </c>
      <c r="F261" s="6">
        <v>45658</v>
      </c>
      <c r="G261" s="5" t="s">
        <v>13</v>
      </c>
      <c r="H261" s="5" t="s">
        <v>14</v>
      </c>
      <c r="I261" s="6">
        <v>45778</v>
      </c>
      <c r="J261" s="5" t="s">
        <v>31</v>
      </c>
      <c r="K261" s="7">
        <v>878.49</v>
      </c>
      <c r="L261" s="5">
        <v>1</v>
      </c>
      <c r="M261" s="7">
        <v>20</v>
      </c>
    </row>
    <row r="262" spans="1:13" x14ac:dyDescent="0.25">
      <c r="A262" s="5" t="s">
        <v>16</v>
      </c>
      <c r="B262" s="5" t="s">
        <v>27</v>
      </c>
      <c r="C262" s="5" t="s">
        <v>28</v>
      </c>
      <c r="D262" s="5" t="s">
        <v>414</v>
      </c>
      <c r="E262" s="5" t="s">
        <v>415</v>
      </c>
      <c r="F262" s="6">
        <v>45658</v>
      </c>
      <c r="G262" s="5" t="s">
        <v>13</v>
      </c>
      <c r="H262" s="5" t="s">
        <v>14</v>
      </c>
      <c r="I262" s="6">
        <v>45778</v>
      </c>
      <c r="J262" s="5" t="s">
        <v>31</v>
      </c>
      <c r="K262" s="7">
        <v>312.83999999999997</v>
      </c>
      <c r="L262" s="5">
        <v>1</v>
      </c>
      <c r="M262" s="7">
        <v>20</v>
      </c>
    </row>
    <row r="263" spans="1:13" x14ac:dyDescent="0.25">
      <c r="A263" s="5" t="s">
        <v>16</v>
      </c>
      <c r="B263" s="5" t="s">
        <v>27</v>
      </c>
      <c r="C263" s="5" t="s">
        <v>28</v>
      </c>
      <c r="D263" s="5" t="s">
        <v>416</v>
      </c>
      <c r="E263" s="5" t="s">
        <v>415</v>
      </c>
      <c r="F263" s="6">
        <v>45658</v>
      </c>
      <c r="G263" s="5" t="s">
        <v>13</v>
      </c>
      <c r="H263" s="5" t="s">
        <v>14</v>
      </c>
      <c r="I263" s="6">
        <v>45778</v>
      </c>
      <c r="J263" s="5" t="s">
        <v>31</v>
      </c>
      <c r="K263" s="7">
        <v>835.04</v>
      </c>
      <c r="L263" s="5">
        <v>1</v>
      </c>
      <c r="M263" s="7">
        <v>20</v>
      </c>
    </row>
    <row r="264" spans="1:13" x14ac:dyDescent="0.25">
      <c r="A264" s="5" t="s">
        <v>16</v>
      </c>
      <c r="B264" s="5" t="s">
        <v>27</v>
      </c>
      <c r="C264" s="5" t="s">
        <v>28</v>
      </c>
      <c r="D264" s="5" t="s">
        <v>417</v>
      </c>
      <c r="E264" s="5" t="s">
        <v>418</v>
      </c>
      <c r="F264" s="6">
        <v>45658</v>
      </c>
      <c r="G264" s="5" t="s">
        <v>13</v>
      </c>
      <c r="H264" s="5" t="s">
        <v>14</v>
      </c>
      <c r="I264" s="6">
        <v>45778</v>
      </c>
      <c r="J264" s="5" t="s">
        <v>31</v>
      </c>
      <c r="K264" s="7">
        <v>972.32</v>
      </c>
      <c r="L264" s="5">
        <v>1</v>
      </c>
      <c r="M264" s="7">
        <v>20</v>
      </c>
    </row>
    <row r="265" spans="1:13" x14ac:dyDescent="0.25">
      <c r="A265" s="5" t="s">
        <v>16</v>
      </c>
      <c r="B265" s="5" t="s">
        <v>27</v>
      </c>
      <c r="C265" s="5" t="s">
        <v>28</v>
      </c>
      <c r="D265" s="5" t="s">
        <v>419</v>
      </c>
      <c r="E265" s="5" t="s">
        <v>420</v>
      </c>
      <c r="F265" s="6">
        <v>45658</v>
      </c>
      <c r="G265" s="5" t="s">
        <v>13</v>
      </c>
      <c r="H265" s="5" t="s">
        <v>14</v>
      </c>
      <c r="I265" s="6">
        <v>45778</v>
      </c>
      <c r="J265" s="5" t="s">
        <v>31</v>
      </c>
      <c r="K265" s="7">
        <v>1052.95</v>
      </c>
      <c r="L265" s="5">
        <v>1</v>
      </c>
      <c r="M265" s="7">
        <v>20</v>
      </c>
    </row>
    <row r="266" spans="1:13" x14ac:dyDescent="0.25">
      <c r="A266" s="5" t="s">
        <v>16</v>
      </c>
      <c r="B266" s="5" t="s">
        <v>193</v>
      </c>
      <c r="C266" s="5" t="s">
        <v>194</v>
      </c>
      <c r="D266" s="5" t="s">
        <v>421</v>
      </c>
      <c r="E266" s="5" t="s">
        <v>422</v>
      </c>
      <c r="F266" s="6">
        <v>45658</v>
      </c>
      <c r="G266" s="5" t="s">
        <v>13</v>
      </c>
      <c r="H266" s="5" t="s">
        <v>14</v>
      </c>
      <c r="I266" s="6">
        <v>45778</v>
      </c>
      <c r="J266" s="5" t="s">
        <v>358</v>
      </c>
      <c r="K266" s="7">
        <v>1223.07</v>
      </c>
      <c r="L266" s="5">
        <v>1</v>
      </c>
      <c r="M266" s="7">
        <v>20</v>
      </c>
    </row>
    <row r="267" spans="1:13" x14ac:dyDescent="0.25">
      <c r="A267" s="5" t="s">
        <v>16</v>
      </c>
      <c r="B267" s="5" t="s">
        <v>193</v>
      </c>
      <c r="C267" s="5" t="s">
        <v>194</v>
      </c>
      <c r="D267" s="5" t="s">
        <v>423</v>
      </c>
      <c r="E267" s="5" t="s">
        <v>424</v>
      </c>
      <c r="F267" s="6">
        <v>45658</v>
      </c>
      <c r="G267" s="5" t="s">
        <v>13</v>
      </c>
      <c r="H267" s="5" t="s">
        <v>14</v>
      </c>
      <c r="I267" s="6">
        <v>45778</v>
      </c>
      <c r="J267" s="5" t="s">
        <v>358</v>
      </c>
      <c r="K267" s="7">
        <v>589.99</v>
      </c>
      <c r="L267" s="5">
        <v>1</v>
      </c>
      <c r="M267" s="7">
        <v>20</v>
      </c>
    </row>
    <row r="268" spans="1:13" x14ac:dyDescent="0.25">
      <c r="A268" s="5" t="s">
        <v>16</v>
      </c>
      <c r="B268" s="5" t="s">
        <v>193</v>
      </c>
      <c r="C268" s="5" t="s">
        <v>194</v>
      </c>
      <c r="D268" s="5" t="s">
        <v>425</v>
      </c>
      <c r="E268" s="5" t="s">
        <v>426</v>
      </c>
      <c r="F268" s="6">
        <v>45658</v>
      </c>
      <c r="G268" s="5" t="s">
        <v>13</v>
      </c>
      <c r="H268" s="5" t="s">
        <v>14</v>
      </c>
      <c r="I268" s="6">
        <v>45689</v>
      </c>
      <c r="J268" s="5" t="s">
        <v>70</v>
      </c>
      <c r="K268" s="7">
        <v>327.07</v>
      </c>
      <c r="L268" s="5">
        <v>1</v>
      </c>
      <c r="M268" s="7">
        <v>20</v>
      </c>
    </row>
    <row r="269" spans="1:13" x14ac:dyDescent="0.25">
      <c r="A269" s="5" t="s">
        <v>16</v>
      </c>
      <c r="B269" s="5" t="s">
        <v>193</v>
      </c>
      <c r="C269" s="5" t="s">
        <v>194</v>
      </c>
      <c r="D269" s="5" t="s">
        <v>427</v>
      </c>
      <c r="E269" s="5" t="s">
        <v>428</v>
      </c>
      <c r="F269" s="6">
        <v>45658</v>
      </c>
      <c r="G269" s="5" t="s">
        <v>13</v>
      </c>
      <c r="H269" s="5" t="s">
        <v>14</v>
      </c>
      <c r="I269" s="6">
        <v>45778</v>
      </c>
      <c r="J269" s="5" t="s">
        <v>70</v>
      </c>
      <c r="K269" s="7">
        <v>284.5</v>
      </c>
      <c r="L269" s="5">
        <v>1</v>
      </c>
      <c r="M269" s="7">
        <v>20</v>
      </c>
    </row>
    <row r="270" spans="1:13" x14ac:dyDescent="0.25">
      <c r="A270" s="5" t="s">
        <v>16</v>
      </c>
      <c r="B270" s="5" t="s">
        <v>193</v>
      </c>
      <c r="C270" s="5" t="s">
        <v>194</v>
      </c>
      <c r="D270" s="5" t="s">
        <v>429</v>
      </c>
      <c r="E270" s="5" t="s">
        <v>430</v>
      </c>
      <c r="F270" s="6">
        <v>45658</v>
      </c>
      <c r="G270" s="5" t="s">
        <v>13</v>
      </c>
      <c r="H270" s="5" t="s">
        <v>14</v>
      </c>
      <c r="I270" s="6">
        <v>45778</v>
      </c>
      <c r="J270" s="5" t="s">
        <v>70</v>
      </c>
      <c r="K270" s="7">
        <v>561.16</v>
      </c>
      <c r="L270" s="5">
        <v>1</v>
      </c>
      <c r="M270" s="7">
        <v>20</v>
      </c>
    </row>
    <row r="271" spans="1:13" x14ac:dyDescent="0.25">
      <c r="A271" s="5" t="s">
        <v>16</v>
      </c>
      <c r="B271" s="5" t="s">
        <v>193</v>
      </c>
      <c r="C271" s="5" t="s">
        <v>194</v>
      </c>
      <c r="D271" s="5" t="s">
        <v>431</v>
      </c>
      <c r="E271" s="5" t="s">
        <v>426</v>
      </c>
      <c r="F271" s="6">
        <v>45658</v>
      </c>
      <c r="G271" s="5" t="s">
        <v>13</v>
      </c>
      <c r="H271" s="5" t="s">
        <v>14</v>
      </c>
      <c r="I271" s="6">
        <v>45689</v>
      </c>
      <c r="J271" s="5" t="s">
        <v>70</v>
      </c>
      <c r="K271" s="7">
        <v>365.28</v>
      </c>
      <c r="L271" s="5">
        <v>1</v>
      </c>
      <c r="M271" s="7">
        <v>20</v>
      </c>
    </row>
    <row r="272" spans="1:13" x14ac:dyDescent="0.25">
      <c r="A272" s="5" t="s">
        <v>16</v>
      </c>
      <c r="B272" s="5" t="s">
        <v>193</v>
      </c>
      <c r="C272" s="5" t="s">
        <v>194</v>
      </c>
      <c r="D272" s="5" t="s">
        <v>432</v>
      </c>
      <c r="E272" s="5" t="s">
        <v>433</v>
      </c>
      <c r="F272" s="6">
        <v>45627</v>
      </c>
      <c r="G272" s="5" t="s">
        <v>13</v>
      </c>
      <c r="H272" s="5" t="s">
        <v>14</v>
      </c>
      <c r="I272" s="6">
        <v>45778</v>
      </c>
      <c r="J272" s="5" t="s">
        <v>70</v>
      </c>
      <c r="K272" s="7">
        <v>722.63</v>
      </c>
      <c r="L272" s="5">
        <v>1</v>
      </c>
      <c r="M272" s="7">
        <v>20</v>
      </c>
    </row>
    <row r="273" spans="1:13" x14ac:dyDescent="0.25">
      <c r="A273" s="5" t="s">
        <v>16</v>
      </c>
      <c r="B273" s="5" t="s">
        <v>193</v>
      </c>
      <c r="C273" s="5" t="s">
        <v>194</v>
      </c>
      <c r="D273" s="5" t="s">
        <v>434</v>
      </c>
      <c r="E273" s="5" t="s">
        <v>435</v>
      </c>
      <c r="F273" s="6">
        <v>45597</v>
      </c>
      <c r="G273" s="5" t="s">
        <v>13</v>
      </c>
      <c r="H273" s="5" t="s">
        <v>14</v>
      </c>
      <c r="I273" s="6">
        <v>45778</v>
      </c>
      <c r="J273" s="5" t="s">
        <v>31</v>
      </c>
      <c r="K273" s="7">
        <v>382.91</v>
      </c>
      <c r="L273" s="5">
        <v>1</v>
      </c>
      <c r="M273" s="7">
        <v>20</v>
      </c>
    </row>
    <row r="274" spans="1:13" x14ac:dyDescent="0.25">
      <c r="A274" s="5" t="s">
        <v>16</v>
      </c>
      <c r="B274" s="5" t="s">
        <v>436</v>
      </c>
      <c r="C274" s="5" t="s">
        <v>437</v>
      </c>
      <c r="D274" s="5" t="s">
        <v>438</v>
      </c>
      <c r="E274" s="5" t="s">
        <v>439</v>
      </c>
      <c r="F274" s="6">
        <v>45658</v>
      </c>
      <c r="G274" s="5" t="s">
        <v>13</v>
      </c>
      <c r="H274" s="5" t="s">
        <v>14</v>
      </c>
      <c r="I274" s="6">
        <v>45778</v>
      </c>
      <c r="J274" s="5" t="s">
        <v>15</v>
      </c>
      <c r="K274" s="7">
        <v>332.51</v>
      </c>
      <c r="L274" s="5">
        <v>1</v>
      </c>
      <c r="M274" s="7">
        <v>20</v>
      </c>
    </row>
    <row r="275" spans="1:13" x14ac:dyDescent="0.25">
      <c r="A275" s="5" t="s">
        <v>16</v>
      </c>
      <c r="B275" s="5" t="s">
        <v>436</v>
      </c>
      <c r="C275" s="5" t="s">
        <v>437</v>
      </c>
      <c r="D275" s="5" t="s">
        <v>440</v>
      </c>
      <c r="E275" s="5" t="s">
        <v>441</v>
      </c>
      <c r="F275" s="6">
        <v>45658</v>
      </c>
      <c r="G275" s="5" t="s">
        <v>13</v>
      </c>
      <c r="H275" s="5" t="s">
        <v>14</v>
      </c>
      <c r="I275" s="6">
        <v>45748</v>
      </c>
      <c r="J275" s="5" t="s">
        <v>15</v>
      </c>
      <c r="K275" s="7">
        <v>842.52</v>
      </c>
      <c r="L275" s="5">
        <v>1</v>
      </c>
      <c r="M275" s="7">
        <v>20</v>
      </c>
    </row>
    <row r="276" spans="1:13" x14ac:dyDescent="0.25">
      <c r="A276" s="5" t="s">
        <v>16</v>
      </c>
      <c r="B276" s="5" t="s">
        <v>436</v>
      </c>
      <c r="C276" s="5" t="s">
        <v>437</v>
      </c>
      <c r="D276" s="5" t="s">
        <v>440</v>
      </c>
      <c r="E276" s="5" t="s">
        <v>441</v>
      </c>
      <c r="F276" s="6">
        <v>45658</v>
      </c>
      <c r="G276" s="5" t="s">
        <v>13</v>
      </c>
      <c r="H276" s="5" t="s">
        <v>14</v>
      </c>
      <c r="I276" s="6">
        <v>45778</v>
      </c>
      <c r="J276" s="5" t="s">
        <v>15</v>
      </c>
      <c r="K276" s="7">
        <v>842.52</v>
      </c>
      <c r="L276" s="5">
        <v>1</v>
      </c>
      <c r="M276" s="7">
        <v>20</v>
      </c>
    </row>
    <row r="277" spans="1:13" x14ac:dyDescent="0.25">
      <c r="A277" s="5" t="s">
        <v>16</v>
      </c>
      <c r="B277" s="5" t="s">
        <v>436</v>
      </c>
      <c r="C277" s="5" t="s">
        <v>437</v>
      </c>
      <c r="D277" s="5" t="s">
        <v>442</v>
      </c>
      <c r="E277" s="5" t="s">
        <v>439</v>
      </c>
      <c r="F277" s="6">
        <v>45658</v>
      </c>
      <c r="G277" s="5" t="s">
        <v>13</v>
      </c>
      <c r="H277" s="5" t="s">
        <v>14</v>
      </c>
      <c r="I277" s="6">
        <v>45778</v>
      </c>
      <c r="J277" s="5" t="s">
        <v>15</v>
      </c>
      <c r="K277" s="7">
        <v>445.09</v>
      </c>
      <c r="L277" s="5">
        <v>1</v>
      </c>
      <c r="M277" s="7">
        <v>20</v>
      </c>
    </row>
    <row r="278" spans="1:13" x14ac:dyDescent="0.25">
      <c r="A278" s="5" t="s">
        <v>16</v>
      </c>
      <c r="B278" s="5" t="s">
        <v>436</v>
      </c>
      <c r="C278" s="5" t="s">
        <v>437</v>
      </c>
      <c r="D278" s="5" t="s">
        <v>443</v>
      </c>
      <c r="E278" s="5" t="s">
        <v>439</v>
      </c>
      <c r="F278" s="6">
        <v>45658</v>
      </c>
      <c r="G278" s="5" t="s">
        <v>13</v>
      </c>
      <c r="H278" s="5" t="s">
        <v>14</v>
      </c>
      <c r="I278" s="6">
        <v>45778</v>
      </c>
      <c r="J278" s="5" t="s">
        <v>15</v>
      </c>
      <c r="K278" s="7">
        <v>445.09</v>
      </c>
      <c r="L278" s="5">
        <v>1</v>
      </c>
      <c r="M278" s="7">
        <v>20</v>
      </c>
    </row>
    <row r="279" spans="1:13" x14ac:dyDescent="0.25">
      <c r="A279" s="5" t="s">
        <v>16</v>
      </c>
      <c r="B279" s="5" t="s">
        <v>436</v>
      </c>
      <c r="C279" s="5" t="s">
        <v>437</v>
      </c>
      <c r="D279" s="5" t="s">
        <v>444</v>
      </c>
      <c r="E279" s="5" t="s">
        <v>439</v>
      </c>
      <c r="F279" s="6">
        <v>45658</v>
      </c>
      <c r="G279" s="5" t="s">
        <v>13</v>
      </c>
      <c r="H279" s="5" t="s">
        <v>14</v>
      </c>
      <c r="I279" s="6">
        <v>45778</v>
      </c>
      <c r="J279" s="5" t="s">
        <v>15</v>
      </c>
      <c r="K279" s="7">
        <v>332.51</v>
      </c>
      <c r="L279" s="5">
        <v>1</v>
      </c>
      <c r="M279" s="7">
        <v>20</v>
      </c>
    </row>
    <row r="280" spans="1:13" x14ac:dyDescent="0.25">
      <c r="A280" s="5" t="s">
        <v>16</v>
      </c>
      <c r="B280" s="5" t="s">
        <v>445</v>
      </c>
      <c r="C280" s="5" t="s">
        <v>446</v>
      </c>
      <c r="D280" s="5" t="s">
        <v>447</v>
      </c>
      <c r="E280" s="5" t="s">
        <v>448</v>
      </c>
      <c r="F280" s="6">
        <v>45778</v>
      </c>
      <c r="G280" s="5" t="s">
        <v>13</v>
      </c>
      <c r="H280" s="5" t="s">
        <v>14</v>
      </c>
      <c r="I280" s="6">
        <v>45778</v>
      </c>
      <c r="J280" s="5" t="s">
        <v>449</v>
      </c>
      <c r="K280" s="7">
        <v>347.91</v>
      </c>
      <c r="L280" s="5">
        <v>1</v>
      </c>
      <c r="M280" s="7">
        <v>20</v>
      </c>
    </row>
    <row r="281" spans="1:13" x14ac:dyDescent="0.25">
      <c r="A281" s="5" t="s">
        <v>16</v>
      </c>
      <c r="B281" s="5" t="s">
        <v>445</v>
      </c>
      <c r="C281" s="5" t="s">
        <v>446</v>
      </c>
      <c r="D281" s="5" t="s">
        <v>450</v>
      </c>
      <c r="E281" s="5" t="s">
        <v>451</v>
      </c>
      <c r="F281" s="6">
        <v>45658</v>
      </c>
      <c r="G281" s="5" t="s">
        <v>13</v>
      </c>
      <c r="H281" s="5" t="s">
        <v>14</v>
      </c>
      <c r="I281" s="6">
        <v>45778</v>
      </c>
      <c r="J281" s="5" t="s">
        <v>21</v>
      </c>
      <c r="K281" s="7">
        <v>320.07</v>
      </c>
      <c r="L281" s="5">
        <v>1</v>
      </c>
      <c r="M281" s="7">
        <v>20</v>
      </c>
    </row>
    <row r="282" spans="1:13" x14ac:dyDescent="0.25">
      <c r="A282" s="5" t="s">
        <v>16</v>
      </c>
      <c r="B282" s="5" t="s">
        <v>445</v>
      </c>
      <c r="C282" s="5" t="s">
        <v>446</v>
      </c>
      <c r="D282" s="5" t="s">
        <v>452</v>
      </c>
      <c r="E282" s="5" t="s">
        <v>453</v>
      </c>
      <c r="F282" s="6">
        <v>45658</v>
      </c>
      <c r="G282" s="5" t="s">
        <v>13</v>
      </c>
      <c r="H282" s="5" t="s">
        <v>14</v>
      </c>
      <c r="I282" s="6">
        <v>45778</v>
      </c>
      <c r="J282" s="5" t="s">
        <v>21</v>
      </c>
      <c r="K282" s="7">
        <v>448.03</v>
      </c>
      <c r="L282" s="5">
        <v>1</v>
      </c>
      <c r="M282" s="7">
        <v>20</v>
      </c>
    </row>
    <row r="283" spans="1:13" x14ac:dyDescent="0.25">
      <c r="A283" s="5" t="s">
        <v>16</v>
      </c>
      <c r="B283" s="5" t="s">
        <v>445</v>
      </c>
      <c r="C283" s="5" t="s">
        <v>446</v>
      </c>
      <c r="D283" s="5" t="s">
        <v>454</v>
      </c>
      <c r="E283" s="5" t="s">
        <v>455</v>
      </c>
      <c r="F283" s="6">
        <v>45658</v>
      </c>
      <c r="G283" s="5" t="s">
        <v>13</v>
      </c>
      <c r="H283" s="5" t="s">
        <v>14</v>
      </c>
      <c r="I283" s="6">
        <v>45778</v>
      </c>
      <c r="J283" s="5" t="s">
        <v>21</v>
      </c>
      <c r="K283" s="7">
        <v>737.96</v>
      </c>
      <c r="L283" s="5">
        <v>1</v>
      </c>
      <c r="M283" s="7">
        <v>20</v>
      </c>
    </row>
    <row r="284" spans="1:13" x14ac:dyDescent="0.25">
      <c r="A284" s="5" t="s">
        <v>16</v>
      </c>
      <c r="B284" s="5" t="s">
        <v>33</v>
      </c>
      <c r="C284" s="5" t="s">
        <v>34</v>
      </c>
      <c r="D284" s="5" t="s">
        <v>456</v>
      </c>
      <c r="E284" s="5" t="s">
        <v>457</v>
      </c>
      <c r="F284" s="6">
        <v>45658</v>
      </c>
      <c r="G284" s="5" t="s">
        <v>13</v>
      </c>
      <c r="H284" s="5" t="s">
        <v>14</v>
      </c>
      <c r="I284" s="6">
        <v>45778</v>
      </c>
      <c r="J284" s="5" t="s">
        <v>458</v>
      </c>
      <c r="K284" s="7">
        <v>547.69000000000005</v>
      </c>
      <c r="L284" s="5">
        <v>1</v>
      </c>
      <c r="M284" s="7">
        <v>22</v>
      </c>
    </row>
    <row r="285" spans="1:13" x14ac:dyDescent="0.25">
      <c r="A285" s="5" t="s">
        <v>16</v>
      </c>
      <c r="B285" s="5" t="s">
        <v>33</v>
      </c>
      <c r="C285" s="5" t="s">
        <v>34</v>
      </c>
      <c r="D285" s="5" t="s">
        <v>459</v>
      </c>
      <c r="E285" s="5" t="s">
        <v>460</v>
      </c>
      <c r="F285" s="6">
        <v>45658</v>
      </c>
      <c r="G285" s="5" t="s">
        <v>13</v>
      </c>
      <c r="H285" s="5" t="s">
        <v>14</v>
      </c>
      <c r="I285" s="6">
        <v>45778</v>
      </c>
      <c r="J285" s="5" t="s">
        <v>458</v>
      </c>
      <c r="K285" s="7">
        <v>234.59</v>
      </c>
      <c r="L285" s="5">
        <v>1</v>
      </c>
      <c r="M285" s="7">
        <v>22</v>
      </c>
    </row>
    <row r="286" spans="1:13" x14ac:dyDescent="0.25">
      <c r="A286" s="5" t="s">
        <v>16</v>
      </c>
      <c r="B286" s="5" t="s">
        <v>33</v>
      </c>
      <c r="C286" s="5" t="s">
        <v>34</v>
      </c>
      <c r="D286" s="5" t="s">
        <v>461</v>
      </c>
      <c r="E286" s="5" t="s">
        <v>460</v>
      </c>
      <c r="F286" s="6">
        <v>45658</v>
      </c>
      <c r="G286" s="5" t="s">
        <v>13</v>
      </c>
      <c r="H286" s="5" t="s">
        <v>14</v>
      </c>
      <c r="I286" s="6">
        <v>45778</v>
      </c>
      <c r="J286" s="5" t="s">
        <v>458</v>
      </c>
      <c r="K286" s="7">
        <v>442.82</v>
      </c>
      <c r="L286" s="5">
        <v>1</v>
      </c>
      <c r="M286" s="7">
        <v>22</v>
      </c>
    </row>
    <row r="287" spans="1:13" x14ac:dyDescent="0.25">
      <c r="A287" s="5" t="s">
        <v>16</v>
      </c>
      <c r="B287" s="5" t="s">
        <v>33</v>
      </c>
      <c r="C287" s="5" t="s">
        <v>34</v>
      </c>
      <c r="D287" s="5" t="s">
        <v>462</v>
      </c>
      <c r="E287" s="5" t="s">
        <v>463</v>
      </c>
      <c r="F287" s="6">
        <v>45658</v>
      </c>
      <c r="G287" s="5" t="s">
        <v>13</v>
      </c>
      <c r="H287" s="5" t="s">
        <v>14</v>
      </c>
      <c r="I287" s="6">
        <v>45778</v>
      </c>
      <c r="J287" s="5" t="s">
        <v>458</v>
      </c>
      <c r="K287" s="7">
        <v>360.07</v>
      </c>
      <c r="L287" s="5">
        <v>1</v>
      </c>
      <c r="M287" s="7">
        <v>22</v>
      </c>
    </row>
    <row r="288" spans="1:13" x14ac:dyDescent="0.25">
      <c r="A288" s="5" t="s">
        <v>16</v>
      </c>
      <c r="B288" s="5" t="s">
        <v>33</v>
      </c>
      <c r="C288" s="5" t="s">
        <v>34</v>
      </c>
      <c r="D288" s="5" t="s">
        <v>464</v>
      </c>
      <c r="E288" s="5" t="s">
        <v>463</v>
      </c>
      <c r="F288" s="6">
        <v>45658</v>
      </c>
      <c r="G288" s="5" t="s">
        <v>13</v>
      </c>
      <c r="H288" s="5" t="s">
        <v>14</v>
      </c>
      <c r="I288" s="6">
        <v>45778</v>
      </c>
      <c r="J288" s="5" t="s">
        <v>458</v>
      </c>
      <c r="K288" s="7">
        <v>274.36</v>
      </c>
      <c r="L288" s="5">
        <v>1</v>
      </c>
      <c r="M288" s="7">
        <v>22</v>
      </c>
    </row>
    <row r="289" spans="1:13" x14ac:dyDescent="0.25">
      <c r="A289" s="5" t="s">
        <v>16</v>
      </c>
      <c r="B289" s="5" t="s">
        <v>33</v>
      </c>
      <c r="C289" s="5" t="s">
        <v>34</v>
      </c>
      <c r="D289" s="5" t="s">
        <v>465</v>
      </c>
      <c r="E289" s="5" t="s">
        <v>460</v>
      </c>
      <c r="F289" s="6">
        <v>45658</v>
      </c>
      <c r="G289" s="5" t="s">
        <v>13</v>
      </c>
      <c r="H289" s="5" t="s">
        <v>14</v>
      </c>
      <c r="I289" s="6">
        <v>45778</v>
      </c>
      <c r="J289" s="5" t="s">
        <v>458</v>
      </c>
      <c r="K289" s="7">
        <v>271.39</v>
      </c>
      <c r="L289" s="5">
        <v>1</v>
      </c>
      <c r="M289" s="7">
        <v>22</v>
      </c>
    </row>
    <row r="290" spans="1:13" x14ac:dyDescent="0.25">
      <c r="A290" s="5" t="s">
        <v>16</v>
      </c>
      <c r="B290" s="5" t="s">
        <v>33</v>
      </c>
      <c r="C290" s="5" t="s">
        <v>34</v>
      </c>
      <c r="D290" s="5" t="s">
        <v>466</v>
      </c>
      <c r="E290" s="5" t="s">
        <v>460</v>
      </c>
      <c r="F290" s="6">
        <v>45658</v>
      </c>
      <c r="G290" s="5" t="s">
        <v>13</v>
      </c>
      <c r="H290" s="5" t="s">
        <v>14</v>
      </c>
      <c r="I290" s="6">
        <v>45778</v>
      </c>
      <c r="J290" s="5" t="s">
        <v>458</v>
      </c>
      <c r="K290" s="7">
        <v>625.59</v>
      </c>
      <c r="L290" s="5">
        <v>1</v>
      </c>
      <c r="M290" s="7">
        <v>22</v>
      </c>
    </row>
    <row r="291" spans="1:13" x14ac:dyDescent="0.25">
      <c r="A291" s="5" t="s">
        <v>16</v>
      </c>
      <c r="B291" s="5" t="s">
        <v>33</v>
      </c>
      <c r="C291" s="5" t="s">
        <v>34</v>
      </c>
      <c r="D291" s="5" t="s">
        <v>467</v>
      </c>
      <c r="E291" s="5" t="s">
        <v>468</v>
      </c>
      <c r="F291" s="6">
        <v>45658</v>
      </c>
      <c r="G291" s="5" t="s">
        <v>13</v>
      </c>
      <c r="H291" s="5" t="s">
        <v>14</v>
      </c>
      <c r="I291" s="6">
        <v>45778</v>
      </c>
      <c r="J291" s="5" t="s">
        <v>458</v>
      </c>
      <c r="K291" s="7">
        <v>934.54</v>
      </c>
      <c r="L291" s="5">
        <v>1</v>
      </c>
      <c r="M291" s="7">
        <v>22</v>
      </c>
    </row>
    <row r="292" spans="1:13" x14ac:dyDescent="0.25">
      <c r="A292" s="5" t="s">
        <v>16</v>
      </c>
      <c r="B292" s="5" t="s">
        <v>33</v>
      </c>
      <c r="C292" s="5" t="s">
        <v>34</v>
      </c>
      <c r="D292" s="5" t="s">
        <v>469</v>
      </c>
      <c r="E292" s="5" t="s">
        <v>470</v>
      </c>
      <c r="F292" s="6">
        <v>45658</v>
      </c>
      <c r="G292" s="5" t="s">
        <v>13</v>
      </c>
      <c r="H292" s="5" t="s">
        <v>14</v>
      </c>
      <c r="I292" s="6">
        <v>45778</v>
      </c>
      <c r="J292" s="5" t="s">
        <v>458</v>
      </c>
      <c r="K292" s="7">
        <v>919.98</v>
      </c>
      <c r="L292" s="5">
        <v>1</v>
      </c>
      <c r="M292" s="7">
        <v>22</v>
      </c>
    </row>
    <row r="293" spans="1:13" x14ac:dyDescent="0.25">
      <c r="A293" s="5" t="s">
        <v>16</v>
      </c>
      <c r="B293" s="5" t="s">
        <v>471</v>
      </c>
      <c r="C293" s="5" t="s">
        <v>472</v>
      </c>
      <c r="D293" s="5" t="s">
        <v>473</v>
      </c>
      <c r="E293" s="5" t="s">
        <v>474</v>
      </c>
      <c r="F293" s="6">
        <v>45778</v>
      </c>
      <c r="G293" s="5" t="s">
        <v>13</v>
      </c>
      <c r="H293" s="5" t="s">
        <v>14</v>
      </c>
      <c r="I293" s="6">
        <v>45778</v>
      </c>
      <c r="J293" s="5" t="s">
        <v>475</v>
      </c>
      <c r="K293" s="7">
        <v>917.06</v>
      </c>
      <c r="L293" s="5">
        <v>1</v>
      </c>
      <c r="M293" s="7">
        <v>25</v>
      </c>
    </row>
    <row r="294" spans="1:13" x14ac:dyDescent="0.25">
      <c r="A294" s="5" t="s">
        <v>16</v>
      </c>
      <c r="B294" s="5" t="s">
        <v>476</v>
      </c>
      <c r="C294" s="5" t="s">
        <v>477</v>
      </c>
      <c r="D294" s="5" t="s">
        <v>478</v>
      </c>
      <c r="E294" s="5" t="s">
        <v>479</v>
      </c>
      <c r="F294" s="6">
        <v>45658</v>
      </c>
      <c r="G294" s="5" t="s">
        <v>13</v>
      </c>
      <c r="H294" s="5" t="s">
        <v>14</v>
      </c>
      <c r="I294" s="6">
        <v>45778</v>
      </c>
      <c r="J294" s="5" t="s">
        <v>475</v>
      </c>
      <c r="K294" s="7">
        <v>437.26</v>
      </c>
      <c r="L294" s="5">
        <v>1</v>
      </c>
      <c r="M294" s="7">
        <v>25</v>
      </c>
    </row>
    <row r="295" spans="1:13" x14ac:dyDescent="0.25">
      <c r="A295" s="5" t="s">
        <v>16</v>
      </c>
      <c r="B295" s="5" t="s">
        <v>476</v>
      </c>
      <c r="C295" s="5" t="s">
        <v>477</v>
      </c>
      <c r="D295" s="5" t="s">
        <v>480</v>
      </c>
      <c r="E295" s="5" t="s">
        <v>481</v>
      </c>
      <c r="F295" s="6">
        <v>45658</v>
      </c>
      <c r="G295" s="5" t="s">
        <v>13</v>
      </c>
      <c r="H295" s="5" t="s">
        <v>14</v>
      </c>
      <c r="I295" s="6">
        <v>45778</v>
      </c>
      <c r="J295" s="5" t="s">
        <v>475</v>
      </c>
      <c r="K295" s="7">
        <v>530.03</v>
      </c>
      <c r="L295" s="5">
        <v>1</v>
      </c>
      <c r="M295" s="7">
        <v>25</v>
      </c>
    </row>
    <row r="296" spans="1:13" x14ac:dyDescent="0.25">
      <c r="A296" s="5" t="s">
        <v>16</v>
      </c>
      <c r="B296" s="5" t="s">
        <v>482</v>
      </c>
      <c r="C296" s="5" t="s">
        <v>483</v>
      </c>
      <c r="D296" s="5" t="s">
        <v>484</v>
      </c>
      <c r="E296" s="5" t="s">
        <v>485</v>
      </c>
      <c r="F296" s="6">
        <v>45689</v>
      </c>
      <c r="G296" s="5" t="s">
        <v>13</v>
      </c>
      <c r="H296" s="5" t="s">
        <v>14</v>
      </c>
      <c r="I296" s="6">
        <v>45778</v>
      </c>
      <c r="J296" s="5" t="s">
        <v>486</v>
      </c>
      <c r="K296" s="7">
        <v>594.92999999999995</v>
      </c>
      <c r="L296" s="5">
        <v>1</v>
      </c>
      <c r="M296" s="7">
        <v>25</v>
      </c>
    </row>
    <row r="297" spans="1:13" x14ac:dyDescent="0.25">
      <c r="A297" s="5" t="s">
        <v>16</v>
      </c>
      <c r="B297" s="5" t="s">
        <v>482</v>
      </c>
      <c r="C297" s="5" t="s">
        <v>483</v>
      </c>
      <c r="D297" s="5" t="s">
        <v>487</v>
      </c>
      <c r="E297" s="5" t="s">
        <v>485</v>
      </c>
      <c r="F297" s="6">
        <v>45689</v>
      </c>
      <c r="G297" s="5" t="s">
        <v>13</v>
      </c>
      <c r="H297" s="5" t="s">
        <v>14</v>
      </c>
      <c r="I297" s="6">
        <v>45778</v>
      </c>
      <c r="J297" s="5" t="s">
        <v>486</v>
      </c>
      <c r="K297" s="7">
        <v>451.55</v>
      </c>
      <c r="L297" s="5">
        <v>1</v>
      </c>
      <c r="M297" s="7">
        <v>25</v>
      </c>
    </row>
    <row r="298" spans="1:13" x14ac:dyDescent="0.25">
      <c r="A298" s="5" t="s">
        <v>16</v>
      </c>
      <c r="B298" s="5" t="s">
        <v>369</v>
      </c>
      <c r="C298" s="5" t="s">
        <v>370</v>
      </c>
      <c r="D298" s="5" t="s">
        <v>488</v>
      </c>
      <c r="E298" s="5" t="s">
        <v>489</v>
      </c>
      <c r="F298" s="6">
        <v>45689</v>
      </c>
      <c r="G298" s="5" t="s">
        <v>13</v>
      </c>
      <c r="H298" s="5" t="s">
        <v>14</v>
      </c>
      <c r="I298" s="6">
        <v>45778</v>
      </c>
      <c r="J298" s="5" t="s">
        <v>486</v>
      </c>
      <c r="K298" s="7">
        <v>311.76</v>
      </c>
      <c r="L298" s="5">
        <v>1</v>
      </c>
      <c r="M298" s="7">
        <v>25</v>
      </c>
    </row>
    <row r="299" spans="1:13" x14ac:dyDescent="0.25">
      <c r="A299" s="5" t="s">
        <v>16</v>
      </c>
      <c r="B299" s="5" t="s">
        <v>193</v>
      </c>
      <c r="C299" s="5" t="s">
        <v>194</v>
      </c>
      <c r="D299" s="5" t="s">
        <v>490</v>
      </c>
      <c r="E299" s="5" t="s">
        <v>491</v>
      </c>
      <c r="F299" s="6">
        <v>45689</v>
      </c>
      <c r="G299" s="5" t="s">
        <v>13</v>
      </c>
      <c r="H299" s="5" t="s">
        <v>14</v>
      </c>
      <c r="I299" s="6">
        <v>45689</v>
      </c>
      <c r="J299" s="5" t="s">
        <v>70</v>
      </c>
      <c r="K299" s="7">
        <v>1740.75</v>
      </c>
      <c r="L299" s="5">
        <v>5</v>
      </c>
      <c r="M299" s="7">
        <v>100</v>
      </c>
    </row>
    <row r="300" spans="1:13" x14ac:dyDescent="0.25">
      <c r="A300" s="5" t="s">
        <v>16</v>
      </c>
      <c r="B300" s="5"/>
      <c r="C300" s="5"/>
      <c r="D300" s="5"/>
      <c r="E300" s="5"/>
      <c r="F300" s="6"/>
      <c r="G300" s="5"/>
      <c r="H300" s="5"/>
      <c r="I300" s="6"/>
      <c r="J300" s="5"/>
      <c r="K300" s="7"/>
      <c r="L300" s="5" t="s">
        <v>492</v>
      </c>
      <c r="M300" s="7">
        <v>4242.38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8F74-0A94-4FBD-9FB8-514DCC89F543}">
  <dimension ref="A1:R224"/>
  <sheetViews>
    <sheetView tabSelected="1" topLeftCell="A169" workbookViewId="0">
      <selection activeCell="E193" sqref="E193"/>
    </sheetView>
  </sheetViews>
  <sheetFormatPr defaultRowHeight="15" x14ac:dyDescent="0.25"/>
  <cols>
    <col min="1" max="1" width="22.85546875" style="12" customWidth="1"/>
    <col min="2" max="2" width="16.42578125" style="12" customWidth="1"/>
    <col min="3" max="3" width="20.85546875" style="12" customWidth="1"/>
    <col min="4" max="5" width="15.85546875" style="12" customWidth="1"/>
    <col min="6" max="6" width="12" style="12" customWidth="1"/>
    <col min="7" max="7" width="10.85546875" style="12" customWidth="1"/>
    <col min="8" max="9" width="9.7109375" style="12" customWidth="1"/>
    <col min="10" max="10" width="4.85546875" style="12" customWidth="1"/>
    <col min="11" max="11" width="11.5703125" style="12" customWidth="1"/>
    <col min="12" max="12" width="7.42578125" style="12" customWidth="1"/>
    <col min="13" max="13" width="11.5703125" style="12" customWidth="1"/>
    <col min="14" max="16384" width="9.140625" style="12"/>
  </cols>
  <sheetData>
    <row r="1" spans="1:18" ht="45" x14ac:dyDescent="0.25">
      <c r="A1" s="8" t="s">
        <v>1</v>
      </c>
      <c r="B1" s="9" t="s">
        <v>2</v>
      </c>
      <c r="C1" s="10" t="s">
        <v>3</v>
      </c>
      <c r="D1" s="9" t="s">
        <v>4</v>
      </c>
      <c r="E1" s="9"/>
      <c r="F1" s="11" t="s">
        <v>5</v>
      </c>
      <c r="G1" s="10" t="s">
        <v>7</v>
      </c>
      <c r="H1" s="10" t="s">
        <v>8</v>
      </c>
      <c r="I1" s="10"/>
      <c r="J1" s="10" t="s">
        <v>9</v>
      </c>
      <c r="K1" s="11" t="s">
        <v>10</v>
      </c>
      <c r="L1" s="11" t="s">
        <v>11</v>
      </c>
      <c r="M1" s="11" t="s">
        <v>12</v>
      </c>
    </row>
    <row r="2" spans="1:18" s="26" customFormat="1" x14ac:dyDescent="0.25">
      <c r="A2" s="23" t="s">
        <v>123</v>
      </c>
      <c r="B2" s="23">
        <v>19396223</v>
      </c>
      <c r="C2" s="23" t="s">
        <v>125</v>
      </c>
      <c r="D2" s="23" t="s">
        <v>126</v>
      </c>
      <c r="E2" s="23" t="s">
        <v>126</v>
      </c>
      <c r="F2" s="24">
        <v>45778</v>
      </c>
      <c r="G2" s="23" t="s">
        <v>14</v>
      </c>
      <c r="H2" s="24">
        <v>45778</v>
      </c>
      <c r="I2" s="24">
        <f>DATE(YEAR(H2), MONTH(H2) +1, DAY(H2))</f>
        <v>45809</v>
      </c>
      <c r="J2" s="23" t="s">
        <v>127</v>
      </c>
      <c r="K2" s="23">
        <v>1</v>
      </c>
      <c r="L2" s="23">
        <v>1</v>
      </c>
      <c r="M2" s="25">
        <v>15</v>
      </c>
      <c r="N2" s="25">
        <v>15</v>
      </c>
      <c r="R2" s="26" t="s">
        <v>512</v>
      </c>
    </row>
    <row r="3" spans="1:18" s="26" customFormat="1" x14ac:dyDescent="0.25">
      <c r="A3" s="23" t="s">
        <v>39</v>
      </c>
      <c r="B3" s="23">
        <v>16865615</v>
      </c>
      <c r="C3" s="23" t="s">
        <v>121</v>
      </c>
      <c r="D3" s="23" t="s">
        <v>122</v>
      </c>
      <c r="E3" s="23" t="s">
        <v>122</v>
      </c>
      <c r="F3" s="24">
        <v>45658</v>
      </c>
      <c r="G3" s="23" t="s">
        <v>14</v>
      </c>
      <c r="H3" s="24">
        <v>45778</v>
      </c>
      <c r="I3" s="24">
        <f>DATE(YEAR(H3), MONTH(H3) +1, DAY(H3))</f>
        <v>45809</v>
      </c>
      <c r="J3" s="23" t="s">
        <v>37</v>
      </c>
      <c r="K3" s="23">
        <v>1</v>
      </c>
      <c r="L3" s="23">
        <v>1</v>
      </c>
      <c r="M3" s="25">
        <v>18</v>
      </c>
      <c r="N3" s="25">
        <v>18</v>
      </c>
      <c r="R3" s="26" t="s">
        <v>509</v>
      </c>
    </row>
    <row r="4" spans="1:18" s="26" customFormat="1" x14ac:dyDescent="0.25">
      <c r="A4" s="23" t="s">
        <v>39</v>
      </c>
      <c r="B4" s="23">
        <v>16865615</v>
      </c>
      <c r="C4" s="23" t="s">
        <v>41</v>
      </c>
      <c r="D4" s="23" t="s">
        <v>42</v>
      </c>
      <c r="E4" s="23" t="s">
        <v>42</v>
      </c>
      <c r="F4" s="24">
        <v>45689</v>
      </c>
      <c r="G4" s="23" t="s">
        <v>14</v>
      </c>
      <c r="H4" s="24">
        <v>45778</v>
      </c>
      <c r="I4" s="24">
        <f>DATE(YEAR(H4), MONTH(H4) +1, DAY(H4))</f>
        <v>45809</v>
      </c>
      <c r="J4" s="23" t="s">
        <v>37</v>
      </c>
      <c r="K4" s="23">
        <v>-1</v>
      </c>
      <c r="L4" s="23" t="s">
        <v>32</v>
      </c>
      <c r="M4" s="25">
        <v>-18</v>
      </c>
      <c r="N4" s="25">
        <v>-18</v>
      </c>
      <c r="R4" s="26" t="s">
        <v>509</v>
      </c>
    </row>
    <row r="5" spans="1:18" s="26" customFormat="1" x14ac:dyDescent="0.25">
      <c r="A5" s="23" t="s">
        <v>39</v>
      </c>
      <c r="B5" s="23">
        <v>16865615</v>
      </c>
      <c r="C5" s="23" t="s">
        <v>41</v>
      </c>
      <c r="D5" s="23" t="s">
        <v>42</v>
      </c>
      <c r="E5" s="23" t="s">
        <v>42</v>
      </c>
      <c r="F5" s="24">
        <v>45689</v>
      </c>
      <c r="G5" s="23" t="s">
        <v>14</v>
      </c>
      <c r="H5" s="24">
        <v>45778</v>
      </c>
      <c r="I5" s="24">
        <f>DATE(YEAR(H5), MONTH(H5) +1, DAY(H5))</f>
        <v>45809</v>
      </c>
      <c r="J5" s="23" t="s">
        <v>37</v>
      </c>
      <c r="K5" s="23">
        <v>1</v>
      </c>
      <c r="L5" s="23">
        <v>1</v>
      </c>
      <c r="M5" s="25">
        <v>18</v>
      </c>
      <c r="N5" s="25">
        <v>18</v>
      </c>
      <c r="R5" s="26" t="s">
        <v>509</v>
      </c>
    </row>
    <row r="6" spans="1:18" s="26" customFormat="1" x14ac:dyDescent="0.25">
      <c r="A6" s="23" t="s">
        <v>39</v>
      </c>
      <c r="B6" s="23">
        <v>16865615</v>
      </c>
      <c r="C6" s="23" t="s">
        <v>41</v>
      </c>
      <c r="D6" s="23" t="s">
        <v>42</v>
      </c>
      <c r="E6" s="23" t="s">
        <v>42</v>
      </c>
      <c r="F6" s="24">
        <v>45689</v>
      </c>
      <c r="G6" s="23" t="s">
        <v>14</v>
      </c>
      <c r="H6" s="24">
        <v>45778</v>
      </c>
      <c r="I6" s="24">
        <f>DATE(YEAR(H6), MONTH(H6) +1, DAY(H6))</f>
        <v>45809</v>
      </c>
      <c r="J6" s="23" t="s">
        <v>37</v>
      </c>
      <c r="K6" s="23">
        <v>1</v>
      </c>
      <c r="L6" s="23">
        <v>1</v>
      </c>
      <c r="M6" s="25">
        <v>18</v>
      </c>
      <c r="N6" s="25">
        <v>18</v>
      </c>
      <c r="R6" s="26" t="s">
        <v>509</v>
      </c>
    </row>
    <row r="7" spans="1:18" s="26" customFormat="1" x14ac:dyDescent="0.25">
      <c r="A7" s="23" t="s">
        <v>39</v>
      </c>
      <c r="B7" s="23">
        <v>16865615</v>
      </c>
      <c r="C7" s="23" t="s">
        <v>224</v>
      </c>
      <c r="D7" s="23" t="s">
        <v>225</v>
      </c>
      <c r="E7" s="23" t="s">
        <v>225</v>
      </c>
      <c r="F7" s="24">
        <v>45627</v>
      </c>
      <c r="G7" s="23" t="s">
        <v>14</v>
      </c>
      <c r="H7" s="24">
        <v>45778</v>
      </c>
      <c r="I7" s="24">
        <f>DATE(YEAR(H7), MONTH(H7) +1, DAY(H7))</f>
        <v>45809</v>
      </c>
      <c r="J7" s="23" t="s">
        <v>37</v>
      </c>
      <c r="K7" s="23">
        <v>1</v>
      </c>
      <c r="L7" s="23">
        <v>1</v>
      </c>
      <c r="M7" s="25">
        <v>18</v>
      </c>
      <c r="N7" s="26">
        <v>72</v>
      </c>
      <c r="O7" s="26" t="s">
        <v>495</v>
      </c>
      <c r="R7" s="26" t="s">
        <v>509</v>
      </c>
    </row>
    <row r="8" spans="1:18" s="26" customFormat="1" x14ac:dyDescent="0.25">
      <c r="A8" s="23" t="s">
        <v>39</v>
      </c>
      <c r="B8" s="23">
        <v>16865615</v>
      </c>
      <c r="C8" s="23" t="s">
        <v>291</v>
      </c>
      <c r="D8" s="23" t="s">
        <v>292</v>
      </c>
      <c r="E8" s="23" t="s">
        <v>292</v>
      </c>
      <c r="F8" s="24">
        <v>45627</v>
      </c>
      <c r="G8" s="23" t="s">
        <v>14</v>
      </c>
      <c r="H8" s="24">
        <v>45778</v>
      </c>
      <c r="I8" s="24">
        <f>DATE(YEAR(H8), MONTH(H8) +1, DAY(H8))</f>
        <v>45809</v>
      </c>
      <c r="J8" s="23" t="s">
        <v>37</v>
      </c>
      <c r="K8" s="23">
        <v>1</v>
      </c>
      <c r="L8" s="23">
        <v>1</v>
      </c>
      <c r="M8" s="25">
        <v>18</v>
      </c>
      <c r="N8" s="25">
        <v>18</v>
      </c>
      <c r="R8" s="26" t="s">
        <v>509</v>
      </c>
    </row>
    <row r="9" spans="1:18" s="26" customFormat="1" x14ac:dyDescent="0.25">
      <c r="A9" s="23" t="s">
        <v>39</v>
      </c>
      <c r="B9" s="23">
        <v>16865615</v>
      </c>
      <c r="C9" s="23" t="s">
        <v>228</v>
      </c>
      <c r="D9" s="23" t="s">
        <v>229</v>
      </c>
      <c r="E9" s="23" t="s">
        <v>229</v>
      </c>
      <c r="F9" s="24">
        <v>45689</v>
      </c>
      <c r="G9" s="23" t="s">
        <v>14</v>
      </c>
      <c r="H9" s="24">
        <v>45778</v>
      </c>
      <c r="I9" s="24">
        <f>DATE(YEAR(H9), MONTH(H9) +1, DAY(H9))</f>
        <v>45809</v>
      </c>
      <c r="J9" s="23" t="s">
        <v>37</v>
      </c>
      <c r="K9" s="23">
        <v>1</v>
      </c>
      <c r="L9" s="23">
        <v>1</v>
      </c>
      <c r="M9" s="25">
        <v>18</v>
      </c>
      <c r="N9" s="26">
        <v>36</v>
      </c>
      <c r="O9" s="26" t="s">
        <v>494</v>
      </c>
      <c r="R9" s="26" t="s">
        <v>509</v>
      </c>
    </row>
    <row r="10" spans="1:18" s="26" customFormat="1" x14ac:dyDescent="0.25">
      <c r="A10" s="23" t="s">
        <v>39</v>
      </c>
      <c r="B10" s="23">
        <v>16865615</v>
      </c>
      <c r="C10" s="23" t="s">
        <v>213</v>
      </c>
      <c r="D10" s="23" t="s">
        <v>214</v>
      </c>
      <c r="E10" s="23" t="s">
        <v>214</v>
      </c>
      <c r="F10" s="24">
        <v>45658</v>
      </c>
      <c r="G10" s="23" t="s">
        <v>14</v>
      </c>
      <c r="H10" s="24">
        <v>45778</v>
      </c>
      <c r="I10" s="24">
        <f>DATE(YEAR(H10), MONTH(H10) +1, DAY(H10))</f>
        <v>45809</v>
      </c>
      <c r="J10" s="23" t="s">
        <v>37</v>
      </c>
      <c r="K10" s="23">
        <v>1</v>
      </c>
      <c r="L10" s="23">
        <v>1</v>
      </c>
      <c r="M10" s="25">
        <v>18</v>
      </c>
      <c r="N10" s="25">
        <v>18</v>
      </c>
      <c r="R10" s="26" t="s">
        <v>509</v>
      </c>
    </row>
    <row r="11" spans="1:18" s="26" customFormat="1" x14ac:dyDescent="0.25">
      <c r="A11" s="23" t="s">
        <v>39</v>
      </c>
      <c r="B11" s="23">
        <v>16865615</v>
      </c>
      <c r="C11" s="23" t="s">
        <v>270</v>
      </c>
      <c r="D11" s="23" t="s">
        <v>271</v>
      </c>
      <c r="E11" s="23" t="s">
        <v>271</v>
      </c>
      <c r="F11" s="24">
        <v>45717</v>
      </c>
      <c r="G11" s="23" t="s">
        <v>14</v>
      </c>
      <c r="H11" s="24">
        <v>45778</v>
      </c>
      <c r="I11" s="24">
        <f>DATE(YEAR(H11), MONTH(H11) +1, DAY(H11))</f>
        <v>45809</v>
      </c>
      <c r="J11" s="23" t="s">
        <v>37</v>
      </c>
      <c r="K11" s="23">
        <v>1</v>
      </c>
      <c r="L11" s="23">
        <v>1</v>
      </c>
      <c r="M11" s="25">
        <v>18</v>
      </c>
      <c r="N11" s="25">
        <v>18</v>
      </c>
      <c r="R11" s="26" t="s">
        <v>509</v>
      </c>
    </row>
    <row r="12" spans="1:18" s="26" customFormat="1" x14ac:dyDescent="0.25">
      <c r="A12" s="23" t="s">
        <v>39</v>
      </c>
      <c r="B12" s="23">
        <v>16865615</v>
      </c>
      <c r="C12" s="23" t="s">
        <v>230</v>
      </c>
      <c r="D12" s="23" t="s">
        <v>231</v>
      </c>
      <c r="E12" s="23" t="s">
        <v>231</v>
      </c>
      <c r="F12" s="24">
        <v>45717</v>
      </c>
      <c r="G12" s="23" t="s">
        <v>14</v>
      </c>
      <c r="H12" s="24">
        <v>45778</v>
      </c>
      <c r="I12" s="24">
        <f>DATE(YEAR(H12), MONTH(H12) +1, DAY(H12))</f>
        <v>45809</v>
      </c>
      <c r="J12" s="23" t="s">
        <v>37</v>
      </c>
      <c r="K12" s="23">
        <v>1</v>
      </c>
      <c r="L12" s="23">
        <v>1</v>
      </c>
      <c r="M12" s="25">
        <v>18</v>
      </c>
      <c r="N12" s="25">
        <v>18</v>
      </c>
      <c r="R12" s="26" t="s">
        <v>509</v>
      </c>
    </row>
    <row r="13" spans="1:18" s="26" customFormat="1" x14ac:dyDescent="0.25">
      <c r="A13" s="23" t="s">
        <v>39</v>
      </c>
      <c r="B13" s="23">
        <v>16865615</v>
      </c>
      <c r="C13" s="23" t="s">
        <v>226</v>
      </c>
      <c r="D13" s="23" t="s">
        <v>227</v>
      </c>
      <c r="E13" s="23" t="s">
        <v>227</v>
      </c>
      <c r="F13" s="24">
        <v>45658</v>
      </c>
      <c r="G13" s="23" t="s">
        <v>14</v>
      </c>
      <c r="H13" s="24">
        <v>45778</v>
      </c>
      <c r="I13" s="24">
        <f>DATE(YEAR(H13), MONTH(H13) +1, DAY(H13))</f>
        <v>45809</v>
      </c>
      <c r="J13" s="23" t="s">
        <v>37</v>
      </c>
      <c r="K13" s="23">
        <v>1</v>
      </c>
      <c r="L13" s="23">
        <v>1</v>
      </c>
      <c r="M13" s="25">
        <v>18</v>
      </c>
      <c r="N13" s="26">
        <v>72</v>
      </c>
      <c r="O13" s="26" t="s">
        <v>495</v>
      </c>
      <c r="R13" s="26" t="s">
        <v>509</v>
      </c>
    </row>
    <row r="14" spans="1:18" s="26" customFormat="1" x14ac:dyDescent="0.25">
      <c r="A14" s="23" t="s">
        <v>39</v>
      </c>
      <c r="B14" s="23">
        <v>16865615</v>
      </c>
      <c r="C14" s="23" t="s">
        <v>268</v>
      </c>
      <c r="D14" s="23" t="s">
        <v>269</v>
      </c>
      <c r="E14" s="23" t="s">
        <v>269</v>
      </c>
      <c r="F14" s="24">
        <v>45658</v>
      </c>
      <c r="G14" s="23" t="s">
        <v>14</v>
      </c>
      <c r="H14" s="24">
        <v>45778</v>
      </c>
      <c r="I14" s="24">
        <f>DATE(YEAR(H14), MONTH(H14) +1, DAY(H14))</f>
        <v>45809</v>
      </c>
      <c r="J14" s="23" t="s">
        <v>37</v>
      </c>
      <c r="K14" s="23">
        <v>1</v>
      </c>
      <c r="L14" s="23">
        <v>1</v>
      </c>
      <c r="M14" s="25">
        <v>18</v>
      </c>
      <c r="N14" s="25">
        <v>18</v>
      </c>
      <c r="R14" s="26" t="s">
        <v>509</v>
      </c>
    </row>
    <row r="15" spans="1:18" s="26" customFormat="1" x14ac:dyDescent="0.25">
      <c r="A15" s="23" t="s">
        <v>39</v>
      </c>
      <c r="B15" s="23">
        <v>16865615</v>
      </c>
      <c r="C15" s="23" t="s">
        <v>217</v>
      </c>
      <c r="D15" s="23" t="s">
        <v>218</v>
      </c>
      <c r="E15" s="23" t="s">
        <v>218</v>
      </c>
      <c r="F15" s="24">
        <v>45717</v>
      </c>
      <c r="G15" s="23" t="s">
        <v>14</v>
      </c>
      <c r="H15" s="24">
        <v>45778</v>
      </c>
      <c r="I15" s="24">
        <f>DATE(YEAR(H15), MONTH(H15) +1, DAY(H15))</f>
        <v>45809</v>
      </c>
      <c r="J15" s="23" t="s">
        <v>37</v>
      </c>
      <c r="K15" s="23">
        <v>1</v>
      </c>
      <c r="L15" s="23">
        <v>1</v>
      </c>
      <c r="M15" s="25">
        <v>18</v>
      </c>
      <c r="N15" s="25">
        <v>18</v>
      </c>
      <c r="R15" s="26" t="s">
        <v>509</v>
      </c>
    </row>
    <row r="16" spans="1:18" s="26" customFormat="1" x14ac:dyDescent="0.25">
      <c r="A16" s="23" t="s">
        <v>39</v>
      </c>
      <c r="B16" s="23">
        <v>16865615</v>
      </c>
      <c r="C16" s="23" t="s">
        <v>92</v>
      </c>
      <c r="D16" s="23" t="s">
        <v>93</v>
      </c>
      <c r="E16" s="23" t="s">
        <v>93</v>
      </c>
      <c r="F16" s="24">
        <v>45658</v>
      </c>
      <c r="G16" s="23" t="s">
        <v>14</v>
      </c>
      <c r="H16" s="24">
        <v>45778</v>
      </c>
      <c r="I16" s="24">
        <f>DATE(YEAR(H16), MONTH(H16) +1, DAY(H16))</f>
        <v>45809</v>
      </c>
      <c r="J16" s="23" t="s">
        <v>37</v>
      </c>
      <c r="K16" s="23">
        <v>1</v>
      </c>
      <c r="L16" s="23">
        <v>1</v>
      </c>
      <c r="M16" s="25">
        <v>18</v>
      </c>
      <c r="N16" s="25">
        <v>18</v>
      </c>
      <c r="R16" s="26" t="s">
        <v>509</v>
      </c>
    </row>
    <row r="17" spans="1:18" s="26" customFormat="1" x14ac:dyDescent="0.25">
      <c r="A17" s="23" t="s">
        <v>39</v>
      </c>
      <c r="B17" s="23">
        <v>16865615</v>
      </c>
      <c r="C17" s="23" t="s">
        <v>94</v>
      </c>
      <c r="D17" s="23" t="s">
        <v>499</v>
      </c>
      <c r="E17" s="23" t="s">
        <v>499</v>
      </c>
      <c r="F17" s="24">
        <v>45658</v>
      </c>
      <c r="G17" s="23" t="s">
        <v>14</v>
      </c>
      <c r="H17" s="24">
        <v>45778</v>
      </c>
      <c r="I17" s="24">
        <f>DATE(YEAR(H17), MONTH(H17) +1, DAY(H17))</f>
        <v>45809</v>
      </c>
      <c r="J17" s="23" t="s">
        <v>37</v>
      </c>
      <c r="K17" s="23">
        <v>1</v>
      </c>
      <c r="L17" s="23">
        <v>1</v>
      </c>
      <c r="M17" s="25">
        <v>18</v>
      </c>
      <c r="N17" s="25">
        <v>18</v>
      </c>
      <c r="R17" s="26" t="s">
        <v>509</v>
      </c>
    </row>
    <row r="18" spans="1:18" s="26" customFormat="1" x14ac:dyDescent="0.25">
      <c r="A18" s="23" t="s">
        <v>39</v>
      </c>
      <c r="B18" s="23">
        <v>16865615</v>
      </c>
      <c r="C18" s="23" t="s">
        <v>253</v>
      </c>
      <c r="D18" s="23" t="s">
        <v>254</v>
      </c>
      <c r="E18" s="23" t="s">
        <v>254</v>
      </c>
      <c r="F18" s="24">
        <v>45689</v>
      </c>
      <c r="G18" s="23" t="s">
        <v>14</v>
      </c>
      <c r="H18" s="24">
        <v>45778</v>
      </c>
      <c r="I18" s="24">
        <f>DATE(YEAR(H18), MONTH(H18) +1, DAY(H18))</f>
        <v>45809</v>
      </c>
      <c r="J18" s="23" t="s">
        <v>37</v>
      </c>
      <c r="K18" s="23">
        <v>1</v>
      </c>
      <c r="L18" s="23">
        <v>1</v>
      </c>
      <c r="M18" s="25">
        <v>18</v>
      </c>
      <c r="N18" s="25">
        <v>18</v>
      </c>
      <c r="R18" s="26" t="s">
        <v>509</v>
      </c>
    </row>
    <row r="19" spans="1:18" s="26" customFormat="1" x14ac:dyDescent="0.25">
      <c r="A19" s="23" t="s">
        <v>39</v>
      </c>
      <c r="B19" s="23">
        <v>16865615</v>
      </c>
      <c r="C19" s="23" t="s">
        <v>205</v>
      </c>
      <c r="D19" s="23" t="s">
        <v>500</v>
      </c>
      <c r="E19" s="23" t="s">
        <v>500</v>
      </c>
      <c r="F19" s="24">
        <v>45658</v>
      </c>
      <c r="G19" s="23" t="s">
        <v>14</v>
      </c>
      <c r="H19" s="24">
        <v>45778</v>
      </c>
      <c r="I19" s="24">
        <f>DATE(YEAR(H19), MONTH(H19) +1, DAY(H19))</f>
        <v>45809</v>
      </c>
      <c r="J19" s="23" t="s">
        <v>37</v>
      </c>
      <c r="K19" s="23">
        <v>1</v>
      </c>
      <c r="L19" s="23">
        <v>1</v>
      </c>
      <c r="M19" s="25">
        <v>18</v>
      </c>
      <c r="N19" s="26">
        <v>36</v>
      </c>
      <c r="O19" s="26" t="s">
        <v>494</v>
      </c>
      <c r="R19" s="26" t="s">
        <v>509</v>
      </c>
    </row>
    <row r="20" spans="1:18" s="26" customFormat="1" x14ac:dyDescent="0.25">
      <c r="A20" s="23" t="s">
        <v>39</v>
      </c>
      <c r="B20" s="23">
        <v>16865615</v>
      </c>
      <c r="C20" s="23" t="s">
        <v>294</v>
      </c>
      <c r="D20" s="23" t="s">
        <v>206</v>
      </c>
      <c r="E20" s="23" t="s">
        <v>206</v>
      </c>
      <c r="F20" s="24">
        <v>45658</v>
      </c>
      <c r="G20" s="23" t="s">
        <v>14</v>
      </c>
      <c r="H20" s="24">
        <v>45778</v>
      </c>
      <c r="I20" s="24">
        <f>DATE(YEAR(H20), MONTH(H20) +1, DAY(H20))</f>
        <v>45809</v>
      </c>
      <c r="J20" s="23" t="s">
        <v>37</v>
      </c>
      <c r="K20" s="23">
        <v>1</v>
      </c>
      <c r="L20" s="23">
        <v>1</v>
      </c>
      <c r="M20" s="25">
        <v>18</v>
      </c>
      <c r="N20" s="25">
        <v>18</v>
      </c>
      <c r="R20" s="26" t="s">
        <v>509</v>
      </c>
    </row>
    <row r="21" spans="1:18" s="26" customFormat="1" x14ac:dyDescent="0.25">
      <c r="A21" s="23" t="s">
        <v>39</v>
      </c>
      <c r="B21" s="23">
        <v>16865615</v>
      </c>
      <c r="C21" s="23" t="s">
        <v>244</v>
      </c>
      <c r="D21" s="23" t="s">
        <v>245</v>
      </c>
      <c r="E21" s="23" t="s">
        <v>245</v>
      </c>
      <c r="F21" s="24">
        <v>45689</v>
      </c>
      <c r="G21" s="23" t="s">
        <v>14</v>
      </c>
      <c r="H21" s="24">
        <v>45778</v>
      </c>
      <c r="I21" s="24">
        <f>DATE(YEAR(H21), MONTH(H21) +1, DAY(H21))</f>
        <v>45809</v>
      </c>
      <c r="J21" s="23" t="s">
        <v>37</v>
      </c>
      <c r="K21" s="23">
        <v>1</v>
      </c>
      <c r="L21" s="23">
        <v>1</v>
      </c>
      <c r="M21" s="25">
        <v>18</v>
      </c>
      <c r="N21" s="25">
        <v>18</v>
      </c>
      <c r="R21" s="26" t="s">
        <v>509</v>
      </c>
    </row>
    <row r="22" spans="1:18" s="26" customFormat="1" x14ac:dyDescent="0.25">
      <c r="A22" s="23" t="s">
        <v>39</v>
      </c>
      <c r="B22" s="23">
        <v>16865615</v>
      </c>
      <c r="C22" s="23" t="s">
        <v>238</v>
      </c>
      <c r="D22" s="23" t="s">
        <v>239</v>
      </c>
      <c r="E22" s="23" t="s">
        <v>239</v>
      </c>
      <c r="F22" s="24">
        <v>45689</v>
      </c>
      <c r="G22" s="23" t="s">
        <v>14</v>
      </c>
      <c r="H22" s="24">
        <v>45778</v>
      </c>
      <c r="I22" s="24">
        <f>DATE(YEAR(H22), MONTH(H22) +1, DAY(H22))</f>
        <v>45809</v>
      </c>
      <c r="J22" s="23" t="s">
        <v>37</v>
      </c>
      <c r="K22" s="23">
        <v>1</v>
      </c>
      <c r="L22" s="23">
        <v>1</v>
      </c>
      <c r="M22" s="25">
        <v>18</v>
      </c>
      <c r="N22" s="25">
        <v>18</v>
      </c>
      <c r="R22" s="26" t="s">
        <v>509</v>
      </c>
    </row>
    <row r="23" spans="1:18" s="26" customFormat="1" x14ac:dyDescent="0.25">
      <c r="A23" s="23" t="s">
        <v>39</v>
      </c>
      <c r="B23" s="23">
        <v>16865615</v>
      </c>
      <c r="C23" s="23" t="s">
        <v>222</v>
      </c>
      <c r="D23" s="23" t="s">
        <v>223</v>
      </c>
      <c r="E23" s="23" t="s">
        <v>223</v>
      </c>
      <c r="F23" s="24">
        <v>45748</v>
      </c>
      <c r="G23" s="23" t="s">
        <v>14</v>
      </c>
      <c r="H23" s="24">
        <v>45748</v>
      </c>
      <c r="I23" s="24">
        <f>DATE(YEAR(H23), MONTH(H23) +1, DAY(H23))</f>
        <v>45778</v>
      </c>
      <c r="J23" s="23" t="s">
        <v>37</v>
      </c>
      <c r="K23" s="23">
        <v>1</v>
      </c>
      <c r="L23" s="23">
        <v>1</v>
      </c>
      <c r="M23" s="25">
        <v>18</v>
      </c>
      <c r="N23" s="25">
        <v>18</v>
      </c>
      <c r="R23" s="26" t="s">
        <v>509</v>
      </c>
    </row>
    <row r="24" spans="1:18" s="26" customFormat="1" x14ac:dyDescent="0.25">
      <c r="A24" s="23" t="s">
        <v>39</v>
      </c>
      <c r="B24" s="23">
        <v>16865615</v>
      </c>
      <c r="C24" s="23" t="s">
        <v>222</v>
      </c>
      <c r="D24" s="23" t="s">
        <v>223</v>
      </c>
      <c r="E24" s="23" t="s">
        <v>223</v>
      </c>
      <c r="F24" s="24">
        <v>45748</v>
      </c>
      <c r="G24" s="23" t="s">
        <v>14</v>
      </c>
      <c r="H24" s="24">
        <v>45778</v>
      </c>
      <c r="I24" s="24">
        <f>DATE(YEAR(H24), MONTH(H24) +1, DAY(H24))</f>
        <v>45809</v>
      </c>
      <c r="J24" s="23" t="s">
        <v>37</v>
      </c>
      <c r="K24" s="23">
        <v>1</v>
      </c>
      <c r="L24" s="23">
        <v>1</v>
      </c>
      <c r="M24" s="25">
        <v>18</v>
      </c>
      <c r="N24" s="25">
        <v>18</v>
      </c>
      <c r="R24" s="26" t="s">
        <v>509</v>
      </c>
    </row>
    <row r="25" spans="1:18" s="26" customFormat="1" x14ac:dyDescent="0.25">
      <c r="A25" s="23" t="s">
        <v>39</v>
      </c>
      <c r="B25" s="23">
        <v>16865615</v>
      </c>
      <c r="C25" s="23" t="s">
        <v>278</v>
      </c>
      <c r="D25" s="23" t="s">
        <v>279</v>
      </c>
      <c r="E25" s="23" t="s">
        <v>279</v>
      </c>
      <c r="F25" s="24">
        <v>45658</v>
      </c>
      <c r="G25" s="23" t="s">
        <v>14</v>
      </c>
      <c r="H25" s="24">
        <v>45778</v>
      </c>
      <c r="I25" s="24">
        <f>DATE(YEAR(H25), MONTH(H25) +1, DAY(H25))</f>
        <v>45809</v>
      </c>
      <c r="J25" s="23" t="s">
        <v>37</v>
      </c>
      <c r="K25" s="23">
        <v>1</v>
      </c>
      <c r="L25" s="23">
        <v>1</v>
      </c>
      <c r="M25" s="25">
        <v>18</v>
      </c>
      <c r="N25" s="25">
        <v>18</v>
      </c>
      <c r="P25" s="28"/>
      <c r="Q25" s="28"/>
      <c r="R25" s="26" t="s">
        <v>509</v>
      </c>
    </row>
    <row r="26" spans="1:18" s="26" customFormat="1" x14ac:dyDescent="0.25">
      <c r="A26" s="23" t="s">
        <v>39</v>
      </c>
      <c r="B26" s="23">
        <v>16865615</v>
      </c>
      <c r="C26" s="23" t="s">
        <v>112</v>
      </c>
      <c r="D26" s="23" t="s">
        <v>113</v>
      </c>
      <c r="E26" s="23" t="s">
        <v>113</v>
      </c>
      <c r="F26" s="24">
        <v>45658</v>
      </c>
      <c r="G26" s="23" t="s">
        <v>14</v>
      </c>
      <c r="H26" s="24">
        <v>45778</v>
      </c>
      <c r="I26" s="24">
        <f>DATE(YEAR(H26), MONTH(H26) +1, DAY(H26))</f>
        <v>45809</v>
      </c>
      <c r="J26" s="23" t="s">
        <v>37</v>
      </c>
      <c r="K26" s="23">
        <v>1</v>
      </c>
      <c r="L26" s="23">
        <v>1</v>
      </c>
      <c r="M26" s="25">
        <v>18</v>
      </c>
      <c r="N26" s="25">
        <v>18</v>
      </c>
      <c r="P26" s="28"/>
      <c r="Q26" s="28"/>
      <c r="R26" s="26" t="s">
        <v>509</v>
      </c>
    </row>
    <row r="27" spans="1:18" s="26" customFormat="1" x14ac:dyDescent="0.25">
      <c r="A27" s="23" t="s">
        <v>39</v>
      </c>
      <c r="B27" s="23">
        <v>16865615</v>
      </c>
      <c r="C27" s="23" t="s">
        <v>255</v>
      </c>
      <c r="D27" s="23" t="s">
        <v>501</v>
      </c>
      <c r="E27" s="23" t="s">
        <v>501</v>
      </c>
      <c r="F27" s="24">
        <v>45717</v>
      </c>
      <c r="G27" s="23" t="s">
        <v>14</v>
      </c>
      <c r="H27" s="24">
        <v>45778</v>
      </c>
      <c r="I27" s="24">
        <f>DATE(YEAR(H27), MONTH(H27) +1, DAY(H27))</f>
        <v>45809</v>
      </c>
      <c r="J27" s="23" t="s">
        <v>37</v>
      </c>
      <c r="K27" s="23">
        <v>1</v>
      </c>
      <c r="L27" s="23">
        <v>1</v>
      </c>
      <c r="M27" s="25">
        <v>18</v>
      </c>
      <c r="N27" s="25">
        <v>18</v>
      </c>
      <c r="P27" s="28"/>
      <c r="Q27" s="28"/>
      <c r="R27" s="26" t="s">
        <v>509</v>
      </c>
    </row>
    <row r="28" spans="1:18" s="26" customFormat="1" x14ac:dyDescent="0.25">
      <c r="A28" s="23" t="s">
        <v>39</v>
      </c>
      <c r="B28" s="23">
        <v>16865615</v>
      </c>
      <c r="C28" s="23" t="s">
        <v>102</v>
      </c>
      <c r="D28" s="23" t="s">
        <v>256</v>
      </c>
      <c r="E28" s="23" t="s">
        <v>256</v>
      </c>
      <c r="F28" s="24">
        <v>45717</v>
      </c>
      <c r="G28" s="23" t="s">
        <v>14</v>
      </c>
      <c r="H28" s="24">
        <v>45778</v>
      </c>
      <c r="I28" s="24">
        <f>DATE(YEAR(H28), MONTH(H28) +1, DAY(H28))</f>
        <v>45809</v>
      </c>
      <c r="J28" s="23" t="s">
        <v>37</v>
      </c>
      <c r="K28" s="23">
        <v>1</v>
      </c>
      <c r="L28" s="23">
        <v>1</v>
      </c>
      <c r="M28" s="25">
        <v>18</v>
      </c>
      <c r="N28" s="25">
        <v>18</v>
      </c>
      <c r="P28" s="28"/>
      <c r="Q28" s="28"/>
      <c r="R28" s="26" t="s">
        <v>509</v>
      </c>
    </row>
    <row r="29" spans="1:18" s="26" customFormat="1" x14ac:dyDescent="0.25">
      <c r="A29" s="23" t="s">
        <v>39</v>
      </c>
      <c r="B29" s="23">
        <v>16865615</v>
      </c>
      <c r="C29" s="23" t="s">
        <v>251</v>
      </c>
      <c r="D29" s="23" t="s">
        <v>252</v>
      </c>
      <c r="E29" s="23" t="s">
        <v>252</v>
      </c>
      <c r="F29" s="24">
        <v>45658</v>
      </c>
      <c r="G29" s="23" t="s">
        <v>14</v>
      </c>
      <c r="H29" s="24">
        <v>45778</v>
      </c>
      <c r="I29" s="24">
        <f>DATE(YEAR(H29), MONTH(H29) +1, DAY(H29))</f>
        <v>45809</v>
      </c>
      <c r="J29" s="23" t="s">
        <v>37</v>
      </c>
      <c r="K29" s="23">
        <v>1</v>
      </c>
      <c r="L29" s="23">
        <v>1</v>
      </c>
      <c r="M29" s="25">
        <v>18</v>
      </c>
      <c r="N29" s="25">
        <v>18</v>
      </c>
      <c r="R29" s="26" t="s">
        <v>509</v>
      </c>
    </row>
    <row r="30" spans="1:18" s="26" customFormat="1" x14ac:dyDescent="0.25">
      <c r="A30" s="23" t="s">
        <v>39</v>
      </c>
      <c r="B30" s="23">
        <v>16865615</v>
      </c>
      <c r="C30" s="23" t="s">
        <v>259</v>
      </c>
      <c r="D30" s="23" t="s">
        <v>260</v>
      </c>
      <c r="E30" s="23" t="s">
        <v>260</v>
      </c>
      <c r="F30" s="24">
        <v>45748</v>
      </c>
      <c r="G30" s="23" t="s">
        <v>14</v>
      </c>
      <c r="H30" s="24">
        <v>45778</v>
      </c>
      <c r="I30" s="24">
        <f>DATE(YEAR(H30), MONTH(H30) +1, DAY(H30))</f>
        <v>45809</v>
      </c>
      <c r="J30" s="23" t="s">
        <v>37</v>
      </c>
      <c r="K30" s="23">
        <v>1</v>
      </c>
      <c r="L30" s="23">
        <v>1</v>
      </c>
      <c r="M30" s="25">
        <v>18</v>
      </c>
      <c r="N30" s="25">
        <v>18</v>
      </c>
      <c r="R30" s="26" t="s">
        <v>509</v>
      </c>
    </row>
    <row r="31" spans="1:18" s="26" customFormat="1" x14ac:dyDescent="0.25">
      <c r="A31" s="23" t="s">
        <v>39</v>
      </c>
      <c r="B31" s="23">
        <v>16865615</v>
      </c>
      <c r="C31" s="23" t="s">
        <v>203</v>
      </c>
      <c r="D31" s="23" t="s">
        <v>204</v>
      </c>
      <c r="E31" s="23" t="s">
        <v>204</v>
      </c>
      <c r="F31" s="24">
        <v>45658</v>
      </c>
      <c r="G31" s="23" t="s">
        <v>14</v>
      </c>
      <c r="H31" s="24">
        <v>45778</v>
      </c>
      <c r="I31" s="24">
        <f>DATE(YEAR(H31), MONTH(H31) +1, DAY(H31))</f>
        <v>45809</v>
      </c>
      <c r="J31" s="23" t="s">
        <v>37</v>
      </c>
      <c r="K31" s="23">
        <v>1</v>
      </c>
      <c r="L31" s="23">
        <v>1</v>
      </c>
      <c r="M31" s="25">
        <v>18</v>
      </c>
      <c r="N31" s="25">
        <v>18</v>
      </c>
      <c r="R31" s="26" t="s">
        <v>509</v>
      </c>
    </row>
    <row r="32" spans="1:18" s="26" customFormat="1" x14ac:dyDescent="0.25">
      <c r="A32" s="23" t="s">
        <v>39</v>
      </c>
      <c r="B32" s="23">
        <v>16865615</v>
      </c>
      <c r="C32" s="23" t="s">
        <v>286</v>
      </c>
      <c r="D32" s="23" t="s">
        <v>287</v>
      </c>
      <c r="E32" s="23" t="s">
        <v>287</v>
      </c>
      <c r="F32" s="24">
        <v>45717</v>
      </c>
      <c r="G32" s="23" t="s">
        <v>14</v>
      </c>
      <c r="H32" s="24">
        <v>45778</v>
      </c>
      <c r="I32" s="24">
        <f>DATE(YEAR(H32), MONTH(H32) +1, DAY(H32))</f>
        <v>45809</v>
      </c>
      <c r="J32" s="23" t="s">
        <v>37</v>
      </c>
      <c r="K32" s="23">
        <v>1</v>
      </c>
      <c r="L32" s="23">
        <v>1</v>
      </c>
      <c r="M32" s="25">
        <v>18</v>
      </c>
      <c r="N32" s="25">
        <v>18</v>
      </c>
      <c r="R32" s="26" t="s">
        <v>509</v>
      </c>
    </row>
    <row r="33" spans="1:18" s="26" customFormat="1" x14ac:dyDescent="0.25">
      <c r="A33" s="23" t="s">
        <v>39</v>
      </c>
      <c r="B33" s="23">
        <v>16865615</v>
      </c>
      <c r="C33" s="23" t="s">
        <v>272</v>
      </c>
      <c r="D33" s="23" t="s">
        <v>273</v>
      </c>
      <c r="E33" s="23" t="s">
        <v>273</v>
      </c>
      <c r="F33" s="24">
        <v>45658</v>
      </c>
      <c r="G33" s="23" t="s">
        <v>14</v>
      </c>
      <c r="H33" s="24">
        <v>45778</v>
      </c>
      <c r="I33" s="24">
        <f>DATE(YEAR(H33), MONTH(H33) +1, DAY(H33))</f>
        <v>45809</v>
      </c>
      <c r="J33" s="23" t="s">
        <v>37</v>
      </c>
      <c r="K33" s="23">
        <v>1</v>
      </c>
      <c r="L33" s="23">
        <v>1</v>
      </c>
      <c r="M33" s="25">
        <v>18</v>
      </c>
      <c r="N33" s="25">
        <v>18</v>
      </c>
      <c r="R33" s="26" t="s">
        <v>509</v>
      </c>
    </row>
    <row r="34" spans="1:18" s="26" customFormat="1" x14ac:dyDescent="0.25">
      <c r="A34" s="23" t="s">
        <v>39</v>
      </c>
      <c r="B34" s="23">
        <v>16865615</v>
      </c>
      <c r="C34" s="23" t="s">
        <v>242</v>
      </c>
      <c r="D34" s="23" t="s">
        <v>243</v>
      </c>
      <c r="E34" s="23" t="s">
        <v>243</v>
      </c>
      <c r="F34" s="24">
        <v>45658</v>
      </c>
      <c r="G34" s="23" t="s">
        <v>14</v>
      </c>
      <c r="H34" s="24">
        <v>45778</v>
      </c>
      <c r="I34" s="24">
        <f>DATE(YEAR(H34), MONTH(H34) +1, DAY(H34))</f>
        <v>45809</v>
      </c>
      <c r="J34" s="23" t="s">
        <v>37</v>
      </c>
      <c r="K34" s="23">
        <v>1</v>
      </c>
      <c r="L34" s="23">
        <v>1</v>
      </c>
      <c r="M34" s="25">
        <v>18</v>
      </c>
      <c r="N34" s="25">
        <v>18</v>
      </c>
      <c r="R34" s="26" t="s">
        <v>509</v>
      </c>
    </row>
    <row r="35" spans="1:18" s="26" customFormat="1" x14ac:dyDescent="0.25">
      <c r="A35" s="23" t="s">
        <v>39</v>
      </c>
      <c r="B35" s="23">
        <v>16865615</v>
      </c>
      <c r="C35" s="23" t="s">
        <v>219</v>
      </c>
      <c r="D35" s="23" t="s">
        <v>220</v>
      </c>
      <c r="E35" s="23" t="s">
        <v>220</v>
      </c>
      <c r="F35" s="24">
        <v>45658</v>
      </c>
      <c r="G35" s="23" t="s">
        <v>14</v>
      </c>
      <c r="H35" s="24">
        <v>45778</v>
      </c>
      <c r="I35" s="24">
        <f>DATE(YEAR(H35), MONTH(H35) +1, DAY(H35))</f>
        <v>45809</v>
      </c>
      <c r="J35" s="23" t="s">
        <v>37</v>
      </c>
      <c r="K35" s="23">
        <v>1</v>
      </c>
      <c r="L35" s="23">
        <v>1</v>
      </c>
      <c r="M35" s="25">
        <v>18</v>
      </c>
      <c r="N35" s="25">
        <v>18</v>
      </c>
      <c r="R35" s="26" t="s">
        <v>509</v>
      </c>
    </row>
    <row r="36" spans="1:18" s="32" customFormat="1" x14ac:dyDescent="0.25">
      <c r="A36" s="23" t="s">
        <v>39</v>
      </c>
      <c r="B36" s="23">
        <v>16865615</v>
      </c>
      <c r="C36" s="23" t="s">
        <v>199</v>
      </c>
      <c r="D36" s="23" t="s">
        <v>200</v>
      </c>
      <c r="E36" s="23" t="s">
        <v>200</v>
      </c>
      <c r="F36" s="24">
        <v>45658</v>
      </c>
      <c r="G36" s="23" t="s">
        <v>14</v>
      </c>
      <c r="H36" s="24">
        <v>45778</v>
      </c>
      <c r="I36" s="24">
        <f>DATE(YEAR(H36), MONTH(H36) +1, DAY(H36))</f>
        <v>45809</v>
      </c>
      <c r="J36" s="23" t="s">
        <v>37</v>
      </c>
      <c r="K36" s="23">
        <v>1</v>
      </c>
      <c r="L36" s="23">
        <v>1</v>
      </c>
      <c r="M36" s="25">
        <v>18</v>
      </c>
      <c r="N36" s="25">
        <v>18</v>
      </c>
      <c r="O36" s="26"/>
      <c r="P36" s="26"/>
      <c r="Q36" s="26"/>
      <c r="R36" s="26" t="s">
        <v>509</v>
      </c>
    </row>
    <row r="37" spans="1:18" s="32" customFormat="1" x14ac:dyDescent="0.25">
      <c r="A37" s="23" t="s">
        <v>39</v>
      </c>
      <c r="B37" s="23">
        <v>16865615</v>
      </c>
      <c r="C37" s="23" t="s">
        <v>211</v>
      </c>
      <c r="D37" s="23" t="s">
        <v>212</v>
      </c>
      <c r="E37" s="23" t="s">
        <v>212</v>
      </c>
      <c r="F37" s="24">
        <v>45658</v>
      </c>
      <c r="G37" s="23" t="s">
        <v>14</v>
      </c>
      <c r="H37" s="24">
        <v>45778</v>
      </c>
      <c r="I37" s="24">
        <f>DATE(YEAR(H37), MONTH(H37) +1, DAY(H37))</f>
        <v>45809</v>
      </c>
      <c r="J37" s="23" t="s">
        <v>37</v>
      </c>
      <c r="K37" s="23">
        <v>1</v>
      </c>
      <c r="L37" s="23">
        <v>1</v>
      </c>
      <c r="M37" s="25">
        <v>18</v>
      </c>
      <c r="N37" s="25">
        <v>18</v>
      </c>
      <c r="O37" s="26"/>
      <c r="P37" s="26"/>
      <c r="Q37" s="26"/>
      <c r="R37" s="26" t="s">
        <v>509</v>
      </c>
    </row>
    <row r="38" spans="1:18" s="32" customFormat="1" x14ac:dyDescent="0.25">
      <c r="A38" s="23" t="s">
        <v>39</v>
      </c>
      <c r="B38" s="23">
        <v>16865615</v>
      </c>
      <c r="C38" s="23" t="s">
        <v>284</v>
      </c>
      <c r="D38" s="23" t="s">
        <v>285</v>
      </c>
      <c r="E38" s="23" t="s">
        <v>285</v>
      </c>
      <c r="F38" s="24">
        <v>45658</v>
      </c>
      <c r="G38" s="23" t="s">
        <v>14</v>
      </c>
      <c r="H38" s="24">
        <v>45778</v>
      </c>
      <c r="I38" s="24">
        <f>DATE(YEAR(H38), MONTH(H38) +1, DAY(H38))</f>
        <v>45809</v>
      </c>
      <c r="J38" s="23" t="s">
        <v>37</v>
      </c>
      <c r="K38" s="23">
        <v>1</v>
      </c>
      <c r="L38" s="23">
        <v>1</v>
      </c>
      <c r="M38" s="25">
        <v>18</v>
      </c>
      <c r="N38" s="25">
        <v>18</v>
      </c>
      <c r="O38" s="26"/>
      <c r="P38" s="26"/>
      <c r="Q38" s="26"/>
      <c r="R38" s="26" t="s">
        <v>509</v>
      </c>
    </row>
    <row r="39" spans="1:18" s="32" customFormat="1" x14ac:dyDescent="0.25">
      <c r="A39" s="23" t="s">
        <v>39</v>
      </c>
      <c r="B39" s="23">
        <v>16865615</v>
      </c>
      <c r="C39" s="23" t="s">
        <v>99</v>
      </c>
      <c r="D39" s="23" t="s">
        <v>100</v>
      </c>
      <c r="E39" s="23" t="s">
        <v>100</v>
      </c>
      <c r="F39" s="24">
        <v>45658</v>
      </c>
      <c r="G39" s="23" t="s">
        <v>14</v>
      </c>
      <c r="H39" s="24">
        <v>45778</v>
      </c>
      <c r="I39" s="24">
        <f>DATE(YEAR(H39), MONTH(H39) +1, DAY(H39))</f>
        <v>45809</v>
      </c>
      <c r="J39" s="23" t="s">
        <v>37</v>
      </c>
      <c r="K39" s="23">
        <v>1</v>
      </c>
      <c r="L39" s="23">
        <v>1</v>
      </c>
      <c r="M39" s="25">
        <v>18</v>
      </c>
      <c r="N39" s="26">
        <v>36</v>
      </c>
      <c r="O39" s="26" t="s">
        <v>494</v>
      </c>
      <c r="P39" s="26"/>
      <c r="Q39" s="26"/>
      <c r="R39" s="26" t="s">
        <v>509</v>
      </c>
    </row>
    <row r="40" spans="1:18" s="32" customFormat="1" x14ac:dyDescent="0.25">
      <c r="A40" s="23" t="s">
        <v>39</v>
      </c>
      <c r="B40" s="23">
        <v>16865615</v>
      </c>
      <c r="C40" s="23" t="s">
        <v>264</v>
      </c>
      <c r="D40" s="23" t="s">
        <v>265</v>
      </c>
      <c r="E40" s="23" t="s">
        <v>265</v>
      </c>
      <c r="F40" s="24">
        <v>45658</v>
      </c>
      <c r="G40" s="23" t="s">
        <v>14</v>
      </c>
      <c r="H40" s="24">
        <v>45778</v>
      </c>
      <c r="I40" s="24">
        <f>DATE(YEAR(H40), MONTH(H40) +1, DAY(H40))</f>
        <v>45809</v>
      </c>
      <c r="J40" s="23" t="s">
        <v>37</v>
      </c>
      <c r="K40" s="23">
        <v>1</v>
      </c>
      <c r="L40" s="23">
        <v>1</v>
      </c>
      <c r="M40" s="25">
        <v>18</v>
      </c>
      <c r="N40" s="25">
        <v>18</v>
      </c>
      <c r="O40" s="26"/>
      <c r="P40" s="26"/>
      <c r="Q40" s="26"/>
      <c r="R40" s="26" t="s">
        <v>509</v>
      </c>
    </row>
    <row r="41" spans="1:18" s="26" customFormat="1" x14ac:dyDescent="0.25">
      <c r="A41" s="23" t="s">
        <v>39</v>
      </c>
      <c r="B41" s="23">
        <v>16865615</v>
      </c>
      <c r="C41" s="23" t="s">
        <v>274</v>
      </c>
      <c r="D41" s="23" t="s">
        <v>275</v>
      </c>
      <c r="E41" s="23" t="s">
        <v>275</v>
      </c>
      <c r="F41" s="24">
        <v>45658</v>
      </c>
      <c r="G41" s="23" t="s">
        <v>14</v>
      </c>
      <c r="H41" s="24">
        <v>45778</v>
      </c>
      <c r="I41" s="24">
        <f>DATE(YEAR(H41), MONTH(H41) +1, DAY(H41))</f>
        <v>45809</v>
      </c>
      <c r="J41" s="23" t="s">
        <v>37</v>
      </c>
      <c r="K41" s="23">
        <v>1</v>
      </c>
      <c r="L41" s="23">
        <v>1</v>
      </c>
      <c r="M41" s="25">
        <v>18</v>
      </c>
      <c r="N41" s="25">
        <v>18</v>
      </c>
      <c r="R41" s="26" t="s">
        <v>509</v>
      </c>
    </row>
    <row r="42" spans="1:18" s="26" customFormat="1" x14ac:dyDescent="0.25">
      <c r="A42" s="23" t="s">
        <v>39</v>
      </c>
      <c r="B42" s="23">
        <v>16865615</v>
      </c>
      <c r="C42" s="23" t="s">
        <v>282</v>
      </c>
      <c r="D42" s="23" t="s">
        <v>283</v>
      </c>
      <c r="E42" s="23" t="s">
        <v>283</v>
      </c>
      <c r="F42" s="24">
        <v>45658</v>
      </c>
      <c r="G42" s="23" t="s">
        <v>14</v>
      </c>
      <c r="H42" s="24">
        <v>45778</v>
      </c>
      <c r="I42" s="24">
        <f>DATE(YEAR(H42), MONTH(H42) +1, DAY(H42))</f>
        <v>45809</v>
      </c>
      <c r="J42" s="23" t="s">
        <v>37</v>
      </c>
      <c r="K42" s="23">
        <v>1</v>
      </c>
      <c r="L42" s="23">
        <v>1</v>
      </c>
      <c r="M42" s="25">
        <v>18</v>
      </c>
      <c r="N42" s="25">
        <v>18</v>
      </c>
      <c r="R42" s="26" t="s">
        <v>509</v>
      </c>
    </row>
    <row r="43" spans="1:18" s="26" customFormat="1" x14ac:dyDescent="0.25">
      <c r="A43" s="23" t="s">
        <v>39</v>
      </c>
      <c r="B43" s="23">
        <v>16865615</v>
      </c>
      <c r="C43" s="23" t="s">
        <v>261</v>
      </c>
      <c r="D43" s="23" t="s">
        <v>262</v>
      </c>
      <c r="E43" s="23" t="s">
        <v>262</v>
      </c>
      <c r="F43" s="24">
        <v>45658</v>
      </c>
      <c r="G43" s="23" t="s">
        <v>14</v>
      </c>
      <c r="H43" s="24">
        <v>45778</v>
      </c>
      <c r="I43" s="24">
        <f>DATE(YEAR(H43), MONTH(H43) +1, DAY(H43))</f>
        <v>45809</v>
      </c>
      <c r="J43" s="23" t="s">
        <v>37</v>
      </c>
      <c r="K43" s="23">
        <v>1</v>
      </c>
      <c r="L43" s="23">
        <v>1</v>
      </c>
      <c r="M43" s="25">
        <v>18</v>
      </c>
      <c r="N43" s="25">
        <v>18</v>
      </c>
      <c r="R43" s="26" t="s">
        <v>509</v>
      </c>
    </row>
    <row r="44" spans="1:18" s="26" customFormat="1" x14ac:dyDescent="0.25">
      <c r="A44" s="23" t="s">
        <v>39</v>
      </c>
      <c r="B44" s="23">
        <v>16865615</v>
      </c>
      <c r="C44" s="23" t="s">
        <v>118</v>
      </c>
      <c r="D44" s="23" t="s">
        <v>119</v>
      </c>
      <c r="E44" s="23" t="s">
        <v>119</v>
      </c>
      <c r="F44" s="24">
        <v>45689</v>
      </c>
      <c r="G44" s="23" t="s">
        <v>14</v>
      </c>
      <c r="H44" s="24">
        <v>45778</v>
      </c>
      <c r="I44" s="24">
        <f>DATE(YEAR(H44), MONTH(H44) +1, DAY(H44))</f>
        <v>45809</v>
      </c>
      <c r="J44" s="23" t="s">
        <v>37</v>
      </c>
      <c r="K44" s="23">
        <v>1</v>
      </c>
      <c r="L44" s="23">
        <v>1</v>
      </c>
      <c r="M44" s="25">
        <v>18</v>
      </c>
      <c r="N44" s="25">
        <v>18</v>
      </c>
      <c r="R44" s="26" t="s">
        <v>509</v>
      </c>
    </row>
    <row r="45" spans="1:18" s="26" customFormat="1" x14ac:dyDescent="0.25">
      <c r="A45" s="23" t="s">
        <v>39</v>
      </c>
      <c r="B45" s="23">
        <v>16865615</v>
      </c>
      <c r="C45" s="23" t="s">
        <v>104</v>
      </c>
      <c r="D45" s="23" t="s">
        <v>105</v>
      </c>
      <c r="E45" s="23" t="s">
        <v>105</v>
      </c>
      <c r="F45" s="24">
        <v>45689</v>
      </c>
      <c r="G45" s="23" t="s">
        <v>14</v>
      </c>
      <c r="H45" s="24">
        <v>45778</v>
      </c>
      <c r="I45" s="24">
        <f>DATE(YEAR(H45), MONTH(H45) +1, DAY(H45))</f>
        <v>45809</v>
      </c>
      <c r="J45" s="23" t="s">
        <v>37</v>
      </c>
      <c r="K45" s="23">
        <v>1</v>
      </c>
      <c r="L45" s="23">
        <v>1</v>
      </c>
      <c r="M45" s="25">
        <v>18</v>
      </c>
      <c r="N45" s="25">
        <v>18</v>
      </c>
      <c r="R45" s="26" t="s">
        <v>509</v>
      </c>
    </row>
    <row r="46" spans="1:18" s="26" customFormat="1" x14ac:dyDescent="0.25">
      <c r="A46" s="23" t="s">
        <v>39</v>
      </c>
      <c r="B46" s="23">
        <v>16865615</v>
      </c>
      <c r="C46" s="23" t="s">
        <v>209</v>
      </c>
      <c r="D46" s="23" t="s">
        <v>210</v>
      </c>
      <c r="E46" s="23" t="s">
        <v>210</v>
      </c>
      <c r="F46" s="24">
        <v>45778</v>
      </c>
      <c r="G46" s="23" t="s">
        <v>14</v>
      </c>
      <c r="H46" s="24">
        <v>45778</v>
      </c>
      <c r="I46" s="24">
        <f>DATE(YEAR(H46), MONTH(H46) +1, DAY(H46))</f>
        <v>45809</v>
      </c>
      <c r="J46" s="23" t="s">
        <v>37</v>
      </c>
      <c r="K46" s="23">
        <v>1</v>
      </c>
      <c r="L46" s="23">
        <v>1</v>
      </c>
      <c r="M46" s="25">
        <v>18</v>
      </c>
      <c r="N46" s="26">
        <v>36</v>
      </c>
      <c r="O46" s="26" t="s">
        <v>494</v>
      </c>
      <c r="R46" s="26" t="s">
        <v>509</v>
      </c>
    </row>
    <row r="47" spans="1:18" s="26" customFormat="1" x14ac:dyDescent="0.25">
      <c r="A47" s="23" t="s">
        <v>39</v>
      </c>
      <c r="B47" s="23">
        <v>16865615</v>
      </c>
      <c r="C47" s="23" t="s">
        <v>86</v>
      </c>
      <c r="D47" s="23" t="s">
        <v>87</v>
      </c>
      <c r="E47" s="23" t="s">
        <v>87</v>
      </c>
      <c r="F47" s="24">
        <v>45658</v>
      </c>
      <c r="G47" s="23" t="s">
        <v>14</v>
      </c>
      <c r="H47" s="24">
        <v>45778</v>
      </c>
      <c r="I47" s="24">
        <f>DATE(YEAR(H47), MONTH(H47) +1, DAY(H47))</f>
        <v>45809</v>
      </c>
      <c r="J47" s="23" t="s">
        <v>37</v>
      </c>
      <c r="K47" s="23">
        <v>1</v>
      </c>
      <c r="L47" s="23">
        <v>1</v>
      </c>
      <c r="M47" s="25">
        <v>18</v>
      </c>
      <c r="N47" s="25">
        <v>18</v>
      </c>
      <c r="R47" s="26" t="s">
        <v>509</v>
      </c>
    </row>
    <row r="48" spans="1:18" s="26" customFormat="1" x14ac:dyDescent="0.25">
      <c r="A48" s="23" t="s">
        <v>39</v>
      </c>
      <c r="B48" s="23">
        <v>16865615</v>
      </c>
      <c r="C48" s="23" t="s">
        <v>215</v>
      </c>
      <c r="D48" s="23" t="s">
        <v>216</v>
      </c>
      <c r="E48" s="23" t="s">
        <v>216</v>
      </c>
      <c r="F48" s="24">
        <v>45689</v>
      </c>
      <c r="G48" s="23" t="s">
        <v>14</v>
      </c>
      <c r="H48" s="24">
        <v>45778</v>
      </c>
      <c r="I48" s="24">
        <f>DATE(YEAR(H48), MONTH(H48) +1, DAY(H48))</f>
        <v>45809</v>
      </c>
      <c r="J48" s="23" t="s">
        <v>37</v>
      </c>
      <c r="K48" s="23">
        <v>1</v>
      </c>
      <c r="L48" s="23">
        <v>1</v>
      </c>
      <c r="M48" s="25">
        <v>18</v>
      </c>
      <c r="N48" s="25">
        <v>18</v>
      </c>
      <c r="R48" s="26" t="s">
        <v>509</v>
      </c>
    </row>
    <row r="49" spans="1:18" s="26" customFormat="1" x14ac:dyDescent="0.25">
      <c r="A49" s="23" t="s">
        <v>39</v>
      </c>
      <c r="B49" s="23">
        <v>16865615</v>
      </c>
      <c r="C49" s="23" t="s">
        <v>240</v>
      </c>
      <c r="D49" s="23" t="s">
        <v>241</v>
      </c>
      <c r="E49" s="23" t="s">
        <v>241</v>
      </c>
      <c r="F49" s="24">
        <v>45658</v>
      </c>
      <c r="G49" s="23" t="s">
        <v>14</v>
      </c>
      <c r="H49" s="24">
        <v>45778</v>
      </c>
      <c r="I49" s="24">
        <f>DATE(YEAR(H49), MONTH(H49) +1, DAY(H49))</f>
        <v>45809</v>
      </c>
      <c r="J49" s="23" t="s">
        <v>37</v>
      </c>
      <c r="K49" s="23">
        <v>1</v>
      </c>
      <c r="L49" s="23">
        <v>1</v>
      </c>
      <c r="M49" s="25">
        <v>18</v>
      </c>
      <c r="N49" s="26">
        <v>36</v>
      </c>
      <c r="O49" s="26" t="s">
        <v>494</v>
      </c>
      <c r="R49" s="26" t="s">
        <v>509</v>
      </c>
    </row>
    <row r="50" spans="1:18" s="26" customFormat="1" x14ac:dyDescent="0.25">
      <c r="A50" s="23" t="s">
        <v>39</v>
      </c>
      <c r="B50" s="23">
        <v>16865615</v>
      </c>
      <c r="C50" s="23" t="s">
        <v>232</v>
      </c>
      <c r="D50" s="23" t="s">
        <v>233</v>
      </c>
      <c r="E50" s="23" t="s">
        <v>233</v>
      </c>
      <c r="F50" s="24">
        <v>45658</v>
      </c>
      <c r="G50" s="23" t="s">
        <v>14</v>
      </c>
      <c r="H50" s="24">
        <v>45778</v>
      </c>
      <c r="I50" s="24">
        <f>DATE(YEAR(H50), MONTH(H50) +1, DAY(H50))</f>
        <v>45809</v>
      </c>
      <c r="J50" s="23" t="s">
        <v>37</v>
      </c>
      <c r="K50" s="23">
        <v>1</v>
      </c>
      <c r="L50" s="23">
        <v>1</v>
      </c>
      <c r="M50" s="25">
        <v>18</v>
      </c>
      <c r="N50" s="25">
        <v>18</v>
      </c>
      <c r="R50" s="26" t="s">
        <v>509</v>
      </c>
    </row>
    <row r="51" spans="1:18" s="26" customFormat="1" x14ac:dyDescent="0.25">
      <c r="A51" s="23" t="s">
        <v>39</v>
      </c>
      <c r="B51" s="23">
        <v>16865615</v>
      </c>
      <c r="C51" s="23" t="s">
        <v>246</v>
      </c>
      <c r="D51" s="23" t="s">
        <v>504</v>
      </c>
      <c r="E51" s="23" t="s">
        <v>504</v>
      </c>
      <c r="F51" s="24">
        <v>45658</v>
      </c>
      <c r="G51" s="23" t="s">
        <v>14</v>
      </c>
      <c r="H51" s="24">
        <v>45778</v>
      </c>
      <c r="I51" s="24">
        <f>DATE(YEAR(H51), MONTH(H51) +1, DAY(H51))</f>
        <v>45809</v>
      </c>
      <c r="J51" s="23" t="s">
        <v>37</v>
      </c>
      <c r="K51" s="23">
        <v>1</v>
      </c>
      <c r="L51" s="23">
        <v>1</v>
      </c>
      <c r="M51" s="25">
        <v>18</v>
      </c>
      <c r="N51" s="25">
        <v>18</v>
      </c>
      <c r="R51" s="26" t="s">
        <v>509</v>
      </c>
    </row>
    <row r="52" spans="1:18" s="26" customFormat="1" x14ac:dyDescent="0.25">
      <c r="A52" s="23" t="s">
        <v>39</v>
      </c>
      <c r="B52" s="23">
        <v>16865615</v>
      </c>
      <c r="C52" s="23" t="s">
        <v>207</v>
      </c>
      <c r="D52" s="23" t="s">
        <v>208</v>
      </c>
      <c r="E52" s="23" t="s">
        <v>208</v>
      </c>
      <c r="F52" s="24">
        <v>45658</v>
      </c>
      <c r="G52" s="23" t="s">
        <v>14</v>
      </c>
      <c r="H52" s="24">
        <v>45778</v>
      </c>
      <c r="I52" s="24">
        <f>DATE(YEAR(H52), MONTH(H52) +1, DAY(H52))</f>
        <v>45809</v>
      </c>
      <c r="J52" s="23" t="s">
        <v>37</v>
      </c>
      <c r="K52" s="23">
        <v>1</v>
      </c>
      <c r="L52" s="23">
        <v>1</v>
      </c>
      <c r="M52" s="25">
        <v>18</v>
      </c>
      <c r="N52" s="25">
        <v>18</v>
      </c>
      <c r="R52" s="26" t="s">
        <v>509</v>
      </c>
    </row>
    <row r="53" spans="1:18" s="26" customFormat="1" x14ac:dyDescent="0.25">
      <c r="A53" s="23" t="s">
        <v>39</v>
      </c>
      <c r="B53" s="23">
        <v>16865615</v>
      </c>
      <c r="C53" s="23" t="s">
        <v>276</v>
      </c>
      <c r="D53" s="23" t="s">
        <v>277</v>
      </c>
      <c r="E53" s="23" t="s">
        <v>277</v>
      </c>
      <c r="F53" s="24">
        <v>45778</v>
      </c>
      <c r="G53" s="23" t="s">
        <v>14</v>
      </c>
      <c r="H53" s="24">
        <v>45778</v>
      </c>
      <c r="I53" s="24">
        <f>DATE(YEAR(H53), MONTH(H53) +1, DAY(H53))</f>
        <v>45809</v>
      </c>
      <c r="J53" s="23" t="s">
        <v>37</v>
      </c>
      <c r="K53" s="23">
        <v>1</v>
      </c>
      <c r="L53" s="23">
        <v>1</v>
      </c>
      <c r="M53" s="25">
        <v>18</v>
      </c>
      <c r="N53" s="25">
        <v>18</v>
      </c>
      <c r="R53" s="26" t="s">
        <v>509</v>
      </c>
    </row>
    <row r="54" spans="1:18" s="26" customFormat="1" x14ac:dyDescent="0.25">
      <c r="A54" s="23" t="s">
        <v>39</v>
      </c>
      <c r="B54" s="23">
        <v>16865615</v>
      </c>
      <c r="C54" s="23" t="s">
        <v>197</v>
      </c>
      <c r="D54" s="23" t="s">
        <v>198</v>
      </c>
      <c r="E54" s="23" t="s">
        <v>198</v>
      </c>
      <c r="F54" s="24">
        <v>45689</v>
      </c>
      <c r="G54" s="23" t="s">
        <v>14</v>
      </c>
      <c r="H54" s="24">
        <v>45778</v>
      </c>
      <c r="I54" s="24">
        <f>DATE(YEAR(H54), MONTH(H54) +1, DAY(H54))</f>
        <v>45809</v>
      </c>
      <c r="J54" s="23" t="s">
        <v>37</v>
      </c>
      <c r="K54" s="23">
        <v>1</v>
      </c>
      <c r="L54" s="23">
        <v>1</v>
      </c>
      <c r="M54" s="25">
        <v>18</v>
      </c>
      <c r="N54" s="26">
        <v>36</v>
      </c>
      <c r="O54" s="26" t="s">
        <v>494</v>
      </c>
      <c r="R54" s="26" t="s">
        <v>509</v>
      </c>
    </row>
    <row r="55" spans="1:18" s="26" customFormat="1" x14ac:dyDescent="0.25">
      <c r="A55" s="23" t="s">
        <v>39</v>
      </c>
      <c r="B55" s="23">
        <v>16865615</v>
      </c>
      <c r="C55" s="23" t="s">
        <v>62</v>
      </c>
      <c r="D55" s="23" t="s">
        <v>63</v>
      </c>
      <c r="E55" s="23" t="s">
        <v>63</v>
      </c>
      <c r="F55" s="24">
        <v>45658</v>
      </c>
      <c r="G55" s="23" t="s">
        <v>14</v>
      </c>
      <c r="H55" s="24">
        <v>45778</v>
      </c>
      <c r="I55" s="24">
        <f>DATE(YEAR(H55), MONTH(H55) +1, DAY(H55))</f>
        <v>45809</v>
      </c>
      <c r="J55" s="23" t="s">
        <v>37</v>
      </c>
      <c r="K55" s="23">
        <v>1</v>
      </c>
      <c r="L55" s="23">
        <v>1</v>
      </c>
      <c r="M55" s="25">
        <v>18</v>
      </c>
      <c r="N55" s="25">
        <v>18</v>
      </c>
      <c r="R55" s="26" t="s">
        <v>509</v>
      </c>
    </row>
    <row r="56" spans="1:18" s="26" customFormat="1" x14ac:dyDescent="0.25">
      <c r="A56" s="23" t="s">
        <v>39</v>
      </c>
      <c r="B56" s="23">
        <v>16865615</v>
      </c>
      <c r="C56" s="23" t="s">
        <v>249</v>
      </c>
      <c r="D56" s="23" t="s">
        <v>250</v>
      </c>
      <c r="E56" s="23" t="s">
        <v>250</v>
      </c>
      <c r="F56" s="24">
        <v>45566</v>
      </c>
      <c r="G56" s="23" t="s">
        <v>14</v>
      </c>
      <c r="H56" s="24">
        <v>45778</v>
      </c>
      <c r="I56" s="24">
        <f>DATE(YEAR(H56), MONTH(H56) +1, DAY(H56))</f>
        <v>45809</v>
      </c>
      <c r="J56" s="23" t="s">
        <v>37</v>
      </c>
      <c r="K56" s="23">
        <v>1</v>
      </c>
      <c r="L56" s="23">
        <v>1</v>
      </c>
      <c r="M56" s="25">
        <v>18</v>
      </c>
      <c r="N56" s="26">
        <v>36</v>
      </c>
      <c r="O56" s="26" t="s">
        <v>494</v>
      </c>
      <c r="R56" s="26" t="s">
        <v>509</v>
      </c>
    </row>
    <row r="57" spans="1:18" s="26" customFormat="1" x14ac:dyDescent="0.25">
      <c r="A57" s="23" t="s">
        <v>39</v>
      </c>
      <c r="B57" s="23">
        <v>16865615</v>
      </c>
      <c r="C57" s="23" t="s">
        <v>257</v>
      </c>
      <c r="D57" s="23" t="s">
        <v>258</v>
      </c>
      <c r="E57" s="23" t="s">
        <v>258</v>
      </c>
      <c r="F57" s="24">
        <v>45658</v>
      </c>
      <c r="G57" s="23" t="s">
        <v>14</v>
      </c>
      <c r="H57" s="24">
        <v>45778</v>
      </c>
      <c r="I57" s="24">
        <f>DATE(YEAR(H57), MONTH(H57) +1, DAY(H57))</f>
        <v>45809</v>
      </c>
      <c r="J57" s="23" t="s">
        <v>37</v>
      </c>
      <c r="K57" s="23">
        <v>1</v>
      </c>
      <c r="L57" s="23">
        <v>1</v>
      </c>
      <c r="M57" s="25">
        <v>18</v>
      </c>
      <c r="N57" s="25">
        <v>18</v>
      </c>
      <c r="R57" s="26" t="s">
        <v>509</v>
      </c>
    </row>
    <row r="58" spans="1:18" s="26" customFormat="1" x14ac:dyDescent="0.25">
      <c r="A58" s="23" t="s">
        <v>39</v>
      </c>
      <c r="B58" s="23">
        <v>16865615</v>
      </c>
      <c r="C58" s="23" t="s">
        <v>201</v>
      </c>
      <c r="D58" s="23" t="s">
        <v>202</v>
      </c>
      <c r="E58" s="23" t="s">
        <v>202</v>
      </c>
      <c r="F58" s="24">
        <v>45658</v>
      </c>
      <c r="G58" s="23" t="s">
        <v>14</v>
      </c>
      <c r="H58" s="24">
        <v>45778</v>
      </c>
      <c r="I58" s="24">
        <f>DATE(YEAR(H58), MONTH(H58) +1, DAY(H58))</f>
        <v>45809</v>
      </c>
      <c r="J58" s="23" t="s">
        <v>37</v>
      </c>
      <c r="K58" s="23">
        <v>1</v>
      </c>
      <c r="L58" s="23">
        <v>1</v>
      </c>
      <c r="M58" s="25">
        <v>18</v>
      </c>
      <c r="N58" s="25">
        <v>18</v>
      </c>
      <c r="R58" s="26" t="s">
        <v>509</v>
      </c>
    </row>
    <row r="59" spans="1:18" s="26" customFormat="1" x14ac:dyDescent="0.25">
      <c r="A59" s="23" t="s">
        <v>39</v>
      </c>
      <c r="B59" s="23">
        <v>16865615</v>
      </c>
      <c r="C59" s="23" t="s">
        <v>280</v>
      </c>
      <c r="D59" s="23" t="s">
        <v>281</v>
      </c>
      <c r="E59" s="23" t="s">
        <v>281</v>
      </c>
      <c r="F59" s="24">
        <v>45748</v>
      </c>
      <c r="G59" s="23" t="s">
        <v>14</v>
      </c>
      <c r="H59" s="24">
        <v>45778</v>
      </c>
      <c r="I59" s="24">
        <f>DATE(YEAR(H59), MONTH(H59) +1, DAY(H59))</f>
        <v>45809</v>
      </c>
      <c r="J59" s="23" t="s">
        <v>37</v>
      </c>
      <c r="K59" s="23">
        <v>1</v>
      </c>
      <c r="L59" s="23">
        <v>1</v>
      </c>
      <c r="M59" s="25">
        <v>18</v>
      </c>
      <c r="N59" s="25">
        <v>18</v>
      </c>
      <c r="R59" s="26" t="s">
        <v>509</v>
      </c>
    </row>
    <row r="60" spans="1:18" s="26" customFormat="1" x14ac:dyDescent="0.25">
      <c r="A60" s="23" t="s">
        <v>39</v>
      </c>
      <c r="B60" s="23">
        <v>16865615</v>
      </c>
      <c r="C60" s="23" t="s">
        <v>288</v>
      </c>
      <c r="D60" s="23" t="s">
        <v>289</v>
      </c>
      <c r="E60" s="23" t="s">
        <v>289</v>
      </c>
      <c r="F60" s="24">
        <v>45627</v>
      </c>
      <c r="G60" s="23" t="s">
        <v>14</v>
      </c>
      <c r="H60" s="24">
        <v>45778</v>
      </c>
      <c r="I60" s="24">
        <f>DATE(YEAR(H60), MONTH(H60) +1, DAY(H60))</f>
        <v>45809</v>
      </c>
      <c r="J60" s="23" t="s">
        <v>37</v>
      </c>
      <c r="K60" s="23">
        <v>1</v>
      </c>
      <c r="L60" s="23">
        <v>1</v>
      </c>
      <c r="M60" s="25">
        <v>18</v>
      </c>
      <c r="N60" s="25">
        <v>18</v>
      </c>
      <c r="R60" s="26" t="s">
        <v>509</v>
      </c>
    </row>
    <row r="61" spans="1:18" s="26" customFormat="1" x14ac:dyDescent="0.25">
      <c r="A61" s="23" t="s">
        <v>39</v>
      </c>
      <c r="B61" s="23">
        <v>16865615</v>
      </c>
      <c r="C61" s="23" t="s">
        <v>247</v>
      </c>
      <c r="D61" s="23" t="s">
        <v>248</v>
      </c>
      <c r="E61" s="23" t="s">
        <v>248</v>
      </c>
      <c r="F61" s="24">
        <v>45658</v>
      </c>
      <c r="G61" s="23" t="s">
        <v>14</v>
      </c>
      <c r="H61" s="24">
        <v>45778</v>
      </c>
      <c r="I61" s="24">
        <f>DATE(YEAR(H61), MONTH(H61) +1, DAY(H61))</f>
        <v>45809</v>
      </c>
      <c r="J61" s="23" t="s">
        <v>37</v>
      </c>
      <c r="K61" s="23">
        <v>1</v>
      </c>
      <c r="L61" s="23">
        <v>1</v>
      </c>
      <c r="M61" s="25">
        <v>18</v>
      </c>
      <c r="N61" s="25">
        <v>18</v>
      </c>
      <c r="R61" s="26" t="s">
        <v>509</v>
      </c>
    </row>
    <row r="62" spans="1:18" s="26" customFormat="1" x14ac:dyDescent="0.25">
      <c r="A62" s="23" t="s">
        <v>33</v>
      </c>
      <c r="B62" s="23">
        <v>6634327</v>
      </c>
      <c r="C62" s="23" t="s">
        <v>140</v>
      </c>
      <c r="D62" s="23" t="s">
        <v>141</v>
      </c>
      <c r="E62" s="23" t="s">
        <v>141</v>
      </c>
      <c r="F62" s="24">
        <v>45658</v>
      </c>
      <c r="G62" s="23" t="s">
        <v>14</v>
      </c>
      <c r="H62" s="24">
        <v>45778</v>
      </c>
      <c r="I62" s="24">
        <f>DATE(YEAR(H62), MONTH(H62) +1, DAY(H62))</f>
        <v>45809</v>
      </c>
      <c r="J62" s="23" t="s">
        <v>37</v>
      </c>
      <c r="K62" s="23">
        <v>1</v>
      </c>
      <c r="L62" s="23">
        <v>1</v>
      </c>
      <c r="M62" s="25">
        <v>18</v>
      </c>
      <c r="N62" s="26">
        <v>144</v>
      </c>
      <c r="O62" s="26" t="s">
        <v>497</v>
      </c>
      <c r="R62" s="26" t="s">
        <v>509</v>
      </c>
    </row>
    <row r="63" spans="1:18" s="26" customFormat="1" x14ac:dyDescent="0.25">
      <c r="A63" s="23" t="s">
        <v>33</v>
      </c>
      <c r="B63" s="23">
        <v>6634327</v>
      </c>
      <c r="C63" s="23" t="s">
        <v>147</v>
      </c>
      <c r="D63" s="23" t="s">
        <v>148</v>
      </c>
      <c r="E63" s="23" t="s">
        <v>148</v>
      </c>
      <c r="F63" s="24">
        <v>45658</v>
      </c>
      <c r="G63" s="23" t="s">
        <v>14</v>
      </c>
      <c r="H63" s="24">
        <v>45778</v>
      </c>
      <c r="I63" s="24">
        <f>DATE(YEAR(H63), MONTH(H63) +1, DAY(H63))</f>
        <v>45809</v>
      </c>
      <c r="J63" s="23" t="s">
        <v>37</v>
      </c>
      <c r="K63" s="23">
        <v>1</v>
      </c>
      <c r="L63" s="23">
        <v>1</v>
      </c>
      <c r="M63" s="25">
        <v>18</v>
      </c>
      <c r="N63" s="25">
        <v>18</v>
      </c>
      <c r="R63" s="26" t="s">
        <v>509</v>
      </c>
    </row>
    <row r="64" spans="1:18" s="26" customFormat="1" x14ac:dyDescent="0.25">
      <c r="A64" s="23" t="s">
        <v>33</v>
      </c>
      <c r="B64" s="23">
        <v>6634327</v>
      </c>
      <c r="C64" s="23" t="s">
        <v>130</v>
      </c>
      <c r="D64" s="23" t="s">
        <v>131</v>
      </c>
      <c r="E64" s="23" t="s">
        <v>131</v>
      </c>
      <c r="F64" s="24">
        <v>45689</v>
      </c>
      <c r="G64" s="23" t="s">
        <v>14</v>
      </c>
      <c r="H64" s="24">
        <v>45778</v>
      </c>
      <c r="I64" s="24">
        <f>DATE(YEAR(H64), MONTH(H64) +1, DAY(H64))</f>
        <v>45809</v>
      </c>
      <c r="J64" s="23" t="s">
        <v>37</v>
      </c>
      <c r="K64" s="23">
        <v>1</v>
      </c>
      <c r="L64" s="23">
        <v>1</v>
      </c>
      <c r="M64" s="25">
        <v>18</v>
      </c>
      <c r="N64" s="26">
        <v>36</v>
      </c>
      <c r="O64" s="26" t="s">
        <v>494</v>
      </c>
      <c r="R64" s="26" t="s">
        <v>509</v>
      </c>
    </row>
    <row r="65" spans="1:18" s="26" customFormat="1" x14ac:dyDescent="0.25">
      <c r="A65" s="23" t="s">
        <v>33</v>
      </c>
      <c r="B65" s="23">
        <v>6634327</v>
      </c>
      <c r="C65" s="23" t="s">
        <v>138</v>
      </c>
      <c r="D65" s="23" t="s">
        <v>139</v>
      </c>
      <c r="E65" s="23" t="s">
        <v>139</v>
      </c>
      <c r="F65" s="24">
        <v>45689</v>
      </c>
      <c r="G65" s="23" t="s">
        <v>14</v>
      </c>
      <c r="H65" s="24">
        <v>45778</v>
      </c>
      <c r="I65" s="24">
        <f>DATE(YEAR(H65), MONTH(H65) +1, DAY(H65))</f>
        <v>45809</v>
      </c>
      <c r="J65" s="23" t="s">
        <v>37</v>
      </c>
      <c r="K65" s="23">
        <v>1</v>
      </c>
      <c r="L65" s="23">
        <v>1</v>
      </c>
      <c r="M65" s="25">
        <v>18</v>
      </c>
      <c r="N65" s="25">
        <v>18</v>
      </c>
      <c r="R65" s="26" t="s">
        <v>509</v>
      </c>
    </row>
    <row r="66" spans="1:18" s="26" customFormat="1" x14ac:dyDescent="0.25">
      <c r="A66" s="23" t="s">
        <v>33</v>
      </c>
      <c r="B66" s="23">
        <v>6634327</v>
      </c>
      <c r="C66" s="23" t="s">
        <v>152</v>
      </c>
      <c r="D66" s="23" t="s">
        <v>502</v>
      </c>
      <c r="E66" s="23" t="s">
        <v>502</v>
      </c>
      <c r="F66" s="24">
        <v>45689</v>
      </c>
      <c r="G66" s="23" t="s">
        <v>14</v>
      </c>
      <c r="H66" s="24">
        <v>45778</v>
      </c>
      <c r="I66" s="24">
        <f>DATE(YEAR(H66), MONTH(H66) +1, DAY(H66))</f>
        <v>45809</v>
      </c>
      <c r="J66" s="23" t="s">
        <v>37</v>
      </c>
      <c r="K66" s="23">
        <v>1</v>
      </c>
      <c r="L66" s="23">
        <v>1</v>
      </c>
      <c r="M66" s="25">
        <v>18</v>
      </c>
      <c r="N66" s="25">
        <v>18</v>
      </c>
      <c r="R66" s="26" t="s">
        <v>509</v>
      </c>
    </row>
    <row r="67" spans="1:18" s="26" customFormat="1" x14ac:dyDescent="0.25">
      <c r="A67" s="23" t="s">
        <v>33</v>
      </c>
      <c r="B67" s="23">
        <v>6634327</v>
      </c>
      <c r="C67" s="23" t="s">
        <v>154</v>
      </c>
      <c r="D67" s="23" t="s">
        <v>155</v>
      </c>
      <c r="E67" s="23" t="s">
        <v>155</v>
      </c>
      <c r="F67" s="24">
        <v>45717</v>
      </c>
      <c r="G67" s="23" t="s">
        <v>14</v>
      </c>
      <c r="H67" s="24">
        <v>45778</v>
      </c>
      <c r="I67" s="24">
        <f>DATE(YEAR(H67), MONTH(H67) +1, DAY(H67))</f>
        <v>45809</v>
      </c>
      <c r="J67" s="23" t="s">
        <v>37</v>
      </c>
      <c r="K67" s="23">
        <v>1</v>
      </c>
      <c r="L67" s="23">
        <v>1</v>
      </c>
      <c r="M67" s="25">
        <v>18</v>
      </c>
      <c r="N67" s="25">
        <v>18</v>
      </c>
      <c r="R67" s="26" t="s">
        <v>509</v>
      </c>
    </row>
    <row r="68" spans="1:18" s="26" customFormat="1" x14ac:dyDescent="0.25">
      <c r="A68" s="23" t="s">
        <v>33</v>
      </c>
      <c r="B68" s="23">
        <v>6634327</v>
      </c>
      <c r="C68" s="23" t="s">
        <v>145</v>
      </c>
      <c r="D68" s="23" t="s">
        <v>146</v>
      </c>
      <c r="E68" s="23" t="s">
        <v>146</v>
      </c>
      <c r="F68" s="24">
        <v>45778</v>
      </c>
      <c r="G68" s="23" t="s">
        <v>14</v>
      </c>
      <c r="H68" s="24">
        <v>45778</v>
      </c>
      <c r="I68" s="24">
        <f>DATE(YEAR(H68), MONTH(H68) +1, DAY(H68))</f>
        <v>45809</v>
      </c>
      <c r="J68" s="23" t="s">
        <v>37</v>
      </c>
      <c r="K68" s="23">
        <v>1</v>
      </c>
      <c r="L68" s="23">
        <v>1</v>
      </c>
      <c r="M68" s="25">
        <v>18</v>
      </c>
      <c r="N68" s="25">
        <v>18</v>
      </c>
      <c r="R68" s="26" t="s">
        <v>509</v>
      </c>
    </row>
    <row r="69" spans="1:18" s="26" customFormat="1" x14ac:dyDescent="0.25">
      <c r="A69" s="23" t="s">
        <v>33</v>
      </c>
      <c r="B69" s="23">
        <v>6634327</v>
      </c>
      <c r="C69" s="23" t="s">
        <v>156</v>
      </c>
      <c r="D69" s="23" t="s">
        <v>157</v>
      </c>
      <c r="E69" s="23" t="s">
        <v>157</v>
      </c>
      <c r="F69" s="24">
        <v>45778</v>
      </c>
      <c r="G69" s="23" t="s">
        <v>14</v>
      </c>
      <c r="H69" s="24">
        <v>45778</v>
      </c>
      <c r="I69" s="24">
        <f>DATE(YEAR(H69), MONTH(H69) +1, DAY(H69))</f>
        <v>45809</v>
      </c>
      <c r="J69" s="23" t="s">
        <v>37</v>
      </c>
      <c r="K69" s="23">
        <v>1</v>
      </c>
      <c r="L69" s="23">
        <v>1</v>
      </c>
      <c r="M69" s="25">
        <v>18</v>
      </c>
      <c r="N69" s="25">
        <v>18</v>
      </c>
      <c r="R69" s="26" t="s">
        <v>509</v>
      </c>
    </row>
    <row r="70" spans="1:18" s="26" customFormat="1" x14ac:dyDescent="0.25">
      <c r="A70" s="23" t="s">
        <v>33</v>
      </c>
      <c r="B70" s="23">
        <v>6634327</v>
      </c>
      <c r="C70" s="23" t="s">
        <v>161</v>
      </c>
      <c r="D70" s="23" t="s">
        <v>162</v>
      </c>
      <c r="E70" s="23" t="s">
        <v>162</v>
      </c>
      <c r="F70" s="24">
        <v>45658</v>
      </c>
      <c r="G70" s="23" t="s">
        <v>14</v>
      </c>
      <c r="H70" s="24">
        <v>45778</v>
      </c>
      <c r="I70" s="24">
        <f>DATE(YEAR(H70), MONTH(H70) +1, DAY(H70))</f>
        <v>45809</v>
      </c>
      <c r="J70" s="23" t="s">
        <v>37</v>
      </c>
      <c r="K70" s="23">
        <v>1</v>
      </c>
      <c r="L70" s="23">
        <v>1</v>
      </c>
      <c r="M70" s="25">
        <v>18</v>
      </c>
      <c r="N70" s="25">
        <v>18</v>
      </c>
      <c r="R70" s="26" t="s">
        <v>509</v>
      </c>
    </row>
    <row r="71" spans="1:18" s="26" customFormat="1" x14ac:dyDescent="0.25">
      <c r="A71" s="23" t="s">
        <v>33</v>
      </c>
      <c r="B71" s="23">
        <v>6634327</v>
      </c>
      <c r="C71" s="23" t="s">
        <v>149</v>
      </c>
      <c r="D71" s="23" t="s">
        <v>150</v>
      </c>
      <c r="E71" s="23" t="s">
        <v>150</v>
      </c>
      <c r="F71" s="24">
        <v>45717</v>
      </c>
      <c r="G71" s="23" t="s">
        <v>14</v>
      </c>
      <c r="H71" s="24">
        <v>45778</v>
      </c>
      <c r="I71" s="24">
        <f>DATE(YEAR(H71), MONTH(H71) +1, DAY(H71))</f>
        <v>45809</v>
      </c>
      <c r="J71" s="23" t="s">
        <v>37</v>
      </c>
      <c r="K71" s="23">
        <v>1</v>
      </c>
      <c r="L71" s="23">
        <v>1</v>
      </c>
      <c r="M71" s="25">
        <v>18</v>
      </c>
      <c r="N71" s="25">
        <v>18</v>
      </c>
      <c r="R71" s="26" t="s">
        <v>509</v>
      </c>
    </row>
    <row r="72" spans="1:18" s="26" customFormat="1" x14ac:dyDescent="0.25">
      <c r="A72" s="23" t="s">
        <v>33</v>
      </c>
      <c r="B72" s="23">
        <v>6634327</v>
      </c>
      <c r="C72" s="23" t="s">
        <v>143</v>
      </c>
      <c r="D72" s="23" t="s">
        <v>144</v>
      </c>
      <c r="E72" s="23" t="s">
        <v>144</v>
      </c>
      <c r="F72" s="24">
        <v>45689</v>
      </c>
      <c r="G72" s="23" t="s">
        <v>14</v>
      </c>
      <c r="H72" s="24">
        <v>45778</v>
      </c>
      <c r="I72" s="24">
        <f>DATE(YEAR(H72), MONTH(H72) +1, DAY(H72))</f>
        <v>45809</v>
      </c>
      <c r="J72" s="23" t="s">
        <v>37</v>
      </c>
      <c r="K72" s="23">
        <v>1</v>
      </c>
      <c r="L72" s="23">
        <v>1</v>
      </c>
      <c r="M72" s="25">
        <v>18</v>
      </c>
      <c r="N72" s="25">
        <v>18</v>
      </c>
      <c r="R72" s="26" t="s">
        <v>509</v>
      </c>
    </row>
    <row r="73" spans="1:18" s="26" customFormat="1" x14ac:dyDescent="0.25">
      <c r="A73" s="23" t="s">
        <v>33</v>
      </c>
      <c r="B73" s="23">
        <v>6634327</v>
      </c>
      <c r="C73" s="23" t="s">
        <v>159</v>
      </c>
      <c r="D73" s="23" t="s">
        <v>160</v>
      </c>
      <c r="E73" s="23" t="s">
        <v>160</v>
      </c>
      <c r="F73" s="24">
        <v>45658</v>
      </c>
      <c r="G73" s="23" t="s">
        <v>14</v>
      </c>
      <c r="H73" s="24">
        <v>45778</v>
      </c>
      <c r="I73" s="24">
        <f>DATE(YEAR(H73), MONTH(H73) +1, DAY(H73))</f>
        <v>45809</v>
      </c>
      <c r="J73" s="23" t="s">
        <v>37</v>
      </c>
      <c r="K73" s="23">
        <v>1</v>
      </c>
      <c r="L73" s="23">
        <v>1</v>
      </c>
      <c r="M73" s="25">
        <v>18</v>
      </c>
      <c r="N73" s="25">
        <v>18</v>
      </c>
      <c r="R73" s="26" t="s">
        <v>509</v>
      </c>
    </row>
    <row r="74" spans="1:18" s="26" customFormat="1" x14ac:dyDescent="0.25">
      <c r="A74" s="23" t="s">
        <v>33</v>
      </c>
      <c r="B74" s="23">
        <v>6634327</v>
      </c>
      <c r="C74" s="23" t="s">
        <v>132</v>
      </c>
      <c r="D74" s="23" t="s">
        <v>133</v>
      </c>
      <c r="E74" s="23" t="s">
        <v>133</v>
      </c>
      <c r="F74" s="24">
        <v>45689</v>
      </c>
      <c r="G74" s="23" t="s">
        <v>14</v>
      </c>
      <c r="H74" s="24">
        <v>45778</v>
      </c>
      <c r="I74" s="24">
        <f>DATE(YEAR(H74), MONTH(H74) +1, DAY(H74))</f>
        <v>45809</v>
      </c>
      <c r="J74" s="23" t="s">
        <v>37</v>
      </c>
      <c r="K74" s="23">
        <v>1</v>
      </c>
      <c r="L74" s="23">
        <v>1</v>
      </c>
      <c r="M74" s="25">
        <v>18</v>
      </c>
      <c r="N74" s="25">
        <v>18</v>
      </c>
      <c r="R74" s="26" t="s">
        <v>509</v>
      </c>
    </row>
    <row r="75" spans="1:18" s="26" customFormat="1" x14ac:dyDescent="0.25">
      <c r="A75" s="23" t="s">
        <v>33</v>
      </c>
      <c r="B75" s="23">
        <v>6634327</v>
      </c>
      <c r="C75" s="23" t="s">
        <v>134</v>
      </c>
      <c r="D75" s="23" t="s">
        <v>135</v>
      </c>
      <c r="E75" s="23" t="s">
        <v>135</v>
      </c>
      <c r="F75" s="24">
        <v>45689</v>
      </c>
      <c r="G75" s="23" t="s">
        <v>14</v>
      </c>
      <c r="H75" s="24">
        <v>45778</v>
      </c>
      <c r="I75" s="24">
        <f>DATE(YEAR(H75), MONTH(H75) +1, DAY(H75))</f>
        <v>45809</v>
      </c>
      <c r="J75" s="23" t="s">
        <v>37</v>
      </c>
      <c r="K75" s="23">
        <v>1</v>
      </c>
      <c r="L75" s="23">
        <v>1</v>
      </c>
      <c r="M75" s="25">
        <v>18</v>
      </c>
      <c r="N75" s="25">
        <v>18</v>
      </c>
      <c r="R75" s="26" t="s">
        <v>509</v>
      </c>
    </row>
    <row r="76" spans="1:18" s="26" customFormat="1" x14ac:dyDescent="0.25">
      <c r="A76" s="23" t="s">
        <v>33</v>
      </c>
      <c r="B76" s="23">
        <v>6634327</v>
      </c>
      <c r="C76" s="23" t="s">
        <v>35</v>
      </c>
      <c r="D76" s="23" t="s">
        <v>36</v>
      </c>
      <c r="E76" s="23" t="s">
        <v>36</v>
      </c>
      <c r="F76" s="24">
        <v>45658</v>
      </c>
      <c r="G76" s="23" t="s">
        <v>14</v>
      </c>
      <c r="H76" s="24">
        <v>45778</v>
      </c>
      <c r="I76" s="24">
        <f>DATE(YEAR(H76), MONTH(H76) +1, DAY(H76))</f>
        <v>45809</v>
      </c>
      <c r="J76" s="23" t="s">
        <v>37</v>
      </c>
      <c r="K76" s="23">
        <v>-1</v>
      </c>
      <c r="L76" s="23" t="s">
        <v>32</v>
      </c>
      <c r="M76" s="25">
        <v>-18</v>
      </c>
      <c r="N76" s="25">
        <v>-18</v>
      </c>
      <c r="R76" s="26" t="s">
        <v>509</v>
      </c>
    </row>
    <row r="77" spans="1:18" s="26" customFormat="1" x14ac:dyDescent="0.25">
      <c r="A77" s="23" t="s">
        <v>33</v>
      </c>
      <c r="B77" s="23">
        <v>6634327</v>
      </c>
      <c r="C77" s="23" t="s">
        <v>38</v>
      </c>
      <c r="D77" s="23" t="s">
        <v>505</v>
      </c>
      <c r="E77" s="23" t="s">
        <v>505</v>
      </c>
      <c r="F77" s="24">
        <v>45658</v>
      </c>
      <c r="G77" s="23" t="s">
        <v>14</v>
      </c>
      <c r="H77" s="24">
        <v>45778</v>
      </c>
      <c r="I77" s="24">
        <f>DATE(YEAR(H77), MONTH(H77) +1, DAY(H77))</f>
        <v>45809</v>
      </c>
      <c r="J77" s="23" t="s">
        <v>37</v>
      </c>
      <c r="K77" s="23">
        <v>-1</v>
      </c>
      <c r="L77" s="23" t="s">
        <v>32</v>
      </c>
      <c r="M77" s="25">
        <v>-18</v>
      </c>
      <c r="N77" s="25">
        <v>-18</v>
      </c>
      <c r="R77" s="26" t="s">
        <v>509</v>
      </c>
    </row>
    <row r="78" spans="1:18" s="26" customFormat="1" x14ac:dyDescent="0.25">
      <c r="A78" s="23" t="s">
        <v>33</v>
      </c>
      <c r="B78" s="23">
        <v>6634327</v>
      </c>
      <c r="C78" s="23" t="s">
        <v>35</v>
      </c>
      <c r="D78" s="23" t="s">
        <v>36</v>
      </c>
      <c r="E78" s="23" t="s">
        <v>36</v>
      </c>
      <c r="F78" s="24">
        <v>45658</v>
      </c>
      <c r="G78" s="23" t="s">
        <v>14</v>
      </c>
      <c r="H78" s="24">
        <v>45778</v>
      </c>
      <c r="I78" s="24">
        <f>DATE(YEAR(H78), MONTH(H78) +1, DAY(H78))</f>
        <v>45809</v>
      </c>
      <c r="J78" s="23" t="s">
        <v>37</v>
      </c>
      <c r="K78" s="23">
        <v>1</v>
      </c>
      <c r="L78" s="23">
        <v>1</v>
      </c>
      <c r="M78" s="25">
        <v>18</v>
      </c>
      <c r="N78" s="25">
        <v>18</v>
      </c>
      <c r="R78" s="26" t="s">
        <v>509</v>
      </c>
    </row>
    <row r="79" spans="1:18" s="26" customFormat="1" x14ac:dyDescent="0.25">
      <c r="A79" s="23" t="s">
        <v>33</v>
      </c>
      <c r="B79" s="23">
        <v>6634327</v>
      </c>
      <c r="C79" s="23" t="s">
        <v>38</v>
      </c>
      <c r="D79" s="23" t="s">
        <v>505</v>
      </c>
      <c r="E79" s="23" t="s">
        <v>505</v>
      </c>
      <c r="F79" s="24">
        <v>45658</v>
      </c>
      <c r="G79" s="23" t="s">
        <v>14</v>
      </c>
      <c r="H79" s="24">
        <v>45778</v>
      </c>
      <c r="I79" s="24">
        <f>DATE(YEAR(H79), MONTH(H79) +1, DAY(H79))</f>
        <v>45809</v>
      </c>
      <c r="J79" s="23" t="s">
        <v>37</v>
      </c>
      <c r="K79" s="23">
        <v>1</v>
      </c>
      <c r="L79" s="23">
        <v>1</v>
      </c>
      <c r="M79" s="25">
        <v>18</v>
      </c>
      <c r="N79" s="25">
        <v>18</v>
      </c>
      <c r="R79" s="26" t="s">
        <v>509</v>
      </c>
    </row>
    <row r="80" spans="1:18" s="26" customFormat="1" x14ac:dyDescent="0.25">
      <c r="A80" s="23" t="s">
        <v>33</v>
      </c>
      <c r="B80" s="23">
        <v>6634327</v>
      </c>
      <c r="C80" s="23" t="s">
        <v>55</v>
      </c>
      <c r="D80" s="23" t="s">
        <v>56</v>
      </c>
      <c r="E80" s="23" t="s">
        <v>56</v>
      </c>
      <c r="F80" s="24">
        <v>45658</v>
      </c>
      <c r="G80" s="23" t="s">
        <v>14</v>
      </c>
      <c r="H80" s="24">
        <v>45778</v>
      </c>
      <c r="I80" s="24">
        <f>DATE(YEAR(H80), MONTH(H80) +1, DAY(H80))</f>
        <v>45809</v>
      </c>
      <c r="J80" s="23" t="s">
        <v>37</v>
      </c>
      <c r="K80" s="23">
        <v>1</v>
      </c>
      <c r="L80" s="23">
        <v>1</v>
      </c>
      <c r="M80" s="25">
        <v>18</v>
      </c>
      <c r="N80" s="25">
        <v>18</v>
      </c>
      <c r="R80" s="26" t="s">
        <v>509</v>
      </c>
    </row>
    <row r="81" spans="1:18" s="26" customFormat="1" x14ac:dyDescent="0.25">
      <c r="A81" s="23" t="s">
        <v>33</v>
      </c>
      <c r="B81" s="23">
        <v>6634327</v>
      </c>
      <c r="C81" s="23" t="s">
        <v>82</v>
      </c>
      <c r="D81" s="23" t="s">
        <v>506</v>
      </c>
      <c r="E81" s="23" t="s">
        <v>506</v>
      </c>
      <c r="F81" s="24">
        <v>45658</v>
      </c>
      <c r="G81" s="23" t="s">
        <v>14</v>
      </c>
      <c r="H81" s="24">
        <v>45778</v>
      </c>
      <c r="I81" s="24">
        <f>DATE(YEAR(H81), MONTH(H81) +1, DAY(H81))</f>
        <v>45809</v>
      </c>
      <c r="J81" s="23" t="s">
        <v>37</v>
      </c>
      <c r="K81" s="23">
        <v>1</v>
      </c>
      <c r="L81" s="23">
        <v>1</v>
      </c>
      <c r="M81" s="25">
        <v>18</v>
      </c>
      <c r="N81" s="26">
        <v>54</v>
      </c>
      <c r="O81" s="26" t="s">
        <v>498</v>
      </c>
      <c r="R81" s="26" t="s">
        <v>509</v>
      </c>
    </row>
    <row r="82" spans="1:18" s="26" customFormat="1" x14ac:dyDescent="0.25">
      <c r="A82" s="23" t="s">
        <v>33</v>
      </c>
      <c r="B82" s="23">
        <v>6634327</v>
      </c>
      <c r="C82" s="23" t="s">
        <v>136</v>
      </c>
      <c r="D82" s="23" t="s">
        <v>137</v>
      </c>
      <c r="E82" s="23" t="s">
        <v>137</v>
      </c>
      <c r="F82" s="24">
        <v>45689</v>
      </c>
      <c r="G82" s="23" t="s">
        <v>14</v>
      </c>
      <c r="H82" s="24">
        <v>45778</v>
      </c>
      <c r="I82" s="24">
        <f>DATE(YEAR(H82), MONTH(H82) +1, DAY(H82))</f>
        <v>45809</v>
      </c>
      <c r="J82" s="23" t="s">
        <v>37</v>
      </c>
      <c r="K82" s="23">
        <v>1</v>
      </c>
      <c r="L82" s="23">
        <v>1</v>
      </c>
      <c r="M82" s="25">
        <v>18</v>
      </c>
      <c r="N82" s="26">
        <v>36</v>
      </c>
      <c r="O82" s="26" t="s">
        <v>494</v>
      </c>
      <c r="R82" s="26" t="s">
        <v>509</v>
      </c>
    </row>
    <row r="83" spans="1:18" s="26" customFormat="1" x14ac:dyDescent="0.25">
      <c r="A83" s="23" t="s">
        <v>33</v>
      </c>
      <c r="B83" s="23">
        <v>6634327</v>
      </c>
      <c r="C83" s="23" t="s">
        <v>128</v>
      </c>
      <c r="D83" s="23" t="s">
        <v>129</v>
      </c>
      <c r="E83" s="23" t="s">
        <v>129</v>
      </c>
      <c r="F83" s="24">
        <v>45778</v>
      </c>
      <c r="G83" s="23" t="s">
        <v>14</v>
      </c>
      <c r="H83" s="24">
        <v>45778</v>
      </c>
      <c r="I83" s="24">
        <f>DATE(YEAR(H83), MONTH(H83) +1, DAY(H83))</f>
        <v>45809</v>
      </c>
      <c r="J83" s="23" t="s">
        <v>37</v>
      </c>
      <c r="K83" s="23">
        <v>1</v>
      </c>
      <c r="L83" s="23">
        <v>1</v>
      </c>
      <c r="M83" s="25">
        <v>18</v>
      </c>
      <c r="N83" s="25">
        <v>18</v>
      </c>
      <c r="R83" s="26" t="s">
        <v>509</v>
      </c>
    </row>
    <row r="84" spans="1:18" s="26" customFormat="1" x14ac:dyDescent="0.25">
      <c r="A84" s="23" t="s">
        <v>193</v>
      </c>
      <c r="B84" s="23">
        <v>371819</v>
      </c>
      <c r="C84" s="23" t="s">
        <v>195</v>
      </c>
      <c r="D84" s="23" t="s">
        <v>196</v>
      </c>
      <c r="E84" s="23" t="s">
        <v>196</v>
      </c>
      <c r="F84" s="24">
        <v>45658</v>
      </c>
      <c r="G84" s="23" t="s">
        <v>14</v>
      </c>
      <c r="H84" s="24">
        <v>45778</v>
      </c>
      <c r="I84" s="24">
        <f>DATE(YEAR(H84), MONTH(H84) +1, DAY(H84))</f>
        <v>45809</v>
      </c>
      <c r="J84" s="23" t="s">
        <v>168</v>
      </c>
      <c r="K84" s="23">
        <v>1</v>
      </c>
      <c r="L84" s="23">
        <v>1</v>
      </c>
      <c r="M84" s="25">
        <v>18</v>
      </c>
      <c r="N84" s="25">
        <v>18</v>
      </c>
      <c r="R84" s="33" t="s">
        <v>511</v>
      </c>
    </row>
    <row r="85" spans="1:18" s="26" customFormat="1" x14ac:dyDescent="0.25">
      <c r="A85" s="23" t="s">
        <v>164</v>
      </c>
      <c r="B85" s="23">
        <v>8307933</v>
      </c>
      <c r="C85" s="23" t="s">
        <v>307</v>
      </c>
      <c r="D85" s="23" t="s">
        <v>308</v>
      </c>
      <c r="E85" s="23" t="s">
        <v>308</v>
      </c>
      <c r="F85" s="24">
        <v>45658</v>
      </c>
      <c r="G85" s="23" t="s">
        <v>14</v>
      </c>
      <c r="H85" s="24">
        <v>45778</v>
      </c>
      <c r="I85" s="24">
        <f>DATE(YEAR(H85), MONTH(H85) +1, DAY(H85))</f>
        <v>45809</v>
      </c>
      <c r="J85" s="23" t="s">
        <v>168</v>
      </c>
      <c r="K85" s="23">
        <v>1</v>
      </c>
      <c r="L85" s="23">
        <v>1</v>
      </c>
      <c r="M85" s="25">
        <v>20</v>
      </c>
      <c r="N85" s="25">
        <v>20</v>
      </c>
      <c r="R85" s="33" t="s">
        <v>511</v>
      </c>
    </row>
    <row r="86" spans="1:18" s="26" customFormat="1" x14ac:dyDescent="0.25">
      <c r="A86" s="23" t="s">
        <v>164</v>
      </c>
      <c r="B86" s="23">
        <v>8307933</v>
      </c>
      <c r="C86" s="23" t="s">
        <v>316</v>
      </c>
      <c r="D86" s="23" t="s">
        <v>308</v>
      </c>
      <c r="E86" s="23" t="s">
        <v>308</v>
      </c>
      <c r="F86" s="24">
        <v>45658</v>
      </c>
      <c r="G86" s="23" t="s">
        <v>14</v>
      </c>
      <c r="H86" s="24">
        <v>45778</v>
      </c>
      <c r="I86" s="24">
        <f>DATE(YEAR(H86), MONTH(H86) +1, DAY(H86))</f>
        <v>45809</v>
      </c>
      <c r="J86" s="23" t="s">
        <v>168</v>
      </c>
      <c r="K86" s="23">
        <v>1</v>
      </c>
      <c r="L86" s="23">
        <v>1</v>
      </c>
      <c r="M86" s="25">
        <v>20</v>
      </c>
      <c r="N86" s="25">
        <v>20</v>
      </c>
      <c r="R86" s="33" t="s">
        <v>511</v>
      </c>
    </row>
    <row r="87" spans="1:18" s="26" customFormat="1" x14ac:dyDescent="0.25">
      <c r="A87" s="23" t="s">
        <v>164</v>
      </c>
      <c r="B87" s="23">
        <v>8307933</v>
      </c>
      <c r="C87" s="23" t="s">
        <v>191</v>
      </c>
      <c r="D87" s="23" t="s">
        <v>192</v>
      </c>
      <c r="E87" s="23" t="s">
        <v>192</v>
      </c>
      <c r="F87" s="24">
        <v>45658</v>
      </c>
      <c r="G87" s="23" t="s">
        <v>14</v>
      </c>
      <c r="H87" s="24">
        <v>45778</v>
      </c>
      <c r="I87" s="24">
        <f>DATE(YEAR(H87), MONTH(H87) +1, DAY(H87))</f>
        <v>45809</v>
      </c>
      <c r="J87" s="23" t="s">
        <v>168</v>
      </c>
      <c r="K87" s="23">
        <v>1</v>
      </c>
      <c r="L87" s="23">
        <v>1</v>
      </c>
      <c r="M87" s="25">
        <v>18</v>
      </c>
      <c r="N87" s="25">
        <v>18</v>
      </c>
      <c r="R87" s="33" t="s">
        <v>511</v>
      </c>
    </row>
    <row r="88" spans="1:18" s="26" customFormat="1" x14ac:dyDescent="0.25">
      <c r="A88" s="23" t="s">
        <v>164</v>
      </c>
      <c r="B88" s="23">
        <v>8307933</v>
      </c>
      <c r="C88" s="23" t="s">
        <v>313</v>
      </c>
      <c r="D88" s="23" t="s">
        <v>314</v>
      </c>
      <c r="E88" s="23" t="s">
        <v>314</v>
      </c>
      <c r="F88" s="24">
        <v>45658</v>
      </c>
      <c r="G88" s="23" t="s">
        <v>14</v>
      </c>
      <c r="H88" s="24">
        <v>45778</v>
      </c>
      <c r="I88" s="24">
        <f>DATE(YEAR(H88), MONTH(H88) +1, DAY(H88))</f>
        <v>45809</v>
      </c>
      <c r="J88" s="23" t="s">
        <v>168</v>
      </c>
      <c r="K88" s="23">
        <v>1</v>
      </c>
      <c r="L88" s="23">
        <v>1</v>
      </c>
      <c r="M88" s="25">
        <v>20</v>
      </c>
      <c r="N88" s="25">
        <v>20</v>
      </c>
      <c r="R88" s="33" t="s">
        <v>511</v>
      </c>
    </row>
    <row r="89" spans="1:18" s="26" customFormat="1" x14ac:dyDescent="0.25">
      <c r="A89" s="23" t="s">
        <v>164</v>
      </c>
      <c r="B89" s="23">
        <v>8307933</v>
      </c>
      <c r="C89" s="23" t="s">
        <v>176</v>
      </c>
      <c r="D89" s="23" t="s">
        <v>177</v>
      </c>
      <c r="E89" s="23" t="s">
        <v>177</v>
      </c>
      <c r="F89" s="24">
        <v>45658</v>
      </c>
      <c r="G89" s="23" t="s">
        <v>14</v>
      </c>
      <c r="H89" s="24">
        <v>45778</v>
      </c>
      <c r="I89" s="24">
        <f>DATE(YEAR(H89), MONTH(H89) +1, DAY(H89))</f>
        <v>45809</v>
      </c>
      <c r="J89" s="23" t="s">
        <v>168</v>
      </c>
      <c r="K89" s="23">
        <v>1</v>
      </c>
      <c r="L89" s="23">
        <v>1</v>
      </c>
      <c r="M89" s="25">
        <v>18</v>
      </c>
      <c r="N89" s="26">
        <v>36</v>
      </c>
      <c r="O89" s="26" t="s">
        <v>494</v>
      </c>
      <c r="R89" s="33" t="s">
        <v>511</v>
      </c>
    </row>
    <row r="90" spans="1:18" s="26" customFormat="1" x14ac:dyDescent="0.25">
      <c r="A90" s="23" t="s">
        <v>164</v>
      </c>
      <c r="B90" s="23">
        <v>8307933</v>
      </c>
      <c r="C90" s="23" t="s">
        <v>309</v>
      </c>
      <c r="D90" s="23" t="s">
        <v>310</v>
      </c>
      <c r="E90" s="23" t="s">
        <v>310</v>
      </c>
      <c r="F90" s="24">
        <v>45658</v>
      </c>
      <c r="G90" s="23" t="s">
        <v>14</v>
      </c>
      <c r="H90" s="24">
        <v>45778</v>
      </c>
      <c r="I90" s="24">
        <f>DATE(YEAR(H90), MONTH(H90) +1, DAY(H90))</f>
        <v>45809</v>
      </c>
      <c r="J90" s="23" t="s">
        <v>168</v>
      </c>
      <c r="K90" s="23">
        <v>1</v>
      </c>
      <c r="L90" s="23">
        <v>1</v>
      </c>
      <c r="M90" s="25">
        <v>20</v>
      </c>
      <c r="N90" s="26">
        <v>80</v>
      </c>
      <c r="O90" s="26" t="s">
        <v>495</v>
      </c>
      <c r="R90" s="33" t="s">
        <v>511</v>
      </c>
    </row>
    <row r="91" spans="1:18" s="28" customFormat="1" x14ac:dyDescent="0.25">
      <c r="A91" s="23" t="s">
        <v>164</v>
      </c>
      <c r="B91" s="23">
        <v>8307933</v>
      </c>
      <c r="C91" s="23" t="s">
        <v>180</v>
      </c>
      <c r="D91" s="23" t="s">
        <v>181</v>
      </c>
      <c r="E91" s="23" t="s">
        <v>181</v>
      </c>
      <c r="F91" s="24">
        <v>45658</v>
      </c>
      <c r="G91" s="23" t="s">
        <v>14</v>
      </c>
      <c r="H91" s="24">
        <v>45778</v>
      </c>
      <c r="I91" s="24">
        <f>DATE(YEAR(H91), MONTH(H91) +1, DAY(H91))</f>
        <v>45809</v>
      </c>
      <c r="J91" s="23" t="s">
        <v>168</v>
      </c>
      <c r="K91" s="23">
        <v>1</v>
      </c>
      <c r="L91" s="23">
        <v>1</v>
      </c>
      <c r="M91" s="25">
        <v>18</v>
      </c>
      <c r="N91" s="25">
        <v>18</v>
      </c>
      <c r="O91" s="26"/>
      <c r="P91" s="26"/>
      <c r="Q91" s="26"/>
      <c r="R91" s="33" t="s">
        <v>511</v>
      </c>
    </row>
    <row r="92" spans="1:18" s="28" customFormat="1" x14ac:dyDescent="0.25">
      <c r="A92" s="23" t="s">
        <v>164</v>
      </c>
      <c r="B92" s="23">
        <v>8307933</v>
      </c>
      <c r="C92" s="23" t="s">
        <v>186</v>
      </c>
      <c r="D92" s="23" t="s">
        <v>187</v>
      </c>
      <c r="E92" s="23" t="s">
        <v>187</v>
      </c>
      <c r="F92" s="24">
        <v>45658</v>
      </c>
      <c r="G92" s="23" t="s">
        <v>14</v>
      </c>
      <c r="H92" s="24">
        <v>45778</v>
      </c>
      <c r="I92" s="24">
        <f>DATE(YEAR(H92), MONTH(H92) +1, DAY(H92))</f>
        <v>45809</v>
      </c>
      <c r="J92" s="23" t="s">
        <v>168</v>
      </c>
      <c r="K92" s="23">
        <v>1</v>
      </c>
      <c r="L92" s="23">
        <v>1</v>
      </c>
      <c r="M92" s="25">
        <v>18</v>
      </c>
      <c r="N92" s="25">
        <v>18</v>
      </c>
      <c r="O92" s="26"/>
      <c r="P92" s="26"/>
      <c r="Q92" s="26"/>
      <c r="R92" s="33" t="s">
        <v>511</v>
      </c>
    </row>
    <row r="93" spans="1:18" s="28" customFormat="1" x14ac:dyDescent="0.25">
      <c r="A93" s="23" t="s">
        <v>164</v>
      </c>
      <c r="B93" s="23">
        <v>8307933</v>
      </c>
      <c r="C93" s="23" t="s">
        <v>174</v>
      </c>
      <c r="D93" s="23" t="s">
        <v>175</v>
      </c>
      <c r="E93" s="23" t="s">
        <v>175</v>
      </c>
      <c r="F93" s="24">
        <v>45658</v>
      </c>
      <c r="G93" s="23" t="s">
        <v>14</v>
      </c>
      <c r="H93" s="24">
        <v>45778</v>
      </c>
      <c r="I93" s="24">
        <f>DATE(YEAR(H93), MONTH(H93) +1, DAY(H93))</f>
        <v>45809</v>
      </c>
      <c r="J93" s="23" t="s">
        <v>168</v>
      </c>
      <c r="K93" s="23">
        <v>1</v>
      </c>
      <c r="L93" s="23">
        <v>1</v>
      </c>
      <c r="M93" s="25">
        <v>18</v>
      </c>
      <c r="N93" s="25">
        <v>18</v>
      </c>
      <c r="O93" s="26"/>
      <c r="P93" s="26"/>
      <c r="Q93" s="26"/>
      <c r="R93" s="33" t="s">
        <v>511</v>
      </c>
    </row>
    <row r="94" spans="1:18" s="28" customFormat="1" x14ac:dyDescent="0.25">
      <c r="A94" s="23" t="s">
        <v>164</v>
      </c>
      <c r="B94" s="23">
        <v>8307933</v>
      </c>
      <c r="C94" s="23" t="s">
        <v>172</v>
      </c>
      <c r="D94" s="23" t="s">
        <v>173</v>
      </c>
      <c r="E94" s="23" t="s">
        <v>173</v>
      </c>
      <c r="F94" s="24">
        <v>45658</v>
      </c>
      <c r="G94" s="23" t="s">
        <v>14</v>
      </c>
      <c r="H94" s="24">
        <v>45778</v>
      </c>
      <c r="I94" s="24">
        <f>DATE(YEAR(H94), MONTH(H94) +1, DAY(H94))</f>
        <v>45809</v>
      </c>
      <c r="J94" s="23" t="s">
        <v>168</v>
      </c>
      <c r="K94" s="23">
        <v>1</v>
      </c>
      <c r="L94" s="23">
        <v>1</v>
      </c>
      <c r="M94" s="25">
        <v>18</v>
      </c>
      <c r="N94" s="25">
        <v>18</v>
      </c>
      <c r="O94" s="26"/>
      <c r="P94" s="26"/>
      <c r="Q94" s="26"/>
      <c r="R94" s="33" t="s">
        <v>511</v>
      </c>
    </row>
    <row r="95" spans="1:18" s="28" customFormat="1" x14ac:dyDescent="0.25">
      <c r="A95" s="23" t="s">
        <v>164</v>
      </c>
      <c r="B95" s="23">
        <v>8307933</v>
      </c>
      <c r="C95" s="23" t="s">
        <v>182</v>
      </c>
      <c r="D95" s="23" t="s">
        <v>183</v>
      </c>
      <c r="E95" s="23" t="s">
        <v>183</v>
      </c>
      <c r="F95" s="24">
        <v>45658</v>
      </c>
      <c r="G95" s="23" t="s">
        <v>14</v>
      </c>
      <c r="H95" s="24">
        <v>45778</v>
      </c>
      <c r="I95" s="24">
        <f>DATE(YEAR(H95), MONTH(H95) +1, DAY(H95))</f>
        <v>45809</v>
      </c>
      <c r="J95" s="23" t="s">
        <v>168</v>
      </c>
      <c r="K95" s="23">
        <v>1</v>
      </c>
      <c r="L95" s="23">
        <v>1</v>
      </c>
      <c r="M95" s="25">
        <v>18</v>
      </c>
      <c r="N95" s="25">
        <v>18</v>
      </c>
      <c r="O95" s="26"/>
      <c r="P95" s="26"/>
      <c r="Q95" s="26"/>
      <c r="R95" s="33" t="s">
        <v>511</v>
      </c>
    </row>
    <row r="96" spans="1:18" s="26" customFormat="1" x14ac:dyDescent="0.25">
      <c r="A96" s="23" t="s">
        <v>164</v>
      </c>
      <c r="B96" s="23">
        <v>8307933</v>
      </c>
      <c r="C96" s="23" t="s">
        <v>169</v>
      </c>
      <c r="D96" s="23" t="s">
        <v>170</v>
      </c>
      <c r="E96" s="23" t="s">
        <v>170</v>
      </c>
      <c r="F96" s="24">
        <v>45658</v>
      </c>
      <c r="G96" s="23" t="s">
        <v>14</v>
      </c>
      <c r="H96" s="24">
        <v>45748</v>
      </c>
      <c r="I96" s="24">
        <f>DATE(YEAR(H96), MONTH(H96) +1, DAY(H96))</f>
        <v>45778</v>
      </c>
      <c r="J96" s="23" t="s">
        <v>168</v>
      </c>
      <c r="K96" s="23">
        <v>1</v>
      </c>
      <c r="L96" s="23">
        <v>1</v>
      </c>
      <c r="M96" s="25">
        <v>18</v>
      </c>
      <c r="N96" s="26">
        <v>90</v>
      </c>
      <c r="O96" s="26" t="s">
        <v>496</v>
      </c>
      <c r="R96" s="33" t="s">
        <v>511</v>
      </c>
    </row>
    <row r="97" spans="1:18" s="26" customFormat="1" x14ac:dyDescent="0.25">
      <c r="A97" s="23" t="s">
        <v>164</v>
      </c>
      <c r="B97" s="23">
        <v>8307933</v>
      </c>
      <c r="C97" s="23" t="s">
        <v>166</v>
      </c>
      <c r="D97" s="23" t="s">
        <v>167</v>
      </c>
      <c r="E97" s="23" t="s">
        <v>167</v>
      </c>
      <c r="F97" s="24">
        <v>45658</v>
      </c>
      <c r="G97" s="23" t="s">
        <v>14</v>
      </c>
      <c r="H97" s="24">
        <v>45778</v>
      </c>
      <c r="I97" s="24">
        <f>DATE(YEAR(H97), MONTH(H97) +1, DAY(H97))</f>
        <v>45809</v>
      </c>
      <c r="J97" s="23" t="s">
        <v>168</v>
      </c>
      <c r="K97" s="23">
        <v>1</v>
      </c>
      <c r="L97" s="23">
        <v>1</v>
      </c>
      <c r="M97" s="25">
        <v>18</v>
      </c>
      <c r="N97" s="26">
        <v>36</v>
      </c>
      <c r="O97" s="26" t="s">
        <v>494</v>
      </c>
      <c r="R97" s="33" t="s">
        <v>511</v>
      </c>
    </row>
    <row r="98" spans="1:18" s="26" customFormat="1" x14ac:dyDescent="0.25">
      <c r="A98" s="23" t="s">
        <v>164</v>
      </c>
      <c r="B98" s="23">
        <v>8307933</v>
      </c>
      <c r="C98" s="23" t="s">
        <v>178</v>
      </c>
      <c r="D98" s="23" t="s">
        <v>179</v>
      </c>
      <c r="E98" s="23" t="s">
        <v>179</v>
      </c>
      <c r="F98" s="24">
        <v>45658</v>
      </c>
      <c r="G98" s="23" t="s">
        <v>14</v>
      </c>
      <c r="H98" s="24">
        <v>45778</v>
      </c>
      <c r="I98" s="24">
        <f>DATE(YEAR(H98), MONTH(H98) +1, DAY(H98))</f>
        <v>45809</v>
      </c>
      <c r="J98" s="23" t="s">
        <v>168</v>
      </c>
      <c r="K98" s="23">
        <v>1</v>
      </c>
      <c r="L98" s="23">
        <v>1</v>
      </c>
      <c r="M98" s="25">
        <v>18</v>
      </c>
      <c r="N98" s="25">
        <v>18</v>
      </c>
      <c r="R98" s="33" t="s">
        <v>511</v>
      </c>
    </row>
    <row r="99" spans="1:18" s="26" customFormat="1" x14ac:dyDescent="0.25">
      <c r="A99" s="23" t="s">
        <v>39</v>
      </c>
      <c r="B99" s="23">
        <v>16865615</v>
      </c>
      <c r="C99" s="23" t="s">
        <v>110</v>
      </c>
      <c r="D99" s="23" t="s">
        <v>111</v>
      </c>
      <c r="E99" s="23" t="str">
        <f>CONCATENATE(D99,4)</f>
        <v>139W228554</v>
      </c>
      <c r="F99" s="24">
        <v>45658</v>
      </c>
      <c r="G99" s="23" t="s">
        <v>45</v>
      </c>
      <c r="H99" s="24">
        <v>45778</v>
      </c>
      <c r="I99" s="24">
        <f>DATE(YEAR(H99), MONTH(H99) +1, DAY(H99))</f>
        <v>45809</v>
      </c>
      <c r="J99" s="23" t="s">
        <v>37</v>
      </c>
      <c r="K99" s="25">
        <v>23.24</v>
      </c>
      <c r="L99" s="23">
        <v>1</v>
      </c>
      <c r="M99" s="25">
        <v>3.48</v>
      </c>
      <c r="N99" s="25">
        <v>3.48</v>
      </c>
      <c r="Q99" s="27">
        <f>N99/K99</f>
        <v>0.14974182444061962</v>
      </c>
      <c r="R99" s="26" t="s">
        <v>508</v>
      </c>
    </row>
    <row r="100" spans="1:18" s="26" customFormat="1" x14ac:dyDescent="0.25">
      <c r="A100" s="23" t="s">
        <v>39</v>
      </c>
      <c r="B100" s="23">
        <v>16865615</v>
      </c>
      <c r="C100" s="23" t="s">
        <v>88</v>
      </c>
      <c r="D100" s="23" t="s">
        <v>89</v>
      </c>
      <c r="E100" s="23" t="str">
        <f>CONCATENATE(D100,4)</f>
        <v>247W167824</v>
      </c>
      <c r="F100" s="24">
        <v>45689</v>
      </c>
      <c r="G100" s="23" t="s">
        <v>45</v>
      </c>
      <c r="H100" s="24">
        <v>45778</v>
      </c>
      <c r="I100" s="24">
        <f>DATE(YEAR(H100), MONTH(H100) +1, DAY(H100))</f>
        <v>45809</v>
      </c>
      <c r="J100" s="23" t="s">
        <v>37</v>
      </c>
      <c r="K100" s="25">
        <v>13.28</v>
      </c>
      <c r="L100" s="23">
        <v>1</v>
      </c>
      <c r="M100" s="25">
        <v>1.99</v>
      </c>
      <c r="N100" s="25">
        <v>1.99</v>
      </c>
      <c r="Q100" s="27">
        <f>N100/K100</f>
        <v>0.14984939759036145</v>
      </c>
      <c r="R100" s="26" t="s">
        <v>508</v>
      </c>
    </row>
    <row r="101" spans="1:18" s="26" customFormat="1" x14ac:dyDescent="0.25">
      <c r="A101" s="23" t="s">
        <v>39</v>
      </c>
      <c r="B101" s="23">
        <v>16865615</v>
      </c>
      <c r="C101" s="23" t="s">
        <v>103</v>
      </c>
      <c r="D101" s="23" t="s">
        <v>96</v>
      </c>
      <c r="E101" s="23" t="str">
        <f>CONCATENATE(D101,4)</f>
        <v>404M893034</v>
      </c>
      <c r="F101" s="24">
        <v>45658</v>
      </c>
      <c r="G101" s="23" t="s">
        <v>45</v>
      </c>
      <c r="H101" s="24">
        <v>45778</v>
      </c>
      <c r="I101" s="24">
        <f>DATE(YEAR(H101), MONTH(H101) +1, DAY(H101))</f>
        <v>45809</v>
      </c>
      <c r="J101" s="23" t="s">
        <v>37</v>
      </c>
      <c r="K101" s="25">
        <v>47.48</v>
      </c>
      <c r="L101" s="23">
        <v>1</v>
      </c>
      <c r="M101" s="25">
        <v>7.12</v>
      </c>
      <c r="N101" s="25">
        <v>7.12</v>
      </c>
      <c r="Q101" s="27">
        <f>N101/K101</f>
        <v>0.14995787700084248</v>
      </c>
      <c r="R101" s="26" t="s">
        <v>508</v>
      </c>
    </row>
    <row r="102" spans="1:18" s="26" customFormat="1" x14ac:dyDescent="0.25">
      <c r="A102" s="23" t="s">
        <v>39</v>
      </c>
      <c r="B102" s="23">
        <v>16865615</v>
      </c>
      <c r="C102" s="23" t="s">
        <v>107</v>
      </c>
      <c r="D102" s="23" t="s">
        <v>100</v>
      </c>
      <c r="E102" s="23" t="str">
        <f>CONCATENATE(D102,4)</f>
        <v>583W227044</v>
      </c>
      <c r="F102" s="24">
        <v>45658</v>
      </c>
      <c r="G102" s="23" t="s">
        <v>45</v>
      </c>
      <c r="H102" s="24">
        <v>45778</v>
      </c>
      <c r="I102" s="24">
        <f>DATE(YEAR(H102), MONTH(H102) +1, DAY(H102))</f>
        <v>45809</v>
      </c>
      <c r="J102" s="23" t="s">
        <v>37</v>
      </c>
      <c r="K102" s="25">
        <v>29.68</v>
      </c>
      <c r="L102" s="23">
        <v>1</v>
      </c>
      <c r="M102" s="25">
        <v>4.45</v>
      </c>
      <c r="N102" s="25">
        <v>4.45</v>
      </c>
      <c r="Q102" s="27">
        <f>N102/K102</f>
        <v>0.14993261455525608</v>
      </c>
      <c r="R102" s="26" t="s">
        <v>508</v>
      </c>
    </row>
    <row r="103" spans="1:18" s="26" customFormat="1" x14ac:dyDescent="0.25">
      <c r="A103" s="23" t="s">
        <v>39</v>
      </c>
      <c r="B103" s="23">
        <v>16865615</v>
      </c>
      <c r="C103" s="23" t="s">
        <v>90</v>
      </c>
      <c r="D103" s="23" t="s">
        <v>91</v>
      </c>
      <c r="E103" s="23" t="str">
        <f>CONCATENATE(D103,4)</f>
        <v>708W225924</v>
      </c>
      <c r="F103" s="24">
        <v>45658</v>
      </c>
      <c r="G103" s="23" t="s">
        <v>45</v>
      </c>
      <c r="H103" s="24">
        <v>45778</v>
      </c>
      <c r="I103" s="24">
        <f>DATE(YEAR(H103), MONTH(H103) +1, DAY(H103))</f>
        <v>45809</v>
      </c>
      <c r="J103" s="23" t="s">
        <v>37</v>
      </c>
      <c r="K103" s="25">
        <v>13.28</v>
      </c>
      <c r="L103" s="23">
        <v>1</v>
      </c>
      <c r="M103" s="25">
        <v>1.99</v>
      </c>
      <c r="N103" s="25">
        <v>1.99</v>
      </c>
      <c r="Q103" s="27">
        <f>N103/K103</f>
        <v>0.14984939759036145</v>
      </c>
      <c r="R103" s="26" t="s">
        <v>508</v>
      </c>
    </row>
    <row r="104" spans="1:18" s="26" customFormat="1" x14ac:dyDescent="0.25">
      <c r="A104" s="23" t="s">
        <v>39</v>
      </c>
      <c r="B104" s="23">
        <v>16865615</v>
      </c>
      <c r="C104" s="23" t="s">
        <v>86</v>
      </c>
      <c r="D104" s="23" t="s">
        <v>87</v>
      </c>
      <c r="E104" s="23" t="str">
        <f>CONCATENATE(D104,4)</f>
        <v>755W223044</v>
      </c>
      <c r="F104" s="24">
        <v>45658</v>
      </c>
      <c r="G104" s="23" t="s">
        <v>45</v>
      </c>
      <c r="H104" s="24">
        <v>45778</v>
      </c>
      <c r="I104" s="24">
        <f>DATE(YEAR(H104), MONTH(H104) +1, DAY(H104))</f>
        <v>45809</v>
      </c>
      <c r="J104" s="23" t="s">
        <v>37</v>
      </c>
      <c r="K104" s="25">
        <v>13.28</v>
      </c>
      <c r="L104" s="23">
        <v>1</v>
      </c>
      <c r="M104" s="25">
        <v>1.99</v>
      </c>
      <c r="N104" s="25">
        <v>1.99</v>
      </c>
      <c r="Q104" s="27">
        <f>N104/K104</f>
        <v>0.14984939759036145</v>
      </c>
      <c r="R104" s="26" t="s">
        <v>508</v>
      </c>
    </row>
    <row r="105" spans="1:18" s="26" customFormat="1" x14ac:dyDescent="0.25">
      <c r="A105" s="23" t="s">
        <v>39</v>
      </c>
      <c r="B105" s="23">
        <v>16865615</v>
      </c>
      <c r="C105" s="23" t="s">
        <v>114</v>
      </c>
      <c r="D105" s="23" t="s">
        <v>115</v>
      </c>
      <c r="E105" s="23" t="str">
        <f>CONCATENATE(D105,4)</f>
        <v>808W226444</v>
      </c>
      <c r="F105" s="24">
        <v>45658</v>
      </c>
      <c r="G105" s="23" t="s">
        <v>45</v>
      </c>
      <c r="H105" s="24">
        <v>45778</v>
      </c>
      <c r="I105" s="24">
        <f>DATE(YEAR(H105), MONTH(H105) +1, DAY(H105))</f>
        <v>45809</v>
      </c>
      <c r="J105" s="23" t="s">
        <v>37</v>
      </c>
      <c r="K105" s="25">
        <v>47.48</v>
      </c>
      <c r="L105" s="23">
        <v>1</v>
      </c>
      <c r="M105" s="25">
        <v>7.12</v>
      </c>
      <c r="N105" s="25">
        <v>7.12</v>
      </c>
      <c r="Q105" s="27">
        <f>N105/K105</f>
        <v>0.14995787700084248</v>
      </c>
      <c r="R105" s="26" t="s">
        <v>508</v>
      </c>
    </row>
    <row r="106" spans="1:18" s="26" customFormat="1" x14ac:dyDescent="0.25">
      <c r="A106" s="23" t="s">
        <v>27</v>
      </c>
      <c r="B106" s="23">
        <v>8977234</v>
      </c>
      <c r="C106" s="23" t="s">
        <v>68</v>
      </c>
      <c r="D106" s="23" t="s">
        <v>69</v>
      </c>
      <c r="E106" s="23" t="str">
        <f>CONCATENATE(D106,1)</f>
        <v>661M560771</v>
      </c>
      <c r="F106" s="24">
        <v>45658</v>
      </c>
      <c r="G106" s="23" t="s">
        <v>50</v>
      </c>
      <c r="H106" s="24">
        <v>45778</v>
      </c>
      <c r="I106" s="24">
        <f>DATE(YEAR(H106), MONTH(H106) +1, DAY(H106))</f>
        <v>45809</v>
      </c>
      <c r="J106" s="23" t="s">
        <v>70</v>
      </c>
      <c r="K106" s="25">
        <v>9.23</v>
      </c>
      <c r="L106" s="23">
        <v>1</v>
      </c>
      <c r="M106" s="25">
        <v>0.92</v>
      </c>
      <c r="N106" s="25">
        <v>0.92</v>
      </c>
      <c r="Q106" s="27">
        <f>N106/K106</f>
        <v>9.9674972914409535E-2</v>
      </c>
      <c r="R106" s="26" t="s">
        <v>507</v>
      </c>
    </row>
    <row r="107" spans="1:18" s="26" customFormat="1" x14ac:dyDescent="0.25">
      <c r="A107" s="23" t="s">
        <v>39</v>
      </c>
      <c r="B107" s="23">
        <v>16865615</v>
      </c>
      <c r="C107" s="23" t="s">
        <v>121</v>
      </c>
      <c r="D107" s="23" t="s">
        <v>122</v>
      </c>
      <c r="E107" s="23" t="str">
        <f>CONCATENATE(D107,1)</f>
        <v>004W228581</v>
      </c>
      <c r="F107" s="24">
        <v>45689</v>
      </c>
      <c r="G107" s="23" t="s">
        <v>50</v>
      </c>
      <c r="H107" s="24">
        <v>45778</v>
      </c>
      <c r="I107" s="24">
        <f>DATE(YEAR(H107), MONTH(H107) +1, DAY(H107))</f>
        <v>45809</v>
      </c>
      <c r="J107" s="23" t="s">
        <v>37</v>
      </c>
      <c r="K107" s="25">
        <v>49.05</v>
      </c>
      <c r="L107" s="23">
        <v>1</v>
      </c>
      <c r="M107" s="25">
        <v>4.9000000000000004</v>
      </c>
      <c r="N107" s="25">
        <v>4.9000000000000004</v>
      </c>
      <c r="Q107" s="27">
        <f>N107/K107</f>
        <v>9.9898063200815512E-2</v>
      </c>
      <c r="R107" s="26" t="s">
        <v>507</v>
      </c>
    </row>
    <row r="108" spans="1:18" s="26" customFormat="1" x14ac:dyDescent="0.25">
      <c r="A108" s="23" t="s">
        <v>39</v>
      </c>
      <c r="B108" s="23">
        <v>16865615</v>
      </c>
      <c r="C108" s="23" t="s">
        <v>84</v>
      </c>
      <c r="D108" s="23" t="s">
        <v>85</v>
      </c>
      <c r="E108" s="23" t="str">
        <f>CONCATENATE(D108,1)</f>
        <v>134W227341</v>
      </c>
      <c r="F108" s="24">
        <v>45658</v>
      </c>
      <c r="G108" s="23" t="s">
        <v>50</v>
      </c>
      <c r="H108" s="24">
        <v>45778</v>
      </c>
      <c r="I108" s="24">
        <f>DATE(YEAR(H108), MONTH(H108) +1, DAY(H108))</f>
        <v>45809</v>
      </c>
      <c r="J108" s="23" t="s">
        <v>37</v>
      </c>
      <c r="K108" s="25">
        <v>29.6</v>
      </c>
      <c r="L108" s="23">
        <v>1</v>
      </c>
      <c r="M108" s="25">
        <v>2.96</v>
      </c>
      <c r="N108" s="25">
        <v>2.96</v>
      </c>
      <c r="Q108" s="27">
        <f>N108/K108</f>
        <v>9.9999999999999992E-2</v>
      </c>
      <c r="R108" s="26" t="s">
        <v>507</v>
      </c>
    </row>
    <row r="109" spans="1:18" s="26" customFormat="1" x14ac:dyDescent="0.25">
      <c r="A109" s="23" t="s">
        <v>39</v>
      </c>
      <c r="B109" s="23">
        <v>16865615</v>
      </c>
      <c r="C109" s="23" t="s">
        <v>120</v>
      </c>
      <c r="D109" s="23" t="s">
        <v>111</v>
      </c>
      <c r="E109" s="23" t="str">
        <f>CONCATENATE(D109,1)</f>
        <v>139W228551</v>
      </c>
      <c r="F109" s="24">
        <v>45658</v>
      </c>
      <c r="G109" s="23" t="s">
        <v>50</v>
      </c>
      <c r="H109" s="24">
        <v>45778</v>
      </c>
      <c r="I109" s="24">
        <f>DATE(YEAR(H109), MONTH(H109) +1, DAY(H109))</f>
        <v>45809</v>
      </c>
      <c r="J109" s="23" t="s">
        <v>37</v>
      </c>
      <c r="K109" s="25">
        <v>49.05</v>
      </c>
      <c r="L109" s="23">
        <v>1</v>
      </c>
      <c r="M109" s="25">
        <v>4.9000000000000004</v>
      </c>
      <c r="N109" s="25">
        <v>4.9000000000000004</v>
      </c>
      <c r="Q109" s="27">
        <f>N109/K109</f>
        <v>9.9898063200815512E-2</v>
      </c>
      <c r="R109" s="26" t="s">
        <v>507</v>
      </c>
    </row>
    <row r="110" spans="1:18" s="26" customFormat="1" x14ac:dyDescent="0.25">
      <c r="A110" s="23" t="s">
        <v>39</v>
      </c>
      <c r="B110" s="23">
        <v>16865615</v>
      </c>
      <c r="C110" s="23" t="s">
        <v>110</v>
      </c>
      <c r="D110" s="23" t="s">
        <v>111</v>
      </c>
      <c r="E110" s="23" t="str">
        <f>CONCATENATE(D110,1)</f>
        <v>139W228551</v>
      </c>
      <c r="F110" s="24">
        <v>45658</v>
      </c>
      <c r="G110" s="23" t="s">
        <v>50</v>
      </c>
      <c r="H110" s="24">
        <v>45778</v>
      </c>
      <c r="I110" s="24">
        <f>DATE(YEAR(H110), MONTH(H110) +1, DAY(H110))</f>
        <v>45809</v>
      </c>
      <c r="J110" s="23" t="s">
        <v>37</v>
      </c>
      <c r="K110" s="25">
        <v>49.05</v>
      </c>
      <c r="L110" s="23">
        <v>1</v>
      </c>
      <c r="M110" s="25">
        <v>4.9000000000000004</v>
      </c>
      <c r="N110" s="25">
        <v>4.9000000000000004</v>
      </c>
      <c r="Q110" s="27">
        <f>N110/K110</f>
        <v>9.9898063200815512E-2</v>
      </c>
      <c r="R110" s="26" t="s">
        <v>507</v>
      </c>
    </row>
    <row r="111" spans="1:18" s="26" customFormat="1" x14ac:dyDescent="0.25">
      <c r="A111" s="23" t="s">
        <v>39</v>
      </c>
      <c r="B111" s="23">
        <v>16865615</v>
      </c>
      <c r="C111" s="23" t="s">
        <v>92</v>
      </c>
      <c r="D111" s="23" t="s">
        <v>93</v>
      </c>
      <c r="E111" s="23" t="str">
        <f>CONCATENATE(D111,1)</f>
        <v>155W224471</v>
      </c>
      <c r="F111" s="24">
        <v>45658</v>
      </c>
      <c r="G111" s="23" t="s">
        <v>50</v>
      </c>
      <c r="H111" s="24">
        <v>45778</v>
      </c>
      <c r="I111" s="24">
        <f>DATE(YEAR(H111), MONTH(H111) +1, DAY(H111))</f>
        <v>45809</v>
      </c>
      <c r="J111" s="23" t="s">
        <v>37</v>
      </c>
      <c r="K111" s="25">
        <v>29.6</v>
      </c>
      <c r="L111" s="23">
        <v>1</v>
      </c>
      <c r="M111" s="25">
        <v>2.96</v>
      </c>
      <c r="N111" s="25">
        <v>2.96</v>
      </c>
      <c r="Q111" s="27">
        <f>N111/K111</f>
        <v>9.9999999999999992E-2</v>
      </c>
      <c r="R111" s="26" t="s">
        <v>507</v>
      </c>
    </row>
    <row r="112" spans="1:18" s="26" customFormat="1" x14ac:dyDescent="0.25">
      <c r="A112" s="23" t="s">
        <v>39</v>
      </c>
      <c r="B112" s="23">
        <v>16865615</v>
      </c>
      <c r="C112" s="23" t="s">
        <v>94</v>
      </c>
      <c r="D112" s="23" t="s">
        <v>499</v>
      </c>
      <c r="E112" s="23" t="str">
        <f>CONCATENATE(D112,1)</f>
        <v>155WA224471</v>
      </c>
      <c r="F112" s="24">
        <v>45658</v>
      </c>
      <c r="G112" s="23" t="s">
        <v>50</v>
      </c>
      <c r="H112" s="24">
        <v>45778</v>
      </c>
      <c r="I112" s="24">
        <f>DATE(YEAR(H112), MONTH(H112) +1, DAY(H112))</f>
        <v>45809</v>
      </c>
      <c r="J112" s="23" t="s">
        <v>37</v>
      </c>
      <c r="K112" s="25">
        <v>29.6</v>
      </c>
      <c r="L112" s="23">
        <v>1</v>
      </c>
      <c r="M112" s="25">
        <v>2.96</v>
      </c>
      <c r="N112" s="25">
        <v>2.96</v>
      </c>
      <c r="Q112" s="27">
        <f>N112/K112</f>
        <v>9.9999999999999992E-2</v>
      </c>
      <c r="R112" s="26" t="s">
        <v>507</v>
      </c>
    </row>
    <row r="113" spans="1:18" s="26" customFormat="1" x14ac:dyDescent="0.25">
      <c r="A113" s="23" t="s">
        <v>39</v>
      </c>
      <c r="B113" s="23">
        <v>16865615</v>
      </c>
      <c r="C113" s="23" t="s">
        <v>88</v>
      </c>
      <c r="D113" s="23" t="s">
        <v>89</v>
      </c>
      <c r="E113" s="23" t="str">
        <f>CONCATENATE(D113,1)</f>
        <v>247W167821</v>
      </c>
      <c r="F113" s="24">
        <v>45689</v>
      </c>
      <c r="G113" s="23" t="s">
        <v>50</v>
      </c>
      <c r="H113" s="24">
        <v>45778</v>
      </c>
      <c r="I113" s="24">
        <f>DATE(YEAR(H113), MONTH(H113) +1, DAY(H113))</f>
        <v>45809</v>
      </c>
      <c r="J113" s="23" t="s">
        <v>37</v>
      </c>
      <c r="K113" s="25">
        <v>49.05</v>
      </c>
      <c r="L113" s="23">
        <v>1</v>
      </c>
      <c r="M113" s="25">
        <v>4.9000000000000004</v>
      </c>
      <c r="N113" s="25">
        <v>4.9000000000000004</v>
      </c>
      <c r="Q113" s="27">
        <f>N113/K113</f>
        <v>9.9898063200815512E-2</v>
      </c>
      <c r="R113" s="26" t="s">
        <v>507</v>
      </c>
    </row>
    <row r="114" spans="1:18" s="26" customFormat="1" x14ac:dyDescent="0.25">
      <c r="A114" s="23" t="s">
        <v>39</v>
      </c>
      <c r="B114" s="23">
        <v>16865615</v>
      </c>
      <c r="C114" s="23" t="s">
        <v>112</v>
      </c>
      <c r="D114" s="23" t="s">
        <v>113</v>
      </c>
      <c r="E114" s="23" t="str">
        <f>CONCATENATE(D114,1)</f>
        <v>273W226441</v>
      </c>
      <c r="F114" s="24">
        <v>45658</v>
      </c>
      <c r="G114" s="23" t="s">
        <v>50</v>
      </c>
      <c r="H114" s="24">
        <v>45778</v>
      </c>
      <c r="I114" s="24">
        <f>DATE(YEAR(H114), MONTH(H114) +1, DAY(H114))</f>
        <v>45809</v>
      </c>
      <c r="J114" s="23" t="s">
        <v>37</v>
      </c>
      <c r="K114" s="25">
        <v>47.3</v>
      </c>
      <c r="L114" s="23">
        <v>1</v>
      </c>
      <c r="M114" s="25">
        <v>4.7300000000000004</v>
      </c>
      <c r="N114" s="25">
        <v>4.7300000000000004</v>
      </c>
      <c r="Q114" s="27">
        <f>N114/K114</f>
        <v>0.10000000000000002</v>
      </c>
      <c r="R114" s="26" t="s">
        <v>507</v>
      </c>
    </row>
    <row r="115" spans="1:18" s="26" customFormat="1" x14ac:dyDescent="0.25">
      <c r="A115" s="23" t="s">
        <v>39</v>
      </c>
      <c r="B115" s="23">
        <v>16865615</v>
      </c>
      <c r="C115" s="23" t="s">
        <v>95</v>
      </c>
      <c r="D115" s="23" t="s">
        <v>96</v>
      </c>
      <c r="E115" s="23" t="str">
        <f>CONCATENATE(D115,1)</f>
        <v>404M893031</v>
      </c>
      <c r="F115" s="24">
        <v>45658</v>
      </c>
      <c r="G115" s="23" t="s">
        <v>50</v>
      </c>
      <c r="H115" s="24">
        <v>45778</v>
      </c>
      <c r="I115" s="24">
        <f>DATE(YEAR(H115), MONTH(H115) +1, DAY(H115))</f>
        <v>45809</v>
      </c>
      <c r="J115" s="23" t="s">
        <v>37</v>
      </c>
      <c r="K115" s="25">
        <v>29.6</v>
      </c>
      <c r="L115" s="23">
        <v>1</v>
      </c>
      <c r="M115" s="25">
        <v>2.96</v>
      </c>
      <c r="N115" s="25">
        <v>2.96</v>
      </c>
      <c r="Q115" s="27">
        <f>N115/K115</f>
        <v>9.9999999999999992E-2</v>
      </c>
      <c r="R115" s="26" t="s">
        <v>507</v>
      </c>
    </row>
    <row r="116" spans="1:18" s="26" customFormat="1" x14ac:dyDescent="0.25">
      <c r="A116" s="23" t="s">
        <v>39</v>
      </c>
      <c r="B116" s="23">
        <v>16865615</v>
      </c>
      <c r="C116" s="23" t="s">
        <v>103</v>
      </c>
      <c r="D116" s="23" t="s">
        <v>96</v>
      </c>
      <c r="E116" s="23" t="str">
        <f>CONCATENATE(D116,1)</f>
        <v>404M893031</v>
      </c>
      <c r="F116" s="24">
        <v>45658</v>
      </c>
      <c r="G116" s="23" t="s">
        <v>50</v>
      </c>
      <c r="H116" s="24">
        <v>45778</v>
      </c>
      <c r="I116" s="24">
        <f>DATE(YEAR(H116), MONTH(H116) +1, DAY(H116))</f>
        <v>45809</v>
      </c>
      <c r="J116" s="23" t="s">
        <v>37</v>
      </c>
      <c r="K116" s="25">
        <v>29.6</v>
      </c>
      <c r="L116" s="23">
        <v>1</v>
      </c>
      <c r="M116" s="25">
        <v>2.96</v>
      </c>
      <c r="N116" s="25">
        <v>2.96</v>
      </c>
      <c r="Q116" s="27">
        <f>N116/K116</f>
        <v>9.9999999999999992E-2</v>
      </c>
      <c r="R116" s="26" t="s">
        <v>507</v>
      </c>
    </row>
    <row r="117" spans="1:18" s="26" customFormat="1" x14ac:dyDescent="0.25">
      <c r="A117" s="23" t="s">
        <v>39</v>
      </c>
      <c r="B117" s="23">
        <v>16865615</v>
      </c>
      <c r="C117" s="23" t="s">
        <v>106</v>
      </c>
      <c r="D117" s="23" t="s">
        <v>96</v>
      </c>
      <c r="E117" s="23" t="str">
        <f>CONCATENATE(D117,1)</f>
        <v>404M893031</v>
      </c>
      <c r="F117" s="24">
        <v>45658</v>
      </c>
      <c r="G117" s="23" t="s">
        <v>50</v>
      </c>
      <c r="H117" s="24">
        <v>45778</v>
      </c>
      <c r="I117" s="24">
        <f>DATE(YEAR(H117), MONTH(H117) +1, DAY(H117))</f>
        <v>45809</v>
      </c>
      <c r="J117" s="23" t="s">
        <v>37</v>
      </c>
      <c r="K117" s="25">
        <v>29.6</v>
      </c>
      <c r="L117" s="23">
        <v>1</v>
      </c>
      <c r="M117" s="25">
        <v>2.96</v>
      </c>
      <c r="N117" s="25">
        <v>2.96</v>
      </c>
      <c r="Q117" s="27">
        <f>N117/K117</f>
        <v>9.9999999999999992E-2</v>
      </c>
      <c r="R117" s="26" t="s">
        <v>507</v>
      </c>
    </row>
    <row r="118" spans="1:18" s="26" customFormat="1" x14ac:dyDescent="0.25">
      <c r="A118" s="23" t="s">
        <v>39</v>
      </c>
      <c r="B118" s="23">
        <v>16865615</v>
      </c>
      <c r="C118" s="23" t="s">
        <v>99</v>
      </c>
      <c r="D118" s="23" t="s">
        <v>100</v>
      </c>
      <c r="E118" s="23" t="str">
        <f>CONCATENATE(D118,1)</f>
        <v>583W227041</v>
      </c>
      <c r="F118" s="24">
        <v>45658</v>
      </c>
      <c r="G118" s="23" t="s">
        <v>50</v>
      </c>
      <c r="H118" s="24">
        <v>45778</v>
      </c>
      <c r="I118" s="24">
        <f>DATE(YEAR(H118), MONTH(H118) +1, DAY(H118))</f>
        <v>45809</v>
      </c>
      <c r="J118" s="23" t="s">
        <v>37</v>
      </c>
      <c r="K118" s="25">
        <v>29.6</v>
      </c>
      <c r="L118" s="23">
        <v>1</v>
      </c>
      <c r="M118" s="25">
        <v>2.96</v>
      </c>
      <c r="N118" s="25">
        <v>2.96</v>
      </c>
      <c r="Q118" s="27">
        <f>N118/K118</f>
        <v>9.9999999999999992E-2</v>
      </c>
      <c r="R118" s="26" t="s">
        <v>507</v>
      </c>
    </row>
    <row r="119" spans="1:18" s="26" customFormat="1" x14ac:dyDescent="0.25">
      <c r="A119" s="23" t="s">
        <v>39</v>
      </c>
      <c r="B119" s="23">
        <v>16865615</v>
      </c>
      <c r="C119" s="23" t="s">
        <v>107</v>
      </c>
      <c r="D119" s="23" t="s">
        <v>100</v>
      </c>
      <c r="E119" s="23" t="str">
        <f>CONCATENATE(D119,1)</f>
        <v>583W227041</v>
      </c>
      <c r="F119" s="24">
        <v>45658</v>
      </c>
      <c r="G119" s="23" t="s">
        <v>50</v>
      </c>
      <c r="H119" s="24">
        <v>45778</v>
      </c>
      <c r="I119" s="24">
        <f>DATE(YEAR(H119), MONTH(H119) +1, DAY(H119))</f>
        <v>45809</v>
      </c>
      <c r="J119" s="23" t="s">
        <v>37</v>
      </c>
      <c r="K119" s="25">
        <v>29.6</v>
      </c>
      <c r="L119" s="23">
        <v>1</v>
      </c>
      <c r="M119" s="25">
        <v>2.96</v>
      </c>
      <c r="N119" s="25">
        <v>2.96</v>
      </c>
      <c r="Q119" s="27">
        <f>N119/K119</f>
        <v>9.9999999999999992E-2</v>
      </c>
      <c r="R119" s="26" t="s">
        <v>507</v>
      </c>
    </row>
    <row r="120" spans="1:18" s="26" customFormat="1" x14ac:dyDescent="0.25">
      <c r="A120" s="23" t="s">
        <v>39</v>
      </c>
      <c r="B120" s="23">
        <v>16865615</v>
      </c>
      <c r="C120" s="23" t="s">
        <v>118</v>
      </c>
      <c r="D120" s="23" t="s">
        <v>119</v>
      </c>
      <c r="E120" s="23" t="str">
        <f>CONCATENATE(D120,1)</f>
        <v>670W230951</v>
      </c>
      <c r="F120" s="24">
        <v>45748</v>
      </c>
      <c r="G120" s="23" t="s">
        <v>50</v>
      </c>
      <c r="H120" s="24">
        <v>45778</v>
      </c>
      <c r="I120" s="24">
        <f>DATE(YEAR(H120), MONTH(H120) +1, DAY(H120))</f>
        <v>45809</v>
      </c>
      <c r="J120" s="23" t="s">
        <v>37</v>
      </c>
      <c r="K120" s="25">
        <v>49.05</v>
      </c>
      <c r="L120" s="23">
        <v>1</v>
      </c>
      <c r="M120" s="25">
        <v>4.9000000000000004</v>
      </c>
      <c r="N120" s="25">
        <v>4.9000000000000004</v>
      </c>
      <c r="Q120" s="27">
        <f>N120/K120</f>
        <v>9.9898063200815512E-2</v>
      </c>
      <c r="R120" s="26" t="s">
        <v>507</v>
      </c>
    </row>
    <row r="121" spans="1:18" s="26" customFormat="1" x14ac:dyDescent="0.25">
      <c r="A121" s="23" t="s">
        <v>39</v>
      </c>
      <c r="B121" s="23">
        <v>16865615</v>
      </c>
      <c r="C121" s="23" t="s">
        <v>97</v>
      </c>
      <c r="D121" s="23" t="s">
        <v>98</v>
      </c>
      <c r="E121" s="23" t="str">
        <f>CONCATENATE(D121,1)</f>
        <v>693W235591</v>
      </c>
      <c r="F121" s="24">
        <v>45778</v>
      </c>
      <c r="G121" s="23" t="s">
        <v>50</v>
      </c>
      <c r="H121" s="24">
        <v>45778</v>
      </c>
      <c r="I121" s="24">
        <f>DATE(YEAR(H121), MONTH(H121) +1, DAY(H121))</f>
        <v>45809</v>
      </c>
      <c r="J121" s="23" t="s">
        <v>37</v>
      </c>
      <c r="K121" s="25">
        <v>29.6</v>
      </c>
      <c r="L121" s="23">
        <v>1</v>
      </c>
      <c r="M121" s="25">
        <v>2.96</v>
      </c>
      <c r="N121" s="25">
        <v>2.96</v>
      </c>
      <c r="Q121" s="27">
        <f>N121/K121</f>
        <v>9.9999999999999992E-2</v>
      </c>
      <c r="R121" s="26" t="s">
        <v>507</v>
      </c>
    </row>
    <row r="122" spans="1:18" s="26" customFormat="1" x14ac:dyDescent="0.25">
      <c r="A122" s="23" t="s">
        <v>39</v>
      </c>
      <c r="B122" s="23">
        <v>16865615</v>
      </c>
      <c r="C122" s="23" t="s">
        <v>102</v>
      </c>
      <c r="D122" s="23" t="s">
        <v>98</v>
      </c>
      <c r="E122" s="23" t="str">
        <f>CONCATENATE(D122,1)</f>
        <v>693W235591</v>
      </c>
      <c r="F122" s="24">
        <v>45778</v>
      </c>
      <c r="G122" s="23" t="s">
        <v>50</v>
      </c>
      <c r="H122" s="24">
        <v>45778</v>
      </c>
      <c r="I122" s="24">
        <f>DATE(YEAR(H122), MONTH(H122) +1, DAY(H122))</f>
        <v>45809</v>
      </c>
      <c r="J122" s="23" t="s">
        <v>37</v>
      </c>
      <c r="K122" s="25">
        <v>29.6</v>
      </c>
      <c r="L122" s="23">
        <v>1</v>
      </c>
      <c r="M122" s="25">
        <v>2.96</v>
      </c>
      <c r="N122" s="25">
        <v>2.96</v>
      </c>
      <c r="Q122" s="27">
        <f>N122/K122</f>
        <v>9.9999999999999992E-2</v>
      </c>
      <c r="R122" s="26" t="s">
        <v>507</v>
      </c>
    </row>
    <row r="123" spans="1:18" s="26" customFormat="1" x14ac:dyDescent="0.25">
      <c r="A123" s="23" t="s">
        <v>39</v>
      </c>
      <c r="B123" s="23">
        <v>16865615</v>
      </c>
      <c r="C123" s="23" t="s">
        <v>90</v>
      </c>
      <c r="D123" s="23" t="s">
        <v>91</v>
      </c>
      <c r="E123" s="23" t="str">
        <f>CONCATENATE(D123,1)</f>
        <v>708W225921</v>
      </c>
      <c r="F123" s="24">
        <v>45658</v>
      </c>
      <c r="G123" s="23" t="s">
        <v>50</v>
      </c>
      <c r="H123" s="24">
        <v>45778</v>
      </c>
      <c r="I123" s="24">
        <f>DATE(YEAR(H123), MONTH(H123) +1, DAY(H123))</f>
        <v>45809</v>
      </c>
      <c r="J123" s="23" t="s">
        <v>37</v>
      </c>
      <c r="K123" s="25">
        <v>29.6</v>
      </c>
      <c r="L123" s="23">
        <v>1</v>
      </c>
      <c r="M123" s="25">
        <v>2.96</v>
      </c>
      <c r="N123" s="25">
        <v>2.96</v>
      </c>
      <c r="Q123" s="27">
        <f>N123/K123</f>
        <v>9.9999999999999992E-2</v>
      </c>
      <c r="R123" s="26" t="s">
        <v>507</v>
      </c>
    </row>
    <row r="124" spans="1:18" s="26" customFormat="1" x14ac:dyDescent="0.25">
      <c r="A124" s="23" t="s">
        <v>39</v>
      </c>
      <c r="B124" s="23">
        <v>16865615</v>
      </c>
      <c r="C124" s="23" t="s">
        <v>104</v>
      </c>
      <c r="D124" s="23" t="s">
        <v>105</v>
      </c>
      <c r="E124" s="23" t="str">
        <f>CONCATENATE(D124,1)</f>
        <v>722W230111</v>
      </c>
      <c r="F124" s="24">
        <v>45689</v>
      </c>
      <c r="G124" s="23" t="s">
        <v>50</v>
      </c>
      <c r="H124" s="24">
        <v>45778</v>
      </c>
      <c r="I124" s="24">
        <f>DATE(YEAR(H124), MONTH(H124) +1, DAY(H124))</f>
        <v>45809</v>
      </c>
      <c r="J124" s="23" t="s">
        <v>37</v>
      </c>
      <c r="K124" s="25">
        <v>29.6</v>
      </c>
      <c r="L124" s="23">
        <v>1</v>
      </c>
      <c r="M124" s="25">
        <v>2.96</v>
      </c>
      <c r="N124" s="25">
        <v>2.96</v>
      </c>
      <c r="Q124" s="27">
        <f>N124/K124</f>
        <v>9.9999999999999992E-2</v>
      </c>
      <c r="R124" s="26" t="s">
        <v>507</v>
      </c>
    </row>
    <row r="125" spans="1:18" s="26" customFormat="1" x14ac:dyDescent="0.25">
      <c r="A125" s="23" t="s">
        <v>39</v>
      </c>
      <c r="B125" s="23">
        <v>16865615</v>
      </c>
      <c r="C125" s="23" t="s">
        <v>86</v>
      </c>
      <c r="D125" s="23" t="s">
        <v>87</v>
      </c>
      <c r="E125" s="23" t="str">
        <f>CONCATENATE(D125,1)</f>
        <v>755W223041</v>
      </c>
      <c r="F125" s="24">
        <v>45658</v>
      </c>
      <c r="G125" s="23" t="s">
        <v>50</v>
      </c>
      <c r="H125" s="24">
        <v>45778</v>
      </c>
      <c r="I125" s="24">
        <f>DATE(YEAR(H125), MONTH(H125) +1, DAY(H125))</f>
        <v>45809</v>
      </c>
      <c r="J125" s="23" t="s">
        <v>37</v>
      </c>
      <c r="K125" s="25">
        <v>29.6</v>
      </c>
      <c r="L125" s="23">
        <v>1</v>
      </c>
      <c r="M125" s="25">
        <v>2.96</v>
      </c>
      <c r="N125" s="25">
        <v>2.96</v>
      </c>
      <c r="Q125" s="27">
        <f>N125/K125</f>
        <v>9.9999999999999992E-2</v>
      </c>
      <c r="R125" s="26" t="s">
        <v>507</v>
      </c>
    </row>
    <row r="126" spans="1:18" s="26" customFormat="1" x14ac:dyDescent="0.25">
      <c r="A126" s="23" t="s">
        <v>39</v>
      </c>
      <c r="B126" s="23">
        <v>16865615</v>
      </c>
      <c r="C126" s="23" t="s">
        <v>64</v>
      </c>
      <c r="D126" s="23" t="s">
        <v>65</v>
      </c>
      <c r="E126" s="23" t="str">
        <f>CONCATENATE(D126,1)</f>
        <v>808M938911</v>
      </c>
      <c r="F126" s="24">
        <v>45658</v>
      </c>
      <c r="G126" s="23" t="s">
        <v>50</v>
      </c>
      <c r="H126" s="24">
        <v>45778</v>
      </c>
      <c r="I126" s="24">
        <f>DATE(YEAR(H126), MONTH(H126) +1, DAY(H126))</f>
        <v>45809</v>
      </c>
      <c r="J126" s="23" t="s">
        <v>37</v>
      </c>
      <c r="K126" s="25">
        <v>9.11</v>
      </c>
      <c r="L126" s="23">
        <v>1</v>
      </c>
      <c r="M126" s="25">
        <v>0.91</v>
      </c>
      <c r="N126" s="25">
        <v>0.91</v>
      </c>
      <c r="Q126" s="27">
        <f>N126/K126</f>
        <v>9.9890230515916584E-2</v>
      </c>
      <c r="R126" s="26" t="s">
        <v>507</v>
      </c>
    </row>
    <row r="127" spans="1:18" s="26" customFormat="1" x14ac:dyDescent="0.25">
      <c r="A127" s="23" t="s">
        <v>39</v>
      </c>
      <c r="B127" s="23">
        <v>16865615</v>
      </c>
      <c r="C127" s="23" t="s">
        <v>114</v>
      </c>
      <c r="D127" s="23" t="s">
        <v>115</v>
      </c>
      <c r="E127" s="23" t="str">
        <f>CONCATENATE(D127,1)</f>
        <v>808W226441</v>
      </c>
      <c r="F127" s="24">
        <v>45658</v>
      </c>
      <c r="G127" s="23" t="s">
        <v>50</v>
      </c>
      <c r="H127" s="24">
        <v>45778</v>
      </c>
      <c r="I127" s="24">
        <f>DATE(YEAR(H127), MONTH(H127) +1, DAY(H127))</f>
        <v>45809</v>
      </c>
      <c r="J127" s="23" t="s">
        <v>37</v>
      </c>
      <c r="K127" s="25">
        <v>47.3</v>
      </c>
      <c r="L127" s="23">
        <v>1</v>
      </c>
      <c r="M127" s="25">
        <v>4.7300000000000004</v>
      </c>
      <c r="N127" s="25">
        <v>4.7300000000000004</v>
      </c>
      <c r="Q127" s="27">
        <f>N127/K127</f>
        <v>0.10000000000000002</v>
      </c>
      <c r="R127" s="26" t="s">
        <v>507</v>
      </c>
    </row>
    <row r="128" spans="1:18" s="26" customFormat="1" x14ac:dyDescent="0.25">
      <c r="A128" s="23" t="s">
        <v>39</v>
      </c>
      <c r="B128" s="23">
        <v>16865615</v>
      </c>
      <c r="C128" s="23" t="s">
        <v>116</v>
      </c>
      <c r="D128" s="23" t="s">
        <v>115</v>
      </c>
      <c r="E128" s="23" t="str">
        <f>CONCATENATE(D128,1)</f>
        <v>808W226441</v>
      </c>
      <c r="F128" s="24">
        <v>45658</v>
      </c>
      <c r="G128" s="23" t="s">
        <v>50</v>
      </c>
      <c r="H128" s="24">
        <v>45778</v>
      </c>
      <c r="I128" s="24">
        <f>DATE(YEAR(H128), MONTH(H128) +1, DAY(H128))</f>
        <v>45809</v>
      </c>
      <c r="J128" s="23" t="s">
        <v>37</v>
      </c>
      <c r="K128" s="25">
        <v>47.3</v>
      </c>
      <c r="L128" s="23">
        <v>1</v>
      </c>
      <c r="M128" s="25">
        <v>4.7300000000000004</v>
      </c>
      <c r="N128" s="25">
        <v>4.7300000000000004</v>
      </c>
      <c r="Q128" s="27">
        <f>N128/K128</f>
        <v>0.10000000000000002</v>
      </c>
      <c r="R128" s="26" t="s">
        <v>507</v>
      </c>
    </row>
    <row r="129" spans="1:18" s="26" customFormat="1" x14ac:dyDescent="0.25">
      <c r="A129" s="23" t="s">
        <v>39</v>
      </c>
      <c r="B129" s="23">
        <v>16865615</v>
      </c>
      <c r="C129" s="23" t="s">
        <v>117</v>
      </c>
      <c r="D129" s="23" t="s">
        <v>115</v>
      </c>
      <c r="E129" s="23" t="str">
        <f>CONCATENATE(D129,1)</f>
        <v>808W226441</v>
      </c>
      <c r="F129" s="24">
        <v>45658</v>
      </c>
      <c r="G129" s="23" t="s">
        <v>50</v>
      </c>
      <c r="H129" s="24">
        <v>45778</v>
      </c>
      <c r="I129" s="24">
        <f>DATE(YEAR(H129), MONTH(H129) +1, DAY(H129))</f>
        <v>45809</v>
      </c>
      <c r="J129" s="23" t="s">
        <v>37</v>
      </c>
      <c r="K129" s="25">
        <v>47.3</v>
      </c>
      <c r="L129" s="23">
        <v>1</v>
      </c>
      <c r="M129" s="25">
        <v>4.7300000000000004</v>
      </c>
      <c r="N129" s="25">
        <v>4.7300000000000004</v>
      </c>
      <c r="Q129" s="27">
        <f>N129/K129</f>
        <v>0.10000000000000002</v>
      </c>
      <c r="R129" s="26" t="s">
        <v>507</v>
      </c>
    </row>
    <row r="130" spans="1:18" s="26" customFormat="1" x14ac:dyDescent="0.25">
      <c r="A130" s="23" t="s">
        <v>39</v>
      </c>
      <c r="B130" s="23">
        <v>16865615</v>
      </c>
      <c r="C130" s="23" t="s">
        <v>43</v>
      </c>
      <c r="D130" s="23" t="s">
        <v>44</v>
      </c>
      <c r="E130" s="23" t="str">
        <f>CONCATENATE(D130,1)</f>
        <v>817W220591</v>
      </c>
      <c r="F130" s="24">
        <v>45658</v>
      </c>
      <c r="G130" s="23" t="s">
        <v>50</v>
      </c>
      <c r="H130" s="24">
        <v>45778</v>
      </c>
      <c r="I130" s="24">
        <f>DATE(YEAR(H130), MONTH(H130) +1, DAY(H130))</f>
        <v>45809</v>
      </c>
      <c r="J130" s="23" t="s">
        <v>37</v>
      </c>
      <c r="K130" s="25">
        <v>29.6</v>
      </c>
      <c r="L130" s="23">
        <v>1</v>
      </c>
      <c r="M130" s="25">
        <v>2.96</v>
      </c>
      <c r="N130" s="25">
        <v>2.96</v>
      </c>
      <c r="Q130" s="27">
        <f>N130/K130</f>
        <v>9.9999999999999992E-2</v>
      </c>
      <c r="R130" s="26" t="s">
        <v>507</v>
      </c>
    </row>
    <row r="131" spans="1:18" s="26" customFormat="1" x14ac:dyDescent="0.25">
      <c r="A131" s="23" t="s">
        <v>39</v>
      </c>
      <c r="B131" s="23">
        <v>16865615</v>
      </c>
      <c r="C131" s="23" t="s">
        <v>101</v>
      </c>
      <c r="D131" s="23" t="s">
        <v>44</v>
      </c>
      <c r="E131" s="23" t="str">
        <f>CONCATENATE(D131,1)</f>
        <v>817W220591</v>
      </c>
      <c r="F131" s="24">
        <v>45658</v>
      </c>
      <c r="G131" s="23" t="s">
        <v>50</v>
      </c>
      <c r="H131" s="24">
        <v>45778</v>
      </c>
      <c r="I131" s="24">
        <f>DATE(YEAR(H131), MONTH(H131) +1, DAY(H131))</f>
        <v>45809</v>
      </c>
      <c r="J131" s="23" t="s">
        <v>37</v>
      </c>
      <c r="K131" s="25">
        <v>29.6</v>
      </c>
      <c r="L131" s="23">
        <v>1</v>
      </c>
      <c r="M131" s="25">
        <v>2.96</v>
      </c>
      <c r="N131" s="25">
        <v>2.96</v>
      </c>
      <c r="Q131" s="27">
        <f>N131/K131</f>
        <v>9.9999999999999992E-2</v>
      </c>
      <c r="R131" s="26" t="s">
        <v>507</v>
      </c>
    </row>
    <row r="132" spans="1:18" s="26" customFormat="1" x14ac:dyDescent="0.25">
      <c r="A132" s="23" t="s">
        <v>39</v>
      </c>
      <c r="B132" s="23">
        <v>16865615</v>
      </c>
      <c r="C132" s="23" t="s">
        <v>66</v>
      </c>
      <c r="D132" s="23" t="s">
        <v>67</v>
      </c>
      <c r="E132" s="23" t="str">
        <f>CONCATENATE(D132,1)</f>
        <v>842W230011</v>
      </c>
      <c r="F132" s="24">
        <v>45689</v>
      </c>
      <c r="G132" s="23" t="s">
        <v>50</v>
      </c>
      <c r="H132" s="24">
        <v>45778</v>
      </c>
      <c r="I132" s="24">
        <f>DATE(YEAR(H132), MONTH(H132) +1, DAY(H132))</f>
        <v>45809</v>
      </c>
      <c r="J132" s="23" t="s">
        <v>37</v>
      </c>
      <c r="K132" s="25">
        <v>9.11</v>
      </c>
      <c r="L132" s="23">
        <v>1</v>
      </c>
      <c r="M132" s="25">
        <v>0.91</v>
      </c>
      <c r="N132" s="25">
        <v>0.91</v>
      </c>
      <c r="Q132" s="27">
        <f>N132/K132</f>
        <v>9.9890230515916584E-2</v>
      </c>
      <c r="R132" s="26" t="s">
        <v>507</v>
      </c>
    </row>
    <row r="133" spans="1:18" s="18" customFormat="1" x14ac:dyDescent="0.25">
      <c r="A133" s="23" t="s">
        <v>39</v>
      </c>
      <c r="B133" s="23">
        <v>16865615</v>
      </c>
      <c r="C133" s="23" t="s">
        <v>62</v>
      </c>
      <c r="D133" s="23" t="s">
        <v>63</v>
      </c>
      <c r="E133" s="23" t="str">
        <f>CONCATENATE(D133,1)</f>
        <v>848W227361</v>
      </c>
      <c r="F133" s="24">
        <v>45658</v>
      </c>
      <c r="G133" s="23" t="s">
        <v>50</v>
      </c>
      <c r="H133" s="24">
        <v>45778</v>
      </c>
      <c r="I133" s="24">
        <f>DATE(YEAR(H133), MONTH(H133) +1, DAY(H133))</f>
        <v>45809</v>
      </c>
      <c r="J133" s="23" t="s">
        <v>37</v>
      </c>
      <c r="K133" s="25">
        <v>9.11</v>
      </c>
      <c r="L133" s="23">
        <v>1</v>
      </c>
      <c r="M133" s="25">
        <v>0.91</v>
      </c>
      <c r="N133" s="25">
        <v>0.91</v>
      </c>
      <c r="O133" s="26"/>
      <c r="P133" s="26"/>
      <c r="Q133" s="27">
        <f>N133/K133</f>
        <v>9.9890230515916584E-2</v>
      </c>
      <c r="R133" s="26" t="s">
        <v>507</v>
      </c>
    </row>
    <row r="134" spans="1:18" s="18" customFormat="1" x14ac:dyDescent="0.25">
      <c r="A134" s="23" t="s">
        <v>39</v>
      </c>
      <c r="B134" s="23">
        <v>16865615</v>
      </c>
      <c r="C134" s="23" t="s">
        <v>108</v>
      </c>
      <c r="D134" s="23" t="s">
        <v>109</v>
      </c>
      <c r="E134" s="23" t="str">
        <f>CONCATENATE(D134,1)</f>
        <v>911W224471</v>
      </c>
      <c r="F134" s="24">
        <v>45658</v>
      </c>
      <c r="G134" s="23" t="s">
        <v>50</v>
      </c>
      <c r="H134" s="24">
        <v>45778</v>
      </c>
      <c r="I134" s="24">
        <f>DATE(YEAR(H134), MONTH(H134) +1, DAY(H134))</f>
        <v>45809</v>
      </c>
      <c r="J134" s="23" t="s">
        <v>37</v>
      </c>
      <c r="K134" s="25">
        <v>29.6</v>
      </c>
      <c r="L134" s="23">
        <v>1</v>
      </c>
      <c r="M134" s="25">
        <v>2.96</v>
      </c>
      <c r="N134" s="25">
        <v>2.96</v>
      </c>
      <c r="O134" s="26"/>
      <c r="P134" s="26"/>
      <c r="Q134" s="27">
        <f>N134/K134</f>
        <v>9.9999999999999992E-2</v>
      </c>
      <c r="R134" s="26" t="s">
        <v>507</v>
      </c>
    </row>
    <row r="135" spans="1:18" s="22" customFormat="1" x14ac:dyDescent="0.25">
      <c r="A135" s="23" t="s">
        <v>39</v>
      </c>
      <c r="B135" s="23">
        <v>16865615</v>
      </c>
      <c r="C135" s="23" t="s">
        <v>84</v>
      </c>
      <c r="D135" s="23" t="s">
        <v>85</v>
      </c>
      <c r="E135" s="23" t="str">
        <f>CONCATENATE(D135,1)</f>
        <v>134W227341</v>
      </c>
      <c r="F135" s="24">
        <v>45658</v>
      </c>
      <c r="G135" s="23" t="s">
        <v>45</v>
      </c>
      <c r="H135" s="24">
        <v>45778</v>
      </c>
      <c r="I135" s="24">
        <f>DATE(YEAR(H135), MONTH(H135) +1, DAY(H135))</f>
        <v>45809</v>
      </c>
      <c r="J135" s="23" t="s">
        <v>37</v>
      </c>
      <c r="K135" s="25">
        <v>16.579999999999998</v>
      </c>
      <c r="L135" s="23">
        <v>1</v>
      </c>
      <c r="M135" s="25">
        <v>1.65</v>
      </c>
      <c r="N135" s="25">
        <v>1.65</v>
      </c>
      <c r="O135" s="26"/>
      <c r="P135" s="26"/>
      <c r="Q135" s="27">
        <f>N135/K135</f>
        <v>9.9517490952955368E-2</v>
      </c>
      <c r="R135" s="26" t="s">
        <v>507</v>
      </c>
    </row>
    <row r="136" spans="1:18" s="22" customFormat="1" x14ac:dyDescent="0.25">
      <c r="A136" s="23" t="s">
        <v>39</v>
      </c>
      <c r="B136" s="23">
        <v>16865615</v>
      </c>
      <c r="C136" s="23" t="s">
        <v>43</v>
      </c>
      <c r="D136" s="23" t="s">
        <v>44</v>
      </c>
      <c r="E136" s="23" t="str">
        <f>CONCATENATE(D136,1)</f>
        <v>817W220591</v>
      </c>
      <c r="F136" s="24">
        <v>45658</v>
      </c>
      <c r="G136" s="23" t="s">
        <v>45</v>
      </c>
      <c r="H136" s="24">
        <v>45778</v>
      </c>
      <c r="I136" s="24">
        <f>DATE(YEAR(H136), MONTH(H136) +1, DAY(H136))</f>
        <v>45809</v>
      </c>
      <c r="J136" s="23" t="s">
        <v>37</v>
      </c>
      <c r="K136" s="25">
        <v>6.64</v>
      </c>
      <c r="L136" s="23">
        <v>1</v>
      </c>
      <c r="M136" s="25">
        <v>0.66</v>
      </c>
      <c r="N136" s="25">
        <v>0.66</v>
      </c>
      <c r="O136" s="26"/>
      <c r="P136" s="26"/>
      <c r="Q136" s="27">
        <f>N136/K136</f>
        <v>9.9397590361445798E-2</v>
      </c>
      <c r="R136" s="26" t="s">
        <v>507</v>
      </c>
    </row>
    <row r="137" spans="1:18" s="22" customFormat="1" x14ac:dyDescent="0.25">
      <c r="A137" s="23" t="s">
        <v>46</v>
      </c>
      <c r="B137" s="23">
        <v>21313588</v>
      </c>
      <c r="C137" s="23" t="s">
        <v>48</v>
      </c>
      <c r="D137" s="23" t="s">
        <v>49</v>
      </c>
      <c r="E137" s="23" t="str">
        <f>CONCATENATE(D137,1)</f>
        <v>333W074211</v>
      </c>
      <c r="F137" s="24">
        <v>45689</v>
      </c>
      <c r="G137" s="23" t="s">
        <v>50</v>
      </c>
      <c r="H137" s="24">
        <v>45717</v>
      </c>
      <c r="I137" s="24">
        <f>DATE(YEAR(H137), MONTH(H137) +1, DAY(H137))</f>
        <v>45748</v>
      </c>
      <c r="J137" s="23" t="s">
        <v>37</v>
      </c>
      <c r="K137" s="25">
        <v>9.11</v>
      </c>
      <c r="L137" s="23">
        <v>1</v>
      </c>
      <c r="M137" s="25">
        <v>0.91</v>
      </c>
      <c r="N137" s="25">
        <v>0.91</v>
      </c>
      <c r="O137" s="26"/>
      <c r="P137" s="26"/>
      <c r="Q137" s="27">
        <f>N137/K137</f>
        <v>9.9890230515916584E-2</v>
      </c>
      <c r="R137" s="26" t="s">
        <v>507</v>
      </c>
    </row>
    <row r="138" spans="1:18" s="22" customFormat="1" x14ac:dyDescent="0.25">
      <c r="A138" s="23" t="s">
        <v>46</v>
      </c>
      <c r="B138" s="23">
        <v>21313588</v>
      </c>
      <c r="C138" s="23" t="s">
        <v>48</v>
      </c>
      <c r="D138" s="23" t="s">
        <v>49</v>
      </c>
      <c r="E138" s="23" t="str">
        <f>CONCATENATE(D138,1)</f>
        <v>333W074211</v>
      </c>
      <c r="F138" s="24">
        <v>45689</v>
      </c>
      <c r="G138" s="23" t="s">
        <v>50</v>
      </c>
      <c r="H138" s="24">
        <v>45689</v>
      </c>
      <c r="I138" s="24">
        <f>DATE(YEAR(H138), MONTH(H138) +1, DAY(H138))</f>
        <v>45717</v>
      </c>
      <c r="J138" s="23" t="s">
        <v>37</v>
      </c>
      <c r="K138" s="25">
        <v>9.11</v>
      </c>
      <c r="L138" s="23">
        <v>1</v>
      </c>
      <c r="M138" s="25">
        <v>0.91</v>
      </c>
      <c r="N138" s="25">
        <v>0.91</v>
      </c>
      <c r="O138" s="26"/>
      <c r="P138" s="26"/>
      <c r="Q138" s="27">
        <f>N138/K138</f>
        <v>9.9890230515916584E-2</v>
      </c>
      <c r="R138" s="26" t="s">
        <v>507</v>
      </c>
    </row>
    <row r="139" spans="1:18" s="32" customFormat="1" x14ac:dyDescent="0.25">
      <c r="A139" s="23" t="s">
        <v>46</v>
      </c>
      <c r="B139" s="23">
        <v>21313588</v>
      </c>
      <c r="C139" s="23" t="s">
        <v>48</v>
      </c>
      <c r="D139" s="23" t="s">
        <v>49</v>
      </c>
      <c r="E139" s="23" t="str">
        <f>CONCATENATE(D139,1)</f>
        <v>333W074211</v>
      </c>
      <c r="F139" s="24">
        <v>45689</v>
      </c>
      <c r="G139" s="23" t="s">
        <v>50</v>
      </c>
      <c r="H139" s="24">
        <v>45778</v>
      </c>
      <c r="I139" s="24">
        <f>DATE(YEAR(H139), MONTH(H139) +1, DAY(H139))</f>
        <v>45809</v>
      </c>
      <c r="J139" s="23" t="s">
        <v>37</v>
      </c>
      <c r="K139" s="25">
        <v>9.11</v>
      </c>
      <c r="L139" s="23">
        <v>1</v>
      </c>
      <c r="M139" s="25">
        <v>0.91</v>
      </c>
      <c r="N139" s="25">
        <v>0.91</v>
      </c>
      <c r="O139" s="26"/>
      <c r="P139" s="26"/>
      <c r="Q139" s="27">
        <f>N139/K139</f>
        <v>9.9890230515916584E-2</v>
      </c>
      <c r="R139" s="26" t="s">
        <v>507</v>
      </c>
    </row>
    <row r="140" spans="1:18" s="26" customFormat="1" x14ac:dyDescent="0.25">
      <c r="A140" s="23" t="s">
        <v>46</v>
      </c>
      <c r="B140" s="23">
        <v>21313588</v>
      </c>
      <c r="C140" s="23" t="s">
        <v>48</v>
      </c>
      <c r="D140" s="23" t="s">
        <v>49</v>
      </c>
      <c r="E140" s="23" t="str">
        <f>CONCATENATE(D140,1)</f>
        <v>333W074211</v>
      </c>
      <c r="F140" s="24">
        <v>45689</v>
      </c>
      <c r="G140" s="23" t="s">
        <v>50</v>
      </c>
      <c r="H140" s="24">
        <v>45748</v>
      </c>
      <c r="I140" s="24">
        <f>DATE(YEAR(H140), MONTH(H140) +1, DAY(H140))</f>
        <v>45778</v>
      </c>
      <c r="J140" s="23" t="s">
        <v>37</v>
      </c>
      <c r="K140" s="25">
        <v>9.11</v>
      </c>
      <c r="L140" s="23">
        <v>1</v>
      </c>
      <c r="M140" s="25">
        <v>0.91</v>
      </c>
      <c r="N140" s="25">
        <v>0.91</v>
      </c>
      <c r="Q140" s="27">
        <f>N140/K140</f>
        <v>9.9890230515916584E-2</v>
      </c>
      <c r="R140" s="26" t="s">
        <v>507</v>
      </c>
    </row>
    <row r="141" spans="1:18" s="26" customFormat="1" x14ac:dyDescent="0.25">
      <c r="A141" s="23" t="s">
        <v>33</v>
      </c>
      <c r="B141" s="23">
        <v>6634327</v>
      </c>
      <c r="C141" s="23" t="s">
        <v>57</v>
      </c>
      <c r="D141" s="23" t="s">
        <v>58</v>
      </c>
      <c r="E141" s="23" t="str">
        <f>CONCATENATE(D141,1)</f>
        <v>078W228251</v>
      </c>
      <c r="F141" s="24">
        <v>45689</v>
      </c>
      <c r="G141" s="23" t="s">
        <v>50</v>
      </c>
      <c r="H141" s="24">
        <v>45778</v>
      </c>
      <c r="I141" s="24">
        <f>DATE(YEAR(H141), MONTH(H141) +1, DAY(H141))</f>
        <v>45809</v>
      </c>
      <c r="J141" s="23" t="s">
        <v>37</v>
      </c>
      <c r="K141" s="25">
        <v>9.11</v>
      </c>
      <c r="L141" s="23">
        <v>1</v>
      </c>
      <c r="M141" s="25">
        <v>0.91</v>
      </c>
      <c r="N141" s="25">
        <v>0.91</v>
      </c>
      <c r="Q141" s="27">
        <f>N141/K141</f>
        <v>9.9890230515916584E-2</v>
      </c>
      <c r="R141" s="26" t="s">
        <v>507</v>
      </c>
    </row>
    <row r="142" spans="1:18" s="26" customFormat="1" x14ac:dyDescent="0.25">
      <c r="A142" s="29" t="s">
        <v>33</v>
      </c>
      <c r="B142" s="29">
        <v>6634327</v>
      </c>
      <c r="C142" s="29" t="s">
        <v>73</v>
      </c>
      <c r="D142" s="29" t="s">
        <v>74</v>
      </c>
      <c r="E142" s="29" t="str">
        <f>CONCATENATE(D142,1)</f>
        <v>414W229271</v>
      </c>
      <c r="F142" s="30">
        <v>45689</v>
      </c>
      <c r="G142" s="29" t="s">
        <v>50</v>
      </c>
      <c r="H142" s="30">
        <v>45778</v>
      </c>
      <c r="I142" s="30">
        <f>DATE(YEAR(H142), MONTH(H142) +1, DAY(H142))</f>
        <v>45809</v>
      </c>
      <c r="J142" s="29" t="s">
        <v>37</v>
      </c>
      <c r="K142" s="31">
        <v>14.01</v>
      </c>
      <c r="L142" s="29">
        <v>1</v>
      </c>
      <c r="M142" s="31">
        <v>1.4</v>
      </c>
      <c r="N142" s="31">
        <v>1.4</v>
      </c>
      <c r="O142" s="32"/>
      <c r="P142" s="32"/>
      <c r="Q142" s="36">
        <f>N142/K142</f>
        <v>9.9928622412562451E-2</v>
      </c>
      <c r="R142" s="32" t="s">
        <v>507</v>
      </c>
    </row>
    <row r="143" spans="1:18" s="26" customFormat="1" x14ac:dyDescent="0.25">
      <c r="A143" s="29" t="s">
        <v>33</v>
      </c>
      <c r="B143" s="29">
        <v>6634327</v>
      </c>
      <c r="C143" s="29" t="s">
        <v>77</v>
      </c>
      <c r="D143" s="29" t="s">
        <v>513</v>
      </c>
      <c r="E143" s="29" t="str">
        <f>CONCATENATE(D143,1)</f>
        <v>414WA229271</v>
      </c>
      <c r="F143" s="30">
        <v>45689</v>
      </c>
      <c r="G143" s="29" t="s">
        <v>50</v>
      </c>
      <c r="H143" s="30">
        <v>45778</v>
      </c>
      <c r="I143" s="30">
        <f>DATE(YEAR(H143), MONTH(H143) +1, DAY(H143))</f>
        <v>45809</v>
      </c>
      <c r="J143" s="29" t="s">
        <v>37</v>
      </c>
      <c r="K143" s="31">
        <v>14.01</v>
      </c>
      <c r="L143" s="29">
        <v>1</v>
      </c>
      <c r="M143" s="31">
        <v>1.4</v>
      </c>
      <c r="N143" s="31">
        <v>1.4</v>
      </c>
      <c r="O143" s="32"/>
      <c r="P143" s="32"/>
      <c r="Q143" s="36">
        <f>N143/K143</f>
        <v>9.9928622412562451E-2</v>
      </c>
      <c r="R143" s="32" t="s">
        <v>507</v>
      </c>
    </row>
    <row r="144" spans="1:18" s="26" customFormat="1" x14ac:dyDescent="0.25">
      <c r="A144" s="29" t="s">
        <v>33</v>
      </c>
      <c r="B144" s="29">
        <v>6634327</v>
      </c>
      <c r="C144" s="29" t="s">
        <v>79</v>
      </c>
      <c r="D144" s="29" t="s">
        <v>74</v>
      </c>
      <c r="E144" s="29" t="str">
        <f>CONCATENATE(D144,1)</f>
        <v>414W229271</v>
      </c>
      <c r="F144" s="30">
        <v>45689</v>
      </c>
      <c r="G144" s="29" t="s">
        <v>50</v>
      </c>
      <c r="H144" s="30">
        <v>45778</v>
      </c>
      <c r="I144" s="30">
        <f>DATE(YEAR(H144), MONTH(H144) +1, DAY(H144))</f>
        <v>45809</v>
      </c>
      <c r="J144" s="29" t="s">
        <v>37</v>
      </c>
      <c r="K144" s="31">
        <v>15.22</v>
      </c>
      <c r="L144" s="29">
        <v>1</v>
      </c>
      <c r="M144" s="31">
        <v>1.52</v>
      </c>
      <c r="N144" s="31">
        <v>1.52</v>
      </c>
      <c r="O144" s="32"/>
      <c r="P144" s="32"/>
      <c r="Q144" s="36">
        <f>N144/K144</f>
        <v>9.9868593955321938E-2</v>
      </c>
      <c r="R144" s="32" t="s">
        <v>507</v>
      </c>
    </row>
    <row r="145" spans="1:18" s="26" customFormat="1" x14ac:dyDescent="0.25">
      <c r="A145" s="29" t="s">
        <v>33</v>
      </c>
      <c r="B145" s="29">
        <v>6634327</v>
      </c>
      <c r="C145" s="29" t="s">
        <v>80</v>
      </c>
      <c r="D145" s="29" t="s">
        <v>74</v>
      </c>
      <c r="E145" s="29" t="str">
        <f>CONCATENATE(D145,1)</f>
        <v>414W229271</v>
      </c>
      <c r="F145" s="30">
        <v>45689</v>
      </c>
      <c r="G145" s="29" t="s">
        <v>50</v>
      </c>
      <c r="H145" s="30">
        <v>45778</v>
      </c>
      <c r="I145" s="30">
        <f>DATE(YEAR(H145), MONTH(H145) +1, DAY(H145))</f>
        <v>45809</v>
      </c>
      <c r="J145" s="29" t="s">
        <v>37</v>
      </c>
      <c r="K145" s="31">
        <v>15.22</v>
      </c>
      <c r="L145" s="29">
        <v>1</v>
      </c>
      <c r="M145" s="31">
        <v>1.52</v>
      </c>
      <c r="N145" s="31">
        <v>1.52</v>
      </c>
      <c r="O145" s="32"/>
      <c r="P145" s="32"/>
      <c r="Q145" s="36">
        <f>N145/K145</f>
        <v>9.9868593955321938E-2</v>
      </c>
      <c r="R145" s="32" t="s">
        <v>507</v>
      </c>
    </row>
    <row r="146" spans="1:18" s="26" customFormat="1" x14ac:dyDescent="0.25">
      <c r="A146" s="29" t="s">
        <v>33</v>
      </c>
      <c r="B146" s="29">
        <v>6634327</v>
      </c>
      <c r="C146" s="29" t="s">
        <v>81</v>
      </c>
      <c r="D146" s="29" t="s">
        <v>74</v>
      </c>
      <c r="E146" s="29" t="str">
        <f>CONCATENATE(D146,1)</f>
        <v>414W229271</v>
      </c>
      <c r="F146" s="30">
        <v>45689</v>
      </c>
      <c r="G146" s="29" t="s">
        <v>50</v>
      </c>
      <c r="H146" s="30">
        <v>45778</v>
      </c>
      <c r="I146" s="30">
        <f>DATE(YEAR(H146), MONTH(H146) +1, DAY(H146))</f>
        <v>45809</v>
      </c>
      <c r="J146" s="29" t="s">
        <v>37</v>
      </c>
      <c r="K146" s="31">
        <v>15.22</v>
      </c>
      <c r="L146" s="29">
        <v>1</v>
      </c>
      <c r="M146" s="31">
        <v>1.52</v>
      </c>
      <c r="N146" s="31">
        <v>1.52</v>
      </c>
      <c r="O146" s="32"/>
      <c r="P146" s="32"/>
      <c r="Q146" s="36">
        <f>N146/K146</f>
        <v>9.9868593955321938E-2</v>
      </c>
      <c r="R146" s="32" t="s">
        <v>507</v>
      </c>
    </row>
    <row r="147" spans="1:18" s="26" customFormat="1" x14ac:dyDescent="0.25">
      <c r="A147" s="23" t="s">
        <v>33</v>
      </c>
      <c r="B147" s="23">
        <v>6634327</v>
      </c>
      <c r="C147" s="23" t="s">
        <v>71</v>
      </c>
      <c r="D147" s="23" t="s">
        <v>72</v>
      </c>
      <c r="E147" s="23" t="str">
        <f>CONCATENATE(D147,1)</f>
        <v>579W237511</v>
      </c>
      <c r="F147" s="24">
        <v>45778</v>
      </c>
      <c r="G147" s="23" t="s">
        <v>50</v>
      </c>
      <c r="H147" s="24">
        <v>45778</v>
      </c>
      <c r="I147" s="24">
        <f>DATE(YEAR(H147), MONTH(H147) +1, DAY(H147))</f>
        <v>45809</v>
      </c>
      <c r="J147" s="23" t="s">
        <v>37</v>
      </c>
      <c r="K147" s="25">
        <v>14.01</v>
      </c>
      <c r="L147" s="23">
        <v>1</v>
      </c>
      <c r="M147" s="25">
        <v>1.4</v>
      </c>
      <c r="N147" s="25">
        <v>1.4</v>
      </c>
      <c r="Q147" s="27">
        <f>N147/K147</f>
        <v>9.9928622412562451E-2</v>
      </c>
      <c r="R147" s="26" t="s">
        <v>507</v>
      </c>
    </row>
    <row r="148" spans="1:18" s="26" customFormat="1" x14ac:dyDescent="0.25">
      <c r="A148" s="23" t="s">
        <v>33</v>
      </c>
      <c r="B148" s="23">
        <v>6634327</v>
      </c>
      <c r="C148" s="23" t="s">
        <v>53</v>
      </c>
      <c r="D148" s="23" t="s">
        <v>54</v>
      </c>
      <c r="E148" s="23" t="str">
        <f>CONCATENATE(D148,1)</f>
        <v>682A774011</v>
      </c>
      <c r="F148" s="24">
        <v>45689</v>
      </c>
      <c r="G148" s="23" t="s">
        <v>50</v>
      </c>
      <c r="H148" s="24">
        <v>45778</v>
      </c>
      <c r="I148" s="24">
        <f>DATE(YEAR(H148), MONTH(H148) +1, DAY(H148))</f>
        <v>45809</v>
      </c>
      <c r="J148" s="23" t="s">
        <v>37</v>
      </c>
      <c r="K148" s="25">
        <v>9.11</v>
      </c>
      <c r="L148" s="23">
        <v>1</v>
      </c>
      <c r="M148" s="25">
        <v>0.91</v>
      </c>
      <c r="N148" s="25">
        <v>0.91</v>
      </c>
      <c r="Q148" s="27">
        <f>N148/K148</f>
        <v>9.9890230515916584E-2</v>
      </c>
      <c r="R148" s="26" t="s">
        <v>507</v>
      </c>
    </row>
    <row r="149" spans="1:18" s="26" customFormat="1" x14ac:dyDescent="0.25">
      <c r="A149" s="23" t="s">
        <v>33</v>
      </c>
      <c r="B149" s="23">
        <v>6634327</v>
      </c>
      <c r="C149" s="23" t="s">
        <v>59</v>
      </c>
      <c r="D149" s="23" t="s">
        <v>60</v>
      </c>
      <c r="E149" s="23" t="str">
        <f>CONCATENATE(D149,1)</f>
        <v>800W227541</v>
      </c>
      <c r="F149" s="24">
        <v>45658</v>
      </c>
      <c r="G149" s="23" t="s">
        <v>50</v>
      </c>
      <c r="H149" s="24">
        <v>45778</v>
      </c>
      <c r="I149" s="24">
        <f>DATE(YEAR(H149), MONTH(H149) +1, DAY(H149))</f>
        <v>45809</v>
      </c>
      <c r="J149" s="23" t="s">
        <v>37</v>
      </c>
      <c r="K149" s="25">
        <v>9.11</v>
      </c>
      <c r="L149" s="23">
        <v>1</v>
      </c>
      <c r="M149" s="25">
        <v>0.91</v>
      </c>
      <c r="N149" s="25">
        <v>0.91</v>
      </c>
      <c r="Q149" s="27">
        <f>N149/K149</f>
        <v>9.9890230515916584E-2</v>
      </c>
      <c r="R149" s="26" t="s">
        <v>507</v>
      </c>
    </row>
    <row r="150" spans="1:18" s="26" customFormat="1" x14ac:dyDescent="0.25">
      <c r="A150" s="23" t="s">
        <v>33</v>
      </c>
      <c r="B150" s="23">
        <v>6634327</v>
      </c>
      <c r="C150" s="23" t="s">
        <v>75</v>
      </c>
      <c r="D150" s="23" t="s">
        <v>76</v>
      </c>
      <c r="E150" s="23" t="str">
        <f>CONCATENATE(D150,1)</f>
        <v>818W084121</v>
      </c>
      <c r="F150" s="24">
        <v>45658</v>
      </c>
      <c r="G150" s="23" t="s">
        <v>50</v>
      </c>
      <c r="H150" s="24">
        <v>45748</v>
      </c>
      <c r="I150" s="24">
        <f>DATE(YEAR(H150), MONTH(H150) +1, DAY(H150))</f>
        <v>45778</v>
      </c>
      <c r="J150" s="23" t="s">
        <v>37</v>
      </c>
      <c r="K150" s="25">
        <v>14.01</v>
      </c>
      <c r="L150" s="23">
        <v>1</v>
      </c>
      <c r="M150" s="25">
        <v>1.4</v>
      </c>
      <c r="N150" s="25">
        <v>1.4</v>
      </c>
      <c r="Q150" s="27">
        <f>N150/K150</f>
        <v>9.9928622412562451E-2</v>
      </c>
      <c r="R150" s="26" t="s">
        <v>507</v>
      </c>
    </row>
    <row r="151" spans="1:18" s="26" customFormat="1" x14ac:dyDescent="0.25">
      <c r="A151" s="23" t="s">
        <v>33</v>
      </c>
      <c r="B151" s="23">
        <v>6634327</v>
      </c>
      <c r="C151" s="23" t="s">
        <v>75</v>
      </c>
      <c r="D151" s="23" t="s">
        <v>76</v>
      </c>
      <c r="E151" s="23" t="str">
        <f>CONCATENATE(D151,1)</f>
        <v>818W084121</v>
      </c>
      <c r="F151" s="24">
        <v>45658</v>
      </c>
      <c r="G151" s="23" t="s">
        <v>50</v>
      </c>
      <c r="H151" s="24">
        <v>45778</v>
      </c>
      <c r="I151" s="24">
        <f>DATE(YEAR(H151), MONTH(H151) +1, DAY(H151))</f>
        <v>45809</v>
      </c>
      <c r="J151" s="23" t="s">
        <v>37</v>
      </c>
      <c r="K151" s="25">
        <v>14.01</v>
      </c>
      <c r="L151" s="23">
        <v>1</v>
      </c>
      <c r="M151" s="25">
        <v>1.4</v>
      </c>
      <c r="N151" s="25">
        <v>1.4</v>
      </c>
      <c r="Q151" s="27">
        <f>N151/K151</f>
        <v>9.9928622412562451E-2</v>
      </c>
      <c r="R151" s="26" t="s">
        <v>507</v>
      </c>
    </row>
    <row r="152" spans="1:18" s="26" customFormat="1" x14ac:dyDescent="0.25">
      <c r="A152" s="23" t="s">
        <v>33</v>
      </c>
      <c r="B152" s="23">
        <v>6634327</v>
      </c>
      <c r="C152" s="23" t="s">
        <v>78</v>
      </c>
      <c r="D152" s="23" t="s">
        <v>76</v>
      </c>
      <c r="E152" s="23" t="str">
        <f>CONCATENATE(D152,1)</f>
        <v>818W084121</v>
      </c>
      <c r="F152" s="24">
        <v>45658</v>
      </c>
      <c r="G152" s="23" t="s">
        <v>50</v>
      </c>
      <c r="H152" s="24">
        <v>45778</v>
      </c>
      <c r="I152" s="24">
        <f>DATE(YEAR(H152), MONTH(H152) +1, DAY(H152))</f>
        <v>45809</v>
      </c>
      <c r="J152" s="23" t="s">
        <v>37</v>
      </c>
      <c r="K152" s="25">
        <v>14.01</v>
      </c>
      <c r="L152" s="23">
        <v>1</v>
      </c>
      <c r="M152" s="25">
        <v>1.4</v>
      </c>
      <c r="N152" s="25">
        <v>1.4</v>
      </c>
      <c r="Q152" s="27">
        <f>N152/K152</f>
        <v>9.9928622412562451E-2</v>
      </c>
      <c r="R152" s="26" t="s">
        <v>507</v>
      </c>
    </row>
    <row r="153" spans="1:18" s="26" customFormat="1" x14ac:dyDescent="0.25">
      <c r="A153" s="23" t="s">
        <v>33</v>
      </c>
      <c r="B153" s="23">
        <v>6634327</v>
      </c>
      <c r="C153" s="23" t="s">
        <v>78</v>
      </c>
      <c r="D153" s="23" t="s">
        <v>76</v>
      </c>
      <c r="E153" s="23" t="str">
        <f>CONCATENATE(D153,1)</f>
        <v>818W084121</v>
      </c>
      <c r="F153" s="24">
        <v>45658</v>
      </c>
      <c r="G153" s="23" t="s">
        <v>50</v>
      </c>
      <c r="H153" s="24">
        <v>45748</v>
      </c>
      <c r="I153" s="24">
        <f>DATE(YEAR(H153), MONTH(H153) +1, DAY(H153))</f>
        <v>45778</v>
      </c>
      <c r="J153" s="23" t="s">
        <v>37</v>
      </c>
      <c r="K153" s="25">
        <v>14.01</v>
      </c>
      <c r="L153" s="23">
        <v>1</v>
      </c>
      <c r="M153" s="25">
        <v>1.4</v>
      </c>
      <c r="N153" s="25">
        <v>1.4</v>
      </c>
      <c r="Q153" s="27">
        <f>N153/K153</f>
        <v>9.9928622412562451E-2</v>
      </c>
      <c r="R153" s="26" t="s">
        <v>507</v>
      </c>
    </row>
    <row r="154" spans="1:18" s="26" customFormat="1" x14ac:dyDescent="0.25">
      <c r="A154" s="23" t="s">
        <v>33</v>
      </c>
      <c r="B154" s="23">
        <v>6634327</v>
      </c>
      <c r="C154" s="23" t="s">
        <v>55</v>
      </c>
      <c r="D154" s="23" t="s">
        <v>56</v>
      </c>
      <c r="E154" s="23" t="str">
        <f>CONCATENATE(D154,1)</f>
        <v>864W081411</v>
      </c>
      <c r="F154" s="24">
        <v>45658</v>
      </c>
      <c r="G154" s="23" t="s">
        <v>50</v>
      </c>
      <c r="H154" s="24">
        <v>45778</v>
      </c>
      <c r="I154" s="24">
        <f>DATE(YEAR(H154), MONTH(H154) +1, DAY(H154))</f>
        <v>45809</v>
      </c>
      <c r="J154" s="23" t="s">
        <v>37</v>
      </c>
      <c r="K154" s="25">
        <v>9.11</v>
      </c>
      <c r="L154" s="23">
        <v>1</v>
      </c>
      <c r="M154" s="25">
        <v>0.91</v>
      </c>
      <c r="N154" s="25">
        <v>0.91</v>
      </c>
      <c r="Q154" s="27">
        <f>N154/K154</f>
        <v>9.9890230515916584E-2</v>
      </c>
      <c r="R154" s="26" t="s">
        <v>507</v>
      </c>
    </row>
    <row r="155" spans="1:18" s="26" customFormat="1" x14ac:dyDescent="0.25">
      <c r="A155" s="23" t="s">
        <v>33</v>
      </c>
      <c r="B155" s="23">
        <v>6634327</v>
      </c>
      <c r="C155" s="23" t="s">
        <v>61</v>
      </c>
      <c r="D155" s="23" t="s">
        <v>506</v>
      </c>
      <c r="E155" s="23" t="str">
        <f>CONCATENATE(D155,1)</f>
        <v>864WA081411</v>
      </c>
      <c r="F155" s="24">
        <v>45658</v>
      </c>
      <c r="G155" s="23" t="s">
        <v>50</v>
      </c>
      <c r="H155" s="24">
        <v>45778</v>
      </c>
      <c r="I155" s="24">
        <f>DATE(YEAR(H155), MONTH(H155) +1, DAY(H155))</f>
        <v>45809</v>
      </c>
      <c r="J155" s="23" t="s">
        <v>37</v>
      </c>
      <c r="K155" s="25">
        <v>9.11</v>
      </c>
      <c r="L155" s="23">
        <v>1</v>
      </c>
      <c r="M155" s="25">
        <v>0.91</v>
      </c>
      <c r="N155" s="25">
        <v>0.91</v>
      </c>
      <c r="Q155" s="27">
        <f>N155/K155</f>
        <v>9.9890230515916584E-2</v>
      </c>
      <c r="R155" s="26" t="s">
        <v>507</v>
      </c>
    </row>
    <row r="156" spans="1:18" s="26" customFormat="1" x14ac:dyDescent="0.25">
      <c r="A156" s="23" t="s">
        <v>33</v>
      </c>
      <c r="B156" s="23">
        <v>6634327</v>
      </c>
      <c r="C156" s="23" t="s">
        <v>82</v>
      </c>
      <c r="D156" s="23" t="s">
        <v>506</v>
      </c>
      <c r="E156" s="23" t="str">
        <f>CONCATENATE(D156,1)</f>
        <v>864WA081411</v>
      </c>
      <c r="F156" s="24">
        <v>45658</v>
      </c>
      <c r="G156" s="23" t="s">
        <v>50</v>
      </c>
      <c r="H156" s="24">
        <v>45778</v>
      </c>
      <c r="I156" s="24">
        <f>DATE(YEAR(H156), MONTH(H156) +1, DAY(H156))</f>
        <v>45809</v>
      </c>
      <c r="J156" s="23" t="s">
        <v>37</v>
      </c>
      <c r="K156" s="25">
        <v>15.22</v>
      </c>
      <c r="L156" s="23">
        <v>1</v>
      </c>
      <c r="M156" s="25">
        <v>1.52</v>
      </c>
      <c r="N156" s="25">
        <v>1.52</v>
      </c>
      <c r="Q156" s="27">
        <f>N156/K156</f>
        <v>9.9868593955321938E-2</v>
      </c>
      <c r="R156" s="26" t="s">
        <v>507</v>
      </c>
    </row>
    <row r="157" spans="1:18" s="26" customFormat="1" x14ac:dyDescent="0.25">
      <c r="A157" s="23" t="s">
        <v>33</v>
      </c>
      <c r="B157" s="23">
        <v>6634327</v>
      </c>
      <c r="C157" s="23" t="s">
        <v>83</v>
      </c>
      <c r="D157" s="23" t="s">
        <v>506</v>
      </c>
      <c r="E157" s="23" t="str">
        <f>CONCATENATE(D157,1)</f>
        <v>864WA081411</v>
      </c>
      <c r="F157" s="24">
        <v>45658</v>
      </c>
      <c r="G157" s="23" t="s">
        <v>50</v>
      </c>
      <c r="H157" s="24">
        <v>45778</v>
      </c>
      <c r="I157" s="24">
        <f>DATE(YEAR(H157), MONTH(H157) +1, DAY(H157))</f>
        <v>45809</v>
      </c>
      <c r="J157" s="23" t="s">
        <v>37</v>
      </c>
      <c r="K157" s="25">
        <v>15.22</v>
      </c>
      <c r="L157" s="23">
        <v>1</v>
      </c>
      <c r="M157" s="25">
        <v>1.52</v>
      </c>
      <c r="N157" s="25">
        <v>1.52</v>
      </c>
      <c r="Q157" s="27">
        <f>N157/K157</f>
        <v>9.9868593955321938E-2</v>
      </c>
      <c r="R157" s="26" t="s">
        <v>507</v>
      </c>
    </row>
    <row r="158" spans="1:18" s="26" customFormat="1" x14ac:dyDescent="0.25">
      <c r="A158" s="23" t="s">
        <v>33</v>
      </c>
      <c r="B158" s="23">
        <v>6634327</v>
      </c>
      <c r="C158" s="23" t="s">
        <v>51</v>
      </c>
      <c r="D158" s="23" t="s">
        <v>52</v>
      </c>
      <c r="E158" s="23" t="str">
        <f>CONCATENATE(D158,1)</f>
        <v>962M946461</v>
      </c>
      <c r="F158" s="24">
        <v>45658</v>
      </c>
      <c r="G158" s="23" t="s">
        <v>50</v>
      </c>
      <c r="H158" s="24">
        <v>45778</v>
      </c>
      <c r="I158" s="24">
        <f>DATE(YEAR(H158), MONTH(H158) +1, DAY(H158))</f>
        <v>45809</v>
      </c>
      <c r="J158" s="23" t="s">
        <v>37</v>
      </c>
      <c r="K158" s="25">
        <v>9.11</v>
      </c>
      <c r="L158" s="23">
        <v>1</v>
      </c>
      <c r="M158" s="25">
        <v>0.91</v>
      </c>
      <c r="N158" s="25">
        <v>0.91</v>
      </c>
      <c r="Q158" s="27">
        <f>N158/K158</f>
        <v>9.9890230515916584E-2</v>
      </c>
      <c r="R158" s="26" t="s">
        <v>507</v>
      </c>
    </row>
    <row r="159" spans="1:18" s="26" customFormat="1" x14ac:dyDescent="0.25">
      <c r="A159" s="23" t="s">
        <v>27</v>
      </c>
      <c r="B159" s="23">
        <v>8977234</v>
      </c>
      <c r="C159" s="23" t="s">
        <v>384</v>
      </c>
      <c r="D159" s="23" t="s">
        <v>385</v>
      </c>
      <c r="E159" s="23" t="s">
        <v>385</v>
      </c>
      <c r="F159" s="24">
        <v>45658</v>
      </c>
      <c r="G159" s="23" t="s">
        <v>14</v>
      </c>
      <c r="H159" s="24">
        <v>45778</v>
      </c>
      <c r="I159" s="24">
        <f>DATE(YEAR(H159), MONTH(H159) +1, DAY(H159))</f>
        <v>45809</v>
      </c>
      <c r="J159" s="23" t="s">
        <v>358</v>
      </c>
      <c r="K159" s="23">
        <v>1</v>
      </c>
      <c r="L159" s="23">
        <v>1</v>
      </c>
      <c r="M159" s="25">
        <v>20</v>
      </c>
      <c r="N159" s="25">
        <v>20</v>
      </c>
      <c r="R159" s="33" t="s">
        <v>510</v>
      </c>
    </row>
    <row r="160" spans="1:18" s="26" customFormat="1" x14ac:dyDescent="0.25">
      <c r="A160" s="23" t="s">
        <v>27</v>
      </c>
      <c r="B160" s="23">
        <v>8977234</v>
      </c>
      <c r="C160" s="23" t="s">
        <v>379</v>
      </c>
      <c r="D160" s="23" t="s">
        <v>380</v>
      </c>
      <c r="E160" s="23" t="s">
        <v>380</v>
      </c>
      <c r="F160" s="24">
        <v>45658</v>
      </c>
      <c r="G160" s="23" t="s">
        <v>14</v>
      </c>
      <c r="H160" s="24">
        <v>45778</v>
      </c>
      <c r="I160" s="24">
        <f>DATE(YEAR(H160), MONTH(H160) +1, DAY(H160))</f>
        <v>45809</v>
      </c>
      <c r="J160" s="23" t="s">
        <v>358</v>
      </c>
      <c r="K160" s="23">
        <v>1</v>
      </c>
      <c r="L160" s="23">
        <v>1</v>
      </c>
      <c r="M160" s="25">
        <v>20</v>
      </c>
      <c r="N160" s="26">
        <v>80</v>
      </c>
      <c r="O160" s="26" t="s">
        <v>495</v>
      </c>
      <c r="R160" s="33" t="s">
        <v>510</v>
      </c>
    </row>
    <row r="161" spans="1:18" s="26" customFormat="1" x14ac:dyDescent="0.25">
      <c r="A161" s="23" t="s">
        <v>27</v>
      </c>
      <c r="B161" s="23">
        <v>8977234</v>
      </c>
      <c r="C161" s="23" t="s">
        <v>394</v>
      </c>
      <c r="D161" s="23" t="s">
        <v>395</v>
      </c>
      <c r="E161" s="23" t="s">
        <v>395</v>
      </c>
      <c r="F161" s="24">
        <v>45658</v>
      </c>
      <c r="G161" s="23" t="s">
        <v>14</v>
      </c>
      <c r="H161" s="24">
        <v>45778</v>
      </c>
      <c r="I161" s="24">
        <f>DATE(YEAR(H161), MONTH(H161) +1, DAY(H161))</f>
        <v>45809</v>
      </c>
      <c r="J161" s="23" t="s">
        <v>70</v>
      </c>
      <c r="K161" s="23">
        <v>1</v>
      </c>
      <c r="L161" s="23">
        <v>1</v>
      </c>
      <c r="M161" s="25">
        <v>20</v>
      </c>
      <c r="N161" s="26">
        <v>40</v>
      </c>
      <c r="O161" s="26" t="s">
        <v>494</v>
      </c>
      <c r="R161" s="33" t="s">
        <v>510</v>
      </c>
    </row>
    <row r="162" spans="1:18" s="26" customFormat="1" x14ac:dyDescent="0.25">
      <c r="A162" s="23" t="s">
        <v>27</v>
      </c>
      <c r="B162" s="23">
        <v>8977234</v>
      </c>
      <c r="C162" s="23" t="s">
        <v>388</v>
      </c>
      <c r="D162" s="23" t="s">
        <v>389</v>
      </c>
      <c r="E162" s="23" t="s">
        <v>389</v>
      </c>
      <c r="F162" s="24">
        <v>45658</v>
      </c>
      <c r="G162" s="23" t="s">
        <v>14</v>
      </c>
      <c r="H162" s="24">
        <v>45778</v>
      </c>
      <c r="I162" s="24">
        <f>DATE(YEAR(H162), MONTH(H162) +1, DAY(H162))</f>
        <v>45809</v>
      </c>
      <c r="J162" s="23" t="s">
        <v>70</v>
      </c>
      <c r="K162" s="23">
        <v>1</v>
      </c>
      <c r="L162" s="23">
        <v>1</v>
      </c>
      <c r="M162" s="25">
        <v>20</v>
      </c>
      <c r="N162" s="25">
        <v>20</v>
      </c>
      <c r="R162" s="33" t="s">
        <v>510</v>
      </c>
    </row>
    <row r="163" spans="1:18" s="26" customFormat="1" x14ac:dyDescent="0.25">
      <c r="A163" s="23" t="s">
        <v>27</v>
      </c>
      <c r="B163" s="23">
        <v>8977234</v>
      </c>
      <c r="C163" s="23" t="s">
        <v>68</v>
      </c>
      <c r="D163" s="23" t="s">
        <v>69</v>
      </c>
      <c r="E163" s="23" t="s">
        <v>69</v>
      </c>
      <c r="F163" s="24">
        <v>45658</v>
      </c>
      <c r="G163" s="23" t="s">
        <v>14</v>
      </c>
      <c r="H163" s="24">
        <v>45778</v>
      </c>
      <c r="I163" s="24">
        <f>DATE(YEAR(H163), MONTH(H163) +1, DAY(H163))</f>
        <v>45809</v>
      </c>
      <c r="J163" s="23" t="s">
        <v>70</v>
      </c>
      <c r="K163" s="23">
        <v>1</v>
      </c>
      <c r="L163" s="23">
        <v>1</v>
      </c>
      <c r="M163" s="25">
        <v>20</v>
      </c>
      <c r="N163" s="25">
        <v>20</v>
      </c>
      <c r="R163" s="33" t="s">
        <v>510</v>
      </c>
    </row>
    <row r="164" spans="1:18" s="26" customFormat="1" x14ac:dyDescent="0.25">
      <c r="A164" s="23" t="s">
        <v>27</v>
      </c>
      <c r="B164" s="23">
        <v>8977234</v>
      </c>
      <c r="C164" s="23" t="s">
        <v>386</v>
      </c>
      <c r="D164" s="23" t="s">
        <v>387</v>
      </c>
      <c r="E164" s="23" t="s">
        <v>387</v>
      </c>
      <c r="F164" s="24">
        <v>45658</v>
      </c>
      <c r="G164" s="23" t="s">
        <v>14</v>
      </c>
      <c r="H164" s="24">
        <v>45778</v>
      </c>
      <c r="I164" s="24">
        <f>DATE(YEAR(H164), MONTH(H164) +1, DAY(H164))</f>
        <v>45809</v>
      </c>
      <c r="J164" s="23" t="s">
        <v>70</v>
      </c>
      <c r="K164" s="23">
        <v>1</v>
      </c>
      <c r="L164" s="23">
        <v>1</v>
      </c>
      <c r="M164" s="25">
        <v>20</v>
      </c>
      <c r="N164" s="25">
        <v>20</v>
      </c>
      <c r="R164" s="33" t="s">
        <v>510</v>
      </c>
    </row>
    <row r="165" spans="1:18" s="26" customFormat="1" x14ac:dyDescent="0.25">
      <c r="A165" s="23" t="s">
        <v>27</v>
      </c>
      <c r="B165" s="23">
        <v>8977234</v>
      </c>
      <c r="C165" s="23" t="s">
        <v>392</v>
      </c>
      <c r="D165" s="23" t="s">
        <v>393</v>
      </c>
      <c r="E165" s="23" t="s">
        <v>393</v>
      </c>
      <c r="F165" s="24">
        <v>45658</v>
      </c>
      <c r="G165" s="23" t="s">
        <v>14</v>
      </c>
      <c r="H165" s="24">
        <v>45778</v>
      </c>
      <c r="I165" s="24">
        <f>DATE(YEAR(H165), MONTH(H165) +1, DAY(H165))</f>
        <v>45809</v>
      </c>
      <c r="J165" s="23" t="s">
        <v>70</v>
      </c>
      <c r="K165" s="23">
        <v>1</v>
      </c>
      <c r="L165" s="23">
        <v>1</v>
      </c>
      <c r="M165" s="25">
        <v>20</v>
      </c>
      <c r="N165" s="25">
        <v>20</v>
      </c>
      <c r="R165" s="33" t="s">
        <v>510</v>
      </c>
    </row>
    <row r="166" spans="1:18" s="26" customFormat="1" x14ac:dyDescent="0.25">
      <c r="A166" s="23" t="s">
        <v>27</v>
      </c>
      <c r="B166" s="23">
        <v>8977234</v>
      </c>
      <c r="C166" s="23" t="s">
        <v>390</v>
      </c>
      <c r="D166" s="23" t="s">
        <v>391</v>
      </c>
      <c r="E166" s="23" t="s">
        <v>391</v>
      </c>
      <c r="F166" s="24">
        <v>45658</v>
      </c>
      <c r="G166" s="23" t="s">
        <v>14</v>
      </c>
      <c r="H166" s="24">
        <v>45778</v>
      </c>
      <c r="I166" s="24">
        <f>DATE(YEAR(H166), MONTH(H166) +1, DAY(H166))</f>
        <v>45809</v>
      </c>
      <c r="J166" s="23" t="s">
        <v>70</v>
      </c>
      <c r="K166" s="23">
        <v>1</v>
      </c>
      <c r="L166" s="23">
        <v>1</v>
      </c>
      <c r="M166" s="25">
        <v>20</v>
      </c>
      <c r="N166" s="25">
        <v>20</v>
      </c>
      <c r="R166" s="33" t="s">
        <v>510</v>
      </c>
    </row>
    <row r="167" spans="1:18" s="26" customFormat="1" x14ac:dyDescent="0.25">
      <c r="A167" s="23" t="s">
        <v>27</v>
      </c>
      <c r="B167" s="23">
        <v>8977234</v>
      </c>
      <c r="C167" s="23" t="s">
        <v>397</v>
      </c>
      <c r="D167" s="23" t="s">
        <v>398</v>
      </c>
      <c r="E167" s="23" t="s">
        <v>398</v>
      </c>
      <c r="F167" s="24">
        <v>45748</v>
      </c>
      <c r="G167" s="23" t="s">
        <v>14</v>
      </c>
      <c r="H167" s="24">
        <v>45778</v>
      </c>
      <c r="I167" s="24">
        <f>DATE(YEAR(H167), MONTH(H167) +1, DAY(H167))</f>
        <v>45809</v>
      </c>
      <c r="J167" s="23" t="s">
        <v>70</v>
      </c>
      <c r="K167" s="23">
        <v>1</v>
      </c>
      <c r="L167" s="23">
        <v>1</v>
      </c>
      <c r="M167" s="25">
        <v>20</v>
      </c>
      <c r="N167" s="26">
        <v>40</v>
      </c>
      <c r="O167" s="26" t="s">
        <v>494</v>
      </c>
      <c r="R167" s="33" t="s">
        <v>510</v>
      </c>
    </row>
    <row r="168" spans="1:18" s="26" customFormat="1" x14ac:dyDescent="0.25">
      <c r="A168" s="23" t="s">
        <v>27</v>
      </c>
      <c r="B168" s="23">
        <v>8977234</v>
      </c>
      <c r="C168" s="23" t="s">
        <v>411</v>
      </c>
      <c r="D168" s="23" t="s">
        <v>412</v>
      </c>
      <c r="E168" s="23" t="s">
        <v>412</v>
      </c>
      <c r="F168" s="24">
        <v>45658</v>
      </c>
      <c r="G168" s="23" t="s">
        <v>14</v>
      </c>
      <c r="H168" s="24">
        <v>45778</v>
      </c>
      <c r="I168" s="24">
        <f>DATE(YEAR(H168), MONTH(H168) +1, DAY(H168))</f>
        <v>45809</v>
      </c>
      <c r="J168" s="23" t="s">
        <v>31</v>
      </c>
      <c r="K168" s="23">
        <v>1</v>
      </c>
      <c r="L168" s="23">
        <v>1</v>
      </c>
      <c r="M168" s="25">
        <v>20</v>
      </c>
      <c r="N168" s="25">
        <v>20</v>
      </c>
      <c r="R168" s="33" t="s">
        <v>510</v>
      </c>
    </row>
    <row r="169" spans="1:18" s="26" customFormat="1" x14ac:dyDescent="0.25">
      <c r="A169" s="23" t="s">
        <v>27</v>
      </c>
      <c r="B169" s="23">
        <v>8977234</v>
      </c>
      <c r="C169" s="23" t="s">
        <v>29</v>
      </c>
      <c r="D169" s="23" t="s">
        <v>30</v>
      </c>
      <c r="E169" s="23" t="s">
        <v>30</v>
      </c>
      <c r="F169" s="24">
        <v>45658</v>
      </c>
      <c r="G169" s="23" t="s">
        <v>14</v>
      </c>
      <c r="H169" s="24">
        <v>45748</v>
      </c>
      <c r="I169" s="24">
        <f>DATE(YEAR(H169), MONTH(H169) +1, DAY(H169))</f>
        <v>45778</v>
      </c>
      <c r="J169" s="23" t="s">
        <v>31</v>
      </c>
      <c r="K169" s="23">
        <v>-1</v>
      </c>
      <c r="L169" s="23" t="s">
        <v>32</v>
      </c>
      <c r="M169" s="25">
        <v>-20</v>
      </c>
      <c r="N169" s="25">
        <v>-20</v>
      </c>
      <c r="R169" s="33" t="s">
        <v>510</v>
      </c>
    </row>
    <row r="170" spans="1:18" s="26" customFormat="1" x14ac:dyDescent="0.25">
      <c r="A170" s="23" t="s">
        <v>27</v>
      </c>
      <c r="B170" s="23">
        <v>8977234</v>
      </c>
      <c r="C170" s="23" t="s">
        <v>29</v>
      </c>
      <c r="D170" s="23" t="s">
        <v>30</v>
      </c>
      <c r="E170" s="23" t="s">
        <v>30</v>
      </c>
      <c r="F170" s="24">
        <v>45658</v>
      </c>
      <c r="G170" s="23" t="s">
        <v>14</v>
      </c>
      <c r="H170" s="24">
        <v>45778</v>
      </c>
      <c r="I170" s="24">
        <f>DATE(YEAR(H170), MONTH(H170) +1, DAY(H170))</f>
        <v>45809</v>
      </c>
      <c r="J170" s="23" t="s">
        <v>31</v>
      </c>
      <c r="K170" s="23">
        <v>1</v>
      </c>
      <c r="L170" s="23">
        <v>1</v>
      </c>
      <c r="M170" s="25">
        <v>20</v>
      </c>
      <c r="N170" s="25">
        <v>20</v>
      </c>
      <c r="R170" s="33" t="s">
        <v>510</v>
      </c>
    </row>
    <row r="171" spans="1:18" s="26" customFormat="1" x14ac:dyDescent="0.25">
      <c r="A171" s="23" t="s">
        <v>27</v>
      </c>
      <c r="B171" s="23">
        <v>8977234</v>
      </c>
      <c r="C171" s="23" t="s">
        <v>402</v>
      </c>
      <c r="D171" s="23" t="s">
        <v>403</v>
      </c>
      <c r="E171" s="23" t="s">
        <v>403</v>
      </c>
      <c r="F171" s="24">
        <v>45627</v>
      </c>
      <c r="G171" s="23" t="s">
        <v>14</v>
      </c>
      <c r="H171" s="24">
        <v>45778</v>
      </c>
      <c r="I171" s="24">
        <f>DATE(YEAR(H171), MONTH(H171) +1, DAY(H171))</f>
        <v>45809</v>
      </c>
      <c r="J171" s="23" t="s">
        <v>31</v>
      </c>
      <c r="K171" s="23">
        <v>1</v>
      </c>
      <c r="L171" s="23">
        <v>1</v>
      </c>
      <c r="M171" s="25">
        <v>20</v>
      </c>
      <c r="N171" s="25">
        <v>20</v>
      </c>
      <c r="R171" s="33" t="s">
        <v>510</v>
      </c>
    </row>
    <row r="172" spans="1:18" s="26" customFormat="1" x14ac:dyDescent="0.25">
      <c r="A172" s="23" t="s">
        <v>27</v>
      </c>
      <c r="B172" s="23">
        <v>8977234</v>
      </c>
      <c r="C172" s="23" t="s">
        <v>419</v>
      </c>
      <c r="D172" s="23" t="s">
        <v>420</v>
      </c>
      <c r="E172" s="23" t="s">
        <v>420</v>
      </c>
      <c r="F172" s="24">
        <v>45658</v>
      </c>
      <c r="G172" s="23" t="s">
        <v>14</v>
      </c>
      <c r="H172" s="24">
        <v>45778</v>
      </c>
      <c r="I172" s="24">
        <f>DATE(YEAR(H172), MONTH(H172) +1, DAY(H172))</f>
        <v>45809</v>
      </c>
      <c r="J172" s="23" t="s">
        <v>31</v>
      </c>
      <c r="K172" s="23">
        <v>1</v>
      </c>
      <c r="L172" s="23">
        <v>1</v>
      </c>
      <c r="M172" s="25">
        <v>20</v>
      </c>
      <c r="N172" s="25">
        <v>20</v>
      </c>
      <c r="R172" s="33" t="s">
        <v>510</v>
      </c>
    </row>
    <row r="173" spans="1:18" s="26" customFormat="1" x14ac:dyDescent="0.25">
      <c r="A173" s="23" t="s">
        <v>27</v>
      </c>
      <c r="B173" s="23">
        <v>8977234</v>
      </c>
      <c r="C173" s="23" t="s">
        <v>400</v>
      </c>
      <c r="D173" s="23" t="s">
        <v>401</v>
      </c>
      <c r="E173" s="23" t="s">
        <v>401</v>
      </c>
      <c r="F173" s="24">
        <v>45658</v>
      </c>
      <c r="G173" s="23" t="s">
        <v>14</v>
      </c>
      <c r="H173" s="24">
        <v>45778</v>
      </c>
      <c r="I173" s="24">
        <f>DATE(YEAR(H173), MONTH(H173) +1, DAY(H173))</f>
        <v>45809</v>
      </c>
      <c r="J173" s="23" t="s">
        <v>31</v>
      </c>
      <c r="K173" s="23">
        <v>1</v>
      </c>
      <c r="L173" s="23">
        <v>1</v>
      </c>
      <c r="M173" s="25">
        <v>20</v>
      </c>
      <c r="N173" s="25">
        <v>20</v>
      </c>
      <c r="R173" s="33" t="s">
        <v>510</v>
      </c>
    </row>
    <row r="174" spans="1:18" s="26" customFormat="1" x14ac:dyDescent="0.25">
      <c r="A174" s="23" t="s">
        <v>27</v>
      </c>
      <c r="B174" s="23">
        <v>8977234</v>
      </c>
      <c r="C174" s="23" t="s">
        <v>417</v>
      </c>
      <c r="D174" s="23" t="s">
        <v>418</v>
      </c>
      <c r="E174" s="23" t="s">
        <v>418</v>
      </c>
      <c r="F174" s="24">
        <v>45658</v>
      </c>
      <c r="G174" s="23" t="s">
        <v>14</v>
      </c>
      <c r="H174" s="24">
        <v>45778</v>
      </c>
      <c r="I174" s="24">
        <f>DATE(YEAR(H174), MONTH(H174) +1, DAY(H174))</f>
        <v>45809</v>
      </c>
      <c r="J174" s="23" t="s">
        <v>31</v>
      </c>
      <c r="K174" s="23">
        <v>1</v>
      </c>
      <c r="L174" s="23">
        <v>1</v>
      </c>
      <c r="M174" s="25">
        <v>20</v>
      </c>
      <c r="N174" s="25">
        <v>20</v>
      </c>
      <c r="R174" s="33" t="s">
        <v>510</v>
      </c>
    </row>
    <row r="175" spans="1:18" s="26" customFormat="1" x14ac:dyDescent="0.25">
      <c r="A175" s="23" t="s">
        <v>27</v>
      </c>
      <c r="B175" s="23">
        <v>8977234</v>
      </c>
      <c r="C175" s="23" t="s">
        <v>414</v>
      </c>
      <c r="D175" s="23" t="s">
        <v>415</v>
      </c>
      <c r="E175" s="23" t="s">
        <v>415</v>
      </c>
      <c r="F175" s="24">
        <v>45658</v>
      </c>
      <c r="G175" s="23" t="s">
        <v>14</v>
      </c>
      <c r="H175" s="24">
        <v>45778</v>
      </c>
      <c r="I175" s="24">
        <f>DATE(YEAR(H175), MONTH(H175) +1, DAY(H175))</f>
        <v>45809</v>
      </c>
      <c r="J175" s="23" t="s">
        <v>31</v>
      </c>
      <c r="K175" s="23">
        <v>1</v>
      </c>
      <c r="L175" s="23">
        <v>1</v>
      </c>
      <c r="M175" s="25">
        <v>20</v>
      </c>
      <c r="N175" s="26">
        <v>40</v>
      </c>
      <c r="O175" s="26" t="s">
        <v>494</v>
      </c>
      <c r="R175" s="33" t="s">
        <v>510</v>
      </c>
    </row>
    <row r="176" spans="1:18" s="26" customFormat="1" x14ac:dyDescent="0.25">
      <c r="A176" s="23" t="s">
        <v>27</v>
      </c>
      <c r="B176" s="23">
        <v>8977234</v>
      </c>
      <c r="C176" s="23" t="s">
        <v>404</v>
      </c>
      <c r="D176" s="23" t="s">
        <v>405</v>
      </c>
      <c r="E176" s="23" t="s">
        <v>405</v>
      </c>
      <c r="F176" s="24">
        <v>45658</v>
      </c>
      <c r="G176" s="23" t="s">
        <v>14</v>
      </c>
      <c r="H176" s="24">
        <v>45778</v>
      </c>
      <c r="I176" s="24">
        <f>DATE(YEAR(H176), MONTH(H176) +1, DAY(H176))</f>
        <v>45809</v>
      </c>
      <c r="J176" s="23" t="s">
        <v>31</v>
      </c>
      <c r="K176" s="23">
        <v>1</v>
      </c>
      <c r="L176" s="23">
        <v>1</v>
      </c>
      <c r="M176" s="25">
        <v>20</v>
      </c>
      <c r="N176" s="26">
        <v>40</v>
      </c>
      <c r="O176" s="26" t="s">
        <v>494</v>
      </c>
      <c r="R176" s="33" t="s">
        <v>510</v>
      </c>
    </row>
    <row r="177" spans="1:18" s="26" customFormat="1" x14ac:dyDescent="0.25">
      <c r="A177" s="23" t="s">
        <v>27</v>
      </c>
      <c r="B177" s="23">
        <v>8977234</v>
      </c>
      <c r="C177" s="23" t="s">
        <v>409</v>
      </c>
      <c r="D177" s="23" t="s">
        <v>410</v>
      </c>
      <c r="E177" s="23" t="s">
        <v>410</v>
      </c>
      <c r="F177" s="24">
        <v>45658</v>
      </c>
      <c r="G177" s="23" t="s">
        <v>14</v>
      </c>
      <c r="H177" s="24">
        <v>45778</v>
      </c>
      <c r="I177" s="24">
        <f>DATE(YEAR(H177), MONTH(H177) +1, DAY(H177))</f>
        <v>45809</v>
      </c>
      <c r="J177" s="23" t="s">
        <v>31</v>
      </c>
      <c r="K177" s="23">
        <v>1</v>
      </c>
      <c r="L177" s="23">
        <v>1</v>
      </c>
      <c r="M177" s="25">
        <v>20</v>
      </c>
      <c r="N177" s="25">
        <v>20</v>
      </c>
      <c r="R177" s="33" t="s">
        <v>510</v>
      </c>
    </row>
    <row r="178" spans="1:18" s="26" customFormat="1" x14ac:dyDescent="0.25">
      <c r="A178" s="23" t="s">
        <v>27</v>
      </c>
      <c r="B178" s="23">
        <v>8977234</v>
      </c>
      <c r="C178" s="23" t="s">
        <v>406</v>
      </c>
      <c r="D178" s="23" t="s">
        <v>407</v>
      </c>
      <c r="E178" s="23" t="s">
        <v>407</v>
      </c>
      <c r="F178" s="24">
        <v>45658</v>
      </c>
      <c r="G178" s="23" t="s">
        <v>14</v>
      </c>
      <c r="H178" s="24">
        <v>45778</v>
      </c>
      <c r="I178" s="24">
        <f>DATE(YEAR(H178), MONTH(H178) +1, DAY(H178))</f>
        <v>45809</v>
      </c>
      <c r="J178" s="23" t="s">
        <v>31</v>
      </c>
      <c r="K178" s="23">
        <v>1</v>
      </c>
      <c r="L178" s="23">
        <v>1</v>
      </c>
      <c r="M178" s="25">
        <v>20</v>
      </c>
      <c r="N178" s="26">
        <v>40</v>
      </c>
      <c r="O178" s="26" t="s">
        <v>494</v>
      </c>
      <c r="R178" s="33" t="s">
        <v>510</v>
      </c>
    </row>
    <row r="179" spans="1:18" s="26" customFormat="1" x14ac:dyDescent="0.25">
      <c r="A179" s="23" t="s">
        <v>373</v>
      </c>
      <c r="B179" s="23">
        <v>17425766</v>
      </c>
      <c r="C179" s="23" t="s">
        <v>377</v>
      </c>
      <c r="D179" s="23" t="s">
        <v>378</v>
      </c>
      <c r="E179" s="23" t="s">
        <v>378</v>
      </c>
      <c r="F179" s="24">
        <v>45689</v>
      </c>
      <c r="G179" s="23" t="s">
        <v>14</v>
      </c>
      <c r="H179" s="24">
        <v>45778</v>
      </c>
      <c r="I179" s="24">
        <f>DATE(YEAR(H179), MONTH(H179) +1, DAY(H179))</f>
        <v>45809</v>
      </c>
      <c r="J179" s="23" t="s">
        <v>358</v>
      </c>
      <c r="K179" s="23">
        <v>1</v>
      </c>
      <c r="L179" s="23">
        <v>1</v>
      </c>
      <c r="M179" s="25">
        <v>20</v>
      </c>
      <c r="N179" s="25">
        <v>20</v>
      </c>
      <c r="R179" s="33" t="s">
        <v>510</v>
      </c>
    </row>
    <row r="180" spans="1:18" s="26" customFormat="1" x14ac:dyDescent="0.25">
      <c r="A180" s="23" t="s">
        <v>373</v>
      </c>
      <c r="B180" s="23">
        <v>17425766</v>
      </c>
      <c r="C180" s="23" t="s">
        <v>375</v>
      </c>
      <c r="D180" s="23" t="s">
        <v>376</v>
      </c>
      <c r="E180" s="23" t="s">
        <v>376</v>
      </c>
      <c r="F180" s="24">
        <v>45658</v>
      </c>
      <c r="G180" s="23" t="s">
        <v>14</v>
      </c>
      <c r="H180" s="24">
        <v>45717</v>
      </c>
      <c r="I180" s="24">
        <f>DATE(YEAR(H180), MONTH(H180) +1, DAY(H180))</f>
        <v>45748</v>
      </c>
      <c r="J180" s="23" t="s">
        <v>358</v>
      </c>
      <c r="K180" s="23">
        <v>1</v>
      </c>
      <c r="L180" s="23">
        <v>1</v>
      </c>
      <c r="M180" s="25">
        <v>20</v>
      </c>
      <c r="N180" s="25">
        <v>20</v>
      </c>
      <c r="R180" s="33" t="s">
        <v>510</v>
      </c>
    </row>
    <row r="181" spans="1:18" s="26" customFormat="1" x14ac:dyDescent="0.25">
      <c r="A181" s="23" t="s">
        <v>373</v>
      </c>
      <c r="B181" s="23">
        <v>17425766</v>
      </c>
      <c r="C181" s="23" t="s">
        <v>375</v>
      </c>
      <c r="D181" s="23" t="s">
        <v>376</v>
      </c>
      <c r="E181" s="23" t="s">
        <v>376</v>
      </c>
      <c r="F181" s="24">
        <v>45658</v>
      </c>
      <c r="G181" s="23" t="s">
        <v>14</v>
      </c>
      <c r="H181" s="24">
        <v>45778</v>
      </c>
      <c r="I181" s="24">
        <f>DATE(YEAR(H181), MONTH(H181) +1, DAY(H181))</f>
        <v>45809</v>
      </c>
      <c r="J181" s="23" t="s">
        <v>358</v>
      </c>
      <c r="K181" s="23">
        <v>1</v>
      </c>
      <c r="L181" s="23">
        <v>1</v>
      </c>
      <c r="M181" s="25">
        <v>20</v>
      </c>
      <c r="N181" s="25">
        <v>20</v>
      </c>
      <c r="R181" s="33" t="s">
        <v>510</v>
      </c>
    </row>
    <row r="182" spans="1:18" s="26" customFormat="1" x14ac:dyDescent="0.25">
      <c r="A182" s="23" t="s">
        <v>373</v>
      </c>
      <c r="B182" s="23">
        <v>17425766</v>
      </c>
      <c r="C182" s="23" t="s">
        <v>375</v>
      </c>
      <c r="D182" s="23" t="s">
        <v>376</v>
      </c>
      <c r="E182" s="23" t="s">
        <v>376</v>
      </c>
      <c r="F182" s="24">
        <v>45658</v>
      </c>
      <c r="G182" s="23" t="s">
        <v>14</v>
      </c>
      <c r="H182" s="24">
        <v>45748</v>
      </c>
      <c r="I182" s="24">
        <f>DATE(YEAR(H182), MONTH(H182) +1, DAY(H182))</f>
        <v>45778</v>
      </c>
      <c r="J182" s="23" t="s">
        <v>358</v>
      </c>
      <c r="K182" s="23">
        <v>1</v>
      </c>
      <c r="L182" s="23">
        <v>1</v>
      </c>
      <c r="M182" s="25">
        <v>20</v>
      </c>
      <c r="N182" s="25">
        <v>20</v>
      </c>
      <c r="R182" s="33" t="s">
        <v>510</v>
      </c>
    </row>
    <row r="183" spans="1:18" s="26" customFormat="1" x14ac:dyDescent="0.25">
      <c r="A183" s="23" t="s">
        <v>317</v>
      </c>
      <c r="B183" s="23">
        <v>17094718</v>
      </c>
      <c r="C183" s="23" t="s">
        <v>326</v>
      </c>
      <c r="D183" s="23" t="s">
        <v>327</v>
      </c>
      <c r="E183" s="23" t="s">
        <v>327</v>
      </c>
      <c r="F183" s="24">
        <v>45658</v>
      </c>
      <c r="G183" s="23" t="s">
        <v>14</v>
      </c>
      <c r="H183" s="24">
        <v>45778</v>
      </c>
      <c r="I183" s="24">
        <f>DATE(YEAR(H183), MONTH(H183) +1, DAY(H183))</f>
        <v>45809</v>
      </c>
      <c r="J183" s="23" t="s">
        <v>70</v>
      </c>
      <c r="K183" s="23">
        <v>1</v>
      </c>
      <c r="L183" s="23">
        <v>1</v>
      </c>
      <c r="M183" s="25">
        <v>20</v>
      </c>
      <c r="N183" s="25">
        <v>20</v>
      </c>
      <c r="R183" s="33" t="s">
        <v>510</v>
      </c>
    </row>
    <row r="184" spans="1:18" s="26" customFormat="1" x14ac:dyDescent="0.25">
      <c r="A184" s="23" t="s">
        <v>317</v>
      </c>
      <c r="B184" s="23">
        <v>17094718</v>
      </c>
      <c r="C184" s="23" t="s">
        <v>319</v>
      </c>
      <c r="D184" s="23" t="s">
        <v>320</v>
      </c>
      <c r="E184" s="23" t="s">
        <v>320</v>
      </c>
      <c r="F184" s="24">
        <v>45748</v>
      </c>
      <c r="G184" s="23" t="s">
        <v>14</v>
      </c>
      <c r="H184" s="24">
        <v>45778</v>
      </c>
      <c r="I184" s="24">
        <f>DATE(YEAR(H184), MONTH(H184) +1, DAY(H184))</f>
        <v>45809</v>
      </c>
      <c r="J184" s="23" t="s">
        <v>70</v>
      </c>
      <c r="K184" s="23">
        <v>1</v>
      </c>
      <c r="L184" s="23">
        <v>1</v>
      </c>
      <c r="M184" s="25">
        <v>20</v>
      </c>
      <c r="N184" s="26">
        <v>80</v>
      </c>
      <c r="O184" s="26" t="s">
        <v>495</v>
      </c>
      <c r="R184" s="33" t="s">
        <v>510</v>
      </c>
    </row>
    <row r="185" spans="1:18" s="26" customFormat="1" x14ac:dyDescent="0.25">
      <c r="A185" s="23" t="s">
        <v>317</v>
      </c>
      <c r="B185" s="23">
        <v>17094718</v>
      </c>
      <c r="C185" s="23" t="s">
        <v>321</v>
      </c>
      <c r="D185" s="23" t="s">
        <v>322</v>
      </c>
      <c r="E185" s="23" t="s">
        <v>322</v>
      </c>
      <c r="F185" s="24">
        <v>45778</v>
      </c>
      <c r="G185" s="23" t="s">
        <v>14</v>
      </c>
      <c r="H185" s="24">
        <v>45778</v>
      </c>
      <c r="I185" s="24">
        <f>DATE(YEAR(H185), MONTH(H185) +1, DAY(H185))</f>
        <v>45809</v>
      </c>
      <c r="J185" s="23" t="s">
        <v>70</v>
      </c>
      <c r="K185" s="23">
        <v>1</v>
      </c>
      <c r="L185" s="23">
        <v>1</v>
      </c>
      <c r="M185" s="25">
        <v>20</v>
      </c>
      <c r="N185" s="25">
        <v>20</v>
      </c>
      <c r="R185" s="33" t="s">
        <v>510</v>
      </c>
    </row>
    <row r="186" spans="1:18" s="26" customFormat="1" x14ac:dyDescent="0.25">
      <c r="A186" s="23" t="s">
        <v>317</v>
      </c>
      <c r="B186" s="23">
        <v>17094718</v>
      </c>
      <c r="C186" s="23" t="s">
        <v>328</v>
      </c>
      <c r="D186" s="23" t="s">
        <v>329</v>
      </c>
      <c r="E186" s="23" t="s">
        <v>329</v>
      </c>
      <c r="F186" s="24">
        <v>45658</v>
      </c>
      <c r="G186" s="23" t="s">
        <v>14</v>
      </c>
      <c r="H186" s="24">
        <v>45778</v>
      </c>
      <c r="I186" s="24">
        <f>DATE(YEAR(H186), MONTH(H186) +1, DAY(H186))</f>
        <v>45809</v>
      </c>
      <c r="J186" s="23" t="s">
        <v>31</v>
      </c>
      <c r="K186" s="23">
        <v>1</v>
      </c>
      <c r="L186" s="23">
        <v>1</v>
      </c>
      <c r="M186" s="25">
        <v>20</v>
      </c>
      <c r="N186" s="25">
        <v>20</v>
      </c>
      <c r="R186" s="33" t="s">
        <v>510</v>
      </c>
    </row>
    <row r="187" spans="1:18" s="26" customFormat="1" x14ac:dyDescent="0.25">
      <c r="A187" s="23" t="s">
        <v>369</v>
      </c>
      <c r="B187" s="23">
        <v>15278437</v>
      </c>
      <c r="C187" s="23" t="s">
        <v>371</v>
      </c>
      <c r="D187" s="23" t="s">
        <v>372</v>
      </c>
      <c r="E187" s="23" t="s">
        <v>372</v>
      </c>
      <c r="F187" s="24">
        <v>45658</v>
      </c>
      <c r="G187" s="23" t="s">
        <v>14</v>
      </c>
      <c r="H187" s="24">
        <v>45778</v>
      </c>
      <c r="I187" s="24">
        <f>DATE(YEAR(H187), MONTH(H187) +1, DAY(H187))</f>
        <v>45809</v>
      </c>
      <c r="J187" s="23" t="s">
        <v>31</v>
      </c>
      <c r="K187" s="23">
        <v>1</v>
      </c>
      <c r="L187" s="23">
        <v>1</v>
      </c>
      <c r="M187" s="25">
        <v>20</v>
      </c>
      <c r="N187" s="25">
        <v>20</v>
      </c>
      <c r="R187" s="33" t="s">
        <v>510</v>
      </c>
    </row>
    <row r="188" spans="1:18" s="26" customFormat="1" x14ac:dyDescent="0.25">
      <c r="A188" s="19" t="s">
        <v>17</v>
      </c>
      <c r="B188" s="19">
        <v>19279958</v>
      </c>
      <c r="C188" s="19" t="s">
        <v>346</v>
      </c>
      <c r="D188" s="19" t="s">
        <v>347</v>
      </c>
      <c r="E188" s="19" t="s">
        <v>347</v>
      </c>
      <c r="F188" s="20">
        <v>45658</v>
      </c>
      <c r="G188" s="19" t="s">
        <v>14</v>
      </c>
      <c r="H188" s="20">
        <v>45778</v>
      </c>
      <c r="I188" s="17">
        <f>DATE(YEAR(H188), MONTH(H188) +1, DAY(H188))</f>
        <v>45809</v>
      </c>
      <c r="J188" s="19" t="s">
        <v>21</v>
      </c>
      <c r="K188" s="19">
        <v>1</v>
      </c>
      <c r="L188" s="19">
        <v>1</v>
      </c>
      <c r="M188" s="21">
        <v>20</v>
      </c>
      <c r="N188" s="22">
        <v>40</v>
      </c>
      <c r="O188" s="22" t="s">
        <v>494</v>
      </c>
      <c r="P188" s="22"/>
      <c r="Q188" s="22"/>
      <c r="R188" s="37" t="s">
        <v>510</v>
      </c>
    </row>
    <row r="189" spans="1:18" s="26" customFormat="1" x14ac:dyDescent="0.25">
      <c r="A189" s="19" t="s">
        <v>17</v>
      </c>
      <c r="B189" s="19">
        <v>19279958</v>
      </c>
      <c r="C189" s="19" t="s">
        <v>344</v>
      </c>
      <c r="D189" s="19" t="s">
        <v>345</v>
      </c>
      <c r="E189" s="19" t="s">
        <v>345</v>
      </c>
      <c r="F189" s="20">
        <v>45627</v>
      </c>
      <c r="G189" s="19" t="s">
        <v>14</v>
      </c>
      <c r="H189" s="20">
        <v>45778</v>
      </c>
      <c r="I189" s="17">
        <f>DATE(YEAR(H189), MONTH(H189) +1, DAY(H189))</f>
        <v>45809</v>
      </c>
      <c r="J189" s="19" t="s">
        <v>21</v>
      </c>
      <c r="K189" s="19">
        <v>1</v>
      </c>
      <c r="L189" s="19">
        <v>1</v>
      </c>
      <c r="M189" s="21">
        <v>20</v>
      </c>
      <c r="N189" s="22">
        <v>60</v>
      </c>
      <c r="O189" s="22" t="s">
        <v>498</v>
      </c>
      <c r="P189" s="22"/>
      <c r="Q189" s="22"/>
      <c r="R189" s="37" t="s">
        <v>510</v>
      </c>
    </row>
    <row r="190" spans="1:18" s="26" customFormat="1" x14ac:dyDescent="0.25">
      <c r="A190" s="19" t="s">
        <v>17</v>
      </c>
      <c r="B190" s="19">
        <v>19279958</v>
      </c>
      <c r="C190" s="19" t="s">
        <v>342</v>
      </c>
      <c r="D190" s="19" t="s">
        <v>343</v>
      </c>
      <c r="E190" s="19" t="s">
        <v>343</v>
      </c>
      <c r="F190" s="20">
        <v>45689</v>
      </c>
      <c r="G190" s="19" t="s">
        <v>14</v>
      </c>
      <c r="H190" s="20">
        <v>45778</v>
      </c>
      <c r="I190" s="17">
        <f>DATE(YEAR(H190), MONTH(H190) +1, DAY(H190))</f>
        <v>45809</v>
      </c>
      <c r="J190" s="19" t="s">
        <v>21</v>
      </c>
      <c r="K190" s="19">
        <v>1</v>
      </c>
      <c r="L190" s="19">
        <v>1</v>
      </c>
      <c r="M190" s="21">
        <v>20</v>
      </c>
      <c r="N190" s="22">
        <v>40</v>
      </c>
      <c r="O190" s="22" t="s">
        <v>494</v>
      </c>
      <c r="P190" s="22"/>
      <c r="Q190" s="22"/>
      <c r="R190" s="37" t="s">
        <v>510</v>
      </c>
    </row>
    <row r="191" spans="1:18" s="26" customFormat="1" x14ac:dyDescent="0.25">
      <c r="A191" s="19" t="s">
        <v>17</v>
      </c>
      <c r="B191" s="19">
        <v>19279958</v>
      </c>
      <c r="C191" s="19" t="s">
        <v>351</v>
      </c>
      <c r="D191" s="19" t="s">
        <v>352</v>
      </c>
      <c r="E191" s="19" t="s">
        <v>352</v>
      </c>
      <c r="F191" s="20">
        <v>45627</v>
      </c>
      <c r="G191" s="19" t="s">
        <v>14</v>
      </c>
      <c r="H191" s="20">
        <v>45778</v>
      </c>
      <c r="I191" s="17">
        <f>DATE(YEAR(H191), MONTH(H191) +1, DAY(H191))</f>
        <v>45809</v>
      </c>
      <c r="J191" s="19" t="s">
        <v>21</v>
      </c>
      <c r="K191" s="19">
        <v>1</v>
      </c>
      <c r="L191" s="19">
        <v>1</v>
      </c>
      <c r="M191" s="21">
        <v>20</v>
      </c>
      <c r="N191" s="21">
        <v>20</v>
      </c>
      <c r="O191" s="22"/>
      <c r="P191" s="22"/>
      <c r="Q191" s="22"/>
      <c r="R191" s="37" t="s">
        <v>510</v>
      </c>
    </row>
    <row r="192" spans="1:18" s="26" customFormat="1" x14ac:dyDescent="0.25">
      <c r="A192" s="19" t="s">
        <v>17</v>
      </c>
      <c r="B192" s="19">
        <v>19279958</v>
      </c>
      <c r="C192" s="19" t="s">
        <v>19</v>
      </c>
      <c r="D192" s="19" t="s">
        <v>20</v>
      </c>
      <c r="E192" s="19" t="s">
        <v>20</v>
      </c>
      <c r="F192" s="20">
        <v>45597</v>
      </c>
      <c r="G192" s="19" t="s">
        <v>14</v>
      </c>
      <c r="H192" s="20">
        <v>45717</v>
      </c>
      <c r="I192" s="17">
        <f>DATE(YEAR(H192), MONTH(H192) +1, DAY(H192))</f>
        <v>45748</v>
      </c>
      <c r="J192" s="19" t="s">
        <v>21</v>
      </c>
      <c r="K192" s="19">
        <v>-1</v>
      </c>
      <c r="L192" s="19" t="s">
        <v>22</v>
      </c>
      <c r="M192" s="21">
        <v>-60</v>
      </c>
      <c r="N192" s="22">
        <v>-300</v>
      </c>
      <c r="O192" s="22" t="s">
        <v>493</v>
      </c>
      <c r="P192" s="22"/>
      <c r="Q192" s="22"/>
      <c r="R192" s="37" t="s">
        <v>510</v>
      </c>
    </row>
    <row r="193" spans="1:18" s="26" customFormat="1" x14ac:dyDescent="0.25">
      <c r="A193" s="19" t="s">
        <v>17</v>
      </c>
      <c r="B193" s="19">
        <v>19279958</v>
      </c>
      <c r="C193" s="19" t="s">
        <v>19</v>
      </c>
      <c r="D193" s="19" t="s">
        <v>20</v>
      </c>
      <c r="E193" s="19" t="s">
        <v>20</v>
      </c>
      <c r="F193" s="20">
        <v>45597</v>
      </c>
      <c r="G193" s="19" t="s">
        <v>14</v>
      </c>
      <c r="H193" s="20">
        <v>45778</v>
      </c>
      <c r="I193" s="17">
        <f>DATE(YEAR(H193), MONTH(H193) +1, DAY(H193))</f>
        <v>45809</v>
      </c>
      <c r="J193" s="19" t="s">
        <v>21</v>
      </c>
      <c r="K193" s="19">
        <v>1</v>
      </c>
      <c r="L193" s="19">
        <v>1</v>
      </c>
      <c r="M193" s="21">
        <v>20</v>
      </c>
      <c r="N193" s="22">
        <v>100</v>
      </c>
      <c r="O193" s="22" t="s">
        <v>496</v>
      </c>
      <c r="P193" s="22"/>
      <c r="Q193" s="22"/>
      <c r="R193" s="37" t="s">
        <v>510</v>
      </c>
    </row>
    <row r="194" spans="1:18" s="26" customFormat="1" x14ac:dyDescent="0.25">
      <c r="A194" s="23" t="s">
        <v>354</v>
      </c>
      <c r="B194" s="23">
        <v>5442438</v>
      </c>
      <c r="C194" s="23" t="s">
        <v>356</v>
      </c>
      <c r="D194" s="23" t="s">
        <v>357</v>
      </c>
      <c r="E194" s="23" t="s">
        <v>357</v>
      </c>
      <c r="F194" s="24">
        <v>45597</v>
      </c>
      <c r="G194" s="23" t="s">
        <v>14</v>
      </c>
      <c r="H194" s="24">
        <v>45778</v>
      </c>
      <c r="I194" s="24">
        <f>DATE(YEAR(H194), MONTH(H194) +1, DAY(H194))</f>
        <v>45809</v>
      </c>
      <c r="J194" s="23" t="s">
        <v>358</v>
      </c>
      <c r="K194" s="23">
        <v>1</v>
      </c>
      <c r="L194" s="23">
        <v>1</v>
      </c>
      <c r="M194" s="25">
        <v>20</v>
      </c>
      <c r="N194" s="25">
        <v>20</v>
      </c>
      <c r="R194" s="33" t="s">
        <v>510</v>
      </c>
    </row>
    <row r="195" spans="1:18" s="26" customFormat="1" x14ac:dyDescent="0.25">
      <c r="A195" s="23" t="s">
        <v>193</v>
      </c>
      <c r="B195" s="23">
        <v>371819</v>
      </c>
      <c r="C195" s="23" t="s">
        <v>423</v>
      </c>
      <c r="D195" s="23" t="s">
        <v>424</v>
      </c>
      <c r="E195" s="23" t="s">
        <v>424</v>
      </c>
      <c r="F195" s="24">
        <v>45658</v>
      </c>
      <c r="G195" s="23" t="s">
        <v>14</v>
      </c>
      <c r="H195" s="24">
        <v>45778</v>
      </c>
      <c r="I195" s="24">
        <f>DATE(YEAR(H195), MONTH(H195) +1, DAY(H195))</f>
        <v>45809</v>
      </c>
      <c r="J195" s="23" t="s">
        <v>358</v>
      </c>
      <c r="K195" s="23">
        <v>1</v>
      </c>
      <c r="L195" s="23">
        <v>1</v>
      </c>
      <c r="M195" s="25">
        <v>20</v>
      </c>
      <c r="N195" s="25">
        <v>20</v>
      </c>
      <c r="R195" s="33" t="s">
        <v>510</v>
      </c>
    </row>
    <row r="196" spans="1:18" s="26" customFormat="1" x14ac:dyDescent="0.25">
      <c r="A196" s="23" t="s">
        <v>193</v>
      </c>
      <c r="B196" s="23">
        <v>371819</v>
      </c>
      <c r="C196" s="23" t="s">
        <v>421</v>
      </c>
      <c r="D196" s="23" t="s">
        <v>422</v>
      </c>
      <c r="E196" s="23" t="s">
        <v>422</v>
      </c>
      <c r="F196" s="24">
        <v>45658</v>
      </c>
      <c r="G196" s="23" t="s">
        <v>14</v>
      </c>
      <c r="H196" s="24">
        <v>45778</v>
      </c>
      <c r="I196" s="24">
        <f>DATE(YEAR(H196), MONTH(H196) +1, DAY(H196))</f>
        <v>45809</v>
      </c>
      <c r="J196" s="23" t="s">
        <v>358</v>
      </c>
      <c r="K196" s="23">
        <v>1</v>
      </c>
      <c r="L196" s="23">
        <v>1</v>
      </c>
      <c r="M196" s="25">
        <v>20</v>
      </c>
      <c r="N196" s="25">
        <v>20</v>
      </c>
      <c r="R196" s="33" t="s">
        <v>510</v>
      </c>
    </row>
    <row r="197" spans="1:18" s="26" customFormat="1" x14ac:dyDescent="0.25">
      <c r="A197" s="23" t="s">
        <v>193</v>
      </c>
      <c r="B197" s="23">
        <v>371819</v>
      </c>
      <c r="C197" s="23" t="s">
        <v>432</v>
      </c>
      <c r="D197" s="23" t="s">
        <v>433</v>
      </c>
      <c r="E197" s="23" t="s">
        <v>433</v>
      </c>
      <c r="F197" s="24">
        <v>45627</v>
      </c>
      <c r="G197" s="23" t="s">
        <v>14</v>
      </c>
      <c r="H197" s="24">
        <v>45778</v>
      </c>
      <c r="I197" s="24">
        <f>DATE(YEAR(H197), MONTH(H197) +1, DAY(H197))</f>
        <v>45809</v>
      </c>
      <c r="J197" s="23" t="s">
        <v>70</v>
      </c>
      <c r="K197" s="23">
        <v>1</v>
      </c>
      <c r="L197" s="23">
        <v>1</v>
      </c>
      <c r="M197" s="25">
        <v>20</v>
      </c>
      <c r="N197" s="25">
        <v>20</v>
      </c>
      <c r="R197" s="33" t="s">
        <v>510</v>
      </c>
    </row>
    <row r="198" spans="1:18" s="26" customFormat="1" x14ac:dyDescent="0.25">
      <c r="A198" s="23" t="s">
        <v>193</v>
      </c>
      <c r="B198" s="23">
        <v>371819</v>
      </c>
      <c r="C198" s="23" t="s">
        <v>427</v>
      </c>
      <c r="D198" s="23" t="s">
        <v>428</v>
      </c>
      <c r="E198" s="23" t="s">
        <v>428</v>
      </c>
      <c r="F198" s="24">
        <v>45658</v>
      </c>
      <c r="G198" s="23" t="s">
        <v>14</v>
      </c>
      <c r="H198" s="24">
        <v>45778</v>
      </c>
      <c r="I198" s="24">
        <f>DATE(YEAR(H198), MONTH(H198) +1, DAY(H198))</f>
        <v>45809</v>
      </c>
      <c r="J198" s="23" t="s">
        <v>70</v>
      </c>
      <c r="K198" s="23">
        <v>1</v>
      </c>
      <c r="L198" s="23">
        <v>1</v>
      </c>
      <c r="M198" s="25">
        <v>20</v>
      </c>
      <c r="N198" s="25">
        <v>20</v>
      </c>
      <c r="R198" s="33" t="s">
        <v>510</v>
      </c>
    </row>
    <row r="199" spans="1:18" s="26" customFormat="1" x14ac:dyDescent="0.25">
      <c r="A199" s="23" t="s">
        <v>193</v>
      </c>
      <c r="B199" s="23">
        <v>371819</v>
      </c>
      <c r="C199" s="23" t="s">
        <v>425</v>
      </c>
      <c r="D199" s="23" t="s">
        <v>426</v>
      </c>
      <c r="E199" s="23" t="s">
        <v>426</v>
      </c>
      <c r="F199" s="24">
        <v>45658</v>
      </c>
      <c r="G199" s="23" t="s">
        <v>14</v>
      </c>
      <c r="H199" s="24">
        <v>45689</v>
      </c>
      <c r="I199" s="24">
        <f>DATE(YEAR(H199), MONTH(H199) +1, DAY(H199))</f>
        <v>45717</v>
      </c>
      <c r="J199" s="23" t="s">
        <v>70</v>
      </c>
      <c r="K199" s="23">
        <v>1</v>
      </c>
      <c r="L199" s="23">
        <v>1</v>
      </c>
      <c r="M199" s="25">
        <v>20</v>
      </c>
      <c r="N199" s="26">
        <v>40</v>
      </c>
      <c r="O199" s="26" t="s">
        <v>494</v>
      </c>
      <c r="R199" s="33" t="s">
        <v>510</v>
      </c>
    </row>
    <row r="200" spans="1:18" s="26" customFormat="1" x14ac:dyDescent="0.25">
      <c r="A200" s="23" t="s">
        <v>193</v>
      </c>
      <c r="B200" s="23">
        <v>371819</v>
      </c>
      <c r="C200" s="23" t="s">
        <v>429</v>
      </c>
      <c r="D200" s="23" t="s">
        <v>430</v>
      </c>
      <c r="E200" s="23" t="s">
        <v>430</v>
      </c>
      <c r="F200" s="24">
        <v>45658</v>
      </c>
      <c r="G200" s="23" t="s">
        <v>14</v>
      </c>
      <c r="H200" s="24">
        <v>45778</v>
      </c>
      <c r="I200" s="24">
        <f>DATE(YEAR(H200), MONTH(H200) +1, DAY(H200))</f>
        <v>45809</v>
      </c>
      <c r="J200" s="23" t="s">
        <v>70</v>
      </c>
      <c r="K200" s="23">
        <v>1</v>
      </c>
      <c r="L200" s="23">
        <v>1</v>
      </c>
      <c r="M200" s="25">
        <v>20</v>
      </c>
      <c r="N200" s="25">
        <v>20</v>
      </c>
      <c r="R200" s="33" t="s">
        <v>510</v>
      </c>
    </row>
    <row r="201" spans="1:18" s="26" customFormat="1" x14ac:dyDescent="0.25">
      <c r="A201" s="23" t="s">
        <v>193</v>
      </c>
      <c r="B201" s="23">
        <v>371819</v>
      </c>
      <c r="C201" s="23" t="s">
        <v>490</v>
      </c>
      <c r="D201" s="23" t="s">
        <v>491</v>
      </c>
      <c r="E201" s="23" t="s">
        <v>491</v>
      </c>
      <c r="F201" s="24">
        <v>45689</v>
      </c>
      <c r="G201" s="23" t="s">
        <v>14</v>
      </c>
      <c r="H201" s="24">
        <v>45689</v>
      </c>
      <c r="I201" s="24">
        <f>DATE(YEAR(H201), MONTH(H201) +1, DAY(H201))</f>
        <v>45717</v>
      </c>
      <c r="J201" s="23" t="s">
        <v>70</v>
      </c>
      <c r="K201" s="23">
        <v>1</v>
      </c>
      <c r="L201" s="23">
        <v>5</v>
      </c>
      <c r="M201" s="25">
        <v>100</v>
      </c>
      <c r="N201" s="25">
        <v>100</v>
      </c>
      <c r="O201" s="26" t="s">
        <v>496</v>
      </c>
      <c r="R201" s="33" t="s">
        <v>510</v>
      </c>
    </row>
    <row r="202" spans="1:18" s="26" customFormat="1" x14ac:dyDescent="0.25">
      <c r="A202" s="23" t="s">
        <v>193</v>
      </c>
      <c r="B202" s="23">
        <v>371819</v>
      </c>
      <c r="C202" s="23" t="s">
        <v>434</v>
      </c>
      <c r="D202" s="23" t="s">
        <v>435</v>
      </c>
      <c r="E202" s="23" t="s">
        <v>435</v>
      </c>
      <c r="F202" s="24">
        <v>45597</v>
      </c>
      <c r="G202" s="23" t="s">
        <v>14</v>
      </c>
      <c r="H202" s="24">
        <v>45778</v>
      </c>
      <c r="I202" s="24">
        <f>DATE(YEAR(H202), MONTH(H202) +1, DAY(H202))</f>
        <v>45809</v>
      </c>
      <c r="J202" s="23" t="s">
        <v>31</v>
      </c>
      <c r="K202" s="23">
        <v>1</v>
      </c>
      <c r="L202" s="23">
        <v>1</v>
      </c>
      <c r="M202" s="25">
        <v>20</v>
      </c>
      <c r="N202" s="25">
        <v>20</v>
      </c>
      <c r="R202" s="33" t="s">
        <v>510</v>
      </c>
    </row>
    <row r="203" spans="1:18" s="26" customFormat="1" x14ac:dyDescent="0.25">
      <c r="A203" s="23" t="s">
        <v>436</v>
      </c>
      <c r="B203" s="23">
        <v>19645587</v>
      </c>
      <c r="C203" s="23" t="s">
        <v>440</v>
      </c>
      <c r="D203" s="23" t="s">
        <v>441</v>
      </c>
      <c r="E203" s="23" t="s">
        <v>441</v>
      </c>
      <c r="F203" s="24">
        <v>45658</v>
      </c>
      <c r="G203" s="23" t="s">
        <v>14</v>
      </c>
      <c r="H203" s="24">
        <v>45748</v>
      </c>
      <c r="I203" s="24">
        <f>DATE(YEAR(H203), MONTH(H203) +1, DAY(H203))</f>
        <v>45778</v>
      </c>
      <c r="J203" s="23" t="s">
        <v>15</v>
      </c>
      <c r="K203" s="23">
        <v>1</v>
      </c>
      <c r="L203" s="23">
        <v>1</v>
      </c>
      <c r="M203" s="25">
        <v>20</v>
      </c>
      <c r="N203" s="25">
        <v>20</v>
      </c>
      <c r="R203" s="33" t="s">
        <v>510</v>
      </c>
    </row>
    <row r="204" spans="1:18" s="26" customFormat="1" x14ac:dyDescent="0.25">
      <c r="A204" s="23" t="s">
        <v>436</v>
      </c>
      <c r="B204" s="23">
        <v>19645587</v>
      </c>
      <c r="C204" s="23" t="s">
        <v>440</v>
      </c>
      <c r="D204" s="23" t="s">
        <v>441</v>
      </c>
      <c r="E204" s="23" t="s">
        <v>441</v>
      </c>
      <c r="F204" s="24">
        <v>45658</v>
      </c>
      <c r="G204" s="23" t="s">
        <v>14</v>
      </c>
      <c r="H204" s="24">
        <v>45778</v>
      </c>
      <c r="I204" s="24">
        <f>DATE(YEAR(H204), MONTH(H204) +1, DAY(H204))</f>
        <v>45809</v>
      </c>
      <c r="J204" s="23" t="s">
        <v>15</v>
      </c>
      <c r="K204" s="23">
        <v>1</v>
      </c>
      <c r="L204" s="23">
        <v>1</v>
      </c>
      <c r="M204" s="25">
        <v>20</v>
      </c>
      <c r="N204" s="25">
        <v>20</v>
      </c>
      <c r="R204" s="33" t="s">
        <v>510</v>
      </c>
    </row>
    <row r="205" spans="1:18" s="26" customFormat="1" x14ac:dyDescent="0.25">
      <c r="A205" s="23" t="s">
        <v>436</v>
      </c>
      <c r="B205" s="23">
        <v>19645587</v>
      </c>
      <c r="C205" s="23" t="s">
        <v>438</v>
      </c>
      <c r="D205" s="23" t="s">
        <v>439</v>
      </c>
      <c r="E205" s="23" t="s">
        <v>439</v>
      </c>
      <c r="F205" s="24">
        <v>45658</v>
      </c>
      <c r="G205" s="23" t="s">
        <v>14</v>
      </c>
      <c r="H205" s="24">
        <v>45778</v>
      </c>
      <c r="I205" s="24">
        <f>DATE(YEAR(H205), MONTH(H205) +1, DAY(H205))</f>
        <v>45809</v>
      </c>
      <c r="J205" s="23" t="s">
        <v>15</v>
      </c>
      <c r="K205" s="23">
        <v>1</v>
      </c>
      <c r="L205" s="23">
        <v>1</v>
      </c>
      <c r="M205" s="25">
        <v>20</v>
      </c>
      <c r="N205" s="26">
        <v>80</v>
      </c>
      <c r="O205" s="26" t="s">
        <v>495</v>
      </c>
      <c r="R205" s="33" t="s">
        <v>510</v>
      </c>
    </row>
    <row r="206" spans="1:18" s="26" customFormat="1" x14ac:dyDescent="0.25">
      <c r="A206" s="23" t="s">
        <v>445</v>
      </c>
      <c r="B206" s="23">
        <v>9079571</v>
      </c>
      <c r="C206" s="23" t="s">
        <v>447</v>
      </c>
      <c r="D206" s="23" t="s">
        <v>448</v>
      </c>
      <c r="E206" s="23" t="s">
        <v>448</v>
      </c>
      <c r="F206" s="24">
        <v>45778</v>
      </c>
      <c r="G206" s="23" t="s">
        <v>14</v>
      </c>
      <c r="H206" s="24">
        <v>45778</v>
      </c>
      <c r="I206" s="24">
        <f>DATE(YEAR(H206), MONTH(H206) +1, DAY(H206))</f>
        <v>45809</v>
      </c>
      <c r="J206" s="23" t="s">
        <v>449</v>
      </c>
      <c r="K206" s="23">
        <v>1</v>
      </c>
      <c r="L206" s="23">
        <v>1</v>
      </c>
      <c r="M206" s="25">
        <v>20</v>
      </c>
      <c r="N206" s="25">
        <v>20</v>
      </c>
      <c r="R206" s="35" t="s">
        <v>510</v>
      </c>
    </row>
    <row r="207" spans="1:18" s="26" customFormat="1" x14ac:dyDescent="0.25">
      <c r="A207" s="23" t="s">
        <v>445</v>
      </c>
      <c r="B207" s="23">
        <v>9079571</v>
      </c>
      <c r="C207" s="23" t="s">
        <v>454</v>
      </c>
      <c r="D207" s="23" t="s">
        <v>455</v>
      </c>
      <c r="E207" s="23" t="s">
        <v>455</v>
      </c>
      <c r="F207" s="24">
        <v>45658</v>
      </c>
      <c r="G207" s="23" t="s">
        <v>14</v>
      </c>
      <c r="H207" s="24">
        <v>45778</v>
      </c>
      <c r="I207" s="24">
        <f>DATE(YEAR(H207), MONTH(H207) +1, DAY(H207))</f>
        <v>45809</v>
      </c>
      <c r="J207" s="23" t="s">
        <v>21</v>
      </c>
      <c r="K207" s="23">
        <v>1</v>
      </c>
      <c r="L207" s="23">
        <v>1</v>
      </c>
      <c r="M207" s="25">
        <v>20</v>
      </c>
      <c r="N207" s="25">
        <v>20</v>
      </c>
      <c r="R207" s="33" t="s">
        <v>510</v>
      </c>
    </row>
    <row r="208" spans="1:18" s="26" customFormat="1" x14ac:dyDescent="0.25">
      <c r="A208" s="23" t="s">
        <v>445</v>
      </c>
      <c r="B208" s="23">
        <v>9079571</v>
      </c>
      <c r="C208" s="23" t="s">
        <v>450</v>
      </c>
      <c r="D208" s="23" t="s">
        <v>451</v>
      </c>
      <c r="E208" s="23" t="s">
        <v>451</v>
      </c>
      <c r="F208" s="24">
        <v>45658</v>
      </c>
      <c r="G208" s="23" t="s">
        <v>14</v>
      </c>
      <c r="H208" s="24">
        <v>45778</v>
      </c>
      <c r="I208" s="24">
        <f>DATE(YEAR(H208), MONTH(H208) +1, DAY(H208))</f>
        <v>45809</v>
      </c>
      <c r="J208" s="23" t="s">
        <v>21</v>
      </c>
      <c r="K208" s="23">
        <v>1</v>
      </c>
      <c r="L208" s="23">
        <v>1</v>
      </c>
      <c r="M208" s="25">
        <v>20</v>
      </c>
      <c r="N208" s="25">
        <v>20</v>
      </c>
      <c r="R208" s="33" t="s">
        <v>510</v>
      </c>
    </row>
    <row r="209" spans="1:18" s="26" customFormat="1" x14ac:dyDescent="0.25">
      <c r="A209" s="23" t="s">
        <v>445</v>
      </c>
      <c r="B209" s="23">
        <v>9079571</v>
      </c>
      <c r="C209" s="23" t="s">
        <v>452</v>
      </c>
      <c r="D209" s="23" t="s">
        <v>453</v>
      </c>
      <c r="E209" s="23" t="s">
        <v>453</v>
      </c>
      <c r="F209" s="24">
        <v>45658</v>
      </c>
      <c r="G209" s="23" t="s">
        <v>14</v>
      </c>
      <c r="H209" s="24">
        <v>45778</v>
      </c>
      <c r="I209" s="24">
        <f>DATE(YEAR(H209), MONTH(H209) +1, DAY(H209))</f>
        <v>45809</v>
      </c>
      <c r="J209" s="23" t="s">
        <v>21</v>
      </c>
      <c r="K209" s="23">
        <v>1</v>
      </c>
      <c r="L209" s="23">
        <v>1</v>
      </c>
      <c r="M209" s="25">
        <v>20</v>
      </c>
      <c r="N209" s="25">
        <v>20</v>
      </c>
      <c r="R209" s="33" t="s">
        <v>510</v>
      </c>
    </row>
    <row r="210" spans="1:18" s="26" customFormat="1" x14ac:dyDescent="0.25">
      <c r="A210" s="23" t="s">
        <v>330</v>
      </c>
      <c r="B210" s="23">
        <v>19200754</v>
      </c>
      <c r="C210" s="23" t="s">
        <v>332</v>
      </c>
      <c r="D210" s="23" t="s">
        <v>333</v>
      </c>
      <c r="E210" s="23" t="s">
        <v>333</v>
      </c>
      <c r="F210" s="24">
        <v>45658</v>
      </c>
      <c r="G210" s="23" t="s">
        <v>14</v>
      </c>
      <c r="H210" s="24">
        <v>45778</v>
      </c>
      <c r="I210" s="24">
        <f>DATE(YEAR(H210), MONTH(H210) +1, DAY(H210))</f>
        <v>45809</v>
      </c>
      <c r="J210" s="23" t="s">
        <v>70</v>
      </c>
      <c r="K210" s="23">
        <v>1</v>
      </c>
      <c r="L210" s="23">
        <v>1</v>
      </c>
      <c r="M210" s="25">
        <v>20</v>
      </c>
      <c r="N210" s="25">
        <v>20</v>
      </c>
      <c r="R210" s="33" t="s">
        <v>510</v>
      </c>
    </row>
    <row r="211" spans="1:18" s="26" customFormat="1" x14ac:dyDescent="0.25">
      <c r="A211" s="23" t="s">
        <v>330</v>
      </c>
      <c r="B211" s="23">
        <v>19200754</v>
      </c>
      <c r="C211" s="23" t="s">
        <v>340</v>
      </c>
      <c r="D211" s="23" t="s">
        <v>341</v>
      </c>
      <c r="E211" s="23" t="s">
        <v>341</v>
      </c>
      <c r="F211" s="24">
        <v>45689</v>
      </c>
      <c r="G211" s="23" t="s">
        <v>14</v>
      </c>
      <c r="H211" s="24">
        <v>45778</v>
      </c>
      <c r="I211" s="24">
        <f>DATE(YEAR(H211), MONTH(H211) +1, DAY(H211))</f>
        <v>45809</v>
      </c>
      <c r="J211" s="23" t="s">
        <v>15</v>
      </c>
      <c r="K211" s="23">
        <v>1</v>
      </c>
      <c r="L211" s="23">
        <v>1</v>
      </c>
      <c r="M211" s="25">
        <v>20</v>
      </c>
      <c r="N211" s="25">
        <v>20</v>
      </c>
      <c r="R211" s="33" t="s">
        <v>510</v>
      </c>
    </row>
    <row r="212" spans="1:18" s="26" customFormat="1" x14ac:dyDescent="0.25">
      <c r="A212" s="23" t="s">
        <v>330</v>
      </c>
      <c r="B212" s="23">
        <v>19200754</v>
      </c>
      <c r="C212" s="23" t="s">
        <v>338</v>
      </c>
      <c r="D212" s="23" t="s">
        <v>339</v>
      </c>
      <c r="E212" s="23" t="s">
        <v>339</v>
      </c>
      <c r="F212" s="24">
        <v>45658</v>
      </c>
      <c r="G212" s="23" t="s">
        <v>14</v>
      </c>
      <c r="H212" s="24">
        <v>45778</v>
      </c>
      <c r="I212" s="24">
        <f>DATE(YEAR(H212), MONTH(H212) +1, DAY(H212))</f>
        <v>45809</v>
      </c>
      <c r="J212" s="23" t="s">
        <v>15</v>
      </c>
      <c r="K212" s="23">
        <v>1</v>
      </c>
      <c r="L212" s="23">
        <v>1</v>
      </c>
      <c r="M212" s="25">
        <v>20</v>
      </c>
      <c r="N212" s="25">
        <v>20</v>
      </c>
      <c r="R212" s="33" t="s">
        <v>510</v>
      </c>
    </row>
    <row r="213" spans="1:18" s="26" customFormat="1" x14ac:dyDescent="0.25">
      <c r="A213" s="23" t="s">
        <v>330</v>
      </c>
      <c r="B213" s="23">
        <v>19200754</v>
      </c>
      <c r="C213" s="23" t="s">
        <v>336</v>
      </c>
      <c r="D213" s="23" t="s">
        <v>337</v>
      </c>
      <c r="E213" s="23" t="s">
        <v>337</v>
      </c>
      <c r="F213" s="24">
        <v>45658</v>
      </c>
      <c r="G213" s="23" t="s">
        <v>14</v>
      </c>
      <c r="H213" s="24">
        <v>45778</v>
      </c>
      <c r="I213" s="24">
        <f>DATE(YEAR(H213), MONTH(H213) +1, DAY(H213))</f>
        <v>45809</v>
      </c>
      <c r="J213" s="23" t="s">
        <v>15</v>
      </c>
      <c r="K213" s="23">
        <v>1</v>
      </c>
      <c r="L213" s="23">
        <v>1</v>
      </c>
      <c r="M213" s="25">
        <v>20</v>
      </c>
      <c r="N213" s="25">
        <v>20</v>
      </c>
      <c r="R213" s="33" t="s">
        <v>510</v>
      </c>
    </row>
    <row r="214" spans="1:18" s="26" customFormat="1" x14ac:dyDescent="0.25">
      <c r="A214" s="23" t="s">
        <v>330</v>
      </c>
      <c r="B214" s="23">
        <v>19200754</v>
      </c>
      <c r="C214" s="23" t="s">
        <v>334</v>
      </c>
      <c r="D214" s="23" t="s">
        <v>335</v>
      </c>
      <c r="E214" s="23" t="s">
        <v>335</v>
      </c>
      <c r="F214" s="24">
        <v>45658</v>
      </c>
      <c r="G214" s="23" t="s">
        <v>14</v>
      </c>
      <c r="H214" s="24">
        <v>45778</v>
      </c>
      <c r="I214" s="24">
        <f>DATE(YEAR(H214), MONTH(H214) +1, DAY(H214))</f>
        <v>45809</v>
      </c>
      <c r="J214" s="23" t="s">
        <v>15</v>
      </c>
      <c r="K214" s="23">
        <v>1</v>
      </c>
      <c r="L214" s="23">
        <v>1</v>
      </c>
      <c r="M214" s="25">
        <v>20</v>
      </c>
      <c r="N214" s="25">
        <v>20</v>
      </c>
      <c r="R214" s="33" t="s">
        <v>510</v>
      </c>
    </row>
    <row r="215" spans="1:18" s="26" customFormat="1" x14ac:dyDescent="0.25">
      <c r="A215" s="23" t="s">
        <v>297</v>
      </c>
      <c r="B215" s="23">
        <v>19615078</v>
      </c>
      <c r="C215" s="23" t="s">
        <v>299</v>
      </c>
      <c r="D215" s="23" t="s">
        <v>300</v>
      </c>
      <c r="E215" s="23" t="s">
        <v>300</v>
      </c>
      <c r="F215" s="24">
        <v>45658</v>
      </c>
      <c r="G215" s="23" t="s">
        <v>14</v>
      </c>
      <c r="H215" s="24">
        <v>45778</v>
      </c>
      <c r="I215" s="24">
        <f>DATE(YEAR(H215), MONTH(H215) +1, DAY(H215))</f>
        <v>45809</v>
      </c>
      <c r="J215" s="23" t="s">
        <v>15</v>
      </c>
      <c r="K215" s="23">
        <v>1</v>
      </c>
      <c r="L215" s="23">
        <v>1</v>
      </c>
      <c r="M215" s="25">
        <v>20</v>
      </c>
      <c r="N215" s="25">
        <v>20</v>
      </c>
      <c r="R215" s="33" t="s">
        <v>510</v>
      </c>
    </row>
    <row r="216" spans="1:18" s="26" customFormat="1" x14ac:dyDescent="0.25">
      <c r="A216" s="23" t="s">
        <v>297</v>
      </c>
      <c r="B216" s="23">
        <v>19615078</v>
      </c>
      <c r="C216" s="23" t="s">
        <v>299</v>
      </c>
      <c r="D216" s="23" t="s">
        <v>300</v>
      </c>
      <c r="E216" s="23" t="s">
        <v>300</v>
      </c>
      <c r="F216" s="24">
        <v>45658</v>
      </c>
      <c r="G216" s="23" t="s">
        <v>14</v>
      </c>
      <c r="H216" s="24">
        <v>45748</v>
      </c>
      <c r="I216" s="24">
        <f>DATE(YEAR(H216), MONTH(H216) +1, DAY(H216))</f>
        <v>45778</v>
      </c>
      <c r="J216" s="23" t="s">
        <v>15</v>
      </c>
      <c r="K216" s="23">
        <v>1</v>
      </c>
      <c r="L216" s="23">
        <v>1</v>
      </c>
      <c r="M216" s="25">
        <v>20</v>
      </c>
      <c r="N216" s="25">
        <v>20</v>
      </c>
      <c r="R216" s="33" t="s">
        <v>510</v>
      </c>
    </row>
    <row r="217" spans="1:18" s="26" customFormat="1" x14ac:dyDescent="0.25">
      <c r="A217" s="23" t="s">
        <v>297</v>
      </c>
      <c r="B217" s="23">
        <v>19615078</v>
      </c>
      <c r="C217" s="23" t="s">
        <v>299</v>
      </c>
      <c r="D217" s="23" t="s">
        <v>300</v>
      </c>
      <c r="E217" s="23" t="s">
        <v>300</v>
      </c>
      <c r="F217" s="24">
        <v>45658</v>
      </c>
      <c r="G217" s="23" t="s">
        <v>14</v>
      </c>
      <c r="H217" s="24">
        <v>45717</v>
      </c>
      <c r="I217" s="24">
        <f>DATE(YEAR(H217), MONTH(H217) +1, DAY(H217))</f>
        <v>45748</v>
      </c>
      <c r="J217" s="23" t="s">
        <v>15</v>
      </c>
      <c r="K217" s="23">
        <v>1</v>
      </c>
      <c r="L217" s="23">
        <v>1</v>
      </c>
      <c r="M217" s="25">
        <v>20</v>
      </c>
      <c r="N217" s="25">
        <v>20</v>
      </c>
      <c r="R217" s="33" t="s">
        <v>510</v>
      </c>
    </row>
    <row r="218" spans="1:18" s="26" customFormat="1" x14ac:dyDescent="0.25">
      <c r="A218" s="23" t="s">
        <v>359</v>
      </c>
      <c r="B218" s="23">
        <v>16633294</v>
      </c>
      <c r="C218" s="23" t="s">
        <v>365</v>
      </c>
      <c r="D218" s="23" t="s">
        <v>366</v>
      </c>
      <c r="E218" s="23" t="s">
        <v>366</v>
      </c>
      <c r="F218" s="24">
        <v>45658</v>
      </c>
      <c r="G218" s="23" t="s">
        <v>14</v>
      </c>
      <c r="H218" s="24">
        <v>45748</v>
      </c>
      <c r="I218" s="24">
        <f>DATE(YEAR(H218), MONTH(H218) +1, DAY(H218))</f>
        <v>45778</v>
      </c>
      <c r="J218" s="23" t="s">
        <v>70</v>
      </c>
      <c r="K218" s="23">
        <v>1</v>
      </c>
      <c r="L218" s="23">
        <v>1</v>
      </c>
      <c r="M218" s="25">
        <v>20</v>
      </c>
      <c r="N218" s="25">
        <v>20</v>
      </c>
      <c r="R218" s="33" t="s">
        <v>510</v>
      </c>
    </row>
    <row r="219" spans="1:18" s="26" customFormat="1" x14ac:dyDescent="0.25">
      <c r="A219" s="23" t="s">
        <v>359</v>
      </c>
      <c r="B219" s="23">
        <v>16633294</v>
      </c>
      <c r="C219" s="23" t="s">
        <v>365</v>
      </c>
      <c r="D219" s="23" t="s">
        <v>366</v>
      </c>
      <c r="E219" s="23" t="s">
        <v>366</v>
      </c>
      <c r="F219" s="24">
        <v>45658</v>
      </c>
      <c r="G219" s="23" t="s">
        <v>14</v>
      </c>
      <c r="H219" s="24">
        <v>45778</v>
      </c>
      <c r="I219" s="24">
        <f>DATE(YEAR(H219), MONTH(H219) +1, DAY(H219))</f>
        <v>45809</v>
      </c>
      <c r="J219" s="23" t="s">
        <v>70</v>
      </c>
      <c r="K219" s="23">
        <v>1</v>
      </c>
      <c r="L219" s="23">
        <v>1</v>
      </c>
      <c r="M219" s="25">
        <v>20</v>
      </c>
      <c r="N219" s="25">
        <v>20</v>
      </c>
      <c r="R219" s="33" t="s">
        <v>510</v>
      </c>
    </row>
    <row r="220" spans="1:18" s="26" customFormat="1" x14ac:dyDescent="0.25">
      <c r="A220" s="23" t="s">
        <v>359</v>
      </c>
      <c r="B220" s="23">
        <v>16633294</v>
      </c>
      <c r="C220" s="23" t="s">
        <v>363</v>
      </c>
      <c r="D220" s="23" t="s">
        <v>364</v>
      </c>
      <c r="E220" s="23" t="s">
        <v>364</v>
      </c>
      <c r="F220" s="24">
        <v>45778</v>
      </c>
      <c r="G220" s="23" t="s">
        <v>14</v>
      </c>
      <c r="H220" s="24">
        <v>45778</v>
      </c>
      <c r="I220" s="24">
        <f>DATE(YEAR(H220), MONTH(H220) +1, DAY(H220))</f>
        <v>45809</v>
      </c>
      <c r="J220" s="23" t="s">
        <v>70</v>
      </c>
      <c r="K220" s="23">
        <v>1</v>
      </c>
      <c r="L220" s="23">
        <v>1</v>
      </c>
      <c r="M220" s="25">
        <v>20</v>
      </c>
      <c r="N220" s="25">
        <v>20</v>
      </c>
      <c r="R220" s="33" t="s">
        <v>510</v>
      </c>
    </row>
    <row r="221" spans="1:18" s="26" customFormat="1" x14ac:dyDescent="0.25">
      <c r="A221" s="23" t="s">
        <v>359</v>
      </c>
      <c r="B221" s="23">
        <v>16633294</v>
      </c>
      <c r="C221" s="23" t="s">
        <v>361</v>
      </c>
      <c r="D221" s="23" t="s">
        <v>362</v>
      </c>
      <c r="E221" s="23" t="s">
        <v>362</v>
      </c>
      <c r="F221" s="24">
        <v>45658</v>
      </c>
      <c r="G221" s="23" t="s">
        <v>14</v>
      </c>
      <c r="H221" s="24">
        <v>45778</v>
      </c>
      <c r="I221" s="24">
        <f>DATE(YEAR(H221), MONTH(H221) +1, DAY(H221))</f>
        <v>45809</v>
      </c>
      <c r="J221" s="23" t="s">
        <v>70</v>
      </c>
      <c r="K221" s="23">
        <v>1</v>
      </c>
      <c r="L221" s="23">
        <v>1</v>
      </c>
      <c r="M221" s="25">
        <v>20</v>
      </c>
      <c r="N221" s="25">
        <v>20</v>
      </c>
      <c r="R221" s="33" t="s">
        <v>510</v>
      </c>
    </row>
    <row r="222" spans="1:18" s="26" customFormat="1" x14ac:dyDescent="0.25">
      <c r="A222" s="23" t="s">
        <v>359</v>
      </c>
      <c r="B222" s="23">
        <v>16633294</v>
      </c>
      <c r="C222" s="23" t="s">
        <v>367</v>
      </c>
      <c r="D222" s="23" t="s">
        <v>368</v>
      </c>
      <c r="E222" s="23" t="s">
        <v>368</v>
      </c>
      <c r="F222" s="24">
        <v>45658</v>
      </c>
      <c r="G222" s="23" t="s">
        <v>14</v>
      </c>
      <c r="H222" s="24">
        <v>45778</v>
      </c>
      <c r="I222" s="24">
        <f>DATE(YEAR(H222), MONTH(H222) +1, DAY(H222))</f>
        <v>45809</v>
      </c>
      <c r="J222" s="23" t="s">
        <v>31</v>
      </c>
      <c r="K222" s="23">
        <v>1</v>
      </c>
      <c r="L222" s="23">
        <v>1</v>
      </c>
      <c r="M222" s="25">
        <v>20</v>
      </c>
      <c r="N222" s="25">
        <v>20</v>
      </c>
      <c r="R222" s="33" t="s">
        <v>510</v>
      </c>
    </row>
    <row r="223" spans="1:18" s="26" customFormat="1" x14ac:dyDescent="0.25">
      <c r="A223" s="23" t="s">
        <v>301</v>
      </c>
      <c r="B223" s="23">
        <v>20220688</v>
      </c>
      <c r="C223" s="23" t="s">
        <v>303</v>
      </c>
      <c r="D223" s="23" t="s">
        <v>304</v>
      </c>
      <c r="E223" s="23" t="s">
        <v>304</v>
      </c>
      <c r="F223" s="24">
        <v>45689</v>
      </c>
      <c r="G223" s="23" t="s">
        <v>14</v>
      </c>
      <c r="H223" s="24">
        <v>45778</v>
      </c>
      <c r="I223" s="24">
        <f>DATE(YEAR(H223), MONTH(H223) +1, DAY(H223))</f>
        <v>45809</v>
      </c>
      <c r="J223" s="23" t="s">
        <v>70</v>
      </c>
      <c r="K223" s="23">
        <v>1</v>
      </c>
      <c r="L223" s="23">
        <v>1</v>
      </c>
      <c r="M223" s="25">
        <v>20</v>
      </c>
      <c r="N223" s="25">
        <v>20</v>
      </c>
      <c r="P223" s="28"/>
      <c r="Q223" s="28"/>
      <c r="R223" s="33" t="s">
        <v>510</v>
      </c>
    </row>
    <row r="224" spans="1:18" s="26" customFormat="1" x14ac:dyDescent="0.25">
      <c r="A224" s="23" t="s">
        <v>301</v>
      </c>
      <c r="B224" s="23">
        <v>20220688</v>
      </c>
      <c r="C224" s="23" t="s">
        <v>305</v>
      </c>
      <c r="D224" s="23" t="s">
        <v>306</v>
      </c>
      <c r="E224" s="23" t="s">
        <v>306</v>
      </c>
      <c r="F224" s="24">
        <v>45658</v>
      </c>
      <c r="G224" s="23" t="s">
        <v>14</v>
      </c>
      <c r="H224" s="24">
        <v>45778</v>
      </c>
      <c r="I224" s="24">
        <f>DATE(YEAR(H224), MONTH(H224) +1, DAY(H224))</f>
        <v>45809</v>
      </c>
      <c r="J224" s="23" t="s">
        <v>15</v>
      </c>
      <c r="K224" s="23">
        <v>1</v>
      </c>
      <c r="L224" s="23">
        <v>1</v>
      </c>
      <c r="M224" s="25">
        <v>20</v>
      </c>
      <c r="N224" s="25">
        <v>20</v>
      </c>
      <c r="R224" s="33" t="s">
        <v>510</v>
      </c>
    </row>
  </sheetData>
  <sortState xmlns:xlrd2="http://schemas.microsoft.com/office/spreadsheetml/2017/richdata2" ref="A2:R224">
    <sortCondition ref="R2:R2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6C1F-7B0D-4A33-880E-DA167ED88681}">
  <dimension ref="A1:Q12"/>
  <sheetViews>
    <sheetView workbookViewId="0">
      <selection activeCell="A10" sqref="A10"/>
    </sheetView>
  </sheetViews>
  <sheetFormatPr defaultRowHeight="15" x14ac:dyDescent="0.25"/>
  <sheetData>
    <row r="1" spans="1:17" s="12" customFormat="1" ht="45" x14ac:dyDescent="0.25">
      <c r="A1" s="8" t="s">
        <v>1</v>
      </c>
      <c r="B1" s="9" t="s">
        <v>2</v>
      </c>
      <c r="C1" s="10" t="s">
        <v>3</v>
      </c>
      <c r="D1" s="9" t="s">
        <v>4</v>
      </c>
      <c r="E1" s="9"/>
      <c r="F1" s="11" t="s">
        <v>5</v>
      </c>
      <c r="G1" s="10" t="s">
        <v>7</v>
      </c>
      <c r="H1" s="10" t="s">
        <v>8</v>
      </c>
      <c r="I1" s="10" t="s">
        <v>9</v>
      </c>
      <c r="J1" s="11" t="s">
        <v>10</v>
      </c>
      <c r="K1" s="11" t="s">
        <v>11</v>
      </c>
      <c r="L1" s="11" t="s">
        <v>12</v>
      </c>
    </row>
    <row r="2" spans="1:17" s="16" customFormat="1" x14ac:dyDescent="0.25">
      <c r="A2" s="13" t="s">
        <v>369</v>
      </c>
      <c r="B2" s="13">
        <v>15278437</v>
      </c>
      <c r="C2" s="13" t="s">
        <v>488</v>
      </c>
      <c r="D2" s="13" t="s">
        <v>489</v>
      </c>
      <c r="E2" s="13" t="s">
        <v>489</v>
      </c>
      <c r="F2" s="14">
        <v>45689</v>
      </c>
      <c r="G2" s="13" t="s">
        <v>14</v>
      </c>
      <c r="H2" s="14">
        <v>45778</v>
      </c>
      <c r="I2" s="13" t="s">
        <v>486</v>
      </c>
      <c r="J2" s="15">
        <v>311.76</v>
      </c>
      <c r="K2" s="13">
        <v>1</v>
      </c>
      <c r="L2" s="15">
        <v>25</v>
      </c>
      <c r="M2" s="15">
        <v>25</v>
      </c>
    </row>
    <row r="3" spans="1:17" s="16" customFormat="1" x14ac:dyDescent="0.25">
      <c r="A3" s="13" t="s">
        <v>482</v>
      </c>
      <c r="B3" s="13">
        <v>9213293</v>
      </c>
      <c r="C3" s="13" t="s">
        <v>484</v>
      </c>
      <c r="D3" s="13" t="s">
        <v>503</v>
      </c>
      <c r="E3" s="13" t="s">
        <v>503</v>
      </c>
      <c r="F3" s="14">
        <v>45689</v>
      </c>
      <c r="G3" s="13" t="s">
        <v>14</v>
      </c>
      <c r="H3" s="14">
        <v>45778</v>
      </c>
      <c r="I3" s="13" t="s">
        <v>486</v>
      </c>
      <c r="J3" s="15">
        <v>594.92999999999995</v>
      </c>
      <c r="K3" s="13">
        <v>1</v>
      </c>
      <c r="L3" s="15">
        <v>25</v>
      </c>
      <c r="M3" s="15">
        <v>25</v>
      </c>
    </row>
    <row r="4" spans="1:17" s="34" customFormat="1" x14ac:dyDescent="0.25">
      <c r="A4" s="13" t="s">
        <v>482</v>
      </c>
      <c r="B4" s="13">
        <v>9213293</v>
      </c>
      <c r="C4" s="13" t="s">
        <v>487</v>
      </c>
      <c r="D4" s="13" t="s">
        <v>485</v>
      </c>
      <c r="E4" s="13" t="s">
        <v>485</v>
      </c>
      <c r="F4" s="14">
        <v>45689</v>
      </c>
      <c r="G4" s="13" t="s">
        <v>14</v>
      </c>
      <c r="H4" s="14">
        <v>45778</v>
      </c>
      <c r="I4" s="13" t="s">
        <v>486</v>
      </c>
      <c r="J4" s="15">
        <v>451.55</v>
      </c>
      <c r="K4" s="13">
        <v>1</v>
      </c>
      <c r="L4" s="15">
        <v>25</v>
      </c>
      <c r="M4" s="15">
        <v>25</v>
      </c>
      <c r="N4" s="16"/>
      <c r="O4" s="16"/>
      <c r="P4" s="16"/>
      <c r="Q4" s="16"/>
    </row>
    <row r="5" spans="1:17" s="16" customFormat="1" x14ac:dyDescent="0.25">
      <c r="A5" s="13" t="s">
        <v>33</v>
      </c>
      <c r="B5" s="13">
        <v>6634327</v>
      </c>
      <c r="C5" s="13" t="s">
        <v>467</v>
      </c>
      <c r="D5" s="13" t="s">
        <v>468</v>
      </c>
      <c r="E5" s="13" t="s">
        <v>468</v>
      </c>
      <c r="F5" s="14">
        <v>45658</v>
      </c>
      <c r="G5" s="13" t="s">
        <v>14</v>
      </c>
      <c r="H5" s="14">
        <v>45778</v>
      </c>
      <c r="I5" s="13" t="s">
        <v>458</v>
      </c>
      <c r="J5" s="15">
        <v>934.54</v>
      </c>
      <c r="K5" s="13">
        <v>1</v>
      </c>
      <c r="L5" s="15">
        <v>22</v>
      </c>
      <c r="M5" s="15">
        <v>22</v>
      </c>
    </row>
    <row r="6" spans="1:17" s="16" customFormat="1" x14ac:dyDescent="0.25">
      <c r="A6" s="13" t="s">
        <v>33</v>
      </c>
      <c r="B6" s="13">
        <v>6634327</v>
      </c>
      <c r="C6" s="13" t="s">
        <v>469</v>
      </c>
      <c r="D6" s="13" t="s">
        <v>470</v>
      </c>
      <c r="E6" s="13" t="s">
        <v>470</v>
      </c>
      <c r="F6" s="14">
        <v>45658</v>
      </c>
      <c r="G6" s="13" t="s">
        <v>14</v>
      </c>
      <c r="H6" s="14">
        <v>45778</v>
      </c>
      <c r="I6" s="13" t="s">
        <v>458</v>
      </c>
      <c r="J6" s="15">
        <v>919.98</v>
      </c>
      <c r="K6" s="13">
        <v>1</v>
      </c>
      <c r="L6" s="15">
        <v>22</v>
      </c>
      <c r="M6" s="15">
        <v>22</v>
      </c>
    </row>
    <row r="7" spans="1:17" s="16" customFormat="1" x14ac:dyDescent="0.25">
      <c r="A7" s="13" t="s">
        <v>33</v>
      </c>
      <c r="B7" s="13">
        <v>6634327</v>
      </c>
      <c r="C7" s="13" t="s">
        <v>456</v>
      </c>
      <c r="D7" s="13" t="s">
        <v>457</v>
      </c>
      <c r="E7" s="13" t="s">
        <v>457</v>
      </c>
      <c r="F7" s="14">
        <v>45658</v>
      </c>
      <c r="G7" s="13" t="s">
        <v>14</v>
      </c>
      <c r="H7" s="14">
        <v>45778</v>
      </c>
      <c r="I7" s="13" t="s">
        <v>458</v>
      </c>
      <c r="J7" s="15">
        <v>547.69000000000005</v>
      </c>
      <c r="K7" s="13">
        <v>1</v>
      </c>
      <c r="L7" s="15">
        <v>22</v>
      </c>
      <c r="M7" s="15">
        <v>22</v>
      </c>
    </row>
    <row r="8" spans="1:17" s="16" customFormat="1" x14ac:dyDescent="0.25">
      <c r="A8" s="13" t="s">
        <v>33</v>
      </c>
      <c r="B8" s="13">
        <v>6634327</v>
      </c>
      <c r="C8" s="13" t="s">
        <v>459</v>
      </c>
      <c r="D8" s="13" t="s">
        <v>460</v>
      </c>
      <c r="E8" s="13" t="s">
        <v>460</v>
      </c>
      <c r="F8" s="14">
        <v>45658</v>
      </c>
      <c r="G8" s="13" t="s">
        <v>14</v>
      </c>
      <c r="H8" s="14">
        <v>45778</v>
      </c>
      <c r="I8" s="13" t="s">
        <v>458</v>
      </c>
      <c r="J8" s="15">
        <v>234.59</v>
      </c>
      <c r="K8" s="13">
        <v>1</v>
      </c>
      <c r="L8" s="15">
        <v>22</v>
      </c>
      <c r="M8" s="15">
        <v>88</v>
      </c>
      <c r="N8" s="16" t="s">
        <v>495</v>
      </c>
    </row>
    <row r="9" spans="1:17" s="16" customFormat="1" x14ac:dyDescent="0.25">
      <c r="A9" s="13" t="s">
        <v>33</v>
      </c>
      <c r="B9" s="13">
        <v>6634327</v>
      </c>
      <c r="C9" s="13" t="s">
        <v>462</v>
      </c>
      <c r="D9" s="13" t="s">
        <v>463</v>
      </c>
      <c r="E9" s="13" t="s">
        <v>463</v>
      </c>
      <c r="F9" s="14">
        <v>45658</v>
      </c>
      <c r="G9" s="13" t="s">
        <v>14</v>
      </c>
      <c r="H9" s="14">
        <v>45778</v>
      </c>
      <c r="I9" s="13" t="s">
        <v>458</v>
      </c>
      <c r="J9" s="15">
        <v>360.07</v>
      </c>
      <c r="K9" s="13">
        <v>1</v>
      </c>
      <c r="L9" s="15">
        <v>22</v>
      </c>
      <c r="M9" s="15">
        <v>44</v>
      </c>
      <c r="N9" s="16" t="s">
        <v>494</v>
      </c>
    </row>
    <row r="10" spans="1:17" s="16" customFormat="1" x14ac:dyDescent="0.25">
      <c r="A10" s="13" t="s">
        <v>471</v>
      </c>
      <c r="B10" s="13">
        <v>21435997</v>
      </c>
      <c r="C10" s="13" t="s">
        <v>473</v>
      </c>
      <c r="D10" s="13" t="s">
        <v>474</v>
      </c>
      <c r="E10" s="13" t="s">
        <v>474</v>
      </c>
      <c r="F10" s="14">
        <v>45778</v>
      </c>
      <c r="G10" s="13" t="s">
        <v>14</v>
      </c>
      <c r="H10" s="14">
        <v>45778</v>
      </c>
      <c r="I10" s="13" t="s">
        <v>475</v>
      </c>
      <c r="J10" s="15">
        <v>917.06</v>
      </c>
      <c r="K10" s="13">
        <v>1</v>
      </c>
      <c r="L10" s="15">
        <v>25</v>
      </c>
      <c r="M10" s="15">
        <v>25</v>
      </c>
    </row>
    <row r="11" spans="1:17" s="16" customFormat="1" x14ac:dyDescent="0.25">
      <c r="A11" s="13" t="s">
        <v>476</v>
      </c>
      <c r="B11" s="13">
        <v>21283956</v>
      </c>
      <c r="C11" s="13" t="s">
        <v>478</v>
      </c>
      <c r="D11" s="13" t="s">
        <v>479</v>
      </c>
      <c r="E11" s="13" t="s">
        <v>479</v>
      </c>
      <c r="F11" s="14">
        <v>45658</v>
      </c>
      <c r="G11" s="13" t="s">
        <v>14</v>
      </c>
      <c r="H11" s="14">
        <v>45778</v>
      </c>
      <c r="I11" s="13" t="s">
        <v>475</v>
      </c>
      <c r="J11" s="15">
        <v>437.26</v>
      </c>
      <c r="K11" s="13">
        <v>1</v>
      </c>
      <c r="L11" s="15">
        <v>25</v>
      </c>
      <c r="M11" s="15">
        <v>25</v>
      </c>
    </row>
    <row r="12" spans="1:17" s="16" customFormat="1" x14ac:dyDescent="0.25">
      <c r="A12" s="13" t="s">
        <v>476</v>
      </c>
      <c r="B12" s="13">
        <v>21283956</v>
      </c>
      <c r="C12" s="13" t="s">
        <v>480</v>
      </c>
      <c r="D12" s="13" t="s">
        <v>481</v>
      </c>
      <c r="E12" s="13" t="s">
        <v>481</v>
      </c>
      <c r="F12" s="14">
        <v>45658</v>
      </c>
      <c r="G12" s="13" t="s">
        <v>14</v>
      </c>
      <c r="H12" s="14">
        <v>45778</v>
      </c>
      <c r="I12" s="13" t="s">
        <v>475</v>
      </c>
      <c r="J12" s="15">
        <v>530.03</v>
      </c>
      <c r="K12" s="13">
        <v>1</v>
      </c>
      <c r="L12" s="15">
        <v>25</v>
      </c>
      <c r="M12" s="1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_ Jason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2025-06-19T18:27:01Z</dcterms:created>
  <dcterms:modified xsi:type="dcterms:W3CDTF">2025-06-30T14:25:10Z</dcterms:modified>
</cp:coreProperties>
</file>