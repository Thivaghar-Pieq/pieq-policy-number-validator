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4-4-25\"/>
    </mc:Choice>
  </mc:AlternateContent>
  <xr:revisionPtr revIDLastSave="0" documentId="13_ncr:1_{9C245379-EA35-4E55-B41A-88575A886845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3" i="3" l="1"/>
  <c r="F2" i="3"/>
</calcChain>
</file>

<file path=xl/sharedStrings.xml><?xml version="1.0" encoding="utf-8"?>
<sst xmlns="http://schemas.openxmlformats.org/spreadsheetml/2006/main" count="88" uniqueCount="55">
  <si>
    <t>Description</t>
  </si>
  <si>
    <t>Member Count</t>
  </si>
  <si>
    <t>Total</t>
  </si>
  <si>
    <t>Payee</t>
  </si>
  <si>
    <t>Payment Date</t>
  </si>
  <si>
    <t>Credits</t>
  </si>
  <si>
    <t>$434.75</t>
  </si>
  <si>
    <t>Main Line Benefits LLC</t>
  </si>
  <si>
    <t>04/04/2025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</si>
  <si>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</si>
  <si>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</si>
  <si>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</si>
  <si>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</si>
  <si>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</si>
  <si>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</si>
  <si>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</si>
  <si>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</si>
  <si>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</si>
  <si>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</si>
  <si>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</si>
  <si>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</si>
  <si>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</si>
  <si>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</si>
  <si>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</si>
  <si>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</si>
  <si>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</si>
  <si>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</si>
  <si>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</si>
  <si>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</si>
  <si>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</si>
  <si>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</si>
  <si>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</si>
  <si>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</si>
  <si>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</si>
  <si>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</si>
  <si>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</si>
  <si>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</si>
  <si>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</si>
  <si>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20212926</t>
  </si>
  <si>
    <t>Jose Torres</t>
  </si>
  <si>
    <t>D6YRFK</t>
  </si>
  <si>
    <t>1MX5K40MY75</t>
  </si>
  <si>
    <t>ANA</t>
  </si>
  <si>
    <t>GRISALES</t>
  </si>
  <si>
    <t>IL</t>
  </si>
  <si>
    <t>03/17/2025</t>
  </si>
  <si>
    <t>04/01/2025</t>
  </si>
  <si>
    <t>H7151</t>
  </si>
  <si>
    <t>Initial - Not New</t>
  </si>
  <si>
    <t>Apr</t>
  </si>
  <si>
    <t>Devoted MAPD 2025*</t>
  </si>
  <si>
    <t>[%/$=313][prorate=9/12]</t>
  </si>
  <si>
    <t>Devoted MAPD 2025 Ovr</t>
  </si>
  <si>
    <t>D6YRFK89</t>
  </si>
  <si>
    <t>D6YRFK88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</si>
</sst>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12" sqref="C12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1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3</v>
      </c>
      <c r="O2">
        <v>0</v>
      </c>
      <c r="P2" t="s">
        <v>48</v>
      </c>
      <c r="Q2" t="s">
        <v>49</v>
      </c>
      <c r="R2">
        <v>234.75</v>
      </c>
      <c r="S2">
        <v>200</v>
      </c>
      <c r="T2">
        <v>434.75</v>
      </c>
      <c r="U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CE3D-AA6E-409C-9015-32EAFBAEA297}">
  <dimension ref="A1:O3"/>
  <sheetViews>
    <sheetView tabSelected="1" workbookViewId="0">
      <selection activeCell="D7" sqref="D7"/>
    </sheetView>
  </sheetViews>
  <sheetFormatPr defaultRowHeight="15" x14ac:dyDescent="0.25"/>
  <cols>
    <col min="1" max="1" width="10" customWidth="1"/>
    <col min="2" max="2" width="25" customWidth="1"/>
    <col min="3" max="3" width="15" customWidth="1"/>
    <col min="5" max="5" width="12.7109375" customWidth="1"/>
    <col min="6" max="6" width="13.7109375" bestFit="1" customWidth="1"/>
    <col min="7" max="7" width="13.7109375" customWidth="1"/>
    <col min="8" max="8" width="13.42578125" customWidth="1"/>
    <col min="9" max="9" width="16.7109375" customWidth="1"/>
    <col min="10" max="10" width="6.7109375" customWidth="1"/>
    <col min="11" max="11" width="12.85546875" customWidth="1"/>
    <col min="12" max="12" width="14.5703125" customWidth="1"/>
    <col min="13" max="13" width="14" customWidth="1"/>
    <col min="14" max="14" width="22.85546875" bestFit="1" customWidth="1"/>
  </cols>
  <sheetData>
    <row r="1" spans="1:15" x14ac:dyDescent="0.25">
      <c r="A1" t="s">
        <v>17</v>
      </c>
      <c r="B1" t="s">
        <v>18</v>
      </c>
      <c r="C1" t="s">
        <v>19</v>
      </c>
      <c r="D1" t="s">
        <v>21</v>
      </c>
      <c r="E1" t="s">
        <v>22</v>
      </c>
      <c r="G1" t="s">
        <v>23</v>
      </c>
      <c r="H1" t="s">
        <v>25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5" x14ac:dyDescent="0.25">
      <c r="A2" s="1">
        <v>20212926</v>
      </c>
      <c r="B2" t="s">
        <v>39</v>
      </c>
      <c r="C2" t="s">
        <v>53</v>
      </c>
      <c r="D2" t="s">
        <v>42</v>
      </c>
      <c r="E2" t="s">
        <v>43</v>
      </c>
      <c r="F2" t="str">
        <f>CONCATENATE(D2, " ",E2)</f>
        <v>ANA GRISALES</v>
      </c>
      <c r="G2" t="s">
        <v>44</v>
      </c>
      <c r="H2" t="s">
        <v>46</v>
      </c>
      <c r="I2" t="s">
        <v>48</v>
      </c>
      <c r="J2" t="s">
        <v>49</v>
      </c>
      <c r="K2">
        <v>234.75</v>
      </c>
      <c r="L2">
        <v>200</v>
      </c>
      <c r="M2">
        <v>234.75</v>
      </c>
      <c r="N2" t="s">
        <v>50</v>
      </c>
      <c r="O2" t="s">
        <v>51</v>
      </c>
    </row>
    <row r="3" spans="1:15" x14ac:dyDescent="0.25">
      <c r="A3" s="1">
        <v>20212926</v>
      </c>
      <c r="B3" t="s">
        <v>39</v>
      </c>
      <c r="C3" t="s">
        <v>54</v>
      </c>
      <c r="D3" t="s">
        <v>42</v>
      </c>
      <c r="E3" t="s">
        <v>43</v>
      </c>
      <c r="F3" t="str">
        <f>CONCATENATE(D3, " ",E3)</f>
        <v>ANA GRISALES</v>
      </c>
      <c r="G3" t="s">
        <v>44</v>
      </c>
      <c r="H3" t="s">
        <v>46</v>
      </c>
      <c r="I3" t="s">
        <v>48</v>
      </c>
      <c r="J3" t="s">
        <v>49</v>
      </c>
      <c r="K3">
        <v>234.75</v>
      </c>
      <c r="L3">
        <v>200</v>
      </c>
      <c r="M3">
        <v>200</v>
      </c>
      <c r="N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2025-04-04T15:40:29Z</dcterms:created>
  <dcterms:modified xsi:type="dcterms:W3CDTF">2025-04-04T18:36:30Z</dcterms:modified>
</cp:coreProperties>
</file>