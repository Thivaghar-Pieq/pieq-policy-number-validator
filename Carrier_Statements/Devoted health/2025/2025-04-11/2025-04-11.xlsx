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4-11-25\"/>
    </mc:Choice>
  </mc:AlternateContent>
  <xr:revisionPtr revIDLastSave="0" documentId="13_ncr:1_{1272EB8D-3386-4582-8F9E-FDF0AB14ED0D}" xr6:coauthVersionLast="47" xr6:coauthVersionMax="47" xr10:uidLastSave="{00000000-0000-0000-0000-000000000000}"/>
  <bookViews>
    <workbookView xWindow="2868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2" i="3"/>
  <c r="E3" i="3"/>
  <c r="E7" i="3"/>
  <c r="E5" i="3"/>
  <c r="E4" i="3"/>
  <c r="E6" i="3"/>
  <c r="E2" i="3"/>
</calcChain>
</file>

<file path=xl/sharedStrings.xml><?xml version="1.0" encoding="utf-8"?>
<sst xmlns="http://schemas.openxmlformats.org/spreadsheetml/2006/main" count="172" uniqueCount="76">
  <si>
    <t>Description</t>
  </si>
  <si>
    <t>Member Count</t>
  </si>
  <si>
    <t>Total</t>
  </si>
  <si>
    <t>Payee</t>
  </si>
  <si>
    <t>Payment Date</t>
  </si>
  <si>
    <t>Credits</t>
  </si>
  <si>
    <t>$1,260.75</t>
  </si>
  <si>
    <t>Main Line Benefits LLC</t>
  </si>
  <si>
    <t>04/11/2025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</si>
  <si>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</si>
  <si>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</si>
  <si>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</si>
  <si>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</si>
  <si>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</si>
  <si>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</si>
  <si>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</si>
  <si>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</si>
  <si>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</si>
  <si>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</si>
  <si>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</si>
  <si>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</si>
  <si>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</si>
  <si>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</si>
  <si>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</si>
  <si>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</si>
  <si>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</si>
  <si>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</si>
  <si>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</si>
  <si>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</si>
  <si>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</si>
  <si>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</si>
  <si>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</si>
  <si>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</si>
  <si>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</si>
  <si>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</si>
  <si>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</si>
  <si>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</si>
  <si>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</si>
  <si>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20212926</t>
  </si>
  <si>
    <t>Jose Torres</t>
  </si>
  <si>
    <t>D6YRFK</t>
  </si>
  <si>
    <t>1MX5K40MY75</t>
  </si>
  <si>
    <t>ANA</t>
  </si>
  <si>
    <t>GRISALES</t>
  </si>
  <si>
    <t>IL</t>
  </si>
  <si>
    <t>03/17/2025</t>
  </si>
  <si>
    <t>04/01/2025</t>
  </si>
  <si>
    <t>H7151</t>
  </si>
  <si>
    <t>NONE</t>
  </si>
  <si>
    <t>Initial - New</t>
  </si>
  <si>
    <t>Apr</t>
  </si>
  <si>
    <t>17094718</t>
  </si>
  <si>
    <t>Greg Hansford</t>
  </si>
  <si>
    <t>DYCG7C</t>
  </si>
  <si>
    <t>6RV1GE0RP16</t>
  </si>
  <si>
    <t>JOE</t>
  </si>
  <si>
    <t>SOUTHERN</t>
  </si>
  <si>
    <t>GA</t>
  </si>
  <si>
    <t>03/27/2025</t>
  </si>
  <si>
    <t>H5453</t>
  </si>
  <si>
    <t>MA</t>
  </si>
  <si>
    <t>Initial - Not New</t>
  </si>
  <si>
    <t>18754354</t>
  </si>
  <si>
    <t>Jacob Yale</t>
  </si>
  <si>
    <t>DE5AJY</t>
  </si>
  <si>
    <t>5HD3JW2VW88</t>
  </si>
  <si>
    <t>SCOTT</t>
  </si>
  <si>
    <t>WALLACE</t>
  </si>
  <si>
    <t>03/28/2025</t>
  </si>
  <si>
    <t>MAPD</t>
  </si>
  <si>
    <t>[%/$=313][prorate=9/12]</t>
  </si>
  <si>
    <t>[%/$=626]</t>
  </si>
  <si>
    <t>Devoted MAPD 2025</t>
  </si>
  <si>
    <t>Devoted MAPD 2025*</t>
  </si>
  <si>
    <t>Devoted MAPD 2025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</si>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</sst>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3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0</v>
      </c>
      <c r="C4" t="s">
        <v>10</v>
      </c>
    </row>
    <row r="5" spans="1:6" x14ac:dyDescent="0.25">
      <c r="A5" t="s">
        <v>12</v>
      </c>
      <c r="C5" t="s">
        <v>10</v>
      </c>
    </row>
    <row r="6" spans="1:6" x14ac:dyDescent="0.25">
      <c r="A6" t="s">
        <v>13</v>
      </c>
      <c r="B6">
        <v>3</v>
      </c>
      <c r="C6" t="s">
        <v>6</v>
      </c>
    </row>
    <row r="7" spans="1:6" x14ac:dyDescent="0.25">
      <c r="A7" t="s">
        <v>14</v>
      </c>
      <c r="C7" t="s">
        <v>10</v>
      </c>
    </row>
    <row r="8" spans="1:6" x14ac:dyDescent="0.25">
      <c r="A8" t="s">
        <v>15</v>
      </c>
      <c r="C8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"/>
  <sheetViews>
    <sheetView topLeftCell="D1" zoomScaleNormal="100" workbookViewId="0">
      <selection activeCell="T2" sqref="T2:T4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L2" t="s">
        <v>47</v>
      </c>
      <c r="M2">
        <v>3</v>
      </c>
      <c r="N2" t="s">
        <v>48</v>
      </c>
      <c r="O2">
        <v>1</v>
      </c>
      <c r="P2" t="s">
        <v>49</v>
      </c>
      <c r="Q2" t="s">
        <v>50</v>
      </c>
      <c r="R2">
        <v>391.25</v>
      </c>
      <c r="S2">
        <v>0</v>
      </c>
      <c r="T2">
        <v>391.25</v>
      </c>
      <c r="U2" t="s">
        <v>7</v>
      </c>
    </row>
    <row r="3" spans="1:22" x14ac:dyDescent="0.25">
      <c r="A3" t="s">
        <v>8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46</v>
      </c>
      <c r="L3" t="s">
        <v>59</v>
      </c>
      <c r="M3">
        <v>5</v>
      </c>
      <c r="N3" t="s">
        <v>60</v>
      </c>
      <c r="O3">
        <v>4</v>
      </c>
      <c r="P3" t="s">
        <v>61</v>
      </c>
      <c r="Q3" t="s">
        <v>50</v>
      </c>
      <c r="R3">
        <v>234.75</v>
      </c>
      <c r="S3">
        <v>200</v>
      </c>
      <c r="T3">
        <v>434.75</v>
      </c>
      <c r="U3" t="s">
        <v>7</v>
      </c>
    </row>
    <row r="4" spans="1:22" x14ac:dyDescent="0.25">
      <c r="A4" t="s">
        <v>8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44</v>
      </c>
      <c r="I4" t="s">
        <v>68</v>
      </c>
      <c r="J4" t="s">
        <v>46</v>
      </c>
      <c r="L4" t="s">
        <v>47</v>
      </c>
      <c r="M4">
        <v>3</v>
      </c>
      <c r="N4" t="s">
        <v>69</v>
      </c>
      <c r="O4">
        <v>4</v>
      </c>
      <c r="P4" t="s">
        <v>61</v>
      </c>
      <c r="Q4" t="s">
        <v>50</v>
      </c>
      <c r="R4">
        <v>234.75</v>
      </c>
      <c r="S4">
        <v>200</v>
      </c>
      <c r="T4">
        <v>434.75</v>
      </c>
      <c r="U4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8BDD-05BB-4B5F-B01A-C8B81F792EB8}">
  <dimension ref="A1:R7"/>
  <sheetViews>
    <sheetView tabSelected="1" topLeftCell="B1" workbookViewId="0">
      <selection activeCell="D4" sqref="D4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5" width="15" customWidth="1"/>
    <col min="7" max="8" width="12.7109375" customWidth="1"/>
    <col min="9" max="9" width="13.7109375" customWidth="1"/>
    <col min="10" max="10" width="14.140625" customWidth="1"/>
    <col min="11" max="11" width="13.42578125" customWidth="1"/>
    <col min="12" max="12" width="16.7109375" customWidth="1"/>
    <col min="13" max="13" width="6.7109375" customWidth="1"/>
    <col min="14" max="14" width="12.85546875" customWidth="1"/>
    <col min="15" max="15" width="14.5703125" customWidth="1"/>
    <col min="16" max="16" width="14" customWidth="1"/>
    <col min="17" max="17" width="22.42578125" bestFit="1" customWidth="1"/>
  </cols>
  <sheetData>
    <row r="1" spans="1:18" x14ac:dyDescent="0.25">
      <c r="A1" t="s">
        <v>16</v>
      </c>
      <c r="B1" t="s">
        <v>17</v>
      </c>
      <c r="C1" t="s">
        <v>18</v>
      </c>
      <c r="D1" t="s">
        <v>19</v>
      </c>
      <c r="F1" t="s">
        <v>21</v>
      </c>
      <c r="G1" t="s">
        <v>22</v>
      </c>
      <c r="I1" t="s">
        <v>23</v>
      </c>
      <c r="J1" t="s">
        <v>24</v>
      </c>
      <c r="K1" t="s">
        <v>25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</row>
    <row r="2" spans="1:18" x14ac:dyDescent="0.25">
      <c r="A2" t="s">
        <v>8</v>
      </c>
      <c r="B2">
        <v>20212926</v>
      </c>
      <c r="C2" t="s">
        <v>39</v>
      </c>
      <c r="D2" t="s">
        <v>40</v>
      </c>
      <c r="E2" t="str">
        <f>_xlfn.CONCAT(D2,89)</f>
        <v>D6YRFK89</v>
      </c>
      <c r="F2" t="s">
        <v>42</v>
      </c>
      <c r="G2" t="s">
        <v>43</v>
      </c>
      <c r="H2" t="str">
        <f>_xlfn.CONCAT(F2, " ", G2)</f>
        <v>ANA GRISALES</v>
      </c>
      <c r="I2" t="s">
        <v>44</v>
      </c>
      <c r="J2" t="s">
        <v>45</v>
      </c>
      <c r="K2" t="s">
        <v>46</v>
      </c>
      <c r="L2" t="s">
        <v>49</v>
      </c>
      <c r="M2" t="s">
        <v>50</v>
      </c>
      <c r="N2">
        <v>391.25</v>
      </c>
      <c r="O2">
        <v>0</v>
      </c>
      <c r="P2">
        <v>-234.75</v>
      </c>
      <c r="Q2" t="s">
        <v>70</v>
      </c>
      <c r="R2" t="s">
        <v>73</v>
      </c>
    </row>
    <row r="3" spans="1:18" x14ac:dyDescent="0.25">
      <c r="A3" t="s">
        <v>8</v>
      </c>
      <c r="B3">
        <v>20212926</v>
      </c>
      <c r="C3" t="s">
        <v>39</v>
      </c>
      <c r="D3" t="s">
        <v>40</v>
      </c>
      <c r="E3" t="str">
        <f>_xlfn.CONCAT(D3)</f>
        <v>D6YRFK</v>
      </c>
      <c r="F3" t="s">
        <v>42</v>
      </c>
      <c r="G3" t="s">
        <v>43</v>
      </c>
      <c r="H3" t="str">
        <f t="shared" ref="H3:H7" si="0">_xlfn.CONCAT(F3, " ", G3)</f>
        <v>ANA GRISALES</v>
      </c>
      <c r="I3" t="s">
        <v>44</v>
      </c>
      <c r="J3" t="s">
        <v>45</v>
      </c>
      <c r="K3" t="s">
        <v>46</v>
      </c>
      <c r="L3" t="s">
        <v>49</v>
      </c>
      <c r="M3" t="s">
        <v>50</v>
      </c>
      <c r="N3">
        <v>391.25</v>
      </c>
      <c r="O3">
        <v>0</v>
      </c>
      <c r="P3">
        <v>626</v>
      </c>
      <c r="Q3" t="s">
        <v>71</v>
      </c>
      <c r="R3" t="s">
        <v>72</v>
      </c>
    </row>
    <row r="4" spans="1:18" s="1" customFormat="1" x14ac:dyDescent="0.25">
      <c r="A4" s="1" t="s">
        <v>8</v>
      </c>
      <c r="B4" s="1">
        <v>17094718</v>
      </c>
      <c r="C4" s="1" t="s">
        <v>52</v>
      </c>
      <c r="D4" s="1" t="s">
        <v>53</v>
      </c>
      <c r="E4" s="1" t="str">
        <f t="shared" ref="E4:E6" si="1">_xlfn.CONCAT(D4,89)</f>
        <v>DYCG7C89</v>
      </c>
      <c r="F4" s="1" t="s">
        <v>55</v>
      </c>
      <c r="G4" s="1" t="s">
        <v>56</v>
      </c>
      <c r="H4" s="1" t="str">
        <f t="shared" si="0"/>
        <v>JOE SOUTHERN</v>
      </c>
      <c r="I4" s="1" t="s">
        <v>57</v>
      </c>
      <c r="J4" s="1" t="s">
        <v>58</v>
      </c>
      <c r="K4" s="1" t="s">
        <v>46</v>
      </c>
      <c r="L4" s="1" t="s">
        <v>61</v>
      </c>
      <c r="M4" s="1" t="s">
        <v>50</v>
      </c>
      <c r="N4" s="1">
        <v>234.75</v>
      </c>
      <c r="O4" s="1">
        <v>200</v>
      </c>
      <c r="P4" s="1">
        <v>234.75</v>
      </c>
      <c r="Q4" s="1" t="s">
        <v>70</v>
      </c>
      <c r="R4" s="1" t="s">
        <v>73</v>
      </c>
    </row>
    <row r="5" spans="1:18" s="1" customFormat="1" x14ac:dyDescent="0.25">
      <c r="A5" s="1" t="s">
        <v>8</v>
      </c>
      <c r="B5" s="1">
        <v>20411454</v>
      </c>
      <c r="C5" s="1" t="s">
        <v>75</v>
      </c>
      <c r="D5" s="1" t="s">
        <v>53</v>
      </c>
      <c r="E5" s="1" t="str">
        <f>_xlfn.CONCAT(D5,88)</f>
        <v>DYCG7C88</v>
      </c>
      <c r="F5" s="1" t="s">
        <v>55</v>
      </c>
      <c r="G5" s="1" t="s">
        <v>56</v>
      </c>
      <c r="H5" s="1" t="str">
        <f t="shared" si="0"/>
        <v>JOE SOUTHERN</v>
      </c>
      <c r="I5" s="1" t="s">
        <v>57</v>
      </c>
      <c r="J5" s="1" t="s">
        <v>58</v>
      </c>
      <c r="K5" s="1" t="s">
        <v>46</v>
      </c>
      <c r="L5" s="1" t="s">
        <v>61</v>
      </c>
      <c r="M5" s="1" t="s">
        <v>50</v>
      </c>
      <c r="N5" s="1">
        <v>234.75</v>
      </c>
      <c r="O5" s="1">
        <v>200</v>
      </c>
      <c r="P5" s="1">
        <v>200</v>
      </c>
      <c r="R5" s="1" t="s">
        <v>74</v>
      </c>
    </row>
    <row r="6" spans="1:18" x14ac:dyDescent="0.25">
      <c r="A6" t="s">
        <v>8</v>
      </c>
      <c r="B6">
        <v>18754354</v>
      </c>
      <c r="C6" t="s">
        <v>63</v>
      </c>
      <c r="D6" t="s">
        <v>64</v>
      </c>
      <c r="E6" t="str">
        <f t="shared" si="1"/>
        <v>DE5AJY89</v>
      </c>
      <c r="F6" t="s">
        <v>66</v>
      </c>
      <c r="G6" t="s">
        <v>67</v>
      </c>
      <c r="H6" t="str">
        <f t="shared" si="0"/>
        <v>SCOTT WALLACE</v>
      </c>
      <c r="I6" t="s">
        <v>44</v>
      </c>
      <c r="J6" t="s">
        <v>68</v>
      </c>
      <c r="K6" t="s">
        <v>46</v>
      </c>
      <c r="L6" t="s">
        <v>61</v>
      </c>
      <c r="M6" t="s">
        <v>50</v>
      </c>
      <c r="N6">
        <v>234.75</v>
      </c>
      <c r="O6">
        <v>200</v>
      </c>
      <c r="P6">
        <v>234.75</v>
      </c>
      <c r="Q6" t="s">
        <v>70</v>
      </c>
      <c r="R6" t="s">
        <v>73</v>
      </c>
    </row>
    <row r="7" spans="1:18" x14ac:dyDescent="0.25">
      <c r="A7" t="s">
        <v>8</v>
      </c>
      <c r="B7">
        <v>20411454</v>
      </c>
      <c r="C7" t="s">
        <v>75</v>
      </c>
      <c r="D7" t="s">
        <v>64</v>
      </c>
      <c r="E7" t="str">
        <f>_xlfn.CONCAT(D7,88)</f>
        <v>DE5AJY88</v>
      </c>
      <c r="F7" t="s">
        <v>66</v>
      </c>
      <c r="G7" t="s">
        <v>67</v>
      </c>
      <c r="H7" t="str">
        <f t="shared" si="0"/>
        <v>SCOTT WALLACE</v>
      </c>
      <c r="I7" t="s">
        <v>44</v>
      </c>
      <c r="J7" t="s">
        <v>68</v>
      </c>
      <c r="K7" t="s">
        <v>46</v>
      </c>
      <c r="L7" t="s">
        <v>61</v>
      </c>
      <c r="M7" t="s">
        <v>50</v>
      </c>
      <c r="N7">
        <v>234.75</v>
      </c>
      <c r="O7">
        <v>200</v>
      </c>
      <c r="P7">
        <v>200</v>
      </c>
      <c r="R7" t="s">
        <v>74</v>
      </c>
    </row>
  </sheetData>
  <sortState xmlns:xlrd2="http://schemas.microsoft.com/office/spreadsheetml/2017/richdata2" ref="A4:P7">
    <sortCondition ref="C4:C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2025-04-11T14:20:31Z</dcterms:created>
  <dcterms:modified xsi:type="dcterms:W3CDTF">2025-07-11T23:27:31Z</dcterms:modified>
</cp:coreProperties>
</file>