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09-26-25\"/>
    </mc:Choice>
  </mc:AlternateContent>
  <xr:revisionPtr revIDLastSave="0" documentId="13_ncr:1_{762606AC-A2CF-4762-8481-6796BB1B6FA4}" xr6:coauthVersionLast="47" xr6:coauthVersionMax="47" xr10:uidLastSave="{00000000-0000-0000-0000-000000000000}"/>
  <bookViews>
    <workbookView xWindow="2868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4" r:id="rId3"/>
    <sheet name="Misc" sheetId="3" r:id="rId4"/>
  </sheets>
  <calcPr calcId="181029"/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2" i="4"/>
  <c r="R2" i="4"/>
  <c r="R15" i="4"/>
  <c r="E4" i="4"/>
  <c r="E8" i="4"/>
  <c r="E16" i="4"/>
  <c r="E5" i="4"/>
  <c r="E14" i="4"/>
  <c r="E11" i="4"/>
  <c r="E3" i="4"/>
  <c r="E19" i="4"/>
  <c r="E7" i="4"/>
  <c r="E10" i="4"/>
  <c r="E13" i="4"/>
  <c r="E9" i="4"/>
  <c r="E6" i="4"/>
  <c r="E12" i="4"/>
  <c r="E18" i="4"/>
  <c r="E17" i="4"/>
  <c r="E2" i="4"/>
  <c r="E15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</calcChain>
</file>

<file path=xl/sharedStrings.xml><?xml version="1.0" encoding="utf-8"?>
<sst xmlns="http://schemas.openxmlformats.org/spreadsheetml/2006/main" count="712" uniqueCount="183">
  <si>
    <t>Description</t>
  </si>
  <si>
    <t>Member Count</t>
  </si>
  <si>
    <t>Total</t>
  </si>
  <si>
    <t>Payee</t>
  </si>
  <si>
    <t>Payment Date</t>
  </si>
  <si>
    <t>Credits</t>
  </si>
  <si>
    <t>$944.11</t>
  </si>
  <si>
    <t>Main Line Benefits LLC</t>
  </si>
  <si>
    <t>09/26/2025</t>
  </si>
  <si>
    <t>Debits</t>
  </si>
  <si>
    <t>($128.25)</t>
  </si>
  <si>
    <t>Miscellaneous</t>
  </si>
  <si>
    <t>$50.00</t>
  </si>
  <si>
    <t>Bonus</t>
  </si>
  <si>
    <t>$0.00</t>
  </si>
  <si>
    <t>Sub Total</t>
  </si>
  <si>
    <t>$865.86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</si>
  <si>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</si>
  <si>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</si>
  <si>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</si>
  <si>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</si>
  <si>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</si>
  <si>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</si>
  <si>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</si>
  <si>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</si>
  <si>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</si>
  <si>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</si>
  <si>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</si>
  <si>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</si>
  <si>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</si>
  <si>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</si>
  <si>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</si>
  <si>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</si>
  <si>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</si>
  <si>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</si>
  <si>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</si>
  <si>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</si>
  <si>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</si>
  <si>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</si>
  <si>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</si>
  <si>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</si>
  <si>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19615078</t>
  </si>
  <si>
    <t>Richard Wuensch</t>
  </si>
  <si>
    <t>D939F6</t>
  </si>
  <si>
    <t>4EU7FG8AT48</t>
  </si>
  <si>
    <t>MARIA</t>
  </si>
  <si>
    <t>DENNIE</t>
  </si>
  <si>
    <t>IN</t>
  </si>
  <si>
    <t>10/30/2024</t>
  </si>
  <si>
    <t>01/01/2025</t>
  </si>
  <si>
    <t>09/30/2025</t>
  </si>
  <si>
    <t>H7471</t>
  </si>
  <si>
    <t>MAPD</t>
  </si>
  <si>
    <t>Initial - Not New</t>
  </si>
  <si>
    <t>Jan</t>
  </si>
  <si>
    <t>19586992</t>
  </si>
  <si>
    <t>Barry Schumann</t>
  </si>
  <si>
    <t>D8S2AK</t>
  </si>
  <si>
    <t>7W79C22KP56</t>
  </si>
  <si>
    <t>GAIL</t>
  </si>
  <si>
    <t>VALADEZ</t>
  </si>
  <si>
    <t>IL</t>
  </si>
  <si>
    <t>08/30/2025</t>
  </si>
  <si>
    <t>09/01/2025</t>
  </si>
  <si>
    <t>H7151</t>
  </si>
  <si>
    <t>Sep</t>
  </si>
  <si>
    <t>17126004</t>
  </si>
  <si>
    <t>Stephanie Drapac</t>
  </si>
  <si>
    <t>D8YS8Y</t>
  </si>
  <si>
    <t>9QE9Q25VU37</t>
  </si>
  <si>
    <t>MARYANN</t>
  </si>
  <si>
    <t>CHINDERLE</t>
  </si>
  <si>
    <t>08/06/2024</t>
  </si>
  <si>
    <t>10/01/2024</t>
  </si>
  <si>
    <t>H6545</t>
  </si>
  <si>
    <t>NONE</t>
  </si>
  <si>
    <t>Renewal - Monthly</t>
  </si>
  <si>
    <t>DU896U</t>
  </si>
  <si>
    <t>5CM0EK1XF12</t>
  </si>
  <si>
    <t>LINDA</t>
  </si>
  <si>
    <t>CIANCIO</t>
  </si>
  <si>
    <t>07/24/2024</t>
  </si>
  <si>
    <t>08/01/2024</t>
  </si>
  <si>
    <t>16683808</t>
  </si>
  <si>
    <t>Jonathan Aloff</t>
  </si>
  <si>
    <t>DH28HS</t>
  </si>
  <si>
    <t>3DU4M88UK01</t>
  </si>
  <si>
    <t>MELQUEA</t>
  </si>
  <si>
    <t>EDWARDS</t>
  </si>
  <si>
    <t>TX</t>
  </si>
  <si>
    <t>06/06/2025</t>
  </si>
  <si>
    <t>07/01/2025</t>
  </si>
  <si>
    <t>H7993</t>
  </si>
  <si>
    <t>18754354</t>
  </si>
  <si>
    <t>Jacob Yale</t>
  </si>
  <si>
    <t>D9H8YE</t>
  </si>
  <si>
    <t>1UX3AG1PY96</t>
  </si>
  <si>
    <t>ANNETTE</t>
  </si>
  <si>
    <t>EDWARDSON</t>
  </si>
  <si>
    <t>08/31/2024</t>
  </si>
  <si>
    <t>09/01/2024</t>
  </si>
  <si>
    <t>2158366</t>
  </si>
  <si>
    <t>Jeffrey Horn</t>
  </si>
  <si>
    <t>D6K5SY</t>
  </si>
  <si>
    <t>8EC0EW1WG35</t>
  </si>
  <si>
    <t>SUSAN</t>
  </si>
  <si>
    <t>EICHMAN PARCELL</t>
  </si>
  <si>
    <t>12/01/2024</t>
  </si>
  <si>
    <t>19200754</t>
  </si>
  <si>
    <t>Ricardo Santos</t>
  </si>
  <si>
    <t>D77FJC</t>
  </si>
  <si>
    <t>1H75YU5EY55</t>
  </si>
  <si>
    <t>BETH</t>
  </si>
  <si>
    <t>GONSIEWSKI</t>
  </si>
  <si>
    <t>08/26/2024</t>
  </si>
  <si>
    <t>D7ZW4G</t>
  </si>
  <si>
    <t>3X37JK1GE45</t>
  </si>
  <si>
    <t>JEFFREY</t>
  </si>
  <si>
    <t>JOHNS</t>
  </si>
  <si>
    <t>10/14/2024</t>
  </si>
  <si>
    <t>11/01/2024</t>
  </si>
  <si>
    <t>D4AC9K</t>
  </si>
  <si>
    <t>6GA0R99WK27</t>
  </si>
  <si>
    <t>WILLIAM</t>
  </si>
  <si>
    <t>LUDWIG III</t>
  </si>
  <si>
    <t>10/04/2024</t>
  </si>
  <si>
    <t>PDP</t>
  </si>
  <si>
    <t>DR8EJR</t>
  </si>
  <si>
    <t>4RV9DP2GR28</t>
  </si>
  <si>
    <t>THERESA</t>
  </si>
  <si>
    <t>MCAULEY</t>
  </si>
  <si>
    <t>07/30/2024</t>
  </si>
  <si>
    <t>17301495</t>
  </si>
  <si>
    <t>Esther Herrera-Larsen</t>
  </si>
  <si>
    <t>D2UZFA</t>
  </si>
  <si>
    <t>5KH0A34HV31</t>
  </si>
  <si>
    <t>ABELARDO</t>
  </si>
  <si>
    <t>MONARREZ</t>
  </si>
  <si>
    <t>08/15/2024</t>
  </si>
  <si>
    <t>D3A4KF</t>
  </si>
  <si>
    <t>6DA7U07AX76</t>
  </si>
  <si>
    <t>LAURA</t>
  </si>
  <si>
    <t>MROZEK</t>
  </si>
  <si>
    <t>09/17/2024</t>
  </si>
  <si>
    <t>D538HS</t>
  </si>
  <si>
    <t>8FR8K36WG37</t>
  </si>
  <si>
    <t>JOHN</t>
  </si>
  <si>
    <t>PAUL</t>
  </si>
  <si>
    <t>10/18/2024</t>
  </si>
  <si>
    <t>9213293</t>
  </si>
  <si>
    <t>Gary Portugal</t>
  </si>
  <si>
    <t>DEW7CR</t>
  </si>
  <si>
    <t>9GX4VW5TX84</t>
  </si>
  <si>
    <t>PATRICIA</t>
  </si>
  <si>
    <t>PROCHASKA</t>
  </si>
  <si>
    <t>09/25/2024</t>
  </si>
  <si>
    <t>DA25Z9</t>
  </si>
  <si>
    <t>9GT8GY8NX41</t>
  </si>
  <si>
    <t>NADEZHDA</t>
  </si>
  <si>
    <t>ROMANOVA</t>
  </si>
  <si>
    <t>09/26/2024</t>
  </si>
  <si>
    <t>D8C779</t>
  </si>
  <si>
    <t>2XN3YK0ET73</t>
  </si>
  <si>
    <t>CHRISTOPHER</t>
  </si>
  <si>
    <t>SPRINGER</t>
  </si>
  <si>
    <t>07/29/2024</t>
  </si>
  <si>
    <t>DUW2FG</t>
  </si>
  <si>
    <t>1PD5GW2MJ88</t>
  </si>
  <si>
    <t>EMMA</t>
  </si>
  <si>
    <t>VALE</t>
  </si>
  <si>
    <t>03/05/2025</t>
  </si>
  <si>
    <t>04/01/2025</t>
  </si>
  <si>
    <t>Rep Name</t>
  </si>
  <si>
    <t>Rep ID</t>
  </si>
  <si>
    <t>Amount</t>
  </si>
  <si>
    <t>Note</t>
  </si>
  <si>
    <t>HRA for member Gail Valadez D8S2AK (IL)</t>
  </si>
  <si>
    <t>Devoted MAPD 2025 Ovr</t>
  </si>
  <si>
    <t>Devoted MAPD 2025*</t>
  </si>
  <si>
    <t>[%/$=313][prorate=1/12]</t>
  </si>
  <si>
    <t>[%/$=313][prorate=3/12]</t>
  </si>
  <si>
    <t>[%/$=313][prorate=4/12]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</si>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</sst>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17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1</v>
      </c>
      <c r="C3" t="s">
        <v>10</v>
      </c>
    </row>
    <row r="4" spans="1:6" x14ac:dyDescent="0.25">
      <c r="A4" t="s">
        <v>11</v>
      </c>
      <c r="B4">
        <v>1</v>
      </c>
      <c r="C4" t="s">
        <v>12</v>
      </c>
    </row>
    <row r="5" spans="1:6" x14ac:dyDescent="0.25">
      <c r="A5" t="s">
        <v>13</v>
      </c>
      <c r="C5" t="s">
        <v>14</v>
      </c>
    </row>
    <row r="6" spans="1:6" x14ac:dyDescent="0.25">
      <c r="A6" t="s">
        <v>15</v>
      </c>
      <c r="B6">
        <v>18</v>
      </c>
      <c r="C6" t="s">
        <v>16</v>
      </c>
    </row>
    <row r="7" spans="1:6" x14ac:dyDescent="0.25">
      <c r="A7" t="s">
        <v>17</v>
      </c>
      <c r="C7" t="s">
        <v>14</v>
      </c>
    </row>
    <row r="8" spans="1:6" x14ac:dyDescent="0.25">
      <c r="A8" t="s">
        <v>18</v>
      </c>
      <c r="C8" t="s">
        <v>16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topLeftCell="D1" zoomScaleNormal="100" workbookViewId="0">
      <selection activeCell="D1"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</row>
    <row r="2" spans="1:22" x14ac:dyDescent="0.25">
      <c r="A2" t="s">
        <v>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>
        <v>5</v>
      </c>
      <c r="N2" t="s">
        <v>52</v>
      </c>
      <c r="O2">
        <v>7</v>
      </c>
      <c r="P2" t="s">
        <v>53</v>
      </c>
      <c r="Q2" t="s">
        <v>54</v>
      </c>
      <c r="R2">
        <v>-78.25</v>
      </c>
      <c r="S2">
        <v>-50</v>
      </c>
      <c r="T2">
        <v>-128.25</v>
      </c>
      <c r="U2" t="s">
        <v>7</v>
      </c>
    </row>
    <row r="3" spans="1:22" x14ac:dyDescent="0.25">
      <c r="A3" t="s">
        <v>8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L3" t="s">
        <v>64</v>
      </c>
      <c r="M3">
        <v>3</v>
      </c>
      <c r="O3">
        <v>0</v>
      </c>
      <c r="P3" t="s">
        <v>53</v>
      </c>
      <c r="Q3" t="s">
        <v>65</v>
      </c>
      <c r="R3">
        <v>104.33</v>
      </c>
      <c r="S3">
        <v>200</v>
      </c>
      <c r="T3">
        <v>304.33</v>
      </c>
      <c r="U3" t="s">
        <v>7</v>
      </c>
    </row>
    <row r="4" spans="1:22" x14ac:dyDescent="0.25">
      <c r="A4" t="s">
        <v>8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61</v>
      </c>
      <c r="I4" t="s">
        <v>72</v>
      </c>
      <c r="J4" t="s">
        <v>73</v>
      </c>
      <c r="L4" t="s">
        <v>74</v>
      </c>
      <c r="M4">
        <v>1</v>
      </c>
      <c r="N4" t="s">
        <v>75</v>
      </c>
      <c r="O4">
        <v>2</v>
      </c>
      <c r="P4" t="s">
        <v>76</v>
      </c>
      <c r="Q4" t="s">
        <v>65</v>
      </c>
      <c r="R4">
        <v>26.08</v>
      </c>
      <c r="S4">
        <v>14</v>
      </c>
      <c r="T4">
        <v>40.08</v>
      </c>
      <c r="U4" t="s">
        <v>7</v>
      </c>
    </row>
    <row r="5" spans="1:22" x14ac:dyDescent="0.25">
      <c r="A5" t="s">
        <v>8</v>
      </c>
      <c r="B5" t="s">
        <v>66</v>
      </c>
      <c r="C5" t="s">
        <v>67</v>
      </c>
      <c r="D5" t="s">
        <v>77</v>
      </c>
      <c r="E5" t="s">
        <v>78</v>
      </c>
      <c r="F5" t="s">
        <v>79</v>
      </c>
      <c r="G5" t="s">
        <v>80</v>
      </c>
      <c r="H5" t="s">
        <v>61</v>
      </c>
      <c r="I5" t="s">
        <v>81</v>
      </c>
      <c r="J5" t="s">
        <v>82</v>
      </c>
      <c r="L5" t="s">
        <v>74</v>
      </c>
      <c r="M5">
        <v>1</v>
      </c>
      <c r="N5" t="s">
        <v>75</v>
      </c>
      <c r="O5">
        <v>2</v>
      </c>
      <c r="P5" t="s">
        <v>76</v>
      </c>
      <c r="Q5" t="s">
        <v>65</v>
      </c>
      <c r="R5">
        <v>26.08</v>
      </c>
      <c r="S5">
        <v>14</v>
      </c>
      <c r="T5">
        <v>40.08</v>
      </c>
      <c r="U5" t="s">
        <v>7</v>
      </c>
    </row>
    <row r="6" spans="1:22" x14ac:dyDescent="0.25">
      <c r="A6" t="s">
        <v>8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91</v>
      </c>
      <c r="L6" t="s">
        <v>92</v>
      </c>
      <c r="M6">
        <v>17</v>
      </c>
      <c r="N6" t="s">
        <v>52</v>
      </c>
      <c r="O6">
        <v>5</v>
      </c>
      <c r="P6" t="s">
        <v>76</v>
      </c>
      <c r="Q6" t="s">
        <v>65</v>
      </c>
      <c r="R6">
        <v>26.08</v>
      </c>
      <c r="S6">
        <v>12.5</v>
      </c>
      <c r="T6">
        <v>38.58</v>
      </c>
      <c r="U6" t="s">
        <v>7</v>
      </c>
    </row>
    <row r="7" spans="1:22" x14ac:dyDescent="0.25">
      <c r="A7" t="s">
        <v>8</v>
      </c>
      <c r="B7" t="s">
        <v>93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61</v>
      </c>
      <c r="I7" t="s">
        <v>99</v>
      </c>
      <c r="J7" t="s">
        <v>100</v>
      </c>
      <c r="L7" t="s">
        <v>74</v>
      </c>
      <c r="M7">
        <v>1</v>
      </c>
      <c r="N7" t="s">
        <v>75</v>
      </c>
      <c r="O7">
        <v>2</v>
      </c>
      <c r="P7" t="s">
        <v>76</v>
      </c>
      <c r="Q7" t="s">
        <v>65</v>
      </c>
      <c r="R7">
        <v>26.08</v>
      </c>
      <c r="S7">
        <v>14</v>
      </c>
      <c r="T7">
        <v>40.08</v>
      </c>
      <c r="U7" t="s">
        <v>7</v>
      </c>
    </row>
    <row r="8" spans="1:22" x14ac:dyDescent="0.25">
      <c r="A8" t="s">
        <v>8</v>
      </c>
      <c r="B8" t="s">
        <v>101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  <c r="H8" t="s">
        <v>61</v>
      </c>
      <c r="I8" t="s">
        <v>73</v>
      </c>
      <c r="J8" t="s">
        <v>107</v>
      </c>
      <c r="L8" t="s">
        <v>64</v>
      </c>
      <c r="M8">
        <v>1</v>
      </c>
      <c r="N8" t="s">
        <v>75</v>
      </c>
      <c r="O8">
        <v>2</v>
      </c>
      <c r="P8" t="s">
        <v>76</v>
      </c>
      <c r="Q8" t="s">
        <v>65</v>
      </c>
      <c r="R8">
        <v>26.08</v>
      </c>
      <c r="S8">
        <v>14</v>
      </c>
      <c r="T8">
        <v>40.08</v>
      </c>
      <c r="U8" t="s">
        <v>7</v>
      </c>
    </row>
    <row r="9" spans="1:22" x14ac:dyDescent="0.25">
      <c r="A9" t="s">
        <v>8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61</v>
      </c>
      <c r="I9" t="s">
        <v>114</v>
      </c>
      <c r="J9" t="s">
        <v>73</v>
      </c>
      <c r="L9" t="s">
        <v>74</v>
      </c>
      <c r="M9">
        <v>1</v>
      </c>
      <c r="N9" t="s">
        <v>75</v>
      </c>
      <c r="O9">
        <v>2</v>
      </c>
      <c r="P9" t="s">
        <v>76</v>
      </c>
      <c r="Q9" t="s">
        <v>65</v>
      </c>
      <c r="R9">
        <v>26.08</v>
      </c>
      <c r="S9">
        <v>14</v>
      </c>
      <c r="T9">
        <v>40.08</v>
      </c>
      <c r="U9" t="s">
        <v>7</v>
      </c>
    </row>
    <row r="10" spans="1:22" x14ac:dyDescent="0.25">
      <c r="A10" t="s">
        <v>8</v>
      </c>
      <c r="B10" t="s">
        <v>101</v>
      </c>
      <c r="C10" t="s">
        <v>102</v>
      </c>
      <c r="D10" t="s">
        <v>115</v>
      </c>
      <c r="E10" t="s">
        <v>116</v>
      </c>
      <c r="F10" t="s">
        <v>117</v>
      </c>
      <c r="G10" t="s">
        <v>118</v>
      </c>
      <c r="H10" t="s">
        <v>61</v>
      </c>
      <c r="I10" t="s">
        <v>119</v>
      </c>
      <c r="J10" t="s">
        <v>120</v>
      </c>
      <c r="L10" t="s">
        <v>64</v>
      </c>
      <c r="M10">
        <v>1</v>
      </c>
      <c r="N10" t="s">
        <v>75</v>
      </c>
      <c r="O10">
        <v>2</v>
      </c>
      <c r="P10" t="s">
        <v>76</v>
      </c>
      <c r="Q10" t="s">
        <v>65</v>
      </c>
      <c r="R10">
        <v>26.08</v>
      </c>
      <c r="S10">
        <v>14</v>
      </c>
      <c r="T10">
        <v>40.08</v>
      </c>
      <c r="U10" t="s">
        <v>7</v>
      </c>
    </row>
    <row r="11" spans="1:22" x14ac:dyDescent="0.25">
      <c r="A11" t="s">
        <v>8</v>
      </c>
      <c r="B11" t="s">
        <v>93</v>
      </c>
      <c r="C11" t="s">
        <v>94</v>
      </c>
      <c r="D11" t="s">
        <v>121</v>
      </c>
      <c r="E11" t="s">
        <v>122</v>
      </c>
      <c r="F11" t="s">
        <v>123</v>
      </c>
      <c r="G11" t="s">
        <v>124</v>
      </c>
      <c r="H11" t="s">
        <v>61</v>
      </c>
      <c r="I11" t="s">
        <v>125</v>
      </c>
      <c r="J11" t="s">
        <v>120</v>
      </c>
      <c r="L11" t="s">
        <v>64</v>
      </c>
      <c r="M11">
        <v>1</v>
      </c>
      <c r="N11" t="s">
        <v>126</v>
      </c>
      <c r="O11">
        <v>2</v>
      </c>
      <c r="P11" t="s">
        <v>76</v>
      </c>
      <c r="Q11" t="s">
        <v>65</v>
      </c>
      <c r="R11">
        <v>26.08</v>
      </c>
      <c r="S11">
        <v>14</v>
      </c>
      <c r="T11">
        <v>40.08</v>
      </c>
      <c r="U11" t="s">
        <v>7</v>
      </c>
    </row>
    <row r="12" spans="1:22" x14ac:dyDescent="0.25">
      <c r="A12" t="s">
        <v>8</v>
      </c>
      <c r="B12" t="s">
        <v>66</v>
      </c>
      <c r="C12" t="s">
        <v>67</v>
      </c>
      <c r="D12" t="s">
        <v>127</v>
      </c>
      <c r="E12" t="s">
        <v>128</v>
      </c>
      <c r="F12" t="s">
        <v>129</v>
      </c>
      <c r="G12" t="s">
        <v>130</v>
      </c>
      <c r="H12" t="s">
        <v>61</v>
      </c>
      <c r="I12" t="s">
        <v>131</v>
      </c>
      <c r="J12" t="s">
        <v>82</v>
      </c>
      <c r="L12" t="s">
        <v>74</v>
      </c>
      <c r="M12">
        <v>1</v>
      </c>
      <c r="N12" t="s">
        <v>75</v>
      </c>
      <c r="O12">
        <v>2</v>
      </c>
      <c r="P12" t="s">
        <v>76</v>
      </c>
      <c r="Q12" t="s">
        <v>65</v>
      </c>
      <c r="R12">
        <v>26.08</v>
      </c>
      <c r="S12">
        <v>14</v>
      </c>
      <c r="T12">
        <v>40.08</v>
      </c>
      <c r="U12" t="s">
        <v>7</v>
      </c>
    </row>
    <row r="13" spans="1:22" x14ac:dyDescent="0.25">
      <c r="A13" t="s">
        <v>8</v>
      </c>
      <c r="B13" t="s">
        <v>132</v>
      </c>
      <c r="C13" t="s">
        <v>133</v>
      </c>
      <c r="D13" t="s">
        <v>134</v>
      </c>
      <c r="E13" t="s">
        <v>135</v>
      </c>
      <c r="F13" t="s">
        <v>136</v>
      </c>
      <c r="G13" t="s">
        <v>137</v>
      </c>
      <c r="H13" t="s">
        <v>61</v>
      </c>
      <c r="I13" t="s">
        <v>138</v>
      </c>
      <c r="J13" t="s">
        <v>100</v>
      </c>
      <c r="L13" t="s">
        <v>74</v>
      </c>
      <c r="M13">
        <v>1</v>
      </c>
      <c r="N13" t="s">
        <v>75</v>
      </c>
      <c r="O13">
        <v>2</v>
      </c>
      <c r="P13" t="s">
        <v>76</v>
      </c>
      <c r="Q13" t="s">
        <v>65</v>
      </c>
      <c r="R13">
        <v>26.08</v>
      </c>
      <c r="S13">
        <v>14</v>
      </c>
      <c r="T13">
        <v>40.08</v>
      </c>
      <c r="U13" t="s">
        <v>7</v>
      </c>
    </row>
    <row r="14" spans="1:22" x14ac:dyDescent="0.25">
      <c r="A14" t="s">
        <v>8</v>
      </c>
      <c r="B14" t="s">
        <v>101</v>
      </c>
      <c r="C14" t="s">
        <v>102</v>
      </c>
      <c r="D14" t="s">
        <v>139</v>
      </c>
      <c r="E14" t="s">
        <v>140</v>
      </c>
      <c r="F14" t="s">
        <v>141</v>
      </c>
      <c r="G14" t="s">
        <v>142</v>
      </c>
      <c r="H14" t="s">
        <v>61</v>
      </c>
      <c r="I14" t="s">
        <v>143</v>
      </c>
      <c r="J14" t="s">
        <v>73</v>
      </c>
      <c r="L14" t="s">
        <v>74</v>
      </c>
      <c r="M14">
        <v>1</v>
      </c>
      <c r="N14" t="s">
        <v>52</v>
      </c>
      <c r="O14">
        <v>6</v>
      </c>
      <c r="P14" t="s">
        <v>76</v>
      </c>
      <c r="Q14" t="s">
        <v>65</v>
      </c>
      <c r="R14">
        <v>26.08</v>
      </c>
      <c r="S14">
        <v>14</v>
      </c>
      <c r="T14">
        <v>40.08</v>
      </c>
      <c r="U14" t="s">
        <v>7</v>
      </c>
    </row>
    <row r="15" spans="1:22" x14ac:dyDescent="0.25">
      <c r="A15" t="s">
        <v>8</v>
      </c>
      <c r="B15" t="s">
        <v>108</v>
      </c>
      <c r="C15" t="s">
        <v>109</v>
      </c>
      <c r="D15" t="s">
        <v>144</v>
      </c>
      <c r="E15" t="s">
        <v>145</v>
      </c>
      <c r="F15" t="s">
        <v>146</v>
      </c>
      <c r="G15" t="s">
        <v>147</v>
      </c>
      <c r="H15" t="s">
        <v>61</v>
      </c>
      <c r="I15" t="s">
        <v>148</v>
      </c>
      <c r="J15" t="s">
        <v>120</v>
      </c>
      <c r="L15" t="s">
        <v>64</v>
      </c>
      <c r="M15">
        <v>1</v>
      </c>
      <c r="N15" t="s">
        <v>75</v>
      </c>
      <c r="O15">
        <v>2</v>
      </c>
      <c r="P15" t="s">
        <v>76</v>
      </c>
      <c r="Q15" t="s">
        <v>65</v>
      </c>
      <c r="R15">
        <v>26.08</v>
      </c>
      <c r="S15">
        <v>14</v>
      </c>
      <c r="T15">
        <v>40.08</v>
      </c>
      <c r="U15" t="s">
        <v>7</v>
      </c>
    </row>
    <row r="16" spans="1:22" x14ac:dyDescent="0.25">
      <c r="A16" t="s">
        <v>8</v>
      </c>
      <c r="B16" t="s">
        <v>149</v>
      </c>
      <c r="C16" t="s">
        <v>150</v>
      </c>
      <c r="D16" t="s">
        <v>151</v>
      </c>
      <c r="E16" t="s">
        <v>152</v>
      </c>
      <c r="F16" t="s">
        <v>153</v>
      </c>
      <c r="G16" t="s">
        <v>154</v>
      </c>
      <c r="H16" t="s">
        <v>61</v>
      </c>
      <c r="I16" t="s">
        <v>155</v>
      </c>
      <c r="J16" t="s">
        <v>120</v>
      </c>
      <c r="L16" t="s">
        <v>74</v>
      </c>
      <c r="M16">
        <v>1</v>
      </c>
      <c r="N16" t="s">
        <v>75</v>
      </c>
      <c r="O16">
        <v>2</v>
      </c>
      <c r="P16" t="s">
        <v>76</v>
      </c>
      <c r="Q16" t="s">
        <v>65</v>
      </c>
      <c r="R16">
        <v>26.08</v>
      </c>
      <c r="S16">
        <v>14</v>
      </c>
      <c r="T16">
        <v>40.08</v>
      </c>
      <c r="U16" t="s">
        <v>7</v>
      </c>
    </row>
    <row r="17" spans="1:21" x14ac:dyDescent="0.25">
      <c r="A17" t="s">
        <v>8</v>
      </c>
      <c r="B17" t="s">
        <v>41</v>
      </c>
      <c r="C17" t="s">
        <v>42</v>
      </c>
      <c r="D17" t="s">
        <v>156</v>
      </c>
      <c r="E17" t="s">
        <v>157</v>
      </c>
      <c r="F17" t="s">
        <v>158</v>
      </c>
      <c r="G17" t="s">
        <v>159</v>
      </c>
      <c r="H17" t="s">
        <v>61</v>
      </c>
      <c r="I17" t="s">
        <v>160</v>
      </c>
      <c r="J17" t="s">
        <v>73</v>
      </c>
      <c r="L17" t="s">
        <v>74</v>
      </c>
      <c r="M17">
        <v>1</v>
      </c>
      <c r="N17" t="s">
        <v>75</v>
      </c>
      <c r="O17">
        <v>2</v>
      </c>
      <c r="P17" t="s">
        <v>76</v>
      </c>
      <c r="Q17" t="s">
        <v>65</v>
      </c>
      <c r="R17">
        <v>26.08</v>
      </c>
      <c r="S17">
        <v>14</v>
      </c>
      <c r="T17">
        <v>40.08</v>
      </c>
      <c r="U17" t="s">
        <v>7</v>
      </c>
    </row>
    <row r="18" spans="1:21" x14ac:dyDescent="0.25">
      <c r="A18" t="s">
        <v>8</v>
      </c>
      <c r="B18" t="s">
        <v>93</v>
      </c>
      <c r="C18" t="s">
        <v>94</v>
      </c>
      <c r="D18" t="s">
        <v>161</v>
      </c>
      <c r="E18" t="s">
        <v>162</v>
      </c>
      <c r="F18" t="s">
        <v>163</v>
      </c>
      <c r="G18" t="s">
        <v>164</v>
      </c>
      <c r="H18" t="s">
        <v>61</v>
      </c>
      <c r="I18" t="s">
        <v>165</v>
      </c>
      <c r="J18" t="s">
        <v>82</v>
      </c>
      <c r="L18" t="s">
        <v>64</v>
      </c>
      <c r="M18">
        <v>1</v>
      </c>
      <c r="N18" t="s">
        <v>75</v>
      </c>
      <c r="O18">
        <v>2</v>
      </c>
      <c r="P18" t="s">
        <v>76</v>
      </c>
      <c r="Q18" t="s">
        <v>65</v>
      </c>
      <c r="R18">
        <v>26.08</v>
      </c>
      <c r="S18">
        <v>14</v>
      </c>
      <c r="T18">
        <v>40.08</v>
      </c>
      <c r="U18" t="s">
        <v>7</v>
      </c>
    </row>
    <row r="19" spans="1:21" x14ac:dyDescent="0.25">
      <c r="A19" t="s">
        <v>8</v>
      </c>
      <c r="B19" t="s">
        <v>132</v>
      </c>
      <c r="C19" t="s">
        <v>133</v>
      </c>
      <c r="D19" t="s">
        <v>166</v>
      </c>
      <c r="E19" t="s">
        <v>167</v>
      </c>
      <c r="F19" t="s">
        <v>168</v>
      </c>
      <c r="G19" t="s">
        <v>169</v>
      </c>
      <c r="H19" t="s">
        <v>61</v>
      </c>
      <c r="I19" t="s">
        <v>170</v>
      </c>
      <c r="J19" t="s">
        <v>171</v>
      </c>
      <c r="L19" t="s">
        <v>74</v>
      </c>
      <c r="M19">
        <v>1</v>
      </c>
      <c r="N19" t="s">
        <v>52</v>
      </c>
      <c r="O19">
        <v>2</v>
      </c>
      <c r="P19" t="s">
        <v>76</v>
      </c>
      <c r="Q19" t="s">
        <v>65</v>
      </c>
      <c r="R19">
        <v>26.08</v>
      </c>
      <c r="S19">
        <v>14</v>
      </c>
      <c r="T19">
        <v>40.08</v>
      </c>
      <c r="U19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9593-1FD1-4D14-ABF4-BF5063268200}">
  <dimension ref="A1:R37"/>
  <sheetViews>
    <sheetView tabSelected="1" workbookViewId="0">
      <selection activeCell="Q2" sqref="Q2:Q19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5" width="15" customWidth="1"/>
    <col min="7" max="7" width="12.7109375" customWidth="1"/>
    <col min="8" max="8" width="13.5703125" bestFit="1" customWidth="1"/>
    <col min="9" max="9" width="13.42578125" customWidth="1"/>
    <col min="10" max="10" width="16.7109375" customWidth="1"/>
    <col min="11" max="11" width="6.85546875" bestFit="1" customWidth="1"/>
    <col min="12" max="12" width="12.85546875" customWidth="1"/>
    <col min="13" max="13" width="14.5703125" customWidth="1"/>
    <col min="14" max="14" width="14" customWidth="1"/>
    <col min="15" max="15" width="25.7109375" customWidth="1"/>
    <col min="16" max="16" width="22.85546875" bestFit="1" customWidth="1"/>
    <col min="17" max="17" width="23.140625" bestFit="1" customWidth="1"/>
  </cols>
  <sheetData>
    <row r="1" spans="1:18" x14ac:dyDescent="0.25">
      <c r="A1" t="s">
        <v>19</v>
      </c>
      <c r="B1" t="s">
        <v>20</v>
      </c>
      <c r="C1" t="s">
        <v>21</v>
      </c>
      <c r="D1" t="s">
        <v>22</v>
      </c>
      <c r="F1" t="s">
        <v>24</v>
      </c>
      <c r="G1" t="s">
        <v>25</v>
      </c>
      <c r="I1" t="s">
        <v>28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</row>
    <row r="2" spans="1:18" s="1" customFormat="1" x14ac:dyDescent="0.25">
      <c r="A2" s="1" t="s">
        <v>8</v>
      </c>
      <c r="B2" s="3">
        <v>19586992</v>
      </c>
      <c r="C2" s="1" t="s">
        <v>56</v>
      </c>
      <c r="D2" s="1" t="s">
        <v>57</v>
      </c>
      <c r="E2" s="1" t="str">
        <f>CONCATENATE(D2,89)</f>
        <v>D8S2AK89</v>
      </c>
      <c r="F2" s="1" t="s">
        <v>59</v>
      </c>
      <c r="G2" s="1" t="s">
        <v>60</v>
      </c>
      <c r="H2" s="1" t="str">
        <f>CONCATENATE(F2, " ",G2)</f>
        <v>GAIL VALADEZ</v>
      </c>
      <c r="I2" s="1" t="s">
        <v>63</v>
      </c>
      <c r="J2" s="1" t="s">
        <v>53</v>
      </c>
      <c r="K2" s="1" t="s">
        <v>65</v>
      </c>
      <c r="L2" s="1">
        <v>104.33</v>
      </c>
      <c r="M2" s="1">
        <v>200</v>
      </c>
      <c r="N2" s="1">
        <v>104.33</v>
      </c>
      <c r="O2" s="1" t="s">
        <v>7</v>
      </c>
      <c r="P2" s="1" t="s">
        <v>178</v>
      </c>
      <c r="Q2" s="1" t="s">
        <v>181</v>
      </c>
      <c r="R2" s="1">
        <f>313/12*4</f>
        <v>104.33333333333333</v>
      </c>
    </row>
    <row r="3" spans="1:18" s="1" customFormat="1" x14ac:dyDescent="0.25">
      <c r="A3" s="1" t="s">
        <v>8</v>
      </c>
      <c r="B3" s="3">
        <v>17301495</v>
      </c>
      <c r="C3" s="1" t="s">
        <v>133</v>
      </c>
      <c r="D3" s="1" t="s">
        <v>134</v>
      </c>
      <c r="E3" s="1" t="str">
        <f>CONCATENATE(D3,89)</f>
        <v>D2UZFA89</v>
      </c>
      <c r="F3" s="1" t="s">
        <v>136</v>
      </c>
      <c r="G3" s="1" t="s">
        <v>137</v>
      </c>
      <c r="H3" s="1" t="str">
        <f t="shared" ref="H3:H37" si="0">CONCATENATE(F3, " ",G3)</f>
        <v>ABELARDO MONARREZ</v>
      </c>
      <c r="I3" s="1" t="s">
        <v>100</v>
      </c>
      <c r="J3" s="1" t="s">
        <v>76</v>
      </c>
      <c r="K3" s="1" t="s">
        <v>65</v>
      </c>
      <c r="L3" s="1">
        <v>26.08</v>
      </c>
      <c r="M3" s="1">
        <v>14</v>
      </c>
      <c r="N3" s="1">
        <v>26.08</v>
      </c>
      <c r="O3" s="1" t="s">
        <v>7</v>
      </c>
      <c r="P3" s="1" t="s">
        <v>178</v>
      </c>
      <c r="Q3" s="1" t="s">
        <v>179</v>
      </c>
    </row>
    <row r="4" spans="1:18" s="1" customFormat="1" x14ac:dyDescent="0.25">
      <c r="A4" s="1" t="s">
        <v>8</v>
      </c>
      <c r="B4" s="3">
        <v>17301495</v>
      </c>
      <c r="C4" s="1" t="s">
        <v>133</v>
      </c>
      <c r="D4" s="1" t="s">
        <v>166</v>
      </c>
      <c r="E4" s="1" t="str">
        <f>CONCATENATE(D4,89)</f>
        <v>DUW2FG89</v>
      </c>
      <c r="F4" s="1" t="s">
        <v>168</v>
      </c>
      <c r="G4" s="1" t="s">
        <v>169</v>
      </c>
      <c r="H4" s="1" t="str">
        <f t="shared" si="0"/>
        <v>EMMA VALE</v>
      </c>
      <c r="I4" s="1" t="s">
        <v>171</v>
      </c>
      <c r="J4" s="1" t="s">
        <v>76</v>
      </c>
      <c r="K4" s="1" t="s">
        <v>65</v>
      </c>
      <c r="L4" s="1">
        <v>26.08</v>
      </c>
      <c r="M4" s="1">
        <v>14</v>
      </c>
      <c r="N4" s="1">
        <v>26.08</v>
      </c>
      <c r="O4" s="1" t="s">
        <v>7</v>
      </c>
      <c r="P4" s="1" t="s">
        <v>178</v>
      </c>
      <c r="Q4" s="1" t="s">
        <v>179</v>
      </c>
    </row>
    <row r="5" spans="1:18" s="1" customFormat="1" x14ac:dyDescent="0.25">
      <c r="A5" s="1" t="s">
        <v>8</v>
      </c>
      <c r="B5" s="3">
        <v>9213293</v>
      </c>
      <c r="C5" s="1" t="s">
        <v>150</v>
      </c>
      <c r="D5" s="1" t="s">
        <v>151</v>
      </c>
      <c r="E5" s="1" t="str">
        <f>CONCATENATE(D5,89)</f>
        <v>DEW7CR89</v>
      </c>
      <c r="F5" s="1" t="s">
        <v>153</v>
      </c>
      <c r="G5" s="1" t="s">
        <v>154</v>
      </c>
      <c r="H5" s="1" t="str">
        <f t="shared" si="0"/>
        <v>PATRICIA PROCHASKA</v>
      </c>
      <c r="I5" s="1" t="s">
        <v>120</v>
      </c>
      <c r="J5" s="1" t="s">
        <v>76</v>
      </c>
      <c r="K5" s="1" t="s">
        <v>65</v>
      </c>
      <c r="L5" s="1">
        <v>26.08</v>
      </c>
      <c r="M5" s="1">
        <v>14</v>
      </c>
      <c r="N5" s="1">
        <v>26.08</v>
      </c>
      <c r="O5" s="1" t="s">
        <v>7</v>
      </c>
      <c r="P5" s="1" t="s">
        <v>178</v>
      </c>
      <c r="Q5" s="1" t="s">
        <v>179</v>
      </c>
    </row>
    <row r="6" spans="1:18" s="1" customFormat="1" x14ac:dyDescent="0.25">
      <c r="A6" s="1" t="s">
        <v>8</v>
      </c>
      <c r="B6" s="3">
        <v>18754354</v>
      </c>
      <c r="C6" s="1" t="s">
        <v>94</v>
      </c>
      <c r="D6" s="1" t="s">
        <v>95</v>
      </c>
      <c r="E6" s="1" t="str">
        <f>CONCATENATE(D6,89)</f>
        <v>D9H8YE89</v>
      </c>
      <c r="F6" s="1" t="s">
        <v>97</v>
      </c>
      <c r="G6" s="1" t="s">
        <v>98</v>
      </c>
      <c r="H6" s="1" t="str">
        <f t="shared" si="0"/>
        <v>ANNETTE EDWARDSON</v>
      </c>
      <c r="I6" s="1" t="s">
        <v>100</v>
      </c>
      <c r="J6" s="1" t="s">
        <v>76</v>
      </c>
      <c r="K6" s="1" t="s">
        <v>65</v>
      </c>
      <c r="L6" s="1">
        <v>26.08</v>
      </c>
      <c r="M6" s="1">
        <v>14</v>
      </c>
      <c r="N6" s="1">
        <v>26.08</v>
      </c>
      <c r="O6" s="1" t="s">
        <v>7</v>
      </c>
      <c r="P6" s="1" t="s">
        <v>178</v>
      </c>
      <c r="Q6" s="1" t="s">
        <v>179</v>
      </c>
    </row>
    <row r="7" spans="1:18" s="1" customFormat="1" x14ac:dyDescent="0.25">
      <c r="A7" s="1" t="s">
        <v>8</v>
      </c>
      <c r="B7" s="3">
        <v>18754354</v>
      </c>
      <c r="C7" s="1" t="s">
        <v>94</v>
      </c>
      <c r="D7" s="1" t="s">
        <v>121</v>
      </c>
      <c r="E7" s="1" t="str">
        <f>CONCATENATE(D7,89)</f>
        <v>D4AC9K89</v>
      </c>
      <c r="F7" s="1" t="s">
        <v>123</v>
      </c>
      <c r="G7" s="1" t="s">
        <v>124</v>
      </c>
      <c r="H7" s="1" t="str">
        <f t="shared" si="0"/>
        <v>WILLIAM LUDWIG III</v>
      </c>
      <c r="I7" s="1" t="s">
        <v>120</v>
      </c>
      <c r="J7" s="1" t="s">
        <v>76</v>
      </c>
      <c r="K7" s="1" t="s">
        <v>65</v>
      </c>
      <c r="L7" s="1">
        <v>26.08</v>
      </c>
      <c r="M7" s="1">
        <v>14</v>
      </c>
      <c r="N7" s="1">
        <v>26.08</v>
      </c>
      <c r="O7" s="1" t="s">
        <v>7</v>
      </c>
      <c r="P7" s="1" t="s">
        <v>178</v>
      </c>
      <c r="Q7" s="1" t="s">
        <v>179</v>
      </c>
    </row>
    <row r="8" spans="1:18" s="1" customFormat="1" x14ac:dyDescent="0.25">
      <c r="A8" s="1" t="s">
        <v>8</v>
      </c>
      <c r="B8" s="3">
        <v>18754354</v>
      </c>
      <c r="C8" s="1" t="s">
        <v>94</v>
      </c>
      <c r="D8" s="1" t="s">
        <v>161</v>
      </c>
      <c r="E8" s="1" t="str">
        <f>CONCATENATE(D8,89)</f>
        <v>D8C77989</v>
      </c>
      <c r="F8" s="1" t="s">
        <v>163</v>
      </c>
      <c r="G8" s="1" t="s">
        <v>164</v>
      </c>
      <c r="H8" s="1" t="str">
        <f t="shared" si="0"/>
        <v>CHRISTOPHER SPRINGER</v>
      </c>
      <c r="I8" s="1" t="s">
        <v>82</v>
      </c>
      <c r="J8" s="1" t="s">
        <v>76</v>
      </c>
      <c r="K8" s="1" t="s">
        <v>65</v>
      </c>
      <c r="L8" s="1">
        <v>26.08</v>
      </c>
      <c r="M8" s="1">
        <v>14</v>
      </c>
      <c r="N8" s="1">
        <v>26.08</v>
      </c>
      <c r="O8" s="1" t="s">
        <v>7</v>
      </c>
      <c r="P8" s="1" t="s">
        <v>178</v>
      </c>
      <c r="Q8" s="1" t="s">
        <v>179</v>
      </c>
    </row>
    <row r="9" spans="1:18" s="1" customFormat="1" x14ac:dyDescent="0.25">
      <c r="A9" s="1" t="s">
        <v>8</v>
      </c>
      <c r="B9" s="3">
        <v>2158366</v>
      </c>
      <c r="C9" s="1" t="s">
        <v>102</v>
      </c>
      <c r="D9" s="1" t="s">
        <v>103</v>
      </c>
      <c r="E9" s="1" t="str">
        <f>CONCATENATE(D9,89)</f>
        <v>D6K5SY89</v>
      </c>
      <c r="F9" s="1" t="s">
        <v>105</v>
      </c>
      <c r="G9" s="1" t="s">
        <v>106</v>
      </c>
      <c r="H9" s="1" t="str">
        <f t="shared" si="0"/>
        <v>SUSAN EICHMAN PARCELL</v>
      </c>
      <c r="I9" s="1" t="s">
        <v>107</v>
      </c>
      <c r="J9" s="1" t="s">
        <v>76</v>
      </c>
      <c r="K9" s="1" t="s">
        <v>65</v>
      </c>
      <c r="L9" s="1">
        <v>26.08</v>
      </c>
      <c r="M9" s="1">
        <v>14</v>
      </c>
      <c r="N9" s="1">
        <v>26.08</v>
      </c>
      <c r="O9" s="1" t="s">
        <v>7</v>
      </c>
      <c r="P9" s="1" t="s">
        <v>178</v>
      </c>
      <c r="Q9" s="1" t="s">
        <v>179</v>
      </c>
    </row>
    <row r="10" spans="1:18" s="1" customFormat="1" x14ac:dyDescent="0.25">
      <c r="A10" s="1" t="s">
        <v>8</v>
      </c>
      <c r="B10" s="3">
        <v>2158366</v>
      </c>
      <c r="C10" s="1" t="s">
        <v>102</v>
      </c>
      <c r="D10" s="1" t="s">
        <v>115</v>
      </c>
      <c r="E10" s="1" t="str">
        <f>CONCATENATE(D10,89)</f>
        <v>D7ZW4G89</v>
      </c>
      <c r="F10" s="1" t="s">
        <v>117</v>
      </c>
      <c r="G10" s="1" t="s">
        <v>118</v>
      </c>
      <c r="H10" s="1" t="str">
        <f t="shared" si="0"/>
        <v>JEFFREY JOHNS</v>
      </c>
      <c r="I10" s="1" t="s">
        <v>120</v>
      </c>
      <c r="J10" s="1" t="s">
        <v>76</v>
      </c>
      <c r="K10" s="1" t="s">
        <v>65</v>
      </c>
      <c r="L10" s="1">
        <v>26.08</v>
      </c>
      <c r="M10" s="1">
        <v>14</v>
      </c>
      <c r="N10" s="1">
        <v>26.08</v>
      </c>
      <c r="O10" s="1" t="s">
        <v>7</v>
      </c>
      <c r="P10" s="1" t="s">
        <v>178</v>
      </c>
      <c r="Q10" s="1" t="s">
        <v>179</v>
      </c>
    </row>
    <row r="11" spans="1:18" s="1" customFormat="1" x14ac:dyDescent="0.25">
      <c r="A11" s="1" t="s">
        <v>8</v>
      </c>
      <c r="B11" s="3">
        <v>2158366</v>
      </c>
      <c r="C11" s="1" t="s">
        <v>102</v>
      </c>
      <c r="D11" s="1" t="s">
        <v>139</v>
      </c>
      <c r="E11" s="1" t="str">
        <f>CONCATENATE(D11,89)</f>
        <v>D3A4KF89</v>
      </c>
      <c r="F11" s="1" t="s">
        <v>141</v>
      </c>
      <c r="G11" s="1" t="s">
        <v>142</v>
      </c>
      <c r="H11" s="1" t="str">
        <f t="shared" si="0"/>
        <v>LAURA MROZEK</v>
      </c>
      <c r="I11" s="1" t="s">
        <v>73</v>
      </c>
      <c r="J11" s="1" t="s">
        <v>76</v>
      </c>
      <c r="K11" s="1" t="s">
        <v>65</v>
      </c>
      <c r="L11" s="1">
        <v>26.08</v>
      </c>
      <c r="M11" s="1">
        <v>14</v>
      </c>
      <c r="N11" s="1">
        <v>26.08</v>
      </c>
      <c r="O11" s="1" t="s">
        <v>7</v>
      </c>
      <c r="P11" s="1" t="s">
        <v>178</v>
      </c>
      <c r="Q11" s="1" t="s">
        <v>179</v>
      </c>
    </row>
    <row r="12" spans="1:18" s="1" customFormat="1" x14ac:dyDescent="0.25">
      <c r="A12" s="1" t="s">
        <v>8</v>
      </c>
      <c r="B12" s="3">
        <v>16683808</v>
      </c>
      <c r="C12" s="1" t="s">
        <v>84</v>
      </c>
      <c r="D12" s="1" t="s">
        <v>85</v>
      </c>
      <c r="E12" s="1" t="str">
        <f>CONCATENATE(D12,89)</f>
        <v>DH28HS89</v>
      </c>
      <c r="F12" s="1" t="s">
        <v>87</v>
      </c>
      <c r="G12" s="1" t="s">
        <v>88</v>
      </c>
      <c r="H12" s="1" t="str">
        <f t="shared" si="0"/>
        <v>MELQUEA EDWARDS</v>
      </c>
      <c r="I12" s="1" t="s">
        <v>91</v>
      </c>
      <c r="J12" s="1" t="s">
        <v>76</v>
      </c>
      <c r="K12" s="1" t="s">
        <v>65</v>
      </c>
      <c r="L12" s="1">
        <v>26.08</v>
      </c>
      <c r="M12" s="1">
        <v>12.5</v>
      </c>
      <c r="N12" s="1">
        <v>26.08</v>
      </c>
      <c r="O12" s="1" t="s">
        <v>7</v>
      </c>
      <c r="P12" s="1" t="s">
        <v>178</v>
      </c>
      <c r="Q12" s="1" t="s">
        <v>179</v>
      </c>
    </row>
    <row r="13" spans="1:18" s="1" customFormat="1" x14ac:dyDescent="0.25">
      <c r="A13" s="1" t="s">
        <v>8</v>
      </c>
      <c r="B13" s="3">
        <v>19200754</v>
      </c>
      <c r="C13" s="1" t="s">
        <v>109</v>
      </c>
      <c r="D13" s="1" t="s">
        <v>110</v>
      </c>
      <c r="E13" s="1" t="str">
        <f>CONCATENATE(D13,89)</f>
        <v>D77FJC89</v>
      </c>
      <c r="F13" s="1" t="s">
        <v>112</v>
      </c>
      <c r="G13" s="1" t="s">
        <v>113</v>
      </c>
      <c r="H13" s="1" t="str">
        <f t="shared" si="0"/>
        <v>BETH GONSIEWSKI</v>
      </c>
      <c r="I13" s="1" t="s">
        <v>73</v>
      </c>
      <c r="J13" s="1" t="s">
        <v>76</v>
      </c>
      <c r="K13" s="1" t="s">
        <v>65</v>
      </c>
      <c r="L13" s="1">
        <v>26.08</v>
      </c>
      <c r="M13" s="1">
        <v>14</v>
      </c>
      <c r="N13" s="1">
        <v>26.08</v>
      </c>
      <c r="O13" s="1" t="s">
        <v>7</v>
      </c>
      <c r="P13" s="1" t="s">
        <v>178</v>
      </c>
      <c r="Q13" s="1" t="s">
        <v>179</v>
      </c>
    </row>
    <row r="14" spans="1:18" s="1" customFormat="1" x14ac:dyDescent="0.25">
      <c r="A14" s="1" t="s">
        <v>8</v>
      </c>
      <c r="B14" s="3">
        <v>19200754</v>
      </c>
      <c r="C14" s="1" t="s">
        <v>109</v>
      </c>
      <c r="D14" s="1" t="s">
        <v>144</v>
      </c>
      <c r="E14" s="1" t="str">
        <f>CONCATENATE(D14,89)</f>
        <v>D538HS89</v>
      </c>
      <c r="F14" s="1" t="s">
        <v>146</v>
      </c>
      <c r="G14" s="1" t="s">
        <v>147</v>
      </c>
      <c r="H14" s="1" t="str">
        <f t="shared" si="0"/>
        <v>JOHN PAUL</v>
      </c>
      <c r="I14" s="1" t="s">
        <v>120</v>
      </c>
      <c r="J14" s="1" t="s">
        <v>76</v>
      </c>
      <c r="K14" s="1" t="s">
        <v>65</v>
      </c>
      <c r="L14" s="1">
        <v>26.08</v>
      </c>
      <c r="M14" s="1">
        <v>14</v>
      </c>
      <c r="N14" s="1">
        <v>26.08</v>
      </c>
      <c r="O14" s="1" t="s">
        <v>7</v>
      </c>
      <c r="P14" s="1" t="s">
        <v>178</v>
      </c>
      <c r="Q14" s="1" t="s">
        <v>179</v>
      </c>
    </row>
    <row r="15" spans="1:18" s="1" customFormat="1" x14ac:dyDescent="0.25">
      <c r="A15" s="1" t="s">
        <v>8</v>
      </c>
      <c r="B15" s="3">
        <v>19615078</v>
      </c>
      <c r="C15" s="1" t="s">
        <v>42</v>
      </c>
      <c r="D15" s="1" t="s">
        <v>43</v>
      </c>
      <c r="E15" s="1" t="str">
        <f>CONCATENATE(D15,89)</f>
        <v>D939F689</v>
      </c>
      <c r="F15" s="1" t="s">
        <v>45</v>
      </c>
      <c r="G15" s="1" t="s">
        <v>46</v>
      </c>
      <c r="H15" s="1" t="str">
        <f t="shared" si="0"/>
        <v>MARIA DENNIE</v>
      </c>
      <c r="I15" s="1" t="s">
        <v>49</v>
      </c>
      <c r="J15" s="1" t="s">
        <v>53</v>
      </c>
      <c r="K15" s="1" t="s">
        <v>54</v>
      </c>
      <c r="L15" s="1">
        <v>-78.25</v>
      </c>
      <c r="M15" s="1">
        <v>-50</v>
      </c>
      <c r="N15" s="1">
        <v>-78.25</v>
      </c>
      <c r="O15" s="1" t="s">
        <v>7</v>
      </c>
      <c r="P15" s="1" t="s">
        <v>178</v>
      </c>
      <c r="Q15" s="1" t="s">
        <v>180</v>
      </c>
      <c r="R15" s="1">
        <f>313/12*3</f>
        <v>78.25</v>
      </c>
    </row>
    <row r="16" spans="1:18" s="1" customFormat="1" x14ac:dyDescent="0.25">
      <c r="A16" s="1" t="s">
        <v>8</v>
      </c>
      <c r="B16" s="3">
        <v>19615078</v>
      </c>
      <c r="C16" s="1" t="s">
        <v>42</v>
      </c>
      <c r="D16" s="1" t="s">
        <v>156</v>
      </c>
      <c r="E16" s="1" t="str">
        <f>CONCATENATE(D16,89)</f>
        <v>DA25Z989</v>
      </c>
      <c r="F16" s="1" t="s">
        <v>158</v>
      </c>
      <c r="G16" s="1" t="s">
        <v>159</v>
      </c>
      <c r="H16" s="1" t="str">
        <f t="shared" si="0"/>
        <v>NADEZHDA ROMANOVA</v>
      </c>
      <c r="I16" s="1" t="s">
        <v>73</v>
      </c>
      <c r="J16" s="1" t="s">
        <v>76</v>
      </c>
      <c r="K16" s="1" t="s">
        <v>65</v>
      </c>
      <c r="L16" s="1">
        <v>26.08</v>
      </c>
      <c r="M16" s="1">
        <v>14</v>
      </c>
      <c r="N16" s="1">
        <v>26.08</v>
      </c>
      <c r="O16" s="1" t="s">
        <v>7</v>
      </c>
      <c r="P16" s="1" t="s">
        <v>178</v>
      </c>
      <c r="Q16" s="1" t="s">
        <v>179</v>
      </c>
    </row>
    <row r="17" spans="1:17" s="1" customFormat="1" x14ac:dyDescent="0.25">
      <c r="A17" s="1" t="s">
        <v>8</v>
      </c>
      <c r="B17" s="3">
        <v>17126004</v>
      </c>
      <c r="C17" s="1" t="s">
        <v>67</v>
      </c>
      <c r="D17" s="1" t="s">
        <v>68</v>
      </c>
      <c r="E17" s="1" t="str">
        <f>CONCATENATE(D17,89)</f>
        <v>D8YS8Y89</v>
      </c>
      <c r="F17" s="1" t="s">
        <v>70</v>
      </c>
      <c r="G17" s="1" t="s">
        <v>71</v>
      </c>
      <c r="H17" s="1" t="str">
        <f t="shared" si="0"/>
        <v>MARYANN CHINDERLE</v>
      </c>
      <c r="I17" s="1" t="s">
        <v>73</v>
      </c>
      <c r="J17" s="1" t="s">
        <v>76</v>
      </c>
      <c r="K17" s="1" t="s">
        <v>65</v>
      </c>
      <c r="L17" s="1">
        <v>26.08</v>
      </c>
      <c r="M17" s="1">
        <v>14</v>
      </c>
      <c r="N17" s="1">
        <v>26.08</v>
      </c>
      <c r="O17" s="1" t="s">
        <v>7</v>
      </c>
      <c r="P17" s="1" t="s">
        <v>178</v>
      </c>
      <c r="Q17" s="1" t="s">
        <v>179</v>
      </c>
    </row>
    <row r="18" spans="1:17" s="1" customFormat="1" x14ac:dyDescent="0.25">
      <c r="A18" s="1" t="s">
        <v>8</v>
      </c>
      <c r="B18" s="3">
        <v>17126004</v>
      </c>
      <c r="C18" s="1" t="s">
        <v>67</v>
      </c>
      <c r="D18" s="1" t="s">
        <v>77</v>
      </c>
      <c r="E18" s="1" t="str">
        <f>CONCATENATE(D18,89)</f>
        <v>DU896U89</v>
      </c>
      <c r="F18" s="1" t="s">
        <v>79</v>
      </c>
      <c r="G18" s="1" t="s">
        <v>80</v>
      </c>
      <c r="H18" s="1" t="str">
        <f t="shared" si="0"/>
        <v>LINDA CIANCIO</v>
      </c>
      <c r="I18" s="1" t="s">
        <v>82</v>
      </c>
      <c r="J18" s="1" t="s">
        <v>76</v>
      </c>
      <c r="K18" s="1" t="s">
        <v>65</v>
      </c>
      <c r="L18" s="1">
        <v>26.08</v>
      </c>
      <c r="M18" s="1">
        <v>14</v>
      </c>
      <c r="N18" s="1">
        <v>26.08</v>
      </c>
      <c r="O18" s="1" t="s">
        <v>7</v>
      </c>
      <c r="P18" s="1" t="s">
        <v>178</v>
      </c>
      <c r="Q18" s="1" t="s">
        <v>179</v>
      </c>
    </row>
    <row r="19" spans="1:17" s="1" customFormat="1" x14ac:dyDescent="0.25">
      <c r="A19" s="1" t="s">
        <v>8</v>
      </c>
      <c r="B19" s="3">
        <v>17126004</v>
      </c>
      <c r="C19" s="1" t="s">
        <v>67</v>
      </c>
      <c r="D19" s="1" t="s">
        <v>127</v>
      </c>
      <c r="E19" s="1" t="str">
        <f>CONCATENATE(D19,89)</f>
        <v>DR8EJR89</v>
      </c>
      <c r="F19" s="1" t="s">
        <v>129</v>
      </c>
      <c r="G19" s="1" t="s">
        <v>130</v>
      </c>
      <c r="H19" s="1" t="str">
        <f t="shared" si="0"/>
        <v>THERESA MCAULEY</v>
      </c>
      <c r="I19" s="1" t="s">
        <v>82</v>
      </c>
      <c r="J19" s="1" t="s">
        <v>76</v>
      </c>
      <c r="K19" s="1" t="s">
        <v>65</v>
      </c>
      <c r="L19" s="1">
        <v>26.08</v>
      </c>
      <c r="M19" s="1">
        <v>14</v>
      </c>
      <c r="N19" s="1">
        <v>26.08</v>
      </c>
      <c r="O19" s="1" t="s">
        <v>7</v>
      </c>
      <c r="P19" s="1" t="s">
        <v>178</v>
      </c>
      <c r="Q19" s="1" t="s">
        <v>179</v>
      </c>
    </row>
    <row r="20" spans="1:17" s="2" customFormat="1" x14ac:dyDescent="0.25">
      <c r="A20" s="2" t="s">
        <v>8</v>
      </c>
      <c r="B20" s="2">
        <v>20411454</v>
      </c>
      <c r="C20" s="2" t="s">
        <v>182</v>
      </c>
      <c r="D20" s="2" t="s">
        <v>43</v>
      </c>
      <c r="E20" s="2" t="str">
        <f>CONCATENATE(D20,88)</f>
        <v>D939F688</v>
      </c>
      <c r="F20" s="2" t="s">
        <v>45</v>
      </c>
      <c r="G20" s="2" t="s">
        <v>46</v>
      </c>
      <c r="H20" s="1" t="str">
        <f t="shared" si="0"/>
        <v>MARIA DENNIE</v>
      </c>
      <c r="I20" s="2" t="s">
        <v>49</v>
      </c>
      <c r="J20" s="2" t="s">
        <v>53</v>
      </c>
      <c r="K20" s="2" t="s">
        <v>54</v>
      </c>
      <c r="L20" s="2">
        <v>-78.25</v>
      </c>
      <c r="M20" s="2">
        <v>-50</v>
      </c>
      <c r="N20" s="2">
        <v>-50</v>
      </c>
      <c r="O20" s="2" t="s">
        <v>7</v>
      </c>
      <c r="P20" s="2" t="s">
        <v>177</v>
      </c>
    </row>
    <row r="21" spans="1:17" s="2" customFormat="1" x14ac:dyDescent="0.25">
      <c r="A21" s="2" t="s">
        <v>8</v>
      </c>
      <c r="B21" s="2">
        <v>20411454</v>
      </c>
      <c r="C21" s="2" t="s">
        <v>182</v>
      </c>
      <c r="D21" s="2" t="s">
        <v>57</v>
      </c>
      <c r="E21" s="2" t="str">
        <f t="shared" ref="E21:E37" si="1">CONCATENATE(D21,88)</f>
        <v>D8S2AK88</v>
      </c>
      <c r="F21" s="2" t="s">
        <v>59</v>
      </c>
      <c r="G21" s="2" t="s">
        <v>60</v>
      </c>
      <c r="H21" s="1" t="str">
        <f t="shared" si="0"/>
        <v>GAIL VALADEZ</v>
      </c>
      <c r="I21" s="2" t="s">
        <v>63</v>
      </c>
      <c r="J21" s="2" t="s">
        <v>53</v>
      </c>
      <c r="K21" s="2" t="s">
        <v>65</v>
      </c>
      <c r="L21" s="2">
        <v>104.33</v>
      </c>
      <c r="M21" s="2">
        <v>200</v>
      </c>
      <c r="N21" s="2">
        <v>200</v>
      </c>
      <c r="O21" s="2" t="s">
        <v>7</v>
      </c>
      <c r="P21" s="2" t="s">
        <v>177</v>
      </c>
    </row>
    <row r="22" spans="1:17" s="2" customFormat="1" x14ac:dyDescent="0.25">
      <c r="A22" s="2" t="s">
        <v>8</v>
      </c>
      <c r="B22" s="2">
        <v>20411454</v>
      </c>
      <c r="C22" s="2" t="s">
        <v>182</v>
      </c>
      <c r="D22" s="2" t="s">
        <v>68</v>
      </c>
      <c r="E22" s="2" t="str">
        <f t="shared" si="1"/>
        <v>D8YS8Y88</v>
      </c>
      <c r="F22" s="2" t="s">
        <v>70</v>
      </c>
      <c r="G22" s="2" t="s">
        <v>71</v>
      </c>
      <c r="H22" s="1" t="str">
        <f t="shared" si="0"/>
        <v>MARYANN CHINDERLE</v>
      </c>
      <c r="I22" s="2" t="s">
        <v>73</v>
      </c>
      <c r="J22" s="2" t="s">
        <v>76</v>
      </c>
      <c r="K22" s="2" t="s">
        <v>65</v>
      </c>
      <c r="L22" s="2">
        <v>26.08</v>
      </c>
      <c r="M22" s="2">
        <v>14</v>
      </c>
      <c r="N22" s="2">
        <v>14</v>
      </c>
      <c r="O22" s="2" t="s">
        <v>7</v>
      </c>
      <c r="P22" s="2" t="s">
        <v>177</v>
      </c>
    </row>
    <row r="23" spans="1:17" s="2" customFormat="1" x14ac:dyDescent="0.25">
      <c r="A23" s="2" t="s">
        <v>8</v>
      </c>
      <c r="B23" s="2">
        <v>20411454</v>
      </c>
      <c r="C23" s="2" t="s">
        <v>182</v>
      </c>
      <c r="D23" s="2" t="s">
        <v>77</v>
      </c>
      <c r="E23" s="2" t="str">
        <f t="shared" si="1"/>
        <v>DU896U88</v>
      </c>
      <c r="F23" s="2" t="s">
        <v>79</v>
      </c>
      <c r="G23" s="2" t="s">
        <v>80</v>
      </c>
      <c r="H23" s="1" t="str">
        <f t="shared" si="0"/>
        <v>LINDA CIANCIO</v>
      </c>
      <c r="I23" s="2" t="s">
        <v>82</v>
      </c>
      <c r="J23" s="2" t="s">
        <v>76</v>
      </c>
      <c r="K23" s="2" t="s">
        <v>65</v>
      </c>
      <c r="L23" s="2">
        <v>26.08</v>
      </c>
      <c r="M23" s="2">
        <v>14</v>
      </c>
      <c r="N23" s="2">
        <v>14</v>
      </c>
      <c r="O23" s="2" t="s">
        <v>7</v>
      </c>
      <c r="P23" s="2" t="s">
        <v>177</v>
      </c>
    </row>
    <row r="24" spans="1:17" s="2" customFormat="1" x14ac:dyDescent="0.25">
      <c r="A24" s="2" t="s">
        <v>8</v>
      </c>
      <c r="B24" s="2">
        <v>20411454</v>
      </c>
      <c r="C24" s="2" t="s">
        <v>182</v>
      </c>
      <c r="D24" s="2" t="s">
        <v>85</v>
      </c>
      <c r="E24" s="2" t="str">
        <f t="shared" si="1"/>
        <v>DH28HS88</v>
      </c>
      <c r="F24" s="2" t="s">
        <v>87</v>
      </c>
      <c r="G24" s="2" t="s">
        <v>88</v>
      </c>
      <c r="H24" s="1" t="str">
        <f t="shared" si="0"/>
        <v>MELQUEA EDWARDS</v>
      </c>
      <c r="I24" s="2" t="s">
        <v>91</v>
      </c>
      <c r="J24" s="2" t="s">
        <v>76</v>
      </c>
      <c r="K24" s="2" t="s">
        <v>65</v>
      </c>
      <c r="L24" s="2">
        <v>26.08</v>
      </c>
      <c r="M24" s="2">
        <v>12.5</v>
      </c>
      <c r="N24" s="2">
        <v>12.5</v>
      </c>
      <c r="O24" s="2" t="s">
        <v>7</v>
      </c>
      <c r="P24" s="2" t="s">
        <v>177</v>
      </c>
    </row>
    <row r="25" spans="1:17" s="2" customFormat="1" x14ac:dyDescent="0.25">
      <c r="A25" s="2" t="s">
        <v>8</v>
      </c>
      <c r="B25" s="2">
        <v>20411454</v>
      </c>
      <c r="C25" s="2" t="s">
        <v>182</v>
      </c>
      <c r="D25" s="2" t="s">
        <v>95</v>
      </c>
      <c r="E25" s="2" t="str">
        <f t="shared" si="1"/>
        <v>D9H8YE88</v>
      </c>
      <c r="F25" s="2" t="s">
        <v>97</v>
      </c>
      <c r="G25" s="2" t="s">
        <v>98</v>
      </c>
      <c r="H25" s="1" t="str">
        <f t="shared" si="0"/>
        <v>ANNETTE EDWARDSON</v>
      </c>
      <c r="I25" s="2" t="s">
        <v>100</v>
      </c>
      <c r="J25" s="2" t="s">
        <v>76</v>
      </c>
      <c r="K25" s="2" t="s">
        <v>65</v>
      </c>
      <c r="L25" s="2">
        <v>26.08</v>
      </c>
      <c r="M25" s="2">
        <v>14</v>
      </c>
      <c r="N25" s="2">
        <v>14</v>
      </c>
      <c r="O25" s="2" t="s">
        <v>7</v>
      </c>
      <c r="P25" s="2" t="s">
        <v>177</v>
      </c>
    </row>
    <row r="26" spans="1:17" s="2" customFormat="1" x14ac:dyDescent="0.25">
      <c r="A26" s="2" t="s">
        <v>8</v>
      </c>
      <c r="B26" s="2">
        <v>20411454</v>
      </c>
      <c r="C26" s="2" t="s">
        <v>182</v>
      </c>
      <c r="D26" s="2" t="s">
        <v>103</v>
      </c>
      <c r="E26" s="2" t="str">
        <f t="shared" si="1"/>
        <v>D6K5SY88</v>
      </c>
      <c r="F26" s="2" t="s">
        <v>105</v>
      </c>
      <c r="G26" s="2" t="s">
        <v>106</v>
      </c>
      <c r="H26" s="1" t="str">
        <f t="shared" si="0"/>
        <v>SUSAN EICHMAN PARCELL</v>
      </c>
      <c r="I26" s="2" t="s">
        <v>107</v>
      </c>
      <c r="J26" s="2" t="s">
        <v>76</v>
      </c>
      <c r="K26" s="2" t="s">
        <v>65</v>
      </c>
      <c r="L26" s="2">
        <v>26.08</v>
      </c>
      <c r="M26" s="2">
        <v>14</v>
      </c>
      <c r="N26" s="2">
        <v>14</v>
      </c>
      <c r="O26" s="2" t="s">
        <v>7</v>
      </c>
      <c r="P26" s="2" t="s">
        <v>177</v>
      </c>
    </row>
    <row r="27" spans="1:17" s="2" customFormat="1" x14ac:dyDescent="0.25">
      <c r="A27" s="2" t="s">
        <v>8</v>
      </c>
      <c r="B27" s="2">
        <v>20411454</v>
      </c>
      <c r="C27" s="2" t="s">
        <v>182</v>
      </c>
      <c r="D27" s="2" t="s">
        <v>110</v>
      </c>
      <c r="E27" s="2" t="str">
        <f t="shared" si="1"/>
        <v>D77FJC88</v>
      </c>
      <c r="F27" s="2" t="s">
        <v>112</v>
      </c>
      <c r="G27" s="2" t="s">
        <v>113</v>
      </c>
      <c r="H27" s="1" t="str">
        <f t="shared" si="0"/>
        <v>BETH GONSIEWSKI</v>
      </c>
      <c r="I27" s="2" t="s">
        <v>73</v>
      </c>
      <c r="J27" s="2" t="s">
        <v>76</v>
      </c>
      <c r="K27" s="2" t="s">
        <v>65</v>
      </c>
      <c r="L27" s="2">
        <v>26.08</v>
      </c>
      <c r="M27" s="2">
        <v>14</v>
      </c>
      <c r="N27" s="2">
        <v>14</v>
      </c>
      <c r="O27" s="2" t="s">
        <v>7</v>
      </c>
      <c r="P27" s="2" t="s">
        <v>177</v>
      </c>
    </row>
    <row r="28" spans="1:17" s="2" customFormat="1" x14ac:dyDescent="0.25">
      <c r="A28" s="2" t="s">
        <v>8</v>
      </c>
      <c r="B28" s="2">
        <v>20411454</v>
      </c>
      <c r="C28" s="2" t="s">
        <v>182</v>
      </c>
      <c r="D28" s="2" t="s">
        <v>115</v>
      </c>
      <c r="E28" s="2" t="str">
        <f t="shared" si="1"/>
        <v>D7ZW4G88</v>
      </c>
      <c r="F28" s="2" t="s">
        <v>117</v>
      </c>
      <c r="G28" s="2" t="s">
        <v>118</v>
      </c>
      <c r="H28" s="1" t="str">
        <f t="shared" si="0"/>
        <v>JEFFREY JOHNS</v>
      </c>
      <c r="I28" s="2" t="s">
        <v>120</v>
      </c>
      <c r="J28" s="2" t="s">
        <v>76</v>
      </c>
      <c r="K28" s="2" t="s">
        <v>65</v>
      </c>
      <c r="L28" s="2">
        <v>26.08</v>
      </c>
      <c r="M28" s="2">
        <v>14</v>
      </c>
      <c r="N28" s="2">
        <v>14</v>
      </c>
      <c r="O28" s="2" t="s">
        <v>7</v>
      </c>
      <c r="P28" s="2" t="s">
        <v>177</v>
      </c>
    </row>
    <row r="29" spans="1:17" s="2" customFormat="1" x14ac:dyDescent="0.25">
      <c r="A29" s="2" t="s">
        <v>8</v>
      </c>
      <c r="B29" s="2">
        <v>20411454</v>
      </c>
      <c r="C29" s="2" t="s">
        <v>182</v>
      </c>
      <c r="D29" s="2" t="s">
        <v>121</v>
      </c>
      <c r="E29" s="2" t="str">
        <f t="shared" si="1"/>
        <v>D4AC9K88</v>
      </c>
      <c r="F29" s="2" t="s">
        <v>123</v>
      </c>
      <c r="G29" s="2" t="s">
        <v>124</v>
      </c>
      <c r="H29" s="1" t="str">
        <f t="shared" si="0"/>
        <v>WILLIAM LUDWIG III</v>
      </c>
      <c r="I29" s="2" t="s">
        <v>120</v>
      </c>
      <c r="J29" s="2" t="s">
        <v>76</v>
      </c>
      <c r="K29" s="2" t="s">
        <v>65</v>
      </c>
      <c r="L29" s="2">
        <v>26.08</v>
      </c>
      <c r="M29" s="2">
        <v>14</v>
      </c>
      <c r="N29" s="2">
        <v>14</v>
      </c>
      <c r="O29" s="2" t="s">
        <v>7</v>
      </c>
      <c r="P29" s="2" t="s">
        <v>177</v>
      </c>
    </row>
    <row r="30" spans="1:17" s="2" customFormat="1" x14ac:dyDescent="0.25">
      <c r="A30" s="2" t="s">
        <v>8</v>
      </c>
      <c r="B30" s="2">
        <v>20411454</v>
      </c>
      <c r="C30" s="2" t="s">
        <v>182</v>
      </c>
      <c r="D30" s="2" t="s">
        <v>127</v>
      </c>
      <c r="E30" s="2" t="str">
        <f t="shared" si="1"/>
        <v>DR8EJR88</v>
      </c>
      <c r="F30" s="2" t="s">
        <v>129</v>
      </c>
      <c r="G30" s="2" t="s">
        <v>130</v>
      </c>
      <c r="H30" s="1" t="str">
        <f t="shared" si="0"/>
        <v>THERESA MCAULEY</v>
      </c>
      <c r="I30" s="2" t="s">
        <v>82</v>
      </c>
      <c r="J30" s="2" t="s">
        <v>76</v>
      </c>
      <c r="K30" s="2" t="s">
        <v>65</v>
      </c>
      <c r="L30" s="2">
        <v>26.08</v>
      </c>
      <c r="M30" s="2">
        <v>14</v>
      </c>
      <c r="N30" s="2">
        <v>14</v>
      </c>
      <c r="O30" s="2" t="s">
        <v>7</v>
      </c>
      <c r="P30" s="2" t="s">
        <v>177</v>
      </c>
    </row>
    <row r="31" spans="1:17" s="2" customFormat="1" x14ac:dyDescent="0.25">
      <c r="A31" s="2" t="s">
        <v>8</v>
      </c>
      <c r="B31" s="2">
        <v>20411454</v>
      </c>
      <c r="C31" s="2" t="s">
        <v>182</v>
      </c>
      <c r="D31" s="2" t="s">
        <v>134</v>
      </c>
      <c r="E31" s="2" t="str">
        <f t="shared" si="1"/>
        <v>D2UZFA88</v>
      </c>
      <c r="F31" s="2" t="s">
        <v>136</v>
      </c>
      <c r="G31" s="2" t="s">
        <v>137</v>
      </c>
      <c r="H31" s="1" t="str">
        <f t="shared" si="0"/>
        <v>ABELARDO MONARREZ</v>
      </c>
      <c r="I31" s="2" t="s">
        <v>100</v>
      </c>
      <c r="J31" s="2" t="s">
        <v>76</v>
      </c>
      <c r="K31" s="2" t="s">
        <v>65</v>
      </c>
      <c r="L31" s="2">
        <v>26.08</v>
      </c>
      <c r="M31" s="2">
        <v>14</v>
      </c>
      <c r="N31" s="2">
        <v>14</v>
      </c>
      <c r="O31" s="2" t="s">
        <v>7</v>
      </c>
      <c r="P31" s="2" t="s">
        <v>177</v>
      </c>
    </row>
    <row r="32" spans="1:17" s="2" customFormat="1" x14ac:dyDescent="0.25">
      <c r="A32" s="2" t="s">
        <v>8</v>
      </c>
      <c r="B32" s="2">
        <v>20411454</v>
      </c>
      <c r="C32" s="2" t="s">
        <v>182</v>
      </c>
      <c r="D32" s="2" t="s">
        <v>139</v>
      </c>
      <c r="E32" s="2" t="str">
        <f t="shared" si="1"/>
        <v>D3A4KF88</v>
      </c>
      <c r="F32" s="2" t="s">
        <v>141</v>
      </c>
      <c r="G32" s="2" t="s">
        <v>142</v>
      </c>
      <c r="H32" s="1" t="str">
        <f t="shared" si="0"/>
        <v>LAURA MROZEK</v>
      </c>
      <c r="I32" s="2" t="s">
        <v>73</v>
      </c>
      <c r="J32" s="2" t="s">
        <v>76</v>
      </c>
      <c r="K32" s="2" t="s">
        <v>65</v>
      </c>
      <c r="L32" s="2">
        <v>26.08</v>
      </c>
      <c r="M32" s="2">
        <v>14</v>
      </c>
      <c r="N32" s="2">
        <v>14</v>
      </c>
      <c r="O32" s="2" t="s">
        <v>7</v>
      </c>
      <c r="P32" s="2" t="s">
        <v>177</v>
      </c>
    </row>
    <row r="33" spans="1:16" s="2" customFormat="1" x14ac:dyDescent="0.25">
      <c r="A33" s="2" t="s">
        <v>8</v>
      </c>
      <c r="B33" s="2">
        <v>20411454</v>
      </c>
      <c r="C33" s="2" t="s">
        <v>182</v>
      </c>
      <c r="D33" s="2" t="s">
        <v>144</v>
      </c>
      <c r="E33" s="2" t="str">
        <f t="shared" si="1"/>
        <v>D538HS88</v>
      </c>
      <c r="F33" s="2" t="s">
        <v>146</v>
      </c>
      <c r="G33" s="2" t="s">
        <v>147</v>
      </c>
      <c r="H33" s="1" t="str">
        <f t="shared" si="0"/>
        <v>JOHN PAUL</v>
      </c>
      <c r="I33" s="2" t="s">
        <v>120</v>
      </c>
      <c r="J33" s="2" t="s">
        <v>76</v>
      </c>
      <c r="K33" s="2" t="s">
        <v>65</v>
      </c>
      <c r="L33" s="2">
        <v>26.08</v>
      </c>
      <c r="M33" s="2">
        <v>14</v>
      </c>
      <c r="N33" s="2">
        <v>14</v>
      </c>
      <c r="O33" s="2" t="s">
        <v>7</v>
      </c>
      <c r="P33" s="2" t="s">
        <v>177</v>
      </c>
    </row>
    <row r="34" spans="1:16" s="2" customFormat="1" x14ac:dyDescent="0.25">
      <c r="A34" s="2" t="s">
        <v>8</v>
      </c>
      <c r="B34" s="2">
        <v>20411454</v>
      </c>
      <c r="C34" s="2" t="s">
        <v>182</v>
      </c>
      <c r="D34" s="2" t="s">
        <v>151</v>
      </c>
      <c r="E34" s="2" t="str">
        <f t="shared" si="1"/>
        <v>DEW7CR88</v>
      </c>
      <c r="F34" s="2" t="s">
        <v>153</v>
      </c>
      <c r="G34" s="2" t="s">
        <v>154</v>
      </c>
      <c r="H34" s="1" t="str">
        <f t="shared" si="0"/>
        <v>PATRICIA PROCHASKA</v>
      </c>
      <c r="I34" s="2" t="s">
        <v>120</v>
      </c>
      <c r="J34" s="2" t="s">
        <v>76</v>
      </c>
      <c r="K34" s="2" t="s">
        <v>65</v>
      </c>
      <c r="L34" s="2">
        <v>26.08</v>
      </c>
      <c r="M34" s="2">
        <v>14</v>
      </c>
      <c r="N34" s="2">
        <v>14</v>
      </c>
      <c r="O34" s="2" t="s">
        <v>7</v>
      </c>
      <c r="P34" s="2" t="s">
        <v>177</v>
      </c>
    </row>
    <row r="35" spans="1:16" s="2" customFormat="1" x14ac:dyDescent="0.25">
      <c r="A35" s="2" t="s">
        <v>8</v>
      </c>
      <c r="B35" s="2">
        <v>20411454</v>
      </c>
      <c r="C35" s="2" t="s">
        <v>182</v>
      </c>
      <c r="D35" s="2" t="s">
        <v>156</v>
      </c>
      <c r="E35" s="2" t="str">
        <f t="shared" si="1"/>
        <v>DA25Z988</v>
      </c>
      <c r="F35" s="2" t="s">
        <v>158</v>
      </c>
      <c r="G35" s="2" t="s">
        <v>159</v>
      </c>
      <c r="H35" s="1" t="str">
        <f t="shared" si="0"/>
        <v>NADEZHDA ROMANOVA</v>
      </c>
      <c r="I35" s="2" t="s">
        <v>73</v>
      </c>
      <c r="J35" s="2" t="s">
        <v>76</v>
      </c>
      <c r="K35" s="2" t="s">
        <v>65</v>
      </c>
      <c r="L35" s="2">
        <v>26.08</v>
      </c>
      <c r="M35" s="2">
        <v>14</v>
      </c>
      <c r="N35" s="2">
        <v>14</v>
      </c>
      <c r="O35" s="2" t="s">
        <v>7</v>
      </c>
      <c r="P35" s="2" t="s">
        <v>177</v>
      </c>
    </row>
    <row r="36" spans="1:16" s="2" customFormat="1" x14ac:dyDescent="0.25">
      <c r="A36" s="2" t="s">
        <v>8</v>
      </c>
      <c r="B36" s="2">
        <v>20411454</v>
      </c>
      <c r="C36" s="2" t="s">
        <v>182</v>
      </c>
      <c r="D36" s="2" t="s">
        <v>161</v>
      </c>
      <c r="E36" s="2" t="str">
        <f t="shared" si="1"/>
        <v>D8C77988</v>
      </c>
      <c r="F36" s="2" t="s">
        <v>163</v>
      </c>
      <c r="G36" s="2" t="s">
        <v>164</v>
      </c>
      <c r="H36" s="1" t="str">
        <f t="shared" si="0"/>
        <v>CHRISTOPHER SPRINGER</v>
      </c>
      <c r="I36" s="2" t="s">
        <v>82</v>
      </c>
      <c r="J36" s="2" t="s">
        <v>76</v>
      </c>
      <c r="K36" s="2" t="s">
        <v>65</v>
      </c>
      <c r="L36" s="2">
        <v>26.08</v>
      </c>
      <c r="M36" s="2">
        <v>14</v>
      </c>
      <c r="N36" s="2">
        <v>14</v>
      </c>
      <c r="O36" s="2" t="s">
        <v>7</v>
      </c>
      <c r="P36" s="2" t="s">
        <v>177</v>
      </c>
    </row>
    <row r="37" spans="1:16" s="2" customFormat="1" x14ac:dyDescent="0.25">
      <c r="A37" s="2" t="s">
        <v>8</v>
      </c>
      <c r="B37" s="2">
        <v>20411454</v>
      </c>
      <c r="C37" s="2" t="s">
        <v>182</v>
      </c>
      <c r="D37" s="2" t="s">
        <v>166</v>
      </c>
      <c r="E37" s="2" t="str">
        <f t="shared" si="1"/>
        <v>DUW2FG88</v>
      </c>
      <c r="F37" s="2" t="s">
        <v>168</v>
      </c>
      <c r="G37" s="2" t="s">
        <v>169</v>
      </c>
      <c r="H37" s="1" t="str">
        <f t="shared" si="0"/>
        <v>EMMA VALE</v>
      </c>
      <c r="I37" s="2" t="s">
        <v>171</v>
      </c>
      <c r="J37" s="2" t="s">
        <v>76</v>
      </c>
      <c r="K37" s="2" t="s">
        <v>65</v>
      </c>
      <c r="L37" s="2">
        <v>26.08</v>
      </c>
      <c r="M37" s="2">
        <v>14</v>
      </c>
      <c r="N37" s="2">
        <v>14</v>
      </c>
      <c r="O37" s="2" t="s">
        <v>7</v>
      </c>
      <c r="P37" s="2" t="s">
        <v>177</v>
      </c>
    </row>
  </sheetData>
  <sortState xmlns:xlrd2="http://schemas.microsoft.com/office/spreadsheetml/2017/richdata2" ref="A2:X19">
    <sortCondition ref="C2:C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D2" sqref="D2"/>
    </sheetView>
  </sheetViews>
  <sheetFormatPr defaultRowHeight="15" x14ac:dyDescent="0.25"/>
  <cols>
    <col min="1" max="1" width="25" customWidth="1"/>
    <col min="2" max="3" width="10" customWidth="1"/>
    <col min="4" max="4" width="50" customWidth="1"/>
  </cols>
  <sheetData>
    <row r="1" spans="1:4" x14ac:dyDescent="0.25">
      <c r="A1" t="s">
        <v>172</v>
      </c>
      <c r="B1" t="s">
        <v>173</v>
      </c>
      <c r="C1" t="s">
        <v>174</v>
      </c>
      <c r="D1" t="s">
        <v>175</v>
      </c>
    </row>
    <row r="2" spans="1:4" x14ac:dyDescent="0.25">
      <c r="A2" t="s">
        <v>56</v>
      </c>
      <c r="B2" t="s">
        <v>55</v>
      </c>
      <c r="C2" t="s">
        <v>12</v>
      </c>
      <c r="D2" t="s">
        <v>176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2025-09-26T17:03:39Z</dcterms:created>
  <dcterms:modified xsi:type="dcterms:W3CDTF">2025-09-26T17:54:12Z</dcterms:modified>
</cp:coreProperties>
</file>