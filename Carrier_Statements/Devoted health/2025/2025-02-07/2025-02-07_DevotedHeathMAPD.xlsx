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2-7-25\"/>
    </mc:Choice>
  </mc:AlternateContent>
  <xr:revisionPtr revIDLastSave="0" documentId="13_ncr:1_{E3BA55B5-0766-45A3-B826-46D6A2D21A95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2" i="3"/>
</calcChain>
</file>

<file path=xl/sharedStrings.xml><?xml version="1.0" encoding="utf-8"?>
<sst xmlns="http://schemas.openxmlformats.org/spreadsheetml/2006/main" count="289" uniqueCount="86">
  <si>
    <t/>
  </si>
  <si>
    <t>Description</t>
  </si>
  <si>
    <t>Member Count</t>
  </si>
  <si>
    <t>Total</t>
  </si>
  <si>
    <t>Payee</t>
  </si>
  <si>
    <t>Payment Date</t>
  </si>
  <si>
    <t>Main Line Benefits LLC</t>
  </si>
  <si>
    <t>02/07/2025</t>
  </si>
  <si>
    <t>Credits</t>
  </si>
  <si>
    <t>$1,330.25</t>
  </si>
  <si>
    <t>Debits</t>
  </si>
  <si>
    <t>($1,026.00)</t>
  </si>
  <si>
    <t>Miscellaneous</t>
  </si>
  <si>
    <t>$0.00</t>
  </si>
  <si>
    <t>Bonus</t>
  </si>
  <si>
    <t>Sub Total</t>
  </si>
  <si>
    <t>$304.25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</si>
  <si>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</si>
  <si>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</si>
  <si>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</si>
  <si>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</si>
  <si>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</si>
  <si>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</si>
  <si>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</si>
  <si>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</si>
  <si>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</si>
  <si>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</si>
  <si>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</si>
  <si>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</si>
  <si>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</si>
  <si>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</si>
  <si>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</si>
  <si>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</si>
  <si>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</si>
  <si>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</si>
  <si>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</si>
  <si>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</si>
  <si>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</si>
  <si>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</si>
  <si>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</si>
  <si>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</si>
  <si>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16633294</t>
  </si>
  <si>
    <t>Richard Yale</t>
  </si>
  <si>
    <t>DCHAGG</t>
  </si>
  <si>
    <t>6EU6TN8KD85</t>
  </si>
  <si>
    <t>MICHAELE</t>
  </si>
  <si>
    <t>YOUCHISON</t>
  </si>
  <si>
    <t>IL</t>
  </si>
  <si>
    <t>H6545</t>
  </si>
  <si>
    <t>MAPD</t>
  </si>
  <si>
    <t>Initial - Not New</t>
  </si>
  <si>
    <t>Jan</t>
  </si>
  <si>
    <t>DJ6JJA</t>
  </si>
  <si>
    <t>1CG6WD9PE56</t>
  </si>
  <si>
    <t>MICHAEL</t>
  </si>
  <si>
    <t>DC5E74</t>
  </si>
  <si>
    <t>2A30WW0JY21</t>
  </si>
  <si>
    <t>ROGELIO</t>
  </si>
  <si>
    <t>RUELOS</t>
  </si>
  <si>
    <t>H7151</t>
  </si>
  <si>
    <t>NONE</t>
  </si>
  <si>
    <t>Initial - New</t>
  </si>
  <si>
    <t>9213293</t>
  </si>
  <si>
    <t>Gary Portugal</t>
  </si>
  <si>
    <t>DFZ5W5</t>
  </si>
  <si>
    <t>4Q36F27TF65</t>
  </si>
  <si>
    <t>THOMAS</t>
  </si>
  <si>
    <t>GODFREY III</t>
  </si>
  <si>
    <t>IN</t>
  </si>
  <si>
    <t>H7471</t>
  </si>
  <si>
    <t>2158366</t>
  </si>
  <si>
    <t>Jeffrey Horn</t>
  </si>
  <si>
    <t>DEAGYA</t>
  </si>
  <si>
    <t>1TX7CP1KC40</t>
  </si>
  <si>
    <t>ROBERT</t>
  </si>
  <si>
    <t>BAUER JR</t>
  </si>
  <si>
    <t>17301495</t>
  </si>
  <si>
    <t>Esther Herrera-Larsen</t>
  </si>
  <si>
    <t>DG4GHG</t>
  </si>
  <si>
    <t>8TR0RP8FH08</t>
  </si>
  <si>
    <t>HECTOR</t>
  </si>
  <si>
    <t>HERNANDEZ</t>
  </si>
  <si>
    <t>[%/$=313][prorate=1/12]</t>
  </si>
  <si>
    <t>[%/$=313][prorate=12/12]</t>
  </si>
  <si>
    <t>Devoted MAPD 2025 Ovr</t>
  </si>
  <si>
    <t>Devoted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</si>
</sst>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"/>
    <numFmt numFmtId="165" formatCode="dd/mm/yyyy\ 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B1" sqref="A1:XFD1048576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5" max="5" width="25" customWidth="1"/>
    <col min="6" max="6" width="20" customWidth="1"/>
  </cols>
  <sheetData>
    <row r="1" spans="1:6" x14ac:dyDescent="0.25">
      <c r="A1" t="s">
        <v>1</v>
      </c>
      <c r="B1" t="s">
        <v>2</v>
      </c>
      <c r="C1" t="s">
        <v>3</v>
      </c>
      <c r="E1" t="s">
        <v>4</v>
      </c>
      <c r="F1" t="s">
        <v>5</v>
      </c>
    </row>
    <row r="2" spans="1:6" x14ac:dyDescent="0.25">
      <c r="A2" t="s">
        <v>8</v>
      </c>
      <c r="B2">
        <v>4</v>
      </c>
      <c r="C2" t="s">
        <v>9</v>
      </c>
      <c r="E2" t="s">
        <v>6</v>
      </c>
      <c r="F2" t="s">
        <v>7</v>
      </c>
    </row>
    <row r="3" spans="1:6" x14ac:dyDescent="0.25">
      <c r="A3" t="s">
        <v>10</v>
      </c>
      <c r="B3">
        <v>2</v>
      </c>
      <c r="C3" t="s">
        <v>11</v>
      </c>
    </row>
    <row r="4" spans="1:6" x14ac:dyDescent="0.25">
      <c r="A4" t="s">
        <v>12</v>
      </c>
      <c r="B4">
        <v>0</v>
      </c>
      <c r="C4" t="s">
        <v>13</v>
      </c>
    </row>
    <row r="5" spans="1:6" x14ac:dyDescent="0.25">
      <c r="A5" t="s">
        <v>14</v>
      </c>
      <c r="C5" t="s">
        <v>13</v>
      </c>
    </row>
    <row r="6" spans="1:6" x14ac:dyDescent="0.25">
      <c r="A6" t="s">
        <v>15</v>
      </c>
      <c r="B6">
        <v>6</v>
      </c>
      <c r="C6" t="s">
        <v>16</v>
      </c>
    </row>
    <row r="7" spans="1:6" x14ac:dyDescent="0.25">
      <c r="A7" t="s">
        <v>17</v>
      </c>
      <c r="C7" t="s">
        <v>13</v>
      </c>
    </row>
    <row r="8" spans="1:6" x14ac:dyDescent="0.25">
      <c r="A8" t="s">
        <v>18</v>
      </c>
      <c r="C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"/>
  <sheetViews>
    <sheetView workbookViewId="0">
      <selection activeCell="D2" sqref="D2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7" max="7" width="12.7109375" bestFit="1" customWidth="1"/>
    <col min="8" max="8" width="13.7109375" bestFit="1" customWidth="1"/>
    <col min="9" max="9" width="14.140625" bestFit="1" customWidth="1"/>
    <col min="10" max="11" width="13.42578125" bestFit="1" customWidth="1"/>
    <col min="12" max="12" width="8.7109375" bestFit="1" customWidth="1"/>
    <col min="13" max="13" width="4.28515625" bestFit="1" customWidth="1"/>
    <col min="14" max="14" width="14.28515625" bestFit="1" customWidth="1"/>
    <col min="15" max="15" width="14.7109375" bestFit="1" customWidth="1"/>
    <col min="16" max="16" width="16.7109375" bestFit="1" customWidth="1"/>
    <col min="17" max="17" width="6.7109375" bestFit="1" customWidth="1"/>
    <col min="18" max="18" width="12.85546875" bestFit="1" customWidth="1"/>
    <col min="19" max="19" width="14.5703125" bestFit="1" customWidth="1"/>
    <col min="20" max="20" width="14" bestFit="1" customWidth="1"/>
    <col min="21" max="21" width="21" bestFit="1" customWidth="1"/>
    <col min="22" max="22" width="18" bestFit="1" customWidth="1"/>
  </cols>
  <sheetData>
    <row r="1" spans="1:22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</row>
    <row r="2" spans="1:22" x14ac:dyDescent="0.25">
      <c r="A2" s="1">
        <v>45695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s="1">
        <v>45594</v>
      </c>
      <c r="J2" s="2">
        <v>45658</v>
      </c>
      <c r="K2" s="1">
        <v>45688</v>
      </c>
      <c r="L2" t="s">
        <v>48</v>
      </c>
      <c r="M2">
        <v>1</v>
      </c>
      <c r="N2" t="s">
        <v>49</v>
      </c>
      <c r="O2">
        <v>6</v>
      </c>
      <c r="P2" t="s">
        <v>50</v>
      </c>
      <c r="Q2" t="s">
        <v>51</v>
      </c>
      <c r="R2">
        <v>-312.99999600000001</v>
      </c>
      <c r="S2">
        <v>-199.99999199999999</v>
      </c>
      <c r="T2">
        <v>-513</v>
      </c>
      <c r="U2" t="s">
        <v>6</v>
      </c>
    </row>
    <row r="3" spans="1:22" x14ac:dyDescent="0.25">
      <c r="A3" s="1">
        <v>45695</v>
      </c>
      <c r="B3" t="s">
        <v>41</v>
      </c>
      <c r="C3" t="s">
        <v>42</v>
      </c>
      <c r="D3" t="s">
        <v>52</v>
      </c>
      <c r="E3" t="s">
        <v>53</v>
      </c>
      <c r="F3" t="s">
        <v>54</v>
      </c>
      <c r="G3" t="s">
        <v>46</v>
      </c>
      <c r="H3" t="s">
        <v>47</v>
      </c>
      <c r="I3" s="1">
        <v>45594</v>
      </c>
      <c r="J3" s="2">
        <v>45658</v>
      </c>
      <c r="K3" s="1">
        <v>45688</v>
      </c>
      <c r="L3" t="s">
        <v>48</v>
      </c>
      <c r="M3">
        <v>1</v>
      </c>
      <c r="N3" t="s">
        <v>49</v>
      </c>
      <c r="O3">
        <v>6</v>
      </c>
      <c r="P3" t="s">
        <v>50</v>
      </c>
      <c r="Q3" t="s">
        <v>51</v>
      </c>
      <c r="R3">
        <v>-312.99999600000001</v>
      </c>
      <c r="S3">
        <v>-199.99999199999999</v>
      </c>
      <c r="T3">
        <v>-513</v>
      </c>
      <c r="U3" t="s">
        <v>6</v>
      </c>
    </row>
    <row r="4" spans="1:22" x14ac:dyDescent="0.25">
      <c r="A4" s="1">
        <v>45695</v>
      </c>
      <c r="B4" t="s">
        <v>41</v>
      </c>
      <c r="C4" t="s">
        <v>42</v>
      </c>
      <c r="D4" t="s">
        <v>55</v>
      </c>
      <c r="E4" t="s">
        <v>56</v>
      </c>
      <c r="F4" t="s">
        <v>57</v>
      </c>
      <c r="G4" t="s">
        <v>58</v>
      </c>
      <c r="H4" t="s">
        <v>47</v>
      </c>
      <c r="I4" s="1">
        <v>45656</v>
      </c>
      <c r="J4" s="2">
        <v>45658</v>
      </c>
      <c r="K4" t="s">
        <v>0</v>
      </c>
      <c r="L4" t="s">
        <v>59</v>
      </c>
      <c r="M4">
        <v>1</v>
      </c>
      <c r="N4" t="s">
        <v>60</v>
      </c>
      <c r="O4">
        <v>1</v>
      </c>
      <c r="P4" t="s">
        <v>61</v>
      </c>
      <c r="Q4" t="s">
        <v>51</v>
      </c>
      <c r="R4">
        <v>312.99999600000001</v>
      </c>
      <c r="S4">
        <v>0</v>
      </c>
      <c r="T4">
        <v>313</v>
      </c>
      <c r="U4" t="s">
        <v>6</v>
      </c>
    </row>
    <row r="5" spans="1:22" x14ac:dyDescent="0.25">
      <c r="A5" s="1">
        <v>45695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s="1">
        <v>45672</v>
      </c>
      <c r="J5" s="1">
        <v>45689</v>
      </c>
      <c r="K5" t="s">
        <v>0</v>
      </c>
      <c r="L5" t="s">
        <v>69</v>
      </c>
      <c r="M5">
        <v>5</v>
      </c>
      <c r="N5" t="s">
        <v>60</v>
      </c>
      <c r="O5">
        <v>1</v>
      </c>
      <c r="P5" t="s">
        <v>61</v>
      </c>
      <c r="Q5" t="s">
        <v>51</v>
      </c>
      <c r="R5">
        <v>339.08332899999999</v>
      </c>
      <c r="S5">
        <v>0</v>
      </c>
      <c r="T5">
        <v>339.08</v>
      </c>
      <c r="U5" t="s">
        <v>6</v>
      </c>
    </row>
    <row r="6" spans="1:22" x14ac:dyDescent="0.25">
      <c r="A6" s="1">
        <v>45695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68</v>
      </c>
      <c r="I6" s="1">
        <v>45672</v>
      </c>
      <c r="J6" s="1">
        <v>45689</v>
      </c>
      <c r="K6" t="s">
        <v>0</v>
      </c>
      <c r="L6" t="s">
        <v>69</v>
      </c>
      <c r="M6">
        <v>5</v>
      </c>
      <c r="N6" t="s">
        <v>60</v>
      </c>
      <c r="O6">
        <v>1</v>
      </c>
      <c r="P6" t="s">
        <v>61</v>
      </c>
      <c r="Q6" t="s">
        <v>51</v>
      </c>
      <c r="R6">
        <v>339.08332899999999</v>
      </c>
      <c r="S6">
        <v>0</v>
      </c>
      <c r="T6">
        <v>339.08</v>
      </c>
      <c r="U6" t="s">
        <v>6</v>
      </c>
    </row>
    <row r="7" spans="1:22" x14ac:dyDescent="0.25">
      <c r="A7" s="1">
        <v>45695</v>
      </c>
      <c r="B7" t="s">
        <v>76</v>
      </c>
      <c r="C7" t="s">
        <v>77</v>
      </c>
      <c r="D7" t="s">
        <v>78</v>
      </c>
      <c r="E7" t="s">
        <v>79</v>
      </c>
      <c r="F7" t="s">
        <v>80</v>
      </c>
      <c r="G7" t="s">
        <v>81</v>
      </c>
      <c r="H7" t="s">
        <v>47</v>
      </c>
      <c r="I7" s="1">
        <v>45673</v>
      </c>
      <c r="J7" s="1">
        <v>45689</v>
      </c>
      <c r="K7" t="s">
        <v>0</v>
      </c>
      <c r="L7" t="s">
        <v>59</v>
      </c>
      <c r="M7">
        <v>1</v>
      </c>
      <c r="N7" t="s">
        <v>60</v>
      </c>
      <c r="O7">
        <v>1</v>
      </c>
      <c r="P7" t="s">
        <v>61</v>
      </c>
      <c r="Q7" t="s">
        <v>51</v>
      </c>
      <c r="R7">
        <v>339.08332899999999</v>
      </c>
      <c r="S7">
        <v>0</v>
      </c>
      <c r="T7">
        <v>339.08</v>
      </c>
      <c r="U7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2B6B-6972-415C-A64C-BAF8F01A0953}">
  <dimension ref="A1:Y12"/>
  <sheetViews>
    <sheetView tabSelected="1" topLeftCell="I1" workbookViewId="0">
      <selection activeCell="X2" sqref="X2:X11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5" width="13.85546875" bestFit="1" customWidth="1"/>
    <col min="7" max="7" width="12.7109375" bestFit="1" customWidth="1"/>
    <col min="8" max="8" width="21.140625" bestFit="1" customWidth="1"/>
    <col min="9" max="9" width="13.7109375" bestFit="1" customWidth="1"/>
    <col min="10" max="10" width="14.140625" bestFit="1" customWidth="1"/>
    <col min="11" max="12" width="13.42578125" bestFit="1" customWidth="1"/>
    <col min="13" max="13" width="8.7109375" bestFit="1" customWidth="1"/>
    <col min="14" max="14" width="4.28515625" bestFit="1" customWidth="1"/>
    <col min="15" max="15" width="14.28515625" bestFit="1" customWidth="1"/>
    <col min="16" max="16" width="14.7109375" bestFit="1" customWidth="1"/>
    <col min="17" max="17" width="16.7109375" bestFit="1" customWidth="1"/>
    <col min="18" max="18" width="6.7109375" bestFit="1" customWidth="1"/>
    <col min="19" max="19" width="12.85546875" bestFit="1" customWidth="1"/>
    <col min="20" max="20" width="14.5703125" bestFit="1" customWidth="1"/>
    <col min="21" max="21" width="14" bestFit="1" customWidth="1"/>
    <col min="22" max="22" width="21" bestFit="1" customWidth="1"/>
    <col min="23" max="23" width="18" bestFit="1" customWidth="1"/>
    <col min="24" max="24" width="24.140625" bestFit="1" customWidth="1"/>
  </cols>
  <sheetData>
    <row r="1" spans="1:25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</row>
    <row r="2" spans="1:25" x14ac:dyDescent="0.25">
      <c r="A2" s="1">
        <v>45695</v>
      </c>
      <c r="B2" s="3">
        <v>16633294</v>
      </c>
      <c r="C2" t="s">
        <v>42</v>
      </c>
      <c r="D2" t="s">
        <v>55</v>
      </c>
      <c r="E2" t="s">
        <v>56</v>
      </c>
      <c r="F2" t="s">
        <v>57</v>
      </c>
      <c r="G2" t="s">
        <v>58</v>
      </c>
      <c r="H2" t="str">
        <f>CONCATENATE(F2, " ", G2)</f>
        <v>ROGELIO RUELOS</v>
      </c>
      <c r="I2" t="s">
        <v>47</v>
      </c>
      <c r="J2" s="1">
        <v>45656</v>
      </c>
      <c r="K2" s="2">
        <v>45658</v>
      </c>
      <c r="L2" t="s">
        <v>0</v>
      </c>
      <c r="M2" t="s">
        <v>59</v>
      </c>
      <c r="N2">
        <v>1</v>
      </c>
      <c r="O2" t="s">
        <v>60</v>
      </c>
      <c r="P2">
        <v>1</v>
      </c>
      <c r="Q2" t="s">
        <v>61</v>
      </c>
      <c r="R2" t="s">
        <v>51</v>
      </c>
      <c r="S2">
        <v>312.99999600000001</v>
      </c>
      <c r="T2">
        <v>0</v>
      </c>
      <c r="U2">
        <v>313</v>
      </c>
      <c r="V2" t="s">
        <v>6</v>
      </c>
      <c r="W2">
        <v>313</v>
      </c>
      <c r="X2" t="s">
        <v>83</v>
      </c>
      <c r="Y2" t="s">
        <v>85</v>
      </c>
    </row>
    <row r="3" spans="1:25" x14ac:dyDescent="0.25">
      <c r="A3" s="1">
        <v>45695</v>
      </c>
      <c r="B3" s="3">
        <v>16633294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tr">
        <f t="shared" ref="H3:H12" si="0">CONCATENATE(F3, " ", G3)</f>
        <v>MICHAELE YOUCHISON</v>
      </c>
      <c r="I3" t="s">
        <v>47</v>
      </c>
      <c r="J3" s="1">
        <v>45594</v>
      </c>
      <c r="K3" s="2">
        <v>45658</v>
      </c>
      <c r="L3" s="1">
        <v>45688</v>
      </c>
      <c r="M3" t="s">
        <v>48</v>
      </c>
      <c r="N3">
        <v>1</v>
      </c>
      <c r="O3" t="s">
        <v>49</v>
      </c>
      <c r="P3">
        <v>6</v>
      </c>
      <c r="Q3" t="s">
        <v>50</v>
      </c>
      <c r="R3" t="s">
        <v>51</v>
      </c>
      <c r="S3">
        <v>-312.99999600000001</v>
      </c>
      <c r="T3">
        <v>-199.99999199999999</v>
      </c>
      <c r="U3">
        <v>-513</v>
      </c>
      <c r="V3" t="s">
        <v>6</v>
      </c>
      <c r="W3">
        <v>-313</v>
      </c>
      <c r="X3" t="s">
        <v>83</v>
      </c>
      <c r="Y3" t="s">
        <v>85</v>
      </c>
    </row>
    <row r="4" spans="1:25" x14ac:dyDescent="0.25">
      <c r="A4" s="1">
        <v>45695</v>
      </c>
      <c r="B4" s="3">
        <v>16633294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tr">
        <f t="shared" si="0"/>
        <v>MICHAELE YOUCHISON</v>
      </c>
      <c r="I4" t="s">
        <v>47</v>
      </c>
      <c r="J4" s="1">
        <v>45594</v>
      </c>
      <c r="K4" s="2">
        <v>45658</v>
      </c>
      <c r="L4" s="1">
        <v>45688</v>
      </c>
      <c r="M4" t="s">
        <v>48</v>
      </c>
      <c r="N4">
        <v>1</v>
      </c>
      <c r="O4" t="s">
        <v>49</v>
      </c>
      <c r="P4">
        <v>6</v>
      </c>
      <c r="Q4" t="s">
        <v>50</v>
      </c>
      <c r="R4" t="s">
        <v>51</v>
      </c>
      <c r="S4">
        <v>-312.99999600000001</v>
      </c>
      <c r="T4">
        <v>-199.99999199999999</v>
      </c>
      <c r="U4">
        <v>-513</v>
      </c>
      <c r="V4" t="s">
        <v>6</v>
      </c>
      <c r="W4">
        <v>-200</v>
      </c>
      <c r="Y4" t="s">
        <v>84</v>
      </c>
    </row>
    <row r="5" spans="1:25" x14ac:dyDescent="0.25">
      <c r="A5" s="1">
        <v>45695</v>
      </c>
      <c r="B5" s="3">
        <v>2158366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tr">
        <f t="shared" si="0"/>
        <v>ROBERT BAUER JR</v>
      </c>
      <c r="I5" t="s">
        <v>68</v>
      </c>
      <c r="J5" s="1">
        <v>45672</v>
      </c>
      <c r="K5" s="1">
        <v>45689</v>
      </c>
      <c r="L5" t="s">
        <v>0</v>
      </c>
      <c r="M5" t="s">
        <v>69</v>
      </c>
      <c r="N5">
        <v>5</v>
      </c>
      <c r="O5" t="s">
        <v>60</v>
      </c>
      <c r="P5">
        <v>1</v>
      </c>
      <c r="Q5" t="s">
        <v>61</v>
      </c>
      <c r="R5" t="s">
        <v>51</v>
      </c>
      <c r="S5">
        <v>339.08332899999999</v>
      </c>
      <c r="T5">
        <v>0</v>
      </c>
      <c r="U5">
        <v>339.08</v>
      </c>
      <c r="V5" t="s">
        <v>6</v>
      </c>
      <c r="W5">
        <v>313</v>
      </c>
      <c r="X5" t="s">
        <v>83</v>
      </c>
      <c r="Y5" t="s">
        <v>85</v>
      </c>
    </row>
    <row r="6" spans="1:25" x14ac:dyDescent="0.25">
      <c r="A6" s="1">
        <v>45695</v>
      </c>
      <c r="B6" s="3">
        <v>2158366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tr">
        <f t="shared" si="0"/>
        <v>ROBERT BAUER JR</v>
      </c>
      <c r="I6" t="s">
        <v>68</v>
      </c>
      <c r="J6" s="1">
        <v>45672</v>
      </c>
      <c r="K6" s="1">
        <v>45689</v>
      </c>
      <c r="L6" t="s">
        <v>0</v>
      </c>
      <c r="M6" t="s">
        <v>69</v>
      </c>
      <c r="N6">
        <v>5</v>
      </c>
      <c r="O6" t="s">
        <v>60</v>
      </c>
      <c r="P6">
        <v>1</v>
      </c>
      <c r="Q6" t="s">
        <v>61</v>
      </c>
      <c r="R6" t="s">
        <v>51</v>
      </c>
      <c r="S6">
        <v>339.08332899999999</v>
      </c>
      <c r="T6">
        <v>0</v>
      </c>
      <c r="U6">
        <v>339.08</v>
      </c>
      <c r="V6" t="s">
        <v>6</v>
      </c>
      <c r="W6">
        <v>26.08</v>
      </c>
      <c r="X6" t="s">
        <v>82</v>
      </c>
      <c r="Y6" t="s">
        <v>85</v>
      </c>
    </row>
    <row r="7" spans="1:25" x14ac:dyDescent="0.25">
      <c r="A7" s="1">
        <v>45695</v>
      </c>
      <c r="B7" s="3">
        <v>9213293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tr">
        <f t="shared" si="0"/>
        <v>THOMAS GODFREY III</v>
      </c>
      <c r="I7" t="s">
        <v>68</v>
      </c>
      <c r="J7" s="1">
        <v>45672</v>
      </c>
      <c r="K7" s="1">
        <v>45689</v>
      </c>
      <c r="L7" t="s">
        <v>0</v>
      </c>
      <c r="M7" t="s">
        <v>69</v>
      </c>
      <c r="N7">
        <v>5</v>
      </c>
      <c r="O7" t="s">
        <v>60</v>
      </c>
      <c r="P7">
        <v>1</v>
      </c>
      <c r="Q7" t="s">
        <v>61</v>
      </c>
      <c r="R7" t="s">
        <v>51</v>
      </c>
      <c r="S7">
        <v>339.08332899999999</v>
      </c>
      <c r="T7">
        <v>0</v>
      </c>
      <c r="U7">
        <v>339.08</v>
      </c>
      <c r="V7" t="s">
        <v>6</v>
      </c>
      <c r="W7">
        <v>313</v>
      </c>
      <c r="X7" t="s">
        <v>83</v>
      </c>
      <c r="Y7" t="s">
        <v>85</v>
      </c>
    </row>
    <row r="8" spans="1:25" x14ac:dyDescent="0.25">
      <c r="A8" s="1">
        <v>45695</v>
      </c>
      <c r="B8" s="3">
        <v>9213293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tr">
        <f t="shared" si="0"/>
        <v>THOMAS GODFREY III</v>
      </c>
      <c r="I8" t="s">
        <v>68</v>
      </c>
      <c r="J8" s="1">
        <v>45672</v>
      </c>
      <c r="K8" s="1">
        <v>45689</v>
      </c>
      <c r="L8" t="s">
        <v>0</v>
      </c>
      <c r="M8" t="s">
        <v>69</v>
      </c>
      <c r="N8">
        <v>5</v>
      </c>
      <c r="O8" t="s">
        <v>60</v>
      </c>
      <c r="P8">
        <v>1</v>
      </c>
      <c r="Q8" t="s">
        <v>61</v>
      </c>
      <c r="R8" t="s">
        <v>51</v>
      </c>
      <c r="S8">
        <v>339.08332899999999</v>
      </c>
      <c r="T8">
        <v>0</v>
      </c>
      <c r="U8">
        <v>339.08</v>
      </c>
      <c r="V8" t="s">
        <v>6</v>
      </c>
      <c r="W8">
        <v>26.08</v>
      </c>
      <c r="X8" t="s">
        <v>82</v>
      </c>
      <c r="Y8" t="s">
        <v>85</v>
      </c>
    </row>
    <row r="9" spans="1:25" x14ac:dyDescent="0.25">
      <c r="A9" s="1">
        <v>45695</v>
      </c>
      <c r="B9" s="3">
        <v>17301495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tr">
        <f t="shared" si="0"/>
        <v>HECTOR HERNANDEZ</v>
      </c>
      <c r="I9" t="s">
        <v>47</v>
      </c>
      <c r="J9" s="1">
        <v>45673</v>
      </c>
      <c r="K9" s="1">
        <v>45689</v>
      </c>
      <c r="L9" t="s">
        <v>0</v>
      </c>
      <c r="M9" t="s">
        <v>59</v>
      </c>
      <c r="N9">
        <v>1</v>
      </c>
      <c r="O9" t="s">
        <v>60</v>
      </c>
      <c r="P9">
        <v>1</v>
      </c>
      <c r="Q9" t="s">
        <v>61</v>
      </c>
      <c r="R9" t="s">
        <v>51</v>
      </c>
      <c r="S9">
        <v>339.08332899999999</v>
      </c>
      <c r="T9">
        <v>0</v>
      </c>
      <c r="U9">
        <v>339.08</v>
      </c>
      <c r="V9" t="s">
        <v>6</v>
      </c>
      <c r="W9">
        <v>313</v>
      </c>
      <c r="X9" t="s">
        <v>83</v>
      </c>
      <c r="Y9" t="s">
        <v>85</v>
      </c>
    </row>
    <row r="10" spans="1:25" x14ac:dyDescent="0.25">
      <c r="A10" s="1">
        <v>45695</v>
      </c>
      <c r="B10" s="3">
        <v>17301495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tr">
        <f t="shared" si="0"/>
        <v>HECTOR HERNANDEZ</v>
      </c>
      <c r="I10" t="s">
        <v>47</v>
      </c>
      <c r="J10" s="1">
        <v>45673</v>
      </c>
      <c r="K10" s="1">
        <v>45689</v>
      </c>
      <c r="L10" t="s">
        <v>0</v>
      </c>
      <c r="M10" t="s">
        <v>59</v>
      </c>
      <c r="N10">
        <v>1</v>
      </c>
      <c r="O10" t="s">
        <v>60</v>
      </c>
      <c r="P10">
        <v>1</v>
      </c>
      <c r="Q10" t="s">
        <v>61</v>
      </c>
      <c r="R10" t="s">
        <v>51</v>
      </c>
      <c r="S10">
        <v>339.08332899999999</v>
      </c>
      <c r="T10">
        <v>0</v>
      </c>
      <c r="U10">
        <v>339.08</v>
      </c>
      <c r="V10" t="s">
        <v>6</v>
      </c>
      <c r="W10">
        <v>26.08</v>
      </c>
      <c r="X10" t="s">
        <v>82</v>
      </c>
      <c r="Y10" t="s">
        <v>85</v>
      </c>
    </row>
    <row r="11" spans="1:25" x14ac:dyDescent="0.25">
      <c r="A11" s="1">
        <v>45695</v>
      </c>
      <c r="B11" s="3">
        <v>16633294</v>
      </c>
      <c r="C11" t="s">
        <v>42</v>
      </c>
      <c r="D11" t="s">
        <v>52</v>
      </c>
      <c r="E11" t="s">
        <v>53</v>
      </c>
      <c r="F11" t="s">
        <v>54</v>
      </c>
      <c r="G11" t="s">
        <v>46</v>
      </c>
      <c r="H11" t="str">
        <f t="shared" si="0"/>
        <v>MICHAEL YOUCHISON</v>
      </c>
      <c r="I11" t="s">
        <v>47</v>
      </c>
      <c r="J11" s="1">
        <v>45594</v>
      </c>
      <c r="K11" s="2">
        <v>45658</v>
      </c>
      <c r="L11" s="1">
        <v>45688</v>
      </c>
      <c r="M11" t="s">
        <v>48</v>
      </c>
      <c r="N11">
        <v>1</v>
      </c>
      <c r="O11" t="s">
        <v>49</v>
      </c>
      <c r="P11">
        <v>6</v>
      </c>
      <c r="Q11" t="s">
        <v>50</v>
      </c>
      <c r="R11" t="s">
        <v>51</v>
      </c>
      <c r="S11">
        <v>-312.99999600000001</v>
      </c>
      <c r="T11">
        <v>-199.99999199999999</v>
      </c>
      <c r="U11">
        <v>-513</v>
      </c>
      <c r="V11" t="s">
        <v>6</v>
      </c>
      <c r="W11">
        <v>-313</v>
      </c>
      <c r="X11" t="s">
        <v>83</v>
      </c>
      <c r="Y11" t="s">
        <v>85</v>
      </c>
    </row>
    <row r="12" spans="1:25" x14ac:dyDescent="0.25">
      <c r="A12" s="1">
        <v>45695</v>
      </c>
      <c r="B12" s="3">
        <v>16633294</v>
      </c>
      <c r="C12" t="s">
        <v>42</v>
      </c>
      <c r="D12" t="s">
        <v>52</v>
      </c>
      <c r="E12" t="s">
        <v>53</v>
      </c>
      <c r="F12" t="s">
        <v>54</v>
      </c>
      <c r="G12" t="s">
        <v>46</v>
      </c>
      <c r="H12" t="str">
        <f t="shared" si="0"/>
        <v>MICHAEL YOUCHISON</v>
      </c>
      <c r="I12" t="s">
        <v>47</v>
      </c>
      <c r="J12" s="1">
        <v>45594</v>
      </c>
      <c r="K12" s="2">
        <v>45658</v>
      </c>
      <c r="L12" s="1">
        <v>45688</v>
      </c>
      <c r="M12" t="s">
        <v>48</v>
      </c>
      <c r="N12">
        <v>1</v>
      </c>
      <c r="O12" t="s">
        <v>49</v>
      </c>
      <c r="P12">
        <v>6</v>
      </c>
      <c r="Q12" t="s">
        <v>50</v>
      </c>
      <c r="R12" t="s">
        <v>51</v>
      </c>
      <c r="S12">
        <v>-312.99999600000001</v>
      </c>
      <c r="T12">
        <v>-199.99999199999999</v>
      </c>
      <c r="U12">
        <v>-513</v>
      </c>
      <c r="V12" t="s">
        <v>6</v>
      </c>
      <c r="W12">
        <v>-200</v>
      </c>
      <c r="Y12" t="s">
        <v>84</v>
      </c>
    </row>
  </sheetData>
  <sortState xmlns:xlrd2="http://schemas.microsoft.com/office/spreadsheetml/2017/richdata2" ref="A6:W10">
    <sortCondition ref="D6:D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2025-02-04T16:19:09Z</dcterms:created>
  <dcterms:modified xsi:type="dcterms:W3CDTF">2025-02-17T16:33:09Z</dcterms:modified>
</cp:coreProperties>
</file>