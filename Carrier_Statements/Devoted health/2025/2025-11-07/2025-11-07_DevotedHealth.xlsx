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11-7-25\"/>
    </mc:Choice>
  </mc:AlternateContent>
  <xr:revisionPtr revIDLastSave="0" documentId="13_ncr:1_{F6C974B1-74C0-4ABF-8D1E-66040582EDA1}" xr6:coauthVersionLast="47" xr6:coauthVersionMax="47" xr10:uidLastSave="{00000000-0000-0000-0000-000000000000}"/>
  <bookViews>
    <workbookView xWindow="28680" yWindow="-120" windowWidth="29040" windowHeight="16440" tabRatio="204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D6" i="3" l="1"/>
  <c r="D13" i="3"/>
  <c r="D5" i="3"/>
  <c r="D10" i="3"/>
  <c r="D4" i="3"/>
  <c r="D8" i="3"/>
  <c r="D12" i="3"/>
  <c r="D11" i="3"/>
  <c r="D3" i="3"/>
  <c r="D9" i="3"/>
  <c r="D2" i="3"/>
  <c r="D7" i="3"/>
  <c r="G4" i="3"/>
  <c r="G10" i="3"/>
  <c r="G7" i="3"/>
  <c r="G2" i="3"/>
  <c r="G9" i="3"/>
  <c r="G5" i="3"/>
  <c r="G3" i="3"/>
  <c r="G13" i="3"/>
  <c r="G6" i="3"/>
  <c r="G11" i="3"/>
  <c r="G12" i="3"/>
  <c r="G8" i="3"/>
</calcChain>
</file>

<file path=xl/sharedStrings.xml><?xml version="1.0" encoding="utf-8"?>
<sst xmlns="http://schemas.openxmlformats.org/spreadsheetml/2006/main" count="238" uniqueCount="94">
  <si>
    <t>Description</t>
  </si>
  <si>
    <t>Member Count</t>
  </si>
  <si>
    <t>Total</t>
  </si>
  <si>
    <t>Payee</t>
  </si>
  <si>
    <t>Payment Date</t>
  </si>
  <si>
    <t>Credits</t>
  </si>
  <si>
    <t>$2,927.92</t>
  </si>
  <si>
    <t>Main Line Benefits LLC</t>
  </si>
  <si>
    <t>11/07/2025</t>
  </si>
  <si>
    <t>Debits</t>
  </si>
  <si>
    <t>$0.00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</si>
  <si>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</si>
  <si>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</si>
  <si>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</si>
  <si>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</si>
  <si>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</si>
  <si>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</si>
  <si>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</si>
  <si>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</si>
  <si>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</si>
  <si>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</si>
  <si>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</si>
  <si>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</si>
  <si>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</si>
  <si>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</si>
  <si>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</si>
  <si>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</si>
  <si>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</si>
  <si>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</si>
  <si>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</si>
  <si>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</si>
  <si>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</si>
  <si>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</si>
  <si>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</si>
  <si>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</si>
  <si>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</si>
  <si>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</si>
  <si>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</si>
  <si>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17301495</t>
  </si>
  <si>
    <t>Esther Herrera-Larsen</t>
  </si>
  <si>
    <t>DJ4K76</t>
  </si>
  <si>
    <t>1T16EN4CG45</t>
  </si>
  <si>
    <t>MARYLINE</t>
  </si>
  <si>
    <t>BARRAUD</t>
  </si>
  <si>
    <t>IL</t>
  </si>
  <si>
    <t>10/03/2025</t>
  </si>
  <si>
    <t>12/01/2025</t>
  </si>
  <si>
    <t>H6545</t>
  </si>
  <si>
    <t>NONE</t>
  </si>
  <si>
    <t>Initial - New</t>
  </si>
  <si>
    <t>Oct</t>
  </si>
  <si>
    <t>19586992</t>
  </si>
  <si>
    <t>Barry Schumann</t>
  </si>
  <si>
    <t>DCKKWK</t>
  </si>
  <si>
    <t>3KE9A68CT46</t>
  </si>
  <si>
    <t>DANIEL</t>
  </si>
  <si>
    <t>MARTINEZ</t>
  </si>
  <si>
    <t>10/08/2025</t>
  </si>
  <si>
    <t>H7151</t>
  </si>
  <si>
    <t>2158366</t>
  </si>
  <si>
    <t>Jeffrey Horn</t>
  </si>
  <si>
    <t>D33HEG</t>
  </si>
  <si>
    <t>4P66QD6KQ87</t>
  </si>
  <si>
    <t>SUSAN</t>
  </si>
  <si>
    <t>SORENSON</t>
  </si>
  <si>
    <t>10/12/2025</t>
  </si>
  <si>
    <t>DRUW3J</t>
  </si>
  <si>
    <t>2XA3AJ0YA99</t>
  </si>
  <si>
    <t>NICOLASA</t>
  </si>
  <si>
    <t>WILSON</t>
  </si>
  <si>
    <t>10/15/2025</t>
  </si>
  <si>
    <t>11/01/2025</t>
  </si>
  <si>
    <t>16378851</t>
  </si>
  <si>
    <t>Matthew Daugherty</t>
  </si>
  <si>
    <t>DSW76K</t>
  </si>
  <si>
    <t>8N43VH3HC94</t>
  </si>
  <si>
    <t>ROSA</t>
  </si>
  <si>
    <t>ANDERSON</t>
  </si>
  <si>
    <t>TX</t>
  </si>
  <si>
    <t>10/23/2025</t>
  </si>
  <si>
    <t>H6813</t>
  </si>
  <si>
    <t>Nov</t>
  </si>
  <si>
    <t>DYZU3S</t>
  </si>
  <si>
    <t>6AM4CG0PJ95</t>
  </si>
  <si>
    <t>LIZETTE</t>
  </si>
  <si>
    <t>RIVERA</t>
  </si>
  <si>
    <t>10/22/2025</t>
  </si>
  <si>
    <t>[%/$=313][prorate=1/12]</t>
  </si>
  <si>
    <t>[%/$=626]</t>
  </si>
  <si>
    <t>[%/$=313][prorate=2/12]</t>
  </si>
  <si>
    <t>Devoted MAPD 2025*</t>
  </si>
  <si>
    <t>Devoted MAPD 2025 Ovr</t>
  </si>
  <si>
    <t>Devoted MAPD 2025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</si>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</sst>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6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0</v>
      </c>
      <c r="C3" t="s">
        <v>10</v>
      </c>
    </row>
    <row r="4" spans="1:6" x14ac:dyDescent="0.25">
      <c r="A4" t="s">
        <v>11</v>
      </c>
      <c r="B4">
        <v>0</v>
      </c>
      <c r="C4" t="s">
        <v>10</v>
      </c>
    </row>
    <row r="5" spans="1:6" x14ac:dyDescent="0.25">
      <c r="A5" t="s">
        <v>12</v>
      </c>
      <c r="C5" t="s">
        <v>10</v>
      </c>
    </row>
    <row r="6" spans="1:6" x14ac:dyDescent="0.25">
      <c r="A6" t="s">
        <v>13</v>
      </c>
      <c r="B6">
        <v>6</v>
      </c>
      <c r="C6" t="s">
        <v>6</v>
      </c>
    </row>
    <row r="7" spans="1:6" x14ac:dyDescent="0.25">
      <c r="A7" t="s">
        <v>14</v>
      </c>
      <c r="C7" t="s">
        <v>10</v>
      </c>
    </row>
    <row r="8" spans="1:6" x14ac:dyDescent="0.25">
      <c r="A8" t="s">
        <v>15</v>
      </c>
      <c r="C8" t="s">
        <v>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"/>
  <sheetViews>
    <sheetView zoomScaleNormal="100" workbookViewId="0">
      <selection activeCell="T1" sqref="T1:T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</row>
    <row r="2" spans="1:22" x14ac:dyDescent="0.25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L2" t="s">
        <v>47</v>
      </c>
      <c r="M2">
        <v>1</v>
      </c>
      <c r="N2" t="s">
        <v>48</v>
      </c>
      <c r="O2">
        <v>-1</v>
      </c>
      <c r="P2" t="s">
        <v>49</v>
      </c>
      <c r="Q2" t="s">
        <v>50</v>
      </c>
      <c r="R2">
        <v>599.91999999999996</v>
      </c>
      <c r="S2">
        <v>0</v>
      </c>
      <c r="T2">
        <v>599.91999999999996</v>
      </c>
      <c r="U2" t="s">
        <v>7</v>
      </c>
    </row>
    <row r="3" spans="1:22" x14ac:dyDescent="0.25">
      <c r="A3" t="s">
        <v>8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44</v>
      </c>
      <c r="I3" t="s">
        <v>57</v>
      </c>
      <c r="J3" t="s">
        <v>46</v>
      </c>
      <c r="L3" t="s">
        <v>58</v>
      </c>
      <c r="M3">
        <v>1</v>
      </c>
      <c r="N3" t="s">
        <v>48</v>
      </c>
      <c r="O3">
        <v>-1</v>
      </c>
      <c r="P3" t="s">
        <v>49</v>
      </c>
      <c r="Q3" t="s">
        <v>50</v>
      </c>
      <c r="R3">
        <v>599.91999999999996</v>
      </c>
      <c r="S3">
        <v>0</v>
      </c>
      <c r="T3">
        <v>599.91999999999996</v>
      </c>
      <c r="U3" t="s">
        <v>7</v>
      </c>
    </row>
    <row r="4" spans="1:22" x14ac:dyDescent="0.25">
      <c r="A4" t="s">
        <v>8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44</v>
      </c>
      <c r="I4" t="s">
        <v>65</v>
      </c>
      <c r="J4" t="s">
        <v>46</v>
      </c>
      <c r="L4" t="s">
        <v>47</v>
      </c>
      <c r="M4">
        <v>1</v>
      </c>
      <c r="N4" t="s">
        <v>48</v>
      </c>
      <c r="O4">
        <v>-1</v>
      </c>
      <c r="P4" t="s">
        <v>49</v>
      </c>
      <c r="Q4" t="s">
        <v>50</v>
      </c>
      <c r="R4">
        <v>599.91999999999996</v>
      </c>
      <c r="S4">
        <v>0</v>
      </c>
      <c r="T4">
        <v>599.91999999999996</v>
      </c>
      <c r="U4" t="s">
        <v>7</v>
      </c>
    </row>
    <row r="5" spans="1:22" x14ac:dyDescent="0.25">
      <c r="A5" t="s">
        <v>8</v>
      </c>
      <c r="B5" t="s">
        <v>51</v>
      </c>
      <c r="C5" t="s">
        <v>52</v>
      </c>
      <c r="D5" t="s">
        <v>66</v>
      </c>
      <c r="E5" t="s">
        <v>67</v>
      </c>
      <c r="F5" t="s">
        <v>68</v>
      </c>
      <c r="G5" t="s">
        <v>69</v>
      </c>
      <c r="H5" t="s">
        <v>44</v>
      </c>
      <c r="I5" t="s">
        <v>70</v>
      </c>
      <c r="J5" t="s">
        <v>71</v>
      </c>
      <c r="L5" t="s">
        <v>58</v>
      </c>
      <c r="M5">
        <v>1</v>
      </c>
      <c r="N5" t="s">
        <v>48</v>
      </c>
      <c r="O5">
        <v>1</v>
      </c>
      <c r="P5" t="s">
        <v>49</v>
      </c>
      <c r="Q5" t="s">
        <v>50</v>
      </c>
      <c r="R5">
        <v>573.84</v>
      </c>
      <c r="S5">
        <v>0</v>
      </c>
      <c r="T5">
        <v>573.84</v>
      </c>
      <c r="U5" t="s">
        <v>7</v>
      </c>
    </row>
    <row r="6" spans="1:22" x14ac:dyDescent="0.25">
      <c r="A6" t="s">
        <v>8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71</v>
      </c>
      <c r="L6" t="s">
        <v>80</v>
      </c>
      <c r="M6">
        <v>1</v>
      </c>
      <c r="N6" t="s">
        <v>48</v>
      </c>
      <c r="O6">
        <v>1</v>
      </c>
      <c r="P6" t="s">
        <v>49</v>
      </c>
      <c r="Q6" t="s">
        <v>81</v>
      </c>
      <c r="R6">
        <v>52.16</v>
      </c>
      <c r="S6">
        <v>250</v>
      </c>
      <c r="T6">
        <v>302.16000000000003</v>
      </c>
      <c r="U6" t="s">
        <v>7</v>
      </c>
    </row>
    <row r="7" spans="1:22" x14ac:dyDescent="0.25">
      <c r="A7" t="s">
        <v>8</v>
      </c>
      <c r="B7" t="s">
        <v>51</v>
      </c>
      <c r="C7" t="s">
        <v>52</v>
      </c>
      <c r="D7" t="s">
        <v>82</v>
      </c>
      <c r="E7" t="s">
        <v>83</v>
      </c>
      <c r="F7" t="s">
        <v>84</v>
      </c>
      <c r="G7" t="s">
        <v>85</v>
      </c>
      <c r="H7" t="s">
        <v>44</v>
      </c>
      <c r="I7" t="s">
        <v>86</v>
      </c>
      <c r="J7" t="s">
        <v>71</v>
      </c>
      <c r="L7" t="s">
        <v>47</v>
      </c>
      <c r="M7">
        <v>1</v>
      </c>
      <c r="N7" t="s">
        <v>48</v>
      </c>
      <c r="O7">
        <v>1</v>
      </c>
      <c r="P7" t="s">
        <v>49</v>
      </c>
      <c r="Q7" t="s">
        <v>81</v>
      </c>
      <c r="R7">
        <v>52.16</v>
      </c>
      <c r="S7">
        <v>200</v>
      </c>
      <c r="T7">
        <v>252.16</v>
      </c>
      <c r="U7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304D6-CC91-4D1B-8D02-A4EE773473F8}">
  <dimension ref="A1:Z13"/>
  <sheetViews>
    <sheetView tabSelected="1" workbookViewId="0">
      <selection activeCell="H2" sqref="H2:H13"/>
    </sheetView>
  </sheetViews>
  <sheetFormatPr defaultRowHeight="15" x14ac:dyDescent="0.25"/>
  <cols>
    <col min="1" max="1" width="10" customWidth="1"/>
    <col min="2" max="2" width="25" customWidth="1"/>
    <col min="3" max="4" width="15" customWidth="1"/>
    <col min="6" max="6" width="12.7109375" customWidth="1"/>
    <col min="7" max="7" width="19.28515625" bestFit="1" customWidth="1"/>
    <col min="8" max="8" width="13.7109375" customWidth="1"/>
    <col min="9" max="9" width="13.42578125" customWidth="1"/>
    <col min="10" max="10" width="12.85546875" customWidth="1"/>
    <col min="11" max="11" width="14.5703125" customWidth="1"/>
    <col min="12" max="12" width="14" customWidth="1"/>
    <col min="13" max="14" width="18" customWidth="1"/>
  </cols>
  <sheetData>
    <row r="1" spans="1:26" x14ac:dyDescent="0.25">
      <c r="A1" t="s">
        <v>17</v>
      </c>
      <c r="B1" t="s">
        <v>18</v>
      </c>
      <c r="C1" t="s">
        <v>19</v>
      </c>
      <c r="E1" t="s">
        <v>21</v>
      </c>
      <c r="F1" t="s">
        <v>22</v>
      </c>
      <c r="H1" t="s">
        <v>23</v>
      </c>
      <c r="I1" t="s">
        <v>25</v>
      </c>
      <c r="J1" t="s">
        <v>33</v>
      </c>
      <c r="K1" t="s">
        <v>34</v>
      </c>
      <c r="L1" t="s">
        <v>35</v>
      </c>
      <c r="M1" t="s">
        <v>37</v>
      </c>
    </row>
    <row r="2" spans="1:26" x14ac:dyDescent="0.25">
      <c r="A2" s="1">
        <v>19586992</v>
      </c>
      <c r="B2" t="s">
        <v>52</v>
      </c>
      <c r="C2" t="s">
        <v>53</v>
      </c>
      <c r="D2" t="str">
        <f>CONCATENATE(C2,8)</f>
        <v>DCKKWK8</v>
      </c>
      <c r="E2" t="s">
        <v>55</v>
      </c>
      <c r="F2" t="s">
        <v>56</v>
      </c>
      <c r="G2" t="str">
        <f>CONCATENATE(E2, " ",F2)</f>
        <v>DANIEL MARTINEZ</v>
      </c>
      <c r="H2" t="s">
        <v>44</v>
      </c>
      <c r="I2" t="s">
        <v>46</v>
      </c>
      <c r="J2">
        <v>599.91999999999996</v>
      </c>
      <c r="K2">
        <v>0</v>
      </c>
      <c r="L2">
        <v>599.91999999999996</v>
      </c>
      <c r="M2">
        <v>626</v>
      </c>
      <c r="N2" t="s">
        <v>92</v>
      </c>
      <c r="O2" t="s">
        <v>88</v>
      </c>
    </row>
    <row r="3" spans="1:26" x14ac:dyDescent="0.25">
      <c r="A3" s="1">
        <v>19586992</v>
      </c>
      <c r="B3" t="s">
        <v>52</v>
      </c>
      <c r="C3" t="s">
        <v>66</v>
      </c>
      <c r="D3" t="str">
        <f>CONCATENATE(C3,8)</f>
        <v>DRUW3J8</v>
      </c>
      <c r="E3" t="s">
        <v>68</v>
      </c>
      <c r="F3" t="s">
        <v>69</v>
      </c>
      <c r="G3" t="str">
        <f>CONCATENATE(E3, " ",F3)</f>
        <v>NICOLASA WILSON</v>
      </c>
      <c r="H3" t="s">
        <v>44</v>
      </c>
      <c r="I3" t="s">
        <v>71</v>
      </c>
      <c r="J3">
        <v>573.84</v>
      </c>
      <c r="K3">
        <v>0</v>
      </c>
      <c r="L3">
        <v>573.84</v>
      </c>
      <c r="M3">
        <v>626</v>
      </c>
      <c r="N3" t="s">
        <v>92</v>
      </c>
      <c r="O3" t="s">
        <v>88</v>
      </c>
    </row>
    <row r="4" spans="1:26" x14ac:dyDescent="0.25">
      <c r="A4" s="1">
        <v>19586992</v>
      </c>
      <c r="B4" t="s">
        <v>52</v>
      </c>
      <c r="C4" t="s">
        <v>53</v>
      </c>
      <c r="D4" t="str">
        <f>CONCATENATE(C4,89)</f>
        <v>DCKKWK89</v>
      </c>
      <c r="E4" t="s">
        <v>55</v>
      </c>
      <c r="F4" t="s">
        <v>56</v>
      </c>
      <c r="G4" t="str">
        <f>CONCATENATE(E4, " ",F4)</f>
        <v>DANIEL MARTINEZ</v>
      </c>
      <c r="H4" t="s">
        <v>44</v>
      </c>
      <c r="I4" t="s">
        <v>46</v>
      </c>
      <c r="J4">
        <v>599.91999999999996</v>
      </c>
      <c r="K4">
        <v>0</v>
      </c>
      <c r="L4">
        <v>599.91999999999996</v>
      </c>
      <c r="M4">
        <v>-26.08</v>
      </c>
      <c r="N4" t="s">
        <v>90</v>
      </c>
      <c r="O4" t="s">
        <v>87</v>
      </c>
    </row>
    <row r="5" spans="1:26" x14ac:dyDescent="0.25">
      <c r="A5" s="1">
        <v>19586992</v>
      </c>
      <c r="B5" t="s">
        <v>52</v>
      </c>
      <c r="C5" t="s">
        <v>66</v>
      </c>
      <c r="D5" t="str">
        <f>CONCATENATE(C5,89)</f>
        <v>DRUW3J89</v>
      </c>
      <c r="E5" t="s">
        <v>68</v>
      </c>
      <c r="F5" t="s">
        <v>69</v>
      </c>
      <c r="G5" t="str">
        <f>CONCATENATE(E5, " ",F5)</f>
        <v>NICOLASA WILSON</v>
      </c>
      <c r="H5" t="s">
        <v>44</v>
      </c>
      <c r="I5" t="s">
        <v>71</v>
      </c>
      <c r="J5">
        <v>573.84</v>
      </c>
      <c r="K5">
        <v>0</v>
      </c>
      <c r="L5">
        <v>573.84</v>
      </c>
      <c r="M5">
        <v>-52.16</v>
      </c>
      <c r="N5" t="s">
        <v>90</v>
      </c>
      <c r="O5" t="s">
        <v>89</v>
      </c>
    </row>
    <row r="6" spans="1:26" s="3" customFormat="1" x14ac:dyDescent="0.25">
      <c r="A6" s="1">
        <v>19586992</v>
      </c>
      <c r="B6" t="s">
        <v>52</v>
      </c>
      <c r="C6" t="s">
        <v>82</v>
      </c>
      <c r="D6" t="str">
        <f>CONCATENATE(C6,89)</f>
        <v>DYZU3S89</v>
      </c>
      <c r="E6" t="s">
        <v>84</v>
      </c>
      <c r="F6" t="s">
        <v>85</v>
      </c>
      <c r="G6" t="str">
        <f>CONCATENATE(E6, " ",F6)</f>
        <v>LIZETTE RIVERA</v>
      </c>
      <c r="H6" t="s">
        <v>44</v>
      </c>
      <c r="I6" t="s">
        <v>71</v>
      </c>
      <c r="J6">
        <v>52.16</v>
      </c>
      <c r="K6">
        <v>200</v>
      </c>
      <c r="L6">
        <v>252.16</v>
      </c>
      <c r="M6">
        <v>52.16</v>
      </c>
      <c r="N6" t="s">
        <v>90</v>
      </c>
      <c r="O6" t="s">
        <v>89</v>
      </c>
      <c r="P6"/>
      <c r="Q6"/>
      <c r="R6"/>
      <c r="S6"/>
      <c r="T6"/>
      <c r="U6"/>
      <c r="V6"/>
      <c r="W6"/>
      <c r="X6"/>
      <c r="Y6"/>
      <c r="Z6"/>
    </row>
    <row r="7" spans="1:26" s="3" customFormat="1" x14ac:dyDescent="0.25">
      <c r="A7" s="1">
        <v>17301495</v>
      </c>
      <c r="B7" t="s">
        <v>39</v>
      </c>
      <c r="C7" t="s">
        <v>40</v>
      </c>
      <c r="D7" t="str">
        <f>CONCATENATE(C7,8)</f>
        <v>DJ4K768</v>
      </c>
      <c r="E7" t="s">
        <v>42</v>
      </c>
      <c r="F7" t="s">
        <v>43</v>
      </c>
      <c r="G7" t="str">
        <f>CONCATENATE(E7, " ",F7)</f>
        <v>MARYLINE BARRAUD</v>
      </c>
      <c r="H7" t="s">
        <v>44</v>
      </c>
      <c r="I7" t="s">
        <v>46</v>
      </c>
      <c r="J7">
        <v>599.91999999999996</v>
      </c>
      <c r="K7">
        <v>0</v>
      </c>
      <c r="L7">
        <v>599.91999999999996</v>
      </c>
      <c r="M7">
        <v>626</v>
      </c>
      <c r="N7" t="s">
        <v>92</v>
      </c>
      <c r="O7" t="s">
        <v>88</v>
      </c>
      <c r="P7"/>
      <c r="Q7"/>
      <c r="R7"/>
      <c r="S7"/>
      <c r="T7"/>
      <c r="U7"/>
      <c r="V7"/>
      <c r="W7"/>
      <c r="X7"/>
      <c r="Y7"/>
      <c r="Z7"/>
    </row>
    <row r="8" spans="1:26" x14ac:dyDescent="0.25">
      <c r="A8" s="1">
        <v>17301495</v>
      </c>
      <c r="B8" t="s">
        <v>39</v>
      </c>
      <c r="C8" t="s">
        <v>40</v>
      </c>
      <c r="D8" t="str">
        <f>CONCATENATE(C8,89)</f>
        <v>DJ4K7689</v>
      </c>
      <c r="E8" t="s">
        <v>42</v>
      </c>
      <c r="F8" t="s">
        <v>43</v>
      </c>
      <c r="G8" t="str">
        <f>CONCATENATE(E8, " ",F8)</f>
        <v>MARYLINE BARRAUD</v>
      </c>
      <c r="H8" t="s">
        <v>44</v>
      </c>
      <c r="I8" t="s">
        <v>46</v>
      </c>
      <c r="J8">
        <v>599.91999999999996</v>
      </c>
      <c r="K8">
        <v>0</v>
      </c>
      <c r="L8">
        <v>599.91999999999996</v>
      </c>
      <c r="M8">
        <v>-26.08</v>
      </c>
      <c r="N8" t="s">
        <v>90</v>
      </c>
      <c r="O8" t="s">
        <v>87</v>
      </c>
    </row>
    <row r="9" spans="1:26" x14ac:dyDescent="0.25">
      <c r="A9" s="1">
        <v>2158366</v>
      </c>
      <c r="B9" t="s">
        <v>60</v>
      </c>
      <c r="C9" t="s">
        <v>61</v>
      </c>
      <c r="D9" t="str">
        <f>CONCATENATE(C9,8)</f>
        <v>D33HEG8</v>
      </c>
      <c r="E9" t="s">
        <v>63</v>
      </c>
      <c r="F9" t="s">
        <v>64</v>
      </c>
      <c r="G9" t="str">
        <f>CONCATENATE(E9, " ",F9)</f>
        <v>SUSAN SORENSON</v>
      </c>
      <c r="H9" t="s">
        <v>44</v>
      </c>
      <c r="I9" t="s">
        <v>46</v>
      </c>
      <c r="J9">
        <v>599.91999999999996</v>
      </c>
      <c r="K9">
        <v>0</v>
      </c>
      <c r="L9">
        <v>599.91999999999996</v>
      </c>
      <c r="M9">
        <v>626</v>
      </c>
      <c r="N9" t="s">
        <v>92</v>
      </c>
      <c r="O9" t="s">
        <v>88</v>
      </c>
    </row>
    <row r="10" spans="1:26" x14ac:dyDescent="0.25">
      <c r="A10" s="1">
        <v>2158366</v>
      </c>
      <c r="B10" t="s">
        <v>60</v>
      </c>
      <c r="C10" t="s">
        <v>61</v>
      </c>
      <c r="D10" t="str">
        <f>CONCATENATE(C10,89)</f>
        <v>D33HEG89</v>
      </c>
      <c r="E10" t="s">
        <v>63</v>
      </c>
      <c r="F10" t="s">
        <v>64</v>
      </c>
      <c r="G10" t="str">
        <f>CONCATENATE(E10, " ",F10)</f>
        <v>SUSAN SORENSON</v>
      </c>
      <c r="H10" t="s">
        <v>44</v>
      </c>
      <c r="I10" t="s">
        <v>46</v>
      </c>
      <c r="J10">
        <v>599.91999999999996</v>
      </c>
      <c r="K10">
        <v>0</v>
      </c>
      <c r="L10">
        <v>599.91999999999996</v>
      </c>
      <c r="M10">
        <v>-26.08</v>
      </c>
      <c r="N10" t="s">
        <v>90</v>
      </c>
      <c r="O10" t="s">
        <v>87</v>
      </c>
    </row>
    <row r="11" spans="1:26" x14ac:dyDescent="0.25">
      <c r="A11" s="2">
        <v>20411454</v>
      </c>
      <c r="B11" s="3" t="s">
        <v>93</v>
      </c>
      <c r="C11" s="3" t="s">
        <v>74</v>
      </c>
      <c r="D11" s="3" t="str">
        <f>CONCATENATE(C11,"OVR")</f>
        <v>DSW76KOVR</v>
      </c>
      <c r="E11" s="3" t="s">
        <v>76</v>
      </c>
      <c r="F11" s="3" t="s">
        <v>77</v>
      </c>
      <c r="G11" s="3" t="str">
        <f>CONCATENATE(E11, " ",F11)</f>
        <v>ROSA ANDERSON</v>
      </c>
      <c r="H11" s="3" t="s">
        <v>78</v>
      </c>
      <c r="I11" s="3" t="s">
        <v>71</v>
      </c>
      <c r="J11" s="3">
        <v>52.16</v>
      </c>
      <c r="K11" s="3">
        <v>250</v>
      </c>
      <c r="L11" s="3">
        <v>302.16000000000003</v>
      </c>
      <c r="M11" s="3">
        <v>250</v>
      </c>
      <c r="N11" s="3" t="s">
        <v>91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>
        <v>20411454</v>
      </c>
      <c r="B12" s="3" t="s">
        <v>93</v>
      </c>
      <c r="C12" s="3" t="s">
        <v>82</v>
      </c>
      <c r="D12" s="3" t="str">
        <f>CONCATENATE(C12,"OVR")</f>
        <v>DYZU3SOVR</v>
      </c>
      <c r="E12" s="3" t="s">
        <v>84</v>
      </c>
      <c r="F12" s="3" t="s">
        <v>85</v>
      </c>
      <c r="G12" s="3" t="str">
        <f>CONCATENATE(E12, " ",F12)</f>
        <v>LIZETTE RIVERA</v>
      </c>
      <c r="H12" s="3" t="s">
        <v>44</v>
      </c>
      <c r="I12" s="3" t="s">
        <v>71</v>
      </c>
      <c r="J12" s="3">
        <v>52.16</v>
      </c>
      <c r="K12" s="3">
        <v>200</v>
      </c>
      <c r="L12" s="3">
        <v>252.16</v>
      </c>
      <c r="M12" s="3">
        <v>200</v>
      </c>
      <c r="N12" s="3" t="s">
        <v>91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1">
        <v>1706194</v>
      </c>
      <c r="B13" t="s">
        <v>73</v>
      </c>
      <c r="C13" t="s">
        <v>74</v>
      </c>
      <c r="D13" t="str">
        <f>CONCATENATE(C13,89)</f>
        <v>DSW76K89</v>
      </c>
      <c r="E13" t="s">
        <v>76</v>
      </c>
      <c r="F13" t="s">
        <v>77</v>
      </c>
      <c r="G13" t="str">
        <f>CONCATENATE(E13, " ",F13)</f>
        <v>ROSA ANDERSON</v>
      </c>
      <c r="H13" t="s">
        <v>78</v>
      </c>
      <c r="I13" t="s">
        <v>71</v>
      </c>
      <c r="J13">
        <v>52.16</v>
      </c>
      <c r="K13">
        <v>250</v>
      </c>
      <c r="L13">
        <v>302.16000000000003</v>
      </c>
      <c r="M13">
        <v>52.16</v>
      </c>
      <c r="N13" t="s">
        <v>90</v>
      </c>
      <c r="O13" t="s">
        <v>89</v>
      </c>
    </row>
  </sheetData>
  <sortState xmlns:xlrd2="http://schemas.microsoft.com/office/spreadsheetml/2017/richdata2" ref="A2:Z13">
    <sortCondition ref="B2:B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2025-11-07T12:13:49Z</dcterms:created>
  <dcterms:modified xsi:type="dcterms:W3CDTF">2025-11-07T21:23:51Z</dcterms:modified>
</cp:coreProperties>
</file>