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2-28-25\"/>
    </mc:Choice>
  </mc:AlternateContent>
  <xr:revisionPtr revIDLastSave="0" documentId="13_ncr:1_{DD77BDBA-9E27-465C-BEA1-EF2F38B7B181}" xr6:coauthVersionLast="47" xr6:coauthVersionMax="47" xr10:uidLastSave="{00000000-0000-0000-0000-000000000000}"/>
  <bookViews>
    <workbookView xWindow="31575" yWindow="1875" windowWidth="21600" windowHeight="13230" tabRatio="204" firstSheet="2" activeTab="3" xr2:uid="{00000000-000D-0000-FFFF-FFFF00000000}"/>
  </bookViews>
  <sheets>
    <sheet name="Summary" sheetId="1" r:id="rId1"/>
    <sheet name="Detail" sheetId="2" r:id="rId2"/>
    <sheet name="Sheet1" sheetId="4" r:id="rId3"/>
    <sheet name="HRA" sheetId="3" r:id="rId4"/>
  </sheets>
  <calcPr calcId="181029"/>
</workbook>
</file>

<file path=xl/calcChain.xml><?xml version="1.0" encoding="utf-8"?>
<calcChain xmlns="http://schemas.openxmlformats.org/spreadsheetml/2006/main">
  <c r="D24" i="4" l="1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2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9" i="4"/>
  <c r="G30" i="4"/>
  <c r="G26" i="4"/>
  <c r="G28" i="4"/>
  <c r="G36" i="4"/>
  <c r="G23" i="4"/>
  <c r="G39" i="4"/>
  <c r="G24" i="4"/>
  <c r="G33" i="4"/>
  <c r="G37" i="4"/>
  <c r="G31" i="4"/>
  <c r="G34" i="4"/>
  <c r="G25" i="4"/>
  <c r="G42" i="4"/>
  <c r="G40" i="4"/>
  <c r="G27" i="4"/>
  <c r="G41" i="4"/>
  <c r="G38" i="4"/>
  <c r="G35" i="4"/>
  <c r="G43" i="4"/>
  <c r="G32" i="4"/>
</calcChain>
</file>

<file path=xl/sharedStrings.xml><?xml version="1.0" encoding="utf-8"?>
<sst xmlns="http://schemas.openxmlformats.org/spreadsheetml/2006/main" count="836" uniqueCount="204">
  <si>
    <t>Description</t>
  </si>
  <si>
    <t>Member Count</t>
  </si>
  <si>
    <t>Total</t>
  </si>
  <si>
    <t>Payee</t>
  </si>
  <si>
    <t>Payment Date</t>
  </si>
  <si>
    <t>Credits</t>
  </si>
  <si>
    <t>$1,681.68</t>
  </si>
  <si>
    <t>Main Line Benefits LLC</t>
  </si>
  <si>
    <t>02/28/2025</t>
  </si>
  <si>
    <t>Debits</t>
  </si>
  <si>
    <t>$0.00</t>
  </si>
  <si>
    <t>Miscellaneous</t>
  </si>
  <si>
    <t>$350.00</t>
  </si>
  <si>
    <t>Bonus</t>
  </si>
  <si>
    <t>Sub Total</t>
  </si>
  <si>
    <t>$1,614.34</t>
  </si>
  <si>
    <t>Balance</t>
  </si>
  <si>
    <t>($417.34)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</si>
  <si>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</si>
  <si>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</si>
  <si>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</si>
  <si>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</si>
  <si>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</si>
  <si>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</si>
  <si>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</si>
  <si>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</si>
  <si>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</si>
  <si>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</si>
  <si>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</si>
  <si>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</si>
  <si>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</si>
  <si>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</si>
  <si>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</si>
  <si>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</si>
  <si>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</si>
  <si>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</si>
  <si>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</si>
  <si>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</si>
  <si>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</si>
  <si>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</si>
  <si>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</si>
  <si>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</si>
  <si>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</si>
  <si>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D3ZZRK</t>
  </si>
  <si>
    <t>5RC0PP9VK18</t>
  </si>
  <si>
    <t>MARCO</t>
  </si>
  <si>
    <t>ALVAREZ PEREZ</t>
  </si>
  <si>
    <t>IL</t>
  </si>
  <si>
    <t>02/12/2025</t>
  </si>
  <si>
    <t>03/01/2025</t>
  </si>
  <si>
    <t>H7151</t>
  </si>
  <si>
    <t>Initial - Not New</t>
  </si>
  <si>
    <t>Feb</t>
  </si>
  <si>
    <t>17126004</t>
  </si>
  <si>
    <t>Stephanie Drapac</t>
  </si>
  <si>
    <t>D8YS8Y</t>
  </si>
  <si>
    <t>9QE9Q25VU37</t>
  </si>
  <si>
    <t>MARYANN</t>
  </si>
  <si>
    <t>CHINDERLE</t>
  </si>
  <si>
    <t>08/06/2024</t>
  </si>
  <si>
    <t>10/01/2024</t>
  </si>
  <si>
    <t>H6545</t>
  </si>
  <si>
    <t>NONE</t>
  </si>
  <si>
    <t>Renewal - Monthly</t>
  </si>
  <si>
    <t>DU896U</t>
  </si>
  <si>
    <t>5CM0EK1XF12</t>
  </si>
  <si>
    <t>LINDA</t>
  </si>
  <si>
    <t>CIANCIO</t>
  </si>
  <si>
    <t>07/24/2024</t>
  </si>
  <si>
    <t>08/01/2024</t>
  </si>
  <si>
    <t>8325282</t>
  </si>
  <si>
    <t>Dale Walenga</t>
  </si>
  <si>
    <t>DU29JK</t>
  </si>
  <si>
    <t>7KD4KY4QV77</t>
  </si>
  <si>
    <t>RICHARD</t>
  </si>
  <si>
    <t>DEHN</t>
  </si>
  <si>
    <t>09/18/2024</t>
  </si>
  <si>
    <t>PDP</t>
  </si>
  <si>
    <t>16683808</t>
  </si>
  <si>
    <t>Jonathan Aloff</t>
  </si>
  <si>
    <t>DH28HS</t>
  </si>
  <si>
    <t>3DU4M88UK01</t>
  </si>
  <si>
    <t>MELQUEA</t>
  </si>
  <si>
    <t>EDWARDS</t>
  </si>
  <si>
    <t>TX</t>
  </si>
  <si>
    <t>11/06/2024</t>
  </si>
  <si>
    <t>12/01/2024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</si>
  <si>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</si>
  <si>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</si>
  <si>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</si>
  <si>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</si>
  <si>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</si>
  <si>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</si>
  <si>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</si>
  <si>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</si>
  <si>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</si>
  <si>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</si>
  <si>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</si>
  <si>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</si>
  <si>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</si>
  <si>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</si>
  <si>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</si>
  <si>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</si>
  <si>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</si>
  <si>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</si>
  <si>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</si>
  <si>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</si>
  <si>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</si>
  <si>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</si>
  <si>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</si>
  <si>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</si>
  <si>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</si>
  <si>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</si>
  <si>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</si>
  <si>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</si>
  <si>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</si>
  <si>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DRH8SG</t>
  </si>
  <si>
    <t>1V09CP8GE12</t>
  </si>
  <si>
    <t>EUDOXIO</t>
  </si>
  <si>
    <t>LOPEZ</t>
  </si>
  <si>
    <t>08/16/2024</t>
  </si>
  <si>
    <t>D4AC9K</t>
  </si>
  <si>
    <t>6GA0R99WK27</t>
  </si>
  <si>
    <t>WILLIAM</t>
  </si>
  <si>
    <t>LUDWIG III</t>
  </si>
  <si>
    <t>10/04/2024</t>
  </si>
  <si>
    <t>DR8EJR</t>
  </si>
  <si>
    <t>4RV9DP2GR28</t>
  </si>
  <si>
    <t>THERESA</t>
  </si>
  <si>
    <t>MCAULEY</t>
  </si>
  <si>
    <t>07/30/2024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</si>
  <si>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</si>
  <si>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</si>
  <si>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</si>
  <si>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</si>
  <si>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</si>
  <si>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</si>
  <si>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</si>
  <si>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</si>
  <si>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</si>
  <si>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</si>
  <si>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</si>
  <si>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</si>
  <si>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</si>
  <si>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</si>
  <si>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</si>
  <si>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</si>
  <si>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</si>
  <si>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</si>
  <si>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</si>
  <si>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</si>
  <si>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</si>
  <si>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</si>
  <si>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</si>
  <si>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</si>
  <si>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</si>
  <si>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</si>
  <si>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</si>
  <si>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</si>
  <si>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</si>
  <si>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</si>
  <si>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</si>
  <si>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</si>
  <si>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</si>
  <si>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</si>
  <si>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</si>
  <si>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</si>
  <si>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</si>
  <si>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</si>
  <si>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</si>
  <si>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</si>
  <si>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</si>
  <si>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</si>
  <si>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</si>
  <si>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</si>
  <si>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</si>
  <si>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08/08/2024</t>
  </si>
  <si>
    <t>DR59AA</t>
  </si>
  <si>
    <t>2RC2FP7NK80</t>
  </si>
  <si>
    <t>MARIA</t>
  </si>
  <si>
    <t>YUQUILIMA</t>
  </si>
  <si>
    <t>02/11/2025</t>
  </si>
  <si>
    <t>Rep Name</t>
  </si>
  <si>
    <t>Rep ID</t>
  </si>
  <si>
    <t>Amount</t>
  </si>
  <si>
    <t>Note</t>
  </si>
  <si>
    <t>HRA for member Carlos Chavez D6YZ5C (IL)</t>
  </si>
  <si>
    <t>Andrew Choi</t>
  </si>
  <si>
    <t>7470776</t>
  </si>
  <si>
    <t>HRA for member Jeffery Forsberg D3EH29 (TN)</t>
  </si>
  <si>
    <t>HRA for member Thomas Godfrey Iii DFZ5W5 (IN)</t>
  </si>
  <si>
    <t>HRA for member Hector Hernandez DG4GHG (IL)</t>
  </si>
  <si>
    <t>Barry Schumann</t>
  </si>
  <si>
    <t>19586992</t>
  </si>
  <si>
    <t>HRA for member Martha Tuohy DGRWSH (IL)</t>
  </si>
  <si>
    <t>Patsamon Thanadabouth</t>
  </si>
  <si>
    <t>8405446</t>
  </si>
  <si>
    <t>HRA for member Khammone Vorravong DC32CH (IL)</t>
  </si>
  <si>
    <t>HRA for member Janelle Whitfield DE9HW8 (TX)</t>
  </si>
  <si>
    <t>Devoted MAPD 2025*</t>
  </si>
  <si>
    <t>Devoted MAPD 2025 Ovr</t>
  </si>
  <si>
    <t>[%/$=313][prorate=10/12]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</si>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</sst>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21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7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28</v>
      </c>
      <c r="C6" t="s">
        <v>15</v>
      </c>
    </row>
    <row r="7" spans="1:6" x14ac:dyDescent="0.25">
      <c r="A7" t="s">
        <v>16</v>
      </c>
      <c r="C7" t="s">
        <v>17</v>
      </c>
    </row>
    <row r="8" spans="1:6" x14ac:dyDescent="0.2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topLeftCell="D1" zoomScaleNormal="100" workbookViewId="0">
      <selection activeCell="K32" sqref="K3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L2" t="s">
        <v>50</v>
      </c>
      <c r="M2">
        <v>1</v>
      </c>
      <c r="O2">
        <v>0</v>
      </c>
      <c r="P2" t="s">
        <v>51</v>
      </c>
      <c r="Q2" t="s">
        <v>52</v>
      </c>
      <c r="R2">
        <v>260.83</v>
      </c>
      <c r="S2">
        <v>200</v>
      </c>
      <c r="T2">
        <v>460.83</v>
      </c>
      <c r="U2" t="s">
        <v>7</v>
      </c>
    </row>
    <row r="3" spans="1:22" x14ac:dyDescent="0.25">
      <c r="A3" t="s">
        <v>8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47</v>
      </c>
      <c r="I3" t="s">
        <v>59</v>
      </c>
      <c r="J3" t="s">
        <v>60</v>
      </c>
      <c r="L3" t="s">
        <v>61</v>
      </c>
      <c r="M3">
        <v>1</v>
      </c>
      <c r="N3" t="s">
        <v>62</v>
      </c>
      <c r="O3">
        <v>2</v>
      </c>
      <c r="P3" t="s">
        <v>63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53</v>
      </c>
      <c r="C4" t="s">
        <v>54</v>
      </c>
      <c r="D4" t="s">
        <v>64</v>
      </c>
      <c r="E4" t="s">
        <v>65</v>
      </c>
      <c r="F4" t="s">
        <v>66</v>
      </c>
      <c r="G4" t="s">
        <v>67</v>
      </c>
      <c r="H4" t="s">
        <v>47</v>
      </c>
      <c r="I4" t="s">
        <v>68</v>
      </c>
      <c r="J4" t="s">
        <v>69</v>
      </c>
      <c r="L4" t="s">
        <v>61</v>
      </c>
      <c r="M4">
        <v>1</v>
      </c>
      <c r="N4" t="s">
        <v>62</v>
      </c>
      <c r="O4">
        <v>2</v>
      </c>
      <c r="P4" t="s">
        <v>63</v>
      </c>
      <c r="Q4" t="s">
        <v>52</v>
      </c>
      <c r="R4">
        <v>26.08</v>
      </c>
      <c r="S4">
        <v>14</v>
      </c>
      <c r="T4">
        <v>40.08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47</v>
      </c>
      <c r="I5" t="s">
        <v>76</v>
      </c>
      <c r="J5" t="s">
        <v>60</v>
      </c>
      <c r="L5" t="s">
        <v>61</v>
      </c>
      <c r="M5">
        <v>1</v>
      </c>
      <c r="N5" t="s">
        <v>77</v>
      </c>
      <c r="O5">
        <v>2</v>
      </c>
      <c r="P5" t="s">
        <v>63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L6" t="s">
        <v>87</v>
      </c>
      <c r="M6">
        <v>7</v>
      </c>
      <c r="N6" t="s">
        <v>88</v>
      </c>
      <c r="O6">
        <v>5</v>
      </c>
      <c r="P6" t="s">
        <v>63</v>
      </c>
      <c r="Q6" t="s">
        <v>52</v>
      </c>
      <c r="R6">
        <v>26.08</v>
      </c>
      <c r="S6">
        <v>12.5</v>
      </c>
      <c r="T6">
        <v>38.58</v>
      </c>
      <c r="U6" t="s">
        <v>7</v>
      </c>
    </row>
    <row r="7" spans="1:22" x14ac:dyDescent="0.25">
      <c r="A7" t="s">
        <v>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47</v>
      </c>
      <c r="I7" t="s">
        <v>95</v>
      </c>
      <c r="J7" t="s">
        <v>96</v>
      </c>
      <c r="L7" t="s">
        <v>61</v>
      </c>
      <c r="M7">
        <v>1</v>
      </c>
      <c r="N7" t="s">
        <v>62</v>
      </c>
      <c r="O7">
        <v>2</v>
      </c>
      <c r="P7" t="s">
        <v>63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47</v>
      </c>
      <c r="I8" t="s">
        <v>60</v>
      </c>
      <c r="J8" t="s">
        <v>86</v>
      </c>
      <c r="L8" t="s">
        <v>50</v>
      </c>
      <c r="M8">
        <v>1</v>
      </c>
      <c r="N8" t="s">
        <v>62</v>
      </c>
      <c r="O8">
        <v>2</v>
      </c>
      <c r="P8" t="s">
        <v>63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47</v>
      </c>
      <c r="I9" t="s">
        <v>109</v>
      </c>
      <c r="J9" t="s">
        <v>60</v>
      </c>
      <c r="L9" t="s">
        <v>61</v>
      </c>
      <c r="M9">
        <v>1</v>
      </c>
      <c r="N9" t="s">
        <v>62</v>
      </c>
      <c r="O9">
        <v>2</v>
      </c>
      <c r="P9" t="s">
        <v>63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97</v>
      </c>
      <c r="C10" t="s">
        <v>98</v>
      </c>
      <c r="D10" t="s">
        <v>110</v>
      </c>
      <c r="E10" t="s">
        <v>111</v>
      </c>
      <c r="F10" t="s">
        <v>112</v>
      </c>
      <c r="G10" t="s">
        <v>113</v>
      </c>
      <c r="H10" t="s">
        <v>47</v>
      </c>
      <c r="I10" t="s">
        <v>114</v>
      </c>
      <c r="J10" t="s">
        <v>115</v>
      </c>
      <c r="L10" t="s">
        <v>50</v>
      </c>
      <c r="M10">
        <v>1</v>
      </c>
      <c r="N10" t="s">
        <v>62</v>
      </c>
      <c r="O10">
        <v>2</v>
      </c>
      <c r="P10" t="s">
        <v>63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41</v>
      </c>
      <c r="C11" t="s">
        <v>42</v>
      </c>
      <c r="D11" t="s">
        <v>116</v>
      </c>
      <c r="E11" t="s">
        <v>117</v>
      </c>
      <c r="F11" t="s">
        <v>118</v>
      </c>
      <c r="G11" t="s">
        <v>119</v>
      </c>
      <c r="H11" t="s">
        <v>47</v>
      </c>
      <c r="I11" t="s">
        <v>120</v>
      </c>
      <c r="J11" t="s">
        <v>115</v>
      </c>
      <c r="L11" t="s">
        <v>50</v>
      </c>
      <c r="M11">
        <v>1</v>
      </c>
      <c r="N11" t="s">
        <v>62</v>
      </c>
      <c r="O11">
        <v>2</v>
      </c>
      <c r="P11" t="s">
        <v>63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89</v>
      </c>
      <c r="C12" t="s">
        <v>90</v>
      </c>
      <c r="D12" t="s">
        <v>121</v>
      </c>
      <c r="E12" t="s">
        <v>122</v>
      </c>
      <c r="F12" t="s">
        <v>123</v>
      </c>
      <c r="G12" t="s">
        <v>124</v>
      </c>
      <c r="H12" t="s">
        <v>47</v>
      </c>
      <c r="I12" t="s">
        <v>125</v>
      </c>
      <c r="J12" t="s">
        <v>115</v>
      </c>
      <c r="L12" t="s">
        <v>50</v>
      </c>
      <c r="M12">
        <v>1</v>
      </c>
      <c r="N12" t="s">
        <v>77</v>
      </c>
      <c r="O12">
        <v>2</v>
      </c>
      <c r="P12" t="s">
        <v>63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53</v>
      </c>
      <c r="C13" t="s">
        <v>54</v>
      </c>
      <c r="D13" t="s">
        <v>126</v>
      </c>
      <c r="E13" t="s">
        <v>127</v>
      </c>
      <c r="F13" t="s">
        <v>128</v>
      </c>
      <c r="G13" t="s">
        <v>129</v>
      </c>
      <c r="H13" t="s">
        <v>47</v>
      </c>
      <c r="I13" t="s">
        <v>130</v>
      </c>
      <c r="J13" t="s">
        <v>69</v>
      </c>
      <c r="L13" t="s">
        <v>61</v>
      </c>
      <c r="M13">
        <v>1</v>
      </c>
      <c r="N13" t="s">
        <v>62</v>
      </c>
      <c r="O13">
        <v>2</v>
      </c>
      <c r="P13" t="s">
        <v>63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41</v>
      </c>
      <c r="C14" t="s">
        <v>42</v>
      </c>
      <c r="D14" t="s">
        <v>131</v>
      </c>
      <c r="E14" t="s">
        <v>132</v>
      </c>
      <c r="F14" t="s">
        <v>133</v>
      </c>
      <c r="G14" t="s">
        <v>134</v>
      </c>
      <c r="H14" t="s">
        <v>47</v>
      </c>
      <c r="I14" t="s">
        <v>135</v>
      </c>
      <c r="J14" t="s">
        <v>96</v>
      </c>
      <c r="L14" t="s">
        <v>61</v>
      </c>
      <c r="M14">
        <v>1</v>
      </c>
      <c r="N14" t="s">
        <v>62</v>
      </c>
      <c r="O14">
        <v>2</v>
      </c>
      <c r="P14" t="s">
        <v>63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97</v>
      </c>
      <c r="C15" t="s">
        <v>98</v>
      </c>
      <c r="D15" t="s">
        <v>136</v>
      </c>
      <c r="E15" t="s">
        <v>137</v>
      </c>
      <c r="F15" t="s">
        <v>138</v>
      </c>
      <c r="G15" t="s">
        <v>139</v>
      </c>
      <c r="H15" t="s">
        <v>47</v>
      </c>
      <c r="I15" t="s">
        <v>140</v>
      </c>
      <c r="J15" t="s">
        <v>60</v>
      </c>
      <c r="L15" t="s">
        <v>61</v>
      </c>
      <c r="M15">
        <v>1</v>
      </c>
      <c r="N15" t="s">
        <v>88</v>
      </c>
      <c r="O15">
        <v>6</v>
      </c>
      <c r="P15" t="s">
        <v>63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47</v>
      </c>
      <c r="I16" t="s">
        <v>85</v>
      </c>
      <c r="J16" t="s">
        <v>147</v>
      </c>
      <c r="L16" t="s">
        <v>50</v>
      </c>
      <c r="M16">
        <v>3</v>
      </c>
      <c r="N16" t="s">
        <v>88</v>
      </c>
      <c r="O16">
        <v>2</v>
      </c>
      <c r="P16" t="s">
        <v>63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103</v>
      </c>
      <c r="C17" t="s">
        <v>104</v>
      </c>
      <c r="D17" t="s">
        <v>148</v>
      </c>
      <c r="E17" t="s">
        <v>149</v>
      </c>
      <c r="F17" t="s">
        <v>150</v>
      </c>
      <c r="G17" t="s">
        <v>151</v>
      </c>
      <c r="H17" t="s">
        <v>47</v>
      </c>
      <c r="I17" t="s">
        <v>152</v>
      </c>
      <c r="J17" t="s">
        <v>115</v>
      </c>
      <c r="L17" t="s">
        <v>50</v>
      </c>
      <c r="M17">
        <v>1</v>
      </c>
      <c r="N17" t="s">
        <v>62</v>
      </c>
      <c r="O17">
        <v>2</v>
      </c>
      <c r="P17" t="s">
        <v>63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47</v>
      </c>
      <c r="I18" t="s">
        <v>159</v>
      </c>
      <c r="J18" t="s">
        <v>115</v>
      </c>
      <c r="L18" t="s">
        <v>61</v>
      </c>
      <c r="M18">
        <v>1</v>
      </c>
      <c r="N18" t="s">
        <v>62</v>
      </c>
      <c r="O18">
        <v>2</v>
      </c>
      <c r="P18" t="s">
        <v>63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160</v>
      </c>
      <c r="C19" t="s">
        <v>161</v>
      </c>
      <c r="D19" t="s">
        <v>162</v>
      </c>
      <c r="E19" t="s">
        <v>163</v>
      </c>
      <c r="F19" t="s">
        <v>164</v>
      </c>
      <c r="G19" t="s">
        <v>165</v>
      </c>
      <c r="H19" t="s">
        <v>47</v>
      </c>
      <c r="I19" t="s">
        <v>166</v>
      </c>
      <c r="J19" t="s">
        <v>60</v>
      </c>
      <c r="L19" t="s">
        <v>61</v>
      </c>
      <c r="M19">
        <v>1</v>
      </c>
      <c r="N19" t="s">
        <v>62</v>
      </c>
      <c r="O19">
        <v>2</v>
      </c>
      <c r="P19" t="s">
        <v>63</v>
      </c>
      <c r="Q19" t="s">
        <v>52</v>
      </c>
      <c r="R19">
        <v>26.08</v>
      </c>
      <c r="S19">
        <v>14</v>
      </c>
      <c r="T19">
        <v>40.08</v>
      </c>
      <c r="U19" t="s">
        <v>7</v>
      </c>
    </row>
    <row r="20" spans="1:21" x14ac:dyDescent="0.25">
      <c r="A20" t="s">
        <v>8</v>
      </c>
      <c r="B20" t="s">
        <v>89</v>
      </c>
      <c r="C20" t="s">
        <v>90</v>
      </c>
      <c r="D20" t="s">
        <v>167</v>
      </c>
      <c r="E20" t="s">
        <v>168</v>
      </c>
      <c r="F20" t="s">
        <v>169</v>
      </c>
      <c r="G20" t="s">
        <v>170</v>
      </c>
      <c r="H20" t="s">
        <v>47</v>
      </c>
      <c r="I20" t="s">
        <v>171</v>
      </c>
      <c r="J20" t="s">
        <v>69</v>
      </c>
      <c r="L20" t="s">
        <v>50</v>
      </c>
      <c r="M20">
        <v>1</v>
      </c>
      <c r="N20" t="s">
        <v>62</v>
      </c>
      <c r="O20">
        <v>2</v>
      </c>
      <c r="P20" t="s">
        <v>63</v>
      </c>
      <c r="Q20" t="s">
        <v>52</v>
      </c>
      <c r="R20">
        <v>26.08</v>
      </c>
      <c r="S20">
        <v>14</v>
      </c>
      <c r="T20">
        <v>40.08</v>
      </c>
      <c r="U20" t="s">
        <v>7</v>
      </c>
    </row>
    <row r="21" spans="1:21" x14ac:dyDescent="0.25">
      <c r="A21" t="s">
        <v>8</v>
      </c>
      <c r="B21" t="s">
        <v>41</v>
      </c>
      <c r="C21" t="s">
        <v>42</v>
      </c>
      <c r="D21" t="s">
        <v>172</v>
      </c>
      <c r="E21" t="s">
        <v>173</v>
      </c>
      <c r="F21" t="s">
        <v>174</v>
      </c>
      <c r="G21" t="s">
        <v>175</v>
      </c>
      <c r="H21" t="s">
        <v>47</v>
      </c>
      <c r="I21" t="s">
        <v>176</v>
      </c>
      <c r="J21" t="s">
        <v>115</v>
      </c>
      <c r="L21" t="s">
        <v>50</v>
      </c>
      <c r="M21">
        <v>1</v>
      </c>
      <c r="N21" t="s">
        <v>62</v>
      </c>
      <c r="O21">
        <v>2</v>
      </c>
      <c r="P21" t="s">
        <v>63</v>
      </c>
      <c r="Q21" t="s">
        <v>52</v>
      </c>
      <c r="R21">
        <v>26.08</v>
      </c>
      <c r="S21">
        <v>14</v>
      </c>
      <c r="T21">
        <v>40.08</v>
      </c>
      <c r="U21" t="s">
        <v>7</v>
      </c>
    </row>
    <row r="22" spans="1:21" x14ac:dyDescent="0.25">
      <c r="A22" t="s">
        <v>8</v>
      </c>
      <c r="B22" t="s">
        <v>141</v>
      </c>
      <c r="C22" t="s">
        <v>142</v>
      </c>
      <c r="D22" t="s">
        <v>177</v>
      </c>
      <c r="E22" t="s">
        <v>178</v>
      </c>
      <c r="F22" t="s">
        <v>179</v>
      </c>
      <c r="G22" t="s">
        <v>180</v>
      </c>
      <c r="H22" t="s">
        <v>47</v>
      </c>
      <c r="I22" t="s">
        <v>181</v>
      </c>
      <c r="J22" t="s">
        <v>49</v>
      </c>
      <c r="L22" t="s">
        <v>50</v>
      </c>
      <c r="M22">
        <v>3</v>
      </c>
      <c r="O22">
        <v>0</v>
      </c>
      <c r="P22" t="s">
        <v>51</v>
      </c>
      <c r="Q22" t="s">
        <v>52</v>
      </c>
      <c r="R22">
        <v>260.83</v>
      </c>
      <c r="S22">
        <v>200</v>
      </c>
      <c r="T22">
        <v>460.83</v>
      </c>
      <c r="U2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949F-8689-472D-A85D-205903927ADF}">
  <dimension ref="A1:S43"/>
  <sheetViews>
    <sheetView topLeftCell="B1" workbookViewId="0">
      <selection activeCell="S2" sqref="S2:S43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5" max="5" width="13.28515625" bestFit="1" customWidth="1"/>
    <col min="6" max="6" width="17.5703125" bestFit="1" customWidth="1"/>
    <col min="7" max="7" width="24.140625" bestFit="1" customWidth="1"/>
    <col min="8" max="8" width="13.7109375" customWidth="1"/>
    <col min="9" max="9" width="14.140625" customWidth="1"/>
    <col min="10" max="10" width="13.42578125" customWidth="1"/>
    <col min="11" max="11" width="8.7109375" customWidth="1"/>
    <col min="12" max="12" width="4.2851562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8" max="18" width="22.85546875" bestFit="1" customWidth="1"/>
  </cols>
  <sheetData>
    <row r="1" spans="1:18" x14ac:dyDescent="0.25">
      <c r="A1" t="s">
        <v>20</v>
      </c>
      <c r="B1" t="s">
        <v>21</v>
      </c>
      <c r="C1" t="s">
        <v>22</v>
      </c>
      <c r="E1" t="s">
        <v>24</v>
      </c>
      <c r="F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35</v>
      </c>
      <c r="N1" t="s">
        <v>36</v>
      </c>
      <c r="O1" t="s">
        <v>37</v>
      </c>
      <c r="P1" t="s">
        <v>38</v>
      </c>
    </row>
    <row r="2" spans="1:18" x14ac:dyDescent="0.25">
      <c r="A2">
        <v>20411454</v>
      </c>
      <c r="B2" t="s">
        <v>203</v>
      </c>
      <c r="C2" t="s">
        <v>43</v>
      </c>
      <c r="D2" t="str">
        <f>CONCATENATE(C2,88)</f>
        <v>D3ZZRK88</v>
      </c>
      <c r="E2" t="s">
        <v>45</v>
      </c>
      <c r="F2" t="s">
        <v>46</v>
      </c>
      <c r="G2" t="str">
        <f t="shared" ref="G2:G43" si="0">CONCATENATE(E2, " ", F2)</f>
        <v>MARCO ALVAREZ PEREZ</v>
      </c>
      <c r="H2" t="s">
        <v>47</v>
      </c>
      <c r="I2" t="s">
        <v>48</v>
      </c>
      <c r="J2" t="s">
        <v>49</v>
      </c>
      <c r="K2" t="s">
        <v>50</v>
      </c>
      <c r="L2">
        <v>1</v>
      </c>
      <c r="M2" t="s">
        <v>52</v>
      </c>
      <c r="N2">
        <v>260.83</v>
      </c>
      <c r="O2">
        <v>200</v>
      </c>
      <c r="P2">
        <v>460.83</v>
      </c>
      <c r="Q2">
        <v>200</v>
      </c>
      <c r="R2" t="s">
        <v>200</v>
      </c>
    </row>
    <row r="3" spans="1:18" x14ac:dyDescent="0.25">
      <c r="A3">
        <v>20411454</v>
      </c>
      <c r="B3" t="s">
        <v>203</v>
      </c>
      <c r="C3" t="s">
        <v>55</v>
      </c>
      <c r="D3" t="str">
        <f t="shared" ref="D3:D22" si="1">CONCATENATE(C3,88)</f>
        <v>D8YS8Y88</v>
      </c>
      <c r="E3" t="s">
        <v>57</v>
      </c>
      <c r="F3" t="s">
        <v>58</v>
      </c>
      <c r="G3" t="str">
        <f t="shared" si="0"/>
        <v>MARYANN CHINDERLE</v>
      </c>
      <c r="H3" t="s">
        <v>47</v>
      </c>
      <c r="I3" t="s">
        <v>59</v>
      </c>
      <c r="J3" t="s">
        <v>60</v>
      </c>
      <c r="K3" t="s">
        <v>61</v>
      </c>
      <c r="L3">
        <v>1</v>
      </c>
      <c r="M3" t="s">
        <v>52</v>
      </c>
      <c r="N3">
        <v>26.08</v>
      </c>
      <c r="O3">
        <v>14</v>
      </c>
      <c r="P3">
        <v>40.08</v>
      </c>
      <c r="Q3">
        <v>14</v>
      </c>
      <c r="R3" t="s">
        <v>200</v>
      </c>
    </row>
    <row r="4" spans="1:18" x14ac:dyDescent="0.25">
      <c r="A4">
        <v>20411454</v>
      </c>
      <c r="B4" t="s">
        <v>203</v>
      </c>
      <c r="C4" t="s">
        <v>64</v>
      </c>
      <c r="D4" t="str">
        <f t="shared" si="1"/>
        <v>DU896U88</v>
      </c>
      <c r="E4" t="s">
        <v>66</v>
      </c>
      <c r="F4" t="s">
        <v>67</v>
      </c>
      <c r="G4" t="str">
        <f t="shared" si="0"/>
        <v>LINDA CIANCIO</v>
      </c>
      <c r="H4" t="s">
        <v>47</v>
      </c>
      <c r="I4" t="s">
        <v>68</v>
      </c>
      <c r="J4" t="s">
        <v>69</v>
      </c>
      <c r="K4" t="s">
        <v>61</v>
      </c>
      <c r="L4">
        <v>1</v>
      </c>
      <c r="M4" t="s">
        <v>52</v>
      </c>
      <c r="N4">
        <v>26.08</v>
      </c>
      <c r="O4">
        <v>14</v>
      </c>
      <c r="P4">
        <v>40.08</v>
      </c>
      <c r="Q4">
        <v>14</v>
      </c>
      <c r="R4" t="s">
        <v>200</v>
      </c>
    </row>
    <row r="5" spans="1:18" x14ac:dyDescent="0.25">
      <c r="A5">
        <v>20411454</v>
      </c>
      <c r="B5" t="s">
        <v>203</v>
      </c>
      <c r="C5" t="s">
        <v>72</v>
      </c>
      <c r="D5" t="str">
        <f t="shared" si="1"/>
        <v>DU29JK88</v>
      </c>
      <c r="E5" t="s">
        <v>74</v>
      </c>
      <c r="F5" t="s">
        <v>75</v>
      </c>
      <c r="G5" t="str">
        <f t="shared" si="0"/>
        <v>RICHARD DEHN</v>
      </c>
      <c r="H5" t="s">
        <v>47</v>
      </c>
      <c r="I5" t="s">
        <v>76</v>
      </c>
      <c r="J5" t="s">
        <v>60</v>
      </c>
      <c r="K5" t="s">
        <v>61</v>
      </c>
      <c r="L5">
        <v>1</v>
      </c>
      <c r="M5" t="s">
        <v>52</v>
      </c>
      <c r="N5">
        <v>26.08</v>
      </c>
      <c r="O5">
        <v>14</v>
      </c>
      <c r="P5">
        <v>40.08</v>
      </c>
      <c r="Q5">
        <v>14</v>
      </c>
      <c r="R5" t="s">
        <v>200</v>
      </c>
    </row>
    <row r="6" spans="1:18" x14ac:dyDescent="0.25">
      <c r="A6">
        <v>20411454</v>
      </c>
      <c r="B6" t="s">
        <v>203</v>
      </c>
      <c r="C6" t="s">
        <v>80</v>
      </c>
      <c r="D6" t="str">
        <f t="shared" si="1"/>
        <v>DH28HS88</v>
      </c>
      <c r="E6" t="s">
        <v>82</v>
      </c>
      <c r="F6" t="s">
        <v>83</v>
      </c>
      <c r="G6" t="str">
        <f t="shared" si="0"/>
        <v>MELQUEA EDWARDS</v>
      </c>
      <c r="H6" t="s">
        <v>84</v>
      </c>
      <c r="I6" t="s">
        <v>85</v>
      </c>
      <c r="J6" t="s">
        <v>86</v>
      </c>
      <c r="K6" t="s">
        <v>87</v>
      </c>
      <c r="L6">
        <v>7</v>
      </c>
      <c r="M6" t="s">
        <v>52</v>
      </c>
      <c r="N6">
        <v>26.08</v>
      </c>
      <c r="O6">
        <v>12.5</v>
      </c>
      <c r="P6">
        <v>38.58</v>
      </c>
      <c r="Q6">
        <v>12.5</v>
      </c>
      <c r="R6" t="s">
        <v>200</v>
      </c>
    </row>
    <row r="7" spans="1:18" x14ac:dyDescent="0.25">
      <c r="A7">
        <v>20411454</v>
      </c>
      <c r="B7" t="s">
        <v>203</v>
      </c>
      <c r="C7" t="s">
        <v>91</v>
      </c>
      <c r="D7" t="str">
        <f t="shared" si="1"/>
        <v>D9H8YE88</v>
      </c>
      <c r="E7" t="s">
        <v>93</v>
      </c>
      <c r="F7" t="s">
        <v>94</v>
      </c>
      <c r="G7" t="str">
        <f t="shared" si="0"/>
        <v>ANNETTE EDWARDSON</v>
      </c>
      <c r="H7" t="s">
        <v>47</v>
      </c>
      <c r="I7" t="s">
        <v>95</v>
      </c>
      <c r="J7" t="s">
        <v>96</v>
      </c>
      <c r="K7" t="s">
        <v>61</v>
      </c>
      <c r="L7">
        <v>1</v>
      </c>
      <c r="M7" t="s">
        <v>52</v>
      </c>
      <c r="N7">
        <v>26.08</v>
      </c>
      <c r="O7">
        <v>14</v>
      </c>
      <c r="P7">
        <v>40.08</v>
      </c>
      <c r="Q7">
        <v>14</v>
      </c>
      <c r="R7" t="s">
        <v>200</v>
      </c>
    </row>
    <row r="8" spans="1:18" x14ac:dyDescent="0.25">
      <c r="A8">
        <v>20411454</v>
      </c>
      <c r="B8" t="s">
        <v>203</v>
      </c>
      <c r="C8" t="s">
        <v>99</v>
      </c>
      <c r="D8" t="str">
        <f t="shared" si="1"/>
        <v>D6K5SY88</v>
      </c>
      <c r="E8" t="s">
        <v>101</v>
      </c>
      <c r="F8" t="s">
        <v>102</v>
      </c>
      <c r="G8" t="str">
        <f t="shared" si="0"/>
        <v>SUSAN EICHMAN PARCELL</v>
      </c>
      <c r="H8" t="s">
        <v>47</v>
      </c>
      <c r="I8" t="s">
        <v>60</v>
      </c>
      <c r="J8" t="s">
        <v>86</v>
      </c>
      <c r="K8" t="s">
        <v>50</v>
      </c>
      <c r="L8">
        <v>1</v>
      </c>
      <c r="M8" t="s">
        <v>52</v>
      </c>
      <c r="N8">
        <v>26.08</v>
      </c>
      <c r="O8">
        <v>14</v>
      </c>
      <c r="P8">
        <v>40.08</v>
      </c>
      <c r="Q8">
        <v>14</v>
      </c>
      <c r="R8" t="s">
        <v>200</v>
      </c>
    </row>
    <row r="9" spans="1:18" x14ac:dyDescent="0.25">
      <c r="A9">
        <v>20411454</v>
      </c>
      <c r="B9" t="s">
        <v>203</v>
      </c>
      <c r="C9" t="s">
        <v>105</v>
      </c>
      <c r="D9" t="str">
        <f t="shared" si="1"/>
        <v>D77FJC88</v>
      </c>
      <c r="E9" t="s">
        <v>107</v>
      </c>
      <c r="F9" t="s">
        <v>108</v>
      </c>
      <c r="G9" t="str">
        <f t="shared" si="0"/>
        <v>BETH GONSIEWSKI</v>
      </c>
      <c r="H9" t="s">
        <v>47</v>
      </c>
      <c r="I9" t="s">
        <v>109</v>
      </c>
      <c r="J9" t="s">
        <v>60</v>
      </c>
      <c r="K9" t="s">
        <v>61</v>
      </c>
      <c r="L9">
        <v>1</v>
      </c>
      <c r="M9" t="s">
        <v>52</v>
      </c>
      <c r="N9">
        <v>26.08</v>
      </c>
      <c r="O9">
        <v>14</v>
      </c>
      <c r="P9">
        <v>40.08</v>
      </c>
      <c r="Q9">
        <v>14</v>
      </c>
      <c r="R9" t="s">
        <v>200</v>
      </c>
    </row>
    <row r="10" spans="1:18" x14ac:dyDescent="0.25">
      <c r="A10">
        <v>20411454</v>
      </c>
      <c r="B10" t="s">
        <v>203</v>
      </c>
      <c r="C10" t="s">
        <v>110</v>
      </c>
      <c r="D10" t="str">
        <f t="shared" si="1"/>
        <v>D7ZW4G88</v>
      </c>
      <c r="E10" t="s">
        <v>112</v>
      </c>
      <c r="F10" t="s">
        <v>113</v>
      </c>
      <c r="G10" t="str">
        <f t="shared" si="0"/>
        <v>JEFFREY JOHNS</v>
      </c>
      <c r="H10" t="s">
        <v>47</v>
      </c>
      <c r="I10" t="s">
        <v>114</v>
      </c>
      <c r="J10" t="s">
        <v>115</v>
      </c>
      <c r="K10" t="s">
        <v>50</v>
      </c>
      <c r="L10">
        <v>1</v>
      </c>
      <c r="M10" t="s">
        <v>52</v>
      </c>
      <c r="N10">
        <v>26.08</v>
      </c>
      <c r="O10">
        <v>14</v>
      </c>
      <c r="P10">
        <v>40.08</v>
      </c>
      <c r="Q10">
        <v>14</v>
      </c>
      <c r="R10" t="s">
        <v>200</v>
      </c>
    </row>
    <row r="11" spans="1:18" x14ac:dyDescent="0.25">
      <c r="A11">
        <v>20411454</v>
      </c>
      <c r="B11" t="s">
        <v>203</v>
      </c>
      <c r="C11" t="s">
        <v>116</v>
      </c>
      <c r="D11" t="str">
        <f t="shared" si="1"/>
        <v>DRH8SG88</v>
      </c>
      <c r="E11" t="s">
        <v>118</v>
      </c>
      <c r="F11" t="s">
        <v>119</v>
      </c>
      <c r="G11" t="str">
        <f t="shared" si="0"/>
        <v>EUDOXIO LOPEZ</v>
      </c>
      <c r="H11" t="s">
        <v>47</v>
      </c>
      <c r="I11" t="s">
        <v>120</v>
      </c>
      <c r="J11" t="s">
        <v>115</v>
      </c>
      <c r="K11" t="s">
        <v>50</v>
      </c>
      <c r="L11">
        <v>1</v>
      </c>
      <c r="M11" t="s">
        <v>52</v>
      </c>
      <c r="N11">
        <v>26.08</v>
      </c>
      <c r="O11">
        <v>14</v>
      </c>
      <c r="P11">
        <v>40.08</v>
      </c>
      <c r="Q11">
        <v>14</v>
      </c>
      <c r="R11" t="s">
        <v>200</v>
      </c>
    </row>
    <row r="12" spans="1:18" x14ac:dyDescent="0.25">
      <c r="A12">
        <v>20411454</v>
      </c>
      <c r="B12" t="s">
        <v>203</v>
      </c>
      <c r="C12" t="s">
        <v>121</v>
      </c>
      <c r="D12" t="str">
        <f t="shared" si="1"/>
        <v>D4AC9K88</v>
      </c>
      <c r="E12" t="s">
        <v>123</v>
      </c>
      <c r="F12" t="s">
        <v>124</v>
      </c>
      <c r="G12" t="str">
        <f t="shared" si="0"/>
        <v>WILLIAM LUDWIG III</v>
      </c>
      <c r="H12" t="s">
        <v>47</v>
      </c>
      <c r="I12" t="s">
        <v>125</v>
      </c>
      <c r="J12" t="s">
        <v>115</v>
      </c>
      <c r="K12" t="s">
        <v>50</v>
      </c>
      <c r="L12">
        <v>1</v>
      </c>
      <c r="M12" t="s">
        <v>52</v>
      </c>
      <c r="N12">
        <v>26.08</v>
      </c>
      <c r="O12">
        <v>14</v>
      </c>
      <c r="P12">
        <v>40.08</v>
      </c>
      <c r="Q12">
        <v>14</v>
      </c>
      <c r="R12" t="s">
        <v>200</v>
      </c>
    </row>
    <row r="13" spans="1:18" x14ac:dyDescent="0.25">
      <c r="A13">
        <v>20411454</v>
      </c>
      <c r="B13" t="s">
        <v>203</v>
      </c>
      <c r="C13" t="s">
        <v>126</v>
      </c>
      <c r="D13" t="str">
        <f t="shared" si="1"/>
        <v>DR8EJR88</v>
      </c>
      <c r="E13" t="s">
        <v>128</v>
      </c>
      <c r="F13" t="s">
        <v>129</v>
      </c>
      <c r="G13" t="str">
        <f t="shared" si="0"/>
        <v>THERESA MCAULEY</v>
      </c>
      <c r="H13" t="s">
        <v>47</v>
      </c>
      <c r="I13" t="s">
        <v>130</v>
      </c>
      <c r="J13" t="s">
        <v>69</v>
      </c>
      <c r="K13" t="s">
        <v>61</v>
      </c>
      <c r="L13">
        <v>1</v>
      </c>
      <c r="M13" t="s">
        <v>52</v>
      </c>
      <c r="N13">
        <v>26.08</v>
      </c>
      <c r="O13">
        <v>14</v>
      </c>
      <c r="P13">
        <v>40.08</v>
      </c>
      <c r="Q13">
        <v>14</v>
      </c>
      <c r="R13" t="s">
        <v>200</v>
      </c>
    </row>
    <row r="14" spans="1:18" x14ac:dyDescent="0.25">
      <c r="A14">
        <v>20411454</v>
      </c>
      <c r="B14" t="s">
        <v>203</v>
      </c>
      <c r="C14" t="s">
        <v>131</v>
      </c>
      <c r="D14" t="str">
        <f t="shared" si="1"/>
        <v>D2UZFA88</v>
      </c>
      <c r="E14" t="s">
        <v>133</v>
      </c>
      <c r="F14" t="s">
        <v>134</v>
      </c>
      <c r="G14" t="str">
        <f t="shared" si="0"/>
        <v>ABELARDO MONARREZ</v>
      </c>
      <c r="H14" t="s">
        <v>47</v>
      </c>
      <c r="I14" t="s">
        <v>135</v>
      </c>
      <c r="J14" t="s">
        <v>96</v>
      </c>
      <c r="K14" t="s">
        <v>61</v>
      </c>
      <c r="L14">
        <v>1</v>
      </c>
      <c r="M14" t="s">
        <v>52</v>
      </c>
      <c r="N14">
        <v>26.08</v>
      </c>
      <c r="O14">
        <v>14</v>
      </c>
      <c r="P14">
        <v>40.08</v>
      </c>
      <c r="Q14">
        <v>14</v>
      </c>
      <c r="R14" t="s">
        <v>200</v>
      </c>
    </row>
    <row r="15" spans="1:18" x14ac:dyDescent="0.25">
      <c r="A15">
        <v>20411454</v>
      </c>
      <c r="B15" t="s">
        <v>203</v>
      </c>
      <c r="C15" t="s">
        <v>136</v>
      </c>
      <c r="D15" t="str">
        <f t="shared" si="1"/>
        <v>D3A4KF88</v>
      </c>
      <c r="E15" t="s">
        <v>138</v>
      </c>
      <c r="F15" t="s">
        <v>139</v>
      </c>
      <c r="G15" t="str">
        <f t="shared" si="0"/>
        <v>LAURA MROZEK</v>
      </c>
      <c r="H15" t="s">
        <v>47</v>
      </c>
      <c r="I15" t="s">
        <v>140</v>
      </c>
      <c r="J15" t="s">
        <v>60</v>
      </c>
      <c r="K15" t="s">
        <v>61</v>
      </c>
      <c r="L15">
        <v>1</v>
      </c>
      <c r="M15" t="s">
        <v>52</v>
      </c>
      <c r="N15">
        <v>26.08</v>
      </c>
      <c r="O15">
        <v>14</v>
      </c>
      <c r="P15">
        <v>40.08</v>
      </c>
      <c r="Q15">
        <v>14</v>
      </c>
      <c r="R15" t="s">
        <v>200</v>
      </c>
    </row>
    <row r="16" spans="1:18" x14ac:dyDescent="0.25">
      <c r="A16">
        <v>20411454</v>
      </c>
      <c r="B16" t="s">
        <v>203</v>
      </c>
      <c r="C16" t="s">
        <v>143</v>
      </c>
      <c r="D16" t="str">
        <f t="shared" si="1"/>
        <v>DYS7K388</v>
      </c>
      <c r="E16" t="s">
        <v>145</v>
      </c>
      <c r="F16" t="s">
        <v>146</v>
      </c>
      <c r="G16" t="str">
        <f t="shared" si="0"/>
        <v>ANIANO OBANA JR</v>
      </c>
      <c r="H16" t="s">
        <v>47</v>
      </c>
      <c r="I16" t="s">
        <v>85</v>
      </c>
      <c r="J16" t="s">
        <v>147</v>
      </c>
      <c r="K16" t="s">
        <v>50</v>
      </c>
      <c r="L16">
        <v>3</v>
      </c>
      <c r="M16" t="s">
        <v>52</v>
      </c>
      <c r="N16">
        <v>26.08</v>
      </c>
      <c r="O16">
        <v>14</v>
      </c>
      <c r="P16">
        <v>40.08</v>
      </c>
      <c r="Q16">
        <v>14</v>
      </c>
      <c r="R16" t="s">
        <v>200</v>
      </c>
    </row>
    <row r="17" spans="1:19" x14ac:dyDescent="0.25">
      <c r="A17">
        <v>20411454</v>
      </c>
      <c r="B17" t="s">
        <v>203</v>
      </c>
      <c r="C17" t="s">
        <v>148</v>
      </c>
      <c r="D17" t="str">
        <f t="shared" si="1"/>
        <v>D538HS88</v>
      </c>
      <c r="E17" t="s">
        <v>150</v>
      </c>
      <c r="F17" t="s">
        <v>151</v>
      </c>
      <c r="G17" t="str">
        <f t="shared" si="0"/>
        <v>JOHN PAUL</v>
      </c>
      <c r="H17" t="s">
        <v>47</v>
      </c>
      <c r="I17" t="s">
        <v>152</v>
      </c>
      <c r="J17" t="s">
        <v>115</v>
      </c>
      <c r="K17" t="s">
        <v>50</v>
      </c>
      <c r="L17">
        <v>1</v>
      </c>
      <c r="M17" t="s">
        <v>52</v>
      </c>
      <c r="N17">
        <v>26.08</v>
      </c>
      <c r="O17">
        <v>14</v>
      </c>
      <c r="P17">
        <v>40.08</v>
      </c>
      <c r="Q17">
        <v>14</v>
      </c>
      <c r="R17" t="s">
        <v>200</v>
      </c>
    </row>
    <row r="18" spans="1:19" x14ac:dyDescent="0.25">
      <c r="A18">
        <v>20411454</v>
      </c>
      <c r="B18" t="s">
        <v>203</v>
      </c>
      <c r="C18" t="s">
        <v>155</v>
      </c>
      <c r="D18" t="str">
        <f t="shared" si="1"/>
        <v>DEW7CR88</v>
      </c>
      <c r="E18" t="s">
        <v>157</v>
      </c>
      <c r="F18" t="s">
        <v>158</v>
      </c>
      <c r="G18" t="str">
        <f t="shared" si="0"/>
        <v>PATRICIA PROCHASKA</v>
      </c>
      <c r="H18" t="s">
        <v>47</v>
      </c>
      <c r="I18" t="s">
        <v>159</v>
      </c>
      <c r="J18" t="s">
        <v>115</v>
      </c>
      <c r="K18" t="s">
        <v>61</v>
      </c>
      <c r="L18">
        <v>1</v>
      </c>
      <c r="M18" t="s">
        <v>52</v>
      </c>
      <c r="N18">
        <v>26.08</v>
      </c>
      <c r="O18">
        <v>14</v>
      </c>
      <c r="P18">
        <v>40.08</v>
      </c>
      <c r="Q18">
        <v>14</v>
      </c>
      <c r="R18" t="s">
        <v>200</v>
      </c>
    </row>
    <row r="19" spans="1:19" x14ac:dyDescent="0.25">
      <c r="A19">
        <v>20411454</v>
      </c>
      <c r="B19" t="s">
        <v>203</v>
      </c>
      <c r="C19" t="s">
        <v>162</v>
      </c>
      <c r="D19" t="str">
        <f t="shared" si="1"/>
        <v>DA25Z988</v>
      </c>
      <c r="E19" t="s">
        <v>164</v>
      </c>
      <c r="F19" t="s">
        <v>165</v>
      </c>
      <c r="G19" t="str">
        <f t="shared" si="0"/>
        <v>NADEZHDA ROMANOVA</v>
      </c>
      <c r="H19" t="s">
        <v>47</v>
      </c>
      <c r="I19" t="s">
        <v>166</v>
      </c>
      <c r="J19" t="s">
        <v>60</v>
      </c>
      <c r="K19" t="s">
        <v>61</v>
      </c>
      <c r="L19">
        <v>1</v>
      </c>
      <c r="M19" t="s">
        <v>52</v>
      </c>
      <c r="N19">
        <v>26.08</v>
      </c>
      <c r="O19">
        <v>14</v>
      </c>
      <c r="P19">
        <v>40.08</v>
      </c>
      <c r="Q19">
        <v>14</v>
      </c>
      <c r="R19" t="s">
        <v>200</v>
      </c>
    </row>
    <row r="20" spans="1:19" x14ac:dyDescent="0.25">
      <c r="A20">
        <v>20411454</v>
      </c>
      <c r="B20" t="s">
        <v>203</v>
      </c>
      <c r="C20" t="s">
        <v>167</v>
      </c>
      <c r="D20" t="str">
        <f t="shared" si="1"/>
        <v>D8C77988</v>
      </c>
      <c r="E20" t="s">
        <v>169</v>
      </c>
      <c r="F20" t="s">
        <v>170</v>
      </c>
      <c r="G20" t="str">
        <f t="shared" si="0"/>
        <v>CHRISTOPHER SPRINGER</v>
      </c>
      <c r="H20" t="s">
        <v>47</v>
      </c>
      <c r="I20" t="s">
        <v>171</v>
      </c>
      <c r="J20" t="s">
        <v>69</v>
      </c>
      <c r="K20" t="s">
        <v>50</v>
      </c>
      <c r="L20">
        <v>1</v>
      </c>
      <c r="M20" t="s">
        <v>52</v>
      </c>
      <c r="N20">
        <v>26.08</v>
      </c>
      <c r="O20">
        <v>14</v>
      </c>
      <c r="P20">
        <v>40.08</v>
      </c>
      <c r="Q20">
        <v>14</v>
      </c>
      <c r="R20" t="s">
        <v>200</v>
      </c>
    </row>
    <row r="21" spans="1:19" x14ac:dyDescent="0.25">
      <c r="A21">
        <v>20411454</v>
      </c>
      <c r="B21" t="s">
        <v>203</v>
      </c>
      <c r="C21" t="s">
        <v>172</v>
      </c>
      <c r="D21" t="str">
        <f t="shared" si="1"/>
        <v>DUW2FG88</v>
      </c>
      <c r="E21" t="s">
        <v>174</v>
      </c>
      <c r="F21" t="s">
        <v>175</v>
      </c>
      <c r="G21" t="str">
        <f t="shared" si="0"/>
        <v>EMMA VALE</v>
      </c>
      <c r="H21" t="s">
        <v>47</v>
      </c>
      <c r="I21" t="s">
        <v>176</v>
      </c>
      <c r="J21" t="s">
        <v>115</v>
      </c>
      <c r="K21" t="s">
        <v>50</v>
      </c>
      <c r="L21">
        <v>1</v>
      </c>
      <c r="M21" t="s">
        <v>52</v>
      </c>
      <c r="N21">
        <v>26.08</v>
      </c>
      <c r="O21">
        <v>14</v>
      </c>
      <c r="P21">
        <v>40.08</v>
      </c>
      <c r="Q21">
        <v>14</v>
      </c>
      <c r="R21" t="s">
        <v>200</v>
      </c>
    </row>
    <row r="22" spans="1:19" x14ac:dyDescent="0.25">
      <c r="A22">
        <v>20411454</v>
      </c>
      <c r="B22" t="s">
        <v>203</v>
      </c>
      <c r="C22" t="s">
        <v>177</v>
      </c>
      <c r="D22" t="str">
        <f t="shared" si="1"/>
        <v>DR59AA88</v>
      </c>
      <c r="E22" t="s">
        <v>179</v>
      </c>
      <c r="F22" t="s">
        <v>180</v>
      </c>
      <c r="G22" t="str">
        <f t="shared" si="0"/>
        <v>MARIA YUQUILIMA</v>
      </c>
      <c r="H22" t="s">
        <v>47</v>
      </c>
      <c r="I22" t="s">
        <v>181</v>
      </c>
      <c r="J22" t="s">
        <v>49</v>
      </c>
      <c r="K22" t="s">
        <v>50</v>
      </c>
      <c r="L22">
        <v>3</v>
      </c>
      <c r="M22" t="s">
        <v>52</v>
      </c>
      <c r="N22">
        <v>260.83</v>
      </c>
      <c r="O22">
        <v>200</v>
      </c>
      <c r="P22">
        <v>460.83</v>
      </c>
      <c r="Q22">
        <v>200</v>
      </c>
      <c r="R22" t="s">
        <v>200</v>
      </c>
    </row>
    <row r="23" spans="1:19" x14ac:dyDescent="0.25">
      <c r="A23">
        <v>2158366</v>
      </c>
      <c r="B23" t="s">
        <v>98</v>
      </c>
      <c r="C23" t="s">
        <v>99</v>
      </c>
      <c r="D23" t="str">
        <f>CONCATENATE(C23,8)</f>
        <v>D6K5SY8</v>
      </c>
      <c r="E23" t="s">
        <v>101</v>
      </c>
      <c r="F23" t="s">
        <v>102</v>
      </c>
      <c r="G23" t="str">
        <f t="shared" si="0"/>
        <v>SUSAN EICHMAN PARCELL</v>
      </c>
      <c r="H23" t="s">
        <v>47</v>
      </c>
      <c r="I23" t="s">
        <v>60</v>
      </c>
      <c r="J23" t="s">
        <v>86</v>
      </c>
      <c r="K23" t="s">
        <v>50</v>
      </c>
      <c r="L23">
        <v>1</v>
      </c>
      <c r="M23" t="s">
        <v>52</v>
      </c>
      <c r="N23">
        <v>26.08</v>
      </c>
      <c r="O23">
        <v>14</v>
      </c>
      <c r="P23">
        <v>40.08</v>
      </c>
      <c r="Q23">
        <v>26.08</v>
      </c>
      <c r="R23" t="s">
        <v>199</v>
      </c>
      <c r="S23" t="s">
        <v>202</v>
      </c>
    </row>
    <row r="24" spans="1:19" x14ac:dyDescent="0.25">
      <c r="A24">
        <v>2158366</v>
      </c>
      <c r="B24" t="s">
        <v>98</v>
      </c>
      <c r="C24" t="s">
        <v>110</v>
      </c>
      <c r="D24" t="str">
        <f t="shared" ref="D24:D43" si="2">CONCATENATE(C24,8)</f>
        <v>D7ZW4G8</v>
      </c>
      <c r="E24" t="s">
        <v>112</v>
      </c>
      <c r="F24" t="s">
        <v>113</v>
      </c>
      <c r="G24" t="str">
        <f t="shared" si="0"/>
        <v>JEFFREY JOHNS</v>
      </c>
      <c r="H24" t="s">
        <v>47</v>
      </c>
      <c r="I24" t="s">
        <v>114</v>
      </c>
      <c r="J24" t="s">
        <v>115</v>
      </c>
      <c r="K24" t="s">
        <v>50</v>
      </c>
      <c r="L24">
        <v>1</v>
      </c>
      <c r="M24" t="s">
        <v>52</v>
      </c>
      <c r="N24">
        <v>26.08</v>
      </c>
      <c r="O24">
        <v>14</v>
      </c>
      <c r="P24">
        <v>40.08</v>
      </c>
      <c r="Q24">
        <v>26.08</v>
      </c>
      <c r="R24" t="s">
        <v>199</v>
      </c>
      <c r="S24" t="s">
        <v>202</v>
      </c>
    </row>
    <row r="25" spans="1:19" x14ac:dyDescent="0.25">
      <c r="A25">
        <v>2158366</v>
      </c>
      <c r="B25" t="s">
        <v>98</v>
      </c>
      <c r="C25" t="s">
        <v>136</v>
      </c>
      <c r="D25" t="str">
        <f t="shared" si="2"/>
        <v>D3A4KF8</v>
      </c>
      <c r="E25" t="s">
        <v>138</v>
      </c>
      <c r="F25" t="s">
        <v>139</v>
      </c>
      <c r="G25" t="str">
        <f t="shared" si="0"/>
        <v>LAURA MROZEK</v>
      </c>
      <c r="H25" t="s">
        <v>47</v>
      </c>
      <c r="I25" t="s">
        <v>140</v>
      </c>
      <c r="J25" t="s">
        <v>60</v>
      </c>
      <c r="K25" t="s">
        <v>61</v>
      </c>
      <c r="L25">
        <v>1</v>
      </c>
      <c r="M25" t="s">
        <v>52</v>
      </c>
      <c r="N25">
        <v>26.08</v>
      </c>
      <c r="O25">
        <v>14</v>
      </c>
      <c r="P25">
        <v>40.08</v>
      </c>
      <c r="Q25">
        <v>26.08</v>
      </c>
      <c r="R25" t="s">
        <v>199</v>
      </c>
      <c r="S25" t="s">
        <v>202</v>
      </c>
    </row>
    <row r="26" spans="1:19" x14ac:dyDescent="0.25">
      <c r="A26">
        <v>8325282</v>
      </c>
      <c r="B26" t="s">
        <v>71</v>
      </c>
      <c r="C26" t="s">
        <v>72</v>
      </c>
      <c r="D26" t="str">
        <f t="shared" si="2"/>
        <v>DU29JK8</v>
      </c>
      <c r="E26" t="s">
        <v>74</v>
      </c>
      <c r="F26" t="s">
        <v>75</v>
      </c>
      <c r="G26" t="str">
        <f t="shared" si="0"/>
        <v>RICHARD DEHN</v>
      </c>
      <c r="H26" t="s">
        <v>47</v>
      </c>
      <c r="I26" t="s">
        <v>76</v>
      </c>
      <c r="J26" t="s">
        <v>60</v>
      </c>
      <c r="K26" t="s">
        <v>61</v>
      </c>
      <c r="L26">
        <v>1</v>
      </c>
      <c r="M26" t="s">
        <v>52</v>
      </c>
      <c r="N26">
        <v>26.08</v>
      </c>
      <c r="O26">
        <v>14</v>
      </c>
      <c r="P26">
        <v>40.08</v>
      </c>
      <c r="Q26">
        <v>26.08</v>
      </c>
      <c r="R26" t="s">
        <v>199</v>
      </c>
      <c r="S26" t="s">
        <v>202</v>
      </c>
    </row>
    <row r="27" spans="1:19" x14ac:dyDescent="0.25">
      <c r="A27">
        <v>9213293</v>
      </c>
      <c r="B27" t="s">
        <v>154</v>
      </c>
      <c r="C27" t="s">
        <v>155</v>
      </c>
      <c r="D27" t="str">
        <f t="shared" si="2"/>
        <v>DEW7CR8</v>
      </c>
      <c r="E27" t="s">
        <v>157</v>
      </c>
      <c r="F27" t="s">
        <v>158</v>
      </c>
      <c r="G27" t="str">
        <f t="shared" si="0"/>
        <v>PATRICIA PROCHASKA</v>
      </c>
      <c r="H27" t="s">
        <v>47</v>
      </c>
      <c r="I27" t="s">
        <v>159</v>
      </c>
      <c r="J27" t="s">
        <v>115</v>
      </c>
      <c r="K27" t="s">
        <v>61</v>
      </c>
      <c r="L27">
        <v>1</v>
      </c>
      <c r="M27" t="s">
        <v>52</v>
      </c>
      <c r="N27">
        <v>26.08</v>
      </c>
      <c r="O27">
        <v>14</v>
      </c>
      <c r="P27">
        <v>40.08</v>
      </c>
      <c r="Q27">
        <v>26.08</v>
      </c>
      <c r="R27" t="s">
        <v>199</v>
      </c>
      <c r="S27" t="s">
        <v>202</v>
      </c>
    </row>
    <row r="28" spans="1:19" x14ac:dyDescent="0.25">
      <c r="A28">
        <v>16683808</v>
      </c>
      <c r="B28" t="s">
        <v>79</v>
      </c>
      <c r="C28" t="s">
        <v>80</v>
      </c>
      <c r="D28" t="str">
        <f t="shared" si="2"/>
        <v>DH28HS8</v>
      </c>
      <c r="E28" t="s">
        <v>82</v>
      </c>
      <c r="F28" t="s">
        <v>83</v>
      </c>
      <c r="G28" t="str">
        <f t="shared" si="0"/>
        <v>MELQUEA EDWARDS</v>
      </c>
      <c r="H28" t="s">
        <v>84</v>
      </c>
      <c r="I28" t="s">
        <v>85</v>
      </c>
      <c r="J28" t="s">
        <v>86</v>
      </c>
      <c r="K28" t="s">
        <v>87</v>
      </c>
      <c r="L28">
        <v>7</v>
      </c>
      <c r="M28" t="s">
        <v>52</v>
      </c>
      <c r="N28">
        <v>26.08</v>
      </c>
      <c r="O28">
        <v>12.5</v>
      </c>
      <c r="P28">
        <v>38.58</v>
      </c>
      <c r="Q28">
        <v>26.08</v>
      </c>
      <c r="R28" t="s">
        <v>199</v>
      </c>
      <c r="S28" t="s">
        <v>202</v>
      </c>
    </row>
    <row r="29" spans="1:19" x14ac:dyDescent="0.25">
      <c r="A29">
        <v>17126004</v>
      </c>
      <c r="B29" t="s">
        <v>54</v>
      </c>
      <c r="C29" t="s">
        <v>55</v>
      </c>
      <c r="D29" t="str">
        <f t="shared" si="2"/>
        <v>D8YS8Y8</v>
      </c>
      <c r="E29" t="s">
        <v>57</v>
      </c>
      <c r="F29" t="s">
        <v>58</v>
      </c>
      <c r="G29" t="str">
        <f t="shared" si="0"/>
        <v>MARYANN CHINDERLE</v>
      </c>
      <c r="H29" t="s">
        <v>47</v>
      </c>
      <c r="I29" t="s">
        <v>59</v>
      </c>
      <c r="J29" t="s">
        <v>60</v>
      </c>
      <c r="K29" t="s">
        <v>61</v>
      </c>
      <c r="L29">
        <v>1</v>
      </c>
      <c r="M29" t="s">
        <v>52</v>
      </c>
      <c r="N29">
        <v>26.08</v>
      </c>
      <c r="O29">
        <v>14</v>
      </c>
      <c r="P29">
        <v>40.08</v>
      </c>
      <c r="Q29">
        <v>26.08</v>
      </c>
      <c r="R29" t="s">
        <v>199</v>
      </c>
      <c r="S29" t="s">
        <v>202</v>
      </c>
    </row>
    <row r="30" spans="1:19" x14ac:dyDescent="0.25">
      <c r="A30">
        <v>17126004</v>
      </c>
      <c r="B30" t="s">
        <v>54</v>
      </c>
      <c r="C30" t="s">
        <v>64</v>
      </c>
      <c r="D30" t="str">
        <f t="shared" si="2"/>
        <v>DU896U8</v>
      </c>
      <c r="E30" t="s">
        <v>66</v>
      </c>
      <c r="F30" t="s">
        <v>67</v>
      </c>
      <c r="G30" t="str">
        <f t="shared" si="0"/>
        <v>LINDA CIANCIO</v>
      </c>
      <c r="H30" t="s">
        <v>47</v>
      </c>
      <c r="I30" t="s">
        <v>68</v>
      </c>
      <c r="J30" t="s">
        <v>69</v>
      </c>
      <c r="K30" t="s">
        <v>61</v>
      </c>
      <c r="L30">
        <v>1</v>
      </c>
      <c r="M30" t="s">
        <v>52</v>
      </c>
      <c r="N30">
        <v>26.08</v>
      </c>
      <c r="O30">
        <v>14</v>
      </c>
      <c r="P30">
        <v>40.08</v>
      </c>
      <c r="Q30">
        <v>26.08</v>
      </c>
      <c r="R30" t="s">
        <v>199</v>
      </c>
      <c r="S30" t="s">
        <v>202</v>
      </c>
    </row>
    <row r="31" spans="1:19" x14ac:dyDescent="0.25">
      <c r="A31">
        <v>17126004</v>
      </c>
      <c r="B31" t="s">
        <v>54</v>
      </c>
      <c r="C31" t="s">
        <v>126</v>
      </c>
      <c r="D31" t="str">
        <f t="shared" si="2"/>
        <v>DR8EJR8</v>
      </c>
      <c r="E31" t="s">
        <v>128</v>
      </c>
      <c r="F31" t="s">
        <v>129</v>
      </c>
      <c r="G31" t="str">
        <f t="shared" si="0"/>
        <v>THERESA MCAULEY</v>
      </c>
      <c r="H31" t="s">
        <v>47</v>
      </c>
      <c r="I31" t="s">
        <v>130</v>
      </c>
      <c r="J31" t="s">
        <v>69</v>
      </c>
      <c r="K31" t="s">
        <v>61</v>
      </c>
      <c r="L31">
        <v>1</v>
      </c>
      <c r="M31" t="s">
        <v>52</v>
      </c>
      <c r="N31">
        <v>26.08</v>
      </c>
      <c r="O31">
        <v>14</v>
      </c>
      <c r="P31">
        <v>40.08</v>
      </c>
      <c r="Q31">
        <v>26.08</v>
      </c>
      <c r="R31" t="s">
        <v>199</v>
      </c>
      <c r="S31" t="s">
        <v>202</v>
      </c>
    </row>
    <row r="32" spans="1:19" x14ac:dyDescent="0.25">
      <c r="A32">
        <v>17301495</v>
      </c>
      <c r="B32" t="s">
        <v>42</v>
      </c>
      <c r="C32" t="s">
        <v>43</v>
      </c>
      <c r="D32" t="str">
        <f t="shared" si="2"/>
        <v>D3ZZRK8</v>
      </c>
      <c r="E32" t="s">
        <v>45</v>
      </c>
      <c r="F32" t="s">
        <v>46</v>
      </c>
      <c r="G32" t="str">
        <f t="shared" si="0"/>
        <v>MARCO ALVAREZ PEREZ</v>
      </c>
      <c r="H32" t="s">
        <v>47</v>
      </c>
      <c r="I32" t="s">
        <v>48</v>
      </c>
      <c r="J32" t="s">
        <v>49</v>
      </c>
      <c r="K32" t="s">
        <v>50</v>
      </c>
      <c r="L32">
        <v>1</v>
      </c>
      <c r="M32" t="s">
        <v>52</v>
      </c>
      <c r="N32">
        <v>260.83</v>
      </c>
      <c r="O32">
        <v>200</v>
      </c>
      <c r="P32">
        <v>460.83</v>
      </c>
      <c r="Q32">
        <v>260.83</v>
      </c>
      <c r="R32" t="s">
        <v>199</v>
      </c>
      <c r="S32" t="s">
        <v>201</v>
      </c>
    </row>
    <row r="33" spans="1:19" x14ac:dyDescent="0.25">
      <c r="A33">
        <v>17301495</v>
      </c>
      <c r="B33" t="s">
        <v>42</v>
      </c>
      <c r="C33" t="s">
        <v>116</v>
      </c>
      <c r="D33" t="str">
        <f t="shared" si="2"/>
        <v>DRH8SG8</v>
      </c>
      <c r="E33" t="s">
        <v>118</v>
      </c>
      <c r="F33" t="s">
        <v>119</v>
      </c>
      <c r="G33" t="str">
        <f t="shared" si="0"/>
        <v>EUDOXIO LOPEZ</v>
      </c>
      <c r="H33" t="s">
        <v>47</v>
      </c>
      <c r="I33" t="s">
        <v>120</v>
      </c>
      <c r="J33" t="s">
        <v>115</v>
      </c>
      <c r="K33" t="s">
        <v>50</v>
      </c>
      <c r="L33">
        <v>1</v>
      </c>
      <c r="M33" t="s">
        <v>52</v>
      </c>
      <c r="N33">
        <v>26.08</v>
      </c>
      <c r="O33">
        <v>14</v>
      </c>
      <c r="P33">
        <v>40.08</v>
      </c>
      <c r="Q33">
        <v>26.08</v>
      </c>
      <c r="R33" t="s">
        <v>199</v>
      </c>
      <c r="S33" t="s">
        <v>202</v>
      </c>
    </row>
    <row r="34" spans="1:19" x14ac:dyDescent="0.25">
      <c r="A34">
        <v>17301495</v>
      </c>
      <c r="B34" t="s">
        <v>42</v>
      </c>
      <c r="C34" t="s">
        <v>131</v>
      </c>
      <c r="D34" t="str">
        <f t="shared" si="2"/>
        <v>D2UZFA8</v>
      </c>
      <c r="E34" t="s">
        <v>133</v>
      </c>
      <c r="F34" t="s">
        <v>134</v>
      </c>
      <c r="G34" t="str">
        <f t="shared" si="0"/>
        <v>ABELARDO MONARREZ</v>
      </c>
      <c r="H34" t="s">
        <v>47</v>
      </c>
      <c r="I34" t="s">
        <v>135</v>
      </c>
      <c r="J34" t="s">
        <v>96</v>
      </c>
      <c r="K34" t="s">
        <v>61</v>
      </c>
      <c r="L34">
        <v>1</v>
      </c>
      <c r="M34" t="s">
        <v>52</v>
      </c>
      <c r="N34">
        <v>26.08</v>
      </c>
      <c r="O34">
        <v>14</v>
      </c>
      <c r="P34">
        <v>40.08</v>
      </c>
      <c r="Q34">
        <v>26.08</v>
      </c>
      <c r="R34" t="s">
        <v>199</v>
      </c>
      <c r="S34" t="s">
        <v>202</v>
      </c>
    </row>
    <row r="35" spans="1:19" x14ac:dyDescent="0.25">
      <c r="A35">
        <v>17301495</v>
      </c>
      <c r="B35" t="s">
        <v>42</v>
      </c>
      <c r="C35" t="s">
        <v>172</v>
      </c>
      <c r="D35" t="str">
        <f t="shared" si="2"/>
        <v>DUW2FG8</v>
      </c>
      <c r="E35" t="s">
        <v>174</v>
      </c>
      <c r="F35" t="s">
        <v>175</v>
      </c>
      <c r="G35" t="str">
        <f t="shared" si="0"/>
        <v>EMMA VALE</v>
      </c>
      <c r="H35" t="s">
        <v>47</v>
      </c>
      <c r="I35" t="s">
        <v>176</v>
      </c>
      <c r="J35" t="s">
        <v>115</v>
      </c>
      <c r="K35" t="s">
        <v>50</v>
      </c>
      <c r="L35">
        <v>1</v>
      </c>
      <c r="M35" t="s">
        <v>52</v>
      </c>
      <c r="N35">
        <v>26.08</v>
      </c>
      <c r="O35">
        <v>14</v>
      </c>
      <c r="P35">
        <v>40.08</v>
      </c>
      <c r="Q35">
        <v>26.08</v>
      </c>
      <c r="R35" t="s">
        <v>199</v>
      </c>
      <c r="S35" t="s">
        <v>202</v>
      </c>
    </row>
    <row r="36" spans="1:19" x14ac:dyDescent="0.25">
      <c r="A36">
        <v>18754354</v>
      </c>
      <c r="B36" t="s">
        <v>90</v>
      </c>
      <c r="C36" t="s">
        <v>91</v>
      </c>
      <c r="D36" t="str">
        <f t="shared" si="2"/>
        <v>D9H8YE8</v>
      </c>
      <c r="E36" t="s">
        <v>93</v>
      </c>
      <c r="F36" t="s">
        <v>94</v>
      </c>
      <c r="G36" t="str">
        <f t="shared" si="0"/>
        <v>ANNETTE EDWARDSON</v>
      </c>
      <c r="H36" t="s">
        <v>47</v>
      </c>
      <c r="I36" t="s">
        <v>95</v>
      </c>
      <c r="J36" t="s">
        <v>96</v>
      </c>
      <c r="K36" t="s">
        <v>61</v>
      </c>
      <c r="L36">
        <v>1</v>
      </c>
      <c r="M36" t="s">
        <v>52</v>
      </c>
      <c r="N36">
        <v>26.08</v>
      </c>
      <c r="O36">
        <v>14</v>
      </c>
      <c r="P36">
        <v>40.08</v>
      </c>
      <c r="Q36">
        <v>26.08</v>
      </c>
      <c r="R36" t="s">
        <v>199</v>
      </c>
      <c r="S36" t="s">
        <v>202</v>
      </c>
    </row>
    <row r="37" spans="1:19" x14ac:dyDescent="0.25">
      <c r="A37">
        <v>18754354</v>
      </c>
      <c r="B37" t="s">
        <v>90</v>
      </c>
      <c r="C37" t="s">
        <v>121</v>
      </c>
      <c r="D37" t="str">
        <f t="shared" si="2"/>
        <v>D4AC9K8</v>
      </c>
      <c r="E37" t="s">
        <v>123</v>
      </c>
      <c r="F37" t="s">
        <v>124</v>
      </c>
      <c r="G37" t="str">
        <f t="shared" si="0"/>
        <v>WILLIAM LUDWIG III</v>
      </c>
      <c r="H37" t="s">
        <v>47</v>
      </c>
      <c r="I37" t="s">
        <v>125</v>
      </c>
      <c r="J37" t="s">
        <v>115</v>
      </c>
      <c r="K37" t="s">
        <v>50</v>
      </c>
      <c r="L37">
        <v>1</v>
      </c>
      <c r="M37" t="s">
        <v>52</v>
      </c>
      <c r="N37">
        <v>26.08</v>
      </c>
      <c r="O37">
        <v>14</v>
      </c>
      <c r="P37">
        <v>40.08</v>
      </c>
      <c r="Q37">
        <v>26.08</v>
      </c>
      <c r="R37" t="s">
        <v>199</v>
      </c>
      <c r="S37" t="s">
        <v>202</v>
      </c>
    </row>
    <row r="38" spans="1:19" x14ac:dyDescent="0.25">
      <c r="A38">
        <v>18754354</v>
      </c>
      <c r="B38" t="s">
        <v>90</v>
      </c>
      <c r="C38" t="s">
        <v>167</v>
      </c>
      <c r="D38" t="str">
        <f t="shared" si="2"/>
        <v>D8C7798</v>
      </c>
      <c r="E38" t="s">
        <v>169</v>
      </c>
      <c r="F38" t="s">
        <v>170</v>
      </c>
      <c r="G38" t="str">
        <f t="shared" si="0"/>
        <v>CHRISTOPHER SPRINGER</v>
      </c>
      <c r="H38" t="s">
        <v>47</v>
      </c>
      <c r="I38" t="s">
        <v>171</v>
      </c>
      <c r="J38" t="s">
        <v>69</v>
      </c>
      <c r="K38" t="s">
        <v>50</v>
      </c>
      <c r="L38">
        <v>1</v>
      </c>
      <c r="M38" t="s">
        <v>52</v>
      </c>
      <c r="N38">
        <v>26.08</v>
      </c>
      <c r="O38">
        <v>14</v>
      </c>
      <c r="P38">
        <v>40.08</v>
      </c>
      <c r="Q38">
        <v>26.08</v>
      </c>
      <c r="R38" t="s">
        <v>199</v>
      </c>
      <c r="S38" t="s">
        <v>202</v>
      </c>
    </row>
    <row r="39" spans="1:19" x14ac:dyDescent="0.25">
      <c r="A39">
        <v>19200754</v>
      </c>
      <c r="B39" t="s">
        <v>104</v>
      </c>
      <c r="C39" t="s">
        <v>105</v>
      </c>
      <c r="D39" t="str">
        <f t="shared" si="2"/>
        <v>D77FJC8</v>
      </c>
      <c r="E39" t="s">
        <v>107</v>
      </c>
      <c r="F39" t="s">
        <v>108</v>
      </c>
      <c r="G39" t="str">
        <f t="shared" si="0"/>
        <v>BETH GONSIEWSKI</v>
      </c>
      <c r="H39" t="s">
        <v>47</v>
      </c>
      <c r="I39" t="s">
        <v>109</v>
      </c>
      <c r="J39" t="s">
        <v>60</v>
      </c>
      <c r="K39" t="s">
        <v>61</v>
      </c>
      <c r="L39">
        <v>1</v>
      </c>
      <c r="M39" t="s">
        <v>52</v>
      </c>
      <c r="N39">
        <v>26.08</v>
      </c>
      <c r="O39">
        <v>14</v>
      </c>
      <c r="P39">
        <v>40.08</v>
      </c>
      <c r="Q39">
        <v>26.08</v>
      </c>
      <c r="R39" t="s">
        <v>199</v>
      </c>
      <c r="S39" t="s">
        <v>202</v>
      </c>
    </row>
    <row r="40" spans="1:19" x14ac:dyDescent="0.25">
      <c r="A40">
        <v>19200754</v>
      </c>
      <c r="B40" t="s">
        <v>104</v>
      </c>
      <c r="C40" t="s">
        <v>148</v>
      </c>
      <c r="D40" t="str">
        <f t="shared" si="2"/>
        <v>D538HS8</v>
      </c>
      <c r="E40" t="s">
        <v>150</v>
      </c>
      <c r="F40" t="s">
        <v>151</v>
      </c>
      <c r="G40" t="str">
        <f t="shared" si="0"/>
        <v>JOHN PAUL</v>
      </c>
      <c r="H40" t="s">
        <v>47</v>
      </c>
      <c r="I40" t="s">
        <v>152</v>
      </c>
      <c r="J40" t="s">
        <v>115</v>
      </c>
      <c r="K40" t="s">
        <v>50</v>
      </c>
      <c r="L40">
        <v>1</v>
      </c>
      <c r="M40" t="s">
        <v>52</v>
      </c>
      <c r="N40">
        <v>26.08</v>
      </c>
      <c r="O40">
        <v>14</v>
      </c>
      <c r="P40">
        <v>40.08</v>
      </c>
      <c r="Q40">
        <v>26.08</v>
      </c>
      <c r="R40" t="s">
        <v>199</v>
      </c>
      <c r="S40" t="s">
        <v>202</v>
      </c>
    </row>
    <row r="41" spans="1:19" x14ac:dyDescent="0.25">
      <c r="A41">
        <v>19615078</v>
      </c>
      <c r="B41" t="s">
        <v>161</v>
      </c>
      <c r="C41" t="s">
        <v>162</v>
      </c>
      <c r="D41" t="str">
        <f t="shared" si="2"/>
        <v>DA25Z98</v>
      </c>
      <c r="E41" t="s">
        <v>164</v>
      </c>
      <c r="F41" t="s">
        <v>165</v>
      </c>
      <c r="G41" t="str">
        <f t="shared" si="0"/>
        <v>NADEZHDA ROMANOVA</v>
      </c>
      <c r="H41" t="s">
        <v>47</v>
      </c>
      <c r="I41" t="s">
        <v>166</v>
      </c>
      <c r="J41" t="s">
        <v>60</v>
      </c>
      <c r="K41" t="s">
        <v>61</v>
      </c>
      <c r="L41">
        <v>1</v>
      </c>
      <c r="M41" t="s">
        <v>52</v>
      </c>
      <c r="N41">
        <v>26.08</v>
      </c>
      <c r="O41">
        <v>14</v>
      </c>
      <c r="P41">
        <v>40.08</v>
      </c>
      <c r="Q41">
        <v>26.08</v>
      </c>
      <c r="R41" t="s">
        <v>199</v>
      </c>
      <c r="S41" t="s">
        <v>202</v>
      </c>
    </row>
    <row r="42" spans="1:19" x14ac:dyDescent="0.25">
      <c r="A42">
        <v>20212926</v>
      </c>
      <c r="B42" t="s">
        <v>142</v>
      </c>
      <c r="C42" t="s">
        <v>143</v>
      </c>
      <c r="D42" t="str">
        <f t="shared" si="2"/>
        <v>DYS7K38</v>
      </c>
      <c r="E42" t="s">
        <v>145</v>
      </c>
      <c r="F42" t="s">
        <v>146</v>
      </c>
      <c r="G42" t="str">
        <f t="shared" si="0"/>
        <v>ANIANO OBANA JR</v>
      </c>
      <c r="H42" t="s">
        <v>47</v>
      </c>
      <c r="I42" t="s">
        <v>85</v>
      </c>
      <c r="J42" t="s">
        <v>147</v>
      </c>
      <c r="K42" t="s">
        <v>50</v>
      </c>
      <c r="L42">
        <v>3</v>
      </c>
      <c r="M42" t="s">
        <v>52</v>
      </c>
      <c r="N42">
        <v>26.08</v>
      </c>
      <c r="O42">
        <v>14</v>
      </c>
      <c r="P42">
        <v>40.08</v>
      </c>
      <c r="Q42">
        <v>26.08</v>
      </c>
      <c r="R42" t="s">
        <v>199</v>
      </c>
      <c r="S42" t="s">
        <v>202</v>
      </c>
    </row>
    <row r="43" spans="1:19" x14ac:dyDescent="0.25">
      <c r="A43">
        <v>20212926</v>
      </c>
      <c r="B43" t="s">
        <v>142</v>
      </c>
      <c r="C43" t="s">
        <v>177</v>
      </c>
      <c r="D43" t="str">
        <f t="shared" si="2"/>
        <v>DR59AA8</v>
      </c>
      <c r="E43" t="s">
        <v>179</v>
      </c>
      <c r="F43" t="s">
        <v>180</v>
      </c>
      <c r="G43" t="str">
        <f t="shared" si="0"/>
        <v>MARIA YUQUILIMA</v>
      </c>
      <c r="H43" t="s">
        <v>47</v>
      </c>
      <c r="I43" t="s">
        <v>181</v>
      </c>
      <c r="J43" t="s">
        <v>49</v>
      </c>
      <c r="K43" t="s">
        <v>50</v>
      </c>
      <c r="L43">
        <v>3</v>
      </c>
      <c r="M43" t="s">
        <v>52</v>
      </c>
      <c r="N43">
        <v>260.83</v>
      </c>
      <c r="O43">
        <v>200</v>
      </c>
      <c r="P43">
        <v>460.83</v>
      </c>
      <c r="Q43">
        <v>260.83</v>
      </c>
      <c r="R43" t="s">
        <v>199</v>
      </c>
      <c r="S43" t="s">
        <v>201</v>
      </c>
    </row>
  </sheetData>
  <sortState xmlns:xlrd2="http://schemas.microsoft.com/office/spreadsheetml/2017/richdata2" ref="A23:X43">
    <sortCondition ref="A23:A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zoomScaleNormal="100" workbookViewId="0">
      <selection activeCell="D8" sqref="D8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182</v>
      </c>
      <c r="B1" t="s">
        <v>183</v>
      </c>
      <c r="C1" t="s">
        <v>184</v>
      </c>
      <c r="D1" t="s">
        <v>185</v>
      </c>
    </row>
    <row r="2" spans="1:4" s="1" customFormat="1" x14ac:dyDescent="0.25">
      <c r="A2" s="1" t="s">
        <v>42</v>
      </c>
      <c r="B2" s="1" t="s">
        <v>41</v>
      </c>
      <c r="C2" s="2">
        <v>50</v>
      </c>
      <c r="D2" s="1" t="s">
        <v>186</v>
      </c>
    </row>
    <row r="3" spans="1:4" s="1" customFormat="1" x14ac:dyDescent="0.25">
      <c r="A3" s="1" t="s">
        <v>187</v>
      </c>
      <c r="B3" s="1" t="s">
        <v>188</v>
      </c>
      <c r="C3" s="2">
        <v>50</v>
      </c>
      <c r="D3" s="1" t="s">
        <v>189</v>
      </c>
    </row>
    <row r="4" spans="1:4" s="1" customFormat="1" x14ac:dyDescent="0.25">
      <c r="A4" s="1" t="s">
        <v>154</v>
      </c>
      <c r="B4" s="1" t="s">
        <v>153</v>
      </c>
      <c r="C4" s="2">
        <v>50</v>
      </c>
      <c r="D4" s="1" t="s">
        <v>190</v>
      </c>
    </row>
    <row r="5" spans="1:4" s="1" customFormat="1" x14ac:dyDescent="0.25">
      <c r="A5" s="1" t="s">
        <v>42</v>
      </c>
      <c r="B5" s="1" t="s">
        <v>41</v>
      </c>
      <c r="C5" s="2">
        <v>50</v>
      </c>
      <c r="D5" s="1" t="s">
        <v>191</v>
      </c>
    </row>
    <row r="6" spans="1:4" s="1" customFormat="1" x14ac:dyDescent="0.25">
      <c r="A6" s="1" t="s">
        <v>192</v>
      </c>
      <c r="B6" s="1" t="s">
        <v>193</v>
      </c>
      <c r="C6" s="2">
        <v>50</v>
      </c>
      <c r="D6" s="1" t="s">
        <v>194</v>
      </c>
    </row>
    <row r="7" spans="1:4" s="1" customFormat="1" x14ac:dyDescent="0.25">
      <c r="A7" s="1" t="s">
        <v>195</v>
      </c>
      <c r="B7" s="1" t="s">
        <v>196</v>
      </c>
      <c r="C7" s="2">
        <v>50</v>
      </c>
      <c r="D7" s="1" t="s">
        <v>197</v>
      </c>
    </row>
    <row r="8" spans="1:4" s="1" customFormat="1" x14ac:dyDescent="0.25">
      <c r="A8" s="1" t="s">
        <v>154</v>
      </c>
      <c r="B8" s="1" t="s">
        <v>153</v>
      </c>
      <c r="C8" s="2">
        <v>50</v>
      </c>
      <c r="D8" s="1" t="s">
        <v>198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HRA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2025-03-05T21:23:16Z</dcterms:created>
  <dcterms:modified xsi:type="dcterms:W3CDTF">2025-03-11T14:49:57Z</dcterms:modified>
</cp:coreProperties>
</file>