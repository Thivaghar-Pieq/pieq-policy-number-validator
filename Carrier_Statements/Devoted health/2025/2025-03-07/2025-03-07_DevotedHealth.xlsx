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3-07-25\"/>
    </mc:Choice>
  </mc:AlternateContent>
  <xr:revisionPtr revIDLastSave="0" documentId="13_ncr:1_{86259B19-D6D0-4938-81FC-A161A6A9AB5A}" xr6:coauthVersionLast="47" xr6:coauthVersionMax="47" xr10:uidLastSave="{00000000-0000-0000-0000-000000000000}"/>
  <bookViews>
    <workbookView xWindow="-12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6" i="3" l="1"/>
  <c r="D4" i="3"/>
  <c r="D2" i="3"/>
  <c r="D7" i="3"/>
  <c r="D5" i="3"/>
  <c r="D3" i="3"/>
  <c r="G7" i="3"/>
  <c r="G5" i="3"/>
  <c r="G3" i="3"/>
  <c r="G4" i="3"/>
  <c r="G6" i="3"/>
  <c r="G2" i="3"/>
</calcChain>
</file>

<file path=xl/sharedStrings.xml><?xml version="1.0" encoding="utf-8"?>
<sst xmlns="http://schemas.openxmlformats.org/spreadsheetml/2006/main" count="168" uniqueCount="81">
  <si>
    <t>Description</t>
  </si>
  <si>
    <t>Member Count</t>
  </si>
  <si>
    <t>Total</t>
  </si>
  <si>
    <t>Payee</t>
  </si>
  <si>
    <t>Payment Date</t>
  </si>
  <si>
    <t>Credits</t>
  </si>
  <si>
    <t>$417.34</t>
  </si>
  <si>
    <t>Main Line Benefits LLC</t>
  </si>
  <si>
    <t>03/07/2025</t>
  </si>
  <si>
    <t>Debits</t>
  </si>
  <si>
    <t>($1,026.00)</t>
  </si>
  <si>
    <t>Miscellaneous</t>
  </si>
  <si>
    <t>$0.00</t>
  </si>
  <si>
    <t>Bonus</t>
  </si>
  <si>
    <t>Sub Total</t>
  </si>
  <si>
    <t>($608.66)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</si>
  <si>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</si>
  <si>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</si>
  <si>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</si>
  <si>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</si>
  <si>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</si>
  <si>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</si>
  <si>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</si>
  <si>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</si>
  <si>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</si>
  <si>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</si>
  <si>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</si>
  <si>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</si>
  <si>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</si>
  <si>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</si>
  <si>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</si>
  <si>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</si>
  <si>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</si>
  <si>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</si>
  <si>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</si>
  <si>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</si>
  <si>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</si>
  <si>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</si>
  <si>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</si>
  <si>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</si>
  <si>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18581063</t>
  </si>
  <si>
    <t>Timothy Hodgman</t>
  </si>
  <si>
    <t>DFFGS3</t>
  </si>
  <si>
    <t>6XD4YE6JV67</t>
  </si>
  <si>
    <t>ENOCH</t>
  </si>
  <si>
    <t>ANDERSON</t>
  </si>
  <si>
    <t>IL</t>
  </si>
  <si>
    <t>10/21/2024</t>
  </si>
  <si>
    <t>01/01/2025</t>
  </si>
  <si>
    <t>02/28/2025</t>
  </si>
  <si>
    <t>H6545</t>
  </si>
  <si>
    <t>MAPD</t>
  </si>
  <si>
    <t>Initial - Not New</t>
  </si>
  <si>
    <t>Jan</t>
  </si>
  <si>
    <t>7470776</t>
  </si>
  <si>
    <t>Andrew Choi</t>
  </si>
  <si>
    <t>DRR7W8</t>
  </si>
  <si>
    <t>4TE7TQ7YQ34</t>
  </si>
  <si>
    <t>WILLIAM</t>
  </si>
  <si>
    <t>BRENNAN</t>
  </si>
  <si>
    <t>10/28/2024</t>
  </si>
  <si>
    <t>19645587</t>
  </si>
  <si>
    <t>Stacey Portugal</t>
  </si>
  <si>
    <t>DUZW7H</t>
  </si>
  <si>
    <t>8H67XW6HT59</t>
  </si>
  <si>
    <t>CONNIE</t>
  </si>
  <si>
    <t>HODGES</t>
  </si>
  <si>
    <t>AZ</t>
  </si>
  <si>
    <t>02/05/2025</t>
  </si>
  <si>
    <t>05/01/2025</t>
  </si>
  <si>
    <t>H8173</t>
  </si>
  <si>
    <t>NONE</t>
  </si>
  <si>
    <t>Initial - New</t>
  </si>
  <si>
    <t>Feb</t>
  </si>
  <si>
    <t>Devoted MAPD 2025</t>
  </si>
  <si>
    <t>Devoted MAPD 2025*</t>
  </si>
  <si>
    <t>Devoted MAPD 2025 Ovr</t>
  </si>
  <si>
    <t>[%/$=313][prorate=12/12]</t>
  </si>
  <si>
    <t>[%/$=626]</t>
  </si>
  <si>
    <t>[%/$=313][prorate=8/12]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</si>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</sst>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3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"/>
  <sheetViews>
    <sheetView zoomScaleNormal="100" workbookViewId="0">
      <selection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</v>
      </c>
      <c r="N2" t="s">
        <v>51</v>
      </c>
      <c r="O2">
        <v>2</v>
      </c>
      <c r="P2" t="s">
        <v>52</v>
      </c>
      <c r="Q2" t="s">
        <v>53</v>
      </c>
      <c r="R2">
        <v>-313</v>
      </c>
      <c r="S2">
        <v>-200</v>
      </c>
      <c r="T2">
        <v>-513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46</v>
      </c>
      <c r="I3" t="s">
        <v>60</v>
      </c>
      <c r="J3" t="s">
        <v>48</v>
      </c>
      <c r="K3" t="s">
        <v>49</v>
      </c>
      <c r="L3" t="s">
        <v>50</v>
      </c>
      <c r="M3">
        <v>1</v>
      </c>
      <c r="N3" t="s">
        <v>51</v>
      </c>
      <c r="O3">
        <v>9</v>
      </c>
      <c r="P3" t="s">
        <v>52</v>
      </c>
      <c r="Q3" t="s">
        <v>53</v>
      </c>
      <c r="R3">
        <v>-313</v>
      </c>
      <c r="S3">
        <v>-200</v>
      </c>
      <c r="T3">
        <v>-513</v>
      </c>
      <c r="U3" t="s">
        <v>7</v>
      </c>
    </row>
    <row r="4" spans="1:22" x14ac:dyDescent="0.25">
      <c r="A4" t="s">
        <v>8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L4" t="s">
        <v>70</v>
      </c>
      <c r="M4">
        <v>20</v>
      </c>
      <c r="N4" t="s">
        <v>71</v>
      </c>
      <c r="O4">
        <v>-1</v>
      </c>
      <c r="P4" t="s">
        <v>72</v>
      </c>
      <c r="Q4" t="s">
        <v>73</v>
      </c>
      <c r="R4">
        <v>417.34</v>
      </c>
      <c r="S4">
        <v>0</v>
      </c>
      <c r="T4">
        <v>417.34</v>
      </c>
      <c r="U4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55AF-FA14-4116-8CFB-D3C21DA6449D}">
  <dimension ref="A1:S7"/>
  <sheetViews>
    <sheetView tabSelected="1" workbookViewId="0">
      <selection activeCell="R27" sqref="R27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6" width="12.7109375" customWidth="1"/>
    <col min="7" max="7" width="18" bestFit="1" customWidth="1"/>
    <col min="8" max="8" width="13.7109375" customWidth="1"/>
    <col min="9" max="9" width="13.42578125" customWidth="1"/>
    <col min="10" max="10" width="14.28515625" customWidth="1"/>
    <col min="11" max="11" width="14.7109375" customWidth="1"/>
    <col min="12" max="12" width="16.7109375" customWidth="1"/>
    <col min="13" max="13" width="6.7109375" customWidth="1"/>
    <col min="14" max="14" width="12.85546875" customWidth="1"/>
    <col min="15" max="15" width="14.5703125" customWidth="1"/>
    <col min="16" max="16" width="14" customWidth="1"/>
    <col min="18" max="18" width="22.85546875" bestFit="1" customWidth="1"/>
    <col min="19" max="19" width="24.140625" bestFit="1" customWidth="1"/>
  </cols>
  <sheetData>
    <row r="1" spans="1:19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9" x14ac:dyDescent="0.25">
      <c r="A2" s="1">
        <v>18581063</v>
      </c>
      <c r="B2" t="s">
        <v>41</v>
      </c>
      <c r="C2" t="s">
        <v>42</v>
      </c>
      <c r="D2" t="str">
        <f>CONCATENATE(C2,8)</f>
        <v>DFFGS38</v>
      </c>
      <c r="E2" t="s">
        <v>44</v>
      </c>
      <c r="F2" t="s">
        <v>45</v>
      </c>
      <c r="G2" t="str">
        <f>CONCATENATE(E2, " ",F2)</f>
        <v>ENOCH ANDERSON</v>
      </c>
      <c r="H2" t="s">
        <v>46</v>
      </c>
      <c r="I2" t="s">
        <v>48</v>
      </c>
      <c r="J2" t="s">
        <v>51</v>
      </c>
      <c r="K2">
        <v>2</v>
      </c>
      <c r="L2" t="s">
        <v>52</v>
      </c>
      <c r="M2" t="s">
        <v>53</v>
      </c>
      <c r="N2">
        <v>-313</v>
      </c>
      <c r="O2">
        <v>-200</v>
      </c>
      <c r="P2">
        <v>-513</v>
      </c>
      <c r="Q2">
        <v>-313</v>
      </c>
      <c r="R2" t="s">
        <v>75</v>
      </c>
      <c r="S2" t="s">
        <v>77</v>
      </c>
    </row>
    <row r="3" spans="1:19" x14ac:dyDescent="0.25">
      <c r="A3">
        <v>20411454</v>
      </c>
      <c r="B3" t="s">
        <v>80</v>
      </c>
      <c r="C3" t="s">
        <v>42</v>
      </c>
      <c r="D3" t="str">
        <f>CONCATENATE(C3,88)</f>
        <v>DFFGS388</v>
      </c>
      <c r="E3" t="s">
        <v>44</v>
      </c>
      <c r="F3" t="s">
        <v>45</v>
      </c>
      <c r="G3" t="str">
        <f>CONCATENATE(E3, " ",F3)</f>
        <v>ENOCH ANDERSON</v>
      </c>
      <c r="H3" t="s">
        <v>46</v>
      </c>
      <c r="I3" t="s">
        <v>48</v>
      </c>
      <c r="J3" t="s">
        <v>51</v>
      </c>
      <c r="K3">
        <v>2</v>
      </c>
      <c r="L3" t="s">
        <v>52</v>
      </c>
      <c r="M3" t="s">
        <v>53</v>
      </c>
      <c r="N3">
        <v>-313</v>
      </c>
      <c r="O3">
        <v>-200</v>
      </c>
      <c r="P3">
        <v>-513</v>
      </c>
      <c r="Q3">
        <v>-200</v>
      </c>
      <c r="R3" t="s">
        <v>76</v>
      </c>
    </row>
    <row r="4" spans="1:19" x14ac:dyDescent="0.25">
      <c r="A4" s="1">
        <v>7470776</v>
      </c>
      <c r="B4" t="s">
        <v>55</v>
      </c>
      <c r="C4" t="s">
        <v>56</v>
      </c>
      <c r="D4" t="str">
        <f>CONCATENATE(C4,8)</f>
        <v>DRR7W88</v>
      </c>
      <c r="E4" t="s">
        <v>58</v>
      </c>
      <c r="F4" t="s">
        <v>59</v>
      </c>
      <c r="G4" t="str">
        <f>CONCATENATE(E4, " ",F4)</f>
        <v>WILLIAM BRENNAN</v>
      </c>
      <c r="H4" t="s">
        <v>46</v>
      </c>
      <c r="I4" t="s">
        <v>48</v>
      </c>
      <c r="J4" t="s">
        <v>51</v>
      </c>
      <c r="K4">
        <v>9</v>
      </c>
      <c r="L4" t="s">
        <v>52</v>
      </c>
      <c r="M4" t="s">
        <v>53</v>
      </c>
      <c r="N4">
        <v>-313</v>
      </c>
      <c r="O4">
        <v>-200</v>
      </c>
      <c r="P4">
        <v>-513</v>
      </c>
      <c r="Q4">
        <v>-313</v>
      </c>
      <c r="R4" t="s">
        <v>75</v>
      </c>
      <c r="S4" t="s">
        <v>77</v>
      </c>
    </row>
    <row r="5" spans="1:19" x14ac:dyDescent="0.25">
      <c r="A5">
        <v>20411454</v>
      </c>
      <c r="B5" t="s">
        <v>80</v>
      </c>
      <c r="C5" t="s">
        <v>56</v>
      </c>
      <c r="D5" t="str">
        <f>CONCATENATE(C5,88)</f>
        <v>DRR7W888</v>
      </c>
      <c r="E5" t="s">
        <v>58</v>
      </c>
      <c r="F5" t="s">
        <v>59</v>
      </c>
      <c r="G5" t="str">
        <f>CONCATENATE(E5, " ",F5)</f>
        <v>WILLIAM BRENNAN</v>
      </c>
      <c r="H5" t="s">
        <v>46</v>
      </c>
      <c r="I5" t="s">
        <v>48</v>
      </c>
      <c r="J5" t="s">
        <v>51</v>
      </c>
      <c r="K5">
        <v>9</v>
      </c>
      <c r="L5" t="s">
        <v>52</v>
      </c>
      <c r="M5" t="s">
        <v>53</v>
      </c>
      <c r="N5">
        <v>-313</v>
      </c>
      <c r="O5">
        <v>-200</v>
      </c>
      <c r="P5">
        <v>-513</v>
      </c>
      <c r="Q5">
        <v>-200</v>
      </c>
      <c r="R5" t="s">
        <v>76</v>
      </c>
    </row>
    <row r="6" spans="1:19" x14ac:dyDescent="0.25">
      <c r="A6" s="1">
        <v>19645587</v>
      </c>
      <c r="B6" t="s">
        <v>62</v>
      </c>
      <c r="C6" t="s">
        <v>63</v>
      </c>
      <c r="D6" t="str">
        <f>CONCATENATE(C6,8)</f>
        <v>DUZW7H8</v>
      </c>
      <c r="E6" t="s">
        <v>65</v>
      </c>
      <c r="F6" t="s">
        <v>66</v>
      </c>
      <c r="G6" t="str">
        <f t="shared" ref="G3:G6" si="0">CONCATENATE(E6, " ",F6)</f>
        <v>CONNIE HODGES</v>
      </c>
      <c r="H6" t="s">
        <v>67</v>
      </c>
      <c r="I6" t="s">
        <v>69</v>
      </c>
      <c r="J6" t="s">
        <v>71</v>
      </c>
      <c r="K6">
        <v>-1</v>
      </c>
      <c r="L6" t="s">
        <v>72</v>
      </c>
      <c r="M6" t="s">
        <v>73</v>
      </c>
      <c r="N6">
        <v>417.34</v>
      </c>
      <c r="O6">
        <v>0</v>
      </c>
      <c r="P6">
        <v>417.34</v>
      </c>
      <c r="Q6">
        <v>-208.66</v>
      </c>
      <c r="R6" t="s">
        <v>75</v>
      </c>
      <c r="S6" t="s">
        <v>79</v>
      </c>
    </row>
    <row r="7" spans="1:19" x14ac:dyDescent="0.25">
      <c r="A7" s="1">
        <v>19645587</v>
      </c>
      <c r="B7" t="s">
        <v>62</v>
      </c>
      <c r="C7" t="s">
        <v>63</v>
      </c>
      <c r="D7" t="str">
        <f>CONCATENATE(C7)</f>
        <v>DUZW7H</v>
      </c>
      <c r="E7" t="s">
        <v>65</v>
      </c>
      <c r="F7" t="s">
        <v>66</v>
      </c>
      <c r="G7" t="str">
        <f t="shared" ref="G7" si="1">CONCATENATE(E7, " ",F7)</f>
        <v>CONNIE HODGES</v>
      </c>
      <c r="H7" t="s">
        <v>67</v>
      </c>
      <c r="I7" t="s">
        <v>69</v>
      </c>
      <c r="J7" t="s">
        <v>71</v>
      </c>
      <c r="K7">
        <v>-1</v>
      </c>
      <c r="L7" t="s">
        <v>72</v>
      </c>
      <c r="M7" t="s">
        <v>73</v>
      </c>
      <c r="N7">
        <v>417.34</v>
      </c>
      <c r="O7">
        <v>0</v>
      </c>
      <c r="P7">
        <v>417.34</v>
      </c>
      <c r="Q7">
        <v>626</v>
      </c>
      <c r="R7" t="s">
        <v>74</v>
      </c>
      <c r="S7" t="s">
        <v>78</v>
      </c>
    </row>
  </sheetData>
  <sortState xmlns:xlrd2="http://schemas.microsoft.com/office/spreadsheetml/2017/richdata2" ref="A2:V5">
    <sortCondition ref="C2:C5"/>
  </sortState>
  <pageMargins left="0.7" right="0.7" top="0.75" bottom="0.75" header="0.3" footer="0.3"/>
  <ignoredErrors>
    <ignoredError sqref="D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2025-03-12T13:43:36Z</dcterms:created>
  <dcterms:modified xsi:type="dcterms:W3CDTF">2025-03-13T15:10:47Z</dcterms:modified>
</cp:coreProperties>
</file>