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Devoted health/2025/1-24-25/"/>
    </mc:Choice>
  </mc:AlternateContent>
  <xr:revisionPtr revIDLastSave="0" documentId="13_ncr:1_{697534AE-A4B8-6845-B29C-6BAF78EF69AD}" xr6:coauthVersionLast="47" xr6:coauthVersionMax="47" xr10:uidLastSave="{00000000-0000-0000-0000-000000000000}"/>
  <bookViews>
    <workbookView xWindow="0" yWindow="500" windowWidth="19200" windowHeight="19360" activeTab="2" xr2:uid="{00000000-000D-0000-FFFF-FFFF00000000}"/>
  </bookViews>
  <sheets>
    <sheet name="Summary" sheetId="1" r:id="rId1"/>
    <sheet name="Detail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E12" i="3"/>
  <c r="E11" i="3"/>
  <c r="E10" i="3"/>
  <c r="E9" i="3"/>
  <c r="E7" i="3"/>
  <c r="E6" i="3"/>
  <c r="E5" i="3"/>
  <c r="E4" i="3"/>
  <c r="H12" i="3"/>
  <c r="H10" i="3"/>
  <c r="H7" i="3"/>
  <c r="H5" i="3"/>
  <c r="H3" i="3"/>
  <c r="H4" i="3"/>
  <c r="H6" i="3"/>
  <c r="H8" i="3"/>
  <c r="H9" i="3"/>
  <c r="H11" i="3"/>
  <c r="H2" i="3"/>
</calcChain>
</file>

<file path=xl/sharedStrings.xml><?xml version="1.0" encoding="utf-8"?>
<sst xmlns="http://schemas.openxmlformats.org/spreadsheetml/2006/main" count="257" uniqueCount="90">
  <si>
    <t/>
  </si>
  <si>
    <t>Description</t>
  </si>
  <si>
    <t>Member Count</t>
  </si>
  <si>
    <t>Total</t>
  </si>
  <si>
    <t>Payee</t>
  </si>
  <si>
    <t>Payment Date</t>
  </si>
  <si>
    <t>Main Line Benefits LLC</t>
  </si>
  <si>
    <t>01/24/2025</t>
  </si>
  <si>
    <t>Credits</t>
  </si>
  <si>
    <t>$2,048.00</t>
  </si>
  <si>
    <t>Debits</t>
  </si>
  <si>
    <t>($1,539.00)</t>
  </si>
  <si>
    <t>Miscellaneous</t>
  </si>
  <si>
    <t>$0.00</t>
  </si>
  <si>
    <t>Bonus</t>
  </si>
  <si>
    <t>Sub Total</t>
  </si>
  <si>
    <t>$509.00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</si>
  <si>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</si>
  <si>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</si>
  <si>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</si>
  <si>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</si>
  <si>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</si>
  <si>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</si>
  <si>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</si>
  <si>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</si>
  <si>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</si>
  <si>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</si>
  <si>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</si>
  <si>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</si>
  <si>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</si>
  <si>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</si>
  <si>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</si>
  <si>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</si>
  <si>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</si>
  <si>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</si>
  <si>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</si>
  <si>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</si>
  <si>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</si>
  <si>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</si>
  <si>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</si>
  <si>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</si>
  <si>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19615078</t>
  </si>
  <si>
    <t>Richard Wuensch</t>
  </si>
  <si>
    <t>DA25Z9</t>
  </si>
  <si>
    <t>9GT8GY8NX41</t>
  </si>
  <si>
    <t>NADEZHDA</t>
  </si>
  <si>
    <t>ROMANOVA</t>
  </si>
  <si>
    <t>IL</t>
  </si>
  <si>
    <t>H6545</t>
  </si>
  <si>
    <t>NONE</t>
  </si>
  <si>
    <t>Initial - New</t>
  </si>
  <si>
    <t>Jan</t>
  </si>
  <si>
    <t>D36ZF9</t>
  </si>
  <si>
    <t>7FJ9A67QU11</t>
  </si>
  <si>
    <t>LEONID</t>
  </si>
  <si>
    <t>ROMANOV</t>
  </si>
  <si>
    <t>7146581</t>
  </si>
  <si>
    <t>Anthony Hunsberger</t>
  </si>
  <si>
    <t>DJJH2A</t>
  </si>
  <si>
    <t>3XG7KH0RN44</t>
  </si>
  <si>
    <t>FELICIJA</t>
  </si>
  <si>
    <t>JABLONSKIS</t>
  </si>
  <si>
    <t>MAPD</t>
  </si>
  <si>
    <t>Initial - Not New</t>
  </si>
  <si>
    <t>D62JA5</t>
  </si>
  <si>
    <t>6AA9JQ1CU34</t>
  </si>
  <si>
    <t>LINAS</t>
  </si>
  <si>
    <t>D939F6</t>
  </si>
  <si>
    <t>4EU7FG8AT48</t>
  </si>
  <si>
    <t>MARIA</t>
  </si>
  <si>
    <t>DENNIE</t>
  </si>
  <si>
    <t>IN</t>
  </si>
  <si>
    <t>H7471</t>
  </si>
  <si>
    <t>19200754</t>
  </si>
  <si>
    <t>Ricardo Santos</t>
  </si>
  <si>
    <t>DFHGGW</t>
  </si>
  <si>
    <t>8XE7FR6PN32</t>
  </si>
  <si>
    <t>ELIZABETH</t>
  </si>
  <si>
    <t>CROWDER</t>
  </si>
  <si>
    <t>H7151</t>
  </si>
  <si>
    <t>16633294</t>
  </si>
  <si>
    <t>Richard Yale</t>
  </si>
  <si>
    <t>DC5E74</t>
  </si>
  <si>
    <t>2A30WW0JY21</t>
  </si>
  <si>
    <t>ROGELIO</t>
  </si>
  <si>
    <t>RUELOS</t>
  </si>
  <si>
    <t>Devoted MAPD 2025*</t>
  </si>
  <si>
    <t>Devoted MAPD</t>
  </si>
  <si>
    <t>Devoted MAPD 2025 Ovr</t>
  </si>
  <si>
    <t>[%/$=313][prorate=12/12]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</si>
</sst>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"/>
    <numFmt numFmtId="165" formatCode="dd/mm/yyyy\ 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NumberFormat="1"/>
    <xf numFmtId="164" fontId="0" fillId="2" borderId="0" xfId="0" applyNumberFormat="1" applyFill="1"/>
    <xf numFmtId="0" fontId="0" fillId="2" borderId="0" xfId="0" applyNumberFormat="1" applyFill="1"/>
    <xf numFmtId="0" fontId="0" fillId="2" borderId="0" xfId="0" applyFill="1"/>
    <xf numFmtId="16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/>
  </sheetViews>
  <sheetFormatPr baseColWidth="10" defaultColWidth="8.83203125" defaultRowHeight="15" x14ac:dyDescent="0.2"/>
  <cols>
    <col min="1" max="1" width="25" customWidth="1"/>
    <col min="2" max="2" width="20" customWidth="1"/>
    <col min="3" max="3" width="15" customWidth="1"/>
    <col min="5" max="5" width="25" customWidth="1"/>
    <col min="6" max="6" width="20" customWidth="1"/>
  </cols>
  <sheetData>
    <row r="1" spans="1:6" x14ac:dyDescent="0.2">
      <c r="A1" t="s">
        <v>1</v>
      </c>
      <c r="B1" t="s">
        <v>2</v>
      </c>
      <c r="C1" t="s">
        <v>3</v>
      </c>
      <c r="E1" t="s">
        <v>4</v>
      </c>
      <c r="F1" t="s">
        <v>5</v>
      </c>
    </row>
    <row r="2" spans="1:6" x14ac:dyDescent="0.2">
      <c r="A2" t="s">
        <v>8</v>
      </c>
      <c r="B2">
        <v>4</v>
      </c>
      <c r="C2" t="s">
        <v>9</v>
      </c>
      <c r="E2" t="s">
        <v>6</v>
      </c>
      <c r="F2" t="s">
        <v>7</v>
      </c>
    </row>
    <row r="3" spans="1:6" x14ac:dyDescent="0.2">
      <c r="A3" t="s">
        <v>10</v>
      </c>
      <c r="B3">
        <v>3</v>
      </c>
      <c r="C3" t="s">
        <v>11</v>
      </c>
    </row>
    <row r="4" spans="1:6" x14ac:dyDescent="0.2">
      <c r="A4" t="s">
        <v>12</v>
      </c>
      <c r="B4">
        <v>0</v>
      </c>
      <c r="C4" t="s">
        <v>13</v>
      </c>
    </row>
    <row r="5" spans="1:6" x14ac:dyDescent="0.2">
      <c r="A5" t="s">
        <v>14</v>
      </c>
      <c r="C5" t="s">
        <v>13</v>
      </c>
    </row>
    <row r="6" spans="1:6" x14ac:dyDescent="0.2">
      <c r="A6" t="s">
        <v>15</v>
      </c>
      <c r="B6">
        <v>7</v>
      </c>
      <c r="C6" t="s">
        <v>16</v>
      </c>
    </row>
    <row r="7" spans="1:6" x14ac:dyDescent="0.2">
      <c r="A7" t="s">
        <v>17</v>
      </c>
      <c r="C7" t="s">
        <v>13</v>
      </c>
    </row>
    <row r="8" spans="1:6" x14ac:dyDescent="0.2">
      <c r="A8" t="s">
        <v>18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15" customWidth="1"/>
    <col min="7" max="7" width="12.6640625" bestFit="1" customWidth="1"/>
    <col min="8" max="8" width="13.6640625" bestFit="1" customWidth="1"/>
    <col min="9" max="9" width="14.1640625" bestFit="1" customWidth="1"/>
    <col min="10" max="10" width="13.33203125" bestFit="1" customWidth="1"/>
    <col min="11" max="11" width="13.5" bestFit="1" customWidth="1"/>
    <col min="12" max="12" width="8.6640625" bestFit="1" customWidth="1"/>
    <col min="13" max="13" width="4.33203125" bestFit="1" customWidth="1"/>
    <col min="14" max="14" width="14.33203125" bestFit="1" customWidth="1"/>
    <col min="15" max="15" width="14.6640625" bestFit="1" customWidth="1"/>
    <col min="16" max="16" width="16.6640625" bestFit="1" customWidth="1"/>
    <col min="17" max="17" width="6.6640625" bestFit="1" customWidth="1"/>
    <col min="18" max="18" width="12.83203125" bestFit="1" customWidth="1"/>
    <col min="19" max="19" width="14.5" bestFit="1" customWidth="1"/>
    <col min="20" max="20" width="14" bestFit="1" customWidth="1"/>
    <col min="21" max="21" width="21" bestFit="1" customWidth="1"/>
    <col min="22" max="22" width="18" bestFit="1" customWidth="1"/>
  </cols>
  <sheetData>
    <row r="1" spans="1:22" x14ac:dyDescent="0.2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">
      <c r="A2" s="1">
        <v>45681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s="1">
        <v>45561</v>
      </c>
      <c r="J2" s="1">
        <v>45566</v>
      </c>
      <c r="K2" t="s">
        <v>0</v>
      </c>
      <c r="L2" t="s">
        <v>48</v>
      </c>
      <c r="M2">
        <v>1</v>
      </c>
      <c r="N2" t="s">
        <v>49</v>
      </c>
      <c r="O2">
        <v>1</v>
      </c>
      <c r="P2" t="s">
        <v>50</v>
      </c>
      <c r="Q2" t="s">
        <v>51</v>
      </c>
      <c r="R2">
        <v>610.99999200000002</v>
      </c>
      <c r="S2">
        <v>0</v>
      </c>
      <c r="T2">
        <v>611</v>
      </c>
      <c r="U2" t="s">
        <v>6</v>
      </c>
    </row>
    <row r="3" spans="1:22" x14ac:dyDescent="0.2">
      <c r="A3" s="1">
        <v>45681</v>
      </c>
      <c r="B3" t="s">
        <v>41</v>
      </c>
      <c r="C3" t="s">
        <v>42</v>
      </c>
      <c r="D3" t="s">
        <v>52</v>
      </c>
      <c r="E3" t="s">
        <v>53</v>
      </c>
      <c r="F3" t="s">
        <v>54</v>
      </c>
      <c r="G3" t="s">
        <v>55</v>
      </c>
      <c r="H3" t="s">
        <v>47</v>
      </c>
      <c r="I3" s="1">
        <v>45561</v>
      </c>
      <c r="J3" s="1">
        <v>45566</v>
      </c>
      <c r="K3" s="1">
        <v>45657</v>
      </c>
      <c r="L3" t="s">
        <v>48</v>
      </c>
      <c r="M3">
        <v>1</v>
      </c>
      <c r="N3" t="s">
        <v>49</v>
      </c>
      <c r="O3">
        <v>1</v>
      </c>
      <c r="P3" t="s">
        <v>50</v>
      </c>
      <c r="Q3" t="s">
        <v>51</v>
      </c>
      <c r="R3">
        <v>610.99999200000002</v>
      </c>
      <c r="S3">
        <v>0</v>
      </c>
      <c r="T3">
        <v>611</v>
      </c>
      <c r="U3" t="s">
        <v>6</v>
      </c>
    </row>
    <row r="4" spans="1:22" x14ac:dyDescent="0.2">
      <c r="A4" s="1">
        <v>45681</v>
      </c>
      <c r="B4" t="s">
        <v>56</v>
      </c>
      <c r="C4" t="s">
        <v>57</v>
      </c>
      <c r="D4" t="s">
        <v>58</v>
      </c>
      <c r="E4" t="s">
        <v>59</v>
      </c>
      <c r="F4" t="s">
        <v>60</v>
      </c>
      <c r="G4" t="s">
        <v>61</v>
      </c>
      <c r="H4" t="s">
        <v>47</v>
      </c>
      <c r="I4" s="1">
        <v>45591</v>
      </c>
      <c r="J4" s="2">
        <v>45658</v>
      </c>
      <c r="K4" s="1">
        <v>45688</v>
      </c>
      <c r="L4" t="s">
        <v>48</v>
      </c>
      <c r="M4">
        <v>1</v>
      </c>
      <c r="N4" t="s">
        <v>62</v>
      </c>
      <c r="O4">
        <v>3</v>
      </c>
      <c r="P4" t="s">
        <v>63</v>
      </c>
      <c r="Q4" t="s">
        <v>51</v>
      </c>
      <c r="R4">
        <v>-312.99999600000001</v>
      </c>
      <c r="S4">
        <v>-199.99999199999999</v>
      </c>
      <c r="T4">
        <v>-513</v>
      </c>
      <c r="U4" t="s">
        <v>6</v>
      </c>
    </row>
    <row r="5" spans="1:22" x14ac:dyDescent="0.2">
      <c r="A5" s="1">
        <v>45681</v>
      </c>
      <c r="B5" t="s">
        <v>56</v>
      </c>
      <c r="C5" t="s">
        <v>57</v>
      </c>
      <c r="D5" t="s">
        <v>64</v>
      </c>
      <c r="E5" t="s">
        <v>65</v>
      </c>
      <c r="F5" t="s">
        <v>66</v>
      </c>
      <c r="G5" t="s">
        <v>61</v>
      </c>
      <c r="H5" t="s">
        <v>47</v>
      </c>
      <c r="I5" s="1">
        <v>45591</v>
      </c>
      <c r="J5" s="2">
        <v>45658</v>
      </c>
      <c r="K5" s="1">
        <v>45688</v>
      </c>
      <c r="L5" t="s">
        <v>48</v>
      </c>
      <c r="M5">
        <v>1</v>
      </c>
      <c r="N5" t="s">
        <v>62</v>
      </c>
      <c r="O5">
        <v>4</v>
      </c>
      <c r="P5" t="s">
        <v>63</v>
      </c>
      <c r="Q5" t="s">
        <v>51</v>
      </c>
      <c r="R5">
        <v>-312.99999600000001</v>
      </c>
      <c r="S5">
        <v>-199.99999199999999</v>
      </c>
      <c r="T5">
        <v>-513</v>
      </c>
      <c r="U5" t="s">
        <v>6</v>
      </c>
    </row>
    <row r="6" spans="1:22" x14ac:dyDescent="0.2">
      <c r="A6" s="1">
        <v>45681</v>
      </c>
      <c r="B6" t="s">
        <v>41</v>
      </c>
      <c r="C6" t="s">
        <v>42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s="1">
        <v>45595</v>
      </c>
      <c r="J6" s="2">
        <v>45658</v>
      </c>
      <c r="K6" t="s">
        <v>0</v>
      </c>
      <c r="L6" t="s">
        <v>72</v>
      </c>
      <c r="M6">
        <v>5</v>
      </c>
      <c r="N6" t="s">
        <v>62</v>
      </c>
      <c r="O6">
        <v>7</v>
      </c>
      <c r="P6" t="s">
        <v>63</v>
      </c>
      <c r="Q6" t="s">
        <v>51</v>
      </c>
      <c r="R6">
        <v>312.99999600000001</v>
      </c>
      <c r="S6">
        <v>0</v>
      </c>
      <c r="T6">
        <v>313</v>
      </c>
      <c r="U6" t="s">
        <v>6</v>
      </c>
    </row>
    <row r="7" spans="1:22" x14ac:dyDescent="0.2">
      <c r="A7" s="1">
        <v>45681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47</v>
      </c>
      <c r="I7" s="1">
        <v>45604</v>
      </c>
      <c r="J7" s="2">
        <v>45658</v>
      </c>
      <c r="K7" s="1">
        <v>45688</v>
      </c>
      <c r="L7" t="s">
        <v>79</v>
      </c>
      <c r="M7">
        <v>3</v>
      </c>
      <c r="N7" t="s">
        <v>0</v>
      </c>
      <c r="O7">
        <v>3</v>
      </c>
      <c r="P7" t="s">
        <v>63</v>
      </c>
      <c r="Q7" t="s">
        <v>51</v>
      </c>
      <c r="R7">
        <v>-312.99999600000001</v>
      </c>
      <c r="S7">
        <v>-199.99999199999999</v>
      </c>
      <c r="T7">
        <v>-513</v>
      </c>
      <c r="U7" t="s">
        <v>6</v>
      </c>
    </row>
    <row r="8" spans="1:22" x14ac:dyDescent="0.2">
      <c r="A8" s="1">
        <v>45681</v>
      </c>
      <c r="B8" t="s">
        <v>80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47</v>
      </c>
      <c r="I8" s="1">
        <v>45656</v>
      </c>
      <c r="J8" s="2">
        <v>45658</v>
      </c>
      <c r="K8" t="s">
        <v>0</v>
      </c>
      <c r="L8" t="s">
        <v>79</v>
      </c>
      <c r="M8">
        <v>1</v>
      </c>
      <c r="N8" t="s">
        <v>0</v>
      </c>
      <c r="O8">
        <v>2</v>
      </c>
      <c r="P8" t="s">
        <v>63</v>
      </c>
      <c r="Q8" t="s">
        <v>51</v>
      </c>
      <c r="R8">
        <v>312.99999600000001</v>
      </c>
      <c r="S8">
        <v>199.99999199999999</v>
      </c>
      <c r="T8">
        <v>513</v>
      </c>
      <c r="U8" t="s">
        <v>6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9252-E7EB-FA44-9E72-C598DFDE648E}">
  <dimension ref="A1:V12"/>
  <sheetViews>
    <sheetView tabSelected="1" topLeftCell="M1" workbookViewId="0">
      <selection activeCell="V2" sqref="V2:V12"/>
    </sheetView>
  </sheetViews>
  <sheetFormatPr baseColWidth="10" defaultColWidth="8.83203125" defaultRowHeight="15" x14ac:dyDescent="0.2"/>
  <cols>
    <col min="1" max="1" width="15" customWidth="1"/>
    <col min="2" max="2" width="10" customWidth="1"/>
    <col min="3" max="3" width="25" customWidth="1"/>
    <col min="4" max="4" width="15" customWidth="1"/>
    <col min="5" max="5" width="12.6640625" customWidth="1"/>
    <col min="6" max="6" width="10.5" bestFit="1" customWidth="1"/>
    <col min="7" max="7" width="12.6640625" bestFit="1" customWidth="1"/>
    <col min="8" max="8" width="18.6640625" bestFit="1" customWidth="1"/>
    <col min="9" max="9" width="13.6640625" bestFit="1" customWidth="1"/>
    <col min="10" max="10" width="14.1640625" bestFit="1" customWidth="1"/>
    <col min="11" max="11" width="13.33203125" bestFit="1" customWidth="1"/>
    <col min="12" max="12" width="13.5" bestFit="1" customWidth="1"/>
    <col min="13" max="13" width="14.33203125" bestFit="1" customWidth="1"/>
    <col min="14" max="14" width="14.6640625" bestFit="1" customWidth="1"/>
    <col min="15" max="15" width="16.6640625" bestFit="1" customWidth="1"/>
    <col min="16" max="16" width="6.6640625" bestFit="1" customWidth="1"/>
    <col min="17" max="17" width="12.83203125" bestFit="1" customWidth="1"/>
    <col min="18" max="18" width="14.5" bestFit="1" customWidth="1"/>
    <col min="19" max="19" width="14" bestFit="1" customWidth="1"/>
  </cols>
  <sheetData>
    <row r="1" spans="1:22" x14ac:dyDescent="0.2">
      <c r="A1" t="s">
        <v>19</v>
      </c>
      <c r="B1" t="s">
        <v>20</v>
      </c>
      <c r="C1" t="s">
        <v>21</v>
      </c>
      <c r="D1" t="s">
        <v>22</v>
      </c>
      <c r="F1" t="s">
        <v>24</v>
      </c>
      <c r="G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22" x14ac:dyDescent="0.2">
      <c r="A2" s="1">
        <v>45681</v>
      </c>
      <c r="B2" s="3">
        <v>19615078</v>
      </c>
      <c r="C2" t="s">
        <v>42</v>
      </c>
      <c r="D2" t="s">
        <v>43</v>
      </c>
      <c r="E2" t="s">
        <v>43</v>
      </c>
      <c r="F2" t="s">
        <v>45</v>
      </c>
      <c r="G2" t="s">
        <v>46</v>
      </c>
      <c r="H2" t="str">
        <f>CONCATENATE(F2, " ",G2)</f>
        <v>NADEZHDA ROMANOVA</v>
      </c>
      <c r="I2" t="s">
        <v>47</v>
      </c>
      <c r="J2" s="1">
        <v>45561</v>
      </c>
      <c r="K2" s="1">
        <v>45566</v>
      </c>
      <c r="L2" t="s">
        <v>0</v>
      </c>
      <c r="M2" t="s">
        <v>49</v>
      </c>
      <c r="N2">
        <v>1</v>
      </c>
      <c r="O2" t="s">
        <v>50</v>
      </c>
      <c r="P2" t="s">
        <v>51</v>
      </c>
      <c r="Q2">
        <v>610.99999200000002</v>
      </c>
      <c r="R2">
        <v>0</v>
      </c>
      <c r="S2">
        <v>611</v>
      </c>
      <c r="T2">
        <v>611</v>
      </c>
      <c r="U2" t="s">
        <v>87</v>
      </c>
    </row>
    <row r="3" spans="1:22" x14ac:dyDescent="0.2">
      <c r="A3" s="1">
        <v>45681</v>
      </c>
      <c r="B3" s="3">
        <v>19615078</v>
      </c>
      <c r="C3" t="s">
        <v>42</v>
      </c>
      <c r="D3" t="s">
        <v>52</v>
      </c>
      <c r="E3" t="s">
        <v>52</v>
      </c>
      <c r="F3" t="s">
        <v>54</v>
      </c>
      <c r="G3" t="s">
        <v>55</v>
      </c>
      <c r="H3" t="str">
        <f t="shared" ref="H3:H11" si="0">CONCATENATE(F3, " ",G3)</f>
        <v>LEONID ROMANOV</v>
      </c>
      <c r="I3" t="s">
        <v>47</v>
      </c>
      <c r="J3" s="1">
        <v>45561</v>
      </c>
      <c r="K3" s="1">
        <v>45566</v>
      </c>
      <c r="L3" s="1">
        <v>45657</v>
      </c>
      <c r="M3" t="s">
        <v>49</v>
      </c>
      <c r="N3">
        <v>1</v>
      </c>
      <c r="O3" t="s">
        <v>50</v>
      </c>
      <c r="P3" t="s">
        <v>51</v>
      </c>
      <c r="Q3">
        <v>610.99999200000002</v>
      </c>
      <c r="R3">
        <v>0</v>
      </c>
      <c r="S3">
        <v>611</v>
      </c>
      <c r="T3">
        <v>611</v>
      </c>
      <c r="U3" t="s">
        <v>87</v>
      </c>
    </row>
    <row r="4" spans="1:22" s="6" customFormat="1" x14ac:dyDescent="0.2">
      <c r="A4" s="4">
        <v>45681</v>
      </c>
      <c r="B4" s="5">
        <v>7146581</v>
      </c>
      <c r="C4" s="6" t="s">
        <v>57</v>
      </c>
      <c r="D4" s="6" t="s">
        <v>58</v>
      </c>
      <c r="E4" s="6" t="str">
        <f>CONCATENATE(D4,8)</f>
        <v>DJJH2A8</v>
      </c>
      <c r="F4" s="6" t="s">
        <v>60</v>
      </c>
      <c r="G4" s="6" t="s">
        <v>61</v>
      </c>
      <c r="H4" s="6" t="str">
        <f t="shared" si="0"/>
        <v>FELICIJA JABLONSKIS</v>
      </c>
      <c r="I4" s="6" t="s">
        <v>47</v>
      </c>
      <c r="J4" s="4">
        <v>45591</v>
      </c>
      <c r="K4" s="7">
        <v>45658</v>
      </c>
      <c r="L4" s="4">
        <v>45688</v>
      </c>
      <c r="M4" s="6" t="s">
        <v>62</v>
      </c>
      <c r="N4" s="6">
        <v>3</v>
      </c>
      <c r="O4" s="6" t="s">
        <v>63</v>
      </c>
      <c r="P4" s="6" t="s">
        <v>51</v>
      </c>
      <c r="Q4" s="6">
        <v>-312.99999600000001</v>
      </c>
      <c r="R4" s="6">
        <v>-199.99999199999999</v>
      </c>
      <c r="S4" s="6">
        <v>-513</v>
      </c>
      <c r="T4" s="6">
        <v>-313</v>
      </c>
      <c r="U4" s="6" t="s">
        <v>86</v>
      </c>
      <c r="V4" t="s">
        <v>89</v>
      </c>
    </row>
    <row r="5" spans="1:22" s="6" customFormat="1" x14ac:dyDescent="0.2">
      <c r="A5" s="4">
        <v>45681</v>
      </c>
      <c r="B5" s="5">
        <v>7146581</v>
      </c>
      <c r="C5" s="6" t="s">
        <v>57</v>
      </c>
      <c r="D5" s="6" t="s">
        <v>58</v>
      </c>
      <c r="E5" s="6" t="str">
        <f>CONCATENATE(D5,88)</f>
        <v>DJJH2A88</v>
      </c>
      <c r="F5" s="6" t="s">
        <v>60</v>
      </c>
      <c r="G5" s="6" t="s">
        <v>61</v>
      </c>
      <c r="H5" s="6" t="str">
        <f t="shared" ref="H5" si="1">CONCATENATE(F5, " ",G5)</f>
        <v>FELICIJA JABLONSKIS</v>
      </c>
      <c r="I5" s="6" t="s">
        <v>47</v>
      </c>
      <c r="J5" s="4">
        <v>45591</v>
      </c>
      <c r="K5" s="7">
        <v>45658</v>
      </c>
      <c r="L5" s="4">
        <v>45688</v>
      </c>
      <c r="M5" s="6" t="s">
        <v>62</v>
      </c>
      <c r="N5" s="6">
        <v>3</v>
      </c>
      <c r="O5" s="6" t="s">
        <v>63</v>
      </c>
      <c r="P5" s="6" t="s">
        <v>51</v>
      </c>
      <c r="Q5" s="6">
        <v>-312.99999600000001</v>
      </c>
      <c r="R5" s="6">
        <v>-199.99999199999999</v>
      </c>
      <c r="S5" s="6">
        <v>-513</v>
      </c>
      <c r="T5" s="6">
        <v>-200</v>
      </c>
      <c r="U5" s="6" t="s">
        <v>88</v>
      </c>
    </row>
    <row r="6" spans="1:22" s="6" customFormat="1" x14ac:dyDescent="0.2">
      <c r="A6" s="4">
        <v>45681</v>
      </c>
      <c r="B6" s="5">
        <v>7146581</v>
      </c>
      <c r="C6" s="6" t="s">
        <v>57</v>
      </c>
      <c r="D6" s="6" t="s">
        <v>64</v>
      </c>
      <c r="E6" s="6" t="str">
        <f>CONCATENATE(D6,8)</f>
        <v>D62JA58</v>
      </c>
      <c r="F6" s="6" t="s">
        <v>66</v>
      </c>
      <c r="G6" s="6" t="s">
        <v>61</v>
      </c>
      <c r="H6" s="6" t="str">
        <f t="shared" si="0"/>
        <v>LINAS JABLONSKIS</v>
      </c>
      <c r="I6" s="6" t="s">
        <v>47</v>
      </c>
      <c r="J6" s="4">
        <v>45591</v>
      </c>
      <c r="K6" s="7">
        <v>45658</v>
      </c>
      <c r="L6" s="4">
        <v>45688</v>
      </c>
      <c r="M6" s="6" t="s">
        <v>62</v>
      </c>
      <c r="N6" s="6">
        <v>4</v>
      </c>
      <c r="O6" s="6" t="s">
        <v>63</v>
      </c>
      <c r="P6" s="6" t="s">
        <v>51</v>
      </c>
      <c r="Q6" s="6">
        <v>-312.99999600000001</v>
      </c>
      <c r="R6" s="6">
        <v>-199.99999199999999</v>
      </c>
      <c r="S6" s="6">
        <v>-513</v>
      </c>
      <c r="T6" s="6">
        <v>-313</v>
      </c>
      <c r="U6" s="6" t="s">
        <v>86</v>
      </c>
      <c r="V6" t="s">
        <v>89</v>
      </c>
    </row>
    <row r="7" spans="1:22" s="6" customFormat="1" x14ac:dyDescent="0.2">
      <c r="A7" s="4">
        <v>45681</v>
      </c>
      <c r="B7" s="5">
        <v>7146581</v>
      </c>
      <c r="C7" s="6" t="s">
        <v>57</v>
      </c>
      <c r="D7" s="6" t="s">
        <v>64</v>
      </c>
      <c r="E7" s="6" t="str">
        <f>CONCATENATE(D7,88)</f>
        <v>D62JA588</v>
      </c>
      <c r="F7" s="6" t="s">
        <v>66</v>
      </c>
      <c r="G7" s="6" t="s">
        <v>61</v>
      </c>
      <c r="H7" s="6" t="str">
        <f t="shared" ref="H7" si="2">CONCATENATE(F7, " ",G7)</f>
        <v>LINAS JABLONSKIS</v>
      </c>
      <c r="I7" s="6" t="s">
        <v>47</v>
      </c>
      <c r="J7" s="4">
        <v>45591</v>
      </c>
      <c r="K7" s="7">
        <v>45658</v>
      </c>
      <c r="L7" s="4">
        <v>45688</v>
      </c>
      <c r="M7" s="6" t="s">
        <v>62</v>
      </c>
      <c r="N7" s="6">
        <v>4</v>
      </c>
      <c r="O7" s="6" t="s">
        <v>63</v>
      </c>
      <c r="P7" s="6" t="s">
        <v>51</v>
      </c>
      <c r="Q7" s="6">
        <v>-312.99999600000001</v>
      </c>
      <c r="R7" s="6">
        <v>-199.99999199999999</v>
      </c>
      <c r="S7" s="6">
        <v>-513</v>
      </c>
      <c r="T7" s="6">
        <v>-200</v>
      </c>
      <c r="U7" s="6" t="s">
        <v>88</v>
      </c>
    </row>
    <row r="8" spans="1:22" x14ac:dyDescent="0.2">
      <c r="A8" s="1">
        <v>45681</v>
      </c>
      <c r="B8" s="3">
        <v>19615078</v>
      </c>
      <c r="C8" t="s">
        <v>42</v>
      </c>
      <c r="D8" t="s">
        <v>67</v>
      </c>
      <c r="E8" s="6" t="str">
        <f>CONCATENATE(D8,8)</f>
        <v>D939F68</v>
      </c>
      <c r="F8" t="s">
        <v>69</v>
      </c>
      <c r="G8" t="s">
        <v>70</v>
      </c>
      <c r="H8" t="str">
        <f t="shared" si="0"/>
        <v>MARIA DENNIE</v>
      </c>
      <c r="I8" t="s">
        <v>71</v>
      </c>
      <c r="J8" s="1">
        <v>45595</v>
      </c>
      <c r="K8" s="2">
        <v>45658</v>
      </c>
      <c r="L8" t="s">
        <v>0</v>
      </c>
      <c r="M8" t="s">
        <v>62</v>
      </c>
      <c r="N8">
        <v>7</v>
      </c>
      <c r="O8" t="s">
        <v>63</v>
      </c>
      <c r="P8" t="s">
        <v>51</v>
      </c>
      <c r="Q8">
        <v>312.99999600000001</v>
      </c>
      <c r="R8">
        <v>0</v>
      </c>
      <c r="S8">
        <v>313</v>
      </c>
      <c r="T8" s="6">
        <v>313</v>
      </c>
      <c r="U8" s="6" t="s">
        <v>86</v>
      </c>
      <c r="V8" t="s">
        <v>89</v>
      </c>
    </row>
    <row r="9" spans="1:22" s="6" customFormat="1" x14ac:dyDescent="0.2">
      <c r="A9" s="4">
        <v>45681</v>
      </c>
      <c r="B9" s="5">
        <v>19200754</v>
      </c>
      <c r="C9" s="6" t="s">
        <v>74</v>
      </c>
      <c r="D9" s="6" t="s">
        <v>75</v>
      </c>
      <c r="E9" s="6" t="str">
        <f>CONCATENATE(D9,8)</f>
        <v>DFHGGW8</v>
      </c>
      <c r="F9" s="6" t="s">
        <v>77</v>
      </c>
      <c r="G9" s="6" t="s">
        <v>78</v>
      </c>
      <c r="H9" s="6" t="str">
        <f t="shared" si="0"/>
        <v>ELIZABETH CROWDER</v>
      </c>
      <c r="I9" s="6" t="s">
        <v>47</v>
      </c>
      <c r="J9" s="4">
        <v>45604</v>
      </c>
      <c r="K9" s="7">
        <v>45658</v>
      </c>
      <c r="L9" s="4">
        <v>45688</v>
      </c>
      <c r="M9" s="6" t="s">
        <v>0</v>
      </c>
      <c r="N9" s="6">
        <v>3</v>
      </c>
      <c r="O9" s="6" t="s">
        <v>63</v>
      </c>
      <c r="P9" s="6" t="s">
        <v>51</v>
      </c>
      <c r="Q9" s="6">
        <v>-312.99999600000001</v>
      </c>
      <c r="R9" s="6">
        <v>-199.99999199999999</v>
      </c>
      <c r="S9" s="6">
        <v>-513</v>
      </c>
      <c r="T9" s="6">
        <v>-313</v>
      </c>
      <c r="U9" s="6" t="s">
        <v>86</v>
      </c>
      <c r="V9" t="s">
        <v>89</v>
      </c>
    </row>
    <row r="10" spans="1:22" s="6" customFormat="1" x14ac:dyDescent="0.2">
      <c r="A10" s="4">
        <v>45681</v>
      </c>
      <c r="B10" s="5">
        <v>19200754</v>
      </c>
      <c r="C10" s="6" t="s">
        <v>74</v>
      </c>
      <c r="D10" s="6" t="s">
        <v>75</v>
      </c>
      <c r="E10" s="6" t="str">
        <f>CONCATENATE(D10,88)</f>
        <v>DFHGGW88</v>
      </c>
      <c r="F10" s="6" t="s">
        <v>77</v>
      </c>
      <c r="G10" s="6" t="s">
        <v>78</v>
      </c>
      <c r="H10" s="6" t="str">
        <f t="shared" ref="H10" si="3">CONCATENATE(F10, " ",G10)</f>
        <v>ELIZABETH CROWDER</v>
      </c>
      <c r="I10" s="6" t="s">
        <v>47</v>
      </c>
      <c r="J10" s="4">
        <v>45604</v>
      </c>
      <c r="K10" s="7">
        <v>45658</v>
      </c>
      <c r="L10" s="4">
        <v>45688</v>
      </c>
      <c r="M10" s="6" t="s">
        <v>0</v>
      </c>
      <c r="N10" s="6">
        <v>3</v>
      </c>
      <c r="O10" s="6" t="s">
        <v>63</v>
      </c>
      <c r="P10" s="6" t="s">
        <v>51</v>
      </c>
      <c r="Q10" s="6">
        <v>-312.99999600000001</v>
      </c>
      <c r="R10" s="6">
        <v>-199.99999199999999</v>
      </c>
      <c r="S10" s="6">
        <v>-513</v>
      </c>
      <c r="T10" s="6">
        <v>-200</v>
      </c>
      <c r="U10" s="6" t="s">
        <v>88</v>
      </c>
    </row>
    <row r="11" spans="1:22" s="6" customFormat="1" x14ac:dyDescent="0.2">
      <c r="A11" s="4">
        <v>45681</v>
      </c>
      <c r="B11" s="5">
        <v>16633294</v>
      </c>
      <c r="C11" s="6" t="s">
        <v>81</v>
      </c>
      <c r="D11" s="6" t="s">
        <v>82</v>
      </c>
      <c r="E11" s="6" t="str">
        <f>CONCATENATE(D11,8)</f>
        <v>DC5E748</v>
      </c>
      <c r="F11" s="6" t="s">
        <v>84</v>
      </c>
      <c r="G11" s="6" t="s">
        <v>85</v>
      </c>
      <c r="H11" s="6" t="str">
        <f t="shared" si="0"/>
        <v>ROGELIO RUELOS</v>
      </c>
      <c r="I11" s="6" t="s">
        <v>47</v>
      </c>
      <c r="J11" s="4">
        <v>45656</v>
      </c>
      <c r="K11" s="7">
        <v>45658</v>
      </c>
      <c r="L11" s="6" t="s">
        <v>0</v>
      </c>
      <c r="M11" s="6" t="s">
        <v>0</v>
      </c>
      <c r="N11" s="6">
        <v>2</v>
      </c>
      <c r="O11" s="6" t="s">
        <v>63</v>
      </c>
      <c r="P11" s="6" t="s">
        <v>51</v>
      </c>
      <c r="Q11" s="6">
        <v>312.99999600000001</v>
      </c>
      <c r="R11" s="6">
        <v>199.99999199999999</v>
      </c>
      <c r="S11" s="6">
        <v>513</v>
      </c>
      <c r="T11" s="6">
        <v>313</v>
      </c>
      <c r="U11" s="6" t="s">
        <v>86</v>
      </c>
      <c r="V11" t="s">
        <v>89</v>
      </c>
    </row>
    <row r="12" spans="1:22" s="6" customFormat="1" x14ac:dyDescent="0.2">
      <c r="A12" s="4">
        <v>45681</v>
      </c>
      <c r="B12" s="5">
        <v>16633294</v>
      </c>
      <c r="C12" s="6" t="s">
        <v>81</v>
      </c>
      <c r="D12" s="6" t="s">
        <v>82</v>
      </c>
      <c r="E12" s="6" t="str">
        <f>CONCATENATE(D12,88)</f>
        <v>DC5E7488</v>
      </c>
      <c r="F12" s="6" t="s">
        <v>84</v>
      </c>
      <c r="G12" s="6" t="s">
        <v>85</v>
      </c>
      <c r="H12" s="6" t="str">
        <f t="shared" ref="H12" si="4">CONCATENATE(F12, " ",G12)</f>
        <v>ROGELIO RUELOS</v>
      </c>
      <c r="I12" s="6" t="s">
        <v>47</v>
      </c>
      <c r="J12" s="4">
        <v>45656</v>
      </c>
      <c r="K12" s="7">
        <v>45658</v>
      </c>
      <c r="L12" s="6" t="s">
        <v>0</v>
      </c>
      <c r="M12" s="6" t="s">
        <v>0</v>
      </c>
      <c r="N12" s="6">
        <v>2</v>
      </c>
      <c r="O12" s="6" t="s">
        <v>63</v>
      </c>
      <c r="P12" s="6" t="s">
        <v>51</v>
      </c>
      <c r="Q12" s="6">
        <v>312.99999600000001</v>
      </c>
      <c r="R12" s="6">
        <v>199.99999199999999</v>
      </c>
      <c r="S12" s="6">
        <v>513</v>
      </c>
      <c r="T12" s="6">
        <v>200</v>
      </c>
      <c r="U12" s="6" t="s">
        <v>88</v>
      </c>
    </row>
  </sheetData>
  <pageMargins left="0.7" right="0.7" top="0.75" bottom="0.75" header="0.3" footer="0.3"/>
  <pageSetup orientation="portrait" horizontalDpi="0" verticalDpi="0"/>
  <ignoredErrors>
    <ignoredError sqref="E5: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2025-01-22T15:51:16Z</dcterms:created>
  <dcterms:modified xsi:type="dcterms:W3CDTF">2025-02-01T16:04:26Z</dcterms:modified>
</cp:coreProperties>
</file>