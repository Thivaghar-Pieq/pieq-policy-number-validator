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2-21-25\"/>
    </mc:Choice>
  </mc:AlternateContent>
  <xr:revisionPtr revIDLastSave="0" documentId="13_ncr:1_{A30AB74D-100A-41B2-A3B3-71C4DA1B15B9}" xr6:coauthVersionLast="47" xr6:coauthVersionMax="47" xr10:uidLastSave="{00000000-0000-0000-0000-000000000000}"/>
  <bookViews>
    <workbookView minimized="1" xWindow="5415" yWindow="2310" windowWidth="21600" windowHeight="11835" tabRatio="204" firstSheet="2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E5" i="3" l="1"/>
  <c r="E4" i="3"/>
  <c r="E3" i="3"/>
  <c r="E2" i="3"/>
  <c r="I3" i="3"/>
  <c r="I4" i="3"/>
  <c r="I5" i="3"/>
  <c r="I2" i="3"/>
</calcChain>
</file>

<file path=xl/sharedStrings.xml><?xml version="1.0" encoding="utf-8"?>
<sst xmlns="http://schemas.openxmlformats.org/spreadsheetml/2006/main" count="152" uniqueCount="69">
  <si>
    <t>Description</t>
  </si>
  <si>
    <t>Member Count</t>
  </si>
  <si>
    <t>Total</t>
  </si>
  <si>
    <t>Payee</t>
  </si>
  <si>
    <t>Payment Date</t>
  </si>
  <si>
    <t>Credits</t>
  </si>
  <si>
    <t>$408.66</t>
  </si>
  <si>
    <t>Main Line Benefits LLC</t>
  </si>
  <si>
    <t>02/21/2025</t>
  </si>
  <si>
    <t>Debits</t>
  </si>
  <si>
    <t>($826.00)</t>
  </si>
  <si>
    <t>Miscellaneous</t>
  </si>
  <si>
    <t>$0.00</t>
  </si>
  <si>
    <t>Bonus</t>
  </si>
  <si>
    <t>Sub Total</t>
  </si>
  <si>
    <t>($417.34)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</si>
  <si>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</si>
  <si>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</si>
  <si>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</si>
  <si>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</si>
  <si>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</si>
  <si>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</si>
  <si>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</si>
  <si>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</si>
  <si>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</si>
  <si>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</si>
  <si>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</si>
  <si>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</si>
  <si>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</si>
  <si>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</si>
  <si>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</si>
  <si>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</si>
  <si>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</si>
  <si>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</si>
  <si>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</si>
  <si>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</si>
  <si>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</si>
  <si>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</si>
  <si>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</si>
  <si>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</si>
  <si>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</si>
  <si>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</si>
  <si>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DCZ6E3</t>
  </si>
  <si>
    <t>5E08V67TR32</t>
  </si>
  <si>
    <t>HILDA</t>
  </si>
  <si>
    <t>HERNANDEZ</t>
  </si>
  <si>
    <t>IL</t>
  </si>
  <si>
    <t>12/04/2024</t>
  </si>
  <si>
    <t>01/01/2025</t>
  </si>
  <si>
    <t>H7151</t>
  </si>
  <si>
    <t>NONE</t>
  </si>
  <si>
    <t>Initial - New</t>
  </si>
  <si>
    <t>Jan</t>
  </si>
  <si>
    <t>19645587</t>
  </si>
  <si>
    <t>Stacey Portugal</t>
  </si>
  <si>
    <t>DUZW7H</t>
  </si>
  <si>
    <t>8H67XW6HT59</t>
  </si>
  <si>
    <t>CONNIE</t>
  </si>
  <si>
    <t>HODGES</t>
  </si>
  <si>
    <t>AZ</t>
  </si>
  <si>
    <t>02/05/2025</t>
  </si>
  <si>
    <t>05/01/2025</t>
  </si>
  <si>
    <t>H8173</t>
  </si>
  <si>
    <t>Initial - Not New</t>
  </si>
  <si>
    <t>Feb</t>
  </si>
  <si>
    <t>[%/$=313][prorate=8/12]</t>
  </si>
  <si>
    <t>Devoted MAPD 2025</t>
  </si>
  <si>
    <t>Devoted MAPD 2025*</t>
  </si>
  <si>
    <t>Devoted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</si>
</sst>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2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1</v>
      </c>
      <c r="P2" t="s">
        <v>51</v>
      </c>
      <c r="Q2" t="s">
        <v>52</v>
      </c>
      <c r="R2">
        <v>-626</v>
      </c>
      <c r="S2">
        <v>-200</v>
      </c>
      <c r="T2">
        <v>-826</v>
      </c>
      <c r="U2" t="s">
        <v>7</v>
      </c>
    </row>
    <row r="3" spans="1:22" x14ac:dyDescent="0.25">
      <c r="A3" t="s">
        <v>8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L3" t="s">
        <v>62</v>
      </c>
      <c r="M3">
        <v>20</v>
      </c>
      <c r="O3">
        <v>0</v>
      </c>
      <c r="P3" t="s">
        <v>63</v>
      </c>
      <c r="Q3" t="s">
        <v>64</v>
      </c>
      <c r="R3">
        <v>208.66</v>
      </c>
      <c r="S3">
        <v>200</v>
      </c>
      <c r="T3">
        <v>408.66</v>
      </c>
      <c r="U3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F78-2E5E-485A-9A37-A725020E2854}">
  <dimension ref="A1:Z5"/>
  <sheetViews>
    <sheetView tabSelected="1" topLeftCell="L1" workbookViewId="0">
      <selection activeCell="Z4" sqref="Z4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5" width="15" customWidth="1"/>
    <col min="8" max="8" width="12.7109375" customWidth="1"/>
    <col min="9" max="9" width="17.85546875" bestFit="1" customWidth="1"/>
    <col min="10" max="10" width="13.7109375" customWidth="1"/>
    <col min="11" max="11" width="14.140625" customWidth="1"/>
    <col min="12" max="13" width="13.42578125" customWidth="1"/>
    <col min="14" max="14" width="8.7109375" customWidth="1"/>
    <col min="15" max="15" width="4.28515625" customWidth="1"/>
    <col min="16" max="16" width="14.28515625" customWidth="1"/>
    <col min="17" max="17" width="14.7109375" customWidth="1"/>
    <col min="18" max="18" width="16.7109375" customWidth="1"/>
    <col min="19" max="19" width="6.7109375" customWidth="1"/>
    <col min="20" max="20" width="12.85546875" customWidth="1"/>
    <col min="21" max="21" width="14.5703125" customWidth="1"/>
    <col min="22" max="22" width="14" customWidth="1"/>
    <col min="23" max="23" width="25.7109375" customWidth="1"/>
    <col min="24" max="24" width="18" customWidth="1"/>
  </cols>
  <sheetData>
    <row r="1" spans="1:26" x14ac:dyDescent="0.25">
      <c r="A1" t="s">
        <v>18</v>
      </c>
      <c r="B1" t="s">
        <v>19</v>
      </c>
      <c r="C1" t="s">
        <v>20</v>
      </c>
      <c r="D1" t="s">
        <v>21</v>
      </c>
      <c r="F1" t="s">
        <v>22</v>
      </c>
      <c r="G1" t="s">
        <v>23</v>
      </c>
      <c r="H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6" x14ac:dyDescent="0.25">
      <c r="A2" t="s">
        <v>8</v>
      </c>
      <c r="B2" s="1">
        <v>17301495</v>
      </c>
      <c r="C2" t="s">
        <v>41</v>
      </c>
      <c r="D2" t="s">
        <v>42</v>
      </c>
      <c r="E2" t="str">
        <f>CONCATENATE(D2,8)</f>
        <v>DCZ6E38</v>
      </c>
      <c r="F2" t="s">
        <v>43</v>
      </c>
      <c r="G2" t="s">
        <v>44</v>
      </c>
      <c r="H2" t="s">
        <v>45</v>
      </c>
      <c r="I2" t="str">
        <f>CONCATENATE(G2, " ", H2)</f>
        <v>HILDA HERNANDEZ</v>
      </c>
      <c r="J2" t="s">
        <v>46</v>
      </c>
      <c r="K2" t="s">
        <v>47</v>
      </c>
      <c r="L2" t="s">
        <v>48</v>
      </c>
      <c r="N2" t="s">
        <v>49</v>
      </c>
      <c r="O2">
        <v>1</v>
      </c>
      <c r="P2" t="s">
        <v>50</v>
      </c>
      <c r="Q2">
        <v>1</v>
      </c>
      <c r="R2" t="s">
        <v>51</v>
      </c>
      <c r="S2" t="s">
        <v>52</v>
      </c>
      <c r="T2">
        <v>-626</v>
      </c>
      <c r="U2">
        <v>-200</v>
      </c>
      <c r="V2">
        <v>-826</v>
      </c>
      <c r="W2" t="s">
        <v>7</v>
      </c>
      <c r="X2">
        <v>-626</v>
      </c>
      <c r="Y2" t="s">
        <v>66</v>
      </c>
    </row>
    <row r="3" spans="1:26" x14ac:dyDescent="0.25">
      <c r="A3" t="s">
        <v>8</v>
      </c>
      <c r="B3" s="1">
        <v>17301495</v>
      </c>
      <c r="C3" t="s">
        <v>41</v>
      </c>
      <c r="D3" t="s">
        <v>42</v>
      </c>
      <c r="E3" t="str">
        <f>CONCATENATE(D3,88)</f>
        <v>DCZ6E388</v>
      </c>
      <c r="F3" t="s">
        <v>43</v>
      </c>
      <c r="G3" t="s">
        <v>44</v>
      </c>
      <c r="H3" t="s">
        <v>45</v>
      </c>
      <c r="I3" t="str">
        <f t="shared" ref="I3:I5" si="0">CONCATENATE(G3, " ", H3)</f>
        <v>HILDA HERNANDEZ</v>
      </c>
      <c r="J3" t="s">
        <v>46</v>
      </c>
      <c r="K3" t="s">
        <v>47</v>
      </c>
      <c r="L3" t="s">
        <v>48</v>
      </c>
      <c r="N3" t="s">
        <v>49</v>
      </c>
      <c r="O3">
        <v>1</v>
      </c>
      <c r="P3" t="s">
        <v>50</v>
      </c>
      <c r="Q3">
        <v>1</v>
      </c>
      <c r="R3" t="s">
        <v>51</v>
      </c>
      <c r="S3" t="s">
        <v>52</v>
      </c>
      <c r="T3">
        <v>-626</v>
      </c>
      <c r="U3">
        <v>-200</v>
      </c>
      <c r="V3">
        <v>-826</v>
      </c>
      <c r="W3" t="s">
        <v>7</v>
      </c>
      <c r="X3">
        <v>-200</v>
      </c>
      <c r="Y3" t="s">
        <v>68</v>
      </c>
    </row>
    <row r="4" spans="1:26" x14ac:dyDescent="0.25">
      <c r="A4" t="s">
        <v>8</v>
      </c>
      <c r="B4" s="1">
        <v>19645587</v>
      </c>
      <c r="C4" t="s">
        <v>54</v>
      </c>
      <c r="D4" t="s">
        <v>55</v>
      </c>
      <c r="E4" t="str">
        <f>CONCATENATE(D4,8)</f>
        <v>DUZW7H8</v>
      </c>
      <c r="F4" t="s">
        <v>56</v>
      </c>
      <c r="G4" t="s">
        <v>57</v>
      </c>
      <c r="H4" t="s">
        <v>58</v>
      </c>
      <c r="I4" t="str">
        <f t="shared" si="0"/>
        <v>CONNIE HODGES</v>
      </c>
      <c r="J4" t="s">
        <v>59</v>
      </c>
      <c r="K4" t="s">
        <v>60</v>
      </c>
      <c r="L4" t="s">
        <v>61</v>
      </c>
      <c r="N4" t="s">
        <v>62</v>
      </c>
      <c r="O4">
        <v>20</v>
      </c>
      <c r="Q4">
        <v>0</v>
      </c>
      <c r="R4" t="s">
        <v>63</v>
      </c>
      <c r="S4" t="s">
        <v>64</v>
      </c>
      <c r="T4">
        <v>208.66</v>
      </c>
      <c r="U4">
        <v>200</v>
      </c>
      <c r="V4">
        <v>408.66</v>
      </c>
      <c r="W4" t="s">
        <v>7</v>
      </c>
      <c r="X4">
        <v>208.66</v>
      </c>
      <c r="Y4" t="s">
        <v>67</v>
      </c>
      <c r="Z4" t="s">
        <v>65</v>
      </c>
    </row>
    <row r="5" spans="1:26" x14ac:dyDescent="0.25">
      <c r="A5" t="s">
        <v>8</v>
      </c>
      <c r="B5" s="1">
        <v>19645587</v>
      </c>
      <c r="C5" t="s">
        <v>54</v>
      </c>
      <c r="D5" t="s">
        <v>55</v>
      </c>
      <c r="E5" t="str">
        <f>CONCATENATE(D5,88)</f>
        <v>DUZW7H88</v>
      </c>
      <c r="F5" t="s">
        <v>56</v>
      </c>
      <c r="G5" t="s">
        <v>57</v>
      </c>
      <c r="H5" t="s">
        <v>58</v>
      </c>
      <c r="I5" t="str">
        <f t="shared" si="0"/>
        <v>CONNIE HODGES</v>
      </c>
      <c r="J5" t="s">
        <v>59</v>
      </c>
      <c r="K5" t="s">
        <v>60</v>
      </c>
      <c r="L5" t="s">
        <v>61</v>
      </c>
      <c r="N5" t="s">
        <v>62</v>
      </c>
      <c r="O5">
        <v>20</v>
      </c>
      <c r="Q5">
        <v>0</v>
      </c>
      <c r="R5" t="s">
        <v>63</v>
      </c>
      <c r="S5" t="s">
        <v>64</v>
      </c>
      <c r="T5">
        <v>208.66</v>
      </c>
      <c r="U5">
        <v>200</v>
      </c>
      <c r="V5">
        <v>408.66</v>
      </c>
      <c r="W5" t="s">
        <v>7</v>
      </c>
      <c r="X5">
        <v>200</v>
      </c>
      <c r="Y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2025-02-26T18:53:24Z</dcterms:created>
  <dcterms:modified xsi:type="dcterms:W3CDTF">2025-02-27T22:59:58Z</dcterms:modified>
</cp:coreProperties>
</file>