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3-14-25\"/>
    </mc:Choice>
  </mc:AlternateContent>
  <xr:revisionPtr revIDLastSave="0" documentId="13_ncr:1_{807BD572-E6F8-4F41-AD0E-8B5B151270D7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H3" i="3" l="1"/>
  <c r="H6" i="3"/>
  <c r="H4" i="3"/>
  <c r="H7" i="3"/>
  <c r="H5" i="3"/>
  <c r="H2" i="3"/>
  <c r="E5" i="3"/>
  <c r="E4" i="3"/>
  <c r="E3" i="3"/>
  <c r="E7" i="3"/>
  <c r="E6" i="3"/>
  <c r="E2" i="3"/>
</calcChain>
</file>

<file path=xl/sharedStrings.xml><?xml version="1.0" encoding="utf-8"?>
<sst xmlns="http://schemas.openxmlformats.org/spreadsheetml/2006/main" count="171" uniqueCount="76">
  <si>
    <t>Description</t>
  </si>
  <si>
    <t>Member Count</t>
  </si>
  <si>
    <t>Total</t>
  </si>
  <si>
    <t>Payee</t>
  </si>
  <si>
    <t>Payment Date</t>
  </si>
  <si>
    <t>Credits</t>
  </si>
  <si>
    <t>$921.66</t>
  </si>
  <si>
    <t>Main Line Benefits LLC</t>
  </si>
  <si>
    <t>03/14/2025</t>
  </si>
  <si>
    <t>Debits</t>
  </si>
  <si>
    <t>($513.00)</t>
  </si>
  <si>
    <t>Miscellaneous</t>
  </si>
  <si>
    <t>$0.00</t>
  </si>
  <si>
    <t>Bonus</t>
  </si>
  <si>
    <t>Sub Total</t>
  </si>
  <si>
    <t>($200.00)</t>
  </si>
  <si>
    <t>Balance</t>
  </si>
  <si>
    <t>($608.66)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</si>
  <si>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</si>
  <si>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</si>
  <si>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</si>
  <si>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</si>
  <si>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</si>
  <si>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</si>
  <si>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</si>
  <si>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</si>
  <si>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</si>
  <si>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</si>
  <si>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</si>
  <si>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</si>
  <si>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</si>
  <si>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</si>
  <si>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</si>
  <si>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</si>
  <si>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</si>
  <si>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</si>
  <si>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</si>
  <si>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</si>
  <si>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</si>
  <si>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</si>
  <si>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</si>
  <si>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19586992</t>
  </si>
  <si>
    <t>Barry Schumann</t>
  </si>
  <si>
    <t>DJFA7R</t>
  </si>
  <si>
    <t>7V79CK2VW53</t>
  </si>
  <si>
    <t>CLIFTON</t>
  </si>
  <si>
    <t>MCKENNIE</t>
  </si>
  <si>
    <t>IL</t>
  </si>
  <si>
    <t>12/06/2024</t>
  </si>
  <si>
    <t>01/01/2025</t>
  </si>
  <si>
    <t>02/28/2025</t>
  </si>
  <si>
    <t>H6545</t>
  </si>
  <si>
    <t>MAPD</t>
  </si>
  <si>
    <t>Initial - Not New</t>
  </si>
  <si>
    <t>Jan</t>
  </si>
  <si>
    <t>16865615</t>
  </si>
  <si>
    <t>Heather Geske</t>
  </si>
  <si>
    <t>DU7JU7</t>
  </si>
  <si>
    <t>5J97EH0YG53</t>
  </si>
  <si>
    <t>SANDRA</t>
  </si>
  <si>
    <t>LOWELL</t>
  </si>
  <si>
    <t>CO</t>
  </si>
  <si>
    <t>03/01/2025</t>
  </si>
  <si>
    <t>H4808</t>
  </si>
  <si>
    <t>Mar</t>
  </si>
  <si>
    <t>17301495</t>
  </si>
  <si>
    <t>Esther Herrera-Larsen</t>
  </si>
  <si>
    <t>D3AYFF</t>
  </si>
  <si>
    <t>1H55HJ0HU79</t>
  </si>
  <si>
    <t>DORA</t>
  </si>
  <si>
    <t>PATTERSON</t>
  </si>
  <si>
    <t>Devoted MAPD 2025*</t>
  </si>
  <si>
    <t>Devoted MAPD 2025 Ovr</t>
  </si>
  <si>
    <t>[%/$=313][prorate=10/12]</t>
  </si>
  <si>
    <t>[%/$=313][prorate=12/12]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</si>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</sst>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2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3</v>
      </c>
      <c r="C6" t="s">
        <v>15</v>
      </c>
    </row>
    <row r="7" spans="1:6" x14ac:dyDescent="0.25">
      <c r="A7" t="s">
        <v>16</v>
      </c>
      <c r="C7" t="s">
        <v>17</v>
      </c>
    </row>
    <row r="8" spans="1:6" x14ac:dyDescent="0.25">
      <c r="A8" t="s">
        <v>18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"/>
  <sheetViews>
    <sheetView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>
        <v>1</v>
      </c>
      <c r="N2" t="s">
        <v>52</v>
      </c>
      <c r="O2">
        <v>2</v>
      </c>
      <c r="P2" t="s">
        <v>53</v>
      </c>
      <c r="Q2" t="s">
        <v>54</v>
      </c>
      <c r="R2">
        <v>-313</v>
      </c>
      <c r="S2">
        <v>-200</v>
      </c>
      <c r="T2">
        <v>-513</v>
      </c>
      <c r="U2" t="s">
        <v>7</v>
      </c>
    </row>
    <row r="3" spans="1:22" x14ac:dyDescent="0.25">
      <c r="A3" t="s">
        <v>8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50</v>
      </c>
      <c r="J3" t="s">
        <v>62</v>
      </c>
      <c r="L3" t="s">
        <v>63</v>
      </c>
      <c r="M3">
        <v>1</v>
      </c>
      <c r="N3" t="s">
        <v>52</v>
      </c>
      <c r="O3">
        <v>9</v>
      </c>
      <c r="P3" t="s">
        <v>53</v>
      </c>
      <c r="Q3" t="s">
        <v>64</v>
      </c>
      <c r="R3">
        <v>260.83</v>
      </c>
      <c r="S3">
        <v>200</v>
      </c>
      <c r="T3">
        <v>460.83</v>
      </c>
      <c r="U3" t="s">
        <v>7</v>
      </c>
    </row>
    <row r="4" spans="1:22" x14ac:dyDescent="0.25">
      <c r="A4" t="s">
        <v>8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47</v>
      </c>
      <c r="I4" t="s">
        <v>50</v>
      </c>
      <c r="J4" t="s">
        <v>62</v>
      </c>
      <c r="L4" t="s">
        <v>51</v>
      </c>
      <c r="M4">
        <v>1</v>
      </c>
      <c r="O4">
        <v>0</v>
      </c>
      <c r="P4" t="s">
        <v>53</v>
      </c>
      <c r="Q4" t="s">
        <v>64</v>
      </c>
      <c r="R4">
        <v>260.83</v>
      </c>
      <c r="S4">
        <v>200</v>
      </c>
      <c r="T4">
        <v>460.83</v>
      </c>
      <c r="U4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7493-19D9-4B34-8067-21D76A67FDCA}">
  <dimension ref="A1:S7"/>
  <sheetViews>
    <sheetView tabSelected="1" topLeftCell="C1" workbookViewId="0">
      <selection activeCell="P21" sqref="P21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5" width="15" customWidth="1"/>
    <col min="7" max="8" width="12.7109375" customWidth="1"/>
    <col min="9" max="9" width="13.7109375" customWidth="1"/>
    <col min="10" max="10" width="14.140625" customWidth="1"/>
    <col min="11" max="11" width="13.42578125" customWidth="1"/>
    <col min="12" max="12" width="16.7109375" customWidth="1"/>
    <col min="13" max="13" width="6.7109375" customWidth="1"/>
    <col min="14" max="14" width="12.85546875" customWidth="1"/>
    <col min="15" max="15" width="14.5703125" customWidth="1"/>
    <col min="16" max="16" width="14" customWidth="1"/>
    <col min="17" max="17" width="11.42578125" customWidth="1"/>
    <col min="18" max="18" width="22.85546875" bestFit="1" customWidth="1"/>
  </cols>
  <sheetData>
    <row r="1" spans="1:19" x14ac:dyDescent="0.25">
      <c r="A1" t="s">
        <v>19</v>
      </c>
      <c r="B1" t="s">
        <v>20</v>
      </c>
      <c r="C1" t="s">
        <v>21</v>
      </c>
      <c r="D1" t="s">
        <v>22</v>
      </c>
      <c r="F1" t="s">
        <v>24</v>
      </c>
      <c r="G1" t="s">
        <v>25</v>
      </c>
      <c r="I1" t="s">
        <v>26</v>
      </c>
      <c r="J1" t="s">
        <v>27</v>
      </c>
      <c r="K1" t="s">
        <v>28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9" x14ac:dyDescent="0.25">
      <c r="A2" t="s">
        <v>8</v>
      </c>
      <c r="B2" s="1">
        <v>16865615</v>
      </c>
      <c r="C2" t="s">
        <v>56</v>
      </c>
      <c r="D2" t="s">
        <v>57</v>
      </c>
      <c r="E2" t="str">
        <f>CONCATENATE(D2,8)</f>
        <v>DU7JU78</v>
      </c>
      <c r="F2" t="s">
        <v>59</v>
      </c>
      <c r="G2" t="s">
        <v>60</v>
      </c>
      <c r="H2" t="str">
        <f>CONCATENATE(F2, " ", G2)</f>
        <v>SANDRA LOWELL</v>
      </c>
      <c r="I2" t="s">
        <v>61</v>
      </c>
      <c r="J2" t="s">
        <v>50</v>
      </c>
      <c r="K2" t="s">
        <v>62</v>
      </c>
      <c r="L2" t="s">
        <v>53</v>
      </c>
      <c r="M2" t="s">
        <v>64</v>
      </c>
      <c r="N2">
        <v>260.83</v>
      </c>
      <c r="O2">
        <v>200</v>
      </c>
      <c r="P2">
        <v>460.83</v>
      </c>
      <c r="Q2">
        <v>260.83</v>
      </c>
      <c r="R2" t="s">
        <v>71</v>
      </c>
      <c r="S2" t="s">
        <v>73</v>
      </c>
    </row>
    <row r="3" spans="1:19" x14ac:dyDescent="0.25">
      <c r="A3" t="s">
        <v>8</v>
      </c>
      <c r="B3" s="1">
        <v>20411454</v>
      </c>
      <c r="C3" t="s">
        <v>75</v>
      </c>
      <c r="D3" t="s">
        <v>57</v>
      </c>
      <c r="E3" t="str">
        <f>CONCATENATE(D3,88)</f>
        <v>DU7JU788</v>
      </c>
      <c r="F3" t="s">
        <v>59</v>
      </c>
      <c r="G3" t="s">
        <v>60</v>
      </c>
      <c r="H3" t="str">
        <f>CONCATENATE(F3, " ", G3)</f>
        <v>SANDRA LOWELL</v>
      </c>
      <c r="I3" t="s">
        <v>61</v>
      </c>
      <c r="J3" t="s">
        <v>50</v>
      </c>
      <c r="K3" t="s">
        <v>62</v>
      </c>
      <c r="L3" t="s">
        <v>53</v>
      </c>
      <c r="M3" t="s">
        <v>64</v>
      </c>
      <c r="N3">
        <v>260.83</v>
      </c>
      <c r="O3">
        <v>200</v>
      </c>
      <c r="P3">
        <v>460.83</v>
      </c>
      <c r="Q3">
        <v>200</v>
      </c>
      <c r="R3" t="s">
        <v>72</v>
      </c>
    </row>
    <row r="4" spans="1:19" x14ac:dyDescent="0.25">
      <c r="A4" t="s">
        <v>8</v>
      </c>
      <c r="B4" s="1">
        <v>20411454</v>
      </c>
      <c r="C4" t="s">
        <v>75</v>
      </c>
      <c r="D4" t="s">
        <v>43</v>
      </c>
      <c r="E4" t="str">
        <f>CONCATENATE(D4,88)</f>
        <v>DJFA7R88</v>
      </c>
      <c r="F4" t="s">
        <v>45</v>
      </c>
      <c r="G4" t="s">
        <v>46</v>
      </c>
      <c r="H4" t="str">
        <f>CONCATENATE(F4, " ", G4)</f>
        <v>CLIFTON MCKENNIE</v>
      </c>
      <c r="I4" t="s">
        <v>47</v>
      </c>
      <c r="J4" t="s">
        <v>48</v>
      </c>
      <c r="K4" t="s">
        <v>49</v>
      </c>
      <c r="L4" t="s">
        <v>53</v>
      </c>
      <c r="M4" t="s">
        <v>54</v>
      </c>
      <c r="N4">
        <v>-313</v>
      </c>
      <c r="O4">
        <v>-200</v>
      </c>
      <c r="P4">
        <v>-513</v>
      </c>
      <c r="Q4">
        <v>-200</v>
      </c>
      <c r="R4" t="s">
        <v>72</v>
      </c>
    </row>
    <row r="5" spans="1:19" x14ac:dyDescent="0.25">
      <c r="A5" t="s">
        <v>8</v>
      </c>
      <c r="B5" s="1">
        <v>20411454</v>
      </c>
      <c r="C5" t="s">
        <v>75</v>
      </c>
      <c r="D5" t="s">
        <v>67</v>
      </c>
      <c r="E5" t="str">
        <f>CONCATENATE(D5,88)</f>
        <v>D3AYFF88</v>
      </c>
      <c r="F5" t="s">
        <v>69</v>
      </c>
      <c r="G5" t="s">
        <v>70</v>
      </c>
      <c r="H5" t="str">
        <f>CONCATENATE(F5, " ", G5)</f>
        <v>DORA PATTERSON</v>
      </c>
      <c r="I5" t="s">
        <v>47</v>
      </c>
      <c r="J5" t="s">
        <v>50</v>
      </c>
      <c r="K5" t="s">
        <v>62</v>
      </c>
      <c r="L5" t="s">
        <v>53</v>
      </c>
      <c r="M5" t="s">
        <v>64</v>
      </c>
      <c r="N5">
        <v>260.83</v>
      </c>
      <c r="O5">
        <v>200</v>
      </c>
      <c r="P5">
        <v>460.83</v>
      </c>
      <c r="Q5">
        <v>200</v>
      </c>
      <c r="R5" t="s">
        <v>72</v>
      </c>
    </row>
    <row r="6" spans="1:19" x14ac:dyDescent="0.25">
      <c r="A6" t="s">
        <v>8</v>
      </c>
      <c r="B6" s="1">
        <v>19586992</v>
      </c>
      <c r="C6" t="s">
        <v>42</v>
      </c>
      <c r="D6" t="s">
        <v>43</v>
      </c>
      <c r="E6" t="str">
        <f>CONCATENATE(D6,8)</f>
        <v>DJFA7R8</v>
      </c>
      <c r="F6" t="s">
        <v>45</v>
      </c>
      <c r="G6" t="s">
        <v>46</v>
      </c>
      <c r="H6" t="str">
        <f>CONCATENATE(F6, " ", G6)</f>
        <v>CLIFTON MCKENNIE</v>
      </c>
      <c r="I6" t="s">
        <v>47</v>
      </c>
      <c r="J6" t="s">
        <v>48</v>
      </c>
      <c r="K6" t="s">
        <v>49</v>
      </c>
      <c r="L6" t="s">
        <v>53</v>
      </c>
      <c r="M6" t="s">
        <v>54</v>
      </c>
      <c r="N6">
        <v>-313</v>
      </c>
      <c r="O6">
        <v>-200</v>
      </c>
      <c r="P6">
        <v>-513</v>
      </c>
      <c r="Q6">
        <v>-313</v>
      </c>
      <c r="R6" t="s">
        <v>71</v>
      </c>
      <c r="S6" t="s">
        <v>74</v>
      </c>
    </row>
    <row r="7" spans="1:19" x14ac:dyDescent="0.25">
      <c r="A7" t="s">
        <v>8</v>
      </c>
      <c r="B7" s="1">
        <v>17301495</v>
      </c>
      <c r="C7" t="s">
        <v>66</v>
      </c>
      <c r="D7" t="s">
        <v>67</v>
      </c>
      <c r="E7" t="str">
        <f>CONCATENATE(D7,8)</f>
        <v>D3AYFF8</v>
      </c>
      <c r="F7" t="s">
        <v>69</v>
      </c>
      <c r="G7" t="s">
        <v>70</v>
      </c>
      <c r="H7" t="str">
        <f>CONCATENATE(F7, " ", G7)</f>
        <v>DORA PATTERSON</v>
      </c>
      <c r="I7" t="s">
        <v>47</v>
      </c>
      <c r="J7" t="s">
        <v>50</v>
      </c>
      <c r="K7" t="s">
        <v>62</v>
      </c>
      <c r="L7" t="s">
        <v>53</v>
      </c>
      <c r="M7" t="s">
        <v>64</v>
      </c>
      <c r="N7">
        <v>260.83</v>
      </c>
      <c r="O7">
        <v>200</v>
      </c>
      <c r="P7">
        <v>460.83</v>
      </c>
      <c r="Q7">
        <v>260.83</v>
      </c>
      <c r="R7" t="s">
        <v>71</v>
      </c>
      <c r="S7" t="s">
        <v>73</v>
      </c>
    </row>
  </sheetData>
  <sortState xmlns:xlrd2="http://schemas.microsoft.com/office/spreadsheetml/2017/richdata2" ref="A3:X7">
    <sortCondition ref="R3:R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2025-03-19T14:46:13Z</dcterms:created>
  <dcterms:modified xsi:type="dcterms:W3CDTF">2025-03-20T18:15:05Z</dcterms:modified>
</cp:coreProperties>
</file>